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A:\Alwaye Rubex Internship 2026\RubexOps\"/>
    </mc:Choice>
  </mc:AlternateContent>
  <xr:revisionPtr revIDLastSave="0" documentId="13_ncr:1_{DA8996BA-DBC5-42F3-B894-DAE2238679AD}" xr6:coauthVersionLast="47" xr6:coauthVersionMax="47" xr10:uidLastSave="{00000000-0000-0000-0000-000000000000}"/>
  <bookViews>
    <workbookView xWindow="-110" yWindow="-110" windowWidth="22620" windowHeight="13500" activeTab="1" xr2:uid="{00000000-000D-0000-FFFF-FFFF00000000}"/>
  </bookViews>
  <sheets>
    <sheet name="pcon" sheetId="1" r:id="rId1"/>
    <sheet name="scon" sheetId="2" r:id="rId2"/>
    <sheet name="purchase" sheetId="3" r:id="rId3"/>
    <sheet name="sales" sheetId="4" r:id="rId4"/>
    <sheet name="production" sheetId="5" r:id="rId5"/>
  </sheets>
  <definedNames>
    <definedName name="j" localSheetId="1">scon!#REF!</definedName>
    <definedName name="j">pcon!#REF!</definedName>
  </definedName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2504" i="5" l="1"/>
  <c r="P2504" i="5"/>
  <c r="O2504" i="5"/>
  <c r="N2504" i="5"/>
  <c r="K2504" i="5"/>
  <c r="H2504" i="5"/>
  <c r="G2504" i="5" s="1"/>
  <c r="E2504" i="5"/>
  <c r="D2504" i="5"/>
  <c r="B2504" i="5"/>
  <c r="Q2503" i="5"/>
  <c r="P2503" i="5"/>
  <c r="O2503" i="5"/>
  <c r="N2503" i="5"/>
  <c r="K2503" i="5"/>
  <c r="H2503" i="5"/>
  <c r="J2503" i="5" s="1"/>
  <c r="I2503" i="5" s="1"/>
  <c r="E2503" i="5"/>
  <c r="D2503" i="5"/>
  <c r="B2503" i="5"/>
  <c r="Q2502" i="5"/>
  <c r="P2502" i="5"/>
  <c r="O2502" i="5"/>
  <c r="N2502" i="5"/>
  <c r="K2502" i="5"/>
  <c r="H2502" i="5"/>
  <c r="J2502" i="5" s="1"/>
  <c r="I2502" i="5" s="1"/>
  <c r="E2502" i="5"/>
  <c r="D2502" i="5"/>
  <c r="B2502" i="5"/>
  <c r="Q2501" i="5"/>
  <c r="P2501" i="5"/>
  <c r="O2501" i="5"/>
  <c r="N2501" i="5"/>
  <c r="K2501" i="5"/>
  <c r="H2501" i="5"/>
  <c r="E2501" i="5"/>
  <c r="D2501" i="5"/>
  <c r="B2501" i="5"/>
  <c r="Q2500" i="5"/>
  <c r="P2500" i="5"/>
  <c r="O2500" i="5"/>
  <c r="N2500" i="5"/>
  <c r="K2500" i="5"/>
  <c r="H2500" i="5"/>
  <c r="J2500" i="5" s="1"/>
  <c r="I2500" i="5" s="1"/>
  <c r="E2500" i="5"/>
  <c r="D2500" i="5"/>
  <c r="B2500" i="5"/>
  <c r="Q2499" i="5"/>
  <c r="P2499" i="5"/>
  <c r="O2499" i="5"/>
  <c r="N2499" i="5"/>
  <c r="K2499" i="5"/>
  <c r="H2499" i="5"/>
  <c r="J2499" i="5" s="1"/>
  <c r="I2499" i="5" s="1"/>
  <c r="E2499" i="5"/>
  <c r="D2499" i="5"/>
  <c r="B2499" i="5"/>
  <c r="Q2498" i="5"/>
  <c r="P2498" i="5"/>
  <c r="O2498" i="5"/>
  <c r="N2498" i="5"/>
  <c r="K2498" i="5"/>
  <c r="H2498" i="5"/>
  <c r="E2498" i="5"/>
  <c r="D2498" i="5"/>
  <c r="B2498" i="5"/>
  <c r="Q2497" i="5"/>
  <c r="P2497" i="5"/>
  <c r="O2497" i="5"/>
  <c r="N2497" i="5"/>
  <c r="K2497" i="5"/>
  <c r="H2497" i="5"/>
  <c r="J2497" i="5" s="1"/>
  <c r="I2497" i="5" s="1"/>
  <c r="E2497" i="5"/>
  <c r="D2497" i="5"/>
  <c r="B2497" i="5"/>
  <c r="Q2496" i="5"/>
  <c r="P2496" i="5"/>
  <c r="R2496" i="5" s="1"/>
  <c r="O2496" i="5"/>
  <c r="N2496" i="5"/>
  <c r="K2496" i="5"/>
  <c r="H2496" i="5"/>
  <c r="J2496" i="5" s="1"/>
  <c r="I2496" i="5" s="1"/>
  <c r="E2496" i="5"/>
  <c r="D2496" i="5"/>
  <c r="B2496" i="5"/>
  <c r="Q2495" i="5"/>
  <c r="P2495" i="5"/>
  <c r="O2495" i="5"/>
  <c r="N2495" i="5"/>
  <c r="K2495" i="5"/>
  <c r="H2495" i="5"/>
  <c r="J2495" i="5" s="1"/>
  <c r="I2495" i="5" s="1"/>
  <c r="G2495" i="5"/>
  <c r="E2495" i="5"/>
  <c r="D2495" i="5"/>
  <c r="B2495" i="5"/>
  <c r="Q2494" i="5"/>
  <c r="P2494" i="5"/>
  <c r="O2494" i="5"/>
  <c r="N2494" i="5"/>
  <c r="K2494" i="5"/>
  <c r="H2494" i="5"/>
  <c r="J2494" i="5" s="1"/>
  <c r="I2494" i="5" s="1"/>
  <c r="E2494" i="5"/>
  <c r="D2494" i="5"/>
  <c r="B2494" i="5"/>
  <c r="Q2493" i="5"/>
  <c r="P2493" i="5"/>
  <c r="O2493" i="5"/>
  <c r="N2493" i="5"/>
  <c r="K2493" i="5"/>
  <c r="H2493" i="5"/>
  <c r="J2493" i="5" s="1"/>
  <c r="I2493" i="5" s="1"/>
  <c r="E2493" i="5"/>
  <c r="D2493" i="5"/>
  <c r="B2493" i="5"/>
  <c r="Q2492" i="5"/>
  <c r="P2492" i="5"/>
  <c r="O2492" i="5"/>
  <c r="N2492" i="5"/>
  <c r="K2492" i="5"/>
  <c r="H2492" i="5"/>
  <c r="E2492" i="5"/>
  <c r="D2492" i="5"/>
  <c r="B2492" i="5"/>
  <c r="Q2491" i="5"/>
  <c r="P2491" i="5"/>
  <c r="O2491" i="5"/>
  <c r="N2491" i="5"/>
  <c r="K2491" i="5"/>
  <c r="H2491" i="5"/>
  <c r="E2491" i="5"/>
  <c r="D2491" i="5"/>
  <c r="B2491" i="5"/>
  <c r="Q2490" i="5"/>
  <c r="P2490" i="5"/>
  <c r="O2490" i="5"/>
  <c r="N2490" i="5"/>
  <c r="K2490" i="5"/>
  <c r="H2490" i="5"/>
  <c r="J2490" i="5" s="1"/>
  <c r="I2490" i="5" s="1"/>
  <c r="E2490" i="5"/>
  <c r="D2490" i="5"/>
  <c r="B2490" i="5"/>
  <c r="Q2489" i="5"/>
  <c r="P2489" i="5"/>
  <c r="O2489" i="5"/>
  <c r="N2489" i="5"/>
  <c r="K2489" i="5"/>
  <c r="H2489" i="5"/>
  <c r="E2489" i="5"/>
  <c r="D2489" i="5"/>
  <c r="B2489" i="5"/>
  <c r="Q2488" i="5"/>
  <c r="P2488" i="5"/>
  <c r="O2488" i="5"/>
  <c r="N2488" i="5"/>
  <c r="K2488" i="5"/>
  <c r="H2488" i="5"/>
  <c r="G2488" i="5" s="1"/>
  <c r="E2488" i="5"/>
  <c r="D2488" i="5"/>
  <c r="B2488" i="5"/>
  <c r="Q2487" i="5"/>
  <c r="P2487" i="5"/>
  <c r="O2487" i="5"/>
  <c r="N2487" i="5"/>
  <c r="K2487" i="5"/>
  <c r="H2487" i="5"/>
  <c r="J2487" i="5" s="1"/>
  <c r="I2487" i="5" s="1"/>
  <c r="E2487" i="5"/>
  <c r="D2487" i="5"/>
  <c r="B2487" i="5"/>
  <c r="Q2486" i="5"/>
  <c r="P2486" i="5"/>
  <c r="O2486" i="5"/>
  <c r="N2486" i="5"/>
  <c r="K2486" i="5"/>
  <c r="H2486" i="5"/>
  <c r="J2486" i="5" s="1"/>
  <c r="I2486" i="5" s="1"/>
  <c r="E2486" i="5"/>
  <c r="D2486" i="5"/>
  <c r="B2486" i="5"/>
  <c r="Q2485" i="5"/>
  <c r="P2485" i="5"/>
  <c r="O2485" i="5"/>
  <c r="N2485" i="5"/>
  <c r="K2485" i="5"/>
  <c r="H2485" i="5"/>
  <c r="G2485" i="5" s="1"/>
  <c r="E2485" i="5"/>
  <c r="D2485" i="5"/>
  <c r="B2485" i="5"/>
  <c r="Q2484" i="5"/>
  <c r="P2484" i="5"/>
  <c r="O2484" i="5"/>
  <c r="N2484" i="5"/>
  <c r="K2484" i="5"/>
  <c r="H2484" i="5"/>
  <c r="J2484" i="5" s="1"/>
  <c r="I2484" i="5" s="1"/>
  <c r="E2484" i="5"/>
  <c r="D2484" i="5"/>
  <c r="B2484" i="5"/>
  <c r="Q2483" i="5"/>
  <c r="P2483" i="5"/>
  <c r="O2483" i="5"/>
  <c r="N2483" i="5"/>
  <c r="K2483" i="5"/>
  <c r="H2483" i="5"/>
  <c r="J2483" i="5" s="1"/>
  <c r="I2483" i="5" s="1"/>
  <c r="E2483" i="5"/>
  <c r="D2483" i="5"/>
  <c r="B2483" i="5"/>
  <c r="Q2482" i="5"/>
  <c r="P2482" i="5"/>
  <c r="O2482" i="5"/>
  <c r="N2482" i="5"/>
  <c r="K2482" i="5"/>
  <c r="H2482" i="5"/>
  <c r="J2482" i="5" s="1"/>
  <c r="I2482" i="5" s="1"/>
  <c r="E2482" i="5"/>
  <c r="D2482" i="5"/>
  <c r="B2482" i="5"/>
  <c r="Q2481" i="5"/>
  <c r="P2481" i="5"/>
  <c r="O2481" i="5"/>
  <c r="N2481" i="5"/>
  <c r="K2481" i="5"/>
  <c r="H2481" i="5"/>
  <c r="E2481" i="5"/>
  <c r="D2481" i="5"/>
  <c r="B2481" i="5"/>
  <c r="Q2480" i="5"/>
  <c r="P2480" i="5"/>
  <c r="O2480" i="5"/>
  <c r="N2480" i="5"/>
  <c r="K2480" i="5"/>
  <c r="H2480" i="5"/>
  <c r="E2480" i="5"/>
  <c r="D2480" i="5"/>
  <c r="B2480" i="5"/>
  <c r="Q2479" i="5"/>
  <c r="P2479" i="5"/>
  <c r="O2479" i="5"/>
  <c r="N2479" i="5"/>
  <c r="K2479" i="5"/>
  <c r="H2479" i="5"/>
  <c r="J2479" i="5" s="1"/>
  <c r="I2479" i="5" s="1"/>
  <c r="G2479" i="5"/>
  <c r="E2479" i="5"/>
  <c r="D2479" i="5"/>
  <c r="B2479" i="5"/>
  <c r="Q2478" i="5"/>
  <c r="P2478" i="5"/>
  <c r="O2478" i="5"/>
  <c r="N2478" i="5"/>
  <c r="K2478" i="5"/>
  <c r="H2478" i="5"/>
  <c r="J2478" i="5" s="1"/>
  <c r="I2478" i="5" s="1"/>
  <c r="E2478" i="5"/>
  <c r="D2478" i="5"/>
  <c r="B2478" i="5"/>
  <c r="Q2477" i="5"/>
  <c r="P2477" i="5"/>
  <c r="O2477" i="5"/>
  <c r="N2477" i="5"/>
  <c r="K2477" i="5"/>
  <c r="H2477" i="5"/>
  <c r="J2477" i="5" s="1"/>
  <c r="I2477" i="5" s="1"/>
  <c r="E2477" i="5"/>
  <c r="D2477" i="5"/>
  <c r="B2477" i="5"/>
  <c r="Q2476" i="5"/>
  <c r="P2476" i="5"/>
  <c r="O2476" i="5"/>
  <c r="N2476" i="5"/>
  <c r="K2476" i="5"/>
  <c r="H2476" i="5"/>
  <c r="E2476" i="5"/>
  <c r="D2476" i="5"/>
  <c r="B2476" i="5"/>
  <c r="Q2475" i="5"/>
  <c r="P2475" i="5"/>
  <c r="O2475" i="5"/>
  <c r="N2475" i="5"/>
  <c r="K2475" i="5"/>
  <c r="H2475" i="5"/>
  <c r="G2475" i="5" s="1"/>
  <c r="E2475" i="5"/>
  <c r="D2475" i="5"/>
  <c r="B2475" i="5"/>
  <c r="Q2474" i="5"/>
  <c r="P2474" i="5"/>
  <c r="O2474" i="5"/>
  <c r="N2474" i="5"/>
  <c r="K2474" i="5"/>
  <c r="H2474" i="5"/>
  <c r="J2474" i="5" s="1"/>
  <c r="I2474" i="5" s="1"/>
  <c r="E2474" i="5"/>
  <c r="D2474" i="5"/>
  <c r="B2474" i="5"/>
  <c r="Q2473" i="5"/>
  <c r="P2473" i="5"/>
  <c r="O2473" i="5"/>
  <c r="N2473" i="5"/>
  <c r="K2473" i="5"/>
  <c r="H2473" i="5"/>
  <c r="E2473" i="5"/>
  <c r="D2473" i="5"/>
  <c r="B2473" i="5"/>
  <c r="Q2472" i="5"/>
  <c r="P2472" i="5"/>
  <c r="O2472" i="5"/>
  <c r="N2472" i="5"/>
  <c r="K2472" i="5"/>
  <c r="H2472" i="5"/>
  <c r="G2472" i="5" s="1"/>
  <c r="E2472" i="5"/>
  <c r="D2472" i="5"/>
  <c r="B2472" i="5"/>
  <c r="Q2471" i="5"/>
  <c r="P2471" i="5"/>
  <c r="O2471" i="5"/>
  <c r="N2471" i="5"/>
  <c r="K2471" i="5"/>
  <c r="H2471" i="5"/>
  <c r="J2471" i="5" s="1"/>
  <c r="I2471" i="5" s="1"/>
  <c r="E2471" i="5"/>
  <c r="D2471" i="5"/>
  <c r="B2471" i="5"/>
  <c r="Q2470" i="5"/>
  <c r="P2470" i="5"/>
  <c r="O2470" i="5"/>
  <c r="N2470" i="5"/>
  <c r="K2470" i="5"/>
  <c r="H2470" i="5"/>
  <c r="J2470" i="5" s="1"/>
  <c r="I2470" i="5" s="1"/>
  <c r="E2470" i="5"/>
  <c r="D2470" i="5"/>
  <c r="B2470" i="5"/>
  <c r="Q2469" i="5"/>
  <c r="P2469" i="5"/>
  <c r="O2469" i="5"/>
  <c r="N2469" i="5"/>
  <c r="K2469" i="5"/>
  <c r="H2469" i="5"/>
  <c r="G2469" i="5" s="1"/>
  <c r="E2469" i="5"/>
  <c r="D2469" i="5"/>
  <c r="B2469" i="5"/>
  <c r="Q2468" i="5"/>
  <c r="P2468" i="5"/>
  <c r="O2468" i="5"/>
  <c r="N2468" i="5"/>
  <c r="K2468" i="5"/>
  <c r="H2468" i="5"/>
  <c r="J2468" i="5" s="1"/>
  <c r="I2468" i="5" s="1"/>
  <c r="E2468" i="5"/>
  <c r="D2468" i="5"/>
  <c r="B2468" i="5"/>
  <c r="Q2467" i="5"/>
  <c r="P2467" i="5"/>
  <c r="O2467" i="5"/>
  <c r="N2467" i="5"/>
  <c r="K2467" i="5"/>
  <c r="H2467" i="5"/>
  <c r="J2467" i="5" s="1"/>
  <c r="I2467" i="5" s="1"/>
  <c r="E2467" i="5"/>
  <c r="D2467" i="5"/>
  <c r="B2467" i="5"/>
  <c r="Q2466" i="5"/>
  <c r="P2466" i="5"/>
  <c r="O2466" i="5"/>
  <c r="N2466" i="5"/>
  <c r="K2466" i="5"/>
  <c r="H2466" i="5"/>
  <c r="G2466" i="5" s="1"/>
  <c r="E2466" i="5"/>
  <c r="D2466" i="5"/>
  <c r="B2466" i="5"/>
  <c r="Q2465" i="5"/>
  <c r="P2465" i="5"/>
  <c r="O2465" i="5"/>
  <c r="N2465" i="5"/>
  <c r="K2465" i="5"/>
  <c r="H2465" i="5"/>
  <c r="E2465" i="5"/>
  <c r="D2465" i="5"/>
  <c r="B2465" i="5"/>
  <c r="Q2464" i="5"/>
  <c r="P2464" i="5"/>
  <c r="O2464" i="5"/>
  <c r="N2464" i="5"/>
  <c r="K2464" i="5"/>
  <c r="H2464" i="5"/>
  <c r="E2464" i="5"/>
  <c r="D2464" i="5"/>
  <c r="B2464" i="5"/>
  <c r="Q2463" i="5"/>
  <c r="P2463" i="5"/>
  <c r="O2463" i="5"/>
  <c r="N2463" i="5"/>
  <c r="K2463" i="5"/>
  <c r="H2463" i="5"/>
  <c r="J2463" i="5" s="1"/>
  <c r="I2463" i="5" s="1"/>
  <c r="E2463" i="5"/>
  <c r="D2463" i="5"/>
  <c r="B2463" i="5"/>
  <c r="Q2462" i="5"/>
  <c r="P2462" i="5"/>
  <c r="O2462" i="5"/>
  <c r="N2462" i="5"/>
  <c r="K2462" i="5"/>
  <c r="H2462" i="5"/>
  <c r="J2462" i="5" s="1"/>
  <c r="I2462" i="5" s="1"/>
  <c r="E2462" i="5"/>
  <c r="D2462" i="5"/>
  <c r="B2462" i="5"/>
  <c r="Q2461" i="5"/>
  <c r="P2461" i="5"/>
  <c r="O2461" i="5"/>
  <c r="N2461" i="5"/>
  <c r="K2461" i="5"/>
  <c r="H2461" i="5"/>
  <c r="J2461" i="5" s="1"/>
  <c r="I2461" i="5" s="1"/>
  <c r="E2461" i="5"/>
  <c r="D2461" i="5"/>
  <c r="B2461" i="5"/>
  <c r="Q2460" i="5"/>
  <c r="P2460" i="5"/>
  <c r="O2460" i="5"/>
  <c r="N2460" i="5"/>
  <c r="K2460" i="5"/>
  <c r="H2460" i="5"/>
  <c r="E2460" i="5"/>
  <c r="D2460" i="5"/>
  <c r="B2460" i="5"/>
  <c r="Q2459" i="5"/>
  <c r="P2459" i="5"/>
  <c r="O2459" i="5"/>
  <c r="N2459" i="5"/>
  <c r="K2459" i="5"/>
  <c r="H2459" i="5"/>
  <c r="G2459" i="5" s="1"/>
  <c r="E2459" i="5"/>
  <c r="D2459" i="5"/>
  <c r="B2459" i="5"/>
  <c r="Q2458" i="5"/>
  <c r="P2458" i="5"/>
  <c r="O2458" i="5"/>
  <c r="N2458" i="5"/>
  <c r="K2458" i="5"/>
  <c r="H2458" i="5"/>
  <c r="J2458" i="5" s="1"/>
  <c r="I2458" i="5" s="1"/>
  <c r="E2458" i="5"/>
  <c r="D2458" i="5"/>
  <c r="B2458" i="5"/>
  <c r="Q2457" i="5"/>
  <c r="P2457" i="5"/>
  <c r="O2457" i="5"/>
  <c r="N2457" i="5"/>
  <c r="K2457" i="5"/>
  <c r="H2457" i="5"/>
  <c r="E2457" i="5"/>
  <c r="D2457" i="5"/>
  <c r="B2457" i="5"/>
  <c r="Q2456" i="5"/>
  <c r="P2456" i="5"/>
  <c r="O2456" i="5"/>
  <c r="N2456" i="5"/>
  <c r="K2456" i="5"/>
  <c r="H2456" i="5"/>
  <c r="E2456" i="5"/>
  <c r="D2456" i="5"/>
  <c r="B2456" i="5"/>
  <c r="Q2455" i="5"/>
  <c r="P2455" i="5"/>
  <c r="O2455" i="5"/>
  <c r="N2455" i="5"/>
  <c r="K2455" i="5"/>
  <c r="H2455" i="5"/>
  <c r="E2455" i="5"/>
  <c r="D2455" i="5"/>
  <c r="B2455" i="5"/>
  <c r="Q2454" i="5"/>
  <c r="P2454" i="5"/>
  <c r="O2454" i="5"/>
  <c r="N2454" i="5"/>
  <c r="K2454" i="5"/>
  <c r="H2454" i="5"/>
  <c r="J2454" i="5" s="1"/>
  <c r="I2454" i="5" s="1"/>
  <c r="E2454" i="5"/>
  <c r="D2454" i="5"/>
  <c r="B2454" i="5"/>
  <c r="Q2453" i="5"/>
  <c r="P2453" i="5"/>
  <c r="O2453" i="5"/>
  <c r="N2453" i="5"/>
  <c r="K2453" i="5"/>
  <c r="H2453" i="5"/>
  <c r="G2453" i="5" s="1"/>
  <c r="E2453" i="5"/>
  <c r="D2453" i="5"/>
  <c r="B2453" i="5"/>
  <c r="Q2452" i="5"/>
  <c r="P2452" i="5"/>
  <c r="O2452" i="5"/>
  <c r="N2452" i="5"/>
  <c r="K2452" i="5"/>
  <c r="H2452" i="5"/>
  <c r="E2452" i="5"/>
  <c r="D2452" i="5"/>
  <c r="B2452" i="5"/>
  <c r="Q2451" i="5"/>
  <c r="P2451" i="5"/>
  <c r="O2451" i="5"/>
  <c r="N2451" i="5"/>
  <c r="K2451" i="5"/>
  <c r="H2451" i="5"/>
  <c r="J2451" i="5" s="1"/>
  <c r="I2451" i="5" s="1"/>
  <c r="E2451" i="5"/>
  <c r="D2451" i="5"/>
  <c r="B2451" i="5"/>
  <c r="Q2450" i="5"/>
  <c r="P2450" i="5"/>
  <c r="O2450" i="5"/>
  <c r="N2450" i="5"/>
  <c r="K2450" i="5"/>
  <c r="H2450" i="5"/>
  <c r="E2450" i="5"/>
  <c r="D2450" i="5"/>
  <c r="B2450" i="5"/>
  <c r="Q2449" i="5"/>
  <c r="P2449" i="5"/>
  <c r="O2449" i="5"/>
  <c r="N2449" i="5"/>
  <c r="K2449" i="5"/>
  <c r="H2449" i="5"/>
  <c r="E2449" i="5"/>
  <c r="D2449" i="5"/>
  <c r="B2449" i="5"/>
  <c r="Q2448" i="5"/>
  <c r="P2448" i="5"/>
  <c r="O2448" i="5"/>
  <c r="N2448" i="5"/>
  <c r="K2448" i="5"/>
  <c r="H2448" i="5"/>
  <c r="J2448" i="5" s="1"/>
  <c r="I2448" i="5" s="1"/>
  <c r="E2448" i="5"/>
  <c r="D2448" i="5"/>
  <c r="B2448" i="5"/>
  <c r="Q2447" i="5"/>
  <c r="P2447" i="5"/>
  <c r="O2447" i="5"/>
  <c r="N2447" i="5"/>
  <c r="K2447" i="5"/>
  <c r="H2447" i="5"/>
  <c r="J2447" i="5" s="1"/>
  <c r="I2447" i="5" s="1"/>
  <c r="E2447" i="5"/>
  <c r="D2447" i="5"/>
  <c r="B2447" i="5"/>
  <c r="Q2446" i="5"/>
  <c r="P2446" i="5"/>
  <c r="O2446" i="5"/>
  <c r="N2446" i="5"/>
  <c r="K2446" i="5"/>
  <c r="H2446" i="5"/>
  <c r="J2446" i="5" s="1"/>
  <c r="I2446" i="5" s="1"/>
  <c r="E2446" i="5"/>
  <c r="D2446" i="5"/>
  <c r="B2446" i="5"/>
  <c r="Q2445" i="5"/>
  <c r="P2445" i="5"/>
  <c r="O2445" i="5"/>
  <c r="N2445" i="5"/>
  <c r="K2445" i="5"/>
  <c r="H2445" i="5"/>
  <c r="E2445" i="5"/>
  <c r="D2445" i="5"/>
  <c r="B2445" i="5"/>
  <c r="Q2444" i="5"/>
  <c r="P2444" i="5"/>
  <c r="O2444" i="5"/>
  <c r="N2444" i="5"/>
  <c r="K2444" i="5"/>
  <c r="H2444" i="5"/>
  <c r="E2444" i="5"/>
  <c r="D2444" i="5"/>
  <c r="B2444" i="5"/>
  <c r="Q2443" i="5"/>
  <c r="P2443" i="5"/>
  <c r="O2443" i="5"/>
  <c r="N2443" i="5"/>
  <c r="K2443" i="5"/>
  <c r="H2443" i="5"/>
  <c r="G2443" i="5" s="1"/>
  <c r="E2443" i="5"/>
  <c r="D2443" i="5"/>
  <c r="B2443" i="5"/>
  <c r="Q2442" i="5"/>
  <c r="P2442" i="5"/>
  <c r="O2442" i="5"/>
  <c r="N2442" i="5"/>
  <c r="K2442" i="5"/>
  <c r="H2442" i="5"/>
  <c r="J2442" i="5" s="1"/>
  <c r="I2442" i="5" s="1"/>
  <c r="E2442" i="5"/>
  <c r="D2442" i="5"/>
  <c r="B2442" i="5"/>
  <c r="Q2441" i="5"/>
  <c r="P2441" i="5"/>
  <c r="O2441" i="5"/>
  <c r="N2441" i="5"/>
  <c r="K2441" i="5"/>
  <c r="H2441" i="5"/>
  <c r="E2441" i="5"/>
  <c r="D2441" i="5"/>
  <c r="B2441" i="5"/>
  <c r="Q2440" i="5"/>
  <c r="P2440" i="5"/>
  <c r="O2440" i="5"/>
  <c r="N2440" i="5"/>
  <c r="K2440" i="5"/>
  <c r="H2440" i="5"/>
  <c r="G2440" i="5" s="1"/>
  <c r="E2440" i="5"/>
  <c r="D2440" i="5"/>
  <c r="B2440" i="5"/>
  <c r="Q2439" i="5"/>
  <c r="P2439" i="5"/>
  <c r="O2439" i="5"/>
  <c r="N2439" i="5"/>
  <c r="K2439" i="5"/>
  <c r="H2439" i="5"/>
  <c r="J2439" i="5" s="1"/>
  <c r="I2439" i="5" s="1"/>
  <c r="E2439" i="5"/>
  <c r="D2439" i="5"/>
  <c r="B2439" i="5"/>
  <c r="Q2438" i="5"/>
  <c r="P2438" i="5"/>
  <c r="O2438" i="5"/>
  <c r="N2438" i="5"/>
  <c r="K2438" i="5"/>
  <c r="H2438" i="5"/>
  <c r="J2438" i="5" s="1"/>
  <c r="I2438" i="5" s="1"/>
  <c r="E2438" i="5"/>
  <c r="D2438" i="5"/>
  <c r="B2438" i="5"/>
  <c r="Q2437" i="5"/>
  <c r="P2437" i="5"/>
  <c r="O2437" i="5"/>
  <c r="N2437" i="5"/>
  <c r="K2437" i="5"/>
  <c r="H2437" i="5"/>
  <c r="G2437" i="5" s="1"/>
  <c r="E2437" i="5"/>
  <c r="D2437" i="5"/>
  <c r="B2437" i="5"/>
  <c r="Q2436" i="5"/>
  <c r="P2436" i="5"/>
  <c r="O2436" i="5"/>
  <c r="N2436" i="5"/>
  <c r="K2436" i="5"/>
  <c r="H2436" i="5"/>
  <c r="G2436" i="5" s="1"/>
  <c r="E2436" i="5"/>
  <c r="D2436" i="5"/>
  <c r="B2436" i="5"/>
  <c r="Q2435" i="5"/>
  <c r="P2435" i="5"/>
  <c r="O2435" i="5"/>
  <c r="N2435" i="5"/>
  <c r="K2435" i="5"/>
  <c r="H2435" i="5"/>
  <c r="G2435" i="5" s="1"/>
  <c r="E2435" i="5"/>
  <c r="D2435" i="5"/>
  <c r="B2435" i="5"/>
  <c r="Q2434" i="5"/>
  <c r="P2434" i="5"/>
  <c r="O2434" i="5"/>
  <c r="N2434" i="5"/>
  <c r="K2434" i="5"/>
  <c r="H2434" i="5"/>
  <c r="J2434" i="5" s="1"/>
  <c r="I2434" i="5" s="1"/>
  <c r="E2434" i="5"/>
  <c r="D2434" i="5"/>
  <c r="B2434" i="5"/>
  <c r="Q2433" i="5"/>
  <c r="P2433" i="5"/>
  <c r="O2433" i="5"/>
  <c r="N2433" i="5"/>
  <c r="K2433" i="5"/>
  <c r="H2433" i="5"/>
  <c r="G2433" i="5" s="1"/>
  <c r="E2433" i="5"/>
  <c r="D2433" i="5"/>
  <c r="B2433" i="5"/>
  <c r="Q2432" i="5"/>
  <c r="P2432" i="5"/>
  <c r="O2432" i="5"/>
  <c r="N2432" i="5"/>
  <c r="K2432" i="5"/>
  <c r="H2432" i="5"/>
  <c r="E2432" i="5"/>
  <c r="D2432" i="5"/>
  <c r="B2432" i="5"/>
  <c r="Q2431" i="5"/>
  <c r="P2431" i="5"/>
  <c r="O2431" i="5"/>
  <c r="N2431" i="5"/>
  <c r="K2431" i="5"/>
  <c r="H2431" i="5"/>
  <c r="J2431" i="5" s="1"/>
  <c r="I2431" i="5" s="1"/>
  <c r="E2431" i="5"/>
  <c r="D2431" i="5"/>
  <c r="B2431" i="5"/>
  <c r="Q2430" i="5"/>
  <c r="P2430" i="5"/>
  <c r="O2430" i="5"/>
  <c r="N2430" i="5"/>
  <c r="K2430" i="5"/>
  <c r="H2430" i="5"/>
  <c r="E2430" i="5"/>
  <c r="D2430" i="5"/>
  <c r="B2430" i="5"/>
  <c r="Q2429" i="5"/>
  <c r="P2429" i="5"/>
  <c r="O2429" i="5"/>
  <c r="N2429" i="5"/>
  <c r="K2429" i="5"/>
  <c r="H2429" i="5"/>
  <c r="J2429" i="5" s="1"/>
  <c r="I2429" i="5" s="1"/>
  <c r="E2429" i="5"/>
  <c r="D2429" i="5"/>
  <c r="B2429" i="5"/>
  <c r="Q2428" i="5"/>
  <c r="P2428" i="5"/>
  <c r="O2428" i="5"/>
  <c r="N2428" i="5"/>
  <c r="K2428" i="5"/>
  <c r="H2428" i="5"/>
  <c r="E2428" i="5"/>
  <c r="D2428" i="5"/>
  <c r="B2428" i="5"/>
  <c r="Q2427" i="5"/>
  <c r="P2427" i="5"/>
  <c r="O2427" i="5"/>
  <c r="N2427" i="5"/>
  <c r="K2427" i="5"/>
  <c r="H2427" i="5"/>
  <c r="E2427" i="5"/>
  <c r="D2427" i="5"/>
  <c r="B2427" i="5"/>
  <c r="Q2426" i="5"/>
  <c r="P2426" i="5"/>
  <c r="O2426" i="5"/>
  <c r="N2426" i="5"/>
  <c r="K2426" i="5"/>
  <c r="H2426" i="5"/>
  <c r="J2426" i="5" s="1"/>
  <c r="I2426" i="5" s="1"/>
  <c r="E2426" i="5"/>
  <c r="D2426" i="5"/>
  <c r="B2426" i="5"/>
  <c r="Q2425" i="5"/>
  <c r="P2425" i="5"/>
  <c r="O2425" i="5"/>
  <c r="N2425" i="5"/>
  <c r="K2425" i="5"/>
  <c r="H2425" i="5"/>
  <c r="E2425" i="5"/>
  <c r="D2425" i="5"/>
  <c r="B2425" i="5"/>
  <c r="Q2424" i="5"/>
  <c r="P2424" i="5"/>
  <c r="O2424" i="5"/>
  <c r="N2424" i="5"/>
  <c r="K2424" i="5"/>
  <c r="H2424" i="5"/>
  <c r="G2424" i="5" s="1"/>
  <c r="E2424" i="5"/>
  <c r="D2424" i="5"/>
  <c r="B2424" i="5"/>
  <c r="Q2423" i="5"/>
  <c r="P2423" i="5"/>
  <c r="O2423" i="5"/>
  <c r="N2423" i="5"/>
  <c r="K2423" i="5"/>
  <c r="H2423" i="5"/>
  <c r="E2423" i="5"/>
  <c r="D2423" i="5"/>
  <c r="B2423" i="5"/>
  <c r="Q2422" i="5"/>
  <c r="P2422" i="5"/>
  <c r="O2422" i="5"/>
  <c r="N2422" i="5"/>
  <c r="K2422" i="5"/>
  <c r="H2422" i="5"/>
  <c r="J2422" i="5" s="1"/>
  <c r="I2422" i="5" s="1"/>
  <c r="E2422" i="5"/>
  <c r="D2422" i="5"/>
  <c r="B2422" i="5"/>
  <c r="Q2421" i="5"/>
  <c r="P2421" i="5"/>
  <c r="O2421" i="5"/>
  <c r="N2421" i="5"/>
  <c r="K2421" i="5"/>
  <c r="H2421" i="5"/>
  <c r="G2421" i="5" s="1"/>
  <c r="E2421" i="5"/>
  <c r="D2421" i="5"/>
  <c r="B2421" i="5"/>
  <c r="Q2420" i="5"/>
  <c r="P2420" i="5"/>
  <c r="O2420" i="5"/>
  <c r="N2420" i="5"/>
  <c r="K2420" i="5"/>
  <c r="H2420" i="5"/>
  <c r="J2420" i="5" s="1"/>
  <c r="I2420" i="5" s="1"/>
  <c r="E2420" i="5"/>
  <c r="D2420" i="5"/>
  <c r="B2420" i="5"/>
  <c r="Q2419" i="5"/>
  <c r="P2419" i="5"/>
  <c r="O2419" i="5"/>
  <c r="N2419" i="5"/>
  <c r="K2419" i="5"/>
  <c r="H2419" i="5"/>
  <c r="E2419" i="5"/>
  <c r="D2419" i="5"/>
  <c r="B2419" i="5"/>
  <c r="Q2418" i="5"/>
  <c r="P2418" i="5"/>
  <c r="O2418" i="5"/>
  <c r="N2418" i="5"/>
  <c r="K2418" i="5"/>
  <c r="H2418" i="5"/>
  <c r="G2418" i="5" s="1"/>
  <c r="E2418" i="5"/>
  <c r="D2418" i="5"/>
  <c r="B2418" i="5"/>
  <c r="Q2417" i="5"/>
  <c r="P2417" i="5"/>
  <c r="O2417" i="5"/>
  <c r="N2417" i="5"/>
  <c r="K2417" i="5"/>
  <c r="H2417" i="5"/>
  <c r="J2417" i="5" s="1"/>
  <c r="I2417" i="5" s="1"/>
  <c r="E2417" i="5"/>
  <c r="D2417" i="5"/>
  <c r="B2417" i="5"/>
  <c r="Q2416" i="5"/>
  <c r="P2416" i="5"/>
  <c r="O2416" i="5"/>
  <c r="N2416" i="5"/>
  <c r="K2416" i="5"/>
  <c r="H2416" i="5"/>
  <c r="J2416" i="5" s="1"/>
  <c r="I2416" i="5" s="1"/>
  <c r="E2416" i="5"/>
  <c r="D2416" i="5"/>
  <c r="B2416" i="5"/>
  <c r="Q2415" i="5"/>
  <c r="P2415" i="5"/>
  <c r="R2415" i="5" s="1"/>
  <c r="O2415" i="5"/>
  <c r="N2415" i="5"/>
  <c r="K2415" i="5"/>
  <c r="H2415" i="5"/>
  <c r="E2415" i="5"/>
  <c r="D2415" i="5"/>
  <c r="B2415" i="5"/>
  <c r="Q2414" i="5"/>
  <c r="P2414" i="5"/>
  <c r="O2414" i="5"/>
  <c r="N2414" i="5"/>
  <c r="K2414" i="5"/>
  <c r="H2414" i="5"/>
  <c r="J2414" i="5" s="1"/>
  <c r="I2414" i="5" s="1"/>
  <c r="E2414" i="5"/>
  <c r="D2414" i="5"/>
  <c r="B2414" i="5"/>
  <c r="Q2413" i="5"/>
  <c r="P2413" i="5"/>
  <c r="O2413" i="5"/>
  <c r="N2413" i="5"/>
  <c r="K2413" i="5"/>
  <c r="H2413" i="5"/>
  <c r="J2413" i="5" s="1"/>
  <c r="I2413" i="5" s="1"/>
  <c r="E2413" i="5"/>
  <c r="D2413" i="5"/>
  <c r="B2413" i="5"/>
  <c r="Q2412" i="5"/>
  <c r="P2412" i="5"/>
  <c r="O2412" i="5"/>
  <c r="N2412" i="5"/>
  <c r="K2412" i="5"/>
  <c r="H2412" i="5"/>
  <c r="E2412" i="5"/>
  <c r="D2412" i="5"/>
  <c r="B2412" i="5"/>
  <c r="Q2411" i="5"/>
  <c r="P2411" i="5"/>
  <c r="O2411" i="5"/>
  <c r="N2411" i="5"/>
  <c r="K2411" i="5"/>
  <c r="H2411" i="5"/>
  <c r="G2411" i="5" s="1"/>
  <c r="E2411" i="5"/>
  <c r="D2411" i="5"/>
  <c r="B2411" i="5"/>
  <c r="Q2410" i="5"/>
  <c r="P2410" i="5"/>
  <c r="O2410" i="5"/>
  <c r="N2410" i="5"/>
  <c r="K2410" i="5"/>
  <c r="H2410" i="5"/>
  <c r="J2410" i="5" s="1"/>
  <c r="I2410" i="5" s="1"/>
  <c r="E2410" i="5"/>
  <c r="D2410" i="5"/>
  <c r="B2410" i="5"/>
  <c r="Q2409" i="5"/>
  <c r="P2409" i="5"/>
  <c r="O2409" i="5"/>
  <c r="N2409" i="5"/>
  <c r="K2409" i="5"/>
  <c r="H2409" i="5"/>
  <c r="E2409" i="5"/>
  <c r="D2409" i="5"/>
  <c r="B2409" i="5"/>
  <c r="Q2408" i="5"/>
  <c r="P2408" i="5"/>
  <c r="O2408" i="5"/>
  <c r="N2408" i="5"/>
  <c r="K2408" i="5"/>
  <c r="H2408" i="5"/>
  <c r="G2408" i="5" s="1"/>
  <c r="E2408" i="5"/>
  <c r="D2408" i="5"/>
  <c r="B2408" i="5"/>
  <c r="Q2407" i="5"/>
  <c r="P2407" i="5"/>
  <c r="O2407" i="5"/>
  <c r="N2407" i="5"/>
  <c r="K2407" i="5"/>
  <c r="H2407" i="5"/>
  <c r="J2407" i="5" s="1"/>
  <c r="I2407" i="5" s="1"/>
  <c r="E2407" i="5"/>
  <c r="D2407" i="5"/>
  <c r="B2407" i="5"/>
  <c r="Q2406" i="5"/>
  <c r="P2406" i="5"/>
  <c r="O2406" i="5"/>
  <c r="N2406" i="5"/>
  <c r="K2406" i="5"/>
  <c r="H2406" i="5"/>
  <c r="J2406" i="5" s="1"/>
  <c r="I2406" i="5" s="1"/>
  <c r="E2406" i="5"/>
  <c r="D2406" i="5"/>
  <c r="B2406" i="5"/>
  <c r="Q2405" i="5"/>
  <c r="P2405" i="5"/>
  <c r="O2405" i="5"/>
  <c r="N2405" i="5"/>
  <c r="K2405" i="5"/>
  <c r="H2405" i="5"/>
  <c r="G2405" i="5" s="1"/>
  <c r="E2405" i="5"/>
  <c r="D2405" i="5"/>
  <c r="B2405" i="5"/>
  <c r="Q2404" i="5"/>
  <c r="P2404" i="5"/>
  <c r="O2404" i="5"/>
  <c r="N2404" i="5"/>
  <c r="K2404" i="5"/>
  <c r="H2404" i="5"/>
  <c r="J2404" i="5" s="1"/>
  <c r="I2404" i="5" s="1"/>
  <c r="E2404" i="5"/>
  <c r="D2404" i="5"/>
  <c r="B2404" i="5"/>
  <c r="Q2403" i="5"/>
  <c r="P2403" i="5"/>
  <c r="O2403" i="5"/>
  <c r="N2403" i="5"/>
  <c r="K2403" i="5"/>
  <c r="H2403" i="5"/>
  <c r="G2403" i="5" s="1"/>
  <c r="E2403" i="5"/>
  <c r="D2403" i="5"/>
  <c r="B2403" i="5"/>
  <c r="Q2402" i="5"/>
  <c r="P2402" i="5"/>
  <c r="O2402" i="5"/>
  <c r="N2402" i="5"/>
  <c r="K2402" i="5"/>
  <c r="H2402" i="5"/>
  <c r="J2402" i="5" s="1"/>
  <c r="I2402" i="5" s="1"/>
  <c r="E2402" i="5"/>
  <c r="D2402" i="5"/>
  <c r="B2402" i="5"/>
  <c r="Q2401" i="5"/>
  <c r="P2401" i="5"/>
  <c r="O2401" i="5"/>
  <c r="N2401" i="5"/>
  <c r="K2401" i="5"/>
  <c r="H2401" i="5"/>
  <c r="J2401" i="5" s="1"/>
  <c r="I2401" i="5" s="1"/>
  <c r="E2401" i="5"/>
  <c r="D2401" i="5"/>
  <c r="B2401" i="5"/>
  <c r="Q2400" i="5"/>
  <c r="P2400" i="5"/>
  <c r="O2400" i="5"/>
  <c r="N2400" i="5"/>
  <c r="K2400" i="5"/>
  <c r="H2400" i="5"/>
  <c r="E2400" i="5"/>
  <c r="D2400" i="5"/>
  <c r="B2400" i="5"/>
  <c r="Q2399" i="5"/>
  <c r="P2399" i="5"/>
  <c r="O2399" i="5"/>
  <c r="N2399" i="5"/>
  <c r="K2399" i="5"/>
  <c r="H2399" i="5"/>
  <c r="E2399" i="5"/>
  <c r="D2399" i="5"/>
  <c r="B2399" i="5"/>
  <c r="Q2398" i="5"/>
  <c r="P2398" i="5"/>
  <c r="O2398" i="5"/>
  <c r="N2398" i="5"/>
  <c r="K2398" i="5"/>
  <c r="H2398" i="5"/>
  <c r="J2398" i="5" s="1"/>
  <c r="I2398" i="5" s="1"/>
  <c r="E2398" i="5"/>
  <c r="D2398" i="5"/>
  <c r="B2398" i="5"/>
  <c r="Q2397" i="5"/>
  <c r="P2397" i="5"/>
  <c r="O2397" i="5"/>
  <c r="N2397" i="5"/>
  <c r="K2397" i="5"/>
  <c r="H2397" i="5"/>
  <c r="J2397" i="5" s="1"/>
  <c r="I2397" i="5" s="1"/>
  <c r="E2397" i="5"/>
  <c r="D2397" i="5"/>
  <c r="B2397" i="5"/>
  <c r="Q2396" i="5"/>
  <c r="P2396" i="5"/>
  <c r="O2396" i="5"/>
  <c r="N2396" i="5"/>
  <c r="K2396" i="5"/>
  <c r="H2396" i="5"/>
  <c r="E2396" i="5"/>
  <c r="D2396" i="5"/>
  <c r="B2396" i="5"/>
  <c r="Q2395" i="5"/>
  <c r="P2395" i="5"/>
  <c r="R2395" i="5" s="1"/>
  <c r="O2395" i="5"/>
  <c r="N2395" i="5"/>
  <c r="K2395" i="5"/>
  <c r="H2395" i="5"/>
  <c r="G2395" i="5" s="1"/>
  <c r="E2395" i="5"/>
  <c r="D2395" i="5"/>
  <c r="B2395" i="5"/>
  <c r="Q2394" i="5"/>
  <c r="P2394" i="5"/>
  <c r="O2394" i="5"/>
  <c r="N2394" i="5"/>
  <c r="K2394" i="5"/>
  <c r="H2394" i="5"/>
  <c r="E2394" i="5"/>
  <c r="D2394" i="5"/>
  <c r="B2394" i="5"/>
  <c r="Q2393" i="5"/>
  <c r="P2393" i="5"/>
  <c r="O2393" i="5"/>
  <c r="N2393" i="5"/>
  <c r="K2393" i="5"/>
  <c r="H2393" i="5"/>
  <c r="E2393" i="5"/>
  <c r="D2393" i="5"/>
  <c r="B2393" i="5"/>
  <c r="Q2392" i="5"/>
  <c r="P2392" i="5"/>
  <c r="O2392" i="5"/>
  <c r="N2392" i="5"/>
  <c r="K2392" i="5"/>
  <c r="H2392" i="5"/>
  <c r="G2392" i="5" s="1"/>
  <c r="E2392" i="5"/>
  <c r="D2392" i="5"/>
  <c r="B2392" i="5"/>
  <c r="Q2391" i="5"/>
  <c r="P2391" i="5"/>
  <c r="O2391" i="5"/>
  <c r="N2391" i="5"/>
  <c r="K2391" i="5"/>
  <c r="H2391" i="5"/>
  <c r="J2391" i="5" s="1"/>
  <c r="I2391" i="5" s="1"/>
  <c r="E2391" i="5"/>
  <c r="D2391" i="5"/>
  <c r="B2391" i="5"/>
  <c r="Q2390" i="5"/>
  <c r="P2390" i="5"/>
  <c r="O2390" i="5"/>
  <c r="N2390" i="5"/>
  <c r="K2390" i="5"/>
  <c r="H2390" i="5"/>
  <c r="J2390" i="5" s="1"/>
  <c r="I2390" i="5" s="1"/>
  <c r="E2390" i="5"/>
  <c r="D2390" i="5"/>
  <c r="B2390" i="5"/>
  <c r="Q2389" i="5"/>
  <c r="P2389" i="5"/>
  <c r="O2389" i="5"/>
  <c r="N2389" i="5"/>
  <c r="K2389" i="5"/>
  <c r="H2389" i="5"/>
  <c r="G2389" i="5" s="1"/>
  <c r="E2389" i="5"/>
  <c r="D2389" i="5"/>
  <c r="B2389" i="5"/>
  <c r="Q2388" i="5"/>
  <c r="P2388" i="5"/>
  <c r="O2388" i="5"/>
  <c r="N2388" i="5"/>
  <c r="K2388" i="5"/>
  <c r="H2388" i="5"/>
  <c r="E2388" i="5"/>
  <c r="D2388" i="5"/>
  <c r="B2388" i="5"/>
  <c r="Q2387" i="5"/>
  <c r="P2387" i="5"/>
  <c r="O2387" i="5"/>
  <c r="N2387" i="5"/>
  <c r="K2387" i="5"/>
  <c r="H2387" i="5"/>
  <c r="G2387" i="5" s="1"/>
  <c r="E2387" i="5"/>
  <c r="D2387" i="5"/>
  <c r="B2387" i="5"/>
  <c r="Q2386" i="5"/>
  <c r="P2386" i="5"/>
  <c r="O2386" i="5"/>
  <c r="N2386" i="5"/>
  <c r="K2386" i="5"/>
  <c r="H2386" i="5"/>
  <c r="J2386" i="5" s="1"/>
  <c r="I2386" i="5" s="1"/>
  <c r="E2386" i="5"/>
  <c r="D2386" i="5"/>
  <c r="B2386" i="5"/>
  <c r="Q2385" i="5"/>
  <c r="P2385" i="5"/>
  <c r="O2385" i="5"/>
  <c r="N2385" i="5"/>
  <c r="K2385" i="5"/>
  <c r="H2385" i="5"/>
  <c r="J2385" i="5" s="1"/>
  <c r="I2385" i="5" s="1"/>
  <c r="E2385" i="5"/>
  <c r="D2385" i="5"/>
  <c r="B2385" i="5"/>
  <c r="Q2384" i="5"/>
  <c r="P2384" i="5"/>
  <c r="O2384" i="5"/>
  <c r="N2384" i="5"/>
  <c r="K2384" i="5"/>
  <c r="H2384" i="5"/>
  <c r="G2384" i="5" s="1"/>
  <c r="E2384" i="5"/>
  <c r="D2384" i="5"/>
  <c r="B2384" i="5"/>
  <c r="Q2383" i="5"/>
  <c r="P2383" i="5"/>
  <c r="O2383" i="5"/>
  <c r="N2383" i="5"/>
  <c r="K2383" i="5"/>
  <c r="H2383" i="5"/>
  <c r="J2383" i="5" s="1"/>
  <c r="I2383" i="5" s="1"/>
  <c r="E2383" i="5"/>
  <c r="D2383" i="5"/>
  <c r="B2383" i="5"/>
  <c r="Q2382" i="5"/>
  <c r="P2382" i="5"/>
  <c r="O2382" i="5"/>
  <c r="N2382" i="5"/>
  <c r="K2382" i="5"/>
  <c r="H2382" i="5"/>
  <c r="E2382" i="5"/>
  <c r="D2382" i="5"/>
  <c r="B2382" i="5"/>
  <c r="Q2381" i="5"/>
  <c r="P2381" i="5"/>
  <c r="O2381" i="5"/>
  <c r="N2381" i="5"/>
  <c r="K2381" i="5"/>
  <c r="H2381" i="5"/>
  <c r="J2381" i="5" s="1"/>
  <c r="I2381" i="5" s="1"/>
  <c r="E2381" i="5"/>
  <c r="D2381" i="5"/>
  <c r="B2381" i="5"/>
  <c r="Q2380" i="5"/>
  <c r="P2380" i="5"/>
  <c r="O2380" i="5"/>
  <c r="N2380" i="5"/>
  <c r="K2380" i="5"/>
  <c r="H2380" i="5"/>
  <c r="E2380" i="5"/>
  <c r="D2380" i="5"/>
  <c r="B2380" i="5"/>
  <c r="Q2379" i="5"/>
  <c r="P2379" i="5"/>
  <c r="O2379" i="5"/>
  <c r="N2379" i="5"/>
  <c r="K2379" i="5"/>
  <c r="H2379" i="5"/>
  <c r="G2379" i="5" s="1"/>
  <c r="E2379" i="5"/>
  <c r="D2379" i="5"/>
  <c r="B2379" i="5"/>
  <c r="Q2378" i="5"/>
  <c r="P2378" i="5"/>
  <c r="O2378" i="5"/>
  <c r="N2378" i="5"/>
  <c r="K2378" i="5"/>
  <c r="H2378" i="5"/>
  <c r="J2378" i="5" s="1"/>
  <c r="I2378" i="5" s="1"/>
  <c r="E2378" i="5"/>
  <c r="D2378" i="5"/>
  <c r="B2378" i="5"/>
  <c r="Q2377" i="5"/>
  <c r="P2377" i="5"/>
  <c r="O2377" i="5"/>
  <c r="N2377" i="5"/>
  <c r="K2377" i="5"/>
  <c r="H2377" i="5"/>
  <c r="E2377" i="5"/>
  <c r="D2377" i="5"/>
  <c r="B2377" i="5"/>
  <c r="Q2376" i="5"/>
  <c r="P2376" i="5"/>
  <c r="O2376" i="5"/>
  <c r="N2376" i="5"/>
  <c r="K2376" i="5"/>
  <c r="H2376" i="5"/>
  <c r="G2376" i="5" s="1"/>
  <c r="E2376" i="5"/>
  <c r="D2376" i="5"/>
  <c r="B2376" i="5"/>
  <c r="Q2375" i="5"/>
  <c r="P2375" i="5"/>
  <c r="O2375" i="5"/>
  <c r="N2375" i="5"/>
  <c r="K2375" i="5"/>
  <c r="H2375" i="5"/>
  <c r="J2375" i="5" s="1"/>
  <c r="I2375" i="5" s="1"/>
  <c r="E2375" i="5"/>
  <c r="D2375" i="5"/>
  <c r="B2375" i="5"/>
  <c r="Q2374" i="5"/>
  <c r="P2374" i="5"/>
  <c r="O2374" i="5"/>
  <c r="N2374" i="5"/>
  <c r="K2374" i="5"/>
  <c r="H2374" i="5"/>
  <c r="J2374" i="5" s="1"/>
  <c r="I2374" i="5" s="1"/>
  <c r="E2374" i="5"/>
  <c r="D2374" i="5"/>
  <c r="B2374" i="5"/>
  <c r="Q2373" i="5"/>
  <c r="P2373" i="5"/>
  <c r="O2373" i="5"/>
  <c r="N2373" i="5"/>
  <c r="K2373" i="5"/>
  <c r="H2373" i="5"/>
  <c r="G2373" i="5" s="1"/>
  <c r="E2373" i="5"/>
  <c r="D2373" i="5"/>
  <c r="B2373" i="5"/>
  <c r="Q2372" i="5"/>
  <c r="P2372" i="5"/>
  <c r="O2372" i="5"/>
  <c r="N2372" i="5"/>
  <c r="K2372" i="5"/>
  <c r="H2372" i="5"/>
  <c r="G2372" i="5" s="1"/>
  <c r="E2372" i="5"/>
  <c r="D2372" i="5"/>
  <c r="B2372" i="5"/>
  <c r="Q2371" i="5"/>
  <c r="P2371" i="5"/>
  <c r="O2371" i="5"/>
  <c r="N2371" i="5"/>
  <c r="K2371" i="5"/>
  <c r="H2371" i="5"/>
  <c r="J2371" i="5" s="1"/>
  <c r="I2371" i="5" s="1"/>
  <c r="G2371" i="5"/>
  <c r="E2371" i="5"/>
  <c r="D2371" i="5"/>
  <c r="B2371" i="5"/>
  <c r="Q2370" i="5"/>
  <c r="P2370" i="5"/>
  <c r="O2370" i="5"/>
  <c r="N2370" i="5"/>
  <c r="K2370" i="5"/>
  <c r="H2370" i="5"/>
  <c r="J2370" i="5" s="1"/>
  <c r="I2370" i="5" s="1"/>
  <c r="E2370" i="5"/>
  <c r="D2370" i="5"/>
  <c r="B2370" i="5"/>
  <c r="Q2369" i="5"/>
  <c r="P2369" i="5"/>
  <c r="O2369" i="5"/>
  <c r="N2369" i="5"/>
  <c r="K2369" i="5"/>
  <c r="H2369" i="5"/>
  <c r="G2369" i="5" s="1"/>
  <c r="E2369" i="5"/>
  <c r="D2369" i="5"/>
  <c r="B2369" i="5"/>
  <c r="Q2368" i="5"/>
  <c r="P2368" i="5"/>
  <c r="O2368" i="5"/>
  <c r="N2368" i="5"/>
  <c r="K2368" i="5"/>
  <c r="H2368" i="5"/>
  <c r="G2368" i="5" s="1"/>
  <c r="E2368" i="5"/>
  <c r="D2368" i="5"/>
  <c r="B2368" i="5"/>
  <c r="Q2367" i="5"/>
  <c r="P2367" i="5"/>
  <c r="O2367" i="5"/>
  <c r="N2367" i="5"/>
  <c r="K2367" i="5"/>
  <c r="H2367" i="5"/>
  <c r="J2367" i="5" s="1"/>
  <c r="I2367" i="5" s="1"/>
  <c r="E2367" i="5"/>
  <c r="D2367" i="5"/>
  <c r="B2367" i="5"/>
  <c r="Q2366" i="5"/>
  <c r="P2366" i="5"/>
  <c r="O2366" i="5"/>
  <c r="N2366" i="5"/>
  <c r="K2366" i="5"/>
  <c r="H2366" i="5"/>
  <c r="G2366" i="5" s="1"/>
  <c r="E2366" i="5"/>
  <c r="D2366" i="5"/>
  <c r="B2366" i="5"/>
  <c r="Q2365" i="5"/>
  <c r="P2365" i="5"/>
  <c r="O2365" i="5"/>
  <c r="N2365" i="5"/>
  <c r="K2365" i="5"/>
  <c r="H2365" i="5"/>
  <c r="E2365" i="5"/>
  <c r="D2365" i="5"/>
  <c r="B2365" i="5"/>
  <c r="Q2364" i="5"/>
  <c r="P2364" i="5"/>
  <c r="O2364" i="5"/>
  <c r="N2364" i="5"/>
  <c r="K2364" i="5"/>
  <c r="H2364" i="5"/>
  <c r="E2364" i="5"/>
  <c r="D2364" i="5"/>
  <c r="B2364" i="5"/>
  <c r="Q2363" i="5"/>
  <c r="P2363" i="5"/>
  <c r="O2363" i="5"/>
  <c r="N2363" i="5"/>
  <c r="K2363" i="5"/>
  <c r="H2363" i="5"/>
  <c r="E2363" i="5"/>
  <c r="D2363" i="5"/>
  <c r="B2363" i="5"/>
  <c r="Q2362" i="5"/>
  <c r="P2362" i="5"/>
  <c r="O2362" i="5"/>
  <c r="N2362" i="5"/>
  <c r="K2362" i="5"/>
  <c r="H2362" i="5"/>
  <c r="J2362" i="5" s="1"/>
  <c r="I2362" i="5" s="1"/>
  <c r="E2362" i="5"/>
  <c r="D2362" i="5"/>
  <c r="B2362" i="5"/>
  <c r="Q2361" i="5"/>
  <c r="P2361" i="5"/>
  <c r="O2361" i="5"/>
  <c r="N2361" i="5"/>
  <c r="K2361" i="5"/>
  <c r="H2361" i="5"/>
  <c r="E2361" i="5"/>
  <c r="D2361" i="5"/>
  <c r="B2361" i="5"/>
  <c r="Q2360" i="5"/>
  <c r="P2360" i="5"/>
  <c r="O2360" i="5"/>
  <c r="N2360" i="5"/>
  <c r="K2360" i="5"/>
  <c r="H2360" i="5"/>
  <c r="G2360" i="5" s="1"/>
  <c r="E2360" i="5"/>
  <c r="D2360" i="5"/>
  <c r="B2360" i="5"/>
  <c r="Q2359" i="5"/>
  <c r="P2359" i="5"/>
  <c r="O2359" i="5"/>
  <c r="N2359" i="5"/>
  <c r="K2359" i="5"/>
  <c r="H2359" i="5"/>
  <c r="J2359" i="5" s="1"/>
  <c r="I2359" i="5" s="1"/>
  <c r="E2359" i="5"/>
  <c r="D2359" i="5"/>
  <c r="B2359" i="5"/>
  <c r="Q2358" i="5"/>
  <c r="P2358" i="5"/>
  <c r="O2358" i="5"/>
  <c r="N2358" i="5"/>
  <c r="K2358" i="5"/>
  <c r="H2358" i="5"/>
  <c r="J2358" i="5" s="1"/>
  <c r="I2358" i="5" s="1"/>
  <c r="E2358" i="5"/>
  <c r="D2358" i="5"/>
  <c r="B2358" i="5"/>
  <c r="Q2357" i="5"/>
  <c r="P2357" i="5"/>
  <c r="O2357" i="5"/>
  <c r="N2357" i="5"/>
  <c r="K2357" i="5"/>
  <c r="H2357" i="5"/>
  <c r="G2357" i="5" s="1"/>
  <c r="E2357" i="5"/>
  <c r="D2357" i="5"/>
  <c r="B2357" i="5"/>
  <c r="Q2356" i="5"/>
  <c r="P2356" i="5"/>
  <c r="O2356" i="5"/>
  <c r="N2356" i="5"/>
  <c r="K2356" i="5"/>
  <c r="H2356" i="5"/>
  <c r="J2356" i="5" s="1"/>
  <c r="I2356" i="5" s="1"/>
  <c r="E2356" i="5"/>
  <c r="D2356" i="5"/>
  <c r="B2356" i="5"/>
  <c r="Q2355" i="5"/>
  <c r="P2355" i="5"/>
  <c r="O2355" i="5"/>
  <c r="N2355" i="5"/>
  <c r="K2355" i="5"/>
  <c r="H2355" i="5"/>
  <c r="G2355" i="5" s="1"/>
  <c r="E2355" i="5"/>
  <c r="D2355" i="5"/>
  <c r="B2355" i="5"/>
  <c r="Q2354" i="5"/>
  <c r="P2354" i="5"/>
  <c r="O2354" i="5"/>
  <c r="N2354" i="5"/>
  <c r="K2354" i="5"/>
  <c r="H2354" i="5"/>
  <c r="J2354" i="5" s="1"/>
  <c r="I2354" i="5" s="1"/>
  <c r="E2354" i="5"/>
  <c r="D2354" i="5"/>
  <c r="B2354" i="5"/>
  <c r="Q2353" i="5"/>
  <c r="P2353" i="5"/>
  <c r="O2353" i="5"/>
  <c r="N2353" i="5"/>
  <c r="K2353" i="5"/>
  <c r="H2353" i="5"/>
  <c r="E2353" i="5"/>
  <c r="D2353" i="5"/>
  <c r="B2353" i="5"/>
  <c r="Q2352" i="5"/>
  <c r="P2352" i="5"/>
  <c r="O2352" i="5"/>
  <c r="N2352" i="5"/>
  <c r="K2352" i="5"/>
  <c r="H2352" i="5"/>
  <c r="G2352" i="5" s="1"/>
  <c r="E2352" i="5"/>
  <c r="D2352" i="5"/>
  <c r="B2352" i="5"/>
  <c r="Q2351" i="5"/>
  <c r="P2351" i="5"/>
  <c r="O2351" i="5"/>
  <c r="N2351" i="5"/>
  <c r="K2351" i="5"/>
  <c r="H2351" i="5"/>
  <c r="J2351" i="5" s="1"/>
  <c r="I2351" i="5" s="1"/>
  <c r="E2351" i="5"/>
  <c r="D2351" i="5"/>
  <c r="B2351" i="5"/>
  <c r="Q2350" i="5"/>
  <c r="P2350" i="5"/>
  <c r="O2350" i="5"/>
  <c r="N2350" i="5"/>
  <c r="K2350" i="5"/>
  <c r="H2350" i="5"/>
  <c r="J2350" i="5" s="1"/>
  <c r="I2350" i="5" s="1"/>
  <c r="E2350" i="5"/>
  <c r="D2350" i="5"/>
  <c r="B2350" i="5"/>
  <c r="Q2349" i="5"/>
  <c r="P2349" i="5"/>
  <c r="O2349" i="5"/>
  <c r="N2349" i="5"/>
  <c r="K2349" i="5"/>
  <c r="H2349" i="5"/>
  <c r="E2349" i="5"/>
  <c r="D2349" i="5"/>
  <c r="B2349" i="5"/>
  <c r="Q2348" i="5"/>
  <c r="P2348" i="5"/>
  <c r="O2348" i="5"/>
  <c r="N2348" i="5"/>
  <c r="K2348" i="5"/>
  <c r="H2348" i="5"/>
  <c r="E2348" i="5"/>
  <c r="D2348" i="5"/>
  <c r="B2348" i="5"/>
  <c r="Q2347" i="5"/>
  <c r="P2347" i="5"/>
  <c r="O2347" i="5"/>
  <c r="N2347" i="5"/>
  <c r="K2347" i="5"/>
  <c r="H2347" i="5"/>
  <c r="G2347" i="5" s="1"/>
  <c r="E2347" i="5"/>
  <c r="D2347" i="5"/>
  <c r="B2347" i="5"/>
  <c r="Q2346" i="5"/>
  <c r="P2346" i="5"/>
  <c r="O2346" i="5"/>
  <c r="N2346" i="5"/>
  <c r="K2346" i="5"/>
  <c r="H2346" i="5"/>
  <c r="J2346" i="5" s="1"/>
  <c r="I2346" i="5" s="1"/>
  <c r="E2346" i="5"/>
  <c r="D2346" i="5"/>
  <c r="B2346" i="5"/>
  <c r="Q2345" i="5"/>
  <c r="P2345" i="5"/>
  <c r="O2345" i="5"/>
  <c r="N2345" i="5"/>
  <c r="K2345" i="5"/>
  <c r="H2345" i="5"/>
  <c r="E2345" i="5"/>
  <c r="D2345" i="5"/>
  <c r="B2345" i="5"/>
  <c r="Q2344" i="5"/>
  <c r="P2344" i="5"/>
  <c r="O2344" i="5"/>
  <c r="N2344" i="5"/>
  <c r="K2344" i="5"/>
  <c r="H2344" i="5"/>
  <c r="G2344" i="5" s="1"/>
  <c r="E2344" i="5"/>
  <c r="D2344" i="5"/>
  <c r="B2344" i="5"/>
  <c r="Q2343" i="5"/>
  <c r="P2343" i="5"/>
  <c r="O2343" i="5"/>
  <c r="N2343" i="5"/>
  <c r="K2343" i="5"/>
  <c r="H2343" i="5"/>
  <c r="J2343" i="5" s="1"/>
  <c r="I2343" i="5" s="1"/>
  <c r="E2343" i="5"/>
  <c r="D2343" i="5"/>
  <c r="B2343" i="5"/>
  <c r="Q2342" i="5"/>
  <c r="P2342" i="5"/>
  <c r="O2342" i="5"/>
  <c r="N2342" i="5"/>
  <c r="K2342" i="5"/>
  <c r="H2342" i="5"/>
  <c r="J2342" i="5" s="1"/>
  <c r="I2342" i="5" s="1"/>
  <c r="E2342" i="5"/>
  <c r="D2342" i="5"/>
  <c r="B2342" i="5"/>
  <c r="Q2341" i="5"/>
  <c r="P2341" i="5"/>
  <c r="O2341" i="5"/>
  <c r="N2341" i="5"/>
  <c r="K2341" i="5"/>
  <c r="H2341" i="5"/>
  <c r="G2341" i="5" s="1"/>
  <c r="E2341" i="5"/>
  <c r="D2341" i="5"/>
  <c r="B2341" i="5"/>
  <c r="Q2340" i="5"/>
  <c r="P2340" i="5"/>
  <c r="O2340" i="5"/>
  <c r="N2340" i="5"/>
  <c r="K2340" i="5"/>
  <c r="H2340" i="5"/>
  <c r="E2340" i="5"/>
  <c r="D2340" i="5"/>
  <c r="B2340" i="5"/>
  <c r="Q2339" i="5"/>
  <c r="P2339" i="5"/>
  <c r="O2339" i="5"/>
  <c r="N2339" i="5"/>
  <c r="K2339" i="5"/>
  <c r="H2339" i="5"/>
  <c r="J2339" i="5" s="1"/>
  <c r="I2339" i="5" s="1"/>
  <c r="E2339" i="5"/>
  <c r="D2339" i="5"/>
  <c r="B2339" i="5"/>
  <c r="Q2338" i="5"/>
  <c r="P2338" i="5"/>
  <c r="O2338" i="5"/>
  <c r="N2338" i="5"/>
  <c r="K2338" i="5"/>
  <c r="H2338" i="5"/>
  <c r="E2338" i="5"/>
  <c r="D2338" i="5"/>
  <c r="B2338" i="5"/>
  <c r="Q2337" i="5"/>
  <c r="P2337" i="5"/>
  <c r="O2337" i="5"/>
  <c r="N2337" i="5"/>
  <c r="K2337" i="5"/>
  <c r="H2337" i="5"/>
  <c r="J2337" i="5" s="1"/>
  <c r="I2337" i="5" s="1"/>
  <c r="E2337" i="5"/>
  <c r="D2337" i="5"/>
  <c r="B2337" i="5"/>
  <c r="Q2336" i="5"/>
  <c r="P2336" i="5"/>
  <c r="O2336" i="5"/>
  <c r="N2336" i="5"/>
  <c r="K2336" i="5"/>
  <c r="H2336" i="5"/>
  <c r="J2336" i="5" s="1"/>
  <c r="I2336" i="5" s="1"/>
  <c r="E2336" i="5"/>
  <c r="D2336" i="5"/>
  <c r="B2336" i="5"/>
  <c r="Q2335" i="5"/>
  <c r="P2335" i="5"/>
  <c r="O2335" i="5"/>
  <c r="N2335" i="5"/>
  <c r="K2335" i="5"/>
  <c r="H2335" i="5"/>
  <c r="J2335" i="5" s="1"/>
  <c r="I2335" i="5" s="1"/>
  <c r="E2335" i="5"/>
  <c r="D2335" i="5"/>
  <c r="B2335" i="5"/>
  <c r="Q2334" i="5"/>
  <c r="P2334" i="5"/>
  <c r="O2334" i="5"/>
  <c r="N2334" i="5"/>
  <c r="K2334" i="5"/>
  <c r="H2334" i="5"/>
  <c r="J2334" i="5" s="1"/>
  <c r="I2334" i="5" s="1"/>
  <c r="E2334" i="5"/>
  <c r="D2334" i="5"/>
  <c r="B2334" i="5"/>
  <c r="Q2333" i="5"/>
  <c r="P2333" i="5"/>
  <c r="O2333" i="5"/>
  <c r="N2333" i="5"/>
  <c r="K2333" i="5"/>
  <c r="H2333" i="5"/>
  <c r="J2333" i="5" s="1"/>
  <c r="I2333" i="5" s="1"/>
  <c r="E2333" i="5"/>
  <c r="D2333" i="5"/>
  <c r="B2333" i="5"/>
  <c r="Q2332" i="5"/>
  <c r="P2332" i="5"/>
  <c r="O2332" i="5"/>
  <c r="N2332" i="5"/>
  <c r="K2332" i="5"/>
  <c r="H2332" i="5"/>
  <c r="E2332" i="5"/>
  <c r="D2332" i="5"/>
  <c r="B2332" i="5"/>
  <c r="Q2331" i="5"/>
  <c r="P2331" i="5"/>
  <c r="O2331" i="5"/>
  <c r="N2331" i="5"/>
  <c r="K2331" i="5"/>
  <c r="H2331" i="5"/>
  <c r="E2331" i="5"/>
  <c r="D2331" i="5"/>
  <c r="B2331" i="5"/>
  <c r="Q2330" i="5"/>
  <c r="P2330" i="5"/>
  <c r="O2330" i="5"/>
  <c r="N2330" i="5"/>
  <c r="K2330" i="5"/>
  <c r="H2330" i="5"/>
  <c r="E2330" i="5"/>
  <c r="D2330" i="5"/>
  <c r="B2330" i="5"/>
  <c r="Q2329" i="5"/>
  <c r="P2329" i="5"/>
  <c r="O2329" i="5"/>
  <c r="N2329" i="5"/>
  <c r="K2329" i="5"/>
  <c r="H2329" i="5"/>
  <c r="E2329" i="5"/>
  <c r="D2329" i="5"/>
  <c r="B2329" i="5"/>
  <c r="Q2328" i="5"/>
  <c r="P2328" i="5"/>
  <c r="O2328" i="5"/>
  <c r="N2328" i="5"/>
  <c r="K2328" i="5"/>
  <c r="H2328" i="5"/>
  <c r="E2328" i="5"/>
  <c r="D2328" i="5"/>
  <c r="B2328" i="5"/>
  <c r="Q2327" i="5"/>
  <c r="P2327" i="5"/>
  <c r="O2327" i="5"/>
  <c r="N2327" i="5"/>
  <c r="K2327" i="5"/>
  <c r="H2327" i="5"/>
  <c r="J2327" i="5" s="1"/>
  <c r="I2327" i="5" s="1"/>
  <c r="E2327" i="5"/>
  <c r="D2327" i="5"/>
  <c r="B2327" i="5"/>
  <c r="Q2326" i="5"/>
  <c r="P2326" i="5"/>
  <c r="O2326" i="5"/>
  <c r="N2326" i="5"/>
  <c r="K2326" i="5"/>
  <c r="H2326" i="5"/>
  <c r="J2326" i="5" s="1"/>
  <c r="I2326" i="5" s="1"/>
  <c r="E2326" i="5"/>
  <c r="D2326" i="5"/>
  <c r="B2326" i="5"/>
  <c r="Q2325" i="5"/>
  <c r="P2325" i="5"/>
  <c r="O2325" i="5"/>
  <c r="N2325" i="5"/>
  <c r="K2325" i="5"/>
  <c r="H2325" i="5"/>
  <c r="G2325" i="5" s="1"/>
  <c r="E2325" i="5"/>
  <c r="D2325" i="5"/>
  <c r="B2325" i="5"/>
  <c r="Q2324" i="5"/>
  <c r="P2324" i="5"/>
  <c r="O2324" i="5"/>
  <c r="N2324" i="5"/>
  <c r="K2324" i="5"/>
  <c r="H2324" i="5"/>
  <c r="G2324" i="5" s="1"/>
  <c r="E2324" i="5"/>
  <c r="D2324" i="5"/>
  <c r="B2324" i="5"/>
  <c r="Q2323" i="5"/>
  <c r="P2323" i="5"/>
  <c r="O2323" i="5"/>
  <c r="N2323" i="5"/>
  <c r="K2323" i="5"/>
  <c r="H2323" i="5"/>
  <c r="J2323" i="5" s="1"/>
  <c r="I2323" i="5" s="1"/>
  <c r="G2323" i="5"/>
  <c r="E2323" i="5"/>
  <c r="D2323" i="5"/>
  <c r="B2323" i="5"/>
  <c r="Q2322" i="5"/>
  <c r="P2322" i="5"/>
  <c r="O2322" i="5"/>
  <c r="N2322" i="5"/>
  <c r="K2322" i="5"/>
  <c r="H2322" i="5"/>
  <c r="J2322" i="5" s="1"/>
  <c r="I2322" i="5" s="1"/>
  <c r="E2322" i="5"/>
  <c r="D2322" i="5"/>
  <c r="B2322" i="5"/>
  <c r="Q2321" i="5"/>
  <c r="P2321" i="5"/>
  <c r="O2321" i="5"/>
  <c r="N2321" i="5"/>
  <c r="K2321" i="5"/>
  <c r="H2321" i="5"/>
  <c r="J2321" i="5" s="1"/>
  <c r="I2321" i="5" s="1"/>
  <c r="E2321" i="5"/>
  <c r="D2321" i="5"/>
  <c r="B2321" i="5"/>
  <c r="Q2320" i="5"/>
  <c r="P2320" i="5"/>
  <c r="O2320" i="5"/>
  <c r="N2320" i="5"/>
  <c r="K2320" i="5"/>
  <c r="H2320" i="5"/>
  <c r="J2320" i="5" s="1"/>
  <c r="I2320" i="5" s="1"/>
  <c r="E2320" i="5"/>
  <c r="D2320" i="5"/>
  <c r="B2320" i="5"/>
  <c r="Q2319" i="5"/>
  <c r="P2319" i="5"/>
  <c r="O2319" i="5"/>
  <c r="N2319" i="5"/>
  <c r="K2319" i="5"/>
  <c r="H2319" i="5"/>
  <c r="J2319" i="5" s="1"/>
  <c r="I2319" i="5" s="1"/>
  <c r="E2319" i="5"/>
  <c r="D2319" i="5"/>
  <c r="B2319" i="5"/>
  <c r="Q2318" i="5"/>
  <c r="P2318" i="5"/>
  <c r="O2318" i="5"/>
  <c r="N2318" i="5"/>
  <c r="K2318" i="5"/>
  <c r="H2318" i="5"/>
  <c r="J2318" i="5" s="1"/>
  <c r="I2318" i="5" s="1"/>
  <c r="E2318" i="5"/>
  <c r="D2318" i="5"/>
  <c r="B2318" i="5"/>
  <c r="Q2317" i="5"/>
  <c r="P2317" i="5"/>
  <c r="O2317" i="5"/>
  <c r="N2317" i="5"/>
  <c r="K2317" i="5"/>
  <c r="H2317" i="5"/>
  <c r="E2317" i="5"/>
  <c r="D2317" i="5"/>
  <c r="B2317" i="5"/>
  <c r="Q2316" i="5"/>
  <c r="P2316" i="5"/>
  <c r="O2316" i="5"/>
  <c r="N2316" i="5"/>
  <c r="K2316" i="5"/>
  <c r="H2316" i="5"/>
  <c r="E2316" i="5"/>
  <c r="D2316" i="5"/>
  <c r="B2316" i="5"/>
  <c r="Q2315" i="5"/>
  <c r="P2315" i="5"/>
  <c r="O2315" i="5"/>
  <c r="N2315" i="5"/>
  <c r="K2315" i="5"/>
  <c r="H2315" i="5"/>
  <c r="G2315" i="5" s="1"/>
  <c r="E2315" i="5"/>
  <c r="D2315" i="5"/>
  <c r="B2315" i="5"/>
  <c r="Q2314" i="5"/>
  <c r="P2314" i="5"/>
  <c r="O2314" i="5"/>
  <c r="N2314" i="5"/>
  <c r="K2314" i="5"/>
  <c r="H2314" i="5"/>
  <c r="J2314" i="5" s="1"/>
  <c r="I2314" i="5" s="1"/>
  <c r="E2314" i="5"/>
  <c r="D2314" i="5"/>
  <c r="B2314" i="5"/>
  <c r="Q2313" i="5"/>
  <c r="P2313" i="5"/>
  <c r="O2313" i="5"/>
  <c r="N2313" i="5"/>
  <c r="K2313" i="5"/>
  <c r="H2313" i="5"/>
  <c r="E2313" i="5"/>
  <c r="D2313" i="5"/>
  <c r="B2313" i="5"/>
  <c r="Q2312" i="5"/>
  <c r="P2312" i="5"/>
  <c r="O2312" i="5"/>
  <c r="N2312" i="5"/>
  <c r="K2312" i="5"/>
  <c r="H2312" i="5"/>
  <c r="G2312" i="5" s="1"/>
  <c r="E2312" i="5"/>
  <c r="D2312" i="5"/>
  <c r="B2312" i="5"/>
  <c r="Q2311" i="5"/>
  <c r="P2311" i="5"/>
  <c r="O2311" i="5"/>
  <c r="N2311" i="5"/>
  <c r="K2311" i="5"/>
  <c r="H2311" i="5"/>
  <c r="E2311" i="5"/>
  <c r="D2311" i="5"/>
  <c r="B2311" i="5"/>
  <c r="Q2310" i="5"/>
  <c r="P2310" i="5"/>
  <c r="O2310" i="5"/>
  <c r="N2310" i="5"/>
  <c r="K2310" i="5"/>
  <c r="H2310" i="5"/>
  <c r="J2310" i="5" s="1"/>
  <c r="I2310" i="5" s="1"/>
  <c r="E2310" i="5"/>
  <c r="D2310" i="5"/>
  <c r="B2310" i="5"/>
  <c r="Q2309" i="5"/>
  <c r="P2309" i="5"/>
  <c r="O2309" i="5"/>
  <c r="N2309" i="5"/>
  <c r="K2309" i="5"/>
  <c r="H2309" i="5"/>
  <c r="G2309" i="5" s="1"/>
  <c r="E2309" i="5"/>
  <c r="D2309" i="5"/>
  <c r="B2309" i="5"/>
  <c r="Q2308" i="5"/>
  <c r="P2308" i="5"/>
  <c r="O2308" i="5"/>
  <c r="N2308" i="5"/>
  <c r="K2308" i="5"/>
  <c r="H2308" i="5"/>
  <c r="J2308" i="5" s="1"/>
  <c r="I2308" i="5" s="1"/>
  <c r="E2308" i="5"/>
  <c r="D2308" i="5"/>
  <c r="B2308" i="5"/>
  <c r="Q2307" i="5"/>
  <c r="P2307" i="5"/>
  <c r="O2307" i="5"/>
  <c r="N2307" i="5"/>
  <c r="K2307" i="5"/>
  <c r="H2307" i="5"/>
  <c r="J2307" i="5" s="1"/>
  <c r="I2307" i="5" s="1"/>
  <c r="E2307" i="5"/>
  <c r="D2307" i="5"/>
  <c r="B2307" i="5"/>
  <c r="Q2306" i="5"/>
  <c r="P2306" i="5"/>
  <c r="O2306" i="5"/>
  <c r="N2306" i="5"/>
  <c r="K2306" i="5"/>
  <c r="H2306" i="5"/>
  <c r="J2306" i="5" s="1"/>
  <c r="I2306" i="5" s="1"/>
  <c r="E2306" i="5"/>
  <c r="D2306" i="5"/>
  <c r="B2306" i="5"/>
  <c r="Q2305" i="5"/>
  <c r="P2305" i="5"/>
  <c r="O2305" i="5"/>
  <c r="N2305" i="5"/>
  <c r="K2305" i="5"/>
  <c r="H2305" i="5"/>
  <c r="J2305" i="5" s="1"/>
  <c r="I2305" i="5" s="1"/>
  <c r="E2305" i="5"/>
  <c r="D2305" i="5"/>
  <c r="B2305" i="5"/>
  <c r="Q2304" i="5"/>
  <c r="P2304" i="5"/>
  <c r="O2304" i="5"/>
  <c r="N2304" i="5"/>
  <c r="K2304" i="5"/>
  <c r="H2304" i="5"/>
  <c r="J2304" i="5" s="1"/>
  <c r="I2304" i="5" s="1"/>
  <c r="E2304" i="5"/>
  <c r="D2304" i="5"/>
  <c r="B2304" i="5"/>
  <c r="Q2303" i="5"/>
  <c r="P2303" i="5"/>
  <c r="O2303" i="5"/>
  <c r="N2303" i="5"/>
  <c r="K2303" i="5"/>
  <c r="H2303" i="5"/>
  <c r="J2303" i="5" s="1"/>
  <c r="I2303" i="5" s="1"/>
  <c r="E2303" i="5"/>
  <c r="D2303" i="5"/>
  <c r="B2303" i="5"/>
  <c r="Q2302" i="5"/>
  <c r="P2302" i="5"/>
  <c r="O2302" i="5"/>
  <c r="N2302" i="5"/>
  <c r="K2302" i="5"/>
  <c r="H2302" i="5"/>
  <c r="G2302" i="5" s="1"/>
  <c r="E2302" i="5"/>
  <c r="D2302" i="5"/>
  <c r="B2302" i="5"/>
  <c r="Q2301" i="5"/>
  <c r="P2301" i="5"/>
  <c r="O2301" i="5"/>
  <c r="N2301" i="5"/>
  <c r="K2301" i="5"/>
  <c r="H2301" i="5"/>
  <c r="J2301" i="5" s="1"/>
  <c r="I2301" i="5" s="1"/>
  <c r="E2301" i="5"/>
  <c r="D2301" i="5"/>
  <c r="B2301" i="5"/>
  <c r="Q2300" i="5"/>
  <c r="P2300" i="5"/>
  <c r="O2300" i="5"/>
  <c r="N2300" i="5"/>
  <c r="K2300" i="5"/>
  <c r="H2300" i="5"/>
  <c r="E2300" i="5"/>
  <c r="D2300" i="5"/>
  <c r="B2300" i="5"/>
  <c r="Q2299" i="5"/>
  <c r="P2299" i="5"/>
  <c r="O2299" i="5"/>
  <c r="N2299" i="5"/>
  <c r="K2299" i="5"/>
  <c r="H2299" i="5"/>
  <c r="E2299" i="5"/>
  <c r="D2299" i="5"/>
  <c r="B2299" i="5"/>
  <c r="Q2298" i="5"/>
  <c r="P2298" i="5"/>
  <c r="O2298" i="5"/>
  <c r="N2298" i="5"/>
  <c r="K2298" i="5"/>
  <c r="H2298" i="5"/>
  <c r="J2298" i="5" s="1"/>
  <c r="I2298" i="5" s="1"/>
  <c r="E2298" i="5"/>
  <c r="D2298" i="5"/>
  <c r="B2298" i="5"/>
  <c r="Q2297" i="5"/>
  <c r="P2297" i="5"/>
  <c r="O2297" i="5"/>
  <c r="N2297" i="5"/>
  <c r="K2297" i="5"/>
  <c r="H2297" i="5"/>
  <c r="E2297" i="5"/>
  <c r="D2297" i="5"/>
  <c r="B2297" i="5"/>
  <c r="Q2296" i="5"/>
  <c r="P2296" i="5"/>
  <c r="O2296" i="5"/>
  <c r="N2296" i="5"/>
  <c r="K2296" i="5"/>
  <c r="H2296" i="5"/>
  <c r="E2296" i="5"/>
  <c r="D2296" i="5"/>
  <c r="B2296" i="5"/>
  <c r="Q2295" i="5"/>
  <c r="P2295" i="5"/>
  <c r="O2295" i="5"/>
  <c r="N2295" i="5"/>
  <c r="K2295" i="5"/>
  <c r="H2295" i="5"/>
  <c r="J2295" i="5" s="1"/>
  <c r="I2295" i="5" s="1"/>
  <c r="E2295" i="5"/>
  <c r="D2295" i="5"/>
  <c r="B2295" i="5"/>
  <c r="Q2294" i="5"/>
  <c r="P2294" i="5"/>
  <c r="O2294" i="5"/>
  <c r="N2294" i="5"/>
  <c r="K2294" i="5"/>
  <c r="H2294" i="5"/>
  <c r="J2294" i="5" s="1"/>
  <c r="I2294" i="5" s="1"/>
  <c r="E2294" i="5"/>
  <c r="D2294" i="5"/>
  <c r="B2294" i="5"/>
  <c r="Q2293" i="5"/>
  <c r="P2293" i="5"/>
  <c r="O2293" i="5"/>
  <c r="N2293" i="5"/>
  <c r="K2293" i="5"/>
  <c r="H2293" i="5"/>
  <c r="E2293" i="5"/>
  <c r="D2293" i="5"/>
  <c r="B2293" i="5"/>
  <c r="Q2292" i="5"/>
  <c r="P2292" i="5"/>
  <c r="O2292" i="5"/>
  <c r="N2292" i="5"/>
  <c r="K2292" i="5"/>
  <c r="H2292" i="5"/>
  <c r="G2292" i="5" s="1"/>
  <c r="E2292" i="5"/>
  <c r="D2292" i="5"/>
  <c r="B2292" i="5"/>
  <c r="Q2291" i="5"/>
  <c r="P2291" i="5"/>
  <c r="O2291" i="5"/>
  <c r="N2291" i="5"/>
  <c r="K2291" i="5"/>
  <c r="H2291" i="5"/>
  <c r="E2291" i="5"/>
  <c r="D2291" i="5"/>
  <c r="B2291" i="5"/>
  <c r="Q2290" i="5"/>
  <c r="P2290" i="5"/>
  <c r="O2290" i="5"/>
  <c r="N2290" i="5"/>
  <c r="K2290" i="5"/>
  <c r="H2290" i="5"/>
  <c r="J2290" i="5" s="1"/>
  <c r="I2290" i="5" s="1"/>
  <c r="E2290" i="5"/>
  <c r="D2290" i="5"/>
  <c r="B2290" i="5"/>
  <c r="Q2289" i="5"/>
  <c r="P2289" i="5"/>
  <c r="R2289" i="5" s="1"/>
  <c r="O2289" i="5"/>
  <c r="N2289" i="5"/>
  <c r="K2289" i="5"/>
  <c r="H2289" i="5"/>
  <c r="J2289" i="5" s="1"/>
  <c r="I2289" i="5" s="1"/>
  <c r="E2289" i="5"/>
  <c r="D2289" i="5"/>
  <c r="B2289" i="5"/>
  <c r="Q2288" i="5"/>
  <c r="P2288" i="5"/>
  <c r="O2288" i="5"/>
  <c r="N2288" i="5"/>
  <c r="K2288" i="5"/>
  <c r="H2288" i="5"/>
  <c r="J2288" i="5" s="1"/>
  <c r="I2288" i="5" s="1"/>
  <c r="E2288" i="5"/>
  <c r="D2288" i="5"/>
  <c r="B2288" i="5"/>
  <c r="Q2287" i="5"/>
  <c r="P2287" i="5"/>
  <c r="O2287" i="5"/>
  <c r="N2287" i="5"/>
  <c r="K2287" i="5"/>
  <c r="H2287" i="5"/>
  <c r="J2287" i="5" s="1"/>
  <c r="I2287" i="5" s="1"/>
  <c r="E2287" i="5"/>
  <c r="D2287" i="5"/>
  <c r="B2287" i="5"/>
  <c r="Q2286" i="5"/>
  <c r="P2286" i="5"/>
  <c r="O2286" i="5"/>
  <c r="N2286" i="5"/>
  <c r="K2286" i="5"/>
  <c r="H2286" i="5"/>
  <c r="J2286" i="5" s="1"/>
  <c r="I2286" i="5" s="1"/>
  <c r="E2286" i="5"/>
  <c r="D2286" i="5"/>
  <c r="B2286" i="5"/>
  <c r="Q2285" i="5"/>
  <c r="P2285" i="5"/>
  <c r="O2285" i="5"/>
  <c r="N2285" i="5"/>
  <c r="K2285" i="5"/>
  <c r="H2285" i="5"/>
  <c r="J2285" i="5" s="1"/>
  <c r="I2285" i="5" s="1"/>
  <c r="G2285" i="5"/>
  <c r="E2285" i="5"/>
  <c r="D2285" i="5"/>
  <c r="B2285" i="5"/>
  <c r="Q2284" i="5"/>
  <c r="P2284" i="5"/>
  <c r="O2284" i="5"/>
  <c r="N2284" i="5"/>
  <c r="K2284" i="5"/>
  <c r="H2284" i="5"/>
  <c r="E2284" i="5"/>
  <c r="D2284" i="5"/>
  <c r="B2284" i="5"/>
  <c r="Q2283" i="5"/>
  <c r="P2283" i="5"/>
  <c r="O2283" i="5"/>
  <c r="N2283" i="5"/>
  <c r="K2283" i="5"/>
  <c r="H2283" i="5"/>
  <c r="G2283" i="5" s="1"/>
  <c r="E2283" i="5"/>
  <c r="D2283" i="5"/>
  <c r="B2283" i="5"/>
  <c r="Q2282" i="5"/>
  <c r="P2282" i="5"/>
  <c r="O2282" i="5"/>
  <c r="N2282" i="5"/>
  <c r="K2282" i="5"/>
  <c r="H2282" i="5"/>
  <c r="J2282" i="5" s="1"/>
  <c r="I2282" i="5" s="1"/>
  <c r="E2282" i="5"/>
  <c r="D2282" i="5"/>
  <c r="B2282" i="5"/>
  <c r="Q2281" i="5"/>
  <c r="P2281" i="5"/>
  <c r="R2281" i="5" s="1"/>
  <c r="O2281" i="5"/>
  <c r="N2281" i="5"/>
  <c r="K2281" i="5"/>
  <c r="H2281" i="5"/>
  <c r="E2281" i="5"/>
  <c r="D2281" i="5"/>
  <c r="B2281" i="5"/>
  <c r="Q2280" i="5"/>
  <c r="P2280" i="5"/>
  <c r="O2280" i="5"/>
  <c r="N2280" i="5"/>
  <c r="K2280" i="5"/>
  <c r="H2280" i="5"/>
  <c r="G2280" i="5" s="1"/>
  <c r="E2280" i="5"/>
  <c r="D2280" i="5"/>
  <c r="B2280" i="5"/>
  <c r="Q2279" i="5"/>
  <c r="P2279" i="5"/>
  <c r="O2279" i="5"/>
  <c r="N2279" i="5"/>
  <c r="K2279" i="5"/>
  <c r="H2279" i="5"/>
  <c r="J2279" i="5" s="1"/>
  <c r="I2279" i="5" s="1"/>
  <c r="E2279" i="5"/>
  <c r="D2279" i="5"/>
  <c r="B2279" i="5"/>
  <c r="Q2278" i="5"/>
  <c r="P2278" i="5"/>
  <c r="O2278" i="5"/>
  <c r="N2278" i="5"/>
  <c r="K2278" i="5"/>
  <c r="H2278" i="5"/>
  <c r="J2278" i="5" s="1"/>
  <c r="I2278" i="5" s="1"/>
  <c r="E2278" i="5"/>
  <c r="D2278" i="5"/>
  <c r="B2278" i="5"/>
  <c r="Q2277" i="5"/>
  <c r="P2277" i="5"/>
  <c r="O2277" i="5"/>
  <c r="N2277" i="5"/>
  <c r="K2277" i="5"/>
  <c r="H2277" i="5"/>
  <c r="G2277" i="5" s="1"/>
  <c r="E2277" i="5"/>
  <c r="D2277" i="5"/>
  <c r="B2277" i="5"/>
  <c r="Q2276" i="5"/>
  <c r="P2276" i="5"/>
  <c r="O2276" i="5"/>
  <c r="N2276" i="5"/>
  <c r="K2276" i="5"/>
  <c r="H2276" i="5"/>
  <c r="G2276" i="5" s="1"/>
  <c r="E2276" i="5"/>
  <c r="D2276" i="5"/>
  <c r="B2276" i="5"/>
  <c r="Q2275" i="5"/>
  <c r="P2275" i="5"/>
  <c r="O2275" i="5"/>
  <c r="N2275" i="5"/>
  <c r="K2275" i="5"/>
  <c r="H2275" i="5"/>
  <c r="G2275" i="5" s="1"/>
  <c r="E2275" i="5"/>
  <c r="D2275" i="5"/>
  <c r="B2275" i="5"/>
  <c r="Q2274" i="5"/>
  <c r="P2274" i="5"/>
  <c r="O2274" i="5"/>
  <c r="N2274" i="5"/>
  <c r="K2274" i="5"/>
  <c r="H2274" i="5"/>
  <c r="J2274" i="5" s="1"/>
  <c r="I2274" i="5" s="1"/>
  <c r="E2274" i="5"/>
  <c r="D2274" i="5"/>
  <c r="B2274" i="5"/>
  <c r="Q2273" i="5"/>
  <c r="P2273" i="5"/>
  <c r="R2273" i="5" s="1"/>
  <c r="O2273" i="5"/>
  <c r="N2273" i="5"/>
  <c r="K2273" i="5"/>
  <c r="H2273" i="5"/>
  <c r="J2273" i="5" s="1"/>
  <c r="I2273" i="5" s="1"/>
  <c r="E2273" i="5"/>
  <c r="D2273" i="5"/>
  <c r="B2273" i="5"/>
  <c r="Q2272" i="5"/>
  <c r="P2272" i="5"/>
  <c r="O2272" i="5"/>
  <c r="N2272" i="5"/>
  <c r="K2272" i="5"/>
  <c r="H2272" i="5"/>
  <c r="G2272" i="5" s="1"/>
  <c r="E2272" i="5"/>
  <c r="D2272" i="5"/>
  <c r="B2272" i="5"/>
  <c r="Q2271" i="5"/>
  <c r="P2271" i="5"/>
  <c r="O2271" i="5"/>
  <c r="N2271" i="5"/>
  <c r="K2271" i="5"/>
  <c r="H2271" i="5"/>
  <c r="G2271" i="5" s="1"/>
  <c r="E2271" i="5"/>
  <c r="D2271" i="5"/>
  <c r="B2271" i="5"/>
  <c r="Q2270" i="5"/>
  <c r="P2270" i="5"/>
  <c r="O2270" i="5"/>
  <c r="N2270" i="5"/>
  <c r="K2270" i="5"/>
  <c r="H2270" i="5"/>
  <c r="J2270" i="5" s="1"/>
  <c r="I2270" i="5" s="1"/>
  <c r="E2270" i="5"/>
  <c r="D2270" i="5"/>
  <c r="B2270" i="5"/>
  <c r="Q2269" i="5"/>
  <c r="P2269" i="5"/>
  <c r="O2269" i="5"/>
  <c r="N2269" i="5"/>
  <c r="K2269" i="5"/>
  <c r="H2269" i="5"/>
  <c r="E2269" i="5"/>
  <c r="D2269" i="5"/>
  <c r="B2269" i="5"/>
  <c r="Q2268" i="5"/>
  <c r="P2268" i="5"/>
  <c r="O2268" i="5"/>
  <c r="N2268" i="5"/>
  <c r="K2268" i="5"/>
  <c r="H2268" i="5"/>
  <c r="E2268" i="5"/>
  <c r="D2268" i="5"/>
  <c r="B2268" i="5"/>
  <c r="Q2267" i="5"/>
  <c r="P2267" i="5"/>
  <c r="O2267" i="5"/>
  <c r="N2267" i="5"/>
  <c r="K2267" i="5"/>
  <c r="H2267" i="5"/>
  <c r="G2267" i="5" s="1"/>
  <c r="E2267" i="5"/>
  <c r="D2267" i="5"/>
  <c r="B2267" i="5"/>
  <c r="Q2266" i="5"/>
  <c r="P2266" i="5"/>
  <c r="R2266" i="5" s="1"/>
  <c r="O2266" i="5"/>
  <c r="N2266" i="5"/>
  <c r="K2266" i="5"/>
  <c r="H2266" i="5"/>
  <c r="J2266" i="5" s="1"/>
  <c r="I2266" i="5" s="1"/>
  <c r="E2266" i="5"/>
  <c r="D2266" i="5"/>
  <c r="B2266" i="5"/>
  <c r="Q2265" i="5"/>
  <c r="P2265" i="5"/>
  <c r="O2265" i="5"/>
  <c r="N2265" i="5"/>
  <c r="K2265" i="5"/>
  <c r="H2265" i="5"/>
  <c r="E2265" i="5"/>
  <c r="D2265" i="5"/>
  <c r="B2265" i="5"/>
  <c r="Q2264" i="5"/>
  <c r="P2264" i="5"/>
  <c r="O2264" i="5"/>
  <c r="N2264" i="5"/>
  <c r="K2264" i="5"/>
  <c r="H2264" i="5"/>
  <c r="G2264" i="5" s="1"/>
  <c r="E2264" i="5"/>
  <c r="D2264" i="5"/>
  <c r="B2264" i="5"/>
  <c r="Q2263" i="5"/>
  <c r="P2263" i="5"/>
  <c r="O2263" i="5"/>
  <c r="N2263" i="5"/>
  <c r="K2263" i="5"/>
  <c r="H2263" i="5"/>
  <c r="J2263" i="5" s="1"/>
  <c r="I2263" i="5" s="1"/>
  <c r="G2263" i="5"/>
  <c r="E2263" i="5"/>
  <c r="D2263" i="5"/>
  <c r="B2263" i="5"/>
  <c r="Q2262" i="5"/>
  <c r="P2262" i="5"/>
  <c r="O2262" i="5"/>
  <c r="N2262" i="5"/>
  <c r="K2262" i="5"/>
  <c r="H2262" i="5"/>
  <c r="J2262" i="5" s="1"/>
  <c r="I2262" i="5" s="1"/>
  <c r="E2262" i="5"/>
  <c r="D2262" i="5"/>
  <c r="B2262" i="5"/>
  <c r="Q2261" i="5"/>
  <c r="P2261" i="5"/>
  <c r="O2261" i="5"/>
  <c r="N2261" i="5"/>
  <c r="K2261" i="5"/>
  <c r="H2261" i="5"/>
  <c r="G2261" i="5" s="1"/>
  <c r="E2261" i="5"/>
  <c r="D2261" i="5"/>
  <c r="B2261" i="5"/>
  <c r="Q2260" i="5"/>
  <c r="P2260" i="5"/>
  <c r="O2260" i="5"/>
  <c r="N2260" i="5"/>
  <c r="K2260" i="5"/>
  <c r="H2260" i="5"/>
  <c r="J2260" i="5" s="1"/>
  <c r="I2260" i="5" s="1"/>
  <c r="E2260" i="5"/>
  <c r="D2260" i="5"/>
  <c r="B2260" i="5"/>
  <c r="Q2259" i="5"/>
  <c r="P2259" i="5"/>
  <c r="R2259" i="5" s="1"/>
  <c r="O2259" i="5"/>
  <c r="N2259" i="5"/>
  <c r="K2259" i="5"/>
  <c r="H2259" i="5"/>
  <c r="E2259" i="5"/>
  <c r="D2259" i="5"/>
  <c r="B2259" i="5"/>
  <c r="Q2258" i="5"/>
  <c r="P2258" i="5"/>
  <c r="O2258" i="5"/>
  <c r="N2258" i="5"/>
  <c r="K2258" i="5"/>
  <c r="H2258" i="5"/>
  <c r="J2258" i="5" s="1"/>
  <c r="I2258" i="5" s="1"/>
  <c r="E2258" i="5"/>
  <c r="D2258" i="5"/>
  <c r="B2258" i="5"/>
  <c r="Q2257" i="5"/>
  <c r="P2257" i="5"/>
  <c r="O2257" i="5"/>
  <c r="N2257" i="5"/>
  <c r="K2257" i="5"/>
  <c r="H2257" i="5"/>
  <c r="J2257" i="5" s="1"/>
  <c r="I2257" i="5" s="1"/>
  <c r="E2257" i="5"/>
  <c r="D2257" i="5"/>
  <c r="B2257" i="5"/>
  <c r="Q2256" i="5"/>
  <c r="P2256" i="5"/>
  <c r="O2256" i="5"/>
  <c r="N2256" i="5"/>
  <c r="K2256" i="5"/>
  <c r="H2256" i="5"/>
  <c r="G2256" i="5" s="1"/>
  <c r="E2256" i="5"/>
  <c r="D2256" i="5"/>
  <c r="B2256" i="5"/>
  <c r="Q2255" i="5"/>
  <c r="P2255" i="5"/>
  <c r="O2255" i="5"/>
  <c r="N2255" i="5"/>
  <c r="K2255" i="5"/>
  <c r="H2255" i="5"/>
  <c r="J2255" i="5" s="1"/>
  <c r="I2255" i="5" s="1"/>
  <c r="E2255" i="5"/>
  <c r="D2255" i="5"/>
  <c r="B2255" i="5"/>
  <c r="Q2254" i="5"/>
  <c r="P2254" i="5"/>
  <c r="O2254" i="5"/>
  <c r="N2254" i="5"/>
  <c r="K2254" i="5"/>
  <c r="H2254" i="5"/>
  <c r="J2254" i="5" s="1"/>
  <c r="I2254" i="5" s="1"/>
  <c r="E2254" i="5"/>
  <c r="D2254" i="5"/>
  <c r="B2254" i="5"/>
  <c r="Q2253" i="5"/>
  <c r="P2253" i="5"/>
  <c r="O2253" i="5"/>
  <c r="N2253" i="5"/>
  <c r="K2253" i="5"/>
  <c r="H2253" i="5"/>
  <c r="J2253" i="5" s="1"/>
  <c r="I2253" i="5" s="1"/>
  <c r="E2253" i="5"/>
  <c r="D2253" i="5"/>
  <c r="B2253" i="5"/>
  <c r="Q2252" i="5"/>
  <c r="P2252" i="5"/>
  <c r="O2252" i="5"/>
  <c r="N2252" i="5"/>
  <c r="K2252" i="5"/>
  <c r="H2252" i="5"/>
  <c r="E2252" i="5"/>
  <c r="D2252" i="5"/>
  <c r="B2252" i="5"/>
  <c r="Q2251" i="5"/>
  <c r="P2251" i="5"/>
  <c r="O2251" i="5"/>
  <c r="N2251" i="5"/>
  <c r="K2251" i="5"/>
  <c r="H2251" i="5"/>
  <c r="G2251" i="5" s="1"/>
  <c r="E2251" i="5"/>
  <c r="D2251" i="5"/>
  <c r="B2251" i="5"/>
  <c r="Q2250" i="5"/>
  <c r="P2250" i="5"/>
  <c r="O2250" i="5"/>
  <c r="N2250" i="5"/>
  <c r="K2250" i="5"/>
  <c r="H2250" i="5"/>
  <c r="J2250" i="5" s="1"/>
  <c r="I2250" i="5" s="1"/>
  <c r="E2250" i="5"/>
  <c r="D2250" i="5"/>
  <c r="B2250" i="5"/>
  <c r="Q2249" i="5"/>
  <c r="P2249" i="5"/>
  <c r="O2249" i="5"/>
  <c r="N2249" i="5"/>
  <c r="K2249" i="5"/>
  <c r="H2249" i="5"/>
  <c r="E2249" i="5"/>
  <c r="D2249" i="5"/>
  <c r="B2249" i="5"/>
  <c r="Q2248" i="5"/>
  <c r="P2248" i="5"/>
  <c r="O2248" i="5"/>
  <c r="N2248" i="5"/>
  <c r="K2248" i="5"/>
  <c r="H2248" i="5"/>
  <c r="G2248" i="5" s="1"/>
  <c r="E2248" i="5"/>
  <c r="D2248" i="5"/>
  <c r="B2248" i="5"/>
  <c r="Q2247" i="5"/>
  <c r="P2247" i="5"/>
  <c r="O2247" i="5"/>
  <c r="N2247" i="5"/>
  <c r="K2247" i="5"/>
  <c r="H2247" i="5"/>
  <c r="J2247" i="5" s="1"/>
  <c r="I2247" i="5" s="1"/>
  <c r="E2247" i="5"/>
  <c r="D2247" i="5"/>
  <c r="B2247" i="5"/>
  <c r="Q2246" i="5"/>
  <c r="P2246" i="5"/>
  <c r="O2246" i="5"/>
  <c r="N2246" i="5"/>
  <c r="K2246" i="5"/>
  <c r="H2246" i="5"/>
  <c r="J2246" i="5" s="1"/>
  <c r="I2246" i="5" s="1"/>
  <c r="E2246" i="5"/>
  <c r="D2246" i="5"/>
  <c r="B2246" i="5"/>
  <c r="Q2245" i="5"/>
  <c r="P2245" i="5"/>
  <c r="O2245" i="5"/>
  <c r="N2245" i="5"/>
  <c r="K2245" i="5"/>
  <c r="H2245" i="5"/>
  <c r="G2245" i="5" s="1"/>
  <c r="E2245" i="5"/>
  <c r="D2245" i="5"/>
  <c r="B2245" i="5"/>
  <c r="Q2244" i="5"/>
  <c r="P2244" i="5"/>
  <c r="O2244" i="5"/>
  <c r="N2244" i="5"/>
  <c r="K2244" i="5"/>
  <c r="H2244" i="5"/>
  <c r="J2244" i="5" s="1"/>
  <c r="I2244" i="5" s="1"/>
  <c r="E2244" i="5"/>
  <c r="D2244" i="5"/>
  <c r="B2244" i="5"/>
  <c r="Q2243" i="5"/>
  <c r="P2243" i="5"/>
  <c r="R2243" i="5" s="1"/>
  <c r="O2243" i="5"/>
  <c r="N2243" i="5"/>
  <c r="K2243" i="5"/>
  <c r="H2243" i="5"/>
  <c r="J2243" i="5" s="1"/>
  <c r="I2243" i="5" s="1"/>
  <c r="E2243" i="5"/>
  <c r="D2243" i="5"/>
  <c r="B2243" i="5"/>
  <c r="Q2242" i="5"/>
  <c r="P2242" i="5"/>
  <c r="O2242" i="5"/>
  <c r="N2242" i="5"/>
  <c r="K2242" i="5"/>
  <c r="H2242" i="5"/>
  <c r="J2242" i="5" s="1"/>
  <c r="I2242" i="5" s="1"/>
  <c r="E2242" i="5"/>
  <c r="D2242" i="5"/>
  <c r="B2242" i="5"/>
  <c r="Q2241" i="5"/>
  <c r="P2241" i="5"/>
  <c r="O2241" i="5"/>
  <c r="N2241" i="5"/>
  <c r="K2241" i="5"/>
  <c r="H2241" i="5"/>
  <c r="J2241" i="5" s="1"/>
  <c r="I2241" i="5" s="1"/>
  <c r="E2241" i="5"/>
  <c r="D2241" i="5"/>
  <c r="B2241" i="5"/>
  <c r="Q2240" i="5"/>
  <c r="P2240" i="5"/>
  <c r="O2240" i="5"/>
  <c r="N2240" i="5"/>
  <c r="K2240" i="5"/>
  <c r="H2240" i="5"/>
  <c r="J2240" i="5" s="1"/>
  <c r="I2240" i="5" s="1"/>
  <c r="E2240" i="5"/>
  <c r="D2240" i="5"/>
  <c r="B2240" i="5"/>
  <c r="Q2239" i="5"/>
  <c r="P2239" i="5"/>
  <c r="O2239" i="5"/>
  <c r="N2239" i="5"/>
  <c r="K2239" i="5"/>
  <c r="H2239" i="5"/>
  <c r="J2239" i="5" s="1"/>
  <c r="I2239" i="5" s="1"/>
  <c r="E2239" i="5"/>
  <c r="D2239" i="5"/>
  <c r="B2239" i="5"/>
  <c r="Q2238" i="5"/>
  <c r="P2238" i="5"/>
  <c r="O2238" i="5"/>
  <c r="N2238" i="5"/>
  <c r="K2238" i="5"/>
  <c r="H2238" i="5"/>
  <c r="J2238" i="5" s="1"/>
  <c r="I2238" i="5" s="1"/>
  <c r="E2238" i="5"/>
  <c r="D2238" i="5"/>
  <c r="B2238" i="5"/>
  <c r="Q2237" i="5"/>
  <c r="P2237" i="5"/>
  <c r="O2237" i="5"/>
  <c r="N2237" i="5"/>
  <c r="K2237" i="5"/>
  <c r="H2237" i="5"/>
  <c r="E2237" i="5"/>
  <c r="D2237" i="5"/>
  <c r="B2237" i="5"/>
  <c r="Q2236" i="5"/>
  <c r="P2236" i="5"/>
  <c r="O2236" i="5"/>
  <c r="N2236" i="5"/>
  <c r="K2236" i="5"/>
  <c r="H2236" i="5"/>
  <c r="E2236" i="5"/>
  <c r="D2236" i="5"/>
  <c r="B2236" i="5"/>
  <c r="Q2235" i="5"/>
  <c r="P2235" i="5"/>
  <c r="O2235" i="5"/>
  <c r="N2235" i="5"/>
  <c r="K2235" i="5"/>
  <c r="H2235" i="5"/>
  <c r="E2235" i="5"/>
  <c r="D2235" i="5"/>
  <c r="B2235" i="5"/>
  <c r="Q2234" i="5"/>
  <c r="P2234" i="5"/>
  <c r="O2234" i="5"/>
  <c r="N2234" i="5"/>
  <c r="K2234" i="5"/>
  <c r="H2234" i="5"/>
  <c r="E2234" i="5"/>
  <c r="D2234" i="5"/>
  <c r="B2234" i="5"/>
  <c r="Q2233" i="5"/>
  <c r="P2233" i="5"/>
  <c r="O2233" i="5"/>
  <c r="N2233" i="5"/>
  <c r="K2233" i="5"/>
  <c r="H2233" i="5"/>
  <c r="E2233" i="5"/>
  <c r="D2233" i="5"/>
  <c r="B2233" i="5"/>
  <c r="Q2232" i="5"/>
  <c r="P2232" i="5"/>
  <c r="O2232" i="5"/>
  <c r="N2232" i="5"/>
  <c r="K2232" i="5"/>
  <c r="H2232" i="5"/>
  <c r="E2232" i="5"/>
  <c r="D2232" i="5"/>
  <c r="B2232" i="5"/>
  <c r="Q2231" i="5"/>
  <c r="P2231" i="5"/>
  <c r="O2231" i="5"/>
  <c r="N2231" i="5"/>
  <c r="K2231" i="5"/>
  <c r="H2231" i="5"/>
  <c r="J2231" i="5" s="1"/>
  <c r="I2231" i="5" s="1"/>
  <c r="E2231" i="5"/>
  <c r="D2231" i="5"/>
  <c r="B2231" i="5"/>
  <c r="Q2230" i="5"/>
  <c r="P2230" i="5"/>
  <c r="O2230" i="5"/>
  <c r="N2230" i="5"/>
  <c r="K2230" i="5"/>
  <c r="H2230" i="5"/>
  <c r="J2230" i="5" s="1"/>
  <c r="I2230" i="5" s="1"/>
  <c r="E2230" i="5"/>
  <c r="D2230" i="5"/>
  <c r="B2230" i="5"/>
  <c r="Q2229" i="5"/>
  <c r="P2229" i="5"/>
  <c r="O2229" i="5"/>
  <c r="N2229" i="5"/>
  <c r="K2229" i="5"/>
  <c r="H2229" i="5"/>
  <c r="E2229" i="5"/>
  <c r="D2229" i="5"/>
  <c r="B2229" i="5"/>
  <c r="Q2228" i="5"/>
  <c r="P2228" i="5"/>
  <c r="O2228" i="5"/>
  <c r="N2228" i="5"/>
  <c r="K2228" i="5"/>
  <c r="H2228" i="5"/>
  <c r="J2228" i="5" s="1"/>
  <c r="I2228" i="5" s="1"/>
  <c r="E2228" i="5"/>
  <c r="D2228" i="5"/>
  <c r="B2228" i="5"/>
  <c r="Q2227" i="5"/>
  <c r="P2227" i="5"/>
  <c r="O2227" i="5"/>
  <c r="N2227" i="5"/>
  <c r="K2227" i="5"/>
  <c r="H2227" i="5"/>
  <c r="J2227" i="5" s="1"/>
  <c r="I2227" i="5" s="1"/>
  <c r="E2227" i="5"/>
  <c r="D2227" i="5"/>
  <c r="B2227" i="5"/>
  <c r="Q2226" i="5"/>
  <c r="P2226" i="5"/>
  <c r="O2226" i="5"/>
  <c r="N2226" i="5"/>
  <c r="K2226" i="5"/>
  <c r="H2226" i="5"/>
  <c r="J2226" i="5" s="1"/>
  <c r="I2226" i="5" s="1"/>
  <c r="E2226" i="5"/>
  <c r="D2226" i="5"/>
  <c r="B2226" i="5"/>
  <c r="Q2225" i="5"/>
  <c r="P2225" i="5"/>
  <c r="O2225" i="5"/>
  <c r="N2225" i="5"/>
  <c r="K2225" i="5"/>
  <c r="H2225" i="5"/>
  <c r="J2225" i="5" s="1"/>
  <c r="I2225" i="5" s="1"/>
  <c r="E2225" i="5"/>
  <c r="D2225" i="5"/>
  <c r="B2225" i="5"/>
  <c r="Q2224" i="5"/>
  <c r="P2224" i="5"/>
  <c r="O2224" i="5"/>
  <c r="N2224" i="5"/>
  <c r="K2224" i="5"/>
  <c r="H2224" i="5"/>
  <c r="J2224" i="5" s="1"/>
  <c r="I2224" i="5" s="1"/>
  <c r="E2224" i="5"/>
  <c r="D2224" i="5"/>
  <c r="B2224" i="5"/>
  <c r="Q2223" i="5"/>
  <c r="P2223" i="5"/>
  <c r="O2223" i="5"/>
  <c r="N2223" i="5"/>
  <c r="K2223" i="5"/>
  <c r="H2223" i="5"/>
  <c r="J2223" i="5" s="1"/>
  <c r="I2223" i="5" s="1"/>
  <c r="E2223" i="5"/>
  <c r="D2223" i="5"/>
  <c r="B2223" i="5"/>
  <c r="Q2222" i="5"/>
  <c r="P2222" i="5"/>
  <c r="O2222" i="5"/>
  <c r="N2222" i="5"/>
  <c r="K2222" i="5"/>
  <c r="H2222" i="5"/>
  <c r="J2222" i="5" s="1"/>
  <c r="I2222" i="5" s="1"/>
  <c r="E2222" i="5"/>
  <c r="D2222" i="5"/>
  <c r="B2222" i="5"/>
  <c r="Q2221" i="5"/>
  <c r="P2221" i="5"/>
  <c r="O2221" i="5"/>
  <c r="N2221" i="5"/>
  <c r="K2221" i="5"/>
  <c r="H2221" i="5"/>
  <c r="J2221" i="5" s="1"/>
  <c r="I2221" i="5" s="1"/>
  <c r="E2221" i="5"/>
  <c r="D2221" i="5"/>
  <c r="B2221" i="5"/>
  <c r="Q2220" i="5"/>
  <c r="P2220" i="5"/>
  <c r="O2220" i="5"/>
  <c r="N2220" i="5"/>
  <c r="K2220" i="5"/>
  <c r="H2220" i="5"/>
  <c r="E2220" i="5"/>
  <c r="D2220" i="5"/>
  <c r="B2220" i="5"/>
  <c r="Q2219" i="5"/>
  <c r="P2219" i="5"/>
  <c r="O2219" i="5"/>
  <c r="N2219" i="5"/>
  <c r="K2219" i="5"/>
  <c r="H2219" i="5"/>
  <c r="G2219" i="5" s="1"/>
  <c r="E2219" i="5"/>
  <c r="D2219" i="5"/>
  <c r="B2219" i="5"/>
  <c r="Q2218" i="5"/>
  <c r="P2218" i="5"/>
  <c r="O2218" i="5"/>
  <c r="N2218" i="5"/>
  <c r="K2218" i="5"/>
  <c r="H2218" i="5"/>
  <c r="E2218" i="5"/>
  <c r="D2218" i="5"/>
  <c r="B2218" i="5"/>
  <c r="Q2217" i="5"/>
  <c r="P2217" i="5"/>
  <c r="O2217" i="5"/>
  <c r="N2217" i="5"/>
  <c r="K2217" i="5"/>
  <c r="H2217" i="5"/>
  <c r="E2217" i="5"/>
  <c r="D2217" i="5"/>
  <c r="B2217" i="5"/>
  <c r="Q2216" i="5"/>
  <c r="P2216" i="5"/>
  <c r="O2216" i="5"/>
  <c r="N2216" i="5"/>
  <c r="K2216" i="5"/>
  <c r="H2216" i="5"/>
  <c r="G2216" i="5" s="1"/>
  <c r="E2216" i="5"/>
  <c r="D2216" i="5"/>
  <c r="B2216" i="5"/>
  <c r="Q2215" i="5"/>
  <c r="P2215" i="5"/>
  <c r="O2215" i="5"/>
  <c r="N2215" i="5"/>
  <c r="K2215" i="5"/>
  <c r="H2215" i="5"/>
  <c r="E2215" i="5"/>
  <c r="D2215" i="5"/>
  <c r="B2215" i="5"/>
  <c r="Q2214" i="5"/>
  <c r="P2214" i="5"/>
  <c r="O2214" i="5"/>
  <c r="N2214" i="5"/>
  <c r="K2214" i="5"/>
  <c r="H2214" i="5"/>
  <c r="E2214" i="5"/>
  <c r="D2214" i="5"/>
  <c r="B2214" i="5"/>
  <c r="Q2213" i="5"/>
  <c r="P2213" i="5"/>
  <c r="O2213" i="5"/>
  <c r="N2213" i="5"/>
  <c r="K2213" i="5"/>
  <c r="H2213" i="5"/>
  <c r="G2213" i="5" s="1"/>
  <c r="E2213" i="5"/>
  <c r="D2213" i="5"/>
  <c r="B2213" i="5"/>
  <c r="Q2212" i="5"/>
  <c r="P2212" i="5"/>
  <c r="O2212" i="5"/>
  <c r="N2212" i="5"/>
  <c r="K2212" i="5"/>
  <c r="H2212" i="5"/>
  <c r="G2212" i="5" s="1"/>
  <c r="E2212" i="5"/>
  <c r="D2212" i="5"/>
  <c r="B2212" i="5"/>
  <c r="Q2211" i="5"/>
  <c r="P2211" i="5"/>
  <c r="O2211" i="5"/>
  <c r="N2211" i="5"/>
  <c r="K2211" i="5"/>
  <c r="H2211" i="5"/>
  <c r="J2211" i="5" s="1"/>
  <c r="I2211" i="5" s="1"/>
  <c r="E2211" i="5"/>
  <c r="D2211" i="5"/>
  <c r="B2211" i="5"/>
  <c r="Q2210" i="5"/>
  <c r="P2210" i="5"/>
  <c r="O2210" i="5"/>
  <c r="N2210" i="5"/>
  <c r="K2210" i="5"/>
  <c r="H2210" i="5"/>
  <c r="E2210" i="5"/>
  <c r="D2210" i="5"/>
  <c r="B2210" i="5"/>
  <c r="Q2209" i="5"/>
  <c r="P2209" i="5"/>
  <c r="O2209" i="5"/>
  <c r="N2209" i="5"/>
  <c r="K2209" i="5"/>
  <c r="H2209" i="5"/>
  <c r="J2209" i="5" s="1"/>
  <c r="I2209" i="5" s="1"/>
  <c r="E2209" i="5"/>
  <c r="D2209" i="5"/>
  <c r="B2209" i="5"/>
  <c r="Q2208" i="5"/>
  <c r="P2208" i="5"/>
  <c r="O2208" i="5"/>
  <c r="N2208" i="5"/>
  <c r="K2208" i="5"/>
  <c r="H2208" i="5"/>
  <c r="J2208" i="5" s="1"/>
  <c r="I2208" i="5" s="1"/>
  <c r="E2208" i="5"/>
  <c r="D2208" i="5"/>
  <c r="B2208" i="5"/>
  <c r="Q2207" i="5"/>
  <c r="P2207" i="5"/>
  <c r="O2207" i="5"/>
  <c r="N2207" i="5"/>
  <c r="K2207" i="5"/>
  <c r="H2207" i="5"/>
  <c r="G2207" i="5" s="1"/>
  <c r="E2207" i="5"/>
  <c r="D2207" i="5"/>
  <c r="B2207" i="5"/>
  <c r="Q2206" i="5"/>
  <c r="P2206" i="5"/>
  <c r="O2206" i="5"/>
  <c r="N2206" i="5"/>
  <c r="K2206" i="5"/>
  <c r="H2206" i="5"/>
  <c r="J2206" i="5" s="1"/>
  <c r="I2206" i="5" s="1"/>
  <c r="E2206" i="5"/>
  <c r="D2206" i="5"/>
  <c r="B2206" i="5"/>
  <c r="Q2205" i="5"/>
  <c r="P2205" i="5"/>
  <c r="O2205" i="5"/>
  <c r="N2205" i="5"/>
  <c r="K2205" i="5"/>
  <c r="H2205" i="5"/>
  <c r="J2205" i="5" s="1"/>
  <c r="I2205" i="5" s="1"/>
  <c r="E2205" i="5"/>
  <c r="D2205" i="5"/>
  <c r="B2205" i="5"/>
  <c r="Q2204" i="5"/>
  <c r="P2204" i="5"/>
  <c r="O2204" i="5"/>
  <c r="N2204" i="5"/>
  <c r="K2204" i="5"/>
  <c r="H2204" i="5"/>
  <c r="G2204" i="5" s="1"/>
  <c r="E2204" i="5"/>
  <c r="D2204" i="5"/>
  <c r="B2204" i="5"/>
  <c r="Q2203" i="5"/>
  <c r="P2203" i="5"/>
  <c r="O2203" i="5"/>
  <c r="N2203" i="5"/>
  <c r="K2203" i="5"/>
  <c r="H2203" i="5"/>
  <c r="J2203" i="5" s="1"/>
  <c r="I2203" i="5" s="1"/>
  <c r="E2203" i="5"/>
  <c r="D2203" i="5"/>
  <c r="B2203" i="5"/>
  <c r="Q2202" i="5"/>
  <c r="P2202" i="5"/>
  <c r="O2202" i="5"/>
  <c r="N2202" i="5"/>
  <c r="K2202" i="5"/>
  <c r="H2202" i="5"/>
  <c r="E2202" i="5"/>
  <c r="D2202" i="5"/>
  <c r="B2202" i="5"/>
  <c r="Q2201" i="5"/>
  <c r="P2201" i="5"/>
  <c r="O2201" i="5"/>
  <c r="N2201" i="5"/>
  <c r="K2201" i="5"/>
  <c r="H2201" i="5"/>
  <c r="E2201" i="5"/>
  <c r="D2201" i="5"/>
  <c r="B2201" i="5"/>
  <c r="Q2200" i="5"/>
  <c r="P2200" i="5"/>
  <c r="O2200" i="5"/>
  <c r="N2200" i="5"/>
  <c r="K2200" i="5"/>
  <c r="H2200" i="5"/>
  <c r="G2200" i="5" s="1"/>
  <c r="E2200" i="5"/>
  <c r="D2200" i="5"/>
  <c r="B2200" i="5"/>
  <c r="Q2199" i="5"/>
  <c r="P2199" i="5"/>
  <c r="O2199" i="5"/>
  <c r="N2199" i="5"/>
  <c r="K2199" i="5"/>
  <c r="H2199" i="5"/>
  <c r="J2199" i="5" s="1"/>
  <c r="I2199" i="5" s="1"/>
  <c r="E2199" i="5"/>
  <c r="D2199" i="5"/>
  <c r="B2199" i="5"/>
  <c r="Q2198" i="5"/>
  <c r="P2198" i="5"/>
  <c r="O2198" i="5"/>
  <c r="N2198" i="5"/>
  <c r="K2198" i="5"/>
  <c r="H2198" i="5"/>
  <c r="E2198" i="5"/>
  <c r="D2198" i="5"/>
  <c r="B2198" i="5"/>
  <c r="Q2197" i="5"/>
  <c r="P2197" i="5"/>
  <c r="O2197" i="5"/>
  <c r="N2197" i="5"/>
  <c r="K2197" i="5"/>
  <c r="H2197" i="5"/>
  <c r="G2197" i="5" s="1"/>
  <c r="E2197" i="5"/>
  <c r="D2197" i="5"/>
  <c r="B2197" i="5"/>
  <c r="Q2196" i="5"/>
  <c r="P2196" i="5"/>
  <c r="O2196" i="5"/>
  <c r="N2196" i="5"/>
  <c r="K2196" i="5"/>
  <c r="H2196" i="5"/>
  <c r="J2196" i="5" s="1"/>
  <c r="I2196" i="5" s="1"/>
  <c r="E2196" i="5"/>
  <c r="D2196" i="5"/>
  <c r="B2196" i="5"/>
  <c r="Q2195" i="5"/>
  <c r="P2195" i="5"/>
  <c r="O2195" i="5"/>
  <c r="N2195" i="5"/>
  <c r="K2195" i="5"/>
  <c r="H2195" i="5"/>
  <c r="G2195" i="5" s="1"/>
  <c r="E2195" i="5"/>
  <c r="D2195" i="5"/>
  <c r="B2195" i="5"/>
  <c r="Q2194" i="5"/>
  <c r="P2194" i="5"/>
  <c r="O2194" i="5"/>
  <c r="N2194" i="5"/>
  <c r="K2194" i="5"/>
  <c r="H2194" i="5"/>
  <c r="E2194" i="5"/>
  <c r="D2194" i="5"/>
  <c r="B2194" i="5"/>
  <c r="Q2193" i="5"/>
  <c r="P2193" i="5"/>
  <c r="O2193" i="5"/>
  <c r="N2193" i="5"/>
  <c r="K2193" i="5"/>
  <c r="H2193" i="5"/>
  <c r="E2193" i="5"/>
  <c r="D2193" i="5"/>
  <c r="B2193" i="5"/>
  <c r="Q2192" i="5"/>
  <c r="P2192" i="5"/>
  <c r="O2192" i="5"/>
  <c r="N2192" i="5"/>
  <c r="K2192" i="5"/>
  <c r="H2192" i="5"/>
  <c r="G2192" i="5" s="1"/>
  <c r="E2192" i="5"/>
  <c r="D2192" i="5"/>
  <c r="B2192" i="5"/>
  <c r="Q2191" i="5"/>
  <c r="P2191" i="5"/>
  <c r="O2191" i="5"/>
  <c r="N2191" i="5"/>
  <c r="K2191" i="5"/>
  <c r="H2191" i="5"/>
  <c r="J2191" i="5" s="1"/>
  <c r="I2191" i="5" s="1"/>
  <c r="G2191" i="5"/>
  <c r="E2191" i="5"/>
  <c r="D2191" i="5"/>
  <c r="B2191" i="5"/>
  <c r="Q2190" i="5"/>
  <c r="P2190" i="5"/>
  <c r="O2190" i="5"/>
  <c r="N2190" i="5"/>
  <c r="K2190" i="5"/>
  <c r="H2190" i="5"/>
  <c r="J2190" i="5" s="1"/>
  <c r="I2190" i="5" s="1"/>
  <c r="E2190" i="5"/>
  <c r="D2190" i="5"/>
  <c r="B2190" i="5"/>
  <c r="Q2189" i="5"/>
  <c r="P2189" i="5"/>
  <c r="O2189" i="5"/>
  <c r="N2189" i="5"/>
  <c r="K2189" i="5"/>
  <c r="H2189" i="5"/>
  <c r="J2189" i="5" s="1"/>
  <c r="I2189" i="5" s="1"/>
  <c r="E2189" i="5"/>
  <c r="D2189" i="5"/>
  <c r="B2189" i="5"/>
  <c r="Q2188" i="5"/>
  <c r="P2188" i="5"/>
  <c r="O2188" i="5"/>
  <c r="N2188" i="5"/>
  <c r="K2188" i="5"/>
  <c r="H2188" i="5"/>
  <c r="G2188" i="5" s="1"/>
  <c r="E2188" i="5"/>
  <c r="D2188" i="5"/>
  <c r="B2188" i="5"/>
  <c r="Q2187" i="5"/>
  <c r="P2187" i="5"/>
  <c r="O2187" i="5"/>
  <c r="N2187" i="5"/>
  <c r="K2187" i="5"/>
  <c r="H2187" i="5"/>
  <c r="J2187" i="5" s="1"/>
  <c r="I2187" i="5" s="1"/>
  <c r="E2187" i="5"/>
  <c r="D2187" i="5"/>
  <c r="B2187" i="5"/>
  <c r="Q2186" i="5"/>
  <c r="P2186" i="5"/>
  <c r="O2186" i="5"/>
  <c r="N2186" i="5"/>
  <c r="K2186" i="5"/>
  <c r="H2186" i="5"/>
  <c r="J2186" i="5" s="1"/>
  <c r="I2186" i="5" s="1"/>
  <c r="G2186" i="5"/>
  <c r="E2186" i="5"/>
  <c r="D2186" i="5"/>
  <c r="B2186" i="5"/>
  <c r="Q2185" i="5"/>
  <c r="P2185" i="5"/>
  <c r="O2185" i="5"/>
  <c r="N2185" i="5"/>
  <c r="K2185" i="5"/>
  <c r="H2185" i="5"/>
  <c r="E2185" i="5"/>
  <c r="D2185" i="5"/>
  <c r="B2185" i="5"/>
  <c r="Q2184" i="5"/>
  <c r="P2184" i="5"/>
  <c r="O2184" i="5"/>
  <c r="N2184" i="5"/>
  <c r="K2184" i="5"/>
  <c r="H2184" i="5"/>
  <c r="E2184" i="5"/>
  <c r="D2184" i="5"/>
  <c r="B2184" i="5"/>
  <c r="Q2183" i="5"/>
  <c r="P2183" i="5"/>
  <c r="O2183" i="5"/>
  <c r="N2183" i="5"/>
  <c r="K2183" i="5"/>
  <c r="H2183" i="5"/>
  <c r="J2183" i="5" s="1"/>
  <c r="I2183" i="5" s="1"/>
  <c r="E2183" i="5"/>
  <c r="D2183" i="5"/>
  <c r="B2183" i="5"/>
  <c r="Q2182" i="5"/>
  <c r="P2182" i="5"/>
  <c r="O2182" i="5"/>
  <c r="N2182" i="5"/>
  <c r="K2182" i="5"/>
  <c r="H2182" i="5"/>
  <c r="E2182" i="5"/>
  <c r="D2182" i="5"/>
  <c r="B2182" i="5"/>
  <c r="Q2181" i="5"/>
  <c r="P2181" i="5"/>
  <c r="O2181" i="5"/>
  <c r="N2181" i="5"/>
  <c r="K2181" i="5"/>
  <c r="H2181" i="5"/>
  <c r="E2181" i="5"/>
  <c r="D2181" i="5"/>
  <c r="B2181" i="5"/>
  <c r="Q2180" i="5"/>
  <c r="P2180" i="5"/>
  <c r="R2180" i="5" s="1"/>
  <c r="O2180" i="5"/>
  <c r="N2180" i="5"/>
  <c r="K2180" i="5"/>
  <c r="H2180" i="5"/>
  <c r="J2180" i="5" s="1"/>
  <c r="I2180" i="5" s="1"/>
  <c r="E2180" i="5"/>
  <c r="D2180" i="5"/>
  <c r="B2180" i="5"/>
  <c r="Q2179" i="5"/>
  <c r="P2179" i="5"/>
  <c r="O2179" i="5"/>
  <c r="N2179" i="5"/>
  <c r="K2179" i="5"/>
  <c r="H2179" i="5"/>
  <c r="J2179" i="5" s="1"/>
  <c r="I2179" i="5" s="1"/>
  <c r="E2179" i="5"/>
  <c r="D2179" i="5"/>
  <c r="B2179" i="5"/>
  <c r="Q2178" i="5"/>
  <c r="P2178" i="5"/>
  <c r="O2178" i="5"/>
  <c r="N2178" i="5"/>
  <c r="K2178" i="5"/>
  <c r="H2178" i="5"/>
  <c r="E2178" i="5"/>
  <c r="D2178" i="5"/>
  <c r="B2178" i="5"/>
  <c r="Q2177" i="5"/>
  <c r="P2177" i="5"/>
  <c r="O2177" i="5"/>
  <c r="N2177" i="5"/>
  <c r="K2177" i="5"/>
  <c r="H2177" i="5"/>
  <c r="J2177" i="5" s="1"/>
  <c r="I2177" i="5" s="1"/>
  <c r="G2177" i="5"/>
  <c r="E2177" i="5"/>
  <c r="D2177" i="5"/>
  <c r="B2177" i="5"/>
  <c r="Q2176" i="5"/>
  <c r="P2176" i="5"/>
  <c r="O2176" i="5"/>
  <c r="N2176" i="5"/>
  <c r="K2176" i="5"/>
  <c r="H2176" i="5"/>
  <c r="J2176" i="5" s="1"/>
  <c r="I2176" i="5" s="1"/>
  <c r="E2176" i="5"/>
  <c r="D2176" i="5"/>
  <c r="B2176" i="5"/>
  <c r="Q2175" i="5"/>
  <c r="P2175" i="5"/>
  <c r="R2175" i="5" s="1"/>
  <c r="O2175" i="5"/>
  <c r="N2175" i="5"/>
  <c r="K2175" i="5"/>
  <c r="H2175" i="5"/>
  <c r="G2175" i="5" s="1"/>
  <c r="E2175" i="5"/>
  <c r="D2175" i="5"/>
  <c r="B2175" i="5"/>
  <c r="Q2174" i="5"/>
  <c r="P2174" i="5"/>
  <c r="O2174" i="5"/>
  <c r="N2174" i="5"/>
  <c r="K2174" i="5"/>
  <c r="H2174" i="5"/>
  <c r="J2174" i="5" s="1"/>
  <c r="I2174" i="5" s="1"/>
  <c r="E2174" i="5"/>
  <c r="D2174" i="5"/>
  <c r="B2174" i="5"/>
  <c r="Q2173" i="5"/>
  <c r="P2173" i="5"/>
  <c r="O2173" i="5"/>
  <c r="N2173" i="5"/>
  <c r="K2173" i="5"/>
  <c r="H2173" i="5"/>
  <c r="E2173" i="5"/>
  <c r="D2173" i="5"/>
  <c r="B2173" i="5"/>
  <c r="Q2172" i="5"/>
  <c r="P2172" i="5"/>
  <c r="O2172" i="5"/>
  <c r="N2172" i="5"/>
  <c r="K2172" i="5"/>
  <c r="H2172" i="5"/>
  <c r="G2172" i="5" s="1"/>
  <c r="E2172" i="5"/>
  <c r="D2172" i="5"/>
  <c r="B2172" i="5"/>
  <c r="Q2171" i="5"/>
  <c r="P2171" i="5"/>
  <c r="O2171" i="5"/>
  <c r="N2171" i="5"/>
  <c r="K2171" i="5"/>
  <c r="H2171" i="5"/>
  <c r="E2171" i="5"/>
  <c r="D2171" i="5"/>
  <c r="B2171" i="5"/>
  <c r="Q2170" i="5"/>
  <c r="P2170" i="5"/>
  <c r="R2170" i="5" s="1"/>
  <c r="O2170" i="5"/>
  <c r="N2170" i="5"/>
  <c r="K2170" i="5"/>
  <c r="H2170" i="5"/>
  <c r="E2170" i="5"/>
  <c r="D2170" i="5"/>
  <c r="B2170" i="5"/>
  <c r="Q2169" i="5"/>
  <c r="P2169" i="5"/>
  <c r="O2169" i="5"/>
  <c r="N2169" i="5"/>
  <c r="K2169" i="5"/>
  <c r="H2169" i="5"/>
  <c r="J2169" i="5" s="1"/>
  <c r="I2169" i="5" s="1"/>
  <c r="E2169" i="5"/>
  <c r="D2169" i="5"/>
  <c r="B2169" i="5"/>
  <c r="Q2168" i="5"/>
  <c r="P2168" i="5"/>
  <c r="O2168" i="5"/>
  <c r="N2168" i="5"/>
  <c r="K2168" i="5"/>
  <c r="H2168" i="5"/>
  <c r="E2168" i="5"/>
  <c r="D2168" i="5"/>
  <c r="B2168" i="5"/>
  <c r="Q2167" i="5"/>
  <c r="P2167" i="5"/>
  <c r="O2167" i="5"/>
  <c r="N2167" i="5"/>
  <c r="K2167" i="5"/>
  <c r="H2167" i="5"/>
  <c r="J2167" i="5" s="1"/>
  <c r="I2167" i="5" s="1"/>
  <c r="E2167" i="5"/>
  <c r="D2167" i="5"/>
  <c r="B2167" i="5"/>
  <c r="Q2166" i="5"/>
  <c r="P2166" i="5"/>
  <c r="O2166" i="5"/>
  <c r="N2166" i="5"/>
  <c r="K2166" i="5"/>
  <c r="H2166" i="5"/>
  <c r="J2166" i="5" s="1"/>
  <c r="I2166" i="5" s="1"/>
  <c r="E2166" i="5"/>
  <c r="D2166" i="5"/>
  <c r="B2166" i="5"/>
  <c r="Q2165" i="5"/>
  <c r="P2165" i="5"/>
  <c r="O2165" i="5"/>
  <c r="N2165" i="5"/>
  <c r="K2165" i="5"/>
  <c r="H2165" i="5"/>
  <c r="J2165" i="5" s="1"/>
  <c r="I2165" i="5" s="1"/>
  <c r="E2165" i="5"/>
  <c r="D2165" i="5"/>
  <c r="B2165" i="5"/>
  <c r="Q2164" i="5"/>
  <c r="P2164" i="5"/>
  <c r="O2164" i="5"/>
  <c r="N2164" i="5"/>
  <c r="K2164" i="5"/>
  <c r="H2164" i="5"/>
  <c r="G2164" i="5" s="1"/>
  <c r="E2164" i="5"/>
  <c r="D2164" i="5"/>
  <c r="B2164" i="5"/>
  <c r="Q2163" i="5"/>
  <c r="P2163" i="5"/>
  <c r="O2163" i="5"/>
  <c r="N2163" i="5"/>
  <c r="K2163" i="5"/>
  <c r="H2163" i="5"/>
  <c r="J2163" i="5" s="1"/>
  <c r="I2163" i="5" s="1"/>
  <c r="E2163" i="5"/>
  <c r="D2163" i="5"/>
  <c r="B2163" i="5"/>
  <c r="Q2162" i="5"/>
  <c r="P2162" i="5"/>
  <c r="O2162" i="5"/>
  <c r="N2162" i="5"/>
  <c r="K2162" i="5"/>
  <c r="H2162" i="5"/>
  <c r="E2162" i="5"/>
  <c r="D2162" i="5"/>
  <c r="B2162" i="5"/>
  <c r="Q2161" i="5"/>
  <c r="P2161" i="5"/>
  <c r="O2161" i="5"/>
  <c r="N2161" i="5"/>
  <c r="K2161" i="5"/>
  <c r="H2161" i="5"/>
  <c r="E2161" i="5"/>
  <c r="D2161" i="5"/>
  <c r="B2161" i="5"/>
  <c r="Q2160" i="5"/>
  <c r="P2160" i="5"/>
  <c r="O2160" i="5"/>
  <c r="N2160" i="5"/>
  <c r="K2160" i="5"/>
  <c r="H2160" i="5"/>
  <c r="J2160" i="5" s="1"/>
  <c r="I2160" i="5" s="1"/>
  <c r="E2160" i="5"/>
  <c r="D2160" i="5"/>
  <c r="B2160" i="5"/>
  <c r="Q2159" i="5"/>
  <c r="P2159" i="5"/>
  <c r="O2159" i="5"/>
  <c r="N2159" i="5"/>
  <c r="K2159" i="5"/>
  <c r="H2159" i="5"/>
  <c r="J2159" i="5" s="1"/>
  <c r="I2159" i="5" s="1"/>
  <c r="E2159" i="5"/>
  <c r="D2159" i="5"/>
  <c r="B2159" i="5"/>
  <c r="Q2158" i="5"/>
  <c r="P2158" i="5"/>
  <c r="O2158" i="5"/>
  <c r="N2158" i="5"/>
  <c r="K2158" i="5"/>
  <c r="H2158" i="5"/>
  <c r="G2158" i="5" s="1"/>
  <c r="E2158" i="5"/>
  <c r="D2158" i="5"/>
  <c r="B2158" i="5"/>
  <c r="Q2157" i="5"/>
  <c r="P2157" i="5"/>
  <c r="O2157" i="5"/>
  <c r="N2157" i="5"/>
  <c r="K2157" i="5"/>
  <c r="H2157" i="5"/>
  <c r="G2157" i="5" s="1"/>
  <c r="E2157" i="5"/>
  <c r="D2157" i="5"/>
  <c r="B2157" i="5"/>
  <c r="Q2156" i="5"/>
  <c r="P2156" i="5"/>
  <c r="O2156" i="5"/>
  <c r="N2156" i="5"/>
  <c r="K2156" i="5"/>
  <c r="H2156" i="5"/>
  <c r="E2156" i="5"/>
  <c r="D2156" i="5"/>
  <c r="B2156" i="5"/>
  <c r="Q2155" i="5"/>
  <c r="P2155" i="5"/>
  <c r="O2155" i="5"/>
  <c r="N2155" i="5"/>
  <c r="K2155" i="5"/>
  <c r="H2155" i="5"/>
  <c r="J2155" i="5" s="1"/>
  <c r="I2155" i="5" s="1"/>
  <c r="E2155" i="5"/>
  <c r="D2155" i="5"/>
  <c r="B2155" i="5"/>
  <c r="Q2154" i="5"/>
  <c r="P2154" i="5"/>
  <c r="O2154" i="5"/>
  <c r="N2154" i="5"/>
  <c r="K2154" i="5"/>
  <c r="H2154" i="5"/>
  <c r="J2154" i="5" s="1"/>
  <c r="I2154" i="5" s="1"/>
  <c r="G2154" i="5"/>
  <c r="E2154" i="5"/>
  <c r="D2154" i="5"/>
  <c r="B2154" i="5"/>
  <c r="Q2153" i="5"/>
  <c r="P2153" i="5"/>
  <c r="O2153" i="5"/>
  <c r="N2153" i="5"/>
  <c r="K2153" i="5"/>
  <c r="H2153" i="5"/>
  <c r="G2153" i="5" s="1"/>
  <c r="E2153" i="5"/>
  <c r="D2153" i="5"/>
  <c r="B2153" i="5"/>
  <c r="Q2152" i="5"/>
  <c r="P2152" i="5"/>
  <c r="O2152" i="5"/>
  <c r="N2152" i="5"/>
  <c r="K2152" i="5"/>
  <c r="H2152" i="5"/>
  <c r="G2152" i="5" s="1"/>
  <c r="E2152" i="5"/>
  <c r="D2152" i="5"/>
  <c r="B2152" i="5"/>
  <c r="Q2151" i="5"/>
  <c r="P2151" i="5"/>
  <c r="O2151" i="5"/>
  <c r="N2151" i="5"/>
  <c r="K2151" i="5"/>
  <c r="H2151" i="5"/>
  <c r="E2151" i="5"/>
  <c r="D2151" i="5"/>
  <c r="B2151" i="5"/>
  <c r="Q2150" i="5"/>
  <c r="P2150" i="5"/>
  <c r="O2150" i="5"/>
  <c r="N2150" i="5"/>
  <c r="K2150" i="5"/>
  <c r="H2150" i="5"/>
  <c r="J2150" i="5" s="1"/>
  <c r="I2150" i="5" s="1"/>
  <c r="E2150" i="5"/>
  <c r="D2150" i="5"/>
  <c r="B2150" i="5"/>
  <c r="Q2149" i="5"/>
  <c r="P2149" i="5"/>
  <c r="O2149" i="5"/>
  <c r="N2149" i="5"/>
  <c r="K2149" i="5"/>
  <c r="H2149" i="5"/>
  <c r="G2149" i="5" s="1"/>
  <c r="E2149" i="5"/>
  <c r="D2149" i="5"/>
  <c r="B2149" i="5"/>
  <c r="Q2148" i="5"/>
  <c r="P2148" i="5"/>
  <c r="O2148" i="5"/>
  <c r="N2148" i="5"/>
  <c r="K2148" i="5"/>
  <c r="H2148" i="5"/>
  <c r="J2148" i="5" s="1"/>
  <c r="I2148" i="5" s="1"/>
  <c r="E2148" i="5"/>
  <c r="D2148" i="5"/>
  <c r="B2148" i="5"/>
  <c r="Q2147" i="5"/>
  <c r="P2147" i="5"/>
  <c r="O2147" i="5"/>
  <c r="N2147" i="5"/>
  <c r="K2147" i="5"/>
  <c r="H2147" i="5"/>
  <c r="J2147" i="5" s="1"/>
  <c r="I2147" i="5" s="1"/>
  <c r="E2147" i="5"/>
  <c r="D2147" i="5"/>
  <c r="B2147" i="5"/>
  <c r="Q2146" i="5"/>
  <c r="P2146" i="5"/>
  <c r="O2146" i="5"/>
  <c r="N2146" i="5"/>
  <c r="K2146" i="5"/>
  <c r="H2146" i="5"/>
  <c r="E2146" i="5"/>
  <c r="D2146" i="5"/>
  <c r="B2146" i="5"/>
  <c r="Q2145" i="5"/>
  <c r="P2145" i="5"/>
  <c r="O2145" i="5"/>
  <c r="N2145" i="5"/>
  <c r="K2145" i="5"/>
  <c r="H2145" i="5"/>
  <c r="E2145" i="5"/>
  <c r="D2145" i="5"/>
  <c r="B2145" i="5"/>
  <c r="Q2144" i="5"/>
  <c r="P2144" i="5"/>
  <c r="O2144" i="5"/>
  <c r="N2144" i="5"/>
  <c r="K2144" i="5"/>
  <c r="H2144" i="5"/>
  <c r="J2144" i="5" s="1"/>
  <c r="I2144" i="5" s="1"/>
  <c r="E2144" i="5"/>
  <c r="D2144" i="5"/>
  <c r="B2144" i="5"/>
  <c r="Q2143" i="5"/>
  <c r="P2143" i="5"/>
  <c r="O2143" i="5"/>
  <c r="N2143" i="5"/>
  <c r="K2143" i="5"/>
  <c r="H2143" i="5"/>
  <c r="J2143" i="5" s="1"/>
  <c r="I2143" i="5" s="1"/>
  <c r="E2143" i="5"/>
  <c r="D2143" i="5"/>
  <c r="B2143" i="5"/>
  <c r="Q2142" i="5"/>
  <c r="P2142" i="5"/>
  <c r="O2142" i="5"/>
  <c r="N2142" i="5"/>
  <c r="K2142" i="5"/>
  <c r="H2142" i="5"/>
  <c r="G2142" i="5" s="1"/>
  <c r="E2142" i="5"/>
  <c r="D2142" i="5"/>
  <c r="B2142" i="5"/>
  <c r="Q2141" i="5"/>
  <c r="P2141" i="5"/>
  <c r="O2141" i="5"/>
  <c r="N2141" i="5"/>
  <c r="K2141" i="5"/>
  <c r="H2141" i="5"/>
  <c r="G2141" i="5" s="1"/>
  <c r="E2141" i="5"/>
  <c r="D2141" i="5"/>
  <c r="B2141" i="5"/>
  <c r="Q2140" i="5"/>
  <c r="P2140" i="5"/>
  <c r="O2140" i="5"/>
  <c r="N2140" i="5"/>
  <c r="K2140" i="5"/>
  <c r="H2140" i="5"/>
  <c r="J2140" i="5" s="1"/>
  <c r="I2140" i="5" s="1"/>
  <c r="E2140" i="5"/>
  <c r="D2140" i="5"/>
  <c r="B2140" i="5"/>
  <c r="Q2139" i="5"/>
  <c r="P2139" i="5"/>
  <c r="O2139" i="5"/>
  <c r="N2139" i="5"/>
  <c r="K2139" i="5"/>
  <c r="H2139" i="5"/>
  <c r="J2139" i="5" s="1"/>
  <c r="I2139" i="5" s="1"/>
  <c r="E2139" i="5"/>
  <c r="D2139" i="5"/>
  <c r="B2139" i="5"/>
  <c r="Q2138" i="5"/>
  <c r="P2138" i="5"/>
  <c r="O2138" i="5"/>
  <c r="N2138" i="5"/>
  <c r="K2138" i="5"/>
  <c r="H2138" i="5"/>
  <c r="J2138" i="5" s="1"/>
  <c r="I2138" i="5" s="1"/>
  <c r="E2138" i="5"/>
  <c r="D2138" i="5"/>
  <c r="B2138" i="5"/>
  <c r="Q2137" i="5"/>
  <c r="P2137" i="5"/>
  <c r="O2137" i="5"/>
  <c r="N2137" i="5"/>
  <c r="K2137" i="5"/>
  <c r="H2137" i="5"/>
  <c r="G2137" i="5" s="1"/>
  <c r="E2137" i="5"/>
  <c r="D2137" i="5"/>
  <c r="B2137" i="5"/>
  <c r="Q2136" i="5"/>
  <c r="P2136" i="5"/>
  <c r="O2136" i="5"/>
  <c r="N2136" i="5"/>
  <c r="K2136" i="5"/>
  <c r="H2136" i="5"/>
  <c r="G2136" i="5" s="1"/>
  <c r="E2136" i="5"/>
  <c r="D2136" i="5"/>
  <c r="B2136" i="5"/>
  <c r="Q2135" i="5"/>
  <c r="P2135" i="5"/>
  <c r="O2135" i="5"/>
  <c r="N2135" i="5"/>
  <c r="K2135" i="5"/>
  <c r="H2135" i="5"/>
  <c r="E2135" i="5"/>
  <c r="D2135" i="5"/>
  <c r="B2135" i="5"/>
  <c r="Q2134" i="5"/>
  <c r="P2134" i="5"/>
  <c r="R2134" i="5" s="1"/>
  <c r="O2134" i="5"/>
  <c r="N2134" i="5"/>
  <c r="K2134" i="5"/>
  <c r="H2134" i="5"/>
  <c r="E2134" i="5"/>
  <c r="D2134" i="5"/>
  <c r="B2134" i="5"/>
  <c r="Q2133" i="5"/>
  <c r="P2133" i="5"/>
  <c r="O2133" i="5"/>
  <c r="N2133" i="5"/>
  <c r="K2133" i="5"/>
  <c r="H2133" i="5"/>
  <c r="G2133" i="5" s="1"/>
  <c r="E2133" i="5"/>
  <c r="D2133" i="5"/>
  <c r="B2133" i="5"/>
  <c r="Q2132" i="5"/>
  <c r="P2132" i="5"/>
  <c r="O2132" i="5"/>
  <c r="N2132" i="5"/>
  <c r="K2132" i="5"/>
  <c r="H2132" i="5"/>
  <c r="J2132" i="5" s="1"/>
  <c r="I2132" i="5" s="1"/>
  <c r="E2132" i="5"/>
  <c r="D2132" i="5"/>
  <c r="B2132" i="5"/>
  <c r="Q2131" i="5"/>
  <c r="P2131" i="5"/>
  <c r="O2131" i="5"/>
  <c r="N2131" i="5"/>
  <c r="K2131" i="5"/>
  <c r="H2131" i="5"/>
  <c r="J2131" i="5" s="1"/>
  <c r="I2131" i="5" s="1"/>
  <c r="E2131" i="5"/>
  <c r="D2131" i="5"/>
  <c r="B2131" i="5"/>
  <c r="Q2130" i="5"/>
  <c r="P2130" i="5"/>
  <c r="O2130" i="5"/>
  <c r="N2130" i="5"/>
  <c r="K2130" i="5"/>
  <c r="H2130" i="5"/>
  <c r="J2130" i="5" s="1"/>
  <c r="I2130" i="5" s="1"/>
  <c r="E2130" i="5"/>
  <c r="D2130" i="5"/>
  <c r="B2130" i="5"/>
  <c r="Q2129" i="5"/>
  <c r="P2129" i="5"/>
  <c r="O2129" i="5"/>
  <c r="N2129" i="5"/>
  <c r="K2129" i="5"/>
  <c r="H2129" i="5"/>
  <c r="E2129" i="5"/>
  <c r="D2129" i="5"/>
  <c r="B2129" i="5"/>
  <c r="Q2128" i="5"/>
  <c r="P2128" i="5"/>
  <c r="O2128" i="5"/>
  <c r="N2128" i="5"/>
  <c r="K2128" i="5"/>
  <c r="H2128" i="5"/>
  <c r="J2128" i="5" s="1"/>
  <c r="I2128" i="5" s="1"/>
  <c r="E2128" i="5"/>
  <c r="D2128" i="5"/>
  <c r="B2128" i="5"/>
  <c r="Q2127" i="5"/>
  <c r="P2127" i="5"/>
  <c r="O2127" i="5"/>
  <c r="N2127" i="5"/>
  <c r="K2127" i="5"/>
  <c r="H2127" i="5"/>
  <c r="E2127" i="5"/>
  <c r="D2127" i="5"/>
  <c r="B2127" i="5"/>
  <c r="Q2126" i="5"/>
  <c r="P2126" i="5"/>
  <c r="O2126" i="5"/>
  <c r="N2126" i="5"/>
  <c r="K2126" i="5"/>
  <c r="H2126" i="5"/>
  <c r="G2126" i="5" s="1"/>
  <c r="E2126" i="5"/>
  <c r="D2126" i="5"/>
  <c r="B2126" i="5"/>
  <c r="Q2125" i="5"/>
  <c r="P2125" i="5"/>
  <c r="O2125" i="5"/>
  <c r="N2125" i="5"/>
  <c r="K2125" i="5"/>
  <c r="H2125" i="5"/>
  <c r="J2125" i="5" s="1"/>
  <c r="I2125" i="5" s="1"/>
  <c r="E2125" i="5"/>
  <c r="D2125" i="5"/>
  <c r="B2125" i="5"/>
  <c r="Q2124" i="5"/>
  <c r="P2124" i="5"/>
  <c r="O2124" i="5"/>
  <c r="N2124" i="5"/>
  <c r="K2124" i="5"/>
  <c r="H2124" i="5"/>
  <c r="J2124" i="5" s="1"/>
  <c r="I2124" i="5" s="1"/>
  <c r="E2124" i="5"/>
  <c r="D2124" i="5"/>
  <c r="B2124" i="5"/>
  <c r="Q2123" i="5"/>
  <c r="P2123" i="5"/>
  <c r="O2123" i="5"/>
  <c r="N2123" i="5"/>
  <c r="K2123" i="5"/>
  <c r="H2123" i="5"/>
  <c r="J2123" i="5" s="1"/>
  <c r="I2123" i="5" s="1"/>
  <c r="E2123" i="5"/>
  <c r="D2123" i="5"/>
  <c r="B2123" i="5"/>
  <c r="Q2122" i="5"/>
  <c r="P2122" i="5"/>
  <c r="O2122" i="5"/>
  <c r="N2122" i="5"/>
  <c r="K2122" i="5"/>
  <c r="H2122" i="5"/>
  <c r="E2122" i="5"/>
  <c r="D2122" i="5"/>
  <c r="B2122" i="5"/>
  <c r="Q2121" i="5"/>
  <c r="P2121" i="5"/>
  <c r="O2121" i="5"/>
  <c r="N2121" i="5"/>
  <c r="K2121" i="5"/>
  <c r="H2121" i="5"/>
  <c r="E2121" i="5"/>
  <c r="D2121" i="5"/>
  <c r="B2121" i="5"/>
  <c r="Q2120" i="5"/>
  <c r="P2120" i="5"/>
  <c r="O2120" i="5"/>
  <c r="N2120" i="5"/>
  <c r="K2120" i="5"/>
  <c r="H2120" i="5"/>
  <c r="J2120" i="5" s="1"/>
  <c r="I2120" i="5" s="1"/>
  <c r="E2120" i="5"/>
  <c r="D2120" i="5"/>
  <c r="B2120" i="5"/>
  <c r="Q2119" i="5"/>
  <c r="P2119" i="5"/>
  <c r="O2119" i="5"/>
  <c r="N2119" i="5"/>
  <c r="K2119" i="5"/>
  <c r="H2119" i="5"/>
  <c r="J2119" i="5" s="1"/>
  <c r="I2119" i="5" s="1"/>
  <c r="E2119" i="5"/>
  <c r="D2119" i="5"/>
  <c r="B2119" i="5"/>
  <c r="Q2118" i="5"/>
  <c r="P2118" i="5"/>
  <c r="O2118" i="5"/>
  <c r="N2118" i="5"/>
  <c r="K2118" i="5"/>
  <c r="H2118" i="5"/>
  <c r="J2118" i="5" s="1"/>
  <c r="I2118" i="5" s="1"/>
  <c r="E2118" i="5"/>
  <c r="D2118" i="5"/>
  <c r="B2118" i="5"/>
  <c r="Q2117" i="5"/>
  <c r="P2117" i="5"/>
  <c r="O2117" i="5"/>
  <c r="N2117" i="5"/>
  <c r="K2117" i="5"/>
  <c r="H2117" i="5"/>
  <c r="J2117" i="5" s="1"/>
  <c r="I2117" i="5" s="1"/>
  <c r="E2117" i="5"/>
  <c r="D2117" i="5"/>
  <c r="B2117" i="5"/>
  <c r="Q2116" i="5"/>
  <c r="P2116" i="5"/>
  <c r="O2116" i="5"/>
  <c r="N2116" i="5"/>
  <c r="K2116" i="5"/>
  <c r="H2116" i="5"/>
  <c r="J2116" i="5" s="1"/>
  <c r="I2116" i="5" s="1"/>
  <c r="E2116" i="5"/>
  <c r="D2116" i="5"/>
  <c r="B2116" i="5"/>
  <c r="Q2115" i="5"/>
  <c r="P2115" i="5"/>
  <c r="O2115" i="5"/>
  <c r="N2115" i="5"/>
  <c r="K2115" i="5"/>
  <c r="H2115" i="5"/>
  <c r="E2115" i="5"/>
  <c r="D2115" i="5"/>
  <c r="B2115" i="5"/>
  <c r="Q2114" i="5"/>
  <c r="P2114" i="5"/>
  <c r="O2114" i="5"/>
  <c r="N2114" i="5"/>
  <c r="K2114" i="5"/>
  <c r="H2114" i="5"/>
  <c r="J2114" i="5" s="1"/>
  <c r="I2114" i="5" s="1"/>
  <c r="E2114" i="5"/>
  <c r="D2114" i="5"/>
  <c r="B2114" i="5"/>
  <c r="Q2113" i="5"/>
  <c r="P2113" i="5"/>
  <c r="O2113" i="5"/>
  <c r="N2113" i="5"/>
  <c r="K2113" i="5"/>
  <c r="H2113" i="5"/>
  <c r="E2113" i="5"/>
  <c r="D2113" i="5"/>
  <c r="B2113" i="5"/>
  <c r="Q2112" i="5"/>
  <c r="P2112" i="5"/>
  <c r="O2112" i="5"/>
  <c r="N2112" i="5"/>
  <c r="K2112" i="5"/>
  <c r="H2112" i="5"/>
  <c r="J2112" i="5" s="1"/>
  <c r="I2112" i="5" s="1"/>
  <c r="E2112" i="5"/>
  <c r="D2112" i="5"/>
  <c r="B2112" i="5"/>
  <c r="Q2111" i="5"/>
  <c r="P2111" i="5"/>
  <c r="R2111" i="5" s="1"/>
  <c r="O2111" i="5"/>
  <c r="N2111" i="5"/>
  <c r="K2111" i="5"/>
  <c r="H2111" i="5"/>
  <c r="E2111" i="5"/>
  <c r="D2111" i="5"/>
  <c r="B2111" i="5"/>
  <c r="Q2110" i="5"/>
  <c r="P2110" i="5"/>
  <c r="O2110" i="5"/>
  <c r="N2110" i="5"/>
  <c r="K2110" i="5"/>
  <c r="H2110" i="5"/>
  <c r="G2110" i="5" s="1"/>
  <c r="E2110" i="5"/>
  <c r="D2110" i="5"/>
  <c r="B2110" i="5"/>
  <c r="Q2109" i="5"/>
  <c r="P2109" i="5"/>
  <c r="O2109" i="5"/>
  <c r="N2109" i="5"/>
  <c r="K2109" i="5"/>
  <c r="H2109" i="5"/>
  <c r="G2109" i="5" s="1"/>
  <c r="E2109" i="5"/>
  <c r="D2109" i="5"/>
  <c r="B2109" i="5"/>
  <c r="Q2108" i="5"/>
  <c r="P2108" i="5"/>
  <c r="O2108" i="5"/>
  <c r="N2108" i="5"/>
  <c r="K2108" i="5"/>
  <c r="H2108" i="5"/>
  <c r="E2108" i="5"/>
  <c r="D2108" i="5"/>
  <c r="B2108" i="5"/>
  <c r="Q2107" i="5"/>
  <c r="P2107" i="5"/>
  <c r="O2107" i="5"/>
  <c r="N2107" i="5"/>
  <c r="K2107" i="5"/>
  <c r="H2107" i="5"/>
  <c r="J2107" i="5" s="1"/>
  <c r="I2107" i="5" s="1"/>
  <c r="E2107" i="5"/>
  <c r="D2107" i="5"/>
  <c r="B2107" i="5"/>
  <c r="Q2106" i="5"/>
  <c r="P2106" i="5"/>
  <c r="O2106" i="5"/>
  <c r="N2106" i="5"/>
  <c r="K2106" i="5"/>
  <c r="H2106" i="5"/>
  <c r="E2106" i="5"/>
  <c r="D2106" i="5"/>
  <c r="B2106" i="5"/>
  <c r="Q2105" i="5"/>
  <c r="P2105" i="5"/>
  <c r="O2105" i="5"/>
  <c r="N2105" i="5"/>
  <c r="K2105" i="5"/>
  <c r="H2105" i="5"/>
  <c r="G2105" i="5" s="1"/>
  <c r="E2105" i="5"/>
  <c r="D2105" i="5"/>
  <c r="B2105" i="5"/>
  <c r="Q2104" i="5"/>
  <c r="P2104" i="5"/>
  <c r="O2104" i="5"/>
  <c r="N2104" i="5"/>
  <c r="K2104" i="5"/>
  <c r="H2104" i="5"/>
  <c r="G2104" i="5" s="1"/>
  <c r="E2104" i="5"/>
  <c r="D2104" i="5"/>
  <c r="B2104" i="5"/>
  <c r="Q2103" i="5"/>
  <c r="P2103" i="5"/>
  <c r="O2103" i="5"/>
  <c r="N2103" i="5"/>
  <c r="K2103" i="5"/>
  <c r="H2103" i="5"/>
  <c r="J2103" i="5" s="1"/>
  <c r="I2103" i="5" s="1"/>
  <c r="E2103" i="5"/>
  <c r="D2103" i="5"/>
  <c r="B2103" i="5"/>
  <c r="Q2102" i="5"/>
  <c r="P2102" i="5"/>
  <c r="O2102" i="5"/>
  <c r="N2102" i="5"/>
  <c r="K2102" i="5"/>
  <c r="H2102" i="5"/>
  <c r="E2102" i="5"/>
  <c r="D2102" i="5"/>
  <c r="B2102" i="5"/>
  <c r="Q2101" i="5"/>
  <c r="P2101" i="5"/>
  <c r="O2101" i="5"/>
  <c r="N2101" i="5"/>
  <c r="K2101" i="5"/>
  <c r="H2101" i="5"/>
  <c r="G2101" i="5" s="1"/>
  <c r="E2101" i="5"/>
  <c r="D2101" i="5"/>
  <c r="B2101" i="5"/>
  <c r="Q2100" i="5"/>
  <c r="P2100" i="5"/>
  <c r="O2100" i="5"/>
  <c r="N2100" i="5"/>
  <c r="K2100" i="5"/>
  <c r="H2100" i="5"/>
  <c r="J2100" i="5" s="1"/>
  <c r="I2100" i="5" s="1"/>
  <c r="E2100" i="5"/>
  <c r="D2100" i="5"/>
  <c r="B2100" i="5"/>
  <c r="Q2099" i="5"/>
  <c r="P2099" i="5"/>
  <c r="O2099" i="5"/>
  <c r="N2099" i="5"/>
  <c r="K2099" i="5"/>
  <c r="H2099" i="5"/>
  <c r="J2099" i="5" s="1"/>
  <c r="I2099" i="5" s="1"/>
  <c r="E2099" i="5"/>
  <c r="D2099" i="5"/>
  <c r="B2099" i="5"/>
  <c r="Q2098" i="5"/>
  <c r="P2098" i="5"/>
  <c r="O2098" i="5"/>
  <c r="N2098" i="5"/>
  <c r="K2098" i="5"/>
  <c r="H2098" i="5"/>
  <c r="J2098" i="5" s="1"/>
  <c r="I2098" i="5" s="1"/>
  <c r="E2098" i="5"/>
  <c r="D2098" i="5"/>
  <c r="B2098" i="5"/>
  <c r="Q2097" i="5"/>
  <c r="P2097" i="5"/>
  <c r="O2097" i="5"/>
  <c r="N2097" i="5"/>
  <c r="K2097" i="5"/>
  <c r="H2097" i="5"/>
  <c r="J2097" i="5" s="1"/>
  <c r="I2097" i="5" s="1"/>
  <c r="E2097" i="5"/>
  <c r="D2097" i="5"/>
  <c r="B2097" i="5"/>
  <c r="Q2096" i="5"/>
  <c r="P2096" i="5"/>
  <c r="O2096" i="5"/>
  <c r="N2096" i="5"/>
  <c r="K2096" i="5"/>
  <c r="H2096" i="5"/>
  <c r="J2096" i="5" s="1"/>
  <c r="I2096" i="5" s="1"/>
  <c r="E2096" i="5"/>
  <c r="D2096" i="5"/>
  <c r="B2096" i="5"/>
  <c r="Q2095" i="5"/>
  <c r="P2095" i="5"/>
  <c r="O2095" i="5"/>
  <c r="N2095" i="5"/>
  <c r="K2095" i="5"/>
  <c r="H2095" i="5"/>
  <c r="E2095" i="5"/>
  <c r="D2095" i="5"/>
  <c r="B2095" i="5"/>
  <c r="Q2094" i="5"/>
  <c r="P2094" i="5"/>
  <c r="O2094" i="5"/>
  <c r="N2094" i="5"/>
  <c r="K2094" i="5"/>
  <c r="H2094" i="5"/>
  <c r="E2094" i="5"/>
  <c r="D2094" i="5"/>
  <c r="B2094" i="5"/>
  <c r="Q2093" i="5"/>
  <c r="P2093" i="5"/>
  <c r="O2093" i="5"/>
  <c r="N2093" i="5"/>
  <c r="K2093" i="5"/>
  <c r="H2093" i="5"/>
  <c r="G2093" i="5" s="1"/>
  <c r="E2093" i="5"/>
  <c r="D2093" i="5"/>
  <c r="B2093" i="5"/>
  <c r="Q2092" i="5"/>
  <c r="P2092" i="5"/>
  <c r="O2092" i="5"/>
  <c r="N2092" i="5"/>
  <c r="K2092" i="5"/>
  <c r="H2092" i="5"/>
  <c r="E2092" i="5"/>
  <c r="D2092" i="5"/>
  <c r="B2092" i="5"/>
  <c r="Q2091" i="5"/>
  <c r="P2091" i="5"/>
  <c r="O2091" i="5"/>
  <c r="N2091" i="5"/>
  <c r="K2091" i="5"/>
  <c r="H2091" i="5"/>
  <c r="G2091" i="5" s="1"/>
  <c r="E2091" i="5"/>
  <c r="D2091" i="5"/>
  <c r="B2091" i="5"/>
  <c r="Q2090" i="5"/>
  <c r="P2090" i="5"/>
  <c r="R2090" i="5" s="1"/>
  <c r="O2090" i="5"/>
  <c r="N2090" i="5"/>
  <c r="K2090" i="5"/>
  <c r="H2090" i="5"/>
  <c r="E2090" i="5"/>
  <c r="D2090" i="5"/>
  <c r="B2090" i="5"/>
  <c r="Q2089" i="5"/>
  <c r="P2089" i="5"/>
  <c r="O2089" i="5"/>
  <c r="N2089" i="5"/>
  <c r="K2089" i="5"/>
  <c r="H2089" i="5"/>
  <c r="E2089" i="5"/>
  <c r="D2089" i="5"/>
  <c r="B2089" i="5"/>
  <c r="Q2088" i="5"/>
  <c r="P2088" i="5"/>
  <c r="O2088" i="5"/>
  <c r="N2088" i="5"/>
  <c r="K2088" i="5"/>
  <c r="H2088" i="5"/>
  <c r="J2088" i="5" s="1"/>
  <c r="I2088" i="5" s="1"/>
  <c r="E2088" i="5"/>
  <c r="D2088" i="5"/>
  <c r="B2088" i="5"/>
  <c r="Q2087" i="5"/>
  <c r="P2087" i="5"/>
  <c r="O2087" i="5"/>
  <c r="N2087" i="5"/>
  <c r="K2087" i="5"/>
  <c r="H2087" i="5"/>
  <c r="G2087" i="5" s="1"/>
  <c r="E2087" i="5"/>
  <c r="D2087" i="5"/>
  <c r="B2087" i="5"/>
  <c r="Q2086" i="5"/>
  <c r="P2086" i="5"/>
  <c r="O2086" i="5"/>
  <c r="N2086" i="5"/>
  <c r="K2086" i="5"/>
  <c r="H2086" i="5"/>
  <c r="J2086" i="5" s="1"/>
  <c r="I2086" i="5" s="1"/>
  <c r="E2086" i="5"/>
  <c r="D2086" i="5"/>
  <c r="B2086" i="5"/>
  <c r="Q2085" i="5"/>
  <c r="P2085" i="5"/>
  <c r="O2085" i="5"/>
  <c r="N2085" i="5"/>
  <c r="K2085" i="5"/>
  <c r="H2085" i="5"/>
  <c r="E2085" i="5"/>
  <c r="D2085" i="5"/>
  <c r="B2085" i="5"/>
  <c r="Q2084" i="5"/>
  <c r="P2084" i="5"/>
  <c r="O2084" i="5"/>
  <c r="N2084" i="5"/>
  <c r="K2084" i="5"/>
  <c r="H2084" i="5"/>
  <c r="J2084" i="5" s="1"/>
  <c r="I2084" i="5" s="1"/>
  <c r="E2084" i="5"/>
  <c r="D2084" i="5"/>
  <c r="B2084" i="5"/>
  <c r="Q2083" i="5"/>
  <c r="P2083" i="5"/>
  <c r="O2083" i="5"/>
  <c r="N2083" i="5"/>
  <c r="K2083" i="5"/>
  <c r="H2083" i="5"/>
  <c r="J2083" i="5" s="1"/>
  <c r="I2083" i="5" s="1"/>
  <c r="E2083" i="5"/>
  <c r="D2083" i="5"/>
  <c r="B2083" i="5"/>
  <c r="Q2082" i="5"/>
  <c r="P2082" i="5"/>
  <c r="O2082" i="5"/>
  <c r="N2082" i="5"/>
  <c r="K2082" i="5"/>
  <c r="H2082" i="5"/>
  <c r="G2082" i="5" s="1"/>
  <c r="E2082" i="5"/>
  <c r="D2082" i="5"/>
  <c r="B2082" i="5"/>
  <c r="Q2081" i="5"/>
  <c r="P2081" i="5"/>
  <c r="O2081" i="5"/>
  <c r="N2081" i="5"/>
  <c r="K2081" i="5"/>
  <c r="H2081" i="5"/>
  <c r="J2081" i="5" s="1"/>
  <c r="I2081" i="5" s="1"/>
  <c r="E2081" i="5"/>
  <c r="D2081" i="5"/>
  <c r="B2081" i="5"/>
  <c r="Q2080" i="5"/>
  <c r="P2080" i="5"/>
  <c r="O2080" i="5"/>
  <c r="N2080" i="5"/>
  <c r="K2080" i="5"/>
  <c r="H2080" i="5"/>
  <c r="J2080" i="5" s="1"/>
  <c r="I2080" i="5" s="1"/>
  <c r="E2080" i="5"/>
  <c r="D2080" i="5"/>
  <c r="B2080" i="5"/>
  <c r="Q2079" i="5"/>
  <c r="P2079" i="5"/>
  <c r="O2079" i="5"/>
  <c r="N2079" i="5"/>
  <c r="K2079" i="5"/>
  <c r="H2079" i="5"/>
  <c r="E2079" i="5"/>
  <c r="D2079" i="5"/>
  <c r="B2079" i="5"/>
  <c r="Q2078" i="5"/>
  <c r="P2078" i="5"/>
  <c r="O2078" i="5"/>
  <c r="N2078" i="5"/>
  <c r="K2078" i="5"/>
  <c r="H2078" i="5"/>
  <c r="G2078" i="5" s="1"/>
  <c r="E2078" i="5"/>
  <c r="D2078" i="5"/>
  <c r="B2078" i="5"/>
  <c r="Q2077" i="5"/>
  <c r="P2077" i="5"/>
  <c r="O2077" i="5"/>
  <c r="N2077" i="5"/>
  <c r="K2077" i="5"/>
  <c r="H2077" i="5"/>
  <c r="J2077" i="5" s="1"/>
  <c r="I2077" i="5" s="1"/>
  <c r="E2077" i="5"/>
  <c r="D2077" i="5"/>
  <c r="B2077" i="5"/>
  <c r="Q2076" i="5"/>
  <c r="P2076" i="5"/>
  <c r="O2076" i="5"/>
  <c r="N2076" i="5"/>
  <c r="K2076" i="5"/>
  <c r="H2076" i="5"/>
  <c r="E2076" i="5"/>
  <c r="D2076" i="5"/>
  <c r="B2076" i="5"/>
  <c r="Q2075" i="5"/>
  <c r="P2075" i="5"/>
  <c r="O2075" i="5"/>
  <c r="N2075" i="5"/>
  <c r="K2075" i="5"/>
  <c r="H2075" i="5"/>
  <c r="J2075" i="5" s="1"/>
  <c r="I2075" i="5" s="1"/>
  <c r="E2075" i="5"/>
  <c r="D2075" i="5"/>
  <c r="B2075" i="5"/>
  <c r="Q2074" i="5"/>
  <c r="P2074" i="5"/>
  <c r="R2074" i="5" s="1"/>
  <c r="O2074" i="5"/>
  <c r="N2074" i="5"/>
  <c r="K2074" i="5"/>
  <c r="H2074" i="5"/>
  <c r="J2074" i="5" s="1"/>
  <c r="I2074" i="5" s="1"/>
  <c r="E2074" i="5"/>
  <c r="D2074" i="5"/>
  <c r="B2074" i="5"/>
  <c r="Q2073" i="5"/>
  <c r="P2073" i="5"/>
  <c r="O2073" i="5"/>
  <c r="N2073" i="5"/>
  <c r="K2073" i="5"/>
  <c r="H2073" i="5"/>
  <c r="J2073" i="5" s="1"/>
  <c r="I2073" i="5" s="1"/>
  <c r="G2073" i="5"/>
  <c r="E2073" i="5"/>
  <c r="D2073" i="5"/>
  <c r="B2073" i="5"/>
  <c r="Q2072" i="5"/>
  <c r="P2072" i="5"/>
  <c r="O2072" i="5"/>
  <c r="N2072" i="5"/>
  <c r="K2072" i="5"/>
  <c r="H2072" i="5"/>
  <c r="E2072" i="5"/>
  <c r="D2072" i="5"/>
  <c r="B2072" i="5"/>
  <c r="Q2071" i="5"/>
  <c r="P2071" i="5"/>
  <c r="O2071" i="5"/>
  <c r="N2071" i="5"/>
  <c r="K2071" i="5"/>
  <c r="H2071" i="5"/>
  <c r="E2071" i="5"/>
  <c r="D2071" i="5"/>
  <c r="B2071" i="5"/>
  <c r="Q2070" i="5"/>
  <c r="P2070" i="5"/>
  <c r="O2070" i="5"/>
  <c r="N2070" i="5"/>
  <c r="K2070" i="5"/>
  <c r="H2070" i="5"/>
  <c r="J2070" i="5" s="1"/>
  <c r="I2070" i="5" s="1"/>
  <c r="E2070" i="5"/>
  <c r="D2070" i="5"/>
  <c r="B2070" i="5"/>
  <c r="Q2069" i="5"/>
  <c r="P2069" i="5"/>
  <c r="R2069" i="5" s="1"/>
  <c r="O2069" i="5"/>
  <c r="N2069" i="5"/>
  <c r="K2069" i="5"/>
  <c r="H2069" i="5"/>
  <c r="J2069" i="5" s="1"/>
  <c r="I2069" i="5" s="1"/>
  <c r="E2069" i="5"/>
  <c r="D2069" i="5"/>
  <c r="B2069" i="5"/>
  <c r="Q2068" i="5"/>
  <c r="P2068" i="5"/>
  <c r="O2068" i="5"/>
  <c r="N2068" i="5"/>
  <c r="K2068" i="5"/>
  <c r="H2068" i="5"/>
  <c r="G2068" i="5" s="1"/>
  <c r="E2068" i="5"/>
  <c r="D2068" i="5"/>
  <c r="B2068" i="5"/>
  <c r="Q2067" i="5"/>
  <c r="P2067" i="5"/>
  <c r="R2067" i="5" s="1"/>
  <c r="O2067" i="5"/>
  <c r="N2067" i="5"/>
  <c r="K2067" i="5"/>
  <c r="H2067" i="5"/>
  <c r="J2067" i="5" s="1"/>
  <c r="I2067" i="5" s="1"/>
  <c r="E2067" i="5"/>
  <c r="D2067" i="5"/>
  <c r="B2067" i="5"/>
  <c r="Q2066" i="5"/>
  <c r="P2066" i="5"/>
  <c r="O2066" i="5"/>
  <c r="N2066" i="5"/>
  <c r="K2066" i="5"/>
  <c r="H2066" i="5"/>
  <c r="E2066" i="5"/>
  <c r="D2066" i="5"/>
  <c r="B2066" i="5"/>
  <c r="Q2065" i="5"/>
  <c r="P2065" i="5"/>
  <c r="O2065" i="5"/>
  <c r="N2065" i="5"/>
  <c r="K2065" i="5"/>
  <c r="H2065" i="5"/>
  <c r="J2065" i="5" s="1"/>
  <c r="I2065" i="5" s="1"/>
  <c r="E2065" i="5"/>
  <c r="D2065" i="5"/>
  <c r="B2065" i="5"/>
  <c r="Q2064" i="5"/>
  <c r="P2064" i="5"/>
  <c r="O2064" i="5"/>
  <c r="N2064" i="5"/>
  <c r="K2064" i="5"/>
  <c r="H2064" i="5"/>
  <c r="J2064" i="5" s="1"/>
  <c r="I2064" i="5" s="1"/>
  <c r="E2064" i="5"/>
  <c r="D2064" i="5"/>
  <c r="B2064" i="5"/>
  <c r="Q2063" i="5"/>
  <c r="P2063" i="5"/>
  <c r="O2063" i="5"/>
  <c r="N2063" i="5"/>
  <c r="K2063" i="5"/>
  <c r="H2063" i="5"/>
  <c r="J2063" i="5" s="1"/>
  <c r="I2063" i="5" s="1"/>
  <c r="E2063" i="5"/>
  <c r="D2063" i="5"/>
  <c r="B2063" i="5"/>
  <c r="Q2062" i="5"/>
  <c r="P2062" i="5"/>
  <c r="O2062" i="5"/>
  <c r="N2062" i="5"/>
  <c r="K2062" i="5"/>
  <c r="H2062" i="5"/>
  <c r="E2062" i="5"/>
  <c r="D2062" i="5"/>
  <c r="B2062" i="5"/>
  <c r="Q2061" i="5"/>
  <c r="P2061" i="5"/>
  <c r="O2061" i="5"/>
  <c r="N2061" i="5"/>
  <c r="K2061" i="5"/>
  <c r="H2061" i="5"/>
  <c r="J2061" i="5" s="1"/>
  <c r="I2061" i="5" s="1"/>
  <c r="E2061" i="5"/>
  <c r="D2061" i="5"/>
  <c r="B2061" i="5"/>
  <c r="Q2060" i="5"/>
  <c r="P2060" i="5"/>
  <c r="O2060" i="5"/>
  <c r="N2060" i="5"/>
  <c r="K2060" i="5"/>
  <c r="H2060" i="5"/>
  <c r="J2060" i="5" s="1"/>
  <c r="I2060" i="5" s="1"/>
  <c r="E2060" i="5"/>
  <c r="D2060" i="5"/>
  <c r="B2060" i="5"/>
  <c r="Q2059" i="5"/>
  <c r="P2059" i="5"/>
  <c r="O2059" i="5"/>
  <c r="N2059" i="5"/>
  <c r="K2059" i="5"/>
  <c r="H2059" i="5"/>
  <c r="G2059" i="5" s="1"/>
  <c r="E2059" i="5"/>
  <c r="D2059" i="5"/>
  <c r="B2059" i="5"/>
  <c r="Q2058" i="5"/>
  <c r="P2058" i="5"/>
  <c r="O2058" i="5"/>
  <c r="N2058" i="5"/>
  <c r="K2058" i="5"/>
  <c r="H2058" i="5"/>
  <c r="E2058" i="5"/>
  <c r="D2058" i="5"/>
  <c r="B2058" i="5"/>
  <c r="Q2057" i="5"/>
  <c r="P2057" i="5"/>
  <c r="O2057" i="5"/>
  <c r="N2057" i="5"/>
  <c r="K2057" i="5"/>
  <c r="H2057" i="5"/>
  <c r="J2057" i="5" s="1"/>
  <c r="I2057" i="5" s="1"/>
  <c r="E2057" i="5"/>
  <c r="D2057" i="5"/>
  <c r="B2057" i="5"/>
  <c r="Q2056" i="5"/>
  <c r="P2056" i="5"/>
  <c r="O2056" i="5"/>
  <c r="N2056" i="5"/>
  <c r="K2056" i="5"/>
  <c r="H2056" i="5"/>
  <c r="E2056" i="5"/>
  <c r="D2056" i="5"/>
  <c r="B2056" i="5"/>
  <c r="Q2055" i="5"/>
  <c r="P2055" i="5"/>
  <c r="O2055" i="5"/>
  <c r="N2055" i="5"/>
  <c r="K2055" i="5"/>
  <c r="H2055" i="5"/>
  <c r="J2055" i="5" s="1"/>
  <c r="I2055" i="5" s="1"/>
  <c r="E2055" i="5"/>
  <c r="D2055" i="5"/>
  <c r="B2055" i="5"/>
  <c r="Q2054" i="5"/>
  <c r="P2054" i="5"/>
  <c r="O2054" i="5"/>
  <c r="N2054" i="5"/>
  <c r="K2054" i="5"/>
  <c r="H2054" i="5"/>
  <c r="J2054" i="5" s="1"/>
  <c r="I2054" i="5" s="1"/>
  <c r="E2054" i="5"/>
  <c r="D2054" i="5"/>
  <c r="B2054" i="5"/>
  <c r="Q2053" i="5"/>
  <c r="P2053" i="5"/>
  <c r="O2053" i="5"/>
  <c r="N2053" i="5"/>
  <c r="K2053" i="5"/>
  <c r="H2053" i="5"/>
  <c r="G2053" i="5" s="1"/>
  <c r="E2053" i="5"/>
  <c r="D2053" i="5"/>
  <c r="B2053" i="5"/>
  <c r="Q2052" i="5"/>
  <c r="P2052" i="5"/>
  <c r="O2052" i="5"/>
  <c r="N2052" i="5"/>
  <c r="K2052" i="5"/>
  <c r="H2052" i="5"/>
  <c r="E2052" i="5"/>
  <c r="D2052" i="5"/>
  <c r="B2052" i="5"/>
  <c r="Q2051" i="5"/>
  <c r="P2051" i="5"/>
  <c r="O2051" i="5"/>
  <c r="N2051" i="5"/>
  <c r="K2051" i="5"/>
  <c r="H2051" i="5"/>
  <c r="J2051" i="5" s="1"/>
  <c r="I2051" i="5" s="1"/>
  <c r="E2051" i="5"/>
  <c r="D2051" i="5"/>
  <c r="B2051" i="5"/>
  <c r="Q2050" i="5"/>
  <c r="P2050" i="5"/>
  <c r="O2050" i="5"/>
  <c r="N2050" i="5"/>
  <c r="K2050" i="5"/>
  <c r="H2050" i="5"/>
  <c r="J2050" i="5" s="1"/>
  <c r="I2050" i="5" s="1"/>
  <c r="E2050" i="5"/>
  <c r="D2050" i="5"/>
  <c r="B2050" i="5"/>
  <c r="Q2049" i="5"/>
  <c r="P2049" i="5"/>
  <c r="O2049" i="5"/>
  <c r="N2049" i="5"/>
  <c r="K2049" i="5"/>
  <c r="H2049" i="5"/>
  <c r="G2049" i="5" s="1"/>
  <c r="E2049" i="5"/>
  <c r="D2049" i="5"/>
  <c r="B2049" i="5"/>
  <c r="Q2048" i="5"/>
  <c r="P2048" i="5"/>
  <c r="O2048" i="5"/>
  <c r="N2048" i="5"/>
  <c r="K2048" i="5"/>
  <c r="H2048" i="5"/>
  <c r="J2048" i="5" s="1"/>
  <c r="I2048" i="5" s="1"/>
  <c r="E2048" i="5"/>
  <c r="D2048" i="5"/>
  <c r="B2048" i="5"/>
  <c r="Q2047" i="5"/>
  <c r="P2047" i="5"/>
  <c r="O2047" i="5"/>
  <c r="N2047" i="5"/>
  <c r="K2047" i="5"/>
  <c r="H2047" i="5"/>
  <c r="J2047" i="5" s="1"/>
  <c r="I2047" i="5" s="1"/>
  <c r="E2047" i="5"/>
  <c r="D2047" i="5"/>
  <c r="B2047" i="5"/>
  <c r="Q2046" i="5"/>
  <c r="P2046" i="5"/>
  <c r="O2046" i="5"/>
  <c r="N2046" i="5"/>
  <c r="K2046" i="5"/>
  <c r="H2046" i="5"/>
  <c r="E2046" i="5"/>
  <c r="D2046" i="5"/>
  <c r="B2046" i="5"/>
  <c r="Q2045" i="5"/>
  <c r="P2045" i="5"/>
  <c r="O2045" i="5"/>
  <c r="N2045" i="5"/>
  <c r="K2045" i="5"/>
  <c r="H2045" i="5"/>
  <c r="E2045" i="5"/>
  <c r="D2045" i="5"/>
  <c r="B2045" i="5"/>
  <c r="Q2044" i="5"/>
  <c r="P2044" i="5"/>
  <c r="O2044" i="5"/>
  <c r="N2044" i="5"/>
  <c r="K2044" i="5"/>
  <c r="H2044" i="5"/>
  <c r="J2044" i="5" s="1"/>
  <c r="I2044" i="5" s="1"/>
  <c r="E2044" i="5"/>
  <c r="D2044" i="5"/>
  <c r="B2044" i="5"/>
  <c r="Q2043" i="5"/>
  <c r="P2043" i="5"/>
  <c r="O2043" i="5"/>
  <c r="N2043" i="5"/>
  <c r="K2043" i="5"/>
  <c r="H2043" i="5"/>
  <c r="J2043" i="5" s="1"/>
  <c r="I2043" i="5" s="1"/>
  <c r="E2043" i="5"/>
  <c r="D2043" i="5"/>
  <c r="B2043" i="5"/>
  <c r="Q2042" i="5"/>
  <c r="P2042" i="5"/>
  <c r="O2042" i="5"/>
  <c r="N2042" i="5"/>
  <c r="K2042" i="5"/>
  <c r="H2042" i="5"/>
  <c r="G2042" i="5" s="1"/>
  <c r="E2042" i="5"/>
  <c r="D2042" i="5"/>
  <c r="B2042" i="5"/>
  <c r="Q2041" i="5"/>
  <c r="P2041" i="5"/>
  <c r="O2041" i="5"/>
  <c r="N2041" i="5"/>
  <c r="K2041" i="5"/>
  <c r="H2041" i="5"/>
  <c r="G2041" i="5" s="1"/>
  <c r="E2041" i="5"/>
  <c r="D2041" i="5"/>
  <c r="B2041" i="5"/>
  <c r="Q2040" i="5"/>
  <c r="P2040" i="5"/>
  <c r="O2040" i="5"/>
  <c r="N2040" i="5"/>
  <c r="K2040" i="5"/>
  <c r="H2040" i="5"/>
  <c r="J2040" i="5" s="1"/>
  <c r="I2040" i="5" s="1"/>
  <c r="E2040" i="5"/>
  <c r="D2040" i="5"/>
  <c r="B2040" i="5"/>
  <c r="Q2039" i="5"/>
  <c r="P2039" i="5"/>
  <c r="O2039" i="5"/>
  <c r="N2039" i="5"/>
  <c r="K2039" i="5"/>
  <c r="H2039" i="5"/>
  <c r="E2039" i="5"/>
  <c r="D2039" i="5"/>
  <c r="B2039" i="5"/>
  <c r="Q2038" i="5"/>
  <c r="P2038" i="5"/>
  <c r="O2038" i="5"/>
  <c r="N2038" i="5"/>
  <c r="K2038" i="5"/>
  <c r="H2038" i="5"/>
  <c r="J2038" i="5" s="1"/>
  <c r="I2038" i="5" s="1"/>
  <c r="E2038" i="5"/>
  <c r="D2038" i="5"/>
  <c r="B2038" i="5"/>
  <c r="Q2037" i="5"/>
  <c r="P2037" i="5"/>
  <c r="O2037" i="5"/>
  <c r="N2037" i="5"/>
  <c r="K2037" i="5"/>
  <c r="H2037" i="5"/>
  <c r="J2037" i="5" s="1"/>
  <c r="I2037" i="5" s="1"/>
  <c r="E2037" i="5"/>
  <c r="D2037" i="5"/>
  <c r="B2037" i="5"/>
  <c r="Q2036" i="5"/>
  <c r="P2036" i="5"/>
  <c r="O2036" i="5"/>
  <c r="N2036" i="5"/>
  <c r="K2036" i="5"/>
  <c r="H2036" i="5"/>
  <c r="J2036" i="5" s="1"/>
  <c r="I2036" i="5" s="1"/>
  <c r="E2036" i="5"/>
  <c r="D2036" i="5"/>
  <c r="B2036" i="5"/>
  <c r="Q2035" i="5"/>
  <c r="P2035" i="5"/>
  <c r="R2035" i="5" s="1"/>
  <c r="O2035" i="5"/>
  <c r="N2035" i="5"/>
  <c r="K2035" i="5"/>
  <c r="H2035" i="5"/>
  <c r="J2035" i="5" s="1"/>
  <c r="I2035" i="5" s="1"/>
  <c r="E2035" i="5"/>
  <c r="D2035" i="5"/>
  <c r="B2035" i="5"/>
  <c r="Q2034" i="5"/>
  <c r="P2034" i="5"/>
  <c r="O2034" i="5"/>
  <c r="N2034" i="5"/>
  <c r="K2034" i="5"/>
  <c r="H2034" i="5"/>
  <c r="G2034" i="5" s="1"/>
  <c r="E2034" i="5"/>
  <c r="D2034" i="5"/>
  <c r="B2034" i="5"/>
  <c r="Q2033" i="5"/>
  <c r="P2033" i="5"/>
  <c r="O2033" i="5"/>
  <c r="N2033" i="5"/>
  <c r="K2033" i="5"/>
  <c r="H2033" i="5"/>
  <c r="J2033" i="5" s="1"/>
  <c r="I2033" i="5" s="1"/>
  <c r="E2033" i="5"/>
  <c r="D2033" i="5"/>
  <c r="B2033" i="5"/>
  <c r="Q2032" i="5"/>
  <c r="P2032" i="5"/>
  <c r="O2032" i="5"/>
  <c r="N2032" i="5"/>
  <c r="K2032" i="5"/>
  <c r="H2032" i="5"/>
  <c r="E2032" i="5"/>
  <c r="D2032" i="5"/>
  <c r="B2032" i="5"/>
  <c r="Q2031" i="5"/>
  <c r="P2031" i="5"/>
  <c r="O2031" i="5"/>
  <c r="N2031" i="5"/>
  <c r="K2031" i="5"/>
  <c r="H2031" i="5"/>
  <c r="J2031" i="5" s="1"/>
  <c r="I2031" i="5" s="1"/>
  <c r="E2031" i="5"/>
  <c r="D2031" i="5"/>
  <c r="B2031" i="5"/>
  <c r="Q2030" i="5"/>
  <c r="P2030" i="5"/>
  <c r="O2030" i="5"/>
  <c r="N2030" i="5"/>
  <c r="K2030" i="5"/>
  <c r="H2030" i="5"/>
  <c r="E2030" i="5"/>
  <c r="D2030" i="5"/>
  <c r="B2030" i="5"/>
  <c r="Q2029" i="5"/>
  <c r="P2029" i="5"/>
  <c r="O2029" i="5"/>
  <c r="N2029" i="5"/>
  <c r="K2029" i="5"/>
  <c r="H2029" i="5"/>
  <c r="E2029" i="5"/>
  <c r="D2029" i="5"/>
  <c r="B2029" i="5"/>
  <c r="Q2028" i="5"/>
  <c r="P2028" i="5"/>
  <c r="O2028" i="5"/>
  <c r="N2028" i="5"/>
  <c r="K2028" i="5"/>
  <c r="H2028" i="5"/>
  <c r="J2028" i="5" s="1"/>
  <c r="I2028" i="5" s="1"/>
  <c r="E2028" i="5"/>
  <c r="D2028" i="5"/>
  <c r="B2028" i="5"/>
  <c r="Q2027" i="5"/>
  <c r="P2027" i="5"/>
  <c r="O2027" i="5"/>
  <c r="N2027" i="5"/>
  <c r="K2027" i="5"/>
  <c r="H2027" i="5"/>
  <c r="E2027" i="5"/>
  <c r="D2027" i="5"/>
  <c r="B2027" i="5"/>
  <c r="Q2026" i="5"/>
  <c r="P2026" i="5"/>
  <c r="O2026" i="5"/>
  <c r="N2026" i="5"/>
  <c r="K2026" i="5"/>
  <c r="H2026" i="5"/>
  <c r="J2026" i="5" s="1"/>
  <c r="I2026" i="5" s="1"/>
  <c r="E2026" i="5"/>
  <c r="D2026" i="5"/>
  <c r="B2026" i="5"/>
  <c r="Q2025" i="5"/>
  <c r="P2025" i="5"/>
  <c r="O2025" i="5"/>
  <c r="N2025" i="5"/>
  <c r="K2025" i="5"/>
  <c r="H2025" i="5"/>
  <c r="J2025" i="5" s="1"/>
  <c r="I2025" i="5" s="1"/>
  <c r="E2025" i="5"/>
  <c r="D2025" i="5"/>
  <c r="B2025" i="5"/>
  <c r="Q2024" i="5"/>
  <c r="P2024" i="5"/>
  <c r="O2024" i="5"/>
  <c r="N2024" i="5"/>
  <c r="K2024" i="5"/>
  <c r="H2024" i="5"/>
  <c r="J2024" i="5" s="1"/>
  <c r="I2024" i="5" s="1"/>
  <c r="E2024" i="5"/>
  <c r="D2024" i="5"/>
  <c r="B2024" i="5"/>
  <c r="Q2023" i="5"/>
  <c r="P2023" i="5"/>
  <c r="O2023" i="5"/>
  <c r="N2023" i="5"/>
  <c r="K2023" i="5"/>
  <c r="H2023" i="5"/>
  <c r="G2023" i="5" s="1"/>
  <c r="E2023" i="5"/>
  <c r="D2023" i="5"/>
  <c r="B2023" i="5"/>
  <c r="Q2022" i="5"/>
  <c r="P2022" i="5"/>
  <c r="O2022" i="5"/>
  <c r="N2022" i="5"/>
  <c r="K2022" i="5"/>
  <c r="H2022" i="5"/>
  <c r="G2022" i="5" s="1"/>
  <c r="E2022" i="5"/>
  <c r="D2022" i="5"/>
  <c r="B2022" i="5"/>
  <c r="Q2021" i="5"/>
  <c r="P2021" i="5"/>
  <c r="O2021" i="5"/>
  <c r="N2021" i="5"/>
  <c r="K2021" i="5"/>
  <c r="H2021" i="5"/>
  <c r="J2021" i="5" s="1"/>
  <c r="I2021" i="5" s="1"/>
  <c r="E2021" i="5"/>
  <c r="D2021" i="5"/>
  <c r="B2021" i="5"/>
  <c r="Q2020" i="5"/>
  <c r="P2020" i="5"/>
  <c r="O2020" i="5"/>
  <c r="N2020" i="5"/>
  <c r="K2020" i="5"/>
  <c r="H2020" i="5"/>
  <c r="E2020" i="5"/>
  <c r="D2020" i="5"/>
  <c r="B2020" i="5"/>
  <c r="Q2019" i="5"/>
  <c r="P2019" i="5"/>
  <c r="O2019" i="5"/>
  <c r="N2019" i="5"/>
  <c r="K2019" i="5"/>
  <c r="H2019" i="5"/>
  <c r="G2019" i="5" s="1"/>
  <c r="E2019" i="5"/>
  <c r="D2019" i="5"/>
  <c r="B2019" i="5"/>
  <c r="Q2018" i="5"/>
  <c r="P2018" i="5"/>
  <c r="O2018" i="5"/>
  <c r="N2018" i="5"/>
  <c r="K2018" i="5"/>
  <c r="H2018" i="5"/>
  <c r="J2018" i="5" s="1"/>
  <c r="I2018" i="5" s="1"/>
  <c r="E2018" i="5"/>
  <c r="D2018" i="5"/>
  <c r="B2018" i="5"/>
  <c r="Q2017" i="5"/>
  <c r="P2017" i="5"/>
  <c r="O2017" i="5"/>
  <c r="N2017" i="5"/>
  <c r="K2017" i="5"/>
  <c r="H2017" i="5"/>
  <c r="E2017" i="5"/>
  <c r="D2017" i="5"/>
  <c r="B2017" i="5"/>
  <c r="Q2016" i="5"/>
  <c r="P2016" i="5"/>
  <c r="R2016" i="5" s="1"/>
  <c r="O2016" i="5"/>
  <c r="N2016" i="5"/>
  <c r="K2016" i="5"/>
  <c r="H2016" i="5"/>
  <c r="G2016" i="5" s="1"/>
  <c r="E2016" i="5"/>
  <c r="D2016" i="5"/>
  <c r="B2016" i="5"/>
  <c r="Q2015" i="5"/>
  <c r="P2015" i="5"/>
  <c r="O2015" i="5"/>
  <c r="N2015" i="5"/>
  <c r="K2015" i="5"/>
  <c r="H2015" i="5"/>
  <c r="J2015" i="5" s="1"/>
  <c r="I2015" i="5" s="1"/>
  <c r="E2015" i="5"/>
  <c r="D2015" i="5"/>
  <c r="B2015" i="5"/>
  <c r="Q2014" i="5"/>
  <c r="P2014" i="5"/>
  <c r="O2014" i="5"/>
  <c r="N2014" i="5"/>
  <c r="K2014" i="5"/>
  <c r="H2014" i="5"/>
  <c r="E2014" i="5"/>
  <c r="D2014" i="5"/>
  <c r="B2014" i="5"/>
  <c r="Q2013" i="5"/>
  <c r="P2013" i="5"/>
  <c r="O2013" i="5"/>
  <c r="N2013" i="5"/>
  <c r="K2013" i="5"/>
  <c r="H2013" i="5"/>
  <c r="G2013" i="5" s="1"/>
  <c r="E2013" i="5"/>
  <c r="D2013" i="5"/>
  <c r="B2013" i="5"/>
  <c r="Q2012" i="5"/>
  <c r="P2012" i="5"/>
  <c r="O2012" i="5"/>
  <c r="N2012" i="5"/>
  <c r="K2012" i="5"/>
  <c r="H2012" i="5"/>
  <c r="J2012" i="5" s="1"/>
  <c r="I2012" i="5" s="1"/>
  <c r="E2012" i="5"/>
  <c r="D2012" i="5"/>
  <c r="B2012" i="5"/>
  <c r="Q2011" i="5"/>
  <c r="P2011" i="5"/>
  <c r="O2011" i="5"/>
  <c r="N2011" i="5"/>
  <c r="K2011" i="5"/>
  <c r="H2011" i="5"/>
  <c r="J2011" i="5" s="1"/>
  <c r="I2011" i="5" s="1"/>
  <c r="E2011" i="5"/>
  <c r="D2011" i="5"/>
  <c r="B2011" i="5"/>
  <c r="Q2010" i="5"/>
  <c r="P2010" i="5"/>
  <c r="O2010" i="5"/>
  <c r="N2010" i="5"/>
  <c r="K2010" i="5"/>
  <c r="H2010" i="5"/>
  <c r="E2010" i="5"/>
  <c r="D2010" i="5"/>
  <c r="B2010" i="5"/>
  <c r="Q2009" i="5"/>
  <c r="P2009" i="5"/>
  <c r="O2009" i="5"/>
  <c r="N2009" i="5"/>
  <c r="K2009" i="5"/>
  <c r="H2009" i="5"/>
  <c r="J2009" i="5" s="1"/>
  <c r="I2009" i="5" s="1"/>
  <c r="E2009" i="5"/>
  <c r="D2009" i="5"/>
  <c r="B2009" i="5"/>
  <c r="Q2008" i="5"/>
  <c r="P2008" i="5"/>
  <c r="O2008" i="5"/>
  <c r="N2008" i="5"/>
  <c r="K2008" i="5"/>
  <c r="H2008" i="5"/>
  <c r="J2008" i="5" s="1"/>
  <c r="I2008" i="5" s="1"/>
  <c r="E2008" i="5"/>
  <c r="D2008" i="5"/>
  <c r="B2008" i="5"/>
  <c r="Q2007" i="5"/>
  <c r="P2007" i="5"/>
  <c r="O2007" i="5"/>
  <c r="N2007" i="5"/>
  <c r="K2007" i="5"/>
  <c r="H2007" i="5"/>
  <c r="G2007" i="5" s="1"/>
  <c r="E2007" i="5"/>
  <c r="D2007" i="5"/>
  <c r="B2007" i="5"/>
  <c r="Q2006" i="5"/>
  <c r="P2006" i="5"/>
  <c r="O2006" i="5"/>
  <c r="N2006" i="5"/>
  <c r="K2006" i="5"/>
  <c r="H2006" i="5"/>
  <c r="J2006" i="5" s="1"/>
  <c r="I2006" i="5" s="1"/>
  <c r="E2006" i="5"/>
  <c r="D2006" i="5"/>
  <c r="B2006" i="5"/>
  <c r="Q2005" i="5"/>
  <c r="P2005" i="5"/>
  <c r="O2005" i="5"/>
  <c r="N2005" i="5"/>
  <c r="K2005" i="5"/>
  <c r="H2005" i="5"/>
  <c r="E2005" i="5"/>
  <c r="D2005" i="5"/>
  <c r="B2005" i="5"/>
  <c r="Q2004" i="5"/>
  <c r="P2004" i="5"/>
  <c r="O2004" i="5"/>
  <c r="N2004" i="5"/>
  <c r="K2004" i="5"/>
  <c r="H2004" i="5"/>
  <c r="J2004" i="5" s="1"/>
  <c r="I2004" i="5" s="1"/>
  <c r="E2004" i="5"/>
  <c r="D2004" i="5"/>
  <c r="B2004" i="5"/>
  <c r="Q2003" i="5"/>
  <c r="P2003" i="5"/>
  <c r="O2003" i="5"/>
  <c r="N2003" i="5"/>
  <c r="K2003" i="5"/>
  <c r="H2003" i="5"/>
  <c r="J2003" i="5" s="1"/>
  <c r="I2003" i="5" s="1"/>
  <c r="E2003" i="5"/>
  <c r="D2003" i="5"/>
  <c r="B2003" i="5"/>
  <c r="Q2002" i="5"/>
  <c r="P2002" i="5"/>
  <c r="O2002" i="5"/>
  <c r="N2002" i="5"/>
  <c r="K2002" i="5"/>
  <c r="H2002" i="5"/>
  <c r="E2002" i="5"/>
  <c r="D2002" i="5"/>
  <c r="B2002" i="5"/>
  <c r="Q2001" i="5"/>
  <c r="P2001" i="5"/>
  <c r="O2001" i="5"/>
  <c r="N2001" i="5"/>
  <c r="K2001" i="5"/>
  <c r="H2001" i="5"/>
  <c r="E2001" i="5"/>
  <c r="D2001" i="5"/>
  <c r="B2001" i="5"/>
  <c r="Q2000" i="5"/>
  <c r="P2000" i="5"/>
  <c r="O2000" i="5"/>
  <c r="N2000" i="5"/>
  <c r="K2000" i="5"/>
  <c r="H2000" i="5"/>
  <c r="J2000" i="5" s="1"/>
  <c r="I2000" i="5" s="1"/>
  <c r="E2000" i="5"/>
  <c r="D2000" i="5"/>
  <c r="B2000" i="5"/>
  <c r="Q1999" i="5"/>
  <c r="P1999" i="5"/>
  <c r="O1999" i="5"/>
  <c r="N1999" i="5"/>
  <c r="K1999" i="5"/>
  <c r="H1999" i="5"/>
  <c r="J1999" i="5" s="1"/>
  <c r="I1999" i="5" s="1"/>
  <c r="E1999" i="5"/>
  <c r="D1999" i="5"/>
  <c r="B1999" i="5"/>
  <c r="Q1998" i="5"/>
  <c r="P1998" i="5"/>
  <c r="R1998" i="5" s="1"/>
  <c r="O1998" i="5"/>
  <c r="N1998" i="5"/>
  <c r="K1998" i="5"/>
  <c r="H1998" i="5"/>
  <c r="J1998" i="5" s="1"/>
  <c r="I1998" i="5" s="1"/>
  <c r="E1998" i="5"/>
  <c r="D1998" i="5"/>
  <c r="B1998" i="5"/>
  <c r="Q1997" i="5"/>
  <c r="P1997" i="5"/>
  <c r="O1997" i="5"/>
  <c r="N1997" i="5"/>
  <c r="K1997" i="5"/>
  <c r="H1997" i="5"/>
  <c r="G1997" i="5" s="1"/>
  <c r="E1997" i="5"/>
  <c r="D1997" i="5"/>
  <c r="B1997" i="5"/>
  <c r="Q1996" i="5"/>
  <c r="P1996" i="5"/>
  <c r="O1996" i="5"/>
  <c r="N1996" i="5"/>
  <c r="K1996" i="5"/>
  <c r="H1996" i="5"/>
  <c r="G1996" i="5" s="1"/>
  <c r="E1996" i="5"/>
  <c r="D1996" i="5"/>
  <c r="B1996" i="5"/>
  <c r="Q1995" i="5"/>
  <c r="P1995" i="5"/>
  <c r="O1995" i="5"/>
  <c r="N1995" i="5"/>
  <c r="K1995" i="5"/>
  <c r="H1995" i="5"/>
  <c r="J1995" i="5" s="1"/>
  <c r="I1995" i="5" s="1"/>
  <c r="E1995" i="5"/>
  <c r="D1995" i="5"/>
  <c r="B1995" i="5"/>
  <c r="Q1994" i="5"/>
  <c r="P1994" i="5"/>
  <c r="O1994" i="5"/>
  <c r="N1994" i="5"/>
  <c r="K1994" i="5"/>
  <c r="H1994" i="5"/>
  <c r="E1994" i="5"/>
  <c r="D1994" i="5"/>
  <c r="B1994" i="5"/>
  <c r="Q1993" i="5"/>
  <c r="P1993" i="5"/>
  <c r="O1993" i="5"/>
  <c r="N1993" i="5"/>
  <c r="K1993" i="5"/>
  <c r="H1993" i="5"/>
  <c r="J1993" i="5" s="1"/>
  <c r="I1993" i="5" s="1"/>
  <c r="E1993" i="5"/>
  <c r="D1993" i="5"/>
  <c r="B1993" i="5"/>
  <c r="Q1992" i="5"/>
  <c r="P1992" i="5"/>
  <c r="O1992" i="5"/>
  <c r="N1992" i="5"/>
  <c r="K1992" i="5"/>
  <c r="H1992" i="5"/>
  <c r="J1992" i="5" s="1"/>
  <c r="I1992" i="5" s="1"/>
  <c r="E1992" i="5"/>
  <c r="D1992" i="5"/>
  <c r="B1992" i="5"/>
  <c r="Q1991" i="5"/>
  <c r="P1991" i="5"/>
  <c r="O1991" i="5"/>
  <c r="N1991" i="5"/>
  <c r="K1991" i="5"/>
  <c r="H1991" i="5"/>
  <c r="E1991" i="5"/>
  <c r="D1991" i="5"/>
  <c r="B1991" i="5"/>
  <c r="Q1990" i="5"/>
  <c r="P1990" i="5"/>
  <c r="O1990" i="5"/>
  <c r="N1990" i="5"/>
  <c r="K1990" i="5"/>
  <c r="H1990" i="5"/>
  <c r="J1990" i="5" s="1"/>
  <c r="I1990" i="5" s="1"/>
  <c r="E1990" i="5"/>
  <c r="D1990" i="5"/>
  <c r="B1990" i="5"/>
  <c r="Q1989" i="5"/>
  <c r="P1989" i="5"/>
  <c r="O1989" i="5"/>
  <c r="N1989" i="5"/>
  <c r="K1989" i="5"/>
  <c r="H1989" i="5"/>
  <c r="G1989" i="5" s="1"/>
  <c r="E1989" i="5"/>
  <c r="D1989" i="5"/>
  <c r="B1989" i="5"/>
  <c r="Q1988" i="5"/>
  <c r="P1988" i="5"/>
  <c r="O1988" i="5"/>
  <c r="N1988" i="5"/>
  <c r="K1988" i="5"/>
  <c r="H1988" i="5"/>
  <c r="E1988" i="5"/>
  <c r="D1988" i="5"/>
  <c r="B1988" i="5"/>
  <c r="Q1987" i="5"/>
  <c r="P1987" i="5"/>
  <c r="O1987" i="5"/>
  <c r="N1987" i="5"/>
  <c r="K1987" i="5"/>
  <c r="H1987" i="5"/>
  <c r="J1987" i="5" s="1"/>
  <c r="I1987" i="5" s="1"/>
  <c r="E1987" i="5"/>
  <c r="D1987" i="5"/>
  <c r="B1987" i="5"/>
  <c r="Q1986" i="5"/>
  <c r="P1986" i="5"/>
  <c r="O1986" i="5"/>
  <c r="N1986" i="5"/>
  <c r="K1986" i="5"/>
  <c r="H1986" i="5"/>
  <c r="E1986" i="5"/>
  <c r="D1986" i="5"/>
  <c r="B1986" i="5"/>
  <c r="Q1985" i="5"/>
  <c r="P1985" i="5"/>
  <c r="O1985" i="5"/>
  <c r="N1985" i="5"/>
  <c r="K1985" i="5"/>
  <c r="H1985" i="5"/>
  <c r="G1985" i="5" s="1"/>
  <c r="E1985" i="5"/>
  <c r="D1985" i="5"/>
  <c r="B1985" i="5"/>
  <c r="Q1984" i="5"/>
  <c r="P1984" i="5"/>
  <c r="O1984" i="5"/>
  <c r="N1984" i="5"/>
  <c r="K1984" i="5"/>
  <c r="H1984" i="5"/>
  <c r="E1984" i="5"/>
  <c r="D1984" i="5"/>
  <c r="B1984" i="5"/>
  <c r="Q1983" i="5"/>
  <c r="P1983" i="5"/>
  <c r="O1983" i="5"/>
  <c r="N1983" i="5"/>
  <c r="K1983" i="5"/>
  <c r="H1983" i="5"/>
  <c r="J1983" i="5" s="1"/>
  <c r="I1983" i="5" s="1"/>
  <c r="E1983" i="5"/>
  <c r="D1983" i="5"/>
  <c r="B1983" i="5"/>
  <c r="Q1982" i="5"/>
  <c r="P1982" i="5"/>
  <c r="O1982" i="5"/>
  <c r="N1982" i="5"/>
  <c r="K1982" i="5"/>
  <c r="H1982" i="5"/>
  <c r="J1982" i="5" s="1"/>
  <c r="I1982" i="5" s="1"/>
  <c r="E1982" i="5"/>
  <c r="D1982" i="5"/>
  <c r="B1982" i="5"/>
  <c r="Q1981" i="5"/>
  <c r="P1981" i="5"/>
  <c r="O1981" i="5"/>
  <c r="N1981" i="5"/>
  <c r="K1981" i="5"/>
  <c r="H1981" i="5"/>
  <c r="G1981" i="5" s="1"/>
  <c r="E1981" i="5"/>
  <c r="D1981" i="5"/>
  <c r="B1981" i="5"/>
  <c r="Q1980" i="5"/>
  <c r="P1980" i="5"/>
  <c r="O1980" i="5"/>
  <c r="N1980" i="5"/>
  <c r="K1980" i="5"/>
  <c r="H1980" i="5"/>
  <c r="J1980" i="5" s="1"/>
  <c r="I1980" i="5" s="1"/>
  <c r="E1980" i="5"/>
  <c r="D1980" i="5"/>
  <c r="B1980" i="5"/>
  <c r="Q1979" i="5"/>
  <c r="P1979" i="5"/>
  <c r="O1979" i="5"/>
  <c r="N1979" i="5"/>
  <c r="K1979" i="5"/>
  <c r="H1979" i="5"/>
  <c r="J1979" i="5" s="1"/>
  <c r="I1979" i="5" s="1"/>
  <c r="E1979" i="5"/>
  <c r="D1979" i="5"/>
  <c r="B1979" i="5"/>
  <c r="Q1978" i="5"/>
  <c r="P1978" i="5"/>
  <c r="O1978" i="5"/>
  <c r="N1978" i="5"/>
  <c r="K1978" i="5"/>
  <c r="H1978" i="5"/>
  <c r="E1978" i="5"/>
  <c r="D1978" i="5"/>
  <c r="B1978" i="5"/>
  <c r="Q1977" i="5"/>
  <c r="P1977" i="5"/>
  <c r="O1977" i="5"/>
  <c r="N1977" i="5"/>
  <c r="K1977" i="5"/>
  <c r="H1977" i="5"/>
  <c r="J1977" i="5" s="1"/>
  <c r="I1977" i="5" s="1"/>
  <c r="E1977" i="5"/>
  <c r="D1977" i="5"/>
  <c r="B1977" i="5"/>
  <c r="Q1976" i="5"/>
  <c r="P1976" i="5"/>
  <c r="O1976" i="5"/>
  <c r="N1976" i="5"/>
  <c r="K1976" i="5"/>
  <c r="H1976" i="5"/>
  <c r="J1976" i="5" s="1"/>
  <c r="I1976" i="5" s="1"/>
  <c r="E1976" i="5"/>
  <c r="D1976" i="5"/>
  <c r="B1976" i="5"/>
  <c r="Q1975" i="5"/>
  <c r="P1975" i="5"/>
  <c r="O1975" i="5"/>
  <c r="N1975" i="5"/>
  <c r="K1975" i="5"/>
  <c r="H1975" i="5"/>
  <c r="E1975" i="5"/>
  <c r="D1975" i="5"/>
  <c r="B1975" i="5"/>
  <c r="Q1974" i="5"/>
  <c r="P1974" i="5"/>
  <c r="O1974" i="5"/>
  <c r="N1974" i="5"/>
  <c r="K1974" i="5"/>
  <c r="H1974" i="5"/>
  <c r="J1974" i="5" s="1"/>
  <c r="I1974" i="5" s="1"/>
  <c r="E1974" i="5"/>
  <c r="D1974" i="5"/>
  <c r="B1974" i="5"/>
  <c r="Q1973" i="5"/>
  <c r="P1973" i="5"/>
  <c r="O1973" i="5"/>
  <c r="N1973" i="5"/>
  <c r="K1973" i="5"/>
  <c r="H1973" i="5"/>
  <c r="E1973" i="5"/>
  <c r="D1973" i="5"/>
  <c r="B1973" i="5"/>
  <c r="Q1972" i="5"/>
  <c r="P1972" i="5"/>
  <c r="O1972" i="5"/>
  <c r="N1972" i="5"/>
  <c r="K1972" i="5"/>
  <c r="H1972" i="5"/>
  <c r="J1972" i="5" s="1"/>
  <c r="I1972" i="5" s="1"/>
  <c r="E1972" i="5"/>
  <c r="D1972" i="5"/>
  <c r="B1972" i="5"/>
  <c r="Q1971" i="5"/>
  <c r="P1971" i="5"/>
  <c r="O1971" i="5"/>
  <c r="N1971" i="5"/>
  <c r="K1971" i="5"/>
  <c r="H1971" i="5"/>
  <c r="E1971" i="5"/>
  <c r="D1971" i="5"/>
  <c r="B1971" i="5"/>
  <c r="Q1970" i="5"/>
  <c r="P1970" i="5"/>
  <c r="O1970" i="5"/>
  <c r="N1970" i="5"/>
  <c r="K1970" i="5"/>
  <c r="H1970" i="5"/>
  <c r="J1970" i="5" s="1"/>
  <c r="I1970" i="5" s="1"/>
  <c r="E1970" i="5"/>
  <c r="D1970" i="5"/>
  <c r="B1970" i="5"/>
  <c r="Q1969" i="5"/>
  <c r="P1969" i="5"/>
  <c r="O1969" i="5"/>
  <c r="N1969" i="5"/>
  <c r="K1969" i="5"/>
  <c r="H1969" i="5"/>
  <c r="J1969" i="5" s="1"/>
  <c r="I1969" i="5" s="1"/>
  <c r="E1969" i="5"/>
  <c r="D1969" i="5"/>
  <c r="B1969" i="5"/>
  <c r="Q1968" i="5"/>
  <c r="P1968" i="5"/>
  <c r="R1968" i="5" s="1"/>
  <c r="O1968" i="5"/>
  <c r="N1968" i="5"/>
  <c r="K1968" i="5"/>
  <c r="H1968" i="5"/>
  <c r="E1968" i="5"/>
  <c r="D1968" i="5"/>
  <c r="B1968" i="5"/>
  <c r="Q1967" i="5"/>
  <c r="P1967" i="5"/>
  <c r="O1967" i="5"/>
  <c r="N1967" i="5"/>
  <c r="K1967" i="5"/>
  <c r="H1967" i="5"/>
  <c r="E1967" i="5"/>
  <c r="D1967" i="5"/>
  <c r="B1967" i="5"/>
  <c r="Q1966" i="5"/>
  <c r="P1966" i="5"/>
  <c r="O1966" i="5"/>
  <c r="N1966" i="5"/>
  <c r="K1966" i="5"/>
  <c r="H1966" i="5"/>
  <c r="J1966" i="5" s="1"/>
  <c r="I1966" i="5" s="1"/>
  <c r="E1966" i="5"/>
  <c r="D1966" i="5"/>
  <c r="B1966" i="5"/>
  <c r="Q1965" i="5"/>
  <c r="P1965" i="5"/>
  <c r="O1965" i="5"/>
  <c r="N1965" i="5"/>
  <c r="K1965" i="5"/>
  <c r="H1965" i="5"/>
  <c r="E1965" i="5"/>
  <c r="D1965" i="5"/>
  <c r="B1965" i="5"/>
  <c r="Q1964" i="5"/>
  <c r="P1964" i="5"/>
  <c r="O1964" i="5"/>
  <c r="N1964" i="5"/>
  <c r="K1964" i="5"/>
  <c r="H1964" i="5"/>
  <c r="J1964" i="5" s="1"/>
  <c r="I1964" i="5" s="1"/>
  <c r="E1964" i="5"/>
  <c r="D1964" i="5"/>
  <c r="B1964" i="5"/>
  <c r="Q1963" i="5"/>
  <c r="P1963" i="5"/>
  <c r="O1963" i="5"/>
  <c r="N1963" i="5"/>
  <c r="K1963" i="5"/>
  <c r="H1963" i="5"/>
  <c r="J1963" i="5" s="1"/>
  <c r="I1963" i="5" s="1"/>
  <c r="E1963" i="5"/>
  <c r="D1963" i="5"/>
  <c r="B1963" i="5"/>
  <c r="Q1962" i="5"/>
  <c r="P1962" i="5"/>
  <c r="O1962" i="5"/>
  <c r="N1962" i="5"/>
  <c r="K1962" i="5"/>
  <c r="H1962" i="5"/>
  <c r="J1962" i="5" s="1"/>
  <c r="I1962" i="5" s="1"/>
  <c r="E1962" i="5"/>
  <c r="D1962" i="5"/>
  <c r="B1962" i="5"/>
  <c r="Q1961" i="5"/>
  <c r="P1961" i="5"/>
  <c r="R1961" i="5" s="1"/>
  <c r="O1961" i="5"/>
  <c r="N1961" i="5"/>
  <c r="K1961" i="5"/>
  <c r="H1961" i="5"/>
  <c r="E1961" i="5"/>
  <c r="D1961" i="5"/>
  <c r="B1961" i="5"/>
  <c r="Q1960" i="5"/>
  <c r="P1960" i="5"/>
  <c r="O1960" i="5"/>
  <c r="N1960" i="5"/>
  <c r="K1960" i="5"/>
  <c r="H1960" i="5"/>
  <c r="J1960" i="5" s="1"/>
  <c r="I1960" i="5" s="1"/>
  <c r="E1960" i="5"/>
  <c r="D1960" i="5"/>
  <c r="B1960" i="5"/>
  <c r="Q1959" i="5"/>
  <c r="P1959" i="5"/>
  <c r="O1959" i="5"/>
  <c r="N1959" i="5"/>
  <c r="K1959" i="5"/>
  <c r="H1959" i="5"/>
  <c r="G1959" i="5" s="1"/>
  <c r="E1959" i="5"/>
  <c r="D1959" i="5"/>
  <c r="B1959" i="5"/>
  <c r="Q1958" i="5"/>
  <c r="P1958" i="5"/>
  <c r="O1958" i="5"/>
  <c r="N1958" i="5"/>
  <c r="K1958" i="5"/>
  <c r="H1958" i="5"/>
  <c r="J1958" i="5" s="1"/>
  <c r="I1958" i="5" s="1"/>
  <c r="E1958" i="5"/>
  <c r="D1958" i="5"/>
  <c r="B1958" i="5"/>
  <c r="Q1957" i="5"/>
  <c r="P1957" i="5"/>
  <c r="O1957" i="5"/>
  <c r="N1957" i="5"/>
  <c r="K1957" i="5"/>
  <c r="H1957" i="5"/>
  <c r="J1957" i="5" s="1"/>
  <c r="I1957" i="5" s="1"/>
  <c r="E1957" i="5"/>
  <c r="D1957" i="5"/>
  <c r="B1957" i="5"/>
  <c r="Q1956" i="5"/>
  <c r="P1956" i="5"/>
  <c r="O1956" i="5"/>
  <c r="N1956" i="5"/>
  <c r="K1956" i="5"/>
  <c r="H1956" i="5"/>
  <c r="J1956" i="5" s="1"/>
  <c r="I1956" i="5" s="1"/>
  <c r="E1956" i="5"/>
  <c r="D1956" i="5"/>
  <c r="B1956" i="5"/>
  <c r="Q1955" i="5"/>
  <c r="P1955" i="5"/>
  <c r="O1955" i="5"/>
  <c r="N1955" i="5"/>
  <c r="K1955" i="5"/>
  <c r="H1955" i="5"/>
  <c r="E1955" i="5"/>
  <c r="D1955" i="5"/>
  <c r="B1955" i="5"/>
  <c r="Q1954" i="5"/>
  <c r="P1954" i="5"/>
  <c r="O1954" i="5"/>
  <c r="N1954" i="5"/>
  <c r="K1954" i="5"/>
  <c r="H1954" i="5"/>
  <c r="G1954" i="5" s="1"/>
  <c r="E1954" i="5"/>
  <c r="D1954" i="5"/>
  <c r="B1954" i="5"/>
  <c r="Q1953" i="5"/>
  <c r="P1953" i="5"/>
  <c r="O1953" i="5"/>
  <c r="N1953" i="5"/>
  <c r="K1953" i="5"/>
  <c r="H1953" i="5"/>
  <c r="J1953" i="5" s="1"/>
  <c r="I1953" i="5" s="1"/>
  <c r="E1953" i="5"/>
  <c r="D1953" i="5"/>
  <c r="B1953" i="5"/>
  <c r="Q1952" i="5"/>
  <c r="P1952" i="5"/>
  <c r="R1952" i="5" s="1"/>
  <c r="O1952" i="5"/>
  <c r="N1952" i="5"/>
  <c r="K1952" i="5"/>
  <c r="H1952" i="5"/>
  <c r="J1952" i="5" s="1"/>
  <c r="I1952" i="5" s="1"/>
  <c r="E1952" i="5"/>
  <c r="D1952" i="5"/>
  <c r="B1952" i="5"/>
  <c r="Q1951" i="5"/>
  <c r="P1951" i="5"/>
  <c r="O1951" i="5"/>
  <c r="N1951" i="5"/>
  <c r="K1951" i="5"/>
  <c r="H1951" i="5"/>
  <c r="G1951" i="5" s="1"/>
  <c r="E1951" i="5"/>
  <c r="D1951" i="5"/>
  <c r="B1951" i="5"/>
  <c r="Q1950" i="5"/>
  <c r="P1950" i="5"/>
  <c r="O1950" i="5"/>
  <c r="N1950" i="5"/>
  <c r="K1950" i="5"/>
  <c r="H1950" i="5"/>
  <c r="J1950" i="5" s="1"/>
  <c r="I1950" i="5" s="1"/>
  <c r="E1950" i="5"/>
  <c r="D1950" i="5"/>
  <c r="B1950" i="5"/>
  <c r="Q1949" i="5"/>
  <c r="P1949" i="5"/>
  <c r="O1949" i="5"/>
  <c r="N1949" i="5"/>
  <c r="K1949" i="5"/>
  <c r="H1949" i="5"/>
  <c r="E1949" i="5"/>
  <c r="D1949" i="5"/>
  <c r="B1949" i="5"/>
  <c r="Q1948" i="5"/>
  <c r="P1948" i="5"/>
  <c r="O1948" i="5"/>
  <c r="N1948" i="5"/>
  <c r="K1948" i="5"/>
  <c r="H1948" i="5"/>
  <c r="J1948" i="5" s="1"/>
  <c r="I1948" i="5" s="1"/>
  <c r="E1948" i="5"/>
  <c r="D1948" i="5"/>
  <c r="B1948" i="5"/>
  <c r="Q1947" i="5"/>
  <c r="P1947" i="5"/>
  <c r="O1947" i="5"/>
  <c r="N1947" i="5"/>
  <c r="K1947" i="5"/>
  <c r="H1947" i="5"/>
  <c r="G1947" i="5" s="1"/>
  <c r="E1947" i="5"/>
  <c r="D1947" i="5"/>
  <c r="B1947" i="5"/>
  <c r="Q1946" i="5"/>
  <c r="P1946" i="5"/>
  <c r="O1946" i="5"/>
  <c r="N1946" i="5"/>
  <c r="K1946" i="5"/>
  <c r="H1946" i="5"/>
  <c r="J1946" i="5" s="1"/>
  <c r="I1946" i="5" s="1"/>
  <c r="E1946" i="5"/>
  <c r="D1946" i="5"/>
  <c r="B1946" i="5"/>
  <c r="Q1945" i="5"/>
  <c r="P1945" i="5"/>
  <c r="R1945" i="5" s="1"/>
  <c r="O1945" i="5"/>
  <c r="N1945" i="5"/>
  <c r="K1945" i="5"/>
  <c r="H1945" i="5"/>
  <c r="E1945" i="5"/>
  <c r="D1945" i="5"/>
  <c r="B1945" i="5"/>
  <c r="Q1944" i="5"/>
  <c r="P1944" i="5"/>
  <c r="O1944" i="5"/>
  <c r="N1944" i="5"/>
  <c r="K1944" i="5"/>
  <c r="H1944" i="5"/>
  <c r="J1944" i="5" s="1"/>
  <c r="I1944" i="5" s="1"/>
  <c r="E1944" i="5"/>
  <c r="D1944" i="5"/>
  <c r="B1944" i="5"/>
  <c r="Q1943" i="5"/>
  <c r="P1943" i="5"/>
  <c r="O1943" i="5"/>
  <c r="N1943" i="5"/>
  <c r="K1943" i="5"/>
  <c r="H1943" i="5"/>
  <c r="E1943" i="5"/>
  <c r="D1943" i="5"/>
  <c r="B1943" i="5"/>
  <c r="Q1942" i="5"/>
  <c r="P1942" i="5"/>
  <c r="O1942" i="5"/>
  <c r="N1942" i="5"/>
  <c r="K1942" i="5"/>
  <c r="H1942" i="5"/>
  <c r="J1942" i="5" s="1"/>
  <c r="I1942" i="5" s="1"/>
  <c r="E1942" i="5"/>
  <c r="D1942" i="5"/>
  <c r="B1942" i="5"/>
  <c r="Q1941" i="5"/>
  <c r="P1941" i="5"/>
  <c r="O1941" i="5"/>
  <c r="N1941" i="5"/>
  <c r="K1941" i="5"/>
  <c r="H1941" i="5"/>
  <c r="E1941" i="5"/>
  <c r="D1941" i="5"/>
  <c r="B1941" i="5"/>
  <c r="Q1940" i="5"/>
  <c r="P1940" i="5"/>
  <c r="O1940" i="5"/>
  <c r="N1940" i="5"/>
  <c r="K1940" i="5"/>
  <c r="H1940" i="5"/>
  <c r="J1940" i="5" s="1"/>
  <c r="I1940" i="5" s="1"/>
  <c r="E1940" i="5"/>
  <c r="D1940" i="5"/>
  <c r="B1940" i="5"/>
  <c r="Q1939" i="5"/>
  <c r="P1939" i="5"/>
  <c r="O1939" i="5"/>
  <c r="N1939" i="5"/>
  <c r="K1939" i="5"/>
  <c r="H1939" i="5"/>
  <c r="J1939" i="5" s="1"/>
  <c r="I1939" i="5" s="1"/>
  <c r="E1939" i="5"/>
  <c r="D1939" i="5"/>
  <c r="B1939" i="5"/>
  <c r="Q1938" i="5"/>
  <c r="P1938" i="5"/>
  <c r="O1938" i="5"/>
  <c r="N1938" i="5"/>
  <c r="K1938" i="5"/>
  <c r="H1938" i="5"/>
  <c r="E1938" i="5"/>
  <c r="D1938" i="5"/>
  <c r="B1938" i="5"/>
  <c r="Q1937" i="5"/>
  <c r="P1937" i="5"/>
  <c r="O1937" i="5"/>
  <c r="N1937" i="5"/>
  <c r="K1937" i="5"/>
  <c r="H1937" i="5"/>
  <c r="J1937" i="5" s="1"/>
  <c r="I1937" i="5" s="1"/>
  <c r="E1937" i="5"/>
  <c r="D1937" i="5"/>
  <c r="B1937" i="5"/>
  <c r="Q1936" i="5"/>
  <c r="P1936" i="5"/>
  <c r="O1936" i="5"/>
  <c r="N1936" i="5"/>
  <c r="K1936" i="5"/>
  <c r="H1936" i="5"/>
  <c r="J1936" i="5" s="1"/>
  <c r="I1936" i="5" s="1"/>
  <c r="E1936" i="5"/>
  <c r="D1936" i="5"/>
  <c r="B1936" i="5"/>
  <c r="Q1935" i="5"/>
  <c r="P1935" i="5"/>
  <c r="O1935" i="5"/>
  <c r="N1935" i="5"/>
  <c r="K1935" i="5"/>
  <c r="H1935" i="5"/>
  <c r="G1935" i="5" s="1"/>
  <c r="E1935" i="5"/>
  <c r="D1935" i="5"/>
  <c r="B1935" i="5"/>
  <c r="Q1934" i="5"/>
  <c r="P1934" i="5"/>
  <c r="O1934" i="5"/>
  <c r="N1934" i="5"/>
  <c r="K1934" i="5"/>
  <c r="H1934" i="5"/>
  <c r="J1934" i="5" s="1"/>
  <c r="I1934" i="5" s="1"/>
  <c r="E1934" i="5"/>
  <c r="D1934" i="5"/>
  <c r="B1934" i="5"/>
  <c r="Q1933" i="5"/>
  <c r="P1933" i="5"/>
  <c r="O1933" i="5"/>
  <c r="N1933" i="5"/>
  <c r="K1933" i="5"/>
  <c r="H1933" i="5"/>
  <c r="G1933" i="5" s="1"/>
  <c r="E1933" i="5"/>
  <c r="D1933" i="5"/>
  <c r="B1933" i="5"/>
  <c r="Q1932" i="5"/>
  <c r="P1932" i="5"/>
  <c r="O1932" i="5"/>
  <c r="N1932" i="5"/>
  <c r="K1932" i="5"/>
  <c r="H1932" i="5"/>
  <c r="E1932" i="5"/>
  <c r="D1932" i="5"/>
  <c r="B1932" i="5"/>
  <c r="Q1931" i="5"/>
  <c r="P1931" i="5"/>
  <c r="O1931" i="5"/>
  <c r="N1931" i="5"/>
  <c r="K1931" i="5"/>
  <c r="H1931" i="5"/>
  <c r="E1931" i="5"/>
  <c r="D1931" i="5"/>
  <c r="B1931" i="5"/>
  <c r="Q1930" i="5"/>
  <c r="P1930" i="5"/>
  <c r="O1930" i="5"/>
  <c r="N1930" i="5"/>
  <c r="K1930" i="5"/>
  <c r="H1930" i="5"/>
  <c r="G1930" i="5" s="1"/>
  <c r="E1930" i="5"/>
  <c r="D1930" i="5"/>
  <c r="B1930" i="5"/>
  <c r="Q1929" i="5"/>
  <c r="P1929" i="5"/>
  <c r="O1929" i="5"/>
  <c r="N1929" i="5"/>
  <c r="K1929" i="5"/>
  <c r="H1929" i="5"/>
  <c r="J1929" i="5" s="1"/>
  <c r="I1929" i="5" s="1"/>
  <c r="E1929" i="5"/>
  <c r="D1929" i="5"/>
  <c r="B1929" i="5"/>
  <c r="Q1928" i="5"/>
  <c r="P1928" i="5"/>
  <c r="O1928" i="5"/>
  <c r="N1928" i="5"/>
  <c r="K1928" i="5"/>
  <c r="H1928" i="5"/>
  <c r="J1928" i="5" s="1"/>
  <c r="I1928" i="5" s="1"/>
  <c r="E1928" i="5"/>
  <c r="D1928" i="5"/>
  <c r="B1928" i="5"/>
  <c r="Q1927" i="5"/>
  <c r="P1927" i="5"/>
  <c r="O1927" i="5"/>
  <c r="N1927" i="5"/>
  <c r="K1927" i="5"/>
  <c r="H1927" i="5"/>
  <c r="G1927" i="5" s="1"/>
  <c r="E1927" i="5"/>
  <c r="D1927" i="5"/>
  <c r="B1927" i="5"/>
  <c r="Q1926" i="5"/>
  <c r="P1926" i="5"/>
  <c r="O1926" i="5"/>
  <c r="N1926" i="5"/>
  <c r="K1926" i="5"/>
  <c r="H1926" i="5"/>
  <c r="J1926" i="5" s="1"/>
  <c r="I1926" i="5" s="1"/>
  <c r="E1926" i="5"/>
  <c r="D1926" i="5"/>
  <c r="B1926" i="5"/>
  <c r="Q1925" i="5"/>
  <c r="P1925" i="5"/>
  <c r="O1925" i="5"/>
  <c r="N1925" i="5"/>
  <c r="K1925" i="5"/>
  <c r="H1925" i="5"/>
  <c r="E1925" i="5"/>
  <c r="D1925" i="5"/>
  <c r="B1925" i="5"/>
  <c r="Q1924" i="5"/>
  <c r="P1924" i="5"/>
  <c r="O1924" i="5"/>
  <c r="N1924" i="5"/>
  <c r="K1924" i="5"/>
  <c r="H1924" i="5"/>
  <c r="J1924" i="5" s="1"/>
  <c r="I1924" i="5" s="1"/>
  <c r="E1924" i="5"/>
  <c r="D1924" i="5"/>
  <c r="B1924" i="5"/>
  <c r="Q1923" i="5"/>
  <c r="P1923" i="5"/>
  <c r="O1923" i="5"/>
  <c r="N1923" i="5"/>
  <c r="K1923" i="5"/>
  <c r="H1923" i="5"/>
  <c r="J1923" i="5" s="1"/>
  <c r="I1923" i="5" s="1"/>
  <c r="E1923" i="5"/>
  <c r="D1923" i="5"/>
  <c r="B1923" i="5"/>
  <c r="Q1922" i="5"/>
  <c r="P1922" i="5"/>
  <c r="O1922" i="5"/>
  <c r="N1922" i="5"/>
  <c r="K1922" i="5"/>
  <c r="H1922" i="5"/>
  <c r="J1922" i="5" s="1"/>
  <c r="I1922" i="5" s="1"/>
  <c r="E1922" i="5"/>
  <c r="D1922" i="5"/>
  <c r="B1922" i="5"/>
  <c r="Q1921" i="5"/>
  <c r="P1921" i="5"/>
  <c r="O1921" i="5"/>
  <c r="N1921" i="5"/>
  <c r="K1921" i="5"/>
  <c r="H1921" i="5"/>
  <c r="J1921" i="5" s="1"/>
  <c r="I1921" i="5" s="1"/>
  <c r="G1921" i="5"/>
  <c r="E1921" i="5"/>
  <c r="D1921" i="5"/>
  <c r="B1921" i="5"/>
  <c r="Q1920" i="5"/>
  <c r="P1920" i="5"/>
  <c r="O1920" i="5"/>
  <c r="N1920" i="5"/>
  <c r="K1920" i="5"/>
  <c r="H1920" i="5"/>
  <c r="J1920" i="5" s="1"/>
  <c r="I1920" i="5" s="1"/>
  <c r="E1920" i="5"/>
  <c r="D1920" i="5"/>
  <c r="B1920" i="5"/>
  <c r="Q1919" i="5"/>
  <c r="P1919" i="5"/>
  <c r="O1919" i="5"/>
  <c r="N1919" i="5"/>
  <c r="K1919" i="5"/>
  <c r="H1919" i="5"/>
  <c r="J1919" i="5" s="1"/>
  <c r="I1919" i="5" s="1"/>
  <c r="E1919" i="5"/>
  <c r="D1919" i="5"/>
  <c r="B1919" i="5"/>
  <c r="Q1918" i="5"/>
  <c r="P1918" i="5"/>
  <c r="O1918" i="5"/>
  <c r="N1918" i="5"/>
  <c r="K1918" i="5"/>
  <c r="H1918" i="5"/>
  <c r="J1918" i="5" s="1"/>
  <c r="I1918" i="5" s="1"/>
  <c r="G1918" i="5"/>
  <c r="E1918" i="5"/>
  <c r="D1918" i="5"/>
  <c r="B1918" i="5"/>
  <c r="Q1917" i="5"/>
  <c r="P1917" i="5"/>
  <c r="O1917" i="5"/>
  <c r="N1917" i="5"/>
  <c r="K1917" i="5"/>
  <c r="H1917" i="5"/>
  <c r="G1917" i="5" s="1"/>
  <c r="E1917" i="5"/>
  <c r="D1917" i="5"/>
  <c r="B1917" i="5"/>
  <c r="Q1916" i="5"/>
  <c r="P1916" i="5"/>
  <c r="O1916" i="5"/>
  <c r="N1916" i="5"/>
  <c r="K1916" i="5"/>
  <c r="H1916" i="5"/>
  <c r="J1916" i="5" s="1"/>
  <c r="I1916" i="5" s="1"/>
  <c r="E1916" i="5"/>
  <c r="D1916" i="5"/>
  <c r="B1916" i="5"/>
  <c r="Q1915" i="5"/>
  <c r="P1915" i="5"/>
  <c r="O1915" i="5"/>
  <c r="N1915" i="5"/>
  <c r="K1915" i="5"/>
  <c r="H1915" i="5"/>
  <c r="E1915" i="5"/>
  <c r="D1915" i="5"/>
  <c r="B1915" i="5"/>
  <c r="Q1914" i="5"/>
  <c r="P1914" i="5"/>
  <c r="O1914" i="5"/>
  <c r="N1914" i="5"/>
  <c r="K1914" i="5"/>
  <c r="H1914" i="5"/>
  <c r="J1914" i="5" s="1"/>
  <c r="I1914" i="5" s="1"/>
  <c r="E1914" i="5"/>
  <c r="D1914" i="5"/>
  <c r="B1914" i="5"/>
  <c r="Q1913" i="5"/>
  <c r="P1913" i="5"/>
  <c r="O1913" i="5"/>
  <c r="N1913" i="5"/>
  <c r="K1913" i="5"/>
  <c r="H1913" i="5"/>
  <c r="J1913" i="5" s="1"/>
  <c r="I1913" i="5" s="1"/>
  <c r="E1913" i="5"/>
  <c r="D1913" i="5"/>
  <c r="B1913" i="5"/>
  <c r="Q1912" i="5"/>
  <c r="P1912" i="5"/>
  <c r="O1912" i="5"/>
  <c r="N1912" i="5"/>
  <c r="K1912" i="5"/>
  <c r="H1912" i="5"/>
  <c r="J1912" i="5" s="1"/>
  <c r="I1912" i="5" s="1"/>
  <c r="E1912" i="5"/>
  <c r="D1912" i="5"/>
  <c r="B1912" i="5"/>
  <c r="Q1911" i="5"/>
  <c r="P1911" i="5"/>
  <c r="O1911" i="5"/>
  <c r="N1911" i="5"/>
  <c r="K1911" i="5"/>
  <c r="H1911" i="5"/>
  <c r="E1911" i="5"/>
  <c r="D1911" i="5"/>
  <c r="B1911" i="5"/>
  <c r="Q1910" i="5"/>
  <c r="P1910" i="5"/>
  <c r="O1910" i="5"/>
  <c r="N1910" i="5"/>
  <c r="K1910" i="5"/>
  <c r="H1910" i="5"/>
  <c r="J1910" i="5" s="1"/>
  <c r="I1910" i="5" s="1"/>
  <c r="E1910" i="5"/>
  <c r="D1910" i="5"/>
  <c r="B1910" i="5"/>
  <c r="Q1909" i="5"/>
  <c r="P1909" i="5"/>
  <c r="O1909" i="5"/>
  <c r="N1909" i="5"/>
  <c r="K1909" i="5"/>
  <c r="H1909" i="5"/>
  <c r="J1909" i="5" s="1"/>
  <c r="I1909" i="5" s="1"/>
  <c r="E1909" i="5"/>
  <c r="D1909" i="5"/>
  <c r="B1909" i="5"/>
  <c r="Q1908" i="5"/>
  <c r="P1908" i="5"/>
  <c r="O1908" i="5"/>
  <c r="N1908" i="5"/>
  <c r="K1908" i="5"/>
  <c r="H1908" i="5"/>
  <c r="J1908" i="5" s="1"/>
  <c r="I1908" i="5" s="1"/>
  <c r="E1908" i="5"/>
  <c r="D1908" i="5"/>
  <c r="B1908" i="5"/>
  <c r="Q1907" i="5"/>
  <c r="P1907" i="5"/>
  <c r="R1907" i="5" s="1"/>
  <c r="O1907" i="5"/>
  <c r="N1907" i="5"/>
  <c r="K1907" i="5"/>
  <c r="H1907" i="5"/>
  <c r="J1907" i="5" s="1"/>
  <c r="I1907" i="5" s="1"/>
  <c r="E1907" i="5"/>
  <c r="D1907" i="5"/>
  <c r="B1907" i="5"/>
  <c r="Q1906" i="5"/>
  <c r="P1906" i="5"/>
  <c r="O1906" i="5"/>
  <c r="N1906" i="5"/>
  <c r="K1906" i="5"/>
  <c r="H1906" i="5"/>
  <c r="J1906" i="5" s="1"/>
  <c r="I1906" i="5" s="1"/>
  <c r="G1906" i="5"/>
  <c r="E1906" i="5"/>
  <c r="D1906" i="5"/>
  <c r="B1906" i="5"/>
  <c r="Q1905" i="5"/>
  <c r="P1905" i="5"/>
  <c r="O1905" i="5"/>
  <c r="N1905" i="5"/>
  <c r="K1905" i="5"/>
  <c r="H1905" i="5"/>
  <c r="E1905" i="5"/>
  <c r="D1905" i="5"/>
  <c r="B1905" i="5"/>
  <c r="Q1904" i="5"/>
  <c r="P1904" i="5"/>
  <c r="O1904" i="5"/>
  <c r="N1904" i="5"/>
  <c r="K1904" i="5"/>
  <c r="H1904" i="5"/>
  <c r="J1904" i="5" s="1"/>
  <c r="I1904" i="5" s="1"/>
  <c r="E1904" i="5"/>
  <c r="D1904" i="5"/>
  <c r="B1904" i="5"/>
  <c r="Q1903" i="5"/>
  <c r="P1903" i="5"/>
  <c r="O1903" i="5"/>
  <c r="N1903" i="5"/>
  <c r="K1903" i="5"/>
  <c r="H1903" i="5"/>
  <c r="E1903" i="5"/>
  <c r="D1903" i="5"/>
  <c r="B1903" i="5"/>
  <c r="Q1902" i="5"/>
  <c r="P1902" i="5"/>
  <c r="R1902" i="5" s="1"/>
  <c r="O1902" i="5"/>
  <c r="N1902" i="5"/>
  <c r="K1902" i="5"/>
  <c r="H1902" i="5"/>
  <c r="J1902" i="5" s="1"/>
  <c r="I1902" i="5" s="1"/>
  <c r="E1902" i="5"/>
  <c r="D1902" i="5"/>
  <c r="B1902" i="5"/>
  <c r="Q1901" i="5"/>
  <c r="P1901" i="5"/>
  <c r="O1901" i="5"/>
  <c r="N1901" i="5"/>
  <c r="K1901" i="5"/>
  <c r="H1901" i="5"/>
  <c r="J1901" i="5" s="1"/>
  <c r="I1901" i="5" s="1"/>
  <c r="E1901" i="5"/>
  <c r="D1901" i="5"/>
  <c r="B1901" i="5"/>
  <c r="Q1900" i="5"/>
  <c r="P1900" i="5"/>
  <c r="R1900" i="5" s="1"/>
  <c r="O1900" i="5"/>
  <c r="N1900" i="5"/>
  <c r="K1900" i="5"/>
  <c r="H1900" i="5"/>
  <c r="G1900" i="5" s="1"/>
  <c r="E1900" i="5"/>
  <c r="D1900" i="5"/>
  <c r="B1900" i="5"/>
  <c r="Q1899" i="5"/>
  <c r="P1899" i="5"/>
  <c r="R1899" i="5" s="1"/>
  <c r="O1899" i="5"/>
  <c r="N1899" i="5"/>
  <c r="K1899" i="5"/>
  <c r="H1899" i="5"/>
  <c r="J1899" i="5" s="1"/>
  <c r="I1899" i="5" s="1"/>
  <c r="E1899" i="5"/>
  <c r="D1899" i="5"/>
  <c r="B1899" i="5"/>
  <c r="Q1898" i="5"/>
  <c r="P1898" i="5"/>
  <c r="O1898" i="5"/>
  <c r="N1898" i="5"/>
  <c r="K1898" i="5"/>
  <c r="H1898" i="5"/>
  <c r="J1898" i="5" s="1"/>
  <c r="I1898" i="5" s="1"/>
  <c r="E1898" i="5"/>
  <c r="D1898" i="5"/>
  <c r="B1898" i="5"/>
  <c r="Q1897" i="5"/>
  <c r="P1897" i="5"/>
  <c r="O1897" i="5"/>
  <c r="N1897" i="5"/>
  <c r="K1897" i="5"/>
  <c r="H1897" i="5"/>
  <c r="E1897" i="5"/>
  <c r="D1897" i="5"/>
  <c r="B1897" i="5"/>
  <c r="Q1896" i="5"/>
  <c r="P1896" i="5"/>
  <c r="O1896" i="5"/>
  <c r="N1896" i="5"/>
  <c r="K1896" i="5"/>
  <c r="H1896" i="5"/>
  <c r="J1896" i="5" s="1"/>
  <c r="I1896" i="5" s="1"/>
  <c r="G1896" i="5"/>
  <c r="E1896" i="5"/>
  <c r="D1896" i="5"/>
  <c r="B1896" i="5"/>
  <c r="Q1895" i="5"/>
  <c r="P1895" i="5"/>
  <c r="O1895" i="5"/>
  <c r="N1895" i="5"/>
  <c r="K1895" i="5"/>
  <c r="H1895" i="5"/>
  <c r="E1895" i="5"/>
  <c r="D1895" i="5"/>
  <c r="B1895" i="5"/>
  <c r="Q1894" i="5"/>
  <c r="P1894" i="5"/>
  <c r="O1894" i="5"/>
  <c r="N1894" i="5"/>
  <c r="K1894" i="5"/>
  <c r="H1894" i="5"/>
  <c r="G1894" i="5" s="1"/>
  <c r="E1894" i="5"/>
  <c r="D1894" i="5"/>
  <c r="B1894" i="5"/>
  <c r="Q1893" i="5"/>
  <c r="P1893" i="5"/>
  <c r="O1893" i="5"/>
  <c r="N1893" i="5"/>
  <c r="K1893" i="5"/>
  <c r="H1893" i="5"/>
  <c r="J1893" i="5" s="1"/>
  <c r="I1893" i="5" s="1"/>
  <c r="E1893" i="5"/>
  <c r="D1893" i="5"/>
  <c r="B1893" i="5"/>
  <c r="Q1892" i="5"/>
  <c r="P1892" i="5"/>
  <c r="O1892" i="5"/>
  <c r="N1892" i="5"/>
  <c r="K1892" i="5"/>
  <c r="H1892" i="5"/>
  <c r="E1892" i="5"/>
  <c r="D1892" i="5"/>
  <c r="B1892" i="5"/>
  <c r="Q1891" i="5"/>
  <c r="P1891" i="5"/>
  <c r="O1891" i="5"/>
  <c r="N1891" i="5"/>
  <c r="K1891" i="5"/>
  <c r="H1891" i="5"/>
  <c r="J1891" i="5" s="1"/>
  <c r="I1891" i="5" s="1"/>
  <c r="E1891" i="5"/>
  <c r="D1891" i="5"/>
  <c r="B1891" i="5"/>
  <c r="Q1890" i="5"/>
  <c r="P1890" i="5"/>
  <c r="O1890" i="5"/>
  <c r="N1890" i="5"/>
  <c r="K1890" i="5"/>
  <c r="H1890" i="5"/>
  <c r="E1890" i="5"/>
  <c r="D1890" i="5"/>
  <c r="B1890" i="5"/>
  <c r="Q1889" i="5"/>
  <c r="P1889" i="5"/>
  <c r="O1889" i="5"/>
  <c r="N1889" i="5"/>
  <c r="K1889" i="5"/>
  <c r="H1889" i="5"/>
  <c r="G1889" i="5" s="1"/>
  <c r="E1889" i="5"/>
  <c r="D1889" i="5"/>
  <c r="B1889" i="5"/>
  <c r="Q1888" i="5"/>
  <c r="P1888" i="5"/>
  <c r="O1888" i="5"/>
  <c r="N1888" i="5"/>
  <c r="K1888" i="5"/>
  <c r="H1888" i="5"/>
  <c r="G1888" i="5" s="1"/>
  <c r="E1888" i="5"/>
  <c r="D1888" i="5"/>
  <c r="B1888" i="5"/>
  <c r="Q1887" i="5"/>
  <c r="P1887" i="5"/>
  <c r="O1887" i="5"/>
  <c r="N1887" i="5"/>
  <c r="K1887" i="5"/>
  <c r="H1887" i="5"/>
  <c r="G1887" i="5" s="1"/>
  <c r="E1887" i="5"/>
  <c r="D1887" i="5"/>
  <c r="B1887" i="5"/>
  <c r="Q1886" i="5"/>
  <c r="P1886" i="5"/>
  <c r="O1886" i="5"/>
  <c r="N1886" i="5"/>
  <c r="K1886" i="5"/>
  <c r="H1886" i="5"/>
  <c r="E1886" i="5"/>
  <c r="D1886" i="5"/>
  <c r="B1886" i="5"/>
  <c r="Q1885" i="5"/>
  <c r="P1885" i="5"/>
  <c r="O1885" i="5"/>
  <c r="N1885" i="5"/>
  <c r="K1885" i="5"/>
  <c r="H1885" i="5"/>
  <c r="J1885" i="5" s="1"/>
  <c r="I1885" i="5" s="1"/>
  <c r="E1885" i="5"/>
  <c r="D1885" i="5"/>
  <c r="B1885" i="5"/>
  <c r="Q1884" i="5"/>
  <c r="P1884" i="5"/>
  <c r="O1884" i="5"/>
  <c r="N1884" i="5"/>
  <c r="K1884" i="5"/>
  <c r="H1884" i="5"/>
  <c r="J1884" i="5" s="1"/>
  <c r="I1884" i="5" s="1"/>
  <c r="E1884" i="5"/>
  <c r="D1884" i="5"/>
  <c r="B1884" i="5"/>
  <c r="Q1883" i="5"/>
  <c r="P1883" i="5"/>
  <c r="O1883" i="5"/>
  <c r="N1883" i="5"/>
  <c r="K1883" i="5"/>
  <c r="H1883" i="5"/>
  <c r="G1883" i="5" s="1"/>
  <c r="E1883" i="5"/>
  <c r="D1883" i="5"/>
  <c r="B1883" i="5"/>
  <c r="Q1882" i="5"/>
  <c r="P1882" i="5"/>
  <c r="O1882" i="5"/>
  <c r="N1882" i="5"/>
  <c r="K1882" i="5"/>
  <c r="H1882" i="5"/>
  <c r="J1882" i="5" s="1"/>
  <c r="I1882" i="5" s="1"/>
  <c r="E1882" i="5"/>
  <c r="D1882" i="5"/>
  <c r="B1882" i="5"/>
  <c r="Q1881" i="5"/>
  <c r="P1881" i="5"/>
  <c r="O1881" i="5"/>
  <c r="N1881" i="5"/>
  <c r="K1881" i="5"/>
  <c r="H1881" i="5"/>
  <c r="E1881" i="5"/>
  <c r="D1881" i="5"/>
  <c r="B1881" i="5"/>
  <c r="Q1880" i="5"/>
  <c r="P1880" i="5"/>
  <c r="O1880" i="5"/>
  <c r="N1880" i="5"/>
  <c r="K1880" i="5"/>
  <c r="H1880" i="5"/>
  <c r="J1880" i="5" s="1"/>
  <c r="I1880" i="5" s="1"/>
  <c r="E1880" i="5"/>
  <c r="D1880" i="5"/>
  <c r="B1880" i="5"/>
  <c r="Q1879" i="5"/>
  <c r="P1879" i="5"/>
  <c r="O1879" i="5"/>
  <c r="N1879" i="5"/>
  <c r="K1879" i="5"/>
  <c r="H1879" i="5"/>
  <c r="J1879" i="5" s="1"/>
  <c r="I1879" i="5" s="1"/>
  <c r="E1879" i="5"/>
  <c r="D1879" i="5"/>
  <c r="B1879" i="5"/>
  <c r="Q1878" i="5"/>
  <c r="P1878" i="5"/>
  <c r="O1878" i="5"/>
  <c r="N1878" i="5"/>
  <c r="K1878" i="5"/>
  <c r="H1878" i="5"/>
  <c r="G1878" i="5" s="1"/>
  <c r="E1878" i="5"/>
  <c r="D1878" i="5"/>
  <c r="B1878" i="5"/>
  <c r="Q1877" i="5"/>
  <c r="P1877" i="5"/>
  <c r="O1877" i="5"/>
  <c r="N1877" i="5"/>
  <c r="K1877" i="5"/>
  <c r="H1877" i="5"/>
  <c r="E1877" i="5"/>
  <c r="D1877" i="5"/>
  <c r="B1877" i="5"/>
  <c r="Q1876" i="5"/>
  <c r="P1876" i="5"/>
  <c r="O1876" i="5"/>
  <c r="N1876" i="5"/>
  <c r="K1876" i="5"/>
  <c r="H1876" i="5"/>
  <c r="J1876" i="5" s="1"/>
  <c r="I1876" i="5" s="1"/>
  <c r="E1876" i="5"/>
  <c r="D1876" i="5"/>
  <c r="B1876" i="5"/>
  <c r="Q1875" i="5"/>
  <c r="P1875" i="5"/>
  <c r="O1875" i="5"/>
  <c r="N1875" i="5"/>
  <c r="K1875" i="5"/>
  <c r="H1875" i="5"/>
  <c r="J1875" i="5" s="1"/>
  <c r="I1875" i="5" s="1"/>
  <c r="G1875" i="5"/>
  <c r="E1875" i="5"/>
  <c r="D1875" i="5"/>
  <c r="B1875" i="5"/>
  <c r="Q1874" i="5"/>
  <c r="P1874" i="5"/>
  <c r="O1874" i="5"/>
  <c r="N1874" i="5"/>
  <c r="K1874" i="5"/>
  <c r="H1874" i="5"/>
  <c r="G1874" i="5" s="1"/>
  <c r="E1874" i="5"/>
  <c r="D1874" i="5"/>
  <c r="B1874" i="5"/>
  <c r="Q1873" i="5"/>
  <c r="P1873" i="5"/>
  <c r="O1873" i="5"/>
  <c r="N1873" i="5"/>
  <c r="K1873" i="5"/>
  <c r="H1873" i="5"/>
  <c r="E1873" i="5"/>
  <c r="D1873" i="5"/>
  <c r="B1873" i="5"/>
  <c r="Q1872" i="5"/>
  <c r="P1872" i="5"/>
  <c r="O1872" i="5"/>
  <c r="N1872" i="5"/>
  <c r="K1872" i="5"/>
  <c r="H1872" i="5"/>
  <c r="E1872" i="5"/>
  <c r="D1872" i="5"/>
  <c r="B1872" i="5"/>
  <c r="Q1871" i="5"/>
  <c r="P1871" i="5"/>
  <c r="O1871" i="5"/>
  <c r="N1871" i="5"/>
  <c r="K1871" i="5"/>
  <c r="H1871" i="5"/>
  <c r="J1871" i="5" s="1"/>
  <c r="I1871" i="5" s="1"/>
  <c r="E1871" i="5"/>
  <c r="D1871" i="5"/>
  <c r="B1871" i="5"/>
  <c r="Q1870" i="5"/>
  <c r="P1870" i="5"/>
  <c r="O1870" i="5"/>
  <c r="N1870" i="5"/>
  <c r="K1870" i="5"/>
  <c r="H1870" i="5"/>
  <c r="J1870" i="5" s="1"/>
  <c r="I1870" i="5" s="1"/>
  <c r="E1870" i="5"/>
  <c r="D1870" i="5"/>
  <c r="B1870" i="5"/>
  <c r="Q1869" i="5"/>
  <c r="P1869" i="5"/>
  <c r="O1869" i="5"/>
  <c r="N1869" i="5"/>
  <c r="K1869" i="5"/>
  <c r="H1869" i="5"/>
  <c r="E1869" i="5"/>
  <c r="D1869" i="5"/>
  <c r="B1869" i="5"/>
  <c r="Q1868" i="5"/>
  <c r="P1868" i="5"/>
  <c r="O1868" i="5"/>
  <c r="N1868" i="5"/>
  <c r="K1868" i="5"/>
  <c r="H1868" i="5"/>
  <c r="J1868" i="5" s="1"/>
  <c r="I1868" i="5" s="1"/>
  <c r="G1868" i="5"/>
  <c r="E1868" i="5"/>
  <c r="D1868" i="5"/>
  <c r="B1868" i="5"/>
  <c r="Q1867" i="5"/>
  <c r="P1867" i="5"/>
  <c r="O1867" i="5"/>
  <c r="N1867" i="5"/>
  <c r="K1867" i="5"/>
  <c r="H1867" i="5"/>
  <c r="E1867" i="5"/>
  <c r="D1867" i="5"/>
  <c r="B1867" i="5"/>
  <c r="Q1866" i="5"/>
  <c r="P1866" i="5"/>
  <c r="O1866" i="5"/>
  <c r="N1866" i="5"/>
  <c r="K1866" i="5"/>
  <c r="H1866" i="5"/>
  <c r="J1866" i="5" s="1"/>
  <c r="I1866" i="5" s="1"/>
  <c r="E1866" i="5"/>
  <c r="D1866" i="5"/>
  <c r="B1866" i="5"/>
  <c r="Q1865" i="5"/>
  <c r="P1865" i="5"/>
  <c r="O1865" i="5"/>
  <c r="N1865" i="5"/>
  <c r="K1865" i="5"/>
  <c r="H1865" i="5"/>
  <c r="J1865" i="5" s="1"/>
  <c r="I1865" i="5" s="1"/>
  <c r="E1865" i="5"/>
  <c r="D1865" i="5"/>
  <c r="B1865" i="5"/>
  <c r="Q1864" i="5"/>
  <c r="P1864" i="5"/>
  <c r="R1864" i="5" s="1"/>
  <c r="O1864" i="5"/>
  <c r="N1864" i="5"/>
  <c r="K1864" i="5"/>
  <c r="H1864" i="5"/>
  <c r="E1864" i="5"/>
  <c r="D1864" i="5"/>
  <c r="B1864" i="5"/>
  <c r="Q1863" i="5"/>
  <c r="P1863" i="5"/>
  <c r="O1863" i="5"/>
  <c r="N1863" i="5"/>
  <c r="K1863" i="5"/>
  <c r="H1863" i="5"/>
  <c r="J1863" i="5" s="1"/>
  <c r="I1863" i="5" s="1"/>
  <c r="E1863" i="5"/>
  <c r="D1863" i="5"/>
  <c r="B1863" i="5"/>
  <c r="Q1862" i="5"/>
  <c r="P1862" i="5"/>
  <c r="O1862" i="5"/>
  <c r="N1862" i="5"/>
  <c r="K1862" i="5"/>
  <c r="H1862" i="5"/>
  <c r="G1862" i="5" s="1"/>
  <c r="E1862" i="5"/>
  <c r="D1862" i="5"/>
  <c r="B1862" i="5"/>
  <c r="Q1861" i="5"/>
  <c r="P1861" i="5"/>
  <c r="O1861" i="5"/>
  <c r="N1861" i="5"/>
  <c r="K1861" i="5"/>
  <c r="H1861" i="5"/>
  <c r="G1861" i="5" s="1"/>
  <c r="E1861" i="5"/>
  <c r="D1861" i="5"/>
  <c r="B1861" i="5"/>
  <c r="Q1860" i="5"/>
  <c r="P1860" i="5"/>
  <c r="O1860" i="5"/>
  <c r="N1860" i="5"/>
  <c r="K1860" i="5"/>
  <c r="H1860" i="5"/>
  <c r="J1860" i="5" s="1"/>
  <c r="I1860" i="5" s="1"/>
  <c r="E1860" i="5"/>
  <c r="D1860" i="5"/>
  <c r="B1860" i="5"/>
  <c r="Q1859" i="5"/>
  <c r="P1859" i="5"/>
  <c r="O1859" i="5"/>
  <c r="N1859" i="5"/>
  <c r="K1859" i="5"/>
  <c r="H1859" i="5"/>
  <c r="E1859" i="5"/>
  <c r="D1859" i="5"/>
  <c r="B1859" i="5"/>
  <c r="Q1858" i="5"/>
  <c r="P1858" i="5"/>
  <c r="R1858" i="5" s="1"/>
  <c r="O1858" i="5"/>
  <c r="N1858" i="5"/>
  <c r="K1858" i="5"/>
  <c r="H1858" i="5"/>
  <c r="E1858" i="5"/>
  <c r="D1858" i="5"/>
  <c r="B1858" i="5"/>
  <c r="Q1857" i="5"/>
  <c r="P1857" i="5"/>
  <c r="O1857" i="5"/>
  <c r="N1857" i="5"/>
  <c r="K1857" i="5"/>
  <c r="H1857" i="5"/>
  <c r="J1857" i="5" s="1"/>
  <c r="I1857" i="5" s="1"/>
  <c r="E1857" i="5"/>
  <c r="D1857" i="5"/>
  <c r="B1857" i="5"/>
  <c r="Q1856" i="5"/>
  <c r="P1856" i="5"/>
  <c r="O1856" i="5"/>
  <c r="N1856" i="5"/>
  <c r="K1856" i="5"/>
  <c r="H1856" i="5"/>
  <c r="J1856" i="5" s="1"/>
  <c r="I1856" i="5" s="1"/>
  <c r="E1856" i="5"/>
  <c r="D1856" i="5"/>
  <c r="B1856" i="5"/>
  <c r="Q1855" i="5"/>
  <c r="P1855" i="5"/>
  <c r="O1855" i="5"/>
  <c r="N1855" i="5"/>
  <c r="K1855" i="5"/>
  <c r="H1855" i="5"/>
  <c r="J1855" i="5" s="1"/>
  <c r="I1855" i="5" s="1"/>
  <c r="G1855" i="5"/>
  <c r="E1855" i="5"/>
  <c r="D1855" i="5"/>
  <c r="B1855" i="5"/>
  <c r="Q1854" i="5"/>
  <c r="P1854" i="5"/>
  <c r="O1854" i="5"/>
  <c r="N1854" i="5"/>
  <c r="K1854" i="5"/>
  <c r="H1854" i="5"/>
  <c r="J1854" i="5" s="1"/>
  <c r="I1854" i="5" s="1"/>
  <c r="E1854" i="5"/>
  <c r="D1854" i="5"/>
  <c r="B1854" i="5"/>
  <c r="Q1853" i="5"/>
  <c r="P1853" i="5"/>
  <c r="O1853" i="5"/>
  <c r="N1853" i="5"/>
  <c r="K1853" i="5"/>
  <c r="H1853" i="5"/>
  <c r="J1853" i="5" s="1"/>
  <c r="I1853" i="5" s="1"/>
  <c r="E1853" i="5"/>
  <c r="D1853" i="5"/>
  <c r="B1853" i="5"/>
  <c r="Q1852" i="5"/>
  <c r="P1852" i="5"/>
  <c r="O1852" i="5"/>
  <c r="N1852" i="5"/>
  <c r="K1852" i="5"/>
  <c r="H1852" i="5"/>
  <c r="G1852" i="5" s="1"/>
  <c r="E1852" i="5"/>
  <c r="D1852" i="5"/>
  <c r="B1852" i="5"/>
  <c r="Q1851" i="5"/>
  <c r="P1851" i="5"/>
  <c r="O1851" i="5"/>
  <c r="N1851" i="5"/>
  <c r="K1851" i="5"/>
  <c r="H1851" i="5"/>
  <c r="J1851" i="5" s="1"/>
  <c r="I1851" i="5" s="1"/>
  <c r="E1851" i="5"/>
  <c r="D1851" i="5"/>
  <c r="B1851" i="5"/>
  <c r="Q1850" i="5"/>
  <c r="P1850" i="5"/>
  <c r="O1850" i="5"/>
  <c r="N1850" i="5"/>
  <c r="K1850" i="5"/>
  <c r="H1850" i="5"/>
  <c r="G1850" i="5" s="1"/>
  <c r="E1850" i="5"/>
  <c r="D1850" i="5"/>
  <c r="B1850" i="5"/>
  <c r="Q1849" i="5"/>
  <c r="P1849" i="5"/>
  <c r="O1849" i="5"/>
  <c r="N1849" i="5"/>
  <c r="K1849" i="5"/>
  <c r="H1849" i="5"/>
  <c r="J1849" i="5" s="1"/>
  <c r="I1849" i="5" s="1"/>
  <c r="E1849" i="5"/>
  <c r="D1849" i="5"/>
  <c r="B1849" i="5"/>
  <c r="Q1848" i="5"/>
  <c r="P1848" i="5"/>
  <c r="O1848" i="5"/>
  <c r="N1848" i="5"/>
  <c r="K1848" i="5"/>
  <c r="H1848" i="5"/>
  <c r="J1848" i="5" s="1"/>
  <c r="I1848" i="5" s="1"/>
  <c r="G1848" i="5"/>
  <c r="E1848" i="5"/>
  <c r="D1848" i="5"/>
  <c r="B1848" i="5"/>
  <c r="Q1847" i="5"/>
  <c r="P1847" i="5"/>
  <c r="O1847" i="5"/>
  <c r="N1847" i="5"/>
  <c r="K1847" i="5"/>
  <c r="H1847" i="5"/>
  <c r="J1847" i="5" s="1"/>
  <c r="I1847" i="5" s="1"/>
  <c r="E1847" i="5"/>
  <c r="D1847" i="5"/>
  <c r="B1847" i="5"/>
  <c r="Q1846" i="5"/>
  <c r="P1846" i="5"/>
  <c r="O1846" i="5"/>
  <c r="N1846" i="5"/>
  <c r="K1846" i="5"/>
  <c r="H1846" i="5"/>
  <c r="G1846" i="5" s="1"/>
  <c r="E1846" i="5"/>
  <c r="D1846" i="5"/>
  <c r="B1846" i="5"/>
  <c r="Q1845" i="5"/>
  <c r="P1845" i="5"/>
  <c r="O1845" i="5"/>
  <c r="N1845" i="5"/>
  <c r="K1845" i="5"/>
  <c r="H1845" i="5"/>
  <c r="J1845" i="5" s="1"/>
  <c r="I1845" i="5" s="1"/>
  <c r="E1845" i="5"/>
  <c r="D1845" i="5"/>
  <c r="B1845" i="5"/>
  <c r="Q1844" i="5"/>
  <c r="P1844" i="5"/>
  <c r="O1844" i="5"/>
  <c r="N1844" i="5"/>
  <c r="K1844" i="5"/>
  <c r="H1844" i="5"/>
  <c r="J1844" i="5" s="1"/>
  <c r="I1844" i="5" s="1"/>
  <c r="E1844" i="5"/>
  <c r="D1844" i="5"/>
  <c r="B1844" i="5"/>
  <c r="Q1843" i="5"/>
  <c r="P1843" i="5"/>
  <c r="O1843" i="5"/>
  <c r="N1843" i="5"/>
  <c r="K1843" i="5"/>
  <c r="H1843" i="5"/>
  <c r="E1843" i="5"/>
  <c r="D1843" i="5"/>
  <c r="B1843" i="5"/>
  <c r="Q1842" i="5"/>
  <c r="P1842" i="5"/>
  <c r="O1842" i="5"/>
  <c r="N1842" i="5"/>
  <c r="K1842" i="5"/>
  <c r="H1842" i="5"/>
  <c r="E1842" i="5"/>
  <c r="D1842" i="5"/>
  <c r="B1842" i="5"/>
  <c r="Q1841" i="5"/>
  <c r="P1841" i="5"/>
  <c r="O1841" i="5"/>
  <c r="N1841" i="5"/>
  <c r="K1841" i="5"/>
  <c r="H1841" i="5"/>
  <c r="J1841" i="5" s="1"/>
  <c r="I1841" i="5" s="1"/>
  <c r="G1841" i="5"/>
  <c r="E1841" i="5"/>
  <c r="D1841" i="5"/>
  <c r="B1841" i="5"/>
  <c r="Q1840" i="5"/>
  <c r="P1840" i="5"/>
  <c r="O1840" i="5"/>
  <c r="N1840" i="5"/>
  <c r="K1840" i="5"/>
  <c r="H1840" i="5"/>
  <c r="J1840" i="5" s="1"/>
  <c r="I1840" i="5" s="1"/>
  <c r="E1840" i="5"/>
  <c r="D1840" i="5"/>
  <c r="B1840" i="5"/>
  <c r="Q1839" i="5"/>
  <c r="P1839" i="5"/>
  <c r="O1839" i="5"/>
  <c r="N1839" i="5"/>
  <c r="K1839" i="5"/>
  <c r="H1839" i="5"/>
  <c r="E1839" i="5"/>
  <c r="D1839" i="5"/>
  <c r="B1839" i="5"/>
  <c r="Q1838" i="5"/>
  <c r="P1838" i="5"/>
  <c r="O1838" i="5"/>
  <c r="N1838" i="5"/>
  <c r="K1838" i="5"/>
  <c r="H1838" i="5"/>
  <c r="J1838" i="5" s="1"/>
  <c r="I1838" i="5" s="1"/>
  <c r="E1838" i="5"/>
  <c r="D1838" i="5"/>
  <c r="B1838" i="5"/>
  <c r="Q1837" i="5"/>
  <c r="P1837" i="5"/>
  <c r="O1837" i="5"/>
  <c r="N1837" i="5"/>
  <c r="K1837" i="5"/>
  <c r="H1837" i="5"/>
  <c r="J1837" i="5" s="1"/>
  <c r="I1837" i="5" s="1"/>
  <c r="E1837" i="5"/>
  <c r="D1837" i="5"/>
  <c r="B1837" i="5"/>
  <c r="Q1836" i="5"/>
  <c r="P1836" i="5"/>
  <c r="O1836" i="5"/>
  <c r="N1836" i="5"/>
  <c r="K1836" i="5"/>
  <c r="H1836" i="5"/>
  <c r="E1836" i="5"/>
  <c r="D1836" i="5"/>
  <c r="B1836" i="5"/>
  <c r="Q1835" i="5"/>
  <c r="P1835" i="5"/>
  <c r="O1835" i="5"/>
  <c r="N1835" i="5"/>
  <c r="K1835" i="5"/>
  <c r="H1835" i="5"/>
  <c r="G1835" i="5" s="1"/>
  <c r="E1835" i="5"/>
  <c r="D1835" i="5"/>
  <c r="B1835" i="5"/>
  <c r="Q1834" i="5"/>
  <c r="P1834" i="5"/>
  <c r="O1834" i="5"/>
  <c r="N1834" i="5"/>
  <c r="K1834" i="5"/>
  <c r="H1834" i="5"/>
  <c r="G1834" i="5" s="1"/>
  <c r="E1834" i="5"/>
  <c r="D1834" i="5"/>
  <c r="B1834" i="5"/>
  <c r="Q1833" i="5"/>
  <c r="P1833" i="5"/>
  <c r="O1833" i="5"/>
  <c r="N1833" i="5"/>
  <c r="K1833" i="5"/>
  <c r="H1833" i="5"/>
  <c r="J1833" i="5" s="1"/>
  <c r="I1833" i="5" s="1"/>
  <c r="E1833" i="5"/>
  <c r="D1833" i="5"/>
  <c r="B1833" i="5"/>
  <c r="Q1832" i="5"/>
  <c r="P1832" i="5"/>
  <c r="O1832" i="5"/>
  <c r="N1832" i="5"/>
  <c r="K1832" i="5"/>
  <c r="H1832" i="5"/>
  <c r="E1832" i="5"/>
  <c r="D1832" i="5"/>
  <c r="B1832" i="5"/>
  <c r="Q1831" i="5"/>
  <c r="P1831" i="5"/>
  <c r="O1831" i="5"/>
  <c r="N1831" i="5"/>
  <c r="K1831" i="5"/>
  <c r="H1831" i="5"/>
  <c r="J1831" i="5" s="1"/>
  <c r="I1831" i="5" s="1"/>
  <c r="E1831" i="5"/>
  <c r="D1831" i="5"/>
  <c r="B1831" i="5"/>
  <c r="Q1830" i="5"/>
  <c r="P1830" i="5"/>
  <c r="O1830" i="5"/>
  <c r="N1830" i="5"/>
  <c r="K1830" i="5"/>
  <c r="H1830" i="5"/>
  <c r="G1830" i="5" s="1"/>
  <c r="E1830" i="5"/>
  <c r="D1830" i="5"/>
  <c r="B1830" i="5"/>
  <c r="Q1829" i="5"/>
  <c r="P1829" i="5"/>
  <c r="O1829" i="5"/>
  <c r="N1829" i="5"/>
  <c r="K1829" i="5"/>
  <c r="H1829" i="5"/>
  <c r="J1829" i="5" s="1"/>
  <c r="I1829" i="5" s="1"/>
  <c r="E1829" i="5"/>
  <c r="D1829" i="5"/>
  <c r="B1829" i="5"/>
  <c r="Q1828" i="5"/>
  <c r="P1828" i="5"/>
  <c r="O1828" i="5"/>
  <c r="N1828" i="5"/>
  <c r="K1828" i="5"/>
  <c r="H1828" i="5"/>
  <c r="E1828" i="5"/>
  <c r="D1828" i="5"/>
  <c r="B1828" i="5"/>
  <c r="Q1827" i="5"/>
  <c r="P1827" i="5"/>
  <c r="O1827" i="5"/>
  <c r="N1827" i="5"/>
  <c r="K1827" i="5"/>
  <c r="H1827" i="5"/>
  <c r="E1827" i="5"/>
  <c r="D1827" i="5"/>
  <c r="B1827" i="5"/>
  <c r="Q1826" i="5"/>
  <c r="P1826" i="5"/>
  <c r="O1826" i="5"/>
  <c r="N1826" i="5"/>
  <c r="K1826" i="5"/>
  <c r="H1826" i="5"/>
  <c r="E1826" i="5"/>
  <c r="D1826" i="5"/>
  <c r="B1826" i="5"/>
  <c r="Q1825" i="5"/>
  <c r="P1825" i="5"/>
  <c r="O1825" i="5"/>
  <c r="N1825" i="5"/>
  <c r="K1825" i="5"/>
  <c r="H1825" i="5"/>
  <c r="E1825" i="5"/>
  <c r="D1825" i="5"/>
  <c r="B1825" i="5"/>
  <c r="Q1824" i="5"/>
  <c r="P1824" i="5"/>
  <c r="O1824" i="5"/>
  <c r="N1824" i="5"/>
  <c r="K1824" i="5"/>
  <c r="H1824" i="5"/>
  <c r="E1824" i="5"/>
  <c r="D1824" i="5"/>
  <c r="B1824" i="5"/>
  <c r="Q1823" i="5"/>
  <c r="P1823" i="5"/>
  <c r="O1823" i="5"/>
  <c r="N1823" i="5"/>
  <c r="K1823" i="5"/>
  <c r="H1823" i="5"/>
  <c r="E1823" i="5"/>
  <c r="D1823" i="5"/>
  <c r="B1823" i="5"/>
  <c r="Q1822" i="5"/>
  <c r="P1822" i="5"/>
  <c r="O1822" i="5"/>
  <c r="N1822" i="5"/>
  <c r="K1822" i="5"/>
  <c r="H1822" i="5"/>
  <c r="J1822" i="5" s="1"/>
  <c r="I1822" i="5" s="1"/>
  <c r="E1822" i="5"/>
  <c r="D1822" i="5"/>
  <c r="B1822" i="5"/>
  <c r="Q1821" i="5"/>
  <c r="P1821" i="5"/>
  <c r="O1821" i="5"/>
  <c r="N1821" i="5"/>
  <c r="K1821" i="5"/>
  <c r="H1821" i="5"/>
  <c r="J1821" i="5" s="1"/>
  <c r="I1821" i="5" s="1"/>
  <c r="E1821" i="5"/>
  <c r="D1821" i="5"/>
  <c r="B1821" i="5"/>
  <c r="Q1820" i="5"/>
  <c r="P1820" i="5"/>
  <c r="O1820" i="5"/>
  <c r="N1820" i="5"/>
  <c r="K1820" i="5"/>
  <c r="H1820" i="5"/>
  <c r="E1820" i="5"/>
  <c r="D1820" i="5"/>
  <c r="B1820" i="5"/>
  <c r="Q1819" i="5"/>
  <c r="P1819" i="5"/>
  <c r="O1819" i="5"/>
  <c r="N1819" i="5"/>
  <c r="K1819" i="5"/>
  <c r="H1819" i="5"/>
  <c r="J1819" i="5" s="1"/>
  <c r="I1819" i="5" s="1"/>
  <c r="E1819" i="5"/>
  <c r="D1819" i="5"/>
  <c r="B1819" i="5"/>
  <c r="Q1818" i="5"/>
  <c r="P1818" i="5"/>
  <c r="O1818" i="5"/>
  <c r="N1818" i="5"/>
  <c r="K1818" i="5"/>
  <c r="H1818" i="5"/>
  <c r="J1818" i="5" s="1"/>
  <c r="I1818" i="5" s="1"/>
  <c r="E1818" i="5"/>
  <c r="D1818" i="5"/>
  <c r="B1818" i="5"/>
  <c r="Q1817" i="5"/>
  <c r="P1817" i="5"/>
  <c r="O1817" i="5"/>
  <c r="N1817" i="5"/>
  <c r="K1817" i="5"/>
  <c r="H1817" i="5"/>
  <c r="E1817" i="5"/>
  <c r="D1817" i="5"/>
  <c r="B1817" i="5"/>
  <c r="Q1816" i="5"/>
  <c r="P1816" i="5"/>
  <c r="O1816" i="5"/>
  <c r="N1816" i="5"/>
  <c r="K1816" i="5"/>
  <c r="H1816" i="5"/>
  <c r="E1816" i="5"/>
  <c r="D1816" i="5"/>
  <c r="B1816" i="5"/>
  <c r="Q1815" i="5"/>
  <c r="P1815" i="5"/>
  <c r="O1815" i="5"/>
  <c r="N1815" i="5"/>
  <c r="K1815" i="5"/>
  <c r="H1815" i="5"/>
  <c r="J1815" i="5" s="1"/>
  <c r="I1815" i="5" s="1"/>
  <c r="E1815" i="5"/>
  <c r="D1815" i="5"/>
  <c r="B1815" i="5"/>
  <c r="Q1814" i="5"/>
  <c r="P1814" i="5"/>
  <c r="O1814" i="5"/>
  <c r="N1814" i="5"/>
  <c r="K1814" i="5"/>
  <c r="H1814" i="5"/>
  <c r="G1814" i="5" s="1"/>
  <c r="E1814" i="5"/>
  <c r="D1814" i="5"/>
  <c r="B1814" i="5"/>
  <c r="Q1813" i="5"/>
  <c r="P1813" i="5"/>
  <c r="O1813" i="5"/>
  <c r="N1813" i="5"/>
  <c r="K1813" i="5"/>
  <c r="H1813" i="5"/>
  <c r="G1813" i="5" s="1"/>
  <c r="E1813" i="5"/>
  <c r="D1813" i="5"/>
  <c r="B1813" i="5"/>
  <c r="Q1812" i="5"/>
  <c r="P1812" i="5"/>
  <c r="O1812" i="5"/>
  <c r="N1812" i="5"/>
  <c r="K1812" i="5"/>
  <c r="H1812" i="5"/>
  <c r="J1812" i="5" s="1"/>
  <c r="I1812" i="5" s="1"/>
  <c r="E1812" i="5"/>
  <c r="D1812" i="5"/>
  <c r="B1812" i="5"/>
  <c r="Q1811" i="5"/>
  <c r="P1811" i="5"/>
  <c r="O1811" i="5"/>
  <c r="N1811" i="5"/>
  <c r="K1811" i="5"/>
  <c r="H1811" i="5"/>
  <c r="J1811" i="5" s="1"/>
  <c r="I1811" i="5" s="1"/>
  <c r="E1811" i="5"/>
  <c r="D1811" i="5"/>
  <c r="B1811" i="5"/>
  <c r="Q1810" i="5"/>
  <c r="P1810" i="5"/>
  <c r="O1810" i="5"/>
  <c r="N1810" i="5"/>
  <c r="K1810" i="5"/>
  <c r="H1810" i="5"/>
  <c r="G1810" i="5" s="1"/>
  <c r="E1810" i="5"/>
  <c r="D1810" i="5"/>
  <c r="B1810" i="5"/>
  <c r="Q1809" i="5"/>
  <c r="P1809" i="5"/>
  <c r="R1809" i="5" s="1"/>
  <c r="O1809" i="5"/>
  <c r="N1809" i="5"/>
  <c r="K1809" i="5"/>
  <c r="H1809" i="5"/>
  <c r="G1809" i="5" s="1"/>
  <c r="E1809" i="5"/>
  <c r="D1809" i="5"/>
  <c r="B1809" i="5"/>
  <c r="Q1808" i="5"/>
  <c r="P1808" i="5"/>
  <c r="O1808" i="5"/>
  <c r="N1808" i="5"/>
  <c r="K1808" i="5"/>
  <c r="H1808" i="5"/>
  <c r="J1808" i="5" s="1"/>
  <c r="I1808" i="5" s="1"/>
  <c r="E1808" i="5"/>
  <c r="D1808" i="5"/>
  <c r="B1808" i="5"/>
  <c r="Q1807" i="5"/>
  <c r="P1807" i="5"/>
  <c r="O1807" i="5"/>
  <c r="N1807" i="5"/>
  <c r="K1807" i="5"/>
  <c r="H1807" i="5"/>
  <c r="J1807" i="5" s="1"/>
  <c r="I1807" i="5" s="1"/>
  <c r="E1807" i="5"/>
  <c r="D1807" i="5"/>
  <c r="B1807" i="5"/>
  <c r="Q1806" i="5"/>
  <c r="P1806" i="5"/>
  <c r="O1806" i="5"/>
  <c r="N1806" i="5"/>
  <c r="K1806" i="5"/>
  <c r="H1806" i="5"/>
  <c r="J1806" i="5" s="1"/>
  <c r="I1806" i="5" s="1"/>
  <c r="E1806" i="5"/>
  <c r="D1806" i="5"/>
  <c r="B1806" i="5"/>
  <c r="Q1805" i="5"/>
  <c r="P1805" i="5"/>
  <c r="O1805" i="5"/>
  <c r="N1805" i="5"/>
  <c r="K1805" i="5"/>
  <c r="H1805" i="5"/>
  <c r="G1805" i="5" s="1"/>
  <c r="E1805" i="5"/>
  <c r="D1805" i="5"/>
  <c r="B1805" i="5"/>
  <c r="Q1804" i="5"/>
  <c r="P1804" i="5"/>
  <c r="O1804" i="5"/>
  <c r="N1804" i="5"/>
  <c r="K1804" i="5"/>
  <c r="H1804" i="5"/>
  <c r="J1804" i="5" s="1"/>
  <c r="I1804" i="5" s="1"/>
  <c r="E1804" i="5"/>
  <c r="D1804" i="5"/>
  <c r="B1804" i="5"/>
  <c r="Q1803" i="5"/>
  <c r="P1803" i="5"/>
  <c r="O1803" i="5"/>
  <c r="N1803" i="5"/>
  <c r="K1803" i="5"/>
  <c r="H1803" i="5"/>
  <c r="J1803" i="5" s="1"/>
  <c r="I1803" i="5" s="1"/>
  <c r="E1803" i="5"/>
  <c r="D1803" i="5"/>
  <c r="B1803" i="5"/>
  <c r="Q1802" i="5"/>
  <c r="P1802" i="5"/>
  <c r="O1802" i="5"/>
  <c r="N1802" i="5"/>
  <c r="K1802" i="5"/>
  <c r="H1802" i="5"/>
  <c r="J1802" i="5" s="1"/>
  <c r="I1802" i="5" s="1"/>
  <c r="E1802" i="5"/>
  <c r="D1802" i="5"/>
  <c r="B1802" i="5"/>
  <c r="Q1801" i="5"/>
  <c r="P1801" i="5"/>
  <c r="O1801" i="5"/>
  <c r="N1801" i="5"/>
  <c r="K1801" i="5"/>
  <c r="H1801" i="5"/>
  <c r="E1801" i="5"/>
  <c r="D1801" i="5"/>
  <c r="B1801" i="5"/>
  <c r="Q1800" i="5"/>
  <c r="P1800" i="5"/>
  <c r="O1800" i="5"/>
  <c r="N1800" i="5"/>
  <c r="K1800" i="5"/>
  <c r="H1800" i="5"/>
  <c r="J1800" i="5" s="1"/>
  <c r="I1800" i="5" s="1"/>
  <c r="E1800" i="5"/>
  <c r="D1800" i="5"/>
  <c r="B1800" i="5"/>
  <c r="Q1799" i="5"/>
  <c r="P1799" i="5"/>
  <c r="O1799" i="5"/>
  <c r="N1799" i="5"/>
  <c r="K1799" i="5"/>
  <c r="H1799" i="5"/>
  <c r="J1799" i="5" s="1"/>
  <c r="I1799" i="5" s="1"/>
  <c r="E1799" i="5"/>
  <c r="D1799" i="5"/>
  <c r="B1799" i="5"/>
  <c r="Q1798" i="5"/>
  <c r="P1798" i="5"/>
  <c r="O1798" i="5"/>
  <c r="N1798" i="5"/>
  <c r="K1798" i="5"/>
  <c r="H1798" i="5"/>
  <c r="E1798" i="5"/>
  <c r="D1798" i="5"/>
  <c r="B1798" i="5"/>
  <c r="Q1797" i="5"/>
  <c r="P1797" i="5"/>
  <c r="O1797" i="5"/>
  <c r="N1797" i="5"/>
  <c r="K1797" i="5"/>
  <c r="H1797" i="5"/>
  <c r="G1797" i="5" s="1"/>
  <c r="E1797" i="5"/>
  <c r="D1797" i="5"/>
  <c r="B1797" i="5"/>
  <c r="Q1796" i="5"/>
  <c r="P1796" i="5"/>
  <c r="O1796" i="5"/>
  <c r="N1796" i="5"/>
  <c r="K1796" i="5"/>
  <c r="H1796" i="5"/>
  <c r="J1796" i="5" s="1"/>
  <c r="I1796" i="5" s="1"/>
  <c r="E1796" i="5"/>
  <c r="D1796" i="5"/>
  <c r="B1796" i="5"/>
  <c r="Q1795" i="5"/>
  <c r="P1795" i="5"/>
  <c r="O1795" i="5"/>
  <c r="N1795" i="5"/>
  <c r="K1795" i="5"/>
  <c r="H1795" i="5"/>
  <c r="E1795" i="5"/>
  <c r="D1795" i="5"/>
  <c r="B1795" i="5"/>
  <c r="Q1794" i="5"/>
  <c r="P1794" i="5"/>
  <c r="O1794" i="5"/>
  <c r="N1794" i="5"/>
  <c r="K1794" i="5"/>
  <c r="H1794" i="5"/>
  <c r="E1794" i="5"/>
  <c r="D1794" i="5"/>
  <c r="B1794" i="5"/>
  <c r="Q1793" i="5"/>
  <c r="P1793" i="5"/>
  <c r="R1793" i="5" s="1"/>
  <c r="O1793" i="5"/>
  <c r="N1793" i="5"/>
  <c r="K1793" i="5"/>
  <c r="H1793" i="5"/>
  <c r="J1793" i="5" s="1"/>
  <c r="I1793" i="5" s="1"/>
  <c r="E1793" i="5"/>
  <c r="D1793" i="5"/>
  <c r="B1793" i="5"/>
  <c r="Q1792" i="5"/>
  <c r="P1792" i="5"/>
  <c r="O1792" i="5"/>
  <c r="N1792" i="5"/>
  <c r="K1792" i="5"/>
  <c r="H1792" i="5"/>
  <c r="E1792" i="5"/>
  <c r="D1792" i="5"/>
  <c r="B1792" i="5"/>
  <c r="Q1791" i="5"/>
  <c r="P1791" i="5"/>
  <c r="O1791" i="5"/>
  <c r="N1791" i="5"/>
  <c r="K1791" i="5"/>
  <c r="H1791" i="5"/>
  <c r="J1791" i="5" s="1"/>
  <c r="I1791" i="5" s="1"/>
  <c r="E1791" i="5"/>
  <c r="D1791" i="5"/>
  <c r="B1791" i="5"/>
  <c r="Q1790" i="5"/>
  <c r="P1790" i="5"/>
  <c r="O1790" i="5"/>
  <c r="N1790" i="5"/>
  <c r="K1790" i="5"/>
  <c r="H1790" i="5"/>
  <c r="J1790" i="5" s="1"/>
  <c r="I1790" i="5" s="1"/>
  <c r="E1790" i="5"/>
  <c r="D1790" i="5"/>
  <c r="B1790" i="5"/>
  <c r="Q1789" i="5"/>
  <c r="P1789" i="5"/>
  <c r="O1789" i="5"/>
  <c r="N1789" i="5"/>
  <c r="K1789" i="5"/>
  <c r="H1789" i="5"/>
  <c r="J1789" i="5" s="1"/>
  <c r="I1789" i="5" s="1"/>
  <c r="E1789" i="5"/>
  <c r="D1789" i="5"/>
  <c r="B1789" i="5"/>
  <c r="Q1788" i="5"/>
  <c r="P1788" i="5"/>
  <c r="O1788" i="5"/>
  <c r="N1788" i="5"/>
  <c r="K1788" i="5"/>
  <c r="H1788" i="5"/>
  <c r="J1788" i="5" s="1"/>
  <c r="I1788" i="5" s="1"/>
  <c r="E1788" i="5"/>
  <c r="D1788" i="5"/>
  <c r="B1788" i="5"/>
  <c r="Q1787" i="5"/>
  <c r="P1787" i="5"/>
  <c r="O1787" i="5"/>
  <c r="N1787" i="5"/>
  <c r="K1787" i="5"/>
  <c r="H1787" i="5"/>
  <c r="J1787" i="5" s="1"/>
  <c r="I1787" i="5" s="1"/>
  <c r="E1787" i="5"/>
  <c r="D1787" i="5"/>
  <c r="B1787" i="5"/>
  <c r="Q1786" i="5"/>
  <c r="P1786" i="5"/>
  <c r="O1786" i="5"/>
  <c r="N1786" i="5"/>
  <c r="K1786" i="5"/>
  <c r="H1786" i="5"/>
  <c r="E1786" i="5"/>
  <c r="D1786" i="5"/>
  <c r="B1786" i="5"/>
  <c r="Q1785" i="5"/>
  <c r="P1785" i="5"/>
  <c r="O1785" i="5"/>
  <c r="N1785" i="5"/>
  <c r="K1785" i="5"/>
  <c r="H1785" i="5"/>
  <c r="E1785" i="5"/>
  <c r="D1785" i="5"/>
  <c r="B1785" i="5"/>
  <c r="Q1784" i="5"/>
  <c r="P1784" i="5"/>
  <c r="O1784" i="5"/>
  <c r="N1784" i="5"/>
  <c r="K1784" i="5"/>
  <c r="H1784" i="5"/>
  <c r="E1784" i="5"/>
  <c r="D1784" i="5"/>
  <c r="B1784" i="5"/>
  <c r="Q1783" i="5"/>
  <c r="P1783" i="5"/>
  <c r="O1783" i="5"/>
  <c r="N1783" i="5"/>
  <c r="K1783" i="5"/>
  <c r="H1783" i="5"/>
  <c r="E1783" i="5"/>
  <c r="D1783" i="5"/>
  <c r="B1783" i="5"/>
  <c r="Q1782" i="5"/>
  <c r="P1782" i="5"/>
  <c r="O1782" i="5"/>
  <c r="N1782" i="5"/>
  <c r="K1782" i="5"/>
  <c r="H1782" i="5"/>
  <c r="G1782" i="5" s="1"/>
  <c r="E1782" i="5"/>
  <c r="D1782" i="5"/>
  <c r="B1782" i="5"/>
  <c r="Q1781" i="5"/>
  <c r="P1781" i="5"/>
  <c r="O1781" i="5"/>
  <c r="N1781" i="5"/>
  <c r="K1781" i="5"/>
  <c r="H1781" i="5"/>
  <c r="G1781" i="5" s="1"/>
  <c r="E1781" i="5"/>
  <c r="D1781" i="5"/>
  <c r="B1781" i="5"/>
  <c r="Q1780" i="5"/>
  <c r="P1780" i="5"/>
  <c r="O1780" i="5"/>
  <c r="N1780" i="5"/>
  <c r="K1780" i="5"/>
  <c r="H1780" i="5"/>
  <c r="J1780" i="5" s="1"/>
  <c r="I1780" i="5" s="1"/>
  <c r="E1780" i="5"/>
  <c r="D1780" i="5"/>
  <c r="B1780" i="5"/>
  <c r="Q1779" i="5"/>
  <c r="P1779" i="5"/>
  <c r="O1779" i="5"/>
  <c r="N1779" i="5"/>
  <c r="K1779" i="5"/>
  <c r="H1779" i="5"/>
  <c r="J1779" i="5" s="1"/>
  <c r="I1779" i="5" s="1"/>
  <c r="E1779" i="5"/>
  <c r="D1779" i="5"/>
  <c r="B1779" i="5"/>
  <c r="Q1778" i="5"/>
  <c r="P1778" i="5"/>
  <c r="O1778" i="5"/>
  <c r="N1778" i="5"/>
  <c r="K1778" i="5"/>
  <c r="H1778" i="5"/>
  <c r="G1778" i="5" s="1"/>
  <c r="E1778" i="5"/>
  <c r="D1778" i="5"/>
  <c r="B1778" i="5"/>
  <c r="Q1777" i="5"/>
  <c r="P1777" i="5"/>
  <c r="O1777" i="5"/>
  <c r="N1777" i="5"/>
  <c r="K1777" i="5"/>
  <c r="H1777" i="5"/>
  <c r="J1777" i="5" s="1"/>
  <c r="I1777" i="5" s="1"/>
  <c r="E1777" i="5"/>
  <c r="D1777" i="5"/>
  <c r="B1777" i="5"/>
  <c r="Q1776" i="5"/>
  <c r="P1776" i="5"/>
  <c r="O1776" i="5"/>
  <c r="N1776" i="5"/>
  <c r="K1776" i="5"/>
  <c r="H1776" i="5"/>
  <c r="J1776" i="5" s="1"/>
  <c r="I1776" i="5" s="1"/>
  <c r="E1776" i="5"/>
  <c r="D1776" i="5"/>
  <c r="B1776" i="5"/>
  <c r="Q1775" i="5"/>
  <c r="P1775" i="5"/>
  <c r="O1775" i="5"/>
  <c r="N1775" i="5"/>
  <c r="K1775" i="5"/>
  <c r="H1775" i="5"/>
  <c r="J1775" i="5" s="1"/>
  <c r="I1775" i="5" s="1"/>
  <c r="G1775" i="5"/>
  <c r="E1775" i="5"/>
  <c r="D1775" i="5"/>
  <c r="B1775" i="5"/>
  <c r="Q1774" i="5"/>
  <c r="P1774" i="5"/>
  <c r="O1774" i="5"/>
  <c r="N1774" i="5"/>
  <c r="K1774" i="5"/>
  <c r="H1774" i="5"/>
  <c r="J1774" i="5" s="1"/>
  <c r="I1774" i="5" s="1"/>
  <c r="E1774" i="5"/>
  <c r="D1774" i="5"/>
  <c r="B1774" i="5"/>
  <c r="Q1773" i="5"/>
  <c r="P1773" i="5"/>
  <c r="O1773" i="5"/>
  <c r="N1773" i="5"/>
  <c r="K1773" i="5"/>
  <c r="H1773" i="5"/>
  <c r="J1773" i="5" s="1"/>
  <c r="I1773" i="5" s="1"/>
  <c r="E1773" i="5"/>
  <c r="D1773" i="5"/>
  <c r="B1773" i="5"/>
  <c r="Q1772" i="5"/>
  <c r="P1772" i="5"/>
  <c r="O1772" i="5"/>
  <c r="N1772" i="5"/>
  <c r="K1772" i="5"/>
  <c r="H1772" i="5"/>
  <c r="E1772" i="5"/>
  <c r="D1772" i="5"/>
  <c r="B1772" i="5"/>
  <c r="Q1771" i="5"/>
  <c r="P1771" i="5"/>
  <c r="O1771" i="5"/>
  <c r="N1771" i="5"/>
  <c r="K1771" i="5"/>
  <c r="H1771" i="5"/>
  <c r="E1771" i="5"/>
  <c r="D1771" i="5"/>
  <c r="B1771" i="5"/>
  <c r="Q1770" i="5"/>
  <c r="P1770" i="5"/>
  <c r="O1770" i="5"/>
  <c r="N1770" i="5"/>
  <c r="K1770" i="5"/>
  <c r="H1770" i="5"/>
  <c r="G1770" i="5" s="1"/>
  <c r="E1770" i="5"/>
  <c r="D1770" i="5"/>
  <c r="B1770" i="5"/>
  <c r="Q1769" i="5"/>
  <c r="P1769" i="5"/>
  <c r="R1769" i="5" s="1"/>
  <c r="O1769" i="5"/>
  <c r="N1769" i="5"/>
  <c r="K1769" i="5"/>
  <c r="H1769" i="5"/>
  <c r="J1769" i="5" s="1"/>
  <c r="I1769" i="5" s="1"/>
  <c r="E1769" i="5"/>
  <c r="D1769" i="5"/>
  <c r="B1769" i="5"/>
  <c r="Q1768" i="5"/>
  <c r="P1768" i="5"/>
  <c r="O1768" i="5"/>
  <c r="N1768" i="5"/>
  <c r="K1768" i="5"/>
  <c r="H1768" i="5"/>
  <c r="J1768" i="5" s="1"/>
  <c r="I1768" i="5" s="1"/>
  <c r="E1768" i="5"/>
  <c r="D1768" i="5"/>
  <c r="B1768" i="5"/>
  <c r="Q1767" i="5"/>
  <c r="P1767" i="5"/>
  <c r="O1767" i="5"/>
  <c r="N1767" i="5"/>
  <c r="K1767" i="5"/>
  <c r="H1767" i="5"/>
  <c r="E1767" i="5"/>
  <c r="D1767" i="5"/>
  <c r="B1767" i="5"/>
  <c r="Q1766" i="5"/>
  <c r="P1766" i="5"/>
  <c r="O1766" i="5"/>
  <c r="N1766" i="5"/>
  <c r="K1766" i="5"/>
  <c r="H1766" i="5"/>
  <c r="E1766" i="5"/>
  <c r="D1766" i="5"/>
  <c r="B1766" i="5"/>
  <c r="Q1765" i="5"/>
  <c r="P1765" i="5"/>
  <c r="O1765" i="5"/>
  <c r="N1765" i="5"/>
  <c r="K1765" i="5"/>
  <c r="H1765" i="5"/>
  <c r="J1765" i="5" s="1"/>
  <c r="I1765" i="5" s="1"/>
  <c r="E1765" i="5"/>
  <c r="D1765" i="5"/>
  <c r="B1765" i="5"/>
  <c r="Q1764" i="5"/>
  <c r="P1764" i="5"/>
  <c r="O1764" i="5"/>
  <c r="N1764" i="5"/>
  <c r="K1764" i="5"/>
  <c r="H1764" i="5"/>
  <c r="E1764" i="5"/>
  <c r="D1764" i="5"/>
  <c r="B1764" i="5"/>
  <c r="Q1763" i="5"/>
  <c r="P1763" i="5"/>
  <c r="O1763" i="5"/>
  <c r="N1763" i="5"/>
  <c r="K1763" i="5"/>
  <c r="H1763" i="5"/>
  <c r="J1763" i="5" s="1"/>
  <c r="I1763" i="5" s="1"/>
  <c r="E1763" i="5"/>
  <c r="D1763" i="5"/>
  <c r="B1763" i="5"/>
  <c r="Q1762" i="5"/>
  <c r="P1762" i="5"/>
  <c r="O1762" i="5"/>
  <c r="N1762" i="5"/>
  <c r="K1762" i="5"/>
  <c r="H1762" i="5"/>
  <c r="E1762" i="5"/>
  <c r="D1762" i="5"/>
  <c r="B1762" i="5"/>
  <c r="Q1761" i="5"/>
  <c r="P1761" i="5"/>
  <c r="O1761" i="5"/>
  <c r="N1761" i="5"/>
  <c r="K1761" i="5"/>
  <c r="H1761" i="5"/>
  <c r="E1761" i="5"/>
  <c r="D1761" i="5"/>
  <c r="B1761" i="5"/>
  <c r="Q1760" i="5"/>
  <c r="P1760" i="5"/>
  <c r="O1760" i="5"/>
  <c r="N1760" i="5"/>
  <c r="K1760" i="5"/>
  <c r="H1760" i="5"/>
  <c r="E1760" i="5"/>
  <c r="D1760" i="5"/>
  <c r="B1760" i="5"/>
  <c r="Q1759" i="5"/>
  <c r="P1759" i="5"/>
  <c r="O1759" i="5"/>
  <c r="N1759" i="5"/>
  <c r="K1759" i="5"/>
  <c r="H1759" i="5"/>
  <c r="J1759" i="5" s="1"/>
  <c r="I1759" i="5" s="1"/>
  <c r="E1759" i="5"/>
  <c r="D1759" i="5"/>
  <c r="B1759" i="5"/>
  <c r="Q1758" i="5"/>
  <c r="P1758" i="5"/>
  <c r="O1758" i="5"/>
  <c r="N1758" i="5"/>
  <c r="K1758" i="5"/>
  <c r="H1758" i="5"/>
  <c r="E1758" i="5"/>
  <c r="D1758" i="5"/>
  <c r="B1758" i="5"/>
  <c r="Q1757" i="5"/>
  <c r="P1757" i="5"/>
  <c r="O1757" i="5"/>
  <c r="N1757" i="5"/>
  <c r="K1757" i="5"/>
  <c r="H1757" i="5"/>
  <c r="J1757" i="5" s="1"/>
  <c r="I1757" i="5" s="1"/>
  <c r="E1757" i="5"/>
  <c r="D1757" i="5"/>
  <c r="B1757" i="5"/>
  <c r="Q1756" i="5"/>
  <c r="P1756" i="5"/>
  <c r="R1756" i="5" s="1"/>
  <c r="O1756" i="5"/>
  <c r="N1756" i="5"/>
  <c r="K1756" i="5"/>
  <c r="H1756" i="5"/>
  <c r="G1756" i="5" s="1"/>
  <c r="E1756" i="5"/>
  <c r="D1756" i="5"/>
  <c r="B1756" i="5"/>
  <c r="Q1755" i="5"/>
  <c r="P1755" i="5"/>
  <c r="O1755" i="5"/>
  <c r="N1755" i="5"/>
  <c r="K1755" i="5"/>
  <c r="H1755" i="5"/>
  <c r="G1755" i="5" s="1"/>
  <c r="E1755" i="5"/>
  <c r="D1755" i="5"/>
  <c r="B1755" i="5"/>
  <c r="Q1754" i="5"/>
  <c r="P1754" i="5"/>
  <c r="O1754" i="5"/>
  <c r="N1754" i="5"/>
  <c r="K1754" i="5"/>
  <c r="H1754" i="5"/>
  <c r="G1754" i="5" s="1"/>
  <c r="E1754" i="5"/>
  <c r="D1754" i="5"/>
  <c r="B1754" i="5"/>
  <c r="Q1753" i="5"/>
  <c r="P1753" i="5"/>
  <c r="O1753" i="5"/>
  <c r="N1753" i="5"/>
  <c r="K1753" i="5"/>
  <c r="H1753" i="5"/>
  <c r="E1753" i="5"/>
  <c r="D1753" i="5"/>
  <c r="B1753" i="5"/>
  <c r="Q1752" i="5"/>
  <c r="P1752" i="5"/>
  <c r="O1752" i="5"/>
  <c r="N1752" i="5"/>
  <c r="K1752" i="5"/>
  <c r="H1752" i="5"/>
  <c r="E1752" i="5"/>
  <c r="D1752" i="5"/>
  <c r="B1752" i="5"/>
  <c r="Q1751" i="5"/>
  <c r="P1751" i="5"/>
  <c r="O1751" i="5"/>
  <c r="N1751" i="5"/>
  <c r="K1751" i="5"/>
  <c r="H1751" i="5"/>
  <c r="E1751" i="5"/>
  <c r="D1751" i="5"/>
  <c r="B1751" i="5"/>
  <c r="Q1750" i="5"/>
  <c r="P1750" i="5"/>
  <c r="O1750" i="5"/>
  <c r="N1750" i="5"/>
  <c r="K1750" i="5"/>
  <c r="H1750" i="5"/>
  <c r="E1750" i="5"/>
  <c r="D1750" i="5"/>
  <c r="B1750" i="5"/>
  <c r="Q1749" i="5"/>
  <c r="P1749" i="5"/>
  <c r="O1749" i="5"/>
  <c r="N1749" i="5"/>
  <c r="K1749" i="5"/>
  <c r="H1749" i="5"/>
  <c r="J1749" i="5" s="1"/>
  <c r="I1749" i="5" s="1"/>
  <c r="E1749" i="5"/>
  <c r="D1749" i="5"/>
  <c r="B1749" i="5"/>
  <c r="Q1748" i="5"/>
  <c r="P1748" i="5"/>
  <c r="O1748" i="5"/>
  <c r="N1748" i="5"/>
  <c r="K1748" i="5"/>
  <c r="H1748" i="5"/>
  <c r="G1748" i="5" s="1"/>
  <c r="E1748" i="5"/>
  <c r="D1748" i="5"/>
  <c r="B1748" i="5"/>
  <c r="Q1747" i="5"/>
  <c r="P1747" i="5"/>
  <c r="O1747" i="5"/>
  <c r="N1747" i="5"/>
  <c r="K1747" i="5"/>
  <c r="H1747" i="5"/>
  <c r="E1747" i="5"/>
  <c r="D1747" i="5"/>
  <c r="B1747" i="5"/>
  <c r="Q1746" i="5"/>
  <c r="P1746" i="5"/>
  <c r="O1746" i="5"/>
  <c r="N1746" i="5"/>
  <c r="K1746" i="5"/>
  <c r="H1746" i="5"/>
  <c r="G1746" i="5" s="1"/>
  <c r="E1746" i="5"/>
  <c r="D1746" i="5"/>
  <c r="B1746" i="5"/>
  <c r="Q1745" i="5"/>
  <c r="P1745" i="5"/>
  <c r="O1745" i="5"/>
  <c r="N1745" i="5"/>
  <c r="K1745" i="5"/>
  <c r="H1745" i="5"/>
  <c r="G1745" i="5" s="1"/>
  <c r="E1745" i="5"/>
  <c r="D1745" i="5"/>
  <c r="B1745" i="5"/>
  <c r="Q1744" i="5"/>
  <c r="P1744" i="5"/>
  <c r="O1744" i="5"/>
  <c r="N1744" i="5"/>
  <c r="K1744" i="5"/>
  <c r="H1744" i="5"/>
  <c r="J1744" i="5" s="1"/>
  <c r="I1744" i="5" s="1"/>
  <c r="E1744" i="5"/>
  <c r="D1744" i="5"/>
  <c r="B1744" i="5"/>
  <c r="Q1743" i="5"/>
  <c r="P1743" i="5"/>
  <c r="R1743" i="5" s="1"/>
  <c r="O1743" i="5"/>
  <c r="N1743" i="5"/>
  <c r="K1743" i="5"/>
  <c r="H1743" i="5"/>
  <c r="J1743" i="5" s="1"/>
  <c r="I1743" i="5" s="1"/>
  <c r="G1743" i="5"/>
  <c r="E1743" i="5"/>
  <c r="D1743" i="5"/>
  <c r="B1743" i="5"/>
  <c r="Q1742" i="5"/>
  <c r="P1742" i="5"/>
  <c r="O1742" i="5"/>
  <c r="N1742" i="5"/>
  <c r="K1742" i="5"/>
  <c r="H1742" i="5"/>
  <c r="J1742" i="5" s="1"/>
  <c r="I1742" i="5" s="1"/>
  <c r="E1742" i="5"/>
  <c r="D1742" i="5"/>
  <c r="B1742" i="5"/>
  <c r="Q1741" i="5"/>
  <c r="P1741" i="5"/>
  <c r="O1741" i="5"/>
  <c r="N1741" i="5"/>
  <c r="K1741" i="5"/>
  <c r="H1741" i="5"/>
  <c r="E1741" i="5"/>
  <c r="D1741" i="5"/>
  <c r="B1741" i="5"/>
  <c r="Q1740" i="5"/>
  <c r="P1740" i="5"/>
  <c r="O1740" i="5"/>
  <c r="N1740" i="5"/>
  <c r="K1740" i="5"/>
  <c r="H1740" i="5"/>
  <c r="J1740" i="5" s="1"/>
  <c r="I1740" i="5" s="1"/>
  <c r="E1740" i="5"/>
  <c r="D1740" i="5"/>
  <c r="B1740" i="5"/>
  <c r="Q1739" i="5"/>
  <c r="P1739" i="5"/>
  <c r="O1739" i="5"/>
  <c r="N1739" i="5"/>
  <c r="K1739" i="5"/>
  <c r="H1739" i="5"/>
  <c r="J1739" i="5" s="1"/>
  <c r="I1739" i="5" s="1"/>
  <c r="E1739" i="5"/>
  <c r="D1739" i="5"/>
  <c r="B1739" i="5"/>
  <c r="Q1738" i="5"/>
  <c r="P1738" i="5"/>
  <c r="O1738" i="5"/>
  <c r="N1738" i="5"/>
  <c r="K1738" i="5"/>
  <c r="H1738" i="5"/>
  <c r="J1738" i="5" s="1"/>
  <c r="I1738" i="5" s="1"/>
  <c r="E1738" i="5"/>
  <c r="D1738" i="5"/>
  <c r="B1738" i="5"/>
  <c r="Q1737" i="5"/>
  <c r="P1737" i="5"/>
  <c r="O1737" i="5"/>
  <c r="N1737" i="5"/>
  <c r="K1737" i="5"/>
  <c r="H1737" i="5"/>
  <c r="E1737" i="5"/>
  <c r="D1737" i="5"/>
  <c r="B1737" i="5"/>
  <c r="Q1736" i="5"/>
  <c r="P1736" i="5"/>
  <c r="O1736" i="5"/>
  <c r="N1736" i="5"/>
  <c r="K1736" i="5"/>
  <c r="H1736" i="5"/>
  <c r="J1736" i="5" s="1"/>
  <c r="I1736" i="5" s="1"/>
  <c r="E1736" i="5"/>
  <c r="D1736" i="5"/>
  <c r="B1736" i="5"/>
  <c r="Q1735" i="5"/>
  <c r="P1735" i="5"/>
  <c r="O1735" i="5"/>
  <c r="N1735" i="5"/>
  <c r="K1735" i="5"/>
  <c r="H1735" i="5"/>
  <c r="E1735" i="5"/>
  <c r="D1735" i="5"/>
  <c r="B1735" i="5"/>
  <c r="Q1734" i="5"/>
  <c r="P1734" i="5"/>
  <c r="O1734" i="5"/>
  <c r="N1734" i="5"/>
  <c r="K1734" i="5"/>
  <c r="H1734" i="5"/>
  <c r="G1734" i="5" s="1"/>
  <c r="E1734" i="5"/>
  <c r="D1734" i="5"/>
  <c r="B1734" i="5"/>
  <c r="Q1733" i="5"/>
  <c r="P1733" i="5"/>
  <c r="O1733" i="5"/>
  <c r="N1733" i="5"/>
  <c r="K1733" i="5"/>
  <c r="H1733" i="5"/>
  <c r="E1733" i="5"/>
  <c r="D1733" i="5"/>
  <c r="B1733" i="5"/>
  <c r="Q1732" i="5"/>
  <c r="P1732" i="5"/>
  <c r="O1732" i="5"/>
  <c r="N1732" i="5"/>
  <c r="K1732" i="5"/>
  <c r="H1732" i="5"/>
  <c r="E1732" i="5"/>
  <c r="D1732" i="5"/>
  <c r="B1732" i="5"/>
  <c r="Q1731" i="5"/>
  <c r="P1731" i="5"/>
  <c r="O1731" i="5"/>
  <c r="N1731" i="5"/>
  <c r="K1731" i="5"/>
  <c r="H1731" i="5"/>
  <c r="E1731" i="5"/>
  <c r="D1731" i="5"/>
  <c r="B1731" i="5"/>
  <c r="Q1730" i="5"/>
  <c r="P1730" i="5"/>
  <c r="O1730" i="5"/>
  <c r="N1730" i="5"/>
  <c r="K1730" i="5"/>
  <c r="H1730" i="5"/>
  <c r="E1730" i="5"/>
  <c r="D1730" i="5"/>
  <c r="B1730" i="5"/>
  <c r="Q1729" i="5"/>
  <c r="P1729" i="5"/>
  <c r="O1729" i="5"/>
  <c r="N1729" i="5"/>
  <c r="K1729" i="5"/>
  <c r="H1729" i="5"/>
  <c r="J1729" i="5" s="1"/>
  <c r="I1729" i="5" s="1"/>
  <c r="E1729" i="5"/>
  <c r="D1729" i="5"/>
  <c r="B1729" i="5"/>
  <c r="Q1728" i="5"/>
  <c r="P1728" i="5"/>
  <c r="O1728" i="5"/>
  <c r="N1728" i="5"/>
  <c r="K1728" i="5"/>
  <c r="H1728" i="5"/>
  <c r="G1728" i="5" s="1"/>
  <c r="E1728" i="5"/>
  <c r="D1728" i="5"/>
  <c r="B1728" i="5"/>
  <c r="Q1727" i="5"/>
  <c r="P1727" i="5"/>
  <c r="O1727" i="5"/>
  <c r="N1727" i="5"/>
  <c r="K1727" i="5"/>
  <c r="H1727" i="5"/>
  <c r="J1727" i="5" s="1"/>
  <c r="I1727" i="5" s="1"/>
  <c r="E1727" i="5"/>
  <c r="D1727" i="5"/>
  <c r="B1727" i="5"/>
  <c r="Q1726" i="5"/>
  <c r="P1726" i="5"/>
  <c r="O1726" i="5"/>
  <c r="N1726" i="5"/>
  <c r="K1726" i="5"/>
  <c r="H1726" i="5"/>
  <c r="E1726" i="5"/>
  <c r="D1726" i="5"/>
  <c r="B1726" i="5"/>
  <c r="Q1725" i="5"/>
  <c r="P1725" i="5"/>
  <c r="O1725" i="5"/>
  <c r="N1725" i="5"/>
  <c r="K1725" i="5"/>
  <c r="H1725" i="5"/>
  <c r="J1725" i="5" s="1"/>
  <c r="I1725" i="5" s="1"/>
  <c r="E1725" i="5"/>
  <c r="D1725" i="5"/>
  <c r="B1725" i="5"/>
  <c r="Q1724" i="5"/>
  <c r="P1724" i="5"/>
  <c r="O1724" i="5"/>
  <c r="N1724" i="5"/>
  <c r="K1724" i="5"/>
  <c r="H1724" i="5"/>
  <c r="E1724" i="5"/>
  <c r="D1724" i="5"/>
  <c r="B1724" i="5"/>
  <c r="Q1723" i="5"/>
  <c r="P1723" i="5"/>
  <c r="O1723" i="5"/>
  <c r="N1723" i="5"/>
  <c r="K1723" i="5"/>
  <c r="H1723" i="5"/>
  <c r="J1723" i="5" s="1"/>
  <c r="I1723" i="5" s="1"/>
  <c r="E1723" i="5"/>
  <c r="D1723" i="5"/>
  <c r="B1723" i="5"/>
  <c r="Q1722" i="5"/>
  <c r="P1722" i="5"/>
  <c r="O1722" i="5"/>
  <c r="N1722" i="5"/>
  <c r="K1722" i="5"/>
  <c r="H1722" i="5"/>
  <c r="E1722" i="5"/>
  <c r="D1722" i="5"/>
  <c r="B1722" i="5"/>
  <c r="Q1721" i="5"/>
  <c r="P1721" i="5"/>
  <c r="O1721" i="5"/>
  <c r="N1721" i="5"/>
  <c r="K1721" i="5"/>
  <c r="H1721" i="5"/>
  <c r="J1721" i="5" s="1"/>
  <c r="I1721" i="5" s="1"/>
  <c r="E1721" i="5"/>
  <c r="D1721" i="5"/>
  <c r="B1721" i="5"/>
  <c r="Q1720" i="5"/>
  <c r="P1720" i="5"/>
  <c r="O1720" i="5"/>
  <c r="N1720" i="5"/>
  <c r="K1720" i="5"/>
  <c r="H1720" i="5"/>
  <c r="J1720" i="5" s="1"/>
  <c r="I1720" i="5" s="1"/>
  <c r="E1720" i="5"/>
  <c r="D1720" i="5"/>
  <c r="B1720" i="5"/>
  <c r="Q1719" i="5"/>
  <c r="P1719" i="5"/>
  <c r="O1719" i="5"/>
  <c r="N1719" i="5"/>
  <c r="K1719" i="5"/>
  <c r="H1719" i="5"/>
  <c r="E1719" i="5"/>
  <c r="D1719" i="5"/>
  <c r="B1719" i="5"/>
  <c r="Q1718" i="5"/>
  <c r="P1718" i="5"/>
  <c r="O1718" i="5"/>
  <c r="N1718" i="5"/>
  <c r="K1718" i="5"/>
  <c r="H1718" i="5"/>
  <c r="G1718" i="5" s="1"/>
  <c r="E1718" i="5"/>
  <c r="D1718" i="5"/>
  <c r="B1718" i="5"/>
  <c r="Q1717" i="5"/>
  <c r="P1717" i="5"/>
  <c r="O1717" i="5"/>
  <c r="N1717" i="5"/>
  <c r="K1717" i="5"/>
  <c r="H1717" i="5"/>
  <c r="E1717" i="5"/>
  <c r="D1717" i="5"/>
  <c r="B1717" i="5"/>
  <c r="Q1716" i="5"/>
  <c r="P1716" i="5"/>
  <c r="O1716" i="5"/>
  <c r="N1716" i="5"/>
  <c r="K1716" i="5"/>
  <c r="H1716" i="5"/>
  <c r="J1716" i="5" s="1"/>
  <c r="I1716" i="5" s="1"/>
  <c r="E1716" i="5"/>
  <c r="D1716" i="5"/>
  <c r="B1716" i="5"/>
  <c r="Q1715" i="5"/>
  <c r="P1715" i="5"/>
  <c r="O1715" i="5"/>
  <c r="N1715" i="5"/>
  <c r="K1715" i="5"/>
  <c r="H1715" i="5"/>
  <c r="E1715" i="5"/>
  <c r="D1715" i="5"/>
  <c r="B1715" i="5"/>
  <c r="Q1714" i="5"/>
  <c r="P1714" i="5"/>
  <c r="O1714" i="5"/>
  <c r="N1714" i="5"/>
  <c r="K1714" i="5"/>
  <c r="H1714" i="5"/>
  <c r="E1714" i="5"/>
  <c r="D1714" i="5"/>
  <c r="B1714" i="5"/>
  <c r="Q1713" i="5"/>
  <c r="P1713" i="5"/>
  <c r="O1713" i="5"/>
  <c r="N1713" i="5"/>
  <c r="K1713" i="5"/>
  <c r="H1713" i="5"/>
  <c r="E1713" i="5"/>
  <c r="D1713" i="5"/>
  <c r="B1713" i="5"/>
  <c r="Q1712" i="5"/>
  <c r="P1712" i="5"/>
  <c r="O1712" i="5"/>
  <c r="N1712" i="5"/>
  <c r="K1712" i="5"/>
  <c r="H1712" i="5"/>
  <c r="E1712" i="5"/>
  <c r="D1712" i="5"/>
  <c r="B1712" i="5"/>
  <c r="Q1711" i="5"/>
  <c r="P1711" i="5"/>
  <c r="O1711" i="5"/>
  <c r="N1711" i="5"/>
  <c r="K1711" i="5"/>
  <c r="H1711" i="5"/>
  <c r="J1711" i="5" s="1"/>
  <c r="I1711" i="5" s="1"/>
  <c r="E1711" i="5"/>
  <c r="D1711" i="5"/>
  <c r="B1711" i="5"/>
  <c r="Q1710" i="5"/>
  <c r="P1710" i="5"/>
  <c r="O1710" i="5"/>
  <c r="N1710" i="5"/>
  <c r="K1710" i="5"/>
  <c r="H1710" i="5"/>
  <c r="G1710" i="5" s="1"/>
  <c r="E1710" i="5"/>
  <c r="D1710" i="5"/>
  <c r="B1710" i="5"/>
  <c r="Q1709" i="5"/>
  <c r="P1709" i="5"/>
  <c r="O1709" i="5"/>
  <c r="N1709" i="5"/>
  <c r="K1709" i="5"/>
  <c r="H1709" i="5"/>
  <c r="J1709" i="5" s="1"/>
  <c r="I1709" i="5" s="1"/>
  <c r="E1709" i="5"/>
  <c r="D1709" i="5"/>
  <c r="B1709" i="5"/>
  <c r="Q1708" i="5"/>
  <c r="P1708" i="5"/>
  <c r="O1708" i="5"/>
  <c r="N1708" i="5"/>
  <c r="K1708" i="5"/>
  <c r="H1708" i="5"/>
  <c r="J1708" i="5" s="1"/>
  <c r="I1708" i="5" s="1"/>
  <c r="E1708" i="5"/>
  <c r="D1708" i="5"/>
  <c r="B1708" i="5"/>
  <c r="Q1707" i="5"/>
  <c r="P1707" i="5"/>
  <c r="O1707" i="5"/>
  <c r="N1707" i="5"/>
  <c r="K1707" i="5"/>
  <c r="H1707" i="5"/>
  <c r="E1707" i="5"/>
  <c r="D1707" i="5"/>
  <c r="B1707" i="5"/>
  <c r="Q1706" i="5"/>
  <c r="P1706" i="5"/>
  <c r="O1706" i="5"/>
  <c r="N1706" i="5"/>
  <c r="K1706" i="5"/>
  <c r="H1706" i="5"/>
  <c r="J1706" i="5" s="1"/>
  <c r="I1706" i="5" s="1"/>
  <c r="E1706" i="5"/>
  <c r="D1706" i="5"/>
  <c r="B1706" i="5"/>
  <c r="Q1705" i="5"/>
  <c r="P1705" i="5"/>
  <c r="O1705" i="5"/>
  <c r="N1705" i="5"/>
  <c r="K1705" i="5"/>
  <c r="H1705" i="5"/>
  <c r="G1705" i="5" s="1"/>
  <c r="E1705" i="5"/>
  <c r="D1705" i="5"/>
  <c r="B1705" i="5"/>
  <c r="Q1704" i="5"/>
  <c r="P1704" i="5"/>
  <c r="O1704" i="5"/>
  <c r="N1704" i="5"/>
  <c r="K1704" i="5"/>
  <c r="H1704" i="5"/>
  <c r="G1704" i="5" s="1"/>
  <c r="E1704" i="5"/>
  <c r="D1704" i="5"/>
  <c r="B1704" i="5"/>
  <c r="Q1703" i="5"/>
  <c r="P1703" i="5"/>
  <c r="O1703" i="5"/>
  <c r="N1703" i="5"/>
  <c r="K1703" i="5"/>
  <c r="H1703" i="5"/>
  <c r="J1703" i="5" s="1"/>
  <c r="I1703" i="5" s="1"/>
  <c r="E1703" i="5"/>
  <c r="D1703" i="5"/>
  <c r="B1703" i="5"/>
  <c r="Q1702" i="5"/>
  <c r="P1702" i="5"/>
  <c r="O1702" i="5"/>
  <c r="N1702" i="5"/>
  <c r="K1702" i="5"/>
  <c r="H1702" i="5"/>
  <c r="G1702" i="5" s="1"/>
  <c r="E1702" i="5"/>
  <c r="D1702" i="5"/>
  <c r="B1702" i="5"/>
  <c r="Q1701" i="5"/>
  <c r="P1701" i="5"/>
  <c r="O1701" i="5"/>
  <c r="N1701" i="5"/>
  <c r="K1701" i="5"/>
  <c r="H1701" i="5"/>
  <c r="G1701" i="5" s="1"/>
  <c r="E1701" i="5"/>
  <c r="D1701" i="5"/>
  <c r="B1701" i="5"/>
  <c r="Q1700" i="5"/>
  <c r="P1700" i="5"/>
  <c r="R1700" i="5" s="1"/>
  <c r="O1700" i="5"/>
  <c r="N1700" i="5"/>
  <c r="K1700" i="5"/>
  <c r="H1700" i="5"/>
  <c r="E1700" i="5"/>
  <c r="D1700" i="5"/>
  <c r="B1700" i="5"/>
  <c r="Q1699" i="5"/>
  <c r="P1699" i="5"/>
  <c r="O1699" i="5"/>
  <c r="N1699" i="5"/>
  <c r="K1699" i="5"/>
  <c r="H1699" i="5"/>
  <c r="J1699" i="5" s="1"/>
  <c r="I1699" i="5" s="1"/>
  <c r="E1699" i="5"/>
  <c r="D1699" i="5"/>
  <c r="B1699" i="5"/>
  <c r="Q1698" i="5"/>
  <c r="P1698" i="5"/>
  <c r="O1698" i="5"/>
  <c r="N1698" i="5"/>
  <c r="K1698" i="5"/>
  <c r="H1698" i="5"/>
  <c r="G1698" i="5" s="1"/>
  <c r="E1698" i="5"/>
  <c r="D1698" i="5"/>
  <c r="B1698" i="5"/>
  <c r="Q1697" i="5"/>
  <c r="P1697" i="5"/>
  <c r="O1697" i="5"/>
  <c r="N1697" i="5"/>
  <c r="K1697" i="5"/>
  <c r="H1697" i="5"/>
  <c r="J1697" i="5" s="1"/>
  <c r="I1697" i="5" s="1"/>
  <c r="E1697" i="5"/>
  <c r="D1697" i="5"/>
  <c r="B1697" i="5"/>
  <c r="Q1696" i="5"/>
  <c r="P1696" i="5"/>
  <c r="O1696" i="5"/>
  <c r="N1696" i="5"/>
  <c r="K1696" i="5"/>
  <c r="H1696" i="5"/>
  <c r="J1696" i="5" s="1"/>
  <c r="I1696" i="5" s="1"/>
  <c r="E1696" i="5"/>
  <c r="D1696" i="5"/>
  <c r="B1696" i="5"/>
  <c r="Q1695" i="5"/>
  <c r="P1695" i="5"/>
  <c r="O1695" i="5"/>
  <c r="N1695" i="5"/>
  <c r="K1695" i="5"/>
  <c r="H1695" i="5"/>
  <c r="E1695" i="5"/>
  <c r="D1695" i="5"/>
  <c r="B1695" i="5"/>
  <c r="Q1694" i="5"/>
  <c r="P1694" i="5"/>
  <c r="O1694" i="5"/>
  <c r="N1694" i="5"/>
  <c r="K1694" i="5"/>
  <c r="H1694" i="5"/>
  <c r="J1694" i="5" s="1"/>
  <c r="I1694" i="5" s="1"/>
  <c r="E1694" i="5"/>
  <c r="D1694" i="5"/>
  <c r="B1694" i="5"/>
  <c r="Q1693" i="5"/>
  <c r="P1693" i="5"/>
  <c r="R1693" i="5" s="1"/>
  <c r="O1693" i="5"/>
  <c r="N1693" i="5"/>
  <c r="K1693" i="5"/>
  <c r="H1693" i="5"/>
  <c r="J1693" i="5" s="1"/>
  <c r="I1693" i="5" s="1"/>
  <c r="E1693" i="5"/>
  <c r="D1693" i="5"/>
  <c r="B1693" i="5"/>
  <c r="Q1692" i="5"/>
  <c r="P1692" i="5"/>
  <c r="O1692" i="5"/>
  <c r="N1692" i="5"/>
  <c r="K1692" i="5"/>
  <c r="H1692" i="5"/>
  <c r="J1692" i="5" s="1"/>
  <c r="I1692" i="5" s="1"/>
  <c r="E1692" i="5"/>
  <c r="D1692" i="5"/>
  <c r="B1692" i="5"/>
  <c r="Q1691" i="5"/>
  <c r="P1691" i="5"/>
  <c r="O1691" i="5"/>
  <c r="N1691" i="5"/>
  <c r="K1691" i="5"/>
  <c r="H1691" i="5"/>
  <c r="E1691" i="5"/>
  <c r="D1691" i="5"/>
  <c r="B1691" i="5"/>
  <c r="Q1690" i="5"/>
  <c r="P1690" i="5"/>
  <c r="O1690" i="5"/>
  <c r="N1690" i="5"/>
  <c r="K1690" i="5"/>
  <c r="H1690" i="5"/>
  <c r="E1690" i="5"/>
  <c r="D1690" i="5"/>
  <c r="B1690" i="5"/>
  <c r="Q1689" i="5"/>
  <c r="P1689" i="5"/>
  <c r="O1689" i="5"/>
  <c r="N1689" i="5"/>
  <c r="K1689" i="5"/>
  <c r="H1689" i="5"/>
  <c r="J1689" i="5" s="1"/>
  <c r="I1689" i="5" s="1"/>
  <c r="E1689" i="5"/>
  <c r="D1689" i="5"/>
  <c r="B1689" i="5"/>
  <c r="Q1688" i="5"/>
  <c r="P1688" i="5"/>
  <c r="O1688" i="5"/>
  <c r="N1688" i="5"/>
  <c r="K1688" i="5"/>
  <c r="H1688" i="5"/>
  <c r="J1688" i="5" s="1"/>
  <c r="I1688" i="5" s="1"/>
  <c r="E1688" i="5"/>
  <c r="D1688" i="5"/>
  <c r="B1688" i="5"/>
  <c r="Q1687" i="5"/>
  <c r="P1687" i="5"/>
  <c r="O1687" i="5"/>
  <c r="N1687" i="5"/>
  <c r="K1687" i="5"/>
  <c r="H1687" i="5"/>
  <c r="J1687" i="5" s="1"/>
  <c r="I1687" i="5" s="1"/>
  <c r="E1687" i="5"/>
  <c r="D1687" i="5"/>
  <c r="B1687" i="5"/>
  <c r="Q1686" i="5"/>
  <c r="P1686" i="5"/>
  <c r="O1686" i="5"/>
  <c r="N1686" i="5"/>
  <c r="K1686" i="5"/>
  <c r="H1686" i="5"/>
  <c r="G1686" i="5" s="1"/>
  <c r="E1686" i="5"/>
  <c r="D1686" i="5"/>
  <c r="B1686" i="5"/>
  <c r="Q1685" i="5"/>
  <c r="P1685" i="5"/>
  <c r="O1685" i="5"/>
  <c r="N1685" i="5"/>
  <c r="K1685" i="5"/>
  <c r="H1685" i="5"/>
  <c r="J1685" i="5" s="1"/>
  <c r="I1685" i="5" s="1"/>
  <c r="E1685" i="5"/>
  <c r="D1685" i="5"/>
  <c r="B1685" i="5"/>
  <c r="Q1684" i="5"/>
  <c r="P1684" i="5"/>
  <c r="O1684" i="5"/>
  <c r="N1684" i="5"/>
  <c r="K1684" i="5"/>
  <c r="H1684" i="5"/>
  <c r="J1684" i="5" s="1"/>
  <c r="I1684" i="5" s="1"/>
  <c r="G1684" i="5"/>
  <c r="E1684" i="5"/>
  <c r="D1684" i="5"/>
  <c r="B1684" i="5"/>
  <c r="Q1683" i="5"/>
  <c r="P1683" i="5"/>
  <c r="O1683" i="5"/>
  <c r="N1683" i="5"/>
  <c r="K1683" i="5"/>
  <c r="H1683" i="5"/>
  <c r="E1683" i="5"/>
  <c r="D1683" i="5"/>
  <c r="B1683" i="5"/>
  <c r="Q1682" i="5"/>
  <c r="P1682" i="5"/>
  <c r="O1682" i="5"/>
  <c r="N1682" i="5"/>
  <c r="K1682" i="5"/>
  <c r="H1682" i="5"/>
  <c r="J1682" i="5" s="1"/>
  <c r="I1682" i="5" s="1"/>
  <c r="E1682" i="5"/>
  <c r="D1682" i="5"/>
  <c r="B1682" i="5"/>
  <c r="Q1681" i="5"/>
  <c r="P1681" i="5"/>
  <c r="O1681" i="5"/>
  <c r="N1681" i="5"/>
  <c r="K1681" i="5"/>
  <c r="H1681" i="5"/>
  <c r="J1681" i="5" s="1"/>
  <c r="I1681" i="5" s="1"/>
  <c r="E1681" i="5"/>
  <c r="D1681" i="5"/>
  <c r="B1681" i="5"/>
  <c r="Q1680" i="5"/>
  <c r="P1680" i="5"/>
  <c r="O1680" i="5"/>
  <c r="N1680" i="5"/>
  <c r="K1680" i="5"/>
  <c r="H1680" i="5"/>
  <c r="E1680" i="5"/>
  <c r="D1680" i="5"/>
  <c r="B1680" i="5"/>
  <c r="Q1679" i="5"/>
  <c r="P1679" i="5"/>
  <c r="O1679" i="5"/>
  <c r="N1679" i="5"/>
  <c r="K1679" i="5"/>
  <c r="H1679" i="5"/>
  <c r="J1679" i="5" s="1"/>
  <c r="I1679" i="5" s="1"/>
  <c r="E1679" i="5"/>
  <c r="D1679" i="5"/>
  <c r="B1679" i="5"/>
  <c r="Q1678" i="5"/>
  <c r="P1678" i="5"/>
  <c r="R1678" i="5" s="1"/>
  <c r="O1678" i="5"/>
  <c r="N1678" i="5"/>
  <c r="K1678" i="5"/>
  <c r="H1678" i="5"/>
  <c r="G1678" i="5" s="1"/>
  <c r="E1678" i="5"/>
  <c r="D1678" i="5"/>
  <c r="B1678" i="5"/>
  <c r="Q1677" i="5"/>
  <c r="P1677" i="5"/>
  <c r="R1677" i="5" s="1"/>
  <c r="O1677" i="5"/>
  <c r="N1677" i="5"/>
  <c r="K1677" i="5"/>
  <c r="H1677" i="5"/>
  <c r="E1677" i="5"/>
  <c r="D1677" i="5"/>
  <c r="B1677" i="5"/>
  <c r="Q1676" i="5"/>
  <c r="P1676" i="5"/>
  <c r="O1676" i="5"/>
  <c r="N1676" i="5"/>
  <c r="K1676" i="5"/>
  <c r="H1676" i="5"/>
  <c r="J1676" i="5" s="1"/>
  <c r="I1676" i="5" s="1"/>
  <c r="E1676" i="5"/>
  <c r="D1676" i="5"/>
  <c r="B1676" i="5"/>
  <c r="Q1675" i="5"/>
  <c r="P1675" i="5"/>
  <c r="O1675" i="5"/>
  <c r="N1675" i="5"/>
  <c r="K1675" i="5"/>
  <c r="H1675" i="5"/>
  <c r="J1675" i="5" s="1"/>
  <c r="I1675" i="5" s="1"/>
  <c r="G1675" i="5"/>
  <c r="E1675" i="5"/>
  <c r="D1675" i="5"/>
  <c r="B1675" i="5"/>
  <c r="Q1674" i="5"/>
  <c r="P1674" i="5"/>
  <c r="O1674" i="5"/>
  <c r="N1674" i="5"/>
  <c r="K1674" i="5"/>
  <c r="H1674" i="5"/>
  <c r="J1674" i="5" s="1"/>
  <c r="I1674" i="5" s="1"/>
  <c r="E1674" i="5"/>
  <c r="D1674" i="5"/>
  <c r="B1674" i="5"/>
  <c r="Q1673" i="5"/>
  <c r="P1673" i="5"/>
  <c r="O1673" i="5"/>
  <c r="N1673" i="5"/>
  <c r="K1673" i="5"/>
  <c r="H1673" i="5"/>
  <c r="G1673" i="5" s="1"/>
  <c r="E1673" i="5"/>
  <c r="D1673" i="5"/>
  <c r="B1673" i="5"/>
  <c r="Q1672" i="5"/>
  <c r="P1672" i="5"/>
  <c r="O1672" i="5"/>
  <c r="N1672" i="5"/>
  <c r="K1672" i="5"/>
  <c r="H1672" i="5"/>
  <c r="J1672" i="5" s="1"/>
  <c r="I1672" i="5" s="1"/>
  <c r="E1672" i="5"/>
  <c r="D1672" i="5"/>
  <c r="B1672" i="5"/>
  <c r="Q1671" i="5"/>
  <c r="P1671" i="5"/>
  <c r="O1671" i="5"/>
  <c r="N1671" i="5"/>
  <c r="K1671" i="5"/>
  <c r="H1671" i="5"/>
  <c r="J1671" i="5" s="1"/>
  <c r="I1671" i="5" s="1"/>
  <c r="E1671" i="5"/>
  <c r="D1671" i="5"/>
  <c r="B1671" i="5"/>
  <c r="Q1670" i="5"/>
  <c r="P1670" i="5"/>
  <c r="O1670" i="5"/>
  <c r="N1670" i="5"/>
  <c r="K1670" i="5"/>
  <c r="H1670" i="5"/>
  <c r="G1670" i="5" s="1"/>
  <c r="E1670" i="5"/>
  <c r="D1670" i="5"/>
  <c r="B1670" i="5"/>
  <c r="Q1669" i="5"/>
  <c r="P1669" i="5"/>
  <c r="O1669" i="5"/>
  <c r="N1669" i="5"/>
  <c r="K1669" i="5"/>
  <c r="H1669" i="5"/>
  <c r="E1669" i="5"/>
  <c r="D1669" i="5"/>
  <c r="B1669" i="5"/>
  <c r="Q1668" i="5"/>
  <c r="P1668" i="5"/>
  <c r="O1668" i="5"/>
  <c r="N1668" i="5"/>
  <c r="K1668" i="5"/>
  <c r="H1668" i="5"/>
  <c r="J1668" i="5" s="1"/>
  <c r="I1668" i="5" s="1"/>
  <c r="E1668" i="5"/>
  <c r="D1668" i="5"/>
  <c r="B1668" i="5"/>
  <c r="Q1667" i="5"/>
  <c r="P1667" i="5"/>
  <c r="O1667" i="5"/>
  <c r="N1667" i="5"/>
  <c r="K1667" i="5"/>
  <c r="H1667" i="5"/>
  <c r="E1667" i="5"/>
  <c r="D1667" i="5"/>
  <c r="B1667" i="5"/>
  <c r="Q1666" i="5"/>
  <c r="P1666" i="5"/>
  <c r="O1666" i="5"/>
  <c r="N1666" i="5"/>
  <c r="K1666" i="5"/>
  <c r="H1666" i="5"/>
  <c r="E1666" i="5"/>
  <c r="D1666" i="5"/>
  <c r="B1666" i="5"/>
  <c r="Q1665" i="5"/>
  <c r="P1665" i="5"/>
  <c r="O1665" i="5"/>
  <c r="N1665" i="5"/>
  <c r="K1665" i="5"/>
  <c r="H1665" i="5"/>
  <c r="J1665" i="5" s="1"/>
  <c r="I1665" i="5" s="1"/>
  <c r="G1665" i="5"/>
  <c r="E1665" i="5"/>
  <c r="D1665" i="5"/>
  <c r="B1665" i="5"/>
  <c r="Q1664" i="5"/>
  <c r="P1664" i="5"/>
  <c r="O1664" i="5"/>
  <c r="N1664" i="5"/>
  <c r="K1664" i="5"/>
  <c r="H1664" i="5"/>
  <c r="E1664" i="5"/>
  <c r="D1664" i="5"/>
  <c r="B1664" i="5"/>
  <c r="Q1663" i="5"/>
  <c r="P1663" i="5"/>
  <c r="O1663" i="5"/>
  <c r="N1663" i="5"/>
  <c r="K1663" i="5"/>
  <c r="H1663" i="5"/>
  <c r="G1663" i="5" s="1"/>
  <c r="E1663" i="5"/>
  <c r="D1663" i="5"/>
  <c r="B1663" i="5"/>
  <c r="Q1662" i="5"/>
  <c r="P1662" i="5"/>
  <c r="O1662" i="5"/>
  <c r="N1662" i="5"/>
  <c r="K1662" i="5"/>
  <c r="H1662" i="5"/>
  <c r="E1662" i="5"/>
  <c r="D1662" i="5"/>
  <c r="B1662" i="5"/>
  <c r="Q1661" i="5"/>
  <c r="P1661" i="5"/>
  <c r="O1661" i="5"/>
  <c r="N1661" i="5"/>
  <c r="K1661" i="5"/>
  <c r="H1661" i="5"/>
  <c r="J1661" i="5" s="1"/>
  <c r="I1661" i="5" s="1"/>
  <c r="E1661" i="5"/>
  <c r="D1661" i="5"/>
  <c r="B1661" i="5"/>
  <c r="Q1660" i="5"/>
  <c r="P1660" i="5"/>
  <c r="O1660" i="5"/>
  <c r="N1660" i="5"/>
  <c r="K1660" i="5"/>
  <c r="H1660" i="5"/>
  <c r="J1660" i="5" s="1"/>
  <c r="I1660" i="5" s="1"/>
  <c r="E1660" i="5"/>
  <c r="D1660" i="5"/>
  <c r="B1660" i="5"/>
  <c r="Q1659" i="5"/>
  <c r="P1659" i="5"/>
  <c r="R1659" i="5" s="1"/>
  <c r="O1659" i="5"/>
  <c r="N1659" i="5"/>
  <c r="K1659" i="5"/>
  <c r="H1659" i="5"/>
  <c r="E1659" i="5"/>
  <c r="D1659" i="5"/>
  <c r="B1659" i="5"/>
  <c r="Q1658" i="5"/>
  <c r="P1658" i="5"/>
  <c r="O1658" i="5"/>
  <c r="N1658" i="5"/>
  <c r="K1658" i="5"/>
  <c r="H1658" i="5"/>
  <c r="G1658" i="5" s="1"/>
  <c r="E1658" i="5"/>
  <c r="D1658" i="5"/>
  <c r="B1658" i="5"/>
  <c r="Q1657" i="5"/>
  <c r="P1657" i="5"/>
  <c r="O1657" i="5"/>
  <c r="N1657" i="5"/>
  <c r="K1657" i="5"/>
  <c r="H1657" i="5"/>
  <c r="J1657" i="5" s="1"/>
  <c r="I1657" i="5" s="1"/>
  <c r="E1657" i="5"/>
  <c r="D1657" i="5"/>
  <c r="B1657" i="5"/>
  <c r="Q1656" i="5"/>
  <c r="P1656" i="5"/>
  <c r="O1656" i="5"/>
  <c r="N1656" i="5"/>
  <c r="K1656" i="5"/>
  <c r="H1656" i="5"/>
  <c r="E1656" i="5"/>
  <c r="D1656" i="5"/>
  <c r="B1656" i="5"/>
  <c r="Q1655" i="5"/>
  <c r="P1655" i="5"/>
  <c r="O1655" i="5"/>
  <c r="N1655" i="5"/>
  <c r="K1655" i="5"/>
  <c r="H1655" i="5"/>
  <c r="J1655" i="5" s="1"/>
  <c r="I1655" i="5" s="1"/>
  <c r="E1655" i="5"/>
  <c r="D1655" i="5"/>
  <c r="B1655" i="5"/>
  <c r="Q1654" i="5"/>
  <c r="P1654" i="5"/>
  <c r="O1654" i="5"/>
  <c r="N1654" i="5"/>
  <c r="K1654" i="5"/>
  <c r="H1654" i="5"/>
  <c r="G1654" i="5" s="1"/>
  <c r="E1654" i="5"/>
  <c r="D1654" i="5"/>
  <c r="B1654" i="5"/>
  <c r="Q1653" i="5"/>
  <c r="P1653" i="5"/>
  <c r="O1653" i="5"/>
  <c r="N1653" i="5"/>
  <c r="K1653" i="5"/>
  <c r="H1653" i="5"/>
  <c r="J1653" i="5" s="1"/>
  <c r="I1653" i="5" s="1"/>
  <c r="E1653" i="5"/>
  <c r="D1653" i="5"/>
  <c r="B1653" i="5"/>
  <c r="Q1652" i="5"/>
  <c r="P1652" i="5"/>
  <c r="O1652" i="5"/>
  <c r="N1652" i="5"/>
  <c r="K1652" i="5"/>
  <c r="H1652" i="5"/>
  <c r="J1652" i="5" s="1"/>
  <c r="I1652" i="5" s="1"/>
  <c r="E1652" i="5"/>
  <c r="D1652" i="5"/>
  <c r="B1652" i="5"/>
  <c r="Q1651" i="5"/>
  <c r="P1651" i="5"/>
  <c r="O1651" i="5"/>
  <c r="N1651" i="5"/>
  <c r="K1651" i="5"/>
  <c r="H1651" i="5"/>
  <c r="E1651" i="5"/>
  <c r="D1651" i="5"/>
  <c r="B1651" i="5"/>
  <c r="Q1650" i="5"/>
  <c r="P1650" i="5"/>
  <c r="O1650" i="5"/>
  <c r="N1650" i="5"/>
  <c r="K1650" i="5"/>
  <c r="H1650" i="5"/>
  <c r="J1650" i="5" s="1"/>
  <c r="I1650" i="5" s="1"/>
  <c r="E1650" i="5"/>
  <c r="D1650" i="5"/>
  <c r="B1650" i="5"/>
  <c r="Q1649" i="5"/>
  <c r="P1649" i="5"/>
  <c r="O1649" i="5"/>
  <c r="N1649" i="5"/>
  <c r="K1649" i="5"/>
  <c r="H1649" i="5"/>
  <c r="G1649" i="5" s="1"/>
  <c r="E1649" i="5"/>
  <c r="D1649" i="5"/>
  <c r="B1649" i="5"/>
  <c r="Q1648" i="5"/>
  <c r="P1648" i="5"/>
  <c r="O1648" i="5"/>
  <c r="N1648" i="5"/>
  <c r="K1648" i="5"/>
  <c r="H1648" i="5"/>
  <c r="J1648" i="5" s="1"/>
  <c r="I1648" i="5" s="1"/>
  <c r="E1648" i="5"/>
  <c r="D1648" i="5"/>
  <c r="B1648" i="5"/>
  <c r="Q1647" i="5"/>
  <c r="P1647" i="5"/>
  <c r="O1647" i="5"/>
  <c r="N1647" i="5"/>
  <c r="K1647" i="5"/>
  <c r="H1647" i="5"/>
  <c r="G1647" i="5" s="1"/>
  <c r="E1647" i="5"/>
  <c r="D1647" i="5"/>
  <c r="B1647" i="5"/>
  <c r="Q1646" i="5"/>
  <c r="P1646" i="5"/>
  <c r="O1646" i="5"/>
  <c r="N1646" i="5"/>
  <c r="K1646" i="5"/>
  <c r="H1646" i="5"/>
  <c r="J1646" i="5" s="1"/>
  <c r="I1646" i="5" s="1"/>
  <c r="G1646" i="5"/>
  <c r="E1646" i="5"/>
  <c r="D1646" i="5"/>
  <c r="B1646" i="5"/>
  <c r="Q1645" i="5"/>
  <c r="P1645" i="5"/>
  <c r="O1645" i="5"/>
  <c r="N1645" i="5"/>
  <c r="K1645" i="5"/>
  <c r="H1645" i="5"/>
  <c r="E1645" i="5"/>
  <c r="D1645" i="5"/>
  <c r="B1645" i="5"/>
  <c r="Q1644" i="5"/>
  <c r="P1644" i="5"/>
  <c r="O1644" i="5"/>
  <c r="N1644" i="5"/>
  <c r="K1644" i="5"/>
  <c r="H1644" i="5"/>
  <c r="E1644" i="5"/>
  <c r="D1644" i="5"/>
  <c r="B1644" i="5"/>
  <c r="Q1643" i="5"/>
  <c r="P1643" i="5"/>
  <c r="O1643" i="5"/>
  <c r="N1643" i="5"/>
  <c r="K1643" i="5"/>
  <c r="H1643" i="5"/>
  <c r="J1643" i="5" s="1"/>
  <c r="I1643" i="5" s="1"/>
  <c r="E1643" i="5"/>
  <c r="D1643" i="5"/>
  <c r="B1643" i="5"/>
  <c r="Q1642" i="5"/>
  <c r="P1642" i="5"/>
  <c r="R1642" i="5" s="1"/>
  <c r="O1642" i="5"/>
  <c r="N1642" i="5"/>
  <c r="K1642" i="5"/>
  <c r="H1642" i="5"/>
  <c r="J1642" i="5" s="1"/>
  <c r="I1642" i="5" s="1"/>
  <c r="E1642" i="5"/>
  <c r="D1642" i="5"/>
  <c r="B1642" i="5"/>
  <c r="Q1641" i="5"/>
  <c r="P1641" i="5"/>
  <c r="O1641" i="5"/>
  <c r="N1641" i="5"/>
  <c r="K1641" i="5"/>
  <c r="H1641" i="5"/>
  <c r="J1641" i="5" s="1"/>
  <c r="I1641" i="5" s="1"/>
  <c r="E1641" i="5"/>
  <c r="D1641" i="5"/>
  <c r="B1641" i="5"/>
  <c r="Q1640" i="5"/>
  <c r="P1640" i="5"/>
  <c r="O1640" i="5"/>
  <c r="N1640" i="5"/>
  <c r="K1640" i="5"/>
  <c r="H1640" i="5"/>
  <c r="J1640" i="5" s="1"/>
  <c r="I1640" i="5" s="1"/>
  <c r="E1640" i="5"/>
  <c r="D1640" i="5"/>
  <c r="B1640" i="5"/>
  <c r="Q1639" i="5"/>
  <c r="P1639" i="5"/>
  <c r="O1639" i="5"/>
  <c r="N1639" i="5"/>
  <c r="K1639" i="5"/>
  <c r="H1639" i="5"/>
  <c r="E1639" i="5"/>
  <c r="D1639" i="5"/>
  <c r="B1639" i="5"/>
  <c r="Q1638" i="5"/>
  <c r="P1638" i="5"/>
  <c r="O1638" i="5"/>
  <c r="N1638" i="5"/>
  <c r="K1638" i="5"/>
  <c r="H1638" i="5"/>
  <c r="G1638" i="5" s="1"/>
  <c r="E1638" i="5"/>
  <c r="D1638" i="5"/>
  <c r="B1638" i="5"/>
  <c r="Q1637" i="5"/>
  <c r="P1637" i="5"/>
  <c r="O1637" i="5"/>
  <c r="N1637" i="5"/>
  <c r="K1637" i="5"/>
  <c r="H1637" i="5"/>
  <c r="G1637" i="5" s="1"/>
  <c r="E1637" i="5"/>
  <c r="D1637" i="5"/>
  <c r="B1637" i="5"/>
  <c r="Q1636" i="5"/>
  <c r="P1636" i="5"/>
  <c r="O1636" i="5"/>
  <c r="N1636" i="5"/>
  <c r="K1636" i="5"/>
  <c r="H1636" i="5"/>
  <c r="J1636" i="5" s="1"/>
  <c r="I1636" i="5" s="1"/>
  <c r="E1636" i="5"/>
  <c r="D1636" i="5"/>
  <c r="B1636" i="5"/>
  <c r="Q1635" i="5"/>
  <c r="P1635" i="5"/>
  <c r="O1635" i="5"/>
  <c r="N1635" i="5"/>
  <c r="K1635" i="5"/>
  <c r="H1635" i="5"/>
  <c r="J1635" i="5" s="1"/>
  <c r="I1635" i="5" s="1"/>
  <c r="E1635" i="5"/>
  <c r="D1635" i="5"/>
  <c r="B1635" i="5"/>
  <c r="Q1634" i="5"/>
  <c r="P1634" i="5"/>
  <c r="O1634" i="5"/>
  <c r="N1634" i="5"/>
  <c r="K1634" i="5"/>
  <c r="H1634" i="5"/>
  <c r="J1634" i="5" s="1"/>
  <c r="I1634" i="5" s="1"/>
  <c r="E1634" i="5"/>
  <c r="D1634" i="5"/>
  <c r="B1634" i="5"/>
  <c r="Q1633" i="5"/>
  <c r="P1633" i="5"/>
  <c r="O1633" i="5"/>
  <c r="N1633" i="5"/>
  <c r="K1633" i="5"/>
  <c r="H1633" i="5"/>
  <c r="G1633" i="5" s="1"/>
  <c r="E1633" i="5"/>
  <c r="D1633" i="5"/>
  <c r="B1633" i="5"/>
  <c r="Q1632" i="5"/>
  <c r="P1632" i="5"/>
  <c r="O1632" i="5"/>
  <c r="N1632" i="5"/>
  <c r="K1632" i="5"/>
  <c r="H1632" i="5"/>
  <c r="E1632" i="5"/>
  <c r="D1632" i="5"/>
  <c r="B1632" i="5"/>
  <c r="Q1631" i="5"/>
  <c r="P1631" i="5"/>
  <c r="O1631" i="5"/>
  <c r="N1631" i="5"/>
  <c r="K1631" i="5"/>
  <c r="H1631" i="5"/>
  <c r="E1631" i="5"/>
  <c r="D1631" i="5"/>
  <c r="B1631" i="5"/>
  <c r="Q1630" i="5"/>
  <c r="P1630" i="5"/>
  <c r="O1630" i="5"/>
  <c r="N1630" i="5"/>
  <c r="K1630" i="5"/>
  <c r="H1630" i="5"/>
  <c r="E1630" i="5"/>
  <c r="D1630" i="5"/>
  <c r="B1630" i="5"/>
  <c r="Q1629" i="5"/>
  <c r="P1629" i="5"/>
  <c r="O1629" i="5"/>
  <c r="N1629" i="5"/>
  <c r="K1629" i="5"/>
  <c r="H1629" i="5"/>
  <c r="G1629" i="5" s="1"/>
  <c r="E1629" i="5"/>
  <c r="D1629" i="5"/>
  <c r="B1629" i="5"/>
  <c r="Q1628" i="5"/>
  <c r="P1628" i="5"/>
  <c r="O1628" i="5"/>
  <c r="N1628" i="5"/>
  <c r="K1628" i="5"/>
  <c r="H1628" i="5"/>
  <c r="J1628" i="5" s="1"/>
  <c r="I1628" i="5" s="1"/>
  <c r="E1628" i="5"/>
  <c r="D1628" i="5"/>
  <c r="B1628" i="5"/>
  <c r="Q1627" i="5"/>
  <c r="P1627" i="5"/>
  <c r="O1627" i="5"/>
  <c r="N1627" i="5"/>
  <c r="K1627" i="5"/>
  <c r="H1627" i="5"/>
  <c r="J1627" i="5" s="1"/>
  <c r="I1627" i="5" s="1"/>
  <c r="E1627" i="5"/>
  <c r="D1627" i="5"/>
  <c r="B1627" i="5"/>
  <c r="Q1626" i="5"/>
  <c r="P1626" i="5"/>
  <c r="O1626" i="5"/>
  <c r="N1626" i="5"/>
  <c r="K1626" i="5"/>
  <c r="H1626" i="5"/>
  <c r="E1626" i="5"/>
  <c r="D1626" i="5"/>
  <c r="B1626" i="5"/>
  <c r="Q1625" i="5"/>
  <c r="P1625" i="5"/>
  <c r="O1625" i="5"/>
  <c r="N1625" i="5"/>
  <c r="K1625" i="5"/>
  <c r="H1625" i="5"/>
  <c r="G1625" i="5" s="1"/>
  <c r="E1625" i="5"/>
  <c r="D1625" i="5"/>
  <c r="B1625" i="5"/>
  <c r="Q1624" i="5"/>
  <c r="P1624" i="5"/>
  <c r="O1624" i="5"/>
  <c r="N1624" i="5"/>
  <c r="K1624" i="5"/>
  <c r="H1624" i="5"/>
  <c r="J1624" i="5" s="1"/>
  <c r="I1624" i="5" s="1"/>
  <c r="E1624" i="5"/>
  <c r="D1624" i="5"/>
  <c r="B1624" i="5"/>
  <c r="Q1623" i="5"/>
  <c r="P1623" i="5"/>
  <c r="O1623" i="5"/>
  <c r="N1623" i="5"/>
  <c r="K1623" i="5"/>
  <c r="H1623" i="5"/>
  <c r="J1623" i="5" s="1"/>
  <c r="I1623" i="5" s="1"/>
  <c r="E1623" i="5"/>
  <c r="D1623" i="5"/>
  <c r="B1623" i="5"/>
  <c r="Q1622" i="5"/>
  <c r="P1622" i="5"/>
  <c r="O1622" i="5"/>
  <c r="N1622" i="5"/>
  <c r="K1622" i="5"/>
  <c r="H1622" i="5"/>
  <c r="E1622" i="5"/>
  <c r="D1622" i="5"/>
  <c r="B1622" i="5"/>
  <c r="Q1621" i="5"/>
  <c r="P1621" i="5"/>
  <c r="O1621" i="5"/>
  <c r="N1621" i="5"/>
  <c r="K1621" i="5"/>
  <c r="H1621" i="5"/>
  <c r="E1621" i="5"/>
  <c r="D1621" i="5"/>
  <c r="B1621" i="5"/>
  <c r="Q1620" i="5"/>
  <c r="P1620" i="5"/>
  <c r="O1620" i="5"/>
  <c r="N1620" i="5"/>
  <c r="K1620" i="5"/>
  <c r="H1620" i="5"/>
  <c r="G1620" i="5" s="1"/>
  <c r="E1620" i="5"/>
  <c r="D1620" i="5"/>
  <c r="B1620" i="5"/>
  <c r="Q1619" i="5"/>
  <c r="P1619" i="5"/>
  <c r="O1619" i="5"/>
  <c r="N1619" i="5"/>
  <c r="K1619" i="5"/>
  <c r="H1619" i="5"/>
  <c r="G1619" i="5" s="1"/>
  <c r="E1619" i="5"/>
  <c r="D1619" i="5"/>
  <c r="B1619" i="5"/>
  <c r="Q1618" i="5"/>
  <c r="P1618" i="5"/>
  <c r="O1618" i="5"/>
  <c r="N1618" i="5"/>
  <c r="K1618" i="5"/>
  <c r="H1618" i="5"/>
  <c r="E1618" i="5"/>
  <c r="D1618" i="5"/>
  <c r="B1618" i="5"/>
  <c r="Q1617" i="5"/>
  <c r="P1617" i="5"/>
  <c r="O1617" i="5"/>
  <c r="N1617" i="5"/>
  <c r="K1617" i="5"/>
  <c r="H1617" i="5"/>
  <c r="G1617" i="5" s="1"/>
  <c r="E1617" i="5"/>
  <c r="D1617" i="5"/>
  <c r="B1617" i="5"/>
  <c r="Q1616" i="5"/>
  <c r="P1616" i="5"/>
  <c r="O1616" i="5"/>
  <c r="N1616" i="5"/>
  <c r="K1616" i="5"/>
  <c r="H1616" i="5"/>
  <c r="J1616" i="5" s="1"/>
  <c r="I1616" i="5" s="1"/>
  <c r="E1616" i="5"/>
  <c r="D1616" i="5"/>
  <c r="B1616" i="5"/>
  <c r="Q1615" i="5"/>
  <c r="P1615" i="5"/>
  <c r="R1615" i="5" s="1"/>
  <c r="O1615" i="5"/>
  <c r="N1615" i="5"/>
  <c r="K1615" i="5"/>
  <c r="H1615" i="5"/>
  <c r="G1615" i="5" s="1"/>
  <c r="E1615" i="5"/>
  <c r="D1615" i="5"/>
  <c r="B1615" i="5"/>
  <c r="Q1614" i="5"/>
  <c r="P1614" i="5"/>
  <c r="O1614" i="5"/>
  <c r="N1614" i="5"/>
  <c r="K1614" i="5"/>
  <c r="H1614" i="5"/>
  <c r="J1614" i="5" s="1"/>
  <c r="I1614" i="5" s="1"/>
  <c r="E1614" i="5"/>
  <c r="D1614" i="5"/>
  <c r="B1614" i="5"/>
  <c r="Q1613" i="5"/>
  <c r="P1613" i="5"/>
  <c r="O1613" i="5"/>
  <c r="N1613" i="5"/>
  <c r="K1613" i="5"/>
  <c r="H1613" i="5"/>
  <c r="J1613" i="5" s="1"/>
  <c r="I1613" i="5" s="1"/>
  <c r="E1613" i="5"/>
  <c r="D1613" i="5"/>
  <c r="B1613" i="5"/>
  <c r="Q1612" i="5"/>
  <c r="P1612" i="5"/>
  <c r="O1612" i="5"/>
  <c r="N1612" i="5"/>
  <c r="K1612" i="5"/>
  <c r="H1612" i="5"/>
  <c r="J1612" i="5" s="1"/>
  <c r="I1612" i="5" s="1"/>
  <c r="E1612" i="5"/>
  <c r="D1612" i="5"/>
  <c r="B1612" i="5"/>
  <c r="Q1611" i="5"/>
  <c r="P1611" i="5"/>
  <c r="O1611" i="5"/>
  <c r="N1611" i="5"/>
  <c r="K1611" i="5"/>
  <c r="H1611" i="5"/>
  <c r="E1611" i="5"/>
  <c r="D1611" i="5"/>
  <c r="B1611" i="5"/>
  <c r="Q1610" i="5"/>
  <c r="P1610" i="5"/>
  <c r="O1610" i="5"/>
  <c r="N1610" i="5"/>
  <c r="K1610" i="5"/>
  <c r="H1610" i="5"/>
  <c r="G1610" i="5" s="1"/>
  <c r="E1610" i="5"/>
  <c r="D1610" i="5"/>
  <c r="B1610" i="5"/>
  <c r="Q1609" i="5"/>
  <c r="P1609" i="5"/>
  <c r="O1609" i="5"/>
  <c r="N1609" i="5"/>
  <c r="K1609" i="5"/>
  <c r="H1609" i="5"/>
  <c r="G1609" i="5" s="1"/>
  <c r="E1609" i="5"/>
  <c r="D1609" i="5"/>
  <c r="B1609" i="5"/>
  <c r="Q1608" i="5"/>
  <c r="P1608" i="5"/>
  <c r="O1608" i="5"/>
  <c r="N1608" i="5"/>
  <c r="K1608" i="5"/>
  <c r="H1608" i="5"/>
  <c r="J1608" i="5" s="1"/>
  <c r="I1608" i="5" s="1"/>
  <c r="G1608" i="5"/>
  <c r="E1608" i="5"/>
  <c r="D1608" i="5"/>
  <c r="B1608" i="5"/>
  <c r="Q1607" i="5"/>
  <c r="P1607" i="5"/>
  <c r="O1607" i="5"/>
  <c r="N1607" i="5"/>
  <c r="K1607" i="5"/>
  <c r="H1607" i="5"/>
  <c r="J1607" i="5" s="1"/>
  <c r="I1607" i="5" s="1"/>
  <c r="E1607" i="5"/>
  <c r="D1607" i="5"/>
  <c r="B1607" i="5"/>
  <c r="Q1606" i="5"/>
  <c r="P1606" i="5"/>
  <c r="O1606" i="5"/>
  <c r="N1606" i="5"/>
  <c r="K1606" i="5"/>
  <c r="H1606" i="5"/>
  <c r="G1606" i="5" s="1"/>
  <c r="E1606" i="5"/>
  <c r="D1606" i="5"/>
  <c r="B1606" i="5"/>
  <c r="Q1605" i="5"/>
  <c r="P1605" i="5"/>
  <c r="O1605" i="5"/>
  <c r="N1605" i="5"/>
  <c r="K1605" i="5"/>
  <c r="H1605" i="5"/>
  <c r="G1605" i="5" s="1"/>
  <c r="E1605" i="5"/>
  <c r="D1605" i="5"/>
  <c r="B1605" i="5"/>
  <c r="Q1604" i="5"/>
  <c r="P1604" i="5"/>
  <c r="O1604" i="5"/>
  <c r="N1604" i="5"/>
  <c r="K1604" i="5"/>
  <c r="H1604" i="5"/>
  <c r="G1604" i="5" s="1"/>
  <c r="E1604" i="5"/>
  <c r="D1604" i="5"/>
  <c r="B1604" i="5"/>
  <c r="Q1603" i="5"/>
  <c r="P1603" i="5"/>
  <c r="O1603" i="5"/>
  <c r="N1603" i="5"/>
  <c r="K1603" i="5"/>
  <c r="H1603" i="5"/>
  <c r="G1603" i="5" s="1"/>
  <c r="E1603" i="5"/>
  <c r="D1603" i="5"/>
  <c r="B1603" i="5"/>
  <c r="Q1602" i="5"/>
  <c r="P1602" i="5"/>
  <c r="O1602" i="5"/>
  <c r="N1602" i="5"/>
  <c r="K1602" i="5"/>
  <c r="H1602" i="5"/>
  <c r="E1602" i="5"/>
  <c r="D1602" i="5"/>
  <c r="B1602" i="5"/>
  <c r="Q1601" i="5"/>
  <c r="P1601" i="5"/>
  <c r="O1601" i="5"/>
  <c r="N1601" i="5"/>
  <c r="K1601" i="5"/>
  <c r="H1601" i="5"/>
  <c r="J1601" i="5" s="1"/>
  <c r="I1601" i="5" s="1"/>
  <c r="G1601" i="5"/>
  <c r="E1601" i="5"/>
  <c r="D1601" i="5"/>
  <c r="B1601" i="5"/>
  <c r="Q1600" i="5"/>
  <c r="P1600" i="5"/>
  <c r="O1600" i="5"/>
  <c r="N1600" i="5"/>
  <c r="K1600" i="5"/>
  <c r="H1600" i="5"/>
  <c r="E1600" i="5"/>
  <c r="D1600" i="5"/>
  <c r="B1600" i="5"/>
  <c r="Q1599" i="5"/>
  <c r="P1599" i="5"/>
  <c r="O1599" i="5"/>
  <c r="N1599" i="5"/>
  <c r="K1599" i="5"/>
  <c r="H1599" i="5"/>
  <c r="G1599" i="5" s="1"/>
  <c r="E1599" i="5"/>
  <c r="D1599" i="5"/>
  <c r="B1599" i="5"/>
  <c r="Q1598" i="5"/>
  <c r="P1598" i="5"/>
  <c r="O1598" i="5"/>
  <c r="N1598" i="5"/>
  <c r="K1598" i="5"/>
  <c r="H1598" i="5"/>
  <c r="J1598" i="5" s="1"/>
  <c r="I1598" i="5" s="1"/>
  <c r="G1598" i="5"/>
  <c r="E1598" i="5"/>
  <c r="D1598" i="5"/>
  <c r="B1598" i="5"/>
  <c r="Q1597" i="5"/>
  <c r="P1597" i="5"/>
  <c r="R1597" i="5" s="1"/>
  <c r="O1597" i="5"/>
  <c r="N1597" i="5"/>
  <c r="K1597" i="5"/>
  <c r="H1597" i="5"/>
  <c r="J1597" i="5" s="1"/>
  <c r="I1597" i="5" s="1"/>
  <c r="E1597" i="5"/>
  <c r="D1597" i="5"/>
  <c r="B1597" i="5"/>
  <c r="Q1596" i="5"/>
  <c r="P1596" i="5"/>
  <c r="O1596" i="5"/>
  <c r="N1596" i="5"/>
  <c r="K1596" i="5"/>
  <c r="H1596" i="5"/>
  <c r="J1596" i="5" s="1"/>
  <c r="I1596" i="5" s="1"/>
  <c r="E1596" i="5"/>
  <c r="D1596" i="5"/>
  <c r="B1596" i="5"/>
  <c r="Q1595" i="5"/>
  <c r="P1595" i="5"/>
  <c r="O1595" i="5"/>
  <c r="N1595" i="5"/>
  <c r="K1595" i="5"/>
  <c r="H1595" i="5"/>
  <c r="J1595" i="5" s="1"/>
  <c r="I1595" i="5" s="1"/>
  <c r="E1595" i="5"/>
  <c r="D1595" i="5"/>
  <c r="B1595" i="5"/>
  <c r="Q1594" i="5"/>
  <c r="P1594" i="5"/>
  <c r="O1594" i="5"/>
  <c r="N1594" i="5"/>
  <c r="K1594" i="5"/>
  <c r="H1594" i="5"/>
  <c r="E1594" i="5"/>
  <c r="D1594" i="5"/>
  <c r="B1594" i="5"/>
  <c r="Q1593" i="5"/>
  <c r="P1593" i="5"/>
  <c r="O1593" i="5"/>
  <c r="N1593" i="5"/>
  <c r="K1593" i="5"/>
  <c r="H1593" i="5"/>
  <c r="J1593" i="5" s="1"/>
  <c r="I1593" i="5" s="1"/>
  <c r="G1593" i="5"/>
  <c r="E1593" i="5"/>
  <c r="D1593" i="5"/>
  <c r="B1593" i="5"/>
  <c r="Q1592" i="5"/>
  <c r="P1592" i="5"/>
  <c r="O1592" i="5"/>
  <c r="N1592" i="5"/>
  <c r="K1592" i="5"/>
  <c r="H1592" i="5"/>
  <c r="E1592" i="5"/>
  <c r="D1592" i="5"/>
  <c r="B1592" i="5"/>
  <c r="Q1591" i="5"/>
  <c r="P1591" i="5"/>
  <c r="O1591" i="5"/>
  <c r="N1591" i="5"/>
  <c r="K1591" i="5"/>
  <c r="H1591" i="5"/>
  <c r="J1591" i="5" s="1"/>
  <c r="I1591" i="5" s="1"/>
  <c r="E1591" i="5"/>
  <c r="D1591" i="5"/>
  <c r="B1591" i="5"/>
  <c r="Q1590" i="5"/>
  <c r="P1590" i="5"/>
  <c r="O1590" i="5"/>
  <c r="N1590" i="5"/>
  <c r="K1590" i="5"/>
  <c r="H1590" i="5"/>
  <c r="G1590" i="5" s="1"/>
  <c r="E1590" i="5"/>
  <c r="D1590" i="5"/>
  <c r="B1590" i="5"/>
  <c r="Q1589" i="5"/>
  <c r="P1589" i="5"/>
  <c r="O1589" i="5"/>
  <c r="N1589" i="5"/>
  <c r="K1589" i="5"/>
  <c r="H1589" i="5"/>
  <c r="J1589" i="5" s="1"/>
  <c r="I1589" i="5" s="1"/>
  <c r="E1589" i="5"/>
  <c r="D1589" i="5"/>
  <c r="B1589" i="5"/>
  <c r="Q1588" i="5"/>
  <c r="P1588" i="5"/>
  <c r="O1588" i="5"/>
  <c r="N1588" i="5"/>
  <c r="K1588" i="5"/>
  <c r="H1588" i="5"/>
  <c r="G1588" i="5" s="1"/>
  <c r="E1588" i="5"/>
  <c r="D1588" i="5"/>
  <c r="B1588" i="5"/>
  <c r="Q1587" i="5"/>
  <c r="P1587" i="5"/>
  <c r="O1587" i="5"/>
  <c r="N1587" i="5"/>
  <c r="K1587" i="5"/>
  <c r="H1587" i="5"/>
  <c r="J1587" i="5" s="1"/>
  <c r="I1587" i="5" s="1"/>
  <c r="E1587" i="5"/>
  <c r="D1587" i="5"/>
  <c r="B1587" i="5"/>
  <c r="Q1586" i="5"/>
  <c r="P1586" i="5"/>
  <c r="O1586" i="5"/>
  <c r="N1586" i="5"/>
  <c r="K1586" i="5"/>
  <c r="H1586" i="5"/>
  <c r="J1586" i="5" s="1"/>
  <c r="I1586" i="5" s="1"/>
  <c r="E1586" i="5"/>
  <c r="D1586" i="5"/>
  <c r="B1586" i="5"/>
  <c r="Q1585" i="5"/>
  <c r="P1585" i="5"/>
  <c r="R1585" i="5" s="1"/>
  <c r="O1585" i="5"/>
  <c r="N1585" i="5"/>
  <c r="K1585" i="5"/>
  <c r="H1585" i="5"/>
  <c r="J1585" i="5" s="1"/>
  <c r="I1585" i="5" s="1"/>
  <c r="E1585" i="5"/>
  <c r="D1585" i="5"/>
  <c r="B1585" i="5"/>
  <c r="Q1584" i="5"/>
  <c r="P1584" i="5"/>
  <c r="R1584" i="5" s="1"/>
  <c r="O1584" i="5"/>
  <c r="N1584" i="5"/>
  <c r="K1584" i="5"/>
  <c r="H1584" i="5"/>
  <c r="E1584" i="5"/>
  <c r="D1584" i="5"/>
  <c r="B1584" i="5"/>
  <c r="Q1583" i="5"/>
  <c r="P1583" i="5"/>
  <c r="O1583" i="5"/>
  <c r="N1583" i="5"/>
  <c r="K1583" i="5"/>
  <c r="H1583" i="5"/>
  <c r="G1583" i="5" s="1"/>
  <c r="E1583" i="5"/>
  <c r="D1583" i="5"/>
  <c r="B1583" i="5"/>
  <c r="Q1582" i="5"/>
  <c r="P1582" i="5"/>
  <c r="R1582" i="5" s="1"/>
  <c r="O1582" i="5"/>
  <c r="N1582" i="5"/>
  <c r="K1582" i="5"/>
  <c r="H1582" i="5"/>
  <c r="J1582" i="5" s="1"/>
  <c r="I1582" i="5" s="1"/>
  <c r="E1582" i="5"/>
  <c r="D1582" i="5"/>
  <c r="B1582" i="5"/>
  <c r="Q1581" i="5"/>
  <c r="P1581" i="5"/>
  <c r="O1581" i="5"/>
  <c r="N1581" i="5"/>
  <c r="K1581" i="5"/>
  <c r="H1581" i="5"/>
  <c r="J1581" i="5" s="1"/>
  <c r="I1581" i="5" s="1"/>
  <c r="G1581" i="5"/>
  <c r="E1581" i="5"/>
  <c r="D1581" i="5"/>
  <c r="B1581" i="5"/>
  <c r="Q1580" i="5"/>
  <c r="P1580" i="5"/>
  <c r="O1580" i="5"/>
  <c r="N1580" i="5"/>
  <c r="K1580" i="5"/>
  <c r="H1580" i="5"/>
  <c r="E1580" i="5"/>
  <c r="D1580" i="5"/>
  <c r="B1580" i="5"/>
  <c r="Q1579" i="5"/>
  <c r="P1579" i="5"/>
  <c r="O1579" i="5"/>
  <c r="N1579" i="5"/>
  <c r="K1579" i="5"/>
  <c r="H1579" i="5"/>
  <c r="J1579" i="5" s="1"/>
  <c r="I1579" i="5" s="1"/>
  <c r="E1579" i="5"/>
  <c r="D1579" i="5"/>
  <c r="B1579" i="5"/>
  <c r="Q1578" i="5"/>
  <c r="P1578" i="5"/>
  <c r="O1578" i="5"/>
  <c r="N1578" i="5"/>
  <c r="K1578" i="5"/>
  <c r="H1578" i="5"/>
  <c r="J1578" i="5" s="1"/>
  <c r="I1578" i="5" s="1"/>
  <c r="E1578" i="5"/>
  <c r="D1578" i="5"/>
  <c r="B1578" i="5"/>
  <c r="Q1577" i="5"/>
  <c r="P1577" i="5"/>
  <c r="O1577" i="5"/>
  <c r="N1577" i="5"/>
  <c r="K1577" i="5"/>
  <c r="H1577" i="5"/>
  <c r="E1577" i="5"/>
  <c r="D1577" i="5"/>
  <c r="B1577" i="5"/>
  <c r="Q1576" i="5"/>
  <c r="P1576" i="5"/>
  <c r="O1576" i="5"/>
  <c r="N1576" i="5"/>
  <c r="K1576" i="5"/>
  <c r="H1576" i="5"/>
  <c r="E1576" i="5"/>
  <c r="D1576" i="5"/>
  <c r="B1576" i="5"/>
  <c r="Q1575" i="5"/>
  <c r="P1575" i="5"/>
  <c r="R1575" i="5" s="1"/>
  <c r="O1575" i="5"/>
  <c r="N1575" i="5"/>
  <c r="K1575" i="5"/>
  <c r="H1575" i="5"/>
  <c r="E1575" i="5"/>
  <c r="D1575" i="5"/>
  <c r="B1575" i="5"/>
  <c r="Q1574" i="5"/>
  <c r="P1574" i="5"/>
  <c r="O1574" i="5"/>
  <c r="N1574" i="5"/>
  <c r="K1574" i="5"/>
  <c r="H1574" i="5"/>
  <c r="E1574" i="5"/>
  <c r="D1574" i="5"/>
  <c r="B1574" i="5"/>
  <c r="Q1573" i="5"/>
  <c r="P1573" i="5"/>
  <c r="O1573" i="5"/>
  <c r="N1573" i="5"/>
  <c r="K1573" i="5"/>
  <c r="H1573" i="5"/>
  <c r="G1573" i="5" s="1"/>
  <c r="E1573" i="5"/>
  <c r="D1573" i="5"/>
  <c r="B1573" i="5"/>
  <c r="Q1572" i="5"/>
  <c r="P1572" i="5"/>
  <c r="O1572" i="5"/>
  <c r="N1572" i="5"/>
  <c r="K1572" i="5"/>
  <c r="H1572" i="5"/>
  <c r="G1572" i="5" s="1"/>
  <c r="E1572" i="5"/>
  <c r="D1572" i="5"/>
  <c r="B1572" i="5"/>
  <c r="Q1571" i="5"/>
  <c r="P1571" i="5"/>
  <c r="O1571" i="5"/>
  <c r="N1571" i="5"/>
  <c r="K1571" i="5"/>
  <c r="H1571" i="5"/>
  <c r="E1571" i="5"/>
  <c r="D1571" i="5"/>
  <c r="B1571" i="5"/>
  <c r="Q1570" i="5"/>
  <c r="P1570" i="5"/>
  <c r="O1570" i="5"/>
  <c r="N1570" i="5"/>
  <c r="K1570" i="5"/>
  <c r="H1570" i="5"/>
  <c r="J1570" i="5" s="1"/>
  <c r="I1570" i="5" s="1"/>
  <c r="E1570" i="5"/>
  <c r="D1570" i="5"/>
  <c r="B1570" i="5"/>
  <c r="Q1569" i="5"/>
  <c r="P1569" i="5"/>
  <c r="O1569" i="5"/>
  <c r="N1569" i="5"/>
  <c r="K1569" i="5"/>
  <c r="H1569" i="5"/>
  <c r="J1569" i="5" s="1"/>
  <c r="I1569" i="5" s="1"/>
  <c r="E1569" i="5"/>
  <c r="D1569" i="5"/>
  <c r="B1569" i="5"/>
  <c r="Q1568" i="5"/>
  <c r="P1568" i="5"/>
  <c r="R1568" i="5" s="1"/>
  <c r="O1568" i="5"/>
  <c r="N1568" i="5"/>
  <c r="K1568" i="5"/>
  <c r="H1568" i="5"/>
  <c r="G1568" i="5" s="1"/>
  <c r="E1568" i="5"/>
  <c r="D1568" i="5"/>
  <c r="B1568" i="5"/>
  <c r="Q1567" i="5"/>
  <c r="P1567" i="5"/>
  <c r="O1567" i="5"/>
  <c r="N1567" i="5"/>
  <c r="K1567" i="5"/>
  <c r="H1567" i="5"/>
  <c r="J1567" i="5" s="1"/>
  <c r="I1567" i="5" s="1"/>
  <c r="E1567" i="5"/>
  <c r="D1567" i="5"/>
  <c r="B1567" i="5"/>
  <c r="Q1566" i="5"/>
  <c r="P1566" i="5"/>
  <c r="O1566" i="5"/>
  <c r="N1566" i="5"/>
  <c r="K1566" i="5"/>
  <c r="H1566" i="5"/>
  <c r="G1566" i="5" s="1"/>
  <c r="E1566" i="5"/>
  <c r="D1566" i="5"/>
  <c r="B1566" i="5"/>
  <c r="Q1565" i="5"/>
  <c r="P1565" i="5"/>
  <c r="O1565" i="5"/>
  <c r="N1565" i="5"/>
  <c r="K1565" i="5"/>
  <c r="H1565" i="5"/>
  <c r="E1565" i="5"/>
  <c r="D1565" i="5"/>
  <c r="B1565" i="5"/>
  <c r="Q1564" i="5"/>
  <c r="P1564" i="5"/>
  <c r="R1564" i="5" s="1"/>
  <c r="O1564" i="5"/>
  <c r="N1564" i="5"/>
  <c r="K1564" i="5"/>
  <c r="H1564" i="5"/>
  <c r="G1564" i="5" s="1"/>
  <c r="E1564" i="5"/>
  <c r="D1564" i="5"/>
  <c r="B1564" i="5"/>
  <c r="Q1563" i="5"/>
  <c r="P1563" i="5"/>
  <c r="O1563" i="5"/>
  <c r="N1563" i="5"/>
  <c r="K1563" i="5"/>
  <c r="H1563" i="5"/>
  <c r="G1563" i="5" s="1"/>
  <c r="E1563" i="5"/>
  <c r="D1563" i="5"/>
  <c r="B1563" i="5"/>
  <c r="Q1562" i="5"/>
  <c r="P1562" i="5"/>
  <c r="R1562" i="5" s="1"/>
  <c r="O1562" i="5"/>
  <c r="N1562" i="5"/>
  <c r="K1562" i="5"/>
  <c r="H1562" i="5"/>
  <c r="G1562" i="5" s="1"/>
  <c r="E1562" i="5"/>
  <c r="D1562" i="5"/>
  <c r="B1562" i="5"/>
  <c r="Q1561" i="5"/>
  <c r="P1561" i="5"/>
  <c r="O1561" i="5"/>
  <c r="N1561" i="5"/>
  <c r="K1561" i="5"/>
  <c r="H1561" i="5"/>
  <c r="J1561" i="5" s="1"/>
  <c r="I1561" i="5" s="1"/>
  <c r="E1561" i="5"/>
  <c r="D1561" i="5"/>
  <c r="B1561" i="5"/>
  <c r="Q1560" i="5"/>
  <c r="P1560" i="5"/>
  <c r="O1560" i="5"/>
  <c r="N1560" i="5"/>
  <c r="K1560" i="5"/>
  <c r="H1560" i="5"/>
  <c r="E1560" i="5"/>
  <c r="D1560" i="5"/>
  <c r="B1560" i="5"/>
  <c r="Q1559" i="5"/>
  <c r="P1559" i="5"/>
  <c r="O1559" i="5"/>
  <c r="N1559" i="5"/>
  <c r="K1559" i="5"/>
  <c r="H1559" i="5"/>
  <c r="G1559" i="5" s="1"/>
  <c r="E1559" i="5"/>
  <c r="D1559" i="5"/>
  <c r="B1559" i="5"/>
  <c r="Q1558" i="5"/>
  <c r="P1558" i="5"/>
  <c r="R1558" i="5" s="1"/>
  <c r="O1558" i="5"/>
  <c r="N1558" i="5"/>
  <c r="K1558" i="5"/>
  <c r="H1558" i="5"/>
  <c r="G1558" i="5" s="1"/>
  <c r="E1558" i="5"/>
  <c r="D1558" i="5"/>
  <c r="B1558" i="5"/>
  <c r="Q1557" i="5"/>
  <c r="P1557" i="5"/>
  <c r="O1557" i="5"/>
  <c r="N1557" i="5"/>
  <c r="K1557" i="5"/>
  <c r="H1557" i="5"/>
  <c r="E1557" i="5"/>
  <c r="D1557" i="5"/>
  <c r="B1557" i="5"/>
  <c r="Q1556" i="5"/>
  <c r="P1556" i="5"/>
  <c r="O1556" i="5"/>
  <c r="N1556" i="5"/>
  <c r="K1556" i="5"/>
  <c r="H1556" i="5"/>
  <c r="G1556" i="5" s="1"/>
  <c r="E1556" i="5"/>
  <c r="D1556" i="5"/>
  <c r="B1556" i="5"/>
  <c r="Q1555" i="5"/>
  <c r="P1555" i="5"/>
  <c r="O1555" i="5"/>
  <c r="N1555" i="5"/>
  <c r="K1555" i="5"/>
  <c r="H1555" i="5"/>
  <c r="G1555" i="5" s="1"/>
  <c r="E1555" i="5"/>
  <c r="D1555" i="5"/>
  <c r="B1555" i="5"/>
  <c r="Q1554" i="5"/>
  <c r="P1554" i="5"/>
  <c r="O1554" i="5"/>
  <c r="N1554" i="5"/>
  <c r="K1554" i="5"/>
  <c r="H1554" i="5"/>
  <c r="J1554" i="5" s="1"/>
  <c r="I1554" i="5" s="1"/>
  <c r="E1554" i="5"/>
  <c r="D1554" i="5"/>
  <c r="B1554" i="5"/>
  <c r="Q1553" i="5"/>
  <c r="P1553" i="5"/>
  <c r="O1553" i="5"/>
  <c r="N1553" i="5"/>
  <c r="K1553" i="5"/>
  <c r="H1553" i="5"/>
  <c r="J1553" i="5" s="1"/>
  <c r="I1553" i="5" s="1"/>
  <c r="E1553" i="5"/>
  <c r="D1553" i="5"/>
  <c r="B1553" i="5"/>
  <c r="Q1552" i="5"/>
  <c r="P1552" i="5"/>
  <c r="O1552" i="5"/>
  <c r="N1552" i="5"/>
  <c r="K1552" i="5"/>
  <c r="H1552" i="5"/>
  <c r="G1552" i="5" s="1"/>
  <c r="E1552" i="5"/>
  <c r="D1552" i="5"/>
  <c r="B1552" i="5"/>
  <c r="Q1551" i="5"/>
  <c r="P1551" i="5"/>
  <c r="O1551" i="5"/>
  <c r="N1551" i="5"/>
  <c r="K1551" i="5"/>
  <c r="H1551" i="5"/>
  <c r="G1551" i="5" s="1"/>
  <c r="E1551" i="5"/>
  <c r="D1551" i="5"/>
  <c r="B1551" i="5"/>
  <c r="Q1550" i="5"/>
  <c r="P1550" i="5"/>
  <c r="O1550" i="5"/>
  <c r="N1550" i="5"/>
  <c r="K1550" i="5"/>
  <c r="H1550" i="5"/>
  <c r="E1550" i="5"/>
  <c r="D1550" i="5"/>
  <c r="B1550" i="5"/>
  <c r="Q1549" i="5"/>
  <c r="P1549" i="5"/>
  <c r="O1549" i="5"/>
  <c r="N1549" i="5"/>
  <c r="K1549" i="5"/>
  <c r="H1549" i="5"/>
  <c r="E1549" i="5"/>
  <c r="D1549" i="5"/>
  <c r="B1549" i="5"/>
  <c r="Q1548" i="5"/>
  <c r="P1548" i="5"/>
  <c r="O1548" i="5"/>
  <c r="N1548" i="5"/>
  <c r="K1548" i="5"/>
  <c r="H1548" i="5"/>
  <c r="G1548" i="5" s="1"/>
  <c r="E1548" i="5"/>
  <c r="D1548" i="5"/>
  <c r="B1548" i="5"/>
  <c r="Q1547" i="5"/>
  <c r="P1547" i="5"/>
  <c r="O1547" i="5"/>
  <c r="N1547" i="5"/>
  <c r="K1547" i="5"/>
  <c r="H1547" i="5"/>
  <c r="J1547" i="5" s="1"/>
  <c r="I1547" i="5" s="1"/>
  <c r="E1547" i="5"/>
  <c r="D1547" i="5"/>
  <c r="B1547" i="5"/>
  <c r="Q1546" i="5"/>
  <c r="P1546" i="5"/>
  <c r="O1546" i="5"/>
  <c r="N1546" i="5"/>
  <c r="K1546" i="5"/>
  <c r="H1546" i="5"/>
  <c r="G1546" i="5" s="1"/>
  <c r="E1546" i="5"/>
  <c r="D1546" i="5"/>
  <c r="B1546" i="5"/>
  <c r="Q1545" i="5"/>
  <c r="P1545" i="5"/>
  <c r="O1545" i="5"/>
  <c r="N1545" i="5"/>
  <c r="K1545" i="5"/>
  <c r="H1545" i="5"/>
  <c r="J1545" i="5" s="1"/>
  <c r="I1545" i="5" s="1"/>
  <c r="E1545" i="5"/>
  <c r="D1545" i="5"/>
  <c r="B1545" i="5"/>
  <c r="Q1544" i="5"/>
  <c r="P1544" i="5"/>
  <c r="O1544" i="5"/>
  <c r="N1544" i="5"/>
  <c r="K1544" i="5"/>
  <c r="H1544" i="5"/>
  <c r="J1544" i="5" s="1"/>
  <c r="I1544" i="5" s="1"/>
  <c r="E1544" i="5"/>
  <c r="D1544" i="5"/>
  <c r="B1544" i="5"/>
  <c r="Q1543" i="5"/>
  <c r="P1543" i="5"/>
  <c r="O1543" i="5"/>
  <c r="N1543" i="5"/>
  <c r="K1543" i="5"/>
  <c r="H1543" i="5"/>
  <c r="E1543" i="5"/>
  <c r="D1543" i="5"/>
  <c r="B1543" i="5"/>
  <c r="Q1542" i="5"/>
  <c r="P1542" i="5"/>
  <c r="O1542" i="5"/>
  <c r="N1542" i="5"/>
  <c r="K1542" i="5"/>
  <c r="H1542" i="5"/>
  <c r="J1542" i="5" s="1"/>
  <c r="I1542" i="5" s="1"/>
  <c r="E1542" i="5"/>
  <c r="D1542" i="5"/>
  <c r="B1542" i="5"/>
  <c r="Q1541" i="5"/>
  <c r="P1541" i="5"/>
  <c r="O1541" i="5"/>
  <c r="N1541" i="5"/>
  <c r="K1541" i="5"/>
  <c r="H1541" i="5"/>
  <c r="J1541" i="5" s="1"/>
  <c r="I1541" i="5" s="1"/>
  <c r="E1541" i="5"/>
  <c r="D1541" i="5"/>
  <c r="B1541" i="5"/>
  <c r="Q1540" i="5"/>
  <c r="P1540" i="5"/>
  <c r="O1540" i="5"/>
  <c r="N1540" i="5"/>
  <c r="K1540" i="5"/>
  <c r="H1540" i="5"/>
  <c r="J1540" i="5" s="1"/>
  <c r="I1540" i="5" s="1"/>
  <c r="E1540" i="5"/>
  <c r="D1540" i="5"/>
  <c r="B1540" i="5"/>
  <c r="Q1539" i="5"/>
  <c r="P1539" i="5"/>
  <c r="O1539" i="5"/>
  <c r="N1539" i="5"/>
  <c r="K1539" i="5"/>
  <c r="H1539" i="5"/>
  <c r="E1539" i="5"/>
  <c r="D1539" i="5"/>
  <c r="B1539" i="5"/>
  <c r="Q1538" i="5"/>
  <c r="P1538" i="5"/>
  <c r="O1538" i="5"/>
  <c r="N1538" i="5"/>
  <c r="K1538" i="5"/>
  <c r="H1538" i="5"/>
  <c r="G1538" i="5" s="1"/>
  <c r="E1538" i="5"/>
  <c r="D1538" i="5"/>
  <c r="B1538" i="5"/>
  <c r="Q1537" i="5"/>
  <c r="P1537" i="5"/>
  <c r="O1537" i="5"/>
  <c r="N1537" i="5"/>
  <c r="K1537" i="5"/>
  <c r="H1537" i="5"/>
  <c r="J1537" i="5" s="1"/>
  <c r="I1537" i="5" s="1"/>
  <c r="E1537" i="5"/>
  <c r="D1537" i="5"/>
  <c r="B1537" i="5"/>
  <c r="Q1536" i="5"/>
  <c r="P1536" i="5"/>
  <c r="O1536" i="5"/>
  <c r="N1536" i="5"/>
  <c r="K1536" i="5"/>
  <c r="H1536" i="5"/>
  <c r="G1536" i="5" s="1"/>
  <c r="E1536" i="5"/>
  <c r="D1536" i="5"/>
  <c r="B1536" i="5"/>
  <c r="Q1535" i="5"/>
  <c r="P1535" i="5"/>
  <c r="O1535" i="5"/>
  <c r="N1535" i="5"/>
  <c r="K1535" i="5"/>
  <c r="H1535" i="5"/>
  <c r="J1535" i="5" s="1"/>
  <c r="I1535" i="5" s="1"/>
  <c r="E1535" i="5"/>
  <c r="D1535" i="5"/>
  <c r="B1535" i="5"/>
  <c r="Q1534" i="5"/>
  <c r="P1534" i="5"/>
  <c r="O1534" i="5"/>
  <c r="N1534" i="5"/>
  <c r="K1534" i="5"/>
  <c r="H1534" i="5"/>
  <c r="E1534" i="5"/>
  <c r="D1534" i="5"/>
  <c r="B1534" i="5"/>
  <c r="Q1533" i="5"/>
  <c r="P1533" i="5"/>
  <c r="O1533" i="5"/>
  <c r="N1533" i="5"/>
  <c r="K1533" i="5"/>
  <c r="H1533" i="5"/>
  <c r="J1533" i="5" s="1"/>
  <c r="I1533" i="5" s="1"/>
  <c r="E1533" i="5"/>
  <c r="D1533" i="5"/>
  <c r="B1533" i="5"/>
  <c r="Q1532" i="5"/>
  <c r="P1532" i="5"/>
  <c r="O1532" i="5"/>
  <c r="N1532" i="5"/>
  <c r="K1532" i="5"/>
  <c r="H1532" i="5"/>
  <c r="J1532" i="5" s="1"/>
  <c r="I1532" i="5" s="1"/>
  <c r="E1532" i="5"/>
  <c r="D1532" i="5"/>
  <c r="B1532" i="5"/>
  <c r="Q1531" i="5"/>
  <c r="P1531" i="5"/>
  <c r="O1531" i="5"/>
  <c r="N1531" i="5"/>
  <c r="K1531" i="5"/>
  <c r="H1531" i="5"/>
  <c r="J1531" i="5" s="1"/>
  <c r="I1531" i="5" s="1"/>
  <c r="E1531" i="5"/>
  <c r="D1531" i="5"/>
  <c r="B1531" i="5"/>
  <c r="Q1530" i="5"/>
  <c r="P1530" i="5"/>
  <c r="O1530" i="5"/>
  <c r="N1530" i="5"/>
  <c r="K1530" i="5"/>
  <c r="H1530" i="5"/>
  <c r="G1530" i="5" s="1"/>
  <c r="E1530" i="5"/>
  <c r="D1530" i="5"/>
  <c r="B1530" i="5"/>
  <c r="Q1529" i="5"/>
  <c r="P1529" i="5"/>
  <c r="O1529" i="5"/>
  <c r="N1529" i="5"/>
  <c r="K1529" i="5"/>
  <c r="H1529" i="5"/>
  <c r="G1529" i="5" s="1"/>
  <c r="E1529" i="5"/>
  <c r="D1529" i="5"/>
  <c r="B1529" i="5"/>
  <c r="Q1528" i="5"/>
  <c r="P1528" i="5"/>
  <c r="O1528" i="5"/>
  <c r="N1528" i="5"/>
  <c r="K1528" i="5"/>
  <c r="H1528" i="5"/>
  <c r="J1528" i="5" s="1"/>
  <c r="I1528" i="5" s="1"/>
  <c r="E1528" i="5"/>
  <c r="D1528" i="5"/>
  <c r="B1528" i="5"/>
  <c r="Q1527" i="5"/>
  <c r="P1527" i="5"/>
  <c r="O1527" i="5"/>
  <c r="N1527" i="5"/>
  <c r="K1527" i="5"/>
  <c r="H1527" i="5"/>
  <c r="E1527" i="5"/>
  <c r="D1527" i="5"/>
  <c r="B1527" i="5"/>
  <c r="Q1526" i="5"/>
  <c r="P1526" i="5"/>
  <c r="O1526" i="5"/>
  <c r="N1526" i="5"/>
  <c r="K1526" i="5"/>
  <c r="H1526" i="5"/>
  <c r="G1526" i="5" s="1"/>
  <c r="E1526" i="5"/>
  <c r="D1526" i="5"/>
  <c r="B1526" i="5"/>
  <c r="Q1525" i="5"/>
  <c r="P1525" i="5"/>
  <c r="O1525" i="5"/>
  <c r="N1525" i="5"/>
  <c r="K1525" i="5"/>
  <c r="H1525" i="5"/>
  <c r="E1525" i="5"/>
  <c r="D1525" i="5"/>
  <c r="B1525" i="5"/>
  <c r="Q1524" i="5"/>
  <c r="P1524" i="5"/>
  <c r="O1524" i="5"/>
  <c r="N1524" i="5"/>
  <c r="K1524" i="5"/>
  <c r="H1524" i="5"/>
  <c r="E1524" i="5"/>
  <c r="D1524" i="5"/>
  <c r="B1524" i="5"/>
  <c r="Q1523" i="5"/>
  <c r="P1523" i="5"/>
  <c r="O1523" i="5"/>
  <c r="N1523" i="5"/>
  <c r="K1523" i="5"/>
  <c r="H1523" i="5"/>
  <c r="E1523" i="5"/>
  <c r="D1523" i="5"/>
  <c r="B1523" i="5"/>
  <c r="Q1522" i="5"/>
  <c r="P1522" i="5"/>
  <c r="R1522" i="5" s="1"/>
  <c r="O1522" i="5"/>
  <c r="N1522" i="5"/>
  <c r="K1522" i="5"/>
  <c r="H1522" i="5"/>
  <c r="E1522" i="5"/>
  <c r="D1522" i="5"/>
  <c r="B1522" i="5"/>
  <c r="Q1521" i="5"/>
  <c r="P1521" i="5"/>
  <c r="O1521" i="5"/>
  <c r="N1521" i="5"/>
  <c r="K1521" i="5"/>
  <c r="H1521" i="5"/>
  <c r="J1521" i="5" s="1"/>
  <c r="I1521" i="5" s="1"/>
  <c r="E1521" i="5"/>
  <c r="D1521" i="5"/>
  <c r="B1521" i="5"/>
  <c r="Q1520" i="5"/>
  <c r="P1520" i="5"/>
  <c r="O1520" i="5"/>
  <c r="N1520" i="5"/>
  <c r="K1520" i="5"/>
  <c r="H1520" i="5"/>
  <c r="G1520" i="5" s="1"/>
  <c r="E1520" i="5"/>
  <c r="D1520" i="5"/>
  <c r="B1520" i="5"/>
  <c r="Q1519" i="5"/>
  <c r="P1519" i="5"/>
  <c r="O1519" i="5"/>
  <c r="N1519" i="5"/>
  <c r="K1519" i="5"/>
  <c r="H1519" i="5"/>
  <c r="J1519" i="5" s="1"/>
  <c r="I1519" i="5" s="1"/>
  <c r="E1519" i="5"/>
  <c r="D1519" i="5"/>
  <c r="B1519" i="5"/>
  <c r="Q1518" i="5"/>
  <c r="P1518" i="5"/>
  <c r="O1518" i="5"/>
  <c r="N1518" i="5"/>
  <c r="K1518" i="5"/>
  <c r="H1518" i="5"/>
  <c r="J1518" i="5" s="1"/>
  <c r="I1518" i="5" s="1"/>
  <c r="E1518" i="5"/>
  <c r="D1518" i="5"/>
  <c r="B1518" i="5"/>
  <c r="Q1517" i="5"/>
  <c r="P1517" i="5"/>
  <c r="O1517" i="5"/>
  <c r="N1517" i="5"/>
  <c r="K1517" i="5"/>
  <c r="H1517" i="5"/>
  <c r="E1517" i="5"/>
  <c r="D1517" i="5"/>
  <c r="B1517" i="5"/>
  <c r="Q1516" i="5"/>
  <c r="P1516" i="5"/>
  <c r="O1516" i="5"/>
  <c r="N1516" i="5"/>
  <c r="K1516" i="5"/>
  <c r="H1516" i="5"/>
  <c r="J1516" i="5" s="1"/>
  <c r="I1516" i="5" s="1"/>
  <c r="E1516" i="5"/>
  <c r="D1516" i="5"/>
  <c r="B1516" i="5"/>
  <c r="Q1515" i="5"/>
  <c r="P1515" i="5"/>
  <c r="O1515" i="5"/>
  <c r="N1515" i="5"/>
  <c r="K1515" i="5"/>
  <c r="H1515" i="5"/>
  <c r="J1515" i="5" s="1"/>
  <c r="I1515" i="5" s="1"/>
  <c r="E1515" i="5"/>
  <c r="D1515" i="5"/>
  <c r="B1515" i="5"/>
  <c r="Q1514" i="5"/>
  <c r="P1514" i="5"/>
  <c r="O1514" i="5"/>
  <c r="N1514" i="5"/>
  <c r="K1514" i="5"/>
  <c r="H1514" i="5"/>
  <c r="E1514" i="5"/>
  <c r="D1514" i="5"/>
  <c r="B1514" i="5"/>
  <c r="Q1513" i="5"/>
  <c r="P1513" i="5"/>
  <c r="R1513" i="5" s="1"/>
  <c r="O1513" i="5"/>
  <c r="N1513" i="5"/>
  <c r="K1513" i="5"/>
  <c r="H1513" i="5"/>
  <c r="G1513" i="5" s="1"/>
  <c r="E1513" i="5"/>
  <c r="D1513" i="5"/>
  <c r="B1513" i="5"/>
  <c r="Q1512" i="5"/>
  <c r="P1512" i="5"/>
  <c r="O1512" i="5"/>
  <c r="N1512" i="5"/>
  <c r="K1512" i="5"/>
  <c r="H1512" i="5"/>
  <c r="J1512" i="5" s="1"/>
  <c r="I1512" i="5" s="1"/>
  <c r="E1512" i="5"/>
  <c r="D1512" i="5"/>
  <c r="B1512" i="5"/>
  <c r="Q1511" i="5"/>
  <c r="P1511" i="5"/>
  <c r="O1511" i="5"/>
  <c r="N1511" i="5"/>
  <c r="K1511" i="5"/>
  <c r="H1511" i="5"/>
  <c r="J1511" i="5" s="1"/>
  <c r="I1511" i="5" s="1"/>
  <c r="E1511" i="5"/>
  <c r="D1511" i="5"/>
  <c r="B1511" i="5"/>
  <c r="Q1510" i="5"/>
  <c r="P1510" i="5"/>
  <c r="O1510" i="5"/>
  <c r="N1510" i="5"/>
  <c r="K1510" i="5"/>
  <c r="H1510" i="5"/>
  <c r="G1510" i="5" s="1"/>
  <c r="E1510" i="5"/>
  <c r="D1510" i="5"/>
  <c r="B1510" i="5"/>
  <c r="Q1509" i="5"/>
  <c r="P1509" i="5"/>
  <c r="O1509" i="5"/>
  <c r="N1509" i="5"/>
  <c r="K1509" i="5"/>
  <c r="H1509" i="5"/>
  <c r="J1509" i="5" s="1"/>
  <c r="I1509" i="5" s="1"/>
  <c r="E1509" i="5"/>
  <c r="D1509" i="5"/>
  <c r="B1509" i="5"/>
  <c r="Q1508" i="5"/>
  <c r="P1508" i="5"/>
  <c r="O1508" i="5"/>
  <c r="N1508" i="5"/>
  <c r="K1508" i="5"/>
  <c r="H1508" i="5"/>
  <c r="G1508" i="5" s="1"/>
  <c r="E1508" i="5"/>
  <c r="D1508" i="5"/>
  <c r="B1508" i="5"/>
  <c r="Q1507" i="5"/>
  <c r="P1507" i="5"/>
  <c r="O1507" i="5"/>
  <c r="N1507" i="5"/>
  <c r="K1507" i="5"/>
  <c r="H1507" i="5"/>
  <c r="E1507" i="5"/>
  <c r="D1507" i="5"/>
  <c r="B1507" i="5"/>
  <c r="Q1506" i="5"/>
  <c r="P1506" i="5"/>
  <c r="O1506" i="5"/>
  <c r="N1506" i="5"/>
  <c r="K1506" i="5"/>
  <c r="H1506" i="5"/>
  <c r="G1506" i="5" s="1"/>
  <c r="E1506" i="5"/>
  <c r="D1506" i="5"/>
  <c r="B1506" i="5"/>
  <c r="Q1505" i="5"/>
  <c r="P1505" i="5"/>
  <c r="O1505" i="5"/>
  <c r="N1505" i="5"/>
  <c r="K1505" i="5"/>
  <c r="H1505" i="5"/>
  <c r="E1505" i="5"/>
  <c r="D1505" i="5"/>
  <c r="B1505" i="5"/>
  <c r="Q1504" i="5"/>
  <c r="P1504" i="5"/>
  <c r="O1504" i="5"/>
  <c r="N1504" i="5"/>
  <c r="K1504" i="5"/>
  <c r="H1504" i="5"/>
  <c r="G1504" i="5" s="1"/>
  <c r="E1504" i="5"/>
  <c r="D1504" i="5"/>
  <c r="B1504" i="5"/>
  <c r="Q1503" i="5"/>
  <c r="P1503" i="5"/>
  <c r="O1503" i="5"/>
  <c r="N1503" i="5"/>
  <c r="K1503" i="5"/>
  <c r="H1503" i="5"/>
  <c r="J1503" i="5" s="1"/>
  <c r="I1503" i="5" s="1"/>
  <c r="G1503" i="5"/>
  <c r="E1503" i="5"/>
  <c r="D1503" i="5"/>
  <c r="B1503" i="5"/>
  <c r="Q1502" i="5"/>
  <c r="P1502" i="5"/>
  <c r="O1502" i="5"/>
  <c r="N1502" i="5"/>
  <c r="K1502" i="5"/>
  <c r="H1502" i="5"/>
  <c r="J1502" i="5" s="1"/>
  <c r="I1502" i="5" s="1"/>
  <c r="E1502" i="5"/>
  <c r="D1502" i="5"/>
  <c r="B1502" i="5"/>
  <c r="Q1501" i="5"/>
  <c r="P1501" i="5"/>
  <c r="O1501" i="5"/>
  <c r="N1501" i="5"/>
  <c r="K1501" i="5"/>
  <c r="H1501" i="5"/>
  <c r="J1501" i="5" s="1"/>
  <c r="I1501" i="5" s="1"/>
  <c r="E1501" i="5"/>
  <c r="D1501" i="5"/>
  <c r="B1501" i="5"/>
  <c r="Q1500" i="5"/>
  <c r="P1500" i="5"/>
  <c r="O1500" i="5"/>
  <c r="N1500" i="5"/>
  <c r="K1500" i="5"/>
  <c r="H1500" i="5"/>
  <c r="J1500" i="5" s="1"/>
  <c r="I1500" i="5" s="1"/>
  <c r="E1500" i="5"/>
  <c r="D1500" i="5"/>
  <c r="B1500" i="5"/>
  <c r="Q1499" i="5"/>
  <c r="P1499" i="5"/>
  <c r="O1499" i="5"/>
  <c r="N1499" i="5"/>
  <c r="K1499" i="5"/>
  <c r="H1499" i="5"/>
  <c r="G1499" i="5" s="1"/>
  <c r="E1499" i="5"/>
  <c r="D1499" i="5"/>
  <c r="B1499" i="5"/>
  <c r="Q1498" i="5"/>
  <c r="P1498" i="5"/>
  <c r="O1498" i="5"/>
  <c r="N1498" i="5"/>
  <c r="K1498" i="5"/>
  <c r="H1498" i="5"/>
  <c r="J1498" i="5" s="1"/>
  <c r="I1498" i="5" s="1"/>
  <c r="E1498" i="5"/>
  <c r="D1498" i="5"/>
  <c r="B1498" i="5"/>
  <c r="Q1497" i="5"/>
  <c r="P1497" i="5"/>
  <c r="O1497" i="5"/>
  <c r="N1497" i="5"/>
  <c r="K1497" i="5"/>
  <c r="H1497" i="5"/>
  <c r="J1497" i="5" s="1"/>
  <c r="I1497" i="5" s="1"/>
  <c r="E1497" i="5"/>
  <c r="D1497" i="5"/>
  <c r="B1497" i="5"/>
  <c r="Q1496" i="5"/>
  <c r="P1496" i="5"/>
  <c r="O1496" i="5"/>
  <c r="N1496" i="5"/>
  <c r="K1496" i="5"/>
  <c r="H1496" i="5"/>
  <c r="J1496" i="5" s="1"/>
  <c r="I1496" i="5" s="1"/>
  <c r="E1496" i="5"/>
  <c r="D1496" i="5"/>
  <c r="B1496" i="5"/>
  <c r="Q1495" i="5"/>
  <c r="P1495" i="5"/>
  <c r="R1495" i="5" s="1"/>
  <c r="O1495" i="5"/>
  <c r="N1495" i="5"/>
  <c r="K1495" i="5"/>
  <c r="H1495" i="5"/>
  <c r="J1495" i="5" s="1"/>
  <c r="I1495" i="5" s="1"/>
  <c r="E1495" i="5"/>
  <c r="D1495" i="5"/>
  <c r="B1495" i="5"/>
  <c r="Q1494" i="5"/>
  <c r="P1494" i="5"/>
  <c r="O1494" i="5"/>
  <c r="N1494" i="5"/>
  <c r="K1494" i="5"/>
  <c r="H1494" i="5"/>
  <c r="G1494" i="5" s="1"/>
  <c r="E1494" i="5"/>
  <c r="D1494" i="5"/>
  <c r="B1494" i="5"/>
  <c r="Q1493" i="5"/>
  <c r="P1493" i="5"/>
  <c r="O1493" i="5"/>
  <c r="N1493" i="5"/>
  <c r="K1493" i="5"/>
  <c r="H1493" i="5"/>
  <c r="E1493" i="5"/>
  <c r="D1493" i="5"/>
  <c r="B1493" i="5"/>
  <c r="Q1492" i="5"/>
  <c r="P1492" i="5"/>
  <c r="O1492" i="5"/>
  <c r="N1492" i="5"/>
  <c r="K1492" i="5"/>
  <c r="H1492" i="5"/>
  <c r="J1492" i="5" s="1"/>
  <c r="I1492" i="5" s="1"/>
  <c r="E1492" i="5"/>
  <c r="D1492" i="5"/>
  <c r="B1492" i="5"/>
  <c r="Q1491" i="5"/>
  <c r="P1491" i="5"/>
  <c r="O1491" i="5"/>
  <c r="N1491" i="5"/>
  <c r="K1491" i="5"/>
  <c r="H1491" i="5"/>
  <c r="J1491" i="5" s="1"/>
  <c r="I1491" i="5" s="1"/>
  <c r="E1491" i="5"/>
  <c r="D1491" i="5"/>
  <c r="B1491" i="5"/>
  <c r="Q1490" i="5"/>
  <c r="P1490" i="5"/>
  <c r="O1490" i="5"/>
  <c r="N1490" i="5"/>
  <c r="K1490" i="5"/>
  <c r="H1490" i="5"/>
  <c r="G1490" i="5" s="1"/>
  <c r="E1490" i="5"/>
  <c r="D1490" i="5"/>
  <c r="B1490" i="5"/>
  <c r="Q1489" i="5"/>
  <c r="P1489" i="5"/>
  <c r="O1489" i="5"/>
  <c r="N1489" i="5"/>
  <c r="K1489" i="5"/>
  <c r="H1489" i="5"/>
  <c r="J1489" i="5" s="1"/>
  <c r="I1489" i="5" s="1"/>
  <c r="G1489" i="5"/>
  <c r="E1489" i="5"/>
  <c r="D1489" i="5"/>
  <c r="B1489" i="5"/>
  <c r="Q1488" i="5"/>
  <c r="P1488" i="5"/>
  <c r="O1488" i="5"/>
  <c r="N1488" i="5"/>
  <c r="K1488" i="5"/>
  <c r="H1488" i="5"/>
  <c r="G1488" i="5" s="1"/>
  <c r="E1488" i="5"/>
  <c r="D1488" i="5"/>
  <c r="B1488" i="5"/>
  <c r="Q1487" i="5"/>
  <c r="P1487" i="5"/>
  <c r="O1487" i="5"/>
  <c r="N1487" i="5"/>
  <c r="K1487" i="5"/>
  <c r="H1487" i="5"/>
  <c r="E1487" i="5"/>
  <c r="D1487" i="5"/>
  <c r="B1487" i="5"/>
  <c r="Q1486" i="5"/>
  <c r="P1486" i="5"/>
  <c r="O1486" i="5"/>
  <c r="N1486" i="5"/>
  <c r="K1486" i="5"/>
  <c r="H1486" i="5"/>
  <c r="G1486" i="5" s="1"/>
  <c r="E1486" i="5"/>
  <c r="D1486" i="5"/>
  <c r="B1486" i="5"/>
  <c r="Q1485" i="5"/>
  <c r="P1485" i="5"/>
  <c r="O1485" i="5"/>
  <c r="N1485" i="5"/>
  <c r="K1485" i="5"/>
  <c r="H1485" i="5"/>
  <c r="J1485" i="5" s="1"/>
  <c r="I1485" i="5" s="1"/>
  <c r="E1485" i="5"/>
  <c r="D1485" i="5"/>
  <c r="B1485" i="5"/>
  <c r="Q1484" i="5"/>
  <c r="P1484" i="5"/>
  <c r="O1484" i="5"/>
  <c r="N1484" i="5"/>
  <c r="K1484" i="5"/>
  <c r="H1484" i="5"/>
  <c r="J1484" i="5" s="1"/>
  <c r="I1484" i="5" s="1"/>
  <c r="E1484" i="5"/>
  <c r="D1484" i="5"/>
  <c r="B1484" i="5"/>
  <c r="Q1483" i="5"/>
  <c r="P1483" i="5"/>
  <c r="O1483" i="5"/>
  <c r="N1483" i="5"/>
  <c r="K1483" i="5"/>
  <c r="H1483" i="5"/>
  <c r="E1483" i="5"/>
  <c r="D1483" i="5"/>
  <c r="B1483" i="5"/>
  <c r="Q1482" i="5"/>
  <c r="P1482" i="5"/>
  <c r="O1482" i="5"/>
  <c r="N1482" i="5"/>
  <c r="K1482" i="5"/>
  <c r="H1482" i="5"/>
  <c r="E1482" i="5"/>
  <c r="D1482" i="5"/>
  <c r="B1482" i="5"/>
  <c r="Q1481" i="5"/>
  <c r="P1481" i="5"/>
  <c r="O1481" i="5"/>
  <c r="N1481" i="5"/>
  <c r="K1481" i="5"/>
  <c r="H1481" i="5"/>
  <c r="J1481" i="5" s="1"/>
  <c r="I1481" i="5" s="1"/>
  <c r="E1481" i="5"/>
  <c r="D1481" i="5"/>
  <c r="B1481" i="5"/>
  <c r="Q1480" i="5"/>
  <c r="P1480" i="5"/>
  <c r="R1480" i="5" s="1"/>
  <c r="O1480" i="5"/>
  <c r="N1480" i="5"/>
  <c r="K1480" i="5"/>
  <c r="H1480" i="5"/>
  <c r="J1480" i="5" s="1"/>
  <c r="I1480" i="5" s="1"/>
  <c r="E1480" i="5"/>
  <c r="D1480" i="5"/>
  <c r="B1480" i="5"/>
  <c r="Q1479" i="5"/>
  <c r="P1479" i="5"/>
  <c r="O1479" i="5"/>
  <c r="N1479" i="5"/>
  <c r="K1479" i="5"/>
  <c r="H1479" i="5"/>
  <c r="E1479" i="5"/>
  <c r="D1479" i="5"/>
  <c r="B1479" i="5"/>
  <c r="Q1478" i="5"/>
  <c r="P1478" i="5"/>
  <c r="O1478" i="5"/>
  <c r="N1478" i="5"/>
  <c r="K1478" i="5"/>
  <c r="H1478" i="5"/>
  <c r="G1478" i="5" s="1"/>
  <c r="E1478" i="5"/>
  <c r="D1478" i="5"/>
  <c r="B1478" i="5"/>
  <c r="Q1477" i="5"/>
  <c r="P1477" i="5"/>
  <c r="O1477" i="5"/>
  <c r="N1477" i="5"/>
  <c r="K1477" i="5"/>
  <c r="H1477" i="5"/>
  <c r="J1477" i="5" s="1"/>
  <c r="I1477" i="5" s="1"/>
  <c r="E1477" i="5"/>
  <c r="D1477" i="5"/>
  <c r="B1477" i="5"/>
  <c r="Q1476" i="5"/>
  <c r="P1476" i="5"/>
  <c r="O1476" i="5"/>
  <c r="N1476" i="5"/>
  <c r="K1476" i="5"/>
  <c r="H1476" i="5"/>
  <c r="G1476" i="5" s="1"/>
  <c r="E1476" i="5"/>
  <c r="D1476" i="5"/>
  <c r="B1476" i="5"/>
  <c r="Q1475" i="5"/>
  <c r="P1475" i="5"/>
  <c r="O1475" i="5"/>
  <c r="N1475" i="5"/>
  <c r="K1475" i="5"/>
  <c r="H1475" i="5"/>
  <c r="J1475" i="5" s="1"/>
  <c r="I1475" i="5" s="1"/>
  <c r="E1475" i="5"/>
  <c r="D1475" i="5"/>
  <c r="B1475" i="5"/>
  <c r="Q1474" i="5"/>
  <c r="P1474" i="5"/>
  <c r="O1474" i="5"/>
  <c r="N1474" i="5"/>
  <c r="K1474" i="5"/>
  <c r="H1474" i="5"/>
  <c r="E1474" i="5"/>
  <c r="D1474" i="5"/>
  <c r="B1474" i="5"/>
  <c r="Q1473" i="5"/>
  <c r="P1473" i="5"/>
  <c r="R1473" i="5" s="1"/>
  <c r="O1473" i="5"/>
  <c r="N1473" i="5"/>
  <c r="K1473" i="5"/>
  <c r="H1473" i="5"/>
  <c r="E1473" i="5"/>
  <c r="D1473" i="5"/>
  <c r="B1473" i="5"/>
  <c r="Q1472" i="5"/>
  <c r="P1472" i="5"/>
  <c r="O1472" i="5"/>
  <c r="N1472" i="5"/>
  <c r="K1472" i="5"/>
  <c r="H1472" i="5"/>
  <c r="E1472" i="5"/>
  <c r="D1472" i="5"/>
  <c r="B1472" i="5"/>
  <c r="Q1471" i="5"/>
  <c r="P1471" i="5"/>
  <c r="O1471" i="5"/>
  <c r="N1471" i="5"/>
  <c r="K1471" i="5"/>
  <c r="H1471" i="5"/>
  <c r="J1471" i="5" s="1"/>
  <c r="I1471" i="5" s="1"/>
  <c r="E1471" i="5"/>
  <c r="D1471" i="5"/>
  <c r="B1471" i="5"/>
  <c r="Q1470" i="5"/>
  <c r="P1470" i="5"/>
  <c r="O1470" i="5"/>
  <c r="N1470" i="5"/>
  <c r="K1470" i="5"/>
  <c r="H1470" i="5"/>
  <c r="J1470" i="5" s="1"/>
  <c r="I1470" i="5" s="1"/>
  <c r="G1470" i="5"/>
  <c r="E1470" i="5"/>
  <c r="D1470" i="5"/>
  <c r="B1470" i="5"/>
  <c r="Q1469" i="5"/>
  <c r="P1469" i="5"/>
  <c r="O1469" i="5"/>
  <c r="N1469" i="5"/>
  <c r="K1469" i="5"/>
  <c r="H1469" i="5"/>
  <c r="J1469" i="5" s="1"/>
  <c r="I1469" i="5" s="1"/>
  <c r="E1469" i="5"/>
  <c r="D1469" i="5"/>
  <c r="B1469" i="5"/>
  <c r="Q1468" i="5"/>
  <c r="P1468" i="5"/>
  <c r="O1468" i="5"/>
  <c r="N1468" i="5"/>
  <c r="K1468" i="5"/>
  <c r="H1468" i="5"/>
  <c r="J1468" i="5" s="1"/>
  <c r="I1468" i="5" s="1"/>
  <c r="E1468" i="5"/>
  <c r="D1468" i="5"/>
  <c r="B1468" i="5"/>
  <c r="Q1467" i="5"/>
  <c r="P1467" i="5"/>
  <c r="O1467" i="5"/>
  <c r="N1467" i="5"/>
  <c r="K1467" i="5"/>
  <c r="H1467" i="5"/>
  <c r="E1467" i="5"/>
  <c r="D1467" i="5"/>
  <c r="B1467" i="5"/>
  <c r="Q1466" i="5"/>
  <c r="P1466" i="5"/>
  <c r="O1466" i="5"/>
  <c r="N1466" i="5"/>
  <c r="K1466" i="5"/>
  <c r="H1466" i="5"/>
  <c r="J1466" i="5" s="1"/>
  <c r="I1466" i="5" s="1"/>
  <c r="E1466" i="5"/>
  <c r="D1466" i="5"/>
  <c r="B1466" i="5"/>
  <c r="Q1465" i="5"/>
  <c r="P1465" i="5"/>
  <c r="O1465" i="5"/>
  <c r="N1465" i="5"/>
  <c r="K1465" i="5"/>
  <c r="H1465" i="5"/>
  <c r="J1465" i="5" s="1"/>
  <c r="I1465" i="5" s="1"/>
  <c r="E1465" i="5"/>
  <c r="D1465" i="5"/>
  <c r="B1465" i="5"/>
  <c r="Q1464" i="5"/>
  <c r="P1464" i="5"/>
  <c r="O1464" i="5"/>
  <c r="N1464" i="5"/>
  <c r="K1464" i="5"/>
  <c r="H1464" i="5"/>
  <c r="J1464" i="5" s="1"/>
  <c r="I1464" i="5" s="1"/>
  <c r="E1464" i="5"/>
  <c r="D1464" i="5"/>
  <c r="B1464" i="5"/>
  <c r="Q1463" i="5"/>
  <c r="P1463" i="5"/>
  <c r="O1463" i="5"/>
  <c r="N1463" i="5"/>
  <c r="K1463" i="5"/>
  <c r="H1463" i="5"/>
  <c r="E1463" i="5"/>
  <c r="D1463" i="5"/>
  <c r="B1463" i="5"/>
  <c r="Q1462" i="5"/>
  <c r="P1462" i="5"/>
  <c r="O1462" i="5"/>
  <c r="N1462" i="5"/>
  <c r="K1462" i="5"/>
  <c r="H1462" i="5"/>
  <c r="G1462" i="5" s="1"/>
  <c r="E1462" i="5"/>
  <c r="D1462" i="5"/>
  <c r="B1462" i="5"/>
  <c r="Q1461" i="5"/>
  <c r="P1461" i="5"/>
  <c r="R1461" i="5" s="1"/>
  <c r="O1461" i="5"/>
  <c r="N1461" i="5"/>
  <c r="K1461" i="5"/>
  <c r="H1461" i="5"/>
  <c r="J1461" i="5" s="1"/>
  <c r="I1461" i="5" s="1"/>
  <c r="E1461" i="5"/>
  <c r="D1461" i="5"/>
  <c r="B1461" i="5"/>
  <c r="Q1460" i="5"/>
  <c r="P1460" i="5"/>
  <c r="R1460" i="5" s="1"/>
  <c r="O1460" i="5"/>
  <c r="N1460" i="5"/>
  <c r="K1460" i="5"/>
  <c r="H1460" i="5"/>
  <c r="J1460" i="5" s="1"/>
  <c r="I1460" i="5" s="1"/>
  <c r="E1460" i="5"/>
  <c r="D1460" i="5"/>
  <c r="B1460" i="5"/>
  <c r="Q1459" i="5"/>
  <c r="P1459" i="5"/>
  <c r="O1459" i="5"/>
  <c r="N1459" i="5"/>
  <c r="K1459" i="5"/>
  <c r="H1459" i="5"/>
  <c r="J1459" i="5" s="1"/>
  <c r="I1459" i="5" s="1"/>
  <c r="E1459" i="5"/>
  <c r="D1459" i="5"/>
  <c r="B1459" i="5"/>
  <c r="Q1458" i="5"/>
  <c r="P1458" i="5"/>
  <c r="O1458" i="5"/>
  <c r="N1458" i="5"/>
  <c r="K1458" i="5"/>
  <c r="H1458" i="5"/>
  <c r="G1458" i="5" s="1"/>
  <c r="E1458" i="5"/>
  <c r="D1458" i="5"/>
  <c r="B1458" i="5"/>
  <c r="Q1457" i="5"/>
  <c r="P1457" i="5"/>
  <c r="O1457" i="5"/>
  <c r="N1457" i="5"/>
  <c r="K1457" i="5"/>
  <c r="H1457" i="5"/>
  <c r="J1457" i="5" s="1"/>
  <c r="I1457" i="5" s="1"/>
  <c r="E1457" i="5"/>
  <c r="D1457" i="5"/>
  <c r="B1457" i="5"/>
  <c r="Q1456" i="5"/>
  <c r="P1456" i="5"/>
  <c r="O1456" i="5"/>
  <c r="N1456" i="5"/>
  <c r="K1456" i="5"/>
  <c r="H1456" i="5"/>
  <c r="G1456" i="5" s="1"/>
  <c r="E1456" i="5"/>
  <c r="D1456" i="5"/>
  <c r="B1456" i="5"/>
  <c r="Q1455" i="5"/>
  <c r="P1455" i="5"/>
  <c r="O1455" i="5"/>
  <c r="N1455" i="5"/>
  <c r="K1455" i="5"/>
  <c r="H1455" i="5"/>
  <c r="G1455" i="5" s="1"/>
  <c r="E1455" i="5"/>
  <c r="D1455" i="5"/>
  <c r="B1455" i="5"/>
  <c r="Q1454" i="5"/>
  <c r="P1454" i="5"/>
  <c r="O1454" i="5"/>
  <c r="N1454" i="5"/>
  <c r="K1454" i="5"/>
  <c r="H1454" i="5"/>
  <c r="J1454" i="5" s="1"/>
  <c r="I1454" i="5" s="1"/>
  <c r="E1454" i="5"/>
  <c r="D1454" i="5"/>
  <c r="B1454" i="5"/>
  <c r="Q1453" i="5"/>
  <c r="P1453" i="5"/>
  <c r="O1453" i="5"/>
  <c r="N1453" i="5"/>
  <c r="K1453" i="5"/>
  <c r="H1453" i="5"/>
  <c r="J1453" i="5" s="1"/>
  <c r="I1453" i="5" s="1"/>
  <c r="E1453" i="5"/>
  <c r="D1453" i="5"/>
  <c r="B1453" i="5"/>
  <c r="Q1452" i="5"/>
  <c r="P1452" i="5"/>
  <c r="O1452" i="5"/>
  <c r="N1452" i="5"/>
  <c r="K1452" i="5"/>
  <c r="H1452" i="5"/>
  <c r="J1452" i="5" s="1"/>
  <c r="I1452" i="5" s="1"/>
  <c r="E1452" i="5"/>
  <c r="D1452" i="5"/>
  <c r="B1452" i="5"/>
  <c r="Q1451" i="5"/>
  <c r="P1451" i="5"/>
  <c r="O1451" i="5"/>
  <c r="N1451" i="5"/>
  <c r="K1451" i="5"/>
  <c r="H1451" i="5"/>
  <c r="E1451" i="5"/>
  <c r="D1451" i="5"/>
  <c r="B1451" i="5"/>
  <c r="Q1450" i="5"/>
  <c r="P1450" i="5"/>
  <c r="O1450" i="5"/>
  <c r="N1450" i="5"/>
  <c r="K1450" i="5"/>
  <c r="H1450" i="5"/>
  <c r="G1450" i="5" s="1"/>
  <c r="E1450" i="5"/>
  <c r="D1450" i="5"/>
  <c r="B1450" i="5"/>
  <c r="Q1449" i="5"/>
  <c r="P1449" i="5"/>
  <c r="O1449" i="5"/>
  <c r="N1449" i="5"/>
  <c r="K1449" i="5"/>
  <c r="H1449" i="5"/>
  <c r="E1449" i="5"/>
  <c r="D1449" i="5"/>
  <c r="B1449" i="5"/>
  <c r="Q1448" i="5"/>
  <c r="P1448" i="5"/>
  <c r="O1448" i="5"/>
  <c r="N1448" i="5"/>
  <c r="K1448" i="5"/>
  <c r="H1448" i="5"/>
  <c r="J1448" i="5" s="1"/>
  <c r="I1448" i="5" s="1"/>
  <c r="E1448" i="5"/>
  <c r="D1448" i="5"/>
  <c r="B1448" i="5"/>
  <c r="Q1447" i="5"/>
  <c r="P1447" i="5"/>
  <c r="O1447" i="5"/>
  <c r="N1447" i="5"/>
  <c r="K1447" i="5"/>
  <c r="H1447" i="5"/>
  <c r="J1447" i="5" s="1"/>
  <c r="I1447" i="5" s="1"/>
  <c r="E1447" i="5"/>
  <c r="D1447" i="5"/>
  <c r="B1447" i="5"/>
  <c r="Q1446" i="5"/>
  <c r="P1446" i="5"/>
  <c r="O1446" i="5"/>
  <c r="N1446" i="5"/>
  <c r="K1446" i="5"/>
  <c r="H1446" i="5"/>
  <c r="G1446" i="5" s="1"/>
  <c r="E1446" i="5"/>
  <c r="D1446" i="5"/>
  <c r="B1446" i="5"/>
  <c r="Q1445" i="5"/>
  <c r="P1445" i="5"/>
  <c r="O1445" i="5"/>
  <c r="N1445" i="5"/>
  <c r="K1445" i="5"/>
  <c r="H1445" i="5"/>
  <c r="J1445" i="5" s="1"/>
  <c r="I1445" i="5" s="1"/>
  <c r="E1445" i="5"/>
  <c r="D1445" i="5"/>
  <c r="B1445" i="5"/>
  <c r="Q1444" i="5"/>
  <c r="P1444" i="5"/>
  <c r="O1444" i="5"/>
  <c r="N1444" i="5"/>
  <c r="K1444" i="5"/>
  <c r="H1444" i="5"/>
  <c r="G1444" i="5" s="1"/>
  <c r="E1444" i="5"/>
  <c r="D1444" i="5"/>
  <c r="B1444" i="5"/>
  <c r="Q1443" i="5"/>
  <c r="P1443" i="5"/>
  <c r="R1443" i="5" s="1"/>
  <c r="O1443" i="5"/>
  <c r="N1443" i="5"/>
  <c r="K1443" i="5"/>
  <c r="H1443" i="5"/>
  <c r="J1443" i="5" s="1"/>
  <c r="I1443" i="5" s="1"/>
  <c r="E1443" i="5"/>
  <c r="D1443" i="5"/>
  <c r="B1443" i="5"/>
  <c r="Q1442" i="5"/>
  <c r="P1442" i="5"/>
  <c r="O1442" i="5"/>
  <c r="N1442" i="5"/>
  <c r="K1442" i="5"/>
  <c r="H1442" i="5"/>
  <c r="G1442" i="5" s="1"/>
  <c r="E1442" i="5"/>
  <c r="D1442" i="5"/>
  <c r="B1442" i="5"/>
  <c r="Q1441" i="5"/>
  <c r="P1441" i="5"/>
  <c r="O1441" i="5"/>
  <c r="N1441" i="5"/>
  <c r="K1441" i="5"/>
  <c r="H1441" i="5"/>
  <c r="J1441" i="5" s="1"/>
  <c r="I1441" i="5" s="1"/>
  <c r="E1441" i="5"/>
  <c r="D1441" i="5"/>
  <c r="B1441" i="5"/>
  <c r="Q1440" i="5"/>
  <c r="P1440" i="5"/>
  <c r="O1440" i="5"/>
  <c r="N1440" i="5"/>
  <c r="K1440" i="5"/>
  <c r="H1440" i="5"/>
  <c r="G1440" i="5" s="1"/>
  <c r="E1440" i="5"/>
  <c r="D1440" i="5"/>
  <c r="B1440" i="5"/>
  <c r="Q1439" i="5"/>
  <c r="P1439" i="5"/>
  <c r="O1439" i="5"/>
  <c r="N1439" i="5"/>
  <c r="K1439" i="5"/>
  <c r="H1439" i="5"/>
  <c r="J1439" i="5" s="1"/>
  <c r="I1439" i="5" s="1"/>
  <c r="E1439" i="5"/>
  <c r="D1439" i="5"/>
  <c r="B1439" i="5"/>
  <c r="Q1438" i="5"/>
  <c r="P1438" i="5"/>
  <c r="O1438" i="5"/>
  <c r="N1438" i="5"/>
  <c r="K1438" i="5"/>
  <c r="H1438" i="5"/>
  <c r="J1438" i="5" s="1"/>
  <c r="I1438" i="5" s="1"/>
  <c r="E1438" i="5"/>
  <c r="D1438" i="5"/>
  <c r="B1438" i="5"/>
  <c r="Q1437" i="5"/>
  <c r="P1437" i="5"/>
  <c r="O1437" i="5"/>
  <c r="N1437" i="5"/>
  <c r="K1437" i="5"/>
  <c r="H1437" i="5"/>
  <c r="J1437" i="5" s="1"/>
  <c r="I1437" i="5" s="1"/>
  <c r="E1437" i="5"/>
  <c r="D1437" i="5"/>
  <c r="B1437" i="5"/>
  <c r="Q1436" i="5"/>
  <c r="P1436" i="5"/>
  <c r="O1436" i="5"/>
  <c r="N1436" i="5"/>
  <c r="K1436" i="5"/>
  <c r="H1436" i="5"/>
  <c r="J1436" i="5" s="1"/>
  <c r="I1436" i="5" s="1"/>
  <c r="E1436" i="5"/>
  <c r="D1436" i="5"/>
  <c r="B1436" i="5"/>
  <c r="Q1435" i="5"/>
  <c r="P1435" i="5"/>
  <c r="O1435" i="5"/>
  <c r="N1435" i="5"/>
  <c r="K1435" i="5"/>
  <c r="H1435" i="5"/>
  <c r="J1435" i="5" s="1"/>
  <c r="I1435" i="5" s="1"/>
  <c r="E1435" i="5"/>
  <c r="D1435" i="5"/>
  <c r="B1435" i="5"/>
  <c r="Q1434" i="5"/>
  <c r="P1434" i="5"/>
  <c r="O1434" i="5"/>
  <c r="N1434" i="5"/>
  <c r="K1434" i="5"/>
  <c r="H1434" i="5"/>
  <c r="J1434" i="5" s="1"/>
  <c r="I1434" i="5" s="1"/>
  <c r="E1434" i="5"/>
  <c r="D1434" i="5"/>
  <c r="B1434" i="5"/>
  <c r="Q1433" i="5"/>
  <c r="P1433" i="5"/>
  <c r="O1433" i="5"/>
  <c r="N1433" i="5"/>
  <c r="K1433" i="5"/>
  <c r="H1433" i="5"/>
  <c r="G1433" i="5" s="1"/>
  <c r="E1433" i="5"/>
  <c r="D1433" i="5"/>
  <c r="B1433" i="5"/>
  <c r="Q1432" i="5"/>
  <c r="P1432" i="5"/>
  <c r="O1432" i="5"/>
  <c r="N1432" i="5"/>
  <c r="K1432" i="5"/>
  <c r="H1432" i="5"/>
  <c r="J1432" i="5" s="1"/>
  <c r="I1432" i="5" s="1"/>
  <c r="E1432" i="5"/>
  <c r="D1432" i="5"/>
  <c r="B1432" i="5"/>
  <c r="Q1431" i="5"/>
  <c r="P1431" i="5"/>
  <c r="O1431" i="5"/>
  <c r="N1431" i="5"/>
  <c r="K1431" i="5"/>
  <c r="H1431" i="5"/>
  <c r="J1431" i="5" s="1"/>
  <c r="I1431" i="5" s="1"/>
  <c r="E1431" i="5"/>
  <c r="D1431" i="5"/>
  <c r="B1431" i="5"/>
  <c r="Q1430" i="5"/>
  <c r="P1430" i="5"/>
  <c r="O1430" i="5"/>
  <c r="N1430" i="5"/>
  <c r="K1430" i="5"/>
  <c r="H1430" i="5"/>
  <c r="E1430" i="5"/>
  <c r="D1430" i="5"/>
  <c r="B1430" i="5"/>
  <c r="Q1429" i="5"/>
  <c r="P1429" i="5"/>
  <c r="O1429" i="5"/>
  <c r="N1429" i="5"/>
  <c r="K1429" i="5"/>
  <c r="H1429" i="5"/>
  <c r="J1429" i="5" s="1"/>
  <c r="I1429" i="5" s="1"/>
  <c r="E1429" i="5"/>
  <c r="D1429" i="5"/>
  <c r="B1429" i="5"/>
  <c r="Q1428" i="5"/>
  <c r="P1428" i="5"/>
  <c r="O1428" i="5"/>
  <c r="N1428" i="5"/>
  <c r="K1428" i="5"/>
  <c r="H1428" i="5"/>
  <c r="E1428" i="5"/>
  <c r="D1428" i="5"/>
  <c r="B1428" i="5"/>
  <c r="Q1427" i="5"/>
  <c r="P1427" i="5"/>
  <c r="O1427" i="5"/>
  <c r="N1427" i="5"/>
  <c r="K1427" i="5"/>
  <c r="H1427" i="5"/>
  <c r="J1427" i="5" s="1"/>
  <c r="I1427" i="5" s="1"/>
  <c r="E1427" i="5"/>
  <c r="D1427" i="5"/>
  <c r="B1427" i="5"/>
  <c r="Q1426" i="5"/>
  <c r="P1426" i="5"/>
  <c r="O1426" i="5"/>
  <c r="N1426" i="5"/>
  <c r="K1426" i="5"/>
  <c r="H1426" i="5"/>
  <c r="G1426" i="5" s="1"/>
  <c r="E1426" i="5"/>
  <c r="D1426" i="5"/>
  <c r="B1426" i="5"/>
  <c r="Q1425" i="5"/>
  <c r="P1425" i="5"/>
  <c r="O1425" i="5"/>
  <c r="N1425" i="5"/>
  <c r="K1425" i="5"/>
  <c r="H1425" i="5"/>
  <c r="E1425" i="5"/>
  <c r="D1425" i="5"/>
  <c r="B1425" i="5"/>
  <c r="Q1424" i="5"/>
  <c r="P1424" i="5"/>
  <c r="O1424" i="5"/>
  <c r="N1424" i="5"/>
  <c r="K1424" i="5"/>
  <c r="H1424" i="5"/>
  <c r="E1424" i="5"/>
  <c r="D1424" i="5"/>
  <c r="B1424" i="5"/>
  <c r="Q1423" i="5"/>
  <c r="P1423" i="5"/>
  <c r="O1423" i="5"/>
  <c r="N1423" i="5"/>
  <c r="K1423" i="5"/>
  <c r="H1423" i="5"/>
  <c r="J1423" i="5" s="1"/>
  <c r="I1423" i="5" s="1"/>
  <c r="E1423" i="5"/>
  <c r="D1423" i="5"/>
  <c r="B1423" i="5"/>
  <c r="Q1422" i="5"/>
  <c r="P1422" i="5"/>
  <c r="O1422" i="5"/>
  <c r="N1422" i="5"/>
  <c r="K1422" i="5"/>
  <c r="H1422" i="5"/>
  <c r="E1422" i="5"/>
  <c r="D1422" i="5"/>
  <c r="B1422" i="5"/>
  <c r="Q1421" i="5"/>
  <c r="P1421" i="5"/>
  <c r="O1421" i="5"/>
  <c r="N1421" i="5"/>
  <c r="K1421" i="5"/>
  <c r="H1421" i="5"/>
  <c r="E1421" i="5"/>
  <c r="D1421" i="5"/>
  <c r="B1421" i="5"/>
  <c r="Q1420" i="5"/>
  <c r="P1420" i="5"/>
  <c r="O1420" i="5"/>
  <c r="N1420" i="5"/>
  <c r="K1420" i="5"/>
  <c r="H1420" i="5"/>
  <c r="J1420" i="5" s="1"/>
  <c r="I1420" i="5" s="1"/>
  <c r="E1420" i="5"/>
  <c r="D1420" i="5"/>
  <c r="B1420" i="5"/>
  <c r="Q1419" i="5"/>
  <c r="P1419" i="5"/>
  <c r="O1419" i="5"/>
  <c r="N1419" i="5"/>
  <c r="K1419" i="5"/>
  <c r="H1419" i="5"/>
  <c r="J1419" i="5" s="1"/>
  <c r="I1419" i="5" s="1"/>
  <c r="E1419" i="5"/>
  <c r="D1419" i="5"/>
  <c r="B1419" i="5"/>
  <c r="Q1418" i="5"/>
  <c r="P1418" i="5"/>
  <c r="O1418" i="5"/>
  <c r="N1418" i="5"/>
  <c r="K1418" i="5"/>
  <c r="H1418" i="5"/>
  <c r="J1418" i="5" s="1"/>
  <c r="I1418" i="5" s="1"/>
  <c r="E1418" i="5"/>
  <c r="D1418" i="5"/>
  <c r="B1418" i="5"/>
  <c r="Q1417" i="5"/>
  <c r="P1417" i="5"/>
  <c r="O1417" i="5"/>
  <c r="N1417" i="5"/>
  <c r="K1417" i="5"/>
  <c r="H1417" i="5"/>
  <c r="J1417" i="5" s="1"/>
  <c r="I1417" i="5" s="1"/>
  <c r="E1417" i="5"/>
  <c r="D1417" i="5"/>
  <c r="B1417" i="5"/>
  <c r="Q1416" i="5"/>
  <c r="P1416" i="5"/>
  <c r="O1416" i="5"/>
  <c r="N1416" i="5"/>
  <c r="K1416" i="5"/>
  <c r="H1416" i="5"/>
  <c r="E1416" i="5"/>
  <c r="D1416" i="5"/>
  <c r="B1416" i="5"/>
  <c r="Q1415" i="5"/>
  <c r="P1415" i="5"/>
  <c r="O1415" i="5"/>
  <c r="N1415" i="5"/>
  <c r="K1415" i="5"/>
  <c r="H1415" i="5"/>
  <c r="J1415" i="5" s="1"/>
  <c r="I1415" i="5" s="1"/>
  <c r="E1415" i="5"/>
  <c r="D1415" i="5"/>
  <c r="B1415" i="5"/>
  <c r="Q1414" i="5"/>
  <c r="P1414" i="5"/>
  <c r="O1414" i="5"/>
  <c r="N1414" i="5"/>
  <c r="K1414" i="5"/>
  <c r="H1414" i="5"/>
  <c r="G1414" i="5" s="1"/>
  <c r="E1414" i="5"/>
  <c r="D1414" i="5"/>
  <c r="B1414" i="5"/>
  <c r="Q1413" i="5"/>
  <c r="P1413" i="5"/>
  <c r="O1413" i="5"/>
  <c r="N1413" i="5"/>
  <c r="K1413" i="5"/>
  <c r="H1413" i="5"/>
  <c r="J1413" i="5" s="1"/>
  <c r="I1413" i="5" s="1"/>
  <c r="E1413" i="5"/>
  <c r="D1413" i="5"/>
  <c r="B1413" i="5"/>
  <c r="Q1412" i="5"/>
  <c r="P1412" i="5"/>
  <c r="O1412" i="5"/>
  <c r="N1412" i="5"/>
  <c r="K1412" i="5"/>
  <c r="H1412" i="5"/>
  <c r="J1412" i="5" s="1"/>
  <c r="I1412" i="5" s="1"/>
  <c r="E1412" i="5"/>
  <c r="D1412" i="5"/>
  <c r="B1412" i="5"/>
  <c r="Q1411" i="5"/>
  <c r="P1411" i="5"/>
  <c r="O1411" i="5"/>
  <c r="N1411" i="5"/>
  <c r="K1411" i="5"/>
  <c r="H1411" i="5"/>
  <c r="E1411" i="5"/>
  <c r="D1411" i="5"/>
  <c r="B1411" i="5"/>
  <c r="Q1410" i="5"/>
  <c r="P1410" i="5"/>
  <c r="O1410" i="5"/>
  <c r="N1410" i="5"/>
  <c r="K1410" i="5"/>
  <c r="H1410" i="5"/>
  <c r="G1410" i="5" s="1"/>
  <c r="E1410" i="5"/>
  <c r="D1410" i="5"/>
  <c r="B1410" i="5"/>
  <c r="Q1409" i="5"/>
  <c r="P1409" i="5"/>
  <c r="O1409" i="5"/>
  <c r="N1409" i="5"/>
  <c r="K1409" i="5"/>
  <c r="H1409" i="5"/>
  <c r="J1409" i="5" s="1"/>
  <c r="I1409" i="5" s="1"/>
  <c r="E1409" i="5"/>
  <c r="D1409" i="5"/>
  <c r="B1409" i="5"/>
  <c r="Q1408" i="5"/>
  <c r="P1408" i="5"/>
  <c r="O1408" i="5"/>
  <c r="N1408" i="5"/>
  <c r="K1408" i="5"/>
  <c r="H1408" i="5"/>
  <c r="G1408" i="5" s="1"/>
  <c r="E1408" i="5"/>
  <c r="D1408" i="5"/>
  <c r="B1408" i="5"/>
  <c r="Q1407" i="5"/>
  <c r="P1407" i="5"/>
  <c r="O1407" i="5"/>
  <c r="N1407" i="5"/>
  <c r="K1407" i="5"/>
  <c r="H1407" i="5"/>
  <c r="J1407" i="5" s="1"/>
  <c r="I1407" i="5" s="1"/>
  <c r="E1407" i="5"/>
  <c r="D1407" i="5"/>
  <c r="B1407" i="5"/>
  <c r="Q1406" i="5"/>
  <c r="P1406" i="5"/>
  <c r="O1406" i="5"/>
  <c r="N1406" i="5"/>
  <c r="K1406" i="5"/>
  <c r="H1406" i="5"/>
  <c r="J1406" i="5" s="1"/>
  <c r="I1406" i="5" s="1"/>
  <c r="E1406" i="5"/>
  <c r="D1406" i="5"/>
  <c r="B1406" i="5"/>
  <c r="Q1405" i="5"/>
  <c r="P1405" i="5"/>
  <c r="O1405" i="5"/>
  <c r="N1405" i="5"/>
  <c r="K1405" i="5"/>
  <c r="H1405" i="5"/>
  <c r="E1405" i="5"/>
  <c r="D1405" i="5"/>
  <c r="B1405" i="5"/>
  <c r="Q1404" i="5"/>
  <c r="P1404" i="5"/>
  <c r="O1404" i="5"/>
  <c r="N1404" i="5"/>
  <c r="K1404" i="5"/>
  <c r="H1404" i="5"/>
  <c r="J1404" i="5" s="1"/>
  <c r="I1404" i="5" s="1"/>
  <c r="E1404" i="5"/>
  <c r="D1404" i="5"/>
  <c r="B1404" i="5"/>
  <c r="Q1403" i="5"/>
  <c r="P1403" i="5"/>
  <c r="O1403" i="5"/>
  <c r="N1403" i="5"/>
  <c r="K1403" i="5"/>
  <c r="H1403" i="5"/>
  <c r="E1403" i="5"/>
  <c r="D1403" i="5"/>
  <c r="B1403" i="5"/>
  <c r="Q1402" i="5"/>
  <c r="P1402" i="5"/>
  <c r="O1402" i="5"/>
  <c r="N1402" i="5"/>
  <c r="K1402" i="5"/>
  <c r="H1402" i="5"/>
  <c r="J1402" i="5" s="1"/>
  <c r="I1402" i="5" s="1"/>
  <c r="E1402" i="5"/>
  <c r="D1402" i="5"/>
  <c r="B1402" i="5"/>
  <c r="Q1401" i="5"/>
  <c r="P1401" i="5"/>
  <c r="R1401" i="5" s="1"/>
  <c r="O1401" i="5"/>
  <c r="N1401" i="5"/>
  <c r="K1401" i="5"/>
  <c r="H1401" i="5"/>
  <c r="J1401" i="5" s="1"/>
  <c r="I1401" i="5" s="1"/>
  <c r="E1401" i="5"/>
  <c r="D1401" i="5"/>
  <c r="B1401" i="5"/>
  <c r="Q1400" i="5"/>
  <c r="P1400" i="5"/>
  <c r="O1400" i="5"/>
  <c r="N1400" i="5"/>
  <c r="K1400" i="5"/>
  <c r="H1400" i="5"/>
  <c r="E1400" i="5"/>
  <c r="D1400" i="5"/>
  <c r="B1400" i="5"/>
  <c r="Q1399" i="5"/>
  <c r="P1399" i="5"/>
  <c r="O1399" i="5"/>
  <c r="N1399" i="5"/>
  <c r="K1399" i="5"/>
  <c r="H1399" i="5"/>
  <c r="J1399" i="5" s="1"/>
  <c r="I1399" i="5" s="1"/>
  <c r="E1399" i="5"/>
  <c r="D1399" i="5"/>
  <c r="B1399" i="5"/>
  <c r="Q1398" i="5"/>
  <c r="P1398" i="5"/>
  <c r="O1398" i="5"/>
  <c r="N1398" i="5"/>
  <c r="K1398" i="5"/>
  <c r="H1398" i="5"/>
  <c r="E1398" i="5"/>
  <c r="D1398" i="5"/>
  <c r="B1398" i="5"/>
  <c r="Q1397" i="5"/>
  <c r="P1397" i="5"/>
  <c r="O1397" i="5"/>
  <c r="N1397" i="5"/>
  <c r="K1397" i="5"/>
  <c r="H1397" i="5"/>
  <c r="G1397" i="5" s="1"/>
  <c r="E1397" i="5"/>
  <c r="D1397" i="5"/>
  <c r="B1397" i="5"/>
  <c r="Q1396" i="5"/>
  <c r="P1396" i="5"/>
  <c r="O1396" i="5"/>
  <c r="N1396" i="5"/>
  <c r="K1396" i="5"/>
  <c r="H1396" i="5"/>
  <c r="J1396" i="5" s="1"/>
  <c r="I1396" i="5" s="1"/>
  <c r="E1396" i="5"/>
  <c r="D1396" i="5"/>
  <c r="B1396" i="5"/>
  <c r="Q1395" i="5"/>
  <c r="P1395" i="5"/>
  <c r="O1395" i="5"/>
  <c r="N1395" i="5"/>
  <c r="K1395" i="5"/>
  <c r="H1395" i="5"/>
  <c r="J1395" i="5" s="1"/>
  <c r="I1395" i="5" s="1"/>
  <c r="E1395" i="5"/>
  <c r="D1395" i="5"/>
  <c r="B1395" i="5"/>
  <c r="Q1394" i="5"/>
  <c r="P1394" i="5"/>
  <c r="O1394" i="5"/>
  <c r="N1394" i="5"/>
  <c r="K1394" i="5"/>
  <c r="H1394" i="5"/>
  <c r="E1394" i="5"/>
  <c r="D1394" i="5"/>
  <c r="B1394" i="5"/>
  <c r="Q1393" i="5"/>
  <c r="P1393" i="5"/>
  <c r="O1393" i="5"/>
  <c r="N1393" i="5"/>
  <c r="K1393" i="5"/>
  <c r="H1393" i="5"/>
  <c r="E1393" i="5"/>
  <c r="D1393" i="5"/>
  <c r="B1393" i="5"/>
  <c r="Q1392" i="5"/>
  <c r="P1392" i="5"/>
  <c r="O1392" i="5"/>
  <c r="N1392" i="5"/>
  <c r="K1392" i="5"/>
  <c r="H1392" i="5"/>
  <c r="G1392" i="5" s="1"/>
  <c r="E1392" i="5"/>
  <c r="D1392" i="5"/>
  <c r="B1392" i="5"/>
  <c r="Q1391" i="5"/>
  <c r="P1391" i="5"/>
  <c r="O1391" i="5"/>
  <c r="N1391" i="5"/>
  <c r="K1391" i="5"/>
  <c r="H1391" i="5"/>
  <c r="J1391" i="5" s="1"/>
  <c r="I1391" i="5" s="1"/>
  <c r="E1391" i="5"/>
  <c r="D1391" i="5"/>
  <c r="B1391" i="5"/>
  <c r="Q1390" i="5"/>
  <c r="P1390" i="5"/>
  <c r="O1390" i="5"/>
  <c r="N1390" i="5"/>
  <c r="K1390" i="5"/>
  <c r="H1390" i="5"/>
  <c r="G1390" i="5" s="1"/>
  <c r="E1390" i="5"/>
  <c r="D1390" i="5"/>
  <c r="B1390" i="5"/>
  <c r="Q1389" i="5"/>
  <c r="P1389" i="5"/>
  <c r="O1389" i="5"/>
  <c r="N1389" i="5"/>
  <c r="K1389" i="5"/>
  <c r="H1389" i="5"/>
  <c r="J1389" i="5" s="1"/>
  <c r="I1389" i="5" s="1"/>
  <c r="E1389" i="5"/>
  <c r="D1389" i="5"/>
  <c r="B1389" i="5"/>
  <c r="Q1388" i="5"/>
  <c r="P1388" i="5"/>
  <c r="O1388" i="5"/>
  <c r="N1388" i="5"/>
  <c r="K1388" i="5"/>
  <c r="H1388" i="5"/>
  <c r="J1388" i="5" s="1"/>
  <c r="I1388" i="5" s="1"/>
  <c r="E1388" i="5"/>
  <c r="D1388" i="5"/>
  <c r="B1388" i="5"/>
  <c r="Q1387" i="5"/>
  <c r="P1387" i="5"/>
  <c r="O1387" i="5"/>
  <c r="N1387" i="5"/>
  <c r="K1387" i="5"/>
  <c r="H1387" i="5"/>
  <c r="J1387" i="5" s="1"/>
  <c r="I1387" i="5" s="1"/>
  <c r="E1387" i="5"/>
  <c r="D1387" i="5"/>
  <c r="B1387" i="5"/>
  <c r="Q1386" i="5"/>
  <c r="P1386" i="5"/>
  <c r="O1386" i="5"/>
  <c r="N1386" i="5"/>
  <c r="K1386" i="5"/>
  <c r="H1386" i="5"/>
  <c r="E1386" i="5"/>
  <c r="D1386" i="5"/>
  <c r="B1386" i="5"/>
  <c r="Q1385" i="5"/>
  <c r="P1385" i="5"/>
  <c r="O1385" i="5"/>
  <c r="N1385" i="5"/>
  <c r="K1385" i="5"/>
  <c r="H1385" i="5"/>
  <c r="J1385" i="5" s="1"/>
  <c r="I1385" i="5" s="1"/>
  <c r="E1385" i="5"/>
  <c r="D1385" i="5"/>
  <c r="B1385" i="5"/>
  <c r="Q1384" i="5"/>
  <c r="P1384" i="5"/>
  <c r="O1384" i="5"/>
  <c r="N1384" i="5"/>
  <c r="K1384" i="5"/>
  <c r="H1384" i="5"/>
  <c r="J1384" i="5" s="1"/>
  <c r="I1384" i="5" s="1"/>
  <c r="E1384" i="5"/>
  <c r="D1384" i="5"/>
  <c r="B1384" i="5"/>
  <c r="Q1383" i="5"/>
  <c r="P1383" i="5"/>
  <c r="O1383" i="5"/>
  <c r="N1383" i="5"/>
  <c r="K1383" i="5"/>
  <c r="H1383" i="5"/>
  <c r="E1383" i="5"/>
  <c r="D1383" i="5"/>
  <c r="B1383" i="5"/>
  <c r="Q1382" i="5"/>
  <c r="P1382" i="5"/>
  <c r="O1382" i="5"/>
  <c r="N1382" i="5"/>
  <c r="K1382" i="5"/>
  <c r="H1382" i="5"/>
  <c r="E1382" i="5"/>
  <c r="D1382" i="5"/>
  <c r="B1382" i="5"/>
  <c r="Q1381" i="5"/>
  <c r="P1381" i="5"/>
  <c r="O1381" i="5"/>
  <c r="N1381" i="5"/>
  <c r="K1381" i="5"/>
  <c r="H1381" i="5"/>
  <c r="E1381" i="5"/>
  <c r="D1381" i="5"/>
  <c r="B1381" i="5"/>
  <c r="Q1380" i="5"/>
  <c r="P1380" i="5"/>
  <c r="O1380" i="5"/>
  <c r="N1380" i="5"/>
  <c r="K1380" i="5"/>
  <c r="H1380" i="5"/>
  <c r="J1380" i="5" s="1"/>
  <c r="I1380" i="5" s="1"/>
  <c r="E1380" i="5"/>
  <c r="D1380" i="5"/>
  <c r="B1380" i="5"/>
  <c r="Q1379" i="5"/>
  <c r="P1379" i="5"/>
  <c r="O1379" i="5"/>
  <c r="N1379" i="5"/>
  <c r="K1379" i="5"/>
  <c r="H1379" i="5"/>
  <c r="J1379" i="5" s="1"/>
  <c r="I1379" i="5" s="1"/>
  <c r="E1379" i="5"/>
  <c r="D1379" i="5"/>
  <c r="B1379" i="5"/>
  <c r="Q1378" i="5"/>
  <c r="P1378" i="5"/>
  <c r="O1378" i="5"/>
  <c r="N1378" i="5"/>
  <c r="K1378" i="5"/>
  <c r="H1378" i="5"/>
  <c r="G1378" i="5" s="1"/>
  <c r="E1378" i="5"/>
  <c r="D1378" i="5"/>
  <c r="B1378" i="5"/>
  <c r="Q1377" i="5"/>
  <c r="P1377" i="5"/>
  <c r="O1377" i="5"/>
  <c r="N1377" i="5"/>
  <c r="K1377" i="5"/>
  <c r="H1377" i="5"/>
  <c r="J1377" i="5" s="1"/>
  <c r="I1377" i="5" s="1"/>
  <c r="E1377" i="5"/>
  <c r="D1377" i="5"/>
  <c r="B1377" i="5"/>
  <c r="Q1376" i="5"/>
  <c r="P1376" i="5"/>
  <c r="O1376" i="5"/>
  <c r="N1376" i="5"/>
  <c r="K1376" i="5"/>
  <c r="H1376" i="5"/>
  <c r="G1376" i="5" s="1"/>
  <c r="E1376" i="5"/>
  <c r="D1376" i="5"/>
  <c r="B1376" i="5"/>
  <c r="Q1375" i="5"/>
  <c r="P1375" i="5"/>
  <c r="O1375" i="5"/>
  <c r="N1375" i="5"/>
  <c r="K1375" i="5"/>
  <c r="H1375" i="5"/>
  <c r="G1375" i="5" s="1"/>
  <c r="E1375" i="5"/>
  <c r="D1375" i="5"/>
  <c r="B1375" i="5"/>
  <c r="Q1374" i="5"/>
  <c r="P1374" i="5"/>
  <c r="O1374" i="5"/>
  <c r="N1374" i="5"/>
  <c r="K1374" i="5"/>
  <c r="H1374" i="5"/>
  <c r="J1374" i="5" s="1"/>
  <c r="I1374" i="5" s="1"/>
  <c r="E1374" i="5"/>
  <c r="D1374" i="5"/>
  <c r="B1374" i="5"/>
  <c r="Q1373" i="5"/>
  <c r="P1373" i="5"/>
  <c r="O1373" i="5"/>
  <c r="N1373" i="5"/>
  <c r="K1373" i="5"/>
  <c r="H1373" i="5"/>
  <c r="J1373" i="5" s="1"/>
  <c r="I1373" i="5" s="1"/>
  <c r="E1373" i="5"/>
  <c r="D1373" i="5"/>
  <c r="B1373" i="5"/>
  <c r="Q1372" i="5"/>
  <c r="P1372" i="5"/>
  <c r="O1372" i="5"/>
  <c r="N1372" i="5"/>
  <c r="K1372" i="5"/>
  <c r="H1372" i="5"/>
  <c r="J1372" i="5" s="1"/>
  <c r="I1372" i="5" s="1"/>
  <c r="E1372" i="5"/>
  <c r="D1372" i="5"/>
  <c r="B1372" i="5"/>
  <c r="Q1371" i="5"/>
  <c r="P1371" i="5"/>
  <c r="O1371" i="5"/>
  <c r="N1371" i="5"/>
  <c r="K1371" i="5"/>
  <c r="H1371" i="5"/>
  <c r="J1371" i="5" s="1"/>
  <c r="I1371" i="5" s="1"/>
  <c r="E1371" i="5"/>
  <c r="D1371" i="5"/>
  <c r="B1371" i="5"/>
  <c r="Q1370" i="5"/>
  <c r="P1370" i="5"/>
  <c r="O1370" i="5"/>
  <c r="N1370" i="5"/>
  <c r="K1370" i="5"/>
  <c r="H1370" i="5"/>
  <c r="E1370" i="5"/>
  <c r="D1370" i="5"/>
  <c r="B1370" i="5"/>
  <c r="Q1369" i="5"/>
  <c r="P1369" i="5"/>
  <c r="O1369" i="5"/>
  <c r="N1369" i="5"/>
  <c r="K1369" i="5"/>
  <c r="H1369" i="5"/>
  <c r="G1369" i="5" s="1"/>
  <c r="E1369" i="5"/>
  <c r="D1369" i="5"/>
  <c r="B1369" i="5"/>
  <c r="Q1368" i="5"/>
  <c r="P1368" i="5"/>
  <c r="O1368" i="5"/>
  <c r="N1368" i="5"/>
  <c r="K1368" i="5"/>
  <c r="H1368" i="5"/>
  <c r="E1368" i="5"/>
  <c r="D1368" i="5"/>
  <c r="B1368" i="5"/>
  <c r="Q1367" i="5"/>
  <c r="P1367" i="5"/>
  <c r="O1367" i="5"/>
  <c r="N1367" i="5"/>
  <c r="K1367" i="5"/>
  <c r="H1367" i="5"/>
  <c r="J1367" i="5" s="1"/>
  <c r="I1367" i="5" s="1"/>
  <c r="E1367" i="5"/>
  <c r="D1367" i="5"/>
  <c r="B1367" i="5"/>
  <c r="Q1366" i="5"/>
  <c r="P1366" i="5"/>
  <c r="O1366" i="5"/>
  <c r="N1366" i="5"/>
  <c r="K1366" i="5"/>
  <c r="H1366" i="5"/>
  <c r="G1366" i="5" s="1"/>
  <c r="E1366" i="5"/>
  <c r="D1366" i="5"/>
  <c r="B1366" i="5"/>
  <c r="Q1365" i="5"/>
  <c r="P1365" i="5"/>
  <c r="O1365" i="5"/>
  <c r="N1365" i="5"/>
  <c r="K1365" i="5"/>
  <c r="H1365" i="5"/>
  <c r="E1365" i="5"/>
  <c r="D1365" i="5"/>
  <c r="B1365" i="5"/>
  <c r="Q1364" i="5"/>
  <c r="P1364" i="5"/>
  <c r="O1364" i="5"/>
  <c r="N1364" i="5"/>
  <c r="K1364" i="5"/>
  <c r="H1364" i="5"/>
  <c r="J1364" i="5" s="1"/>
  <c r="I1364" i="5" s="1"/>
  <c r="E1364" i="5"/>
  <c r="D1364" i="5"/>
  <c r="B1364" i="5"/>
  <c r="Q1363" i="5"/>
  <c r="P1363" i="5"/>
  <c r="O1363" i="5"/>
  <c r="N1363" i="5"/>
  <c r="K1363" i="5"/>
  <c r="H1363" i="5"/>
  <c r="J1363" i="5" s="1"/>
  <c r="I1363" i="5" s="1"/>
  <c r="E1363" i="5"/>
  <c r="D1363" i="5"/>
  <c r="B1363" i="5"/>
  <c r="Q1362" i="5"/>
  <c r="P1362" i="5"/>
  <c r="O1362" i="5"/>
  <c r="N1362" i="5"/>
  <c r="K1362" i="5"/>
  <c r="H1362" i="5"/>
  <c r="E1362" i="5"/>
  <c r="D1362" i="5"/>
  <c r="B1362" i="5"/>
  <c r="Q1361" i="5"/>
  <c r="P1361" i="5"/>
  <c r="O1361" i="5"/>
  <c r="N1361" i="5"/>
  <c r="K1361" i="5"/>
  <c r="H1361" i="5"/>
  <c r="J1361" i="5" s="1"/>
  <c r="I1361" i="5" s="1"/>
  <c r="E1361" i="5"/>
  <c r="D1361" i="5"/>
  <c r="B1361" i="5"/>
  <c r="Q1360" i="5"/>
  <c r="P1360" i="5"/>
  <c r="O1360" i="5"/>
  <c r="N1360" i="5"/>
  <c r="K1360" i="5"/>
  <c r="H1360" i="5"/>
  <c r="G1360" i="5" s="1"/>
  <c r="E1360" i="5"/>
  <c r="D1360" i="5"/>
  <c r="B1360" i="5"/>
  <c r="Q1359" i="5"/>
  <c r="P1359" i="5"/>
  <c r="O1359" i="5"/>
  <c r="N1359" i="5"/>
  <c r="K1359" i="5"/>
  <c r="H1359" i="5"/>
  <c r="E1359" i="5"/>
  <c r="D1359" i="5"/>
  <c r="B1359" i="5"/>
  <c r="Q1358" i="5"/>
  <c r="P1358" i="5"/>
  <c r="O1358" i="5"/>
  <c r="N1358" i="5"/>
  <c r="K1358" i="5"/>
  <c r="H1358" i="5"/>
  <c r="J1358" i="5" s="1"/>
  <c r="I1358" i="5" s="1"/>
  <c r="E1358" i="5"/>
  <c r="D1358" i="5"/>
  <c r="B1358" i="5"/>
  <c r="Q1357" i="5"/>
  <c r="P1357" i="5"/>
  <c r="O1357" i="5"/>
  <c r="N1357" i="5"/>
  <c r="K1357" i="5"/>
  <c r="H1357" i="5"/>
  <c r="E1357" i="5"/>
  <c r="D1357" i="5"/>
  <c r="B1357" i="5"/>
  <c r="Q1356" i="5"/>
  <c r="P1356" i="5"/>
  <c r="O1356" i="5"/>
  <c r="N1356" i="5"/>
  <c r="K1356" i="5"/>
  <c r="H1356" i="5"/>
  <c r="J1356" i="5" s="1"/>
  <c r="I1356" i="5" s="1"/>
  <c r="E1356" i="5"/>
  <c r="D1356" i="5"/>
  <c r="B1356" i="5"/>
  <c r="Q1355" i="5"/>
  <c r="P1355" i="5"/>
  <c r="O1355" i="5"/>
  <c r="N1355" i="5"/>
  <c r="K1355" i="5"/>
  <c r="H1355" i="5"/>
  <c r="G1355" i="5" s="1"/>
  <c r="E1355" i="5"/>
  <c r="D1355" i="5"/>
  <c r="B1355" i="5"/>
  <c r="Q1354" i="5"/>
  <c r="P1354" i="5"/>
  <c r="O1354" i="5"/>
  <c r="N1354" i="5"/>
  <c r="K1354" i="5"/>
  <c r="H1354" i="5"/>
  <c r="E1354" i="5"/>
  <c r="D1354" i="5"/>
  <c r="B1354" i="5"/>
  <c r="Q1353" i="5"/>
  <c r="P1353" i="5"/>
  <c r="R1353" i="5" s="1"/>
  <c r="O1353" i="5"/>
  <c r="N1353" i="5"/>
  <c r="K1353" i="5"/>
  <c r="H1353" i="5"/>
  <c r="G1353" i="5" s="1"/>
  <c r="E1353" i="5"/>
  <c r="D1353" i="5"/>
  <c r="B1353" i="5"/>
  <c r="Q1352" i="5"/>
  <c r="P1352" i="5"/>
  <c r="O1352" i="5"/>
  <c r="N1352" i="5"/>
  <c r="K1352" i="5"/>
  <c r="H1352" i="5"/>
  <c r="J1352" i="5" s="1"/>
  <c r="I1352" i="5" s="1"/>
  <c r="E1352" i="5"/>
  <c r="D1352" i="5"/>
  <c r="B1352" i="5"/>
  <c r="Q1351" i="5"/>
  <c r="P1351" i="5"/>
  <c r="O1351" i="5"/>
  <c r="N1351" i="5"/>
  <c r="K1351" i="5"/>
  <c r="H1351" i="5"/>
  <c r="J1351" i="5" s="1"/>
  <c r="I1351" i="5" s="1"/>
  <c r="E1351" i="5"/>
  <c r="D1351" i="5"/>
  <c r="B1351" i="5"/>
  <c r="Q1350" i="5"/>
  <c r="P1350" i="5"/>
  <c r="O1350" i="5"/>
  <c r="N1350" i="5"/>
  <c r="K1350" i="5"/>
  <c r="H1350" i="5"/>
  <c r="G1350" i="5" s="1"/>
  <c r="E1350" i="5"/>
  <c r="D1350" i="5"/>
  <c r="B1350" i="5"/>
  <c r="Q1349" i="5"/>
  <c r="P1349" i="5"/>
  <c r="O1349" i="5"/>
  <c r="N1349" i="5"/>
  <c r="K1349" i="5"/>
  <c r="H1349" i="5"/>
  <c r="E1349" i="5"/>
  <c r="D1349" i="5"/>
  <c r="B1349" i="5"/>
  <c r="Q1348" i="5"/>
  <c r="P1348" i="5"/>
  <c r="O1348" i="5"/>
  <c r="N1348" i="5"/>
  <c r="K1348" i="5"/>
  <c r="H1348" i="5"/>
  <c r="E1348" i="5"/>
  <c r="D1348" i="5"/>
  <c r="B1348" i="5"/>
  <c r="Q1347" i="5"/>
  <c r="P1347" i="5"/>
  <c r="O1347" i="5"/>
  <c r="N1347" i="5"/>
  <c r="K1347" i="5"/>
  <c r="H1347" i="5"/>
  <c r="J1347" i="5" s="1"/>
  <c r="I1347" i="5" s="1"/>
  <c r="E1347" i="5"/>
  <c r="D1347" i="5"/>
  <c r="B1347" i="5"/>
  <c r="Q1346" i="5"/>
  <c r="P1346" i="5"/>
  <c r="O1346" i="5"/>
  <c r="N1346" i="5"/>
  <c r="K1346" i="5"/>
  <c r="H1346" i="5"/>
  <c r="E1346" i="5"/>
  <c r="D1346" i="5"/>
  <c r="B1346" i="5"/>
  <c r="Q1345" i="5"/>
  <c r="P1345" i="5"/>
  <c r="O1345" i="5"/>
  <c r="N1345" i="5"/>
  <c r="K1345" i="5"/>
  <c r="H1345" i="5"/>
  <c r="E1345" i="5"/>
  <c r="D1345" i="5"/>
  <c r="B1345" i="5"/>
  <c r="Q1344" i="5"/>
  <c r="P1344" i="5"/>
  <c r="O1344" i="5"/>
  <c r="N1344" i="5"/>
  <c r="K1344" i="5"/>
  <c r="H1344" i="5"/>
  <c r="G1344" i="5" s="1"/>
  <c r="E1344" i="5"/>
  <c r="D1344" i="5"/>
  <c r="B1344" i="5"/>
  <c r="Q1343" i="5"/>
  <c r="P1343" i="5"/>
  <c r="O1343" i="5"/>
  <c r="N1343" i="5"/>
  <c r="K1343" i="5"/>
  <c r="H1343" i="5"/>
  <c r="J1343" i="5" s="1"/>
  <c r="I1343" i="5" s="1"/>
  <c r="E1343" i="5"/>
  <c r="D1343" i="5"/>
  <c r="B1343" i="5"/>
  <c r="Q1342" i="5"/>
  <c r="P1342" i="5"/>
  <c r="O1342" i="5"/>
  <c r="N1342" i="5"/>
  <c r="K1342" i="5"/>
  <c r="H1342" i="5"/>
  <c r="J1342" i="5" s="1"/>
  <c r="I1342" i="5" s="1"/>
  <c r="E1342" i="5"/>
  <c r="D1342" i="5"/>
  <c r="B1342" i="5"/>
  <c r="Q1341" i="5"/>
  <c r="P1341" i="5"/>
  <c r="O1341" i="5"/>
  <c r="N1341" i="5"/>
  <c r="K1341" i="5"/>
  <c r="H1341" i="5"/>
  <c r="J1341" i="5" s="1"/>
  <c r="I1341" i="5" s="1"/>
  <c r="E1341" i="5"/>
  <c r="D1341" i="5"/>
  <c r="B1341" i="5"/>
  <c r="Q1340" i="5"/>
  <c r="P1340" i="5"/>
  <c r="O1340" i="5"/>
  <c r="N1340" i="5"/>
  <c r="K1340" i="5"/>
  <c r="H1340" i="5"/>
  <c r="J1340" i="5" s="1"/>
  <c r="I1340" i="5" s="1"/>
  <c r="E1340" i="5"/>
  <c r="D1340" i="5"/>
  <c r="B1340" i="5"/>
  <c r="Q1339" i="5"/>
  <c r="P1339" i="5"/>
  <c r="O1339" i="5"/>
  <c r="N1339" i="5"/>
  <c r="K1339" i="5"/>
  <c r="H1339" i="5"/>
  <c r="J1339" i="5" s="1"/>
  <c r="I1339" i="5" s="1"/>
  <c r="E1339" i="5"/>
  <c r="D1339" i="5"/>
  <c r="B1339" i="5"/>
  <c r="Q1338" i="5"/>
  <c r="P1338" i="5"/>
  <c r="O1338" i="5"/>
  <c r="N1338" i="5"/>
  <c r="K1338" i="5"/>
  <c r="H1338" i="5"/>
  <c r="J1338" i="5" s="1"/>
  <c r="I1338" i="5" s="1"/>
  <c r="E1338" i="5"/>
  <c r="D1338" i="5"/>
  <c r="B1338" i="5"/>
  <c r="Q1337" i="5"/>
  <c r="P1337" i="5"/>
  <c r="O1337" i="5"/>
  <c r="N1337" i="5"/>
  <c r="K1337" i="5"/>
  <c r="H1337" i="5"/>
  <c r="E1337" i="5"/>
  <c r="D1337" i="5"/>
  <c r="B1337" i="5"/>
  <c r="Q1336" i="5"/>
  <c r="P1336" i="5"/>
  <c r="O1336" i="5"/>
  <c r="N1336" i="5"/>
  <c r="K1336" i="5"/>
  <c r="H1336" i="5"/>
  <c r="J1336" i="5" s="1"/>
  <c r="I1336" i="5" s="1"/>
  <c r="E1336" i="5"/>
  <c r="D1336" i="5"/>
  <c r="B1336" i="5"/>
  <c r="Q1335" i="5"/>
  <c r="P1335" i="5"/>
  <c r="O1335" i="5"/>
  <c r="N1335" i="5"/>
  <c r="K1335" i="5"/>
  <c r="H1335" i="5"/>
  <c r="J1335" i="5" s="1"/>
  <c r="I1335" i="5" s="1"/>
  <c r="E1335" i="5"/>
  <c r="D1335" i="5"/>
  <c r="B1335" i="5"/>
  <c r="Q1334" i="5"/>
  <c r="P1334" i="5"/>
  <c r="O1334" i="5"/>
  <c r="N1334" i="5"/>
  <c r="K1334" i="5"/>
  <c r="H1334" i="5"/>
  <c r="G1334" i="5" s="1"/>
  <c r="E1334" i="5"/>
  <c r="D1334" i="5"/>
  <c r="B1334" i="5"/>
  <c r="Q1333" i="5"/>
  <c r="P1333" i="5"/>
  <c r="O1333" i="5"/>
  <c r="N1333" i="5"/>
  <c r="K1333" i="5"/>
  <c r="H1333" i="5"/>
  <c r="J1333" i="5" s="1"/>
  <c r="I1333" i="5" s="1"/>
  <c r="E1333" i="5"/>
  <c r="D1333" i="5"/>
  <c r="B1333" i="5"/>
  <c r="Q1332" i="5"/>
  <c r="P1332" i="5"/>
  <c r="O1332" i="5"/>
  <c r="N1332" i="5"/>
  <c r="K1332" i="5"/>
  <c r="H1332" i="5"/>
  <c r="J1332" i="5" s="1"/>
  <c r="I1332" i="5" s="1"/>
  <c r="E1332" i="5"/>
  <c r="D1332" i="5"/>
  <c r="B1332" i="5"/>
  <c r="Q1331" i="5"/>
  <c r="P1331" i="5"/>
  <c r="O1331" i="5"/>
  <c r="N1331" i="5"/>
  <c r="K1331" i="5"/>
  <c r="H1331" i="5"/>
  <c r="J1331" i="5" s="1"/>
  <c r="I1331" i="5" s="1"/>
  <c r="E1331" i="5"/>
  <c r="D1331" i="5"/>
  <c r="B1331" i="5"/>
  <c r="Q1330" i="5"/>
  <c r="P1330" i="5"/>
  <c r="O1330" i="5"/>
  <c r="N1330" i="5"/>
  <c r="K1330" i="5"/>
  <c r="H1330" i="5"/>
  <c r="E1330" i="5"/>
  <c r="D1330" i="5"/>
  <c r="B1330" i="5"/>
  <c r="Q1329" i="5"/>
  <c r="P1329" i="5"/>
  <c r="O1329" i="5"/>
  <c r="N1329" i="5"/>
  <c r="K1329" i="5"/>
  <c r="H1329" i="5"/>
  <c r="J1329" i="5" s="1"/>
  <c r="I1329" i="5" s="1"/>
  <c r="E1329" i="5"/>
  <c r="D1329" i="5"/>
  <c r="B1329" i="5"/>
  <c r="Q1328" i="5"/>
  <c r="P1328" i="5"/>
  <c r="O1328" i="5"/>
  <c r="N1328" i="5"/>
  <c r="K1328" i="5"/>
  <c r="H1328" i="5"/>
  <c r="G1328" i="5" s="1"/>
  <c r="E1328" i="5"/>
  <c r="D1328" i="5"/>
  <c r="B1328" i="5"/>
  <c r="Q1327" i="5"/>
  <c r="P1327" i="5"/>
  <c r="O1327" i="5"/>
  <c r="N1327" i="5"/>
  <c r="K1327" i="5"/>
  <c r="H1327" i="5"/>
  <c r="G1327" i="5" s="1"/>
  <c r="E1327" i="5"/>
  <c r="D1327" i="5"/>
  <c r="B1327" i="5"/>
  <c r="Q1326" i="5"/>
  <c r="P1326" i="5"/>
  <c r="O1326" i="5"/>
  <c r="N1326" i="5"/>
  <c r="K1326" i="5"/>
  <c r="H1326" i="5"/>
  <c r="J1326" i="5" s="1"/>
  <c r="I1326" i="5" s="1"/>
  <c r="E1326" i="5"/>
  <c r="D1326" i="5"/>
  <c r="B1326" i="5"/>
  <c r="Q1325" i="5"/>
  <c r="P1325" i="5"/>
  <c r="O1325" i="5"/>
  <c r="N1325" i="5"/>
  <c r="K1325" i="5"/>
  <c r="H1325" i="5"/>
  <c r="J1325" i="5" s="1"/>
  <c r="I1325" i="5" s="1"/>
  <c r="E1325" i="5"/>
  <c r="D1325" i="5"/>
  <c r="B1325" i="5"/>
  <c r="Q1324" i="5"/>
  <c r="P1324" i="5"/>
  <c r="O1324" i="5"/>
  <c r="N1324" i="5"/>
  <c r="K1324" i="5"/>
  <c r="H1324" i="5"/>
  <c r="J1324" i="5" s="1"/>
  <c r="I1324" i="5" s="1"/>
  <c r="E1324" i="5"/>
  <c r="D1324" i="5"/>
  <c r="B1324" i="5"/>
  <c r="Q1323" i="5"/>
  <c r="P1323" i="5"/>
  <c r="R1323" i="5" s="1"/>
  <c r="O1323" i="5"/>
  <c r="N1323" i="5"/>
  <c r="K1323" i="5"/>
  <c r="H1323" i="5"/>
  <c r="E1323" i="5"/>
  <c r="D1323" i="5"/>
  <c r="B1323" i="5"/>
  <c r="Q1322" i="5"/>
  <c r="P1322" i="5"/>
  <c r="O1322" i="5"/>
  <c r="N1322" i="5"/>
  <c r="K1322" i="5"/>
  <c r="H1322" i="5"/>
  <c r="J1322" i="5" s="1"/>
  <c r="I1322" i="5" s="1"/>
  <c r="G1322" i="5"/>
  <c r="E1322" i="5"/>
  <c r="D1322" i="5"/>
  <c r="B1322" i="5"/>
  <c r="Q1321" i="5"/>
  <c r="P1321" i="5"/>
  <c r="O1321" i="5"/>
  <c r="N1321" i="5"/>
  <c r="K1321" i="5"/>
  <c r="H1321" i="5"/>
  <c r="G1321" i="5" s="1"/>
  <c r="E1321" i="5"/>
  <c r="D1321" i="5"/>
  <c r="B1321" i="5"/>
  <c r="Q1320" i="5"/>
  <c r="P1320" i="5"/>
  <c r="O1320" i="5"/>
  <c r="N1320" i="5"/>
  <c r="K1320" i="5"/>
  <c r="H1320" i="5"/>
  <c r="J1320" i="5" s="1"/>
  <c r="I1320" i="5" s="1"/>
  <c r="E1320" i="5"/>
  <c r="D1320" i="5"/>
  <c r="B1320" i="5"/>
  <c r="Q1319" i="5"/>
  <c r="P1319" i="5"/>
  <c r="O1319" i="5"/>
  <c r="N1319" i="5"/>
  <c r="K1319" i="5"/>
  <c r="H1319" i="5"/>
  <c r="G1319" i="5" s="1"/>
  <c r="E1319" i="5"/>
  <c r="D1319" i="5"/>
  <c r="B1319" i="5"/>
  <c r="Q1318" i="5"/>
  <c r="P1318" i="5"/>
  <c r="O1318" i="5"/>
  <c r="N1318" i="5"/>
  <c r="K1318" i="5"/>
  <c r="H1318" i="5"/>
  <c r="G1318" i="5" s="1"/>
  <c r="E1318" i="5"/>
  <c r="D1318" i="5"/>
  <c r="B1318" i="5"/>
  <c r="Q1317" i="5"/>
  <c r="P1317" i="5"/>
  <c r="O1317" i="5"/>
  <c r="N1317" i="5"/>
  <c r="K1317" i="5"/>
  <c r="H1317" i="5"/>
  <c r="G1317" i="5" s="1"/>
  <c r="E1317" i="5"/>
  <c r="D1317" i="5"/>
  <c r="B1317" i="5"/>
  <c r="Q1316" i="5"/>
  <c r="P1316" i="5"/>
  <c r="O1316" i="5"/>
  <c r="N1316" i="5"/>
  <c r="K1316" i="5"/>
  <c r="H1316" i="5"/>
  <c r="J1316" i="5" s="1"/>
  <c r="I1316" i="5" s="1"/>
  <c r="E1316" i="5"/>
  <c r="D1316" i="5"/>
  <c r="B1316" i="5"/>
  <c r="Q1315" i="5"/>
  <c r="P1315" i="5"/>
  <c r="O1315" i="5"/>
  <c r="N1315" i="5"/>
  <c r="K1315" i="5"/>
  <c r="H1315" i="5"/>
  <c r="J1315" i="5" s="1"/>
  <c r="I1315" i="5" s="1"/>
  <c r="E1315" i="5"/>
  <c r="D1315" i="5"/>
  <c r="B1315" i="5"/>
  <c r="Q1314" i="5"/>
  <c r="P1314" i="5"/>
  <c r="O1314" i="5"/>
  <c r="N1314" i="5"/>
  <c r="K1314" i="5"/>
  <c r="H1314" i="5"/>
  <c r="G1314" i="5" s="1"/>
  <c r="E1314" i="5"/>
  <c r="D1314" i="5"/>
  <c r="B1314" i="5"/>
  <c r="Q1313" i="5"/>
  <c r="P1313" i="5"/>
  <c r="O1313" i="5"/>
  <c r="N1313" i="5"/>
  <c r="K1313" i="5"/>
  <c r="H1313" i="5"/>
  <c r="J1313" i="5" s="1"/>
  <c r="I1313" i="5" s="1"/>
  <c r="E1313" i="5"/>
  <c r="D1313" i="5"/>
  <c r="B1313" i="5"/>
  <c r="Q1312" i="5"/>
  <c r="P1312" i="5"/>
  <c r="O1312" i="5"/>
  <c r="N1312" i="5"/>
  <c r="K1312" i="5"/>
  <c r="H1312" i="5"/>
  <c r="E1312" i="5"/>
  <c r="D1312" i="5"/>
  <c r="B1312" i="5"/>
  <c r="Q1311" i="5"/>
  <c r="P1311" i="5"/>
  <c r="O1311" i="5"/>
  <c r="N1311" i="5"/>
  <c r="K1311" i="5"/>
  <c r="H1311" i="5"/>
  <c r="E1311" i="5"/>
  <c r="D1311" i="5"/>
  <c r="B1311" i="5"/>
  <c r="Q1310" i="5"/>
  <c r="P1310" i="5"/>
  <c r="O1310" i="5"/>
  <c r="N1310" i="5"/>
  <c r="K1310" i="5"/>
  <c r="H1310" i="5"/>
  <c r="J1310" i="5" s="1"/>
  <c r="I1310" i="5" s="1"/>
  <c r="E1310" i="5"/>
  <c r="D1310" i="5"/>
  <c r="B1310" i="5"/>
  <c r="Q1309" i="5"/>
  <c r="P1309" i="5"/>
  <c r="O1309" i="5"/>
  <c r="N1309" i="5"/>
  <c r="K1309" i="5"/>
  <c r="H1309" i="5"/>
  <c r="E1309" i="5"/>
  <c r="D1309" i="5"/>
  <c r="B1309" i="5"/>
  <c r="Q1308" i="5"/>
  <c r="P1308" i="5"/>
  <c r="O1308" i="5"/>
  <c r="N1308" i="5"/>
  <c r="K1308" i="5"/>
  <c r="H1308" i="5"/>
  <c r="E1308" i="5"/>
  <c r="D1308" i="5"/>
  <c r="B1308" i="5"/>
  <c r="Q1307" i="5"/>
  <c r="P1307" i="5"/>
  <c r="O1307" i="5"/>
  <c r="N1307" i="5"/>
  <c r="K1307" i="5"/>
  <c r="H1307" i="5"/>
  <c r="J1307" i="5" s="1"/>
  <c r="I1307" i="5" s="1"/>
  <c r="E1307" i="5"/>
  <c r="D1307" i="5"/>
  <c r="B1307" i="5"/>
  <c r="Q1306" i="5"/>
  <c r="P1306" i="5"/>
  <c r="O1306" i="5"/>
  <c r="N1306" i="5"/>
  <c r="K1306" i="5"/>
  <c r="H1306" i="5"/>
  <c r="J1306" i="5" s="1"/>
  <c r="I1306" i="5" s="1"/>
  <c r="E1306" i="5"/>
  <c r="D1306" i="5"/>
  <c r="B1306" i="5"/>
  <c r="Q1305" i="5"/>
  <c r="P1305" i="5"/>
  <c r="O1305" i="5"/>
  <c r="N1305" i="5"/>
  <c r="K1305" i="5"/>
  <c r="H1305" i="5"/>
  <c r="J1305" i="5" s="1"/>
  <c r="I1305" i="5" s="1"/>
  <c r="E1305" i="5"/>
  <c r="D1305" i="5"/>
  <c r="B1305" i="5"/>
  <c r="Q1304" i="5"/>
  <c r="P1304" i="5"/>
  <c r="O1304" i="5"/>
  <c r="N1304" i="5"/>
  <c r="K1304" i="5"/>
  <c r="H1304" i="5"/>
  <c r="J1304" i="5" s="1"/>
  <c r="I1304" i="5" s="1"/>
  <c r="E1304" i="5"/>
  <c r="D1304" i="5"/>
  <c r="B1304" i="5"/>
  <c r="Q1303" i="5"/>
  <c r="P1303" i="5"/>
  <c r="O1303" i="5"/>
  <c r="N1303" i="5"/>
  <c r="K1303" i="5"/>
  <c r="H1303" i="5"/>
  <c r="J1303" i="5" s="1"/>
  <c r="I1303" i="5" s="1"/>
  <c r="E1303" i="5"/>
  <c r="D1303" i="5"/>
  <c r="B1303" i="5"/>
  <c r="Q1302" i="5"/>
  <c r="P1302" i="5"/>
  <c r="O1302" i="5"/>
  <c r="N1302" i="5"/>
  <c r="K1302" i="5"/>
  <c r="H1302" i="5"/>
  <c r="G1302" i="5" s="1"/>
  <c r="E1302" i="5"/>
  <c r="D1302" i="5"/>
  <c r="B1302" i="5"/>
  <c r="Q1301" i="5"/>
  <c r="P1301" i="5"/>
  <c r="O1301" i="5"/>
  <c r="N1301" i="5"/>
  <c r="K1301" i="5"/>
  <c r="H1301" i="5"/>
  <c r="J1301" i="5" s="1"/>
  <c r="I1301" i="5" s="1"/>
  <c r="E1301" i="5"/>
  <c r="D1301" i="5"/>
  <c r="B1301" i="5"/>
  <c r="Q1300" i="5"/>
  <c r="P1300" i="5"/>
  <c r="O1300" i="5"/>
  <c r="N1300" i="5"/>
  <c r="K1300" i="5"/>
  <c r="H1300" i="5"/>
  <c r="J1300" i="5" s="1"/>
  <c r="I1300" i="5" s="1"/>
  <c r="E1300" i="5"/>
  <c r="D1300" i="5"/>
  <c r="B1300" i="5"/>
  <c r="Q1299" i="5"/>
  <c r="P1299" i="5"/>
  <c r="O1299" i="5"/>
  <c r="N1299" i="5"/>
  <c r="K1299" i="5"/>
  <c r="H1299" i="5"/>
  <c r="J1299" i="5" s="1"/>
  <c r="I1299" i="5" s="1"/>
  <c r="E1299" i="5"/>
  <c r="D1299" i="5"/>
  <c r="B1299" i="5"/>
  <c r="Q1298" i="5"/>
  <c r="P1298" i="5"/>
  <c r="O1298" i="5"/>
  <c r="N1298" i="5"/>
  <c r="K1298" i="5"/>
  <c r="H1298" i="5"/>
  <c r="G1298" i="5" s="1"/>
  <c r="E1298" i="5"/>
  <c r="D1298" i="5"/>
  <c r="B1298" i="5"/>
  <c r="Q1297" i="5"/>
  <c r="P1297" i="5"/>
  <c r="O1297" i="5"/>
  <c r="N1297" i="5"/>
  <c r="K1297" i="5"/>
  <c r="H1297" i="5"/>
  <c r="J1297" i="5" s="1"/>
  <c r="I1297" i="5" s="1"/>
  <c r="E1297" i="5"/>
  <c r="D1297" i="5"/>
  <c r="B1297" i="5"/>
  <c r="Q1296" i="5"/>
  <c r="P1296" i="5"/>
  <c r="O1296" i="5"/>
  <c r="N1296" i="5"/>
  <c r="K1296" i="5"/>
  <c r="H1296" i="5"/>
  <c r="G1296" i="5" s="1"/>
  <c r="E1296" i="5"/>
  <c r="D1296" i="5"/>
  <c r="B1296" i="5"/>
  <c r="Q1295" i="5"/>
  <c r="P1295" i="5"/>
  <c r="O1295" i="5"/>
  <c r="N1295" i="5"/>
  <c r="K1295" i="5"/>
  <c r="H1295" i="5"/>
  <c r="G1295" i="5" s="1"/>
  <c r="E1295" i="5"/>
  <c r="D1295" i="5"/>
  <c r="B1295" i="5"/>
  <c r="Q1294" i="5"/>
  <c r="P1294" i="5"/>
  <c r="O1294" i="5"/>
  <c r="N1294" i="5"/>
  <c r="K1294" i="5"/>
  <c r="H1294" i="5"/>
  <c r="J1294" i="5" s="1"/>
  <c r="I1294" i="5" s="1"/>
  <c r="E1294" i="5"/>
  <c r="D1294" i="5"/>
  <c r="B1294" i="5"/>
  <c r="Q1293" i="5"/>
  <c r="P1293" i="5"/>
  <c r="O1293" i="5"/>
  <c r="N1293" i="5"/>
  <c r="K1293" i="5"/>
  <c r="H1293" i="5"/>
  <c r="J1293" i="5" s="1"/>
  <c r="I1293" i="5" s="1"/>
  <c r="E1293" i="5"/>
  <c r="D1293" i="5"/>
  <c r="B1293" i="5"/>
  <c r="Q1292" i="5"/>
  <c r="P1292" i="5"/>
  <c r="O1292" i="5"/>
  <c r="N1292" i="5"/>
  <c r="K1292" i="5"/>
  <c r="H1292" i="5"/>
  <c r="E1292" i="5"/>
  <c r="D1292" i="5"/>
  <c r="B1292" i="5"/>
  <c r="Q1291" i="5"/>
  <c r="P1291" i="5"/>
  <c r="O1291" i="5"/>
  <c r="N1291" i="5"/>
  <c r="K1291" i="5"/>
  <c r="H1291" i="5"/>
  <c r="J1291" i="5" s="1"/>
  <c r="I1291" i="5" s="1"/>
  <c r="E1291" i="5"/>
  <c r="D1291" i="5"/>
  <c r="B1291" i="5"/>
  <c r="Q1290" i="5"/>
  <c r="P1290" i="5"/>
  <c r="O1290" i="5"/>
  <c r="N1290" i="5"/>
  <c r="K1290" i="5"/>
  <c r="H1290" i="5"/>
  <c r="G1290" i="5" s="1"/>
  <c r="E1290" i="5"/>
  <c r="D1290" i="5"/>
  <c r="B1290" i="5"/>
  <c r="Q1289" i="5"/>
  <c r="P1289" i="5"/>
  <c r="O1289" i="5"/>
  <c r="N1289" i="5"/>
  <c r="K1289" i="5"/>
  <c r="H1289" i="5"/>
  <c r="J1289" i="5" s="1"/>
  <c r="I1289" i="5" s="1"/>
  <c r="E1289" i="5"/>
  <c r="D1289" i="5"/>
  <c r="B1289" i="5"/>
  <c r="Q1288" i="5"/>
  <c r="P1288" i="5"/>
  <c r="O1288" i="5"/>
  <c r="N1288" i="5"/>
  <c r="K1288" i="5"/>
  <c r="H1288" i="5"/>
  <c r="J1288" i="5" s="1"/>
  <c r="I1288" i="5" s="1"/>
  <c r="E1288" i="5"/>
  <c r="D1288" i="5"/>
  <c r="B1288" i="5"/>
  <c r="Q1287" i="5"/>
  <c r="P1287" i="5"/>
  <c r="O1287" i="5"/>
  <c r="N1287" i="5"/>
  <c r="K1287" i="5"/>
  <c r="H1287" i="5"/>
  <c r="E1287" i="5"/>
  <c r="D1287" i="5"/>
  <c r="B1287" i="5"/>
  <c r="Q1286" i="5"/>
  <c r="P1286" i="5"/>
  <c r="O1286" i="5"/>
  <c r="N1286" i="5"/>
  <c r="K1286" i="5"/>
  <c r="H1286" i="5"/>
  <c r="E1286" i="5"/>
  <c r="D1286" i="5"/>
  <c r="B1286" i="5"/>
  <c r="Q1285" i="5"/>
  <c r="P1285" i="5"/>
  <c r="O1285" i="5"/>
  <c r="N1285" i="5"/>
  <c r="K1285" i="5"/>
  <c r="H1285" i="5"/>
  <c r="J1285" i="5" s="1"/>
  <c r="I1285" i="5" s="1"/>
  <c r="E1285" i="5"/>
  <c r="D1285" i="5"/>
  <c r="B1285" i="5"/>
  <c r="Q1284" i="5"/>
  <c r="P1284" i="5"/>
  <c r="O1284" i="5"/>
  <c r="N1284" i="5"/>
  <c r="K1284" i="5"/>
  <c r="H1284" i="5"/>
  <c r="G1284" i="5" s="1"/>
  <c r="E1284" i="5"/>
  <c r="D1284" i="5"/>
  <c r="B1284" i="5"/>
  <c r="Q1283" i="5"/>
  <c r="P1283" i="5"/>
  <c r="O1283" i="5"/>
  <c r="N1283" i="5"/>
  <c r="K1283" i="5"/>
  <c r="H1283" i="5"/>
  <c r="E1283" i="5"/>
  <c r="D1283" i="5"/>
  <c r="B1283" i="5"/>
  <c r="Q1282" i="5"/>
  <c r="P1282" i="5"/>
  <c r="O1282" i="5"/>
  <c r="N1282" i="5"/>
  <c r="K1282" i="5"/>
  <c r="H1282" i="5"/>
  <c r="G1282" i="5" s="1"/>
  <c r="E1282" i="5"/>
  <c r="D1282" i="5"/>
  <c r="B1282" i="5"/>
  <c r="Q1281" i="5"/>
  <c r="P1281" i="5"/>
  <c r="O1281" i="5"/>
  <c r="N1281" i="5"/>
  <c r="K1281" i="5"/>
  <c r="H1281" i="5"/>
  <c r="J1281" i="5" s="1"/>
  <c r="I1281" i="5" s="1"/>
  <c r="E1281" i="5"/>
  <c r="D1281" i="5"/>
  <c r="B1281" i="5"/>
  <c r="Q1280" i="5"/>
  <c r="P1280" i="5"/>
  <c r="O1280" i="5"/>
  <c r="N1280" i="5"/>
  <c r="K1280" i="5"/>
  <c r="H1280" i="5"/>
  <c r="G1280" i="5" s="1"/>
  <c r="E1280" i="5"/>
  <c r="D1280" i="5"/>
  <c r="B1280" i="5"/>
  <c r="Q1279" i="5"/>
  <c r="P1279" i="5"/>
  <c r="O1279" i="5"/>
  <c r="N1279" i="5"/>
  <c r="K1279" i="5"/>
  <c r="H1279" i="5"/>
  <c r="E1279" i="5"/>
  <c r="D1279" i="5"/>
  <c r="B1279" i="5"/>
  <c r="Q1278" i="5"/>
  <c r="P1278" i="5"/>
  <c r="O1278" i="5"/>
  <c r="N1278" i="5"/>
  <c r="K1278" i="5"/>
  <c r="H1278" i="5"/>
  <c r="E1278" i="5"/>
  <c r="D1278" i="5"/>
  <c r="B1278" i="5"/>
  <c r="Q1277" i="5"/>
  <c r="P1277" i="5"/>
  <c r="O1277" i="5"/>
  <c r="N1277" i="5"/>
  <c r="K1277" i="5"/>
  <c r="H1277" i="5"/>
  <c r="J1277" i="5" s="1"/>
  <c r="I1277" i="5" s="1"/>
  <c r="E1277" i="5"/>
  <c r="D1277" i="5"/>
  <c r="B1277" i="5"/>
  <c r="Q1276" i="5"/>
  <c r="P1276" i="5"/>
  <c r="O1276" i="5"/>
  <c r="N1276" i="5"/>
  <c r="K1276" i="5"/>
  <c r="H1276" i="5"/>
  <c r="E1276" i="5"/>
  <c r="D1276" i="5"/>
  <c r="B1276" i="5"/>
  <c r="Q1275" i="5"/>
  <c r="P1275" i="5"/>
  <c r="O1275" i="5"/>
  <c r="N1275" i="5"/>
  <c r="K1275" i="5"/>
  <c r="H1275" i="5"/>
  <c r="J1275" i="5" s="1"/>
  <c r="I1275" i="5" s="1"/>
  <c r="E1275" i="5"/>
  <c r="D1275" i="5"/>
  <c r="B1275" i="5"/>
  <c r="Q1274" i="5"/>
  <c r="P1274" i="5"/>
  <c r="O1274" i="5"/>
  <c r="N1274" i="5"/>
  <c r="K1274" i="5"/>
  <c r="H1274" i="5"/>
  <c r="J1274" i="5" s="1"/>
  <c r="I1274" i="5" s="1"/>
  <c r="E1274" i="5"/>
  <c r="D1274" i="5"/>
  <c r="B1274" i="5"/>
  <c r="Q1273" i="5"/>
  <c r="P1273" i="5"/>
  <c r="O1273" i="5"/>
  <c r="N1273" i="5"/>
  <c r="K1273" i="5"/>
  <c r="H1273" i="5"/>
  <c r="J1273" i="5" s="1"/>
  <c r="I1273" i="5" s="1"/>
  <c r="E1273" i="5"/>
  <c r="D1273" i="5"/>
  <c r="B1273" i="5"/>
  <c r="Q1272" i="5"/>
  <c r="P1272" i="5"/>
  <c r="O1272" i="5"/>
  <c r="N1272" i="5"/>
  <c r="K1272" i="5"/>
  <c r="H1272" i="5"/>
  <c r="J1272" i="5" s="1"/>
  <c r="I1272" i="5" s="1"/>
  <c r="E1272" i="5"/>
  <c r="D1272" i="5"/>
  <c r="B1272" i="5"/>
  <c r="Q1271" i="5"/>
  <c r="P1271" i="5"/>
  <c r="O1271" i="5"/>
  <c r="N1271" i="5"/>
  <c r="K1271" i="5"/>
  <c r="H1271" i="5"/>
  <c r="G1271" i="5" s="1"/>
  <c r="E1271" i="5"/>
  <c r="D1271" i="5"/>
  <c r="B1271" i="5"/>
  <c r="Q1270" i="5"/>
  <c r="P1270" i="5"/>
  <c r="O1270" i="5"/>
  <c r="N1270" i="5"/>
  <c r="K1270" i="5"/>
  <c r="H1270" i="5"/>
  <c r="G1270" i="5" s="1"/>
  <c r="E1270" i="5"/>
  <c r="D1270" i="5"/>
  <c r="B1270" i="5"/>
  <c r="Q1269" i="5"/>
  <c r="P1269" i="5"/>
  <c r="O1269" i="5"/>
  <c r="N1269" i="5"/>
  <c r="K1269" i="5"/>
  <c r="H1269" i="5"/>
  <c r="G1269" i="5" s="1"/>
  <c r="E1269" i="5"/>
  <c r="D1269" i="5"/>
  <c r="B1269" i="5"/>
  <c r="Q1268" i="5"/>
  <c r="P1268" i="5"/>
  <c r="O1268" i="5"/>
  <c r="N1268" i="5"/>
  <c r="K1268" i="5"/>
  <c r="H1268" i="5"/>
  <c r="E1268" i="5"/>
  <c r="D1268" i="5"/>
  <c r="B1268" i="5"/>
  <c r="Q1267" i="5"/>
  <c r="P1267" i="5"/>
  <c r="O1267" i="5"/>
  <c r="N1267" i="5"/>
  <c r="K1267" i="5"/>
  <c r="H1267" i="5"/>
  <c r="E1267" i="5"/>
  <c r="D1267" i="5"/>
  <c r="B1267" i="5"/>
  <c r="Q1266" i="5"/>
  <c r="P1266" i="5"/>
  <c r="R1266" i="5" s="1"/>
  <c r="O1266" i="5"/>
  <c r="N1266" i="5"/>
  <c r="K1266" i="5"/>
  <c r="H1266" i="5"/>
  <c r="G1266" i="5" s="1"/>
  <c r="E1266" i="5"/>
  <c r="D1266" i="5"/>
  <c r="B1266" i="5"/>
  <c r="Q1265" i="5"/>
  <c r="P1265" i="5"/>
  <c r="O1265" i="5"/>
  <c r="N1265" i="5"/>
  <c r="K1265" i="5"/>
  <c r="H1265" i="5"/>
  <c r="J1265" i="5" s="1"/>
  <c r="I1265" i="5" s="1"/>
  <c r="E1265" i="5"/>
  <c r="D1265" i="5"/>
  <c r="B1265" i="5"/>
  <c r="Q1264" i="5"/>
  <c r="P1264" i="5"/>
  <c r="O1264" i="5"/>
  <c r="N1264" i="5"/>
  <c r="K1264" i="5"/>
  <c r="H1264" i="5"/>
  <c r="E1264" i="5"/>
  <c r="D1264" i="5"/>
  <c r="B1264" i="5"/>
  <c r="Q1263" i="5"/>
  <c r="P1263" i="5"/>
  <c r="O1263" i="5"/>
  <c r="N1263" i="5"/>
  <c r="K1263" i="5"/>
  <c r="H1263" i="5"/>
  <c r="E1263" i="5"/>
  <c r="D1263" i="5"/>
  <c r="B1263" i="5"/>
  <c r="Q1262" i="5"/>
  <c r="P1262" i="5"/>
  <c r="O1262" i="5"/>
  <c r="N1262" i="5"/>
  <c r="K1262" i="5"/>
  <c r="H1262" i="5"/>
  <c r="G1262" i="5" s="1"/>
  <c r="E1262" i="5"/>
  <c r="D1262" i="5"/>
  <c r="B1262" i="5"/>
  <c r="Q1261" i="5"/>
  <c r="P1261" i="5"/>
  <c r="O1261" i="5"/>
  <c r="N1261" i="5"/>
  <c r="K1261" i="5"/>
  <c r="H1261" i="5"/>
  <c r="J1261" i="5" s="1"/>
  <c r="I1261" i="5" s="1"/>
  <c r="E1261" i="5"/>
  <c r="D1261" i="5"/>
  <c r="B1261" i="5"/>
  <c r="Q1260" i="5"/>
  <c r="P1260" i="5"/>
  <c r="O1260" i="5"/>
  <c r="N1260" i="5"/>
  <c r="K1260" i="5"/>
  <c r="H1260" i="5"/>
  <c r="E1260" i="5"/>
  <c r="D1260" i="5"/>
  <c r="B1260" i="5"/>
  <c r="Q1259" i="5"/>
  <c r="P1259" i="5"/>
  <c r="R1259" i="5" s="1"/>
  <c r="O1259" i="5"/>
  <c r="N1259" i="5"/>
  <c r="K1259" i="5"/>
  <c r="H1259" i="5"/>
  <c r="G1259" i="5" s="1"/>
  <c r="E1259" i="5"/>
  <c r="D1259" i="5"/>
  <c r="B1259" i="5"/>
  <c r="Q1258" i="5"/>
  <c r="P1258" i="5"/>
  <c r="O1258" i="5"/>
  <c r="N1258" i="5"/>
  <c r="K1258" i="5"/>
  <c r="H1258" i="5"/>
  <c r="E1258" i="5"/>
  <c r="D1258" i="5"/>
  <c r="B1258" i="5"/>
  <c r="Q1257" i="5"/>
  <c r="P1257" i="5"/>
  <c r="O1257" i="5"/>
  <c r="N1257" i="5"/>
  <c r="K1257" i="5"/>
  <c r="H1257" i="5"/>
  <c r="J1257" i="5" s="1"/>
  <c r="I1257" i="5" s="1"/>
  <c r="E1257" i="5"/>
  <c r="D1257" i="5"/>
  <c r="B1257" i="5"/>
  <c r="Q1256" i="5"/>
  <c r="P1256" i="5"/>
  <c r="O1256" i="5"/>
  <c r="N1256" i="5"/>
  <c r="K1256" i="5"/>
  <c r="H1256" i="5"/>
  <c r="J1256" i="5" s="1"/>
  <c r="I1256" i="5" s="1"/>
  <c r="E1256" i="5"/>
  <c r="D1256" i="5"/>
  <c r="B1256" i="5"/>
  <c r="Q1255" i="5"/>
  <c r="P1255" i="5"/>
  <c r="O1255" i="5"/>
  <c r="N1255" i="5"/>
  <c r="K1255" i="5"/>
  <c r="H1255" i="5"/>
  <c r="G1255" i="5" s="1"/>
  <c r="E1255" i="5"/>
  <c r="D1255" i="5"/>
  <c r="B1255" i="5"/>
  <c r="Q1254" i="5"/>
  <c r="P1254" i="5"/>
  <c r="O1254" i="5"/>
  <c r="N1254" i="5"/>
  <c r="K1254" i="5"/>
  <c r="H1254" i="5"/>
  <c r="G1254" i="5" s="1"/>
  <c r="E1254" i="5"/>
  <c r="D1254" i="5"/>
  <c r="B1254" i="5"/>
  <c r="Q1253" i="5"/>
  <c r="P1253" i="5"/>
  <c r="O1253" i="5"/>
  <c r="N1253" i="5"/>
  <c r="K1253" i="5"/>
  <c r="H1253" i="5"/>
  <c r="E1253" i="5"/>
  <c r="D1253" i="5"/>
  <c r="B1253" i="5"/>
  <c r="Q1252" i="5"/>
  <c r="P1252" i="5"/>
  <c r="O1252" i="5"/>
  <c r="N1252" i="5"/>
  <c r="K1252" i="5"/>
  <c r="H1252" i="5"/>
  <c r="E1252" i="5"/>
  <c r="D1252" i="5"/>
  <c r="B1252" i="5"/>
  <c r="Q1251" i="5"/>
  <c r="P1251" i="5"/>
  <c r="O1251" i="5"/>
  <c r="N1251" i="5"/>
  <c r="K1251" i="5"/>
  <c r="H1251" i="5"/>
  <c r="E1251" i="5"/>
  <c r="D1251" i="5"/>
  <c r="B1251" i="5"/>
  <c r="Q1250" i="5"/>
  <c r="P1250" i="5"/>
  <c r="O1250" i="5"/>
  <c r="N1250" i="5"/>
  <c r="K1250" i="5"/>
  <c r="H1250" i="5"/>
  <c r="E1250" i="5"/>
  <c r="D1250" i="5"/>
  <c r="B1250" i="5"/>
  <c r="Q1249" i="5"/>
  <c r="P1249" i="5"/>
  <c r="O1249" i="5"/>
  <c r="N1249" i="5"/>
  <c r="K1249" i="5"/>
  <c r="H1249" i="5"/>
  <c r="J1249" i="5" s="1"/>
  <c r="I1249" i="5" s="1"/>
  <c r="E1249" i="5"/>
  <c r="D1249" i="5"/>
  <c r="B1249" i="5"/>
  <c r="Q1248" i="5"/>
  <c r="P1248" i="5"/>
  <c r="O1248" i="5"/>
  <c r="N1248" i="5"/>
  <c r="K1248" i="5"/>
  <c r="H1248" i="5"/>
  <c r="G1248" i="5" s="1"/>
  <c r="E1248" i="5"/>
  <c r="D1248" i="5"/>
  <c r="B1248" i="5"/>
  <c r="Q1247" i="5"/>
  <c r="P1247" i="5"/>
  <c r="O1247" i="5"/>
  <c r="N1247" i="5"/>
  <c r="K1247" i="5"/>
  <c r="H1247" i="5"/>
  <c r="G1247" i="5" s="1"/>
  <c r="E1247" i="5"/>
  <c r="D1247" i="5"/>
  <c r="B1247" i="5"/>
  <c r="Q1246" i="5"/>
  <c r="P1246" i="5"/>
  <c r="O1246" i="5"/>
  <c r="N1246" i="5"/>
  <c r="K1246" i="5"/>
  <c r="H1246" i="5"/>
  <c r="J1246" i="5" s="1"/>
  <c r="I1246" i="5" s="1"/>
  <c r="E1246" i="5"/>
  <c r="D1246" i="5"/>
  <c r="B1246" i="5"/>
  <c r="Q1245" i="5"/>
  <c r="P1245" i="5"/>
  <c r="O1245" i="5"/>
  <c r="N1245" i="5"/>
  <c r="K1245" i="5"/>
  <c r="H1245" i="5"/>
  <c r="J1245" i="5" s="1"/>
  <c r="I1245" i="5" s="1"/>
  <c r="E1245" i="5"/>
  <c r="D1245" i="5"/>
  <c r="B1245" i="5"/>
  <c r="Q1244" i="5"/>
  <c r="P1244" i="5"/>
  <c r="O1244" i="5"/>
  <c r="N1244" i="5"/>
  <c r="K1244" i="5"/>
  <c r="H1244" i="5"/>
  <c r="E1244" i="5"/>
  <c r="D1244" i="5"/>
  <c r="B1244" i="5"/>
  <c r="Q1243" i="5"/>
  <c r="P1243" i="5"/>
  <c r="O1243" i="5"/>
  <c r="N1243" i="5"/>
  <c r="K1243" i="5"/>
  <c r="H1243" i="5"/>
  <c r="J1243" i="5" s="1"/>
  <c r="I1243" i="5" s="1"/>
  <c r="E1243" i="5"/>
  <c r="D1243" i="5"/>
  <c r="B1243" i="5"/>
  <c r="Q1242" i="5"/>
  <c r="P1242" i="5"/>
  <c r="O1242" i="5"/>
  <c r="N1242" i="5"/>
  <c r="K1242" i="5"/>
  <c r="H1242" i="5"/>
  <c r="J1242" i="5" s="1"/>
  <c r="I1242" i="5" s="1"/>
  <c r="E1242" i="5"/>
  <c r="D1242" i="5"/>
  <c r="B1242" i="5"/>
  <c r="Q1241" i="5"/>
  <c r="P1241" i="5"/>
  <c r="O1241" i="5"/>
  <c r="N1241" i="5"/>
  <c r="K1241" i="5"/>
  <c r="H1241" i="5"/>
  <c r="G1241" i="5" s="1"/>
  <c r="E1241" i="5"/>
  <c r="D1241" i="5"/>
  <c r="B1241" i="5"/>
  <c r="Q1240" i="5"/>
  <c r="P1240" i="5"/>
  <c r="O1240" i="5"/>
  <c r="N1240" i="5"/>
  <c r="K1240" i="5"/>
  <c r="H1240" i="5"/>
  <c r="E1240" i="5"/>
  <c r="D1240" i="5"/>
  <c r="B1240" i="5"/>
  <c r="Q1239" i="5"/>
  <c r="P1239" i="5"/>
  <c r="O1239" i="5"/>
  <c r="N1239" i="5"/>
  <c r="K1239" i="5"/>
  <c r="H1239" i="5"/>
  <c r="G1239" i="5" s="1"/>
  <c r="E1239" i="5"/>
  <c r="D1239" i="5"/>
  <c r="B1239" i="5"/>
  <c r="Q1238" i="5"/>
  <c r="P1238" i="5"/>
  <c r="O1238" i="5"/>
  <c r="N1238" i="5"/>
  <c r="K1238" i="5"/>
  <c r="H1238" i="5"/>
  <c r="E1238" i="5"/>
  <c r="D1238" i="5"/>
  <c r="B1238" i="5"/>
  <c r="Q1237" i="5"/>
  <c r="P1237" i="5"/>
  <c r="O1237" i="5"/>
  <c r="N1237" i="5"/>
  <c r="K1237" i="5"/>
  <c r="H1237" i="5"/>
  <c r="G1237" i="5" s="1"/>
  <c r="E1237" i="5"/>
  <c r="D1237" i="5"/>
  <c r="B1237" i="5"/>
  <c r="Q1236" i="5"/>
  <c r="P1236" i="5"/>
  <c r="O1236" i="5"/>
  <c r="N1236" i="5"/>
  <c r="K1236" i="5"/>
  <c r="H1236" i="5"/>
  <c r="J1236" i="5" s="1"/>
  <c r="I1236" i="5" s="1"/>
  <c r="E1236" i="5"/>
  <c r="D1236" i="5"/>
  <c r="B1236" i="5"/>
  <c r="Q1235" i="5"/>
  <c r="P1235" i="5"/>
  <c r="O1235" i="5"/>
  <c r="N1235" i="5"/>
  <c r="K1235" i="5"/>
  <c r="H1235" i="5"/>
  <c r="J1235" i="5" s="1"/>
  <c r="I1235" i="5" s="1"/>
  <c r="E1235" i="5"/>
  <c r="D1235" i="5"/>
  <c r="B1235" i="5"/>
  <c r="Q1234" i="5"/>
  <c r="P1234" i="5"/>
  <c r="O1234" i="5"/>
  <c r="N1234" i="5"/>
  <c r="K1234" i="5"/>
  <c r="H1234" i="5"/>
  <c r="G1234" i="5" s="1"/>
  <c r="E1234" i="5"/>
  <c r="D1234" i="5"/>
  <c r="B1234" i="5"/>
  <c r="Q1233" i="5"/>
  <c r="P1233" i="5"/>
  <c r="O1233" i="5"/>
  <c r="N1233" i="5"/>
  <c r="K1233" i="5"/>
  <c r="H1233" i="5"/>
  <c r="J1233" i="5" s="1"/>
  <c r="I1233" i="5" s="1"/>
  <c r="E1233" i="5"/>
  <c r="D1233" i="5"/>
  <c r="B1233" i="5"/>
  <c r="Q1232" i="5"/>
  <c r="P1232" i="5"/>
  <c r="O1232" i="5"/>
  <c r="N1232" i="5"/>
  <c r="K1232" i="5"/>
  <c r="H1232" i="5"/>
  <c r="E1232" i="5"/>
  <c r="D1232" i="5"/>
  <c r="B1232" i="5"/>
  <c r="Q1231" i="5"/>
  <c r="P1231" i="5"/>
  <c r="O1231" i="5"/>
  <c r="N1231" i="5"/>
  <c r="K1231" i="5"/>
  <c r="H1231" i="5"/>
  <c r="G1231" i="5" s="1"/>
  <c r="E1231" i="5"/>
  <c r="D1231" i="5"/>
  <c r="B1231" i="5"/>
  <c r="Q1230" i="5"/>
  <c r="P1230" i="5"/>
  <c r="O1230" i="5"/>
  <c r="N1230" i="5"/>
  <c r="K1230" i="5"/>
  <c r="H1230" i="5"/>
  <c r="J1230" i="5" s="1"/>
  <c r="I1230" i="5" s="1"/>
  <c r="E1230" i="5"/>
  <c r="D1230" i="5"/>
  <c r="B1230" i="5"/>
  <c r="Q1229" i="5"/>
  <c r="P1229" i="5"/>
  <c r="O1229" i="5"/>
  <c r="N1229" i="5"/>
  <c r="K1229" i="5"/>
  <c r="H1229" i="5"/>
  <c r="E1229" i="5"/>
  <c r="D1229" i="5"/>
  <c r="B1229" i="5"/>
  <c r="Q1228" i="5"/>
  <c r="P1228" i="5"/>
  <c r="R1228" i="5" s="1"/>
  <c r="O1228" i="5"/>
  <c r="N1228" i="5"/>
  <c r="K1228" i="5"/>
  <c r="H1228" i="5"/>
  <c r="E1228" i="5"/>
  <c r="D1228" i="5"/>
  <c r="B1228" i="5"/>
  <c r="Q1227" i="5"/>
  <c r="P1227" i="5"/>
  <c r="O1227" i="5"/>
  <c r="N1227" i="5"/>
  <c r="K1227" i="5"/>
  <c r="H1227" i="5"/>
  <c r="E1227" i="5"/>
  <c r="D1227" i="5"/>
  <c r="B1227" i="5"/>
  <c r="Q1226" i="5"/>
  <c r="P1226" i="5"/>
  <c r="O1226" i="5"/>
  <c r="N1226" i="5"/>
  <c r="K1226" i="5"/>
  <c r="H1226" i="5"/>
  <c r="J1226" i="5" s="1"/>
  <c r="I1226" i="5" s="1"/>
  <c r="E1226" i="5"/>
  <c r="D1226" i="5"/>
  <c r="B1226" i="5"/>
  <c r="Q1225" i="5"/>
  <c r="P1225" i="5"/>
  <c r="O1225" i="5"/>
  <c r="N1225" i="5"/>
  <c r="K1225" i="5"/>
  <c r="H1225" i="5"/>
  <c r="J1225" i="5" s="1"/>
  <c r="I1225" i="5" s="1"/>
  <c r="G1225" i="5"/>
  <c r="E1225" i="5"/>
  <c r="D1225" i="5"/>
  <c r="B1225" i="5"/>
  <c r="Q1224" i="5"/>
  <c r="P1224" i="5"/>
  <c r="O1224" i="5"/>
  <c r="N1224" i="5"/>
  <c r="K1224" i="5"/>
  <c r="H1224" i="5"/>
  <c r="J1224" i="5" s="1"/>
  <c r="I1224" i="5" s="1"/>
  <c r="E1224" i="5"/>
  <c r="D1224" i="5"/>
  <c r="B1224" i="5"/>
  <c r="Q1223" i="5"/>
  <c r="P1223" i="5"/>
  <c r="O1223" i="5"/>
  <c r="N1223" i="5"/>
  <c r="K1223" i="5"/>
  <c r="H1223" i="5"/>
  <c r="G1223" i="5" s="1"/>
  <c r="E1223" i="5"/>
  <c r="D1223" i="5"/>
  <c r="B1223" i="5"/>
  <c r="Q1222" i="5"/>
  <c r="P1222" i="5"/>
  <c r="O1222" i="5"/>
  <c r="N1222" i="5"/>
  <c r="K1222" i="5"/>
  <c r="H1222" i="5"/>
  <c r="E1222" i="5"/>
  <c r="D1222" i="5"/>
  <c r="B1222" i="5"/>
  <c r="Q1221" i="5"/>
  <c r="P1221" i="5"/>
  <c r="O1221" i="5"/>
  <c r="N1221" i="5"/>
  <c r="K1221" i="5"/>
  <c r="H1221" i="5"/>
  <c r="J1221" i="5" s="1"/>
  <c r="I1221" i="5" s="1"/>
  <c r="E1221" i="5"/>
  <c r="D1221" i="5"/>
  <c r="B1221" i="5"/>
  <c r="Q1220" i="5"/>
  <c r="P1220" i="5"/>
  <c r="O1220" i="5"/>
  <c r="N1220" i="5"/>
  <c r="K1220" i="5"/>
  <c r="H1220" i="5"/>
  <c r="E1220" i="5"/>
  <c r="D1220" i="5"/>
  <c r="B1220" i="5"/>
  <c r="Q1219" i="5"/>
  <c r="P1219" i="5"/>
  <c r="O1219" i="5"/>
  <c r="N1219" i="5"/>
  <c r="K1219" i="5"/>
  <c r="H1219" i="5"/>
  <c r="E1219" i="5"/>
  <c r="D1219" i="5"/>
  <c r="B1219" i="5"/>
  <c r="Q1218" i="5"/>
  <c r="P1218" i="5"/>
  <c r="O1218" i="5"/>
  <c r="N1218" i="5"/>
  <c r="K1218" i="5"/>
  <c r="H1218" i="5"/>
  <c r="G1218" i="5" s="1"/>
  <c r="E1218" i="5"/>
  <c r="D1218" i="5"/>
  <c r="B1218" i="5"/>
  <c r="Q1217" i="5"/>
  <c r="P1217" i="5"/>
  <c r="O1217" i="5"/>
  <c r="N1217" i="5"/>
  <c r="K1217" i="5"/>
  <c r="H1217" i="5"/>
  <c r="J1217" i="5" s="1"/>
  <c r="I1217" i="5" s="1"/>
  <c r="G1217" i="5"/>
  <c r="E1217" i="5"/>
  <c r="D1217" i="5"/>
  <c r="B1217" i="5"/>
  <c r="Q1216" i="5"/>
  <c r="P1216" i="5"/>
  <c r="O1216" i="5"/>
  <c r="N1216" i="5"/>
  <c r="K1216" i="5"/>
  <c r="H1216" i="5"/>
  <c r="G1216" i="5" s="1"/>
  <c r="E1216" i="5"/>
  <c r="D1216" i="5"/>
  <c r="B1216" i="5"/>
  <c r="Q1215" i="5"/>
  <c r="P1215" i="5"/>
  <c r="O1215" i="5"/>
  <c r="N1215" i="5"/>
  <c r="K1215" i="5"/>
  <c r="H1215" i="5"/>
  <c r="J1215" i="5" s="1"/>
  <c r="I1215" i="5" s="1"/>
  <c r="E1215" i="5"/>
  <c r="D1215" i="5"/>
  <c r="B1215" i="5"/>
  <c r="Q1214" i="5"/>
  <c r="P1214" i="5"/>
  <c r="O1214" i="5"/>
  <c r="N1214" i="5"/>
  <c r="K1214" i="5"/>
  <c r="H1214" i="5"/>
  <c r="J1214" i="5" s="1"/>
  <c r="I1214" i="5" s="1"/>
  <c r="E1214" i="5"/>
  <c r="D1214" i="5"/>
  <c r="B1214" i="5"/>
  <c r="Q1213" i="5"/>
  <c r="P1213" i="5"/>
  <c r="O1213" i="5"/>
  <c r="N1213" i="5"/>
  <c r="K1213" i="5"/>
  <c r="H1213" i="5"/>
  <c r="J1213" i="5" s="1"/>
  <c r="I1213" i="5" s="1"/>
  <c r="E1213" i="5"/>
  <c r="D1213" i="5"/>
  <c r="B1213" i="5"/>
  <c r="Q1212" i="5"/>
  <c r="P1212" i="5"/>
  <c r="O1212" i="5"/>
  <c r="N1212" i="5"/>
  <c r="K1212" i="5"/>
  <c r="H1212" i="5"/>
  <c r="E1212" i="5"/>
  <c r="D1212" i="5"/>
  <c r="B1212" i="5"/>
  <c r="Q1211" i="5"/>
  <c r="P1211" i="5"/>
  <c r="O1211" i="5"/>
  <c r="N1211" i="5"/>
  <c r="K1211" i="5"/>
  <c r="H1211" i="5"/>
  <c r="J1211" i="5" s="1"/>
  <c r="I1211" i="5" s="1"/>
  <c r="E1211" i="5"/>
  <c r="D1211" i="5"/>
  <c r="B1211" i="5"/>
  <c r="Q1210" i="5"/>
  <c r="P1210" i="5"/>
  <c r="O1210" i="5"/>
  <c r="N1210" i="5"/>
  <c r="K1210" i="5"/>
  <c r="H1210" i="5"/>
  <c r="J1210" i="5" s="1"/>
  <c r="I1210" i="5" s="1"/>
  <c r="E1210" i="5"/>
  <c r="D1210" i="5"/>
  <c r="B1210" i="5"/>
  <c r="Q1209" i="5"/>
  <c r="P1209" i="5"/>
  <c r="O1209" i="5"/>
  <c r="N1209" i="5"/>
  <c r="K1209" i="5"/>
  <c r="H1209" i="5"/>
  <c r="J1209" i="5" s="1"/>
  <c r="I1209" i="5" s="1"/>
  <c r="E1209" i="5"/>
  <c r="D1209" i="5"/>
  <c r="B1209" i="5"/>
  <c r="Q1208" i="5"/>
  <c r="P1208" i="5"/>
  <c r="R1208" i="5" s="1"/>
  <c r="O1208" i="5"/>
  <c r="N1208" i="5"/>
  <c r="K1208" i="5"/>
  <c r="H1208" i="5"/>
  <c r="E1208" i="5"/>
  <c r="D1208" i="5"/>
  <c r="B1208" i="5"/>
  <c r="Q1207" i="5"/>
  <c r="P1207" i="5"/>
  <c r="O1207" i="5"/>
  <c r="N1207" i="5"/>
  <c r="K1207" i="5"/>
  <c r="H1207" i="5"/>
  <c r="G1207" i="5" s="1"/>
  <c r="E1207" i="5"/>
  <c r="D1207" i="5"/>
  <c r="B1207" i="5"/>
  <c r="Q1206" i="5"/>
  <c r="P1206" i="5"/>
  <c r="O1206" i="5"/>
  <c r="N1206" i="5"/>
  <c r="K1206" i="5"/>
  <c r="H1206" i="5"/>
  <c r="J1206" i="5" s="1"/>
  <c r="I1206" i="5" s="1"/>
  <c r="E1206" i="5"/>
  <c r="D1206" i="5"/>
  <c r="B1206" i="5"/>
  <c r="Q1205" i="5"/>
  <c r="P1205" i="5"/>
  <c r="O1205" i="5"/>
  <c r="N1205" i="5"/>
  <c r="K1205" i="5"/>
  <c r="H1205" i="5"/>
  <c r="J1205" i="5" s="1"/>
  <c r="I1205" i="5" s="1"/>
  <c r="E1205" i="5"/>
  <c r="D1205" i="5"/>
  <c r="B1205" i="5"/>
  <c r="Q1204" i="5"/>
  <c r="P1204" i="5"/>
  <c r="O1204" i="5"/>
  <c r="N1204" i="5"/>
  <c r="K1204" i="5"/>
  <c r="H1204" i="5"/>
  <c r="E1204" i="5"/>
  <c r="D1204" i="5"/>
  <c r="B1204" i="5"/>
  <c r="Q1203" i="5"/>
  <c r="P1203" i="5"/>
  <c r="O1203" i="5"/>
  <c r="N1203" i="5"/>
  <c r="K1203" i="5"/>
  <c r="H1203" i="5"/>
  <c r="E1203" i="5"/>
  <c r="D1203" i="5"/>
  <c r="B1203" i="5"/>
  <c r="Q1202" i="5"/>
  <c r="P1202" i="5"/>
  <c r="O1202" i="5"/>
  <c r="N1202" i="5"/>
  <c r="K1202" i="5"/>
  <c r="H1202" i="5"/>
  <c r="G1202" i="5" s="1"/>
  <c r="E1202" i="5"/>
  <c r="D1202" i="5"/>
  <c r="B1202" i="5"/>
  <c r="Q1201" i="5"/>
  <c r="P1201" i="5"/>
  <c r="O1201" i="5"/>
  <c r="N1201" i="5"/>
  <c r="K1201" i="5"/>
  <c r="H1201" i="5"/>
  <c r="J1201" i="5" s="1"/>
  <c r="I1201" i="5" s="1"/>
  <c r="E1201" i="5"/>
  <c r="D1201" i="5"/>
  <c r="B1201" i="5"/>
  <c r="Q1200" i="5"/>
  <c r="P1200" i="5"/>
  <c r="O1200" i="5"/>
  <c r="N1200" i="5"/>
  <c r="K1200" i="5"/>
  <c r="H1200" i="5"/>
  <c r="E1200" i="5"/>
  <c r="D1200" i="5"/>
  <c r="B1200" i="5"/>
  <c r="Q1199" i="5"/>
  <c r="P1199" i="5"/>
  <c r="O1199" i="5"/>
  <c r="N1199" i="5"/>
  <c r="K1199" i="5"/>
  <c r="H1199" i="5"/>
  <c r="J1199" i="5" s="1"/>
  <c r="I1199" i="5" s="1"/>
  <c r="E1199" i="5"/>
  <c r="D1199" i="5"/>
  <c r="B1199" i="5"/>
  <c r="Q1198" i="5"/>
  <c r="P1198" i="5"/>
  <c r="O1198" i="5"/>
  <c r="N1198" i="5"/>
  <c r="K1198" i="5"/>
  <c r="H1198" i="5"/>
  <c r="J1198" i="5" s="1"/>
  <c r="I1198" i="5" s="1"/>
  <c r="E1198" i="5"/>
  <c r="D1198" i="5"/>
  <c r="B1198" i="5"/>
  <c r="Q1197" i="5"/>
  <c r="P1197" i="5"/>
  <c r="O1197" i="5"/>
  <c r="N1197" i="5"/>
  <c r="K1197" i="5"/>
  <c r="H1197" i="5"/>
  <c r="E1197" i="5"/>
  <c r="D1197" i="5"/>
  <c r="B1197" i="5"/>
  <c r="Q1196" i="5"/>
  <c r="P1196" i="5"/>
  <c r="O1196" i="5"/>
  <c r="N1196" i="5"/>
  <c r="K1196" i="5"/>
  <c r="H1196" i="5"/>
  <c r="E1196" i="5"/>
  <c r="D1196" i="5"/>
  <c r="B1196" i="5"/>
  <c r="Q1195" i="5"/>
  <c r="P1195" i="5"/>
  <c r="O1195" i="5"/>
  <c r="N1195" i="5"/>
  <c r="K1195" i="5"/>
  <c r="H1195" i="5"/>
  <c r="E1195" i="5"/>
  <c r="D1195" i="5"/>
  <c r="B1195" i="5"/>
  <c r="Q1194" i="5"/>
  <c r="P1194" i="5"/>
  <c r="O1194" i="5"/>
  <c r="N1194" i="5"/>
  <c r="K1194" i="5"/>
  <c r="H1194" i="5"/>
  <c r="J1194" i="5" s="1"/>
  <c r="I1194" i="5" s="1"/>
  <c r="E1194" i="5"/>
  <c r="D1194" i="5"/>
  <c r="B1194" i="5"/>
  <c r="Q1193" i="5"/>
  <c r="P1193" i="5"/>
  <c r="O1193" i="5"/>
  <c r="N1193" i="5"/>
  <c r="K1193" i="5"/>
  <c r="H1193" i="5"/>
  <c r="J1193" i="5" s="1"/>
  <c r="I1193" i="5" s="1"/>
  <c r="E1193" i="5"/>
  <c r="D1193" i="5"/>
  <c r="B1193" i="5"/>
  <c r="Q1192" i="5"/>
  <c r="P1192" i="5"/>
  <c r="R1192" i="5" s="1"/>
  <c r="O1192" i="5"/>
  <c r="N1192" i="5"/>
  <c r="K1192" i="5"/>
  <c r="H1192" i="5"/>
  <c r="G1192" i="5" s="1"/>
  <c r="E1192" i="5"/>
  <c r="D1192" i="5"/>
  <c r="B1192" i="5"/>
  <c r="Q1191" i="5"/>
  <c r="P1191" i="5"/>
  <c r="O1191" i="5"/>
  <c r="N1191" i="5"/>
  <c r="K1191" i="5"/>
  <c r="H1191" i="5"/>
  <c r="J1191" i="5" s="1"/>
  <c r="I1191" i="5" s="1"/>
  <c r="E1191" i="5"/>
  <c r="D1191" i="5"/>
  <c r="B1191" i="5"/>
  <c r="Q1190" i="5"/>
  <c r="P1190" i="5"/>
  <c r="O1190" i="5"/>
  <c r="N1190" i="5"/>
  <c r="K1190" i="5"/>
  <c r="H1190" i="5"/>
  <c r="J1190" i="5" s="1"/>
  <c r="I1190" i="5" s="1"/>
  <c r="E1190" i="5"/>
  <c r="D1190" i="5"/>
  <c r="B1190" i="5"/>
  <c r="Q1189" i="5"/>
  <c r="P1189" i="5"/>
  <c r="O1189" i="5"/>
  <c r="N1189" i="5"/>
  <c r="K1189" i="5"/>
  <c r="H1189" i="5"/>
  <c r="J1189" i="5" s="1"/>
  <c r="I1189" i="5" s="1"/>
  <c r="E1189" i="5"/>
  <c r="D1189" i="5"/>
  <c r="B1189" i="5"/>
  <c r="Q1188" i="5"/>
  <c r="P1188" i="5"/>
  <c r="O1188" i="5"/>
  <c r="N1188" i="5"/>
  <c r="K1188" i="5"/>
  <c r="H1188" i="5"/>
  <c r="J1188" i="5" s="1"/>
  <c r="I1188" i="5" s="1"/>
  <c r="E1188" i="5"/>
  <c r="D1188" i="5"/>
  <c r="B1188" i="5"/>
  <c r="Q1187" i="5"/>
  <c r="P1187" i="5"/>
  <c r="O1187" i="5"/>
  <c r="N1187" i="5"/>
  <c r="K1187" i="5"/>
  <c r="H1187" i="5"/>
  <c r="J1187" i="5" s="1"/>
  <c r="I1187" i="5" s="1"/>
  <c r="E1187" i="5"/>
  <c r="D1187" i="5"/>
  <c r="B1187" i="5"/>
  <c r="Q1186" i="5"/>
  <c r="P1186" i="5"/>
  <c r="O1186" i="5"/>
  <c r="N1186" i="5"/>
  <c r="K1186" i="5"/>
  <c r="H1186" i="5"/>
  <c r="J1186" i="5" s="1"/>
  <c r="I1186" i="5" s="1"/>
  <c r="E1186" i="5"/>
  <c r="D1186" i="5"/>
  <c r="B1186" i="5"/>
  <c r="Q1185" i="5"/>
  <c r="P1185" i="5"/>
  <c r="O1185" i="5"/>
  <c r="N1185" i="5"/>
  <c r="K1185" i="5"/>
  <c r="H1185" i="5"/>
  <c r="J1185" i="5" s="1"/>
  <c r="I1185" i="5" s="1"/>
  <c r="E1185" i="5"/>
  <c r="D1185" i="5"/>
  <c r="B1185" i="5"/>
  <c r="Q1184" i="5"/>
  <c r="P1184" i="5"/>
  <c r="O1184" i="5"/>
  <c r="N1184" i="5"/>
  <c r="K1184" i="5"/>
  <c r="H1184" i="5"/>
  <c r="G1184" i="5" s="1"/>
  <c r="E1184" i="5"/>
  <c r="D1184" i="5"/>
  <c r="B1184" i="5"/>
  <c r="Q1183" i="5"/>
  <c r="P1183" i="5"/>
  <c r="O1183" i="5"/>
  <c r="N1183" i="5"/>
  <c r="K1183" i="5"/>
  <c r="H1183" i="5"/>
  <c r="J1183" i="5" s="1"/>
  <c r="I1183" i="5" s="1"/>
  <c r="E1183" i="5"/>
  <c r="D1183" i="5"/>
  <c r="B1183" i="5"/>
  <c r="Q1182" i="5"/>
  <c r="P1182" i="5"/>
  <c r="O1182" i="5"/>
  <c r="N1182" i="5"/>
  <c r="K1182" i="5"/>
  <c r="H1182" i="5"/>
  <c r="J1182" i="5" s="1"/>
  <c r="I1182" i="5" s="1"/>
  <c r="E1182" i="5"/>
  <c r="D1182" i="5"/>
  <c r="B1182" i="5"/>
  <c r="Q1181" i="5"/>
  <c r="P1181" i="5"/>
  <c r="O1181" i="5"/>
  <c r="N1181" i="5"/>
  <c r="K1181" i="5"/>
  <c r="H1181" i="5"/>
  <c r="J1181" i="5" s="1"/>
  <c r="I1181" i="5" s="1"/>
  <c r="E1181" i="5"/>
  <c r="D1181" i="5"/>
  <c r="B1181" i="5"/>
  <c r="Q1180" i="5"/>
  <c r="P1180" i="5"/>
  <c r="O1180" i="5"/>
  <c r="N1180" i="5"/>
  <c r="K1180" i="5"/>
  <c r="H1180" i="5"/>
  <c r="E1180" i="5"/>
  <c r="D1180" i="5"/>
  <c r="B1180" i="5"/>
  <c r="Q1179" i="5"/>
  <c r="P1179" i="5"/>
  <c r="O1179" i="5"/>
  <c r="N1179" i="5"/>
  <c r="K1179" i="5"/>
  <c r="H1179" i="5"/>
  <c r="G1179" i="5" s="1"/>
  <c r="E1179" i="5"/>
  <c r="D1179" i="5"/>
  <c r="B1179" i="5"/>
  <c r="Q1178" i="5"/>
  <c r="P1178" i="5"/>
  <c r="O1178" i="5"/>
  <c r="N1178" i="5"/>
  <c r="K1178" i="5"/>
  <c r="H1178" i="5"/>
  <c r="J1178" i="5" s="1"/>
  <c r="I1178" i="5" s="1"/>
  <c r="E1178" i="5"/>
  <c r="D1178" i="5"/>
  <c r="B1178" i="5"/>
  <c r="Q1177" i="5"/>
  <c r="P1177" i="5"/>
  <c r="O1177" i="5"/>
  <c r="N1177" i="5"/>
  <c r="K1177" i="5"/>
  <c r="H1177" i="5"/>
  <c r="E1177" i="5"/>
  <c r="D1177" i="5"/>
  <c r="B1177" i="5"/>
  <c r="Q1176" i="5"/>
  <c r="P1176" i="5"/>
  <c r="O1176" i="5"/>
  <c r="N1176" i="5"/>
  <c r="K1176" i="5"/>
  <c r="H1176" i="5"/>
  <c r="J1176" i="5" s="1"/>
  <c r="I1176" i="5" s="1"/>
  <c r="E1176" i="5"/>
  <c r="D1176" i="5"/>
  <c r="B1176" i="5"/>
  <c r="Q1175" i="5"/>
  <c r="P1175" i="5"/>
  <c r="O1175" i="5"/>
  <c r="N1175" i="5"/>
  <c r="K1175" i="5"/>
  <c r="H1175" i="5"/>
  <c r="J1175" i="5" s="1"/>
  <c r="I1175" i="5" s="1"/>
  <c r="E1175" i="5"/>
  <c r="D1175" i="5"/>
  <c r="B1175" i="5"/>
  <c r="Q1174" i="5"/>
  <c r="P1174" i="5"/>
  <c r="O1174" i="5"/>
  <c r="N1174" i="5"/>
  <c r="K1174" i="5"/>
  <c r="H1174" i="5"/>
  <c r="G1174" i="5" s="1"/>
  <c r="E1174" i="5"/>
  <c r="D1174" i="5"/>
  <c r="B1174" i="5"/>
  <c r="Q1173" i="5"/>
  <c r="P1173" i="5"/>
  <c r="O1173" i="5"/>
  <c r="N1173" i="5"/>
  <c r="K1173" i="5"/>
  <c r="H1173" i="5"/>
  <c r="G1173" i="5" s="1"/>
  <c r="E1173" i="5"/>
  <c r="D1173" i="5"/>
  <c r="B1173" i="5"/>
  <c r="Q1172" i="5"/>
  <c r="P1172" i="5"/>
  <c r="O1172" i="5"/>
  <c r="N1172" i="5"/>
  <c r="K1172" i="5"/>
  <c r="H1172" i="5"/>
  <c r="E1172" i="5"/>
  <c r="D1172" i="5"/>
  <c r="B1172" i="5"/>
  <c r="Q1171" i="5"/>
  <c r="P1171" i="5"/>
  <c r="O1171" i="5"/>
  <c r="N1171" i="5"/>
  <c r="K1171" i="5"/>
  <c r="H1171" i="5"/>
  <c r="J1171" i="5" s="1"/>
  <c r="I1171" i="5" s="1"/>
  <c r="E1171" i="5"/>
  <c r="D1171" i="5"/>
  <c r="B1171" i="5"/>
  <c r="Q1170" i="5"/>
  <c r="P1170" i="5"/>
  <c r="O1170" i="5"/>
  <c r="N1170" i="5"/>
  <c r="K1170" i="5"/>
  <c r="H1170" i="5"/>
  <c r="G1170" i="5" s="1"/>
  <c r="E1170" i="5"/>
  <c r="D1170" i="5"/>
  <c r="B1170" i="5"/>
  <c r="Q1169" i="5"/>
  <c r="P1169" i="5"/>
  <c r="O1169" i="5"/>
  <c r="N1169" i="5"/>
  <c r="K1169" i="5"/>
  <c r="H1169" i="5"/>
  <c r="E1169" i="5"/>
  <c r="D1169" i="5"/>
  <c r="B1169" i="5"/>
  <c r="Q1168" i="5"/>
  <c r="P1168" i="5"/>
  <c r="O1168" i="5"/>
  <c r="N1168" i="5"/>
  <c r="K1168" i="5"/>
  <c r="H1168" i="5"/>
  <c r="G1168" i="5" s="1"/>
  <c r="E1168" i="5"/>
  <c r="D1168" i="5"/>
  <c r="B1168" i="5"/>
  <c r="Q1167" i="5"/>
  <c r="P1167" i="5"/>
  <c r="O1167" i="5"/>
  <c r="N1167" i="5"/>
  <c r="K1167" i="5"/>
  <c r="H1167" i="5"/>
  <c r="J1167" i="5" s="1"/>
  <c r="I1167" i="5" s="1"/>
  <c r="E1167" i="5"/>
  <c r="D1167" i="5"/>
  <c r="B1167" i="5"/>
  <c r="Q1166" i="5"/>
  <c r="P1166" i="5"/>
  <c r="O1166" i="5"/>
  <c r="N1166" i="5"/>
  <c r="K1166" i="5"/>
  <c r="H1166" i="5"/>
  <c r="G1166" i="5" s="1"/>
  <c r="E1166" i="5"/>
  <c r="D1166" i="5"/>
  <c r="B1166" i="5"/>
  <c r="Q1165" i="5"/>
  <c r="P1165" i="5"/>
  <c r="O1165" i="5"/>
  <c r="N1165" i="5"/>
  <c r="K1165" i="5"/>
  <c r="H1165" i="5"/>
  <c r="E1165" i="5"/>
  <c r="D1165" i="5"/>
  <c r="B1165" i="5"/>
  <c r="Q1164" i="5"/>
  <c r="P1164" i="5"/>
  <c r="O1164" i="5"/>
  <c r="N1164" i="5"/>
  <c r="K1164" i="5"/>
  <c r="H1164" i="5"/>
  <c r="E1164" i="5"/>
  <c r="D1164" i="5"/>
  <c r="B1164" i="5"/>
  <c r="Q1163" i="5"/>
  <c r="P1163" i="5"/>
  <c r="O1163" i="5"/>
  <c r="N1163" i="5"/>
  <c r="K1163" i="5"/>
  <c r="H1163" i="5"/>
  <c r="J1163" i="5" s="1"/>
  <c r="I1163" i="5" s="1"/>
  <c r="E1163" i="5"/>
  <c r="D1163" i="5"/>
  <c r="B1163" i="5"/>
  <c r="Q1162" i="5"/>
  <c r="P1162" i="5"/>
  <c r="O1162" i="5"/>
  <c r="N1162" i="5"/>
  <c r="K1162" i="5"/>
  <c r="H1162" i="5"/>
  <c r="E1162" i="5"/>
  <c r="D1162" i="5"/>
  <c r="B1162" i="5"/>
  <c r="Q1161" i="5"/>
  <c r="P1161" i="5"/>
  <c r="O1161" i="5"/>
  <c r="N1161" i="5"/>
  <c r="K1161" i="5"/>
  <c r="H1161" i="5"/>
  <c r="J1161" i="5" s="1"/>
  <c r="I1161" i="5" s="1"/>
  <c r="E1161" i="5"/>
  <c r="D1161" i="5"/>
  <c r="B1161" i="5"/>
  <c r="Q1160" i="5"/>
  <c r="P1160" i="5"/>
  <c r="O1160" i="5"/>
  <c r="N1160" i="5"/>
  <c r="K1160" i="5"/>
  <c r="H1160" i="5"/>
  <c r="G1160" i="5" s="1"/>
  <c r="E1160" i="5"/>
  <c r="D1160" i="5"/>
  <c r="B1160" i="5"/>
  <c r="Q1159" i="5"/>
  <c r="P1159" i="5"/>
  <c r="O1159" i="5"/>
  <c r="N1159" i="5"/>
  <c r="K1159" i="5"/>
  <c r="H1159" i="5"/>
  <c r="E1159" i="5"/>
  <c r="D1159" i="5"/>
  <c r="B1159" i="5"/>
  <c r="Q1158" i="5"/>
  <c r="P1158" i="5"/>
  <c r="O1158" i="5"/>
  <c r="N1158" i="5"/>
  <c r="K1158" i="5"/>
  <c r="H1158" i="5"/>
  <c r="J1158" i="5" s="1"/>
  <c r="I1158" i="5" s="1"/>
  <c r="E1158" i="5"/>
  <c r="D1158" i="5"/>
  <c r="B1158" i="5"/>
  <c r="Q1157" i="5"/>
  <c r="P1157" i="5"/>
  <c r="O1157" i="5"/>
  <c r="N1157" i="5"/>
  <c r="K1157" i="5"/>
  <c r="H1157" i="5"/>
  <c r="E1157" i="5"/>
  <c r="D1157" i="5"/>
  <c r="B1157" i="5"/>
  <c r="Q1156" i="5"/>
  <c r="P1156" i="5"/>
  <c r="O1156" i="5"/>
  <c r="N1156" i="5"/>
  <c r="K1156" i="5"/>
  <c r="H1156" i="5"/>
  <c r="J1156" i="5" s="1"/>
  <c r="I1156" i="5" s="1"/>
  <c r="E1156" i="5"/>
  <c r="D1156" i="5"/>
  <c r="B1156" i="5"/>
  <c r="Q1155" i="5"/>
  <c r="P1155" i="5"/>
  <c r="O1155" i="5"/>
  <c r="N1155" i="5"/>
  <c r="K1155" i="5"/>
  <c r="H1155" i="5"/>
  <c r="G1155" i="5" s="1"/>
  <c r="E1155" i="5"/>
  <c r="D1155" i="5"/>
  <c r="B1155" i="5"/>
  <c r="Q1154" i="5"/>
  <c r="P1154" i="5"/>
  <c r="O1154" i="5"/>
  <c r="N1154" i="5"/>
  <c r="K1154" i="5"/>
  <c r="H1154" i="5"/>
  <c r="E1154" i="5"/>
  <c r="D1154" i="5"/>
  <c r="B1154" i="5"/>
  <c r="Q1153" i="5"/>
  <c r="P1153" i="5"/>
  <c r="O1153" i="5"/>
  <c r="N1153" i="5"/>
  <c r="K1153" i="5"/>
  <c r="H1153" i="5"/>
  <c r="E1153" i="5"/>
  <c r="D1153" i="5"/>
  <c r="B1153" i="5"/>
  <c r="Q1152" i="5"/>
  <c r="P1152" i="5"/>
  <c r="O1152" i="5"/>
  <c r="N1152" i="5"/>
  <c r="K1152" i="5"/>
  <c r="H1152" i="5"/>
  <c r="G1152" i="5" s="1"/>
  <c r="E1152" i="5"/>
  <c r="D1152" i="5"/>
  <c r="B1152" i="5"/>
  <c r="Q1151" i="5"/>
  <c r="P1151" i="5"/>
  <c r="O1151" i="5"/>
  <c r="N1151" i="5"/>
  <c r="K1151" i="5"/>
  <c r="H1151" i="5"/>
  <c r="J1151" i="5" s="1"/>
  <c r="I1151" i="5" s="1"/>
  <c r="E1151" i="5"/>
  <c r="D1151" i="5"/>
  <c r="B1151" i="5"/>
  <c r="Q1150" i="5"/>
  <c r="P1150" i="5"/>
  <c r="O1150" i="5"/>
  <c r="N1150" i="5"/>
  <c r="K1150" i="5"/>
  <c r="H1150" i="5"/>
  <c r="E1150" i="5"/>
  <c r="D1150" i="5"/>
  <c r="B1150" i="5"/>
  <c r="Q1149" i="5"/>
  <c r="P1149" i="5"/>
  <c r="O1149" i="5"/>
  <c r="N1149" i="5"/>
  <c r="K1149" i="5"/>
  <c r="H1149" i="5"/>
  <c r="J1149" i="5" s="1"/>
  <c r="I1149" i="5" s="1"/>
  <c r="E1149" i="5"/>
  <c r="D1149" i="5"/>
  <c r="B1149" i="5"/>
  <c r="Q1148" i="5"/>
  <c r="P1148" i="5"/>
  <c r="O1148" i="5"/>
  <c r="N1148" i="5"/>
  <c r="K1148" i="5"/>
  <c r="H1148" i="5"/>
  <c r="E1148" i="5"/>
  <c r="D1148" i="5"/>
  <c r="B1148" i="5"/>
  <c r="Q1147" i="5"/>
  <c r="P1147" i="5"/>
  <c r="O1147" i="5"/>
  <c r="N1147" i="5"/>
  <c r="K1147" i="5"/>
  <c r="H1147" i="5"/>
  <c r="J1147" i="5" s="1"/>
  <c r="I1147" i="5" s="1"/>
  <c r="E1147" i="5"/>
  <c r="D1147" i="5"/>
  <c r="B1147" i="5"/>
  <c r="Q1146" i="5"/>
  <c r="P1146" i="5"/>
  <c r="O1146" i="5"/>
  <c r="N1146" i="5"/>
  <c r="K1146" i="5"/>
  <c r="H1146" i="5"/>
  <c r="G1146" i="5" s="1"/>
  <c r="E1146" i="5"/>
  <c r="D1146" i="5"/>
  <c r="B1146" i="5"/>
  <c r="Q1145" i="5"/>
  <c r="P1145" i="5"/>
  <c r="O1145" i="5"/>
  <c r="N1145" i="5"/>
  <c r="K1145" i="5"/>
  <c r="H1145" i="5"/>
  <c r="J1145" i="5" s="1"/>
  <c r="I1145" i="5" s="1"/>
  <c r="E1145" i="5"/>
  <c r="D1145" i="5"/>
  <c r="B1145" i="5"/>
  <c r="Q1144" i="5"/>
  <c r="P1144" i="5"/>
  <c r="O1144" i="5"/>
  <c r="N1144" i="5"/>
  <c r="K1144" i="5"/>
  <c r="H1144" i="5"/>
  <c r="J1144" i="5" s="1"/>
  <c r="I1144" i="5" s="1"/>
  <c r="E1144" i="5"/>
  <c r="D1144" i="5"/>
  <c r="B1144" i="5"/>
  <c r="Q1143" i="5"/>
  <c r="P1143" i="5"/>
  <c r="O1143" i="5"/>
  <c r="N1143" i="5"/>
  <c r="K1143" i="5"/>
  <c r="H1143" i="5"/>
  <c r="J1143" i="5" s="1"/>
  <c r="I1143" i="5" s="1"/>
  <c r="E1143" i="5"/>
  <c r="D1143" i="5"/>
  <c r="B1143" i="5"/>
  <c r="Q1142" i="5"/>
  <c r="P1142" i="5"/>
  <c r="O1142" i="5"/>
  <c r="N1142" i="5"/>
  <c r="K1142" i="5"/>
  <c r="H1142" i="5"/>
  <c r="E1142" i="5"/>
  <c r="D1142" i="5"/>
  <c r="B1142" i="5"/>
  <c r="Q1141" i="5"/>
  <c r="P1141" i="5"/>
  <c r="O1141" i="5"/>
  <c r="N1141" i="5"/>
  <c r="K1141" i="5"/>
  <c r="H1141" i="5"/>
  <c r="J1141" i="5" s="1"/>
  <c r="I1141" i="5" s="1"/>
  <c r="E1141" i="5"/>
  <c r="D1141" i="5"/>
  <c r="B1141" i="5"/>
  <c r="Q1140" i="5"/>
  <c r="P1140" i="5"/>
  <c r="O1140" i="5"/>
  <c r="N1140" i="5"/>
  <c r="K1140" i="5"/>
  <c r="H1140" i="5"/>
  <c r="E1140" i="5"/>
  <c r="D1140" i="5"/>
  <c r="B1140" i="5"/>
  <c r="Q1139" i="5"/>
  <c r="P1139" i="5"/>
  <c r="O1139" i="5"/>
  <c r="N1139" i="5"/>
  <c r="K1139" i="5"/>
  <c r="H1139" i="5"/>
  <c r="G1139" i="5" s="1"/>
  <c r="E1139" i="5"/>
  <c r="D1139" i="5"/>
  <c r="B1139" i="5"/>
  <c r="Q1138" i="5"/>
  <c r="P1138" i="5"/>
  <c r="O1138" i="5"/>
  <c r="N1138" i="5"/>
  <c r="K1138" i="5"/>
  <c r="H1138" i="5"/>
  <c r="J1138" i="5" s="1"/>
  <c r="I1138" i="5" s="1"/>
  <c r="E1138" i="5"/>
  <c r="D1138" i="5"/>
  <c r="B1138" i="5"/>
  <c r="Q1137" i="5"/>
  <c r="P1137" i="5"/>
  <c r="O1137" i="5"/>
  <c r="N1137" i="5"/>
  <c r="K1137" i="5"/>
  <c r="H1137" i="5"/>
  <c r="J1137" i="5" s="1"/>
  <c r="I1137" i="5" s="1"/>
  <c r="E1137" i="5"/>
  <c r="D1137" i="5"/>
  <c r="B1137" i="5"/>
  <c r="Q1136" i="5"/>
  <c r="P1136" i="5"/>
  <c r="O1136" i="5"/>
  <c r="N1136" i="5"/>
  <c r="K1136" i="5"/>
  <c r="H1136" i="5"/>
  <c r="J1136" i="5" s="1"/>
  <c r="I1136" i="5" s="1"/>
  <c r="G1136" i="5"/>
  <c r="E1136" i="5"/>
  <c r="D1136" i="5"/>
  <c r="B1136" i="5"/>
  <c r="Q1135" i="5"/>
  <c r="P1135" i="5"/>
  <c r="O1135" i="5"/>
  <c r="N1135" i="5"/>
  <c r="K1135" i="5"/>
  <c r="H1135" i="5"/>
  <c r="E1135" i="5"/>
  <c r="D1135" i="5"/>
  <c r="B1135" i="5"/>
  <c r="Q1134" i="5"/>
  <c r="P1134" i="5"/>
  <c r="O1134" i="5"/>
  <c r="N1134" i="5"/>
  <c r="K1134" i="5"/>
  <c r="H1134" i="5"/>
  <c r="J1134" i="5" s="1"/>
  <c r="I1134" i="5" s="1"/>
  <c r="E1134" i="5"/>
  <c r="D1134" i="5"/>
  <c r="B1134" i="5"/>
  <c r="Q1133" i="5"/>
  <c r="P1133" i="5"/>
  <c r="O1133" i="5"/>
  <c r="N1133" i="5"/>
  <c r="K1133" i="5"/>
  <c r="H1133" i="5"/>
  <c r="J1133" i="5" s="1"/>
  <c r="I1133" i="5" s="1"/>
  <c r="E1133" i="5"/>
  <c r="D1133" i="5"/>
  <c r="B1133" i="5"/>
  <c r="Q1132" i="5"/>
  <c r="P1132" i="5"/>
  <c r="O1132" i="5"/>
  <c r="N1132" i="5"/>
  <c r="K1132" i="5"/>
  <c r="H1132" i="5"/>
  <c r="J1132" i="5" s="1"/>
  <c r="I1132" i="5" s="1"/>
  <c r="E1132" i="5"/>
  <c r="D1132" i="5"/>
  <c r="B1132" i="5"/>
  <c r="Q1131" i="5"/>
  <c r="P1131" i="5"/>
  <c r="O1131" i="5"/>
  <c r="N1131" i="5"/>
  <c r="K1131" i="5"/>
  <c r="H1131" i="5"/>
  <c r="J1131" i="5" s="1"/>
  <c r="I1131" i="5" s="1"/>
  <c r="E1131" i="5"/>
  <c r="D1131" i="5"/>
  <c r="B1131" i="5"/>
  <c r="Q1130" i="5"/>
  <c r="P1130" i="5"/>
  <c r="O1130" i="5"/>
  <c r="N1130" i="5"/>
  <c r="K1130" i="5"/>
  <c r="H1130" i="5"/>
  <c r="E1130" i="5"/>
  <c r="D1130" i="5"/>
  <c r="B1130" i="5"/>
  <c r="Q1129" i="5"/>
  <c r="P1129" i="5"/>
  <c r="O1129" i="5"/>
  <c r="N1129" i="5"/>
  <c r="K1129" i="5"/>
  <c r="H1129" i="5"/>
  <c r="J1129" i="5" s="1"/>
  <c r="I1129" i="5" s="1"/>
  <c r="E1129" i="5"/>
  <c r="D1129" i="5"/>
  <c r="B1129" i="5"/>
  <c r="Q1128" i="5"/>
  <c r="P1128" i="5"/>
  <c r="O1128" i="5"/>
  <c r="N1128" i="5"/>
  <c r="K1128" i="5"/>
  <c r="H1128" i="5"/>
  <c r="J1128" i="5" s="1"/>
  <c r="I1128" i="5" s="1"/>
  <c r="E1128" i="5"/>
  <c r="D1128" i="5"/>
  <c r="B1128" i="5"/>
  <c r="Q1127" i="5"/>
  <c r="P1127" i="5"/>
  <c r="O1127" i="5"/>
  <c r="N1127" i="5"/>
  <c r="K1127" i="5"/>
  <c r="H1127" i="5"/>
  <c r="E1127" i="5"/>
  <c r="D1127" i="5"/>
  <c r="B1127" i="5"/>
  <c r="Q1126" i="5"/>
  <c r="P1126" i="5"/>
  <c r="O1126" i="5"/>
  <c r="N1126" i="5"/>
  <c r="K1126" i="5"/>
  <c r="H1126" i="5"/>
  <c r="J1126" i="5" s="1"/>
  <c r="I1126" i="5" s="1"/>
  <c r="E1126" i="5"/>
  <c r="D1126" i="5"/>
  <c r="B1126" i="5"/>
  <c r="Q1125" i="5"/>
  <c r="P1125" i="5"/>
  <c r="O1125" i="5"/>
  <c r="N1125" i="5"/>
  <c r="K1125" i="5"/>
  <c r="H1125" i="5"/>
  <c r="J1125" i="5" s="1"/>
  <c r="I1125" i="5" s="1"/>
  <c r="E1125" i="5"/>
  <c r="D1125" i="5"/>
  <c r="B1125" i="5"/>
  <c r="Q1124" i="5"/>
  <c r="P1124" i="5"/>
  <c r="O1124" i="5"/>
  <c r="N1124" i="5"/>
  <c r="K1124" i="5"/>
  <c r="H1124" i="5"/>
  <c r="E1124" i="5"/>
  <c r="D1124" i="5"/>
  <c r="B1124" i="5"/>
  <c r="Q1123" i="5"/>
  <c r="P1123" i="5"/>
  <c r="O1123" i="5"/>
  <c r="N1123" i="5"/>
  <c r="K1123" i="5"/>
  <c r="H1123" i="5"/>
  <c r="J1123" i="5" s="1"/>
  <c r="I1123" i="5" s="1"/>
  <c r="E1123" i="5"/>
  <c r="D1123" i="5"/>
  <c r="B1123" i="5"/>
  <c r="Q1122" i="5"/>
  <c r="P1122" i="5"/>
  <c r="O1122" i="5"/>
  <c r="N1122" i="5"/>
  <c r="K1122" i="5"/>
  <c r="H1122" i="5"/>
  <c r="G1122" i="5" s="1"/>
  <c r="E1122" i="5"/>
  <c r="D1122" i="5"/>
  <c r="B1122" i="5"/>
  <c r="Q1121" i="5"/>
  <c r="P1121" i="5"/>
  <c r="O1121" i="5"/>
  <c r="N1121" i="5"/>
  <c r="K1121" i="5"/>
  <c r="H1121" i="5"/>
  <c r="J1121" i="5" s="1"/>
  <c r="I1121" i="5" s="1"/>
  <c r="E1121" i="5"/>
  <c r="D1121" i="5"/>
  <c r="B1121" i="5"/>
  <c r="Q1120" i="5"/>
  <c r="P1120" i="5"/>
  <c r="O1120" i="5"/>
  <c r="N1120" i="5"/>
  <c r="K1120" i="5"/>
  <c r="H1120" i="5"/>
  <c r="E1120" i="5"/>
  <c r="D1120" i="5"/>
  <c r="B1120" i="5"/>
  <c r="Q1119" i="5"/>
  <c r="P1119" i="5"/>
  <c r="O1119" i="5"/>
  <c r="N1119" i="5"/>
  <c r="K1119" i="5"/>
  <c r="H1119" i="5"/>
  <c r="G1119" i="5" s="1"/>
  <c r="E1119" i="5"/>
  <c r="D1119" i="5"/>
  <c r="B1119" i="5"/>
  <c r="Q1118" i="5"/>
  <c r="P1118" i="5"/>
  <c r="O1118" i="5"/>
  <c r="N1118" i="5"/>
  <c r="K1118" i="5"/>
  <c r="H1118" i="5"/>
  <c r="G1118" i="5" s="1"/>
  <c r="E1118" i="5"/>
  <c r="D1118" i="5"/>
  <c r="B1118" i="5"/>
  <c r="Q1117" i="5"/>
  <c r="P1117" i="5"/>
  <c r="O1117" i="5"/>
  <c r="N1117" i="5"/>
  <c r="K1117" i="5"/>
  <c r="H1117" i="5"/>
  <c r="G1117" i="5" s="1"/>
  <c r="E1117" i="5"/>
  <c r="D1117" i="5"/>
  <c r="B1117" i="5"/>
  <c r="Q1116" i="5"/>
  <c r="P1116" i="5"/>
  <c r="O1116" i="5"/>
  <c r="N1116" i="5"/>
  <c r="K1116" i="5"/>
  <c r="H1116" i="5"/>
  <c r="J1116" i="5" s="1"/>
  <c r="I1116" i="5" s="1"/>
  <c r="E1116" i="5"/>
  <c r="D1116" i="5"/>
  <c r="B1116" i="5"/>
  <c r="Q1115" i="5"/>
  <c r="P1115" i="5"/>
  <c r="O1115" i="5"/>
  <c r="N1115" i="5"/>
  <c r="K1115" i="5"/>
  <c r="H1115" i="5"/>
  <c r="G1115" i="5" s="1"/>
  <c r="E1115" i="5"/>
  <c r="D1115" i="5"/>
  <c r="B1115" i="5"/>
  <c r="Q1114" i="5"/>
  <c r="P1114" i="5"/>
  <c r="R1114" i="5" s="1"/>
  <c r="O1114" i="5"/>
  <c r="N1114" i="5"/>
  <c r="K1114" i="5"/>
  <c r="H1114" i="5"/>
  <c r="G1114" i="5" s="1"/>
  <c r="E1114" i="5"/>
  <c r="D1114" i="5"/>
  <c r="B1114" i="5"/>
  <c r="Q1113" i="5"/>
  <c r="P1113" i="5"/>
  <c r="O1113" i="5"/>
  <c r="N1113" i="5"/>
  <c r="K1113" i="5"/>
  <c r="H1113" i="5"/>
  <c r="G1113" i="5" s="1"/>
  <c r="E1113" i="5"/>
  <c r="D1113" i="5"/>
  <c r="B1113" i="5"/>
  <c r="Q1112" i="5"/>
  <c r="P1112" i="5"/>
  <c r="O1112" i="5"/>
  <c r="N1112" i="5"/>
  <c r="K1112" i="5"/>
  <c r="H1112" i="5"/>
  <c r="G1112" i="5" s="1"/>
  <c r="E1112" i="5"/>
  <c r="D1112" i="5"/>
  <c r="B1112" i="5"/>
  <c r="Q1111" i="5"/>
  <c r="P1111" i="5"/>
  <c r="O1111" i="5"/>
  <c r="N1111" i="5"/>
  <c r="K1111" i="5"/>
  <c r="H1111" i="5"/>
  <c r="J1111" i="5" s="1"/>
  <c r="I1111" i="5" s="1"/>
  <c r="E1111" i="5"/>
  <c r="D1111" i="5"/>
  <c r="B1111" i="5"/>
  <c r="Q1110" i="5"/>
  <c r="P1110" i="5"/>
  <c r="O1110" i="5"/>
  <c r="N1110" i="5"/>
  <c r="K1110" i="5"/>
  <c r="H1110" i="5"/>
  <c r="J1110" i="5" s="1"/>
  <c r="I1110" i="5" s="1"/>
  <c r="E1110" i="5"/>
  <c r="D1110" i="5"/>
  <c r="B1110" i="5"/>
  <c r="Q1109" i="5"/>
  <c r="P1109" i="5"/>
  <c r="O1109" i="5"/>
  <c r="N1109" i="5"/>
  <c r="K1109" i="5"/>
  <c r="H1109" i="5"/>
  <c r="J1109" i="5" s="1"/>
  <c r="I1109" i="5" s="1"/>
  <c r="E1109" i="5"/>
  <c r="D1109" i="5"/>
  <c r="B1109" i="5"/>
  <c r="Q1108" i="5"/>
  <c r="P1108" i="5"/>
  <c r="O1108" i="5"/>
  <c r="N1108" i="5"/>
  <c r="K1108" i="5"/>
  <c r="H1108" i="5"/>
  <c r="G1108" i="5" s="1"/>
  <c r="E1108" i="5"/>
  <c r="D1108" i="5"/>
  <c r="B1108" i="5"/>
  <c r="Q1107" i="5"/>
  <c r="P1107" i="5"/>
  <c r="O1107" i="5"/>
  <c r="N1107" i="5"/>
  <c r="K1107" i="5"/>
  <c r="H1107" i="5"/>
  <c r="G1107" i="5" s="1"/>
  <c r="E1107" i="5"/>
  <c r="D1107" i="5"/>
  <c r="B1107" i="5"/>
  <c r="Q1106" i="5"/>
  <c r="P1106" i="5"/>
  <c r="O1106" i="5"/>
  <c r="N1106" i="5"/>
  <c r="K1106" i="5"/>
  <c r="H1106" i="5"/>
  <c r="E1106" i="5"/>
  <c r="D1106" i="5"/>
  <c r="B1106" i="5"/>
  <c r="Q1105" i="5"/>
  <c r="P1105" i="5"/>
  <c r="O1105" i="5"/>
  <c r="N1105" i="5"/>
  <c r="K1105" i="5"/>
  <c r="H1105" i="5"/>
  <c r="J1105" i="5" s="1"/>
  <c r="I1105" i="5" s="1"/>
  <c r="E1105" i="5"/>
  <c r="D1105" i="5"/>
  <c r="B1105" i="5"/>
  <c r="Q1104" i="5"/>
  <c r="P1104" i="5"/>
  <c r="O1104" i="5"/>
  <c r="N1104" i="5"/>
  <c r="K1104" i="5"/>
  <c r="H1104" i="5"/>
  <c r="G1104" i="5" s="1"/>
  <c r="E1104" i="5"/>
  <c r="D1104" i="5"/>
  <c r="B1104" i="5"/>
  <c r="Q1103" i="5"/>
  <c r="P1103" i="5"/>
  <c r="O1103" i="5"/>
  <c r="N1103" i="5"/>
  <c r="K1103" i="5"/>
  <c r="H1103" i="5"/>
  <c r="J1103" i="5" s="1"/>
  <c r="I1103" i="5" s="1"/>
  <c r="E1103" i="5"/>
  <c r="D1103" i="5"/>
  <c r="B1103" i="5"/>
  <c r="Q1102" i="5"/>
  <c r="P1102" i="5"/>
  <c r="O1102" i="5"/>
  <c r="N1102" i="5"/>
  <c r="K1102" i="5"/>
  <c r="H1102" i="5"/>
  <c r="J1102" i="5" s="1"/>
  <c r="I1102" i="5" s="1"/>
  <c r="E1102" i="5"/>
  <c r="D1102" i="5"/>
  <c r="B1102" i="5"/>
  <c r="Q1101" i="5"/>
  <c r="P1101" i="5"/>
  <c r="O1101" i="5"/>
  <c r="N1101" i="5"/>
  <c r="K1101" i="5"/>
  <c r="H1101" i="5"/>
  <c r="J1101" i="5" s="1"/>
  <c r="I1101" i="5" s="1"/>
  <c r="E1101" i="5"/>
  <c r="D1101" i="5"/>
  <c r="B1101" i="5"/>
  <c r="Q1100" i="5"/>
  <c r="P1100" i="5"/>
  <c r="O1100" i="5"/>
  <c r="N1100" i="5"/>
  <c r="K1100" i="5"/>
  <c r="H1100" i="5"/>
  <c r="J1100" i="5" s="1"/>
  <c r="I1100" i="5" s="1"/>
  <c r="E1100" i="5"/>
  <c r="D1100" i="5"/>
  <c r="B1100" i="5"/>
  <c r="Q1099" i="5"/>
  <c r="P1099" i="5"/>
  <c r="O1099" i="5"/>
  <c r="N1099" i="5"/>
  <c r="K1099" i="5"/>
  <c r="H1099" i="5"/>
  <c r="J1099" i="5" s="1"/>
  <c r="I1099" i="5" s="1"/>
  <c r="E1099" i="5"/>
  <c r="D1099" i="5"/>
  <c r="B1099" i="5"/>
  <c r="Q1098" i="5"/>
  <c r="P1098" i="5"/>
  <c r="O1098" i="5"/>
  <c r="N1098" i="5"/>
  <c r="K1098" i="5"/>
  <c r="H1098" i="5"/>
  <c r="G1098" i="5" s="1"/>
  <c r="E1098" i="5"/>
  <c r="D1098" i="5"/>
  <c r="B1098" i="5"/>
  <c r="Q1097" i="5"/>
  <c r="P1097" i="5"/>
  <c r="O1097" i="5"/>
  <c r="N1097" i="5"/>
  <c r="K1097" i="5"/>
  <c r="H1097" i="5"/>
  <c r="E1097" i="5"/>
  <c r="D1097" i="5"/>
  <c r="B1097" i="5"/>
  <c r="Q1096" i="5"/>
  <c r="P1096" i="5"/>
  <c r="O1096" i="5"/>
  <c r="N1096" i="5"/>
  <c r="K1096" i="5"/>
  <c r="H1096" i="5"/>
  <c r="J1096" i="5" s="1"/>
  <c r="I1096" i="5" s="1"/>
  <c r="E1096" i="5"/>
  <c r="D1096" i="5"/>
  <c r="B1096" i="5"/>
  <c r="Q1095" i="5"/>
  <c r="P1095" i="5"/>
  <c r="O1095" i="5"/>
  <c r="N1095" i="5"/>
  <c r="K1095" i="5"/>
  <c r="H1095" i="5"/>
  <c r="J1095" i="5" s="1"/>
  <c r="I1095" i="5" s="1"/>
  <c r="E1095" i="5"/>
  <c r="D1095" i="5"/>
  <c r="B1095" i="5"/>
  <c r="Q1094" i="5"/>
  <c r="P1094" i="5"/>
  <c r="O1094" i="5"/>
  <c r="N1094" i="5"/>
  <c r="K1094" i="5"/>
  <c r="H1094" i="5"/>
  <c r="E1094" i="5"/>
  <c r="D1094" i="5"/>
  <c r="B1094" i="5"/>
  <c r="Q1093" i="5"/>
  <c r="P1093" i="5"/>
  <c r="O1093" i="5"/>
  <c r="N1093" i="5"/>
  <c r="K1093" i="5"/>
  <c r="H1093" i="5"/>
  <c r="J1093" i="5" s="1"/>
  <c r="I1093" i="5" s="1"/>
  <c r="E1093" i="5"/>
  <c r="D1093" i="5"/>
  <c r="B1093" i="5"/>
  <c r="Q1092" i="5"/>
  <c r="P1092" i="5"/>
  <c r="O1092" i="5"/>
  <c r="N1092" i="5"/>
  <c r="K1092" i="5"/>
  <c r="H1092" i="5"/>
  <c r="G1092" i="5" s="1"/>
  <c r="E1092" i="5"/>
  <c r="D1092" i="5"/>
  <c r="B1092" i="5"/>
  <c r="Q1091" i="5"/>
  <c r="P1091" i="5"/>
  <c r="R1091" i="5" s="1"/>
  <c r="O1091" i="5"/>
  <c r="N1091" i="5"/>
  <c r="K1091" i="5"/>
  <c r="H1091" i="5"/>
  <c r="J1091" i="5" s="1"/>
  <c r="I1091" i="5" s="1"/>
  <c r="E1091" i="5"/>
  <c r="D1091" i="5"/>
  <c r="B1091" i="5"/>
  <c r="Q1090" i="5"/>
  <c r="P1090" i="5"/>
  <c r="O1090" i="5"/>
  <c r="N1090" i="5"/>
  <c r="K1090" i="5"/>
  <c r="H1090" i="5"/>
  <c r="J1090" i="5" s="1"/>
  <c r="I1090" i="5" s="1"/>
  <c r="E1090" i="5"/>
  <c r="D1090" i="5"/>
  <c r="B1090" i="5"/>
  <c r="Q1089" i="5"/>
  <c r="P1089" i="5"/>
  <c r="O1089" i="5"/>
  <c r="N1089" i="5"/>
  <c r="K1089" i="5"/>
  <c r="H1089" i="5"/>
  <c r="E1089" i="5"/>
  <c r="D1089" i="5"/>
  <c r="B1089" i="5"/>
  <c r="Q1088" i="5"/>
  <c r="P1088" i="5"/>
  <c r="O1088" i="5"/>
  <c r="N1088" i="5"/>
  <c r="K1088" i="5"/>
  <c r="H1088" i="5"/>
  <c r="G1088" i="5" s="1"/>
  <c r="E1088" i="5"/>
  <c r="D1088" i="5"/>
  <c r="B1088" i="5"/>
  <c r="Q1087" i="5"/>
  <c r="P1087" i="5"/>
  <c r="O1087" i="5"/>
  <c r="N1087" i="5"/>
  <c r="K1087" i="5"/>
  <c r="H1087" i="5"/>
  <c r="G1087" i="5" s="1"/>
  <c r="E1087" i="5"/>
  <c r="D1087" i="5"/>
  <c r="B1087" i="5"/>
  <c r="Q1086" i="5"/>
  <c r="P1086" i="5"/>
  <c r="O1086" i="5"/>
  <c r="N1086" i="5"/>
  <c r="K1086" i="5"/>
  <c r="H1086" i="5"/>
  <c r="E1086" i="5"/>
  <c r="D1086" i="5"/>
  <c r="B1086" i="5"/>
  <c r="Q1085" i="5"/>
  <c r="P1085" i="5"/>
  <c r="O1085" i="5"/>
  <c r="N1085" i="5"/>
  <c r="K1085" i="5"/>
  <c r="H1085" i="5"/>
  <c r="G1085" i="5" s="1"/>
  <c r="E1085" i="5"/>
  <c r="D1085" i="5"/>
  <c r="B1085" i="5"/>
  <c r="Q1084" i="5"/>
  <c r="P1084" i="5"/>
  <c r="O1084" i="5"/>
  <c r="N1084" i="5"/>
  <c r="K1084" i="5"/>
  <c r="H1084" i="5"/>
  <c r="J1084" i="5" s="1"/>
  <c r="I1084" i="5" s="1"/>
  <c r="E1084" i="5"/>
  <c r="D1084" i="5"/>
  <c r="B1084" i="5"/>
  <c r="Q1083" i="5"/>
  <c r="P1083" i="5"/>
  <c r="O1083" i="5"/>
  <c r="N1083" i="5"/>
  <c r="K1083" i="5"/>
  <c r="H1083" i="5"/>
  <c r="J1083" i="5" s="1"/>
  <c r="I1083" i="5" s="1"/>
  <c r="E1083" i="5"/>
  <c r="D1083" i="5"/>
  <c r="B1083" i="5"/>
  <c r="Q1082" i="5"/>
  <c r="P1082" i="5"/>
  <c r="O1082" i="5"/>
  <c r="N1082" i="5"/>
  <c r="K1082" i="5"/>
  <c r="H1082" i="5"/>
  <c r="G1082" i="5" s="1"/>
  <c r="E1082" i="5"/>
  <c r="D1082" i="5"/>
  <c r="B1082" i="5"/>
  <c r="Q1081" i="5"/>
  <c r="P1081" i="5"/>
  <c r="O1081" i="5"/>
  <c r="N1081" i="5"/>
  <c r="K1081" i="5"/>
  <c r="H1081" i="5"/>
  <c r="J1081" i="5" s="1"/>
  <c r="I1081" i="5" s="1"/>
  <c r="E1081" i="5"/>
  <c r="D1081" i="5"/>
  <c r="B1081" i="5"/>
  <c r="Q1080" i="5"/>
  <c r="P1080" i="5"/>
  <c r="O1080" i="5"/>
  <c r="N1080" i="5"/>
  <c r="K1080" i="5"/>
  <c r="H1080" i="5"/>
  <c r="J1080" i="5" s="1"/>
  <c r="I1080" i="5" s="1"/>
  <c r="E1080" i="5"/>
  <c r="D1080" i="5"/>
  <c r="B1080" i="5"/>
  <c r="Q1079" i="5"/>
  <c r="P1079" i="5"/>
  <c r="O1079" i="5"/>
  <c r="N1079" i="5"/>
  <c r="K1079" i="5"/>
  <c r="H1079" i="5"/>
  <c r="J1079" i="5" s="1"/>
  <c r="I1079" i="5" s="1"/>
  <c r="E1079" i="5"/>
  <c r="D1079" i="5"/>
  <c r="B1079" i="5"/>
  <c r="Q1078" i="5"/>
  <c r="P1078" i="5"/>
  <c r="O1078" i="5"/>
  <c r="N1078" i="5"/>
  <c r="K1078" i="5"/>
  <c r="H1078" i="5"/>
  <c r="J1078" i="5" s="1"/>
  <c r="I1078" i="5" s="1"/>
  <c r="E1078" i="5"/>
  <c r="D1078" i="5"/>
  <c r="B1078" i="5"/>
  <c r="Q1077" i="5"/>
  <c r="P1077" i="5"/>
  <c r="O1077" i="5"/>
  <c r="N1077" i="5"/>
  <c r="K1077" i="5"/>
  <c r="H1077" i="5"/>
  <c r="J1077" i="5" s="1"/>
  <c r="I1077" i="5" s="1"/>
  <c r="E1077" i="5"/>
  <c r="D1077" i="5"/>
  <c r="B1077" i="5"/>
  <c r="Q1076" i="5"/>
  <c r="P1076" i="5"/>
  <c r="O1076" i="5"/>
  <c r="N1076" i="5"/>
  <c r="K1076" i="5"/>
  <c r="H1076" i="5"/>
  <c r="G1076" i="5" s="1"/>
  <c r="E1076" i="5"/>
  <c r="D1076" i="5"/>
  <c r="B1076" i="5"/>
  <c r="Q1075" i="5"/>
  <c r="P1075" i="5"/>
  <c r="O1075" i="5"/>
  <c r="N1075" i="5"/>
  <c r="K1075" i="5"/>
  <c r="H1075" i="5"/>
  <c r="E1075" i="5"/>
  <c r="D1075" i="5"/>
  <c r="B1075" i="5"/>
  <c r="Q1074" i="5"/>
  <c r="P1074" i="5"/>
  <c r="O1074" i="5"/>
  <c r="N1074" i="5"/>
  <c r="K1074" i="5"/>
  <c r="H1074" i="5"/>
  <c r="E1074" i="5"/>
  <c r="D1074" i="5"/>
  <c r="B1074" i="5"/>
  <c r="Q1073" i="5"/>
  <c r="P1073" i="5"/>
  <c r="O1073" i="5"/>
  <c r="N1073" i="5"/>
  <c r="K1073" i="5"/>
  <c r="H1073" i="5"/>
  <c r="J1073" i="5" s="1"/>
  <c r="I1073" i="5" s="1"/>
  <c r="E1073" i="5"/>
  <c r="D1073" i="5"/>
  <c r="B1073" i="5"/>
  <c r="Q1072" i="5"/>
  <c r="P1072" i="5"/>
  <c r="O1072" i="5"/>
  <c r="N1072" i="5"/>
  <c r="K1072" i="5"/>
  <c r="H1072" i="5"/>
  <c r="J1072" i="5" s="1"/>
  <c r="I1072" i="5" s="1"/>
  <c r="G1072" i="5"/>
  <c r="E1072" i="5"/>
  <c r="D1072" i="5"/>
  <c r="B1072" i="5"/>
  <c r="Q1071" i="5"/>
  <c r="P1071" i="5"/>
  <c r="O1071" i="5"/>
  <c r="N1071" i="5"/>
  <c r="K1071" i="5"/>
  <c r="H1071" i="5"/>
  <c r="J1071" i="5" s="1"/>
  <c r="I1071" i="5" s="1"/>
  <c r="E1071" i="5"/>
  <c r="D1071" i="5"/>
  <c r="B1071" i="5"/>
  <c r="Q1070" i="5"/>
  <c r="P1070" i="5"/>
  <c r="O1070" i="5"/>
  <c r="N1070" i="5"/>
  <c r="K1070" i="5"/>
  <c r="H1070" i="5"/>
  <c r="G1070" i="5" s="1"/>
  <c r="E1070" i="5"/>
  <c r="D1070" i="5"/>
  <c r="B1070" i="5"/>
  <c r="Q1069" i="5"/>
  <c r="P1069" i="5"/>
  <c r="O1069" i="5"/>
  <c r="N1069" i="5"/>
  <c r="K1069" i="5"/>
  <c r="H1069" i="5"/>
  <c r="J1069" i="5" s="1"/>
  <c r="I1069" i="5" s="1"/>
  <c r="E1069" i="5"/>
  <c r="D1069" i="5"/>
  <c r="B1069" i="5"/>
  <c r="Q1068" i="5"/>
  <c r="P1068" i="5"/>
  <c r="O1068" i="5"/>
  <c r="N1068" i="5"/>
  <c r="K1068" i="5"/>
  <c r="H1068" i="5"/>
  <c r="E1068" i="5"/>
  <c r="D1068" i="5"/>
  <c r="B1068" i="5"/>
  <c r="Q1067" i="5"/>
  <c r="P1067" i="5"/>
  <c r="O1067" i="5"/>
  <c r="N1067" i="5"/>
  <c r="K1067" i="5"/>
  <c r="H1067" i="5"/>
  <c r="J1067" i="5" s="1"/>
  <c r="I1067" i="5" s="1"/>
  <c r="E1067" i="5"/>
  <c r="D1067" i="5"/>
  <c r="B1067" i="5"/>
  <c r="Q1066" i="5"/>
  <c r="P1066" i="5"/>
  <c r="O1066" i="5"/>
  <c r="N1066" i="5"/>
  <c r="K1066" i="5"/>
  <c r="H1066" i="5"/>
  <c r="J1066" i="5" s="1"/>
  <c r="I1066" i="5" s="1"/>
  <c r="E1066" i="5"/>
  <c r="D1066" i="5"/>
  <c r="B1066" i="5"/>
  <c r="Q1065" i="5"/>
  <c r="P1065" i="5"/>
  <c r="O1065" i="5"/>
  <c r="N1065" i="5"/>
  <c r="K1065" i="5"/>
  <c r="H1065" i="5"/>
  <c r="J1065" i="5" s="1"/>
  <c r="I1065" i="5" s="1"/>
  <c r="E1065" i="5"/>
  <c r="D1065" i="5"/>
  <c r="B1065" i="5"/>
  <c r="Q1064" i="5"/>
  <c r="P1064" i="5"/>
  <c r="O1064" i="5"/>
  <c r="N1064" i="5"/>
  <c r="K1064" i="5"/>
  <c r="H1064" i="5"/>
  <c r="J1064" i="5" s="1"/>
  <c r="I1064" i="5" s="1"/>
  <c r="E1064" i="5"/>
  <c r="D1064" i="5"/>
  <c r="B1064" i="5"/>
  <c r="Q1063" i="5"/>
  <c r="P1063" i="5"/>
  <c r="O1063" i="5"/>
  <c r="N1063" i="5"/>
  <c r="K1063" i="5"/>
  <c r="H1063" i="5"/>
  <c r="E1063" i="5"/>
  <c r="D1063" i="5"/>
  <c r="B1063" i="5"/>
  <c r="Q1062" i="5"/>
  <c r="P1062" i="5"/>
  <c r="O1062" i="5"/>
  <c r="N1062" i="5"/>
  <c r="K1062" i="5"/>
  <c r="H1062" i="5"/>
  <c r="E1062" i="5"/>
  <c r="D1062" i="5"/>
  <c r="B1062" i="5"/>
  <c r="Q1061" i="5"/>
  <c r="P1061" i="5"/>
  <c r="O1061" i="5"/>
  <c r="N1061" i="5"/>
  <c r="K1061" i="5"/>
  <c r="H1061" i="5"/>
  <c r="E1061" i="5"/>
  <c r="D1061" i="5"/>
  <c r="B1061" i="5"/>
  <c r="Q1060" i="5"/>
  <c r="P1060" i="5"/>
  <c r="O1060" i="5"/>
  <c r="N1060" i="5"/>
  <c r="K1060" i="5"/>
  <c r="H1060" i="5"/>
  <c r="G1060" i="5" s="1"/>
  <c r="E1060" i="5"/>
  <c r="D1060" i="5"/>
  <c r="B1060" i="5"/>
  <c r="Q1059" i="5"/>
  <c r="P1059" i="5"/>
  <c r="O1059" i="5"/>
  <c r="N1059" i="5"/>
  <c r="K1059" i="5"/>
  <c r="H1059" i="5"/>
  <c r="J1059" i="5" s="1"/>
  <c r="I1059" i="5" s="1"/>
  <c r="E1059" i="5"/>
  <c r="D1059" i="5"/>
  <c r="B1059" i="5"/>
  <c r="Q1058" i="5"/>
  <c r="P1058" i="5"/>
  <c r="O1058" i="5"/>
  <c r="N1058" i="5"/>
  <c r="K1058" i="5"/>
  <c r="H1058" i="5"/>
  <c r="J1058" i="5" s="1"/>
  <c r="I1058" i="5" s="1"/>
  <c r="E1058" i="5"/>
  <c r="D1058" i="5"/>
  <c r="B1058" i="5"/>
  <c r="Q1057" i="5"/>
  <c r="P1057" i="5"/>
  <c r="O1057" i="5"/>
  <c r="N1057" i="5"/>
  <c r="K1057" i="5"/>
  <c r="H1057" i="5"/>
  <c r="E1057" i="5"/>
  <c r="D1057" i="5"/>
  <c r="B1057" i="5"/>
  <c r="Q1056" i="5"/>
  <c r="P1056" i="5"/>
  <c r="O1056" i="5"/>
  <c r="N1056" i="5"/>
  <c r="K1056" i="5"/>
  <c r="H1056" i="5"/>
  <c r="E1056" i="5"/>
  <c r="D1056" i="5"/>
  <c r="B1056" i="5"/>
  <c r="Q1055" i="5"/>
  <c r="P1055" i="5"/>
  <c r="O1055" i="5"/>
  <c r="N1055" i="5"/>
  <c r="K1055" i="5"/>
  <c r="H1055" i="5"/>
  <c r="J1055" i="5" s="1"/>
  <c r="I1055" i="5" s="1"/>
  <c r="E1055" i="5"/>
  <c r="D1055" i="5"/>
  <c r="B1055" i="5"/>
  <c r="Q1054" i="5"/>
  <c r="P1054" i="5"/>
  <c r="O1054" i="5"/>
  <c r="N1054" i="5"/>
  <c r="K1054" i="5"/>
  <c r="H1054" i="5"/>
  <c r="J1054" i="5" s="1"/>
  <c r="I1054" i="5" s="1"/>
  <c r="E1054" i="5"/>
  <c r="D1054" i="5"/>
  <c r="B1054" i="5"/>
  <c r="Q1053" i="5"/>
  <c r="P1053" i="5"/>
  <c r="O1053" i="5"/>
  <c r="N1053" i="5"/>
  <c r="K1053" i="5"/>
  <c r="H1053" i="5"/>
  <c r="J1053" i="5" s="1"/>
  <c r="I1053" i="5" s="1"/>
  <c r="E1053" i="5"/>
  <c r="D1053" i="5"/>
  <c r="B1053" i="5"/>
  <c r="Q1052" i="5"/>
  <c r="P1052" i="5"/>
  <c r="O1052" i="5"/>
  <c r="N1052" i="5"/>
  <c r="K1052" i="5"/>
  <c r="H1052" i="5"/>
  <c r="J1052" i="5" s="1"/>
  <c r="I1052" i="5" s="1"/>
  <c r="E1052" i="5"/>
  <c r="D1052" i="5"/>
  <c r="B1052" i="5"/>
  <c r="Q1051" i="5"/>
  <c r="P1051" i="5"/>
  <c r="O1051" i="5"/>
  <c r="N1051" i="5"/>
  <c r="K1051" i="5"/>
  <c r="H1051" i="5"/>
  <c r="E1051" i="5"/>
  <c r="D1051" i="5"/>
  <c r="B1051" i="5"/>
  <c r="Q1050" i="5"/>
  <c r="P1050" i="5"/>
  <c r="O1050" i="5"/>
  <c r="N1050" i="5"/>
  <c r="K1050" i="5"/>
  <c r="H1050" i="5"/>
  <c r="J1050" i="5" s="1"/>
  <c r="I1050" i="5" s="1"/>
  <c r="E1050" i="5"/>
  <c r="D1050" i="5"/>
  <c r="B1050" i="5"/>
  <c r="Q1049" i="5"/>
  <c r="P1049" i="5"/>
  <c r="O1049" i="5"/>
  <c r="N1049" i="5"/>
  <c r="K1049" i="5"/>
  <c r="H1049" i="5"/>
  <c r="J1049" i="5" s="1"/>
  <c r="I1049" i="5" s="1"/>
  <c r="E1049" i="5"/>
  <c r="D1049" i="5"/>
  <c r="B1049" i="5"/>
  <c r="Q1048" i="5"/>
  <c r="P1048" i="5"/>
  <c r="O1048" i="5"/>
  <c r="N1048" i="5"/>
  <c r="K1048" i="5"/>
  <c r="H1048" i="5"/>
  <c r="E1048" i="5"/>
  <c r="D1048" i="5"/>
  <c r="B1048" i="5"/>
  <c r="Q1047" i="5"/>
  <c r="P1047" i="5"/>
  <c r="O1047" i="5"/>
  <c r="N1047" i="5"/>
  <c r="K1047" i="5"/>
  <c r="H1047" i="5"/>
  <c r="J1047" i="5" s="1"/>
  <c r="I1047" i="5" s="1"/>
  <c r="E1047" i="5"/>
  <c r="D1047" i="5"/>
  <c r="B1047" i="5"/>
  <c r="Q1046" i="5"/>
  <c r="P1046" i="5"/>
  <c r="O1046" i="5"/>
  <c r="N1046" i="5"/>
  <c r="K1046" i="5"/>
  <c r="H1046" i="5"/>
  <c r="J1046" i="5" s="1"/>
  <c r="I1046" i="5" s="1"/>
  <c r="E1046" i="5"/>
  <c r="D1046" i="5"/>
  <c r="B1046" i="5"/>
  <c r="Q1045" i="5"/>
  <c r="P1045" i="5"/>
  <c r="O1045" i="5"/>
  <c r="N1045" i="5"/>
  <c r="K1045" i="5"/>
  <c r="H1045" i="5"/>
  <c r="E1045" i="5"/>
  <c r="D1045" i="5"/>
  <c r="B1045" i="5"/>
  <c r="Q1044" i="5"/>
  <c r="P1044" i="5"/>
  <c r="O1044" i="5"/>
  <c r="N1044" i="5"/>
  <c r="K1044" i="5"/>
  <c r="H1044" i="5"/>
  <c r="G1044" i="5" s="1"/>
  <c r="E1044" i="5"/>
  <c r="D1044" i="5"/>
  <c r="B1044" i="5"/>
  <c r="Q1043" i="5"/>
  <c r="P1043" i="5"/>
  <c r="O1043" i="5"/>
  <c r="N1043" i="5"/>
  <c r="K1043" i="5"/>
  <c r="H1043" i="5"/>
  <c r="J1043" i="5" s="1"/>
  <c r="I1043" i="5" s="1"/>
  <c r="E1043" i="5"/>
  <c r="D1043" i="5"/>
  <c r="B1043" i="5"/>
  <c r="Q1042" i="5"/>
  <c r="P1042" i="5"/>
  <c r="O1042" i="5"/>
  <c r="N1042" i="5"/>
  <c r="K1042" i="5"/>
  <c r="H1042" i="5"/>
  <c r="J1042" i="5" s="1"/>
  <c r="I1042" i="5" s="1"/>
  <c r="E1042" i="5"/>
  <c r="D1042" i="5"/>
  <c r="B1042" i="5"/>
  <c r="Q1041" i="5"/>
  <c r="P1041" i="5"/>
  <c r="O1041" i="5"/>
  <c r="N1041" i="5"/>
  <c r="K1041" i="5"/>
  <c r="H1041" i="5"/>
  <c r="J1041" i="5" s="1"/>
  <c r="I1041" i="5" s="1"/>
  <c r="E1041" i="5"/>
  <c r="D1041" i="5"/>
  <c r="B1041" i="5"/>
  <c r="Q1040" i="5"/>
  <c r="P1040" i="5"/>
  <c r="O1040" i="5"/>
  <c r="N1040" i="5"/>
  <c r="K1040" i="5"/>
  <c r="H1040" i="5"/>
  <c r="J1040" i="5" s="1"/>
  <c r="I1040" i="5" s="1"/>
  <c r="E1040" i="5"/>
  <c r="D1040" i="5"/>
  <c r="B1040" i="5"/>
  <c r="Q1039" i="5"/>
  <c r="P1039" i="5"/>
  <c r="O1039" i="5"/>
  <c r="N1039" i="5"/>
  <c r="K1039" i="5"/>
  <c r="H1039" i="5"/>
  <c r="J1039" i="5" s="1"/>
  <c r="I1039" i="5" s="1"/>
  <c r="E1039" i="5"/>
  <c r="D1039" i="5"/>
  <c r="B1039" i="5"/>
  <c r="Q1038" i="5"/>
  <c r="P1038" i="5"/>
  <c r="R1038" i="5" s="1"/>
  <c r="O1038" i="5"/>
  <c r="N1038" i="5"/>
  <c r="K1038" i="5"/>
  <c r="H1038" i="5"/>
  <c r="J1038" i="5" s="1"/>
  <c r="I1038" i="5" s="1"/>
  <c r="E1038" i="5"/>
  <c r="D1038" i="5"/>
  <c r="B1038" i="5"/>
  <c r="Q1037" i="5"/>
  <c r="P1037" i="5"/>
  <c r="O1037" i="5"/>
  <c r="N1037" i="5"/>
  <c r="K1037" i="5"/>
  <c r="H1037" i="5"/>
  <c r="J1037" i="5" s="1"/>
  <c r="I1037" i="5" s="1"/>
  <c r="E1037" i="5"/>
  <c r="D1037" i="5"/>
  <c r="B1037" i="5"/>
  <c r="Q1036" i="5"/>
  <c r="P1036" i="5"/>
  <c r="R1036" i="5" s="1"/>
  <c r="O1036" i="5"/>
  <c r="N1036" i="5"/>
  <c r="K1036" i="5"/>
  <c r="H1036" i="5"/>
  <c r="J1036" i="5" s="1"/>
  <c r="I1036" i="5" s="1"/>
  <c r="E1036" i="5"/>
  <c r="D1036" i="5"/>
  <c r="B1036" i="5"/>
  <c r="Q1035" i="5"/>
  <c r="P1035" i="5"/>
  <c r="O1035" i="5"/>
  <c r="N1035" i="5"/>
  <c r="K1035" i="5"/>
  <c r="H1035" i="5"/>
  <c r="J1035" i="5" s="1"/>
  <c r="I1035" i="5" s="1"/>
  <c r="E1035" i="5"/>
  <c r="D1035" i="5"/>
  <c r="B1035" i="5"/>
  <c r="Q1034" i="5"/>
  <c r="P1034" i="5"/>
  <c r="O1034" i="5"/>
  <c r="N1034" i="5"/>
  <c r="K1034" i="5"/>
  <c r="H1034" i="5"/>
  <c r="J1034" i="5" s="1"/>
  <c r="I1034" i="5" s="1"/>
  <c r="E1034" i="5"/>
  <c r="D1034" i="5"/>
  <c r="B1034" i="5"/>
  <c r="Q1033" i="5"/>
  <c r="P1033" i="5"/>
  <c r="O1033" i="5"/>
  <c r="N1033" i="5"/>
  <c r="K1033" i="5"/>
  <c r="H1033" i="5"/>
  <c r="E1033" i="5"/>
  <c r="D1033" i="5"/>
  <c r="B1033" i="5"/>
  <c r="Q1032" i="5"/>
  <c r="P1032" i="5"/>
  <c r="O1032" i="5"/>
  <c r="N1032" i="5"/>
  <c r="K1032" i="5"/>
  <c r="H1032" i="5"/>
  <c r="J1032" i="5" s="1"/>
  <c r="I1032" i="5" s="1"/>
  <c r="E1032" i="5"/>
  <c r="D1032" i="5"/>
  <c r="B1032" i="5"/>
  <c r="Q1031" i="5"/>
  <c r="P1031" i="5"/>
  <c r="O1031" i="5"/>
  <c r="N1031" i="5"/>
  <c r="K1031" i="5"/>
  <c r="H1031" i="5"/>
  <c r="E1031" i="5"/>
  <c r="D1031" i="5"/>
  <c r="B1031" i="5"/>
  <c r="Q1030" i="5"/>
  <c r="P1030" i="5"/>
  <c r="O1030" i="5"/>
  <c r="N1030" i="5"/>
  <c r="K1030" i="5"/>
  <c r="H1030" i="5"/>
  <c r="J1030" i="5" s="1"/>
  <c r="I1030" i="5" s="1"/>
  <c r="E1030" i="5"/>
  <c r="D1030" i="5"/>
  <c r="B1030" i="5"/>
  <c r="Q1029" i="5"/>
  <c r="P1029" i="5"/>
  <c r="O1029" i="5"/>
  <c r="N1029" i="5"/>
  <c r="K1029" i="5"/>
  <c r="H1029" i="5"/>
  <c r="E1029" i="5"/>
  <c r="D1029" i="5"/>
  <c r="B1029" i="5"/>
  <c r="Q1028" i="5"/>
  <c r="P1028" i="5"/>
  <c r="O1028" i="5"/>
  <c r="N1028" i="5"/>
  <c r="K1028" i="5"/>
  <c r="H1028" i="5"/>
  <c r="G1028" i="5" s="1"/>
  <c r="E1028" i="5"/>
  <c r="D1028" i="5"/>
  <c r="B1028" i="5"/>
  <c r="Q1027" i="5"/>
  <c r="P1027" i="5"/>
  <c r="O1027" i="5"/>
  <c r="N1027" i="5"/>
  <c r="K1027" i="5"/>
  <c r="H1027" i="5"/>
  <c r="J1027" i="5" s="1"/>
  <c r="I1027" i="5" s="1"/>
  <c r="E1027" i="5"/>
  <c r="D1027" i="5"/>
  <c r="B1027" i="5"/>
  <c r="Q1026" i="5"/>
  <c r="P1026" i="5"/>
  <c r="O1026" i="5"/>
  <c r="N1026" i="5"/>
  <c r="K1026" i="5"/>
  <c r="H1026" i="5"/>
  <c r="E1026" i="5"/>
  <c r="D1026" i="5"/>
  <c r="B1026" i="5"/>
  <c r="Q1025" i="5"/>
  <c r="P1025" i="5"/>
  <c r="O1025" i="5"/>
  <c r="N1025" i="5"/>
  <c r="K1025" i="5"/>
  <c r="H1025" i="5"/>
  <c r="J1025" i="5" s="1"/>
  <c r="I1025" i="5" s="1"/>
  <c r="E1025" i="5"/>
  <c r="D1025" i="5"/>
  <c r="B1025" i="5"/>
  <c r="Q1024" i="5"/>
  <c r="P1024" i="5"/>
  <c r="O1024" i="5"/>
  <c r="N1024" i="5"/>
  <c r="K1024" i="5"/>
  <c r="H1024" i="5"/>
  <c r="J1024" i="5" s="1"/>
  <c r="I1024" i="5" s="1"/>
  <c r="G1024" i="5"/>
  <c r="E1024" i="5"/>
  <c r="D1024" i="5"/>
  <c r="B1024" i="5"/>
  <c r="Q1023" i="5"/>
  <c r="P1023" i="5"/>
  <c r="O1023" i="5"/>
  <c r="N1023" i="5"/>
  <c r="K1023" i="5"/>
  <c r="H1023" i="5"/>
  <c r="E1023" i="5"/>
  <c r="D1023" i="5"/>
  <c r="B1023" i="5"/>
  <c r="Q1022" i="5"/>
  <c r="P1022" i="5"/>
  <c r="O1022" i="5"/>
  <c r="N1022" i="5"/>
  <c r="K1022" i="5"/>
  <c r="H1022" i="5"/>
  <c r="J1022" i="5" s="1"/>
  <c r="I1022" i="5" s="1"/>
  <c r="E1022" i="5"/>
  <c r="D1022" i="5"/>
  <c r="B1022" i="5"/>
  <c r="Q1021" i="5"/>
  <c r="P1021" i="5"/>
  <c r="O1021" i="5"/>
  <c r="N1021" i="5"/>
  <c r="K1021" i="5"/>
  <c r="H1021" i="5"/>
  <c r="E1021" i="5"/>
  <c r="D1021" i="5"/>
  <c r="B1021" i="5"/>
  <c r="Q1020" i="5"/>
  <c r="P1020" i="5"/>
  <c r="R1020" i="5" s="1"/>
  <c r="O1020" i="5"/>
  <c r="N1020" i="5"/>
  <c r="K1020" i="5"/>
  <c r="H1020" i="5"/>
  <c r="E1020" i="5"/>
  <c r="D1020" i="5"/>
  <c r="B1020" i="5"/>
  <c r="Q1019" i="5"/>
  <c r="P1019" i="5"/>
  <c r="O1019" i="5"/>
  <c r="N1019" i="5"/>
  <c r="K1019" i="5"/>
  <c r="H1019" i="5"/>
  <c r="J1019" i="5" s="1"/>
  <c r="I1019" i="5" s="1"/>
  <c r="E1019" i="5"/>
  <c r="D1019" i="5"/>
  <c r="B1019" i="5"/>
  <c r="Q1018" i="5"/>
  <c r="P1018" i="5"/>
  <c r="O1018" i="5"/>
  <c r="N1018" i="5"/>
  <c r="K1018" i="5"/>
  <c r="H1018" i="5"/>
  <c r="E1018" i="5"/>
  <c r="D1018" i="5"/>
  <c r="B1018" i="5"/>
  <c r="Q1017" i="5"/>
  <c r="P1017" i="5"/>
  <c r="O1017" i="5"/>
  <c r="N1017" i="5"/>
  <c r="K1017" i="5"/>
  <c r="H1017" i="5"/>
  <c r="E1017" i="5"/>
  <c r="D1017" i="5"/>
  <c r="B1017" i="5"/>
  <c r="Q1016" i="5"/>
  <c r="P1016" i="5"/>
  <c r="O1016" i="5"/>
  <c r="N1016" i="5"/>
  <c r="K1016" i="5"/>
  <c r="H1016" i="5"/>
  <c r="E1016" i="5"/>
  <c r="D1016" i="5"/>
  <c r="B1016" i="5"/>
  <c r="Q1015" i="5"/>
  <c r="P1015" i="5"/>
  <c r="O1015" i="5"/>
  <c r="N1015" i="5"/>
  <c r="K1015" i="5"/>
  <c r="H1015" i="5"/>
  <c r="J1015" i="5" s="1"/>
  <c r="I1015" i="5" s="1"/>
  <c r="E1015" i="5"/>
  <c r="D1015" i="5"/>
  <c r="B1015" i="5"/>
  <c r="Q1014" i="5"/>
  <c r="P1014" i="5"/>
  <c r="O1014" i="5"/>
  <c r="N1014" i="5"/>
  <c r="K1014" i="5"/>
  <c r="H1014" i="5"/>
  <c r="E1014" i="5"/>
  <c r="D1014" i="5"/>
  <c r="B1014" i="5"/>
  <c r="Q1013" i="5"/>
  <c r="P1013" i="5"/>
  <c r="O1013" i="5"/>
  <c r="N1013" i="5"/>
  <c r="K1013" i="5"/>
  <c r="H1013" i="5"/>
  <c r="E1013" i="5"/>
  <c r="D1013" i="5"/>
  <c r="B1013" i="5"/>
  <c r="Q1012" i="5"/>
  <c r="P1012" i="5"/>
  <c r="O1012" i="5"/>
  <c r="N1012" i="5"/>
  <c r="K1012" i="5"/>
  <c r="H1012" i="5"/>
  <c r="E1012" i="5"/>
  <c r="D1012" i="5"/>
  <c r="B1012" i="5"/>
  <c r="Q1011" i="5"/>
  <c r="P1011" i="5"/>
  <c r="O1011" i="5"/>
  <c r="N1011" i="5"/>
  <c r="K1011" i="5"/>
  <c r="H1011" i="5"/>
  <c r="J1011" i="5" s="1"/>
  <c r="I1011" i="5" s="1"/>
  <c r="E1011" i="5"/>
  <c r="D1011" i="5"/>
  <c r="B1011" i="5"/>
  <c r="Q1010" i="5"/>
  <c r="P1010" i="5"/>
  <c r="R1010" i="5" s="1"/>
  <c r="O1010" i="5"/>
  <c r="N1010" i="5"/>
  <c r="K1010" i="5"/>
  <c r="H1010" i="5"/>
  <c r="J1010" i="5" s="1"/>
  <c r="I1010" i="5" s="1"/>
  <c r="E1010" i="5"/>
  <c r="D1010" i="5"/>
  <c r="B1010" i="5"/>
  <c r="Q1009" i="5"/>
  <c r="P1009" i="5"/>
  <c r="O1009" i="5"/>
  <c r="N1009" i="5"/>
  <c r="K1009" i="5"/>
  <c r="H1009" i="5"/>
  <c r="J1009" i="5" s="1"/>
  <c r="I1009" i="5" s="1"/>
  <c r="E1009" i="5"/>
  <c r="D1009" i="5"/>
  <c r="B1009" i="5"/>
  <c r="Q1008" i="5"/>
  <c r="P1008" i="5"/>
  <c r="O1008" i="5"/>
  <c r="N1008" i="5"/>
  <c r="K1008" i="5"/>
  <c r="H1008" i="5"/>
  <c r="G1008" i="5" s="1"/>
  <c r="E1008" i="5"/>
  <c r="D1008" i="5"/>
  <c r="B1008" i="5"/>
  <c r="Q1007" i="5"/>
  <c r="P1007" i="5"/>
  <c r="O1007" i="5"/>
  <c r="N1007" i="5"/>
  <c r="K1007" i="5"/>
  <c r="H1007" i="5"/>
  <c r="J1007" i="5" s="1"/>
  <c r="I1007" i="5" s="1"/>
  <c r="G1007" i="5"/>
  <c r="E1007" i="5"/>
  <c r="D1007" i="5"/>
  <c r="B1007" i="5"/>
  <c r="Q1006" i="5"/>
  <c r="P1006" i="5"/>
  <c r="O1006" i="5"/>
  <c r="N1006" i="5"/>
  <c r="K1006" i="5"/>
  <c r="H1006" i="5"/>
  <c r="E1006" i="5"/>
  <c r="D1006" i="5"/>
  <c r="B1006" i="5"/>
  <c r="Q1005" i="5"/>
  <c r="P1005" i="5"/>
  <c r="R1005" i="5" s="1"/>
  <c r="O1005" i="5"/>
  <c r="N1005" i="5"/>
  <c r="K1005" i="5"/>
  <c r="H1005" i="5"/>
  <c r="J1005" i="5" s="1"/>
  <c r="I1005" i="5" s="1"/>
  <c r="E1005" i="5"/>
  <c r="D1005" i="5"/>
  <c r="B1005" i="5"/>
  <c r="Q1004" i="5"/>
  <c r="P1004" i="5"/>
  <c r="O1004" i="5"/>
  <c r="N1004" i="5"/>
  <c r="K1004" i="5"/>
  <c r="H1004" i="5"/>
  <c r="E1004" i="5"/>
  <c r="D1004" i="5"/>
  <c r="B1004" i="5"/>
  <c r="Q1003" i="5"/>
  <c r="P1003" i="5"/>
  <c r="O1003" i="5"/>
  <c r="N1003" i="5"/>
  <c r="K1003" i="5"/>
  <c r="H1003" i="5"/>
  <c r="J1003" i="5" s="1"/>
  <c r="I1003" i="5" s="1"/>
  <c r="G1003" i="5"/>
  <c r="E1003" i="5"/>
  <c r="D1003" i="5"/>
  <c r="B1003" i="5"/>
  <c r="Q1002" i="5"/>
  <c r="P1002" i="5"/>
  <c r="O1002" i="5"/>
  <c r="N1002" i="5"/>
  <c r="K1002" i="5"/>
  <c r="H1002" i="5"/>
  <c r="J1002" i="5" s="1"/>
  <c r="I1002" i="5" s="1"/>
  <c r="E1002" i="5"/>
  <c r="D1002" i="5"/>
  <c r="B1002" i="5"/>
  <c r="Q1001" i="5"/>
  <c r="P1001" i="5"/>
  <c r="O1001" i="5"/>
  <c r="N1001" i="5"/>
  <c r="K1001" i="5"/>
  <c r="H1001" i="5"/>
  <c r="J1001" i="5" s="1"/>
  <c r="I1001" i="5" s="1"/>
  <c r="E1001" i="5"/>
  <c r="D1001" i="5"/>
  <c r="B1001" i="5"/>
  <c r="Q1000" i="5"/>
  <c r="P1000" i="5"/>
  <c r="O1000" i="5"/>
  <c r="N1000" i="5"/>
  <c r="K1000" i="5"/>
  <c r="H1000" i="5"/>
  <c r="J1000" i="5" s="1"/>
  <c r="I1000" i="5" s="1"/>
  <c r="E1000" i="5"/>
  <c r="D1000" i="5"/>
  <c r="B1000" i="5"/>
  <c r="Q999" i="5"/>
  <c r="P999" i="5"/>
  <c r="O999" i="5"/>
  <c r="N999" i="5"/>
  <c r="K999" i="5"/>
  <c r="H999" i="5"/>
  <c r="J999" i="5" s="1"/>
  <c r="I999" i="5" s="1"/>
  <c r="E999" i="5"/>
  <c r="D999" i="5"/>
  <c r="B999" i="5"/>
  <c r="Q998" i="5"/>
  <c r="P998" i="5"/>
  <c r="O998" i="5"/>
  <c r="N998" i="5"/>
  <c r="K998" i="5"/>
  <c r="H998" i="5"/>
  <c r="E998" i="5"/>
  <c r="D998" i="5"/>
  <c r="B998" i="5"/>
  <c r="Q997" i="5"/>
  <c r="P997" i="5"/>
  <c r="O997" i="5"/>
  <c r="N997" i="5"/>
  <c r="K997" i="5"/>
  <c r="H997" i="5"/>
  <c r="E997" i="5"/>
  <c r="D997" i="5"/>
  <c r="B997" i="5"/>
  <c r="Q996" i="5"/>
  <c r="P996" i="5"/>
  <c r="O996" i="5"/>
  <c r="N996" i="5"/>
  <c r="K996" i="5"/>
  <c r="H996" i="5"/>
  <c r="G996" i="5" s="1"/>
  <c r="E996" i="5"/>
  <c r="D996" i="5"/>
  <c r="B996" i="5"/>
  <c r="Q995" i="5"/>
  <c r="P995" i="5"/>
  <c r="O995" i="5"/>
  <c r="N995" i="5"/>
  <c r="K995" i="5"/>
  <c r="H995" i="5"/>
  <c r="J995" i="5" s="1"/>
  <c r="I995" i="5" s="1"/>
  <c r="E995" i="5"/>
  <c r="D995" i="5"/>
  <c r="B995" i="5"/>
  <c r="Q994" i="5"/>
  <c r="P994" i="5"/>
  <c r="O994" i="5"/>
  <c r="N994" i="5"/>
  <c r="K994" i="5"/>
  <c r="H994" i="5"/>
  <c r="J994" i="5" s="1"/>
  <c r="I994" i="5" s="1"/>
  <c r="E994" i="5"/>
  <c r="D994" i="5"/>
  <c r="B994" i="5"/>
  <c r="Q993" i="5"/>
  <c r="P993" i="5"/>
  <c r="O993" i="5"/>
  <c r="N993" i="5"/>
  <c r="K993" i="5"/>
  <c r="H993" i="5"/>
  <c r="J993" i="5" s="1"/>
  <c r="I993" i="5" s="1"/>
  <c r="E993" i="5"/>
  <c r="D993" i="5"/>
  <c r="B993" i="5"/>
  <c r="Q992" i="5"/>
  <c r="P992" i="5"/>
  <c r="O992" i="5"/>
  <c r="N992" i="5"/>
  <c r="K992" i="5"/>
  <c r="H992" i="5"/>
  <c r="J992" i="5" s="1"/>
  <c r="I992" i="5" s="1"/>
  <c r="E992" i="5"/>
  <c r="D992" i="5"/>
  <c r="B992" i="5"/>
  <c r="Q991" i="5"/>
  <c r="P991" i="5"/>
  <c r="O991" i="5"/>
  <c r="N991" i="5"/>
  <c r="K991" i="5"/>
  <c r="H991" i="5"/>
  <c r="J991" i="5" s="1"/>
  <c r="I991" i="5" s="1"/>
  <c r="E991" i="5"/>
  <c r="D991" i="5"/>
  <c r="B991" i="5"/>
  <c r="Q990" i="5"/>
  <c r="P990" i="5"/>
  <c r="O990" i="5"/>
  <c r="N990" i="5"/>
  <c r="K990" i="5"/>
  <c r="H990" i="5"/>
  <c r="J990" i="5" s="1"/>
  <c r="I990" i="5" s="1"/>
  <c r="E990" i="5"/>
  <c r="D990" i="5"/>
  <c r="B990" i="5"/>
  <c r="Q989" i="5"/>
  <c r="P989" i="5"/>
  <c r="O989" i="5"/>
  <c r="N989" i="5"/>
  <c r="K989" i="5"/>
  <c r="H989" i="5"/>
  <c r="E989" i="5"/>
  <c r="D989" i="5"/>
  <c r="B989" i="5"/>
  <c r="Q988" i="5"/>
  <c r="P988" i="5"/>
  <c r="O988" i="5"/>
  <c r="N988" i="5"/>
  <c r="K988" i="5"/>
  <c r="H988" i="5"/>
  <c r="J988" i="5" s="1"/>
  <c r="I988" i="5" s="1"/>
  <c r="E988" i="5"/>
  <c r="D988" i="5"/>
  <c r="B988" i="5"/>
  <c r="Q987" i="5"/>
  <c r="P987" i="5"/>
  <c r="O987" i="5"/>
  <c r="N987" i="5"/>
  <c r="K987" i="5"/>
  <c r="H987" i="5"/>
  <c r="J987" i="5" s="1"/>
  <c r="I987" i="5" s="1"/>
  <c r="E987" i="5"/>
  <c r="D987" i="5"/>
  <c r="B987" i="5"/>
  <c r="Q986" i="5"/>
  <c r="P986" i="5"/>
  <c r="O986" i="5"/>
  <c r="N986" i="5"/>
  <c r="K986" i="5"/>
  <c r="H986" i="5"/>
  <c r="J986" i="5" s="1"/>
  <c r="I986" i="5" s="1"/>
  <c r="E986" i="5"/>
  <c r="D986" i="5"/>
  <c r="B986" i="5"/>
  <c r="Q985" i="5"/>
  <c r="P985" i="5"/>
  <c r="O985" i="5"/>
  <c r="N985" i="5"/>
  <c r="K985" i="5"/>
  <c r="H985" i="5"/>
  <c r="E985" i="5"/>
  <c r="D985" i="5"/>
  <c r="B985" i="5"/>
  <c r="Q984" i="5"/>
  <c r="P984" i="5"/>
  <c r="O984" i="5"/>
  <c r="N984" i="5"/>
  <c r="K984" i="5"/>
  <c r="H984" i="5"/>
  <c r="G984" i="5" s="1"/>
  <c r="E984" i="5"/>
  <c r="D984" i="5"/>
  <c r="B984" i="5"/>
  <c r="Q983" i="5"/>
  <c r="P983" i="5"/>
  <c r="O983" i="5"/>
  <c r="N983" i="5"/>
  <c r="K983" i="5"/>
  <c r="H983" i="5"/>
  <c r="G983" i="5" s="1"/>
  <c r="E983" i="5"/>
  <c r="D983" i="5"/>
  <c r="B983" i="5"/>
  <c r="Q982" i="5"/>
  <c r="P982" i="5"/>
  <c r="O982" i="5"/>
  <c r="N982" i="5"/>
  <c r="K982" i="5"/>
  <c r="H982" i="5"/>
  <c r="E982" i="5"/>
  <c r="D982" i="5"/>
  <c r="B982" i="5"/>
  <c r="Q981" i="5"/>
  <c r="P981" i="5"/>
  <c r="O981" i="5"/>
  <c r="N981" i="5"/>
  <c r="K981" i="5"/>
  <c r="H981" i="5"/>
  <c r="E981" i="5"/>
  <c r="D981" i="5"/>
  <c r="B981" i="5"/>
  <c r="Q980" i="5"/>
  <c r="P980" i="5"/>
  <c r="O980" i="5"/>
  <c r="N980" i="5"/>
  <c r="K980" i="5"/>
  <c r="H980" i="5"/>
  <c r="E980" i="5"/>
  <c r="D980" i="5"/>
  <c r="B980" i="5"/>
  <c r="Q979" i="5"/>
  <c r="P979" i="5"/>
  <c r="O979" i="5"/>
  <c r="N979" i="5"/>
  <c r="K979" i="5"/>
  <c r="H979" i="5"/>
  <c r="G979" i="5" s="1"/>
  <c r="E979" i="5"/>
  <c r="D979" i="5"/>
  <c r="B979" i="5"/>
  <c r="Q978" i="5"/>
  <c r="P978" i="5"/>
  <c r="O978" i="5"/>
  <c r="N978" i="5"/>
  <c r="K978" i="5"/>
  <c r="H978" i="5"/>
  <c r="G978" i="5" s="1"/>
  <c r="E978" i="5"/>
  <c r="D978" i="5"/>
  <c r="B978" i="5"/>
  <c r="Q977" i="5"/>
  <c r="P977" i="5"/>
  <c r="O977" i="5"/>
  <c r="N977" i="5"/>
  <c r="K977" i="5"/>
  <c r="H977" i="5"/>
  <c r="J977" i="5" s="1"/>
  <c r="I977" i="5" s="1"/>
  <c r="E977" i="5"/>
  <c r="D977" i="5"/>
  <c r="B977" i="5"/>
  <c r="Q976" i="5"/>
  <c r="P976" i="5"/>
  <c r="O976" i="5"/>
  <c r="N976" i="5"/>
  <c r="K976" i="5"/>
  <c r="H976" i="5"/>
  <c r="J976" i="5" s="1"/>
  <c r="I976" i="5" s="1"/>
  <c r="G976" i="5"/>
  <c r="E976" i="5"/>
  <c r="D976" i="5"/>
  <c r="B976" i="5"/>
  <c r="Q975" i="5"/>
  <c r="P975" i="5"/>
  <c r="O975" i="5"/>
  <c r="N975" i="5"/>
  <c r="K975" i="5"/>
  <c r="H975" i="5"/>
  <c r="G975" i="5" s="1"/>
  <c r="E975" i="5"/>
  <c r="D975" i="5"/>
  <c r="B975" i="5"/>
  <c r="Q974" i="5"/>
  <c r="P974" i="5"/>
  <c r="O974" i="5"/>
  <c r="N974" i="5"/>
  <c r="K974" i="5"/>
  <c r="H974" i="5"/>
  <c r="E974" i="5"/>
  <c r="D974" i="5"/>
  <c r="B974" i="5"/>
  <c r="Q973" i="5"/>
  <c r="P973" i="5"/>
  <c r="O973" i="5"/>
  <c r="N973" i="5"/>
  <c r="K973" i="5"/>
  <c r="H973" i="5"/>
  <c r="J973" i="5" s="1"/>
  <c r="I973" i="5" s="1"/>
  <c r="E973" i="5"/>
  <c r="D973" i="5"/>
  <c r="B973" i="5"/>
  <c r="Q972" i="5"/>
  <c r="P972" i="5"/>
  <c r="O972" i="5"/>
  <c r="N972" i="5"/>
  <c r="K972" i="5"/>
  <c r="H972" i="5"/>
  <c r="J972" i="5" s="1"/>
  <c r="I972" i="5" s="1"/>
  <c r="E972" i="5"/>
  <c r="D972" i="5"/>
  <c r="B972" i="5"/>
  <c r="Q971" i="5"/>
  <c r="P971" i="5"/>
  <c r="O971" i="5"/>
  <c r="N971" i="5"/>
  <c r="K971" i="5"/>
  <c r="H971" i="5"/>
  <c r="J971" i="5" s="1"/>
  <c r="I971" i="5" s="1"/>
  <c r="E971" i="5"/>
  <c r="D971" i="5"/>
  <c r="B971" i="5"/>
  <c r="Q970" i="5"/>
  <c r="P970" i="5"/>
  <c r="O970" i="5"/>
  <c r="N970" i="5"/>
  <c r="K970" i="5"/>
  <c r="H970" i="5"/>
  <c r="J970" i="5" s="1"/>
  <c r="I970" i="5" s="1"/>
  <c r="E970" i="5"/>
  <c r="D970" i="5"/>
  <c r="B970" i="5"/>
  <c r="Q969" i="5"/>
  <c r="P969" i="5"/>
  <c r="O969" i="5"/>
  <c r="N969" i="5"/>
  <c r="K969" i="5"/>
  <c r="H969" i="5"/>
  <c r="G969" i="5" s="1"/>
  <c r="E969" i="5"/>
  <c r="D969" i="5"/>
  <c r="B969" i="5"/>
  <c r="Q968" i="5"/>
  <c r="P968" i="5"/>
  <c r="O968" i="5"/>
  <c r="N968" i="5"/>
  <c r="K968" i="5"/>
  <c r="H968" i="5"/>
  <c r="J968" i="5" s="1"/>
  <c r="I968" i="5" s="1"/>
  <c r="E968" i="5"/>
  <c r="D968" i="5"/>
  <c r="B968" i="5"/>
  <c r="Q967" i="5"/>
  <c r="P967" i="5"/>
  <c r="O967" i="5"/>
  <c r="N967" i="5"/>
  <c r="K967" i="5"/>
  <c r="H967" i="5"/>
  <c r="E967" i="5"/>
  <c r="D967" i="5"/>
  <c r="B967" i="5"/>
  <c r="Q966" i="5"/>
  <c r="P966" i="5"/>
  <c r="O966" i="5"/>
  <c r="N966" i="5"/>
  <c r="K966" i="5"/>
  <c r="H966" i="5"/>
  <c r="J966" i="5" s="1"/>
  <c r="I966" i="5" s="1"/>
  <c r="E966" i="5"/>
  <c r="D966" i="5"/>
  <c r="B966" i="5"/>
  <c r="Q965" i="5"/>
  <c r="P965" i="5"/>
  <c r="R965" i="5" s="1"/>
  <c r="O965" i="5"/>
  <c r="N965" i="5"/>
  <c r="K965" i="5"/>
  <c r="H965" i="5"/>
  <c r="E965" i="5"/>
  <c r="D965" i="5"/>
  <c r="B965" i="5"/>
  <c r="Q964" i="5"/>
  <c r="P964" i="5"/>
  <c r="O964" i="5"/>
  <c r="N964" i="5"/>
  <c r="K964" i="5"/>
  <c r="H964" i="5"/>
  <c r="G964" i="5" s="1"/>
  <c r="E964" i="5"/>
  <c r="D964" i="5"/>
  <c r="B964" i="5"/>
  <c r="Q963" i="5"/>
  <c r="P963" i="5"/>
  <c r="R963" i="5" s="1"/>
  <c r="O963" i="5"/>
  <c r="N963" i="5"/>
  <c r="K963" i="5"/>
  <c r="H963" i="5"/>
  <c r="J963" i="5" s="1"/>
  <c r="I963" i="5" s="1"/>
  <c r="E963" i="5"/>
  <c r="D963" i="5"/>
  <c r="B963" i="5"/>
  <c r="Q962" i="5"/>
  <c r="P962" i="5"/>
  <c r="O962" i="5"/>
  <c r="N962" i="5"/>
  <c r="K962" i="5"/>
  <c r="H962" i="5"/>
  <c r="J962" i="5" s="1"/>
  <c r="I962" i="5" s="1"/>
  <c r="E962" i="5"/>
  <c r="D962" i="5"/>
  <c r="B962" i="5"/>
  <c r="Q961" i="5"/>
  <c r="P961" i="5"/>
  <c r="O961" i="5"/>
  <c r="N961" i="5"/>
  <c r="K961" i="5"/>
  <c r="H961" i="5"/>
  <c r="G961" i="5" s="1"/>
  <c r="E961" i="5"/>
  <c r="D961" i="5"/>
  <c r="B961" i="5"/>
  <c r="Q960" i="5"/>
  <c r="P960" i="5"/>
  <c r="O960" i="5"/>
  <c r="N960" i="5"/>
  <c r="K960" i="5"/>
  <c r="H960" i="5"/>
  <c r="J960" i="5" s="1"/>
  <c r="I960" i="5" s="1"/>
  <c r="E960" i="5"/>
  <c r="D960" i="5"/>
  <c r="B960" i="5"/>
  <c r="Q959" i="5"/>
  <c r="P959" i="5"/>
  <c r="O959" i="5"/>
  <c r="N959" i="5"/>
  <c r="K959" i="5"/>
  <c r="H959" i="5"/>
  <c r="E959" i="5"/>
  <c r="D959" i="5"/>
  <c r="B959" i="5"/>
  <c r="Q958" i="5"/>
  <c r="P958" i="5"/>
  <c r="R958" i="5" s="1"/>
  <c r="O958" i="5"/>
  <c r="N958" i="5"/>
  <c r="K958" i="5"/>
  <c r="H958" i="5"/>
  <c r="J958" i="5" s="1"/>
  <c r="I958" i="5" s="1"/>
  <c r="E958" i="5"/>
  <c r="D958" i="5"/>
  <c r="B958" i="5"/>
  <c r="Q957" i="5"/>
  <c r="P957" i="5"/>
  <c r="O957" i="5"/>
  <c r="N957" i="5"/>
  <c r="K957" i="5"/>
  <c r="H957" i="5"/>
  <c r="J957" i="5" s="1"/>
  <c r="I957" i="5" s="1"/>
  <c r="E957" i="5"/>
  <c r="D957" i="5"/>
  <c r="B957" i="5"/>
  <c r="Q956" i="5"/>
  <c r="P956" i="5"/>
  <c r="O956" i="5"/>
  <c r="N956" i="5"/>
  <c r="K956" i="5"/>
  <c r="H956" i="5"/>
  <c r="J956" i="5" s="1"/>
  <c r="I956" i="5" s="1"/>
  <c r="E956" i="5"/>
  <c r="D956" i="5"/>
  <c r="B956" i="5"/>
  <c r="Q955" i="5"/>
  <c r="P955" i="5"/>
  <c r="O955" i="5"/>
  <c r="N955" i="5"/>
  <c r="K955" i="5"/>
  <c r="H955" i="5"/>
  <c r="J955" i="5" s="1"/>
  <c r="I955" i="5" s="1"/>
  <c r="E955" i="5"/>
  <c r="D955" i="5"/>
  <c r="B955" i="5"/>
  <c r="Q954" i="5"/>
  <c r="P954" i="5"/>
  <c r="O954" i="5"/>
  <c r="N954" i="5"/>
  <c r="K954" i="5"/>
  <c r="H954" i="5"/>
  <c r="J954" i="5" s="1"/>
  <c r="I954" i="5" s="1"/>
  <c r="G954" i="5"/>
  <c r="E954" i="5"/>
  <c r="D954" i="5"/>
  <c r="B954" i="5"/>
  <c r="Q953" i="5"/>
  <c r="P953" i="5"/>
  <c r="O953" i="5"/>
  <c r="N953" i="5"/>
  <c r="K953" i="5"/>
  <c r="H953" i="5"/>
  <c r="J953" i="5" s="1"/>
  <c r="I953" i="5" s="1"/>
  <c r="E953" i="5"/>
  <c r="D953" i="5"/>
  <c r="B953" i="5"/>
  <c r="Q952" i="5"/>
  <c r="P952" i="5"/>
  <c r="O952" i="5"/>
  <c r="N952" i="5"/>
  <c r="K952" i="5"/>
  <c r="H952" i="5"/>
  <c r="E952" i="5"/>
  <c r="D952" i="5"/>
  <c r="B952" i="5"/>
  <c r="Q951" i="5"/>
  <c r="P951" i="5"/>
  <c r="R951" i="5" s="1"/>
  <c r="O951" i="5"/>
  <c r="N951" i="5"/>
  <c r="K951" i="5"/>
  <c r="H951" i="5"/>
  <c r="G951" i="5" s="1"/>
  <c r="E951" i="5"/>
  <c r="D951" i="5"/>
  <c r="B951" i="5"/>
  <c r="Q950" i="5"/>
  <c r="P950" i="5"/>
  <c r="O950" i="5"/>
  <c r="N950" i="5"/>
  <c r="K950" i="5"/>
  <c r="H950" i="5"/>
  <c r="J950" i="5" s="1"/>
  <c r="I950" i="5" s="1"/>
  <c r="E950" i="5"/>
  <c r="D950" i="5"/>
  <c r="B950" i="5"/>
  <c r="Q949" i="5"/>
  <c r="P949" i="5"/>
  <c r="O949" i="5"/>
  <c r="N949" i="5"/>
  <c r="K949" i="5"/>
  <c r="H949" i="5"/>
  <c r="E949" i="5"/>
  <c r="D949" i="5"/>
  <c r="B949" i="5"/>
  <c r="Q948" i="5"/>
  <c r="P948" i="5"/>
  <c r="O948" i="5"/>
  <c r="N948" i="5"/>
  <c r="K948" i="5"/>
  <c r="H948" i="5"/>
  <c r="G948" i="5" s="1"/>
  <c r="E948" i="5"/>
  <c r="D948" i="5"/>
  <c r="B948" i="5"/>
  <c r="Q947" i="5"/>
  <c r="P947" i="5"/>
  <c r="O947" i="5"/>
  <c r="N947" i="5"/>
  <c r="K947" i="5"/>
  <c r="H947" i="5"/>
  <c r="E947" i="5"/>
  <c r="D947" i="5"/>
  <c r="B947" i="5"/>
  <c r="Q946" i="5"/>
  <c r="P946" i="5"/>
  <c r="O946" i="5"/>
  <c r="N946" i="5"/>
  <c r="K946" i="5"/>
  <c r="H946" i="5"/>
  <c r="J946" i="5" s="1"/>
  <c r="I946" i="5" s="1"/>
  <c r="E946" i="5"/>
  <c r="D946" i="5"/>
  <c r="B946" i="5"/>
  <c r="Q945" i="5"/>
  <c r="P945" i="5"/>
  <c r="O945" i="5"/>
  <c r="N945" i="5"/>
  <c r="K945" i="5"/>
  <c r="H945" i="5"/>
  <c r="E945" i="5"/>
  <c r="D945" i="5"/>
  <c r="B945" i="5"/>
  <c r="Q944" i="5"/>
  <c r="P944" i="5"/>
  <c r="O944" i="5"/>
  <c r="N944" i="5"/>
  <c r="K944" i="5"/>
  <c r="H944" i="5"/>
  <c r="J944" i="5" s="1"/>
  <c r="I944" i="5" s="1"/>
  <c r="E944" i="5"/>
  <c r="D944" i="5"/>
  <c r="B944" i="5"/>
  <c r="Q943" i="5"/>
  <c r="P943" i="5"/>
  <c r="O943" i="5"/>
  <c r="N943" i="5"/>
  <c r="K943" i="5"/>
  <c r="H943" i="5"/>
  <c r="J943" i="5" s="1"/>
  <c r="I943" i="5" s="1"/>
  <c r="E943" i="5"/>
  <c r="D943" i="5"/>
  <c r="B943" i="5"/>
  <c r="Q942" i="5"/>
  <c r="P942" i="5"/>
  <c r="O942" i="5"/>
  <c r="N942" i="5"/>
  <c r="K942" i="5"/>
  <c r="H942" i="5"/>
  <c r="G942" i="5" s="1"/>
  <c r="E942" i="5"/>
  <c r="D942" i="5"/>
  <c r="B942" i="5"/>
  <c r="Q941" i="5"/>
  <c r="P941" i="5"/>
  <c r="O941" i="5"/>
  <c r="N941" i="5"/>
  <c r="K941" i="5"/>
  <c r="H941" i="5"/>
  <c r="J941" i="5" s="1"/>
  <c r="I941" i="5" s="1"/>
  <c r="E941" i="5"/>
  <c r="D941" i="5"/>
  <c r="B941" i="5"/>
  <c r="Q940" i="5"/>
  <c r="P940" i="5"/>
  <c r="O940" i="5"/>
  <c r="N940" i="5"/>
  <c r="K940" i="5"/>
  <c r="H940" i="5"/>
  <c r="G940" i="5" s="1"/>
  <c r="E940" i="5"/>
  <c r="D940" i="5"/>
  <c r="B940" i="5"/>
  <c r="Q939" i="5"/>
  <c r="P939" i="5"/>
  <c r="O939" i="5"/>
  <c r="N939" i="5"/>
  <c r="K939" i="5"/>
  <c r="H939" i="5"/>
  <c r="J939" i="5" s="1"/>
  <c r="I939" i="5" s="1"/>
  <c r="E939" i="5"/>
  <c r="D939" i="5"/>
  <c r="B939" i="5"/>
  <c r="Q938" i="5"/>
  <c r="P938" i="5"/>
  <c r="O938" i="5"/>
  <c r="N938" i="5"/>
  <c r="K938" i="5"/>
  <c r="H938" i="5"/>
  <c r="J938" i="5" s="1"/>
  <c r="I938" i="5" s="1"/>
  <c r="E938" i="5"/>
  <c r="D938" i="5"/>
  <c r="B938" i="5"/>
  <c r="Q937" i="5"/>
  <c r="P937" i="5"/>
  <c r="O937" i="5"/>
  <c r="N937" i="5"/>
  <c r="K937" i="5"/>
  <c r="H937" i="5"/>
  <c r="E937" i="5"/>
  <c r="D937" i="5"/>
  <c r="B937" i="5"/>
  <c r="Q936" i="5"/>
  <c r="P936" i="5"/>
  <c r="O936" i="5"/>
  <c r="N936" i="5"/>
  <c r="K936" i="5"/>
  <c r="H936" i="5"/>
  <c r="J936" i="5" s="1"/>
  <c r="I936" i="5" s="1"/>
  <c r="E936" i="5"/>
  <c r="D936" i="5"/>
  <c r="B936" i="5"/>
  <c r="Q935" i="5"/>
  <c r="P935" i="5"/>
  <c r="O935" i="5"/>
  <c r="N935" i="5"/>
  <c r="K935" i="5"/>
  <c r="H935" i="5"/>
  <c r="J935" i="5" s="1"/>
  <c r="I935" i="5" s="1"/>
  <c r="E935" i="5"/>
  <c r="D935" i="5"/>
  <c r="B935" i="5"/>
  <c r="Q934" i="5"/>
  <c r="P934" i="5"/>
  <c r="O934" i="5"/>
  <c r="N934" i="5"/>
  <c r="K934" i="5"/>
  <c r="H934" i="5"/>
  <c r="J934" i="5" s="1"/>
  <c r="I934" i="5" s="1"/>
  <c r="E934" i="5"/>
  <c r="D934" i="5"/>
  <c r="B934" i="5"/>
  <c r="Q933" i="5"/>
  <c r="P933" i="5"/>
  <c r="O933" i="5"/>
  <c r="N933" i="5"/>
  <c r="K933" i="5"/>
  <c r="H933" i="5"/>
  <c r="E933" i="5"/>
  <c r="D933" i="5"/>
  <c r="B933" i="5"/>
  <c r="Q932" i="5"/>
  <c r="P932" i="5"/>
  <c r="O932" i="5"/>
  <c r="N932" i="5"/>
  <c r="K932" i="5"/>
  <c r="H932" i="5"/>
  <c r="G932" i="5" s="1"/>
  <c r="E932" i="5"/>
  <c r="D932" i="5"/>
  <c r="B932" i="5"/>
  <c r="Q931" i="5"/>
  <c r="P931" i="5"/>
  <c r="O931" i="5"/>
  <c r="N931" i="5"/>
  <c r="K931" i="5"/>
  <c r="H931" i="5"/>
  <c r="E931" i="5"/>
  <c r="D931" i="5"/>
  <c r="B931" i="5"/>
  <c r="Q930" i="5"/>
  <c r="P930" i="5"/>
  <c r="O930" i="5"/>
  <c r="N930" i="5"/>
  <c r="K930" i="5"/>
  <c r="H930" i="5"/>
  <c r="J930" i="5" s="1"/>
  <c r="I930" i="5" s="1"/>
  <c r="E930" i="5"/>
  <c r="D930" i="5"/>
  <c r="B930" i="5"/>
  <c r="Q929" i="5"/>
  <c r="P929" i="5"/>
  <c r="O929" i="5"/>
  <c r="N929" i="5"/>
  <c r="K929" i="5"/>
  <c r="H929" i="5"/>
  <c r="E929" i="5"/>
  <c r="D929" i="5"/>
  <c r="B929" i="5"/>
  <c r="Q928" i="5"/>
  <c r="P928" i="5"/>
  <c r="O928" i="5"/>
  <c r="N928" i="5"/>
  <c r="K928" i="5"/>
  <c r="H928" i="5"/>
  <c r="J928" i="5" s="1"/>
  <c r="I928" i="5" s="1"/>
  <c r="E928" i="5"/>
  <c r="D928" i="5"/>
  <c r="B928" i="5"/>
  <c r="Q927" i="5"/>
  <c r="P927" i="5"/>
  <c r="R927" i="5" s="1"/>
  <c r="O927" i="5"/>
  <c r="N927" i="5"/>
  <c r="K927" i="5"/>
  <c r="H927" i="5"/>
  <c r="J927" i="5" s="1"/>
  <c r="I927" i="5" s="1"/>
  <c r="E927" i="5"/>
  <c r="D927" i="5"/>
  <c r="B927" i="5"/>
  <c r="Q926" i="5"/>
  <c r="P926" i="5"/>
  <c r="O926" i="5"/>
  <c r="N926" i="5"/>
  <c r="K926" i="5"/>
  <c r="H926" i="5"/>
  <c r="J926" i="5" s="1"/>
  <c r="I926" i="5" s="1"/>
  <c r="E926" i="5"/>
  <c r="D926" i="5"/>
  <c r="B926" i="5"/>
  <c r="Q925" i="5"/>
  <c r="P925" i="5"/>
  <c r="O925" i="5"/>
  <c r="N925" i="5"/>
  <c r="K925" i="5"/>
  <c r="H925" i="5"/>
  <c r="J925" i="5" s="1"/>
  <c r="I925" i="5" s="1"/>
  <c r="E925" i="5"/>
  <c r="D925" i="5"/>
  <c r="B925" i="5"/>
  <c r="Q924" i="5"/>
  <c r="P924" i="5"/>
  <c r="O924" i="5"/>
  <c r="N924" i="5"/>
  <c r="K924" i="5"/>
  <c r="H924" i="5"/>
  <c r="J924" i="5" s="1"/>
  <c r="I924" i="5" s="1"/>
  <c r="E924" i="5"/>
  <c r="D924" i="5"/>
  <c r="B924" i="5"/>
  <c r="Q923" i="5"/>
  <c r="P923" i="5"/>
  <c r="O923" i="5"/>
  <c r="N923" i="5"/>
  <c r="K923" i="5"/>
  <c r="H923" i="5"/>
  <c r="J923" i="5" s="1"/>
  <c r="I923" i="5" s="1"/>
  <c r="E923" i="5"/>
  <c r="D923" i="5"/>
  <c r="B923" i="5"/>
  <c r="Q922" i="5"/>
  <c r="P922" i="5"/>
  <c r="O922" i="5"/>
  <c r="N922" i="5"/>
  <c r="K922" i="5"/>
  <c r="H922" i="5"/>
  <c r="J922" i="5" s="1"/>
  <c r="I922" i="5" s="1"/>
  <c r="E922" i="5"/>
  <c r="D922" i="5"/>
  <c r="B922" i="5"/>
  <c r="Q921" i="5"/>
  <c r="P921" i="5"/>
  <c r="O921" i="5"/>
  <c r="N921" i="5"/>
  <c r="K921" i="5"/>
  <c r="H921" i="5"/>
  <c r="E921" i="5"/>
  <c r="D921" i="5"/>
  <c r="B921" i="5"/>
  <c r="Q920" i="5"/>
  <c r="P920" i="5"/>
  <c r="O920" i="5"/>
  <c r="N920" i="5"/>
  <c r="K920" i="5"/>
  <c r="H920" i="5"/>
  <c r="E920" i="5"/>
  <c r="D920" i="5"/>
  <c r="B920" i="5"/>
  <c r="Q919" i="5"/>
  <c r="P919" i="5"/>
  <c r="O919" i="5"/>
  <c r="N919" i="5"/>
  <c r="K919" i="5"/>
  <c r="H919" i="5"/>
  <c r="G919" i="5" s="1"/>
  <c r="E919" i="5"/>
  <c r="D919" i="5"/>
  <c r="B919" i="5"/>
  <c r="Q918" i="5"/>
  <c r="P918" i="5"/>
  <c r="O918" i="5"/>
  <c r="N918" i="5"/>
  <c r="K918" i="5"/>
  <c r="H918" i="5"/>
  <c r="J918" i="5" s="1"/>
  <c r="I918" i="5" s="1"/>
  <c r="E918" i="5"/>
  <c r="D918" i="5"/>
  <c r="B918" i="5"/>
  <c r="Q917" i="5"/>
  <c r="P917" i="5"/>
  <c r="O917" i="5"/>
  <c r="N917" i="5"/>
  <c r="K917" i="5"/>
  <c r="H917" i="5"/>
  <c r="E917" i="5"/>
  <c r="D917" i="5"/>
  <c r="B917" i="5"/>
  <c r="Q916" i="5"/>
  <c r="P916" i="5"/>
  <c r="O916" i="5"/>
  <c r="N916" i="5"/>
  <c r="K916" i="5"/>
  <c r="H916" i="5"/>
  <c r="E916" i="5"/>
  <c r="D916" i="5"/>
  <c r="B916" i="5"/>
  <c r="Q915" i="5"/>
  <c r="P915" i="5"/>
  <c r="O915" i="5"/>
  <c r="N915" i="5"/>
  <c r="K915" i="5"/>
  <c r="H915" i="5"/>
  <c r="G915" i="5" s="1"/>
  <c r="E915" i="5"/>
  <c r="D915" i="5"/>
  <c r="B915" i="5"/>
  <c r="Q914" i="5"/>
  <c r="P914" i="5"/>
  <c r="O914" i="5"/>
  <c r="N914" i="5"/>
  <c r="K914" i="5"/>
  <c r="H914" i="5"/>
  <c r="J914" i="5" s="1"/>
  <c r="I914" i="5" s="1"/>
  <c r="E914" i="5"/>
  <c r="D914" i="5"/>
  <c r="B914" i="5"/>
  <c r="Q913" i="5"/>
  <c r="P913" i="5"/>
  <c r="O913" i="5"/>
  <c r="N913" i="5"/>
  <c r="K913" i="5"/>
  <c r="H913" i="5"/>
  <c r="G913" i="5" s="1"/>
  <c r="E913" i="5"/>
  <c r="D913" i="5"/>
  <c r="B913" i="5"/>
  <c r="Q912" i="5"/>
  <c r="P912" i="5"/>
  <c r="O912" i="5"/>
  <c r="N912" i="5"/>
  <c r="K912" i="5"/>
  <c r="H912" i="5"/>
  <c r="J912" i="5" s="1"/>
  <c r="I912" i="5" s="1"/>
  <c r="E912" i="5"/>
  <c r="D912" i="5"/>
  <c r="B912" i="5"/>
  <c r="Q911" i="5"/>
  <c r="P911" i="5"/>
  <c r="O911" i="5"/>
  <c r="N911" i="5"/>
  <c r="K911" i="5"/>
  <c r="H911" i="5"/>
  <c r="J911" i="5" s="1"/>
  <c r="I911" i="5" s="1"/>
  <c r="E911" i="5"/>
  <c r="D911" i="5"/>
  <c r="B911" i="5"/>
  <c r="Q910" i="5"/>
  <c r="P910" i="5"/>
  <c r="O910" i="5"/>
  <c r="N910" i="5"/>
  <c r="K910" i="5"/>
  <c r="H910" i="5"/>
  <c r="G910" i="5" s="1"/>
  <c r="E910" i="5"/>
  <c r="D910" i="5"/>
  <c r="B910" i="5"/>
  <c r="Q909" i="5"/>
  <c r="P909" i="5"/>
  <c r="O909" i="5"/>
  <c r="N909" i="5"/>
  <c r="K909" i="5"/>
  <c r="H909" i="5"/>
  <c r="J909" i="5" s="1"/>
  <c r="I909" i="5" s="1"/>
  <c r="E909" i="5"/>
  <c r="D909" i="5"/>
  <c r="B909" i="5"/>
  <c r="Q908" i="5"/>
  <c r="P908" i="5"/>
  <c r="O908" i="5"/>
  <c r="N908" i="5"/>
  <c r="K908" i="5"/>
  <c r="H908" i="5"/>
  <c r="J908" i="5" s="1"/>
  <c r="I908" i="5" s="1"/>
  <c r="E908" i="5"/>
  <c r="D908" i="5"/>
  <c r="B908" i="5"/>
  <c r="Q907" i="5"/>
  <c r="P907" i="5"/>
  <c r="O907" i="5"/>
  <c r="N907" i="5"/>
  <c r="K907" i="5"/>
  <c r="H907" i="5"/>
  <c r="E907" i="5"/>
  <c r="D907" i="5"/>
  <c r="B907" i="5"/>
  <c r="Q906" i="5"/>
  <c r="P906" i="5"/>
  <c r="O906" i="5"/>
  <c r="N906" i="5"/>
  <c r="K906" i="5"/>
  <c r="H906" i="5"/>
  <c r="E906" i="5"/>
  <c r="D906" i="5"/>
  <c r="B906" i="5"/>
  <c r="Q905" i="5"/>
  <c r="P905" i="5"/>
  <c r="O905" i="5"/>
  <c r="N905" i="5"/>
  <c r="K905" i="5"/>
  <c r="H905" i="5"/>
  <c r="E905" i="5"/>
  <c r="D905" i="5"/>
  <c r="B905" i="5"/>
  <c r="Q904" i="5"/>
  <c r="P904" i="5"/>
  <c r="O904" i="5"/>
  <c r="N904" i="5"/>
  <c r="K904" i="5"/>
  <c r="H904" i="5"/>
  <c r="J904" i="5" s="1"/>
  <c r="I904" i="5" s="1"/>
  <c r="E904" i="5"/>
  <c r="D904" i="5"/>
  <c r="B904" i="5"/>
  <c r="Q903" i="5"/>
  <c r="P903" i="5"/>
  <c r="O903" i="5"/>
  <c r="N903" i="5"/>
  <c r="K903" i="5"/>
  <c r="H903" i="5"/>
  <c r="J903" i="5" s="1"/>
  <c r="I903" i="5" s="1"/>
  <c r="E903" i="5"/>
  <c r="D903" i="5"/>
  <c r="B903" i="5"/>
  <c r="Q902" i="5"/>
  <c r="P902" i="5"/>
  <c r="O902" i="5"/>
  <c r="N902" i="5"/>
  <c r="K902" i="5"/>
  <c r="H902" i="5"/>
  <c r="E902" i="5"/>
  <c r="D902" i="5"/>
  <c r="B902" i="5"/>
  <c r="Q901" i="5"/>
  <c r="P901" i="5"/>
  <c r="O901" i="5"/>
  <c r="N901" i="5"/>
  <c r="K901" i="5"/>
  <c r="H901" i="5"/>
  <c r="E901" i="5"/>
  <c r="D901" i="5"/>
  <c r="B901" i="5"/>
  <c r="Q900" i="5"/>
  <c r="P900" i="5"/>
  <c r="O900" i="5"/>
  <c r="N900" i="5"/>
  <c r="K900" i="5"/>
  <c r="H900" i="5"/>
  <c r="G900" i="5" s="1"/>
  <c r="E900" i="5"/>
  <c r="D900" i="5"/>
  <c r="B900" i="5"/>
  <c r="Q899" i="5"/>
  <c r="P899" i="5"/>
  <c r="O899" i="5"/>
  <c r="N899" i="5"/>
  <c r="K899" i="5"/>
  <c r="H899" i="5"/>
  <c r="E899" i="5"/>
  <c r="D899" i="5"/>
  <c r="B899" i="5"/>
  <c r="Q898" i="5"/>
  <c r="P898" i="5"/>
  <c r="O898" i="5"/>
  <c r="N898" i="5"/>
  <c r="K898" i="5"/>
  <c r="H898" i="5"/>
  <c r="J898" i="5" s="1"/>
  <c r="I898" i="5" s="1"/>
  <c r="E898" i="5"/>
  <c r="D898" i="5"/>
  <c r="B898" i="5"/>
  <c r="Q897" i="5"/>
  <c r="P897" i="5"/>
  <c r="O897" i="5"/>
  <c r="N897" i="5"/>
  <c r="K897" i="5"/>
  <c r="H897" i="5"/>
  <c r="G897" i="5" s="1"/>
  <c r="E897" i="5"/>
  <c r="D897" i="5"/>
  <c r="B897" i="5"/>
  <c r="Q896" i="5"/>
  <c r="P896" i="5"/>
  <c r="O896" i="5"/>
  <c r="N896" i="5"/>
  <c r="K896" i="5"/>
  <c r="H896" i="5"/>
  <c r="J896" i="5" s="1"/>
  <c r="I896" i="5" s="1"/>
  <c r="E896" i="5"/>
  <c r="D896" i="5"/>
  <c r="B896" i="5"/>
  <c r="Q895" i="5"/>
  <c r="P895" i="5"/>
  <c r="O895" i="5"/>
  <c r="N895" i="5"/>
  <c r="K895" i="5"/>
  <c r="H895" i="5"/>
  <c r="J895" i="5" s="1"/>
  <c r="I895" i="5" s="1"/>
  <c r="E895" i="5"/>
  <c r="D895" i="5"/>
  <c r="B895" i="5"/>
  <c r="Q894" i="5"/>
  <c r="P894" i="5"/>
  <c r="O894" i="5"/>
  <c r="N894" i="5"/>
  <c r="K894" i="5"/>
  <c r="H894" i="5"/>
  <c r="E894" i="5"/>
  <c r="D894" i="5"/>
  <c r="B894" i="5"/>
  <c r="Q893" i="5"/>
  <c r="P893" i="5"/>
  <c r="O893" i="5"/>
  <c r="N893" i="5"/>
  <c r="K893" i="5"/>
  <c r="H893" i="5"/>
  <c r="J893" i="5" s="1"/>
  <c r="I893" i="5" s="1"/>
  <c r="E893" i="5"/>
  <c r="D893" i="5"/>
  <c r="B893" i="5"/>
  <c r="Q892" i="5"/>
  <c r="P892" i="5"/>
  <c r="R892" i="5" s="1"/>
  <c r="O892" i="5"/>
  <c r="N892" i="5"/>
  <c r="K892" i="5"/>
  <c r="H892" i="5"/>
  <c r="J892" i="5" s="1"/>
  <c r="I892" i="5" s="1"/>
  <c r="E892" i="5"/>
  <c r="D892" i="5"/>
  <c r="B892" i="5"/>
  <c r="Q891" i="5"/>
  <c r="P891" i="5"/>
  <c r="O891" i="5"/>
  <c r="N891" i="5"/>
  <c r="K891" i="5"/>
  <c r="H891" i="5"/>
  <c r="J891" i="5" s="1"/>
  <c r="I891" i="5" s="1"/>
  <c r="E891" i="5"/>
  <c r="D891" i="5"/>
  <c r="B891" i="5"/>
  <c r="Q890" i="5"/>
  <c r="P890" i="5"/>
  <c r="O890" i="5"/>
  <c r="N890" i="5"/>
  <c r="K890" i="5"/>
  <c r="H890" i="5"/>
  <c r="G890" i="5" s="1"/>
  <c r="E890" i="5"/>
  <c r="D890" i="5"/>
  <c r="B890" i="5"/>
  <c r="Q889" i="5"/>
  <c r="P889" i="5"/>
  <c r="R889" i="5" s="1"/>
  <c r="O889" i="5"/>
  <c r="N889" i="5"/>
  <c r="K889" i="5"/>
  <c r="H889" i="5"/>
  <c r="E889" i="5"/>
  <c r="D889" i="5"/>
  <c r="B889" i="5"/>
  <c r="Q888" i="5"/>
  <c r="P888" i="5"/>
  <c r="O888" i="5"/>
  <c r="N888" i="5"/>
  <c r="K888" i="5"/>
  <c r="H888" i="5"/>
  <c r="G888" i="5" s="1"/>
  <c r="E888" i="5"/>
  <c r="D888" i="5"/>
  <c r="B888" i="5"/>
  <c r="Q887" i="5"/>
  <c r="P887" i="5"/>
  <c r="O887" i="5"/>
  <c r="N887" i="5"/>
  <c r="K887" i="5"/>
  <c r="H887" i="5"/>
  <c r="G887" i="5" s="1"/>
  <c r="E887" i="5"/>
  <c r="D887" i="5"/>
  <c r="B887" i="5"/>
  <c r="Q886" i="5"/>
  <c r="P886" i="5"/>
  <c r="O886" i="5"/>
  <c r="N886" i="5"/>
  <c r="K886" i="5"/>
  <c r="H886" i="5"/>
  <c r="E886" i="5"/>
  <c r="D886" i="5"/>
  <c r="B886" i="5"/>
  <c r="Q885" i="5"/>
  <c r="P885" i="5"/>
  <c r="R885" i="5" s="1"/>
  <c r="O885" i="5"/>
  <c r="N885" i="5"/>
  <c r="K885" i="5"/>
  <c r="H885" i="5"/>
  <c r="E885" i="5"/>
  <c r="D885" i="5"/>
  <c r="B885" i="5"/>
  <c r="Q884" i="5"/>
  <c r="P884" i="5"/>
  <c r="O884" i="5"/>
  <c r="N884" i="5"/>
  <c r="K884" i="5"/>
  <c r="H884" i="5"/>
  <c r="E884" i="5"/>
  <c r="D884" i="5"/>
  <c r="B884" i="5"/>
  <c r="Q883" i="5"/>
  <c r="P883" i="5"/>
  <c r="O883" i="5"/>
  <c r="N883" i="5"/>
  <c r="K883" i="5"/>
  <c r="H883" i="5"/>
  <c r="G883" i="5" s="1"/>
  <c r="E883" i="5"/>
  <c r="D883" i="5"/>
  <c r="B883" i="5"/>
  <c r="Q882" i="5"/>
  <c r="P882" i="5"/>
  <c r="R882" i="5" s="1"/>
  <c r="O882" i="5"/>
  <c r="N882" i="5"/>
  <c r="K882" i="5"/>
  <c r="H882" i="5"/>
  <c r="J882" i="5" s="1"/>
  <c r="I882" i="5" s="1"/>
  <c r="G882" i="5"/>
  <c r="E882" i="5"/>
  <c r="D882" i="5"/>
  <c r="B882" i="5"/>
  <c r="Q881" i="5"/>
  <c r="P881" i="5"/>
  <c r="O881" i="5"/>
  <c r="N881" i="5"/>
  <c r="K881" i="5"/>
  <c r="H881" i="5"/>
  <c r="J881" i="5" s="1"/>
  <c r="I881" i="5" s="1"/>
  <c r="E881" i="5"/>
  <c r="D881" i="5"/>
  <c r="B881" i="5"/>
  <c r="Q880" i="5"/>
  <c r="P880" i="5"/>
  <c r="O880" i="5"/>
  <c r="N880" i="5"/>
  <c r="K880" i="5"/>
  <c r="H880" i="5"/>
  <c r="G880" i="5" s="1"/>
  <c r="E880" i="5"/>
  <c r="D880" i="5"/>
  <c r="B880" i="5"/>
  <c r="Q879" i="5"/>
  <c r="P879" i="5"/>
  <c r="O879" i="5"/>
  <c r="N879" i="5"/>
  <c r="K879" i="5"/>
  <c r="H879" i="5"/>
  <c r="J879" i="5" s="1"/>
  <c r="I879" i="5" s="1"/>
  <c r="E879" i="5"/>
  <c r="D879" i="5"/>
  <c r="B879" i="5"/>
  <c r="Q878" i="5"/>
  <c r="P878" i="5"/>
  <c r="O878" i="5"/>
  <c r="N878" i="5"/>
  <c r="K878" i="5"/>
  <c r="H878" i="5"/>
  <c r="E878" i="5"/>
  <c r="D878" i="5"/>
  <c r="B878" i="5"/>
  <c r="Q877" i="5"/>
  <c r="P877" i="5"/>
  <c r="O877" i="5"/>
  <c r="N877" i="5"/>
  <c r="K877" i="5"/>
  <c r="H877" i="5"/>
  <c r="E877" i="5"/>
  <c r="D877" i="5"/>
  <c r="B877" i="5"/>
  <c r="Q876" i="5"/>
  <c r="P876" i="5"/>
  <c r="O876" i="5"/>
  <c r="N876" i="5"/>
  <c r="K876" i="5"/>
  <c r="H876" i="5"/>
  <c r="J876" i="5" s="1"/>
  <c r="I876" i="5" s="1"/>
  <c r="E876" i="5"/>
  <c r="D876" i="5"/>
  <c r="B876" i="5"/>
  <c r="Q875" i="5"/>
  <c r="P875" i="5"/>
  <c r="O875" i="5"/>
  <c r="N875" i="5"/>
  <c r="K875" i="5"/>
  <c r="H875" i="5"/>
  <c r="E875" i="5"/>
  <c r="D875" i="5"/>
  <c r="B875" i="5"/>
  <c r="Q874" i="5"/>
  <c r="P874" i="5"/>
  <c r="O874" i="5"/>
  <c r="N874" i="5"/>
  <c r="K874" i="5"/>
  <c r="H874" i="5"/>
  <c r="J874" i="5" s="1"/>
  <c r="I874" i="5" s="1"/>
  <c r="E874" i="5"/>
  <c r="D874" i="5"/>
  <c r="B874" i="5"/>
  <c r="Q873" i="5"/>
  <c r="P873" i="5"/>
  <c r="O873" i="5"/>
  <c r="N873" i="5"/>
  <c r="K873" i="5"/>
  <c r="H873" i="5"/>
  <c r="G873" i="5" s="1"/>
  <c r="E873" i="5"/>
  <c r="D873" i="5"/>
  <c r="B873" i="5"/>
  <c r="Q872" i="5"/>
  <c r="P872" i="5"/>
  <c r="O872" i="5"/>
  <c r="N872" i="5"/>
  <c r="K872" i="5"/>
  <c r="H872" i="5"/>
  <c r="E872" i="5"/>
  <c r="D872" i="5"/>
  <c r="B872" i="5"/>
  <c r="Q871" i="5"/>
  <c r="P871" i="5"/>
  <c r="O871" i="5"/>
  <c r="N871" i="5"/>
  <c r="K871" i="5"/>
  <c r="H871" i="5"/>
  <c r="J871" i="5" s="1"/>
  <c r="I871" i="5" s="1"/>
  <c r="E871" i="5"/>
  <c r="D871" i="5"/>
  <c r="B871" i="5"/>
  <c r="Q870" i="5"/>
  <c r="P870" i="5"/>
  <c r="O870" i="5"/>
  <c r="N870" i="5"/>
  <c r="K870" i="5"/>
  <c r="H870" i="5"/>
  <c r="E870" i="5"/>
  <c r="D870" i="5"/>
  <c r="B870" i="5"/>
  <c r="Q869" i="5"/>
  <c r="P869" i="5"/>
  <c r="O869" i="5"/>
  <c r="N869" i="5"/>
  <c r="K869" i="5"/>
  <c r="H869" i="5"/>
  <c r="E869" i="5"/>
  <c r="D869" i="5"/>
  <c r="B869" i="5"/>
  <c r="Q868" i="5"/>
  <c r="P868" i="5"/>
  <c r="O868" i="5"/>
  <c r="N868" i="5"/>
  <c r="K868" i="5"/>
  <c r="H868" i="5"/>
  <c r="G868" i="5" s="1"/>
  <c r="E868" i="5"/>
  <c r="D868" i="5"/>
  <c r="B868" i="5"/>
  <c r="Q867" i="5"/>
  <c r="P867" i="5"/>
  <c r="O867" i="5"/>
  <c r="N867" i="5"/>
  <c r="K867" i="5"/>
  <c r="H867" i="5"/>
  <c r="J867" i="5" s="1"/>
  <c r="I867" i="5" s="1"/>
  <c r="E867" i="5"/>
  <c r="D867" i="5"/>
  <c r="B867" i="5"/>
  <c r="Q866" i="5"/>
  <c r="P866" i="5"/>
  <c r="O866" i="5"/>
  <c r="N866" i="5"/>
  <c r="K866" i="5"/>
  <c r="H866" i="5"/>
  <c r="J866" i="5" s="1"/>
  <c r="I866" i="5" s="1"/>
  <c r="E866" i="5"/>
  <c r="D866" i="5"/>
  <c r="B866" i="5"/>
  <c r="Q865" i="5"/>
  <c r="P865" i="5"/>
  <c r="O865" i="5"/>
  <c r="N865" i="5"/>
  <c r="K865" i="5"/>
  <c r="H865" i="5"/>
  <c r="G865" i="5" s="1"/>
  <c r="E865" i="5"/>
  <c r="D865" i="5"/>
  <c r="B865" i="5"/>
  <c r="Q864" i="5"/>
  <c r="P864" i="5"/>
  <c r="R864" i="5" s="1"/>
  <c r="O864" i="5"/>
  <c r="N864" i="5"/>
  <c r="K864" i="5"/>
  <c r="H864" i="5"/>
  <c r="G864" i="5" s="1"/>
  <c r="E864" i="5"/>
  <c r="D864" i="5"/>
  <c r="B864" i="5"/>
  <c r="Q863" i="5"/>
  <c r="P863" i="5"/>
  <c r="O863" i="5"/>
  <c r="N863" i="5"/>
  <c r="K863" i="5"/>
  <c r="H863" i="5"/>
  <c r="J863" i="5" s="1"/>
  <c r="I863" i="5" s="1"/>
  <c r="E863" i="5"/>
  <c r="D863" i="5"/>
  <c r="B863" i="5"/>
  <c r="Q862" i="5"/>
  <c r="P862" i="5"/>
  <c r="O862" i="5"/>
  <c r="N862" i="5"/>
  <c r="K862" i="5"/>
  <c r="H862" i="5"/>
  <c r="E862" i="5"/>
  <c r="D862" i="5"/>
  <c r="B862" i="5"/>
  <c r="Q861" i="5"/>
  <c r="P861" i="5"/>
  <c r="O861" i="5"/>
  <c r="N861" i="5"/>
  <c r="K861" i="5"/>
  <c r="H861" i="5"/>
  <c r="J861" i="5" s="1"/>
  <c r="I861" i="5" s="1"/>
  <c r="E861" i="5"/>
  <c r="D861" i="5"/>
  <c r="B861" i="5"/>
  <c r="Q860" i="5"/>
  <c r="P860" i="5"/>
  <c r="O860" i="5"/>
  <c r="N860" i="5"/>
  <c r="K860" i="5"/>
  <c r="H860" i="5"/>
  <c r="J860" i="5" s="1"/>
  <c r="I860" i="5" s="1"/>
  <c r="E860" i="5"/>
  <c r="D860" i="5"/>
  <c r="B860" i="5"/>
  <c r="Q859" i="5"/>
  <c r="P859" i="5"/>
  <c r="O859" i="5"/>
  <c r="N859" i="5"/>
  <c r="K859" i="5"/>
  <c r="H859" i="5"/>
  <c r="G859" i="5" s="1"/>
  <c r="E859" i="5"/>
  <c r="D859" i="5"/>
  <c r="B859" i="5"/>
  <c r="Q858" i="5"/>
  <c r="P858" i="5"/>
  <c r="O858" i="5"/>
  <c r="N858" i="5"/>
  <c r="K858" i="5"/>
  <c r="H858" i="5"/>
  <c r="J858" i="5" s="1"/>
  <c r="I858" i="5" s="1"/>
  <c r="E858" i="5"/>
  <c r="D858" i="5"/>
  <c r="B858" i="5"/>
  <c r="Q857" i="5"/>
  <c r="P857" i="5"/>
  <c r="R857" i="5" s="1"/>
  <c r="O857" i="5"/>
  <c r="N857" i="5"/>
  <c r="K857" i="5"/>
  <c r="H857" i="5"/>
  <c r="J857" i="5" s="1"/>
  <c r="I857" i="5" s="1"/>
  <c r="E857" i="5"/>
  <c r="D857" i="5"/>
  <c r="B857" i="5"/>
  <c r="Q856" i="5"/>
  <c r="P856" i="5"/>
  <c r="O856" i="5"/>
  <c r="N856" i="5"/>
  <c r="K856" i="5"/>
  <c r="H856" i="5"/>
  <c r="J856" i="5" s="1"/>
  <c r="I856" i="5" s="1"/>
  <c r="E856" i="5"/>
  <c r="D856" i="5"/>
  <c r="B856" i="5"/>
  <c r="Q855" i="5"/>
  <c r="P855" i="5"/>
  <c r="O855" i="5"/>
  <c r="N855" i="5"/>
  <c r="K855" i="5"/>
  <c r="H855" i="5"/>
  <c r="G855" i="5" s="1"/>
  <c r="E855" i="5"/>
  <c r="D855" i="5"/>
  <c r="B855" i="5"/>
  <c r="Q854" i="5"/>
  <c r="P854" i="5"/>
  <c r="O854" i="5"/>
  <c r="N854" i="5"/>
  <c r="K854" i="5"/>
  <c r="H854" i="5"/>
  <c r="J854" i="5" s="1"/>
  <c r="I854" i="5" s="1"/>
  <c r="G854" i="5"/>
  <c r="E854" i="5"/>
  <c r="D854" i="5"/>
  <c r="B854" i="5"/>
  <c r="Q853" i="5"/>
  <c r="P853" i="5"/>
  <c r="O853" i="5"/>
  <c r="N853" i="5"/>
  <c r="K853" i="5"/>
  <c r="H853" i="5"/>
  <c r="E853" i="5"/>
  <c r="D853" i="5"/>
  <c r="B853" i="5"/>
  <c r="Q852" i="5"/>
  <c r="P852" i="5"/>
  <c r="O852" i="5"/>
  <c r="N852" i="5"/>
  <c r="K852" i="5"/>
  <c r="H852" i="5"/>
  <c r="G852" i="5" s="1"/>
  <c r="E852" i="5"/>
  <c r="D852" i="5"/>
  <c r="B852" i="5"/>
  <c r="Q851" i="5"/>
  <c r="P851" i="5"/>
  <c r="O851" i="5"/>
  <c r="N851" i="5"/>
  <c r="K851" i="5"/>
  <c r="H851" i="5"/>
  <c r="E851" i="5"/>
  <c r="D851" i="5"/>
  <c r="B851" i="5"/>
  <c r="Q850" i="5"/>
  <c r="P850" i="5"/>
  <c r="R850" i="5" s="1"/>
  <c r="O850" i="5"/>
  <c r="N850" i="5"/>
  <c r="K850" i="5"/>
  <c r="H850" i="5"/>
  <c r="G850" i="5" s="1"/>
  <c r="E850" i="5"/>
  <c r="D850" i="5"/>
  <c r="B850" i="5"/>
  <c r="Q849" i="5"/>
  <c r="P849" i="5"/>
  <c r="O849" i="5"/>
  <c r="N849" i="5"/>
  <c r="K849" i="5"/>
  <c r="H849" i="5"/>
  <c r="G849" i="5" s="1"/>
  <c r="E849" i="5"/>
  <c r="D849" i="5"/>
  <c r="B849" i="5"/>
  <c r="Q848" i="5"/>
  <c r="P848" i="5"/>
  <c r="O848" i="5"/>
  <c r="N848" i="5"/>
  <c r="K848" i="5"/>
  <c r="H848" i="5"/>
  <c r="G848" i="5" s="1"/>
  <c r="E848" i="5"/>
  <c r="D848" i="5"/>
  <c r="B848" i="5"/>
  <c r="Q847" i="5"/>
  <c r="P847" i="5"/>
  <c r="O847" i="5"/>
  <c r="N847" i="5"/>
  <c r="K847" i="5"/>
  <c r="H847" i="5"/>
  <c r="G847" i="5" s="1"/>
  <c r="E847" i="5"/>
  <c r="D847" i="5"/>
  <c r="B847" i="5"/>
  <c r="Q846" i="5"/>
  <c r="P846" i="5"/>
  <c r="O846" i="5"/>
  <c r="N846" i="5"/>
  <c r="K846" i="5"/>
  <c r="H846" i="5"/>
  <c r="J846" i="5" s="1"/>
  <c r="I846" i="5" s="1"/>
  <c r="E846" i="5"/>
  <c r="D846" i="5"/>
  <c r="B846" i="5"/>
  <c r="Q845" i="5"/>
  <c r="P845" i="5"/>
  <c r="O845" i="5"/>
  <c r="N845" i="5"/>
  <c r="K845" i="5"/>
  <c r="H845" i="5"/>
  <c r="J845" i="5" s="1"/>
  <c r="I845" i="5" s="1"/>
  <c r="E845" i="5"/>
  <c r="D845" i="5"/>
  <c r="B845" i="5"/>
  <c r="Q844" i="5"/>
  <c r="P844" i="5"/>
  <c r="O844" i="5"/>
  <c r="N844" i="5"/>
  <c r="K844" i="5"/>
  <c r="H844" i="5"/>
  <c r="J844" i="5" s="1"/>
  <c r="I844" i="5" s="1"/>
  <c r="E844" i="5"/>
  <c r="D844" i="5"/>
  <c r="B844" i="5"/>
  <c r="Q843" i="5"/>
  <c r="P843" i="5"/>
  <c r="O843" i="5"/>
  <c r="N843" i="5"/>
  <c r="K843" i="5"/>
  <c r="H843" i="5"/>
  <c r="J843" i="5" s="1"/>
  <c r="I843" i="5" s="1"/>
  <c r="E843" i="5"/>
  <c r="D843" i="5"/>
  <c r="B843" i="5"/>
  <c r="Q842" i="5"/>
  <c r="P842" i="5"/>
  <c r="O842" i="5"/>
  <c r="N842" i="5"/>
  <c r="K842" i="5"/>
  <c r="H842" i="5"/>
  <c r="J842" i="5" s="1"/>
  <c r="I842" i="5" s="1"/>
  <c r="E842" i="5"/>
  <c r="D842" i="5"/>
  <c r="B842" i="5"/>
  <c r="Q841" i="5"/>
  <c r="P841" i="5"/>
  <c r="O841" i="5"/>
  <c r="N841" i="5"/>
  <c r="K841" i="5"/>
  <c r="H841" i="5"/>
  <c r="G841" i="5" s="1"/>
  <c r="E841" i="5"/>
  <c r="D841" i="5"/>
  <c r="B841" i="5"/>
  <c r="Q840" i="5"/>
  <c r="P840" i="5"/>
  <c r="O840" i="5"/>
  <c r="N840" i="5"/>
  <c r="K840" i="5"/>
  <c r="H840" i="5"/>
  <c r="J840" i="5" s="1"/>
  <c r="I840" i="5" s="1"/>
  <c r="E840" i="5"/>
  <c r="D840" i="5"/>
  <c r="B840" i="5"/>
  <c r="Q839" i="5"/>
  <c r="P839" i="5"/>
  <c r="O839" i="5"/>
  <c r="N839" i="5"/>
  <c r="K839" i="5"/>
  <c r="H839" i="5"/>
  <c r="J839" i="5" s="1"/>
  <c r="I839" i="5" s="1"/>
  <c r="E839" i="5"/>
  <c r="D839" i="5"/>
  <c r="B839" i="5"/>
  <c r="Q838" i="5"/>
  <c r="P838" i="5"/>
  <c r="O838" i="5"/>
  <c r="N838" i="5"/>
  <c r="K838" i="5"/>
  <c r="H838" i="5"/>
  <c r="E838" i="5"/>
  <c r="D838" i="5"/>
  <c r="B838" i="5"/>
  <c r="Q837" i="5"/>
  <c r="P837" i="5"/>
  <c r="O837" i="5"/>
  <c r="N837" i="5"/>
  <c r="K837" i="5"/>
  <c r="H837" i="5"/>
  <c r="E837" i="5"/>
  <c r="D837" i="5"/>
  <c r="B837" i="5"/>
  <c r="Q836" i="5"/>
  <c r="P836" i="5"/>
  <c r="O836" i="5"/>
  <c r="N836" i="5"/>
  <c r="K836" i="5"/>
  <c r="H836" i="5"/>
  <c r="J836" i="5" s="1"/>
  <c r="I836" i="5" s="1"/>
  <c r="E836" i="5"/>
  <c r="D836" i="5"/>
  <c r="B836" i="5"/>
  <c r="Q835" i="5"/>
  <c r="P835" i="5"/>
  <c r="O835" i="5"/>
  <c r="N835" i="5"/>
  <c r="K835" i="5"/>
  <c r="H835" i="5"/>
  <c r="E835" i="5"/>
  <c r="D835" i="5"/>
  <c r="B835" i="5"/>
  <c r="Q834" i="5"/>
  <c r="P834" i="5"/>
  <c r="O834" i="5"/>
  <c r="N834" i="5"/>
  <c r="K834" i="5"/>
  <c r="H834" i="5"/>
  <c r="J834" i="5" s="1"/>
  <c r="I834" i="5" s="1"/>
  <c r="E834" i="5"/>
  <c r="D834" i="5"/>
  <c r="B834" i="5"/>
  <c r="Q833" i="5"/>
  <c r="P833" i="5"/>
  <c r="O833" i="5"/>
  <c r="N833" i="5"/>
  <c r="K833" i="5"/>
  <c r="H833" i="5"/>
  <c r="J833" i="5" s="1"/>
  <c r="I833" i="5" s="1"/>
  <c r="E833" i="5"/>
  <c r="D833" i="5"/>
  <c r="B833" i="5"/>
  <c r="Q832" i="5"/>
  <c r="P832" i="5"/>
  <c r="R832" i="5" s="1"/>
  <c r="O832" i="5"/>
  <c r="N832" i="5"/>
  <c r="K832" i="5"/>
  <c r="H832" i="5"/>
  <c r="E832" i="5"/>
  <c r="D832" i="5"/>
  <c r="B832" i="5"/>
  <c r="Q831" i="5"/>
  <c r="P831" i="5"/>
  <c r="O831" i="5"/>
  <c r="N831" i="5"/>
  <c r="K831" i="5"/>
  <c r="H831" i="5"/>
  <c r="J831" i="5" s="1"/>
  <c r="I831" i="5" s="1"/>
  <c r="E831" i="5"/>
  <c r="D831" i="5"/>
  <c r="B831" i="5"/>
  <c r="Q830" i="5"/>
  <c r="P830" i="5"/>
  <c r="O830" i="5"/>
  <c r="N830" i="5"/>
  <c r="K830" i="5"/>
  <c r="H830" i="5"/>
  <c r="G830" i="5" s="1"/>
  <c r="E830" i="5"/>
  <c r="D830" i="5"/>
  <c r="B830" i="5"/>
  <c r="Q829" i="5"/>
  <c r="P829" i="5"/>
  <c r="O829" i="5"/>
  <c r="N829" i="5"/>
  <c r="K829" i="5"/>
  <c r="H829" i="5"/>
  <c r="J829" i="5" s="1"/>
  <c r="I829" i="5" s="1"/>
  <c r="G829" i="5"/>
  <c r="E829" i="5"/>
  <c r="D829" i="5"/>
  <c r="B829" i="5"/>
  <c r="Q828" i="5"/>
  <c r="P828" i="5"/>
  <c r="O828" i="5"/>
  <c r="N828" i="5"/>
  <c r="K828" i="5"/>
  <c r="H828" i="5"/>
  <c r="J828" i="5" s="1"/>
  <c r="I828" i="5" s="1"/>
  <c r="E828" i="5"/>
  <c r="D828" i="5"/>
  <c r="B828" i="5"/>
  <c r="Q827" i="5"/>
  <c r="P827" i="5"/>
  <c r="O827" i="5"/>
  <c r="N827" i="5"/>
  <c r="K827" i="5"/>
  <c r="H827" i="5"/>
  <c r="E827" i="5"/>
  <c r="D827" i="5"/>
  <c r="B827" i="5"/>
  <c r="Q826" i="5"/>
  <c r="P826" i="5"/>
  <c r="O826" i="5"/>
  <c r="N826" i="5"/>
  <c r="K826" i="5"/>
  <c r="H826" i="5"/>
  <c r="G826" i="5" s="1"/>
  <c r="E826" i="5"/>
  <c r="D826" i="5"/>
  <c r="B826" i="5"/>
  <c r="Q825" i="5"/>
  <c r="P825" i="5"/>
  <c r="O825" i="5"/>
  <c r="N825" i="5"/>
  <c r="K825" i="5"/>
  <c r="H825" i="5"/>
  <c r="J825" i="5" s="1"/>
  <c r="I825" i="5" s="1"/>
  <c r="E825" i="5"/>
  <c r="D825" i="5"/>
  <c r="B825" i="5"/>
  <c r="Q824" i="5"/>
  <c r="P824" i="5"/>
  <c r="O824" i="5"/>
  <c r="N824" i="5"/>
  <c r="K824" i="5"/>
  <c r="H824" i="5"/>
  <c r="E824" i="5"/>
  <c r="D824" i="5"/>
  <c r="B824" i="5"/>
  <c r="Q823" i="5"/>
  <c r="P823" i="5"/>
  <c r="O823" i="5"/>
  <c r="N823" i="5"/>
  <c r="K823" i="5"/>
  <c r="H823" i="5"/>
  <c r="J823" i="5" s="1"/>
  <c r="I823" i="5" s="1"/>
  <c r="E823" i="5"/>
  <c r="D823" i="5"/>
  <c r="B823" i="5"/>
  <c r="Q822" i="5"/>
  <c r="P822" i="5"/>
  <c r="O822" i="5"/>
  <c r="N822" i="5"/>
  <c r="K822" i="5"/>
  <c r="H822" i="5"/>
  <c r="E822" i="5"/>
  <c r="D822" i="5"/>
  <c r="B822" i="5"/>
  <c r="Q821" i="5"/>
  <c r="P821" i="5"/>
  <c r="O821" i="5"/>
  <c r="N821" i="5"/>
  <c r="K821" i="5"/>
  <c r="H821" i="5"/>
  <c r="J821" i="5" s="1"/>
  <c r="I821" i="5" s="1"/>
  <c r="E821" i="5"/>
  <c r="D821" i="5"/>
  <c r="B821" i="5"/>
  <c r="Q820" i="5"/>
  <c r="P820" i="5"/>
  <c r="O820" i="5"/>
  <c r="N820" i="5"/>
  <c r="K820" i="5"/>
  <c r="H820" i="5"/>
  <c r="J820" i="5" s="1"/>
  <c r="I820" i="5" s="1"/>
  <c r="E820" i="5"/>
  <c r="D820" i="5"/>
  <c r="B820" i="5"/>
  <c r="Q819" i="5"/>
  <c r="P819" i="5"/>
  <c r="O819" i="5"/>
  <c r="N819" i="5"/>
  <c r="K819" i="5"/>
  <c r="H819" i="5"/>
  <c r="J819" i="5" s="1"/>
  <c r="I819" i="5" s="1"/>
  <c r="E819" i="5"/>
  <c r="D819" i="5"/>
  <c r="B819" i="5"/>
  <c r="Q818" i="5"/>
  <c r="P818" i="5"/>
  <c r="R818" i="5" s="1"/>
  <c r="O818" i="5"/>
  <c r="N818" i="5"/>
  <c r="K818" i="5"/>
  <c r="H818" i="5"/>
  <c r="J818" i="5" s="1"/>
  <c r="I818" i="5" s="1"/>
  <c r="E818" i="5"/>
  <c r="D818" i="5"/>
  <c r="B818" i="5"/>
  <c r="Q817" i="5"/>
  <c r="P817" i="5"/>
  <c r="O817" i="5"/>
  <c r="N817" i="5"/>
  <c r="K817" i="5"/>
  <c r="H817" i="5"/>
  <c r="E817" i="5"/>
  <c r="D817" i="5"/>
  <c r="B817" i="5"/>
  <c r="Q816" i="5"/>
  <c r="P816" i="5"/>
  <c r="O816" i="5"/>
  <c r="N816" i="5"/>
  <c r="K816" i="5"/>
  <c r="H816" i="5"/>
  <c r="G816" i="5" s="1"/>
  <c r="E816" i="5"/>
  <c r="D816" i="5"/>
  <c r="B816" i="5"/>
  <c r="Q815" i="5"/>
  <c r="P815" i="5"/>
  <c r="O815" i="5"/>
  <c r="N815" i="5"/>
  <c r="K815" i="5"/>
  <c r="H815" i="5"/>
  <c r="J815" i="5" s="1"/>
  <c r="I815" i="5" s="1"/>
  <c r="E815" i="5"/>
  <c r="D815" i="5"/>
  <c r="B815" i="5"/>
  <c r="Q814" i="5"/>
  <c r="P814" i="5"/>
  <c r="O814" i="5"/>
  <c r="N814" i="5"/>
  <c r="K814" i="5"/>
  <c r="H814" i="5"/>
  <c r="G814" i="5" s="1"/>
  <c r="E814" i="5"/>
  <c r="D814" i="5"/>
  <c r="B814" i="5"/>
  <c r="Q813" i="5"/>
  <c r="P813" i="5"/>
  <c r="O813" i="5"/>
  <c r="N813" i="5"/>
  <c r="K813" i="5"/>
  <c r="H813" i="5"/>
  <c r="J813" i="5" s="1"/>
  <c r="I813" i="5" s="1"/>
  <c r="E813" i="5"/>
  <c r="D813" i="5"/>
  <c r="B813" i="5"/>
  <c r="Q812" i="5"/>
  <c r="P812" i="5"/>
  <c r="O812" i="5"/>
  <c r="N812" i="5"/>
  <c r="K812" i="5"/>
  <c r="H812" i="5"/>
  <c r="J812" i="5" s="1"/>
  <c r="I812" i="5" s="1"/>
  <c r="E812" i="5"/>
  <c r="D812" i="5"/>
  <c r="B812" i="5"/>
  <c r="Q811" i="5"/>
  <c r="P811" i="5"/>
  <c r="O811" i="5"/>
  <c r="N811" i="5"/>
  <c r="K811" i="5"/>
  <c r="H811" i="5"/>
  <c r="G811" i="5" s="1"/>
  <c r="E811" i="5"/>
  <c r="D811" i="5"/>
  <c r="B811" i="5"/>
  <c r="Q810" i="5"/>
  <c r="P810" i="5"/>
  <c r="O810" i="5"/>
  <c r="N810" i="5"/>
  <c r="K810" i="5"/>
  <c r="H810" i="5"/>
  <c r="E810" i="5"/>
  <c r="D810" i="5"/>
  <c r="B810" i="5"/>
  <c r="Q809" i="5"/>
  <c r="P809" i="5"/>
  <c r="O809" i="5"/>
  <c r="N809" i="5"/>
  <c r="K809" i="5"/>
  <c r="H809" i="5"/>
  <c r="J809" i="5" s="1"/>
  <c r="I809" i="5" s="1"/>
  <c r="E809" i="5"/>
  <c r="D809" i="5"/>
  <c r="B809" i="5"/>
  <c r="Q808" i="5"/>
  <c r="P808" i="5"/>
  <c r="O808" i="5"/>
  <c r="N808" i="5"/>
  <c r="K808" i="5"/>
  <c r="H808" i="5"/>
  <c r="J808" i="5" s="1"/>
  <c r="I808" i="5" s="1"/>
  <c r="E808" i="5"/>
  <c r="D808" i="5"/>
  <c r="B808" i="5"/>
  <c r="Q807" i="5"/>
  <c r="P807" i="5"/>
  <c r="O807" i="5"/>
  <c r="N807" i="5"/>
  <c r="K807" i="5"/>
  <c r="H807" i="5"/>
  <c r="J807" i="5" s="1"/>
  <c r="I807" i="5" s="1"/>
  <c r="E807" i="5"/>
  <c r="D807" i="5"/>
  <c r="B807" i="5"/>
  <c r="Q806" i="5"/>
  <c r="P806" i="5"/>
  <c r="O806" i="5"/>
  <c r="N806" i="5"/>
  <c r="K806" i="5"/>
  <c r="H806" i="5"/>
  <c r="G806" i="5" s="1"/>
  <c r="E806" i="5"/>
  <c r="D806" i="5"/>
  <c r="B806" i="5"/>
  <c r="Q805" i="5"/>
  <c r="P805" i="5"/>
  <c r="O805" i="5"/>
  <c r="N805" i="5"/>
  <c r="K805" i="5"/>
  <c r="H805" i="5"/>
  <c r="E805" i="5"/>
  <c r="D805" i="5"/>
  <c r="B805" i="5"/>
  <c r="Q804" i="5"/>
  <c r="P804" i="5"/>
  <c r="O804" i="5"/>
  <c r="N804" i="5"/>
  <c r="K804" i="5"/>
  <c r="H804" i="5"/>
  <c r="E804" i="5"/>
  <c r="D804" i="5"/>
  <c r="B804" i="5"/>
  <c r="Q803" i="5"/>
  <c r="P803" i="5"/>
  <c r="O803" i="5"/>
  <c r="N803" i="5"/>
  <c r="K803" i="5"/>
  <c r="H803" i="5"/>
  <c r="J803" i="5" s="1"/>
  <c r="I803" i="5" s="1"/>
  <c r="E803" i="5"/>
  <c r="D803" i="5"/>
  <c r="B803" i="5"/>
  <c r="Q802" i="5"/>
  <c r="P802" i="5"/>
  <c r="O802" i="5"/>
  <c r="N802" i="5"/>
  <c r="K802" i="5"/>
  <c r="H802" i="5"/>
  <c r="J802" i="5" s="1"/>
  <c r="I802" i="5" s="1"/>
  <c r="E802" i="5"/>
  <c r="D802" i="5"/>
  <c r="B802" i="5"/>
  <c r="Q801" i="5"/>
  <c r="P801" i="5"/>
  <c r="O801" i="5"/>
  <c r="N801" i="5"/>
  <c r="K801" i="5"/>
  <c r="H801" i="5"/>
  <c r="J801" i="5" s="1"/>
  <c r="I801" i="5" s="1"/>
  <c r="E801" i="5"/>
  <c r="D801" i="5"/>
  <c r="B801" i="5"/>
  <c r="Q800" i="5"/>
  <c r="P800" i="5"/>
  <c r="O800" i="5"/>
  <c r="N800" i="5"/>
  <c r="K800" i="5"/>
  <c r="H800" i="5"/>
  <c r="G800" i="5" s="1"/>
  <c r="E800" i="5"/>
  <c r="D800" i="5"/>
  <c r="B800" i="5"/>
  <c r="Q799" i="5"/>
  <c r="P799" i="5"/>
  <c r="R799" i="5" s="1"/>
  <c r="O799" i="5"/>
  <c r="N799" i="5"/>
  <c r="K799" i="5"/>
  <c r="H799" i="5"/>
  <c r="J799" i="5" s="1"/>
  <c r="I799" i="5" s="1"/>
  <c r="E799" i="5"/>
  <c r="D799" i="5"/>
  <c r="B799" i="5"/>
  <c r="Q798" i="5"/>
  <c r="P798" i="5"/>
  <c r="O798" i="5"/>
  <c r="N798" i="5"/>
  <c r="K798" i="5"/>
  <c r="H798" i="5"/>
  <c r="J798" i="5" s="1"/>
  <c r="I798" i="5" s="1"/>
  <c r="E798" i="5"/>
  <c r="D798" i="5"/>
  <c r="B798" i="5"/>
  <c r="Q797" i="5"/>
  <c r="P797" i="5"/>
  <c r="O797" i="5"/>
  <c r="N797" i="5"/>
  <c r="K797" i="5"/>
  <c r="H797" i="5"/>
  <c r="J797" i="5" s="1"/>
  <c r="I797" i="5" s="1"/>
  <c r="E797" i="5"/>
  <c r="D797" i="5"/>
  <c r="B797" i="5"/>
  <c r="Q796" i="5"/>
  <c r="P796" i="5"/>
  <c r="O796" i="5"/>
  <c r="N796" i="5"/>
  <c r="K796" i="5"/>
  <c r="H796" i="5"/>
  <c r="E796" i="5"/>
  <c r="D796" i="5"/>
  <c r="B796" i="5"/>
  <c r="Q795" i="5"/>
  <c r="P795" i="5"/>
  <c r="O795" i="5"/>
  <c r="N795" i="5"/>
  <c r="K795" i="5"/>
  <c r="H795" i="5"/>
  <c r="G795" i="5" s="1"/>
  <c r="E795" i="5"/>
  <c r="D795" i="5"/>
  <c r="B795" i="5"/>
  <c r="Q794" i="5"/>
  <c r="P794" i="5"/>
  <c r="O794" i="5"/>
  <c r="N794" i="5"/>
  <c r="K794" i="5"/>
  <c r="H794" i="5"/>
  <c r="E794" i="5"/>
  <c r="D794" i="5"/>
  <c r="B794" i="5"/>
  <c r="Q793" i="5"/>
  <c r="P793" i="5"/>
  <c r="O793" i="5"/>
  <c r="N793" i="5"/>
  <c r="K793" i="5"/>
  <c r="H793" i="5"/>
  <c r="J793" i="5" s="1"/>
  <c r="I793" i="5" s="1"/>
  <c r="E793" i="5"/>
  <c r="D793" i="5"/>
  <c r="B793" i="5"/>
  <c r="Q792" i="5"/>
  <c r="P792" i="5"/>
  <c r="R792" i="5" s="1"/>
  <c r="O792" i="5"/>
  <c r="N792" i="5"/>
  <c r="K792" i="5"/>
  <c r="H792" i="5"/>
  <c r="E792" i="5"/>
  <c r="D792" i="5"/>
  <c r="B792" i="5"/>
  <c r="Q791" i="5"/>
  <c r="P791" i="5"/>
  <c r="O791" i="5"/>
  <c r="N791" i="5"/>
  <c r="K791" i="5"/>
  <c r="H791" i="5"/>
  <c r="J791" i="5" s="1"/>
  <c r="I791" i="5" s="1"/>
  <c r="E791" i="5"/>
  <c r="D791" i="5"/>
  <c r="B791" i="5"/>
  <c r="Q790" i="5"/>
  <c r="P790" i="5"/>
  <c r="O790" i="5"/>
  <c r="N790" i="5"/>
  <c r="K790" i="5"/>
  <c r="H790" i="5"/>
  <c r="G790" i="5" s="1"/>
  <c r="E790" i="5"/>
  <c r="D790" i="5"/>
  <c r="B790" i="5"/>
  <c r="Q789" i="5"/>
  <c r="P789" i="5"/>
  <c r="O789" i="5"/>
  <c r="N789" i="5"/>
  <c r="K789" i="5"/>
  <c r="H789" i="5"/>
  <c r="E789" i="5"/>
  <c r="D789" i="5"/>
  <c r="B789" i="5"/>
  <c r="Q788" i="5"/>
  <c r="P788" i="5"/>
  <c r="O788" i="5"/>
  <c r="N788" i="5"/>
  <c r="K788" i="5"/>
  <c r="H788" i="5"/>
  <c r="J788" i="5" s="1"/>
  <c r="I788" i="5" s="1"/>
  <c r="E788" i="5"/>
  <c r="D788" i="5"/>
  <c r="B788" i="5"/>
  <c r="Q787" i="5"/>
  <c r="P787" i="5"/>
  <c r="O787" i="5"/>
  <c r="N787" i="5"/>
  <c r="K787" i="5"/>
  <c r="H787" i="5"/>
  <c r="E787" i="5"/>
  <c r="D787" i="5"/>
  <c r="B787" i="5"/>
  <c r="Q786" i="5"/>
  <c r="P786" i="5"/>
  <c r="O786" i="5"/>
  <c r="N786" i="5"/>
  <c r="K786" i="5"/>
  <c r="H786" i="5"/>
  <c r="J786" i="5" s="1"/>
  <c r="I786" i="5" s="1"/>
  <c r="E786" i="5"/>
  <c r="D786" i="5"/>
  <c r="B786" i="5"/>
  <c r="Q785" i="5"/>
  <c r="P785" i="5"/>
  <c r="R785" i="5" s="1"/>
  <c r="O785" i="5"/>
  <c r="N785" i="5"/>
  <c r="K785" i="5"/>
  <c r="H785" i="5"/>
  <c r="J785" i="5" s="1"/>
  <c r="I785" i="5" s="1"/>
  <c r="E785" i="5"/>
  <c r="D785" i="5"/>
  <c r="B785" i="5"/>
  <c r="Q784" i="5"/>
  <c r="P784" i="5"/>
  <c r="O784" i="5"/>
  <c r="N784" i="5"/>
  <c r="K784" i="5"/>
  <c r="H784" i="5"/>
  <c r="E784" i="5"/>
  <c r="D784" i="5"/>
  <c r="B784" i="5"/>
  <c r="Q783" i="5"/>
  <c r="P783" i="5"/>
  <c r="O783" i="5"/>
  <c r="N783" i="5"/>
  <c r="K783" i="5"/>
  <c r="H783" i="5"/>
  <c r="G783" i="5" s="1"/>
  <c r="E783" i="5"/>
  <c r="D783" i="5"/>
  <c r="B783" i="5"/>
  <c r="Q782" i="5"/>
  <c r="P782" i="5"/>
  <c r="O782" i="5"/>
  <c r="N782" i="5"/>
  <c r="K782" i="5"/>
  <c r="H782" i="5"/>
  <c r="E782" i="5"/>
  <c r="D782" i="5"/>
  <c r="B782" i="5"/>
  <c r="Q781" i="5"/>
  <c r="P781" i="5"/>
  <c r="O781" i="5"/>
  <c r="N781" i="5"/>
  <c r="K781" i="5"/>
  <c r="H781" i="5"/>
  <c r="J781" i="5" s="1"/>
  <c r="I781" i="5" s="1"/>
  <c r="E781" i="5"/>
  <c r="D781" i="5"/>
  <c r="B781" i="5"/>
  <c r="Q780" i="5"/>
  <c r="P780" i="5"/>
  <c r="O780" i="5"/>
  <c r="N780" i="5"/>
  <c r="K780" i="5"/>
  <c r="H780" i="5"/>
  <c r="E780" i="5"/>
  <c r="D780" i="5"/>
  <c r="B780" i="5"/>
  <c r="Q779" i="5"/>
  <c r="P779" i="5"/>
  <c r="O779" i="5"/>
  <c r="N779" i="5"/>
  <c r="K779" i="5"/>
  <c r="H779" i="5"/>
  <c r="E779" i="5"/>
  <c r="D779" i="5"/>
  <c r="B779" i="5"/>
  <c r="Q778" i="5"/>
  <c r="P778" i="5"/>
  <c r="O778" i="5"/>
  <c r="N778" i="5"/>
  <c r="K778" i="5"/>
  <c r="H778" i="5"/>
  <c r="J778" i="5" s="1"/>
  <c r="I778" i="5" s="1"/>
  <c r="E778" i="5"/>
  <c r="D778" i="5"/>
  <c r="B778" i="5"/>
  <c r="Q777" i="5"/>
  <c r="P777" i="5"/>
  <c r="O777" i="5"/>
  <c r="N777" i="5"/>
  <c r="K777" i="5"/>
  <c r="H777" i="5"/>
  <c r="J777" i="5" s="1"/>
  <c r="I777" i="5" s="1"/>
  <c r="E777" i="5"/>
  <c r="D777" i="5"/>
  <c r="B777" i="5"/>
  <c r="Q776" i="5"/>
  <c r="P776" i="5"/>
  <c r="O776" i="5"/>
  <c r="N776" i="5"/>
  <c r="K776" i="5"/>
  <c r="H776" i="5"/>
  <c r="J776" i="5" s="1"/>
  <c r="I776" i="5" s="1"/>
  <c r="E776" i="5"/>
  <c r="D776" i="5"/>
  <c r="B776" i="5"/>
  <c r="Q775" i="5"/>
  <c r="P775" i="5"/>
  <c r="O775" i="5"/>
  <c r="N775" i="5"/>
  <c r="K775" i="5"/>
  <c r="H775" i="5"/>
  <c r="E775" i="5"/>
  <c r="D775" i="5"/>
  <c r="B775" i="5"/>
  <c r="Q774" i="5"/>
  <c r="P774" i="5"/>
  <c r="O774" i="5"/>
  <c r="N774" i="5"/>
  <c r="K774" i="5"/>
  <c r="H774" i="5"/>
  <c r="G774" i="5" s="1"/>
  <c r="E774" i="5"/>
  <c r="D774" i="5"/>
  <c r="B774" i="5"/>
  <c r="Q773" i="5"/>
  <c r="P773" i="5"/>
  <c r="O773" i="5"/>
  <c r="N773" i="5"/>
  <c r="K773" i="5"/>
  <c r="H773" i="5"/>
  <c r="E773" i="5"/>
  <c r="D773" i="5"/>
  <c r="B773" i="5"/>
  <c r="Q772" i="5"/>
  <c r="P772" i="5"/>
  <c r="O772" i="5"/>
  <c r="N772" i="5"/>
  <c r="K772" i="5"/>
  <c r="H772" i="5"/>
  <c r="J772" i="5" s="1"/>
  <c r="I772" i="5" s="1"/>
  <c r="E772" i="5"/>
  <c r="D772" i="5"/>
  <c r="B772" i="5"/>
  <c r="Q771" i="5"/>
  <c r="P771" i="5"/>
  <c r="O771" i="5"/>
  <c r="N771" i="5"/>
  <c r="K771" i="5"/>
  <c r="H771" i="5"/>
  <c r="J771" i="5" s="1"/>
  <c r="I771" i="5" s="1"/>
  <c r="E771" i="5"/>
  <c r="D771" i="5"/>
  <c r="B771" i="5"/>
  <c r="Q770" i="5"/>
  <c r="P770" i="5"/>
  <c r="O770" i="5"/>
  <c r="N770" i="5"/>
  <c r="K770" i="5"/>
  <c r="H770" i="5"/>
  <c r="J770" i="5" s="1"/>
  <c r="I770" i="5" s="1"/>
  <c r="E770" i="5"/>
  <c r="D770" i="5"/>
  <c r="B770" i="5"/>
  <c r="Q769" i="5"/>
  <c r="P769" i="5"/>
  <c r="O769" i="5"/>
  <c r="N769" i="5"/>
  <c r="K769" i="5"/>
  <c r="H769" i="5"/>
  <c r="J769" i="5" s="1"/>
  <c r="I769" i="5" s="1"/>
  <c r="E769" i="5"/>
  <c r="D769" i="5"/>
  <c r="B769" i="5"/>
  <c r="Q768" i="5"/>
  <c r="P768" i="5"/>
  <c r="O768" i="5"/>
  <c r="N768" i="5"/>
  <c r="K768" i="5"/>
  <c r="H768" i="5"/>
  <c r="G768" i="5" s="1"/>
  <c r="E768" i="5"/>
  <c r="D768" i="5"/>
  <c r="B768" i="5"/>
  <c r="Q767" i="5"/>
  <c r="P767" i="5"/>
  <c r="O767" i="5"/>
  <c r="N767" i="5"/>
  <c r="K767" i="5"/>
  <c r="H767" i="5"/>
  <c r="E767" i="5"/>
  <c r="D767" i="5"/>
  <c r="B767" i="5"/>
  <c r="Q766" i="5"/>
  <c r="P766" i="5"/>
  <c r="O766" i="5"/>
  <c r="N766" i="5"/>
  <c r="K766" i="5"/>
  <c r="H766" i="5"/>
  <c r="J766" i="5" s="1"/>
  <c r="I766" i="5" s="1"/>
  <c r="E766" i="5"/>
  <c r="D766" i="5"/>
  <c r="B766" i="5"/>
  <c r="Q765" i="5"/>
  <c r="P765" i="5"/>
  <c r="O765" i="5"/>
  <c r="N765" i="5"/>
  <c r="K765" i="5"/>
  <c r="H765" i="5"/>
  <c r="G765" i="5" s="1"/>
  <c r="E765" i="5"/>
  <c r="D765" i="5"/>
  <c r="B765" i="5"/>
  <c r="Q764" i="5"/>
  <c r="P764" i="5"/>
  <c r="O764" i="5"/>
  <c r="N764" i="5"/>
  <c r="K764" i="5"/>
  <c r="H764" i="5"/>
  <c r="E764" i="5"/>
  <c r="D764" i="5"/>
  <c r="B764" i="5"/>
  <c r="Q763" i="5"/>
  <c r="P763" i="5"/>
  <c r="O763" i="5"/>
  <c r="N763" i="5"/>
  <c r="K763" i="5"/>
  <c r="H763" i="5"/>
  <c r="J763" i="5" s="1"/>
  <c r="I763" i="5" s="1"/>
  <c r="E763" i="5"/>
  <c r="D763" i="5"/>
  <c r="B763" i="5"/>
  <c r="Q762" i="5"/>
  <c r="P762" i="5"/>
  <c r="O762" i="5"/>
  <c r="N762" i="5"/>
  <c r="K762" i="5"/>
  <c r="H762" i="5"/>
  <c r="J762" i="5" s="1"/>
  <c r="I762" i="5" s="1"/>
  <c r="E762" i="5"/>
  <c r="D762" i="5"/>
  <c r="B762" i="5"/>
  <c r="Q761" i="5"/>
  <c r="P761" i="5"/>
  <c r="O761" i="5"/>
  <c r="N761" i="5"/>
  <c r="K761" i="5"/>
  <c r="H761" i="5"/>
  <c r="G761" i="5" s="1"/>
  <c r="E761" i="5"/>
  <c r="D761" i="5"/>
  <c r="B761" i="5"/>
  <c r="Q760" i="5"/>
  <c r="P760" i="5"/>
  <c r="O760" i="5"/>
  <c r="N760" i="5"/>
  <c r="K760" i="5"/>
  <c r="H760" i="5"/>
  <c r="E760" i="5"/>
  <c r="D760" i="5"/>
  <c r="B760" i="5"/>
  <c r="Q759" i="5"/>
  <c r="P759" i="5"/>
  <c r="O759" i="5"/>
  <c r="N759" i="5"/>
  <c r="K759" i="5"/>
  <c r="H759" i="5"/>
  <c r="E759" i="5"/>
  <c r="D759" i="5"/>
  <c r="B759" i="5"/>
  <c r="Q758" i="5"/>
  <c r="P758" i="5"/>
  <c r="O758" i="5"/>
  <c r="N758" i="5"/>
  <c r="K758" i="5"/>
  <c r="H758" i="5"/>
  <c r="G758" i="5" s="1"/>
  <c r="E758" i="5"/>
  <c r="D758" i="5"/>
  <c r="B758" i="5"/>
  <c r="Q757" i="5"/>
  <c r="P757" i="5"/>
  <c r="O757" i="5"/>
  <c r="N757" i="5"/>
  <c r="K757" i="5"/>
  <c r="H757" i="5"/>
  <c r="J757" i="5" s="1"/>
  <c r="I757" i="5" s="1"/>
  <c r="E757" i="5"/>
  <c r="D757" i="5"/>
  <c r="B757" i="5"/>
  <c r="Q756" i="5"/>
  <c r="P756" i="5"/>
  <c r="O756" i="5"/>
  <c r="N756" i="5"/>
  <c r="K756" i="5"/>
  <c r="H756" i="5"/>
  <c r="E756" i="5"/>
  <c r="D756" i="5"/>
  <c r="B756" i="5"/>
  <c r="Q755" i="5"/>
  <c r="P755" i="5"/>
  <c r="O755" i="5"/>
  <c r="N755" i="5"/>
  <c r="K755" i="5"/>
  <c r="H755" i="5"/>
  <c r="E755" i="5"/>
  <c r="D755" i="5"/>
  <c r="B755" i="5"/>
  <c r="Q754" i="5"/>
  <c r="P754" i="5"/>
  <c r="O754" i="5"/>
  <c r="N754" i="5"/>
  <c r="K754" i="5"/>
  <c r="H754" i="5"/>
  <c r="J754" i="5" s="1"/>
  <c r="I754" i="5" s="1"/>
  <c r="E754" i="5"/>
  <c r="D754" i="5"/>
  <c r="B754" i="5"/>
  <c r="Q753" i="5"/>
  <c r="P753" i="5"/>
  <c r="O753" i="5"/>
  <c r="N753" i="5"/>
  <c r="K753" i="5"/>
  <c r="H753" i="5"/>
  <c r="J753" i="5" s="1"/>
  <c r="I753" i="5" s="1"/>
  <c r="E753" i="5"/>
  <c r="D753" i="5"/>
  <c r="B753" i="5"/>
  <c r="Q752" i="5"/>
  <c r="P752" i="5"/>
  <c r="O752" i="5"/>
  <c r="N752" i="5"/>
  <c r="K752" i="5"/>
  <c r="H752" i="5"/>
  <c r="G752" i="5" s="1"/>
  <c r="E752" i="5"/>
  <c r="D752" i="5"/>
  <c r="B752" i="5"/>
  <c r="Q751" i="5"/>
  <c r="P751" i="5"/>
  <c r="O751" i="5"/>
  <c r="N751" i="5"/>
  <c r="K751" i="5"/>
  <c r="H751" i="5"/>
  <c r="E751" i="5"/>
  <c r="D751" i="5"/>
  <c r="B751" i="5"/>
  <c r="Q750" i="5"/>
  <c r="P750" i="5"/>
  <c r="O750" i="5"/>
  <c r="N750" i="5"/>
  <c r="K750" i="5"/>
  <c r="H750" i="5"/>
  <c r="J750" i="5" s="1"/>
  <c r="I750" i="5" s="1"/>
  <c r="E750" i="5"/>
  <c r="D750" i="5"/>
  <c r="B750" i="5"/>
  <c r="Q749" i="5"/>
  <c r="P749" i="5"/>
  <c r="O749" i="5"/>
  <c r="N749" i="5"/>
  <c r="K749" i="5"/>
  <c r="H749" i="5"/>
  <c r="G749" i="5" s="1"/>
  <c r="E749" i="5"/>
  <c r="D749" i="5"/>
  <c r="B749" i="5"/>
  <c r="Q748" i="5"/>
  <c r="P748" i="5"/>
  <c r="O748" i="5"/>
  <c r="N748" i="5"/>
  <c r="K748" i="5"/>
  <c r="H748" i="5"/>
  <c r="G748" i="5" s="1"/>
  <c r="E748" i="5"/>
  <c r="D748" i="5"/>
  <c r="B748" i="5"/>
  <c r="Q747" i="5"/>
  <c r="P747" i="5"/>
  <c r="O747" i="5"/>
  <c r="N747" i="5"/>
  <c r="K747" i="5"/>
  <c r="H747" i="5"/>
  <c r="E747" i="5"/>
  <c r="D747" i="5"/>
  <c r="B747" i="5"/>
  <c r="Q746" i="5"/>
  <c r="P746" i="5"/>
  <c r="O746" i="5"/>
  <c r="N746" i="5"/>
  <c r="K746" i="5"/>
  <c r="H746" i="5"/>
  <c r="E746" i="5"/>
  <c r="D746" i="5"/>
  <c r="B746" i="5"/>
  <c r="Q745" i="5"/>
  <c r="P745" i="5"/>
  <c r="O745" i="5"/>
  <c r="N745" i="5"/>
  <c r="K745" i="5"/>
  <c r="H745" i="5"/>
  <c r="J745" i="5" s="1"/>
  <c r="I745" i="5" s="1"/>
  <c r="E745" i="5"/>
  <c r="D745" i="5"/>
  <c r="B745" i="5"/>
  <c r="Q744" i="5"/>
  <c r="P744" i="5"/>
  <c r="O744" i="5"/>
  <c r="N744" i="5"/>
  <c r="K744" i="5"/>
  <c r="H744" i="5"/>
  <c r="J744" i="5" s="1"/>
  <c r="I744" i="5" s="1"/>
  <c r="E744" i="5"/>
  <c r="D744" i="5"/>
  <c r="B744" i="5"/>
  <c r="Q743" i="5"/>
  <c r="P743" i="5"/>
  <c r="O743" i="5"/>
  <c r="N743" i="5"/>
  <c r="K743" i="5"/>
  <c r="H743" i="5"/>
  <c r="E743" i="5"/>
  <c r="D743" i="5"/>
  <c r="B743" i="5"/>
  <c r="Q742" i="5"/>
  <c r="P742" i="5"/>
  <c r="O742" i="5"/>
  <c r="N742" i="5"/>
  <c r="K742" i="5"/>
  <c r="H742" i="5"/>
  <c r="E742" i="5"/>
  <c r="D742" i="5"/>
  <c r="B742" i="5"/>
  <c r="Q741" i="5"/>
  <c r="P741" i="5"/>
  <c r="O741" i="5"/>
  <c r="N741" i="5"/>
  <c r="K741" i="5"/>
  <c r="H741" i="5"/>
  <c r="J741" i="5" s="1"/>
  <c r="I741" i="5" s="1"/>
  <c r="E741" i="5"/>
  <c r="D741" i="5"/>
  <c r="B741" i="5"/>
  <c r="Q740" i="5"/>
  <c r="P740" i="5"/>
  <c r="O740" i="5"/>
  <c r="N740" i="5"/>
  <c r="K740" i="5"/>
  <c r="H740" i="5"/>
  <c r="E740" i="5"/>
  <c r="D740" i="5"/>
  <c r="B740" i="5"/>
  <c r="Q739" i="5"/>
  <c r="P739" i="5"/>
  <c r="O739" i="5"/>
  <c r="N739" i="5"/>
  <c r="K739" i="5"/>
  <c r="H739" i="5"/>
  <c r="J739" i="5" s="1"/>
  <c r="I739" i="5" s="1"/>
  <c r="E739" i="5"/>
  <c r="D739" i="5"/>
  <c r="B739" i="5"/>
  <c r="Q738" i="5"/>
  <c r="P738" i="5"/>
  <c r="O738" i="5"/>
  <c r="N738" i="5"/>
  <c r="K738" i="5"/>
  <c r="H738" i="5"/>
  <c r="J738" i="5" s="1"/>
  <c r="I738" i="5" s="1"/>
  <c r="E738" i="5"/>
  <c r="D738" i="5"/>
  <c r="B738" i="5"/>
  <c r="Q737" i="5"/>
  <c r="P737" i="5"/>
  <c r="O737" i="5"/>
  <c r="N737" i="5"/>
  <c r="K737" i="5"/>
  <c r="H737" i="5"/>
  <c r="J737" i="5" s="1"/>
  <c r="I737" i="5" s="1"/>
  <c r="E737" i="5"/>
  <c r="D737" i="5"/>
  <c r="B737" i="5"/>
  <c r="Q736" i="5"/>
  <c r="P736" i="5"/>
  <c r="O736" i="5"/>
  <c r="N736" i="5"/>
  <c r="K736" i="5"/>
  <c r="H736" i="5"/>
  <c r="G736" i="5" s="1"/>
  <c r="E736" i="5"/>
  <c r="D736" i="5"/>
  <c r="B736" i="5"/>
  <c r="Q735" i="5"/>
  <c r="P735" i="5"/>
  <c r="O735" i="5"/>
  <c r="N735" i="5"/>
  <c r="K735" i="5"/>
  <c r="H735" i="5"/>
  <c r="J735" i="5" s="1"/>
  <c r="I735" i="5" s="1"/>
  <c r="E735" i="5"/>
  <c r="D735" i="5"/>
  <c r="B735" i="5"/>
  <c r="Q734" i="5"/>
  <c r="P734" i="5"/>
  <c r="O734" i="5"/>
  <c r="N734" i="5"/>
  <c r="K734" i="5"/>
  <c r="H734" i="5"/>
  <c r="E734" i="5"/>
  <c r="D734" i="5"/>
  <c r="B734" i="5"/>
  <c r="Q733" i="5"/>
  <c r="P733" i="5"/>
  <c r="O733" i="5"/>
  <c r="N733" i="5"/>
  <c r="K733" i="5"/>
  <c r="H733" i="5"/>
  <c r="J733" i="5" s="1"/>
  <c r="I733" i="5" s="1"/>
  <c r="E733" i="5"/>
  <c r="D733" i="5"/>
  <c r="B733" i="5"/>
  <c r="Q732" i="5"/>
  <c r="P732" i="5"/>
  <c r="O732" i="5"/>
  <c r="N732" i="5"/>
  <c r="K732" i="5"/>
  <c r="H732" i="5"/>
  <c r="J732" i="5" s="1"/>
  <c r="I732" i="5" s="1"/>
  <c r="E732" i="5"/>
  <c r="D732" i="5"/>
  <c r="B732" i="5"/>
  <c r="Q731" i="5"/>
  <c r="P731" i="5"/>
  <c r="O731" i="5"/>
  <c r="N731" i="5"/>
  <c r="K731" i="5"/>
  <c r="H731" i="5"/>
  <c r="J731" i="5" s="1"/>
  <c r="I731" i="5" s="1"/>
  <c r="E731" i="5"/>
  <c r="D731" i="5"/>
  <c r="B731" i="5"/>
  <c r="Q730" i="5"/>
  <c r="P730" i="5"/>
  <c r="O730" i="5"/>
  <c r="N730" i="5"/>
  <c r="K730" i="5"/>
  <c r="H730" i="5"/>
  <c r="G730" i="5" s="1"/>
  <c r="E730" i="5"/>
  <c r="D730" i="5"/>
  <c r="B730" i="5"/>
  <c r="Q729" i="5"/>
  <c r="P729" i="5"/>
  <c r="O729" i="5"/>
  <c r="N729" i="5"/>
  <c r="K729" i="5"/>
  <c r="H729" i="5"/>
  <c r="J729" i="5" s="1"/>
  <c r="I729" i="5" s="1"/>
  <c r="E729" i="5"/>
  <c r="D729" i="5"/>
  <c r="B729" i="5"/>
  <c r="Q728" i="5"/>
  <c r="P728" i="5"/>
  <c r="R728" i="5" s="1"/>
  <c r="O728" i="5"/>
  <c r="N728" i="5"/>
  <c r="K728" i="5"/>
  <c r="H728" i="5"/>
  <c r="J728" i="5" s="1"/>
  <c r="I728" i="5" s="1"/>
  <c r="E728" i="5"/>
  <c r="D728" i="5"/>
  <c r="B728" i="5"/>
  <c r="Q727" i="5"/>
  <c r="P727" i="5"/>
  <c r="O727" i="5"/>
  <c r="N727" i="5"/>
  <c r="K727" i="5"/>
  <c r="H727" i="5"/>
  <c r="J727" i="5" s="1"/>
  <c r="I727" i="5" s="1"/>
  <c r="E727" i="5"/>
  <c r="D727" i="5"/>
  <c r="B727" i="5"/>
  <c r="Q726" i="5"/>
  <c r="P726" i="5"/>
  <c r="O726" i="5"/>
  <c r="N726" i="5"/>
  <c r="K726" i="5"/>
  <c r="H726" i="5"/>
  <c r="E726" i="5"/>
  <c r="D726" i="5"/>
  <c r="B726" i="5"/>
  <c r="Q725" i="5"/>
  <c r="P725" i="5"/>
  <c r="O725" i="5"/>
  <c r="N725" i="5"/>
  <c r="K725" i="5"/>
  <c r="H725" i="5"/>
  <c r="G725" i="5" s="1"/>
  <c r="E725" i="5"/>
  <c r="D725" i="5"/>
  <c r="B725" i="5"/>
  <c r="Q724" i="5"/>
  <c r="P724" i="5"/>
  <c r="O724" i="5"/>
  <c r="N724" i="5"/>
  <c r="K724" i="5"/>
  <c r="H724" i="5"/>
  <c r="J724" i="5" s="1"/>
  <c r="I724" i="5" s="1"/>
  <c r="E724" i="5"/>
  <c r="D724" i="5"/>
  <c r="B724" i="5"/>
  <c r="Q723" i="5"/>
  <c r="P723" i="5"/>
  <c r="O723" i="5"/>
  <c r="N723" i="5"/>
  <c r="K723" i="5"/>
  <c r="H723" i="5"/>
  <c r="E723" i="5"/>
  <c r="D723" i="5"/>
  <c r="B723" i="5"/>
  <c r="Q722" i="5"/>
  <c r="P722" i="5"/>
  <c r="R722" i="5" s="1"/>
  <c r="O722" i="5"/>
  <c r="N722" i="5"/>
  <c r="K722" i="5"/>
  <c r="H722" i="5"/>
  <c r="E722" i="5"/>
  <c r="D722" i="5"/>
  <c r="B722" i="5"/>
  <c r="Q721" i="5"/>
  <c r="P721" i="5"/>
  <c r="O721" i="5"/>
  <c r="N721" i="5"/>
  <c r="K721" i="5"/>
  <c r="H721" i="5"/>
  <c r="E721" i="5"/>
  <c r="D721" i="5"/>
  <c r="B721" i="5"/>
  <c r="Q720" i="5"/>
  <c r="P720" i="5"/>
  <c r="O720" i="5"/>
  <c r="N720" i="5"/>
  <c r="K720" i="5"/>
  <c r="H720" i="5"/>
  <c r="G720" i="5" s="1"/>
  <c r="E720" i="5"/>
  <c r="D720" i="5"/>
  <c r="B720" i="5"/>
  <c r="Q719" i="5"/>
  <c r="P719" i="5"/>
  <c r="O719" i="5"/>
  <c r="N719" i="5"/>
  <c r="K719" i="5"/>
  <c r="H719" i="5"/>
  <c r="J719" i="5" s="1"/>
  <c r="I719" i="5" s="1"/>
  <c r="E719" i="5"/>
  <c r="D719" i="5"/>
  <c r="B719" i="5"/>
  <c r="Q718" i="5"/>
  <c r="P718" i="5"/>
  <c r="O718" i="5"/>
  <c r="N718" i="5"/>
  <c r="K718" i="5"/>
  <c r="H718" i="5"/>
  <c r="J718" i="5" s="1"/>
  <c r="I718" i="5" s="1"/>
  <c r="E718" i="5"/>
  <c r="D718" i="5"/>
  <c r="B718" i="5"/>
  <c r="Q717" i="5"/>
  <c r="P717" i="5"/>
  <c r="O717" i="5"/>
  <c r="N717" i="5"/>
  <c r="K717" i="5"/>
  <c r="H717" i="5"/>
  <c r="G717" i="5" s="1"/>
  <c r="E717" i="5"/>
  <c r="D717" i="5"/>
  <c r="B717" i="5"/>
  <c r="Q716" i="5"/>
  <c r="P716" i="5"/>
  <c r="O716" i="5"/>
  <c r="N716" i="5"/>
  <c r="K716" i="5"/>
  <c r="H716" i="5"/>
  <c r="G716" i="5" s="1"/>
  <c r="E716" i="5"/>
  <c r="D716" i="5"/>
  <c r="B716" i="5"/>
  <c r="Q715" i="5"/>
  <c r="P715" i="5"/>
  <c r="O715" i="5"/>
  <c r="N715" i="5"/>
  <c r="K715" i="5"/>
  <c r="H715" i="5"/>
  <c r="J715" i="5" s="1"/>
  <c r="I715" i="5" s="1"/>
  <c r="E715" i="5"/>
  <c r="D715" i="5"/>
  <c r="B715" i="5"/>
  <c r="Q714" i="5"/>
  <c r="P714" i="5"/>
  <c r="R714" i="5" s="1"/>
  <c r="O714" i="5"/>
  <c r="N714" i="5"/>
  <c r="K714" i="5"/>
  <c r="H714" i="5"/>
  <c r="E714" i="5"/>
  <c r="D714" i="5"/>
  <c r="B714" i="5"/>
  <c r="Q713" i="5"/>
  <c r="P713" i="5"/>
  <c r="O713" i="5"/>
  <c r="N713" i="5"/>
  <c r="K713" i="5"/>
  <c r="H713" i="5"/>
  <c r="J713" i="5" s="1"/>
  <c r="I713" i="5" s="1"/>
  <c r="E713" i="5"/>
  <c r="D713" i="5"/>
  <c r="B713" i="5"/>
  <c r="Q712" i="5"/>
  <c r="P712" i="5"/>
  <c r="O712" i="5"/>
  <c r="N712" i="5"/>
  <c r="K712" i="5"/>
  <c r="H712" i="5"/>
  <c r="J712" i="5" s="1"/>
  <c r="I712" i="5" s="1"/>
  <c r="E712" i="5"/>
  <c r="D712" i="5"/>
  <c r="B712" i="5"/>
  <c r="Q711" i="5"/>
  <c r="P711" i="5"/>
  <c r="O711" i="5"/>
  <c r="N711" i="5"/>
  <c r="K711" i="5"/>
  <c r="H711" i="5"/>
  <c r="J711" i="5" s="1"/>
  <c r="I711" i="5" s="1"/>
  <c r="E711" i="5"/>
  <c r="D711" i="5"/>
  <c r="B711" i="5"/>
  <c r="Q710" i="5"/>
  <c r="P710" i="5"/>
  <c r="O710" i="5"/>
  <c r="N710" i="5"/>
  <c r="K710" i="5"/>
  <c r="H710" i="5"/>
  <c r="G710" i="5" s="1"/>
  <c r="E710" i="5"/>
  <c r="D710" i="5"/>
  <c r="B710" i="5"/>
  <c r="Q709" i="5"/>
  <c r="P709" i="5"/>
  <c r="O709" i="5"/>
  <c r="N709" i="5"/>
  <c r="K709" i="5"/>
  <c r="H709" i="5"/>
  <c r="J709" i="5" s="1"/>
  <c r="I709" i="5" s="1"/>
  <c r="E709" i="5"/>
  <c r="D709" i="5"/>
  <c r="B709" i="5"/>
  <c r="Q708" i="5"/>
  <c r="P708" i="5"/>
  <c r="O708" i="5"/>
  <c r="N708" i="5"/>
  <c r="K708" i="5"/>
  <c r="H708" i="5"/>
  <c r="G708" i="5" s="1"/>
  <c r="E708" i="5"/>
  <c r="D708" i="5"/>
  <c r="B708" i="5"/>
  <c r="Q707" i="5"/>
  <c r="P707" i="5"/>
  <c r="O707" i="5"/>
  <c r="N707" i="5"/>
  <c r="K707" i="5"/>
  <c r="H707" i="5"/>
  <c r="J707" i="5" s="1"/>
  <c r="I707" i="5" s="1"/>
  <c r="E707" i="5"/>
  <c r="D707" i="5"/>
  <c r="B707" i="5"/>
  <c r="Q706" i="5"/>
  <c r="P706" i="5"/>
  <c r="R706" i="5" s="1"/>
  <c r="O706" i="5"/>
  <c r="N706" i="5"/>
  <c r="K706" i="5"/>
  <c r="H706" i="5"/>
  <c r="E706" i="5"/>
  <c r="D706" i="5"/>
  <c r="B706" i="5"/>
  <c r="Q705" i="5"/>
  <c r="P705" i="5"/>
  <c r="R705" i="5" s="1"/>
  <c r="O705" i="5"/>
  <c r="N705" i="5"/>
  <c r="K705" i="5"/>
  <c r="H705" i="5"/>
  <c r="J705" i="5" s="1"/>
  <c r="I705" i="5" s="1"/>
  <c r="E705" i="5"/>
  <c r="D705" i="5"/>
  <c r="B705" i="5"/>
  <c r="Q704" i="5"/>
  <c r="P704" i="5"/>
  <c r="O704" i="5"/>
  <c r="N704" i="5"/>
  <c r="K704" i="5"/>
  <c r="H704" i="5"/>
  <c r="E704" i="5"/>
  <c r="D704" i="5"/>
  <c r="B704" i="5"/>
  <c r="Q703" i="5"/>
  <c r="P703" i="5"/>
  <c r="O703" i="5"/>
  <c r="N703" i="5"/>
  <c r="K703" i="5"/>
  <c r="H703" i="5"/>
  <c r="J703" i="5" s="1"/>
  <c r="I703" i="5" s="1"/>
  <c r="E703" i="5"/>
  <c r="D703" i="5"/>
  <c r="B703" i="5"/>
  <c r="Q702" i="5"/>
  <c r="P702" i="5"/>
  <c r="O702" i="5"/>
  <c r="N702" i="5"/>
  <c r="K702" i="5"/>
  <c r="H702" i="5"/>
  <c r="J702" i="5" s="1"/>
  <c r="I702" i="5" s="1"/>
  <c r="E702" i="5"/>
  <c r="D702" i="5"/>
  <c r="B702" i="5"/>
  <c r="Q701" i="5"/>
  <c r="P701" i="5"/>
  <c r="O701" i="5"/>
  <c r="N701" i="5"/>
  <c r="K701" i="5"/>
  <c r="H701" i="5"/>
  <c r="J701" i="5" s="1"/>
  <c r="I701" i="5" s="1"/>
  <c r="E701" i="5"/>
  <c r="D701" i="5"/>
  <c r="B701" i="5"/>
  <c r="Q700" i="5"/>
  <c r="P700" i="5"/>
  <c r="O700" i="5"/>
  <c r="N700" i="5"/>
  <c r="K700" i="5"/>
  <c r="H700" i="5"/>
  <c r="G700" i="5" s="1"/>
  <c r="E700" i="5"/>
  <c r="D700" i="5"/>
  <c r="B700" i="5"/>
  <c r="Q699" i="5"/>
  <c r="P699" i="5"/>
  <c r="O699" i="5"/>
  <c r="N699" i="5"/>
  <c r="K699" i="5"/>
  <c r="H699" i="5"/>
  <c r="J699" i="5" s="1"/>
  <c r="I699" i="5" s="1"/>
  <c r="E699" i="5"/>
  <c r="D699" i="5"/>
  <c r="B699" i="5"/>
  <c r="Q698" i="5"/>
  <c r="P698" i="5"/>
  <c r="O698" i="5"/>
  <c r="N698" i="5"/>
  <c r="K698" i="5"/>
  <c r="H698" i="5"/>
  <c r="J698" i="5" s="1"/>
  <c r="I698" i="5" s="1"/>
  <c r="E698" i="5"/>
  <c r="D698" i="5"/>
  <c r="B698" i="5"/>
  <c r="Q697" i="5"/>
  <c r="P697" i="5"/>
  <c r="O697" i="5"/>
  <c r="N697" i="5"/>
  <c r="K697" i="5"/>
  <c r="H697" i="5"/>
  <c r="E697" i="5"/>
  <c r="D697" i="5"/>
  <c r="B697" i="5"/>
  <c r="Q696" i="5"/>
  <c r="P696" i="5"/>
  <c r="O696" i="5"/>
  <c r="N696" i="5"/>
  <c r="K696" i="5"/>
  <c r="H696" i="5"/>
  <c r="E696" i="5"/>
  <c r="D696" i="5"/>
  <c r="B696" i="5"/>
  <c r="Q695" i="5"/>
  <c r="P695" i="5"/>
  <c r="O695" i="5"/>
  <c r="N695" i="5"/>
  <c r="K695" i="5"/>
  <c r="H695" i="5"/>
  <c r="E695" i="5"/>
  <c r="D695" i="5"/>
  <c r="B695" i="5"/>
  <c r="Q694" i="5"/>
  <c r="P694" i="5"/>
  <c r="O694" i="5"/>
  <c r="N694" i="5"/>
  <c r="K694" i="5"/>
  <c r="H694" i="5"/>
  <c r="G694" i="5" s="1"/>
  <c r="E694" i="5"/>
  <c r="D694" i="5"/>
  <c r="B694" i="5"/>
  <c r="Q693" i="5"/>
  <c r="P693" i="5"/>
  <c r="O693" i="5"/>
  <c r="N693" i="5"/>
  <c r="K693" i="5"/>
  <c r="H693" i="5"/>
  <c r="J693" i="5" s="1"/>
  <c r="I693" i="5" s="1"/>
  <c r="G693" i="5"/>
  <c r="E693" i="5"/>
  <c r="D693" i="5"/>
  <c r="B693" i="5"/>
  <c r="Q692" i="5"/>
  <c r="P692" i="5"/>
  <c r="O692" i="5"/>
  <c r="N692" i="5"/>
  <c r="K692" i="5"/>
  <c r="H692" i="5"/>
  <c r="E692" i="5"/>
  <c r="D692" i="5"/>
  <c r="B692" i="5"/>
  <c r="Q691" i="5"/>
  <c r="P691" i="5"/>
  <c r="O691" i="5"/>
  <c r="N691" i="5"/>
  <c r="K691" i="5"/>
  <c r="H691" i="5"/>
  <c r="J691" i="5" s="1"/>
  <c r="I691" i="5" s="1"/>
  <c r="E691" i="5"/>
  <c r="D691" i="5"/>
  <c r="B691" i="5"/>
  <c r="Q690" i="5"/>
  <c r="P690" i="5"/>
  <c r="O690" i="5"/>
  <c r="N690" i="5"/>
  <c r="K690" i="5"/>
  <c r="H690" i="5"/>
  <c r="E690" i="5"/>
  <c r="D690" i="5"/>
  <c r="B690" i="5"/>
  <c r="Q689" i="5"/>
  <c r="P689" i="5"/>
  <c r="R689" i="5" s="1"/>
  <c r="O689" i="5"/>
  <c r="N689" i="5"/>
  <c r="K689" i="5"/>
  <c r="H689" i="5"/>
  <c r="J689" i="5" s="1"/>
  <c r="I689" i="5" s="1"/>
  <c r="E689" i="5"/>
  <c r="D689" i="5"/>
  <c r="B689" i="5"/>
  <c r="Q688" i="5"/>
  <c r="P688" i="5"/>
  <c r="O688" i="5"/>
  <c r="N688" i="5"/>
  <c r="K688" i="5"/>
  <c r="H688" i="5"/>
  <c r="G688" i="5" s="1"/>
  <c r="E688" i="5"/>
  <c r="D688" i="5"/>
  <c r="B688" i="5"/>
  <c r="Q687" i="5"/>
  <c r="P687" i="5"/>
  <c r="O687" i="5"/>
  <c r="N687" i="5"/>
  <c r="K687" i="5"/>
  <c r="H687" i="5"/>
  <c r="G687" i="5" s="1"/>
  <c r="E687" i="5"/>
  <c r="D687" i="5"/>
  <c r="B687" i="5"/>
  <c r="Q686" i="5"/>
  <c r="P686" i="5"/>
  <c r="O686" i="5"/>
  <c r="N686" i="5"/>
  <c r="K686" i="5"/>
  <c r="H686" i="5"/>
  <c r="G686" i="5" s="1"/>
  <c r="E686" i="5"/>
  <c r="D686" i="5"/>
  <c r="B686" i="5"/>
  <c r="Q685" i="5"/>
  <c r="P685" i="5"/>
  <c r="R685" i="5" s="1"/>
  <c r="O685" i="5"/>
  <c r="N685" i="5"/>
  <c r="K685" i="5"/>
  <c r="H685" i="5"/>
  <c r="J685" i="5" s="1"/>
  <c r="I685" i="5" s="1"/>
  <c r="E685" i="5"/>
  <c r="D685" i="5"/>
  <c r="B685" i="5"/>
  <c r="Q684" i="5"/>
  <c r="P684" i="5"/>
  <c r="O684" i="5"/>
  <c r="N684" i="5"/>
  <c r="K684" i="5"/>
  <c r="H684" i="5"/>
  <c r="J684" i="5" s="1"/>
  <c r="I684" i="5" s="1"/>
  <c r="E684" i="5"/>
  <c r="D684" i="5"/>
  <c r="B684" i="5"/>
  <c r="Q683" i="5"/>
  <c r="P683" i="5"/>
  <c r="O683" i="5"/>
  <c r="N683" i="5"/>
  <c r="K683" i="5"/>
  <c r="H683" i="5"/>
  <c r="J683" i="5" s="1"/>
  <c r="I683" i="5" s="1"/>
  <c r="G683" i="5"/>
  <c r="E683" i="5"/>
  <c r="D683" i="5"/>
  <c r="B683" i="5"/>
  <c r="Q682" i="5"/>
  <c r="P682" i="5"/>
  <c r="O682" i="5"/>
  <c r="N682" i="5"/>
  <c r="K682" i="5"/>
  <c r="H682" i="5"/>
  <c r="J682" i="5" s="1"/>
  <c r="I682" i="5" s="1"/>
  <c r="E682" i="5"/>
  <c r="D682" i="5"/>
  <c r="B682" i="5"/>
  <c r="Q681" i="5"/>
  <c r="P681" i="5"/>
  <c r="O681" i="5"/>
  <c r="N681" i="5"/>
  <c r="K681" i="5"/>
  <c r="H681" i="5"/>
  <c r="E681" i="5"/>
  <c r="D681" i="5"/>
  <c r="B681" i="5"/>
  <c r="Q680" i="5"/>
  <c r="P680" i="5"/>
  <c r="O680" i="5"/>
  <c r="N680" i="5"/>
  <c r="K680" i="5"/>
  <c r="H680" i="5"/>
  <c r="J680" i="5" s="1"/>
  <c r="I680" i="5" s="1"/>
  <c r="E680" i="5"/>
  <c r="D680" i="5"/>
  <c r="B680" i="5"/>
  <c r="Q679" i="5"/>
  <c r="P679" i="5"/>
  <c r="O679" i="5"/>
  <c r="N679" i="5"/>
  <c r="K679" i="5"/>
  <c r="H679" i="5"/>
  <c r="E679" i="5"/>
  <c r="D679" i="5"/>
  <c r="B679" i="5"/>
  <c r="Q678" i="5"/>
  <c r="P678" i="5"/>
  <c r="O678" i="5"/>
  <c r="N678" i="5"/>
  <c r="K678" i="5"/>
  <c r="H678" i="5"/>
  <c r="G678" i="5" s="1"/>
  <c r="E678" i="5"/>
  <c r="D678" i="5"/>
  <c r="B678" i="5"/>
  <c r="Q677" i="5"/>
  <c r="P677" i="5"/>
  <c r="O677" i="5"/>
  <c r="N677" i="5"/>
  <c r="K677" i="5"/>
  <c r="H677" i="5"/>
  <c r="J677" i="5" s="1"/>
  <c r="I677" i="5" s="1"/>
  <c r="E677" i="5"/>
  <c r="D677" i="5"/>
  <c r="B677" i="5"/>
  <c r="Q676" i="5"/>
  <c r="P676" i="5"/>
  <c r="O676" i="5"/>
  <c r="N676" i="5"/>
  <c r="K676" i="5"/>
  <c r="H676" i="5"/>
  <c r="J676" i="5" s="1"/>
  <c r="I676" i="5" s="1"/>
  <c r="E676" i="5"/>
  <c r="D676" i="5"/>
  <c r="B676" i="5"/>
  <c r="Q675" i="5"/>
  <c r="P675" i="5"/>
  <c r="O675" i="5"/>
  <c r="N675" i="5"/>
  <c r="K675" i="5"/>
  <c r="H675" i="5"/>
  <c r="J675" i="5" s="1"/>
  <c r="I675" i="5" s="1"/>
  <c r="E675" i="5"/>
  <c r="D675" i="5"/>
  <c r="B675" i="5"/>
  <c r="Q674" i="5"/>
  <c r="P674" i="5"/>
  <c r="O674" i="5"/>
  <c r="N674" i="5"/>
  <c r="K674" i="5"/>
  <c r="H674" i="5"/>
  <c r="E674" i="5"/>
  <c r="D674" i="5"/>
  <c r="B674" i="5"/>
  <c r="Q673" i="5"/>
  <c r="P673" i="5"/>
  <c r="O673" i="5"/>
  <c r="N673" i="5"/>
  <c r="K673" i="5"/>
  <c r="H673" i="5"/>
  <c r="J673" i="5" s="1"/>
  <c r="I673" i="5" s="1"/>
  <c r="E673" i="5"/>
  <c r="D673" i="5"/>
  <c r="B673" i="5"/>
  <c r="Q672" i="5"/>
  <c r="P672" i="5"/>
  <c r="R672" i="5" s="1"/>
  <c r="O672" i="5"/>
  <c r="N672" i="5"/>
  <c r="K672" i="5"/>
  <c r="H672" i="5"/>
  <c r="G672" i="5" s="1"/>
  <c r="E672" i="5"/>
  <c r="D672" i="5"/>
  <c r="B672" i="5"/>
  <c r="Q671" i="5"/>
  <c r="P671" i="5"/>
  <c r="O671" i="5"/>
  <c r="N671" i="5"/>
  <c r="K671" i="5"/>
  <c r="H671" i="5"/>
  <c r="J671" i="5" s="1"/>
  <c r="I671" i="5" s="1"/>
  <c r="E671" i="5"/>
  <c r="D671" i="5"/>
  <c r="B671" i="5"/>
  <c r="Q670" i="5"/>
  <c r="P670" i="5"/>
  <c r="O670" i="5"/>
  <c r="N670" i="5"/>
  <c r="K670" i="5"/>
  <c r="H670" i="5"/>
  <c r="G670" i="5" s="1"/>
  <c r="E670" i="5"/>
  <c r="D670" i="5"/>
  <c r="B670" i="5"/>
  <c r="Q669" i="5"/>
  <c r="P669" i="5"/>
  <c r="O669" i="5"/>
  <c r="N669" i="5"/>
  <c r="K669" i="5"/>
  <c r="H669" i="5"/>
  <c r="J669" i="5" s="1"/>
  <c r="I669" i="5" s="1"/>
  <c r="G669" i="5"/>
  <c r="E669" i="5"/>
  <c r="D669" i="5"/>
  <c r="B669" i="5"/>
  <c r="Q668" i="5"/>
  <c r="P668" i="5"/>
  <c r="O668" i="5"/>
  <c r="N668" i="5"/>
  <c r="K668" i="5"/>
  <c r="H668" i="5"/>
  <c r="J668" i="5" s="1"/>
  <c r="I668" i="5" s="1"/>
  <c r="E668" i="5"/>
  <c r="D668" i="5"/>
  <c r="B668" i="5"/>
  <c r="Q667" i="5"/>
  <c r="P667" i="5"/>
  <c r="O667" i="5"/>
  <c r="N667" i="5"/>
  <c r="K667" i="5"/>
  <c r="H667" i="5"/>
  <c r="J667" i="5" s="1"/>
  <c r="I667" i="5" s="1"/>
  <c r="E667" i="5"/>
  <c r="D667" i="5"/>
  <c r="B667" i="5"/>
  <c r="Q666" i="5"/>
  <c r="P666" i="5"/>
  <c r="O666" i="5"/>
  <c r="N666" i="5"/>
  <c r="K666" i="5"/>
  <c r="H666" i="5"/>
  <c r="J666" i="5" s="1"/>
  <c r="I666" i="5" s="1"/>
  <c r="E666" i="5"/>
  <c r="D666" i="5"/>
  <c r="B666" i="5"/>
  <c r="Q665" i="5"/>
  <c r="P665" i="5"/>
  <c r="O665" i="5"/>
  <c r="N665" i="5"/>
  <c r="K665" i="5"/>
  <c r="H665" i="5"/>
  <c r="G665" i="5" s="1"/>
  <c r="E665" i="5"/>
  <c r="D665" i="5"/>
  <c r="B665" i="5"/>
  <c r="Q664" i="5"/>
  <c r="P664" i="5"/>
  <c r="O664" i="5"/>
  <c r="N664" i="5"/>
  <c r="K664" i="5"/>
  <c r="H664" i="5"/>
  <c r="E664" i="5"/>
  <c r="D664" i="5"/>
  <c r="B664" i="5"/>
  <c r="Q663" i="5"/>
  <c r="P663" i="5"/>
  <c r="O663" i="5"/>
  <c r="N663" i="5"/>
  <c r="K663" i="5"/>
  <c r="H663" i="5"/>
  <c r="J663" i="5" s="1"/>
  <c r="I663" i="5" s="1"/>
  <c r="E663" i="5"/>
  <c r="D663" i="5"/>
  <c r="B663" i="5"/>
  <c r="Q662" i="5"/>
  <c r="P662" i="5"/>
  <c r="O662" i="5"/>
  <c r="N662" i="5"/>
  <c r="K662" i="5"/>
  <c r="H662" i="5"/>
  <c r="G662" i="5" s="1"/>
  <c r="E662" i="5"/>
  <c r="D662" i="5"/>
  <c r="B662" i="5"/>
  <c r="Q661" i="5"/>
  <c r="P661" i="5"/>
  <c r="O661" i="5"/>
  <c r="N661" i="5"/>
  <c r="K661" i="5"/>
  <c r="H661" i="5"/>
  <c r="J661" i="5" s="1"/>
  <c r="I661" i="5" s="1"/>
  <c r="E661" i="5"/>
  <c r="D661" i="5"/>
  <c r="B661" i="5"/>
  <c r="Q660" i="5"/>
  <c r="P660" i="5"/>
  <c r="O660" i="5"/>
  <c r="N660" i="5"/>
  <c r="K660" i="5"/>
  <c r="H660" i="5"/>
  <c r="E660" i="5"/>
  <c r="D660" i="5"/>
  <c r="B660" i="5"/>
  <c r="Q659" i="5"/>
  <c r="P659" i="5"/>
  <c r="O659" i="5"/>
  <c r="N659" i="5"/>
  <c r="K659" i="5"/>
  <c r="H659" i="5"/>
  <c r="E659" i="5"/>
  <c r="D659" i="5"/>
  <c r="B659" i="5"/>
  <c r="Q658" i="5"/>
  <c r="P658" i="5"/>
  <c r="R658" i="5" s="1"/>
  <c r="O658" i="5"/>
  <c r="N658" i="5"/>
  <c r="K658" i="5"/>
  <c r="H658" i="5"/>
  <c r="J658" i="5" s="1"/>
  <c r="I658" i="5" s="1"/>
  <c r="E658" i="5"/>
  <c r="D658" i="5"/>
  <c r="B658" i="5"/>
  <c r="Q657" i="5"/>
  <c r="P657" i="5"/>
  <c r="O657" i="5"/>
  <c r="N657" i="5"/>
  <c r="K657" i="5"/>
  <c r="H657" i="5"/>
  <c r="E657" i="5"/>
  <c r="D657" i="5"/>
  <c r="B657" i="5"/>
  <c r="Q656" i="5"/>
  <c r="P656" i="5"/>
  <c r="O656" i="5"/>
  <c r="N656" i="5"/>
  <c r="K656" i="5"/>
  <c r="H656" i="5"/>
  <c r="G656" i="5" s="1"/>
  <c r="E656" i="5"/>
  <c r="D656" i="5"/>
  <c r="B656" i="5"/>
  <c r="Q655" i="5"/>
  <c r="P655" i="5"/>
  <c r="O655" i="5"/>
  <c r="N655" i="5"/>
  <c r="K655" i="5"/>
  <c r="H655" i="5"/>
  <c r="J655" i="5" s="1"/>
  <c r="I655" i="5" s="1"/>
  <c r="E655" i="5"/>
  <c r="D655" i="5"/>
  <c r="B655" i="5"/>
  <c r="Q654" i="5"/>
  <c r="P654" i="5"/>
  <c r="O654" i="5"/>
  <c r="N654" i="5"/>
  <c r="K654" i="5"/>
  <c r="H654" i="5"/>
  <c r="J654" i="5" s="1"/>
  <c r="I654" i="5" s="1"/>
  <c r="E654" i="5"/>
  <c r="D654" i="5"/>
  <c r="B654" i="5"/>
  <c r="Q653" i="5"/>
  <c r="P653" i="5"/>
  <c r="O653" i="5"/>
  <c r="N653" i="5"/>
  <c r="K653" i="5"/>
  <c r="H653" i="5"/>
  <c r="J653" i="5" s="1"/>
  <c r="I653" i="5" s="1"/>
  <c r="E653" i="5"/>
  <c r="D653" i="5"/>
  <c r="B653" i="5"/>
  <c r="Q652" i="5"/>
  <c r="P652" i="5"/>
  <c r="O652" i="5"/>
  <c r="N652" i="5"/>
  <c r="K652" i="5"/>
  <c r="H652" i="5"/>
  <c r="J652" i="5" s="1"/>
  <c r="I652" i="5" s="1"/>
  <c r="E652" i="5"/>
  <c r="D652" i="5"/>
  <c r="B652" i="5"/>
  <c r="Q651" i="5"/>
  <c r="P651" i="5"/>
  <c r="O651" i="5"/>
  <c r="N651" i="5"/>
  <c r="K651" i="5"/>
  <c r="H651" i="5"/>
  <c r="J651" i="5" s="1"/>
  <c r="I651" i="5" s="1"/>
  <c r="E651" i="5"/>
  <c r="D651" i="5"/>
  <c r="B651" i="5"/>
  <c r="Q650" i="5"/>
  <c r="P650" i="5"/>
  <c r="O650" i="5"/>
  <c r="N650" i="5"/>
  <c r="K650" i="5"/>
  <c r="H650" i="5"/>
  <c r="J650" i="5" s="1"/>
  <c r="I650" i="5" s="1"/>
  <c r="G650" i="5"/>
  <c r="E650" i="5"/>
  <c r="D650" i="5"/>
  <c r="B650" i="5"/>
  <c r="Q649" i="5"/>
  <c r="P649" i="5"/>
  <c r="O649" i="5"/>
  <c r="N649" i="5"/>
  <c r="K649" i="5"/>
  <c r="H649" i="5"/>
  <c r="J649" i="5" s="1"/>
  <c r="I649" i="5" s="1"/>
  <c r="E649" i="5"/>
  <c r="D649" i="5"/>
  <c r="B649" i="5"/>
  <c r="Q648" i="5"/>
  <c r="P648" i="5"/>
  <c r="O648" i="5"/>
  <c r="N648" i="5"/>
  <c r="K648" i="5"/>
  <c r="H648" i="5"/>
  <c r="J648" i="5" s="1"/>
  <c r="I648" i="5" s="1"/>
  <c r="E648" i="5"/>
  <c r="D648" i="5"/>
  <c r="B648" i="5"/>
  <c r="Q647" i="5"/>
  <c r="P647" i="5"/>
  <c r="O647" i="5"/>
  <c r="N647" i="5"/>
  <c r="K647" i="5"/>
  <c r="H647" i="5"/>
  <c r="J647" i="5" s="1"/>
  <c r="I647" i="5" s="1"/>
  <c r="E647" i="5"/>
  <c r="D647" i="5"/>
  <c r="B647" i="5"/>
  <c r="Q646" i="5"/>
  <c r="P646" i="5"/>
  <c r="R646" i="5" s="1"/>
  <c r="O646" i="5"/>
  <c r="N646" i="5"/>
  <c r="K646" i="5"/>
  <c r="H646" i="5"/>
  <c r="G646" i="5" s="1"/>
  <c r="E646" i="5"/>
  <c r="D646" i="5"/>
  <c r="B646" i="5"/>
  <c r="Q645" i="5"/>
  <c r="P645" i="5"/>
  <c r="O645" i="5"/>
  <c r="N645" i="5"/>
  <c r="K645" i="5"/>
  <c r="H645" i="5"/>
  <c r="J645" i="5" s="1"/>
  <c r="I645" i="5" s="1"/>
  <c r="E645" i="5"/>
  <c r="D645" i="5"/>
  <c r="B645" i="5"/>
  <c r="Q644" i="5"/>
  <c r="P644" i="5"/>
  <c r="O644" i="5"/>
  <c r="N644" i="5"/>
  <c r="K644" i="5"/>
  <c r="H644" i="5"/>
  <c r="J644" i="5" s="1"/>
  <c r="I644" i="5" s="1"/>
  <c r="E644" i="5"/>
  <c r="D644" i="5"/>
  <c r="B644" i="5"/>
  <c r="Q643" i="5"/>
  <c r="P643" i="5"/>
  <c r="O643" i="5"/>
  <c r="N643" i="5"/>
  <c r="K643" i="5"/>
  <c r="H643" i="5"/>
  <c r="G643" i="5" s="1"/>
  <c r="E643" i="5"/>
  <c r="D643" i="5"/>
  <c r="B643" i="5"/>
  <c r="Q642" i="5"/>
  <c r="P642" i="5"/>
  <c r="O642" i="5"/>
  <c r="N642" i="5"/>
  <c r="K642" i="5"/>
  <c r="H642" i="5"/>
  <c r="G642" i="5" s="1"/>
  <c r="E642" i="5"/>
  <c r="D642" i="5"/>
  <c r="B642" i="5"/>
  <c r="Q641" i="5"/>
  <c r="P641" i="5"/>
  <c r="O641" i="5"/>
  <c r="N641" i="5"/>
  <c r="K641" i="5"/>
  <c r="H641" i="5"/>
  <c r="E641" i="5"/>
  <c r="D641" i="5"/>
  <c r="B641" i="5"/>
  <c r="Q640" i="5"/>
  <c r="P640" i="5"/>
  <c r="O640" i="5"/>
  <c r="N640" i="5"/>
  <c r="K640" i="5"/>
  <c r="H640" i="5"/>
  <c r="G640" i="5" s="1"/>
  <c r="E640" i="5"/>
  <c r="D640" i="5"/>
  <c r="B640" i="5"/>
  <c r="Q639" i="5"/>
  <c r="P639" i="5"/>
  <c r="R639" i="5" s="1"/>
  <c r="O639" i="5"/>
  <c r="N639" i="5"/>
  <c r="K639" i="5"/>
  <c r="H639" i="5"/>
  <c r="E639" i="5"/>
  <c r="D639" i="5"/>
  <c r="B639" i="5"/>
  <c r="Q638" i="5"/>
  <c r="P638" i="5"/>
  <c r="O638" i="5"/>
  <c r="N638" i="5"/>
  <c r="K638" i="5"/>
  <c r="H638" i="5"/>
  <c r="J638" i="5" s="1"/>
  <c r="I638" i="5" s="1"/>
  <c r="E638" i="5"/>
  <c r="D638" i="5"/>
  <c r="B638" i="5"/>
  <c r="Q637" i="5"/>
  <c r="P637" i="5"/>
  <c r="O637" i="5"/>
  <c r="N637" i="5"/>
  <c r="K637" i="5"/>
  <c r="H637" i="5"/>
  <c r="J637" i="5" s="1"/>
  <c r="I637" i="5" s="1"/>
  <c r="E637" i="5"/>
  <c r="D637" i="5"/>
  <c r="B637" i="5"/>
  <c r="Q636" i="5"/>
  <c r="P636" i="5"/>
  <c r="R636" i="5" s="1"/>
  <c r="O636" i="5"/>
  <c r="N636" i="5"/>
  <c r="K636" i="5"/>
  <c r="H636" i="5"/>
  <c r="J636" i="5" s="1"/>
  <c r="I636" i="5" s="1"/>
  <c r="E636" i="5"/>
  <c r="D636" i="5"/>
  <c r="B636" i="5"/>
  <c r="Q635" i="5"/>
  <c r="P635" i="5"/>
  <c r="R635" i="5" s="1"/>
  <c r="O635" i="5"/>
  <c r="N635" i="5"/>
  <c r="K635" i="5"/>
  <c r="H635" i="5"/>
  <c r="J635" i="5" s="1"/>
  <c r="I635" i="5" s="1"/>
  <c r="E635" i="5"/>
  <c r="D635" i="5"/>
  <c r="B635" i="5"/>
  <c r="Q634" i="5"/>
  <c r="P634" i="5"/>
  <c r="O634" i="5"/>
  <c r="N634" i="5"/>
  <c r="K634" i="5"/>
  <c r="H634" i="5"/>
  <c r="J634" i="5" s="1"/>
  <c r="I634" i="5" s="1"/>
  <c r="E634" i="5"/>
  <c r="D634" i="5"/>
  <c r="B634" i="5"/>
  <c r="Q633" i="5"/>
  <c r="P633" i="5"/>
  <c r="O633" i="5"/>
  <c r="N633" i="5"/>
  <c r="K633" i="5"/>
  <c r="H633" i="5"/>
  <c r="E633" i="5"/>
  <c r="D633" i="5"/>
  <c r="B633" i="5"/>
  <c r="Q632" i="5"/>
  <c r="P632" i="5"/>
  <c r="O632" i="5"/>
  <c r="N632" i="5"/>
  <c r="K632" i="5"/>
  <c r="H632" i="5"/>
  <c r="G632" i="5" s="1"/>
  <c r="E632" i="5"/>
  <c r="D632" i="5"/>
  <c r="B632" i="5"/>
  <c r="Q631" i="5"/>
  <c r="P631" i="5"/>
  <c r="O631" i="5"/>
  <c r="N631" i="5"/>
  <c r="K631" i="5"/>
  <c r="H631" i="5"/>
  <c r="E631" i="5"/>
  <c r="D631" i="5"/>
  <c r="B631" i="5"/>
  <c r="Q630" i="5"/>
  <c r="P630" i="5"/>
  <c r="O630" i="5"/>
  <c r="N630" i="5"/>
  <c r="K630" i="5"/>
  <c r="H630" i="5"/>
  <c r="E630" i="5"/>
  <c r="D630" i="5"/>
  <c r="B630" i="5"/>
  <c r="Q629" i="5"/>
  <c r="P629" i="5"/>
  <c r="O629" i="5"/>
  <c r="N629" i="5"/>
  <c r="K629" i="5"/>
  <c r="H629" i="5"/>
  <c r="J629" i="5" s="1"/>
  <c r="I629" i="5" s="1"/>
  <c r="E629" i="5"/>
  <c r="D629" i="5"/>
  <c r="B629" i="5"/>
  <c r="Q628" i="5"/>
  <c r="P628" i="5"/>
  <c r="O628" i="5"/>
  <c r="N628" i="5"/>
  <c r="K628" i="5"/>
  <c r="H628" i="5"/>
  <c r="G628" i="5" s="1"/>
  <c r="E628" i="5"/>
  <c r="D628" i="5"/>
  <c r="B628" i="5"/>
  <c r="Q627" i="5"/>
  <c r="P627" i="5"/>
  <c r="R627" i="5" s="1"/>
  <c r="O627" i="5"/>
  <c r="N627" i="5"/>
  <c r="K627" i="5"/>
  <c r="H627" i="5"/>
  <c r="J627" i="5" s="1"/>
  <c r="I627" i="5" s="1"/>
  <c r="E627" i="5"/>
  <c r="D627" i="5"/>
  <c r="B627" i="5"/>
  <c r="Q626" i="5"/>
  <c r="P626" i="5"/>
  <c r="O626" i="5"/>
  <c r="N626" i="5"/>
  <c r="K626" i="5"/>
  <c r="H626" i="5"/>
  <c r="J626" i="5" s="1"/>
  <c r="I626" i="5" s="1"/>
  <c r="E626" i="5"/>
  <c r="D626" i="5"/>
  <c r="B626" i="5"/>
  <c r="Q625" i="5"/>
  <c r="P625" i="5"/>
  <c r="O625" i="5"/>
  <c r="N625" i="5"/>
  <c r="K625" i="5"/>
  <c r="H625" i="5"/>
  <c r="J625" i="5" s="1"/>
  <c r="I625" i="5" s="1"/>
  <c r="E625" i="5"/>
  <c r="D625" i="5"/>
  <c r="B625" i="5"/>
  <c r="Q624" i="5"/>
  <c r="P624" i="5"/>
  <c r="O624" i="5"/>
  <c r="N624" i="5"/>
  <c r="K624" i="5"/>
  <c r="H624" i="5"/>
  <c r="G624" i="5" s="1"/>
  <c r="E624" i="5"/>
  <c r="D624" i="5"/>
  <c r="B624" i="5"/>
  <c r="Q623" i="5"/>
  <c r="P623" i="5"/>
  <c r="O623" i="5"/>
  <c r="N623" i="5"/>
  <c r="K623" i="5"/>
  <c r="H623" i="5"/>
  <c r="J623" i="5" s="1"/>
  <c r="I623" i="5" s="1"/>
  <c r="E623" i="5"/>
  <c r="D623" i="5"/>
  <c r="B623" i="5"/>
  <c r="Q622" i="5"/>
  <c r="P622" i="5"/>
  <c r="O622" i="5"/>
  <c r="N622" i="5"/>
  <c r="K622" i="5"/>
  <c r="H622" i="5"/>
  <c r="E622" i="5"/>
  <c r="D622" i="5"/>
  <c r="B622" i="5"/>
  <c r="Q621" i="5"/>
  <c r="P621" i="5"/>
  <c r="O621" i="5"/>
  <c r="N621" i="5"/>
  <c r="K621" i="5"/>
  <c r="H621" i="5"/>
  <c r="J621" i="5" s="1"/>
  <c r="I621" i="5" s="1"/>
  <c r="E621" i="5"/>
  <c r="D621" i="5"/>
  <c r="B621" i="5"/>
  <c r="Q620" i="5"/>
  <c r="P620" i="5"/>
  <c r="O620" i="5"/>
  <c r="N620" i="5"/>
  <c r="K620" i="5"/>
  <c r="H620" i="5"/>
  <c r="E620" i="5"/>
  <c r="D620" i="5"/>
  <c r="B620" i="5"/>
  <c r="Q619" i="5"/>
  <c r="P619" i="5"/>
  <c r="O619" i="5"/>
  <c r="N619" i="5"/>
  <c r="K619" i="5"/>
  <c r="H619" i="5"/>
  <c r="J619" i="5" s="1"/>
  <c r="I619" i="5" s="1"/>
  <c r="E619" i="5"/>
  <c r="D619" i="5"/>
  <c r="B619" i="5"/>
  <c r="Q618" i="5"/>
  <c r="P618" i="5"/>
  <c r="O618" i="5"/>
  <c r="N618" i="5"/>
  <c r="K618" i="5"/>
  <c r="H618" i="5"/>
  <c r="J618" i="5" s="1"/>
  <c r="I618" i="5" s="1"/>
  <c r="E618" i="5"/>
  <c r="D618" i="5"/>
  <c r="B618" i="5"/>
  <c r="Q617" i="5"/>
  <c r="P617" i="5"/>
  <c r="O617" i="5"/>
  <c r="N617" i="5"/>
  <c r="K617" i="5"/>
  <c r="H617" i="5"/>
  <c r="J617" i="5" s="1"/>
  <c r="I617" i="5" s="1"/>
  <c r="E617" i="5"/>
  <c r="D617" i="5"/>
  <c r="B617" i="5"/>
  <c r="Q616" i="5"/>
  <c r="P616" i="5"/>
  <c r="O616" i="5"/>
  <c r="N616" i="5"/>
  <c r="K616" i="5"/>
  <c r="H616" i="5"/>
  <c r="J616" i="5" s="1"/>
  <c r="I616" i="5" s="1"/>
  <c r="E616" i="5"/>
  <c r="D616" i="5"/>
  <c r="B616" i="5"/>
  <c r="Q615" i="5"/>
  <c r="P615" i="5"/>
  <c r="O615" i="5"/>
  <c r="N615" i="5"/>
  <c r="K615" i="5"/>
  <c r="H615" i="5"/>
  <c r="J615" i="5" s="1"/>
  <c r="I615" i="5" s="1"/>
  <c r="E615" i="5"/>
  <c r="D615" i="5"/>
  <c r="B615" i="5"/>
  <c r="Q614" i="5"/>
  <c r="P614" i="5"/>
  <c r="O614" i="5"/>
  <c r="N614" i="5"/>
  <c r="K614" i="5"/>
  <c r="H614" i="5"/>
  <c r="G614" i="5" s="1"/>
  <c r="E614" i="5"/>
  <c r="D614" i="5"/>
  <c r="B614" i="5"/>
  <c r="Q613" i="5"/>
  <c r="P613" i="5"/>
  <c r="O613" i="5"/>
  <c r="N613" i="5"/>
  <c r="K613" i="5"/>
  <c r="H613" i="5"/>
  <c r="G613" i="5" s="1"/>
  <c r="E613" i="5"/>
  <c r="D613" i="5"/>
  <c r="B613" i="5"/>
  <c r="Q612" i="5"/>
  <c r="P612" i="5"/>
  <c r="O612" i="5"/>
  <c r="N612" i="5"/>
  <c r="K612" i="5"/>
  <c r="H612" i="5"/>
  <c r="J612" i="5" s="1"/>
  <c r="I612" i="5" s="1"/>
  <c r="E612" i="5"/>
  <c r="D612" i="5"/>
  <c r="B612" i="5"/>
  <c r="Q611" i="5"/>
  <c r="P611" i="5"/>
  <c r="O611" i="5"/>
  <c r="N611" i="5"/>
  <c r="K611" i="5"/>
  <c r="H611" i="5"/>
  <c r="G611" i="5" s="1"/>
  <c r="E611" i="5"/>
  <c r="D611" i="5"/>
  <c r="B611" i="5"/>
  <c r="Q610" i="5"/>
  <c r="P610" i="5"/>
  <c r="O610" i="5"/>
  <c r="N610" i="5"/>
  <c r="K610" i="5"/>
  <c r="H610" i="5"/>
  <c r="G610" i="5" s="1"/>
  <c r="E610" i="5"/>
  <c r="D610" i="5"/>
  <c r="B610" i="5"/>
  <c r="Q609" i="5"/>
  <c r="P609" i="5"/>
  <c r="O609" i="5"/>
  <c r="N609" i="5"/>
  <c r="K609" i="5"/>
  <c r="H609" i="5"/>
  <c r="E609" i="5"/>
  <c r="D609" i="5"/>
  <c r="B609" i="5"/>
  <c r="Q608" i="5"/>
  <c r="P608" i="5"/>
  <c r="O608" i="5"/>
  <c r="N608" i="5"/>
  <c r="K608" i="5"/>
  <c r="H608" i="5"/>
  <c r="G608" i="5" s="1"/>
  <c r="E608" i="5"/>
  <c r="D608" i="5"/>
  <c r="B608" i="5"/>
  <c r="Q607" i="5"/>
  <c r="P607" i="5"/>
  <c r="O607" i="5"/>
  <c r="N607" i="5"/>
  <c r="K607" i="5"/>
  <c r="H607" i="5"/>
  <c r="J607" i="5" s="1"/>
  <c r="I607" i="5" s="1"/>
  <c r="E607" i="5"/>
  <c r="D607" i="5"/>
  <c r="B607" i="5"/>
  <c r="Q606" i="5"/>
  <c r="P606" i="5"/>
  <c r="R606" i="5" s="1"/>
  <c r="O606" i="5"/>
  <c r="N606" i="5"/>
  <c r="K606" i="5"/>
  <c r="H606" i="5"/>
  <c r="J606" i="5" s="1"/>
  <c r="I606" i="5" s="1"/>
  <c r="E606" i="5"/>
  <c r="D606" i="5"/>
  <c r="B606" i="5"/>
  <c r="Q605" i="5"/>
  <c r="P605" i="5"/>
  <c r="O605" i="5"/>
  <c r="N605" i="5"/>
  <c r="K605" i="5"/>
  <c r="H605" i="5"/>
  <c r="G605" i="5" s="1"/>
  <c r="E605" i="5"/>
  <c r="D605" i="5"/>
  <c r="B605" i="5"/>
  <c r="Q604" i="5"/>
  <c r="P604" i="5"/>
  <c r="R604" i="5" s="1"/>
  <c r="O604" i="5"/>
  <c r="N604" i="5"/>
  <c r="K604" i="5"/>
  <c r="H604" i="5"/>
  <c r="J604" i="5" s="1"/>
  <c r="I604" i="5" s="1"/>
  <c r="E604" i="5"/>
  <c r="D604" i="5"/>
  <c r="B604" i="5"/>
  <c r="Q603" i="5"/>
  <c r="P603" i="5"/>
  <c r="O603" i="5"/>
  <c r="N603" i="5"/>
  <c r="K603" i="5"/>
  <c r="H603" i="5"/>
  <c r="J603" i="5" s="1"/>
  <c r="I603" i="5" s="1"/>
  <c r="E603" i="5"/>
  <c r="D603" i="5"/>
  <c r="B603" i="5"/>
  <c r="Q602" i="5"/>
  <c r="P602" i="5"/>
  <c r="O602" i="5"/>
  <c r="N602" i="5"/>
  <c r="K602" i="5"/>
  <c r="H602" i="5"/>
  <c r="E602" i="5"/>
  <c r="D602" i="5"/>
  <c r="B602" i="5"/>
  <c r="Q601" i="5"/>
  <c r="P601" i="5"/>
  <c r="O601" i="5"/>
  <c r="N601" i="5"/>
  <c r="K601" i="5"/>
  <c r="H601" i="5"/>
  <c r="J601" i="5" s="1"/>
  <c r="I601" i="5" s="1"/>
  <c r="E601" i="5"/>
  <c r="D601" i="5"/>
  <c r="B601" i="5"/>
  <c r="Q600" i="5"/>
  <c r="P600" i="5"/>
  <c r="O600" i="5"/>
  <c r="N600" i="5"/>
  <c r="K600" i="5"/>
  <c r="H600" i="5"/>
  <c r="G600" i="5" s="1"/>
  <c r="E600" i="5"/>
  <c r="D600" i="5"/>
  <c r="B600" i="5"/>
  <c r="Q599" i="5"/>
  <c r="P599" i="5"/>
  <c r="O599" i="5"/>
  <c r="N599" i="5"/>
  <c r="K599" i="5"/>
  <c r="H599" i="5"/>
  <c r="E599" i="5"/>
  <c r="D599" i="5"/>
  <c r="B599" i="5"/>
  <c r="Q598" i="5"/>
  <c r="P598" i="5"/>
  <c r="O598" i="5"/>
  <c r="N598" i="5"/>
  <c r="K598" i="5"/>
  <c r="H598" i="5"/>
  <c r="E598" i="5"/>
  <c r="D598" i="5"/>
  <c r="B598" i="5"/>
  <c r="Q597" i="5"/>
  <c r="P597" i="5"/>
  <c r="O597" i="5"/>
  <c r="N597" i="5"/>
  <c r="K597" i="5"/>
  <c r="H597" i="5"/>
  <c r="J597" i="5" s="1"/>
  <c r="I597" i="5" s="1"/>
  <c r="E597" i="5"/>
  <c r="D597" i="5"/>
  <c r="B597" i="5"/>
  <c r="Q596" i="5"/>
  <c r="P596" i="5"/>
  <c r="O596" i="5"/>
  <c r="N596" i="5"/>
  <c r="K596" i="5"/>
  <c r="H596" i="5"/>
  <c r="J596" i="5" s="1"/>
  <c r="I596" i="5" s="1"/>
  <c r="E596" i="5"/>
  <c r="D596" i="5"/>
  <c r="B596" i="5"/>
  <c r="Q595" i="5"/>
  <c r="P595" i="5"/>
  <c r="O595" i="5"/>
  <c r="N595" i="5"/>
  <c r="K595" i="5"/>
  <c r="H595" i="5"/>
  <c r="J595" i="5" s="1"/>
  <c r="I595" i="5" s="1"/>
  <c r="E595" i="5"/>
  <c r="D595" i="5"/>
  <c r="B595" i="5"/>
  <c r="Q594" i="5"/>
  <c r="P594" i="5"/>
  <c r="O594" i="5"/>
  <c r="N594" i="5"/>
  <c r="K594" i="5"/>
  <c r="H594" i="5"/>
  <c r="G594" i="5" s="1"/>
  <c r="E594" i="5"/>
  <c r="D594" i="5"/>
  <c r="B594" i="5"/>
  <c r="Q593" i="5"/>
  <c r="P593" i="5"/>
  <c r="O593" i="5"/>
  <c r="N593" i="5"/>
  <c r="K593" i="5"/>
  <c r="H593" i="5"/>
  <c r="J593" i="5" s="1"/>
  <c r="I593" i="5" s="1"/>
  <c r="E593" i="5"/>
  <c r="D593" i="5"/>
  <c r="B593" i="5"/>
  <c r="Q592" i="5"/>
  <c r="P592" i="5"/>
  <c r="O592" i="5"/>
  <c r="N592" i="5"/>
  <c r="K592" i="5"/>
  <c r="H592" i="5"/>
  <c r="G592" i="5" s="1"/>
  <c r="E592" i="5"/>
  <c r="D592" i="5"/>
  <c r="B592" i="5"/>
  <c r="Q591" i="5"/>
  <c r="P591" i="5"/>
  <c r="O591" i="5"/>
  <c r="N591" i="5"/>
  <c r="K591" i="5"/>
  <c r="H591" i="5"/>
  <c r="J591" i="5" s="1"/>
  <c r="I591" i="5" s="1"/>
  <c r="E591" i="5"/>
  <c r="D591" i="5"/>
  <c r="B591" i="5"/>
  <c r="Q590" i="5"/>
  <c r="P590" i="5"/>
  <c r="O590" i="5"/>
  <c r="N590" i="5"/>
  <c r="K590" i="5"/>
  <c r="H590" i="5"/>
  <c r="G590" i="5" s="1"/>
  <c r="E590" i="5"/>
  <c r="D590" i="5"/>
  <c r="B590" i="5"/>
  <c r="Q589" i="5"/>
  <c r="P589" i="5"/>
  <c r="O589" i="5"/>
  <c r="N589" i="5"/>
  <c r="K589" i="5"/>
  <c r="H589" i="5"/>
  <c r="J589" i="5" s="1"/>
  <c r="I589" i="5" s="1"/>
  <c r="E589" i="5"/>
  <c r="D589" i="5"/>
  <c r="B589" i="5"/>
  <c r="Q588" i="5"/>
  <c r="P588" i="5"/>
  <c r="O588" i="5"/>
  <c r="N588" i="5"/>
  <c r="K588" i="5"/>
  <c r="H588" i="5"/>
  <c r="G588" i="5" s="1"/>
  <c r="E588" i="5"/>
  <c r="D588" i="5"/>
  <c r="B588" i="5"/>
  <c r="Q587" i="5"/>
  <c r="P587" i="5"/>
  <c r="O587" i="5"/>
  <c r="N587" i="5"/>
  <c r="K587" i="5"/>
  <c r="H587" i="5"/>
  <c r="E587" i="5"/>
  <c r="D587" i="5"/>
  <c r="B587" i="5"/>
  <c r="Q586" i="5"/>
  <c r="P586" i="5"/>
  <c r="O586" i="5"/>
  <c r="N586" i="5"/>
  <c r="K586" i="5"/>
  <c r="H586" i="5"/>
  <c r="J586" i="5" s="1"/>
  <c r="I586" i="5" s="1"/>
  <c r="E586" i="5"/>
  <c r="D586" i="5"/>
  <c r="B586" i="5"/>
  <c r="Q585" i="5"/>
  <c r="P585" i="5"/>
  <c r="O585" i="5"/>
  <c r="N585" i="5"/>
  <c r="K585" i="5"/>
  <c r="H585" i="5"/>
  <c r="G585" i="5" s="1"/>
  <c r="E585" i="5"/>
  <c r="D585" i="5"/>
  <c r="B585" i="5"/>
  <c r="Q584" i="5"/>
  <c r="P584" i="5"/>
  <c r="O584" i="5"/>
  <c r="N584" i="5"/>
  <c r="K584" i="5"/>
  <c r="H584" i="5"/>
  <c r="J584" i="5" s="1"/>
  <c r="I584" i="5" s="1"/>
  <c r="E584" i="5"/>
  <c r="D584" i="5"/>
  <c r="B584" i="5"/>
  <c r="Q583" i="5"/>
  <c r="P583" i="5"/>
  <c r="O583" i="5"/>
  <c r="N583" i="5"/>
  <c r="K583" i="5"/>
  <c r="H583" i="5"/>
  <c r="J583" i="5" s="1"/>
  <c r="I583" i="5" s="1"/>
  <c r="E583" i="5"/>
  <c r="D583" i="5"/>
  <c r="B583" i="5"/>
  <c r="Q582" i="5"/>
  <c r="P582" i="5"/>
  <c r="O582" i="5"/>
  <c r="N582" i="5"/>
  <c r="K582" i="5"/>
  <c r="H582" i="5"/>
  <c r="G582" i="5" s="1"/>
  <c r="E582" i="5"/>
  <c r="D582" i="5"/>
  <c r="B582" i="5"/>
  <c r="Q581" i="5"/>
  <c r="P581" i="5"/>
  <c r="O581" i="5"/>
  <c r="N581" i="5"/>
  <c r="K581" i="5"/>
  <c r="H581" i="5"/>
  <c r="J581" i="5" s="1"/>
  <c r="I581" i="5" s="1"/>
  <c r="E581" i="5"/>
  <c r="D581" i="5"/>
  <c r="B581" i="5"/>
  <c r="Q580" i="5"/>
  <c r="P580" i="5"/>
  <c r="O580" i="5"/>
  <c r="N580" i="5"/>
  <c r="K580" i="5"/>
  <c r="H580" i="5"/>
  <c r="J580" i="5" s="1"/>
  <c r="I580" i="5" s="1"/>
  <c r="E580" i="5"/>
  <c r="D580" i="5"/>
  <c r="B580" i="5"/>
  <c r="Q579" i="5"/>
  <c r="P579" i="5"/>
  <c r="O579" i="5"/>
  <c r="N579" i="5"/>
  <c r="K579" i="5"/>
  <c r="H579" i="5"/>
  <c r="G579" i="5" s="1"/>
  <c r="E579" i="5"/>
  <c r="D579" i="5"/>
  <c r="B579" i="5"/>
  <c r="Q578" i="5"/>
  <c r="P578" i="5"/>
  <c r="R578" i="5" s="1"/>
  <c r="O578" i="5"/>
  <c r="N578" i="5"/>
  <c r="K578" i="5"/>
  <c r="H578" i="5"/>
  <c r="G578" i="5" s="1"/>
  <c r="E578" i="5"/>
  <c r="D578" i="5"/>
  <c r="B578" i="5"/>
  <c r="Q577" i="5"/>
  <c r="P577" i="5"/>
  <c r="O577" i="5"/>
  <c r="N577" i="5"/>
  <c r="K577" i="5"/>
  <c r="H577" i="5"/>
  <c r="J577" i="5" s="1"/>
  <c r="I577" i="5" s="1"/>
  <c r="E577" i="5"/>
  <c r="D577" i="5"/>
  <c r="B577" i="5"/>
  <c r="Q576" i="5"/>
  <c r="P576" i="5"/>
  <c r="O576" i="5"/>
  <c r="N576" i="5"/>
  <c r="K576" i="5"/>
  <c r="H576" i="5"/>
  <c r="G576" i="5" s="1"/>
  <c r="E576" i="5"/>
  <c r="D576" i="5"/>
  <c r="B576" i="5"/>
  <c r="Q575" i="5"/>
  <c r="P575" i="5"/>
  <c r="O575" i="5"/>
  <c r="N575" i="5"/>
  <c r="K575" i="5"/>
  <c r="H575" i="5"/>
  <c r="J575" i="5" s="1"/>
  <c r="I575" i="5" s="1"/>
  <c r="E575" i="5"/>
  <c r="D575" i="5"/>
  <c r="B575" i="5"/>
  <c r="Q574" i="5"/>
  <c r="P574" i="5"/>
  <c r="O574" i="5"/>
  <c r="N574" i="5"/>
  <c r="K574" i="5"/>
  <c r="H574" i="5"/>
  <c r="J574" i="5" s="1"/>
  <c r="I574" i="5" s="1"/>
  <c r="E574" i="5"/>
  <c r="D574" i="5"/>
  <c r="B574" i="5"/>
  <c r="Q573" i="5"/>
  <c r="P573" i="5"/>
  <c r="O573" i="5"/>
  <c r="N573" i="5"/>
  <c r="K573" i="5"/>
  <c r="H573" i="5"/>
  <c r="J573" i="5" s="1"/>
  <c r="I573" i="5" s="1"/>
  <c r="E573" i="5"/>
  <c r="D573" i="5"/>
  <c r="B573" i="5"/>
  <c r="Q572" i="5"/>
  <c r="P572" i="5"/>
  <c r="O572" i="5"/>
  <c r="N572" i="5"/>
  <c r="K572" i="5"/>
  <c r="H572" i="5"/>
  <c r="J572" i="5" s="1"/>
  <c r="I572" i="5" s="1"/>
  <c r="E572" i="5"/>
  <c r="D572" i="5"/>
  <c r="B572" i="5"/>
  <c r="Q571" i="5"/>
  <c r="P571" i="5"/>
  <c r="O571" i="5"/>
  <c r="N571" i="5"/>
  <c r="K571" i="5"/>
  <c r="H571" i="5"/>
  <c r="J571" i="5" s="1"/>
  <c r="I571" i="5" s="1"/>
  <c r="E571" i="5"/>
  <c r="D571" i="5"/>
  <c r="B571" i="5"/>
  <c r="Q570" i="5"/>
  <c r="P570" i="5"/>
  <c r="O570" i="5"/>
  <c r="N570" i="5"/>
  <c r="K570" i="5"/>
  <c r="H570" i="5"/>
  <c r="E570" i="5"/>
  <c r="D570" i="5"/>
  <c r="B570" i="5"/>
  <c r="Q569" i="5"/>
  <c r="P569" i="5"/>
  <c r="O569" i="5"/>
  <c r="N569" i="5"/>
  <c r="K569" i="5"/>
  <c r="H569" i="5"/>
  <c r="J569" i="5" s="1"/>
  <c r="I569" i="5" s="1"/>
  <c r="G569" i="5"/>
  <c r="E569" i="5"/>
  <c r="D569" i="5"/>
  <c r="B569" i="5"/>
  <c r="Q568" i="5"/>
  <c r="P568" i="5"/>
  <c r="O568" i="5"/>
  <c r="N568" i="5"/>
  <c r="K568" i="5"/>
  <c r="H568" i="5"/>
  <c r="G568" i="5" s="1"/>
  <c r="E568" i="5"/>
  <c r="D568" i="5"/>
  <c r="B568" i="5"/>
  <c r="Q567" i="5"/>
  <c r="P567" i="5"/>
  <c r="O567" i="5"/>
  <c r="N567" i="5"/>
  <c r="K567" i="5"/>
  <c r="H567" i="5"/>
  <c r="J567" i="5" s="1"/>
  <c r="I567" i="5" s="1"/>
  <c r="G567" i="5"/>
  <c r="E567" i="5"/>
  <c r="D567" i="5"/>
  <c r="B567" i="5"/>
  <c r="Q566" i="5"/>
  <c r="P566" i="5"/>
  <c r="O566" i="5"/>
  <c r="N566" i="5"/>
  <c r="K566" i="5"/>
  <c r="H566" i="5"/>
  <c r="E566" i="5"/>
  <c r="D566" i="5"/>
  <c r="B566" i="5"/>
  <c r="Q565" i="5"/>
  <c r="P565" i="5"/>
  <c r="O565" i="5"/>
  <c r="N565" i="5"/>
  <c r="K565" i="5"/>
  <c r="H565" i="5"/>
  <c r="J565" i="5" s="1"/>
  <c r="I565" i="5" s="1"/>
  <c r="E565" i="5"/>
  <c r="D565" i="5"/>
  <c r="B565" i="5"/>
  <c r="Q564" i="5"/>
  <c r="P564" i="5"/>
  <c r="O564" i="5"/>
  <c r="N564" i="5"/>
  <c r="K564" i="5"/>
  <c r="H564" i="5"/>
  <c r="J564" i="5" s="1"/>
  <c r="I564" i="5" s="1"/>
  <c r="E564" i="5"/>
  <c r="D564" i="5"/>
  <c r="B564" i="5"/>
  <c r="Q563" i="5"/>
  <c r="P563" i="5"/>
  <c r="R563" i="5" s="1"/>
  <c r="O563" i="5"/>
  <c r="N563" i="5"/>
  <c r="K563" i="5"/>
  <c r="H563" i="5"/>
  <c r="G563" i="5" s="1"/>
  <c r="E563" i="5"/>
  <c r="D563" i="5"/>
  <c r="B563" i="5"/>
  <c r="Q562" i="5"/>
  <c r="P562" i="5"/>
  <c r="O562" i="5"/>
  <c r="N562" i="5"/>
  <c r="K562" i="5"/>
  <c r="H562" i="5"/>
  <c r="J562" i="5" s="1"/>
  <c r="I562" i="5" s="1"/>
  <c r="E562" i="5"/>
  <c r="D562" i="5"/>
  <c r="B562" i="5"/>
  <c r="Q561" i="5"/>
  <c r="P561" i="5"/>
  <c r="O561" i="5"/>
  <c r="N561" i="5"/>
  <c r="K561" i="5"/>
  <c r="H561" i="5"/>
  <c r="J561" i="5" s="1"/>
  <c r="I561" i="5" s="1"/>
  <c r="G561" i="5"/>
  <c r="E561" i="5"/>
  <c r="D561" i="5"/>
  <c r="B561" i="5"/>
  <c r="Q560" i="5"/>
  <c r="P560" i="5"/>
  <c r="O560" i="5"/>
  <c r="N560" i="5"/>
  <c r="K560" i="5"/>
  <c r="H560" i="5"/>
  <c r="G560" i="5" s="1"/>
  <c r="E560" i="5"/>
  <c r="D560" i="5"/>
  <c r="B560" i="5"/>
  <c r="Q559" i="5"/>
  <c r="P559" i="5"/>
  <c r="O559" i="5"/>
  <c r="N559" i="5"/>
  <c r="K559" i="5"/>
  <c r="H559" i="5"/>
  <c r="J559" i="5" s="1"/>
  <c r="I559" i="5" s="1"/>
  <c r="E559" i="5"/>
  <c r="D559" i="5"/>
  <c r="B559" i="5"/>
  <c r="Q558" i="5"/>
  <c r="P558" i="5"/>
  <c r="O558" i="5"/>
  <c r="N558" i="5"/>
  <c r="K558" i="5"/>
  <c r="H558" i="5"/>
  <c r="J558" i="5" s="1"/>
  <c r="I558" i="5" s="1"/>
  <c r="E558" i="5"/>
  <c r="D558" i="5"/>
  <c r="B558" i="5"/>
  <c r="Q557" i="5"/>
  <c r="P557" i="5"/>
  <c r="O557" i="5"/>
  <c r="N557" i="5"/>
  <c r="K557" i="5"/>
  <c r="H557" i="5"/>
  <c r="J557" i="5" s="1"/>
  <c r="I557" i="5" s="1"/>
  <c r="E557" i="5"/>
  <c r="D557" i="5"/>
  <c r="B557" i="5"/>
  <c r="Q556" i="5"/>
  <c r="P556" i="5"/>
  <c r="O556" i="5"/>
  <c r="N556" i="5"/>
  <c r="K556" i="5"/>
  <c r="H556" i="5"/>
  <c r="J556" i="5" s="1"/>
  <c r="I556" i="5" s="1"/>
  <c r="E556" i="5"/>
  <c r="D556" i="5"/>
  <c r="B556" i="5"/>
  <c r="Q555" i="5"/>
  <c r="P555" i="5"/>
  <c r="O555" i="5"/>
  <c r="N555" i="5"/>
  <c r="K555" i="5"/>
  <c r="H555" i="5"/>
  <c r="J555" i="5" s="1"/>
  <c r="I555" i="5" s="1"/>
  <c r="E555" i="5"/>
  <c r="D555" i="5"/>
  <c r="B555" i="5"/>
  <c r="Q554" i="5"/>
  <c r="P554" i="5"/>
  <c r="O554" i="5"/>
  <c r="N554" i="5"/>
  <c r="K554" i="5"/>
  <c r="H554" i="5"/>
  <c r="G554" i="5" s="1"/>
  <c r="E554" i="5"/>
  <c r="D554" i="5"/>
  <c r="B554" i="5"/>
  <c r="Q553" i="5"/>
  <c r="P553" i="5"/>
  <c r="O553" i="5"/>
  <c r="N553" i="5"/>
  <c r="K553" i="5"/>
  <c r="H553" i="5"/>
  <c r="E553" i="5"/>
  <c r="D553" i="5"/>
  <c r="B553" i="5"/>
  <c r="Q552" i="5"/>
  <c r="P552" i="5"/>
  <c r="O552" i="5"/>
  <c r="N552" i="5"/>
  <c r="K552" i="5"/>
  <c r="H552" i="5"/>
  <c r="J552" i="5" s="1"/>
  <c r="I552" i="5" s="1"/>
  <c r="E552" i="5"/>
  <c r="D552" i="5"/>
  <c r="B552" i="5"/>
  <c r="Q551" i="5"/>
  <c r="P551" i="5"/>
  <c r="O551" i="5"/>
  <c r="N551" i="5"/>
  <c r="K551" i="5"/>
  <c r="H551" i="5"/>
  <c r="E551" i="5"/>
  <c r="D551" i="5"/>
  <c r="B551" i="5"/>
  <c r="Q550" i="5"/>
  <c r="P550" i="5"/>
  <c r="O550" i="5"/>
  <c r="N550" i="5"/>
  <c r="K550" i="5"/>
  <c r="H550" i="5"/>
  <c r="J550" i="5" s="1"/>
  <c r="I550" i="5" s="1"/>
  <c r="G550" i="5"/>
  <c r="E550" i="5"/>
  <c r="D550" i="5"/>
  <c r="B550" i="5"/>
  <c r="Q549" i="5"/>
  <c r="P549" i="5"/>
  <c r="O549" i="5"/>
  <c r="N549" i="5"/>
  <c r="K549" i="5"/>
  <c r="H549" i="5"/>
  <c r="G549" i="5" s="1"/>
  <c r="E549" i="5"/>
  <c r="D549" i="5"/>
  <c r="B549" i="5"/>
  <c r="Q548" i="5"/>
  <c r="P548" i="5"/>
  <c r="R548" i="5" s="1"/>
  <c r="O548" i="5"/>
  <c r="N548" i="5"/>
  <c r="K548" i="5"/>
  <c r="H548" i="5"/>
  <c r="G548" i="5" s="1"/>
  <c r="E548" i="5"/>
  <c r="D548" i="5"/>
  <c r="B548" i="5"/>
  <c r="Q547" i="5"/>
  <c r="P547" i="5"/>
  <c r="O547" i="5"/>
  <c r="N547" i="5"/>
  <c r="K547" i="5"/>
  <c r="H547" i="5"/>
  <c r="J547" i="5" s="1"/>
  <c r="I547" i="5" s="1"/>
  <c r="E547" i="5"/>
  <c r="D547" i="5"/>
  <c r="B547" i="5"/>
  <c r="Q546" i="5"/>
  <c r="P546" i="5"/>
  <c r="R546" i="5" s="1"/>
  <c r="O546" i="5"/>
  <c r="N546" i="5"/>
  <c r="K546" i="5"/>
  <c r="H546" i="5"/>
  <c r="G546" i="5" s="1"/>
  <c r="E546" i="5"/>
  <c r="D546" i="5"/>
  <c r="B546" i="5"/>
  <c r="Q545" i="5"/>
  <c r="P545" i="5"/>
  <c r="O545" i="5"/>
  <c r="N545" i="5"/>
  <c r="K545" i="5"/>
  <c r="H545" i="5"/>
  <c r="J545" i="5" s="1"/>
  <c r="I545" i="5" s="1"/>
  <c r="E545" i="5"/>
  <c r="D545" i="5"/>
  <c r="B545" i="5"/>
  <c r="Q544" i="5"/>
  <c r="P544" i="5"/>
  <c r="O544" i="5"/>
  <c r="N544" i="5"/>
  <c r="K544" i="5"/>
  <c r="H544" i="5"/>
  <c r="G544" i="5" s="1"/>
  <c r="E544" i="5"/>
  <c r="D544" i="5"/>
  <c r="B544" i="5"/>
  <c r="Q543" i="5"/>
  <c r="P543" i="5"/>
  <c r="O543" i="5"/>
  <c r="N543" i="5"/>
  <c r="K543" i="5"/>
  <c r="H543" i="5"/>
  <c r="J543" i="5" s="1"/>
  <c r="I543" i="5" s="1"/>
  <c r="E543" i="5"/>
  <c r="D543" i="5"/>
  <c r="B543" i="5"/>
  <c r="Q542" i="5"/>
  <c r="P542" i="5"/>
  <c r="O542" i="5"/>
  <c r="N542" i="5"/>
  <c r="K542" i="5"/>
  <c r="H542" i="5"/>
  <c r="J542" i="5" s="1"/>
  <c r="I542" i="5" s="1"/>
  <c r="E542" i="5"/>
  <c r="D542" i="5"/>
  <c r="B542" i="5"/>
  <c r="Q541" i="5"/>
  <c r="P541" i="5"/>
  <c r="O541" i="5"/>
  <c r="N541" i="5"/>
  <c r="K541" i="5"/>
  <c r="H541" i="5"/>
  <c r="G541" i="5" s="1"/>
  <c r="E541" i="5"/>
  <c r="D541" i="5"/>
  <c r="B541" i="5"/>
  <c r="Q540" i="5"/>
  <c r="P540" i="5"/>
  <c r="O540" i="5"/>
  <c r="N540" i="5"/>
  <c r="K540" i="5"/>
  <c r="H540" i="5"/>
  <c r="G540" i="5" s="1"/>
  <c r="E540" i="5"/>
  <c r="D540" i="5"/>
  <c r="B540" i="5"/>
  <c r="Q539" i="5"/>
  <c r="P539" i="5"/>
  <c r="O539" i="5"/>
  <c r="N539" i="5"/>
  <c r="K539" i="5"/>
  <c r="H539" i="5"/>
  <c r="J539" i="5" s="1"/>
  <c r="I539" i="5" s="1"/>
  <c r="E539" i="5"/>
  <c r="D539" i="5"/>
  <c r="B539" i="5"/>
  <c r="Q538" i="5"/>
  <c r="P538" i="5"/>
  <c r="O538" i="5"/>
  <c r="N538" i="5"/>
  <c r="K538" i="5"/>
  <c r="H538" i="5"/>
  <c r="J538" i="5" s="1"/>
  <c r="I538" i="5" s="1"/>
  <c r="E538" i="5"/>
  <c r="D538" i="5"/>
  <c r="B538" i="5"/>
  <c r="Q537" i="5"/>
  <c r="P537" i="5"/>
  <c r="O537" i="5"/>
  <c r="N537" i="5"/>
  <c r="K537" i="5"/>
  <c r="H537" i="5"/>
  <c r="E537" i="5"/>
  <c r="D537" i="5"/>
  <c r="B537" i="5"/>
  <c r="Q536" i="5"/>
  <c r="P536" i="5"/>
  <c r="O536" i="5"/>
  <c r="N536" i="5"/>
  <c r="K536" i="5"/>
  <c r="H536" i="5"/>
  <c r="J536" i="5" s="1"/>
  <c r="I536" i="5" s="1"/>
  <c r="E536" i="5"/>
  <c r="D536" i="5"/>
  <c r="B536" i="5"/>
  <c r="Q535" i="5"/>
  <c r="P535" i="5"/>
  <c r="O535" i="5"/>
  <c r="N535" i="5"/>
  <c r="K535" i="5"/>
  <c r="H535" i="5"/>
  <c r="J535" i="5" s="1"/>
  <c r="I535" i="5" s="1"/>
  <c r="E535" i="5"/>
  <c r="D535" i="5"/>
  <c r="B535" i="5"/>
  <c r="Q534" i="5"/>
  <c r="P534" i="5"/>
  <c r="O534" i="5"/>
  <c r="N534" i="5"/>
  <c r="K534" i="5"/>
  <c r="H534" i="5"/>
  <c r="E534" i="5"/>
  <c r="D534" i="5"/>
  <c r="B534" i="5"/>
  <c r="Q533" i="5"/>
  <c r="P533" i="5"/>
  <c r="O533" i="5"/>
  <c r="N533" i="5"/>
  <c r="K533" i="5"/>
  <c r="H533" i="5"/>
  <c r="G533" i="5" s="1"/>
  <c r="E533" i="5"/>
  <c r="D533" i="5"/>
  <c r="B533" i="5"/>
  <c r="Q532" i="5"/>
  <c r="P532" i="5"/>
  <c r="R532" i="5" s="1"/>
  <c r="O532" i="5"/>
  <c r="N532" i="5"/>
  <c r="K532" i="5"/>
  <c r="H532" i="5"/>
  <c r="E532" i="5"/>
  <c r="D532" i="5"/>
  <c r="B532" i="5"/>
  <c r="Q531" i="5"/>
  <c r="P531" i="5"/>
  <c r="O531" i="5"/>
  <c r="N531" i="5"/>
  <c r="K531" i="5"/>
  <c r="H531" i="5"/>
  <c r="G531" i="5" s="1"/>
  <c r="E531" i="5"/>
  <c r="D531" i="5"/>
  <c r="B531" i="5"/>
  <c r="Q530" i="5"/>
  <c r="P530" i="5"/>
  <c r="O530" i="5"/>
  <c r="N530" i="5"/>
  <c r="K530" i="5"/>
  <c r="H530" i="5"/>
  <c r="G530" i="5" s="1"/>
  <c r="E530" i="5"/>
  <c r="D530" i="5"/>
  <c r="B530" i="5"/>
  <c r="Q529" i="5"/>
  <c r="P529" i="5"/>
  <c r="O529" i="5"/>
  <c r="N529" i="5"/>
  <c r="K529" i="5"/>
  <c r="H529" i="5"/>
  <c r="J529" i="5" s="1"/>
  <c r="I529" i="5" s="1"/>
  <c r="G529" i="5"/>
  <c r="E529" i="5"/>
  <c r="D529" i="5"/>
  <c r="B529" i="5"/>
  <c r="Q528" i="5"/>
  <c r="P528" i="5"/>
  <c r="O528" i="5"/>
  <c r="N528" i="5"/>
  <c r="K528" i="5"/>
  <c r="H528" i="5"/>
  <c r="E528" i="5"/>
  <c r="D528" i="5"/>
  <c r="B528" i="5"/>
  <c r="Q527" i="5"/>
  <c r="P527" i="5"/>
  <c r="R527" i="5" s="1"/>
  <c r="O527" i="5"/>
  <c r="N527" i="5"/>
  <c r="K527" i="5"/>
  <c r="H527" i="5"/>
  <c r="J527" i="5" s="1"/>
  <c r="I527" i="5" s="1"/>
  <c r="E527" i="5"/>
  <c r="D527" i="5"/>
  <c r="B527" i="5"/>
  <c r="Q526" i="5"/>
  <c r="P526" i="5"/>
  <c r="O526" i="5"/>
  <c r="N526" i="5"/>
  <c r="K526" i="5"/>
  <c r="H526" i="5"/>
  <c r="J526" i="5" s="1"/>
  <c r="I526" i="5" s="1"/>
  <c r="E526" i="5"/>
  <c r="D526" i="5"/>
  <c r="B526" i="5"/>
  <c r="Q525" i="5"/>
  <c r="P525" i="5"/>
  <c r="O525" i="5"/>
  <c r="N525" i="5"/>
  <c r="K525" i="5"/>
  <c r="H525" i="5"/>
  <c r="E525" i="5"/>
  <c r="D525" i="5"/>
  <c r="B525" i="5"/>
  <c r="Q524" i="5"/>
  <c r="P524" i="5"/>
  <c r="R524" i="5" s="1"/>
  <c r="O524" i="5"/>
  <c r="N524" i="5"/>
  <c r="K524" i="5"/>
  <c r="H524" i="5"/>
  <c r="J524" i="5" s="1"/>
  <c r="I524" i="5" s="1"/>
  <c r="G524" i="5"/>
  <c r="E524" i="5"/>
  <c r="D524" i="5"/>
  <c r="B524" i="5"/>
  <c r="Q523" i="5"/>
  <c r="P523" i="5"/>
  <c r="O523" i="5"/>
  <c r="N523" i="5"/>
  <c r="K523" i="5"/>
  <c r="H523" i="5"/>
  <c r="J523" i="5" s="1"/>
  <c r="I523" i="5" s="1"/>
  <c r="E523" i="5"/>
  <c r="D523" i="5"/>
  <c r="B523" i="5"/>
  <c r="Q522" i="5"/>
  <c r="P522" i="5"/>
  <c r="O522" i="5"/>
  <c r="N522" i="5"/>
  <c r="K522" i="5"/>
  <c r="H522" i="5"/>
  <c r="J522" i="5" s="1"/>
  <c r="I522" i="5" s="1"/>
  <c r="E522" i="5"/>
  <c r="D522" i="5"/>
  <c r="B522" i="5"/>
  <c r="Q521" i="5"/>
  <c r="P521" i="5"/>
  <c r="O521" i="5"/>
  <c r="N521" i="5"/>
  <c r="K521" i="5"/>
  <c r="H521" i="5"/>
  <c r="E521" i="5"/>
  <c r="D521" i="5"/>
  <c r="B521" i="5"/>
  <c r="Q520" i="5"/>
  <c r="P520" i="5"/>
  <c r="O520" i="5"/>
  <c r="N520" i="5"/>
  <c r="K520" i="5"/>
  <c r="H520" i="5"/>
  <c r="G520" i="5" s="1"/>
  <c r="E520" i="5"/>
  <c r="D520" i="5"/>
  <c r="B520" i="5"/>
  <c r="Q519" i="5"/>
  <c r="P519" i="5"/>
  <c r="O519" i="5"/>
  <c r="N519" i="5"/>
  <c r="K519" i="5"/>
  <c r="H519" i="5"/>
  <c r="E519" i="5"/>
  <c r="D519" i="5"/>
  <c r="B519" i="5"/>
  <c r="Q518" i="5"/>
  <c r="P518" i="5"/>
  <c r="O518" i="5"/>
  <c r="N518" i="5"/>
  <c r="K518" i="5"/>
  <c r="H518" i="5"/>
  <c r="J518" i="5" s="1"/>
  <c r="I518" i="5" s="1"/>
  <c r="E518" i="5"/>
  <c r="D518" i="5"/>
  <c r="B518" i="5"/>
  <c r="Q517" i="5"/>
  <c r="P517" i="5"/>
  <c r="O517" i="5"/>
  <c r="N517" i="5"/>
  <c r="K517" i="5"/>
  <c r="H517" i="5"/>
  <c r="E517" i="5"/>
  <c r="D517" i="5"/>
  <c r="B517" i="5"/>
  <c r="Q516" i="5"/>
  <c r="P516" i="5"/>
  <c r="R516" i="5" s="1"/>
  <c r="O516" i="5"/>
  <c r="N516" i="5"/>
  <c r="K516" i="5"/>
  <c r="H516" i="5"/>
  <c r="J516" i="5" s="1"/>
  <c r="I516" i="5" s="1"/>
  <c r="G516" i="5"/>
  <c r="E516" i="5"/>
  <c r="D516" i="5"/>
  <c r="B516" i="5"/>
  <c r="Q515" i="5"/>
  <c r="P515" i="5"/>
  <c r="O515" i="5"/>
  <c r="N515" i="5"/>
  <c r="K515" i="5"/>
  <c r="H515" i="5"/>
  <c r="J515" i="5" s="1"/>
  <c r="I515" i="5" s="1"/>
  <c r="E515" i="5"/>
  <c r="D515" i="5"/>
  <c r="B515" i="5"/>
  <c r="Q514" i="5"/>
  <c r="P514" i="5"/>
  <c r="O514" i="5"/>
  <c r="N514" i="5"/>
  <c r="K514" i="5"/>
  <c r="H514" i="5"/>
  <c r="G514" i="5" s="1"/>
  <c r="E514" i="5"/>
  <c r="D514" i="5"/>
  <c r="B514" i="5"/>
  <c r="Q513" i="5"/>
  <c r="P513" i="5"/>
  <c r="O513" i="5"/>
  <c r="N513" i="5"/>
  <c r="K513" i="5"/>
  <c r="H513" i="5"/>
  <c r="J513" i="5" s="1"/>
  <c r="I513" i="5" s="1"/>
  <c r="E513" i="5"/>
  <c r="D513" i="5"/>
  <c r="B513" i="5"/>
  <c r="Q512" i="5"/>
  <c r="P512" i="5"/>
  <c r="O512" i="5"/>
  <c r="N512" i="5"/>
  <c r="K512" i="5"/>
  <c r="H512" i="5"/>
  <c r="G512" i="5" s="1"/>
  <c r="E512" i="5"/>
  <c r="D512" i="5"/>
  <c r="B512" i="5"/>
  <c r="Q511" i="5"/>
  <c r="P511" i="5"/>
  <c r="O511" i="5"/>
  <c r="N511" i="5"/>
  <c r="K511" i="5"/>
  <c r="H511" i="5"/>
  <c r="J511" i="5" s="1"/>
  <c r="I511" i="5" s="1"/>
  <c r="E511" i="5"/>
  <c r="D511" i="5"/>
  <c r="B511" i="5"/>
  <c r="Q510" i="5"/>
  <c r="P510" i="5"/>
  <c r="O510" i="5"/>
  <c r="N510" i="5"/>
  <c r="K510" i="5"/>
  <c r="H510" i="5"/>
  <c r="J510" i="5" s="1"/>
  <c r="I510" i="5" s="1"/>
  <c r="E510" i="5"/>
  <c r="D510" i="5"/>
  <c r="B510" i="5"/>
  <c r="Q509" i="5"/>
  <c r="P509" i="5"/>
  <c r="O509" i="5"/>
  <c r="N509" i="5"/>
  <c r="K509" i="5"/>
  <c r="H509" i="5"/>
  <c r="J509" i="5" s="1"/>
  <c r="I509" i="5" s="1"/>
  <c r="E509" i="5"/>
  <c r="D509" i="5"/>
  <c r="B509" i="5"/>
  <c r="Q508" i="5"/>
  <c r="P508" i="5"/>
  <c r="O508" i="5"/>
  <c r="N508" i="5"/>
  <c r="K508" i="5"/>
  <c r="H508" i="5"/>
  <c r="G508" i="5" s="1"/>
  <c r="E508" i="5"/>
  <c r="D508" i="5"/>
  <c r="B508" i="5"/>
  <c r="Q507" i="5"/>
  <c r="P507" i="5"/>
  <c r="O507" i="5"/>
  <c r="N507" i="5"/>
  <c r="K507" i="5"/>
  <c r="H507" i="5"/>
  <c r="E507" i="5"/>
  <c r="D507" i="5"/>
  <c r="B507" i="5"/>
  <c r="Q506" i="5"/>
  <c r="P506" i="5"/>
  <c r="O506" i="5"/>
  <c r="N506" i="5"/>
  <c r="K506" i="5"/>
  <c r="H506" i="5"/>
  <c r="J506" i="5" s="1"/>
  <c r="I506" i="5" s="1"/>
  <c r="G506" i="5"/>
  <c r="E506" i="5"/>
  <c r="D506" i="5"/>
  <c r="B506" i="5"/>
  <c r="Q505" i="5"/>
  <c r="P505" i="5"/>
  <c r="R505" i="5" s="1"/>
  <c r="O505" i="5"/>
  <c r="N505" i="5"/>
  <c r="K505" i="5"/>
  <c r="H505" i="5"/>
  <c r="E505" i="5"/>
  <c r="D505" i="5"/>
  <c r="B505" i="5"/>
  <c r="Q504" i="5"/>
  <c r="P504" i="5"/>
  <c r="O504" i="5"/>
  <c r="N504" i="5"/>
  <c r="K504" i="5"/>
  <c r="H504" i="5"/>
  <c r="E504" i="5"/>
  <c r="D504" i="5"/>
  <c r="B504" i="5"/>
  <c r="Q503" i="5"/>
  <c r="P503" i="5"/>
  <c r="O503" i="5"/>
  <c r="N503" i="5"/>
  <c r="K503" i="5"/>
  <c r="H503" i="5"/>
  <c r="J503" i="5" s="1"/>
  <c r="I503" i="5" s="1"/>
  <c r="E503" i="5"/>
  <c r="D503" i="5"/>
  <c r="B503" i="5"/>
  <c r="Q502" i="5"/>
  <c r="P502" i="5"/>
  <c r="R502" i="5" s="1"/>
  <c r="O502" i="5"/>
  <c r="N502" i="5"/>
  <c r="K502" i="5"/>
  <c r="H502" i="5"/>
  <c r="G502" i="5" s="1"/>
  <c r="E502" i="5"/>
  <c r="D502" i="5"/>
  <c r="B502" i="5"/>
  <c r="Q501" i="5"/>
  <c r="P501" i="5"/>
  <c r="O501" i="5"/>
  <c r="N501" i="5"/>
  <c r="K501" i="5"/>
  <c r="H501" i="5"/>
  <c r="J501" i="5" s="1"/>
  <c r="I501" i="5" s="1"/>
  <c r="E501" i="5"/>
  <c r="D501" i="5"/>
  <c r="B501" i="5"/>
  <c r="Q500" i="5"/>
  <c r="P500" i="5"/>
  <c r="R500" i="5" s="1"/>
  <c r="O500" i="5"/>
  <c r="N500" i="5"/>
  <c r="K500" i="5"/>
  <c r="H500" i="5"/>
  <c r="J500" i="5" s="1"/>
  <c r="I500" i="5" s="1"/>
  <c r="E500" i="5"/>
  <c r="D500" i="5"/>
  <c r="B500" i="5"/>
  <c r="Q499" i="5"/>
  <c r="P499" i="5"/>
  <c r="O499" i="5"/>
  <c r="N499" i="5"/>
  <c r="K499" i="5"/>
  <c r="H499" i="5"/>
  <c r="J499" i="5" s="1"/>
  <c r="I499" i="5" s="1"/>
  <c r="E499" i="5"/>
  <c r="D499" i="5"/>
  <c r="B499" i="5"/>
  <c r="Q498" i="5"/>
  <c r="P498" i="5"/>
  <c r="O498" i="5"/>
  <c r="N498" i="5"/>
  <c r="K498" i="5"/>
  <c r="H498" i="5"/>
  <c r="G498" i="5" s="1"/>
  <c r="E498" i="5"/>
  <c r="D498" i="5"/>
  <c r="B498" i="5"/>
  <c r="Q497" i="5"/>
  <c r="P497" i="5"/>
  <c r="O497" i="5"/>
  <c r="N497" i="5"/>
  <c r="K497" i="5"/>
  <c r="H497" i="5"/>
  <c r="J497" i="5" s="1"/>
  <c r="I497" i="5" s="1"/>
  <c r="G497" i="5"/>
  <c r="E497" i="5"/>
  <c r="D497" i="5"/>
  <c r="B497" i="5"/>
  <c r="Q496" i="5"/>
  <c r="P496" i="5"/>
  <c r="O496" i="5"/>
  <c r="N496" i="5"/>
  <c r="K496" i="5"/>
  <c r="H496" i="5"/>
  <c r="G496" i="5" s="1"/>
  <c r="E496" i="5"/>
  <c r="D496" i="5"/>
  <c r="B496" i="5"/>
  <c r="Q495" i="5"/>
  <c r="P495" i="5"/>
  <c r="O495" i="5"/>
  <c r="N495" i="5"/>
  <c r="K495" i="5"/>
  <c r="H495" i="5"/>
  <c r="J495" i="5" s="1"/>
  <c r="I495" i="5" s="1"/>
  <c r="E495" i="5"/>
  <c r="D495" i="5"/>
  <c r="B495" i="5"/>
  <c r="Q494" i="5"/>
  <c r="P494" i="5"/>
  <c r="O494" i="5"/>
  <c r="N494" i="5"/>
  <c r="K494" i="5"/>
  <c r="H494" i="5"/>
  <c r="J494" i="5" s="1"/>
  <c r="I494" i="5" s="1"/>
  <c r="E494" i="5"/>
  <c r="D494" i="5"/>
  <c r="B494" i="5"/>
  <c r="Q493" i="5"/>
  <c r="P493" i="5"/>
  <c r="O493" i="5"/>
  <c r="N493" i="5"/>
  <c r="K493" i="5"/>
  <c r="H493" i="5"/>
  <c r="J493" i="5" s="1"/>
  <c r="I493" i="5" s="1"/>
  <c r="E493" i="5"/>
  <c r="D493" i="5"/>
  <c r="B493" i="5"/>
  <c r="Q492" i="5"/>
  <c r="P492" i="5"/>
  <c r="O492" i="5"/>
  <c r="N492" i="5"/>
  <c r="K492" i="5"/>
  <c r="H492" i="5"/>
  <c r="J492" i="5" s="1"/>
  <c r="I492" i="5" s="1"/>
  <c r="E492" i="5"/>
  <c r="D492" i="5"/>
  <c r="B492" i="5"/>
  <c r="Q491" i="5"/>
  <c r="P491" i="5"/>
  <c r="O491" i="5"/>
  <c r="N491" i="5"/>
  <c r="K491" i="5"/>
  <c r="H491" i="5"/>
  <c r="E491" i="5"/>
  <c r="D491" i="5"/>
  <c r="B491" i="5"/>
  <c r="Q490" i="5"/>
  <c r="P490" i="5"/>
  <c r="O490" i="5"/>
  <c r="N490" i="5"/>
  <c r="K490" i="5"/>
  <c r="H490" i="5"/>
  <c r="J490" i="5" s="1"/>
  <c r="I490" i="5" s="1"/>
  <c r="E490" i="5"/>
  <c r="D490" i="5"/>
  <c r="B490" i="5"/>
  <c r="Q489" i="5"/>
  <c r="P489" i="5"/>
  <c r="O489" i="5"/>
  <c r="N489" i="5"/>
  <c r="K489" i="5"/>
  <c r="H489" i="5"/>
  <c r="G489" i="5" s="1"/>
  <c r="E489" i="5"/>
  <c r="D489" i="5"/>
  <c r="B489" i="5"/>
  <c r="Q488" i="5"/>
  <c r="P488" i="5"/>
  <c r="O488" i="5"/>
  <c r="N488" i="5"/>
  <c r="K488" i="5"/>
  <c r="H488" i="5"/>
  <c r="G488" i="5" s="1"/>
  <c r="E488" i="5"/>
  <c r="D488" i="5"/>
  <c r="B488" i="5"/>
  <c r="Q487" i="5"/>
  <c r="P487" i="5"/>
  <c r="O487" i="5"/>
  <c r="N487" i="5"/>
  <c r="K487" i="5"/>
  <c r="H487" i="5"/>
  <c r="J487" i="5" s="1"/>
  <c r="I487" i="5" s="1"/>
  <c r="E487" i="5"/>
  <c r="D487" i="5"/>
  <c r="B487" i="5"/>
  <c r="Q486" i="5"/>
  <c r="P486" i="5"/>
  <c r="O486" i="5"/>
  <c r="N486" i="5"/>
  <c r="K486" i="5"/>
  <c r="H486" i="5"/>
  <c r="G486" i="5" s="1"/>
  <c r="E486" i="5"/>
  <c r="D486" i="5"/>
  <c r="B486" i="5"/>
  <c r="Q485" i="5"/>
  <c r="P485" i="5"/>
  <c r="O485" i="5"/>
  <c r="N485" i="5"/>
  <c r="K485" i="5"/>
  <c r="H485" i="5"/>
  <c r="J485" i="5" s="1"/>
  <c r="I485" i="5" s="1"/>
  <c r="E485" i="5"/>
  <c r="D485" i="5"/>
  <c r="B485" i="5"/>
  <c r="Q484" i="5"/>
  <c r="P484" i="5"/>
  <c r="O484" i="5"/>
  <c r="N484" i="5"/>
  <c r="K484" i="5"/>
  <c r="H484" i="5"/>
  <c r="G484" i="5" s="1"/>
  <c r="E484" i="5"/>
  <c r="D484" i="5"/>
  <c r="B484" i="5"/>
  <c r="Q483" i="5"/>
  <c r="P483" i="5"/>
  <c r="O483" i="5"/>
  <c r="N483" i="5"/>
  <c r="K483" i="5"/>
  <c r="H483" i="5"/>
  <c r="J483" i="5" s="1"/>
  <c r="I483" i="5" s="1"/>
  <c r="E483" i="5"/>
  <c r="D483" i="5"/>
  <c r="B483" i="5"/>
  <c r="Q482" i="5"/>
  <c r="P482" i="5"/>
  <c r="O482" i="5"/>
  <c r="N482" i="5"/>
  <c r="K482" i="5"/>
  <c r="H482" i="5"/>
  <c r="G482" i="5" s="1"/>
  <c r="E482" i="5"/>
  <c r="D482" i="5"/>
  <c r="B482" i="5"/>
  <c r="Q481" i="5"/>
  <c r="P481" i="5"/>
  <c r="O481" i="5"/>
  <c r="N481" i="5"/>
  <c r="K481" i="5"/>
  <c r="H481" i="5"/>
  <c r="E481" i="5"/>
  <c r="D481" i="5"/>
  <c r="B481" i="5"/>
  <c r="Q480" i="5"/>
  <c r="P480" i="5"/>
  <c r="R480" i="5" s="1"/>
  <c r="O480" i="5"/>
  <c r="N480" i="5"/>
  <c r="K480" i="5"/>
  <c r="H480" i="5"/>
  <c r="J480" i="5" s="1"/>
  <c r="I480" i="5" s="1"/>
  <c r="E480" i="5"/>
  <c r="D480" i="5"/>
  <c r="B480" i="5"/>
  <c r="Q479" i="5"/>
  <c r="P479" i="5"/>
  <c r="O479" i="5"/>
  <c r="N479" i="5"/>
  <c r="K479" i="5"/>
  <c r="H479" i="5"/>
  <c r="J479" i="5" s="1"/>
  <c r="I479" i="5" s="1"/>
  <c r="E479" i="5"/>
  <c r="D479" i="5"/>
  <c r="B479" i="5"/>
  <c r="Q478" i="5"/>
  <c r="P478" i="5"/>
  <c r="O478" i="5"/>
  <c r="N478" i="5"/>
  <c r="K478" i="5"/>
  <c r="H478" i="5"/>
  <c r="J478" i="5" s="1"/>
  <c r="I478" i="5" s="1"/>
  <c r="E478" i="5"/>
  <c r="D478" i="5"/>
  <c r="B478" i="5"/>
  <c r="Q477" i="5"/>
  <c r="P477" i="5"/>
  <c r="O477" i="5"/>
  <c r="N477" i="5"/>
  <c r="K477" i="5"/>
  <c r="H477" i="5"/>
  <c r="G477" i="5" s="1"/>
  <c r="E477" i="5"/>
  <c r="D477" i="5"/>
  <c r="B477" i="5"/>
  <c r="Q476" i="5"/>
  <c r="P476" i="5"/>
  <c r="R476" i="5" s="1"/>
  <c r="O476" i="5"/>
  <c r="N476" i="5"/>
  <c r="K476" i="5"/>
  <c r="H476" i="5"/>
  <c r="J476" i="5" s="1"/>
  <c r="I476" i="5" s="1"/>
  <c r="E476" i="5"/>
  <c r="D476" i="5"/>
  <c r="B476" i="5"/>
  <c r="Q475" i="5"/>
  <c r="P475" i="5"/>
  <c r="O475" i="5"/>
  <c r="N475" i="5"/>
  <c r="K475" i="5"/>
  <c r="H475" i="5"/>
  <c r="G475" i="5" s="1"/>
  <c r="E475" i="5"/>
  <c r="D475" i="5"/>
  <c r="B475" i="5"/>
  <c r="Q474" i="5"/>
  <c r="P474" i="5"/>
  <c r="O474" i="5"/>
  <c r="N474" i="5"/>
  <c r="K474" i="5"/>
  <c r="H474" i="5"/>
  <c r="J474" i="5" s="1"/>
  <c r="I474" i="5" s="1"/>
  <c r="E474" i="5"/>
  <c r="D474" i="5"/>
  <c r="B474" i="5"/>
  <c r="Q473" i="5"/>
  <c r="P473" i="5"/>
  <c r="O473" i="5"/>
  <c r="N473" i="5"/>
  <c r="K473" i="5"/>
  <c r="H473" i="5"/>
  <c r="E473" i="5"/>
  <c r="D473" i="5"/>
  <c r="B473" i="5"/>
  <c r="Q472" i="5"/>
  <c r="P472" i="5"/>
  <c r="O472" i="5"/>
  <c r="N472" i="5"/>
  <c r="K472" i="5"/>
  <c r="H472" i="5"/>
  <c r="G472" i="5" s="1"/>
  <c r="E472" i="5"/>
  <c r="D472" i="5"/>
  <c r="B472" i="5"/>
  <c r="Q471" i="5"/>
  <c r="P471" i="5"/>
  <c r="O471" i="5"/>
  <c r="N471" i="5"/>
  <c r="K471" i="5"/>
  <c r="H471" i="5"/>
  <c r="G471" i="5" s="1"/>
  <c r="E471" i="5"/>
  <c r="D471" i="5"/>
  <c r="B471" i="5"/>
  <c r="Q470" i="5"/>
  <c r="P470" i="5"/>
  <c r="O470" i="5"/>
  <c r="N470" i="5"/>
  <c r="K470" i="5"/>
  <c r="H470" i="5"/>
  <c r="G470" i="5" s="1"/>
  <c r="E470" i="5"/>
  <c r="D470" i="5"/>
  <c r="B470" i="5"/>
  <c r="Q469" i="5"/>
  <c r="P469" i="5"/>
  <c r="O469" i="5"/>
  <c r="N469" i="5"/>
  <c r="K469" i="5"/>
  <c r="H469" i="5"/>
  <c r="E469" i="5"/>
  <c r="D469" i="5"/>
  <c r="B469" i="5"/>
  <c r="Q468" i="5"/>
  <c r="P468" i="5"/>
  <c r="O468" i="5"/>
  <c r="N468" i="5"/>
  <c r="K468" i="5"/>
  <c r="H468" i="5"/>
  <c r="G468" i="5" s="1"/>
  <c r="E468" i="5"/>
  <c r="D468" i="5"/>
  <c r="B468" i="5"/>
  <c r="Q467" i="5"/>
  <c r="P467" i="5"/>
  <c r="O467" i="5"/>
  <c r="N467" i="5"/>
  <c r="K467" i="5"/>
  <c r="H467" i="5"/>
  <c r="J467" i="5" s="1"/>
  <c r="I467" i="5" s="1"/>
  <c r="E467" i="5"/>
  <c r="D467" i="5"/>
  <c r="B467" i="5"/>
  <c r="Q466" i="5"/>
  <c r="P466" i="5"/>
  <c r="O466" i="5"/>
  <c r="N466" i="5"/>
  <c r="K466" i="5"/>
  <c r="H466" i="5"/>
  <c r="G466" i="5" s="1"/>
  <c r="E466" i="5"/>
  <c r="D466" i="5"/>
  <c r="B466" i="5"/>
  <c r="Q465" i="5"/>
  <c r="P465" i="5"/>
  <c r="O465" i="5"/>
  <c r="N465" i="5"/>
  <c r="K465" i="5"/>
  <c r="H465" i="5"/>
  <c r="J465" i="5" s="1"/>
  <c r="I465" i="5" s="1"/>
  <c r="E465" i="5"/>
  <c r="D465" i="5"/>
  <c r="B465" i="5"/>
  <c r="Q464" i="5"/>
  <c r="P464" i="5"/>
  <c r="R464" i="5" s="1"/>
  <c r="O464" i="5"/>
  <c r="N464" i="5"/>
  <c r="K464" i="5"/>
  <c r="H464" i="5"/>
  <c r="J464" i="5" s="1"/>
  <c r="I464" i="5" s="1"/>
  <c r="E464" i="5"/>
  <c r="D464" i="5"/>
  <c r="B464" i="5"/>
  <c r="Q463" i="5"/>
  <c r="P463" i="5"/>
  <c r="O463" i="5"/>
  <c r="N463" i="5"/>
  <c r="K463" i="5"/>
  <c r="H463" i="5"/>
  <c r="J463" i="5" s="1"/>
  <c r="I463" i="5" s="1"/>
  <c r="E463" i="5"/>
  <c r="D463" i="5"/>
  <c r="B463" i="5"/>
  <c r="Q462" i="5"/>
  <c r="P462" i="5"/>
  <c r="O462" i="5"/>
  <c r="N462" i="5"/>
  <c r="K462" i="5"/>
  <c r="H462" i="5"/>
  <c r="E462" i="5"/>
  <c r="D462" i="5"/>
  <c r="B462" i="5"/>
  <c r="Q461" i="5"/>
  <c r="P461" i="5"/>
  <c r="O461" i="5"/>
  <c r="N461" i="5"/>
  <c r="K461" i="5"/>
  <c r="H461" i="5"/>
  <c r="G461" i="5" s="1"/>
  <c r="E461" i="5"/>
  <c r="D461" i="5"/>
  <c r="B461" i="5"/>
  <c r="Q460" i="5"/>
  <c r="P460" i="5"/>
  <c r="R460" i="5" s="1"/>
  <c r="O460" i="5"/>
  <c r="N460" i="5"/>
  <c r="K460" i="5"/>
  <c r="H460" i="5"/>
  <c r="J460" i="5" s="1"/>
  <c r="I460" i="5" s="1"/>
  <c r="E460" i="5"/>
  <c r="D460" i="5"/>
  <c r="B460" i="5"/>
  <c r="Q459" i="5"/>
  <c r="P459" i="5"/>
  <c r="O459" i="5"/>
  <c r="N459" i="5"/>
  <c r="K459" i="5"/>
  <c r="H459" i="5"/>
  <c r="J459" i="5" s="1"/>
  <c r="I459" i="5" s="1"/>
  <c r="E459" i="5"/>
  <c r="D459" i="5"/>
  <c r="B459" i="5"/>
  <c r="Q458" i="5"/>
  <c r="P458" i="5"/>
  <c r="O458" i="5"/>
  <c r="N458" i="5"/>
  <c r="K458" i="5"/>
  <c r="H458" i="5"/>
  <c r="J458" i="5" s="1"/>
  <c r="I458" i="5" s="1"/>
  <c r="E458" i="5"/>
  <c r="D458" i="5"/>
  <c r="B458" i="5"/>
  <c r="Q457" i="5"/>
  <c r="P457" i="5"/>
  <c r="O457" i="5"/>
  <c r="N457" i="5"/>
  <c r="K457" i="5"/>
  <c r="H457" i="5"/>
  <c r="G457" i="5" s="1"/>
  <c r="E457" i="5"/>
  <c r="D457" i="5"/>
  <c r="B457" i="5"/>
  <c r="Q456" i="5"/>
  <c r="P456" i="5"/>
  <c r="O456" i="5"/>
  <c r="N456" i="5"/>
  <c r="K456" i="5"/>
  <c r="H456" i="5"/>
  <c r="G456" i="5" s="1"/>
  <c r="E456" i="5"/>
  <c r="D456" i="5"/>
  <c r="B456" i="5"/>
  <c r="Q455" i="5"/>
  <c r="P455" i="5"/>
  <c r="O455" i="5"/>
  <c r="N455" i="5"/>
  <c r="K455" i="5"/>
  <c r="H455" i="5"/>
  <c r="J455" i="5" s="1"/>
  <c r="I455" i="5" s="1"/>
  <c r="E455" i="5"/>
  <c r="D455" i="5"/>
  <c r="B455" i="5"/>
  <c r="Q454" i="5"/>
  <c r="P454" i="5"/>
  <c r="O454" i="5"/>
  <c r="N454" i="5"/>
  <c r="K454" i="5"/>
  <c r="H454" i="5"/>
  <c r="J454" i="5" s="1"/>
  <c r="I454" i="5" s="1"/>
  <c r="E454" i="5"/>
  <c r="D454" i="5"/>
  <c r="B454" i="5"/>
  <c r="Q453" i="5"/>
  <c r="P453" i="5"/>
  <c r="O453" i="5"/>
  <c r="N453" i="5"/>
  <c r="K453" i="5"/>
  <c r="H453" i="5"/>
  <c r="J453" i="5" s="1"/>
  <c r="I453" i="5" s="1"/>
  <c r="E453" i="5"/>
  <c r="D453" i="5"/>
  <c r="B453" i="5"/>
  <c r="Q452" i="5"/>
  <c r="P452" i="5"/>
  <c r="O452" i="5"/>
  <c r="N452" i="5"/>
  <c r="K452" i="5"/>
  <c r="H452" i="5"/>
  <c r="J452" i="5" s="1"/>
  <c r="I452" i="5" s="1"/>
  <c r="E452" i="5"/>
  <c r="D452" i="5"/>
  <c r="B452" i="5"/>
  <c r="Q451" i="5"/>
  <c r="P451" i="5"/>
  <c r="O451" i="5"/>
  <c r="N451" i="5"/>
  <c r="K451" i="5"/>
  <c r="H451" i="5"/>
  <c r="E451" i="5"/>
  <c r="D451" i="5"/>
  <c r="B451" i="5"/>
  <c r="Q450" i="5"/>
  <c r="P450" i="5"/>
  <c r="O450" i="5"/>
  <c r="N450" i="5"/>
  <c r="K450" i="5"/>
  <c r="H450" i="5"/>
  <c r="G450" i="5" s="1"/>
  <c r="E450" i="5"/>
  <c r="D450" i="5"/>
  <c r="B450" i="5"/>
  <c r="Q449" i="5"/>
  <c r="P449" i="5"/>
  <c r="O449" i="5"/>
  <c r="N449" i="5"/>
  <c r="K449" i="5"/>
  <c r="H449" i="5"/>
  <c r="G449" i="5" s="1"/>
  <c r="E449" i="5"/>
  <c r="D449" i="5"/>
  <c r="B449" i="5"/>
  <c r="Q448" i="5"/>
  <c r="P448" i="5"/>
  <c r="O448" i="5"/>
  <c r="N448" i="5"/>
  <c r="K448" i="5"/>
  <c r="H448" i="5"/>
  <c r="G448" i="5" s="1"/>
  <c r="E448" i="5"/>
  <c r="D448" i="5"/>
  <c r="B448" i="5"/>
  <c r="Q447" i="5"/>
  <c r="P447" i="5"/>
  <c r="O447" i="5"/>
  <c r="N447" i="5"/>
  <c r="K447" i="5"/>
  <c r="H447" i="5"/>
  <c r="J447" i="5" s="1"/>
  <c r="I447" i="5" s="1"/>
  <c r="E447" i="5"/>
  <c r="D447" i="5"/>
  <c r="B447" i="5"/>
  <c r="Q446" i="5"/>
  <c r="P446" i="5"/>
  <c r="O446" i="5"/>
  <c r="N446" i="5"/>
  <c r="K446" i="5"/>
  <c r="H446" i="5"/>
  <c r="G446" i="5" s="1"/>
  <c r="E446" i="5"/>
  <c r="D446" i="5"/>
  <c r="B446" i="5"/>
  <c r="Q445" i="5"/>
  <c r="P445" i="5"/>
  <c r="O445" i="5"/>
  <c r="N445" i="5"/>
  <c r="K445" i="5"/>
  <c r="H445" i="5"/>
  <c r="G445" i="5" s="1"/>
  <c r="E445" i="5"/>
  <c r="D445" i="5"/>
  <c r="B445" i="5"/>
  <c r="Q444" i="5"/>
  <c r="P444" i="5"/>
  <c r="O444" i="5"/>
  <c r="N444" i="5"/>
  <c r="K444" i="5"/>
  <c r="H444" i="5"/>
  <c r="J444" i="5" s="1"/>
  <c r="I444" i="5" s="1"/>
  <c r="E444" i="5"/>
  <c r="D444" i="5"/>
  <c r="B444" i="5"/>
  <c r="Q443" i="5"/>
  <c r="P443" i="5"/>
  <c r="O443" i="5"/>
  <c r="N443" i="5"/>
  <c r="K443" i="5"/>
  <c r="H443" i="5"/>
  <c r="J443" i="5" s="1"/>
  <c r="I443" i="5" s="1"/>
  <c r="E443" i="5"/>
  <c r="D443" i="5"/>
  <c r="B443" i="5"/>
  <c r="Q442" i="5"/>
  <c r="P442" i="5"/>
  <c r="O442" i="5"/>
  <c r="N442" i="5"/>
  <c r="K442" i="5"/>
  <c r="H442" i="5"/>
  <c r="E442" i="5"/>
  <c r="D442" i="5"/>
  <c r="B442" i="5"/>
  <c r="Q441" i="5"/>
  <c r="P441" i="5"/>
  <c r="O441" i="5"/>
  <c r="N441" i="5"/>
  <c r="K441" i="5"/>
  <c r="H441" i="5"/>
  <c r="E441" i="5"/>
  <c r="D441" i="5"/>
  <c r="B441" i="5"/>
  <c r="Q440" i="5"/>
  <c r="P440" i="5"/>
  <c r="O440" i="5"/>
  <c r="N440" i="5"/>
  <c r="K440" i="5"/>
  <c r="H440" i="5"/>
  <c r="G440" i="5" s="1"/>
  <c r="E440" i="5"/>
  <c r="D440" i="5"/>
  <c r="B440" i="5"/>
  <c r="Q439" i="5"/>
  <c r="P439" i="5"/>
  <c r="O439" i="5"/>
  <c r="N439" i="5"/>
  <c r="K439" i="5"/>
  <c r="H439" i="5"/>
  <c r="G439" i="5" s="1"/>
  <c r="E439" i="5"/>
  <c r="D439" i="5"/>
  <c r="B439" i="5"/>
  <c r="Q438" i="5"/>
  <c r="P438" i="5"/>
  <c r="R438" i="5" s="1"/>
  <c r="O438" i="5"/>
  <c r="N438" i="5"/>
  <c r="K438" i="5"/>
  <c r="H438" i="5"/>
  <c r="J438" i="5" s="1"/>
  <c r="I438" i="5" s="1"/>
  <c r="E438" i="5"/>
  <c r="D438" i="5"/>
  <c r="B438" i="5"/>
  <c r="Q437" i="5"/>
  <c r="P437" i="5"/>
  <c r="O437" i="5"/>
  <c r="N437" i="5"/>
  <c r="K437" i="5"/>
  <c r="H437" i="5"/>
  <c r="J437" i="5" s="1"/>
  <c r="I437" i="5" s="1"/>
  <c r="E437" i="5"/>
  <c r="D437" i="5"/>
  <c r="B437" i="5"/>
  <c r="Q436" i="5"/>
  <c r="P436" i="5"/>
  <c r="O436" i="5"/>
  <c r="N436" i="5"/>
  <c r="K436" i="5"/>
  <c r="H436" i="5"/>
  <c r="G436" i="5" s="1"/>
  <c r="E436" i="5"/>
  <c r="D436" i="5"/>
  <c r="B436" i="5"/>
  <c r="Q435" i="5"/>
  <c r="P435" i="5"/>
  <c r="O435" i="5"/>
  <c r="N435" i="5"/>
  <c r="K435" i="5"/>
  <c r="H435" i="5"/>
  <c r="J435" i="5" s="1"/>
  <c r="I435" i="5" s="1"/>
  <c r="G435" i="5"/>
  <c r="E435" i="5"/>
  <c r="D435" i="5"/>
  <c r="B435" i="5"/>
  <c r="Q434" i="5"/>
  <c r="P434" i="5"/>
  <c r="O434" i="5"/>
  <c r="N434" i="5"/>
  <c r="K434" i="5"/>
  <c r="H434" i="5"/>
  <c r="E434" i="5"/>
  <c r="D434" i="5"/>
  <c r="B434" i="5"/>
  <c r="Q433" i="5"/>
  <c r="P433" i="5"/>
  <c r="O433" i="5"/>
  <c r="N433" i="5"/>
  <c r="K433" i="5"/>
  <c r="H433" i="5"/>
  <c r="J433" i="5" s="1"/>
  <c r="I433" i="5" s="1"/>
  <c r="E433" i="5"/>
  <c r="D433" i="5"/>
  <c r="B433" i="5"/>
  <c r="Q432" i="5"/>
  <c r="P432" i="5"/>
  <c r="O432" i="5"/>
  <c r="N432" i="5"/>
  <c r="K432" i="5"/>
  <c r="H432" i="5"/>
  <c r="J432" i="5" s="1"/>
  <c r="I432" i="5" s="1"/>
  <c r="E432" i="5"/>
  <c r="D432" i="5"/>
  <c r="B432" i="5"/>
  <c r="Q431" i="5"/>
  <c r="P431" i="5"/>
  <c r="O431" i="5"/>
  <c r="N431" i="5"/>
  <c r="K431" i="5"/>
  <c r="H431" i="5"/>
  <c r="J431" i="5" s="1"/>
  <c r="I431" i="5" s="1"/>
  <c r="E431" i="5"/>
  <c r="D431" i="5"/>
  <c r="B431" i="5"/>
  <c r="Q430" i="5"/>
  <c r="P430" i="5"/>
  <c r="O430" i="5"/>
  <c r="N430" i="5"/>
  <c r="K430" i="5"/>
  <c r="H430" i="5"/>
  <c r="G430" i="5" s="1"/>
  <c r="E430" i="5"/>
  <c r="D430" i="5"/>
  <c r="B430" i="5"/>
  <c r="Q429" i="5"/>
  <c r="P429" i="5"/>
  <c r="O429" i="5"/>
  <c r="N429" i="5"/>
  <c r="K429" i="5"/>
  <c r="H429" i="5"/>
  <c r="G429" i="5" s="1"/>
  <c r="E429" i="5"/>
  <c r="D429" i="5"/>
  <c r="B429" i="5"/>
  <c r="Q428" i="5"/>
  <c r="P428" i="5"/>
  <c r="O428" i="5"/>
  <c r="N428" i="5"/>
  <c r="K428" i="5"/>
  <c r="H428" i="5"/>
  <c r="J428" i="5" s="1"/>
  <c r="I428" i="5" s="1"/>
  <c r="E428" i="5"/>
  <c r="D428" i="5"/>
  <c r="B428" i="5"/>
  <c r="Q427" i="5"/>
  <c r="P427" i="5"/>
  <c r="O427" i="5"/>
  <c r="N427" i="5"/>
  <c r="K427" i="5"/>
  <c r="H427" i="5"/>
  <c r="J427" i="5" s="1"/>
  <c r="I427" i="5" s="1"/>
  <c r="E427" i="5"/>
  <c r="D427" i="5"/>
  <c r="B427" i="5"/>
  <c r="Q426" i="5"/>
  <c r="P426" i="5"/>
  <c r="O426" i="5"/>
  <c r="N426" i="5"/>
  <c r="K426" i="5"/>
  <c r="H426" i="5"/>
  <c r="J426" i="5" s="1"/>
  <c r="I426" i="5" s="1"/>
  <c r="E426" i="5"/>
  <c r="D426" i="5"/>
  <c r="B426" i="5"/>
  <c r="Q425" i="5"/>
  <c r="P425" i="5"/>
  <c r="O425" i="5"/>
  <c r="N425" i="5"/>
  <c r="K425" i="5"/>
  <c r="H425" i="5"/>
  <c r="G425" i="5" s="1"/>
  <c r="E425" i="5"/>
  <c r="D425" i="5"/>
  <c r="B425" i="5"/>
  <c r="Q424" i="5"/>
  <c r="P424" i="5"/>
  <c r="O424" i="5"/>
  <c r="N424" i="5"/>
  <c r="K424" i="5"/>
  <c r="H424" i="5"/>
  <c r="E424" i="5"/>
  <c r="D424" i="5"/>
  <c r="B424" i="5"/>
  <c r="Q423" i="5"/>
  <c r="P423" i="5"/>
  <c r="O423" i="5"/>
  <c r="N423" i="5"/>
  <c r="K423" i="5"/>
  <c r="H423" i="5"/>
  <c r="J423" i="5" s="1"/>
  <c r="I423" i="5" s="1"/>
  <c r="E423" i="5"/>
  <c r="D423" i="5"/>
  <c r="B423" i="5"/>
  <c r="Q422" i="5"/>
  <c r="P422" i="5"/>
  <c r="O422" i="5"/>
  <c r="N422" i="5"/>
  <c r="K422" i="5"/>
  <c r="H422" i="5"/>
  <c r="G422" i="5" s="1"/>
  <c r="E422" i="5"/>
  <c r="D422" i="5"/>
  <c r="B422" i="5"/>
  <c r="Q421" i="5"/>
  <c r="P421" i="5"/>
  <c r="O421" i="5"/>
  <c r="N421" i="5"/>
  <c r="K421" i="5"/>
  <c r="H421" i="5"/>
  <c r="J421" i="5" s="1"/>
  <c r="I421" i="5" s="1"/>
  <c r="E421" i="5"/>
  <c r="D421" i="5"/>
  <c r="B421" i="5"/>
  <c r="Q420" i="5"/>
  <c r="P420" i="5"/>
  <c r="O420" i="5"/>
  <c r="N420" i="5"/>
  <c r="K420" i="5"/>
  <c r="H420" i="5"/>
  <c r="G420" i="5" s="1"/>
  <c r="E420" i="5"/>
  <c r="D420" i="5"/>
  <c r="B420" i="5"/>
  <c r="Q419" i="5"/>
  <c r="P419" i="5"/>
  <c r="O419" i="5"/>
  <c r="N419" i="5"/>
  <c r="K419" i="5"/>
  <c r="H419" i="5"/>
  <c r="J419" i="5" s="1"/>
  <c r="I419" i="5" s="1"/>
  <c r="E419" i="5"/>
  <c r="D419" i="5"/>
  <c r="B419" i="5"/>
  <c r="Q418" i="5"/>
  <c r="P418" i="5"/>
  <c r="O418" i="5"/>
  <c r="N418" i="5"/>
  <c r="K418" i="5"/>
  <c r="H418" i="5"/>
  <c r="E418" i="5"/>
  <c r="D418" i="5"/>
  <c r="B418" i="5"/>
  <c r="Q417" i="5"/>
  <c r="P417" i="5"/>
  <c r="O417" i="5"/>
  <c r="N417" i="5"/>
  <c r="K417" i="5"/>
  <c r="H417" i="5"/>
  <c r="E417" i="5"/>
  <c r="D417" i="5"/>
  <c r="B417" i="5"/>
  <c r="Q416" i="5"/>
  <c r="P416" i="5"/>
  <c r="O416" i="5"/>
  <c r="N416" i="5"/>
  <c r="K416" i="5"/>
  <c r="H416" i="5"/>
  <c r="J416" i="5" s="1"/>
  <c r="I416" i="5" s="1"/>
  <c r="E416" i="5"/>
  <c r="D416" i="5"/>
  <c r="B416" i="5"/>
  <c r="Q415" i="5"/>
  <c r="P415" i="5"/>
  <c r="R415" i="5" s="1"/>
  <c r="O415" i="5"/>
  <c r="N415" i="5"/>
  <c r="K415" i="5"/>
  <c r="H415" i="5"/>
  <c r="E415" i="5"/>
  <c r="D415" i="5"/>
  <c r="B415" i="5"/>
  <c r="Q414" i="5"/>
  <c r="P414" i="5"/>
  <c r="O414" i="5"/>
  <c r="N414" i="5"/>
  <c r="K414" i="5"/>
  <c r="H414" i="5"/>
  <c r="E414" i="5"/>
  <c r="D414" i="5"/>
  <c r="B414" i="5"/>
  <c r="Q413" i="5"/>
  <c r="P413" i="5"/>
  <c r="O413" i="5"/>
  <c r="N413" i="5"/>
  <c r="K413" i="5"/>
  <c r="H413" i="5"/>
  <c r="E413" i="5"/>
  <c r="D413" i="5"/>
  <c r="B413" i="5"/>
  <c r="Q412" i="5"/>
  <c r="P412" i="5"/>
  <c r="O412" i="5"/>
  <c r="N412" i="5"/>
  <c r="K412" i="5"/>
  <c r="H412" i="5"/>
  <c r="J412" i="5" s="1"/>
  <c r="I412" i="5" s="1"/>
  <c r="E412" i="5"/>
  <c r="D412" i="5"/>
  <c r="B412" i="5"/>
  <c r="Q411" i="5"/>
  <c r="P411" i="5"/>
  <c r="O411" i="5"/>
  <c r="N411" i="5"/>
  <c r="K411" i="5"/>
  <c r="H411" i="5"/>
  <c r="E411" i="5"/>
  <c r="D411" i="5"/>
  <c r="B411" i="5"/>
  <c r="Q410" i="5"/>
  <c r="P410" i="5"/>
  <c r="O410" i="5"/>
  <c r="N410" i="5"/>
  <c r="K410" i="5"/>
  <c r="H410" i="5"/>
  <c r="E410" i="5"/>
  <c r="D410" i="5"/>
  <c r="B410" i="5"/>
  <c r="Q409" i="5"/>
  <c r="P409" i="5"/>
  <c r="O409" i="5"/>
  <c r="N409" i="5"/>
  <c r="K409" i="5"/>
  <c r="H409" i="5"/>
  <c r="G409" i="5" s="1"/>
  <c r="E409" i="5"/>
  <c r="D409" i="5"/>
  <c r="B409" i="5"/>
  <c r="Q408" i="5"/>
  <c r="P408" i="5"/>
  <c r="O408" i="5"/>
  <c r="N408" i="5"/>
  <c r="K408" i="5"/>
  <c r="H408" i="5"/>
  <c r="E408" i="5"/>
  <c r="D408" i="5"/>
  <c r="B408" i="5"/>
  <c r="Q407" i="5"/>
  <c r="P407" i="5"/>
  <c r="O407" i="5"/>
  <c r="N407" i="5"/>
  <c r="K407" i="5"/>
  <c r="H407" i="5"/>
  <c r="J407" i="5" s="1"/>
  <c r="I407" i="5" s="1"/>
  <c r="E407" i="5"/>
  <c r="D407" i="5"/>
  <c r="B407" i="5"/>
  <c r="Q406" i="5"/>
  <c r="P406" i="5"/>
  <c r="O406" i="5"/>
  <c r="N406" i="5"/>
  <c r="K406" i="5"/>
  <c r="H406" i="5"/>
  <c r="G406" i="5" s="1"/>
  <c r="E406" i="5"/>
  <c r="D406" i="5"/>
  <c r="B406" i="5"/>
  <c r="Q405" i="5"/>
  <c r="P405" i="5"/>
  <c r="O405" i="5"/>
  <c r="N405" i="5"/>
  <c r="K405" i="5"/>
  <c r="H405" i="5"/>
  <c r="G405" i="5" s="1"/>
  <c r="E405" i="5"/>
  <c r="D405" i="5"/>
  <c r="B405" i="5"/>
  <c r="Q404" i="5"/>
  <c r="P404" i="5"/>
  <c r="O404" i="5"/>
  <c r="N404" i="5"/>
  <c r="K404" i="5"/>
  <c r="H404" i="5"/>
  <c r="G404" i="5" s="1"/>
  <c r="E404" i="5"/>
  <c r="D404" i="5"/>
  <c r="B404" i="5"/>
  <c r="Q403" i="5"/>
  <c r="P403" i="5"/>
  <c r="O403" i="5"/>
  <c r="N403" i="5"/>
  <c r="K403" i="5"/>
  <c r="H403" i="5"/>
  <c r="J403" i="5" s="1"/>
  <c r="I403" i="5" s="1"/>
  <c r="E403" i="5"/>
  <c r="D403" i="5"/>
  <c r="B403" i="5"/>
  <c r="Q402" i="5"/>
  <c r="P402" i="5"/>
  <c r="O402" i="5"/>
  <c r="N402" i="5"/>
  <c r="K402" i="5"/>
  <c r="H402" i="5"/>
  <c r="G402" i="5" s="1"/>
  <c r="E402" i="5"/>
  <c r="D402" i="5"/>
  <c r="B402" i="5"/>
  <c r="Q401" i="5"/>
  <c r="P401" i="5"/>
  <c r="O401" i="5"/>
  <c r="N401" i="5"/>
  <c r="K401" i="5"/>
  <c r="H401" i="5"/>
  <c r="J401" i="5" s="1"/>
  <c r="I401" i="5" s="1"/>
  <c r="E401" i="5"/>
  <c r="D401" i="5"/>
  <c r="B401" i="5"/>
  <c r="Q400" i="5"/>
  <c r="P400" i="5"/>
  <c r="O400" i="5"/>
  <c r="N400" i="5"/>
  <c r="K400" i="5"/>
  <c r="H400" i="5"/>
  <c r="J400" i="5" s="1"/>
  <c r="I400" i="5" s="1"/>
  <c r="E400" i="5"/>
  <c r="D400" i="5"/>
  <c r="B400" i="5"/>
  <c r="Q399" i="5"/>
  <c r="P399" i="5"/>
  <c r="R399" i="5" s="1"/>
  <c r="O399" i="5"/>
  <c r="N399" i="5"/>
  <c r="K399" i="5"/>
  <c r="H399" i="5"/>
  <c r="E399" i="5"/>
  <c r="D399" i="5"/>
  <c r="B399" i="5"/>
  <c r="Q398" i="5"/>
  <c r="P398" i="5"/>
  <c r="R398" i="5" s="1"/>
  <c r="O398" i="5"/>
  <c r="N398" i="5"/>
  <c r="K398" i="5"/>
  <c r="H398" i="5"/>
  <c r="G398" i="5" s="1"/>
  <c r="E398" i="5"/>
  <c r="D398" i="5"/>
  <c r="B398" i="5"/>
  <c r="Q397" i="5"/>
  <c r="P397" i="5"/>
  <c r="O397" i="5"/>
  <c r="N397" i="5"/>
  <c r="K397" i="5"/>
  <c r="H397" i="5"/>
  <c r="J397" i="5" s="1"/>
  <c r="I397" i="5" s="1"/>
  <c r="E397" i="5"/>
  <c r="D397" i="5"/>
  <c r="B397" i="5"/>
  <c r="Q396" i="5"/>
  <c r="P396" i="5"/>
  <c r="R396" i="5" s="1"/>
  <c r="O396" i="5"/>
  <c r="N396" i="5"/>
  <c r="K396" i="5"/>
  <c r="H396" i="5"/>
  <c r="J396" i="5" s="1"/>
  <c r="I396" i="5" s="1"/>
  <c r="E396" i="5"/>
  <c r="D396" i="5"/>
  <c r="B396" i="5"/>
  <c r="Q395" i="5"/>
  <c r="P395" i="5"/>
  <c r="O395" i="5"/>
  <c r="N395" i="5"/>
  <c r="K395" i="5"/>
  <c r="H395" i="5"/>
  <c r="J395" i="5" s="1"/>
  <c r="I395" i="5" s="1"/>
  <c r="E395" i="5"/>
  <c r="D395" i="5"/>
  <c r="B395" i="5"/>
  <c r="Q394" i="5"/>
  <c r="P394" i="5"/>
  <c r="O394" i="5"/>
  <c r="N394" i="5"/>
  <c r="K394" i="5"/>
  <c r="H394" i="5"/>
  <c r="E394" i="5"/>
  <c r="D394" i="5"/>
  <c r="B394" i="5"/>
  <c r="Q393" i="5"/>
  <c r="P393" i="5"/>
  <c r="O393" i="5"/>
  <c r="N393" i="5"/>
  <c r="K393" i="5"/>
  <c r="H393" i="5"/>
  <c r="E393" i="5"/>
  <c r="D393" i="5"/>
  <c r="B393" i="5"/>
  <c r="Q392" i="5"/>
  <c r="P392" i="5"/>
  <c r="O392" i="5"/>
  <c r="N392" i="5"/>
  <c r="K392" i="5"/>
  <c r="H392" i="5"/>
  <c r="E392" i="5"/>
  <c r="D392" i="5"/>
  <c r="B392" i="5"/>
  <c r="Q391" i="5"/>
  <c r="P391" i="5"/>
  <c r="O391" i="5"/>
  <c r="N391" i="5"/>
  <c r="K391" i="5"/>
  <c r="H391" i="5"/>
  <c r="J391" i="5" s="1"/>
  <c r="I391" i="5" s="1"/>
  <c r="E391" i="5"/>
  <c r="D391" i="5"/>
  <c r="B391" i="5"/>
  <c r="Q390" i="5"/>
  <c r="P390" i="5"/>
  <c r="O390" i="5"/>
  <c r="N390" i="5"/>
  <c r="K390" i="5"/>
  <c r="H390" i="5"/>
  <c r="G390" i="5" s="1"/>
  <c r="E390" i="5"/>
  <c r="D390" i="5"/>
  <c r="B390" i="5"/>
  <c r="Q389" i="5"/>
  <c r="P389" i="5"/>
  <c r="O389" i="5"/>
  <c r="N389" i="5"/>
  <c r="K389" i="5"/>
  <c r="H389" i="5"/>
  <c r="J389" i="5" s="1"/>
  <c r="I389" i="5" s="1"/>
  <c r="E389" i="5"/>
  <c r="D389" i="5"/>
  <c r="B389" i="5"/>
  <c r="Q388" i="5"/>
  <c r="P388" i="5"/>
  <c r="O388" i="5"/>
  <c r="N388" i="5"/>
  <c r="K388" i="5"/>
  <c r="H388" i="5"/>
  <c r="E388" i="5"/>
  <c r="D388" i="5"/>
  <c r="B388" i="5"/>
  <c r="Q387" i="5"/>
  <c r="P387" i="5"/>
  <c r="O387" i="5"/>
  <c r="N387" i="5"/>
  <c r="K387" i="5"/>
  <c r="H387" i="5"/>
  <c r="E387" i="5"/>
  <c r="D387" i="5"/>
  <c r="B387" i="5"/>
  <c r="Q386" i="5"/>
  <c r="P386" i="5"/>
  <c r="O386" i="5"/>
  <c r="N386" i="5"/>
  <c r="K386" i="5"/>
  <c r="H386" i="5"/>
  <c r="G386" i="5" s="1"/>
  <c r="E386" i="5"/>
  <c r="D386" i="5"/>
  <c r="B386" i="5"/>
  <c r="Q385" i="5"/>
  <c r="P385" i="5"/>
  <c r="O385" i="5"/>
  <c r="N385" i="5"/>
  <c r="K385" i="5"/>
  <c r="H385" i="5"/>
  <c r="J385" i="5" s="1"/>
  <c r="I385" i="5" s="1"/>
  <c r="E385" i="5"/>
  <c r="D385" i="5"/>
  <c r="B385" i="5"/>
  <c r="Q384" i="5"/>
  <c r="P384" i="5"/>
  <c r="O384" i="5"/>
  <c r="N384" i="5"/>
  <c r="K384" i="5"/>
  <c r="H384" i="5"/>
  <c r="G384" i="5" s="1"/>
  <c r="E384" i="5"/>
  <c r="D384" i="5"/>
  <c r="B384" i="5"/>
  <c r="Q383" i="5"/>
  <c r="P383" i="5"/>
  <c r="O383" i="5"/>
  <c r="N383" i="5"/>
  <c r="K383" i="5"/>
  <c r="H383" i="5"/>
  <c r="E383" i="5"/>
  <c r="D383" i="5"/>
  <c r="B383" i="5"/>
  <c r="Q382" i="5"/>
  <c r="P382" i="5"/>
  <c r="O382" i="5"/>
  <c r="N382" i="5"/>
  <c r="K382" i="5"/>
  <c r="H382" i="5"/>
  <c r="G382" i="5" s="1"/>
  <c r="E382" i="5"/>
  <c r="D382" i="5"/>
  <c r="B382" i="5"/>
  <c r="Q381" i="5"/>
  <c r="P381" i="5"/>
  <c r="O381" i="5"/>
  <c r="N381" i="5"/>
  <c r="K381" i="5"/>
  <c r="H381" i="5"/>
  <c r="G381" i="5" s="1"/>
  <c r="E381" i="5"/>
  <c r="D381" i="5"/>
  <c r="B381" i="5"/>
  <c r="Q380" i="5"/>
  <c r="P380" i="5"/>
  <c r="O380" i="5"/>
  <c r="N380" i="5"/>
  <c r="K380" i="5"/>
  <c r="H380" i="5"/>
  <c r="J380" i="5" s="1"/>
  <c r="I380" i="5" s="1"/>
  <c r="E380" i="5"/>
  <c r="D380" i="5"/>
  <c r="B380" i="5"/>
  <c r="Q379" i="5"/>
  <c r="P379" i="5"/>
  <c r="O379" i="5"/>
  <c r="N379" i="5"/>
  <c r="K379" i="5"/>
  <c r="H379" i="5"/>
  <c r="J379" i="5" s="1"/>
  <c r="I379" i="5" s="1"/>
  <c r="G379" i="5"/>
  <c r="E379" i="5"/>
  <c r="D379" i="5"/>
  <c r="B379" i="5"/>
  <c r="Q378" i="5"/>
  <c r="P378" i="5"/>
  <c r="O378" i="5"/>
  <c r="N378" i="5"/>
  <c r="K378" i="5"/>
  <c r="H378" i="5"/>
  <c r="J378" i="5" s="1"/>
  <c r="I378" i="5" s="1"/>
  <c r="E378" i="5"/>
  <c r="D378" i="5"/>
  <c r="B378" i="5"/>
  <c r="Q377" i="5"/>
  <c r="P377" i="5"/>
  <c r="O377" i="5"/>
  <c r="N377" i="5"/>
  <c r="K377" i="5"/>
  <c r="H377" i="5"/>
  <c r="G377" i="5" s="1"/>
  <c r="E377" i="5"/>
  <c r="D377" i="5"/>
  <c r="B377" i="5"/>
  <c r="Q376" i="5"/>
  <c r="P376" i="5"/>
  <c r="O376" i="5"/>
  <c r="N376" i="5"/>
  <c r="K376" i="5"/>
  <c r="H376" i="5"/>
  <c r="G376" i="5" s="1"/>
  <c r="E376" i="5"/>
  <c r="D376" i="5"/>
  <c r="B376" i="5"/>
  <c r="Q375" i="5"/>
  <c r="P375" i="5"/>
  <c r="R375" i="5" s="1"/>
  <c r="O375" i="5"/>
  <c r="N375" i="5"/>
  <c r="K375" i="5"/>
  <c r="H375" i="5"/>
  <c r="J375" i="5" s="1"/>
  <c r="I375" i="5" s="1"/>
  <c r="E375" i="5"/>
  <c r="D375" i="5"/>
  <c r="B375" i="5"/>
  <c r="Q374" i="5"/>
  <c r="P374" i="5"/>
  <c r="O374" i="5"/>
  <c r="N374" i="5"/>
  <c r="K374" i="5"/>
  <c r="H374" i="5"/>
  <c r="J374" i="5" s="1"/>
  <c r="I374" i="5" s="1"/>
  <c r="E374" i="5"/>
  <c r="D374" i="5"/>
  <c r="B374" i="5"/>
  <c r="Q373" i="5"/>
  <c r="P373" i="5"/>
  <c r="O373" i="5"/>
  <c r="N373" i="5"/>
  <c r="K373" i="5"/>
  <c r="H373" i="5"/>
  <c r="G373" i="5" s="1"/>
  <c r="E373" i="5"/>
  <c r="D373" i="5"/>
  <c r="B373" i="5"/>
  <c r="Q372" i="5"/>
  <c r="P372" i="5"/>
  <c r="O372" i="5"/>
  <c r="N372" i="5"/>
  <c r="K372" i="5"/>
  <c r="H372" i="5"/>
  <c r="J372" i="5" s="1"/>
  <c r="I372" i="5" s="1"/>
  <c r="E372" i="5"/>
  <c r="D372" i="5"/>
  <c r="B372" i="5"/>
  <c r="Q371" i="5"/>
  <c r="P371" i="5"/>
  <c r="O371" i="5"/>
  <c r="N371" i="5"/>
  <c r="K371" i="5"/>
  <c r="H371" i="5"/>
  <c r="J371" i="5" s="1"/>
  <c r="I371" i="5" s="1"/>
  <c r="E371" i="5"/>
  <c r="D371" i="5"/>
  <c r="B371" i="5"/>
  <c r="Q370" i="5"/>
  <c r="P370" i="5"/>
  <c r="O370" i="5"/>
  <c r="N370" i="5"/>
  <c r="K370" i="5"/>
  <c r="H370" i="5"/>
  <c r="G370" i="5" s="1"/>
  <c r="E370" i="5"/>
  <c r="D370" i="5"/>
  <c r="B370" i="5"/>
  <c r="Q369" i="5"/>
  <c r="P369" i="5"/>
  <c r="O369" i="5"/>
  <c r="N369" i="5"/>
  <c r="K369" i="5"/>
  <c r="H369" i="5"/>
  <c r="J369" i="5" s="1"/>
  <c r="I369" i="5" s="1"/>
  <c r="G369" i="5"/>
  <c r="E369" i="5"/>
  <c r="D369" i="5"/>
  <c r="B369" i="5"/>
  <c r="Q368" i="5"/>
  <c r="P368" i="5"/>
  <c r="R368" i="5" s="1"/>
  <c r="O368" i="5"/>
  <c r="N368" i="5"/>
  <c r="K368" i="5"/>
  <c r="H368" i="5"/>
  <c r="J368" i="5" s="1"/>
  <c r="I368" i="5" s="1"/>
  <c r="E368" i="5"/>
  <c r="D368" i="5"/>
  <c r="B368" i="5"/>
  <c r="Q367" i="5"/>
  <c r="P367" i="5"/>
  <c r="O367" i="5"/>
  <c r="N367" i="5"/>
  <c r="K367" i="5"/>
  <c r="H367" i="5"/>
  <c r="J367" i="5" s="1"/>
  <c r="I367" i="5" s="1"/>
  <c r="E367" i="5"/>
  <c r="D367" i="5"/>
  <c r="B367" i="5"/>
  <c r="Q366" i="5"/>
  <c r="P366" i="5"/>
  <c r="O366" i="5"/>
  <c r="N366" i="5"/>
  <c r="K366" i="5"/>
  <c r="H366" i="5"/>
  <c r="G366" i="5" s="1"/>
  <c r="E366" i="5"/>
  <c r="D366" i="5"/>
  <c r="B366" i="5"/>
  <c r="Q365" i="5"/>
  <c r="P365" i="5"/>
  <c r="O365" i="5"/>
  <c r="N365" i="5"/>
  <c r="K365" i="5"/>
  <c r="H365" i="5"/>
  <c r="J365" i="5" s="1"/>
  <c r="I365" i="5" s="1"/>
  <c r="G365" i="5"/>
  <c r="E365" i="5"/>
  <c r="D365" i="5"/>
  <c r="B365" i="5"/>
  <c r="Q364" i="5"/>
  <c r="P364" i="5"/>
  <c r="O364" i="5"/>
  <c r="N364" i="5"/>
  <c r="K364" i="5"/>
  <c r="H364" i="5"/>
  <c r="E364" i="5"/>
  <c r="D364" i="5"/>
  <c r="B364" i="5"/>
  <c r="Q363" i="5"/>
  <c r="P363" i="5"/>
  <c r="O363" i="5"/>
  <c r="N363" i="5"/>
  <c r="K363" i="5"/>
  <c r="H363" i="5"/>
  <c r="E363" i="5"/>
  <c r="D363" i="5"/>
  <c r="B363" i="5"/>
  <c r="Q362" i="5"/>
  <c r="P362" i="5"/>
  <c r="O362" i="5"/>
  <c r="N362" i="5"/>
  <c r="K362" i="5"/>
  <c r="H362" i="5"/>
  <c r="J362" i="5" s="1"/>
  <c r="I362" i="5" s="1"/>
  <c r="E362" i="5"/>
  <c r="D362" i="5"/>
  <c r="B362" i="5"/>
  <c r="Q361" i="5"/>
  <c r="P361" i="5"/>
  <c r="O361" i="5"/>
  <c r="N361" i="5"/>
  <c r="K361" i="5"/>
  <c r="H361" i="5"/>
  <c r="G361" i="5" s="1"/>
  <c r="E361" i="5"/>
  <c r="D361" i="5"/>
  <c r="B361" i="5"/>
  <c r="Q360" i="5"/>
  <c r="P360" i="5"/>
  <c r="O360" i="5"/>
  <c r="N360" i="5"/>
  <c r="K360" i="5"/>
  <c r="H360" i="5"/>
  <c r="G360" i="5" s="1"/>
  <c r="E360" i="5"/>
  <c r="D360" i="5"/>
  <c r="B360" i="5"/>
  <c r="Q359" i="5"/>
  <c r="P359" i="5"/>
  <c r="O359" i="5"/>
  <c r="N359" i="5"/>
  <c r="K359" i="5"/>
  <c r="H359" i="5"/>
  <c r="G359" i="5" s="1"/>
  <c r="E359" i="5"/>
  <c r="D359" i="5"/>
  <c r="B359" i="5"/>
  <c r="Q358" i="5"/>
  <c r="P358" i="5"/>
  <c r="R358" i="5" s="1"/>
  <c r="O358" i="5"/>
  <c r="N358" i="5"/>
  <c r="K358" i="5"/>
  <c r="H358" i="5"/>
  <c r="G358" i="5" s="1"/>
  <c r="E358" i="5"/>
  <c r="D358" i="5"/>
  <c r="B358" i="5"/>
  <c r="Q357" i="5"/>
  <c r="P357" i="5"/>
  <c r="O357" i="5"/>
  <c r="N357" i="5"/>
  <c r="K357" i="5"/>
  <c r="H357" i="5"/>
  <c r="J357" i="5" s="1"/>
  <c r="I357" i="5" s="1"/>
  <c r="E357" i="5"/>
  <c r="D357" i="5"/>
  <c r="B357" i="5"/>
  <c r="Q356" i="5"/>
  <c r="P356" i="5"/>
  <c r="O356" i="5"/>
  <c r="N356" i="5"/>
  <c r="K356" i="5"/>
  <c r="H356" i="5"/>
  <c r="J356" i="5" s="1"/>
  <c r="I356" i="5" s="1"/>
  <c r="E356" i="5"/>
  <c r="D356" i="5"/>
  <c r="B356" i="5"/>
  <c r="Q355" i="5"/>
  <c r="P355" i="5"/>
  <c r="O355" i="5"/>
  <c r="N355" i="5"/>
  <c r="K355" i="5"/>
  <c r="H355" i="5"/>
  <c r="E355" i="5"/>
  <c r="D355" i="5"/>
  <c r="B355" i="5"/>
  <c r="Q354" i="5"/>
  <c r="P354" i="5"/>
  <c r="O354" i="5"/>
  <c r="N354" i="5"/>
  <c r="K354" i="5"/>
  <c r="H354" i="5"/>
  <c r="G354" i="5" s="1"/>
  <c r="E354" i="5"/>
  <c r="D354" i="5"/>
  <c r="B354" i="5"/>
  <c r="Q353" i="5"/>
  <c r="P353" i="5"/>
  <c r="O353" i="5"/>
  <c r="N353" i="5"/>
  <c r="K353" i="5"/>
  <c r="H353" i="5"/>
  <c r="J353" i="5" s="1"/>
  <c r="I353" i="5" s="1"/>
  <c r="E353" i="5"/>
  <c r="D353" i="5"/>
  <c r="B353" i="5"/>
  <c r="Q352" i="5"/>
  <c r="P352" i="5"/>
  <c r="O352" i="5"/>
  <c r="N352" i="5"/>
  <c r="K352" i="5"/>
  <c r="H352" i="5"/>
  <c r="J352" i="5" s="1"/>
  <c r="I352" i="5" s="1"/>
  <c r="E352" i="5"/>
  <c r="D352" i="5"/>
  <c r="B352" i="5"/>
  <c r="Q351" i="5"/>
  <c r="P351" i="5"/>
  <c r="O351" i="5"/>
  <c r="N351" i="5"/>
  <c r="K351" i="5"/>
  <c r="H351" i="5"/>
  <c r="J351" i="5" s="1"/>
  <c r="I351" i="5" s="1"/>
  <c r="E351" i="5"/>
  <c r="D351" i="5"/>
  <c r="B351" i="5"/>
  <c r="Q350" i="5"/>
  <c r="P350" i="5"/>
  <c r="R350" i="5" s="1"/>
  <c r="O350" i="5"/>
  <c r="N350" i="5"/>
  <c r="K350" i="5"/>
  <c r="H350" i="5"/>
  <c r="G350" i="5" s="1"/>
  <c r="E350" i="5"/>
  <c r="D350" i="5"/>
  <c r="B350" i="5"/>
  <c r="Q349" i="5"/>
  <c r="P349" i="5"/>
  <c r="O349" i="5"/>
  <c r="N349" i="5"/>
  <c r="K349" i="5"/>
  <c r="H349" i="5"/>
  <c r="J349" i="5" s="1"/>
  <c r="I349" i="5" s="1"/>
  <c r="E349" i="5"/>
  <c r="D349" i="5"/>
  <c r="B349" i="5"/>
  <c r="Q348" i="5"/>
  <c r="P348" i="5"/>
  <c r="O348" i="5"/>
  <c r="N348" i="5"/>
  <c r="K348" i="5"/>
  <c r="H348" i="5"/>
  <c r="J348" i="5" s="1"/>
  <c r="I348" i="5" s="1"/>
  <c r="E348" i="5"/>
  <c r="D348" i="5"/>
  <c r="B348" i="5"/>
  <c r="Q347" i="5"/>
  <c r="P347" i="5"/>
  <c r="O347" i="5"/>
  <c r="N347" i="5"/>
  <c r="K347" i="5"/>
  <c r="H347" i="5"/>
  <c r="G347" i="5" s="1"/>
  <c r="E347" i="5"/>
  <c r="D347" i="5"/>
  <c r="B347" i="5"/>
  <c r="Q346" i="5"/>
  <c r="P346" i="5"/>
  <c r="O346" i="5"/>
  <c r="N346" i="5"/>
  <c r="K346" i="5"/>
  <c r="H346" i="5"/>
  <c r="J346" i="5" s="1"/>
  <c r="I346" i="5" s="1"/>
  <c r="E346" i="5"/>
  <c r="D346" i="5"/>
  <c r="B346" i="5"/>
  <c r="Q345" i="5"/>
  <c r="P345" i="5"/>
  <c r="O345" i="5"/>
  <c r="N345" i="5"/>
  <c r="K345" i="5"/>
  <c r="H345" i="5"/>
  <c r="J345" i="5" s="1"/>
  <c r="I345" i="5" s="1"/>
  <c r="E345" i="5"/>
  <c r="D345" i="5"/>
  <c r="B345" i="5"/>
  <c r="Q344" i="5"/>
  <c r="P344" i="5"/>
  <c r="O344" i="5"/>
  <c r="N344" i="5"/>
  <c r="K344" i="5"/>
  <c r="H344" i="5"/>
  <c r="J344" i="5" s="1"/>
  <c r="I344" i="5" s="1"/>
  <c r="E344" i="5"/>
  <c r="D344" i="5"/>
  <c r="B344" i="5"/>
  <c r="Q343" i="5"/>
  <c r="P343" i="5"/>
  <c r="O343" i="5"/>
  <c r="N343" i="5"/>
  <c r="K343" i="5"/>
  <c r="H343" i="5"/>
  <c r="G343" i="5" s="1"/>
  <c r="E343" i="5"/>
  <c r="D343" i="5"/>
  <c r="B343" i="5"/>
  <c r="Q342" i="5"/>
  <c r="P342" i="5"/>
  <c r="O342" i="5"/>
  <c r="N342" i="5"/>
  <c r="K342" i="5"/>
  <c r="H342" i="5"/>
  <c r="J342" i="5" s="1"/>
  <c r="I342" i="5" s="1"/>
  <c r="E342" i="5"/>
  <c r="D342" i="5"/>
  <c r="B342" i="5"/>
  <c r="Q341" i="5"/>
  <c r="P341" i="5"/>
  <c r="O341" i="5"/>
  <c r="N341" i="5"/>
  <c r="K341" i="5"/>
  <c r="H341" i="5"/>
  <c r="J341" i="5" s="1"/>
  <c r="I341" i="5" s="1"/>
  <c r="G341" i="5"/>
  <c r="E341" i="5"/>
  <c r="D341" i="5"/>
  <c r="B341" i="5"/>
  <c r="Q340" i="5"/>
  <c r="P340" i="5"/>
  <c r="O340" i="5"/>
  <c r="N340" i="5"/>
  <c r="K340" i="5"/>
  <c r="H340" i="5"/>
  <c r="G340" i="5" s="1"/>
  <c r="E340" i="5"/>
  <c r="D340" i="5"/>
  <c r="B340" i="5"/>
  <c r="Q339" i="5"/>
  <c r="P339" i="5"/>
  <c r="O339" i="5"/>
  <c r="N339" i="5"/>
  <c r="K339" i="5"/>
  <c r="H339" i="5"/>
  <c r="J339" i="5" s="1"/>
  <c r="I339" i="5" s="1"/>
  <c r="E339" i="5"/>
  <c r="D339" i="5"/>
  <c r="B339" i="5"/>
  <c r="Q338" i="5"/>
  <c r="P338" i="5"/>
  <c r="O338" i="5"/>
  <c r="N338" i="5"/>
  <c r="K338" i="5"/>
  <c r="H338" i="5"/>
  <c r="G338" i="5" s="1"/>
  <c r="E338" i="5"/>
  <c r="D338" i="5"/>
  <c r="B338" i="5"/>
  <c r="Q337" i="5"/>
  <c r="P337" i="5"/>
  <c r="O337" i="5"/>
  <c r="N337" i="5"/>
  <c r="K337" i="5"/>
  <c r="H337" i="5"/>
  <c r="E337" i="5"/>
  <c r="D337" i="5"/>
  <c r="B337" i="5"/>
  <c r="Q336" i="5"/>
  <c r="P336" i="5"/>
  <c r="O336" i="5"/>
  <c r="N336" i="5"/>
  <c r="K336" i="5"/>
  <c r="H336" i="5"/>
  <c r="E336" i="5"/>
  <c r="D336" i="5"/>
  <c r="B336" i="5"/>
  <c r="Q335" i="5"/>
  <c r="P335" i="5"/>
  <c r="O335" i="5"/>
  <c r="N335" i="5"/>
  <c r="K335" i="5"/>
  <c r="H335" i="5"/>
  <c r="J335" i="5" s="1"/>
  <c r="I335" i="5" s="1"/>
  <c r="E335" i="5"/>
  <c r="D335" i="5"/>
  <c r="B335" i="5"/>
  <c r="Q334" i="5"/>
  <c r="P334" i="5"/>
  <c r="O334" i="5"/>
  <c r="N334" i="5"/>
  <c r="K334" i="5"/>
  <c r="H334" i="5"/>
  <c r="G334" i="5" s="1"/>
  <c r="E334" i="5"/>
  <c r="D334" i="5"/>
  <c r="B334" i="5"/>
  <c r="Q333" i="5"/>
  <c r="P333" i="5"/>
  <c r="O333" i="5"/>
  <c r="N333" i="5"/>
  <c r="K333" i="5"/>
  <c r="H333" i="5"/>
  <c r="J333" i="5" s="1"/>
  <c r="I333" i="5" s="1"/>
  <c r="E333" i="5"/>
  <c r="D333" i="5"/>
  <c r="B333" i="5"/>
  <c r="Q332" i="5"/>
  <c r="P332" i="5"/>
  <c r="O332" i="5"/>
  <c r="N332" i="5"/>
  <c r="K332" i="5"/>
  <c r="H332" i="5"/>
  <c r="E332" i="5"/>
  <c r="D332" i="5"/>
  <c r="B332" i="5"/>
  <c r="Q331" i="5"/>
  <c r="P331" i="5"/>
  <c r="O331" i="5"/>
  <c r="N331" i="5"/>
  <c r="K331" i="5"/>
  <c r="H331" i="5"/>
  <c r="J331" i="5" s="1"/>
  <c r="I331" i="5" s="1"/>
  <c r="E331" i="5"/>
  <c r="D331" i="5"/>
  <c r="B331" i="5"/>
  <c r="Q330" i="5"/>
  <c r="P330" i="5"/>
  <c r="O330" i="5"/>
  <c r="N330" i="5"/>
  <c r="K330" i="5"/>
  <c r="H330" i="5"/>
  <c r="J330" i="5" s="1"/>
  <c r="I330" i="5" s="1"/>
  <c r="E330" i="5"/>
  <c r="D330" i="5"/>
  <c r="B330" i="5"/>
  <c r="Q329" i="5"/>
  <c r="P329" i="5"/>
  <c r="O329" i="5"/>
  <c r="N329" i="5"/>
  <c r="K329" i="5"/>
  <c r="H329" i="5"/>
  <c r="E329" i="5"/>
  <c r="D329" i="5"/>
  <c r="B329" i="5"/>
  <c r="Q328" i="5"/>
  <c r="P328" i="5"/>
  <c r="O328" i="5"/>
  <c r="N328" i="5"/>
  <c r="K328" i="5"/>
  <c r="H328" i="5"/>
  <c r="J328" i="5" s="1"/>
  <c r="I328" i="5" s="1"/>
  <c r="E328" i="5"/>
  <c r="D328" i="5"/>
  <c r="B328" i="5"/>
  <c r="Q327" i="5"/>
  <c r="P327" i="5"/>
  <c r="O327" i="5"/>
  <c r="N327" i="5"/>
  <c r="K327" i="5"/>
  <c r="H327" i="5"/>
  <c r="G327" i="5" s="1"/>
  <c r="E327" i="5"/>
  <c r="D327" i="5"/>
  <c r="B327" i="5"/>
  <c r="Q326" i="5"/>
  <c r="P326" i="5"/>
  <c r="O326" i="5"/>
  <c r="N326" i="5"/>
  <c r="K326" i="5"/>
  <c r="H326" i="5"/>
  <c r="G326" i="5" s="1"/>
  <c r="E326" i="5"/>
  <c r="D326" i="5"/>
  <c r="B326" i="5"/>
  <c r="Q325" i="5"/>
  <c r="P325" i="5"/>
  <c r="O325" i="5"/>
  <c r="N325" i="5"/>
  <c r="K325" i="5"/>
  <c r="H325" i="5"/>
  <c r="G325" i="5" s="1"/>
  <c r="E325" i="5"/>
  <c r="D325" i="5"/>
  <c r="B325" i="5"/>
  <c r="Q324" i="5"/>
  <c r="P324" i="5"/>
  <c r="O324" i="5"/>
  <c r="N324" i="5"/>
  <c r="K324" i="5"/>
  <c r="H324" i="5"/>
  <c r="G324" i="5" s="1"/>
  <c r="E324" i="5"/>
  <c r="D324" i="5"/>
  <c r="B324" i="5"/>
  <c r="Q323" i="5"/>
  <c r="P323" i="5"/>
  <c r="O323" i="5"/>
  <c r="N323" i="5"/>
  <c r="K323" i="5"/>
  <c r="H323" i="5"/>
  <c r="J323" i="5" s="1"/>
  <c r="I323" i="5" s="1"/>
  <c r="E323" i="5"/>
  <c r="D323" i="5"/>
  <c r="B323" i="5"/>
  <c r="Q322" i="5"/>
  <c r="P322" i="5"/>
  <c r="O322" i="5"/>
  <c r="N322" i="5"/>
  <c r="K322" i="5"/>
  <c r="H322" i="5"/>
  <c r="G322" i="5" s="1"/>
  <c r="E322" i="5"/>
  <c r="D322" i="5"/>
  <c r="B322" i="5"/>
  <c r="Q321" i="5"/>
  <c r="P321" i="5"/>
  <c r="O321" i="5"/>
  <c r="N321" i="5"/>
  <c r="K321" i="5"/>
  <c r="H321" i="5"/>
  <c r="G321" i="5" s="1"/>
  <c r="E321" i="5"/>
  <c r="D321" i="5"/>
  <c r="B321" i="5"/>
  <c r="Q320" i="5"/>
  <c r="P320" i="5"/>
  <c r="O320" i="5"/>
  <c r="N320" i="5"/>
  <c r="K320" i="5"/>
  <c r="H320" i="5"/>
  <c r="E320" i="5"/>
  <c r="D320" i="5"/>
  <c r="B320" i="5"/>
  <c r="Q319" i="5"/>
  <c r="P319" i="5"/>
  <c r="O319" i="5"/>
  <c r="N319" i="5"/>
  <c r="K319" i="5"/>
  <c r="H319" i="5"/>
  <c r="J319" i="5" s="1"/>
  <c r="I319" i="5" s="1"/>
  <c r="E319" i="5"/>
  <c r="D319" i="5"/>
  <c r="B319" i="5"/>
  <c r="Q318" i="5"/>
  <c r="P318" i="5"/>
  <c r="O318" i="5"/>
  <c r="N318" i="5"/>
  <c r="K318" i="5"/>
  <c r="H318" i="5"/>
  <c r="G318" i="5" s="1"/>
  <c r="E318" i="5"/>
  <c r="D318" i="5"/>
  <c r="B318" i="5"/>
  <c r="Q317" i="5"/>
  <c r="P317" i="5"/>
  <c r="O317" i="5"/>
  <c r="N317" i="5"/>
  <c r="K317" i="5"/>
  <c r="H317" i="5"/>
  <c r="E317" i="5"/>
  <c r="D317" i="5"/>
  <c r="B317" i="5"/>
  <c r="Q316" i="5"/>
  <c r="P316" i="5"/>
  <c r="O316" i="5"/>
  <c r="N316" i="5"/>
  <c r="K316" i="5"/>
  <c r="H316" i="5"/>
  <c r="E316" i="5"/>
  <c r="D316" i="5"/>
  <c r="B316" i="5"/>
  <c r="Q315" i="5"/>
  <c r="P315" i="5"/>
  <c r="O315" i="5"/>
  <c r="N315" i="5"/>
  <c r="K315" i="5"/>
  <c r="H315" i="5"/>
  <c r="J315" i="5" s="1"/>
  <c r="I315" i="5" s="1"/>
  <c r="E315" i="5"/>
  <c r="D315" i="5"/>
  <c r="B315" i="5"/>
  <c r="Q314" i="5"/>
  <c r="P314" i="5"/>
  <c r="O314" i="5"/>
  <c r="N314" i="5"/>
  <c r="K314" i="5"/>
  <c r="H314" i="5"/>
  <c r="J314" i="5" s="1"/>
  <c r="I314" i="5" s="1"/>
  <c r="E314" i="5"/>
  <c r="D314" i="5"/>
  <c r="B314" i="5"/>
  <c r="Q313" i="5"/>
  <c r="P313" i="5"/>
  <c r="O313" i="5"/>
  <c r="N313" i="5"/>
  <c r="K313" i="5"/>
  <c r="H313" i="5"/>
  <c r="G313" i="5" s="1"/>
  <c r="E313" i="5"/>
  <c r="D313" i="5"/>
  <c r="B313" i="5"/>
  <c r="Q312" i="5"/>
  <c r="P312" i="5"/>
  <c r="R312" i="5" s="1"/>
  <c r="O312" i="5"/>
  <c r="N312" i="5"/>
  <c r="K312" i="5"/>
  <c r="H312" i="5"/>
  <c r="E312" i="5"/>
  <c r="D312" i="5"/>
  <c r="B312" i="5"/>
  <c r="Q311" i="5"/>
  <c r="P311" i="5"/>
  <c r="O311" i="5"/>
  <c r="N311" i="5"/>
  <c r="K311" i="5"/>
  <c r="H311" i="5"/>
  <c r="J311" i="5" s="1"/>
  <c r="I311" i="5" s="1"/>
  <c r="E311" i="5"/>
  <c r="D311" i="5"/>
  <c r="B311" i="5"/>
  <c r="Q310" i="5"/>
  <c r="P310" i="5"/>
  <c r="R310" i="5" s="1"/>
  <c r="O310" i="5"/>
  <c r="N310" i="5"/>
  <c r="K310" i="5"/>
  <c r="H310" i="5"/>
  <c r="J310" i="5" s="1"/>
  <c r="I310" i="5" s="1"/>
  <c r="E310" i="5"/>
  <c r="D310" i="5"/>
  <c r="B310" i="5"/>
  <c r="Q309" i="5"/>
  <c r="P309" i="5"/>
  <c r="O309" i="5"/>
  <c r="N309" i="5"/>
  <c r="K309" i="5"/>
  <c r="H309" i="5"/>
  <c r="J309" i="5" s="1"/>
  <c r="I309" i="5" s="1"/>
  <c r="E309" i="5"/>
  <c r="D309" i="5"/>
  <c r="B309" i="5"/>
  <c r="Q308" i="5"/>
  <c r="P308" i="5"/>
  <c r="O308" i="5"/>
  <c r="N308" i="5"/>
  <c r="K308" i="5"/>
  <c r="H308" i="5"/>
  <c r="G308" i="5" s="1"/>
  <c r="E308" i="5"/>
  <c r="D308" i="5"/>
  <c r="B308" i="5"/>
  <c r="Q307" i="5"/>
  <c r="P307" i="5"/>
  <c r="O307" i="5"/>
  <c r="N307" i="5"/>
  <c r="K307" i="5"/>
  <c r="H307" i="5"/>
  <c r="J307" i="5" s="1"/>
  <c r="I307" i="5" s="1"/>
  <c r="E307" i="5"/>
  <c r="D307" i="5"/>
  <c r="B307" i="5"/>
  <c r="Q306" i="5"/>
  <c r="P306" i="5"/>
  <c r="R306" i="5" s="1"/>
  <c r="O306" i="5"/>
  <c r="N306" i="5"/>
  <c r="K306" i="5"/>
  <c r="H306" i="5"/>
  <c r="E306" i="5"/>
  <c r="D306" i="5"/>
  <c r="B306" i="5"/>
  <c r="Q305" i="5"/>
  <c r="P305" i="5"/>
  <c r="O305" i="5"/>
  <c r="N305" i="5"/>
  <c r="K305" i="5"/>
  <c r="H305" i="5"/>
  <c r="J305" i="5" s="1"/>
  <c r="I305" i="5" s="1"/>
  <c r="E305" i="5"/>
  <c r="D305" i="5"/>
  <c r="B305" i="5"/>
  <c r="Q304" i="5"/>
  <c r="P304" i="5"/>
  <c r="O304" i="5"/>
  <c r="N304" i="5"/>
  <c r="K304" i="5"/>
  <c r="H304" i="5"/>
  <c r="E304" i="5"/>
  <c r="D304" i="5"/>
  <c r="B304" i="5"/>
  <c r="Q303" i="5"/>
  <c r="P303" i="5"/>
  <c r="O303" i="5"/>
  <c r="N303" i="5"/>
  <c r="K303" i="5"/>
  <c r="H303" i="5"/>
  <c r="J303" i="5" s="1"/>
  <c r="I303" i="5" s="1"/>
  <c r="E303" i="5"/>
  <c r="D303" i="5"/>
  <c r="B303" i="5"/>
  <c r="Q302" i="5"/>
  <c r="P302" i="5"/>
  <c r="O302" i="5"/>
  <c r="N302" i="5"/>
  <c r="K302" i="5"/>
  <c r="H302" i="5"/>
  <c r="E302" i="5"/>
  <c r="D302" i="5"/>
  <c r="B302" i="5"/>
  <c r="Q301" i="5"/>
  <c r="P301" i="5"/>
  <c r="O301" i="5"/>
  <c r="N301" i="5"/>
  <c r="K301" i="5"/>
  <c r="H301" i="5"/>
  <c r="J301" i="5" s="1"/>
  <c r="I301" i="5" s="1"/>
  <c r="E301" i="5"/>
  <c r="D301" i="5"/>
  <c r="B301" i="5"/>
  <c r="Q300" i="5"/>
  <c r="P300" i="5"/>
  <c r="R300" i="5" s="1"/>
  <c r="O300" i="5"/>
  <c r="N300" i="5"/>
  <c r="K300" i="5"/>
  <c r="H300" i="5"/>
  <c r="G300" i="5" s="1"/>
  <c r="E300" i="5"/>
  <c r="D300" i="5"/>
  <c r="B300" i="5"/>
  <c r="Q299" i="5"/>
  <c r="P299" i="5"/>
  <c r="O299" i="5"/>
  <c r="N299" i="5"/>
  <c r="K299" i="5"/>
  <c r="H299" i="5"/>
  <c r="J299" i="5" s="1"/>
  <c r="I299" i="5" s="1"/>
  <c r="E299" i="5"/>
  <c r="D299" i="5"/>
  <c r="B299" i="5"/>
  <c r="Q298" i="5"/>
  <c r="P298" i="5"/>
  <c r="O298" i="5"/>
  <c r="N298" i="5"/>
  <c r="K298" i="5"/>
  <c r="H298" i="5"/>
  <c r="J298" i="5" s="1"/>
  <c r="I298" i="5" s="1"/>
  <c r="E298" i="5"/>
  <c r="D298" i="5"/>
  <c r="B298" i="5"/>
  <c r="Q297" i="5"/>
  <c r="P297" i="5"/>
  <c r="O297" i="5"/>
  <c r="N297" i="5"/>
  <c r="K297" i="5"/>
  <c r="H297" i="5"/>
  <c r="G297" i="5" s="1"/>
  <c r="E297" i="5"/>
  <c r="D297" i="5"/>
  <c r="B297" i="5"/>
  <c r="Q296" i="5"/>
  <c r="P296" i="5"/>
  <c r="O296" i="5"/>
  <c r="N296" i="5"/>
  <c r="K296" i="5"/>
  <c r="H296" i="5"/>
  <c r="J296" i="5" s="1"/>
  <c r="I296" i="5" s="1"/>
  <c r="E296" i="5"/>
  <c r="D296" i="5"/>
  <c r="B296" i="5"/>
  <c r="Q295" i="5"/>
  <c r="P295" i="5"/>
  <c r="O295" i="5"/>
  <c r="N295" i="5"/>
  <c r="K295" i="5"/>
  <c r="H295" i="5"/>
  <c r="J295" i="5" s="1"/>
  <c r="I295" i="5" s="1"/>
  <c r="E295" i="5"/>
  <c r="D295" i="5"/>
  <c r="B295" i="5"/>
  <c r="Q294" i="5"/>
  <c r="P294" i="5"/>
  <c r="O294" i="5"/>
  <c r="N294" i="5"/>
  <c r="K294" i="5"/>
  <c r="H294" i="5"/>
  <c r="E294" i="5"/>
  <c r="D294" i="5"/>
  <c r="B294" i="5"/>
  <c r="Q293" i="5"/>
  <c r="P293" i="5"/>
  <c r="O293" i="5"/>
  <c r="N293" i="5"/>
  <c r="K293" i="5"/>
  <c r="H293" i="5"/>
  <c r="J293" i="5" s="1"/>
  <c r="I293" i="5" s="1"/>
  <c r="E293" i="5"/>
  <c r="D293" i="5"/>
  <c r="B293" i="5"/>
  <c r="Q292" i="5"/>
  <c r="P292" i="5"/>
  <c r="R292" i="5" s="1"/>
  <c r="O292" i="5"/>
  <c r="N292" i="5"/>
  <c r="K292" i="5"/>
  <c r="H292" i="5"/>
  <c r="J292" i="5" s="1"/>
  <c r="I292" i="5" s="1"/>
  <c r="E292" i="5"/>
  <c r="D292" i="5"/>
  <c r="B292" i="5"/>
  <c r="Q291" i="5"/>
  <c r="P291" i="5"/>
  <c r="O291" i="5"/>
  <c r="N291" i="5"/>
  <c r="K291" i="5"/>
  <c r="H291" i="5"/>
  <c r="G291" i="5" s="1"/>
  <c r="E291" i="5"/>
  <c r="D291" i="5"/>
  <c r="B291" i="5"/>
  <c r="Q290" i="5"/>
  <c r="P290" i="5"/>
  <c r="O290" i="5"/>
  <c r="N290" i="5"/>
  <c r="K290" i="5"/>
  <c r="H290" i="5"/>
  <c r="J290" i="5" s="1"/>
  <c r="I290" i="5" s="1"/>
  <c r="E290" i="5"/>
  <c r="D290" i="5"/>
  <c r="B290" i="5"/>
  <c r="Q289" i="5"/>
  <c r="P289" i="5"/>
  <c r="O289" i="5"/>
  <c r="N289" i="5"/>
  <c r="K289" i="5"/>
  <c r="H289" i="5"/>
  <c r="J289" i="5" s="1"/>
  <c r="I289" i="5" s="1"/>
  <c r="E289" i="5"/>
  <c r="D289" i="5"/>
  <c r="B289" i="5"/>
  <c r="Q288" i="5"/>
  <c r="P288" i="5"/>
  <c r="O288" i="5"/>
  <c r="N288" i="5"/>
  <c r="K288" i="5"/>
  <c r="H288" i="5"/>
  <c r="J288" i="5" s="1"/>
  <c r="I288" i="5" s="1"/>
  <c r="E288" i="5"/>
  <c r="D288" i="5"/>
  <c r="B288" i="5"/>
  <c r="Q287" i="5"/>
  <c r="P287" i="5"/>
  <c r="O287" i="5"/>
  <c r="N287" i="5"/>
  <c r="K287" i="5"/>
  <c r="H287" i="5"/>
  <c r="J287" i="5" s="1"/>
  <c r="I287" i="5" s="1"/>
  <c r="E287" i="5"/>
  <c r="D287" i="5"/>
  <c r="B287" i="5"/>
  <c r="Q286" i="5"/>
  <c r="P286" i="5"/>
  <c r="O286" i="5"/>
  <c r="N286" i="5"/>
  <c r="K286" i="5"/>
  <c r="H286" i="5"/>
  <c r="J286" i="5" s="1"/>
  <c r="I286" i="5" s="1"/>
  <c r="E286" i="5"/>
  <c r="D286" i="5"/>
  <c r="B286" i="5"/>
  <c r="Q285" i="5"/>
  <c r="P285" i="5"/>
  <c r="O285" i="5"/>
  <c r="N285" i="5"/>
  <c r="K285" i="5"/>
  <c r="H285" i="5"/>
  <c r="J285" i="5" s="1"/>
  <c r="I285" i="5" s="1"/>
  <c r="E285" i="5"/>
  <c r="D285" i="5"/>
  <c r="B285" i="5"/>
  <c r="Q284" i="5"/>
  <c r="P284" i="5"/>
  <c r="O284" i="5"/>
  <c r="N284" i="5"/>
  <c r="K284" i="5"/>
  <c r="H284" i="5"/>
  <c r="J284" i="5" s="1"/>
  <c r="I284" i="5" s="1"/>
  <c r="E284" i="5"/>
  <c r="D284" i="5"/>
  <c r="B284" i="5"/>
  <c r="Q283" i="5"/>
  <c r="P283" i="5"/>
  <c r="O283" i="5"/>
  <c r="N283" i="5"/>
  <c r="K283" i="5"/>
  <c r="H283" i="5"/>
  <c r="J283" i="5" s="1"/>
  <c r="I283" i="5" s="1"/>
  <c r="E283" i="5"/>
  <c r="D283" i="5"/>
  <c r="B283" i="5"/>
  <c r="Q282" i="5"/>
  <c r="P282" i="5"/>
  <c r="O282" i="5"/>
  <c r="N282" i="5"/>
  <c r="K282" i="5"/>
  <c r="H282" i="5"/>
  <c r="J282" i="5" s="1"/>
  <c r="I282" i="5" s="1"/>
  <c r="E282" i="5"/>
  <c r="D282" i="5"/>
  <c r="B282" i="5"/>
  <c r="Q281" i="5"/>
  <c r="P281" i="5"/>
  <c r="O281" i="5"/>
  <c r="N281" i="5"/>
  <c r="K281" i="5"/>
  <c r="H281" i="5"/>
  <c r="G281" i="5" s="1"/>
  <c r="E281" i="5"/>
  <c r="D281" i="5"/>
  <c r="B281" i="5"/>
  <c r="Q280" i="5"/>
  <c r="P280" i="5"/>
  <c r="R280" i="5" s="1"/>
  <c r="O280" i="5"/>
  <c r="N280" i="5"/>
  <c r="K280" i="5"/>
  <c r="H280" i="5"/>
  <c r="J280" i="5" s="1"/>
  <c r="I280" i="5" s="1"/>
  <c r="E280" i="5"/>
  <c r="D280" i="5"/>
  <c r="B280" i="5"/>
  <c r="Q279" i="5"/>
  <c r="P279" i="5"/>
  <c r="O279" i="5"/>
  <c r="N279" i="5"/>
  <c r="K279" i="5"/>
  <c r="H279" i="5"/>
  <c r="J279" i="5" s="1"/>
  <c r="I279" i="5" s="1"/>
  <c r="E279" i="5"/>
  <c r="D279" i="5"/>
  <c r="B279" i="5"/>
  <c r="Q278" i="5"/>
  <c r="P278" i="5"/>
  <c r="O278" i="5"/>
  <c r="N278" i="5"/>
  <c r="K278" i="5"/>
  <c r="H278" i="5"/>
  <c r="J278" i="5" s="1"/>
  <c r="I278" i="5" s="1"/>
  <c r="G278" i="5"/>
  <c r="E278" i="5"/>
  <c r="D278" i="5"/>
  <c r="B278" i="5"/>
  <c r="Q277" i="5"/>
  <c r="P277" i="5"/>
  <c r="O277" i="5"/>
  <c r="N277" i="5"/>
  <c r="K277" i="5"/>
  <c r="H277" i="5"/>
  <c r="J277" i="5" s="1"/>
  <c r="I277" i="5" s="1"/>
  <c r="E277" i="5"/>
  <c r="D277" i="5"/>
  <c r="B277" i="5"/>
  <c r="Q276" i="5"/>
  <c r="P276" i="5"/>
  <c r="O276" i="5"/>
  <c r="N276" i="5"/>
  <c r="K276" i="5"/>
  <c r="H276" i="5"/>
  <c r="J276" i="5" s="1"/>
  <c r="I276" i="5" s="1"/>
  <c r="E276" i="5"/>
  <c r="D276" i="5"/>
  <c r="B276" i="5"/>
  <c r="Q275" i="5"/>
  <c r="P275" i="5"/>
  <c r="O275" i="5"/>
  <c r="N275" i="5"/>
  <c r="K275" i="5"/>
  <c r="H275" i="5"/>
  <c r="G275" i="5" s="1"/>
  <c r="E275" i="5"/>
  <c r="D275" i="5"/>
  <c r="B275" i="5"/>
  <c r="Q274" i="5"/>
  <c r="P274" i="5"/>
  <c r="O274" i="5"/>
  <c r="N274" i="5"/>
  <c r="K274" i="5"/>
  <c r="H274" i="5"/>
  <c r="G274" i="5" s="1"/>
  <c r="E274" i="5"/>
  <c r="D274" i="5"/>
  <c r="B274" i="5"/>
  <c r="Q273" i="5"/>
  <c r="P273" i="5"/>
  <c r="O273" i="5"/>
  <c r="N273" i="5"/>
  <c r="K273" i="5"/>
  <c r="H273" i="5"/>
  <c r="J273" i="5" s="1"/>
  <c r="I273" i="5" s="1"/>
  <c r="E273" i="5"/>
  <c r="D273" i="5"/>
  <c r="B273" i="5"/>
  <c r="Q272" i="5"/>
  <c r="P272" i="5"/>
  <c r="O272" i="5"/>
  <c r="N272" i="5"/>
  <c r="K272" i="5"/>
  <c r="H272" i="5"/>
  <c r="J272" i="5" s="1"/>
  <c r="I272" i="5" s="1"/>
  <c r="E272" i="5"/>
  <c r="D272" i="5"/>
  <c r="B272" i="5"/>
  <c r="Q271" i="5"/>
  <c r="P271" i="5"/>
  <c r="O271" i="5"/>
  <c r="N271" i="5"/>
  <c r="K271" i="5"/>
  <c r="H271" i="5"/>
  <c r="J271" i="5" s="1"/>
  <c r="I271" i="5" s="1"/>
  <c r="G271" i="5"/>
  <c r="E271" i="5"/>
  <c r="D271" i="5"/>
  <c r="B271" i="5"/>
  <c r="Q270" i="5"/>
  <c r="P270" i="5"/>
  <c r="O270" i="5"/>
  <c r="N270" i="5"/>
  <c r="K270" i="5"/>
  <c r="H270" i="5"/>
  <c r="G270" i="5" s="1"/>
  <c r="E270" i="5"/>
  <c r="D270" i="5"/>
  <c r="B270" i="5"/>
  <c r="Q269" i="5"/>
  <c r="P269" i="5"/>
  <c r="O269" i="5"/>
  <c r="N269" i="5"/>
  <c r="K269" i="5"/>
  <c r="H269" i="5"/>
  <c r="J269" i="5" s="1"/>
  <c r="I269" i="5" s="1"/>
  <c r="E269" i="5"/>
  <c r="D269" i="5"/>
  <c r="B269" i="5"/>
  <c r="Q268" i="5"/>
  <c r="P268" i="5"/>
  <c r="O268" i="5"/>
  <c r="N268" i="5"/>
  <c r="K268" i="5"/>
  <c r="H268" i="5"/>
  <c r="J268" i="5" s="1"/>
  <c r="I268" i="5" s="1"/>
  <c r="E268" i="5"/>
  <c r="D268" i="5"/>
  <c r="B268" i="5"/>
  <c r="Q267" i="5"/>
  <c r="P267" i="5"/>
  <c r="O267" i="5"/>
  <c r="N267" i="5"/>
  <c r="K267" i="5"/>
  <c r="H267" i="5"/>
  <c r="J267" i="5" s="1"/>
  <c r="I267" i="5" s="1"/>
  <c r="E267" i="5"/>
  <c r="D267" i="5"/>
  <c r="B267" i="5"/>
  <c r="Q266" i="5"/>
  <c r="P266" i="5"/>
  <c r="O266" i="5"/>
  <c r="N266" i="5"/>
  <c r="K266" i="5"/>
  <c r="H266" i="5"/>
  <c r="J266" i="5" s="1"/>
  <c r="I266" i="5" s="1"/>
  <c r="E266" i="5"/>
  <c r="D266" i="5"/>
  <c r="B266" i="5"/>
  <c r="Q265" i="5"/>
  <c r="P265" i="5"/>
  <c r="O265" i="5"/>
  <c r="N265" i="5"/>
  <c r="K265" i="5"/>
  <c r="H265" i="5"/>
  <c r="G265" i="5" s="1"/>
  <c r="E265" i="5"/>
  <c r="D265" i="5"/>
  <c r="B265" i="5"/>
  <c r="Q264" i="5"/>
  <c r="P264" i="5"/>
  <c r="O264" i="5"/>
  <c r="N264" i="5"/>
  <c r="K264" i="5"/>
  <c r="H264" i="5"/>
  <c r="E264" i="5"/>
  <c r="D264" i="5"/>
  <c r="B264" i="5"/>
  <c r="Q263" i="5"/>
  <c r="P263" i="5"/>
  <c r="O263" i="5"/>
  <c r="N263" i="5"/>
  <c r="K263" i="5"/>
  <c r="H263" i="5"/>
  <c r="J263" i="5" s="1"/>
  <c r="I263" i="5" s="1"/>
  <c r="E263" i="5"/>
  <c r="D263" i="5"/>
  <c r="B263" i="5"/>
  <c r="Q262" i="5"/>
  <c r="P262" i="5"/>
  <c r="O262" i="5"/>
  <c r="N262" i="5"/>
  <c r="K262" i="5"/>
  <c r="H262" i="5"/>
  <c r="J262" i="5" s="1"/>
  <c r="I262" i="5" s="1"/>
  <c r="E262" i="5"/>
  <c r="D262" i="5"/>
  <c r="B262" i="5"/>
  <c r="Q261" i="5"/>
  <c r="P261" i="5"/>
  <c r="O261" i="5"/>
  <c r="N261" i="5"/>
  <c r="K261" i="5"/>
  <c r="H261" i="5"/>
  <c r="J261" i="5" s="1"/>
  <c r="I261" i="5" s="1"/>
  <c r="E261" i="5"/>
  <c r="D261" i="5"/>
  <c r="B261" i="5"/>
  <c r="Q260" i="5"/>
  <c r="P260" i="5"/>
  <c r="O260" i="5"/>
  <c r="N260" i="5"/>
  <c r="K260" i="5"/>
  <c r="H260" i="5"/>
  <c r="J260" i="5" s="1"/>
  <c r="I260" i="5" s="1"/>
  <c r="E260" i="5"/>
  <c r="D260" i="5"/>
  <c r="B260" i="5"/>
  <c r="Q259" i="5"/>
  <c r="P259" i="5"/>
  <c r="O259" i="5"/>
  <c r="N259" i="5"/>
  <c r="K259" i="5"/>
  <c r="H259" i="5"/>
  <c r="G259" i="5" s="1"/>
  <c r="E259" i="5"/>
  <c r="D259" i="5"/>
  <c r="B259" i="5"/>
  <c r="Q258" i="5"/>
  <c r="P258" i="5"/>
  <c r="O258" i="5"/>
  <c r="N258" i="5"/>
  <c r="K258" i="5"/>
  <c r="H258" i="5"/>
  <c r="J258" i="5" s="1"/>
  <c r="I258" i="5" s="1"/>
  <c r="E258" i="5"/>
  <c r="D258" i="5"/>
  <c r="B258" i="5"/>
  <c r="Q257" i="5"/>
  <c r="P257" i="5"/>
  <c r="O257" i="5"/>
  <c r="N257" i="5"/>
  <c r="K257" i="5"/>
  <c r="H257" i="5"/>
  <c r="J257" i="5" s="1"/>
  <c r="I257" i="5" s="1"/>
  <c r="E257" i="5"/>
  <c r="D257" i="5"/>
  <c r="B257" i="5"/>
  <c r="Q256" i="5"/>
  <c r="P256" i="5"/>
  <c r="O256" i="5"/>
  <c r="N256" i="5"/>
  <c r="K256" i="5"/>
  <c r="H256" i="5"/>
  <c r="G256" i="5" s="1"/>
  <c r="E256" i="5"/>
  <c r="D256" i="5"/>
  <c r="B256" i="5"/>
  <c r="Q255" i="5"/>
  <c r="P255" i="5"/>
  <c r="O255" i="5"/>
  <c r="N255" i="5"/>
  <c r="K255" i="5"/>
  <c r="H255" i="5"/>
  <c r="J255" i="5" s="1"/>
  <c r="I255" i="5" s="1"/>
  <c r="G255" i="5"/>
  <c r="E255" i="5"/>
  <c r="D255" i="5"/>
  <c r="B255" i="5"/>
  <c r="Q254" i="5"/>
  <c r="P254" i="5"/>
  <c r="O254" i="5"/>
  <c r="N254" i="5"/>
  <c r="K254" i="5"/>
  <c r="H254" i="5"/>
  <c r="J254" i="5" s="1"/>
  <c r="I254" i="5" s="1"/>
  <c r="E254" i="5"/>
  <c r="D254" i="5"/>
  <c r="B254" i="5"/>
  <c r="Q253" i="5"/>
  <c r="P253" i="5"/>
  <c r="O253" i="5"/>
  <c r="N253" i="5"/>
  <c r="K253" i="5"/>
  <c r="H253" i="5"/>
  <c r="J253" i="5" s="1"/>
  <c r="I253" i="5" s="1"/>
  <c r="E253" i="5"/>
  <c r="D253" i="5"/>
  <c r="B253" i="5"/>
  <c r="Q252" i="5"/>
  <c r="P252" i="5"/>
  <c r="O252" i="5"/>
  <c r="N252" i="5"/>
  <c r="K252" i="5"/>
  <c r="H252" i="5"/>
  <c r="J252" i="5" s="1"/>
  <c r="I252" i="5" s="1"/>
  <c r="E252" i="5"/>
  <c r="D252" i="5"/>
  <c r="B252" i="5"/>
  <c r="Q251" i="5"/>
  <c r="P251" i="5"/>
  <c r="R251" i="5" s="1"/>
  <c r="O251" i="5"/>
  <c r="N251" i="5"/>
  <c r="K251" i="5"/>
  <c r="H251" i="5"/>
  <c r="J251" i="5" s="1"/>
  <c r="I251" i="5" s="1"/>
  <c r="E251" i="5"/>
  <c r="D251" i="5"/>
  <c r="B251" i="5"/>
  <c r="Q250" i="5"/>
  <c r="P250" i="5"/>
  <c r="R250" i="5" s="1"/>
  <c r="O250" i="5"/>
  <c r="N250" i="5"/>
  <c r="K250" i="5"/>
  <c r="H250" i="5"/>
  <c r="J250" i="5" s="1"/>
  <c r="I250" i="5" s="1"/>
  <c r="E250" i="5"/>
  <c r="D250" i="5"/>
  <c r="B250" i="5"/>
  <c r="Q249" i="5"/>
  <c r="P249" i="5"/>
  <c r="R249" i="5" s="1"/>
  <c r="O249" i="5"/>
  <c r="N249" i="5"/>
  <c r="K249" i="5"/>
  <c r="H249" i="5"/>
  <c r="G249" i="5" s="1"/>
  <c r="E249" i="5"/>
  <c r="D249" i="5"/>
  <c r="B249" i="5"/>
  <c r="Q248" i="5"/>
  <c r="P248" i="5"/>
  <c r="O248" i="5"/>
  <c r="N248" i="5"/>
  <c r="K248" i="5"/>
  <c r="H248" i="5"/>
  <c r="J248" i="5" s="1"/>
  <c r="I248" i="5" s="1"/>
  <c r="E248" i="5"/>
  <c r="D248" i="5"/>
  <c r="B248" i="5"/>
  <c r="Q247" i="5"/>
  <c r="P247" i="5"/>
  <c r="O247" i="5"/>
  <c r="N247" i="5"/>
  <c r="K247" i="5"/>
  <c r="H247" i="5"/>
  <c r="J247" i="5" s="1"/>
  <c r="I247" i="5" s="1"/>
  <c r="E247" i="5"/>
  <c r="D247" i="5"/>
  <c r="B247" i="5"/>
  <c r="Q246" i="5"/>
  <c r="P246" i="5"/>
  <c r="O246" i="5"/>
  <c r="N246" i="5"/>
  <c r="K246" i="5"/>
  <c r="H246" i="5"/>
  <c r="J246" i="5" s="1"/>
  <c r="I246" i="5" s="1"/>
  <c r="E246" i="5"/>
  <c r="D246" i="5"/>
  <c r="B246" i="5"/>
  <c r="Q245" i="5"/>
  <c r="P245" i="5"/>
  <c r="O245" i="5"/>
  <c r="N245" i="5"/>
  <c r="K245" i="5"/>
  <c r="H245" i="5"/>
  <c r="J245" i="5" s="1"/>
  <c r="I245" i="5" s="1"/>
  <c r="E245" i="5"/>
  <c r="D245" i="5"/>
  <c r="B245" i="5"/>
  <c r="Q244" i="5"/>
  <c r="P244" i="5"/>
  <c r="R244" i="5" s="1"/>
  <c r="O244" i="5"/>
  <c r="N244" i="5"/>
  <c r="K244" i="5"/>
  <c r="H244" i="5"/>
  <c r="J244" i="5" s="1"/>
  <c r="I244" i="5" s="1"/>
  <c r="E244" i="5"/>
  <c r="D244" i="5"/>
  <c r="B244" i="5"/>
  <c r="Q243" i="5"/>
  <c r="P243" i="5"/>
  <c r="O243" i="5"/>
  <c r="N243" i="5"/>
  <c r="K243" i="5"/>
  <c r="H243" i="5"/>
  <c r="G243" i="5" s="1"/>
  <c r="E243" i="5"/>
  <c r="D243" i="5"/>
  <c r="B243" i="5"/>
  <c r="Q242" i="5"/>
  <c r="P242" i="5"/>
  <c r="O242" i="5"/>
  <c r="N242" i="5"/>
  <c r="K242" i="5"/>
  <c r="H242" i="5"/>
  <c r="J242" i="5" s="1"/>
  <c r="I242" i="5" s="1"/>
  <c r="E242" i="5"/>
  <c r="D242" i="5"/>
  <c r="B242" i="5"/>
  <c r="Q241" i="5"/>
  <c r="P241" i="5"/>
  <c r="O241" i="5"/>
  <c r="N241" i="5"/>
  <c r="K241" i="5"/>
  <c r="H241" i="5"/>
  <c r="J241" i="5" s="1"/>
  <c r="I241" i="5" s="1"/>
  <c r="E241" i="5"/>
  <c r="D241" i="5"/>
  <c r="B241" i="5"/>
  <c r="Q240" i="5"/>
  <c r="P240" i="5"/>
  <c r="O240" i="5"/>
  <c r="N240" i="5"/>
  <c r="K240" i="5"/>
  <c r="H240" i="5"/>
  <c r="G240" i="5" s="1"/>
  <c r="E240" i="5"/>
  <c r="D240" i="5"/>
  <c r="B240" i="5"/>
  <c r="Q239" i="5"/>
  <c r="P239" i="5"/>
  <c r="R239" i="5" s="1"/>
  <c r="O239" i="5"/>
  <c r="N239" i="5"/>
  <c r="K239" i="5"/>
  <c r="H239" i="5"/>
  <c r="J239" i="5" s="1"/>
  <c r="I239" i="5" s="1"/>
  <c r="E239" i="5"/>
  <c r="D239" i="5"/>
  <c r="B239" i="5"/>
  <c r="Q238" i="5"/>
  <c r="P238" i="5"/>
  <c r="O238" i="5"/>
  <c r="N238" i="5"/>
  <c r="K238" i="5"/>
  <c r="H238" i="5"/>
  <c r="J238" i="5" s="1"/>
  <c r="I238" i="5" s="1"/>
  <c r="E238" i="5"/>
  <c r="D238" i="5"/>
  <c r="B238" i="5"/>
  <c r="Q237" i="5"/>
  <c r="P237" i="5"/>
  <c r="O237" i="5"/>
  <c r="N237" i="5"/>
  <c r="K237" i="5"/>
  <c r="H237" i="5"/>
  <c r="J237" i="5" s="1"/>
  <c r="I237" i="5" s="1"/>
  <c r="G237" i="5"/>
  <c r="E237" i="5"/>
  <c r="D237" i="5"/>
  <c r="B237" i="5"/>
  <c r="Q236" i="5"/>
  <c r="P236" i="5"/>
  <c r="O236" i="5"/>
  <c r="N236" i="5"/>
  <c r="K236" i="5"/>
  <c r="H236" i="5"/>
  <c r="J236" i="5" s="1"/>
  <c r="I236" i="5" s="1"/>
  <c r="E236" i="5"/>
  <c r="D236" i="5"/>
  <c r="B236" i="5"/>
  <c r="Q235" i="5"/>
  <c r="P235" i="5"/>
  <c r="O235" i="5"/>
  <c r="N235" i="5"/>
  <c r="K235" i="5"/>
  <c r="H235" i="5"/>
  <c r="J235" i="5" s="1"/>
  <c r="I235" i="5" s="1"/>
  <c r="E235" i="5"/>
  <c r="D235" i="5"/>
  <c r="B235" i="5"/>
  <c r="Q234" i="5"/>
  <c r="P234" i="5"/>
  <c r="O234" i="5"/>
  <c r="N234" i="5"/>
  <c r="K234" i="5"/>
  <c r="H234" i="5"/>
  <c r="J234" i="5" s="1"/>
  <c r="I234" i="5" s="1"/>
  <c r="E234" i="5"/>
  <c r="D234" i="5"/>
  <c r="B234" i="5"/>
  <c r="Q233" i="5"/>
  <c r="P233" i="5"/>
  <c r="O233" i="5"/>
  <c r="N233" i="5"/>
  <c r="K233" i="5"/>
  <c r="H233" i="5"/>
  <c r="G233" i="5" s="1"/>
  <c r="E233" i="5"/>
  <c r="D233" i="5"/>
  <c r="B233" i="5"/>
  <c r="Q232" i="5"/>
  <c r="P232" i="5"/>
  <c r="R232" i="5" s="1"/>
  <c r="O232" i="5"/>
  <c r="N232" i="5"/>
  <c r="K232" i="5"/>
  <c r="H232" i="5"/>
  <c r="G232" i="5" s="1"/>
  <c r="E232" i="5"/>
  <c r="D232" i="5"/>
  <c r="B232" i="5"/>
  <c r="Q231" i="5"/>
  <c r="P231" i="5"/>
  <c r="O231" i="5"/>
  <c r="N231" i="5"/>
  <c r="K231" i="5"/>
  <c r="H231" i="5"/>
  <c r="E231" i="5"/>
  <c r="D231" i="5"/>
  <c r="B231" i="5"/>
  <c r="Q230" i="5"/>
  <c r="P230" i="5"/>
  <c r="O230" i="5"/>
  <c r="N230" i="5"/>
  <c r="K230" i="5"/>
  <c r="H230" i="5"/>
  <c r="J230" i="5" s="1"/>
  <c r="I230" i="5" s="1"/>
  <c r="G230" i="5"/>
  <c r="E230" i="5"/>
  <c r="D230" i="5"/>
  <c r="B230" i="5"/>
  <c r="Q229" i="5"/>
  <c r="P229" i="5"/>
  <c r="O229" i="5"/>
  <c r="N229" i="5"/>
  <c r="K229" i="5"/>
  <c r="H229" i="5"/>
  <c r="J229" i="5" s="1"/>
  <c r="I229" i="5" s="1"/>
  <c r="E229" i="5"/>
  <c r="D229" i="5"/>
  <c r="B229" i="5"/>
  <c r="Q228" i="5"/>
  <c r="P228" i="5"/>
  <c r="O228" i="5"/>
  <c r="N228" i="5"/>
  <c r="K228" i="5"/>
  <c r="H228" i="5"/>
  <c r="J228" i="5" s="1"/>
  <c r="I228" i="5" s="1"/>
  <c r="E228" i="5"/>
  <c r="D228" i="5"/>
  <c r="B228" i="5"/>
  <c r="Q227" i="5"/>
  <c r="P227" i="5"/>
  <c r="O227" i="5"/>
  <c r="N227" i="5"/>
  <c r="K227" i="5"/>
  <c r="H227" i="5"/>
  <c r="G227" i="5" s="1"/>
  <c r="E227" i="5"/>
  <c r="D227" i="5"/>
  <c r="B227" i="5"/>
  <c r="Q226" i="5"/>
  <c r="P226" i="5"/>
  <c r="O226" i="5"/>
  <c r="N226" i="5"/>
  <c r="K226" i="5"/>
  <c r="H226" i="5"/>
  <c r="J226" i="5" s="1"/>
  <c r="I226" i="5" s="1"/>
  <c r="E226" i="5"/>
  <c r="D226" i="5"/>
  <c r="B226" i="5"/>
  <c r="Q225" i="5"/>
  <c r="P225" i="5"/>
  <c r="O225" i="5"/>
  <c r="N225" i="5"/>
  <c r="K225" i="5"/>
  <c r="H225" i="5"/>
  <c r="G225" i="5" s="1"/>
  <c r="E225" i="5"/>
  <c r="D225" i="5"/>
  <c r="B225" i="5"/>
  <c r="Q224" i="5"/>
  <c r="P224" i="5"/>
  <c r="O224" i="5"/>
  <c r="N224" i="5"/>
  <c r="K224" i="5"/>
  <c r="H224" i="5"/>
  <c r="G224" i="5" s="1"/>
  <c r="E224" i="5"/>
  <c r="D224" i="5"/>
  <c r="B224" i="5"/>
  <c r="Q223" i="5"/>
  <c r="P223" i="5"/>
  <c r="O223" i="5"/>
  <c r="N223" i="5"/>
  <c r="K223" i="5"/>
  <c r="H223" i="5"/>
  <c r="J223" i="5" s="1"/>
  <c r="I223" i="5" s="1"/>
  <c r="G223" i="5"/>
  <c r="E223" i="5"/>
  <c r="D223" i="5"/>
  <c r="B223" i="5"/>
  <c r="Q222" i="5"/>
  <c r="P222" i="5"/>
  <c r="O222" i="5"/>
  <c r="N222" i="5"/>
  <c r="K222" i="5"/>
  <c r="H222" i="5"/>
  <c r="J222" i="5" s="1"/>
  <c r="I222" i="5" s="1"/>
  <c r="E222" i="5"/>
  <c r="D222" i="5"/>
  <c r="B222" i="5"/>
  <c r="Q221" i="5"/>
  <c r="P221" i="5"/>
  <c r="O221" i="5"/>
  <c r="N221" i="5"/>
  <c r="K221" i="5"/>
  <c r="H221" i="5"/>
  <c r="E221" i="5"/>
  <c r="D221" i="5"/>
  <c r="B221" i="5"/>
  <c r="Q220" i="5"/>
  <c r="P220" i="5"/>
  <c r="O220" i="5"/>
  <c r="N220" i="5"/>
  <c r="K220" i="5"/>
  <c r="H220" i="5"/>
  <c r="E220" i="5"/>
  <c r="D220" i="5"/>
  <c r="B220" i="5"/>
  <c r="Q219" i="5"/>
  <c r="P219" i="5"/>
  <c r="R219" i="5" s="1"/>
  <c r="O219" i="5"/>
  <c r="N219" i="5"/>
  <c r="K219" i="5"/>
  <c r="H219" i="5"/>
  <c r="E219" i="5"/>
  <c r="D219" i="5"/>
  <c r="B219" i="5"/>
  <c r="Q218" i="5"/>
  <c r="P218" i="5"/>
  <c r="O218" i="5"/>
  <c r="N218" i="5"/>
  <c r="K218" i="5"/>
  <c r="H218" i="5"/>
  <c r="J218" i="5" s="1"/>
  <c r="I218" i="5" s="1"/>
  <c r="E218" i="5"/>
  <c r="D218" i="5"/>
  <c r="B218" i="5"/>
  <c r="Q217" i="5"/>
  <c r="P217" i="5"/>
  <c r="O217" i="5"/>
  <c r="N217" i="5"/>
  <c r="K217" i="5"/>
  <c r="H217" i="5"/>
  <c r="G217" i="5" s="1"/>
  <c r="E217" i="5"/>
  <c r="D217" i="5"/>
  <c r="B217" i="5"/>
  <c r="Q216" i="5"/>
  <c r="P216" i="5"/>
  <c r="R216" i="5" s="1"/>
  <c r="O216" i="5"/>
  <c r="N216" i="5"/>
  <c r="K216" i="5"/>
  <c r="H216" i="5"/>
  <c r="J216" i="5" s="1"/>
  <c r="I216" i="5" s="1"/>
  <c r="G216" i="5"/>
  <c r="E216" i="5"/>
  <c r="D216" i="5"/>
  <c r="B216" i="5"/>
  <c r="Q215" i="5"/>
  <c r="P215" i="5"/>
  <c r="O215" i="5"/>
  <c r="N215" i="5"/>
  <c r="K215" i="5"/>
  <c r="H215" i="5"/>
  <c r="J215" i="5" s="1"/>
  <c r="I215" i="5" s="1"/>
  <c r="E215" i="5"/>
  <c r="D215" i="5"/>
  <c r="B215" i="5"/>
  <c r="Q214" i="5"/>
  <c r="P214" i="5"/>
  <c r="O214" i="5"/>
  <c r="N214" i="5"/>
  <c r="K214" i="5"/>
  <c r="H214" i="5"/>
  <c r="J214" i="5" s="1"/>
  <c r="I214" i="5" s="1"/>
  <c r="E214" i="5"/>
  <c r="D214" i="5"/>
  <c r="B214" i="5"/>
  <c r="Q213" i="5"/>
  <c r="P213" i="5"/>
  <c r="O213" i="5"/>
  <c r="N213" i="5"/>
  <c r="K213" i="5"/>
  <c r="H213" i="5"/>
  <c r="J213" i="5" s="1"/>
  <c r="I213" i="5" s="1"/>
  <c r="E213" i="5"/>
  <c r="D213" i="5"/>
  <c r="B213" i="5"/>
  <c r="Q212" i="5"/>
  <c r="P212" i="5"/>
  <c r="O212" i="5"/>
  <c r="N212" i="5"/>
  <c r="K212" i="5"/>
  <c r="H212" i="5"/>
  <c r="J212" i="5" s="1"/>
  <c r="I212" i="5" s="1"/>
  <c r="E212" i="5"/>
  <c r="D212" i="5"/>
  <c r="B212" i="5"/>
  <c r="Q211" i="5"/>
  <c r="P211" i="5"/>
  <c r="O211" i="5"/>
  <c r="N211" i="5"/>
  <c r="K211" i="5"/>
  <c r="H211" i="5"/>
  <c r="G211" i="5" s="1"/>
  <c r="E211" i="5"/>
  <c r="D211" i="5"/>
  <c r="B211" i="5"/>
  <c r="Q210" i="5"/>
  <c r="P210" i="5"/>
  <c r="O210" i="5"/>
  <c r="N210" i="5"/>
  <c r="K210" i="5"/>
  <c r="H210" i="5"/>
  <c r="G210" i="5" s="1"/>
  <c r="E210" i="5"/>
  <c r="D210" i="5"/>
  <c r="B210" i="5"/>
  <c r="Q209" i="5"/>
  <c r="P209" i="5"/>
  <c r="R209" i="5" s="1"/>
  <c r="O209" i="5"/>
  <c r="N209" i="5"/>
  <c r="K209" i="5"/>
  <c r="H209" i="5"/>
  <c r="J209" i="5" s="1"/>
  <c r="I209" i="5" s="1"/>
  <c r="E209" i="5"/>
  <c r="D209" i="5"/>
  <c r="B209" i="5"/>
  <c r="Q208" i="5"/>
  <c r="P208" i="5"/>
  <c r="O208" i="5"/>
  <c r="N208" i="5"/>
  <c r="K208" i="5"/>
  <c r="H208" i="5"/>
  <c r="G208" i="5" s="1"/>
  <c r="E208" i="5"/>
  <c r="D208" i="5"/>
  <c r="B208" i="5"/>
  <c r="Q207" i="5"/>
  <c r="P207" i="5"/>
  <c r="O207" i="5"/>
  <c r="N207" i="5"/>
  <c r="K207" i="5"/>
  <c r="H207" i="5"/>
  <c r="J207" i="5" s="1"/>
  <c r="I207" i="5" s="1"/>
  <c r="E207" i="5"/>
  <c r="D207" i="5"/>
  <c r="B207" i="5"/>
  <c r="Q206" i="5"/>
  <c r="P206" i="5"/>
  <c r="O206" i="5"/>
  <c r="N206" i="5"/>
  <c r="K206" i="5"/>
  <c r="H206" i="5"/>
  <c r="G206" i="5" s="1"/>
  <c r="E206" i="5"/>
  <c r="D206" i="5"/>
  <c r="B206" i="5"/>
  <c r="Q205" i="5"/>
  <c r="P205" i="5"/>
  <c r="O205" i="5"/>
  <c r="N205" i="5"/>
  <c r="K205" i="5"/>
  <c r="H205" i="5"/>
  <c r="E205" i="5"/>
  <c r="D205" i="5"/>
  <c r="B205" i="5"/>
  <c r="Q204" i="5"/>
  <c r="P204" i="5"/>
  <c r="O204" i="5"/>
  <c r="N204" i="5"/>
  <c r="K204" i="5"/>
  <c r="H204" i="5"/>
  <c r="J204" i="5" s="1"/>
  <c r="I204" i="5" s="1"/>
  <c r="E204" i="5"/>
  <c r="D204" i="5"/>
  <c r="B204" i="5"/>
  <c r="Q203" i="5"/>
  <c r="P203" i="5"/>
  <c r="O203" i="5"/>
  <c r="N203" i="5"/>
  <c r="K203" i="5"/>
  <c r="H203" i="5"/>
  <c r="E203" i="5"/>
  <c r="D203" i="5"/>
  <c r="B203" i="5"/>
  <c r="Q202" i="5"/>
  <c r="P202" i="5"/>
  <c r="O202" i="5"/>
  <c r="N202" i="5"/>
  <c r="K202" i="5"/>
  <c r="H202" i="5"/>
  <c r="G202" i="5" s="1"/>
  <c r="E202" i="5"/>
  <c r="D202" i="5"/>
  <c r="B202" i="5"/>
  <c r="Q201" i="5"/>
  <c r="P201" i="5"/>
  <c r="O201" i="5"/>
  <c r="N201" i="5"/>
  <c r="K201" i="5"/>
  <c r="H201" i="5"/>
  <c r="G201" i="5" s="1"/>
  <c r="E201" i="5"/>
  <c r="D201" i="5"/>
  <c r="B201" i="5"/>
  <c r="Q200" i="5"/>
  <c r="P200" i="5"/>
  <c r="O200" i="5"/>
  <c r="N200" i="5"/>
  <c r="K200" i="5"/>
  <c r="H200" i="5"/>
  <c r="J200" i="5" s="1"/>
  <c r="I200" i="5" s="1"/>
  <c r="E200" i="5"/>
  <c r="D200" i="5"/>
  <c r="B200" i="5"/>
  <c r="Q199" i="5"/>
  <c r="P199" i="5"/>
  <c r="O199" i="5"/>
  <c r="N199" i="5"/>
  <c r="K199" i="5"/>
  <c r="H199" i="5"/>
  <c r="J199" i="5" s="1"/>
  <c r="I199" i="5" s="1"/>
  <c r="E199" i="5"/>
  <c r="D199" i="5"/>
  <c r="B199" i="5"/>
  <c r="Q198" i="5"/>
  <c r="P198" i="5"/>
  <c r="O198" i="5"/>
  <c r="N198" i="5"/>
  <c r="K198" i="5"/>
  <c r="H198" i="5"/>
  <c r="J198" i="5" s="1"/>
  <c r="I198" i="5" s="1"/>
  <c r="E198" i="5"/>
  <c r="D198" i="5"/>
  <c r="B198" i="5"/>
  <c r="Q197" i="5"/>
  <c r="P197" i="5"/>
  <c r="O197" i="5"/>
  <c r="N197" i="5"/>
  <c r="K197" i="5"/>
  <c r="H197" i="5"/>
  <c r="J197" i="5" s="1"/>
  <c r="I197" i="5" s="1"/>
  <c r="E197" i="5"/>
  <c r="D197" i="5"/>
  <c r="B197" i="5"/>
  <c r="Q196" i="5"/>
  <c r="P196" i="5"/>
  <c r="O196" i="5"/>
  <c r="N196" i="5"/>
  <c r="K196" i="5"/>
  <c r="H196" i="5"/>
  <c r="J196" i="5" s="1"/>
  <c r="I196" i="5" s="1"/>
  <c r="E196" i="5"/>
  <c r="D196" i="5"/>
  <c r="B196" i="5"/>
  <c r="Q195" i="5"/>
  <c r="P195" i="5"/>
  <c r="O195" i="5"/>
  <c r="N195" i="5"/>
  <c r="K195" i="5"/>
  <c r="H195" i="5"/>
  <c r="G195" i="5" s="1"/>
  <c r="E195" i="5"/>
  <c r="D195" i="5"/>
  <c r="B195" i="5"/>
  <c r="Q194" i="5"/>
  <c r="P194" i="5"/>
  <c r="O194" i="5"/>
  <c r="N194" i="5"/>
  <c r="K194" i="5"/>
  <c r="H194" i="5"/>
  <c r="J194" i="5" s="1"/>
  <c r="I194" i="5" s="1"/>
  <c r="E194" i="5"/>
  <c r="D194" i="5"/>
  <c r="B194" i="5"/>
  <c r="Q193" i="5"/>
  <c r="P193" i="5"/>
  <c r="O193" i="5"/>
  <c r="N193" i="5"/>
  <c r="K193" i="5"/>
  <c r="H193" i="5"/>
  <c r="J193" i="5" s="1"/>
  <c r="I193" i="5" s="1"/>
  <c r="E193" i="5"/>
  <c r="D193" i="5"/>
  <c r="B193" i="5"/>
  <c r="Q192" i="5"/>
  <c r="P192" i="5"/>
  <c r="O192" i="5"/>
  <c r="N192" i="5"/>
  <c r="K192" i="5"/>
  <c r="H192" i="5"/>
  <c r="J192" i="5" s="1"/>
  <c r="I192" i="5" s="1"/>
  <c r="G192" i="5"/>
  <c r="E192" i="5"/>
  <c r="D192" i="5"/>
  <c r="B192" i="5"/>
  <c r="Q191" i="5"/>
  <c r="P191" i="5"/>
  <c r="O191" i="5"/>
  <c r="N191" i="5"/>
  <c r="K191" i="5"/>
  <c r="H191" i="5"/>
  <c r="E191" i="5"/>
  <c r="D191" i="5"/>
  <c r="B191" i="5"/>
  <c r="Q190" i="5"/>
  <c r="P190" i="5"/>
  <c r="O190" i="5"/>
  <c r="N190" i="5"/>
  <c r="K190" i="5"/>
  <c r="H190" i="5"/>
  <c r="J190" i="5" s="1"/>
  <c r="I190" i="5" s="1"/>
  <c r="E190" i="5"/>
  <c r="D190" i="5"/>
  <c r="B190" i="5"/>
  <c r="Q189" i="5"/>
  <c r="P189" i="5"/>
  <c r="O189" i="5"/>
  <c r="N189" i="5"/>
  <c r="K189" i="5"/>
  <c r="H189" i="5"/>
  <c r="J189" i="5" s="1"/>
  <c r="I189" i="5" s="1"/>
  <c r="E189" i="5"/>
  <c r="D189" i="5"/>
  <c r="B189" i="5"/>
  <c r="Q188" i="5"/>
  <c r="P188" i="5"/>
  <c r="O188" i="5"/>
  <c r="N188" i="5"/>
  <c r="K188" i="5"/>
  <c r="H188" i="5"/>
  <c r="E188" i="5"/>
  <c r="D188" i="5"/>
  <c r="B188" i="5"/>
  <c r="Q187" i="5"/>
  <c r="P187" i="5"/>
  <c r="O187" i="5"/>
  <c r="N187" i="5"/>
  <c r="K187" i="5"/>
  <c r="H187" i="5"/>
  <c r="J187" i="5" s="1"/>
  <c r="I187" i="5" s="1"/>
  <c r="E187" i="5"/>
  <c r="D187" i="5"/>
  <c r="B187" i="5"/>
  <c r="Q186" i="5"/>
  <c r="P186" i="5"/>
  <c r="O186" i="5"/>
  <c r="N186" i="5"/>
  <c r="K186" i="5"/>
  <c r="H186" i="5"/>
  <c r="G186" i="5" s="1"/>
  <c r="E186" i="5"/>
  <c r="D186" i="5"/>
  <c r="B186" i="5"/>
  <c r="Q185" i="5"/>
  <c r="P185" i="5"/>
  <c r="R185" i="5" s="1"/>
  <c r="O185" i="5"/>
  <c r="N185" i="5"/>
  <c r="K185" i="5"/>
  <c r="H185" i="5"/>
  <c r="G185" i="5" s="1"/>
  <c r="E185" i="5"/>
  <c r="D185" i="5"/>
  <c r="B185" i="5"/>
  <c r="Q184" i="5"/>
  <c r="P184" i="5"/>
  <c r="O184" i="5"/>
  <c r="N184" i="5"/>
  <c r="K184" i="5"/>
  <c r="H184" i="5"/>
  <c r="J184" i="5" s="1"/>
  <c r="I184" i="5" s="1"/>
  <c r="E184" i="5"/>
  <c r="D184" i="5"/>
  <c r="B184" i="5"/>
  <c r="Q183" i="5"/>
  <c r="P183" i="5"/>
  <c r="R183" i="5" s="1"/>
  <c r="O183" i="5"/>
  <c r="N183" i="5"/>
  <c r="K183" i="5"/>
  <c r="H183" i="5"/>
  <c r="J183" i="5" s="1"/>
  <c r="I183" i="5" s="1"/>
  <c r="E183" i="5"/>
  <c r="D183" i="5"/>
  <c r="B183" i="5"/>
  <c r="Q182" i="5"/>
  <c r="P182" i="5"/>
  <c r="O182" i="5"/>
  <c r="N182" i="5"/>
  <c r="K182" i="5"/>
  <c r="H182" i="5"/>
  <c r="J182" i="5" s="1"/>
  <c r="I182" i="5" s="1"/>
  <c r="E182" i="5"/>
  <c r="D182" i="5"/>
  <c r="B182" i="5"/>
  <c r="Q181" i="5"/>
  <c r="P181" i="5"/>
  <c r="O181" i="5"/>
  <c r="N181" i="5"/>
  <c r="K181" i="5"/>
  <c r="H181" i="5"/>
  <c r="J181" i="5" s="1"/>
  <c r="I181" i="5" s="1"/>
  <c r="E181" i="5"/>
  <c r="D181" i="5"/>
  <c r="B181" i="5"/>
  <c r="Q180" i="5"/>
  <c r="P180" i="5"/>
  <c r="O180" i="5"/>
  <c r="N180" i="5"/>
  <c r="K180" i="5"/>
  <c r="H180" i="5"/>
  <c r="J180" i="5" s="1"/>
  <c r="I180" i="5" s="1"/>
  <c r="E180" i="5"/>
  <c r="D180" i="5"/>
  <c r="B180" i="5"/>
  <c r="Q179" i="5"/>
  <c r="P179" i="5"/>
  <c r="O179" i="5"/>
  <c r="N179" i="5"/>
  <c r="K179" i="5"/>
  <c r="H179" i="5"/>
  <c r="G179" i="5" s="1"/>
  <c r="E179" i="5"/>
  <c r="D179" i="5"/>
  <c r="B179" i="5"/>
  <c r="Q178" i="5"/>
  <c r="P178" i="5"/>
  <c r="O178" i="5"/>
  <c r="N178" i="5"/>
  <c r="K178" i="5"/>
  <c r="H178" i="5"/>
  <c r="J178" i="5" s="1"/>
  <c r="I178" i="5" s="1"/>
  <c r="E178" i="5"/>
  <c r="D178" i="5"/>
  <c r="B178" i="5"/>
  <c r="Q177" i="5"/>
  <c r="P177" i="5"/>
  <c r="O177" i="5"/>
  <c r="N177" i="5"/>
  <c r="K177" i="5"/>
  <c r="H177" i="5"/>
  <c r="J177" i="5" s="1"/>
  <c r="I177" i="5" s="1"/>
  <c r="E177" i="5"/>
  <c r="D177" i="5"/>
  <c r="B177" i="5"/>
  <c r="Q176" i="5"/>
  <c r="P176" i="5"/>
  <c r="O176" i="5"/>
  <c r="N176" i="5"/>
  <c r="K176" i="5"/>
  <c r="H176" i="5"/>
  <c r="J176" i="5" s="1"/>
  <c r="I176" i="5" s="1"/>
  <c r="E176" i="5"/>
  <c r="D176" i="5"/>
  <c r="B176" i="5"/>
  <c r="Q175" i="5"/>
  <c r="P175" i="5"/>
  <c r="O175" i="5"/>
  <c r="N175" i="5"/>
  <c r="K175" i="5"/>
  <c r="H175" i="5"/>
  <c r="J175" i="5" s="1"/>
  <c r="I175" i="5" s="1"/>
  <c r="E175" i="5"/>
  <c r="D175" i="5"/>
  <c r="B175" i="5"/>
  <c r="Q174" i="5"/>
  <c r="P174" i="5"/>
  <c r="R174" i="5" s="1"/>
  <c r="O174" i="5"/>
  <c r="N174" i="5"/>
  <c r="K174" i="5"/>
  <c r="H174" i="5"/>
  <c r="J174" i="5" s="1"/>
  <c r="I174" i="5" s="1"/>
  <c r="E174" i="5"/>
  <c r="D174" i="5"/>
  <c r="B174" i="5"/>
  <c r="Q173" i="5"/>
  <c r="P173" i="5"/>
  <c r="O173" i="5"/>
  <c r="N173" i="5"/>
  <c r="K173" i="5"/>
  <c r="H173" i="5"/>
  <c r="E173" i="5"/>
  <c r="D173" i="5"/>
  <c r="B173" i="5"/>
  <c r="Q172" i="5"/>
  <c r="P172" i="5"/>
  <c r="O172" i="5"/>
  <c r="N172" i="5"/>
  <c r="K172" i="5"/>
  <c r="H172" i="5"/>
  <c r="E172" i="5"/>
  <c r="D172" i="5"/>
  <c r="B172" i="5"/>
  <c r="Q171" i="5"/>
  <c r="P171" i="5"/>
  <c r="O171" i="5"/>
  <c r="N171" i="5"/>
  <c r="K171" i="5"/>
  <c r="H171" i="5"/>
  <c r="J171" i="5" s="1"/>
  <c r="I171" i="5" s="1"/>
  <c r="E171" i="5"/>
  <c r="D171" i="5"/>
  <c r="B171" i="5"/>
  <c r="Q170" i="5"/>
  <c r="P170" i="5"/>
  <c r="O170" i="5"/>
  <c r="N170" i="5"/>
  <c r="K170" i="5"/>
  <c r="H170" i="5"/>
  <c r="J170" i="5" s="1"/>
  <c r="I170" i="5" s="1"/>
  <c r="E170" i="5"/>
  <c r="D170" i="5"/>
  <c r="B170" i="5"/>
  <c r="Q169" i="5"/>
  <c r="P169" i="5"/>
  <c r="O169" i="5"/>
  <c r="N169" i="5"/>
  <c r="K169" i="5"/>
  <c r="H169" i="5"/>
  <c r="G169" i="5" s="1"/>
  <c r="E169" i="5"/>
  <c r="D169" i="5"/>
  <c r="B169" i="5"/>
  <c r="Q168" i="5"/>
  <c r="P168" i="5"/>
  <c r="O168" i="5"/>
  <c r="N168" i="5"/>
  <c r="K168" i="5"/>
  <c r="H168" i="5"/>
  <c r="G168" i="5" s="1"/>
  <c r="E168" i="5"/>
  <c r="D168" i="5"/>
  <c r="B168" i="5"/>
  <c r="Q167" i="5"/>
  <c r="P167" i="5"/>
  <c r="R167" i="5" s="1"/>
  <c r="O167" i="5"/>
  <c r="N167" i="5"/>
  <c r="K167" i="5"/>
  <c r="H167" i="5"/>
  <c r="G167" i="5" s="1"/>
  <c r="E167" i="5"/>
  <c r="D167" i="5"/>
  <c r="B167" i="5"/>
  <c r="Q166" i="5"/>
  <c r="P166" i="5"/>
  <c r="O166" i="5"/>
  <c r="N166" i="5"/>
  <c r="K166" i="5"/>
  <c r="H166" i="5"/>
  <c r="J166" i="5" s="1"/>
  <c r="I166" i="5" s="1"/>
  <c r="E166" i="5"/>
  <c r="D166" i="5"/>
  <c r="B166" i="5"/>
  <c r="Q165" i="5"/>
  <c r="P165" i="5"/>
  <c r="O165" i="5"/>
  <c r="N165" i="5"/>
  <c r="K165" i="5"/>
  <c r="H165" i="5"/>
  <c r="J165" i="5" s="1"/>
  <c r="I165" i="5" s="1"/>
  <c r="E165" i="5"/>
  <c r="D165" i="5"/>
  <c r="B165" i="5"/>
  <c r="Q164" i="5"/>
  <c r="P164" i="5"/>
  <c r="O164" i="5"/>
  <c r="N164" i="5"/>
  <c r="K164" i="5"/>
  <c r="H164" i="5"/>
  <c r="J164" i="5" s="1"/>
  <c r="I164" i="5" s="1"/>
  <c r="E164" i="5"/>
  <c r="D164" i="5"/>
  <c r="B164" i="5"/>
  <c r="Q163" i="5"/>
  <c r="P163" i="5"/>
  <c r="O163" i="5"/>
  <c r="N163" i="5"/>
  <c r="K163" i="5"/>
  <c r="H163" i="5"/>
  <c r="G163" i="5" s="1"/>
  <c r="E163" i="5"/>
  <c r="D163" i="5"/>
  <c r="B163" i="5"/>
  <c r="Q162" i="5"/>
  <c r="P162" i="5"/>
  <c r="O162" i="5"/>
  <c r="N162" i="5"/>
  <c r="K162" i="5"/>
  <c r="H162" i="5"/>
  <c r="J162" i="5" s="1"/>
  <c r="I162" i="5" s="1"/>
  <c r="E162" i="5"/>
  <c r="D162" i="5"/>
  <c r="B162" i="5"/>
  <c r="Q161" i="5"/>
  <c r="P161" i="5"/>
  <c r="O161" i="5"/>
  <c r="N161" i="5"/>
  <c r="K161" i="5"/>
  <c r="H161" i="5"/>
  <c r="G161" i="5" s="1"/>
  <c r="E161" i="5"/>
  <c r="D161" i="5"/>
  <c r="B161" i="5"/>
  <c r="Q160" i="5"/>
  <c r="P160" i="5"/>
  <c r="O160" i="5"/>
  <c r="N160" i="5"/>
  <c r="K160" i="5"/>
  <c r="H160" i="5"/>
  <c r="J160" i="5" s="1"/>
  <c r="I160" i="5" s="1"/>
  <c r="E160" i="5"/>
  <c r="D160" i="5"/>
  <c r="B160" i="5"/>
  <c r="Q159" i="5"/>
  <c r="P159" i="5"/>
  <c r="O159" i="5"/>
  <c r="N159" i="5"/>
  <c r="K159" i="5"/>
  <c r="H159" i="5"/>
  <c r="J159" i="5" s="1"/>
  <c r="I159" i="5" s="1"/>
  <c r="E159" i="5"/>
  <c r="D159" i="5"/>
  <c r="B159" i="5"/>
  <c r="Q158" i="5"/>
  <c r="P158" i="5"/>
  <c r="O158" i="5"/>
  <c r="N158" i="5"/>
  <c r="K158" i="5"/>
  <c r="H158" i="5"/>
  <c r="E158" i="5"/>
  <c r="D158" i="5"/>
  <c r="B158" i="5"/>
  <c r="Q157" i="5"/>
  <c r="P157" i="5"/>
  <c r="O157" i="5"/>
  <c r="N157" i="5"/>
  <c r="K157" i="5"/>
  <c r="H157" i="5"/>
  <c r="J157" i="5" s="1"/>
  <c r="I157" i="5" s="1"/>
  <c r="E157" i="5"/>
  <c r="D157" i="5"/>
  <c r="B157" i="5"/>
  <c r="Q156" i="5"/>
  <c r="P156" i="5"/>
  <c r="O156" i="5"/>
  <c r="N156" i="5"/>
  <c r="K156" i="5"/>
  <c r="H156" i="5"/>
  <c r="J156" i="5" s="1"/>
  <c r="I156" i="5" s="1"/>
  <c r="E156" i="5"/>
  <c r="D156" i="5"/>
  <c r="B156" i="5"/>
  <c r="Q155" i="5"/>
  <c r="P155" i="5"/>
  <c r="O155" i="5"/>
  <c r="N155" i="5"/>
  <c r="K155" i="5"/>
  <c r="H155" i="5"/>
  <c r="E155" i="5"/>
  <c r="D155" i="5"/>
  <c r="B155" i="5"/>
  <c r="Q154" i="5"/>
  <c r="P154" i="5"/>
  <c r="O154" i="5"/>
  <c r="N154" i="5"/>
  <c r="K154" i="5"/>
  <c r="H154" i="5"/>
  <c r="G154" i="5" s="1"/>
  <c r="E154" i="5"/>
  <c r="D154" i="5"/>
  <c r="B154" i="5"/>
  <c r="Q153" i="5"/>
  <c r="P153" i="5"/>
  <c r="O153" i="5"/>
  <c r="N153" i="5"/>
  <c r="K153" i="5"/>
  <c r="H153" i="5"/>
  <c r="G153" i="5" s="1"/>
  <c r="E153" i="5"/>
  <c r="D153" i="5"/>
  <c r="B153" i="5"/>
  <c r="Q152" i="5"/>
  <c r="P152" i="5"/>
  <c r="O152" i="5"/>
  <c r="N152" i="5"/>
  <c r="K152" i="5"/>
  <c r="H152" i="5"/>
  <c r="J152" i="5" s="1"/>
  <c r="I152" i="5" s="1"/>
  <c r="G152" i="5"/>
  <c r="E152" i="5"/>
  <c r="D152" i="5"/>
  <c r="B152" i="5"/>
  <c r="Q151" i="5"/>
  <c r="P151" i="5"/>
  <c r="O151" i="5"/>
  <c r="N151" i="5"/>
  <c r="K151" i="5"/>
  <c r="H151" i="5"/>
  <c r="J151" i="5" s="1"/>
  <c r="I151" i="5" s="1"/>
  <c r="E151" i="5"/>
  <c r="D151" i="5"/>
  <c r="B151" i="5"/>
  <c r="Q150" i="5"/>
  <c r="P150" i="5"/>
  <c r="O150" i="5"/>
  <c r="N150" i="5"/>
  <c r="K150" i="5"/>
  <c r="H150" i="5"/>
  <c r="J150" i="5" s="1"/>
  <c r="I150" i="5" s="1"/>
  <c r="G150" i="5"/>
  <c r="E150" i="5"/>
  <c r="D150" i="5"/>
  <c r="B150" i="5"/>
  <c r="Q149" i="5"/>
  <c r="P149" i="5"/>
  <c r="O149" i="5"/>
  <c r="N149" i="5"/>
  <c r="K149" i="5"/>
  <c r="H149" i="5"/>
  <c r="J149" i="5" s="1"/>
  <c r="I149" i="5" s="1"/>
  <c r="E149" i="5"/>
  <c r="D149" i="5"/>
  <c r="B149" i="5"/>
  <c r="Q148" i="5"/>
  <c r="P148" i="5"/>
  <c r="O148" i="5"/>
  <c r="N148" i="5"/>
  <c r="K148" i="5"/>
  <c r="H148" i="5"/>
  <c r="J148" i="5" s="1"/>
  <c r="I148" i="5" s="1"/>
  <c r="E148" i="5"/>
  <c r="D148" i="5"/>
  <c r="B148" i="5"/>
  <c r="Q147" i="5"/>
  <c r="P147" i="5"/>
  <c r="O147" i="5"/>
  <c r="N147" i="5"/>
  <c r="K147" i="5"/>
  <c r="H147" i="5"/>
  <c r="G147" i="5" s="1"/>
  <c r="E147" i="5"/>
  <c r="D147" i="5"/>
  <c r="B147" i="5"/>
  <c r="Q146" i="5"/>
  <c r="P146" i="5"/>
  <c r="O146" i="5"/>
  <c r="N146" i="5"/>
  <c r="K146" i="5"/>
  <c r="H146" i="5"/>
  <c r="J146" i="5" s="1"/>
  <c r="I146" i="5" s="1"/>
  <c r="E146" i="5"/>
  <c r="D146" i="5"/>
  <c r="B146" i="5"/>
  <c r="Q145" i="5"/>
  <c r="P145" i="5"/>
  <c r="O145" i="5"/>
  <c r="N145" i="5"/>
  <c r="K145" i="5"/>
  <c r="H145" i="5"/>
  <c r="J145" i="5" s="1"/>
  <c r="I145" i="5" s="1"/>
  <c r="E145" i="5"/>
  <c r="D145" i="5"/>
  <c r="B145" i="5"/>
  <c r="Q144" i="5"/>
  <c r="P144" i="5"/>
  <c r="O144" i="5"/>
  <c r="N144" i="5"/>
  <c r="K144" i="5"/>
  <c r="H144" i="5"/>
  <c r="J144" i="5" s="1"/>
  <c r="I144" i="5" s="1"/>
  <c r="E144" i="5"/>
  <c r="D144" i="5"/>
  <c r="B144" i="5"/>
  <c r="Q143" i="5"/>
  <c r="P143" i="5"/>
  <c r="O143" i="5"/>
  <c r="N143" i="5"/>
  <c r="K143" i="5"/>
  <c r="H143" i="5"/>
  <c r="G143" i="5" s="1"/>
  <c r="E143" i="5"/>
  <c r="D143" i="5"/>
  <c r="B143" i="5"/>
  <c r="Q142" i="5"/>
  <c r="P142" i="5"/>
  <c r="O142" i="5"/>
  <c r="N142" i="5"/>
  <c r="K142" i="5"/>
  <c r="H142" i="5"/>
  <c r="J142" i="5" s="1"/>
  <c r="I142" i="5" s="1"/>
  <c r="G142" i="5"/>
  <c r="E142" i="5"/>
  <c r="D142" i="5"/>
  <c r="B142" i="5"/>
  <c r="Q141" i="5"/>
  <c r="P141" i="5"/>
  <c r="O141" i="5"/>
  <c r="N141" i="5"/>
  <c r="K141" i="5"/>
  <c r="H141" i="5"/>
  <c r="J141" i="5" s="1"/>
  <c r="I141" i="5" s="1"/>
  <c r="E141" i="5"/>
  <c r="D141" i="5"/>
  <c r="B141" i="5"/>
  <c r="Q140" i="5"/>
  <c r="P140" i="5"/>
  <c r="R140" i="5" s="1"/>
  <c r="O140" i="5"/>
  <c r="N140" i="5"/>
  <c r="K140" i="5"/>
  <c r="H140" i="5"/>
  <c r="G140" i="5" s="1"/>
  <c r="E140" i="5"/>
  <c r="D140" i="5"/>
  <c r="B140" i="5"/>
  <c r="Q139" i="5"/>
  <c r="P139" i="5"/>
  <c r="R139" i="5" s="1"/>
  <c r="O139" i="5"/>
  <c r="N139" i="5"/>
  <c r="K139" i="5"/>
  <c r="H139" i="5"/>
  <c r="J139" i="5" s="1"/>
  <c r="I139" i="5" s="1"/>
  <c r="E139" i="5"/>
  <c r="D139" i="5"/>
  <c r="B139" i="5"/>
  <c r="Q138" i="5"/>
  <c r="P138" i="5"/>
  <c r="R138" i="5" s="1"/>
  <c r="O138" i="5"/>
  <c r="N138" i="5"/>
  <c r="K138" i="5"/>
  <c r="H138" i="5"/>
  <c r="G138" i="5" s="1"/>
  <c r="E138" i="5"/>
  <c r="D138" i="5"/>
  <c r="B138" i="5"/>
  <c r="Q137" i="5"/>
  <c r="P137" i="5"/>
  <c r="O137" i="5"/>
  <c r="N137" i="5"/>
  <c r="K137" i="5"/>
  <c r="H137" i="5"/>
  <c r="G137" i="5" s="1"/>
  <c r="E137" i="5"/>
  <c r="D137" i="5"/>
  <c r="B137" i="5"/>
  <c r="Q136" i="5"/>
  <c r="P136" i="5"/>
  <c r="O136" i="5"/>
  <c r="N136" i="5"/>
  <c r="K136" i="5"/>
  <c r="H136" i="5"/>
  <c r="J136" i="5" s="1"/>
  <c r="I136" i="5" s="1"/>
  <c r="G136" i="5"/>
  <c r="E136" i="5"/>
  <c r="D136" i="5"/>
  <c r="B136" i="5"/>
  <c r="Q135" i="5"/>
  <c r="P135" i="5"/>
  <c r="O135" i="5"/>
  <c r="N135" i="5"/>
  <c r="K135" i="5"/>
  <c r="H135" i="5"/>
  <c r="J135" i="5" s="1"/>
  <c r="I135" i="5" s="1"/>
  <c r="E135" i="5"/>
  <c r="D135" i="5"/>
  <c r="B135" i="5"/>
  <c r="Q134" i="5"/>
  <c r="P134" i="5"/>
  <c r="O134" i="5"/>
  <c r="N134" i="5"/>
  <c r="K134" i="5"/>
  <c r="H134" i="5"/>
  <c r="J134" i="5" s="1"/>
  <c r="I134" i="5" s="1"/>
  <c r="E134" i="5"/>
  <c r="D134" i="5"/>
  <c r="B134" i="5"/>
  <c r="Q133" i="5"/>
  <c r="P133" i="5"/>
  <c r="O133" i="5"/>
  <c r="N133" i="5"/>
  <c r="K133" i="5"/>
  <c r="H133" i="5"/>
  <c r="J133" i="5" s="1"/>
  <c r="I133" i="5" s="1"/>
  <c r="E133" i="5"/>
  <c r="D133" i="5"/>
  <c r="B133" i="5"/>
  <c r="Q132" i="5"/>
  <c r="P132" i="5"/>
  <c r="O132" i="5"/>
  <c r="N132" i="5"/>
  <c r="K132" i="5"/>
  <c r="H132" i="5"/>
  <c r="J132" i="5" s="1"/>
  <c r="I132" i="5" s="1"/>
  <c r="E132" i="5"/>
  <c r="D132" i="5"/>
  <c r="B132" i="5"/>
  <c r="Q131" i="5"/>
  <c r="P131" i="5"/>
  <c r="O131" i="5"/>
  <c r="N131" i="5"/>
  <c r="K131" i="5"/>
  <c r="H131" i="5"/>
  <c r="G131" i="5" s="1"/>
  <c r="E131" i="5"/>
  <c r="D131" i="5"/>
  <c r="B131" i="5"/>
  <c r="Q130" i="5"/>
  <c r="P130" i="5"/>
  <c r="O130" i="5"/>
  <c r="N130" i="5"/>
  <c r="K130" i="5"/>
  <c r="H130" i="5"/>
  <c r="J130" i="5" s="1"/>
  <c r="I130" i="5" s="1"/>
  <c r="E130" i="5"/>
  <c r="D130" i="5"/>
  <c r="B130" i="5"/>
  <c r="Q129" i="5"/>
  <c r="P129" i="5"/>
  <c r="O129" i="5"/>
  <c r="N129" i="5"/>
  <c r="K129" i="5"/>
  <c r="H129" i="5"/>
  <c r="J129" i="5" s="1"/>
  <c r="I129" i="5" s="1"/>
  <c r="E129" i="5"/>
  <c r="D129" i="5"/>
  <c r="B129" i="5"/>
  <c r="Q128" i="5"/>
  <c r="P128" i="5"/>
  <c r="O128" i="5"/>
  <c r="N128" i="5"/>
  <c r="K128" i="5"/>
  <c r="H128" i="5"/>
  <c r="E128" i="5"/>
  <c r="D128" i="5"/>
  <c r="B128" i="5"/>
  <c r="Q127" i="5"/>
  <c r="P127" i="5"/>
  <c r="R127" i="5" s="1"/>
  <c r="O127" i="5"/>
  <c r="N127" i="5"/>
  <c r="K127" i="5"/>
  <c r="H127" i="5"/>
  <c r="J127" i="5" s="1"/>
  <c r="I127" i="5" s="1"/>
  <c r="E127" i="5"/>
  <c r="D127" i="5"/>
  <c r="B127" i="5"/>
  <c r="Q126" i="5"/>
  <c r="P126" i="5"/>
  <c r="O126" i="5"/>
  <c r="N126" i="5"/>
  <c r="K126" i="5"/>
  <c r="H126" i="5"/>
  <c r="J126" i="5" s="1"/>
  <c r="I126" i="5" s="1"/>
  <c r="E126" i="5"/>
  <c r="D126" i="5"/>
  <c r="B126" i="5"/>
  <c r="Q125" i="5"/>
  <c r="P125" i="5"/>
  <c r="O125" i="5"/>
  <c r="N125" i="5"/>
  <c r="K125" i="5"/>
  <c r="H125" i="5"/>
  <c r="G125" i="5" s="1"/>
  <c r="E125" i="5"/>
  <c r="D125" i="5"/>
  <c r="B125" i="5"/>
  <c r="Q124" i="5"/>
  <c r="P124" i="5"/>
  <c r="O124" i="5"/>
  <c r="N124" i="5"/>
  <c r="K124" i="5"/>
  <c r="H124" i="5"/>
  <c r="J124" i="5" s="1"/>
  <c r="I124" i="5" s="1"/>
  <c r="E124" i="5"/>
  <c r="D124" i="5"/>
  <c r="B124" i="5"/>
  <c r="Q123" i="5"/>
  <c r="P123" i="5"/>
  <c r="O123" i="5"/>
  <c r="N123" i="5"/>
  <c r="K123" i="5"/>
  <c r="H123" i="5"/>
  <c r="J123" i="5" s="1"/>
  <c r="I123" i="5" s="1"/>
  <c r="E123" i="5"/>
  <c r="D123" i="5"/>
  <c r="B123" i="5"/>
  <c r="Q122" i="5"/>
  <c r="P122" i="5"/>
  <c r="O122" i="5"/>
  <c r="N122" i="5"/>
  <c r="K122" i="5"/>
  <c r="H122" i="5"/>
  <c r="G122" i="5" s="1"/>
  <c r="E122" i="5"/>
  <c r="D122" i="5"/>
  <c r="B122" i="5"/>
  <c r="Q121" i="5"/>
  <c r="P121" i="5"/>
  <c r="R121" i="5" s="1"/>
  <c r="O121" i="5"/>
  <c r="N121" i="5"/>
  <c r="K121" i="5"/>
  <c r="H121" i="5"/>
  <c r="G121" i="5" s="1"/>
  <c r="E121" i="5"/>
  <c r="D121" i="5"/>
  <c r="B121" i="5"/>
  <c r="Q120" i="5"/>
  <c r="P120" i="5"/>
  <c r="O120" i="5"/>
  <c r="N120" i="5"/>
  <c r="K120" i="5"/>
  <c r="H120" i="5"/>
  <c r="J120" i="5" s="1"/>
  <c r="I120" i="5" s="1"/>
  <c r="E120" i="5"/>
  <c r="D120" i="5"/>
  <c r="B120" i="5"/>
  <c r="Q119" i="5"/>
  <c r="P119" i="5"/>
  <c r="O119" i="5"/>
  <c r="N119" i="5"/>
  <c r="K119" i="5"/>
  <c r="H119" i="5"/>
  <c r="J119" i="5" s="1"/>
  <c r="I119" i="5" s="1"/>
  <c r="E119" i="5"/>
  <c r="D119" i="5"/>
  <c r="B119" i="5"/>
  <c r="Q118" i="5"/>
  <c r="P118" i="5"/>
  <c r="O118" i="5"/>
  <c r="N118" i="5"/>
  <c r="K118" i="5"/>
  <c r="H118" i="5"/>
  <c r="J118" i="5" s="1"/>
  <c r="I118" i="5" s="1"/>
  <c r="E118" i="5"/>
  <c r="D118" i="5"/>
  <c r="B118" i="5"/>
  <c r="Q117" i="5"/>
  <c r="P117" i="5"/>
  <c r="R117" i="5" s="1"/>
  <c r="O117" i="5"/>
  <c r="N117" i="5"/>
  <c r="K117" i="5"/>
  <c r="H117" i="5"/>
  <c r="J117" i="5" s="1"/>
  <c r="I117" i="5" s="1"/>
  <c r="E117" i="5"/>
  <c r="D117" i="5"/>
  <c r="B117" i="5"/>
  <c r="Q116" i="5"/>
  <c r="P116" i="5"/>
  <c r="O116" i="5"/>
  <c r="N116" i="5"/>
  <c r="K116" i="5"/>
  <c r="H116" i="5"/>
  <c r="J116" i="5" s="1"/>
  <c r="I116" i="5" s="1"/>
  <c r="E116" i="5"/>
  <c r="D116" i="5"/>
  <c r="B116" i="5"/>
  <c r="Q115" i="5"/>
  <c r="P115" i="5"/>
  <c r="O115" i="5"/>
  <c r="N115" i="5"/>
  <c r="K115" i="5"/>
  <c r="H115" i="5"/>
  <c r="G115" i="5" s="1"/>
  <c r="E115" i="5"/>
  <c r="D115" i="5"/>
  <c r="B115" i="5"/>
  <c r="Q114" i="5"/>
  <c r="P114" i="5"/>
  <c r="O114" i="5"/>
  <c r="N114" i="5"/>
  <c r="K114" i="5"/>
  <c r="H114" i="5"/>
  <c r="J114" i="5" s="1"/>
  <c r="I114" i="5" s="1"/>
  <c r="G114" i="5"/>
  <c r="E114" i="5"/>
  <c r="D114" i="5"/>
  <c r="B114" i="5"/>
  <c r="Q113" i="5"/>
  <c r="P113" i="5"/>
  <c r="R113" i="5" s="1"/>
  <c r="O113" i="5"/>
  <c r="N113" i="5"/>
  <c r="K113" i="5"/>
  <c r="H113" i="5"/>
  <c r="J113" i="5" s="1"/>
  <c r="I113" i="5" s="1"/>
  <c r="E113" i="5"/>
  <c r="D113" i="5"/>
  <c r="B113" i="5"/>
  <c r="Q112" i="5"/>
  <c r="P112" i="5"/>
  <c r="O112" i="5"/>
  <c r="N112" i="5"/>
  <c r="K112" i="5"/>
  <c r="H112" i="5"/>
  <c r="J112" i="5" s="1"/>
  <c r="I112" i="5" s="1"/>
  <c r="G112" i="5"/>
  <c r="E112" i="5"/>
  <c r="D112" i="5"/>
  <c r="B112" i="5"/>
  <c r="Q111" i="5"/>
  <c r="P111" i="5"/>
  <c r="O111" i="5"/>
  <c r="N111" i="5"/>
  <c r="K111" i="5"/>
  <c r="H111" i="5"/>
  <c r="J111" i="5" s="1"/>
  <c r="I111" i="5" s="1"/>
  <c r="E111" i="5"/>
  <c r="D111" i="5"/>
  <c r="B111" i="5"/>
  <c r="Q110" i="5"/>
  <c r="P110" i="5"/>
  <c r="R110" i="5" s="1"/>
  <c r="O110" i="5"/>
  <c r="N110" i="5"/>
  <c r="K110" i="5"/>
  <c r="H110" i="5"/>
  <c r="E110" i="5"/>
  <c r="D110" i="5"/>
  <c r="B110" i="5"/>
  <c r="Q109" i="5"/>
  <c r="P109" i="5"/>
  <c r="O109" i="5"/>
  <c r="N109" i="5"/>
  <c r="K109" i="5"/>
  <c r="H109" i="5"/>
  <c r="J109" i="5" s="1"/>
  <c r="I109" i="5" s="1"/>
  <c r="E109" i="5"/>
  <c r="D109" i="5"/>
  <c r="B109" i="5"/>
  <c r="Q108" i="5"/>
  <c r="P108" i="5"/>
  <c r="O108" i="5"/>
  <c r="N108" i="5"/>
  <c r="K108" i="5"/>
  <c r="H108" i="5"/>
  <c r="E108" i="5"/>
  <c r="D108" i="5"/>
  <c r="B108" i="5"/>
  <c r="Q107" i="5"/>
  <c r="P107" i="5"/>
  <c r="O107" i="5"/>
  <c r="N107" i="5"/>
  <c r="K107" i="5"/>
  <c r="H107" i="5"/>
  <c r="J107" i="5" s="1"/>
  <c r="I107" i="5" s="1"/>
  <c r="E107" i="5"/>
  <c r="D107" i="5"/>
  <c r="B107" i="5"/>
  <c r="Q106" i="5"/>
  <c r="P106" i="5"/>
  <c r="O106" i="5"/>
  <c r="N106" i="5"/>
  <c r="K106" i="5"/>
  <c r="H106" i="5"/>
  <c r="G106" i="5" s="1"/>
  <c r="E106" i="5"/>
  <c r="D106" i="5"/>
  <c r="B106" i="5"/>
  <c r="Q105" i="5"/>
  <c r="P105" i="5"/>
  <c r="O105" i="5"/>
  <c r="N105" i="5"/>
  <c r="K105" i="5"/>
  <c r="H105" i="5"/>
  <c r="G105" i="5" s="1"/>
  <c r="E105" i="5"/>
  <c r="D105" i="5"/>
  <c r="B105" i="5"/>
  <c r="Q104" i="5"/>
  <c r="P104" i="5"/>
  <c r="O104" i="5"/>
  <c r="N104" i="5"/>
  <c r="K104" i="5"/>
  <c r="H104" i="5"/>
  <c r="J104" i="5" s="1"/>
  <c r="I104" i="5" s="1"/>
  <c r="E104" i="5"/>
  <c r="D104" i="5"/>
  <c r="B104" i="5"/>
  <c r="Q103" i="5"/>
  <c r="P103" i="5"/>
  <c r="R103" i="5" s="1"/>
  <c r="O103" i="5"/>
  <c r="N103" i="5"/>
  <c r="K103" i="5"/>
  <c r="H103" i="5"/>
  <c r="G103" i="5" s="1"/>
  <c r="E103" i="5"/>
  <c r="D103" i="5"/>
  <c r="B103" i="5"/>
  <c r="Q102" i="5"/>
  <c r="P102" i="5"/>
  <c r="R102" i="5" s="1"/>
  <c r="O102" i="5"/>
  <c r="N102" i="5"/>
  <c r="K102" i="5"/>
  <c r="H102" i="5"/>
  <c r="J102" i="5" s="1"/>
  <c r="I102" i="5" s="1"/>
  <c r="E102" i="5"/>
  <c r="D102" i="5"/>
  <c r="B102" i="5"/>
  <c r="Q101" i="5"/>
  <c r="P101" i="5"/>
  <c r="R101" i="5" s="1"/>
  <c r="O101" i="5"/>
  <c r="N101" i="5"/>
  <c r="K101" i="5"/>
  <c r="H101" i="5"/>
  <c r="J101" i="5" s="1"/>
  <c r="I101" i="5" s="1"/>
  <c r="E101" i="5"/>
  <c r="D101" i="5"/>
  <c r="B101" i="5"/>
  <c r="Q100" i="5"/>
  <c r="P100" i="5"/>
  <c r="O100" i="5"/>
  <c r="N100" i="5"/>
  <c r="K100" i="5"/>
  <c r="H100" i="5"/>
  <c r="J100" i="5" s="1"/>
  <c r="I100" i="5" s="1"/>
  <c r="E100" i="5"/>
  <c r="D100" i="5"/>
  <c r="B100" i="5"/>
  <c r="Q99" i="5"/>
  <c r="P99" i="5"/>
  <c r="O99" i="5"/>
  <c r="N99" i="5"/>
  <c r="K99" i="5"/>
  <c r="H99" i="5"/>
  <c r="G99" i="5" s="1"/>
  <c r="E99" i="5"/>
  <c r="D99" i="5"/>
  <c r="B99" i="5"/>
  <c r="Q98" i="5"/>
  <c r="P98" i="5"/>
  <c r="O98" i="5"/>
  <c r="N98" i="5"/>
  <c r="K98" i="5"/>
  <c r="H98" i="5"/>
  <c r="J98" i="5" s="1"/>
  <c r="I98" i="5" s="1"/>
  <c r="G98" i="5"/>
  <c r="E98" i="5"/>
  <c r="D98" i="5"/>
  <c r="B98" i="5"/>
  <c r="Q97" i="5"/>
  <c r="P97" i="5"/>
  <c r="O97" i="5"/>
  <c r="N97" i="5"/>
  <c r="K97" i="5"/>
  <c r="H97" i="5"/>
  <c r="J97" i="5" s="1"/>
  <c r="I97" i="5" s="1"/>
  <c r="G97" i="5"/>
  <c r="E97" i="5"/>
  <c r="D97" i="5"/>
  <c r="B97" i="5"/>
  <c r="Q96" i="5"/>
  <c r="P96" i="5"/>
  <c r="O96" i="5"/>
  <c r="N96" i="5"/>
  <c r="K96" i="5"/>
  <c r="H96" i="5"/>
  <c r="J96" i="5" s="1"/>
  <c r="I96" i="5" s="1"/>
  <c r="E96" i="5"/>
  <c r="D96" i="5"/>
  <c r="B96" i="5"/>
  <c r="Q95" i="5"/>
  <c r="P95" i="5"/>
  <c r="R95" i="5" s="1"/>
  <c r="O95" i="5"/>
  <c r="N95" i="5"/>
  <c r="K95" i="5"/>
  <c r="H95" i="5"/>
  <c r="G95" i="5" s="1"/>
  <c r="E95" i="5"/>
  <c r="D95" i="5"/>
  <c r="B95" i="5"/>
  <c r="Q94" i="5"/>
  <c r="P94" i="5"/>
  <c r="O94" i="5"/>
  <c r="N94" i="5"/>
  <c r="K94" i="5"/>
  <c r="H94" i="5"/>
  <c r="G94" i="5" s="1"/>
  <c r="E94" i="5"/>
  <c r="D94" i="5"/>
  <c r="B94" i="5"/>
  <c r="Q93" i="5"/>
  <c r="P93" i="5"/>
  <c r="R93" i="5" s="1"/>
  <c r="O93" i="5"/>
  <c r="N93" i="5"/>
  <c r="K93" i="5"/>
  <c r="H93" i="5"/>
  <c r="E93" i="5"/>
  <c r="D93" i="5"/>
  <c r="B93" i="5"/>
  <c r="Q92" i="5"/>
  <c r="P92" i="5"/>
  <c r="O92" i="5"/>
  <c r="N92" i="5"/>
  <c r="K92" i="5"/>
  <c r="H92" i="5"/>
  <c r="J92" i="5" s="1"/>
  <c r="I92" i="5" s="1"/>
  <c r="G92" i="5"/>
  <c r="E92" i="5"/>
  <c r="D92" i="5"/>
  <c r="B92" i="5"/>
  <c r="Q91" i="5"/>
  <c r="P91" i="5"/>
  <c r="R91" i="5" s="1"/>
  <c r="O91" i="5"/>
  <c r="N91" i="5"/>
  <c r="K91" i="5"/>
  <c r="H91" i="5"/>
  <c r="E91" i="5"/>
  <c r="D91" i="5"/>
  <c r="B91" i="5"/>
  <c r="Q90" i="5"/>
  <c r="P90" i="5"/>
  <c r="O90" i="5"/>
  <c r="N90" i="5"/>
  <c r="K90" i="5"/>
  <c r="H90" i="5"/>
  <c r="G90" i="5" s="1"/>
  <c r="E90" i="5"/>
  <c r="D90" i="5"/>
  <c r="B90" i="5"/>
  <c r="Q89" i="5"/>
  <c r="P89" i="5"/>
  <c r="O89" i="5"/>
  <c r="N89" i="5"/>
  <c r="K89" i="5"/>
  <c r="H89" i="5"/>
  <c r="E89" i="5"/>
  <c r="D89" i="5"/>
  <c r="B89" i="5"/>
  <c r="Q88" i="5"/>
  <c r="P88" i="5"/>
  <c r="R88" i="5" s="1"/>
  <c r="O88" i="5"/>
  <c r="N88" i="5"/>
  <c r="K88" i="5"/>
  <c r="H88" i="5"/>
  <c r="G88" i="5" s="1"/>
  <c r="E88" i="5"/>
  <c r="D88" i="5"/>
  <c r="B88" i="5"/>
  <c r="Q87" i="5"/>
  <c r="P87" i="5"/>
  <c r="O87" i="5"/>
  <c r="N87" i="5"/>
  <c r="K87" i="5"/>
  <c r="H87" i="5"/>
  <c r="G87" i="5" s="1"/>
  <c r="E87" i="5"/>
  <c r="D87" i="5"/>
  <c r="B87" i="5"/>
  <c r="Q86" i="5"/>
  <c r="P86" i="5"/>
  <c r="O86" i="5"/>
  <c r="N86" i="5"/>
  <c r="K86" i="5"/>
  <c r="H86" i="5"/>
  <c r="J86" i="5" s="1"/>
  <c r="I86" i="5" s="1"/>
  <c r="E86" i="5"/>
  <c r="D86" i="5"/>
  <c r="B86" i="5"/>
  <c r="Q85" i="5"/>
  <c r="P85" i="5"/>
  <c r="O85" i="5"/>
  <c r="N85" i="5"/>
  <c r="K85" i="5"/>
  <c r="H85" i="5"/>
  <c r="J85" i="5" s="1"/>
  <c r="I85" i="5" s="1"/>
  <c r="E85" i="5"/>
  <c r="D85" i="5"/>
  <c r="B85" i="5"/>
  <c r="Q84" i="5"/>
  <c r="P84" i="5"/>
  <c r="O84" i="5"/>
  <c r="N84" i="5"/>
  <c r="K84" i="5"/>
  <c r="H84" i="5"/>
  <c r="J84" i="5" s="1"/>
  <c r="I84" i="5" s="1"/>
  <c r="E84" i="5"/>
  <c r="D84" i="5"/>
  <c r="B84" i="5"/>
  <c r="Q83" i="5"/>
  <c r="P83" i="5"/>
  <c r="O83" i="5"/>
  <c r="N83" i="5"/>
  <c r="K83" i="5"/>
  <c r="H83" i="5"/>
  <c r="G83" i="5" s="1"/>
  <c r="E83" i="5"/>
  <c r="D83" i="5"/>
  <c r="B83" i="5"/>
  <c r="Q82" i="5"/>
  <c r="P82" i="5"/>
  <c r="O82" i="5"/>
  <c r="N82" i="5"/>
  <c r="K82" i="5"/>
  <c r="H82" i="5"/>
  <c r="J82" i="5" s="1"/>
  <c r="I82" i="5" s="1"/>
  <c r="E82" i="5"/>
  <c r="D82" i="5"/>
  <c r="B82" i="5"/>
  <c r="Q81" i="5"/>
  <c r="P81" i="5"/>
  <c r="O81" i="5"/>
  <c r="N81" i="5"/>
  <c r="K81" i="5"/>
  <c r="H81" i="5"/>
  <c r="J81" i="5" s="1"/>
  <c r="I81" i="5" s="1"/>
  <c r="E81" i="5"/>
  <c r="D81" i="5"/>
  <c r="B81" i="5"/>
  <c r="Q80" i="5"/>
  <c r="P80" i="5"/>
  <c r="O80" i="5"/>
  <c r="N80" i="5"/>
  <c r="K80" i="5"/>
  <c r="H80" i="5"/>
  <c r="G80" i="5" s="1"/>
  <c r="E80" i="5"/>
  <c r="D80" i="5"/>
  <c r="B80" i="5"/>
  <c r="Q79" i="5"/>
  <c r="P79" i="5"/>
  <c r="O79" i="5"/>
  <c r="N79" i="5"/>
  <c r="K79" i="5"/>
  <c r="H79" i="5"/>
  <c r="J79" i="5" s="1"/>
  <c r="I79" i="5" s="1"/>
  <c r="G79" i="5"/>
  <c r="E79" i="5"/>
  <c r="D79" i="5"/>
  <c r="B79" i="5"/>
  <c r="Q78" i="5"/>
  <c r="P78" i="5"/>
  <c r="O78" i="5"/>
  <c r="N78" i="5"/>
  <c r="K78" i="5"/>
  <c r="H78" i="5"/>
  <c r="J78" i="5" s="1"/>
  <c r="I78" i="5" s="1"/>
  <c r="E78" i="5"/>
  <c r="D78" i="5"/>
  <c r="B78" i="5"/>
  <c r="Q77" i="5"/>
  <c r="P77" i="5"/>
  <c r="O77" i="5"/>
  <c r="N77" i="5"/>
  <c r="K77" i="5"/>
  <c r="H77" i="5"/>
  <c r="J77" i="5" s="1"/>
  <c r="I77" i="5" s="1"/>
  <c r="E77" i="5"/>
  <c r="D77" i="5"/>
  <c r="B77" i="5"/>
  <c r="Q76" i="5"/>
  <c r="P76" i="5"/>
  <c r="O76" i="5"/>
  <c r="N76" i="5"/>
  <c r="K76" i="5"/>
  <c r="H76" i="5"/>
  <c r="J76" i="5" s="1"/>
  <c r="I76" i="5" s="1"/>
  <c r="E76" i="5"/>
  <c r="D76" i="5"/>
  <c r="B76" i="5"/>
  <c r="Q75" i="5"/>
  <c r="P75" i="5"/>
  <c r="O75" i="5"/>
  <c r="N75" i="5"/>
  <c r="K75" i="5"/>
  <c r="H75" i="5"/>
  <c r="J75" i="5" s="1"/>
  <c r="I75" i="5" s="1"/>
  <c r="E75" i="5"/>
  <c r="D75" i="5"/>
  <c r="B75" i="5"/>
  <c r="Q74" i="5"/>
  <c r="P74" i="5"/>
  <c r="R74" i="5" s="1"/>
  <c r="O74" i="5"/>
  <c r="N74" i="5"/>
  <c r="K74" i="5"/>
  <c r="H74" i="5"/>
  <c r="J74" i="5" s="1"/>
  <c r="I74" i="5" s="1"/>
  <c r="E74" i="5"/>
  <c r="D74" i="5"/>
  <c r="B74" i="5"/>
  <c r="Q73" i="5"/>
  <c r="P73" i="5"/>
  <c r="O73" i="5"/>
  <c r="N73" i="5"/>
  <c r="K73" i="5"/>
  <c r="H73" i="5"/>
  <c r="E73" i="5"/>
  <c r="D73" i="5"/>
  <c r="B73" i="5"/>
  <c r="Q72" i="5"/>
  <c r="P72" i="5"/>
  <c r="O72" i="5"/>
  <c r="N72" i="5"/>
  <c r="K72" i="5"/>
  <c r="H72" i="5"/>
  <c r="E72" i="5"/>
  <c r="D72" i="5"/>
  <c r="B72" i="5"/>
  <c r="Q71" i="5"/>
  <c r="P71" i="5"/>
  <c r="O71" i="5"/>
  <c r="N71" i="5"/>
  <c r="K71" i="5"/>
  <c r="H71" i="5"/>
  <c r="J71" i="5" s="1"/>
  <c r="I71" i="5" s="1"/>
  <c r="E71" i="5"/>
  <c r="D71" i="5"/>
  <c r="B71" i="5"/>
  <c r="Q70" i="5"/>
  <c r="P70" i="5"/>
  <c r="O70" i="5"/>
  <c r="N70" i="5"/>
  <c r="K70" i="5"/>
  <c r="H70" i="5"/>
  <c r="J70" i="5" s="1"/>
  <c r="I70" i="5" s="1"/>
  <c r="E70" i="5"/>
  <c r="D70" i="5"/>
  <c r="B70" i="5"/>
  <c r="Q69" i="5"/>
  <c r="P69" i="5"/>
  <c r="O69" i="5"/>
  <c r="N69" i="5"/>
  <c r="K69" i="5"/>
  <c r="H69" i="5"/>
  <c r="J69" i="5" s="1"/>
  <c r="I69" i="5" s="1"/>
  <c r="E69" i="5"/>
  <c r="D69" i="5"/>
  <c r="B69" i="5"/>
  <c r="Q68" i="5"/>
  <c r="P68" i="5"/>
  <c r="R68" i="5" s="1"/>
  <c r="O68" i="5"/>
  <c r="N68" i="5"/>
  <c r="K68" i="5"/>
  <c r="H68" i="5"/>
  <c r="J68" i="5" s="1"/>
  <c r="I68" i="5" s="1"/>
  <c r="E68" i="5"/>
  <c r="D68" i="5"/>
  <c r="B68" i="5"/>
  <c r="Q67" i="5"/>
  <c r="P67" i="5"/>
  <c r="O67" i="5"/>
  <c r="N67" i="5"/>
  <c r="K67" i="5"/>
  <c r="H67" i="5"/>
  <c r="G67" i="5" s="1"/>
  <c r="E67" i="5"/>
  <c r="D67" i="5"/>
  <c r="B67" i="5"/>
  <c r="Q66" i="5"/>
  <c r="P66" i="5"/>
  <c r="O66" i="5"/>
  <c r="N66" i="5"/>
  <c r="K66" i="5"/>
  <c r="H66" i="5"/>
  <c r="J66" i="5" s="1"/>
  <c r="I66" i="5" s="1"/>
  <c r="G66" i="5"/>
  <c r="E66" i="5"/>
  <c r="D66" i="5"/>
  <c r="B66" i="5"/>
  <c r="Q65" i="5"/>
  <c r="P65" i="5"/>
  <c r="R65" i="5" s="1"/>
  <c r="O65" i="5"/>
  <c r="N65" i="5"/>
  <c r="K65" i="5"/>
  <c r="H65" i="5"/>
  <c r="J65" i="5" s="1"/>
  <c r="I65" i="5" s="1"/>
  <c r="E65" i="5"/>
  <c r="D65" i="5"/>
  <c r="B65" i="5"/>
  <c r="Q64" i="5"/>
  <c r="P64" i="5"/>
  <c r="O64" i="5"/>
  <c r="N64" i="5"/>
  <c r="K64" i="5"/>
  <c r="H64" i="5"/>
  <c r="J64" i="5" s="1"/>
  <c r="I64" i="5" s="1"/>
  <c r="G64" i="5"/>
  <c r="E64" i="5"/>
  <c r="D64" i="5"/>
  <c r="B64" i="5"/>
  <c r="Q63" i="5"/>
  <c r="P63" i="5"/>
  <c r="O63" i="5"/>
  <c r="N63" i="5"/>
  <c r="K63" i="5"/>
  <c r="H63" i="5"/>
  <c r="J63" i="5" s="1"/>
  <c r="I63" i="5" s="1"/>
  <c r="E63" i="5"/>
  <c r="D63" i="5"/>
  <c r="B63" i="5"/>
  <c r="Q62" i="5"/>
  <c r="P62" i="5"/>
  <c r="O62" i="5"/>
  <c r="N62" i="5"/>
  <c r="K62" i="5"/>
  <c r="H62" i="5"/>
  <c r="J62" i="5" s="1"/>
  <c r="I62" i="5" s="1"/>
  <c r="G62" i="5"/>
  <c r="E62" i="5"/>
  <c r="D62" i="5"/>
  <c r="B62" i="5"/>
  <c r="Q61" i="5"/>
  <c r="P61" i="5"/>
  <c r="O61" i="5"/>
  <c r="N61" i="5"/>
  <c r="K61" i="5"/>
  <c r="H61" i="5"/>
  <c r="J61" i="5" s="1"/>
  <c r="I61" i="5" s="1"/>
  <c r="E61" i="5"/>
  <c r="D61" i="5"/>
  <c r="B61" i="5"/>
  <c r="Q60" i="5"/>
  <c r="P60" i="5"/>
  <c r="R60" i="5" s="1"/>
  <c r="O60" i="5"/>
  <c r="N60" i="5"/>
  <c r="K60" i="5"/>
  <c r="H60" i="5"/>
  <c r="E60" i="5"/>
  <c r="D60" i="5"/>
  <c r="B60" i="5"/>
  <c r="Q59" i="5"/>
  <c r="P59" i="5"/>
  <c r="O59" i="5"/>
  <c r="N59" i="5"/>
  <c r="K59" i="5"/>
  <c r="H59" i="5"/>
  <c r="E59" i="5"/>
  <c r="D59" i="5"/>
  <c r="B59" i="5"/>
  <c r="Q58" i="5"/>
  <c r="P58" i="5"/>
  <c r="R58" i="5" s="1"/>
  <c r="O58" i="5"/>
  <c r="N58" i="5"/>
  <c r="K58" i="5"/>
  <c r="H58" i="5"/>
  <c r="J58" i="5" s="1"/>
  <c r="I58" i="5" s="1"/>
  <c r="E58" i="5"/>
  <c r="D58" i="5"/>
  <c r="B58" i="5"/>
  <c r="Q57" i="5"/>
  <c r="P57" i="5"/>
  <c r="R57" i="5" s="1"/>
  <c r="O57" i="5"/>
  <c r="N57" i="5"/>
  <c r="K57" i="5"/>
  <c r="H57" i="5"/>
  <c r="E57" i="5"/>
  <c r="D57" i="5"/>
  <c r="B57" i="5"/>
  <c r="Q56" i="5"/>
  <c r="P56" i="5"/>
  <c r="O56" i="5"/>
  <c r="N56" i="5"/>
  <c r="K56" i="5"/>
  <c r="H56" i="5"/>
  <c r="E56" i="5"/>
  <c r="D56" i="5"/>
  <c r="B56" i="5"/>
  <c r="Q55" i="5"/>
  <c r="P55" i="5"/>
  <c r="O55" i="5"/>
  <c r="N55" i="5"/>
  <c r="K55" i="5"/>
  <c r="H55" i="5"/>
  <c r="J55" i="5" s="1"/>
  <c r="I55" i="5" s="1"/>
  <c r="E55" i="5"/>
  <c r="D55" i="5"/>
  <c r="B55" i="5"/>
  <c r="Q54" i="5"/>
  <c r="P54" i="5"/>
  <c r="O54" i="5"/>
  <c r="N54" i="5"/>
  <c r="K54" i="5"/>
  <c r="H54" i="5"/>
  <c r="E54" i="5"/>
  <c r="D54" i="5"/>
  <c r="B54" i="5"/>
  <c r="Q53" i="5"/>
  <c r="P53" i="5"/>
  <c r="O53" i="5"/>
  <c r="N53" i="5"/>
  <c r="K53" i="5"/>
  <c r="H53" i="5"/>
  <c r="J53" i="5" s="1"/>
  <c r="I53" i="5" s="1"/>
  <c r="E53" i="5"/>
  <c r="D53" i="5"/>
  <c r="B53" i="5"/>
  <c r="Q52" i="5"/>
  <c r="P52" i="5"/>
  <c r="O52" i="5"/>
  <c r="N52" i="5"/>
  <c r="K52" i="5"/>
  <c r="H52" i="5"/>
  <c r="J52" i="5" s="1"/>
  <c r="I52" i="5" s="1"/>
  <c r="E52" i="5"/>
  <c r="D52" i="5"/>
  <c r="B52" i="5"/>
  <c r="Q51" i="5"/>
  <c r="P51" i="5"/>
  <c r="O51" i="5"/>
  <c r="N51" i="5"/>
  <c r="K51" i="5"/>
  <c r="H51" i="5"/>
  <c r="G51" i="5" s="1"/>
  <c r="E51" i="5"/>
  <c r="D51" i="5"/>
  <c r="B51" i="5"/>
  <c r="Q50" i="5"/>
  <c r="P50" i="5"/>
  <c r="O50" i="5"/>
  <c r="N50" i="5"/>
  <c r="K50" i="5"/>
  <c r="H50" i="5"/>
  <c r="J50" i="5" s="1"/>
  <c r="I50" i="5" s="1"/>
  <c r="E50" i="5"/>
  <c r="D50" i="5"/>
  <c r="B50" i="5"/>
  <c r="Q49" i="5"/>
  <c r="P49" i="5"/>
  <c r="O49" i="5"/>
  <c r="N49" i="5"/>
  <c r="K49" i="5"/>
  <c r="H49" i="5"/>
  <c r="E49" i="5"/>
  <c r="D49" i="5"/>
  <c r="B49" i="5"/>
  <c r="Q48" i="5"/>
  <c r="P48" i="5"/>
  <c r="O48" i="5"/>
  <c r="N48" i="5"/>
  <c r="K48" i="5"/>
  <c r="H48" i="5"/>
  <c r="J48" i="5" s="1"/>
  <c r="I48" i="5" s="1"/>
  <c r="E48" i="5"/>
  <c r="D48" i="5"/>
  <c r="B48" i="5"/>
  <c r="Q47" i="5"/>
  <c r="P47" i="5"/>
  <c r="O47" i="5"/>
  <c r="N47" i="5"/>
  <c r="K47" i="5"/>
  <c r="H47" i="5"/>
  <c r="J47" i="5" s="1"/>
  <c r="I47" i="5" s="1"/>
  <c r="G47" i="5"/>
  <c r="E47" i="5"/>
  <c r="D47" i="5"/>
  <c r="B47" i="5"/>
  <c r="Q46" i="5"/>
  <c r="P46" i="5"/>
  <c r="R46" i="5" s="1"/>
  <c r="O46" i="5"/>
  <c r="N46" i="5"/>
  <c r="K46" i="5"/>
  <c r="H46" i="5"/>
  <c r="J46" i="5" s="1"/>
  <c r="I46" i="5" s="1"/>
  <c r="E46" i="5"/>
  <c r="D46" i="5"/>
  <c r="B46" i="5"/>
  <c r="Q45" i="5"/>
  <c r="P45" i="5"/>
  <c r="O45" i="5"/>
  <c r="N45" i="5"/>
  <c r="K45" i="5"/>
  <c r="H45" i="5"/>
  <c r="E45" i="5"/>
  <c r="D45" i="5"/>
  <c r="B45" i="5"/>
  <c r="Q44" i="5"/>
  <c r="P44" i="5"/>
  <c r="R44" i="5" s="1"/>
  <c r="O44" i="5"/>
  <c r="N44" i="5"/>
  <c r="K44" i="5"/>
  <c r="H44" i="5"/>
  <c r="J44" i="5" s="1"/>
  <c r="I44" i="5" s="1"/>
  <c r="E44" i="5"/>
  <c r="D44" i="5"/>
  <c r="B44" i="5"/>
  <c r="Q43" i="5"/>
  <c r="P43" i="5"/>
  <c r="O43" i="5"/>
  <c r="N43" i="5"/>
  <c r="K43" i="5"/>
  <c r="H43" i="5"/>
  <c r="J43" i="5" s="1"/>
  <c r="I43" i="5" s="1"/>
  <c r="G43" i="5"/>
  <c r="E43" i="5"/>
  <c r="D43" i="5"/>
  <c r="B43" i="5"/>
  <c r="Q42" i="5"/>
  <c r="P42" i="5"/>
  <c r="O42" i="5"/>
  <c r="N42" i="5"/>
  <c r="K42" i="5"/>
  <c r="H42" i="5"/>
  <c r="J42" i="5" s="1"/>
  <c r="I42" i="5" s="1"/>
  <c r="E42" i="5"/>
  <c r="D42" i="5"/>
  <c r="B42" i="5"/>
  <c r="Q41" i="5"/>
  <c r="P41" i="5"/>
  <c r="R41" i="5" s="1"/>
  <c r="O41" i="5"/>
  <c r="N41" i="5"/>
  <c r="K41" i="5"/>
  <c r="H41" i="5"/>
  <c r="G41" i="5" s="1"/>
  <c r="E41" i="5"/>
  <c r="D41" i="5"/>
  <c r="B41" i="5"/>
  <c r="Q40" i="5"/>
  <c r="P40" i="5"/>
  <c r="R40" i="5" s="1"/>
  <c r="O40" i="5"/>
  <c r="N40" i="5"/>
  <c r="K40" i="5"/>
  <c r="H40" i="5"/>
  <c r="J40" i="5" s="1"/>
  <c r="I40" i="5" s="1"/>
  <c r="G40" i="5"/>
  <c r="E40" i="5"/>
  <c r="D40" i="5"/>
  <c r="B40" i="5"/>
  <c r="Q39" i="5"/>
  <c r="P39" i="5"/>
  <c r="R39" i="5" s="1"/>
  <c r="O39" i="5"/>
  <c r="N39" i="5"/>
  <c r="K39" i="5"/>
  <c r="H39" i="5"/>
  <c r="J39" i="5" s="1"/>
  <c r="I39" i="5" s="1"/>
  <c r="E39" i="5"/>
  <c r="D39" i="5"/>
  <c r="B39" i="5"/>
  <c r="Q38" i="5"/>
  <c r="P38" i="5"/>
  <c r="O38" i="5"/>
  <c r="N38" i="5"/>
  <c r="K38" i="5"/>
  <c r="H38" i="5"/>
  <c r="J38" i="5" s="1"/>
  <c r="I38" i="5" s="1"/>
  <c r="E38" i="5"/>
  <c r="D38" i="5"/>
  <c r="B38" i="5"/>
  <c r="Q37" i="5"/>
  <c r="P37" i="5"/>
  <c r="O37" i="5"/>
  <c r="N37" i="5"/>
  <c r="K37" i="5"/>
  <c r="H37" i="5"/>
  <c r="J37" i="5" s="1"/>
  <c r="I37" i="5" s="1"/>
  <c r="E37" i="5"/>
  <c r="D37" i="5"/>
  <c r="B37" i="5"/>
  <c r="Q36" i="5"/>
  <c r="P36" i="5"/>
  <c r="R36" i="5" s="1"/>
  <c r="O36" i="5"/>
  <c r="N36" i="5"/>
  <c r="K36" i="5"/>
  <c r="H36" i="5"/>
  <c r="J36" i="5" s="1"/>
  <c r="I36" i="5" s="1"/>
  <c r="E36" i="5"/>
  <c r="D36" i="5"/>
  <c r="B36" i="5"/>
  <c r="Q35" i="5"/>
  <c r="P35" i="5"/>
  <c r="O35" i="5"/>
  <c r="N35" i="5"/>
  <c r="K35" i="5"/>
  <c r="H35" i="5"/>
  <c r="G35" i="5" s="1"/>
  <c r="E35" i="5"/>
  <c r="D35" i="5"/>
  <c r="B35" i="5"/>
  <c r="Q34" i="5"/>
  <c r="P34" i="5"/>
  <c r="O34" i="5"/>
  <c r="N34" i="5"/>
  <c r="K34" i="5"/>
  <c r="H34" i="5"/>
  <c r="E34" i="5"/>
  <c r="D34" i="5"/>
  <c r="B34" i="5"/>
  <c r="Q33" i="5"/>
  <c r="P33" i="5"/>
  <c r="O33" i="5"/>
  <c r="N33" i="5"/>
  <c r="K33" i="5"/>
  <c r="H33" i="5"/>
  <c r="J33" i="5" s="1"/>
  <c r="I33" i="5" s="1"/>
  <c r="G33" i="5"/>
  <c r="E33" i="5"/>
  <c r="D33" i="5"/>
  <c r="B33" i="5"/>
  <c r="Q32" i="5"/>
  <c r="P32" i="5"/>
  <c r="R32" i="5" s="1"/>
  <c r="O32" i="5"/>
  <c r="N32" i="5"/>
  <c r="K32" i="5"/>
  <c r="H32" i="5"/>
  <c r="J32" i="5" s="1"/>
  <c r="I32" i="5" s="1"/>
  <c r="E32" i="5"/>
  <c r="D32" i="5"/>
  <c r="B32" i="5"/>
  <c r="Q31" i="5"/>
  <c r="P31" i="5"/>
  <c r="O31" i="5"/>
  <c r="N31" i="5"/>
  <c r="K31" i="5"/>
  <c r="H31" i="5"/>
  <c r="E31" i="5"/>
  <c r="D31" i="5"/>
  <c r="B31" i="5"/>
  <c r="Q30" i="5"/>
  <c r="P30" i="5"/>
  <c r="O30" i="5"/>
  <c r="N30" i="5"/>
  <c r="K30" i="5"/>
  <c r="H30" i="5"/>
  <c r="J30" i="5" s="1"/>
  <c r="I30" i="5" s="1"/>
  <c r="E30" i="5"/>
  <c r="D30" i="5"/>
  <c r="B30" i="5"/>
  <c r="Q29" i="5"/>
  <c r="P29" i="5"/>
  <c r="O29" i="5"/>
  <c r="N29" i="5"/>
  <c r="K29" i="5"/>
  <c r="H29" i="5"/>
  <c r="J29" i="5" s="1"/>
  <c r="I29" i="5" s="1"/>
  <c r="E29" i="5"/>
  <c r="D29" i="5"/>
  <c r="B29" i="5"/>
  <c r="Q28" i="5"/>
  <c r="P28" i="5"/>
  <c r="R28" i="5" s="1"/>
  <c r="O28" i="5"/>
  <c r="N28" i="5"/>
  <c r="K28" i="5"/>
  <c r="H28" i="5"/>
  <c r="E28" i="5"/>
  <c r="D28" i="5"/>
  <c r="B28" i="5"/>
  <c r="Q27" i="5"/>
  <c r="P27" i="5"/>
  <c r="O27" i="5"/>
  <c r="N27" i="5"/>
  <c r="K27" i="5"/>
  <c r="H27" i="5"/>
  <c r="J27" i="5" s="1"/>
  <c r="I27" i="5" s="1"/>
  <c r="E27" i="5"/>
  <c r="D27" i="5"/>
  <c r="B27" i="5"/>
  <c r="Q26" i="5"/>
  <c r="P26" i="5"/>
  <c r="O26" i="5"/>
  <c r="N26" i="5"/>
  <c r="K26" i="5"/>
  <c r="H26" i="5"/>
  <c r="E26" i="5"/>
  <c r="D26" i="5"/>
  <c r="B26" i="5"/>
  <c r="Q25" i="5"/>
  <c r="P25" i="5"/>
  <c r="R25" i="5" s="1"/>
  <c r="O25" i="5"/>
  <c r="N25" i="5"/>
  <c r="K25" i="5"/>
  <c r="H25" i="5"/>
  <c r="G25" i="5" s="1"/>
  <c r="E25" i="5"/>
  <c r="D25" i="5"/>
  <c r="B25" i="5"/>
  <c r="Q24" i="5"/>
  <c r="P24" i="5"/>
  <c r="O24" i="5"/>
  <c r="N24" i="5"/>
  <c r="K24" i="5"/>
  <c r="H24" i="5"/>
  <c r="J24" i="5" s="1"/>
  <c r="I24" i="5" s="1"/>
  <c r="E24" i="5"/>
  <c r="D24" i="5"/>
  <c r="B24" i="5"/>
  <c r="Q23" i="5"/>
  <c r="P23" i="5"/>
  <c r="O23" i="5"/>
  <c r="N23" i="5"/>
  <c r="K23" i="5"/>
  <c r="H23" i="5"/>
  <c r="J23" i="5" s="1"/>
  <c r="I23" i="5" s="1"/>
  <c r="E23" i="5"/>
  <c r="D23" i="5"/>
  <c r="B23" i="5"/>
  <c r="Q22" i="5"/>
  <c r="P22" i="5"/>
  <c r="O22" i="5"/>
  <c r="N22" i="5"/>
  <c r="K22" i="5"/>
  <c r="H22" i="5"/>
  <c r="J22" i="5" s="1"/>
  <c r="I22" i="5" s="1"/>
  <c r="E22" i="5"/>
  <c r="D22" i="5"/>
  <c r="B22" i="5"/>
  <c r="Q21" i="5"/>
  <c r="P21" i="5"/>
  <c r="O21" i="5"/>
  <c r="N21" i="5"/>
  <c r="K21" i="5"/>
  <c r="H21" i="5"/>
  <c r="J21" i="5" s="1"/>
  <c r="I21" i="5" s="1"/>
  <c r="E21" i="5"/>
  <c r="D21" i="5"/>
  <c r="B21" i="5"/>
  <c r="Q20" i="5"/>
  <c r="P20" i="5"/>
  <c r="O20" i="5"/>
  <c r="N20" i="5"/>
  <c r="K20" i="5"/>
  <c r="H20" i="5"/>
  <c r="J20" i="5" s="1"/>
  <c r="I20" i="5" s="1"/>
  <c r="E20" i="5"/>
  <c r="D20" i="5"/>
  <c r="B20" i="5"/>
  <c r="Q19" i="5"/>
  <c r="P19" i="5"/>
  <c r="O19" i="5"/>
  <c r="N19" i="5"/>
  <c r="K19" i="5"/>
  <c r="H19" i="5"/>
  <c r="G19" i="5" s="1"/>
  <c r="E19" i="5"/>
  <c r="D19" i="5"/>
  <c r="B19" i="5"/>
  <c r="Q18" i="5"/>
  <c r="P18" i="5"/>
  <c r="O18" i="5"/>
  <c r="N18" i="5"/>
  <c r="K18" i="5"/>
  <c r="H18" i="5"/>
  <c r="J18" i="5" s="1"/>
  <c r="I18" i="5" s="1"/>
  <c r="E18" i="5"/>
  <c r="D18" i="5"/>
  <c r="B18" i="5"/>
  <c r="Q17" i="5"/>
  <c r="P17" i="5"/>
  <c r="O17" i="5"/>
  <c r="N17" i="5"/>
  <c r="K17" i="5"/>
  <c r="H17" i="5"/>
  <c r="J17" i="5" s="1"/>
  <c r="I17" i="5" s="1"/>
  <c r="E17" i="5"/>
  <c r="D17" i="5"/>
  <c r="B17" i="5"/>
  <c r="Q16" i="5"/>
  <c r="P16" i="5"/>
  <c r="O16" i="5"/>
  <c r="N16" i="5"/>
  <c r="K16" i="5"/>
  <c r="H16" i="5"/>
  <c r="J16" i="5" s="1"/>
  <c r="I16" i="5" s="1"/>
  <c r="E16" i="5"/>
  <c r="D16" i="5"/>
  <c r="B16" i="5"/>
  <c r="Q15" i="5"/>
  <c r="P15" i="5"/>
  <c r="R15" i="5" s="1"/>
  <c r="O15" i="5"/>
  <c r="N15" i="5"/>
  <c r="K15" i="5"/>
  <c r="H15" i="5"/>
  <c r="J15" i="5" s="1"/>
  <c r="I15" i="5" s="1"/>
  <c r="E15" i="5"/>
  <c r="D15" i="5"/>
  <c r="B15" i="5"/>
  <c r="Q14" i="5"/>
  <c r="P14" i="5"/>
  <c r="O14" i="5"/>
  <c r="N14" i="5"/>
  <c r="K14" i="5"/>
  <c r="H14" i="5"/>
  <c r="E14" i="5"/>
  <c r="D14" i="5"/>
  <c r="B14" i="5"/>
  <c r="Q13" i="5"/>
  <c r="P13" i="5"/>
  <c r="O13" i="5"/>
  <c r="N13" i="5"/>
  <c r="K13" i="5"/>
  <c r="H13" i="5"/>
  <c r="J13" i="5" s="1"/>
  <c r="I13" i="5" s="1"/>
  <c r="E13" i="5"/>
  <c r="D13" i="5"/>
  <c r="B13" i="5"/>
  <c r="Q12" i="5"/>
  <c r="P12" i="5"/>
  <c r="O12" i="5"/>
  <c r="N12" i="5"/>
  <c r="K12" i="5"/>
  <c r="H12" i="5"/>
  <c r="J12" i="5" s="1"/>
  <c r="I12" i="5" s="1"/>
  <c r="E12" i="5"/>
  <c r="D12" i="5"/>
  <c r="B12" i="5"/>
  <c r="Q11" i="5"/>
  <c r="P11" i="5"/>
  <c r="O11" i="5"/>
  <c r="N11" i="5"/>
  <c r="K11" i="5"/>
  <c r="H11" i="5"/>
  <c r="J11" i="5" s="1"/>
  <c r="I11" i="5" s="1"/>
  <c r="E11" i="5"/>
  <c r="D11" i="5"/>
  <c r="B11" i="5"/>
  <c r="Q10" i="5"/>
  <c r="P10" i="5"/>
  <c r="O10" i="5"/>
  <c r="N10" i="5"/>
  <c r="K10" i="5"/>
  <c r="H10" i="5"/>
  <c r="J10" i="5" s="1"/>
  <c r="I10" i="5" s="1"/>
  <c r="E10" i="5"/>
  <c r="D10" i="5"/>
  <c r="B10" i="5"/>
  <c r="Q9" i="5"/>
  <c r="P9" i="5"/>
  <c r="R9" i="5" s="1"/>
  <c r="O9" i="5"/>
  <c r="N9" i="5"/>
  <c r="K9" i="5"/>
  <c r="H9" i="5"/>
  <c r="J9" i="5" s="1"/>
  <c r="I9" i="5" s="1"/>
  <c r="E9" i="5"/>
  <c r="D9" i="5"/>
  <c r="B9" i="5"/>
  <c r="Q8" i="5"/>
  <c r="P8" i="5"/>
  <c r="O8" i="5"/>
  <c r="N8" i="5"/>
  <c r="K8" i="5"/>
  <c r="H8" i="5"/>
  <c r="J8" i="5" s="1"/>
  <c r="I8" i="5" s="1"/>
  <c r="E8" i="5"/>
  <c r="D8" i="5"/>
  <c r="B8" i="5"/>
  <c r="Q7" i="5"/>
  <c r="P7" i="5"/>
  <c r="O7" i="5"/>
  <c r="N7" i="5"/>
  <c r="K7" i="5"/>
  <c r="H7" i="5"/>
  <c r="E7" i="5"/>
  <c r="D7" i="5"/>
  <c r="B7" i="5"/>
  <c r="Q6" i="5"/>
  <c r="P6" i="5"/>
  <c r="O6" i="5"/>
  <c r="N6" i="5"/>
  <c r="K6" i="5"/>
  <c r="H6" i="5"/>
  <c r="J6" i="5" s="1"/>
  <c r="I6" i="5" s="1"/>
  <c r="E6" i="5"/>
  <c r="D6" i="5"/>
  <c r="B6" i="5"/>
  <c r="Q5" i="5"/>
  <c r="P5" i="5"/>
  <c r="O5" i="5"/>
  <c r="N5" i="5"/>
  <c r="K5" i="5"/>
  <c r="H5" i="5"/>
  <c r="E5" i="5"/>
  <c r="D5" i="5"/>
  <c r="B5" i="5"/>
  <c r="R1779" i="5" l="1"/>
  <c r="R665" i="5"/>
  <c r="R858" i="5"/>
  <c r="R897" i="5"/>
  <c r="R913" i="5"/>
  <c r="R1271" i="5"/>
  <c r="R1374" i="5"/>
  <c r="R1406" i="5"/>
  <c r="R2162" i="5"/>
  <c r="G2359" i="5"/>
  <c r="R1108" i="5"/>
  <c r="R1179" i="5"/>
  <c r="G1261" i="5"/>
  <c r="R1264" i="5"/>
  <c r="R589" i="5"/>
  <c r="J2192" i="5"/>
  <c r="I2192" i="5" s="1"/>
  <c r="R14" i="5"/>
  <c r="G18" i="5"/>
  <c r="R21" i="5"/>
  <c r="R70" i="5"/>
  <c r="G74" i="5"/>
  <c r="R77" i="5"/>
  <c r="R105" i="5"/>
  <c r="R299" i="5"/>
  <c r="R391" i="5"/>
  <c r="G427" i="5"/>
  <c r="R628" i="5"/>
  <c r="G685" i="5"/>
  <c r="R688" i="5"/>
  <c r="G763" i="5"/>
  <c r="R782" i="5"/>
  <c r="G1674" i="5"/>
  <c r="G1711" i="5"/>
  <c r="R1714" i="5"/>
  <c r="G1757" i="5"/>
  <c r="R2141" i="5"/>
  <c r="R2387" i="5"/>
  <c r="R2480" i="5"/>
  <c r="R778" i="5"/>
  <c r="R1008" i="5"/>
  <c r="R1077" i="5"/>
  <c r="G1189" i="5"/>
  <c r="G1325" i="5"/>
  <c r="R1328" i="5"/>
  <c r="R1489" i="5"/>
  <c r="G1687" i="5"/>
  <c r="R1720" i="5"/>
  <c r="R1773" i="5"/>
  <c r="R1916" i="5"/>
  <c r="R1937" i="5"/>
  <c r="R2118" i="5"/>
  <c r="R2171" i="5"/>
  <c r="G2242" i="5"/>
  <c r="R2397" i="5"/>
  <c r="G2401" i="5"/>
  <c r="G2484" i="5"/>
  <c r="R2501" i="5"/>
  <c r="R125" i="5"/>
  <c r="G187" i="5"/>
  <c r="R190" i="5"/>
  <c r="R342" i="5"/>
  <c r="G346" i="5"/>
  <c r="G459" i="5"/>
  <c r="R605" i="5"/>
  <c r="R702" i="5"/>
  <c r="R989" i="5"/>
  <c r="R1019" i="5"/>
  <c r="R1042" i="5"/>
  <c r="G1046" i="5"/>
  <c r="G1131" i="5"/>
  <c r="G1191" i="5"/>
  <c r="R1523" i="5"/>
  <c r="R1620" i="5"/>
  <c r="R1650" i="5"/>
  <c r="R1904" i="5"/>
  <c r="R1932" i="5"/>
  <c r="G1952" i="5"/>
  <c r="R1955" i="5"/>
  <c r="R2323" i="5"/>
  <c r="R2369" i="5"/>
  <c r="R2422" i="5"/>
  <c r="G2426" i="5"/>
  <c r="R2429" i="5"/>
  <c r="G2500" i="5"/>
  <c r="J888" i="5"/>
  <c r="I888" i="5" s="1"/>
  <c r="R736" i="5"/>
  <c r="R752" i="5"/>
  <c r="R938" i="5"/>
  <c r="G988" i="5"/>
  <c r="R1021" i="5"/>
  <c r="G1126" i="5"/>
  <c r="G1246" i="5"/>
  <c r="R1249" i="5"/>
  <c r="R1295" i="5"/>
  <c r="R1311" i="5"/>
  <c r="G1329" i="5"/>
  <c r="R1332" i="5"/>
  <c r="R1645" i="5"/>
  <c r="R1770" i="5"/>
  <c r="R1777" i="5"/>
  <c r="R1816" i="5"/>
  <c r="R2424" i="5"/>
  <c r="R10" i="5"/>
  <c r="R61" i="5"/>
  <c r="G77" i="5"/>
  <c r="R129" i="5"/>
  <c r="R143" i="5"/>
  <c r="R150" i="5"/>
  <c r="G184" i="5"/>
  <c r="R330" i="5"/>
  <c r="R381" i="5"/>
  <c r="G447" i="5"/>
  <c r="R473" i="5"/>
  <c r="R600" i="5"/>
  <c r="R616" i="5"/>
  <c r="R632" i="5"/>
  <c r="R662" i="5"/>
  <c r="G666" i="5"/>
  <c r="R1014" i="5"/>
  <c r="R1037" i="5"/>
  <c r="G1133" i="5"/>
  <c r="R1258" i="5"/>
  <c r="R1281" i="5"/>
  <c r="G1285" i="5"/>
  <c r="G1409" i="5"/>
  <c r="R1419" i="5"/>
  <c r="G1423" i="5"/>
  <c r="G2483" i="5"/>
  <c r="R1543" i="5"/>
  <c r="G1570" i="5"/>
  <c r="R1601" i="5"/>
  <c r="R1624" i="5"/>
  <c r="G1716" i="5"/>
  <c r="R1719" i="5"/>
  <c r="R1772" i="5"/>
  <c r="R1802" i="5"/>
  <c r="R1848" i="5"/>
  <c r="R1855" i="5"/>
  <c r="R2046" i="5"/>
  <c r="R2062" i="5"/>
  <c r="R2320" i="5"/>
  <c r="R2327" i="5"/>
  <c r="R2465" i="5"/>
  <c r="R2486" i="5"/>
  <c r="G2497" i="5"/>
  <c r="R2244" i="5"/>
  <c r="R2283" i="5"/>
  <c r="R1094" i="5"/>
  <c r="R1186" i="5"/>
  <c r="R2156" i="5"/>
  <c r="R2398" i="5"/>
  <c r="R2467" i="5"/>
  <c r="R2488" i="5"/>
  <c r="R1626" i="5"/>
  <c r="R2128" i="5"/>
  <c r="G2132" i="5"/>
  <c r="G2139" i="5"/>
  <c r="G2243" i="5"/>
  <c r="R2345" i="5"/>
  <c r="R2375" i="5"/>
  <c r="R2460" i="5"/>
  <c r="G109" i="5"/>
  <c r="G151" i="5"/>
  <c r="R191" i="5"/>
  <c r="R214" i="5"/>
  <c r="R357" i="5"/>
  <c r="R371" i="5"/>
  <c r="R433" i="5"/>
  <c r="R560" i="5"/>
  <c r="R581" i="5"/>
  <c r="R852" i="5"/>
  <c r="G863" i="5"/>
  <c r="R1112" i="5"/>
  <c r="R1140" i="5"/>
  <c r="R1338" i="5"/>
  <c r="R1455" i="5"/>
  <c r="R1995" i="5"/>
  <c r="R2027" i="5"/>
  <c r="G2031" i="5"/>
  <c r="R2034" i="5"/>
  <c r="R2050" i="5"/>
  <c r="R2151" i="5"/>
  <c r="G2305" i="5"/>
  <c r="R2483" i="5"/>
  <c r="G1475" i="5"/>
  <c r="R1478" i="5"/>
  <c r="R1933" i="5"/>
  <c r="R1949" i="5"/>
  <c r="R1956" i="5"/>
  <c r="R2317" i="5"/>
  <c r="G2404" i="5"/>
  <c r="R1280" i="5"/>
  <c r="R1340" i="5"/>
  <c r="G1415" i="5"/>
  <c r="R1425" i="5"/>
  <c r="G1569" i="5"/>
  <c r="R1586" i="5"/>
  <c r="R1630" i="5"/>
  <c r="G1634" i="5"/>
  <c r="G1729" i="5"/>
  <c r="G1789" i="5"/>
  <c r="G1923" i="5"/>
  <c r="R2029" i="5"/>
  <c r="R2068" i="5"/>
  <c r="G2240" i="5"/>
  <c r="R2287" i="5"/>
  <c r="R2333" i="5"/>
  <c r="G2337" i="5"/>
  <c r="R2340" i="5"/>
  <c r="R1606" i="5"/>
  <c r="R1629" i="5"/>
  <c r="R1688" i="5"/>
  <c r="G1699" i="5"/>
  <c r="R1702" i="5"/>
  <c r="R1912" i="5"/>
  <c r="R1931" i="5"/>
  <c r="R1947" i="5"/>
  <c r="R1954" i="5"/>
  <c r="R1970" i="5"/>
  <c r="G1974" i="5"/>
  <c r="R2025" i="5"/>
  <c r="R2032" i="5"/>
  <c r="R2087" i="5"/>
  <c r="R2133" i="5"/>
  <c r="R2140" i="5"/>
  <c r="G2144" i="5"/>
  <c r="R2147" i="5"/>
  <c r="G2165" i="5"/>
  <c r="R2168" i="5"/>
  <c r="R2233" i="5"/>
  <c r="R2298" i="5"/>
  <c r="G2346" i="5"/>
  <c r="R2349" i="5"/>
  <c r="G2402" i="5"/>
  <c r="G2416" i="5"/>
  <c r="R2419" i="5"/>
  <c r="R2426" i="5"/>
  <c r="R75" i="5"/>
  <c r="R89" i="5"/>
  <c r="G119" i="5"/>
  <c r="G204" i="5"/>
  <c r="R235" i="5"/>
  <c r="G374" i="5"/>
  <c r="R458" i="5"/>
  <c r="R465" i="5"/>
  <c r="G485" i="5"/>
  <c r="R488" i="5"/>
  <c r="R609" i="5"/>
  <c r="G627" i="5"/>
  <c r="R630" i="5"/>
  <c r="G634" i="5"/>
  <c r="R707" i="5"/>
  <c r="R767" i="5"/>
  <c r="G801" i="5"/>
  <c r="R906" i="5"/>
  <c r="G1019" i="5"/>
  <c r="R1029" i="5"/>
  <c r="G1040" i="5"/>
  <c r="R1115" i="5"/>
  <c r="R1222" i="5"/>
  <c r="R1345" i="5"/>
  <c r="R1370" i="5"/>
  <c r="G1374" i="5"/>
  <c r="R1430" i="5"/>
  <c r="R1446" i="5"/>
  <c r="R1453" i="5"/>
  <c r="G1501" i="5"/>
  <c r="R1527" i="5"/>
  <c r="G1531" i="5"/>
  <c r="R1550" i="5"/>
  <c r="G1591" i="5"/>
  <c r="G1640" i="5"/>
  <c r="G1811" i="5"/>
  <c r="R1814" i="5"/>
  <c r="G1818" i="5"/>
  <c r="R1856" i="5"/>
  <c r="R1884" i="5"/>
  <c r="R1924" i="5"/>
  <c r="R1963" i="5"/>
  <c r="R2002" i="5"/>
  <c r="R2018" i="5"/>
  <c r="R2057" i="5"/>
  <c r="R2163" i="5"/>
  <c r="R2205" i="5"/>
  <c r="G2209" i="5"/>
  <c r="R2212" i="5"/>
  <c r="R2393" i="5"/>
  <c r="G2397" i="5"/>
  <c r="R2400" i="5"/>
  <c r="R2405" i="5"/>
  <c r="G562" i="5"/>
  <c r="R565" i="5"/>
  <c r="R579" i="5"/>
  <c r="R595" i="5"/>
  <c r="R723" i="5"/>
  <c r="R783" i="5"/>
  <c r="R855" i="5"/>
  <c r="R899" i="5"/>
  <c r="R915" i="5"/>
  <c r="R922" i="5"/>
  <c r="R929" i="5"/>
  <c r="R1017" i="5"/>
  <c r="R1101" i="5"/>
  <c r="G1128" i="5"/>
  <c r="G1163" i="5"/>
  <c r="G1186" i="5"/>
  <c r="R1238" i="5"/>
  <c r="G1242" i="5"/>
  <c r="R1245" i="5"/>
  <c r="R1312" i="5"/>
  <c r="R1395" i="5"/>
  <c r="J1778" i="5"/>
  <c r="I1778" i="5" s="1"/>
  <c r="R2114" i="5"/>
  <c r="R2121" i="5"/>
  <c r="R2263" i="5"/>
  <c r="J2369" i="5"/>
  <c r="I2369" i="5" s="1"/>
  <c r="R6" i="5"/>
  <c r="R27" i="5"/>
  <c r="G50" i="5"/>
  <c r="R53" i="5"/>
  <c r="R72" i="5"/>
  <c r="R112" i="5"/>
  <c r="R124" i="5"/>
  <c r="G135" i="5"/>
  <c r="R157" i="5"/>
  <c r="G182" i="5"/>
  <c r="G194" i="5"/>
  <c r="R197" i="5"/>
  <c r="R211" i="5"/>
  <c r="G215" i="5"/>
  <c r="R288" i="5"/>
  <c r="R302" i="5"/>
  <c r="R332" i="5"/>
  <c r="R346" i="5"/>
  <c r="R404" i="5"/>
  <c r="R420" i="5"/>
  <c r="G452" i="5"/>
  <c r="G515" i="5"/>
  <c r="R539" i="5"/>
  <c r="R590" i="5"/>
  <c r="R641" i="5"/>
  <c r="G673" i="5"/>
  <c r="G715" i="5"/>
  <c r="R748" i="5"/>
  <c r="R771" i="5"/>
  <c r="R794" i="5"/>
  <c r="G798" i="5"/>
  <c r="R808" i="5"/>
  <c r="R815" i="5"/>
  <c r="G833" i="5"/>
  <c r="R836" i="5"/>
  <c r="R880" i="5"/>
  <c r="R894" i="5"/>
  <c r="G1002" i="5"/>
  <c r="R1061" i="5"/>
  <c r="R1397" i="5"/>
  <c r="R1487" i="5"/>
  <c r="R1494" i="5"/>
  <c r="G1498" i="5"/>
  <c r="R1515" i="5"/>
  <c r="R1538" i="5"/>
  <c r="G1689" i="5"/>
  <c r="R1692" i="5"/>
  <c r="G1703" i="5"/>
  <c r="R1727" i="5"/>
  <c r="G1738" i="5"/>
  <c r="R1762" i="5"/>
  <c r="G1808" i="5"/>
  <c r="R1823" i="5"/>
  <c r="R1839" i="5"/>
  <c r="R1846" i="5"/>
  <c r="R1888" i="5"/>
  <c r="G1920" i="5"/>
  <c r="R1928" i="5"/>
  <c r="R2061" i="5"/>
  <c r="R2084" i="5"/>
  <c r="R2216" i="5"/>
  <c r="R2381" i="5"/>
  <c r="R2416" i="5"/>
  <c r="R2446" i="5"/>
  <c r="R2476" i="5"/>
  <c r="G2490" i="5"/>
  <c r="R2493" i="5"/>
  <c r="R2503" i="5"/>
  <c r="J450" i="5"/>
  <c r="I450" i="5" s="1"/>
  <c r="R22" i="5"/>
  <c r="R48" i="5"/>
  <c r="R62" i="5"/>
  <c r="R67" i="5"/>
  <c r="G71" i="5"/>
  <c r="G123" i="5"/>
  <c r="R126" i="5"/>
  <c r="G130" i="5"/>
  <c r="R133" i="5"/>
  <c r="R166" i="5"/>
  <c r="G170" i="5"/>
  <c r="R173" i="5"/>
  <c r="G177" i="5"/>
  <c r="R180" i="5"/>
  <c r="R199" i="5"/>
  <c r="R213" i="5"/>
  <c r="G301" i="5"/>
  <c r="R304" i="5"/>
  <c r="G596" i="5"/>
  <c r="G619" i="5"/>
  <c r="R622" i="5"/>
  <c r="R678" i="5"/>
  <c r="G724" i="5"/>
  <c r="R743" i="5"/>
  <c r="R796" i="5"/>
  <c r="R831" i="5"/>
  <c r="G879" i="5"/>
  <c r="R956" i="5"/>
  <c r="R977" i="5"/>
  <c r="G1039" i="5"/>
  <c r="R1063" i="5"/>
  <c r="G1079" i="5"/>
  <c r="R1105" i="5"/>
  <c r="J1223" i="5"/>
  <c r="I1223" i="5" s="1"/>
  <c r="G1341" i="5"/>
  <c r="R1360" i="5"/>
  <c r="R1496" i="5"/>
  <c r="R1647" i="5"/>
  <c r="G1679" i="5"/>
  <c r="R1736" i="5"/>
  <c r="G1822" i="5"/>
  <c r="R1825" i="5"/>
  <c r="G1880" i="5"/>
  <c r="R1890" i="5"/>
  <c r="R1897" i="5"/>
  <c r="G1908" i="5"/>
  <c r="R1911" i="5"/>
  <c r="R1923" i="5"/>
  <c r="R1953" i="5"/>
  <c r="R1992" i="5"/>
  <c r="R2031" i="5"/>
  <c r="J2164" i="5"/>
  <c r="I2164" i="5" s="1"/>
  <c r="R2195" i="5"/>
  <c r="G2222" i="5"/>
  <c r="R2267" i="5"/>
  <c r="R2297" i="5"/>
  <c r="G2308" i="5"/>
  <c r="R2448" i="5"/>
  <c r="R2462" i="5"/>
  <c r="R2234" i="5"/>
  <c r="R2241" i="5"/>
  <c r="R2255" i="5"/>
  <c r="G2266" i="5"/>
  <c r="R2269" i="5"/>
  <c r="G2273" i="5"/>
  <c r="R2457" i="5"/>
  <c r="G2461" i="5"/>
  <c r="R2464" i="5"/>
  <c r="G2482" i="5"/>
  <c r="G2487" i="5"/>
  <c r="R2495" i="5"/>
  <c r="R24" i="5"/>
  <c r="R31" i="5"/>
  <c r="R38" i="5"/>
  <c r="R90" i="5"/>
  <c r="R149" i="5"/>
  <c r="G268" i="5"/>
  <c r="R466" i="5"/>
  <c r="G493" i="5"/>
  <c r="R522" i="5"/>
  <c r="R536" i="5"/>
  <c r="R631" i="5"/>
  <c r="G684" i="5"/>
  <c r="G705" i="5"/>
  <c r="R708" i="5"/>
  <c r="R898" i="5"/>
  <c r="R1058" i="5"/>
  <c r="R1065" i="5"/>
  <c r="R1130" i="5"/>
  <c r="R1135" i="5"/>
  <c r="R1158" i="5"/>
  <c r="R1188" i="5"/>
  <c r="R1274" i="5"/>
  <c r="R1320" i="5"/>
  <c r="R1431" i="5"/>
  <c r="R1528" i="5"/>
  <c r="R1637" i="5"/>
  <c r="G1681" i="5"/>
  <c r="G1742" i="5"/>
  <c r="R1759" i="5"/>
  <c r="R1801" i="5"/>
  <c r="R1850" i="5"/>
  <c r="R1941" i="5"/>
  <c r="R2058" i="5"/>
  <c r="R2113" i="5"/>
  <c r="G2117" i="5"/>
  <c r="R2120" i="5"/>
  <c r="G2224" i="5"/>
  <c r="R2227" i="5"/>
  <c r="R2248" i="5"/>
  <c r="R2364" i="5"/>
  <c r="G2477" i="5"/>
  <c r="R2490" i="5"/>
  <c r="G2494" i="5"/>
  <c r="G2499" i="5"/>
  <c r="G16" i="5"/>
  <c r="R45" i="5"/>
  <c r="R111" i="5"/>
  <c r="G120" i="5"/>
  <c r="R308" i="5"/>
  <c r="G500" i="5"/>
  <c r="R682" i="5"/>
  <c r="R777" i="5"/>
  <c r="G781" i="5"/>
  <c r="R784" i="5"/>
  <c r="R849" i="5"/>
  <c r="G927" i="5"/>
  <c r="G934" i="5"/>
  <c r="R960" i="5"/>
  <c r="R1093" i="5"/>
  <c r="R1209" i="5"/>
  <c r="R1223" i="5"/>
  <c r="R1230" i="5"/>
  <c r="R1260" i="5"/>
  <c r="R1313" i="5"/>
  <c r="R1334" i="5"/>
  <c r="G1338" i="5"/>
  <c r="R1387" i="5"/>
  <c r="R1410" i="5"/>
  <c r="R1417" i="5"/>
  <c r="R1477" i="5"/>
  <c r="R1544" i="5"/>
  <c r="R1560" i="5"/>
  <c r="G1641" i="5"/>
  <c r="G1655" i="5"/>
  <c r="G1791" i="5"/>
  <c r="G1819" i="5"/>
  <c r="R1829" i="5"/>
  <c r="R1873" i="5"/>
  <c r="R1894" i="5"/>
  <c r="R5" i="5"/>
  <c r="R19" i="5"/>
  <c r="G23" i="5"/>
  <c r="G30" i="5"/>
  <c r="G63" i="5"/>
  <c r="R71" i="5"/>
  <c r="R196" i="5"/>
  <c r="G200" i="5"/>
  <c r="R203" i="5"/>
  <c r="R259" i="5"/>
  <c r="G263" i="5"/>
  <c r="R266" i="5"/>
  <c r="R287" i="5"/>
  <c r="R317" i="5"/>
  <c r="G328" i="5"/>
  <c r="R352" i="5"/>
  <c r="R373" i="5"/>
  <c r="R387" i="5"/>
  <c r="G458" i="5"/>
  <c r="R484" i="5"/>
  <c r="R724" i="5"/>
  <c r="G744" i="5"/>
  <c r="R835" i="5"/>
  <c r="G839" i="5"/>
  <c r="R842" i="5"/>
  <c r="R893" i="5"/>
  <c r="R909" i="5"/>
  <c r="G1064" i="5"/>
  <c r="G1071" i="5"/>
  <c r="G1083" i="5"/>
  <c r="R1086" i="5"/>
  <c r="G1134" i="5"/>
  <c r="R1144" i="5"/>
  <c r="R1160" i="5"/>
  <c r="G1199" i="5"/>
  <c r="G1303" i="5"/>
  <c r="R1306" i="5"/>
  <c r="R1341" i="5"/>
  <c r="R1433" i="5"/>
  <c r="R1449" i="5"/>
  <c r="G1453" i="5"/>
  <c r="R1486" i="5"/>
  <c r="R1500" i="5"/>
  <c r="G1636" i="5"/>
  <c r="G1709" i="5"/>
  <c r="G1779" i="5"/>
  <c r="R1810" i="5"/>
  <c r="R1822" i="5"/>
  <c r="R1859" i="5"/>
  <c r="R1880" i="5"/>
  <c r="G1884" i="5"/>
  <c r="R1887" i="5"/>
  <c r="G1924" i="5"/>
  <c r="R1943" i="5"/>
  <c r="R2005" i="5"/>
  <c r="R2060" i="5"/>
  <c r="R2115" i="5"/>
  <c r="R2122" i="5"/>
  <c r="R2208" i="5"/>
  <c r="R2215" i="5"/>
  <c r="G2356" i="5"/>
  <c r="R2396" i="5"/>
  <c r="G2442" i="5"/>
  <c r="R2445" i="5"/>
  <c r="R2452" i="5"/>
  <c r="R2475" i="5"/>
  <c r="R2492" i="5"/>
  <c r="R2497" i="5"/>
  <c r="G922" i="5"/>
  <c r="R932" i="5"/>
  <c r="G966" i="5"/>
  <c r="G973" i="5"/>
  <c r="G1050" i="5"/>
  <c r="R1074" i="5"/>
  <c r="G1078" i="5"/>
  <c r="R1137" i="5"/>
  <c r="R1176" i="5"/>
  <c r="R1336" i="5"/>
  <c r="R92" i="5"/>
  <c r="R151" i="5"/>
  <c r="G162" i="5"/>
  <c r="R165" i="5"/>
  <c r="R198" i="5"/>
  <c r="G258" i="5"/>
  <c r="R261" i="5"/>
  <c r="R289" i="5"/>
  <c r="G293" i="5"/>
  <c r="R303" i="5"/>
  <c r="G323" i="5"/>
  <c r="G351" i="5"/>
  <c r="R354" i="5"/>
  <c r="G372" i="5"/>
  <c r="R428" i="5"/>
  <c r="R435" i="5"/>
  <c r="R456" i="5"/>
  <c r="G509" i="5"/>
  <c r="R512" i="5"/>
  <c r="R568" i="5"/>
  <c r="G625" i="5"/>
  <c r="R642" i="5"/>
  <c r="R677" i="5"/>
  <c r="R742" i="5"/>
  <c r="G813" i="5"/>
  <c r="G820" i="5"/>
  <c r="R844" i="5"/>
  <c r="R948" i="5"/>
  <c r="G1194" i="5"/>
  <c r="R1262" i="5"/>
  <c r="R1329" i="5"/>
  <c r="R2347" i="5"/>
  <c r="G2351" i="5"/>
  <c r="R2403" i="5"/>
  <c r="R2417" i="5"/>
  <c r="R2447" i="5"/>
  <c r="G2451" i="5"/>
  <c r="R1414" i="5"/>
  <c r="R1467" i="5"/>
  <c r="R1474" i="5"/>
  <c r="R1525" i="5"/>
  <c r="R1532" i="5"/>
  <c r="J2432" i="5"/>
  <c r="I2432" i="5" s="1"/>
  <c r="G2432" i="5"/>
  <c r="R137" i="5"/>
  <c r="R170" i="5"/>
  <c r="R907" i="5"/>
  <c r="G911" i="5"/>
  <c r="G939" i="5"/>
  <c r="G946" i="5"/>
  <c r="R949" i="5"/>
  <c r="G953" i="5"/>
  <c r="R1767" i="5"/>
  <c r="R2472" i="5"/>
  <c r="G2493" i="5"/>
  <c r="J546" i="5"/>
  <c r="I546" i="5" s="1"/>
  <c r="R1512" i="5"/>
  <c r="J1115" i="5"/>
  <c r="I1115" i="5" s="1"/>
  <c r="J1393" i="5"/>
  <c r="I1393" i="5" s="1"/>
  <c r="G1393" i="5"/>
  <c r="R379" i="5"/>
  <c r="J294" i="5"/>
  <c r="I294" i="5" s="1"/>
  <c r="G294" i="5"/>
  <c r="R313" i="5"/>
  <c r="G331" i="5"/>
  <c r="G991" i="5"/>
  <c r="R1889" i="5"/>
  <c r="G1914" i="5"/>
  <c r="R1917" i="5"/>
  <c r="J714" i="5"/>
  <c r="I714" i="5" s="1"/>
  <c r="G714" i="5"/>
  <c r="J1677" i="5"/>
  <c r="I1677" i="5" s="1"/>
  <c r="G1677" i="5"/>
  <c r="J551" i="5"/>
  <c r="I551" i="5" s="1"/>
  <c r="G551" i="5"/>
  <c r="J2234" i="5"/>
  <c r="I2234" i="5" s="1"/>
  <c r="G2234" i="5"/>
  <c r="J41" i="5"/>
  <c r="I41" i="5" s="1"/>
  <c r="R726" i="5"/>
  <c r="J1153" i="5"/>
  <c r="I1153" i="5" s="1"/>
  <c r="G1153" i="5"/>
  <c r="R1172" i="5"/>
  <c r="G1204" i="5"/>
  <c r="J1204" i="5"/>
  <c r="I1204" i="5" s="1"/>
  <c r="J1625" i="5"/>
  <c r="I1625" i="5" s="1"/>
  <c r="R2260" i="5"/>
  <c r="R1116" i="5"/>
  <c r="J1467" i="5"/>
  <c r="I1467" i="5" s="1"/>
  <c r="G1467" i="5"/>
  <c r="J1555" i="5"/>
  <c r="I1555" i="5" s="1"/>
  <c r="J329" i="5"/>
  <c r="I329" i="5" s="1"/>
  <c r="G329" i="5"/>
  <c r="J191" i="5"/>
  <c r="I191" i="5" s="1"/>
  <c r="G191" i="5"/>
  <c r="J172" i="5"/>
  <c r="I172" i="5" s="1"/>
  <c r="G172" i="5"/>
  <c r="J1323" i="5"/>
  <c r="I1323" i="5" s="1"/>
  <c r="G1323" i="5"/>
  <c r="R156" i="5"/>
  <c r="G160" i="5"/>
  <c r="R954" i="5"/>
  <c r="R1774" i="5"/>
  <c r="R315" i="5"/>
  <c r="R558" i="5"/>
  <c r="R450" i="5"/>
  <c r="J1369" i="5"/>
  <c r="I1369" i="5" s="1"/>
  <c r="R2166" i="5"/>
  <c r="J1070" i="5"/>
  <c r="I1070" i="5" s="1"/>
  <c r="R2020" i="5"/>
  <c r="J2433" i="5"/>
  <c r="I2433" i="5" s="1"/>
  <c r="J1433" i="5"/>
  <c r="I1433" i="5" s="1"/>
  <c r="R1636" i="5"/>
  <c r="J2195" i="5"/>
  <c r="I2195" i="5" s="1"/>
  <c r="R2198" i="5"/>
  <c r="G1158" i="5"/>
  <c r="R1268" i="5"/>
  <c r="R1324" i="5"/>
  <c r="G1363" i="5"/>
  <c r="R1366" i="5"/>
  <c r="R1380" i="5"/>
  <c r="R1547" i="5"/>
  <c r="R1563" i="5"/>
  <c r="G1567" i="5"/>
  <c r="G1614" i="5"/>
  <c r="R1617" i="5"/>
  <c r="R1913" i="5"/>
  <c r="G1982" i="5"/>
  <c r="R1985" i="5"/>
  <c r="R2008" i="5"/>
  <c r="R2017" i="5"/>
  <c r="G2044" i="5"/>
  <c r="R2047" i="5"/>
  <c r="R2093" i="5"/>
  <c r="G2097" i="5"/>
  <c r="R2214" i="5"/>
  <c r="G2225" i="5"/>
  <c r="R2228" i="5"/>
  <c r="R2307" i="5"/>
  <c r="R2356" i="5"/>
  <c r="R2377" i="5"/>
  <c r="G2381" i="5"/>
  <c r="R2384" i="5"/>
  <c r="R735" i="5"/>
  <c r="R1272" i="5"/>
  <c r="J1390" i="5"/>
  <c r="I1390" i="5" s="1"/>
  <c r="J1271" i="5"/>
  <c r="I1271" i="5" s="1"/>
  <c r="J1355" i="5"/>
  <c r="I1355" i="5" s="1"/>
  <c r="J748" i="5"/>
  <c r="I748" i="5" s="1"/>
  <c r="J1506" i="5"/>
  <c r="I1506" i="5" s="1"/>
  <c r="R1576" i="5"/>
  <c r="R1715" i="5"/>
  <c r="J1756" i="5"/>
  <c r="I1756" i="5" s="1"/>
  <c r="R2371" i="5"/>
  <c r="J964" i="5"/>
  <c r="I964" i="5" s="1"/>
  <c r="R2096" i="5"/>
  <c r="J1678" i="5"/>
  <c r="I1678" i="5" s="1"/>
  <c r="R363" i="5"/>
  <c r="G6" i="5"/>
  <c r="G58" i="5"/>
  <c r="G75" i="5"/>
  <c r="G134" i="5"/>
  <c r="G139" i="5"/>
  <c r="J404" i="5"/>
  <c r="I404" i="5" s="1"/>
  <c r="G492" i="5"/>
  <c r="G523" i="5"/>
  <c r="G577" i="5"/>
  <c r="G944" i="5"/>
  <c r="G956" i="5"/>
  <c r="G963" i="5"/>
  <c r="G968" i="5"/>
  <c r="R1011" i="5"/>
  <c r="G1015" i="5"/>
  <c r="R1051" i="5"/>
  <c r="G1055" i="5"/>
  <c r="R1177" i="5"/>
  <c r="R1240" i="5"/>
  <c r="G1272" i="5"/>
  <c r="R1475" i="5"/>
  <c r="G1769" i="5"/>
  <c r="G1788" i="5"/>
  <c r="G1793" i="5"/>
  <c r="R1831" i="5"/>
  <c r="G1898" i="5"/>
  <c r="R2153" i="5"/>
  <c r="R2504" i="5"/>
  <c r="R2451" i="5"/>
  <c r="R1694" i="5"/>
  <c r="R2150" i="5"/>
  <c r="R2213" i="5"/>
  <c r="J979" i="5"/>
  <c r="I979" i="5" s="1"/>
  <c r="R1106" i="5"/>
  <c r="J300" i="5"/>
  <c r="I300" i="5" s="1"/>
  <c r="J1028" i="5"/>
  <c r="I1028" i="5" s="1"/>
  <c r="J2093" i="5"/>
  <c r="I2093" i="5" s="1"/>
  <c r="J1319" i="5"/>
  <c r="I1319" i="5" s="1"/>
  <c r="R1348" i="5"/>
  <c r="R671" i="5"/>
  <c r="J826" i="5"/>
  <c r="I826" i="5" s="1"/>
  <c r="R750" i="5"/>
  <c r="R23" i="5"/>
  <c r="R30" i="5"/>
  <c r="R73" i="5"/>
  <c r="R78" i="5"/>
  <c r="R175" i="5"/>
  <c r="R220" i="5"/>
  <c r="R227" i="5"/>
  <c r="R241" i="5"/>
  <c r="R269" i="5"/>
  <c r="R311" i="5"/>
  <c r="R339" i="5"/>
  <c r="R360" i="5"/>
  <c r="R367" i="5"/>
  <c r="R432" i="5"/>
  <c r="R495" i="5"/>
  <c r="R526" i="5"/>
  <c r="R533" i="5"/>
  <c r="R554" i="5"/>
  <c r="R596" i="5"/>
  <c r="R612" i="5"/>
  <c r="R619" i="5"/>
  <c r="R703" i="5"/>
  <c r="R710" i="5"/>
  <c r="R731" i="5"/>
  <c r="R798" i="5"/>
  <c r="R854" i="5"/>
  <c r="R905" i="5"/>
  <c r="R921" i="5"/>
  <c r="R978" i="5"/>
  <c r="R985" i="5"/>
  <c r="R1156" i="5"/>
  <c r="R1170" i="5"/>
  <c r="R1198" i="5"/>
  <c r="R1270" i="5"/>
  <c r="R1491" i="5"/>
  <c r="R1533" i="5"/>
  <c r="R1570" i="5"/>
  <c r="R1744" i="5"/>
  <c r="R1758" i="5"/>
  <c r="R1805" i="5"/>
  <c r="R1840" i="5"/>
  <c r="R1854" i="5"/>
  <c r="R1973" i="5"/>
  <c r="R1980" i="5"/>
  <c r="R2003" i="5"/>
  <c r="R2065" i="5"/>
  <c r="R2088" i="5"/>
  <c r="R2095" i="5"/>
  <c r="R2102" i="5"/>
  <c r="R2209" i="5"/>
  <c r="R2237" i="5"/>
  <c r="R2265" i="5"/>
  <c r="R2463" i="5"/>
  <c r="R2499" i="5"/>
  <c r="G393" i="5"/>
  <c r="J393" i="5"/>
  <c r="I393" i="5" s="1"/>
  <c r="J1722" i="5"/>
  <c r="I1722" i="5" s="1"/>
  <c r="G1722" i="5"/>
  <c r="J749" i="5"/>
  <c r="I749" i="5" s="1"/>
  <c r="R1304" i="5"/>
  <c r="R1398" i="5"/>
  <c r="J1605" i="5"/>
  <c r="I1605" i="5" s="1"/>
  <c r="J1816" i="5"/>
  <c r="I1816" i="5" s="1"/>
  <c r="G1816" i="5"/>
  <c r="R2434" i="5"/>
  <c r="R687" i="5"/>
  <c r="J507" i="5"/>
  <c r="I507" i="5" s="1"/>
  <c r="G507" i="5"/>
  <c r="J897" i="5"/>
  <c r="I897" i="5" s="1"/>
  <c r="G8" i="5"/>
  <c r="G15" i="5"/>
  <c r="G39" i="5"/>
  <c r="R59" i="5"/>
  <c r="R100" i="5"/>
  <c r="G104" i="5"/>
  <c r="R131" i="5"/>
  <c r="R136" i="5"/>
  <c r="G145" i="5"/>
  <c r="R148" i="5"/>
  <c r="G157" i="5"/>
  <c r="R172" i="5"/>
  <c r="G176" i="5"/>
  <c r="G198" i="5"/>
  <c r="G250" i="5"/>
  <c r="R253" i="5"/>
  <c r="R258" i="5"/>
  <c r="R284" i="5"/>
  <c r="G288" i="5"/>
  <c r="R291" i="5"/>
  <c r="R301" i="5"/>
  <c r="R390" i="5"/>
  <c r="R483" i="5"/>
  <c r="R490" i="5"/>
  <c r="G499" i="5"/>
  <c r="G511" i="5"/>
  <c r="R519" i="5"/>
  <c r="G575" i="5"/>
  <c r="G772" i="5"/>
  <c r="R775" i="5"/>
  <c r="R871" i="5"/>
  <c r="R1145" i="5"/>
  <c r="R1152" i="5"/>
  <c r="R1292" i="5"/>
  <c r="J1348" i="5"/>
  <c r="I1348" i="5" s="1"/>
  <c r="G1348" i="5"/>
  <c r="R1365" i="5"/>
  <c r="R1372" i="5"/>
  <c r="R1400" i="5"/>
  <c r="G1418" i="5"/>
  <c r="R1428" i="5"/>
  <c r="J1539" i="5"/>
  <c r="I1539" i="5" s="1"/>
  <c r="G1539" i="5"/>
  <c r="R1722" i="5"/>
  <c r="G1804" i="5"/>
  <c r="R1826" i="5"/>
  <c r="G1865" i="5"/>
  <c r="G1950" i="5"/>
  <c r="G1964" i="5"/>
  <c r="R1997" i="5"/>
  <c r="R2103" i="5"/>
  <c r="G2130" i="5"/>
  <c r="R2192" i="5"/>
  <c r="R2199" i="5"/>
  <c r="G2203" i="5"/>
  <c r="G2320" i="5"/>
  <c r="J2419" i="5"/>
  <c r="I2419" i="5" s="1"/>
  <c r="G2419" i="5"/>
  <c r="J717" i="5"/>
  <c r="I717" i="5" s="1"/>
  <c r="J780" i="5"/>
  <c r="I780" i="5" s="1"/>
  <c r="G780" i="5"/>
  <c r="G1798" i="5"/>
  <c r="J1798" i="5"/>
  <c r="I1798" i="5" s="1"/>
  <c r="J1421" i="5"/>
  <c r="I1421" i="5" s="1"/>
  <c r="G1421" i="5"/>
  <c r="J143" i="5"/>
  <c r="I143" i="5" s="1"/>
  <c r="R759" i="5"/>
  <c r="R2253" i="5"/>
  <c r="G2257" i="5"/>
  <c r="J806" i="5"/>
  <c r="I806" i="5" s="1"/>
  <c r="R1085" i="5"/>
  <c r="R1492" i="5"/>
  <c r="R701" i="5"/>
  <c r="G827" i="5"/>
  <c r="J827" i="5"/>
  <c r="I827" i="5" s="1"/>
  <c r="J411" i="5"/>
  <c r="I411" i="5" s="1"/>
  <c r="G411" i="5"/>
  <c r="J517" i="5"/>
  <c r="I517" i="5" s="1"/>
  <c r="G517" i="5"/>
  <c r="J1119" i="5"/>
  <c r="I1119" i="5" s="1"/>
  <c r="J599" i="5"/>
  <c r="I599" i="5" s="1"/>
  <c r="G599" i="5"/>
  <c r="R1561" i="5"/>
  <c r="R1412" i="5"/>
  <c r="J1889" i="5"/>
  <c r="I1889" i="5" s="1"/>
  <c r="G238" i="5"/>
  <c r="R248" i="5"/>
  <c r="G283" i="5"/>
  <c r="G375" i="5"/>
  <c r="R378" i="5"/>
  <c r="R392" i="5"/>
  <c r="R406" i="5"/>
  <c r="J570" i="5"/>
  <c r="I570" i="5" s="1"/>
  <c r="G570" i="5"/>
  <c r="G591" i="5"/>
  <c r="J610" i="5"/>
  <c r="I610" i="5" s="1"/>
  <c r="G732" i="5"/>
  <c r="R756" i="5"/>
  <c r="G828" i="5"/>
  <c r="R873" i="5"/>
  <c r="G877" i="5"/>
  <c r="J877" i="5"/>
  <c r="I877" i="5" s="1"/>
  <c r="R972" i="5"/>
  <c r="R1123" i="5"/>
  <c r="G1137" i="5"/>
  <c r="G1151" i="5"/>
  <c r="R1250" i="5"/>
  <c r="R1402" i="5"/>
  <c r="R1530" i="5"/>
  <c r="J1562" i="5"/>
  <c r="I1562" i="5" s="1"/>
  <c r="R1698" i="5"/>
  <c r="R1821" i="5"/>
  <c r="G1860" i="5"/>
  <c r="J1938" i="5"/>
  <c r="I1938" i="5" s="1"/>
  <c r="G1938" i="5"/>
  <c r="R1962" i="5"/>
  <c r="R1976" i="5"/>
  <c r="G2003" i="5"/>
  <c r="R2006" i="5"/>
  <c r="R2343" i="5"/>
  <c r="J1283" i="5"/>
  <c r="I1283" i="5" s="1"/>
  <c r="G1283" i="5"/>
  <c r="J1873" i="5"/>
  <c r="I1873" i="5" s="1"/>
  <c r="G1873" i="5"/>
  <c r="R886" i="5"/>
  <c r="J1020" i="5"/>
  <c r="I1020" i="5" s="1"/>
  <c r="G1020" i="5"/>
  <c r="R1316" i="5"/>
  <c r="J1615" i="5"/>
  <c r="I1615" i="5" s="1"/>
  <c r="R1725" i="5"/>
  <c r="R2469" i="5"/>
  <c r="J2366" i="5"/>
  <c r="I2366" i="5" s="1"/>
  <c r="J2368" i="5"/>
  <c r="I2368" i="5" s="1"/>
  <c r="J2464" i="5"/>
  <c r="I2464" i="5" s="1"/>
  <c r="G2464" i="5"/>
  <c r="J768" i="5"/>
  <c r="I768" i="5" s="1"/>
  <c r="R294" i="5"/>
  <c r="J1159" i="5"/>
  <c r="I1159" i="5" s="1"/>
  <c r="G1159" i="5"/>
  <c r="R187" i="5"/>
  <c r="G17" i="5"/>
  <c r="R49" i="5"/>
  <c r="R56" i="5"/>
  <c r="G82" i="5"/>
  <c r="R85" i="5"/>
  <c r="R116" i="5"/>
  <c r="G178" i="5"/>
  <c r="R181" i="5"/>
  <c r="G190" i="5"/>
  <c r="G207" i="5"/>
  <c r="G214" i="5"/>
  <c r="G266" i="5"/>
  <c r="R281" i="5"/>
  <c r="R445" i="5"/>
  <c r="R457" i="5"/>
  <c r="R471" i="5"/>
  <c r="R544" i="5"/>
  <c r="G572" i="5"/>
  <c r="J605" i="5"/>
  <c r="I605" i="5" s="1"/>
  <c r="R711" i="5"/>
  <c r="R737" i="5"/>
  <c r="R744" i="5"/>
  <c r="R826" i="5"/>
  <c r="G842" i="5"/>
  <c r="R845" i="5"/>
  <c r="R866" i="5"/>
  <c r="J959" i="5"/>
  <c r="I959" i="5" s="1"/>
  <c r="G959" i="5"/>
  <c r="G971" i="5"/>
  <c r="R979" i="5"/>
  <c r="G990" i="5"/>
  <c r="R991" i="5"/>
  <c r="G995" i="5"/>
  <c r="R998" i="5"/>
  <c r="R1118" i="5"/>
  <c r="R1125" i="5"/>
  <c r="R1231" i="5"/>
  <c r="G1249" i="5"/>
  <c r="G1333" i="5"/>
  <c r="G1387" i="5"/>
  <c r="R1516" i="5"/>
  <c r="R1686" i="5"/>
  <c r="G1777" i="5"/>
  <c r="R1785" i="5"/>
  <c r="R1797" i="5"/>
  <c r="R1830" i="5"/>
  <c r="G1940" i="5"/>
  <c r="R1978" i="5"/>
  <c r="R2391" i="5"/>
  <c r="R2077" i="5"/>
  <c r="R2107" i="5"/>
  <c r="J1649" i="5"/>
  <c r="I1649" i="5" s="1"/>
  <c r="J439" i="5"/>
  <c r="I439" i="5" s="1"/>
  <c r="J1741" i="5"/>
  <c r="I1741" i="5" s="1"/>
  <c r="G1741" i="5"/>
  <c r="R12" i="5"/>
  <c r="J1486" i="5"/>
  <c r="I1486" i="5" s="1"/>
  <c r="R1185" i="5"/>
  <c r="J1558" i="5"/>
  <c r="I1558" i="5" s="1"/>
  <c r="G48" i="5"/>
  <c r="R118" i="5"/>
  <c r="R123" i="5"/>
  <c r="G127" i="5"/>
  <c r="R171" i="5"/>
  <c r="R188" i="5"/>
  <c r="R193" i="5"/>
  <c r="R231" i="5"/>
  <c r="G280" i="5"/>
  <c r="G299" i="5"/>
  <c r="J304" i="5"/>
  <c r="I304" i="5" s="1"/>
  <c r="G304" i="5"/>
  <c r="R356" i="5"/>
  <c r="J384" i="5"/>
  <c r="I384" i="5" s="1"/>
  <c r="G444" i="5"/>
  <c r="J449" i="5"/>
  <c r="I449" i="5" s="1"/>
  <c r="G555" i="5"/>
  <c r="G703" i="5"/>
  <c r="R713" i="5"/>
  <c r="R718" i="5"/>
  <c r="G729" i="5"/>
  <c r="J792" i="5"/>
  <c r="I792" i="5" s="1"/>
  <c r="G792" i="5"/>
  <c r="G799" i="5"/>
  <c r="J811" i="5"/>
  <c r="I811" i="5" s="1"/>
  <c r="R821" i="5"/>
  <c r="R945" i="5"/>
  <c r="R952" i="5"/>
  <c r="R957" i="5"/>
  <c r="R981" i="5"/>
  <c r="R1092" i="5"/>
  <c r="G1096" i="5"/>
  <c r="R1099" i="5"/>
  <c r="G1103" i="5"/>
  <c r="J1139" i="5"/>
  <c r="I1139" i="5" s="1"/>
  <c r="R1142" i="5"/>
  <c r="G1230" i="5"/>
  <c r="R1247" i="5"/>
  <c r="R1350" i="5"/>
  <c r="G1361" i="5"/>
  <c r="R1511" i="5"/>
  <c r="G1515" i="5"/>
  <c r="R1518" i="5"/>
  <c r="R1614" i="5"/>
  <c r="R1621" i="5"/>
  <c r="G1685" i="5"/>
  <c r="R1775" i="5"/>
  <c r="G1803" i="5"/>
  <c r="R1919" i="5"/>
  <c r="R2040" i="5"/>
  <c r="R2250" i="5"/>
  <c r="R2257" i="5"/>
  <c r="R2271" i="5"/>
  <c r="R2278" i="5"/>
  <c r="R2285" i="5"/>
  <c r="R322" i="5"/>
  <c r="R401" i="5"/>
  <c r="R408" i="5"/>
  <c r="G443" i="5"/>
  <c r="R684" i="5"/>
  <c r="G731" i="5"/>
  <c r="R732" i="5"/>
  <c r="R758" i="5"/>
  <c r="G762" i="5"/>
  <c r="R763" i="5"/>
  <c r="R875" i="5"/>
  <c r="R939" i="5"/>
  <c r="G943" i="5"/>
  <c r="G970" i="5"/>
  <c r="R983" i="5"/>
  <c r="R1098" i="5"/>
  <c r="R1117" i="5"/>
  <c r="G1121" i="5"/>
  <c r="G1277" i="5"/>
  <c r="R1352" i="5"/>
  <c r="G1427" i="5"/>
  <c r="G1545" i="5"/>
  <c r="G1694" i="5"/>
  <c r="G1773" i="5"/>
  <c r="R1784" i="5"/>
  <c r="R1794" i="5"/>
  <c r="G1891" i="5"/>
  <c r="G1998" i="5"/>
  <c r="R2001" i="5"/>
  <c r="R2015" i="5"/>
  <c r="R2022" i="5"/>
  <c r="G2026" i="5"/>
  <c r="R2083" i="5"/>
  <c r="R2177" i="5"/>
  <c r="R2184" i="5"/>
  <c r="G2205" i="5"/>
  <c r="R2239" i="5"/>
  <c r="G2241" i="5"/>
  <c r="G2244" i="5"/>
  <c r="R2294" i="5"/>
  <c r="G2298" i="5"/>
  <c r="G2327" i="5"/>
  <c r="R2330" i="5"/>
  <c r="G2334" i="5"/>
  <c r="G2339" i="5"/>
  <c r="R2359" i="5"/>
  <c r="R2433" i="5"/>
  <c r="R2454" i="5"/>
  <c r="R2500" i="5"/>
  <c r="R329" i="5"/>
  <c r="R355" i="5"/>
  <c r="G371" i="5"/>
  <c r="R372" i="5"/>
  <c r="R377" i="5"/>
  <c r="G419" i="5"/>
  <c r="R427" i="5"/>
  <c r="G431" i="5"/>
  <c r="G465" i="5"/>
  <c r="R494" i="5"/>
  <c r="R499" i="5"/>
  <c r="G542" i="5"/>
  <c r="R562" i="5"/>
  <c r="G571" i="5"/>
  <c r="R572" i="5"/>
  <c r="G607" i="5"/>
  <c r="G645" i="5"/>
  <c r="R667" i="5"/>
  <c r="J910" i="5"/>
  <c r="I910" i="5" s="1"/>
  <c r="G960" i="5"/>
  <c r="R1048" i="5"/>
  <c r="G1205" i="5"/>
  <c r="G1224" i="5"/>
  <c r="R1232" i="5"/>
  <c r="R1392" i="5"/>
  <c r="R1399" i="5"/>
  <c r="G1434" i="5"/>
  <c r="R1437" i="5"/>
  <c r="R1503" i="5"/>
  <c r="R1510" i="5"/>
  <c r="G1540" i="5"/>
  <c r="G1595" i="5"/>
  <c r="R1603" i="5"/>
  <c r="G1607" i="5"/>
  <c r="R1658" i="5"/>
  <c r="G1723" i="5"/>
  <c r="R1750" i="5"/>
  <c r="G1768" i="5"/>
  <c r="G1838" i="5"/>
  <c r="G1857" i="5"/>
  <c r="G1910" i="5"/>
  <c r="G1939" i="5"/>
  <c r="J2101" i="5"/>
  <c r="I2101" i="5" s="1"/>
  <c r="R2222" i="5"/>
  <c r="G2231" i="5"/>
  <c r="R2315" i="5"/>
  <c r="R2385" i="5"/>
  <c r="R2392" i="5"/>
  <c r="R2411" i="5"/>
  <c r="G2420" i="5"/>
  <c r="R2456" i="5"/>
  <c r="R2468" i="5"/>
  <c r="G400" i="5"/>
  <c r="R586" i="5"/>
  <c r="R598" i="5"/>
  <c r="G728" i="5"/>
  <c r="G745" i="5"/>
  <c r="G750" i="5"/>
  <c r="G757" i="5"/>
  <c r="R760" i="5"/>
  <c r="G769" i="5"/>
  <c r="G788" i="5"/>
  <c r="R791" i="5"/>
  <c r="G860" i="5"/>
  <c r="R870" i="5"/>
  <c r="G874" i="5"/>
  <c r="G1066" i="5"/>
  <c r="J1155" i="5"/>
  <c r="I1155" i="5" s="1"/>
  <c r="J1174" i="5"/>
  <c r="I1174" i="5" s="1"/>
  <c r="G1243" i="5"/>
  <c r="G1305" i="5"/>
  <c r="R1315" i="5"/>
  <c r="G1339" i="5"/>
  <c r="R1354" i="5"/>
  <c r="G1377" i="5"/>
  <c r="G1497" i="5"/>
  <c r="G1535" i="5"/>
  <c r="G1554" i="5"/>
  <c r="G1676" i="5"/>
  <c r="J1701" i="5"/>
  <c r="I1701" i="5" s="1"/>
  <c r="R1796" i="5"/>
  <c r="G1800" i="5"/>
  <c r="R1808" i="5"/>
  <c r="R1815" i="5"/>
  <c r="R1820" i="5"/>
  <c r="G1845" i="5"/>
  <c r="J1862" i="5"/>
  <c r="I1862" i="5" s="1"/>
  <c r="R1930" i="5"/>
  <c r="G1934" i="5"/>
  <c r="G1972" i="5"/>
  <c r="G2021" i="5"/>
  <c r="G2033" i="5"/>
  <c r="J2068" i="5"/>
  <c r="I2068" i="5" s="1"/>
  <c r="R2071" i="5"/>
  <c r="R2085" i="5"/>
  <c r="G2183" i="5"/>
  <c r="G2238" i="5"/>
  <c r="R2308" i="5"/>
  <c r="R2337" i="5"/>
  <c r="G395" i="5"/>
  <c r="R417" i="5"/>
  <c r="G455" i="5"/>
  <c r="G460" i="5"/>
  <c r="R477" i="5"/>
  <c r="J530" i="5"/>
  <c r="I530" i="5" s="1"/>
  <c r="R540" i="5"/>
  <c r="R734" i="5"/>
  <c r="R820" i="5"/>
  <c r="J848" i="5"/>
  <c r="I848" i="5" s="1"/>
  <c r="G977" i="5"/>
  <c r="G999" i="5"/>
  <c r="G1011" i="5"/>
  <c r="G1123" i="5"/>
  <c r="G1145" i="5"/>
  <c r="J1255" i="5"/>
  <c r="I1255" i="5" s="1"/>
  <c r="R1408" i="5"/>
  <c r="R1432" i="5"/>
  <c r="G1443" i="5"/>
  <c r="R1481" i="5"/>
  <c r="G1485" i="5"/>
  <c r="R1517" i="5"/>
  <c r="J1566" i="5"/>
  <c r="I1566" i="5" s="1"/>
  <c r="G1578" i="5"/>
  <c r="R1646" i="5"/>
  <c r="R1653" i="5"/>
  <c r="R1704" i="5"/>
  <c r="G1708" i="5"/>
  <c r="R1709" i="5"/>
  <c r="R1740" i="5"/>
  <c r="R1745" i="5"/>
  <c r="G1749" i="5"/>
  <c r="R1766" i="5"/>
  <c r="R1776" i="5"/>
  <c r="G1979" i="5"/>
  <c r="R2036" i="5"/>
  <c r="G2040" i="5"/>
  <c r="G2103" i="5"/>
  <c r="R2179" i="5"/>
  <c r="R2249" i="5"/>
  <c r="G2253" i="5"/>
  <c r="R2256" i="5"/>
  <c r="G2336" i="5"/>
  <c r="R2363" i="5"/>
  <c r="G2391" i="5"/>
  <c r="G2448" i="5"/>
  <c r="R2458" i="5"/>
  <c r="G2467" i="5"/>
  <c r="G2474" i="5"/>
  <c r="R345" i="5"/>
  <c r="R374" i="5"/>
  <c r="R424" i="5"/>
  <c r="G467" i="5"/>
  <c r="R528" i="5"/>
  <c r="G556" i="5"/>
  <c r="R559" i="5"/>
  <c r="G699" i="5"/>
  <c r="G733" i="5"/>
  <c r="R786" i="5"/>
  <c r="G819" i="5"/>
  <c r="G994" i="5"/>
  <c r="R1002" i="5"/>
  <c r="G1030" i="5"/>
  <c r="R1033" i="5"/>
  <c r="G1037" i="5"/>
  <c r="R1050" i="5"/>
  <c r="R1148" i="5"/>
  <c r="R1165" i="5"/>
  <c r="G1221" i="5"/>
  <c r="G1274" i="5"/>
  <c r="G1331" i="5"/>
  <c r="J1334" i="5"/>
  <c r="I1334" i="5" s="1"/>
  <c r="R1368" i="5"/>
  <c r="R1394" i="5"/>
  <c r="R1415" i="5"/>
  <c r="R1843" i="5"/>
  <c r="R1867" i="5"/>
  <c r="G1876" i="5"/>
  <c r="G1907" i="5"/>
  <c r="G1929" i="5"/>
  <c r="R1989" i="5"/>
  <c r="R2019" i="5"/>
  <c r="R2043" i="5"/>
  <c r="G2070" i="5"/>
  <c r="G2084" i="5"/>
  <c r="R2094" i="5"/>
  <c r="R2167" i="5"/>
  <c r="R2224" i="5"/>
  <c r="R2270" i="5"/>
  <c r="G2288" i="5"/>
  <c r="G2295" i="5"/>
  <c r="R2322" i="5"/>
  <c r="J2355" i="5"/>
  <c r="I2355" i="5" s="1"/>
  <c r="J2403" i="5"/>
  <c r="I2403" i="5" s="1"/>
  <c r="R2406" i="5"/>
  <c r="G2417" i="5"/>
  <c r="G2429" i="5"/>
  <c r="G2462" i="5"/>
  <c r="R2477" i="5"/>
  <c r="G2496" i="5"/>
  <c r="R305" i="5"/>
  <c r="G309" i="5"/>
  <c r="G349" i="5"/>
  <c r="G416" i="5"/>
  <c r="G428" i="5"/>
  <c r="R453" i="5"/>
  <c r="G483" i="5"/>
  <c r="J488" i="5"/>
  <c r="I488" i="5" s="1"/>
  <c r="R518" i="5"/>
  <c r="G522" i="5"/>
  <c r="G527" i="5"/>
  <c r="R535" i="5"/>
  <c r="G539" i="5"/>
  <c r="G623" i="5"/>
  <c r="G654" i="5"/>
  <c r="R657" i="5"/>
  <c r="G661" i="5"/>
  <c r="R664" i="5"/>
  <c r="G797" i="5"/>
  <c r="G1042" i="5"/>
  <c r="J1085" i="5"/>
  <c r="I1085" i="5" s="1"/>
  <c r="J1092" i="5"/>
  <c r="I1092" i="5" s="1"/>
  <c r="G1171" i="5"/>
  <c r="G1190" i="5"/>
  <c r="J1207" i="5"/>
  <c r="I1207" i="5" s="1"/>
  <c r="R1248" i="5"/>
  <c r="R1291" i="5"/>
  <c r="G1307" i="5"/>
  <c r="G1326" i="5"/>
  <c r="R1342" i="5"/>
  <c r="R1349" i="5"/>
  <c r="G1379" i="5"/>
  <c r="R1403" i="5"/>
  <c r="G1407" i="5"/>
  <c r="R1422" i="5"/>
  <c r="R1427" i="5"/>
  <c r="R1441" i="5"/>
  <c r="R1469" i="5"/>
  <c r="R1569" i="5"/>
  <c r="R1798" i="5"/>
  <c r="R1977" i="5"/>
  <c r="R2136" i="5"/>
  <c r="R2157" i="5"/>
  <c r="R321" i="5"/>
  <c r="G344" i="5"/>
  <c r="G356" i="5"/>
  <c r="G385" i="5"/>
  <c r="G397" i="5"/>
  <c r="R419" i="5"/>
  <c r="G423" i="5"/>
  <c r="G495" i="5"/>
  <c r="R542" i="5"/>
  <c r="G573" i="5"/>
  <c r="R738" i="5"/>
  <c r="G785" i="5"/>
  <c r="G809" i="5"/>
  <c r="R841" i="5"/>
  <c r="J850" i="5"/>
  <c r="I850" i="5" s="1"/>
  <c r="G857" i="5"/>
  <c r="G895" i="5"/>
  <c r="G909" i="5"/>
  <c r="R931" i="5"/>
  <c r="G935" i="5"/>
  <c r="J984" i="5"/>
  <c r="I984" i="5" s="1"/>
  <c r="R1052" i="5"/>
  <c r="R1083" i="5"/>
  <c r="R1109" i="5"/>
  <c r="R1133" i="5"/>
  <c r="G1147" i="5"/>
  <c r="R1150" i="5"/>
  <c r="G1233" i="5"/>
  <c r="R1236" i="5"/>
  <c r="G1511" i="5"/>
  <c r="R1540" i="5"/>
  <c r="R1583" i="5"/>
  <c r="R1655" i="5"/>
  <c r="G1693" i="5"/>
  <c r="G1727" i="5"/>
  <c r="R1838" i="5"/>
  <c r="R1886" i="5"/>
  <c r="G1962" i="5"/>
  <c r="R2014" i="5"/>
  <c r="G2018" i="5"/>
  <c r="R2089" i="5"/>
  <c r="R2200" i="5"/>
  <c r="R2272" i="5"/>
  <c r="R2286" i="5"/>
  <c r="R2305" i="5"/>
  <c r="G2321" i="5"/>
  <c r="R2420" i="5"/>
  <c r="R414" i="5"/>
  <c r="R498" i="5"/>
  <c r="R515" i="5"/>
  <c r="R537" i="5"/>
  <c r="R571" i="5"/>
  <c r="R583" i="5"/>
  <c r="R602" i="5"/>
  <c r="R626" i="5"/>
  <c r="R633" i="5"/>
  <c r="R659" i="5"/>
  <c r="R795" i="5"/>
  <c r="J814" i="5"/>
  <c r="I814" i="5" s="1"/>
  <c r="R824" i="5"/>
  <c r="R860" i="5"/>
  <c r="R867" i="5"/>
  <c r="R926" i="5"/>
  <c r="R933" i="5"/>
  <c r="R982" i="5"/>
  <c r="R1023" i="5"/>
  <c r="R1078" i="5"/>
  <c r="R1104" i="5"/>
  <c r="R1138" i="5"/>
  <c r="R1162" i="5"/>
  <c r="R1279" i="5"/>
  <c r="R1300" i="5"/>
  <c r="R1344" i="5"/>
  <c r="R1384" i="5"/>
  <c r="J1426" i="5"/>
  <c r="I1426" i="5" s="1"/>
  <c r="R1429" i="5"/>
  <c r="R1476" i="5"/>
  <c r="J1499" i="5"/>
  <c r="I1499" i="5" s="1"/>
  <c r="R1502" i="5"/>
  <c r="R1638" i="5"/>
  <c r="R1664" i="5"/>
  <c r="R1696" i="5"/>
  <c r="R1730" i="5"/>
  <c r="R1778" i="5"/>
  <c r="R1790" i="5"/>
  <c r="R1800" i="5"/>
  <c r="R1869" i="5"/>
  <c r="R1881" i="5"/>
  <c r="R1893" i="5"/>
  <c r="R1934" i="5"/>
  <c r="R1965" i="5"/>
  <c r="R1993" i="5"/>
  <c r="R2000" i="5"/>
  <c r="R2021" i="5"/>
  <c r="R2054" i="5"/>
  <c r="J2105" i="5"/>
  <c r="I2105" i="5" s="1"/>
  <c r="R2159" i="5"/>
  <c r="R2221" i="5"/>
  <c r="R2293" i="5"/>
  <c r="R2479" i="5"/>
  <c r="R2484" i="5"/>
  <c r="R418" i="5"/>
  <c r="R486" i="5"/>
  <c r="J128" i="5"/>
  <c r="I128" i="5" s="1"/>
  <c r="G128" i="5"/>
  <c r="J388" i="5"/>
  <c r="I388" i="5" s="1"/>
  <c r="G388" i="5"/>
  <c r="J461" i="5"/>
  <c r="I461" i="5" s="1"/>
  <c r="J1048" i="5"/>
  <c r="I1048" i="5" s="1"/>
  <c r="G1048" i="5"/>
  <c r="J1237" i="5"/>
  <c r="I1237" i="5" s="1"/>
  <c r="R2342" i="5"/>
  <c r="J974" i="5"/>
  <c r="I974" i="5" s="1"/>
  <c r="G974" i="5"/>
  <c r="J1135" i="5"/>
  <c r="I1135" i="5" s="1"/>
  <c r="G1135" i="5"/>
  <c r="J961" i="5"/>
  <c r="I961" i="5" s="1"/>
  <c r="J2449" i="5"/>
  <c r="I2449" i="5" s="1"/>
  <c r="G2449" i="5"/>
  <c r="R204" i="5"/>
  <c r="J256" i="5"/>
  <c r="I256" i="5" s="1"/>
  <c r="J1247" i="5"/>
  <c r="I1247" i="5" s="1"/>
  <c r="J1463" i="5"/>
  <c r="I1463" i="5" s="1"/>
  <c r="G1463" i="5"/>
  <c r="G193" i="5"/>
  <c r="R242" i="5"/>
  <c r="R347" i="5"/>
  <c r="G463" i="5"/>
  <c r="R719" i="5"/>
  <c r="J723" i="5"/>
  <c r="I723" i="5" s="1"/>
  <c r="G723" i="5"/>
  <c r="J1074" i="5"/>
  <c r="I1074" i="5" s="1"/>
  <c r="G1074" i="5"/>
  <c r="G1086" i="5"/>
  <c r="J1086" i="5"/>
  <c r="I1086" i="5" s="1"/>
  <c r="G1232" i="5"/>
  <c r="J1232" i="5"/>
  <c r="I1232" i="5" s="1"/>
  <c r="G1522" i="5"/>
  <c r="J1522" i="5"/>
  <c r="I1522" i="5" s="1"/>
  <c r="J1955" i="5"/>
  <c r="I1955" i="5" s="1"/>
  <c r="G1955" i="5"/>
  <c r="R2325" i="5"/>
  <c r="J221" i="5"/>
  <c r="I221" i="5" s="1"/>
  <c r="G221" i="5"/>
  <c r="J326" i="5"/>
  <c r="I326" i="5" s="1"/>
  <c r="J420" i="5"/>
  <c r="I420" i="5" s="1"/>
  <c r="G2480" i="5"/>
  <c r="J2480" i="5"/>
  <c r="I2480" i="5" s="1"/>
  <c r="R510" i="5"/>
  <c r="G1580" i="5"/>
  <c r="J1580" i="5"/>
  <c r="I1580" i="5" s="1"/>
  <c r="R561" i="5"/>
  <c r="J59" i="5"/>
  <c r="I59" i="5" s="1"/>
  <c r="G59" i="5"/>
  <c r="J54" i="5"/>
  <c r="I54" i="5" s="1"/>
  <c r="G54" i="5"/>
  <c r="J173" i="5"/>
  <c r="I173" i="5" s="1"/>
  <c r="G173" i="5"/>
  <c r="J332" i="5"/>
  <c r="I332" i="5" s="1"/>
  <c r="G332" i="5"/>
  <c r="J796" i="5"/>
  <c r="I796" i="5" s="1"/>
  <c r="G796" i="5"/>
  <c r="J26" i="5"/>
  <c r="I26" i="5" s="1"/>
  <c r="G26" i="5"/>
  <c r="J1626" i="5"/>
  <c r="I1626" i="5" s="1"/>
  <c r="G1626" i="5"/>
  <c r="R413" i="5"/>
  <c r="J206" i="5"/>
  <c r="I206" i="5" s="1"/>
  <c r="J755" i="5"/>
  <c r="I755" i="5" s="1"/>
  <c r="G755" i="5"/>
  <c r="J337" i="5"/>
  <c r="I337" i="5" s="1"/>
  <c r="G337" i="5"/>
  <c r="J110" i="5"/>
  <c r="I110" i="5" s="1"/>
  <c r="G110" i="5"/>
  <c r="R652" i="5"/>
  <c r="G747" i="5"/>
  <c r="J747" i="5"/>
  <c r="I747" i="5" s="1"/>
  <c r="J1227" i="5"/>
  <c r="I1227" i="5" s="1"/>
  <c r="G1227" i="5"/>
  <c r="J1784" i="5"/>
  <c r="I1784" i="5" s="1"/>
  <c r="G1784" i="5"/>
  <c r="G1794" i="5"/>
  <c r="J1794" i="5"/>
  <c r="I1794" i="5" s="1"/>
  <c r="R2291" i="5"/>
  <c r="J312" i="5"/>
  <c r="I312" i="5" s="1"/>
  <c r="G312" i="5"/>
  <c r="R81" i="5"/>
  <c r="J1106" i="5"/>
  <c r="I1106" i="5" s="1"/>
  <c r="G1106" i="5"/>
  <c r="J1662" i="5"/>
  <c r="I1662" i="5" s="1"/>
  <c r="G1662" i="5"/>
  <c r="R324" i="5"/>
  <c r="J1120" i="5"/>
  <c r="I1120" i="5" s="1"/>
  <c r="G1120" i="5"/>
  <c r="R257" i="5"/>
  <c r="J2078" i="5"/>
  <c r="I2078" i="5" s="1"/>
  <c r="J2423" i="5"/>
  <c r="I2423" i="5" s="1"/>
  <c r="G2423" i="5"/>
  <c r="J1575" i="5"/>
  <c r="I1575" i="5" s="1"/>
  <c r="G1575" i="5"/>
  <c r="J1599" i="5"/>
  <c r="I1599" i="5" s="1"/>
  <c r="R1607" i="5"/>
  <c r="J361" i="5"/>
  <c r="I361" i="5" s="1"/>
  <c r="J49" i="5"/>
  <c r="I49" i="5" s="1"/>
  <c r="G49" i="5"/>
  <c r="R52" i="5"/>
  <c r="R108" i="5"/>
  <c r="J122" i="5"/>
  <c r="I122" i="5" s="1"/>
  <c r="G175" i="5"/>
  <c r="G286" i="5"/>
  <c r="G380" i="5"/>
  <c r="R436" i="5"/>
  <c r="R448" i="5"/>
  <c r="R538" i="5"/>
  <c r="G547" i="5"/>
  <c r="R649" i="5"/>
  <c r="G651" i="5"/>
  <c r="J1016" i="5"/>
  <c r="I1016" i="5" s="1"/>
  <c r="G1016" i="5"/>
  <c r="G1035" i="5"/>
  <c r="R1041" i="5"/>
  <c r="R1837" i="5"/>
  <c r="R1849" i="5"/>
  <c r="G1853" i="5"/>
  <c r="J72" i="5"/>
  <c r="I72" i="5" s="1"/>
  <c r="G72" i="5"/>
  <c r="G1365" i="5"/>
  <c r="J1365" i="5"/>
  <c r="I1365" i="5" s="1"/>
  <c r="J1631" i="5"/>
  <c r="I1631" i="5" s="1"/>
  <c r="G1631" i="5"/>
  <c r="J80" i="5"/>
  <c r="I80" i="5" s="1"/>
  <c r="J2399" i="5"/>
  <c r="I2399" i="5" s="1"/>
  <c r="G2399" i="5"/>
  <c r="R362" i="5"/>
  <c r="J657" i="5"/>
  <c r="I657" i="5" s="1"/>
  <c r="G657" i="5"/>
  <c r="J894" i="5"/>
  <c r="I894" i="5" s="1"/>
  <c r="G894" i="5"/>
  <c r="J872" i="5"/>
  <c r="I872" i="5" s="1"/>
  <c r="G872" i="5"/>
  <c r="J1565" i="5"/>
  <c r="I1565" i="5" s="1"/>
  <c r="G1565" i="5"/>
  <c r="R1602" i="5"/>
  <c r="J1023" i="5"/>
  <c r="I1023" i="5" s="1"/>
  <c r="G1023" i="5"/>
  <c r="G1858" i="5"/>
  <c r="J1858" i="5"/>
  <c r="I1858" i="5" s="1"/>
  <c r="J415" i="5"/>
  <c r="I415" i="5" s="1"/>
  <c r="G415" i="5"/>
  <c r="J425" i="5"/>
  <c r="I425" i="5" s="1"/>
  <c r="J590" i="5"/>
  <c r="I590" i="5" s="1"/>
  <c r="R962" i="5"/>
  <c r="J422" i="5"/>
  <c r="I422" i="5" s="1"/>
  <c r="J779" i="5"/>
  <c r="I779" i="5" s="1"/>
  <c r="G779" i="5"/>
  <c r="J1089" i="5"/>
  <c r="I1089" i="5" s="1"/>
  <c r="G1089" i="5"/>
  <c r="J2019" i="5"/>
  <c r="I2019" i="5" s="1"/>
  <c r="J383" i="5"/>
  <c r="I383" i="5" s="1"/>
  <c r="G383" i="5"/>
  <c r="G46" i="5"/>
  <c r="G107" i="5"/>
  <c r="R236" i="5"/>
  <c r="R443" i="5"/>
  <c r="R637" i="5"/>
  <c r="J708" i="5"/>
  <c r="I708" i="5" s="1"/>
  <c r="J989" i="5"/>
  <c r="I989" i="5" s="1"/>
  <c r="G989" i="5"/>
  <c r="J1018" i="5"/>
  <c r="I1018" i="5" s="1"/>
  <c r="G1018" i="5"/>
  <c r="J1162" i="5"/>
  <c r="I1162" i="5" s="1"/>
  <c r="G1162" i="5"/>
  <c r="G2156" i="5"/>
  <c r="J2156" i="5"/>
  <c r="I2156" i="5" s="1"/>
  <c r="J2090" i="5"/>
  <c r="I2090" i="5" s="1"/>
  <c r="G2090" i="5"/>
  <c r="J512" i="5"/>
  <c r="I512" i="5" s="1"/>
  <c r="R814" i="5"/>
  <c r="J906" i="5"/>
  <c r="I906" i="5" s="1"/>
  <c r="G906" i="5"/>
  <c r="J211" i="5"/>
  <c r="I211" i="5" s="1"/>
  <c r="J767" i="5"/>
  <c r="I767" i="5" s="1"/>
  <c r="G767" i="5"/>
  <c r="G102" i="5"/>
  <c r="J158" i="5"/>
  <c r="I158" i="5" s="1"/>
  <c r="G158" i="5"/>
  <c r="R161" i="5"/>
  <c r="R279" i="5"/>
  <c r="J525" i="5"/>
  <c r="I525" i="5" s="1"/>
  <c r="G525" i="5"/>
  <c r="G612" i="5"/>
  <c r="R620" i="5"/>
  <c r="J679" i="5"/>
  <c r="I679" i="5" s="1"/>
  <c r="G679" i="5"/>
  <c r="R987" i="5"/>
  <c r="J1157" i="5"/>
  <c r="I1157" i="5" s="1"/>
  <c r="G1157" i="5"/>
  <c r="G1176" i="5"/>
  <c r="J1349" i="5"/>
  <c r="I1349" i="5" s="1"/>
  <c r="G1349" i="5"/>
  <c r="R1373" i="5"/>
  <c r="G1382" i="5"/>
  <c r="J1382" i="5"/>
  <c r="I1382" i="5" s="1"/>
  <c r="J477" i="5"/>
  <c r="I477" i="5" s="1"/>
  <c r="J1493" i="5"/>
  <c r="I1493" i="5" s="1"/>
  <c r="G1493" i="5"/>
  <c r="J847" i="5"/>
  <c r="I847" i="5" s="1"/>
  <c r="R13" i="5"/>
  <c r="R43" i="5"/>
  <c r="R80" i="5"/>
  <c r="R107" i="5"/>
  <c r="R122" i="5"/>
  <c r="G124" i="5"/>
  <c r="J240" i="5"/>
  <c r="I240" i="5" s="1"/>
  <c r="R271" i="5"/>
  <c r="J275" i="5"/>
  <c r="I275" i="5" s="1"/>
  <c r="R296" i="5"/>
  <c r="G298" i="5"/>
  <c r="R326" i="5"/>
  <c r="R334" i="5"/>
  <c r="J343" i="5"/>
  <c r="I343" i="5" s="1"/>
  <c r="R361" i="5"/>
  <c r="G368" i="5"/>
  <c r="R369" i="5"/>
  <c r="R385" i="5"/>
  <c r="R407" i="5"/>
  <c r="J409" i="5"/>
  <c r="I409" i="5" s="1"/>
  <c r="R412" i="5"/>
  <c r="R422" i="5"/>
  <c r="R442" i="5"/>
  <c r="R447" i="5"/>
  <c r="G479" i="5"/>
  <c r="J484" i="5"/>
  <c r="I484" i="5" s="1"/>
  <c r="R497" i="5"/>
  <c r="G536" i="5"/>
  <c r="J549" i="5"/>
  <c r="I549" i="5" s="1"/>
  <c r="G559" i="5"/>
  <c r="G564" i="5"/>
  <c r="R624" i="5"/>
  <c r="G626" i="5"/>
  <c r="R634" i="5"/>
  <c r="G707" i="5"/>
  <c r="R725" i="5"/>
  <c r="R730" i="5"/>
  <c r="J864" i="5"/>
  <c r="I864" i="5" s="1"/>
  <c r="G1129" i="5"/>
  <c r="R1219" i="5"/>
  <c r="J1231" i="5"/>
  <c r="I1231" i="5" s="1"/>
  <c r="G1236" i="5"/>
  <c r="G1294" i="5"/>
  <c r="R1297" i="5"/>
  <c r="R1331" i="5"/>
  <c r="G1412" i="5"/>
  <c r="G1441" i="5"/>
  <c r="R1451" i="5"/>
  <c r="J1550" i="5"/>
  <c r="I1550" i="5" s="1"/>
  <c r="G1550" i="5"/>
  <c r="J1973" i="5"/>
  <c r="I1973" i="5" s="1"/>
  <c r="G1973" i="5"/>
  <c r="J2115" i="5"/>
  <c r="I2115" i="5" s="1"/>
  <c r="G2115" i="5"/>
  <c r="J1403" i="5"/>
  <c r="I1403" i="5" s="1"/>
  <c r="G1403" i="5"/>
  <c r="J1752" i="5"/>
  <c r="I1752" i="5" s="1"/>
  <c r="G1752" i="5"/>
  <c r="J2276" i="5"/>
  <c r="I2276" i="5" s="1"/>
  <c r="R1463" i="5"/>
  <c r="R314" i="5"/>
  <c r="J764" i="5"/>
  <c r="I764" i="5" s="1"/>
  <c r="G764" i="5"/>
  <c r="G27" i="5"/>
  <c r="G32" i="5"/>
  <c r="R33" i="5"/>
  <c r="G42" i="5"/>
  <c r="G55" i="5"/>
  <c r="R87" i="5"/>
  <c r="G96" i="5"/>
  <c r="R97" i="5"/>
  <c r="G111" i="5"/>
  <c r="R132" i="5"/>
  <c r="G144" i="5"/>
  <c r="R145" i="5"/>
  <c r="G159" i="5"/>
  <c r="G174" i="5"/>
  <c r="G189" i="5"/>
  <c r="G222" i="5"/>
  <c r="G234" i="5"/>
  <c r="R243" i="5"/>
  <c r="G247" i="5"/>
  <c r="G252" i="5"/>
  <c r="J270" i="5"/>
  <c r="I270" i="5" s="1"/>
  <c r="R273" i="5"/>
  <c r="R283" i="5"/>
  <c r="G290" i="5"/>
  <c r="J308" i="5"/>
  <c r="I308" i="5" s="1"/>
  <c r="R323" i="5"/>
  <c r="G333" i="5"/>
  <c r="R341" i="5"/>
  <c r="R366" i="5"/>
  <c r="G389" i="5"/>
  <c r="R402" i="5"/>
  <c r="J429" i="5"/>
  <c r="I429" i="5" s="1"/>
  <c r="R470" i="5"/>
  <c r="R487" i="5"/>
  <c r="R504" i="5"/>
  <c r="R534" i="5"/>
  <c r="R552" i="5"/>
  <c r="R567" i="5"/>
  <c r="R592" i="5"/>
  <c r="R597" i="5"/>
  <c r="G675" i="5"/>
  <c r="G680" i="5"/>
  <c r="R686" i="5"/>
  <c r="G766" i="5"/>
  <c r="G778" i="5"/>
  <c r="G844" i="5"/>
  <c r="G912" i="5"/>
  <c r="G938" i="5"/>
  <c r="J985" i="5"/>
  <c r="I985" i="5" s="1"/>
  <c r="G985" i="5"/>
  <c r="G1010" i="5"/>
  <c r="R1018" i="5"/>
  <c r="R1127" i="5"/>
  <c r="R1132" i="5"/>
  <c r="R1147" i="5"/>
  <c r="R1207" i="5"/>
  <c r="G1211" i="5"/>
  <c r="G1289" i="5"/>
  <c r="G1313" i="5"/>
  <c r="R1326" i="5"/>
  <c r="J1400" i="5"/>
  <c r="I1400" i="5" s="1"/>
  <c r="G1400" i="5"/>
  <c r="R1444" i="5"/>
  <c r="J1557" i="5"/>
  <c r="I1557" i="5" s="1"/>
  <c r="G1557" i="5"/>
  <c r="J1713" i="5"/>
  <c r="I1713" i="5" s="1"/>
  <c r="G1713" i="5"/>
  <c r="G1720" i="5"/>
  <c r="G1725" i="5"/>
  <c r="G1937" i="5"/>
  <c r="G1980" i="5"/>
  <c r="J1985" i="5"/>
  <c r="I1985" i="5" s="1"/>
  <c r="J2193" i="5"/>
  <c r="I2193" i="5" s="1"/>
  <c r="G2193" i="5"/>
  <c r="R383" i="5"/>
  <c r="R969" i="5"/>
  <c r="G12" i="5"/>
  <c r="J202" i="5"/>
  <c r="I202" i="5" s="1"/>
  <c r="R223" i="5"/>
  <c r="G267" i="5"/>
  <c r="J746" i="5"/>
  <c r="I746" i="5" s="1"/>
  <c r="G746" i="5"/>
  <c r="J878" i="5"/>
  <c r="I878" i="5" s="1"/>
  <c r="G878" i="5"/>
  <c r="R941" i="5"/>
  <c r="G1000" i="5"/>
  <c r="G1005" i="5"/>
  <c r="J1056" i="5"/>
  <c r="I1056" i="5" s="1"/>
  <c r="G1056" i="5"/>
  <c r="R1066" i="5"/>
  <c r="J1097" i="5"/>
  <c r="I1097" i="5" s="1"/>
  <c r="G1097" i="5"/>
  <c r="R1122" i="5"/>
  <c r="G1206" i="5"/>
  <c r="R1214" i="5"/>
  <c r="G1330" i="5"/>
  <c r="J1330" i="5"/>
  <c r="I1330" i="5" s="1"/>
  <c r="J1383" i="5"/>
  <c r="I1383" i="5" s="1"/>
  <c r="G1383" i="5"/>
  <c r="R1391" i="5"/>
  <c r="G1431" i="5"/>
  <c r="J1700" i="5"/>
  <c r="I1700" i="5" s="1"/>
  <c r="G1700" i="5"/>
  <c r="J2256" i="5"/>
  <c r="I2256" i="5" s="1"/>
  <c r="J1560" i="5"/>
  <c r="I1560" i="5" s="1"/>
  <c r="G1560" i="5"/>
  <c r="J382" i="5"/>
  <c r="I382" i="5" s="1"/>
  <c r="J358" i="5"/>
  <c r="I358" i="5" s="1"/>
  <c r="J700" i="5"/>
  <c r="I700" i="5" s="1"/>
  <c r="J1311" i="5"/>
  <c r="I1311" i="5" s="1"/>
  <c r="G1311" i="5"/>
  <c r="R35" i="5"/>
  <c r="G65" i="5"/>
  <c r="G70" i="5"/>
  <c r="G78" i="5"/>
  <c r="G86" i="5"/>
  <c r="R119" i="5"/>
  <c r="G126" i="5"/>
  <c r="G171" i="5"/>
  <c r="R205" i="5"/>
  <c r="R237" i="5"/>
  <c r="G242" i="5"/>
  <c r="G315" i="5"/>
  <c r="R331" i="5"/>
  <c r="G345" i="5"/>
  <c r="R351" i="5"/>
  <c r="J376" i="5"/>
  <c r="I376" i="5" s="1"/>
  <c r="G660" i="5"/>
  <c r="J660" i="5"/>
  <c r="I660" i="5" s="1"/>
  <c r="J670" i="5"/>
  <c r="I670" i="5" s="1"/>
  <c r="J734" i="5"/>
  <c r="I734" i="5" s="1"/>
  <c r="G734" i="5"/>
  <c r="R754" i="5"/>
  <c r="R1275" i="5"/>
  <c r="R1287" i="5"/>
  <c r="R1386" i="5"/>
  <c r="G1395" i="5"/>
  <c r="G1402" i="5"/>
  <c r="R1711" i="5"/>
  <c r="R1718" i="5"/>
  <c r="R1723" i="5"/>
  <c r="J1886" i="5"/>
  <c r="I1886" i="5" s="1"/>
  <c r="G1886" i="5"/>
  <c r="G1922" i="5"/>
  <c r="R1935" i="5"/>
  <c r="R128" i="5"/>
  <c r="J678" i="5"/>
  <c r="I678" i="5" s="1"/>
  <c r="R848" i="5"/>
  <c r="J1234" i="5"/>
  <c r="I1234" i="5" s="1"/>
  <c r="J998" i="5"/>
  <c r="I998" i="5" s="1"/>
  <c r="G998" i="5"/>
  <c r="G24" i="5"/>
  <c r="G29" i="5"/>
  <c r="R76" i="5"/>
  <c r="R79" i="5"/>
  <c r="G81" i="5"/>
  <c r="G118" i="5"/>
  <c r="R134" i="5"/>
  <c r="R147" i="5"/>
  <c r="R152" i="5"/>
  <c r="G166" i="5"/>
  <c r="R177" i="5"/>
  <c r="R182" i="5"/>
  <c r="G199" i="5"/>
  <c r="R215" i="5"/>
  <c r="R225" i="5"/>
  <c r="G236" i="5"/>
  <c r="G239" i="5"/>
  <c r="G254" i="5"/>
  <c r="R285" i="5"/>
  <c r="G287" i="5"/>
  <c r="G292" i="5"/>
  <c r="G305" i="5"/>
  <c r="G310" i="5"/>
  <c r="R343" i="5"/>
  <c r="R348" i="5"/>
  <c r="R353" i="5"/>
  <c r="J373" i="5"/>
  <c r="I373" i="5" s="1"/>
  <c r="J381" i="5"/>
  <c r="I381" i="5" s="1"/>
  <c r="G391" i="5"/>
  <c r="J436" i="5"/>
  <c r="I436" i="5" s="1"/>
  <c r="R444" i="5"/>
  <c r="R489" i="5"/>
  <c r="R506" i="5"/>
  <c r="G518" i="5"/>
  <c r="R521" i="5"/>
  <c r="G538" i="5"/>
  <c r="G543" i="5"/>
  <c r="R577" i="5"/>
  <c r="J579" i="5"/>
  <c r="I579" i="5" s="1"/>
  <c r="G586" i="5"/>
  <c r="R599" i="5"/>
  <c r="G603" i="5"/>
  <c r="R638" i="5"/>
  <c r="G655" i="5"/>
  <c r="G667" i="5"/>
  <c r="R668" i="5"/>
  <c r="G709" i="5"/>
  <c r="G719" i="5"/>
  <c r="R749" i="5"/>
  <c r="G753" i="5"/>
  <c r="R761" i="5"/>
  <c r="R817" i="5"/>
  <c r="R827" i="5"/>
  <c r="G836" i="5"/>
  <c r="G846" i="5"/>
  <c r="J875" i="5"/>
  <c r="I875" i="5" s="1"/>
  <c r="G875" i="5"/>
  <c r="G892" i="5"/>
  <c r="R900" i="5"/>
  <c r="G904" i="5"/>
  <c r="G914" i="5"/>
  <c r="R917" i="5"/>
  <c r="R924" i="5"/>
  <c r="R1003" i="5"/>
  <c r="J1051" i="5"/>
  <c r="I1051" i="5" s="1"/>
  <c r="G1051" i="5"/>
  <c r="R1068" i="5"/>
  <c r="J1104" i="5"/>
  <c r="I1104" i="5" s="1"/>
  <c r="G1116" i="5"/>
  <c r="G1172" i="5"/>
  <c r="J1172" i="5"/>
  <c r="I1172" i="5" s="1"/>
  <c r="R1204" i="5"/>
  <c r="G1213" i="5"/>
  <c r="R1216" i="5"/>
  <c r="R1282" i="5"/>
  <c r="G1291" i="5"/>
  <c r="G1385" i="5"/>
  <c r="G1547" i="5"/>
  <c r="G1692" i="5"/>
  <c r="G1697" i="5"/>
  <c r="J1705" i="5"/>
  <c r="I1705" i="5" s="1"/>
  <c r="R1708" i="5"/>
  <c r="J1869" i="5"/>
  <c r="I1869" i="5" s="1"/>
  <c r="G1869" i="5"/>
  <c r="R1920" i="5"/>
  <c r="G2100" i="5"/>
  <c r="R2108" i="5"/>
  <c r="G2112" i="5"/>
  <c r="R2143" i="5"/>
  <c r="J2340" i="5"/>
  <c r="I2340" i="5" s="1"/>
  <c r="G2340" i="5"/>
  <c r="G2407" i="5"/>
  <c r="R2410" i="5"/>
  <c r="J2269" i="5"/>
  <c r="I2269" i="5" s="1"/>
  <c r="G2269" i="5"/>
  <c r="R865" i="5"/>
  <c r="J1405" i="5"/>
  <c r="I1405" i="5" s="1"/>
  <c r="G1405" i="5"/>
  <c r="J2210" i="5"/>
  <c r="I2210" i="5" s="1"/>
  <c r="G2210" i="5"/>
  <c r="R2423" i="5"/>
  <c r="G44" i="5"/>
  <c r="G113" i="5"/>
  <c r="J804" i="5"/>
  <c r="I804" i="5" s="1"/>
  <c r="G804" i="5"/>
  <c r="G1220" i="5"/>
  <c r="J1220" i="5"/>
  <c r="I1220" i="5" s="1"/>
  <c r="J1859" i="5"/>
  <c r="I1859" i="5" s="1"/>
  <c r="G1859" i="5"/>
  <c r="J2027" i="5"/>
  <c r="I2027" i="5" s="1"/>
  <c r="G2027" i="5"/>
  <c r="G2039" i="5"/>
  <c r="J2039" i="5"/>
  <c r="I2039" i="5" s="1"/>
  <c r="J2178" i="5"/>
  <c r="I2178" i="5" s="1"/>
  <c r="G2178" i="5"/>
  <c r="R388" i="5"/>
  <c r="R1089" i="5"/>
  <c r="J2324" i="5"/>
  <c r="I2324" i="5" s="1"/>
  <c r="J137" i="5"/>
  <c r="I137" i="5" s="1"/>
  <c r="J1997" i="5"/>
  <c r="I1997" i="5" s="1"/>
  <c r="R440" i="5"/>
  <c r="G9" i="5"/>
  <c r="R55" i="5"/>
  <c r="G146" i="5"/>
  <c r="R154" i="5"/>
  <c r="R164" i="5"/>
  <c r="R202" i="5"/>
  <c r="G209" i="5"/>
  <c r="G269" i="5"/>
  <c r="R277" i="5"/>
  <c r="G279" i="5"/>
  <c r="G284" i="5"/>
  <c r="R320" i="5"/>
  <c r="J327" i="5"/>
  <c r="I327" i="5" s="1"/>
  <c r="G367" i="5"/>
  <c r="R384" i="5"/>
  <c r="G403" i="5"/>
  <c r="R416" i="5"/>
  <c r="R421" i="5"/>
  <c r="R426" i="5"/>
  <c r="G433" i="5"/>
  <c r="G438" i="5"/>
  <c r="R462" i="5"/>
  <c r="R474" i="5"/>
  <c r="R496" i="5"/>
  <c r="R501" i="5"/>
  <c r="G535" i="5"/>
  <c r="R541" i="5"/>
  <c r="J548" i="5"/>
  <c r="I548" i="5" s="1"/>
  <c r="G558" i="5"/>
  <c r="R574" i="5"/>
  <c r="G581" i="5"/>
  <c r="R584" i="5"/>
  <c r="R601" i="5"/>
  <c r="G637" i="5"/>
  <c r="G649" i="5"/>
  <c r="R650" i="5"/>
  <c r="G652" i="5"/>
  <c r="R675" i="5"/>
  <c r="R751" i="5"/>
  <c r="J870" i="5"/>
  <c r="I870" i="5" s="1"/>
  <c r="G870" i="5"/>
  <c r="R895" i="5"/>
  <c r="R980" i="5"/>
  <c r="G992" i="5"/>
  <c r="J1031" i="5"/>
  <c r="I1031" i="5" s="1"/>
  <c r="G1031" i="5"/>
  <c r="R1056" i="5"/>
  <c r="R1097" i="5"/>
  <c r="G1101" i="5"/>
  <c r="R1107" i="5"/>
  <c r="R1189" i="5"/>
  <c r="R1194" i="5"/>
  <c r="G1198" i="5"/>
  <c r="R1267" i="5"/>
  <c r="G1281" i="5"/>
  <c r="G1380" i="5"/>
  <c r="R1383" i="5"/>
  <c r="R1388" i="5"/>
  <c r="R1627" i="5"/>
  <c r="J1667" i="5"/>
  <c r="I1667" i="5" s="1"/>
  <c r="G1667" i="5"/>
  <c r="R1690" i="5"/>
  <c r="J1702" i="5"/>
  <c r="I1702" i="5" s="1"/>
  <c r="R1703" i="5"/>
  <c r="G1895" i="5"/>
  <c r="J1895" i="5"/>
  <c r="I1895" i="5" s="1"/>
  <c r="R2091" i="5"/>
  <c r="J2291" i="5"/>
  <c r="I2291" i="5" s="1"/>
  <c r="G2291" i="5"/>
  <c r="J1229" i="5"/>
  <c r="I1229" i="5" s="1"/>
  <c r="G1229" i="5"/>
  <c r="G1771" i="5"/>
  <c r="J1771" i="5"/>
  <c r="I1771" i="5" s="1"/>
  <c r="R319" i="5"/>
  <c r="R359" i="5"/>
  <c r="J2215" i="5"/>
  <c r="I2215" i="5" s="1"/>
  <c r="G2215" i="5"/>
  <c r="J1287" i="5"/>
  <c r="I1287" i="5" s="1"/>
  <c r="G1287" i="5"/>
  <c r="J2465" i="5"/>
  <c r="I2465" i="5" s="1"/>
  <c r="G2465" i="5"/>
  <c r="R7" i="5"/>
  <c r="R17" i="5"/>
  <c r="R47" i="5"/>
  <c r="R141" i="5"/>
  <c r="R179" i="5"/>
  <c r="R212" i="5"/>
  <c r="R217" i="5"/>
  <c r="R229" i="5"/>
  <c r="R295" i="5"/>
  <c r="J297" i="5"/>
  <c r="I297" i="5" s="1"/>
  <c r="J324" i="5"/>
  <c r="I324" i="5" s="1"/>
  <c r="R340" i="5"/>
  <c r="R376" i="5"/>
  <c r="R441" i="5"/>
  <c r="J448" i="5"/>
  <c r="I448" i="5" s="1"/>
  <c r="R454" i="5"/>
  <c r="R481" i="5"/>
  <c r="R508" i="5"/>
  <c r="R513" i="5"/>
  <c r="R660" i="5"/>
  <c r="R670" i="5"/>
  <c r="R680" i="5"/>
  <c r="J721" i="5"/>
  <c r="I721" i="5" s="1"/>
  <c r="G721" i="5"/>
  <c r="J794" i="5"/>
  <c r="I794" i="5" s="1"/>
  <c r="G794" i="5"/>
  <c r="G916" i="5"/>
  <c r="J916" i="5"/>
  <c r="I916" i="5" s="1"/>
  <c r="R990" i="5"/>
  <c r="R1000" i="5"/>
  <c r="J1026" i="5"/>
  <c r="I1026" i="5" s="1"/>
  <c r="G1026" i="5"/>
  <c r="J1150" i="5"/>
  <c r="I1150" i="5" s="1"/>
  <c r="G1150" i="5"/>
  <c r="R1184" i="5"/>
  <c r="R1206" i="5"/>
  <c r="J1252" i="5"/>
  <c r="I1252" i="5" s="1"/>
  <c r="G1252" i="5"/>
  <c r="R1284" i="5"/>
  <c r="R1378" i="5"/>
  <c r="J1525" i="5"/>
  <c r="I1525" i="5" s="1"/>
  <c r="G1525" i="5"/>
  <c r="R1600" i="5"/>
  <c r="R1672" i="5"/>
  <c r="R1680" i="5"/>
  <c r="R1695" i="5"/>
  <c r="R2079" i="5"/>
  <c r="R2086" i="5"/>
  <c r="J2135" i="5"/>
  <c r="I2135" i="5" s="1"/>
  <c r="G2135" i="5"/>
  <c r="R2145" i="5"/>
  <c r="J2452" i="5"/>
  <c r="I2452" i="5" s="1"/>
  <c r="G2452" i="5"/>
  <c r="R733" i="5"/>
  <c r="R753" i="5"/>
  <c r="R766" i="5"/>
  <c r="R776" i="5"/>
  <c r="R793" i="5"/>
  <c r="R803" i="5"/>
  <c r="R816" i="5"/>
  <c r="G825" i="5"/>
  <c r="G843" i="5"/>
  <c r="G856" i="5"/>
  <c r="R869" i="5"/>
  <c r="R874" i="5"/>
  <c r="G876" i="5"/>
  <c r="G896" i="5"/>
  <c r="G908" i="5"/>
  <c r="G928" i="5"/>
  <c r="R946" i="5"/>
  <c r="G950" i="5"/>
  <c r="G955" i="5"/>
  <c r="R961" i="5"/>
  <c r="R966" i="5"/>
  <c r="R971" i="5"/>
  <c r="R984" i="5"/>
  <c r="G986" i="5"/>
  <c r="R1030" i="5"/>
  <c r="R1043" i="5"/>
  <c r="R1053" i="5"/>
  <c r="G1067" i="5"/>
  <c r="G1080" i="5"/>
  <c r="G1095" i="5"/>
  <c r="R1119" i="5"/>
  <c r="R1124" i="5"/>
  <c r="R1149" i="5"/>
  <c r="R1154" i="5"/>
  <c r="R1164" i="5"/>
  <c r="G1185" i="5"/>
  <c r="R1191" i="5"/>
  <c r="G1210" i="5"/>
  <c r="G1215" i="5"/>
  <c r="R1234" i="5"/>
  <c r="R1239" i="5"/>
  <c r="R1244" i="5"/>
  <c r="G1273" i="5"/>
  <c r="R1286" i="5"/>
  <c r="G1288" i="5"/>
  <c r="R1296" i="5"/>
  <c r="G1300" i="5"/>
  <c r="G1315" i="5"/>
  <c r="G1367" i="5"/>
  <c r="R1424" i="5"/>
  <c r="G1438" i="5"/>
  <c r="J1483" i="5"/>
  <c r="I1483" i="5" s="1"/>
  <c r="G1483" i="5"/>
  <c r="G1495" i="5"/>
  <c r="R1508" i="5"/>
  <c r="J1576" i="5"/>
  <c r="I1576" i="5" s="1"/>
  <c r="G1576" i="5"/>
  <c r="G1586" i="5"/>
  <c r="R1674" i="5"/>
  <c r="R1682" i="5"/>
  <c r="R1687" i="5"/>
  <c r="G1807" i="5"/>
  <c r="R1834" i="5"/>
  <c r="G1899" i="5"/>
  <c r="G1909" i="5"/>
  <c r="R1910" i="5"/>
  <c r="R1966" i="5"/>
  <c r="G1970" i="5"/>
  <c r="R1983" i="5"/>
  <c r="G1987" i="5"/>
  <c r="G2004" i="5"/>
  <c r="J2052" i="5"/>
  <c r="I2052" i="5" s="1"/>
  <c r="G2052" i="5"/>
  <c r="G2080" i="5"/>
  <c r="G2187" i="5"/>
  <c r="R2190" i="5"/>
  <c r="R2247" i="5"/>
  <c r="R2276" i="5"/>
  <c r="G2318" i="5"/>
  <c r="J1345" i="5"/>
  <c r="I1345" i="5" s="1"/>
  <c r="G1345" i="5"/>
  <c r="J1416" i="5"/>
  <c r="I1416" i="5" s="1"/>
  <c r="G1416" i="5"/>
  <c r="J2045" i="5"/>
  <c r="I2045" i="5" s="1"/>
  <c r="G2045" i="5"/>
  <c r="J2382" i="5"/>
  <c r="I2382" i="5" s="1"/>
  <c r="G2382" i="5"/>
  <c r="R914" i="5"/>
  <c r="R953" i="5"/>
  <c r="R976" i="5"/>
  <c r="J978" i="5"/>
  <c r="I978" i="5" s="1"/>
  <c r="R1925" i="5"/>
  <c r="R2135" i="5"/>
  <c r="J2170" i="5"/>
  <c r="I2170" i="5" s="1"/>
  <c r="G2170" i="5"/>
  <c r="J2450" i="5"/>
  <c r="I2450" i="5" s="1"/>
  <c r="G2450" i="5"/>
  <c r="R654" i="5"/>
  <c r="G671" i="5"/>
  <c r="G701" i="5"/>
  <c r="R717" i="5"/>
  <c r="G812" i="5"/>
  <c r="G840" i="5"/>
  <c r="R884" i="5"/>
  <c r="G925" i="5"/>
  <c r="J975" i="5"/>
  <c r="I975" i="5" s="1"/>
  <c r="G1001" i="5"/>
  <c r="R1055" i="5"/>
  <c r="G1069" i="5"/>
  <c r="R1103" i="5"/>
  <c r="G1105" i="5"/>
  <c r="R1131" i="5"/>
  <c r="R1139" i="5"/>
  <c r="G1143" i="5"/>
  <c r="G1175" i="5"/>
  <c r="R1193" i="5"/>
  <c r="R1213" i="5"/>
  <c r="R1241" i="5"/>
  <c r="G1265" i="5"/>
  <c r="R1488" i="5"/>
  <c r="J1543" i="5"/>
  <c r="I1543" i="5" s="1"/>
  <c r="G1543" i="5"/>
  <c r="R1556" i="5"/>
  <c r="J1563" i="5"/>
  <c r="I1563" i="5" s="1"/>
  <c r="J1583" i="5"/>
  <c r="I1583" i="5" s="1"/>
  <c r="G1661" i="5"/>
  <c r="R2066" i="5"/>
  <c r="J2106" i="5"/>
  <c r="I2106" i="5" s="1"/>
  <c r="G2106" i="5"/>
  <c r="R2130" i="5"/>
  <c r="G2223" i="5"/>
  <c r="G2228" i="5"/>
  <c r="R2236" i="5"/>
  <c r="R2292" i="5"/>
  <c r="G2301" i="5"/>
  <c r="R2304" i="5"/>
  <c r="G2362" i="5"/>
  <c r="R2373" i="5"/>
  <c r="G2398" i="5"/>
  <c r="R648" i="5"/>
  <c r="G658" i="5"/>
  <c r="R666" i="5"/>
  <c r="G668" i="5"/>
  <c r="R699" i="5"/>
  <c r="R704" i="5"/>
  <c r="G777" i="5"/>
  <c r="R800" i="5"/>
  <c r="R810" i="5"/>
  <c r="R833" i="5"/>
  <c r="R838" i="5"/>
  <c r="G845" i="5"/>
  <c r="G858" i="5"/>
  <c r="R891" i="5"/>
  <c r="R911" i="5"/>
  <c r="R916" i="5"/>
  <c r="J942" i="5"/>
  <c r="I942" i="5" s="1"/>
  <c r="G957" i="5"/>
  <c r="R999" i="5"/>
  <c r="G1036" i="5"/>
  <c r="G1049" i="5"/>
  <c r="G1054" i="5"/>
  <c r="G1059" i="5"/>
  <c r="R1062" i="5"/>
  <c r="R1075" i="5"/>
  <c r="G1102" i="5"/>
  <c r="G1110" i="5"/>
  <c r="R1121" i="5"/>
  <c r="G1138" i="5"/>
  <c r="R1146" i="5"/>
  <c r="R1151" i="5"/>
  <c r="R1168" i="5"/>
  <c r="R1173" i="5"/>
  <c r="G1187" i="5"/>
  <c r="R1200" i="5"/>
  <c r="R1205" i="5"/>
  <c r="R1220" i="5"/>
  <c r="R1256" i="5"/>
  <c r="G1275" i="5"/>
  <c r="R1283" i="5"/>
  <c r="R1303" i="5"/>
  <c r="R1308" i="5"/>
  <c r="J1337" i="5"/>
  <c r="I1337" i="5" s="1"/>
  <c r="G1337" i="5"/>
  <c r="G1352" i="5"/>
  <c r="G1364" i="5"/>
  <c r="G1413" i="5"/>
  <c r="G1430" i="5"/>
  <c r="J1430" i="5"/>
  <c r="I1430" i="5" s="1"/>
  <c r="G1480" i="5"/>
  <c r="G1492" i="5"/>
  <c r="R1546" i="5"/>
  <c r="R1566" i="5"/>
  <c r="R1581" i="5"/>
  <c r="J1637" i="5"/>
  <c r="I1637" i="5" s="1"/>
  <c r="J1733" i="5"/>
  <c r="I1733" i="5" s="1"/>
  <c r="G1733" i="5"/>
  <c r="R2059" i="5"/>
  <c r="R2365" i="5"/>
  <c r="R656" i="5"/>
  <c r="R674" i="5"/>
  <c r="R679" i="5"/>
  <c r="R694" i="5"/>
  <c r="R747" i="5"/>
  <c r="R805" i="5"/>
  <c r="R843" i="5"/>
  <c r="R856" i="5"/>
  <c r="R861" i="5"/>
  <c r="R876" i="5"/>
  <c r="R879" i="5"/>
  <c r="R896" i="5"/>
  <c r="R903" i="5"/>
  <c r="R908" i="5"/>
  <c r="R940" i="5"/>
  <c r="R950" i="5"/>
  <c r="R1034" i="5"/>
  <c r="R1047" i="5"/>
  <c r="R1067" i="5"/>
  <c r="R1080" i="5"/>
  <c r="R1100" i="5"/>
  <c r="R1136" i="5"/>
  <c r="R1141" i="5"/>
  <c r="R1195" i="5"/>
  <c r="R1215" i="5"/>
  <c r="R1263" i="5"/>
  <c r="R1288" i="5"/>
  <c r="R1355" i="5"/>
  <c r="R1411" i="5"/>
  <c r="R1416" i="5"/>
  <c r="R1459" i="5"/>
  <c r="R1471" i="5"/>
  <c r="R1536" i="5"/>
  <c r="R1541" i="5"/>
  <c r="R1635" i="5"/>
  <c r="R1640" i="5"/>
  <c r="R1755" i="5"/>
  <c r="R1872" i="5"/>
  <c r="R1877" i="5"/>
  <c r="J2032" i="5"/>
  <c r="I2032" i="5" s="1"/>
  <c r="G2032" i="5"/>
  <c r="R2226" i="5"/>
  <c r="J2352" i="5"/>
  <c r="I2352" i="5" s="1"/>
  <c r="R2355" i="5"/>
  <c r="R2360" i="5"/>
  <c r="R2370" i="5"/>
  <c r="J2372" i="5"/>
  <c r="I2372" i="5" s="1"/>
  <c r="R2382" i="5"/>
  <c r="R2389" i="5"/>
  <c r="R918" i="5"/>
  <c r="R1009" i="5"/>
  <c r="R1090" i="5"/>
  <c r="R1190" i="5"/>
  <c r="R1202" i="5"/>
  <c r="R1233" i="5"/>
  <c r="R663" i="5"/>
  <c r="R716" i="5"/>
  <c r="R787" i="5"/>
  <c r="R807" i="5"/>
  <c r="R822" i="5"/>
  <c r="R830" i="5"/>
  <c r="R853" i="5"/>
  <c r="R863" i="5"/>
  <c r="R881" i="5"/>
  <c r="R920" i="5"/>
  <c r="R925" i="5"/>
  <c r="R930" i="5"/>
  <c r="R937" i="5"/>
  <c r="R942" i="5"/>
  <c r="R1001" i="5"/>
  <c r="R1006" i="5"/>
  <c r="J1008" i="5"/>
  <c r="I1008" i="5" s="1"/>
  <c r="R1039" i="5"/>
  <c r="R1069" i="5"/>
  <c r="J1112" i="5"/>
  <c r="I1112" i="5" s="1"/>
  <c r="R1153" i="5"/>
  <c r="R1197" i="5"/>
  <c r="R1217" i="5"/>
  <c r="R1290" i="5"/>
  <c r="R1302" i="5"/>
  <c r="R1347" i="5"/>
  <c r="R1357" i="5"/>
  <c r="R1396" i="5"/>
  <c r="R1454" i="5"/>
  <c r="R1468" i="5"/>
  <c r="J1530" i="5"/>
  <c r="I1530" i="5" s="1"/>
  <c r="J1602" i="5"/>
  <c r="I1602" i="5" s="1"/>
  <c r="G1602" i="5"/>
  <c r="R1605" i="5"/>
  <c r="R1622" i="5"/>
  <c r="R1632" i="5"/>
  <c r="J1690" i="5"/>
  <c r="I1690" i="5" s="1"/>
  <c r="G1690" i="5"/>
  <c r="R1733" i="5"/>
  <c r="G1786" i="5"/>
  <c r="J1786" i="5"/>
  <c r="I1786" i="5" s="1"/>
  <c r="R1862" i="5"/>
  <c r="R1874" i="5"/>
  <c r="R2037" i="5"/>
  <c r="R2042" i="5"/>
  <c r="R2101" i="5"/>
  <c r="J2157" i="5"/>
  <c r="I2157" i="5" s="1"/>
  <c r="R2201" i="5"/>
  <c r="R2296" i="5"/>
  <c r="R2301" i="5"/>
  <c r="R2328" i="5"/>
  <c r="R2335" i="5"/>
  <c r="R2362" i="5"/>
  <c r="J2435" i="5"/>
  <c r="I2435" i="5" s="1"/>
  <c r="R2438" i="5"/>
  <c r="G1351" i="5"/>
  <c r="R1418" i="5"/>
  <c r="G1435" i="5"/>
  <c r="G1445" i="5"/>
  <c r="G1457" i="5"/>
  <c r="R1599" i="5"/>
  <c r="R1807" i="5"/>
  <c r="R1861" i="5"/>
  <c r="R1866" i="5"/>
  <c r="R1883" i="5"/>
  <c r="G1885" i="5"/>
  <c r="R1891" i="5"/>
  <c r="R1896" i="5"/>
  <c r="R1960" i="5"/>
  <c r="G1969" i="5"/>
  <c r="R1975" i="5"/>
  <c r="G2006" i="5"/>
  <c r="R2009" i="5"/>
  <c r="R2049" i="5"/>
  <c r="G2077" i="5"/>
  <c r="R2078" i="5"/>
  <c r="R2142" i="5"/>
  <c r="R2246" i="5"/>
  <c r="G2255" i="5"/>
  <c r="R2435" i="5"/>
  <c r="G2439" i="5"/>
  <c r="G1343" i="5"/>
  <c r="R1359" i="5"/>
  <c r="R1364" i="5"/>
  <c r="G1371" i="5"/>
  <c r="R1377" i="5"/>
  <c r="G1384" i="5"/>
  <c r="G1399" i="5"/>
  <c r="G1417" i="5"/>
  <c r="G1585" i="5"/>
  <c r="R1591" i="5"/>
  <c r="R1611" i="5"/>
  <c r="R1619" i="5"/>
  <c r="R1634" i="5"/>
  <c r="R1639" i="5"/>
  <c r="G1668" i="5"/>
  <c r="R1671" i="5"/>
  <c r="R1676" i="5"/>
  <c r="R1684" i="5"/>
  <c r="R1697" i="5"/>
  <c r="R1710" i="5"/>
  <c r="R1742" i="5"/>
  <c r="G1744" i="5"/>
  <c r="R1757" i="5"/>
  <c r="R1789" i="5"/>
  <c r="G1796" i="5"/>
  <c r="G1821" i="5"/>
  <c r="R1841" i="5"/>
  <c r="G1936" i="5"/>
  <c r="G1946" i="5"/>
  <c r="J1954" i="5"/>
  <c r="I1954" i="5" s="1"/>
  <c r="G2060" i="5"/>
  <c r="R2063" i="5"/>
  <c r="G2067" i="5"/>
  <c r="G2099" i="5"/>
  <c r="R2110" i="5"/>
  <c r="G2114" i="5"/>
  <c r="G2163" i="5"/>
  <c r="G2166" i="5"/>
  <c r="R2174" i="5"/>
  <c r="G2176" i="5"/>
  <c r="G2179" i="5"/>
  <c r="G2199" i="5"/>
  <c r="R2210" i="5"/>
  <c r="G2227" i="5"/>
  <c r="G2282" i="5"/>
  <c r="R2318" i="5"/>
  <c r="R2324" i="5"/>
  <c r="R2374" i="5"/>
  <c r="G2383" i="5"/>
  <c r="R2401" i="5"/>
  <c r="R2404" i="5"/>
  <c r="G2413" i="5"/>
  <c r="R2427" i="5"/>
  <c r="R2432" i="5"/>
  <c r="G2434" i="5"/>
  <c r="R2442" i="5"/>
  <c r="G1304" i="5"/>
  <c r="G1332" i="5"/>
  <c r="G1335" i="5"/>
  <c r="R1448" i="5"/>
  <c r="G1464" i="5"/>
  <c r="G1469" i="5"/>
  <c r="R1470" i="5"/>
  <c r="J1494" i="5"/>
  <c r="I1494" i="5" s="1"/>
  <c r="G1521" i="5"/>
  <c r="R1557" i="5"/>
  <c r="J1633" i="5"/>
  <c r="I1633" i="5" s="1"/>
  <c r="G1882" i="5"/>
  <c r="G1926" i="5"/>
  <c r="R1957" i="5"/>
  <c r="J1959" i="5"/>
  <c r="I1959" i="5" s="1"/>
  <c r="R1967" i="5"/>
  <c r="R1987" i="5"/>
  <c r="R1999" i="5"/>
  <c r="G2015" i="5"/>
  <c r="G2038" i="5"/>
  <c r="R2044" i="5"/>
  <c r="G2119" i="5"/>
  <c r="J2136" i="5"/>
  <c r="I2136" i="5" s="1"/>
  <c r="J2141" i="5"/>
  <c r="I2141" i="5" s="1"/>
  <c r="G2148" i="5"/>
  <c r="G2260" i="5"/>
  <c r="R2449" i="5"/>
  <c r="G2471" i="5"/>
  <c r="R1305" i="5"/>
  <c r="J1314" i="5"/>
  <c r="I1314" i="5" s="1"/>
  <c r="R1325" i="5"/>
  <c r="R1330" i="5"/>
  <c r="R1346" i="5"/>
  <c r="G1358" i="5"/>
  <c r="R1369" i="5"/>
  <c r="J1376" i="5"/>
  <c r="I1376" i="5" s="1"/>
  <c r="R1420" i="5"/>
  <c r="G1437" i="5"/>
  <c r="R1438" i="5"/>
  <c r="G1447" i="5"/>
  <c r="G1459" i="5"/>
  <c r="R1462" i="5"/>
  <c r="R1505" i="5"/>
  <c r="G1509" i="5"/>
  <c r="J1526" i="5"/>
  <c r="I1526" i="5" s="1"/>
  <c r="R1552" i="5"/>
  <c r="R1649" i="5"/>
  <c r="G1653" i="5"/>
  <c r="R1661" i="5"/>
  <c r="R1673" i="5"/>
  <c r="G1688" i="5"/>
  <c r="R1707" i="5"/>
  <c r="G1736" i="5"/>
  <c r="R1754" i="5"/>
  <c r="R1804" i="5"/>
  <c r="R1819" i="5"/>
  <c r="J1852" i="5"/>
  <c r="I1852" i="5" s="1"/>
  <c r="R2080" i="5"/>
  <c r="R2097" i="5"/>
  <c r="R2105" i="5"/>
  <c r="J2302" i="5"/>
  <c r="I2302" i="5" s="1"/>
  <c r="G2307" i="5"/>
  <c r="R2339" i="5"/>
  <c r="R2351" i="5"/>
  <c r="R2361" i="5"/>
  <c r="G2458" i="5"/>
  <c r="G2463" i="5"/>
  <c r="R1407" i="5"/>
  <c r="J1414" i="5"/>
  <c r="I1414" i="5" s="1"/>
  <c r="G1454" i="5"/>
  <c r="R1472" i="5"/>
  <c r="G1481" i="5"/>
  <c r="R1524" i="5"/>
  <c r="R1529" i="5"/>
  <c r="J1536" i="5"/>
  <c r="I1536" i="5" s="1"/>
  <c r="R1539" i="5"/>
  <c r="G1541" i="5"/>
  <c r="G1561" i="5"/>
  <c r="R1580" i="5"/>
  <c r="R1588" i="5"/>
  <c r="R1623" i="5"/>
  <c r="G1643" i="5"/>
  <c r="G1660" i="5"/>
  <c r="R1786" i="5"/>
  <c r="J1900" i="5"/>
  <c r="I1900" i="5" s="1"/>
  <c r="R1903" i="5"/>
  <c r="R1921" i="5"/>
  <c r="R1929" i="5"/>
  <c r="J1933" i="5"/>
  <c r="I1933" i="5" s="1"/>
  <c r="R1939" i="5"/>
  <c r="G1948" i="5"/>
  <c r="G1956" i="5"/>
  <c r="G1966" i="5"/>
  <c r="R1984" i="5"/>
  <c r="R1996" i="5"/>
  <c r="R2070" i="5"/>
  <c r="G2096" i="5"/>
  <c r="G2138" i="5"/>
  <c r="R2230" i="5"/>
  <c r="R2240" i="5"/>
  <c r="J2292" i="5"/>
  <c r="I2292" i="5" s="1"/>
  <c r="G2350" i="5"/>
  <c r="G2385" i="5"/>
  <c r="R2386" i="5"/>
  <c r="R2494" i="5"/>
  <c r="R1322" i="5"/>
  <c r="R1351" i="5"/>
  <c r="G1373" i="5"/>
  <c r="G1391" i="5"/>
  <c r="G1396" i="5"/>
  <c r="G1406" i="5"/>
  <c r="G1419" i="5"/>
  <c r="G1429" i="5"/>
  <c r="R1435" i="5"/>
  <c r="R1440" i="5"/>
  <c r="R1445" i="5"/>
  <c r="R1457" i="5"/>
  <c r="R1479" i="5"/>
  <c r="G1496" i="5"/>
  <c r="R1497" i="5"/>
  <c r="R1507" i="5"/>
  <c r="G1528" i="5"/>
  <c r="R1549" i="5"/>
  <c r="R1567" i="5"/>
  <c r="G1579" i="5"/>
  <c r="G1597" i="5"/>
  <c r="R1598" i="5"/>
  <c r="R1608" i="5"/>
  <c r="G1612" i="5"/>
  <c r="G1635" i="5"/>
  <c r="R1641" i="5"/>
  <c r="R1651" i="5"/>
  <c r="R1681" i="5"/>
  <c r="R1691" i="5"/>
  <c r="R1699" i="5"/>
  <c r="G1706" i="5"/>
  <c r="G1721" i="5"/>
  <c r="R1734" i="5"/>
  <c r="R1749" i="5"/>
  <c r="R1768" i="5"/>
  <c r="R1781" i="5"/>
  <c r="R1791" i="5"/>
  <c r="R1806" i="5"/>
  <c r="J1830" i="5"/>
  <c r="I1830" i="5" s="1"/>
  <c r="R1833" i="5"/>
  <c r="G1837" i="5"/>
  <c r="R2041" i="5"/>
  <c r="G2057" i="5"/>
  <c r="G2069" i="5"/>
  <c r="G2116" i="5"/>
  <c r="G2155" i="5"/>
  <c r="G2160" i="5"/>
  <c r="R2194" i="5"/>
  <c r="G2196" i="5"/>
  <c r="G2208" i="5"/>
  <c r="G2211" i="5"/>
  <c r="G2247" i="5"/>
  <c r="R2275" i="5"/>
  <c r="G2289" i="5"/>
  <c r="G2304" i="5"/>
  <c r="R1870" i="5"/>
  <c r="R1885" i="5"/>
  <c r="R1905" i="5"/>
  <c r="J1917" i="5"/>
  <c r="I1917" i="5" s="1"/>
  <c r="R1936" i="5"/>
  <c r="G1953" i="5"/>
  <c r="R1959" i="5"/>
  <c r="G1983" i="5"/>
  <c r="R1991" i="5"/>
  <c r="G1995" i="5"/>
  <c r="G2035" i="5"/>
  <c r="J2091" i="5"/>
  <c r="I2091" i="5" s="1"/>
  <c r="G2254" i="5"/>
  <c r="R2388" i="5"/>
  <c r="G2468" i="5"/>
  <c r="G2503" i="5"/>
  <c r="R1294" i="5"/>
  <c r="R1319" i="5"/>
  <c r="R1343" i="5"/>
  <c r="R1376" i="5"/>
  <c r="J1378" i="5"/>
  <c r="I1378" i="5" s="1"/>
  <c r="R1464" i="5"/>
  <c r="R1521" i="5"/>
  <c r="R1526" i="5"/>
  <c r="R1574" i="5"/>
  <c r="R1595" i="5"/>
  <c r="R1610" i="5"/>
  <c r="R1683" i="5"/>
  <c r="R1724" i="5"/>
  <c r="R1729" i="5"/>
  <c r="J1748" i="5"/>
  <c r="I1748" i="5" s="1"/>
  <c r="R1783" i="5"/>
  <c r="R1788" i="5"/>
  <c r="R1813" i="5"/>
  <c r="R1835" i="5"/>
  <c r="R1847" i="5"/>
  <c r="R1852" i="5"/>
  <c r="R1882" i="5"/>
  <c r="R1915" i="5"/>
  <c r="R1926" i="5"/>
  <c r="R1951" i="5"/>
  <c r="R1981" i="5"/>
  <c r="R2030" i="5"/>
  <c r="R2033" i="5"/>
  <c r="R2038" i="5"/>
  <c r="R2048" i="5"/>
  <c r="R2072" i="5"/>
  <c r="R2119" i="5"/>
  <c r="R2148" i="5"/>
  <c r="R2158" i="5"/>
  <c r="J2175" i="5"/>
  <c r="I2175" i="5" s="1"/>
  <c r="R2191" i="5"/>
  <c r="R2219" i="5"/>
  <c r="R2277" i="5"/>
  <c r="R2282" i="5"/>
  <c r="R2302" i="5"/>
  <c r="R2310" i="5"/>
  <c r="J2325" i="5"/>
  <c r="I2325" i="5" s="1"/>
  <c r="R2358" i="5"/>
  <c r="R2431" i="5"/>
  <c r="R2481" i="5"/>
  <c r="R2491" i="5"/>
  <c r="G1925" i="5"/>
  <c r="J1925" i="5"/>
  <c r="I1925" i="5" s="1"/>
  <c r="G73" i="5"/>
  <c r="J73" i="5"/>
  <c r="I73" i="5" s="1"/>
  <c r="G1669" i="5"/>
  <c r="J1669" i="5"/>
  <c r="I1669" i="5" s="1"/>
  <c r="J1279" i="5"/>
  <c r="I1279" i="5" s="1"/>
  <c r="G1279" i="5"/>
  <c r="J1284" i="5"/>
  <c r="I1284" i="5" s="1"/>
  <c r="G473" i="5"/>
  <c r="J473" i="5"/>
  <c r="I473" i="5" s="1"/>
  <c r="G805" i="5"/>
  <c r="J805" i="5"/>
  <c r="I805" i="5" s="1"/>
  <c r="J154" i="5"/>
  <c r="I154" i="5" s="1"/>
  <c r="G417" i="5"/>
  <c r="J417" i="5"/>
  <c r="I417" i="5" s="1"/>
  <c r="J553" i="5"/>
  <c r="I553" i="5" s="1"/>
  <c r="G553" i="5"/>
  <c r="G696" i="5"/>
  <c r="J696" i="5"/>
  <c r="I696" i="5" s="1"/>
  <c r="J108" i="5"/>
  <c r="I108" i="5" s="1"/>
  <c r="G108" i="5"/>
  <c r="J31" i="5"/>
  <c r="I31" i="5" s="1"/>
  <c r="G31" i="5"/>
  <c r="J540" i="5"/>
  <c r="I540" i="5" s="1"/>
  <c r="J93" i="5"/>
  <c r="I93" i="5" s="1"/>
  <c r="G93" i="5"/>
  <c r="R1007" i="5"/>
  <c r="G1600" i="5"/>
  <c r="J1600" i="5"/>
  <c r="I1600" i="5" s="1"/>
  <c r="R608" i="5"/>
  <c r="J686" i="5"/>
  <c r="I686" i="5" s="1"/>
  <c r="J920" i="5"/>
  <c r="I920" i="5" s="1"/>
  <c r="G920" i="5"/>
  <c r="G1006" i="5"/>
  <c r="J1006" i="5"/>
  <c r="I1006" i="5" s="1"/>
  <c r="G1222" i="5"/>
  <c r="J1222" i="5"/>
  <c r="I1222" i="5" s="1"/>
  <c r="J1451" i="5"/>
  <c r="I1451" i="5" s="1"/>
  <c r="G1451" i="5"/>
  <c r="J1986" i="5"/>
  <c r="I1986" i="5" s="1"/>
  <c r="G1986" i="5"/>
  <c r="G1212" i="5"/>
  <c r="J1212" i="5"/>
  <c r="I1212" i="5" s="1"/>
  <c r="J2317" i="5"/>
  <c r="I2317" i="5" s="1"/>
  <c r="G2317" i="5"/>
  <c r="J90" i="5"/>
  <c r="I90" i="5" s="1"/>
  <c r="J264" i="5"/>
  <c r="I264" i="5" s="1"/>
  <c r="G264" i="5"/>
  <c r="R593" i="5"/>
  <c r="J1446" i="5"/>
  <c r="I1446" i="5" s="1"/>
  <c r="J1513" i="5"/>
  <c r="I1513" i="5" s="1"/>
  <c r="J188" i="5"/>
  <c r="I188" i="5" s="1"/>
  <c r="G188" i="5"/>
  <c r="G246" i="5"/>
  <c r="R267" i="5"/>
  <c r="J751" i="5"/>
  <c r="I751" i="5" s="1"/>
  <c r="G751" i="5"/>
  <c r="G1760" i="5"/>
  <c r="J1760" i="5"/>
  <c r="I1760" i="5" s="1"/>
  <c r="R2295" i="5"/>
  <c r="J1629" i="5"/>
  <c r="I1629" i="5" s="1"/>
  <c r="J359" i="5"/>
  <c r="I359" i="5" s="1"/>
  <c r="G1534" i="5"/>
  <c r="J1534" i="5"/>
  <c r="I1534" i="5" s="1"/>
  <c r="J1836" i="5"/>
  <c r="I1836" i="5" s="1"/>
  <c r="G1836" i="5"/>
  <c r="G414" i="5"/>
  <c r="J414" i="5"/>
  <c r="I414" i="5" s="1"/>
  <c r="J1177" i="5"/>
  <c r="I1177" i="5" s="1"/>
  <c r="G1177" i="5"/>
  <c r="J1968" i="5"/>
  <c r="I1968" i="5" s="1"/>
  <c r="G1968" i="5"/>
  <c r="J1505" i="5"/>
  <c r="I1505" i="5" s="1"/>
  <c r="G1505" i="5"/>
  <c r="J1381" i="5"/>
  <c r="I1381" i="5" s="1"/>
  <c r="G1381" i="5"/>
  <c r="J316" i="5"/>
  <c r="I316" i="5" s="1"/>
  <c r="G316" i="5"/>
  <c r="R160" i="5"/>
  <c r="J532" i="5"/>
  <c r="I532" i="5" s="1"/>
  <c r="G532" i="5"/>
  <c r="J313" i="5"/>
  <c r="I313" i="5" s="1"/>
  <c r="G622" i="5"/>
  <c r="J622" i="5"/>
  <c r="I622" i="5" s="1"/>
  <c r="G952" i="5"/>
  <c r="J952" i="5"/>
  <c r="I952" i="5" s="1"/>
  <c r="R144" i="5"/>
  <c r="J28" i="5"/>
  <c r="I28" i="5" s="1"/>
  <c r="G28" i="5"/>
  <c r="J602" i="5"/>
  <c r="I602" i="5" s="1"/>
  <c r="G602" i="5"/>
  <c r="J1770" i="5"/>
  <c r="I1770" i="5" s="1"/>
  <c r="J491" i="5"/>
  <c r="I491" i="5" s="1"/>
  <c r="G491" i="5"/>
  <c r="G587" i="5"/>
  <c r="J587" i="5"/>
  <c r="I587" i="5" s="1"/>
  <c r="G10" i="5"/>
  <c r="J87" i="5"/>
  <c r="I87" i="5" s="1"/>
  <c r="G441" i="5"/>
  <c r="J441" i="5"/>
  <c r="I441" i="5" s="1"/>
  <c r="J481" i="5"/>
  <c r="I481" i="5" s="1"/>
  <c r="G481" i="5"/>
  <c r="R1102" i="5"/>
  <c r="J1425" i="5"/>
  <c r="I1425" i="5" s="1"/>
  <c r="G1425" i="5"/>
  <c r="J2076" i="5"/>
  <c r="I2076" i="5" s="1"/>
  <c r="G2076" i="5"/>
  <c r="R806" i="5"/>
  <c r="J889" i="5"/>
  <c r="I889" i="5" s="1"/>
  <c r="G889" i="5"/>
  <c r="R1751" i="5"/>
  <c r="J2058" i="5"/>
  <c r="I2058" i="5" s="1"/>
  <c r="G2058" i="5"/>
  <c r="R34" i="5"/>
  <c r="R192" i="5"/>
  <c r="R479" i="5"/>
  <c r="G884" i="5"/>
  <c r="J884" i="5"/>
  <c r="I884" i="5" s="1"/>
  <c r="J1592" i="5"/>
  <c r="I1592" i="5" s="1"/>
  <c r="G1592" i="5"/>
  <c r="G1965" i="5"/>
  <c r="J1965" i="5"/>
  <c r="I1965" i="5" s="1"/>
  <c r="G2427" i="5"/>
  <c r="J2427" i="5"/>
  <c r="I2427" i="5" s="1"/>
  <c r="J855" i="5"/>
  <c r="I855" i="5" s="1"/>
  <c r="G1286" i="5"/>
  <c r="J1286" i="5"/>
  <c r="I1286" i="5" s="1"/>
  <c r="J1507" i="5"/>
  <c r="I1507" i="5" s="1"/>
  <c r="G1507" i="5"/>
  <c r="J1745" i="5"/>
  <c r="I1745" i="5" s="1"/>
  <c r="J1888" i="5"/>
  <c r="I1888" i="5" s="1"/>
  <c r="R66" i="5"/>
  <c r="J105" i="5"/>
  <c r="I105" i="5" s="1"/>
  <c r="J121" i="5"/>
  <c r="I121" i="5" s="1"/>
  <c r="J185" i="5"/>
  <c r="I185" i="5" s="1"/>
  <c r="J430" i="5"/>
  <c r="I430" i="5" s="1"/>
  <c r="J468" i="5"/>
  <c r="I468" i="5" s="1"/>
  <c r="J609" i="5"/>
  <c r="I609" i="5" s="1"/>
  <c r="G609" i="5"/>
  <c r="J886" i="5"/>
  <c r="I886" i="5" s="1"/>
  <c r="G886" i="5"/>
  <c r="J1062" i="5"/>
  <c r="I1062" i="5" s="1"/>
  <c r="G1062" i="5"/>
  <c r="J1240" i="5"/>
  <c r="I1240" i="5" s="1"/>
  <c r="G1240" i="5"/>
  <c r="J1610" i="5"/>
  <c r="I1610" i="5" s="1"/>
  <c r="R1732" i="5"/>
  <c r="J1734" i="5"/>
  <c r="I1734" i="5" s="1"/>
  <c r="G1975" i="5"/>
  <c r="J1975" i="5"/>
  <c r="I1975" i="5" s="1"/>
  <c r="J201" i="5"/>
  <c r="I201" i="5" s="1"/>
  <c r="J594" i="5"/>
  <c r="I594" i="5" s="1"/>
  <c r="J852" i="5"/>
  <c r="I852" i="5" s="1"/>
  <c r="G929" i="5"/>
  <c r="J929" i="5"/>
  <c r="I929" i="5" s="1"/>
  <c r="R993" i="5"/>
  <c r="J1088" i="5"/>
  <c r="I1088" i="5" s="1"/>
  <c r="J1203" i="5"/>
  <c r="I1203" i="5" s="1"/>
  <c r="G1203" i="5"/>
  <c r="G2388" i="5"/>
  <c r="J2388" i="5"/>
  <c r="I2388" i="5" s="1"/>
  <c r="R1073" i="5"/>
  <c r="J1504" i="5"/>
  <c r="I1504" i="5" s="1"/>
  <c r="J2014" i="5"/>
  <c r="I2014" i="5" s="1"/>
  <c r="G2014" i="5"/>
  <c r="J2365" i="5"/>
  <c r="I2365" i="5" s="1"/>
  <c r="G2365" i="5"/>
  <c r="R169" i="5"/>
  <c r="R194" i="5"/>
  <c r="J219" i="5"/>
  <c r="I219" i="5" s="1"/>
  <c r="G219" i="5"/>
  <c r="J291" i="5"/>
  <c r="I291" i="5" s="1"/>
  <c r="R463" i="5"/>
  <c r="R779" i="5"/>
  <c r="R1592" i="5"/>
  <c r="R1878" i="5"/>
  <c r="J1408" i="5"/>
  <c r="I1408" i="5" s="1"/>
  <c r="R1587" i="5"/>
  <c r="J2360" i="5"/>
  <c r="I2360" i="5" s="1"/>
  <c r="R20" i="5"/>
  <c r="R653" i="5"/>
  <c r="R934" i="5"/>
  <c r="J1728" i="5"/>
  <c r="I1728" i="5" s="1"/>
  <c r="J1872" i="5"/>
  <c r="I1872" i="5" s="1"/>
  <c r="G1872" i="5"/>
  <c r="J224" i="5"/>
  <c r="I224" i="5" s="1"/>
  <c r="J387" i="5"/>
  <c r="I387" i="5" s="1"/>
  <c r="G387" i="5"/>
  <c r="R647" i="5"/>
  <c r="J1761" i="5"/>
  <c r="I1761" i="5" s="1"/>
  <c r="G1761" i="5"/>
  <c r="J19" i="5"/>
  <c r="I19" i="5" s="1"/>
  <c r="J1239" i="5"/>
  <c r="I1239" i="5" s="1"/>
  <c r="R1764" i="5"/>
  <c r="R1780" i="5"/>
  <c r="G2171" i="5"/>
  <c r="J2171" i="5"/>
  <c r="I2171" i="5" s="1"/>
  <c r="J205" i="5"/>
  <c r="I205" i="5" s="1"/>
  <c r="G205" i="5"/>
  <c r="J442" i="5"/>
  <c r="I442" i="5" s="1"/>
  <c r="G442" i="5"/>
  <c r="J456" i="5"/>
  <c r="I456" i="5" s="1"/>
  <c r="J643" i="5"/>
  <c r="I643" i="5" s="1"/>
  <c r="R695" i="5"/>
  <c r="J1017" i="5"/>
  <c r="I1017" i="5" s="1"/>
  <c r="G1017" i="5"/>
  <c r="J1118" i="5"/>
  <c r="I1118" i="5" s="1"/>
  <c r="G1180" i="5"/>
  <c r="J1180" i="5"/>
  <c r="I1180" i="5" s="1"/>
  <c r="J1449" i="5"/>
  <c r="I1449" i="5" s="1"/>
  <c r="G1449" i="5"/>
  <c r="G1474" i="5"/>
  <c r="J1474" i="5"/>
  <c r="I1474" i="5" s="1"/>
  <c r="J1556" i="5"/>
  <c r="I1556" i="5" s="1"/>
  <c r="J1572" i="5"/>
  <c r="I1572" i="5" s="1"/>
  <c r="R2144" i="5"/>
  <c r="R2306" i="5"/>
  <c r="R2309" i="5"/>
  <c r="J2349" i="5"/>
  <c r="I2349" i="5" s="1"/>
  <c r="G2349" i="5"/>
  <c r="G810" i="5"/>
  <c r="J810" i="5"/>
  <c r="I810" i="5" s="1"/>
  <c r="G1824" i="5"/>
  <c r="J1824" i="5"/>
  <c r="I1824" i="5" s="1"/>
  <c r="R1277" i="5"/>
  <c r="G1750" i="5"/>
  <c r="J1750" i="5"/>
  <c r="I1750" i="5" s="1"/>
  <c r="R1827" i="5"/>
  <c r="J1843" i="5"/>
  <c r="I1843" i="5" s="1"/>
  <c r="G1843" i="5"/>
  <c r="R431" i="5"/>
  <c r="G534" i="5"/>
  <c r="J534" i="5"/>
  <c r="I534" i="5" s="1"/>
  <c r="J838" i="5"/>
  <c r="I838" i="5" s="1"/>
  <c r="G838" i="5"/>
  <c r="G1075" i="5"/>
  <c r="J1075" i="5"/>
  <c r="I1075" i="5" s="1"/>
  <c r="J1813" i="5"/>
  <c r="I1813" i="5" s="1"/>
  <c r="G424" i="5"/>
  <c r="J424" i="5"/>
  <c r="I424" i="5" s="1"/>
  <c r="J656" i="5"/>
  <c r="I656" i="5" s="1"/>
  <c r="J849" i="5"/>
  <c r="I849" i="5" s="1"/>
  <c r="J1057" i="5"/>
  <c r="I1057" i="5" s="1"/>
  <c r="G1057" i="5"/>
  <c r="J1488" i="5"/>
  <c r="I1488" i="5" s="1"/>
  <c r="J1731" i="5"/>
  <c r="I1731" i="5" s="1"/>
  <c r="G1731" i="5"/>
  <c r="J1795" i="5"/>
  <c r="I1795" i="5" s="1"/>
  <c r="G1795" i="5"/>
  <c r="G1828" i="5"/>
  <c r="J1828" i="5"/>
  <c r="I1828" i="5" s="1"/>
  <c r="R98" i="5"/>
  <c r="J340" i="5"/>
  <c r="I340" i="5" s="1"/>
  <c r="R349" i="5"/>
  <c r="G413" i="5"/>
  <c r="J413" i="5"/>
  <c r="I413" i="5" s="1"/>
  <c r="R582" i="5"/>
  <c r="G1792" i="5"/>
  <c r="J1792" i="5"/>
  <c r="I1792" i="5" s="1"/>
  <c r="R1811" i="5"/>
  <c r="R511" i="5"/>
  <c r="J773" i="5"/>
  <c r="I773" i="5" s="1"/>
  <c r="G773" i="5"/>
  <c r="J931" i="5"/>
  <c r="I931" i="5" s="1"/>
  <c r="G931" i="5"/>
  <c r="R1243" i="5"/>
  <c r="J1810" i="5"/>
  <c r="I1810" i="5" s="1"/>
  <c r="J2022" i="5"/>
  <c r="I2022" i="5" s="1"/>
  <c r="J168" i="5"/>
  <c r="I168" i="5" s="1"/>
  <c r="J355" i="5"/>
  <c r="I355" i="5" s="1"/>
  <c r="G355" i="5"/>
  <c r="J451" i="5"/>
  <c r="I451" i="5" s="1"/>
  <c r="G451" i="5"/>
  <c r="J983" i="5"/>
  <c r="I983" i="5" s="1"/>
  <c r="G1877" i="5"/>
  <c r="J1877" i="5"/>
  <c r="I1877" i="5" s="1"/>
  <c r="G1941" i="5"/>
  <c r="J1941" i="5"/>
  <c r="I1941" i="5" s="1"/>
  <c r="J2146" i="5"/>
  <c r="I2146" i="5" s="1"/>
  <c r="G2146" i="5"/>
  <c r="G2491" i="5"/>
  <c r="J2491" i="5"/>
  <c r="I2491" i="5" s="1"/>
  <c r="J94" i="5"/>
  <c r="I94" i="5" s="1"/>
  <c r="J390" i="5"/>
  <c r="I390" i="5" s="1"/>
  <c r="J697" i="5"/>
  <c r="I697" i="5" s="1"/>
  <c r="G697" i="5"/>
  <c r="R975" i="5"/>
  <c r="G1482" i="5"/>
  <c r="J1482" i="5"/>
  <c r="I1482" i="5" s="1"/>
  <c r="G1820" i="5"/>
  <c r="J1820" i="5"/>
  <c r="I1820" i="5" s="1"/>
  <c r="J2311" i="5"/>
  <c r="I2311" i="5" s="1"/>
  <c r="G2311" i="5"/>
  <c r="R51" i="5"/>
  <c r="J88" i="5"/>
  <c r="I88" i="5" s="1"/>
  <c r="J231" i="5"/>
  <c r="I231" i="5" s="1"/>
  <c r="G231" i="5"/>
  <c r="R286" i="5"/>
  <c r="R557" i="5"/>
  <c r="R576" i="5"/>
  <c r="R621" i="5"/>
  <c r="J692" i="5"/>
  <c r="I692" i="5" s="1"/>
  <c r="G692" i="5"/>
  <c r="G980" i="5"/>
  <c r="J980" i="5"/>
  <c r="I980" i="5" s="1"/>
  <c r="R1057" i="5"/>
  <c r="R1229" i="5"/>
  <c r="J1366" i="5"/>
  <c r="I1366" i="5" s="1"/>
  <c r="J1559" i="5"/>
  <c r="I1559" i="5" s="1"/>
  <c r="G1622" i="5"/>
  <c r="J1622" i="5"/>
  <c r="I1622" i="5" s="1"/>
  <c r="J1680" i="5"/>
  <c r="I1680" i="5" s="1"/>
  <c r="G1680" i="5"/>
  <c r="J1817" i="5"/>
  <c r="I1817" i="5" s="1"/>
  <c r="G1817" i="5"/>
  <c r="R11" i="5"/>
  <c r="G13" i="5"/>
  <c r="J34" i="5"/>
  <c r="I34" i="5" s="1"/>
  <c r="G34" i="5"/>
  <c r="R42" i="5"/>
  <c r="G60" i="5"/>
  <c r="J60" i="5"/>
  <c r="I60" i="5" s="1"/>
  <c r="R155" i="5"/>
  <c r="R163" i="5"/>
  <c r="R168" i="5"/>
  <c r="J208" i="5"/>
  <c r="I208" i="5" s="1"/>
  <c r="G218" i="5"/>
  <c r="R260" i="5"/>
  <c r="G272" i="5"/>
  <c r="G282" i="5"/>
  <c r="R335" i="5"/>
  <c r="R382" i="5"/>
  <c r="J445" i="5"/>
  <c r="I445" i="5" s="1"/>
  <c r="R451" i="5"/>
  <c r="R549" i="5"/>
  <c r="J628" i="5"/>
  <c r="I628" i="5" s="1"/>
  <c r="G635" i="5"/>
  <c r="G689" i="5"/>
  <c r="R690" i="5"/>
  <c r="R700" i="5"/>
  <c r="R768" i="5"/>
  <c r="R801" i="5"/>
  <c r="G821" i="5"/>
  <c r="G1022" i="5"/>
  <c r="R1028" i="5"/>
  <c r="G1053" i="5"/>
  <c r="J1094" i="5"/>
  <c r="I1094" i="5" s="1"/>
  <c r="G1094" i="5"/>
  <c r="G1167" i="5"/>
  <c r="R1226" i="5"/>
  <c r="R1293" i="5"/>
  <c r="G1297" i="5"/>
  <c r="G1310" i="5"/>
  <c r="J1350" i="5"/>
  <c r="I1350" i="5" s="1"/>
  <c r="R1356" i="5"/>
  <c r="R1361" i="5"/>
  <c r="G1389" i="5"/>
  <c r="J1397" i="5"/>
  <c r="I1397" i="5" s="1"/>
  <c r="R1452" i="5"/>
  <c r="G1461" i="5"/>
  <c r="G1553" i="5"/>
  <c r="J1611" i="5"/>
  <c r="I1611" i="5" s="1"/>
  <c r="G1611" i="5"/>
  <c r="R1612" i="5"/>
  <c r="J1617" i="5"/>
  <c r="I1617" i="5" s="1"/>
  <c r="J2001" i="5"/>
  <c r="I2001" i="5" s="1"/>
  <c r="G2001" i="5"/>
  <c r="R2139" i="5"/>
  <c r="J2445" i="5"/>
  <c r="I2445" i="5" s="1"/>
  <c r="G2445" i="5"/>
  <c r="J2455" i="5"/>
  <c r="I2455" i="5" s="1"/>
  <c r="G2455" i="5"/>
  <c r="R1025" i="5"/>
  <c r="R1746" i="5"/>
  <c r="G7" i="5"/>
  <c r="J7" i="5"/>
  <c r="I7" i="5" s="1"/>
  <c r="R910" i="5"/>
  <c r="J1146" i="5"/>
  <c r="I1146" i="5" s="1"/>
  <c r="J1268" i="5"/>
  <c r="I1268" i="5" s="1"/>
  <c r="G1268" i="5"/>
  <c r="J1510" i="5"/>
  <c r="I1510" i="5" s="1"/>
  <c r="R1971" i="5"/>
  <c r="J364" i="5"/>
  <c r="I364" i="5" s="1"/>
  <c r="G364" i="5"/>
  <c r="G521" i="5"/>
  <c r="J521" i="5"/>
  <c r="I521" i="5" s="1"/>
  <c r="G742" i="5"/>
  <c r="J742" i="5"/>
  <c r="I742" i="5" s="1"/>
  <c r="G1826" i="5"/>
  <c r="J1826" i="5"/>
  <c r="I1826" i="5" s="1"/>
  <c r="J2041" i="5"/>
  <c r="I2041" i="5" s="1"/>
  <c r="R2498" i="5"/>
  <c r="R683" i="5"/>
  <c r="J688" i="5"/>
  <c r="I688" i="5" s="1"/>
  <c r="J1656" i="5"/>
  <c r="I1656" i="5" s="1"/>
  <c r="G1656" i="5"/>
  <c r="R130" i="5"/>
  <c r="R178" i="5"/>
  <c r="J641" i="5"/>
  <c r="I641" i="5" s="1"/>
  <c r="G641" i="5"/>
  <c r="J716" i="5"/>
  <c r="I716" i="5" s="1"/>
  <c r="J835" i="5"/>
  <c r="I835" i="5" s="1"/>
  <c r="G835" i="5"/>
  <c r="R847" i="5"/>
  <c r="R1261" i="5"/>
  <c r="G1398" i="5"/>
  <c r="J1398" i="5"/>
  <c r="I1398" i="5" s="1"/>
  <c r="G1949" i="5"/>
  <c r="J1949" i="5"/>
  <c r="I1949" i="5" s="1"/>
  <c r="J14" i="5"/>
  <c r="I14" i="5" s="1"/>
  <c r="G14" i="5"/>
  <c r="R1060" i="5"/>
  <c r="R1409" i="5"/>
  <c r="G2062" i="5"/>
  <c r="J2062" i="5"/>
  <c r="I2062" i="5" s="1"/>
  <c r="J1462" i="5"/>
  <c r="I1462" i="5" s="1"/>
  <c r="J1707" i="5"/>
  <c r="I1707" i="5" s="1"/>
  <c r="G1707" i="5"/>
  <c r="G1823" i="5"/>
  <c r="J1823" i="5"/>
  <c r="I1823" i="5" s="1"/>
  <c r="J2161" i="5"/>
  <c r="I2161" i="5" s="1"/>
  <c r="G2161" i="5"/>
  <c r="R2338" i="5"/>
  <c r="J2481" i="5"/>
  <c r="I2481" i="5" s="1"/>
  <c r="G2481" i="5"/>
  <c r="J91" i="5"/>
  <c r="I91" i="5" s="1"/>
  <c r="G91" i="5"/>
  <c r="R468" i="5"/>
  <c r="G505" i="5"/>
  <c r="J505" i="5"/>
  <c r="I505" i="5" s="1"/>
  <c r="R1309" i="5"/>
  <c r="J1630" i="5"/>
  <c r="I1630" i="5" s="1"/>
  <c r="G1630" i="5"/>
  <c r="R2487" i="5"/>
  <c r="J633" i="5"/>
  <c r="I633" i="5" s="1"/>
  <c r="G633" i="5"/>
  <c r="J765" i="5"/>
  <c r="I765" i="5" s="1"/>
  <c r="R1181" i="5"/>
  <c r="G1195" i="5"/>
  <c r="J1195" i="5"/>
  <c r="I1195" i="5" s="1"/>
  <c r="J1994" i="5"/>
  <c r="I1994" i="5" s="1"/>
  <c r="G1994" i="5"/>
  <c r="G2029" i="5"/>
  <c r="J2029" i="5"/>
  <c r="I2029" i="5" s="1"/>
  <c r="J2089" i="5"/>
  <c r="I2089" i="5" s="1"/>
  <c r="G2089" i="5"/>
  <c r="R2100" i="5"/>
  <c r="J578" i="5"/>
  <c r="I578" i="5" s="1"/>
  <c r="J646" i="5"/>
  <c r="I646" i="5" s="1"/>
  <c r="J913" i="5"/>
  <c r="I913" i="5" s="1"/>
  <c r="R1026" i="5"/>
  <c r="J1353" i="5"/>
  <c r="I1353" i="5" s="1"/>
  <c r="G57" i="5"/>
  <c r="J57" i="5"/>
  <c r="I57" i="5" s="1"/>
  <c r="R83" i="5"/>
  <c r="R94" i="5"/>
  <c r="R115" i="5"/>
  <c r="R270" i="5"/>
  <c r="R275" i="5"/>
  <c r="R434" i="5"/>
  <c r="R492" i="5"/>
  <c r="J502" i="5"/>
  <c r="I502" i="5" s="1"/>
  <c r="R603" i="5"/>
  <c r="R613" i="5"/>
  <c r="R697" i="5"/>
  <c r="J756" i="5"/>
  <c r="I756" i="5" s="1"/>
  <c r="G756" i="5"/>
  <c r="R819" i="5"/>
  <c r="R859" i="5"/>
  <c r="J902" i="5"/>
  <c r="I902" i="5" s="1"/>
  <c r="G902" i="5"/>
  <c r="G907" i="5"/>
  <c r="J907" i="5"/>
  <c r="I907" i="5" s="1"/>
  <c r="R964" i="5"/>
  <c r="R1046" i="5"/>
  <c r="R1218" i="5"/>
  <c r="R1285" i="5"/>
  <c r="G1394" i="5"/>
  <c r="J1394" i="5"/>
  <c r="I1394" i="5" s="1"/>
  <c r="R1447" i="5"/>
  <c r="R1519" i="5"/>
  <c r="J1529" i="5"/>
  <c r="I1529" i="5" s="1"/>
  <c r="R1609" i="5"/>
  <c r="R1761" i="5"/>
  <c r="R1771" i="5"/>
  <c r="R1979" i="5"/>
  <c r="J1981" i="5"/>
  <c r="I1981" i="5" s="1"/>
  <c r="J2079" i="5"/>
  <c r="I2079" i="5" s="1"/>
  <c r="G2079" i="5"/>
  <c r="R2082" i="5"/>
  <c r="G2331" i="5"/>
  <c r="J2331" i="5"/>
  <c r="I2331" i="5" s="1"/>
  <c r="R2421" i="5"/>
  <c r="R2126" i="5"/>
  <c r="R2211" i="5"/>
  <c r="R570" i="5"/>
  <c r="R1656" i="5"/>
  <c r="R146" i="5"/>
  <c r="G504" i="5"/>
  <c r="J504" i="5"/>
  <c r="I504" i="5" s="1"/>
  <c r="J862" i="5"/>
  <c r="I862" i="5" s="1"/>
  <c r="G862" i="5"/>
  <c r="J880" i="5"/>
  <c r="I880" i="5" s="1"/>
  <c r="J1278" i="5"/>
  <c r="I1278" i="5" s="1"/>
  <c r="G1278" i="5"/>
  <c r="J1321" i="5"/>
  <c r="I1321" i="5" s="1"/>
  <c r="J1490" i="5"/>
  <c r="I1490" i="5" s="1"/>
  <c r="J1932" i="5"/>
  <c r="I1932" i="5" s="1"/>
  <c r="G1932" i="5"/>
  <c r="R2004" i="5"/>
  <c r="J2145" i="5"/>
  <c r="I2145" i="5" s="1"/>
  <c r="G2145" i="5"/>
  <c r="J2173" i="5"/>
  <c r="I2173" i="5" s="1"/>
  <c r="G2173" i="5"/>
  <c r="J2197" i="5"/>
  <c r="I2197" i="5" s="1"/>
  <c r="G89" i="5"/>
  <c r="J89" i="5"/>
  <c r="I89" i="5" s="1"/>
  <c r="R813" i="5"/>
  <c r="J890" i="5"/>
  <c r="I890" i="5" s="1"/>
  <c r="R297" i="5"/>
  <c r="R393" i="5"/>
  <c r="J1988" i="5"/>
  <c r="I1988" i="5" s="1"/>
  <c r="G1988" i="5"/>
  <c r="J2113" i="5"/>
  <c r="I2113" i="5" s="1"/>
  <c r="G2113" i="5"/>
  <c r="G2168" i="5"/>
  <c r="J2168" i="5"/>
  <c r="I2168" i="5" s="1"/>
  <c r="J2400" i="5"/>
  <c r="I2400" i="5" s="1"/>
  <c r="G2400" i="5"/>
  <c r="J138" i="5"/>
  <c r="I138" i="5" s="1"/>
  <c r="R142" i="5"/>
  <c r="J320" i="5"/>
  <c r="I320" i="5" s="1"/>
  <c r="G320" i="5"/>
  <c r="R543" i="5"/>
  <c r="R551" i="5"/>
  <c r="J1479" i="5"/>
  <c r="I1479" i="5" s="1"/>
  <c r="G1479" i="5"/>
  <c r="J2275" i="5"/>
  <c r="I2275" i="5" s="1"/>
  <c r="R2357" i="5"/>
  <c r="R234" i="5"/>
  <c r="J363" i="5"/>
  <c r="I363" i="5" s="1"/>
  <c r="G363" i="5"/>
  <c r="G418" i="5"/>
  <c r="J418" i="5"/>
  <c r="I418" i="5" s="1"/>
  <c r="J531" i="5"/>
  <c r="I531" i="5" s="1"/>
  <c r="R607" i="5"/>
  <c r="R955" i="5"/>
  <c r="R1088" i="5"/>
  <c r="J1114" i="5"/>
  <c r="I1114" i="5" s="1"/>
  <c r="G1354" i="5"/>
  <c r="J1354" i="5"/>
  <c r="I1354" i="5" s="1"/>
  <c r="J1410" i="5"/>
  <c r="I1410" i="5" s="1"/>
  <c r="J1458" i="5"/>
  <c r="I1458" i="5" s="1"/>
  <c r="J1673" i="5"/>
  <c r="I1673" i="5" s="1"/>
  <c r="G1730" i="5"/>
  <c r="J1730" i="5"/>
  <c r="I1730" i="5" s="1"/>
  <c r="J1801" i="5"/>
  <c r="I1801" i="5" s="1"/>
  <c r="G1801" i="5"/>
  <c r="J1832" i="5"/>
  <c r="I1832" i="5" s="1"/>
  <c r="G1832" i="5"/>
  <c r="G1890" i="5"/>
  <c r="J1890" i="5"/>
  <c r="I1890" i="5" s="1"/>
  <c r="G1903" i="5"/>
  <c r="J1903" i="5"/>
  <c r="I1903" i="5" s="1"/>
  <c r="J2085" i="5"/>
  <c r="I2085" i="5" s="1"/>
  <c r="G2085" i="5"/>
  <c r="G2108" i="5"/>
  <c r="J2108" i="5"/>
  <c r="I2108" i="5" s="1"/>
  <c r="R2229" i="5"/>
  <c r="R2502" i="5"/>
  <c r="R50" i="5"/>
  <c r="J186" i="5"/>
  <c r="I186" i="5" s="1"/>
  <c r="R210" i="5"/>
  <c r="R218" i="5"/>
  <c r="R224" i="5"/>
  <c r="J336" i="5"/>
  <c r="I336" i="5" s="1"/>
  <c r="G336" i="5"/>
  <c r="R475" i="5"/>
  <c r="J482" i="5"/>
  <c r="I482" i="5" s="1"/>
  <c r="R507" i="5"/>
  <c r="R545" i="5"/>
  <c r="J588" i="5"/>
  <c r="I588" i="5" s="1"/>
  <c r="R764" i="5"/>
  <c r="J865" i="5"/>
  <c r="I865" i="5" s="1"/>
  <c r="R912" i="5"/>
  <c r="R944" i="5"/>
  <c r="J1087" i="5"/>
  <c r="I1087" i="5" s="1"/>
  <c r="J1202" i="5"/>
  <c r="I1202" i="5" s="1"/>
  <c r="R1212" i="5"/>
  <c r="J1259" i="5"/>
  <c r="I1259" i="5" s="1"/>
  <c r="R1389" i="5"/>
  <c r="J1442" i="5"/>
  <c r="I1442" i="5" s="1"/>
  <c r="R1456" i="5"/>
  <c r="J1588" i="5"/>
  <c r="I1588" i="5" s="1"/>
  <c r="J1618" i="5"/>
  <c r="I1618" i="5" s="1"/>
  <c r="G1618" i="5"/>
  <c r="J1717" i="5"/>
  <c r="I1717" i="5" s="1"/>
  <c r="G1717" i="5"/>
  <c r="J2066" i="5"/>
  <c r="I2066" i="5" s="1"/>
  <c r="G2066" i="5"/>
  <c r="J2272" i="5"/>
  <c r="I2272" i="5" s="1"/>
  <c r="J95" i="5"/>
  <c r="I95" i="5" s="1"/>
  <c r="J169" i="5"/>
  <c r="I169" i="5" s="1"/>
  <c r="J217" i="5"/>
  <c r="I217" i="5" s="1"/>
  <c r="R240" i="5"/>
  <c r="R245" i="5"/>
  <c r="G434" i="5"/>
  <c r="J434" i="5"/>
  <c r="I434" i="5" s="1"/>
  <c r="R472" i="5"/>
  <c r="J585" i="5"/>
  <c r="I585" i="5" s="1"/>
  <c r="R625" i="5"/>
  <c r="R655" i="5"/>
  <c r="J681" i="5"/>
  <c r="I681" i="5" s="1"/>
  <c r="G681" i="5"/>
  <c r="J725" i="5"/>
  <c r="I725" i="5" s="1"/>
  <c r="R883" i="5"/>
  <c r="J940" i="5"/>
  <c r="I940" i="5" s="1"/>
  <c r="R994" i="5"/>
  <c r="R1045" i="5"/>
  <c r="J1152" i="5"/>
  <c r="I1152" i="5" s="1"/>
  <c r="J1450" i="5"/>
  <c r="I1450" i="5" s="1"/>
  <c r="J1639" i="5"/>
  <c r="I1639" i="5" s="1"/>
  <c r="G1639" i="5"/>
  <c r="J1785" i="5"/>
  <c r="I1785" i="5" s="1"/>
  <c r="G1785" i="5"/>
  <c r="J1827" i="5"/>
  <c r="I1827" i="5" s="1"/>
  <c r="G1827" i="5"/>
  <c r="R96" i="5"/>
  <c r="J103" i="5"/>
  <c r="I103" i="5" s="1"/>
  <c r="R162" i="5"/>
  <c r="J265" i="5"/>
  <c r="I265" i="5" s="1"/>
  <c r="J399" i="5"/>
  <c r="I399" i="5" s="1"/>
  <c r="G399" i="5"/>
  <c r="R614" i="5"/>
  <c r="J752" i="5"/>
  <c r="I752" i="5" s="1"/>
  <c r="J817" i="5"/>
  <c r="I817" i="5" s="1"/>
  <c r="G817" i="5"/>
  <c r="G822" i="5"/>
  <c r="J822" i="5"/>
  <c r="I822" i="5" s="1"/>
  <c r="J887" i="5"/>
  <c r="I887" i="5" s="1"/>
  <c r="J919" i="5"/>
  <c r="I919" i="5" s="1"/>
  <c r="J1538" i="5"/>
  <c r="I1538" i="5" s="1"/>
  <c r="R1545" i="5"/>
  <c r="J1905" i="5"/>
  <c r="I1905" i="5" s="1"/>
  <c r="G1905" i="5"/>
  <c r="J1947" i="5"/>
  <c r="I1947" i="5" s="1"/>
  <c r="J2071" i="5"/>
  <c r="I2071" i="5" s="1"/>
  <c r="G2071" i="5"/>
  <c r="J2082" i="5"/>
  <c r="I2082" i="5" s="1"/>
  <c r="J2129" i="5"/>
  <c r="I2129" i="5" s="1"/>
  <c r="G2129" i="5"/>
  <c r="J2134" i="5"/>
  <c r="I2134" i="5" s="1"/>
  <c r="G2134" i="5"/>
  <c r="J2137" i="5"/>
  <c r="I2137" i="5" s="1"/>
  <c r="R2231" i="5"/>
  <c r="G2259" i="5"/>
  <c r="J2259" i="5"/>
  <c r="I2259" i="5" s="1"/>
  <c r="J2384" i="5"/>
  <c r="I2384" i="5" s="1"/>
  <c r="R2390" i="5"/>
  <c r="J56" i="5"/>
  <c r="I56" i="5" s="1"/>
  <c r="G56" i="5"/>
  <c r="G129" i="5"/>
  <c r="J155" i="5"/>
  <c r="I155" i="5" s="1"/>
  <c r="G155" i="5"/>
  <c r="R226" i="5"/>
  <c r="R233" i="5"/>
  <c r="G235" i="5"/>
  <c r="R255" i="5"/>
  <c r="G257" i="5"/>
  <c r="G262" i="5"/>
  <c r="R263" i="5"/>
  <c r="G273" i="5"/>
  <c r="R293" i="5"/>
  <c r="G295" i="5"/>
  <c r="G319" i="5"/>
  <c r="G330" i="5"/>
  <c r="G362" i="5"/>
  <c r="R386" i="5"/>
  <c r="G454" i="5"/>
  <c r="R455" i="5"/>
  <c r="R469" i="5"/>
  <c r="J471" i="5"/>
  <c r="I471" i="5" s="1"/>
  <c r="G487" i="5"/>
  <c r="R509" i="5"/>
  <c r="R514" i="5"/>
  <c r="R517" i="5"/>
  <c r="G519" i="5"/>
  <c r="J519" i="5"/>
  <c r="I519" i="5" s="1"/>
  <c r="R520" i="5"/>
  <c r="R523" i="5"/>
  <c r="R591" i="5"/>
  <c r="G618" i="5"/>
  <c r="J639" i="5"/>
  <c r="I639" i="5" s="1"/>
  <c r="G639" i="5"/>
  <c r="R676" i="5"/>
  <c r="G713" i="5"/>
  <c r="R720" i="5"/>
  <c r="G782" i="5"/>
  <c r="J782" i="5"/>
  <c r="I782" i="5" s="1"/>
  <c r="J795" i="5"/>
  <c r="I795" i="5" s="1"/>
  <c r="R812" i="5"/>
  <c r="R839" i="5"/>
  <c r="R851" i="5"/>
  <c r="R862" i="5"/>
  <c r="G867" i="5"/>
  <c r="R868" i="5"/>
  <c r="R877" i="5"/>
  <c r="G924" i="5"/>
  <c r="J1044" i="5"/>
  <c r="I1044" i="5" s="1"/>
  <c r="G1130" i="5"/>
  <c r="J1130" i="5"/>
  <c r="I1130" i="5" s="1"/>
  <c r="J1266" i="5"/>
  <c r="I1266" i="5" s="1"/>
  <c r="R1318" i="5"/>
  <c r="R1321" i="5"/>
  <c r="J1473" i="5"/>
  <c r="I1473" i="5" s="1"/>
  <c r="G1473" i="5"/>
  <c r="G1524" i="5"/>
  <c r="J1524" i="5"/>
  <c r="I1524" i="5" s="1"/>
  <c r="R1555" i="5"/>
  <c r="G1659" i="5"/>
  <c r="J1659" i="5"/>
  <c r="I1659" i="5" s="1"/>
  <c r="R1660" i="5"/>
  <c r="G1714" i="5"/>
  <c r="J1714" i="5"/>
  <c r="I1714" i="5" s="1"/>
  <c r="J1897" i="5"/>
  <c r="I1897" i="5" s="1"/>
  <c r="G1897" i="5"/>
  <c r="R1940" i="5"/>
  <c r="G2002" i="5"/>
  <c r="J2002" i="5"/>
  <c r="I2002" i="5" s="1"/>
  <c r="G2092" i="5"/>
  <c r="J2092" i="5"/>
  <c r="I2092" i="5" s="1"/>
  <c r="J2122" i="5"/>
  <c r="I2122" i="5" s="1"/>
  <c r="G2122" i="5"/>
  <c r="R2155" i="5"/>
  <c r="R2160" i="5"/>
  <c r="R2186" i="5"/>
  <c r="R669" i="5"/>
  <c r="G704" i="5"/>
  <c r="J704" i="5"/>
  <c r="I704" i="5" s="1"/>
  <c r="J1267" i="5"/>
  <c r="I1267" i="5" s="1"/>
  <c r="G1267" i="5"/>
  <c r="J1357" i="5"/>
  <c r="I1357" i="5" s="1"/>
  <c r="G1357" i="5"/>
  <c r="G1362" i="5"/>
  <c r="J1362" i="5"/>
  <c r="I1362" i="5" s="1"/>
  <c r="J1645" i="5"/>
  <c r="I1645" i="5" s="1"/>
  <c r="G1645" i="5"/>
  <c r="R1875" i="5"/>
  <c r="J2194" i="5"/>
  <c r="I2194" i="5" s="1"/>
  <c r="G2194" i="5"/>
  <c r="J153" i="5"/>
  <c r="I153" i="5" s="1"/>
  <c r="J220" i="5"/>
  <c r="I220" i="5" s="1"/>
  <c r="G220" i="5"/>
  <c r="R411" i="5"/>
  <c r="J520" i="5"/>
  <c r="I520" i="5" s="1"/>
  <c r="J1063" i="5"/>
  <c r="I1063" i="5" s="1"/>
  <c r="G1063" i="5"/>
  <c r="J1166" i="5"/>
  <c r="I1166" i="5" s="1"/>
  <c r="J1192" i="5"/>
  <c r="I1192" i="5" s="1"/>
  <c r="J1318" i="5"/>
  <c r="I1318" i="5" s="1"/>
  <c r="G1346" i="5"/>
  <c r="J1346" i="5"/>
  <c r="I1346" i="5" s="1"/>
  <c r="J1712" i="5"/>
  <c r="I1712" i="5" s="1"/>
  <c r="G1712" i="5"/>
  <c r="R1731" i="5"/>
  <c r="J1809" i="5"/>
  <c r="I1809" i="5" s="1"/>
  <c r="G1825" i="5"/>
  <c r="J1825" i="5"/>
  <c r="I1825" i="5" s="1"/>
  <c r="J1874" i="5"/>
  <c r="I1874" i="5" s="1"/>
  <c r="R2258" i="5"/>
  <c r="J203" i="5"/>
  <c r="I203" i="5" s="1"/>
  <c r="G203" i="5"/>
  <c r="J233" i="5"/>
  <c r="I233" i="5" s="1"/>
  <c r="R272" i="5"/>
  <c r="J386" i="5"/>
  <c r="I386" i="5" s="1"/>
  <c r="J405" i="5"/>
  <c r="I405" i="5" s="1"/>
  <c r="J469" i="5"/>
  <c r="I469" i="5" s="1"/>
  <c r="G469" i="5"/>
  <c r="J760" i="5"/>
  <c r="I760" i="5" s="1"/>
  <c r="G760" i="5"/>
  <c r="R781" i="5"/>
  <c r="J783" i="5"/>
  <c r="I783" i="5" s="1"/>
  <c r="J868" i="5"/>
  <c r="I868" i="5" s="1"/>
  <c r="G1021" i="5"/>
  <c r="J1021" i="5"/>
  <c r="I1021" i="5" s="1"/>
  <c r="J1142" i="5"/>
  <c r="I1142" i="5" s="1"/>
  <c r="G1142" i="5"/>
  <c r="R1169" i="5"/>
  <c r="G1238" i="5"/>
  <c r="J1238" i="5"/>
  <c r="I1238" i="5" s="1"/>
  <c r="J1296" i="5"/>
  <c r="I1296" i="5" s="1"/>
  <c r="R1713" i="5"/>
  <c r="J1861" i="5"/>
  <c r="I1861" i="5" s="1"/>
  <c r="R2470" i="5"/>
  <c r="J2504" i="5"/>
  <c r="I2504" i="5" s="1"/>
  <c r="J106" i="5"/>
  <c r="I106" i="5" s="1"/>
  <c r="R207" i="5"/>
  <c r="G317" i="5"/>
  <c r="J317" i="5"/>
  <c r="I317" i="5" s="1"/>
  <c r="J377" i="5"/>
  <c r="I377" i="5" s="1"/>
  <c r="R491" i="5"/>
  <c r="J774" i="5"/>
  <c r="I774" i="5" s="1"/>
  <c r="J1117" i="5"/>
  <c r="I1117" i="5" s="1"/>
  <c r="R1161" i="5"/>
  <c r="R1405" i="5"/>
  <c r="R1485" i="5"/>
  <c r="R1666" i="5"/>
  <c r="R2242" i="5"/>
  <c r="R2245" i="5"/>
  <c r="R395" i="5"/>
  <c r="J1251" i="5"/>
  <c r="I1251" i="5" s="1"/>
  <c r="G1251" i="5"/>
  <c r="J1269" i="5"/>
  <c r="I1269" i="5" s="1"/>
  <c r="J1359" i="5"/>
  <c r="I1359" i="5" s="1"/>
  <c r="G1359" i="5"/>
  <c r="J1527" i="5"/>
  <c r="I1527" i="5" s="1"/>
  <c r="G1527" i="5"/>
  <c r="G1842" i="5"/>
  <c r="J1842" i="5"/>
  <c r="I1842" i="5" s="1"/>
  <c r="J2212" i="5"/>
  <c r="I2212" i="5" s="1"/>
  <c r="J2330" i="5"/>
  <c r="I2330" i="5" s="1"/>
  <c r="G2330" i="5"/>
  <c r="J2353" i="5"/>
  <c r="I2353" i="5" s="1"/>
  <c r="G2353" i="5"/>
  <c r="J2387" i="5"/>
  <c r="I2387" i="5" s="1"/>
  <c r="J2392" i="5"/>
  <c r="I2392" i="5" s="1"/>
  <c r="R16" i="5"/>
  <c r="G45" i="5"/>
  <c r="J45" i="5"/>
  <c r="I45" i="5" s="1"/>
  <c r="J161" i="5"/>
  <c r="I161" i="5" s="1"/>
  <c r="R274" i="5"/>
  <c r="J281" i="5"/>
  <c r="I281" i="5" s="1"/>
  <c r="R282" i="5"/>
  <c r="R307" i="5"/>
  <c r="J873" i="5"/>
  <c r="I873" i="5" s="1"/>
  <c r="J948" i="5"/>
  <c r="I948" i="5" s="1"/>
  <c r="J1216" i="5"/>
  <c r="I1216" i="5" s="1"/>
  <c r="R1257" i="5"/>
  <c r="R1273" i="5"/>
  <c r="J1309" i="5"/>
  <c r="I1309" i="5" s="1"/>
  <c r="G1309" i="5"/>
  <c r="R1362" i="5"/>
  <c r="J1455" i="5"/>
  <c r="I1455" i="5" s="1"/>
  <c r="R1577" i="5"/>
  <c r="R1663" i="5"/>
  <c r="R26" i="5"/>
  <c r="R29" i="5"/>
  <c r="R54" i="5"/>
  <c r="R63" i="5"/>
  <c r="R86" i="5"/>
  <c r="R106" i="5"/>
  <c r="R109" i="5"/>
  <c r="R135" i="5"/>
  <c r="R186" i="5"/>
  <c r="R189" i="5"/>
  <c r="R195" i="5"/>
  <c r="R206" i="5"/>
  <c r="R228" i="5"/>
  <c r="R247" i="5"/>
  <c r="R252" i="5"/>
  <c r="R268" i="5"/>
  <c r="R276" i="5"/>
  <c r="R328" i="5"/>
  <c r="R336" i="5"/>
  <c r="R437" i="5"/>
  <c r="R446" i="5"/>
  <c r="R449" i="5"/>
  <c r="R452" i="5"/>
  <c r="J457" i="5"/>
  <c r="I457" i="5" s="1"/>
  <c r="R461" i="5"/>
  <c r="R482" i="5"/>
  <c r="R485" i="5"/>
  <c r="R588" i="5"/>
  <c r="J613" i="5"/>
  <c r="I613" i="5" s="1"/>
  <c r="J664" i="5"/>
  <c r="I664" i="5" s="1"/>
  <c r="G664" i="5"/>
  <c r="R746" i="5"/>
  <c r="R755" i="5"/>
  <c r="R809" i="5"/>
  <c r="J824" i="5"/>
  <c r="I824" i="5" s="1"/>
  <c r="G824" i="5"/>
  <c r="J830" i="5"/>
  <c r="I830" i="5" s="1"/>
  <c r="R935" i="5"/>
  <c r="R943" i="5"/>
  <c r="R1004" i="5"/>
  <c r="R1071" i="5"/>
  <c r="R1079" i="5"/>
  <c r="R1084" i="5"/>
  <c r="R1087" i="5"/>
  <c r="R1095" i="5"/>
  <c r="J1298" i="5"/>
  <c r="I1298" i="5" s="1"/>
  <c r="R1307" i="5"/>
  <c r="J1317" i="5"/>
  <c r="I1317" i="5" s="1"/>
  <c r="R1335" i="5"/>
  <c r="R1367" i="5"/>
  <c r="R1375" i="5"/>
  <c r="R1434" i="5"/>
  <c r="R1442" i="5"/>
  <c r="J1444" i="5"/>
  <c r="I1444" i="5" s="1"/>
  <c r="R1498" i="5"/>
  <c r="R1506" i="5"/>
  <c r="J1508" i="5"/>
  <c r="I1508" i="5" s="1"/>
  <c r="J1573" i="5"/>
  <c r="I1573" i="5" s="1"/>
  <c r="G1584" i="5"/>
  <c r="J1584" i="5"/>
  <c r="I1584" i="5" s="1"/>
  <c r="R1604" i="5"/>
  <c r="R1618" i="5"/>
  <c r="J1620" i="5"/>
  <c r="I1620" i="5" s="1"/>
  <c r="R1631" i="5"/>
  <c r="R1652" i="5"/>
  <c r="J1654" i="5"/>
  <c r="I1654" i="5" s="1"/>
  <c r="R1679" i="5"/>
  <c r="J1724" i="5"/>
  <c r="I1724" i="5" s="1"/>
  <c r="G1724" i="5"/>
  <c r="J1737" i="5"/>
  <c r="I1737" i="5" s="1"/>
  <c r="G1737" i="5"/>
  <c r="R1832" i="5"/>
  <c r="G1839" i="5"/>
  <c r="J1839" i="5"/>
  <c r="I1839" i="5" s="1"/>
  <c r="R1871" i="5"/>
  <c r="J1971" i="5"/>
  <c r="I1971" i="5" s="1"/>
  <c r="G1971" i="5"/>
  <c r="J1984" i="5"/>
  <c r="I1984" i="5" s="1"/>
  <c r="G1984" i="5"/>
  <c r="R2010" i="5"/>
  <c r="J2149" i="5"/>
  <c r="I2149" i="5" s="1"/>
  <c r="R2181" i="5"/>
  <c r="R2319" i="5"/>
  <c r="R2341" i="5"/>
  <c r="R2366" i="5"/>
  <c r="R2372" i="5"/>
  <c r="R2379" i="5"/>
  <c r="J2436" i="5"/>
  <c r="I2436" i="5" s="1"/>
  <c r="R2439" i="5"/>
  <c r="R2461" i="5"/>
  <c r="R153" i="5"/>
  <c r="R159" i="5"/>
  <c r="R221" i="5"/>
  <c r="R238" i="5"/>
  <c r="G253" i="5"/>
  <c r="R265" i="5"/>
  <c r="G311" i="5"/>
  <c r="R337" i="5"/>
  <c r="R394" i="5"/>
  <c r="G396" i="5"/>
  <c r="R397" i="5"/>
  <c r="G412" i="5"/>
  <c r="G432" i="5"/>
  <c r="R478" i="5"/>
  <c r="R569" i="5"/>
  <c r="R575" i="5"/>
  <c r="G593" i="5"/>
  <c r="R594" i="5"/>
  <c r="G601" i="5"/>
  <c r="R610" i="5"/>
  <c r="G617" i="5"/>
  <c r="R618" i="5"/>
  <c r="G636" i="5"/>
  <c r="R696" i="5"/>
  <c r="R721" i="5"/>
  <c r="R729" i="5"/>
  <c r="G737" i="5"/>
  <c r="R769" i="5"/>
  <c r="J787" i="5"/>
  <c r="I787" i="5" s="1"/>
  <c r="G787" i="5"/>
  <c r="G803" i="5"/>
  <c r="R823" i="5"/>
  <c r="R829" i="5"/>
  <c r="R970" i="5"/>
  <c r="G972" i="5"/>
  <c r="R973" i="5"/>
  <c r="R988" i="5"/>
  <c r="R1016" i="5"/>
  <c r="R1032" i="5"/>
  <c r="G1058" i="5"/>
  <c r="R1059" i="5"/>
  <c r="G1091" i="5"/>
  <c r="G1099" i="5"/>
  <c r="G1144" i="5"/>
  <c r="R1178" i="5"/>
  <c r="G1245" i="5"/>
  <c r="R1278" i="5"/>
  <c r="G1293" i="5"/>
  <c r="R1327" i="5"/>
  <c r="R1363" i="5"/>
  <c r="R1458" i="5"/>
  <c r="R1482" i="5"/>
  <c r="R1499" i="5"/>
  <c r="R1504" i="5"/>
  <c r="R1548" i="5"/>
  <c r="R1553" i="5"/>
  <c r="G1596" i="5"/>
  <c r="G1624" i="5"/>
  <c r="R1633" i="5"/>
  <c r="J1651" i="5"/>
  <c r="I1651" i="5" s="1"/>
  <c r="G1651" i="5"/>
  <c r="G1664" i="5"/>
  <c r="J1664" i="5"/>
  <c r="I1664" i="5" s="1"/>
  <c r="R1706" i="5"/>
  <c r="R1824" i="5"/>
  <c r="R1863" i="5"/>
  <c r="R1892" i="5"/>
  <c r="R1927" i="5"/>
  <c r="J1931" i="5"/>
  <c r="I1931" i="5" s="1"/>
  <c r="G1931" i="5"/>
  <c r="J2056" i="5"/>
  <c r="I2056" i="5" s="1"/>
  <c r="G2056" i="5"/>
  <c r="R2075" i="5"/>
  <c r="G2121" i="5"/>
  <c r="J2121" i="5"/>
  <c r="I2121" i="5" s="1"/>
  <c r="G2343" i="5"/>
  <c r="R2344" i="5"/>
  <c r="R2354" i="5"/>
  <c r="G2447" i="5"/>
  <c r="G2498" i="5"/>
  <c r="J2498" i="5"/>
  <c r="I2498" i="5" s="1"/>
  <c r="R246" i="5"/>
  <c r="R254" i="5"/>
  <c r="R262" i="5"/>
  <c r="R309" i="5"/>
  <c r="R325" i="5"/>
  <c r="R365" i="5"/>
  <c r="R405" i="5"/>
  <c r="R410" i="5"/>
  <c r="R430" i="5"/>
  <c r="R550" i="5"/>
  <c r="R566" i="5"/>
  <c r="R580" i="5"/>
  <c r="R615" i="5"/>
  <c r="G620" i="5"/>
  <c r="J620" i="5"/>
  <c r="I620" i="5" s="1"/>
  <c r="R629" i="5"/>
  <c r="R645" i="5"/>
  <c r="R651" i="5"/>
  <c r="R740" i="5"/>
  <c r="R745" i="5"/>
  <c r="R762" i="5"/>
  <c r="R790" i="5"/>
  <c r="R804" i="5"/>
  <c r="R878" i="5"/>
  <c r="R902" i="5"/>
  <c r="R959" i="5"/>
  <c r="R967" i="5"/>
  <c r="R996" i="5"/>
  <c r="R1013" i="5"/>
  <c r="R1064" i="5"/>
  <c r="R1120" i="5"/>
  <c r="J1127" i="5"/>
  <c r="I1127" i="5" s="1"/>
  <c r="G1127" i="5"/>
  <c r="R1159" i="5"/>
  <c r="R1175" i="5"/>
  <c r="R1210" i="5"/>
  <c r="R1224" i="5"/>
  <c r="R1246" i="5"/>
  <c r="R1251" i="5"/>
  <c r="J1263" i="5"/>
  <c r="I1263" i="5" s="1"/>
  <c r="G1263" i="5"/>
  <c r="R1310" i="5"/>
  <c r="R1358" i="5"/>
  <c r="R1423" i="5"/>
  <c r="R1439" i="5"/>
  <c r="R1450" i="5"/>
  <c r="J1517" i="5"/>
  <c r="I1517" i="5" s="1"/>
  <c r="G1517" i="5"/>
  <c r="R1520" i="5"/>
  <c r="R1531" i="5"/>
  <c r="J1577" i="5"/>
  <c r="I1577" i="5" s="1"/>
  <c r="G1577" i="5"/>
  <c r="R1589" i="5"/>
  <c r="R1594" i="5"/>
  <c r="R1654" i="5"/>
  <c r="G1764" i="5"/>
  <c r="J1764" i="5"/>
  <c r="I1764" i="5" s="1"/>
  <c r="R1857" i="5"/>
  <c r="R1860" i="5"/>
  <c r="G1867" i="5"/>
  <c r="J1867" i="5"/>
  <c r="I1867" i="5" s="1"/>
  <c r="R1918" i="5"/>
  <c r="R1969" i="5"/>
  <c r="R1972" i="5"/>
  <c r="J2005" i="5"/>
  <c r="I2005" i="5" s="1"/>
  <c r="G2005" i="5"/>
  <c r="J2017" i="5"/>
  <c r="I2017" i="5" s="1"/>
  <c r="G2017" i="5"/>
  <c r="R2026" i="5"/>
  <c r="R2104" i="5"/>
  <c r="R2131" i="5"/>
  <c r="J2133" i="5"/>
  <c r="I2133" i="5" s="1"/>
  <c r="R2414" i="5"/>
  <c r="R2474" i="5"/>
  <c r="R327" i="5"/>
  <c r="R573" i="5"/>
  <c r="R774" i="5"/>
  <c r="J1014" i="5"/>
  <c r="I1014" i="5" s="1"/>
  <c r="G1014" i="5"/>
  <c r="J1621" i="5"/>
  <c r="I1621" i="5" s="1"/>
  <c r="G1621" i="5"/>
  <c r="G1732" i="5"/>
  <c r="J1732" i="5"/>
  <c r="I1732" i="5" s="1"/>
  <c r="R1747" i="5"/>
  <c r="R1763" i="5"/>
  <c r="R2262" i="5"/>
  <c r="G2328" i="5"/>
  <c r="J2328" i="5"/>
  <c r="I2328" i="5" s="1"/>
  <c r="R2450" i="5"/>
  <c r="R2482" i="5"/>
  <c r="R82" i="5"/>
  <c r="R158" i="5"/>
  <c r="R208" i="5"/>
  <c r="R370" i="5"/>
  <c r="R409" i="5"/>
  <c r="R459" i="5"/>
  <c r="J790" i="5"/>
  <c r="I790" i="5" s="1"/>
  <c r="R797" i="5"/>
  <c r="J915" i="5"/>
  <c r="I915" i="5" s="1"/>
  <c r="R1126" i="5"/>
  <c r="J1179" i="5"/>
  <c r="I1179" i="5" s="1"/>
  <c r="J1184" i="5"/>
  <c r="I1184" i="5" s="1"/>
  <c r="J1254" i="5"/>
  <c r="I1254" i="5" s="1"/>
  <c r="J1282" i="5"/>
  <c r="I1282" i="5" s="1"/>
  <c r="J1302" i="5"/>
  <c r="I1302" i="5" s="1"/>
  <c r="R1404" i="5"/>
  <c r="R1421" i="5"/>
  <c r="R1667" i="5"/>
  <c r="J1772" i="5"/>
  <c r="I1772" i="5" s="1"/>
  <c r="G1772" i="5"/>
  <c r="J1805" i="5"/>
  <c r="I1805" i="5" s="1"/>
  <c r="R1836" i="5"/>
  <c r="R1844" i="5"/>
  <c r="J1846" i="5"/>
  <c r="I1846" i="5" s="1"/>
  <c r="J1881" i="5"/>
  <c r="I1881" i="5" s="1"/>
  <c r="G1881" i="5"/>
  <c r="J1887" i="5"/>
  <c r="I1887" i="5" s="1"/>
  <c r="R1988" i="5"/>
  <c r="R2013" i="5"/>
  <c r="R2123" i="5"/>
  <c r="J2153" i="5"/>
  <c r="I2153" i="5" s="1"/>
  <c r="R2178" i="5"/>
  <c r="R2183" i="5"/>
  <c r="J2418" i="5"/>
  <c r="I2418" i="5" s="1"/>
  <c r="R587" i="5"/>
  <c r="R765" i="5"/>
  <c r="R780" i="5"/>
  <c r="R1571" i="5"/>
  <c r="G1762" i="5"/>
  <c r="J1762" i="5"/>
  <c r="I1762" i="5" s="1"/>
  <c r="J2394" i="5"/>
  <c r="I2394" i="5" s="1"/>
  <c r="G2394" i="5"/>
  <c r="J2415" i="5"/>
  <c r="I2415" i="5" s="1"/>
  <c r="G2415" i="5"/>
  <c r="R2453" i="5"/>
  <c r="R2466" i="5"/>
  <c r="R64" i="5"/>
  <c r="R18" i="5"/>
  <c r="R37" i="5"/>
  <c r="R69" i="5"/>
  <c r="R84" i="5"/>
  <c r="R99" i="5"/>
  <c r="R114" i="5"/>
  <c r="R176" i="5"/>
  <c r="J195" i="5"/>
  <c r="I195" i="5" s="1"/>
  <c r="R201" i="5"/>
  <c r="R222" i="5"/>
  <c r="R230" i="5"/>
  <c r="J249" i="5"/>
  <c r="I249" i="5" s="1"/>
  <c r="R256" i="5"/>
  <c r="R278" i="5"/>
  <c r="R298" i="5"/>
  <c r="R318" i="5"/>
  <c r="R333" i="5"/>
  <c r="R338" i="5"/>
  <c r="R344" i="5"/>
  <c r="R364" i="5"/>
  <c r="R400" i="5"/>
  <c r="J402" i="5"/>
  <c r="I402" i="5" s="1"/>
  <c r="R403" i="5"/>
  <c r="R423" i="5"/>
  <c r="R429" i="5"/>
  <c r="R467" i="5"/>
  <c r="J472" i="5"/>
  <c r="I472" i="5" s="1"/>
  <c r="J475" i="5"/>
  <c r="I475" i="5" s="1"/>
  <c r="J486" i="5"/>
  <c r="I486" i="5" s="1"/>
  <c r="J489" i="5"/>
  <c r="I489" i="5" s="1"/>
  <c r="R493" i="5"/>
  <c r="R525" i="5"/>
  <c r="R530" i="5"/>
  <c r="J541" i="5"/>
  <c r="I541" i="5" s="1"/>
  <c r="R553" i="5"/>
  <c r="R556" i="5"/>
  <c r="R564" i="5"/>
  <c r="J611" i="5"/>
  <c r="I611" i="5" s="1"/>
  <c r="R640" i="5"/>
  <c r="J642" i="5"/>
  <c r="I642" i="5" s="1"/>
  <c r="R643" i="5"/>
  <c r="R673" i="5"/>
  <c r="R681" i="5"/>
  <c r="R698" i="5"/>
  <c r="R712" i="5"/>
  <c r="R727" i="5"/>
  <c r="R788" i="5"/>
  <c r="R802" i="5"/>
  <c r="R811" i="5"/>
  <c r="R825" i="5"/>
  <c r="R828" i="5"/>
  <c r="R834" i="5"/>
  <c r="R837" i="5"/>
  <c r="R846" i="5"/>
  <c r="R887" i="5"/>
  <c r="R890" i="5"/>
  <c r="R901" i="5"/>
  <c r="R1012" i="5"/>
  <c r="R1040" i="5"/>
  <c r="R1082" i="5"/>
  <c r="R1111" i="5"/>
  <c r="R1157" i="5"/>
  <c r="R1163" i="5"/>
  <c r="J1170" i="5"/>
  <c r="I1170" i="5" s="1"/>
  <c r="J1173" i="5"/>
  <c r="I1173" i="5" s="1"/>
  <c r="R1174" i="5"/>
  <c r="R1182" i="5"/>
  <c r="R1196" i="5"/>
  <c r="R1201" i="5"/>
  <c r="R1221" i="5"/>
  <c r="R1235" i="5"/>
  <c r="R1252" i="5"/>
  <c r="R1255" i="5"/>
  <c r="J1262" i="5"/>
  <c r="I1262" i="5" s="1"/>
  <c r="R1265" i="5"/>
  <c r="J1270" i="5"/>
  <c r="I1270" i="5" s="1"/>
  <c r="R1289" i="5"/>
  <c r="R1314" i="5"/>
  <c r="R1337" i="5"/>
  <c r="J1370" i="5"/>
  <c r="I1370" i="5" s="1"/>
  <c r="G1370" i="5"/>
  <c r="R1371" i="5"/>
  <c r="R1379" i="5"/>
  <c r="R1390" i="5"/>
  <c r="R1426" i="5"/>
  <c r="R1465" i="5"/>
  <c r="J1478" i="5"/>
  <c r="I1478" i="5" s="1"/>
  <c r="R1484" i="5"/>
  <c r="R1501" i="5"/>
  <c r="R1559" i="5"/>
  <c r="J1564" i="5"/>
  <c r="I1564" i="5" s="1"/>
  <c r="R1565" i="5"/>
  <c r="R1590" i="5"/>
  <c r="R1616" i="5"/>
  <c r="R1675" i="5"/>
  <c r="R1716" i="5"/>
  <c r="J1746" i="5"/>
  <c r="I1746" i="5" s="1"/>
  <c r="R1795" i="5"/>
  <c r="J1797" i="5"/>
  <c r="I1797" i="5" s="1"/>
  <c r="J1835" i="5"/>
  <c r="I1835" i="5" s="1"/>
  <c r="G1892" i="5"/>
  <c r="J1892" i="5"/>
  <c r="I1892" i="5" s="1"/>
  <c r="R1906" i="5"/>
  <c r="R1909" i="5"/>
  <c r="R1914" i="5"/>
  <c r="R1922" i="5"/>
  <c r="J1930" i="5"/>
  <c r="I1930" i="5" s="1"/>
  <c r="R1974" i="5"/>
  <c r="R1982" i="5"/>
  <c r="R1990" i="5"/>
  <c r="J2020" i="5"/>
  <c r="I2020" i="5" s="1"/>
  <c r="G2020" i="5"/>
  <c r="J2034" i="5"/>
  <c r="I2034" i="5" s="1"/>
  <c r="R2112" i="5"/>
  <c r="R2125" i="5"/>
  <c r="R2161" i="5"/>
  <c r="R2164" i="5"/>
  <c r="R2169" i="5"/>
  <c r="R2172" i="5"/>
  <c r="R2235" i="5"/>
  <c r="R2264" i="5"/>
  <c r="R2290" i="5"/>
  <c r="R2331" i="5"/>
  <c r="R2352" i="5"/>
  <c r="R2368" i="5"/>
  <c r="R2408" i="5"/>
  <c r="R2413" i="5"/>
  <c r="R1876" i="5"/>
  <c r="J2030" i="5"/>
  <c r="I2030" i="5" s="1"/>
  <c r="G2030" i="5"/>
  <c r="R923" i="5"/>
  <c r="R986" i="5"/>
  <c r="R997" i="5"/>
  <c r="R1027" i="5"/>
  <c r="R1035" i="5"/>
  <c r="R1049" i="5"/>
  <c r="R1096" i="5"/>
  <c r="R1113" i="5"/>
  <c r="R1128" i="5"/>
  <c r="R1134" i="5"/>
  <c r="R1143" i="5"/>
  <c r="R1166" i="5"/>
  <c r="R1211" i="5"/>
  <c r="R1225" i="5"/>
  <c r="R1242" i="5"/>
  <c r="R1253" i="5"/>
  <c r="R1299" i="5"/>
  <c r="R1382" i="5"/>
  <c r="R1385" i="5"/>
  <c r="R1393" i="5"/>
  <c r="R1466" i="5"/>
  <c r="R1483" i="5"/>
  <c r="R1514" i="5"/>
  <c r="R1573" i="5"/>
  <c r="R1579" i="5"/>
  <c r="R1593" i="5"/>
  <c r="R1596" i="5"/>
  <c r="R1613" i="5"/>
  <c r="R1657" i="5"/>
  <c r="R1752" i="5"/>
  <c r="R1765" i="5"/>
  <c r="R1792" i="5"/>
  <c r="R1803" i="5"/>
  <c r="R1812" i="5"/>
  <c r="R1817" i="5"/>
  <c r="J1850" i="5"/>
  <c r="I1850" i="5" s="1"/>
  <c r="J1864" i="5"/>
  <c r="I1864" i="5" s="1"/>
  <c r="G1864" i="5"/>
  <c r="R1895" i="5"/>
  <c r="R1898" i="5"/>
  <c r="R1901" i="5"/>
  <c r="R1986" i="5"/>
  <c r="R2023" i="5"/>
  <c r="R2028" i="5"/>
  <c r="R2039" i="5"/>
  <c r="R2045" i="5"/>
  <c r="J2049" i="5"/>
  <c r="I2049" i="5" s="1"/>
  <c r="R2052" i="5"/>
  <c r="J2059" i="5"/>
  <c r="I2059" i="5" s="1"/>
  <c r="J2102" i="5"/>
  <c r="I2102" i="5" s="1"/>
  <c r="G2102" i="5"/>
  <c r="R2193" i="5"/>
  <c r="R2196" i="5"/>
  <c r="R2206" i="5"/>
  <c r="R2217" i="5"/>
  <c r="R2225" i="5"/>
  <c r="J2237" i="5"/>
  <c r="I2237" i="5" s="1"/>
  <c r="G2237" i="5"/>
  <c r="R2313" i="5"/>
  <c r="R2321" i="5"/>
  <c r="R2332" i="5"/>
  <c r="R2402" i="5"/>
  <c r="R2437" i="5"/>
  <c r="R2444" i="5"/>
  <c r="G1519" i="5"/>
  <c r="G1533" i="5"/>
  <c r="G1616" i="5"/>
  <c r="R1648" i="5"/>
  <c r="G1650" i="5"/>
  <c r="R1741" i="5"/>
  <c r="R1748" i="5"/>
  <c r="R1799" i="5"/>
  <c r="R1845" i="5"/>
  <c r="R1908" i="5"/>
  <c r="R1950" i="5"/>
  <c r="G1999" i="5"/>
  <c r="G2012" i="5"/>
  <c r="G2048" i="5"/>
  <c r="R2056" i="5"/>
  <c r="G2061" i="5"/>
  <c r="J2072" i="5"/>
  <c r="I2072" i="5" s="1"/>
  <c r="G2072" i="5"/>
  <c r="R2073" i="5"/>
  <c r="G2124" i="5"/>
  <c r="R2127" i="5"/>
  <c r="R2279" i="5"/>
  <c r="G2286" i="5"/>
  <c r="R2326" i="5"/>
  <c r="G2333" i="5"/>
  <c r="R2334" i="5"/>
  <c r="G2410" i="5"/>
  <c r="R1534" i="5"/>
  <c r="J1548" i="5"/>
  <c r="I1548" i="5" s="1"/>
  <c r="J1551" i="5"/>
  <c r="I1551" i="5" s="1"/>
  <c r="R1572" i="5"/>
  <c r="J1604" i="5"/>
  <c r="I1604" i="5" s="1"/>
  <c r="J1658" i="5"/>
  <c r="I1658" i="5" s="1"/>
  <c r="R1662" i="5"/>
  <c r="R1665" i="5"/>
  <c r="R1670" i="5"/>
  <c r="R1705" i="5"/>
  <c r="R1712" i="5"/>
  <c r="R1726" i="5"/>
  <c r="R1738" i="5"/>
  <c r="R1753" i="5"/>
  <c r="J1781" i="5"/>
  <c r="I1781" i="5" s="1"/>
  <c r="R1818" i="5"/>
  <c r="R1828" i="5"/>
  <c r="R1842" i="5"/>
  <c r="R1853" i="5"/>
  <c r="R1865" i="5"/>
  <c r="J1935" i="5"/>
  <c r="I1935" i="5" s="1"/>
  <c r="R1944" i="5"/>
  <c r="R1994" i="5"/>
  <c r="R2024" i="5"/>
  <c r="R2051" i="5"/>
  <c r="R2081" i="5"/>
  <c r="R2106" i="5"/>
  <c r="R2154" i="5"/>
  <c r="R2176" i="5"/>
  <c r="R2189" i="5"/>
  <c r="R2203" i="5"/>
  <c r="R2238" i="5"/>
  <c r="R2312" i="5"/>
  <c r="R2394" i="5"/>
  <c r="R2430" i="5"/>
  <c r="R2436" i="5"/>
  <c r="R2455" i="5"/>
  <c r="G1913" i="5"/>
  <c r="G1916" i="5"/>
  <c r="R1938" i="5"/>
  <c r="R1958" i="5"/>
  <c r="R2124" i="5"/>
  <c r="G2128" i="5"/>
  <c r="G2131" i="5"/>
  <c r="G2140" i="5"/>
  <c r="G2189" i="5"/>
  <c r="R2197" i="5"/>
  <c r="R2202" i="5"/>
  <c r="R2261" i="5"/>
  <c r="R2268" i="5"/>
  <c r="G2270" i="5"/>
  <c r="R2274" i="5"/>
  <c r="G2279" i="5"/>
  <c r="G2287" i="5"/>
  <c r="G2335" i="5"/>
  <c r="G2375" i="5"/>
  <c r="R1879" i="5"/>
  <c r="J1951" i="5"/>
  <c r="I1951" i="5" s="1"/>
  <c r="R2011" i="5"/>
  <c r="J2013" i="5"/>
  <c r="I2013" i="5" s="1"/>
  <c r="J2016" i="5"/>
  <c r="I2016" i="5" s="1"/>
  <c r="R2053" i="5"/>
  <c r="R2064" i="5"/>
  <c r="R2099" i="5"/>
  <c r="R2129" i="5"/>
  <c r="R2132" i="5"/>
  <c r="R2138" i="5"/>
  <c r="R2146" i="5"/>
  <c r="R2149" i="5"/>
  <c r="R2165" i="5"/>
  <c r="R2173" i="5"/>
  <c r="R2182" i="5"/>
  <c r="R2218" i="5"/>
  <c r="R2223" i="5"/>
  <c r="R2232" i="5"/>
  <c r="R2254" i="5"/>
  <c r="R2288" i="5"/>
  <c r="R2299" i="5"/>
  <c r="R2311" i="5"/>
  <c r="R2336" i="5"/>
  <c r="R2350" i="5"/>
  <c r="R2353" i="5"/>
  <c r="R2378" i="5"/>
  <c r="R2383" i="5"/>
  <c r="J2389" i="5"/>
  <c r="I2389" i="5" s="1"/>
  <c r="R2407" i="5"/>
  <c r="R2418" i="5"/>
  <c r="R2440" i="5"/>
  <c r="R2459" i="5"/>
  <c r="R2478" i="5"/>
  <c r="R2485" i="5"/>
  <c r="J758" i="5"/>
  <c r="I758" i="5" s="1"/>
  <c r="J1476" i="5"/>
  <c r="I1476" i="5" s="1"/>
  <c r="G1487" i="5"/>
  <c r="J1487" i="5"/>
  <c r="I1487" i="5" s="1"/>
  <c r="J83" i="5"/>
  <c r="I83" i="5" s="1"/>
  <c r="G528" i="5"/>
  <c r="J528" i="5"/>
  <c r="I528" i="5" s="1"/>
  <c r="J140" i="5"/>
  <c r="I140" i="5" s="1"/>
  <c r="J730" i="5"/>
  <c r="I730" i="5" s="1"/>
  <c r="J537" i="5"/>
  <c r="I537" i="5" s="1"/>
  <c r="G537" i="5"/>
  <c r="J883" i="5"/>
  <c r="I883" i="5" s="1"/>
  <c r="J1834" i="5"/>
  <c r="I1834" i="5" s="1"/>
  <c r="J2042" i="5"/>
  <c r="I2042" i="5" s="1"/>
  <c r="J5" i="5"/>
  <c r="I5" i="5" s="1"/>
  <c r="G5" i="5"/>
  <c r="J243" i="5"/>
  <c r="I243" i="5" s="1"/>
  <c r="J325" i="5"/>
  <c r="I325" i="5" s="1"/>
  <c r="J227" i="5"/>
  <c r="I227" i="5" s="1"/>
  <c r="J462" i="5"/>
  <c r="I462" i="5" s="1"/>
  <c r="G462" i="5"/>
  <c r="J568" i="5"/>
  <c r="I568" i="5" s="1"/>
  <c r="G630" i="5"/>
  <c r="J630" i="5"/>
  <c r="I630" i="5" s="1"/>
  <c r="J899" i="5"/>
  <c r="I899" i="5" s="1"/>
  <c r="G899" i="5"/>
  <c r="J1033" i="5"/>
  <c r="I1033" i="5" s="1"/>
  <c r="G1033" i="5"/>
  <c r="J1647" i="5"/>
  <c r="I1647" i="5" s="1"/>
  <c r="J582" i="5"/>
  <c r="I582" i="5" s="1"/>
  <c r="J232" i="5"/>
  <c r="I232" i="5" s="1"/>
  <c r="J274" i="5"/>
  <c r="I274" i="5" s="1"/>
  <c r="J921" i="5"/>
  <c r="I921" i="5" s="1"/>
  <c r="G921" i="5"/>
  <c r="J640" i="5"/>
  <c r="I640" i="5" s="1"/>
  <c r="G937" i="5"/>
  <c r="J937" i="5"/>
  <c r="I937" i="5" s="1"/>
  <c r="J466" i="5"/>
  <c r="I466" i="5" s="1"/>
  <c r="J533" i="5"/>
  <c r="I533" i="5" s="1"/>
  <c r="J982" i="5"/>
  <c r="I982" i="5" s="1"/>
  <c r="G982" i="5"/>
  <c r="G1250" i="5"/>
  <c r="J1250" i="5"/>
  <c r="I1250" i="5" s="1"/>
  <c r="J1726" i="5"/>
  <c r="I1726" i="5" s="1"/>
  <c r="G1726" i="5"/>
  <c r="J2265" i="5"/>
  <c r="I2265" i="5" s="1"/>
  <c r="G2265" i="5"/>
  <c r="J406" i="5"/>
  <c r="I406" i="5" s="1"/>
  <c r="J800" i="5"/>
  <c r="I800" i="5" s="1"/>
  <c r="J969" i="5"/>
  <c r="I969" i="5" s="1"/>
  <c r="J1603" i="5"/>
  <c r="I1603" i="5" s="1"/>
  <c r="G11" i="5"/>
  <c r="J51" i="5"/>
  <c r="I51" i="5" s="1"/>
  <c r="G61" i="5"/>
  <c r="G76" i="5"/>
  <c r="R120" i="5"/>
  <c r="J350" i="5"/>
  <c r="I350" i="5" s="1"/>
  <c r="G392" i="5"/>
  <c r="J392" i="5"/>
  <c r="I392" i="5" s="1"/>
  <c r="J743" i="5"/>
  <c r="I743" i="5" s="1"/>
  <c r="G743" i="5"/>
  <c r="G851" i="5"/>
  <c r="J851" i="5"/>
  <c r="I851" i="5" s="1"/>
  <c r="J1375" i="5"/>
  <c r="I1375" i="5" s="1"/>
  <c r="J210" i="5"/>
  <c r="I210" i="5" s="1"/>
  <c r="J334" i="5"/>
  <c r="I334" i="5" s="1"/>
  <c r="J496" i="5"/>
  <c r="I496" i="5" s="1"/>
  <c r="J1280" i="5"/>
  <c r="I1280" i="5" s="1"/>
  <c r="J1290" i="5"/>
  <c r="I1290" i="5" s="1"/>
  <c r="J25" i="5"/>
  <c r="I25" i="5" s="1"/>
  <c r="J354" i="5"/>
  <c r="I354" i="5" s="1"/>
  <c r="J659" i="5"/>
  <c r="I659" i="5" s="1"/>
  <c r="G659" i="5"/>
  <c r="J662" i="5"/>
  <c r="I662" i="5" s="1"/>
  <c r="G1264" i="5"/>
  <c r="J1264" i="5"/>
  <c r="I1264" i="5" s="1"/>
  <c r="J2412" i="5"/>
  <c r="I2412" i="5" s="1"/>
  <c r="G2412" i="5"/>
  <c r="J1113" i="5"/>
  <c r="I1113" i="5" s="1"/>
  <c r="J360" i="5"/>
  <c r="I360" i="5" s="1"/>
  <c r="J710" i="5"/>
  <c r="I710" i="5" s="1"/>
  <c r="J508" i="5"/>
  <c r="I508" i="5" s="1"/>
  <c r="J1107" i="5"/>
  <c r="I1107" i="5" s="1"/>
  <c r="J2409" i="5"/>
  <c r="I2409" i="5" s="1"/>
  <c r="G2409" i="5"/>
  <c r="J1609" i="5"/>
  <c r="I1609" i="5" s="1"/>
  <c r="G38" i="5"/>
  <c r="J131" i="5"/>
  <c r="I131" i="5" s="1"/>
  <c r="G141" i="5"/>
  <c r="G156" i="5"/>
  <c r="G183" i="5"/>
  <c r="R200" i="5"/>
  <c r="G226" i="5"/>
  <c r="G241" i="5"/>
  <c r="G248" i="5"/>
  <c r="G285" i="5"/>
  <c r="G289" i="5"/>
  <c r="G307" i="5"/>
  <c r="G342" i="5"/>
  <c r="J398" i="5"/>
  <c r="I398" i="5" s="1"/>
  <c r="G401" i="5"/>
  <c r="G408" i="5"/>
  <c r="J408" i="5"/>
  <c r="I408" i="5" s="1"/>
  <c r="G421" i="5"/>
  <c r="R425" i="5"/>
  <c r="G503" i="5"/>
  <c r="G589" i="5"/>
  <c r="G682" i="5"/>
  <c r="R691" i="5"/>
  <c r="G698" i="5"/>
  <c r="G702" i="5"/>
  <c r="J706" i="5"/>
  <c r="I706" i="5" s="1"/>
  <c r="G706" i="5"/>
  <c r="G735" i="5"/>
  <c r="R741" i="5"/>
  <c r="R770" i="5"/>
  <c r="J945" i="5"/>
  <c r="I945" i="5" s="1"/>
  <c r="G945" i="5"/>
  <c r="G1027" i="5"/>
  <c r="R1031" i="5"/>
  <c r="G1047" i="5"/>
  <c r="J1060" i="5"/>
  <c r="I1060" i="5" s="1"/>
  <c r="G1090" i="5"/>
  <c r="G1183" i="5"/>
  <c r="G1200" i="5"/>
  <c r="J1200" i="5"/>
  <c r="I1200" i="5" s="1"/>
  <c r="G1320" i="5"/>
  <c r="J1392" i="5"/>
  <c r="I1392" i="5" s="1"/>
  <c r="J1004" i="5"/>
  <c r="I1004" i="5" s="1"/>
  <c r="G1004" i="5"/>
  <c r="G306" i="5"/>
  <c r="J306" i="5"/>
  <c r="I306" i="5" s="1"/>
  <c r="J544" i="5"/>
  <c r="I544" i="5" s="1"/>
  <c r="J576" i="5"/>
  <c r="I576" i="5" s="1"/>
  <c r="J631" i="5"/>
  <c r="I631" i="5" s="1"/>
  <c r="G631" i="5"/>
  <c r="G566" i="5"/>
  <c r="J566" i="5"/>
  <c r="I566" i="5" s="1"/>
  <c r="J1411" i="5"/>
  <c r="I1411" i="5" s="1"/>
  <c r="G1411" i="5"/>
  <c r="J2010" i="5"/>
  <c r="I2010" i="5" s="1"/>
  <c r="G2010" i="5"/>
  <c r="J563" i="5"/>
  <c r="I563" i="5" s="1"/>
  <c r="J2476" i="5"/>
  <c r="I2476" i="5" s="1"/>
  <c r="G2476" i="5"/>
  <c r="J163" i="5"/>
  <c r="I163" i="5" s="1"/>
  <c r="J514" i="5"/>
  <c r="I514" i="5" s="1"/>
  <c r="J720" i="5"/>
  <c r="I720" i="5" s="1"/>
  <c r="G1422" i="5"/>
  <c r="J1422" i="5"/>
  <c r="I1422" i="5" s="1"/>
  <c r="J2007" i="5"/>
  <c r="I2007" i="5" s="1"/>
  <c r="J67" i="5"/>
  <c r="I67" i="5" s="1"/>
  <c r="J1753" i="5"/>
  <c r="I1753" i="5" s="1"/>
  <c r="G1753" i="5"/>
  <c r="G2184" i="5"/>
  <c r="J2184" i="5"/>
  <c r="I2184" i="5" s="1"/>
  <c r="J687" i="5"/>
  <c r="I687" i="5" s="1"/>
  <c r="J690" i="5"/>
  <c r="I690" i="5" s="1"/>
  <c r="G690" i="5"/>
  <c r="G784" i="5"/>
  <c r="J784" i="5"/>
  <c r="I784" i="5" s="1"/>
  <c r="J1197" i="5"/>
  <c r="I1197" i="5" s="1"/>
  <c r="G1197" i="5"/>
  <c r="J125" i="5"/>
  <c r="I125" i="5" s="1"/>
  <c r="J259" i="5"/>
  <c r="I259" i="5" s="1"/>
  <c r="J1168" i="5"/>
  <c r="I1168" i="5" s="1"/>
  <c r="J665" i="5"/>
  <c r="I665" i="5" s="1"/>
  <c r="J147" i="5"/>
  <c r="I147" i="5" s="1"/>
  <c r="J347" i="5"/>
  <c r="I347" i="5" s="1"/>
  <c r="R8" i="5"/>
  <c r="J35" i="5"/>
  <c r="I35" i="5" s="1"/>
  <c r="R104" i="5"/>
  <c r="G251" i="5"/>
  <c r="R264" i="5"/>
  <c r="G437" i="5"/>
  <c r="G474" i="5"/>
  <c r="G480" i="5"/>
  <c r="R611" i="5"/>
  <c r="G616" i="5"/>
  <c r="G644" i="5"/>
  <c r="J695" i="5"/>
  <c r="I695" i="5" s="1"/>
  <c r="G695" i="5"/>
  <c r="J1514" i="5"/>
  <c r="I1514" i="5" s="1"/>
  <c r="G1514" i="5"/>
  <c r="J410" i="5"/>
  <c r="I410" i="5" s="1"/>
  <c r="G410" i="5"/>
  <c r="G947" i="5"/>
  <c r="J947" i="5"/>
  <c r="I947" i="5" s="1"/>
  <c r="J99" i="5"/>
  <c r="I99" i="5" s="1"/>
  <c r="J167" i="5"/>
  <c r="I167" i="5" s="1"/>
  <c r="J225" i="5"/>
  <c r="I225" i="5" s="1"/>
  <c r="J440" i="5"/>
  <c r="I440" i="5" s="1"/>
  <c r="J470" i="5"/>
  <c r="I470" i="5" s="1"/>
  <c r="J179" i="5"/>
  <c r="I179" i="5" s="1"/>
  <c r="J600" i="5"/>
  <c r="I600" i="5" s="1"/>
  <c r="J761" i="5"/>
  <c r="I761" i="5" s="1"/>
  <c r="J932" i="5"/>
  <c r="I932" i="5" s="1"/>
  <c r="G1691" i="5"/>
  <c r="J1691" i="5"/>
  <c r="I1691" i="5" s="1"/>
  <c r="G302" i="5"/>
  <c r="J302" i="5"/>
  <c r="I302" i="5" s="1"/>
  <c r="G726" i="5"/>
  <c r="J726" i="5"/>
  <c r="I726" i="5" s="1"/>
  <c r="J1253" i="5"/>
  <c r="I1253" i="5" s="1"/>
  <c r="G1253" i="5"/>
  <c r="J2151" i="5"/>
  <c r="I2151" i="5" s="1"/>
  <c r="G2151" i="5"/>
  <c r="J2459" i="5"/>
  <c r="I2459" i="5" s="1"/>
  <c r="G2296" i="5"/>
  <c r="J2296" i="5"/>
  <c r="I2296" i="5" s="1"/>
  <c r="G22" i="5"/>
  <c r="J115" i="5"/>
  <c r="I115" i="5" s="1"/>
  <c r="R184" i="5"/>
  <c r="R290" i="5"/>
  <c r="G303" i="5"/>
  <c r="J321" i="5"/>
  <c r="I321" i="5" s="1"/>
  <c r="J338" i="5"/>
  <c r="I338" i="5" s="1"/>
  <c r="J394" i="5"/>
  <c r="I394" i="5" s="1"/>
  <c r="G394" i="5"/>
  <c r="J554" i="5"/>
  <c r="I554" i="5" s="1"/>
  <c r="R555" i="5"/>
  <c r="G727" i="5"/>
  <c r="G740" i="5"/>
  <c r="J740" i="5"/>
  <c r="I740" i="5" s="1"/>
  <c r="G789" i="5"/>
  <c r="J789" i="5"/>
  <c r="I789" i="5" s="1"/>
  <c r="G832" i="5"/>
  <c r="J832" i="5"/>
  <c r="I832" i="5" s="1"/>
  <c r="G941" i="5"/>
  <c r="J1165" i="5"/>
  <c r="I1165" i="5" s="1"/>
  <c r="G1165" i="5"/>
  <c r="G1316" i="5"/>
  <c r="G21" i="5"/>
  <c r="G37" i="5"/>
  <c r="G53" i="5"/>
  <c r="G69" i="5"/>
  <c r="G85" i="5"/>
  <c r="G101" i="5"/>
  <c r="G117" i="5"/>
  <c r="G133" i="5"/>
  <c r="G149" i="5"/>
  <c r="G165" i="5"/>
  <c r="G181" i="5"/>
  <c r="G197" i="5"/>
  <c r="G213" i="5"/>
  <c r="G229" i="5"/>
  <c r="G245" i="5"/>
  <c r="G261" i="5"/>
  <c r="G277" i="5"/>
  <c r="G314" i="5"/>
  <c r="R316" i="5"/>
  <c r="G353" i="5"/>
  <c r="G357" i="5"/>
  <c r="R389" i="5"/>
  <c r="G476" i="5"/>
  <c r="G513" i="5"/>
  <c r="R529" i="5"/>
  <c r="G557" i="5"/>
  <c r="G584" i="5"/>
  <c r="G595" i="5"/>
  <c r="G653" i="5"/>
  <c r="G677" i="5"/>
  <c r="G776" i="5"/>
  <c r="G815" i="5"/>
  <c r="G903" i="5"/>
  <c r="R992" i="5"/>
  <c r="J1013" i="5"/>
  <c r="I1013" i="5" s="1"/>
  <c r="G1013" i="5"/>
  <c r="R1024" i="5"/>
  <c r="R1081" i="5"/>
  <c r="G1140" i="5"/>
  <c r="J1140" i="5"/>
  <c r="I1140" i="5" s="1"/>
  <c r="G1342" i="5"/>
  <c r="G1386" i="5"/>
  <c r="J1386" i="5"/>
  <c r="I1386" i="5" s="1"/>
  <c r="G1472" i="5"/>
  <c r="J1472" i="5"/>
  <c r="I1472" i="5" s="1"/>
  <c r="R1537" i="5"/>
  <c r="J1747" i="5"/>
  <c r="I1747" i="5" s="1"/>
  <c r="G1747" i="5"/>
  <c r="J674" i="5"/>
  <c r="I674" i="5" s="1"/>
  <c r="G674" i="5"/>
  <c r="J837" i="5"/>
  <c r="I837" i="5" s="1"/>
  <c r="G837" i="5"/>
  <c r="G1258" i="5"/>
  <c r="J1258" i="5"/>
  <c r="I1258" i="5" s="1"/>
  <c r="J1368" i="5"/>
  <c r="I1368" i="5" s="1"/>
  <c r="G1368" i="5"/>
  <c r="J1704" i="5"/>
  <c r="I1704" i="5" s="1"/>
  <c r="G20" i="5"/>
  <c r="G36" i="5"/>
  <c r="G52" i="5"/>
  <c r="G68" i="5"/>
  <c r="G84" i="5"/>
  <c r="G100" i="5"/>
  <c r="G116" i="5"/>
  <c r="G132" i="5"/>
  <c r="G148" i="5"/>
  <c r="G164" i="5"/>
  <c r="G180" i="5"/>
  <c r="G196" i="5"/>
  <c r="G212" i="5"/>
  <c r="G228" i="5"/>
  <c r="G244" i="5"/>
  <c r="G260" i="5"/>
  <c r="G276" i="5"/>
  <c r="G335" i="5"/>
  <c r="G339" i="5"/>
  <c r="G348" i="5"/>
  <c r="G352" i="5"/>
  <c r="J366" i="5"/>
  <c r="I366" i="5" s="1"/>
  <c r="J370" i="5"/>
  <c r="I370" i="5" s="1"/>
  <c r="G378" i="5"/>
  <c r="R380" i="5"/>
  <c r="G407" i="5"/>
  <c r="J446" i="5"/>
  <c r="I446" i="5" s="1"/>
  <c r="G453" i="5"/>
  <c r="G464" i="5"/>
  <c r="J498" i="5"/>
  <c r="I498" i="5" s="1"/>
  <c r="R503" i="5"/>
  <c r="G552" i="5"/>
  <c r="G580" i="5"/>
  <c r="G598" i="5"/>
  <c r="J598" i="5"/>
  <c r="I598" i="5" s="1"/>
  <c r="J608" i="5"/>
  <c r="I608" i="5" s="1"/>
  <c r="R623" i="5"/>
  <c r="J632" i="5"/>
  <c r="I632" i="5" s="1"/>
  <c r="G648" i="5"/>
  <c r="G691" i="5"/>
  <c r="R692" i="5"/>
  <c r="J694" i="5"/>
  <c r="I694" i="5" s="1"/>
  <c r="R709" i="5"/>
  <c r="G711" i="5"/>
  <c r="G718" i="5"/>
  <c r="J859" i="5"/>
  <c r="I859" i="5" s="1"/>
  <c r="G871" i="5"/>
  <c r="J900" i="5"/>
  <c r="I900" i="5" s="1"/>
  <c r="J967" i="5"/>
  <c r="I967" i="5" s="1"/>
  <c r="G967" i="5"/>
  <c r="J981" i="5"/>
  <c r="I981" i="5" s="1"/>
  <c r="G981" i="5"/>
  <c r="G987" i="5"/>
  <c r="G1009" i="5"/>
  <c r="G1043" i="5"/>
  <c r="R1044" i="5"/>
  <c r="G1124" i="5"/>
  <c r="J1124" i="5"/>
  <c r="I1124" i="5" s="1"/>
  <c r="J1169" i="5"/>
  <c r="I1169" i="5" s="1"/>
  <c r="G1169" i="5"/>
  <c r="J1241" i="5"/>
  <c r="I1241" i="5" s="1"/>
  <c r="J1440" i="5"/>
  <c r="I1440" i="5" s="1"/>
  <c r="J1523" i="5"/>
  <c r="I1523" i="5" s="1"/>
  <c r="G1523" i="5"/>
  <c r="G296" i="5"/>
  <c r="J318" i="5"/>
  <c r="I318" i="5" s="1"/>
  <c r="J322" i="5"/>
  <c r="I322" i="5" s="1"/>
  <c r="G426" i="5"/>
  <c r="G490" i="5"/>
  <c r="G501" i="5"/>
  <c r="G604" i="5"/>
  <c r="G621" i="5"/>
  <c r="J722" i="5"/>
  <c r="I722" i="5" s="1"/>
  <c r="G722" i="5"/>
  <c r="G739" i="5"/>
  <c r="R789" i="5"/>
  <c r="G905" i="5"/>
  <c r="J905" i="5"/>
  <c r="I905" i="5" s="1"/>
  <c r="G918" i="5"/>
  <c r="R947" i="5"/>
  <c r="J949" i="5"/>
  <c r="I949" i="5" s="1"/>
  <c r="G949" i="5"/>
  <c r="R1072" i="5"/>
  <c r="G1196" i="5"/>
  <c r="J1196" i="5"/>
  <c r="I1196" i="5" s="1"/>
  <c r="J1327" i="5"/>
  <c r="I1327" i="5" s="1"/>
  <c r="G1671" i="5"/>
  <c r="R974" i="5"/>
  <c r="G1428" i="5"/>
  <c r="J1428" i="5"/>
  <c r="I1428" i="5" s="1"/>
  <c r="G1695" i="5"/>
  <c r="J1695" i="5"/>
  <c r="I1695" i="5" s="1"/>
  <c r="R439" i="5"/>
  <c r="R531" i="5"/>
  <c r="J614" i="5"/>
  <c r="I614" i="5" s="1"/>
  <c r="R715" i="5"/>
  <c r="J736" i="5"/>
  <c r="I736" i="5" s="1"/>
  <c r="R888" i="5"/>
  <c r="R919" i="5"/>
  <c r="G1012" i="5"/>
  <c r="J1012" i="5"/>
  <c r="I1012" i="5" s="1"/>
  <c r="J1154" i="5"/>
  <c r="I1154" i="5" s="1"/>
  <c r="G1154" i="5"/>
  <c r="R1542" i="5"/>
  <c r="J1571" i="5"/>
  <c r="I1571" i="5" s="1"/>
  <c r="G1571" i="5"/>
  <c r="R1669" i="5"/>
  <c r="J965" i="5"/>
  <c r="I965" i="5" s="1"/>
  <c r="G965" i="5"/>
  <c r="G647" i="5"/>
  <c r="R739" i="5"/>
  <c r="J917" i="5"/>
  <c r="I917" i="5" s="1"/>
  <c r="G917" i="5"/>
  <c r="J1029" i="5"/>
  <c r="I1029" i="5" s="1"/>
  <c r="G1029" i="5"/>
  <c r="J1082" i="5"/>
  <c r="I1082" i="5" s="1"/>
  <c r="G1132" i="5"/>
  <c r="J1218" i="5"/>
  <c r="I1218" i="5" s="1"/>
  <c r="R1317" i="5"/>
  <c r="G1632" i="5"/>
  <c r="J1632" i="5"/>
  <c r="I1632" i="5" s="1"/>
  <c r="G478" i="5"/>
  <c r="G494" i="5"/>
  <c r="G510" i="5"/>
  <c r="G526" i="5"/>
  <c r="G565" i="5"/>
  <c r="G574" i="5"/>
  <c r="G583" i="5"/>
  <c r="R585" i="5"/>
  <c r="G597" i="5"/>
  <c r="G606" i="5"/>
  <c r="G615" i="5"/>
  <c r="R617" i="5"/>
  <c r="G629" i="5"/>
  <c r="G638" i="5"/>
  <c r="G676" i="5"/>
  <c r="G712" i="5"/>
  <c r="G741" i="5"/>
  <c r="R773" i="5"/>
  <c r="J775" i="5"/>
  <c r="I775" i="5" s="1"/>
  <c r="G775" i="5"/>
  <c r="G793" i="5"/>
  <c r="G808" i="5"/>
  <c r="G831" i="5"/>
  <c r="G881" i="5"/>
  <c r="G923" i="5"/>
  <c r="R928" i="5"/>
  <c r="J933" i="5"/>
  <c r="I933" i="5" s="1"/>
  <c r="G933" i="5"/>
  <c r="G936" i="5"/>
  <c r="G958" i="5"/>
  <c r="R1015" i="5"/>
  <c r="G1038" i="5"/>
  <c r="J1076" i="5"/>
  <c r="I1076" i="5" s="1"/>
  <c r="R1110" i="5"/>
  <c r="G1164" i="5"/>
  <c r="J1164" i="5"/>
  <c r="I1164" i="5" s="1"/>
  <c r="R1187" i="5"/>
  <c r="G1214" i="5"/>
  <c r="G1257" i="5"/>
  <c r="G1306" i="5"/>
  <c r="G1460" i="5"/>
  <c r="R1728" i="5"/>
  <c r="G1739" i="5"/>
  <c r="J885" i="5"/>
  <c r="I885" i="5" s="1"/>
  <c r="G885" i="5"/>
  <c r="J901" i="5"/>
  <c r="I901" i="5" s="1"/>
  <c r="G901" i="5"/>
  <c r="J1208" i="5"/>
  <c r="I1208" i="5" s="1"/>
  <c r="G1208" i="5"/>
  <c r="J1549" i="5"/>
  <c r="I1549" i="5" s="1"/>
  <c r="G1549" i="5"/>
  <c r="G1943" i="5"/>
  <c r="J1943" i="5"/>
  <c r="I1943" i="5" s="1"/>
  <c r="G545" i="5"/>
  <c r="R547" i="5"/>
  <c r="R644" i="5"/>
  <c r="R661" i="5"/>
  <c r="G663" i="5"/>
  <c r="G771" i="5"/>
  <c r="G891" i="5"/>
  <c r="G926" i="5"/>
  <c r="G1025" i="5"/>
  <c r="G1034" i="5"/>
  <c r="J1098" i="5"/>
  <c r="I1098" i="5" s="1"/>
  <c r="G1182" i="5"/>
  <c r="R1298" i="5"/>
  <c r="G1312" i="5"/>
  <c r="J1312" i="5"/>
  <c r="I1312" i="5" s="1"/>
  <c r="G1582" i="5"/>
  <c r="G1594" i="5"/>
  <c r="J1594" i="5"/>
  <c r="I1594" i="5" s="1"/>
  <c r="J841" i="5"/>
  <c r="I841" i="5" s="1"/>
  <c r="J853" i="5"/>
  <c r="I853" i="5" s="1"/>
  <c r="G853" i="5"/>
  <c r="J869" i="5"/>
  <c r="I869" i="5" s="1"/>
  <c r="G869" i="5"/>
  <c r="J996" i="5"/>
  <c r="I996" i="5" s="1"/>
  <c r="J1068" i="5"/>
  <c r="I1068" i="5" s="1"/>
  <c r="G1068" i="5"/>
  <c r="J1148" i="5"/>
  <c r="I1148" i="5" s="1"/>
  <c r="G1148" i="5"/>
  <c r="J1260" i="5"/>
  <c r="I1260" i="5" s="1"/>
  <c r="G1260" i="5"/>
  <c r="G1424" i="5"/>
  <c r="J1424" i="5"/>
  <c r="I1424" i="5" s="1"/>
  <c r="J1715" i="5"/>
  <c r="I1715" i="5" s="1"/>
  <c r="G1715" i="5"/>
  <c r="J560" i="5"/>
  <c r="I560" i="5" s="1"/>
  <c r="J592" i="5"/>
  <c r="I592" i="5" s="1"/>
  <c r="J624" i="5"/>
  <c r="I624" i="5" s="1"/>
  <c r="J672" i="5"/>
  <c r="I672" i="5" s="1"/>
  <c r="R693" i="5"/>
  <c r="R757" i="5"/>
  <c r="J759" i="5"/>
  <c r="I759" i="5" s="1"/>
  <c r="G759" i="5"/>
  <c r="R772" i="5"/>
  <c r="J816" i="5"/>
  <c r="I816" i="5" s="1"/>
  <c r="J951" i="5"/>
  <c r="I951" i="5" s="1"/>
  <c r="R1022" i="5"/>
  <c r="R1076" i="5"/>
  <c r="J1122" i="5"/>
  <c r="I1122" i="5" s="1"/>
  <c r="R1129" i="5"/>
  <c r="R1180" i="5"/>
  <c r="R1254" i="5"/>
  <c r="G738" i="5"/>
  <c r="G754" i="5"/>
  <c r="G770" i="5"/>
  <c r="G786" i="5"/>
  <c r="G802" i="5"/>
  <c r="G818" i="5"/>
  <c r="G834" i="5"/>
  <c r="G861" i="5"/>
  <c r="G893" i="5"/>
  <c r="R1155" i="5"/>
  <c r="G1178" i="5"/>
  <c r="J1276" i="5"/>
  <c r="I1276" i="5" s="1"/>
  <c r="G1276" i="5"/>
  <c r="G1301" i="5"/>
  <c r="R1333" i="5"/>
  <c r="G1439" i="5"/>
  <c r="G1465" i="5"/>
  <c r="G1512" i="5"/>
  <c r="G791" i="5"/>
  <c r="G807" i="5"/>
  <c r="G823" i="5"/>
  <c r="R840" i="5"/>
  <c r="G866" i="5"/>
  <c r="R872" i="5"/>
  <c r="G898" i="5"/>
  <c r="R904" i="5"/>
  <c r="G930" i="5"/>
  <c r="R936" i="5"/>
  <c r="G962" i="5"/>
  <c r="R968" i="5"/>
  <c r="G1032" i="5"/>
  <c r="G1041" i="5"/>
  <c r="J1045" i="5"/>
  <c r="I1045" i="5" s="1"/>
  <c r="G1045" i="5"/>
  <c r="G1065" i="5"/>
  <c r="G1081" i="5"/>
  <c r="G1100" i="5"/>
  <c r="G1149" i="5"/>
  <c r="R1183" i="5"/>
  <c r="G1209" i="5"/>
  <c r="G1226" i="5"/>
  <c r="G1256" i="5"/>
  <c r="R1339" i="5"/>
  <c r="G1471" i="5"/>
  <c r="G1518" i="5"/>
  <c r="G1544" i="5"/>
  <c r="G1774" i="5"/>
  <c r="G1812" i="5"/>
  <c r="J1061" i="5"/>
  <c r="I1061" i="5" s="1"/>
  <c r="G1061" i="5"/>
  <c r="J1295" i="5"/>
  <c r="I1295" i="5" s="1"/>
  <c r="J1360" i="5"/>
  <c r="I1360" i="5" s="1"/>
  <c r="R1644" i="5"/>
  <c r="G1672" i="5"/>
  <c r="J1883" i="5"/>
  <c r="I1883" i="5" s="1"/>
  <c r="G993" i="5"/>
  <c r="R995" i="5"/>
  <c r="G1052" i="5"/>
  <c r="R1054" i="5"/>
  <c r="G1073" i="5"/>
  <c r="G1084" i="5"/>
  <c r="J1108" i="5"/>
  <c r="I1108" i="5" s="1"/>
  <c r="G1111" i="5"/>
  <c r="J1160" i="5"/>
  <c r="I1160" i="5" s="1"/>
  <c r="G1181" i="5"/>
  <c r="G1201" i="5"/>
  <c r="J1219" i="5"/>
  <c r="I1219" i="5" s="1"/>
  <c r="G1219" i="5"/>
  <c r="R1227" i="5"/>
  <c r="R1276" i="5"/>
  <c r="J1328" i="5"/>
  <c r="I1328" i="5" s="1"/>
  <c r="G1432" i="5"/>
  <c r="R1490" i="5"/>
  <c r="G1628" i="5"/>
  <c r="J1915" i="5"/>
  <c r="I1915" i="5" s="1"/>
  <c r="G1915" i="5"/>
  <c r="G2046" i="5"/>
  <c r="J2046" i="5"/>
  <c r="I2046" i="5" s="1"/>
  <c r="G2051" i="5"/>
  <c r="R2137" i="5"/>
  <c r="J997" i="5"/>
  <c r="I997" i="5" s="1"/>
  <c r="G997" i="5"/>
  <c r="G1574" i="5"/>
  <c r="J1574" i="5"/>
  <c r="I1574" i="5" s="1"/>
  <c r="J1767" i="5"/>
  <c r="I1767" i="5" s="1"/>
  <c r="G1767" i="5"/>
  <c r="R1070" i="5"/>
  <c r="R1269" i="5"/>
  <c r="R1436" i="5"/>
  <c r="R1509" i="5"/>
  <c r="J1666" i="5"/>
  <c r="I1666" i="5" s="1"/>
  <c r="G1666" i="5"/>
  <c r="R1735" i="5"/>
  <c r="J1308" i="5"/>
  <c r="I1308" i="5" s="1"/>
  <c r="G1308" i="5"/>
  <c r="J1719" i="5"/>
  <c r="I1719" i="5" s="1"/>
  <c r="G1719" i="5"/>
  <c r="J1758" i="5"/>
  <c r="I1758" i="5" s="1"/>
  <c r="G1758" i="5"/>
  <c r="J1244" i="5"/>
  <c r="I1244" i="5" s="1"/>
  <c r="G1244" i="5"/>
  <c r="J1248" i="5"/>
  <c r="I1248" i="5" s="1"/>
  <c r="J1456" i="5"/>
  <c r="I1456" i="5" s="1"/>
  <c r="J1590" i="5"/>
  <c r="I1590" i="5" s="1"/>
  <c r="J1989" i="5"/>
  <c r="I1989" i="5" s="1"/>
  <c r="G2293" i="5"/>
  <c r="J2293" i="5"/>
  <c r="I2293" i="5" s="1"/>
  <c r="G2363" i="5"/>
  <c r="J2363" i="5"/>
  <c r="I2363" i="5" s="1"/>
  <c r="G1077" i="5"/>
  <c r="G1093" i="5"/>
  <c r="G1109" i="5"/>
  <c r="G1125" i="5"/>
  <c r="G1141" i="5"/>
  <c r="G1156" i="5"/>
  <c r="G1161" i="5"/>
  <c r="G1188" i="5"/>
  <c r="G1193" i="5"/>
  <c r="R1237" i="5"/>
  <c r="R1301" i="5"/>
  <c r="J1344" i="5"/>
  <c r="I1344" i="5" s="1"/>
  <c r="G1347" i="5"/>
  <c r="G1401" i="5"/>
  <c r="G1448" i="5"/>
  <c r="G1466" i="5"/>
  <c r="G1477" i="5"/>
  <c r="R1493" i="5"/>
  <c r="G1502" i="5"/>
  <c r="R1551" i="5"/>
  <c r="R1554" i="5"/>
  <c r="G1587" i="5"/>
  <c r="G1613" i="5"/>
  <c r="G1642" i="5"/>
  <c r="G1657" i="5"/>
  <c r="J1683" i="5"/>
  <c r="I1683" i="5" s="1"/>
  <c r="G1683" i="5"/>
  <c r="G1766" i="5"/>
  <c r="J1766" i="5"/>
  <c r="I1766" i="5" s="1"/>
  <c r="R1851" i="5"/>
  <c r="G1856" i="5"/>
  <c r="G2107" i="5"/>
  <c r="J2281" i="5"/>
  <c r="I2281" i="5" s="1"/>
  <c r="G2281" i="5"/>
  <c r="J1228" i="5"/>
  <c r="I1228" i="5" s="1"/>
  <c r="G1228" i="5"/>
  <c r="G1235" i="5"/>
  <c r="G1299" i="5"/>
  <c r="G1336" i="5"/>
  <c r="R1381" i="5"/>
  <c r="G1491" i="5"/>
  <c r="R1787" i="5"/>
  <c r="G1902" i="5"/>
  <c r="J2104" i="5"/>
  <c r="I2104" i="5" s="1"/>
  <c r="R2188" i="5"/>
  <c r="G2190" i="5"/>
  <c r="J1292" i="5"/>
  <c r="I1292" i="5" s="1"/>
  <c r="G1292" i="5"/>
  <c r="J1751" i="5"/>
  <c r="I1751" i="5" s="1"/>
  <c r="G1751" i="5"/>
  <c r="R1167" i="5"/>
  <c r="R1171" i="5"/>
  <c r="R1199" i="5"/>
  <c r="R1203" i="5"/>
  <c r="R1413" i="5"/>
  <c r="J1520" i="5"/>
  <c r="I1520" i="5" s="1"/>
  <c r="J1546" i="5"/>
  <c r="I1546" i="5" s="1"/>
  <c r="J1686" i="5"/>
  <c r="I1686" i="5" s="1"/>
  <c r="J1754" i="5"/>
  <c r="I1754" i="5" s="1"/>
  <c r="R1942" i="5"/>
  <c r="R2185" i="5"/>
  <c r="R1535" i="5"/>
  <c r="G1589" i="5"/>
  <c r="R1625" i="5"/>
  <c r="G1627" i="5"/>
  <c r="R1643" i="5"/>
  <c r="G1652" i="5"/>
  <c r="G1682" i="5"/>
  <c r="G1991" i="5"/>
  <c r="J1991" i="5"/>
  <c r="I1991" i="5" s="1"/>
  <c r="G1833" i="5"/>
  <c r="G1849" i="5"/>
  <c r="G1871" i="5"/>
  <c r="G2181" i="5"/>
  <c r="J2181" i="5"/>
  <c r="I2181" i="5" s="1"/>
  <c r="R2300" i="5"/>
  <c r="G2456" i="5"/>
  <c r="J2456" i="5"/>
  <c r="I2456" i="5" s="1"/>
  <c r="G1324" i="5"/>
  <c r="G1340" i="5"/>
  <c r="G1356" i="5"/>
  <c r="G1372" i="5"/>
  <c r="G1388" i="5"/>
  <c r="G1404" i="5"/>
  <c r="G1420" i="5"/>
  <c r="G1436" i="5"/>
  <c r="G1452" i="5"/>
  <c r="G1468" i="5"/>
  <c r="G1484" i="5"/>
  <c r="G1500" i="5"/>
  <c r="G1516" i="5"/>
  <c r="G1532" i="5"/>
  <c r="G1537" i="5"/>
  <c r="G1542" i="5"/>
  <c r="J1552" i="5"/>
  <c r="I1552" i="5" s="1"/>
  <c r="G1623" i="5"/>
  <c r="R1628" i="5"/>
  <c r="G1648" i="5"/>
  <c r="G1696" i="5"/>
  <c r="R1701" i="5"/>
  <c r="J1718" i="5"/>
  <c r="I1718" i="5" s="1"/>
  <c r="J1735" i="5"/>
  <c r="I1735" i="5" s="1"/>
  <c r="G1735" i="5"/>
  <c r="G1759" i="5"/>
  <c r="G1763" i="5"/>
  <c r="J1782" i="5"/>
  <c r="I1782" i="5" s="1"/>
  <c r="G1919" i="5"/>
  <c r="G1963" i="5"/>
  <c r="R2092" i="5"/>
  <c r="G2094" i="5"/>
  <c r="J2094" i="5"/>
  <c r="I2094" i="5" s="1"/>
  <c r="G2174" i="5"/>
  <c r="J1638" i="5"/>
  <c r="I1638" i="5" s="1"/>
  <c r="J1663" i="5"/>
  <c r="I1663" i="5" s="1"/>
  <c r="J1978" i="5"/>
  <c r="I1978" i="5" s="1"/>
  <c r="G1978" i="5"/>
  <c r="R1578" i="5"/>
  <c r="R1668" i="5"/>
  <c r="R1739" i="5"/>
  <c r="J1755" i="5"/>
  <c r="I1755" i="5" s="1"/>
  <c r="R1760" i="5"/>
  <c r="J1894" i="5"/>
  <c r="I1894" i="5" s="1"/>
  <c r="R1964" i="5"/>
  <c r="G2028" i="5"/>
  <c r="J2087" i="5"/>
  <c r="I2087" i="5" s="1"/>
  <c r="J2152" i="5"/>
  <c r="I2152" i="5" s="1"/>
  <c r="G2299" i="5"/>
  <c r="J2299" i="5"/>
  <c r="I2299" i="5" s="1"/>
  <c r="J2357" i="5"/>
  <c r="I2357" i="5" s="1"/>
  <c r="J1619" i="5"/>
  <c r="I1619" i="5" s="1"/>
  <c r="J1644" i="5"/>
  <c r="I1644" i="5" s="1"/>
  <c r="G1644" i="5"/>
  <c r="J1568" i="5"/>
  <c r="I1568" i="5" s="1"/>
  <c r="J1710" i="5"/>
  <c r="I1710" i="5" s="1"/>
  <c r="R1782" i="5"/>
  <c r="R1868" i="5"/>
  <c r="R1948" i="5"/>
  <c r="G1765" i="5"/>
  <c r="G1776" i="5"/>
  <c r="G1780" i="5"/>
  <c r="G1787" i="5"/>
  <c r="G1802" i="5"/>
  <c r="G1806" i="5"/>
  <c r="G1829" i="5"/>
  <c r="G1840" i="5"/>
  <c r="G1844" i="5"/>
  <c r="G1851" i="5"/>
  <c r="G1866" i="5"/>
  <c r="G1870" i="5"/>
  <c r="G1893" i="5"/>
  <c r="G1901" i="5"/>
  <c r="R2007" i="5"/>
  <c r="G2037" i="5"/>
  <c r="G2086" i="5"/>
  <c r="G2120" i="5"/>
  <c r="J2218" i="5"/>
  <c r="I2218" i="5" s="1"/>
  <c r="G2218" i="5"/>
  <c r="G2235" i="5"/>
  <c r="J2235" i="5"/>
  <c r="I2235" i="5" s="1"/>
  <c r="J2430" i="5"/>
  <c r="I2430" i="5" s="1"/>
  <c r="G2430" i="5"/>
  <c r="J2441" i="5"/>
  <c r="I2441" i="5" s="1"/>
  <c r="G2441" i="5"/>
  <c r="J1814" i="5"/>
  <c r="I1814" i="5" s="1"/>
  <c r="J1878" i="5"/>
  <c r="I1878" i="5" s="1"/>
  <c r="G1911" i="5"/>
  <c r="J1911" i="5"/>
  <c r="I1911" i="5" s="1"/>
  <c r="J2111" i="5"/>
  <c r="I2111" i="5" s="1"/>
  <c r="G2111" i="5"/>
  <c r="J2162" i="5"/>
  <c r="I2162" i="5" s="1"/>
  <c r="G2162" i="5"/>
  <c r="J2453" i="5"/>
  <c r="I2453" i="5" s="1"/>
  <c r="J1606" i="5"/>
  <c r="I1606" i="5" s="1"/>
  <c r="J1670" i="5"/>
  <c r="I1670" i="5" s="1"/>
  <c r="J1996" i="5"/>
  <c r="I1996" i="5" s="1"/>
  <c r="J2220" i="5"/>
  <c r="I2220" i="5" s="1"/>
  <c r="G2220" i="5"/>
  <c r="G2232" i="5"/>
  <c r="J2232" i="5"/>
  <c r="I2232" i="5" s="1"/>
  <c r="J1698" i="5"/>
  <c r="I1698" i="5" s="1"/>
  <c r="R1721" i="5"/>
  <c r="G1740" i="5"/>
  <c r="J1783" i="5"/>
  <c r="I1783" i="5" s="1"/>
  <c r="G1783" i="5"/>
  <c r="G1790" i="5"/>
  <c r="G1854" i="5"/>
  <c r="J1967" i="5"/>
  <c r="I1967" i="5" s="1"/>
  <c r="G1967" i="5"/>
  <c r="R2055" i="5"/>
  <c r="R2109" i="5"/>
  <c r="J2271" i="5"/>
  <c r="I2271" i="5" s="1"/>
  <c r="G2306" i="5"/>
  <c r="J2268" i="5"/>
  <c r="I2268" i="5" s="1"/>
  <c r="G2268" i="5"/>
  <c r="G2338" i="5"/>
  <c r="J2338" i="5"/>
  <c r="I2338" i="5" s="1"/>
  <c r="R1685" i="5"/>
  <c r="R1689" i="5"/>
  <c r="R1717" i="5"/>
  <c r="R1737" i="5"/>
  <c r="R2117" i="5"/>
  <c r="R2303" i="5"/>
  <c r="G1958" i="5"/>
  <c r="G2081" i="5"/>
  <c r="G2147" i="5"/>
  <c r="G2167" i="5"/>
  <c r="J2202" i="5"/>
  <c r="I2202" i="5" s="1"/>
  <c r="G2202" i="5"/>
  <c r="J2214" i="5"/>
  <c r="I2214" i="5" s="1"/>
  <c r="G2214" i="5"/>
  <c r="J2217" i="5"/>
  <c r="I2217" i="5" s="1"/>
  <c r="G2217" i="5"/>
  <c r="G2229" i="5"/>
  <c r="J2229" i="5"/>
  <c r="I2229" i="5" s="1"/>
  <c r="J2252" i="5"/>
  <c r="I2252" i="5" s="1"/>
  <c r="G2252" i="5"/>
  <c r="G2274" i="5"/>
  <c r="J2396" i="5"/>
  <c r="I2396" i="5" s="1"/>
  <c r="G2396" i="5"/>
  <c r="G2431" i="5"/>
  <c r="J2492" i="5"/>
  <c r="I2492" i="5" s="1"/>
  <c r="G2492" i="5"/>
  <c r="J1927" i="5"/>
  <c r="I1927" i="5" s="1"/>
  <c r="J2207" i="5"/>
  <c r="I2207" i="5" s="1"/>
  <c r="J2428" i="5"/>
  <c r="I2428" i="5" s="1"/>
  <c r="G2428" i="5"/>
  <c r="G1799" i="5"/>
  <c r="G1815" i="5"/>
  <c r="G1831" i="5"/>
  <c r="G1847" i="5"/>
  <c r="G1863" i="5"/>
  <c r="G1879" i="5"/>
  <c r="G1904" i="5"/>
  <c r="G1942" i="5"/>
  <c r="G1957" i="5"/>
  <c r="J1961" i="5"/>
  <c r="I1961" i="5" s="1"/>
  <c r="G1961" i="5"/>
  <c r="G1990" i="5"/>
  <c r="G2000" i="5"/>
  <c r="G2011" i="5"/>
  <c r="J2023" i="5"/>
  <c r="I2023" i="5" s="1"/>
  <c r="G2036" i="5"/>
  <c r="G2043" i="5"/>
  <c r="G2047" i="5"/>
  <c r="G2063" i="5"/>
  <c r="G2098" i="5"/>
  <c r="R2116" i="5"/>
  <c r="G2125" i="5"/>
  <c r="G2239" i="5"/>
  <c r="J2425" i="5"/>
  <c r="I2425" i="5" s="1"/>
  <c r="G2425" i="5"/>
  <c r="J2489" i="5"/>
  <c r="I2489" i="5" s="1"/>
  <c r="G2489" i="5"/>
  <c r="J2095" i="5"/>
  <c r="I2095" i="5" s="1"/>
  <c r="G2095" i="5"/>
  <c r="J2185" i="5"/>
  <c r="I2185" i="5" s="1"/>
  <c r="G2185" i="5"/>
  <c r="J2236" i="5"/>
  <c r="I2236" i="5" s="1"/>
  <c r="G2236" i="5"/>
  <c r="J2249" i="5"/>
  <c r="I2249" i="5" s="1"/>
  <c r="G2249" i="5"/>
  <c r="R2329" i="5"/>
  <c r="G2378" i="5"/>
  <c r="J2188" i="5"/>
  <c r="I2188" i="5" s="1"/>
  <c r="J2267" i="5"/>
  <c r="I2267" i="5" s="1"/>
  <c r="J2466" i="5"/>
  <c r="I2466" i="5" s="1"/>
  <c r="J1945" i="5"/>
  <c r="I1945" i="5" s="1"/>
  <c r="G1945" i="5"/>
  <c r="R1946" i="5"/>
  <c r="R2012" i="5"/>
  <c r="J2053" i="5"/>
  <c r="I2053" i="5" s="1"/>
  <c r="J2109" i="5"/>
  <c r="I2109" i="5" s="1"/>
  <c r="J2233" i="5"/>
  <c r="I2233" i="5" s="1"/>
  <c r="G2233" i="5"/>
  <c r="J2261" i="5"/>
  <c r="I2261" i="5" s="1"/>
  <c r="J2264" i="5"/>
  <c r="I2264" i="5" s="1"/>
  <c r="R2376" i="5"/>
  <c r="R2428" i="5"/>
  <c r="G1977" i="5"/>
  <c r="G1993" i="5"/>
  <c r="G2009" i="5"/>
  <c r="G2025" i="5"/>
  <c r="G2050" i="5"/>
  <c r="G2055" i="5"/>
  <c r="G2065" i="5"/>
  <c r="G2075" i="5"/>
  <c r="G2118" i="5"/>
  <c r="G2123" i="5"/>
  <c r="J2127" i="5"/>
  <c r="I2127" i="5" s="1"/>
  <c r="G2127" i="5"/>
  <c r="G2150" i="5"/>
  <c r="R2152" i="5"/>
  <c r="G2180" i="5"/>
  <c r="R2204" i="5"/>
  <c r="G2206" i="5"/>
  <c r="R2207" i="5"/>
  <c r="G2314" i="5"/>
  <c r="G2367" i="5"/>
  <c r="J2380" i="5"/>
  <c r="I2380" i="5" s="1"/>
  <c r="G2380" i="5"/>
  <c r="J2393" i="5"/>
  <c r="I2393" i="5" s="1"/>
  <c r="G2393" i="5"/>
  <c r="R2425" i="5"/>
  <c r="R2443" i="5"/>
  <c r="J2364" i="5"/>
  <c r="I2364" i="5" s="1"/>
  <c r="G2364" i="5"/>
  <c r="J2158" i="5"/>
  <c r="I2158" i="5" s="1"/>
  <c r="J2172" i="5"/>
  <c r="I2172" i="5" s="1"/>
  <c r="J2348" i="5"/>
  <c r="I2348" i="5" s="1"/>
  <c r="G2348" i="5"/>
  <c r="J2361" i="5"/>
  <c r="I2361" i="5" s="1"/>
  <c r="G2361" i="5"/>
  <c r="J2377" i="5"/>
  <c r="I2377" i="5" s="1"/>
  <c r="G2377" i="5"/>
  <c r="J2421" i="5"/>
  <c r="I2421" i="5" s="1"/>
  <c r="J2424" i="5"/>
  <c r="I2424" i="5" s="1"/>
  <c r="J2473" i="5"/>
  <c r="I2473" i="5" s="1"/>
  <c r="G2473" i="5"/>
  <c r="G2501" i="5"/>
  <c r="J2501" i="5"/>
  <c r="I2501" i="5" s="1"/>
  <c r="G1912" i="5"/>
  <c r="G1928" i="5"/>
  <c r="G1944" i="5"/>
  <c r="G1960" i="5"/>
  <c r="G1976" i="5"/>
  <c r="G1992" i="5"/>
  <c r="G2008" i="5"/>
  <c r="G2024" i="5"/>
  <c r="G2054" i="5"/>
  <c r="G2064" i="5"/>
  <c r="G2074" i="5"/>
  <c r="G2083" i="5"/>
  <c r="G2088" i="5"/>
  <c r="G2221" i="5"/>
  <c r="R2251" i="5"/>
  <c r="R2280" i="5"/>
  <c r="G2319" i="5"/>
  <c r="J2332" i="5"/>
  <c r="I2332" i="5" s="1"/>
  <c r="G2332" i="5"/>
  <c r="R2076" i="5"/>
  <c r="R2098" i="5"/>
  <c r="J2110" i="5"/>
  <c r="I2110" i="5" s="1"/>
  <c r="J2142" i="5"/>
  <c r="I2142" i="5" s="1"/>
  <c r="J2200" i="5"/>
  <c r="I2200" i="5" s="1"/>
  <c r="G2250" i="5"/>
  <c r="G2303" i="5"/>
  <c r="J2316" i="5"/>
  <c r="I2316" i="5" s="1"/>
  <c r="G2316" i="5"/>
  <c r="J2329" i="5"/>
  <c r="I2329" i="5" s="1"/>
  <c r="G2329" i="5"/>
  <c r="J2345" i="5"/>
  <c r="I2345" i="5" s="1"/>
  <c r="G2345" i="5"/>
  <c r="R2346" i="5"/>
  <c r="G2370" i="5"/>
  <c r="R2399" i="5"/>
  <c r="J2460" i="5"/>
  <c r="I2460" i="5" s="1"/>
  <c r="G2460" i="5"/>
  <c r="R2471" i="5"/>
  <c r="R2489" i="5"/>
  <c r="J2300" i="5"/>
  <c r="I2300" i="5" s="1"/>
  <c r="G2300" i="5"/>
  <c r="J2444" i="5"/>
  <c r="I2444" i="5" s="1"/>
  <c r="G2444" i="5"/>
  <c r="J2457" i="5"/>
  <c r="I2457" i="5" s="1"/>
  <c r="G2457" i="5"/>
  <c r="J2126" i="5"/>
  <c r="I2126" i="5" s="1"/>
  <c r="J2284" i="5"/>
  <c r="I2284" i="5" s="1"/>
  <c r="G2284" i="5"/>
  <c r="J2297" i="5"/>
  <c r="I2297" i="5" s="1"/>
  <c r="G2297" i="5"/>
  <c r="J2313" i="5"/>
  <c r="I2313" i="5" s="1"/>
  <c r="G2313" i="5"/>
  <c r="R2314" i="5"/>
  <c r="R2367" i="5"/>
  <c r="J2395" i="5"/>
  <c r="I2395" i="5" s="1"/>
  <c r="J2485" i="5"/>
  <c r="I2485" i="5" s="1"/>
  <c r="J2488" i="5"/>
  <c r="I2488" i="5" s="1"/>
  <c r="J2198" i="5"/>
  <c r="I2198" i="5" s="1"/>
  <c r="G2198" i="5"/>
  <c r="G2143" i="5"/>
  <c r="G2159" i="5"/>
  <c r="G2169" i="5"/>
  <c r="R2187" i="5"/>
  <c r="J2201" i="5"/>
  <c r="I2201" i="5" s="1"/>
  <c r="G2201" i="5"/>
  <c r="J2213" i="5"/>
  <c r="I2213" i="5" s="1"/>
  <c r="R2220" i="5"/>
  <c r="G2226" i="5"/>
  <c r="J2245" i="5"/>
  <c r="I2245" i="5" s="1"/>
  <c r="R2252" i="5"/>
  <c r="G2258" i="5"/>
  <c r="J2277" i="5"/>
  <c r="I2277" i="5" s="1"/>
  <c r="R2284" i="5"/>
  <c r="G2290" i="5"/>
  <c r="J2309" i="5"/>
  <c r="I2309" i="5" s="1"/>
  <c r="R2316" i="5"/>
  <c r="G2322" i="5"/>
  <c r="J2341" i="5"/>
  <c r="I2341" i="5" s="1"/>
  <c r="R2348" i="5"/>
  <c r="G2354" i="5"/>
  <c r="J2373" i="5"/>
  <c r="I2373" i="5" s="1"/>
  <c r="R2380" i="5"/>
  <c r="G2386" i="5"/>
  <c r="J2405" i="5"/>
  <c r="I2405" i="5" s="1"/>
  <c r="R2412" i="5"/>
  <c r="J2437" i="5"/>
  <c r="I2437" i="5" s="1"/>
  <c r="J2469" i="5"/>
  <c r="I2469" i="5" s="1"/>
  <c r="R2409" i="5"/>
  <c r="G2414" i="5"/>
  <c r="R2441" i="5"/>
  <c r="G2446" i="5"/>
  <c r="R2473" i="5"/>
  <c r="G2478" i="5"/>
  <c r="J2182" i="5"/>
  <c r="I2182" i="5" s="1"/>
  <c r="G2182" i="5"/>
  <c r="J2204" i="5"/>
  <c r="I2204" i="5" s="1"/>
  <c r="J2216" i="5"/>
  <c r="I2216" i="5" s="1"/>
  <c r="J2219" i="5"/>
  <c r="I2219" i="5" s="1"/>
  <c r="J2248" i="5"/>
  <c r="I2248" i="5" s="1"/>
  <c r="J2251" i="5"/>
  <c r="I2251" i="5" s="1"/>
  <c r="J2280" i="5"/>
  <c r="I2280" i="5" s="1"/>
  <c r="J2283" i="5"/>
  <c r="I2283" i="5" s="1"/>
  <c r="J2312" i="5"/>
  <c r="I2312" i="5" s="1"/>
  <c r="J2315" i="5"/>
  <c r="I2315" i="5" s="1"/>
  <c r="J2344" i="5"/>
  <c r="I2344" i="5" s="1"/>
  <c r="J2347" i="5"/>
  <c r="I2347" i="5" s="1"/>
  <c r="J2376" i="5"/>
  <c r="I2376" i="5" s="1"/>
  <c r="J2379" i="5"/>
  <c r="I2379" i="5" s="1"/>
  <c r="J2408" i="5"/>
  <c r="I2408" i="5" s="1"/>
  <c r="J2411" i="5"/>
  <c r="I2411" i="5" s="1"/>
  <c r="J2440" i="5"/>
  <c r="I2440" i="5" s="1"/>
  <c r="J2443" i="5"/>
  <c r="I2443" i="5" s="1"/>
  <c r="J2472" i="5"/>
  <c r="I2472" i="5" s="1"/>
  <c r="J2475" i="5"/>
  <c r="I2475" i="5" s="1"/>
  <c r="G2230" i="5"/>
  <c r="G2246" i="5"/>
  <c r="G2262" i="5"/>
  <c r="G2278" i="5"/>
  <c r="G2294" i="5"/>
  <c r="G2310" i="5"/>
  <c r="G2326" i="5"/>
  <c r="G2342" i="5"/>
  <c r="G2358" i="5"/>
  <c r="G2374" i="5"/>
  <c r="G2390" i="5"/>
  <c r="G2406" i="5"/>
  <c r="G2422" i="5"/>
  <c r="G2438" i="5"/>
  <c r="G2454" i="5"/>
  <c r="G2470" i="5"/>
  <c r="G2486" i="5"/>
  <c r="G2502" i="5"/>
</calcChain>
</file>

<file path=xl/sharedStrings.xml><?xml version="1.0" encoding="utf-8"?>
<sst xmlns="http://schemas.openxmlformats.org/spreadsheetml/2006/main" count="120" uniqueCount="81">
  <si>
    <t>SALES SHEET</t>
  </si>
  <si>
    <t>Sl no.</t>
  </si>
  <si>
    <t>Customer ID</t>
  </si>
  <si>
    <t>Contract ID</t>
  </si>
  <si>
    <t>Invoice Number</t>
  </si>
  <si>
    <t>Date</t>
  </si>
  <si>
    <t>Weight</t>
  </si>
  <si>
    <t>Rates (%)</t>
  </si>
  <si>
    <t>Loading Charge</t>
  </si>
  <si>
    <t>Sales Order</t>
  </si>
  <si>
    <t>Dispatch</t>
  </si>
  <si>
    <t>GST</t>
  </si>
  <si>
    <t>TCS 194Q</t>
  </si>
  <si>
    <t>MASTER CONTRACT - PURCHASE</t>
  </si>
  <si>
    <t>Sl.no</t>
  </si>
  <si>
    <t>Vendor Name</t>
  </si>
  <si>
    <t>Vendor ID</t>
  </si>
  <si>
    <t>Period</t>
  </si>
  <si>
    <t>Base price (per kg)</t>
  </si>
  <si>
    <t>Quantity (kgs)</t>
  </si>
  <si>
    <t>Breach Logic</t>
  </si>
  <si>
    <t>Renewal Reference</t>
  </si>
  <si>
    <t xml:space="preserve">Start </t>
  </si>
  <si>
    <t>End</t>
  </si>
  <si>
    <t>Agreed Qty</t>
  </si>
  <si>
    <t>Breach Responsibility</t>
  </si>
  <si>
    <t>Penalty / Discount (%)</t>
  </si>
  <si>
    <t>Remedy Days</t>
  </si>
  <si>
    <t>Ignore Remaining Qty</t>
  </si>
  <si>
    <t>Samurai Traders</t>
  </si>
  <si>
    <t>675597</t>
  </si>
  <si>
    <t>675597-R0</t>
  </si>
  <si>
    <t>Pending</t>
  </si>
  <si>
    <t>Pala Traders</t>
  </si>
  <si>
    <t>893281</t>
  </si>
  <si>
    <t>893281-R0</t>
  </si>
  <si>
    <t>Samwell Suppliers</t>
  </si>
  <si>
    <t>328422</t>
  </si>
  <si>
    <t>328422-R0</t>
  </si>
  <si>
    <t>Sukumaran Co</t>
  </si>
  <si>
    <t>563124</t>
  </si>
  <si>
    <t>563124-R0</t>
  </si>
  <si>
    <t>Ganga Neha Traders</t>
  </si>
  <si>
    <t>128432</t>
  </si>
  <si>
    <t>128432-R0</t>
  </si>
  <si>
    <t>128432-R1</t>
  </si>
  <si>
    <t>MASTER CONTRACT - SALES</t>
  </si>
  <si>
    <t>Customer Name</t>
  </si>
  <si>
    <t>PURCHASE SHEET</t>
  </si>
  <si>
    <t>Weight (kgs)</t>
  </si>
  <si>
    <t>GST (%)</t>
  </si>
  <si>
    <t>TDS 194Q (%)</t>
  </si>
  <si>
    <t>Unloading Charge</t>
  </si>
  <si>
    <t>Purchase Order</t>
  </si>
  <si>
    <t>Delivery</t>
  </si>
  <si>
    <t>Invoice Weight</t>
  </si>
  <si>
    <t>Before Unloading</t>
  </si>
  <si>
    <t>Carrier weight</t>
  </si>
  <si>
    <t>No: of Bags (1kg per bag)</t>
  </si>
  <si>
    <t>Calculated DRC (%)</t>
  </si>
  <si>
    <t>ABC12345678</t>
  </si>
  <si>
    <t>AH37BDB8236B</t>
  </si>
  <si>
    <t>HDGJY2367B</t>
  </si>
  <si>
    <t>MASTER PRODUCTION SHEET</t>
  </si>
  <si>
    <t>Batch ID</t>
  </si>
  <si>
    <t>Production Date</t>
  </si>
  <si>
    <t>Supplier Name</t>
  </si>
  <si>
    <t>Supplier ID</t>
  </si>
  <si>
    <t>Item</t>
  </si>
  <si>
    <t>DRC (%)</t>
  </si>
  <si>
    <t>Raw Material</t>
  </si>
  <si>
    <t>Code</t>
  </si>
  <si>
    <t>Product</t>
  </si>
  <si>
    <t>Quantity Available</t>
  </si>
  <si>
    <t>Input</t>
  </si>
  <si>
    <t>Output</t>
  </si>
  <si>
    <t>Remaining Quantity</t>
  </si>
  <si>
    <t>Production Loss</t>
  </si>
  <si>
    <t>Initial (Test)</t>
  </si>
  <si>
    <t>Actual</t>
  </si>
  <si>
    <t>DRC Variance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</si>
</sst>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14009]dd/mm/yyyy;@"/>
    <numFmt numFmtId="165" formatCode="dd\-mm\-yyyy"/>
    <numFmt numFmtId="166" formatCode="yyyy\-mm\-dd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48"/>
      <color theme="1"/>
      <name val="Bahnschrift SemiBold"/>
      <family val="2"/>
    </font>
    <font>
      <sz val="11"/>
      <name val="Calibri"/>
      <family val="2"/>
      <scheme val="minor"/>
    </font>
    <font>
      <b/>
      <sz val="48"/>
      <color theme="4" tint="-0.499984740745262"/>
      <name val="Bahnschrift SemiBold"/>
      <family val="2"/>
    </font>
    <font>
      <sz val="14"/>
      <color theme="1"/>
      <name val="Calibri"/>
      <family val="2"/>
      <scheme val="minor"/>
    </font>
    <font>
      <b/>
      <sz val="13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5FFC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/>
        <bgColor indexed="64"/>
      </patternFill>
    </fill>
  </fills>
  <borders count="32">
    <border>
      <left/>
      <right/>
      <top/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03">
    <xf numFmtId="0" fontId="0" fillId="0" borderId="0" xfId="0"/>
    <xf numFmtId="0" fontId="6" fillId="0" borderId="0" xfId="0" applyFont="1"/>
    <xf numFmtId="0" fontId="0" fillId="5" borderId="6" xfId="0" applyFill="1" applyBorder="1" applyProtection="1">
      <protection locked="0"/>
    </xf>
    <xf numFmtId="164" fontId="0" fillId="5" borderId="6" xfId="0" applyNumberFormat="1" applyFill="1" applyBorder="1" applyProtection="1">
      <protection locked="0"/>
    </xf>
    <xf numFmtId="0" fontId="0" fillId="6" borderId="6" xfId="0" applyFill="1" applyBorder="1"/>
    <xf numFmtId="0" fontId="7" fillId="0" borderId="0" xfId="0" applyFont="1"/>
    <xf numFmtId="0" fontId="5" fillId="0" borderId="0" xfId="0" applyFont="1"/>
    <xf numFmtId="0" fontId="5" fillId="0" borderId="0" xfId="0" applyFont="1" applyAlignment="1">
      <alignment horizontal="center" vertical="center" wrapText="1"/>
    </xf>
    <xf numFmtId="0" fontId="0" fillId="4" borderId="5" xfId="0" applyFill="1" applyBorder="1"/>
    <xf numFmtId="0" fontId="0" fillId="4" borderId="6" xfId="0" applyFill="1" applyBorder="1"/>
    <xf numFmtId="14" fontId="0" fillId="5" borderId="6" xfId="0" applyNumberFormat="1" applyFill="1" applyBorder="1" applyProtection="1">
      <protection locked="0"/>
    </xf>
    <xf numFmtId="14" fontId="8" fillId="5" borderId="6" xfId="0" applyNumberFormat="1" applyFont="1" applyFill="1" applyBorder="1" applyProtection="1">
      <protection locked="0"/>
    </xf>
    <xf numFmtId="10" fontId="0" fillId="5" borderId="6" xfId="0" applyNumberFormat="1" applyFill="1" applyBorder="1" applyProtection="1">
      <protection locked="0"/>
    </xf>
    <xf numFmtId="0" fontId="0" fillId="7" borderId="6" xfId="0" applyFill="1" applyBorder="1"/>
    <xf numFmtId="0" fontId="0" fillId="8" borderId="0" xfId="0" applyFill="1" applyProtection="1">
      <protection locked="0"/>
    </xf>
    <xf numFmtId="0" fontId="0" fillId="0" borderId="0" xfId="0" applyProtection="1">
      <protection locked="0"/>
    </xf>
    <xf numFmtId="0" fontId="10" fillId="0" borderId="0" xfId="0" applyFont="1"/>
    <xf numFmtId="0" fontId="3" fillId="10" borderId="6" xfId="0" applyFont="1" applyFill="1" applyBorder="1" applyAlignment="1">
      <alignment horizontal="center" vertical="center" wrapText="1"/>
    </xf>
    <xf numFmtId="0" fontId="3" fillId="11" borderId="6" xfId="0" applyFont="1" applyFill="1" applyBorder="1" applyAlignment="1">
      <alignment horizontal="center" vertical="center" wrapText="1"/>
    </xf>
    <xf numFmtId="0" fontId="2" fillId="11" borderId="6" xfId="0" applyFont="1" applyFill="1" applyBorder="1" applyAlignment="1">
      <alignment horizontal="center" vertical="center" wrapText="1"/>
    </xf>
    <xf numFmtId="0" fontId="0" fillId="5" borderId="14" xfId="0" applyFill="1" applyBorder="1" applyProtection="1">
      <protection locked="0"/>
    </xf>
    <xf numFmtId="164" fontId="0" fillId="5" borderId="14" xfId="0" applyNumberFormat="1" applyFill="1" applyBorder="1" applyProtection="1">
      <protection locked="0"/>
    </xf>
    <xf numFmtId="0" fontId="0" fillId="6" borderId="14" xfId="0" applyFill="1" applyBorder="1"/>
    <xf numFmtId="0" fontId="0" fillId="4" borderId="13" xfId="0" applyFill="1" applyBorder="1"/>
    <xf numFmtId="0" fontId="0" fillId="4" borderId="14" xfId="0" applyFill="1" applyBorder="1"/>
    <xf numFmtId="14" fontId="0" fillId="5" borderId="14" xfId="0" applyNumberFormat="1" applyFill="1" applyBorder="1" applyProtection="1">
      <protection locked="0"/>
    </xf>
    <xf numFmtId="14" fontId="8" fillId="5" borderId="14" xfId="0" applyNumberFormat="1" applyFont="1" applyFill="1" applyBorder="1" applyProtection="1">
      <protection locked="0"/>
    </xf>
    <xf numFmtId="10" fontId="0" fillId="5" borderId="14" xfId="0" applyNumberFormat="1" applyFill="1" applyBorder="1" applyProtection="1">
      <protection locked="0"/>
    </xf>
    <xf numFmtId="0" fontId="0" fillId="7" borderId="14" xfId="0" applyFill="1" applyBorder="1"/>
    <xf numFmtId="10" fontId="0" fillId="7" borderId="6" xfId="0" applyNumberFormat="1" applyFill="1" applyBorder="1"/>
    <xf numFmtId="10" fontId="0" fillId="7" borderId="14" xfId="0" applyNumberFormat="1" applyFill="1" applyBorder="1"/>
    <xf numFmtId="0" fontId="3" fillId="11" borderId="7" xfId="0" applyFont="1" applyFill="1" applyBorder="1" applyAlignment="1">
      <alignment horizontal="center" vertical="center" wrapText="1"/>
    </xf>
    <xf numFmtId="0" fontId="0" fillId="5" borderId="7" xfId="0" applyFill="1" applyBorder="1" applyProtection="1">
      <protection locked="0"/>
    </xf>
    <xf numFmtId="0" fontId="0" fillId="5" borderId="16" xfId="0" applyFill="1" applyBorder="1" applyProtection="1">
      <protection locked="0"/>
    </xf>
    <xf numFmtId="0" fontId="3" fillId="11" borderId="8" xfId="0" applyFont="1" applyFill="1" applyBorder="1" applyAlignment="1">
      <alignment horizontal="center" vertical="center" wrapText="1"/>
    </xf>
    <xf numFmtId="10" fontId="0" fillId="7" borderId="8" xfId="0" applyNumberFormat="1" applyFill="1" applyBorder="1"/>
    <xf numFmtId="0" fontId="2" fillId="11" borderId="9" xfId="0" applyFont="1" applyFill="1" applyBorder="1" applyAlignment="1">
      <alignment horizontal="center" vertical="center" wrapText="1"/>
    </xf>
    <xf numFmtId="10" fontId="0" fillId="7" borderId="9" xfId="0" applyNumberFormat="1" applyFill="1" applyBorder="1"/>
    <xf numFmtId="10" fontId="0" fillId="7" borderId="15" xfId="0" applyNumberFormat="1" applyFill="1" applyBorder="1"/>
    <xf numFmtId="164" fontId="0" fillId="0" borderId="0" xfId="0" applyNumberFormat="1" applyProtection="1">
      <protection locked="0"/>
    </xf>
    <xf numFmtId="0" fontId="0" fillId="0" borderId="0" xfId="0" applyAlignment="1" applyProtection="1">
      <alignment horizontal="center"/>
      <protection locked="0"/>
    </xf>
    <xf numFmtId="10" fontId="0" fillId="0" borderId="0" xfId="0" applyNumberFormat="1" applyProtection="1">
      <protection locked="0"/>
    </xf>
    <xf numFmtId="14" fontId="0" fillId="0" borderId="0" xfId="0" applyNumberFormat="1" applyProtection="1">
      <protection locked="0"/>
    </xf>
    <xf numFmtId="0" fontId="0" fillId="5" borderId="6" xfId="0" quotePrefix="1" applyFill="1" applyBorder="1" applyProtection="1">
      <protection locked="0"/>
    </xf>
    <xf numFmtId="165" fontId="0" fillId="5" borderId="6" xfId="0" applyNumberFormat="1" applyFill="1" applyBorder="1" applyProtection="1">
      <protection locked="0"/>
    </xf>
    <xf numFmtId="0" fontId="0" fillId="5" borderId="5" xfId="0" applyFill="1" applyBorder="1" applyAlignment="1">
      <alignment horizontal="right"/>
    </xf>
    <xf numFmtId="0" fontId="0" fillId="5" borderId="6" xfId="0" applyFill="1" applyBorder="1" applyAlignment="1" applyProtection="1">
      <alignment horizontal="center"/>
      <protection locked="0"/>
    </xf>
    <xf numFmtId="9" fontId="0" fillId="5" borderId="6" xfId="0" applyNumberFormat="1" applyFill="1" applyBorder="1" applyProtection="1">
      <protection locked="0"/>
    </xf>
    <xf numFmtId="0" fontId="0" fillId="5" borderId="13" xfId="0" applyFill="1" applyBorder="1" applyAlignment="1">
      <alignment horizontal="right"/>
    </xf>
    <xf numFmtId="0" fontId="0" fillId="5" borderId="14" xfId="0" applyFill="1" applyBorder="1" applyAlignment="1" applyProtection="1">
      <alignment horizontal="center"/>
      <protection locked="0"/>
    </xf>
    <xf numFmtId="0" fontId="0" fillId="5" borderId="10" xfId="0" applyFill="1" applyBorder="1" applyProtection="1">
      <protection locked="0"/>
    </xf>
    <xf numFmtId="165" fontId="0" fillId="5" borderId="10" xfId="0" applyNumberFormat="1" applyFill="1" applyBorder="1" applyProtection="1">
      <protection locked="0"/>
    </xf>
    <xf numFmtId="0" fontId="0" fillId="5" borderId="10" xfId="0" applyFill="1" applyBorder="1" applyAlignment="1" applyProtection="1">
      <alignment horizontal="center"/>
      <protection locked="0"/>
    </xf>
    <xf numFmtId="9" fontId="0" fillId="5" borderId="10" xfId="0" applyNumberFormat="1" applyFill="1" applyBorder="1" applyProtection="1">
      <protection locked="0"/>
    </xf>
    <xf numFmtId="0" fontId="4" fillId="9" borderId="22" xfId="0" applyFont="1" applyFill="1" applyBorder="1" applyAlignment="1">
      <alignment horizontal="center" vertical="center"/>
    </xf>
    <xf numFmtId="0" fontId="4" fillId="9" borderId="14" xfId="0" applyFont="1" applyFill="1" applyBorder="1" applyAlignment="1">
      <alignment horizontal="center" vertical="center"/>
    </xf>
    <xf numFmtId="0" fontId="4" fillId="9" borderId="14" xfId="0" applyFont="1" applyFill="1" applyBorder="1" applyAlignment="1">
      <alignment horizontal="center" vertical="center" wrapText="1"/>
    </xf>
    <xf numFmtId="0" fontId="0" fillId="5" borderId="12" xfId="0" applyFill="1" applyBorder="1" applyAlignment="1">
      <alignment horizontal="right"/>
    </xf>
    <xf numFmtId="0" fontId="0" fillId="5" borderId="24" xfId="0" applyFill="1" applyBorder="1"/>
    <xf numFmtId="0" fontId="0" fillId="5" borderId="9" xfId="0" applyFill="1" applyBorder="1"/>
    <xf numFmtId="0" fontId="0" fillId="5" borderId="15" xfId="0" applyFill="1" applyBorder="1"/>
    <xf numFmtId="0" fontId="0" fillId="5" borderId="5" xfId="0" applyFill="1" applyBorder="1"/>
    <xf numFmtId="0" fontId="0" fillId="5" borderId="13" xfId="0" applyFill="1" applyBorder="1"/>
    <xf numFmtId="14" fontId="0" fillId="5" borderId="10" xfId="0" applyNumberFormat="1" applyFill="1" applyBorder="1" applyProtection="1">
      <protection locked="0"/>
    </xf>
    <xf numFmtId="10" fontId="0" fillId="5" borderId="10" xfId="0" applyNumberFormat="1" applyFill="1" applyBorder="1" applyProtection="1">
      <protection locked="0"/>
    </xf>
    <xf numFmtId="0" fontId="0" fillId="5" borderId="12" xfId="0" applyFill="1" applyBorder="1"/>
    <xf numFmtId="0" fontId="0" fillId="5" borderId="24" xfId="0" applyFill="1" applyBorder="1" applyProtection="1">
      <protection locked="0"/>
    </xf>
    <xf numFmtId="0" fontId="0" fillId="5" borderId="9" xfId="0" applyFill="1" applyBorder="1" applyProtection="1">
      <protection locked="0"/>
    </xf>
    <xf numFmtId="0" fontId="0" fillId="5" borderId="15" xfId="0" applyFill="1" applyBorder="1" applyProtection="1">
      <protection locked="0"/>
    </xf>
    <xf numFmtId="0" fontId="11" fillId="9" borderId="14" xfId="0" applyFont="1" applyFill="1" applyBorder="1" applyAlignment="1">
      <alignment horizontal="center" vertical="center" wrapText="1"/>
    </xf>
    <xf numFmtId="14" fontId="8" fillId="5" borderId="10" xfId="0" applyNumberFormat="1" applyFont="1" applyFill="1" applyBorder="1" applyProtection="1">
      <protection locked="0"/>
    </xf>
    <xf numFmtId="166" fontId="0" fillId="0" borderId="0" xfId="0" applyNumberFormat="1"/>
    <xf numFmtId="0" fontId="9" fillId="3" borderId="18" xfId="0" applyFont="1" applyFill="1" applyBorder="1" applyAlignment="1">
      <alignment horizontal="center" vertical="center"/>
    </xf>
    <xf numFmtId="0" fontId="0" fillId="0" borderId="1" xfId="0" applyBorder="1"/>
    <xf numFmtId="0" fontId="0" fillId="0" borderId="2" xfId="0" applyBorder="1"/>
    <xf numFmtId="0" fontId="4" fillId="9" borderId="29" xfId="0" applyFont="1" applyFill="1" applyBorder="1" applyAlignment="1">
      <alignment horizontal="center" vertical="center" wrapText="1"/>
    </xf>
    <xf numFmtId="0" fontId="0" fillId="0" borderId="25" xfId="0" applyBorder="1"/>
    <xf numFmtId="0" fontId="4" fillId="9" borderId="22" xfId="0" applyFont="1" applyFill="1" applyBorder="1" applyAlignment="1">
      <alignment horizontal="center" vertical="center" wrapText="1"/>
    </xf>
    <xf numFmtId="0" fontId="0" fillId="0" borderId="10" xfId="0" applyBorder="1"/>
    <xf numFmtId="0" fontId="4" fillId="9" borderId="11" xfId="0" applyFont="1" applyFill="1" applyBorder="1" applyAlignment="1">
      <alignment horizontal="center" vertical="center" wrapText="1"/>
    </xf>
    <xf numFmtId="0" fontId="0" fillId="0" borderId="12" xfId="0" applyBorder="1"/>
    <xf numFmtId="0" fontId="4" fillId="9" borderId="31" xfId="0" applyFont="1" applyFill="1" applyBorder="1" applyAlignment="1">
      <alignment horizontal="center" vertical="center" wrapText="1"/>
    </xf>
    <xf numFmtId="0" fontId="0" fillId="0" borderId="26" xfId="0" applyBorder="1"/>
    <xf numFmtId="0" fontId="0" fillId="2" borderId="30" xfId="0" applyFill="1" applyBorder="1" applyAlignment="1">
      <alignment horizontal="center"/>
    </xf>
    <xf numFmtId="0" fontId="0" fillId="0" borderId="21" xfId="0" applyBorder="1"/>
    <xf numFmtId="0" fontId="0" fillId="0" borderId="27" xfId="0" applyBorder="1"/>
    <xf numFmtId="0" fontId="11" fillId="9" borderId="22" xfId="0" applyFont="1" applyFill="1" applyBorder="1" applyAlignment="1">
      <alignment horizontal="center" vertical="center" wrapText="1"/>
    </xf>
    <xf numFmtId="0" fontId="0" fillId="0" borderId="17" xfId="0" applyBorder="1"/>
    <xf numFmtId="0" fontId="0" fillId="2" borderId="20" xfId="0" applyFill="1" applyBorder="1" applyAlignment="1">
      <alignment horizontal="center"/>
    </xf>
    <xf numFmtId="0" fontId="0" fillId="0" borderId="28" xfId="0" applyBorder="1"/>
    <xf numFmtId="0" fontId="4" fillId="9" borderId="23" xfId="0" applyFont="1" applyFill="1" applyBorder="1" applyAlignment="1">
      <alignment horizontal="center" vertical="center" wrapText="1"/>
    </xf>
    <xf numFmtId="0" fontId="0" fillId="0" borderId="24" xfId="0" applyBorder="1"/>
    <xf numFmtId="0" fontId="4" fillId="9" borderId="22" xfId="0" applyFont="1" applyFill="1" applyBorder="1" applyAlignment="1">
      <alignment horizontal="center" vertical="center"/>
    </xf>
    <xf numFmtId="0" fontId="9" fillId="3" borderId="11" xfId="0" applyFont="1" applyFill="1" applyBorder="1" applyAlignment="1">
      <alignment horizontal="center" vertical="center"/>
    </xf>
    <xf numFmtId="0" fontId="4" fillId="9" borderId="11" xfId="0" applyFont="1" applyFill="1" applyBorder="1" applyAlignment="1">
      <alignment horizontal="center" vertical="center"/>
    </xf>
    <xf numFmtId="0" fontId="4" fillId="11" borderId="6" xfId="0" applyFont="1" applyFill="1" applyBorder="1" applyAlignment="1">
      <alignment horizontal="center" vertical="center"/>
    </xf>
    <xf numFmtId="0" fontId="0" fillId="0" borderId="3" xfId="0" applyBorder="1"/>
    <xf numFmtId="0" fontId="0" fillId="0" borderId="8" xfId="0" applyBorder="1"/>
    <xf numFmtId="0" fontId="11" fillId="10" borderId="6" xfId="0" applyFont="1" applyFill="1" applyBorder="1" applyAlignment="1">
      <alignment horizontal="center" vertical="center" wrapText="1"/>
    </xf>
    <xf numFmtId="0" fontId="0" fillId="2" borderId="19" xfId="0" applyFill="1" applyBorder="1" applyAlignment="1">
      <alignment horizontal="center"/>
    </xf>
    <xf numFmtId="0" fontId="0" fillId="0" borderId="4" xfId="0" applyBorder="1"/>
    <xf numFmtId="0" fontId="4" fillId="9" borderId="6" xfId="0" applyFont="1" applyFill="1" applyBorder="1" applyAlignment="1">
      <alignment horizontal="center" vertical="center" wrapText="1"/>
    </xf>
    <xf numFmtId="0" fontId="1" fillId="9" borderId="5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006"/>
  <sheetViews>
    <sheetView zoomScaleNormal="100" workbookViewId="0">
      <selection activeCell="M4" sqref="M4"/>
    </sheetView>
  </sheetViews>
  <sheetFormatPr defaultRowHeight="14.5" x14ac:dyDescent="0.35"/>
  <cols>
    <col min="1" max="1" width="5.6328125" customWidth="1"/>
    <col min="2" max="2" width="28.6328125" style="15" customWidth="1"/>
    <col min="3" max="3" width="10.6328125" style="15" customWidth="1"/>
    <col min="4" max="4" width="15.6328125" style="15" customWidth="1"/>
    <col min="5" max="6" width="12.6328125" style="39" customWidth="1"/>
    <col min="7" max="7" width="12.54296875" style="15" customWidth="1"/>
    <col min="8" max="8" width="14.6328125" style="15" customWidth="1"/>
    <col min="9" max="9" width="14.54296875" style="40" customWidth="1"/>
    <col min="10" max="10" width="11.6328125" style="41" customWidth="1"/>
    <col min="11" max="11" width="11.6328125" style="15" customWidth="1"/>
    <col min="12" max="12" width="11.6328125" customWidth="1"/>
  </cols>
  <sheetData>
    <row r="1" spans="1:13" ht="75" customHeight="1" x14ac:dyDescent="0.35">
      <c r="A1" s="93" t="s">
        <v>13</v>
      </c>
      <c r="B1" s="73"/>
      <c r="C1" s="73"/>
      <c r="D1" s="73"/>
      <c r="E1" s="73"/>
      <c r="F1" s="73"/>
      <c r="G1" s="73"/>
      <c r="H1" s="73"/>
      <c r="I1" s="73"/>
      <c r="J1" s="73"/>
      <c r="K1" s="73"/>
      <c r="L1" s="87"/>
    </row>
    <row r="2" spans="1:13" ht="8" customHeight="1" thickBot="1" x14ac:dyDescent="0.4">
      <c r="A2" s="88"/>
      <c r="B2" s="84"/>
      <c r="C2" s="84"/>
      <c r="D2" s="84"/>
      <c r="E2" s="84"/>
      <c r="F2" s="84"/>
      <c r="G2" s="84"/>
      <c r="H2" s="84"/>
      <c r="I2" s="84"/>
      <c r="J2" s="84"/>
      <c r="K2" s="84"/>
      <c r="L2" s="89"/>
    </row>
    <row r="3" spans="1:13" s="16" customFormat="1" ht="25" customHeight="1" thickBot="1" x14ac:dyDescent="0.5">
      <c r="A3" s="94" t="s">
        <v>14</v>
      </c>
      <c r="B3" s="92" t="s">
        <v>15</v>
      </c>
      <c r="C3" s="77" t="s">
        <v>16</v>
      </c>
      <c r="D3" s="75" t="s">
        <v>3</v>
      </c>
      <c r="E3" s="92" t="s">
        <v>17</v>
      </c>
      <c r="F3" s="87"/>
      <c r="G3" s="77" t="s">
        <v>18</v>
      </c>
      <c r="H3" s="54" t="s">
        <v>19</v>
      </c>
      <c r="I3" s="92" t="s">
        <v>20</v>
      </c>
      <c r="J3" s="73"/>
      <c r="K3" s="87"/>
      <c r="L3" s="90" t="s">
        <v>21</v>
      </c>
    </row>
    <row r="4" spans="1:13" s="1" customFormat="1" ht="50" customHeight="1" thickBot="1" x14ac:dyDescent="0.4">
      <c r="A4" s="80"/>
      <c r="B4" s="78"/>
      <c r="C4" s="78"/>
      <c r="D4" s="76"/>
      <c r="E4" s="55" t="s">
        <v>22</v>
      </c>
      <c r="F4" s="55" t="s">
        <v>23</v>
      </c>
      <c r="G4" s="78"/>
      <c r="H4" s="56" t="s">
        <v>24</v>
      </c>
      <c r="I4" s="56" t="s">
        <v>25</v>
      </c>
      <c r="J4" s="56" t="s">
        <v>26</v>
      </c>
      <c r="K4" s="56" t="s">
        <v>27</v>
      </c>
      <c r="L4" s="91"/>
      <c r="M4" t="s">
        <v>28</v>
      </c>
    </row>
    <row r="5" spans="1:13" x14ac:dyDescent="0.35">
      <c r="A5" s="57">
        <v>1</v>
      </c>
      <c r="B5" s="50" t="s">
        <v>29</v>
      </c>
      <c r="C5" s="50" t="s">
        <v>30</v>
      </c>
      <c r="D5" s="50" t="s">
        <v>31</v>
      </c>
      <c r="E5" s="51">
        <v>46182</v>
      </c>
      <c r="F5" s="51">
        <v>46203</v>
      </c>
      <c r="G5" s="50">
        <v>150</v>
      </c>
      <c r="H5" s="50">
        <v>100000</v>
      </c>
      <c r="I5" s="52" t="s">
        <v>32</v>
      </c>
      <c r="J5" s="53">
        <v>10</v>
      </c>
      <c r="K5" s="50">
        <v>15</v>
      </c>
      <c r="L5" s="58"/>
      <c r="M5">
        <v>0</v>
      </c>
    </row>
    <row r="6" spans="1:13" x14ac:dyDescent="0.35">
      <c r="A6" s="45">
        <v>2</v>
      </c>
      <c r="B6" s="2" t="s">
        <v>33</v>
      </c>
      <c r="C6" s="2" t="s">
        <v>34</v>
      </c>
      <c r="D6" s="2" t="s">
        <v>35</v>
      </c>
      <c r="E6" s="44">
        <v>46113</v>
      </c>
      <c r="F6" s="44">
        <v>46234</v>
      </c>
      <c r="G6" s="2">
        <v>135</v>
      </c>
      <c r="H6" s="2">
        <v>200000</v>
      </c>
      <c r="I6" s="46" t="s">
        <v>32</v>
      </c>
      <c r="J6" s="47">
        <v>0</v>
      </c>
      <c r="K6" s="2">
        <v>0</v>
      </c>
      <c r="L6" s="59"/>
    </row>
    <row r="7" spans="1:13" x14ac:dyDescent="0.35">
      <c r="A7" s="45">
        <v>3</v>
      </c>
      <c r="B7" s="2" t="s">
        <v>36</v>
      </c>
      <c r="C7" s="2" t="s">
        <v>37</v>
      </c>
      <c r="D7" s="2" t="s">
        <v>38</v>
      </c>
      <c r="E7" s="44">
        <v>46175</v>
      </c>
      <c r="F7" s="44">
        <v>46234</v>
      </c>
      <c r="G7" s="2">
        <v>140</v>
      </c>
      <c r="H7" s="2">
        <v>100000</v>
      </c>
      <c r="I7" s="46" t="s">
        <v>32</v>
      </c>
      <c r="J7" s="47">
        <v>0</v>
      </c>
      <c r="K7" s="2">
        <v>0</v>
      </c>
      <c r="L7" s="59"/>
      <c r="M7">
        <v>0</v>
      </c>
    </row>
    <row r="8" spans="1:13" x14ac:dyDescent="0.35">
      <c r="A8" s="45">
        <v>4</v>
      </c>
      <c r="B8" s="2" t="s">
        <v>39</v>
      </c>
      <c r="C8" s="2" t="s">
        <v>40</v>
      </c>
      <c r="D8" s="2" t="s">
        <v>41</v>
      </c>
      <c r="E8" s="44">
        <v>46174</v>
      </c>
      <c r="F8" s="44">
        <v>46192</v>
      </c>
      <c r="G8" s="2">
        <v>111</v>
      </c>
      <c r="H8" s="2">
        <v>100000</v>
      </c>
      <c r="I8" s="46" t="s">
        <v>32</v>
      </c>
      <c r="J8" s="47">
        <v>0</v>
      </c>
      <c r="K8" s="2">
        <v>0</v>
      </c>
      <c r="L8" s="59"/>
      <c r="M8">
        <v>0</v>
      </c>
    </row>
    <row r="9" spans="1:13" x14ac:dyDescent="0.35">
      <c r="A9" s="45">
        <v>5</v>
      </c>
      <c r="B9" s="2" t="s">
        <v>42</v>
      </c>
      <c r="C9" s="2" t="s">
        <v>43</v>
      </c>
      <c r="D9" s="2" t="s">
        <v>44</v>
      </c>
      <c r="E9" s="44">
        <v>46118</v>
      </c>
      <c r="F9" s="44">
        <v>46173</v>
      </c>
      <c r="G9" s="2">
        <v>137</v>
      </c>
      <c r="H9" s="2">
        <v>300000</v>
      </c>
      <c r="I9" s="46" t="s">
        <v>32</v>
      </c>
      <c r="J9" s="47">
        <v>0</v>
      </c>
      <c r="K9" s="2">
        <v>0</v>
      </c>
      <c r="L9" s="59"/>
      <c r="M9">
        <v>1</v>
      </c>
    </row>
    <row r="10" spans="1:13" x14ac:dyDescent="0.35">
      <c r="A10" s="45">
        <v>6</v>
      </c>
      <c r="B10" s="2" t="s">
        <v>42</v>
      </c>
      <c r="C10" s="2" t="s">
        <v>43</v>
      </c>
      <c r="D10" s="2" t="s">
        <v>45</v>
      </c>
      <c r="E10" s="44">
        <v>46180</v>
      </c>
      <c r="F10" s="44">
        <v>46183</v>
      </c>
      <c r="G10" s="2">
        <v>137</v>
      </c>
      <c r="H10" s="2">
        <v>300000</v>
      </c>
      <c r="I10" s="46" t="s">
        <v>32</v>
      </c>
      <c r="J10" s="47">
        <v>0</v>
      </c>
      <c r="K10" s="2">
        <v>0</v>
      </c>
      <c r="L10" s="59" t="s">
        <v>44</v>
      </c>
      <c r="M10">
        <v>0</v>
      </c>
    </row>
    <row r="11" spans="1:13" x14ac:dyDescent="0.35">
      <c r="A11" s="45">
        <v>7</v>
      </c>
      <c r="B11" s="2"/>
      <c r="C11" s="2"/>
      <c r="D11" s="2"/>
      <c r="E11" s="3"/>
      <c r="F11" s="3"/>
      <c r="G11" s="2"/>
      <c r="H11" s="2"/>
      <c r="I11" s="46"/>
      <c r="J11" s="12"/>
      <c r="K11" s="2"/>
      <c r="L11" s="59"/>
    </row>
    <row r="12" spans="1:13" x14ac:dyDescent="0.35">
      <c r="A12" s="45">
        <v>8</v>
      </c>
      <c r="B12" s="2"/>
      <c r="C12" s="2"/>
      <c r="D12" s="2"/>
      <c r="E12" s="3"/>
      <c r="F12" s="3"/>
      <c r="G12" s="2"/>
      <c r="H12" s="2"/>
      <c r="I12" s="46"/>
      <c r="J12" s="12"/>
      <c r="K12" s="2"/>
      <c r="L12" s="59"/>
    </row>
    <row r="13" spans="1:13" x14ac:dyDescent="0.35">
      <c r="A13" s="45">
        <v>9</v>
      </c>
      <c r="B13" s="2"/>
      <c r="C13" s="2"/>
      <c r="D13" s="2"/>
      <c r="E13" s="3"/>
      <c r="F13" s="3"/>
      <c r="G13" s="2"/>
      <c r="H13" s="2"/>
      <c r="I13" s="46"/>
      <c r="J13" s="12"/>
      <c r="K13" s="2"/>
      <c r="L13" s="59"/>
    </row>
    <row r="14" spans="1:13" x14ac:dyDescent="0.35">
      <c r="A14" s="45">
        <v>10</v>
      </c>
      <c r="B14" s="2"/>
      <c r="C14" s="2"/>
      <c r="D14" s="2"/>
      <c r="E14" s="3"/>
      <c r="F14" s="3"/>
      <c r="G14" s="2"/>
      <c r="H14" s="2"/>
      <c r="I14" s="46"/>
      <c r="J14" s="12"/>
      <c r="K14" s="2"/>
      <c r="L14" s="59"/>
    </row>
    <row r="15" spans="1:13" x14ac:dyDescent="0.35">
      <c r="A15" s="45">
        <v>11</v>
      </c>
      <c r="B15" s="2"/>
      <c r="C15" s="2"/>
      <c r="D15" s="2"/>
      <c r="E15" s="3"/>
      <c r="F15" s="3"/>
      <c r="G15" s="2"/>
      <c r="H15" s="2"/>
      <c r="I15" s="46"/>
      <c r="J15" s="12"/>
      <c r="K15" s="2"/>
      <c r="L15" s="59"/>
    </row>
    <row r="16" spans="1:13" x14ac:dyDescent="0.35">
      <c r="A16" s="45">
        <v>12</v>
      </c>
      <c r="B16" s="2"/>
      <c r="C16" s="2"/>
      <c r="D16" s="2"/>
      <c r="E16" s="3"/>
      <c r="F16" s="3"/>
      <c r="G16" s="2"/>
      <c r="H16" s="2"/>
      <c r="I16" s="46"/>
      <c r="J16" s="12"/>
      <c r="K16" s="2"/>
      <c r="L16" s="59"/>
    </row>
    <row r="17" spans="1:12" x14ac:dyDescent="0.35">
      <c r="A17" s="45">
        <v>13</v>
      </c>
      <c r="B17" s="2"/>
      <c r="C17" s="2"/>
      <c r="D17" s="2"/>
      <c r="E17" s="3"/>
      <c r="F17" s="3"/>
      <c r="G17" s="2"/>
      <c r="H17" s="2"/>
      <c r="I17" s="46"/>
      <c r="J17" s="12"/>
      <c r="K17" s="2"/>
      <c r="L17" s="59"/>
    </row>
    <row r="18" spans="1:12" x14ac:dyDescent="0.35">
      <c r="A18" s="45">
        <v>14</v>
      </c>
      <c r="B18" s="2"/>
      <c r="C18" s="2"/>
      <c r="D18" s="2"/>
      <c r="E18" s="3"/>
      <c r="F18" s="3"/>
      <c r="G18" s="2"/>
      <c r="H18" s="2"/>
      <c r="I18" s="46"/>
      <c r="J18" s="12"/>
      <c r="K18" s="2"/>
      <c r="L18" s="59"/>
    </row>
    <row r="19" spans="1:12" x14ac:dyDescent="0.35">
      <c r="A19" s="45">
        <v>15</v>
      </c>
      <c r="B19" s="2"/>
      <c r="C19" s="2"/>
      <c r="D19" s="2"/>
      <c r="E19" s="3"/>
      <c r="F19" s="3"/>
      <c r="G19" s="2"/>
      <c r="H19" s="2"/>
      <c r="I19" s="46"/>
      <c r="J19" s="12"/>
      <c r="K19" s="2"/>
      <c r="L19" s="59"/>
    </row>
    <row r="20" spans="1:12" x14ac:dyDescent="0.35">
      <c r="A20" s="45">
        <v>16</v>
      </c>
      <c r="B20" s="2"/>
      <c r="C20" s="2"/>
      <c r="D20" s="2"/>
      <c r="E20" s="3"/>
      <c r="F20" s="3"/>
      <c r="G20" s="2"/>
      <c r="H20" s="2"/>
      <c r="I20" s="46"/>
      <c r="J20" s="12"/>
      <c r="K20" s="2"/>
      <c r="L20" s="59"/>
    </row>
    <row r="21" spans="1:12" x14ac:dyDescent="0.35">
      <c r="A21" s="45">
        <v>17</v>
      </c>
      <c r="B21" s="2"/>
      <c r="C21" s="2"/>
      <c r="D21" s="2"/>
      <c r="E21" s="3"/>
      <c r="F21" s="3"/>
      <c r="G21" s="2"/>
      <c r="H21" s="2"/>
      <c r="I21" s="46"/>
      <c r="J21" s="12"/>
      <c r="K21" s="2"/>
      <c r="L21" s="59"/>
    </row>
    <row r="22" spans="1:12" x14ac:dyDescent="0.35">
      <c r="A22" s="45">
        <v>18</v>
      </c>
      <c r="B22" s="2"/>
      <c r="C22" s="2"/>
      <c r="D22" s="2"/>
      <c r="E22" s="3"/>
      <c r="F22" s="3"/>
      <c r="G22" s="2"/>
      <c r="H22" s="2"/>
      <c r="I22" s="46"/>
      <c r="J22" s="12"/>
      <c r="K22" s="2"/>
      <c r="L22" s="59"/>
    </row>
    <row r="23" spans="1:12" x14ac:dyDescent="0.35">
      <c r="A23" s="45">
        <v>19</v>
      </c>
      <c r="B23" s="2"/>
      <c r="C23" s="2"/>
      <c r="D23" s="2"/>
      <c r="E23" s="3"/>
      <c r="F23" s="3"/>
      <c r="G23" s="2"/>
      <c r="H23" s="2"/>
      <c r="I23" s="46"/>
      <c r="J23" s="12"/>
      <c r="K23" s="2"/>
      <c r="L23" s="59"/>
    </row>
    <row r="24" spans="1:12" x14ac:dyDescent="0.35">
      <c r="A24" s="45">
        <v>20</v>
      </c>
      <c r="B24" s="2"/>
      <c r="C24" s="2"/>
      <c r="D24" s="2"/>
      <c r="E24" s="3"/>
      <c r="F24" s="3"/>
      <c r="G24" s="2"/>
      <c r="H24" s="2"/>
      <c r="I24" s="46"/>
      <c r="J24" s="12"/>
      <c r="K24" s="2"/>
      <c r="L24" s="59"/>
    </row>
    <row r="25" spans="1:12" x14ac:dyDescent="0.35">
      <c r="A25" s="45">
        <v>21</v>
      </c>
      <c r="B25" s="2"/>
      <c r="C25" s="2"/>
      <c r="D25" s="2"/>
      <c r="E25" s="3"/>
      <c r="F25" s="3"/>
      <c r="G25" s="2"/>
      <c r="H25" s="2"/>
      <c r="I25" s="46"/>
      <c r="J25" s="12"/>
      <c r="K25" s="2"/>
      <c r="L25" s="59"/>
    </row>
    <row r="26" spans="1:12" x14ac:dyDescent="0.35">
      <c r="A26" s="45">
        <v>22</v>
      </c>
      <c r="B26" s="2"/>
      <c r="C26" s="2"/>
      <c r="D26" s="2"/>
      <c r="E26" s="3"/>
      <c r="F26" s="3"/>
      <c r="G26" s="2"/>
      <c r="H26" s="2"/>
      <c r="I26" s="46"/>
      <c r="J26" s="12"/>
      <c r="K26" s="2"/>
      <c r="L26" s="59"/>
    </row>
    <row r="27" spans="1:12" x14ac:dyDescent="0.35">
      <c r="A27" s="45">
        <v>23</v>
      </c>
      <c r="B27" s="2"/>
      <c r="C27" s="2"/>
      <c r="D27" s="2"/>
      <c r="E27" s="3"/>
      <c r="F27" s="3"/>
      <c r="G27" s="2"/>
      <c r="H27" s="2"/>
      <c r="I27" s="46"/>
      <c r="J27" s="12"/>
      <c r="K27" s="2"/>
      <c r="L27" s="59"/>
    </row>
    <row r="28" spans="1:12" x14ac:dyDescent="0.35">
      <c r="A28" s="45">
        <v>24</v>
      </c>
      <c r="B28" s="2"/>
      <c r="C28" s="2"/>
      <c r="D28" s="2"/>
      <c r="E28" s="3"/>
      <c r="F28" s="3"/>
      <c r="G28" s="2"/>
      <c r="H28" s="2"/>
      <c r="I28" s="46"/>
      <c r="J28" s="12"/>
      <c r="K28" s="2"/>
      <c r="L28" s="59"/>
    </row>
    <row r="29" spans="1:12" x14ac:dyDescent="0.35">
      <c r="A29" s="45">
        <v>25</v>
      </c>
      <c r="B29" s="2"/>
      <c r="C29" s="2"/>
      <c r="D29" s="2"/>
      <c r="E29" s="3"/>
      <c r="F29" s="3"/>
      <c r="G29" s="2"/>
      <c r="H29" s="2"/>
      <c r="I29" s="46"/>
      <c r="J29" s="12"/>
      <c r="K29" s="2"/>
      <c r="L29" s="59"/>
    </row>
    <row r="30" spans="1:12" x14ac:dyDescent="0.35">
      <c r="A30" s="45">
        <v>26</v>
      </c>
      <c r="B30" s="2"/>
      <c r="C30" s="2"/>
      <c r="D30" s="2"/>
      <c r="E30" s="3"/>
      <c r="F30" s="3"/>
      <c r="G30" s="2"/>
      <c r="H30" s="2"/>
      <c r="I30" s="46"/>
      <c r="J30" s="12"/>
      <c r="K30" s="2"/>
      <c r="L30" s="59"/>
    </row>
    <row r="31" spans="1:12" x14ac:dyDescent="0.35">
      <c r="A31" s="45">
        <v>27</v>
      </c>
      <c r="B31" s="2"/>
      <c r="C31" s="2"/>
      <c r="D31" s="2"/>
      <c r="E31" s="3"/>
      <c r="F31" s="3"/>
      <c r="G31" s="2"/>
      <c r="H31" s="2"/>
      <c r="I31" s="46"/>
      <c r="J31" s="12"/>
      <c r="K31" s="2"/>
      <c r="L31" s="59"/>
    </row>
    <row r="32" spans="1:12" x14ac:dyDescent="0.35">
      <c r="A32" s="45">
        <v>28</v>
      </c>
      <c r="B32" s="2"/>
      <c r="C32" s="2"/>
      <c r="D32" s="2"/>
      <c r="E32" s="3"/>
      <c r="F32" s="3"/>
      <c r="G32" s="2"/>
      <c r="H32" s="2"/>
      <c r="I32" s="46"/>
      <c r="J32" s="12"/>
      <c r="K32" s="2"/>
      <c r="L32" s="59"/>
    </row>
    <row r="33" spans="1:12" x14ac:dyDescent="0.35">
      <c r="A33" s="45">
        <v>29</v>
      </c>
      <c r="B33" s="2"/>
      <c r="C33" s="2"/>
      <c r="D33" s="2"/>
      <c r="E33" s="3"/>
      <c r="F33" s="3"/>
      <c r="G33" s="2"/>
      <c r="H33" s="2"/>
      <c r="I33" s="46"/>
      <c r="J33" s="12"/>
      <c r="K33" s="2"/>
      <c r="L33" s="59"/>
    </row>
    <row r="34" spans="1:12" x14ac:dyDescent="0.35">
      <c r="A34" s="45">
        <v>30</v>
      </c>
      <c r="B34" s="2"/>
      <c r="C34" s="2"/>
      <c r="D34" s="2"/>
      <c r="E34" s="3"/>
      <c r="F34" s="3"/>
      <c r="G34" s="2"/>
      <c r="H34" s="2"/>
      <c r="I34" s="46"/>
      <c r="J34" s="12"/>
      <c r="K34" s="2"/>
      <c r="L34" s="59"/>
    </row>
    <row r="35" spans="1:12" x14ac:dyDescent="0.35">
      <c r="A35" s="45">
        <v>31</v>
      </c>
      <c r="B35" s="2"/>
      <c r="C35" s="2"/>
      <c r="D35" s="2"/>
      <c r="E35" s="3"/>
      <c r="F35" s="3"/>
      <c r="G35" s="2"/>
      <c r="H35" s="2"/>
      <c r="I35" s="46"/>
      <c r="J35" s="12"/>
      <c r="K35" s="2"/>
      <c r="L35" s="59"/>
    </row>
    <row r="36" spans="1:12" x14ac:dyDescent="0.35">
      <c r="A36" s="45">
        <v>32</v>
      </c>
      <c r="B36" s="2"/>
      <c r="C36" s="2"/>
      <c r="D36" s="2"/>
      <c r="E36" s="3"/>
      <c r="F36" s="3"/>
      <c r="G36" s="2"/>
      <c r="H36" s="2"/>
      <c r="I36" s="46"/>
      <c r="J36" s="12"/>
      <c r="K36" s="2"/>
      <c r="L36" s="59"/>
    </row>
    <row r="37" spans="1:12" x14ac:dyDescent="0.35">
      <c r="A37" s="45">
        <v>33</v>
      </c>
      <c r="B37" s="2"/>
      <c r="C37" s="2"/>
      <c r="D37" s="2"/>
      <c r="E37" s="3"/>
      <c r="F37" s="3"/>
      <c r="G37" s="2"/>
      <c r="H37" s="2"/>
      <c r="I37" s="46"/>
      <c r="J37" s="12"/>
      <c r="K37" s="2"/>
      <c r="L37" s="59"/>
    </row>
    <row r="38" spans="1:12" x14ac:dyDescent="0.35">
      <c r="A38" s="45">
        <v>34</v>
      </c>
      <c r="B38" s="2"/>
      <c r="C38" s="2"/>
      <c r="D38" s="2"/>
      <c r="E38" s="3"/>
      <c r="F38" s="3"/>
      <c r="G38" s="2"/>
      <c r="H38" s="2"/>
      <c r="I38" s="46"/>
      <c r="J38" s="12"/>
      <c r="K38" s="2"/>
      <c r="L38" s="59"/>
    </row>
    <row r="39" spans="1:12" x14ac:dyDescent="0.35">
      <c r="A39" s="45">
        <v>35</v>
      </c>
      <c r="B39" s="2"/>
      <c r="C39" s="2"/>
      <c r="D39" s="2"/>
      <c r="E39" s="3"/>
      <c r="F39" s="3"/>
      <c r="G39" s="2"/>
      <c r="H39" s="2"/>
      <c r="I39" s="46"/>
      <c r="J39" s="12"/>
      <c r="K39" s="2"/>
      <c r="L39" s="59"/>
    </row>
    <row r="40" spans="1:12" x14ac:dyDescent="0.35">
      <c r="A40" s="45">
        <v>36</v>
      </c>
      <c r="B40" s="2"/>
      <c r="C40" s="2"/>
      <c r="D40" s="2"/>
      <c r="E40" s="3"/>
      <c r="F40" s="3"/>
      <c r="G40" s="2"/>
      <c r="H40" s="2"/>
      <c r="I40" s="46"/>
      <c r="J40" s="12"/>
      <c r="K40" s="2"/>
      <c r="L40" s="59"/>
    </row>
    <row r="41" spans="1:12" x14ac:dyDescent="0.35">
      <c r="A41" s="45">
        <v>37</v>
      </c>
      <c r="B41" s="2"/>
      <c r="C41" s="2"/>
      <c r="D41" s="2"/>
      <c r="E41" s="3"/>
      <c r="F41" s="3"/>
      <c r="G41" s="2"/>
      <c r="H41" s="2"/>
      <c r="I41" s="46"/>
      <c r="J41" s="12"/>
      <c r="K41" s="2"/>
      <c r="L41" s="59"/>
    </row>
    <row r="42" spans="1:12" x14ac:dyDescent="0.35">
      <c r="A42" s="45">
        <v>38</v>
      </c>
      <c r="B42" s="2"/>
      <c r="C42" s="2"/>
      <c r="D42" s="2"/>
      <c r="E42" s="3"/>
      <c r="F42" s="3"/>
      <c r="G42" s="2"/>
      <c r="H42" s="2"/>
      <c r="I42" s="46"/>
      <c r="J42" s="12"/>
      <c r="K42" s="2"/>
      <c r="L42" s="59"/>
    </row>
    <row r="43" spans="1:12" x14ac:dyDescent="0.35">
      <c r="A43" s="45">
        <v>39</v>
      </c>
      <c r="B43" s="2"/>
      <c r="C43" s="2"/>
      <c r="D43" s="2"/>
      <c r="E43" s="3"/>
      <c r="F43" s="3"/>
      <c r="G43" s="2"/>
      <c r="H43" s="2"/>
      <c r="I43" s="46"/>
      <c r="J43" s="12"/>
      <c r="K43" s="2"/>
      <c r="L43" s="59"/>
    </row>
    <row r="44" spans="1:12" x14ac:dyDescent="0.35">
      <c r="A44" s="45">
        <v>40</v>
      </c>
      <c r="B44" s="2"/>
      <c r="C44" s="2"/>
      <c r="D44" s="2"/>
      <c r="E44" s="3"/>
      <c r="F44" s="3"/>
      <c r="G44" s="2"/>
      <c r="H44" s="2"/>
      <c r="I44" s="46"/>
      <c r="J44" s="12"/>
      <c r="K44" s="2"/>
      <c r="L44" s="59"/>
    </row>
    <row r="45" spans="1:12" x14ac:dyDescent="0.35">
      <c r="A45" s="45">
        <v>41</v>
      </c>
      <c r="B45" s="2"/>
      <c r="C45" s="2"/>
      <c r="D45" s="2"/>
      <c r="E45" s="3"/>
      <c r="F45" s="3"/>
      <c r="G45" s="2"/>
      <c r="H45" s="2"/>
      <c r="I45" s="46"/>
      <c r="J45" s="12"/>
      <c r="K45" s="2"/>
      <c r="L45" s="59"/>
    </row>
    <row r="46" spans="1:12" x14ac:dyDescent="0.35">
      <c r="A46" s="45">
        <v>42</v>
      </c>
      <c r="B46" s="2"/>
      <c r="C46" s="2"/>
      <c r="D46" s="2"/>
      <c r="E46" s="3"/>
      <c r="F46" s="3"/>
      <c r="G46" s="2"/>
      <c r="H46" s="2"/>
      <c r="I46" s="46"/>
      <c r="J46" s="12"/>
      <c r="K46" s="2"/>
      <c r="L46" s="59"/>
    </row>
    <row r="47" spans="1:12" x14ac:dyDescent="0.35">
      <c r="A47" s="45">
        <v>43</v>
      </c>
      <c r="B47" s="2"/>
      <c r="C47" s="2"/>
      <c r="D47" s="2"/>
      <c r="E47" s="3"/>
      <c r="F47" s="3"/>
      <c r="G47" s="2"/>
      <c r="H47" s="2"/>
      <c r="I47" s="46"/>
      <c r="J47" s="12"/>
      <c r="K47" s="2"/>
      <c r="L47" s="59"/>
    </row>
    <row r="48" spans="1:12" x14ac:dyDescent="0.35">
      <c r="A48" s="45">
        <v>44</v>
      </c>
      <c r="B48" s="2"/>
      <c r="C48" s="2"/>
      <c r="D48" s="2"/>
      <c r="E48" s="3"/>
      <c r="F48" s="3"/>
      <c r="G48" s="2"/>
      <c r="H48" s="2"/>
      <c r="I48" s="46"/>
      <c r="J48" s="12"/>
      <c r="K48" s="2"/>
      <c r="L48" s="59"/>
    </row>
    <row r="49" spans="1:12" x14ac:dyDescent="0.35">
      <c r="A49" s="45">
        <v>45</v>
      </c>
      <c r="B49" s="2"/>
      <c r="C49" s="2"/>
      <c r="D49" s="2"/>
      <c r="E49" s="3"/>
      <c r="F49" s="3"/>
      <c r="G49" s="2"/>
      <c r="H49" s="2"/>
      <c r="I49" s="46"/>
      <c r="J49" s="12"/>
      <c r="K49" s="2"/>
      <c r="L49" s="59"/>
    </row>
    <row r="50" spans="1:12" x14ac:dyDescent="0.35">
      <c r="A50" s="45">
        <v>46</v>
      </c>
      <c r="B50" s="2"/>
      <c r="C50" s="2"/>
      <c r="D50" s="2"/>
      <c r="E50" s="3"/>
      <c r="F50" s="3"/>
      <c r="G50" s="2"/>
      <c r="H50" s="2"/>
      <c r="I50" s="46"/>
      <c r="J50" s="12"/>
      <c r="K50" s="2"/>
      <c r="L50" s="59"/>
    </row>
    <row r="51" spans="1:12" x14ac:dyDescent="0.35">
      <c r="A51" s="45">
        <v>47</v>
      </c>
      <c r="B51" s="2"/>
      <c r="C51" s="2"/>
      <c r="D51" s="2"/>
      <c r="E51" s="3"/>
      <c r="F51" s="3"/>
      <c r="G51" s="2"/>
      <c r="H51" s="2"/>
      <c r="I51" s="46"/>
      <c r="J51" s="12"/>
      <c r="K51" s="2"/>
      <c r="L51" s="59"/>
    </row>
    <row r="52" spans="1:12" x14ac:dyDescent="0.35">
      <c r="A52" s="45">
        <v>48</v>
      </c>
      <c r="B52" s="2"/>
      <c r="C52" s="2"/>
      <c r="D52" s="2"/>
      <c r="E52" s="3"/>
      <c r="F52" s="3"/>
      <c r="G52" s="2"/>
      <c r="H52" s="2"/>
      <c r="I52" s="46"/>
      <c r="J52" s="12"/>
      <c r="K52" s="2"/>
      <c r="L52" s="59"/>
    </row>
    <row r="53" spans="1:12" x14ac:dyDescent="0.35">
      <c r="A53" s="45">
        <v>49</v>
      </c>
      <c r="B53" s="2"/>
      <c r="C53" s="2"/>
      <c r="D53" s="2"/>
      <c r="E53" s="3"/>
      <c r="F53" s="3"/>
      <c r="G53" s="2"/>
      <c r="H53" s="2"/>
      <c r="I53" s="46"/>
      <c r="J53" s="12"/>
      <c r="K53" s="2"/>
      <c r="L53" s="59"/>
    </row>
    <row r="54" spans="1:12" x14ac:dyDescent="0.35">
      <c r="A54" s="45">
        <v>50</v>
      </c>
      <c r="B54" s="2"/>
      <c r="C54" s="2"/>
      <c r="D54" s="2"/>
      <c r="E54" s="3"/>
      <c r="F54" s="3"/>
      <c r="G54" s="2"/>
      <c r="H54" s="2"/>
      <c r="I54" s="46"/>
      <c r="J54" s="12"/>
      <c r="K54" s="2"/>
      <c r="L54" s="59"/>
    </row>
    <row r="55" spans="1:12" x14ac:dyDescent="0.35">
      <c r="A55" s="45">
        <v>51</v>
      </c>
      <c r="B55" s="2"/>
      <c r="C55" s="2"/>
      <c r="D55" s="2"/>
      <c r="E55" s="3"/>
      <c r="F55" s="3"/>
      <c r="G55" s="2"/>
      <c r="H55" s="2"/>
      <c r="I55" s="46"/>
      <c r="J55" s="12"/>
      <c r="K55" s="2"/>
      <c r="L55" s="59"/>
    </row>
    <row r="56" spans="1:12" x14ac:dyDescent="0.35">
      <c r="A56" s="45">
        <v>52</v>
      </c>
      <c r="B56" s="2"/>
      <c r="C56" s="2"/>
      <c r="D56" s="2"/>
      <c r="E56" s="3"/>
      <c r="F56" s="3"/>
      <c r="G56" s="2"/>
      <c r="H56" s="2"/>
      <c r="I56" s="46"/>
      <c r="J56" s="12"/>
      <c r="K56" s="2"/>
      <c r="L56" s="59"/>
    </row>
    <row r="57" spans="1:12" x14ac:dyDescent="0.35">
      <c r="A57" s="45">
        <v>53</v>
      </c>
      <c r="B57" s="2"/>
      <c r="C57" s="2"/>
      <c r="D57" s="2"/>
      <c r="E57" s="3"/>
      <c r="F57" s="3"/>
      <c r="G57" s="2"/>
      <c r="H57" s="2"/>
      <c r="I57" s="46"/>
      <c r="J57" s="12"/>
      <c r="K57" s="2"/>
      <c r="L57" s="59"/>
    </row>
    <row r="58" spans="1:12" x14ac:dyDescent="0.35">
      <c r="A58" s="45">
        <v>54</v>
      </c>
      <c r="B58" s="2"/>
      <c r="C58" s="2"/>
      <c r="D58" s="2"/>
      <c r="E58" s="3"/>
      <c r="F58" s="3"/>
      <c r="G58" s="2"/>
      <c r="H58" s="2"/>
      <c r="I58" s="46"/>
      <c r="J58" s="12"/>
      <c r="K58" s="2"/>
      <c r="L58" s="59"/>
    </row>
    <row r="59" spans="1:12" x14ac:dyDescent="0.35">
      <c r="A59" s="45">
        <v>55</v>
      </c>
      <c r="B59" s="2"/>
      <c r="C59" s="2"/>
      <c r="D59" s="2"/>
      <c r="E59" s="3"/>
      <c r="F59" s="3"/>
      <c r="G59" s="2"/>
      <c r="H59" s="2"/>
      <c r="I59" s="46"/>
      <c r="J59" s="12"/>
      <c r="K59" s="2"/>
      <c r="L59" s="59"/>
    </row>
    <row r="60" spans="1:12" x14ac:dyDescent="0.35">
      <c r="A60" s="45">
        <v>56</v>
      </c>
      <c r="B60" s="2"/>
      <c r="C60" s="2"/>
      <c r="D60" s="2"/>
      <c r="E60" s="3"/>
      <c r="F60" s="3"/>
      <c r="G60" s="2"/>
      <c r="H60" s="2"/>
      <c r="I60" s="46"/>
      <c r="J60" s="12"/>
      <c r="K60" s="2"/>
      <c r="L60" s="59"/>
    </row>
    <row r="61" spans="1:12" x14ac:dyDescent="0.35">
      <c r="A61" s="45">
        <v>57</v>
      </c>
      <c r="B61" s="2"/>
      <c r="C61" s="2"/>
      <c r="D61" s="2"/>
      <c r="E61" s="3"/>
      <c r="F61" s="3"/>
      <c r="G61" s="2"/>
      <c r="H61" s="2"/>
      <c r="I61" s="46"/>
      <c r="J61" s="12"/>
      <c r="K61" s="2"/>
      <c r="L61" s="59"/>
    </row>
    <row r="62" spans="1:12" x14ac:dyDescent="0.35">
      <c r="A62" s="45">
        <v>58</v>
      </c>
      <c r="B62" s="2"/>
      <c r="C62" s="2"/>
      <c r="D62" s="2"/>
      <c r="E62" s="3"/>
      <c r="F62" s="3"/>
      <c r="G62" s="2"/>
      <c r="H62" s="2"/>
      <c r="I62" s="46"/>
      <c r="J62" s="12"/>
      <c r="K62" s="2"/>
      <c r="L62" s="59"/>
    </row>
    <row r="63" spans="1:12" x14ac:dyDescent="0.35">
      <c r="A63" s="45">
        <v>59</v>
      </c>
      <c r="B63" s="2"/>
      <c r="C63" s="2"/>
      <c r="D63" s="2"/>
      <c r="E63" s="3"/>
      <c r="F63" s="3"/>
      <c r="G63" s="2"/>
      <c r="H63" s="2"/>
      <c r="I63" s="46"/>
      <c r="J63" s="12"/>
      <c r="K63" s="2"/>
      <c r="L63" s="59"/>
    </row>
    <row r="64" spans="1:12" x14ac:dyDescent="0.35">
      <c r="A64" s="45">
        <v>60</v>
      </c>
      <c r="B64" s="2"/>
      <c r="C64" s="2"/>
      <c r="D64" s="2"/>
      <c r="E64" s="3"/>
      <c r="F64" s="3"/>
      <c r="G64" s="2"/>
      <c r="H64" s="2"/>
      <c r="I64" s="46"/>
      <c r="J64" s="12"/>
      <c r="K64" s="2"/>
      <c r="L64" s="59"/>
    </row>
    <row r="65" spans="1:12" x14ac:dyDescent="0.35">
      <c r="A65" s="45">
        <v>61</v>
      </c>
      <c r="B65" s="2"/>
      <c r="C65" s="2"/>
      <c r="D65" s="2"/>
      <c r="E65" s="3"/>
      <c r="F65" s="3"/>
      <c r="G65" s="2"/>
      <c r="H65" s="2"/>
      <c r="I65" s="46"/>
      <c r="J65" s="12"/>
      <c r="K65" s="2"/>
      <c r="L65" s="59"/>
    </row>
    <row r="66" spans="1:12" x14ac:dyDescent="0.35">
      <c r="A66" s="45">
        <v>62</v>
      </c>
      <c r="B66" s="2"/>
      <c r="C66" s="2"/>
      <c r="D66" s="2"/>
      <c r="E66" s="3"/>
      <c r="F66" s="3"/>
      <c r="G66" s="2"/>
      <c r="H66" s="2"/>
      <c r="I66" s="46"/>
      <c r="J66" s="12"/>
      <c r="K66" s="2"/>
      <c r="L66" s="59"/>
    </row>
    <row r="67" spans="1:12" x14ac:dyDescent="0.35">
      <c r="A67" s="45">
        <v>63</v>
      </c>
      <c r="B67" s="2"/>
      <c r="C67" s="2"/>
      <c r="D67" s="2"/>
      <c r="E67" s="3"/>
      <c r="F67" s="3"/>
      <c r="G67" s="2"/>
      <c r="H67" s="2"/>
      <c r="I67" s="46"/>
      <c r="J67" s="12"/>
      <c r="K67" s="2"/>
      <c r="L67" s="59"/>
    </row>
    <row r="68" spans="1:12" x14ac:dyDescent="0.35">
      <c r="A68" s="45">
        <v>64</v>
      </c>
      <c r="B68" s="2"/>
      <c r="C68" s="2"/>
      <c r="D68" s="2"/>
      <c r="E68" s="3"/>
      <c r="F68" s="3"/>
      <c r="G68" s="2"/>
      <c r="H68" s="2"/>
      <c r="I68" s="46"/>
      <c r="J68" s="12"/>
      <c r="K68" s="2"/>
      <c r="L68" s="59"/>
    </row>
    <row r="69" spans="1:12" x14ac:dyDescent="0.35">
      <c r="A69" s="45">
        <v>65</v>
      </c>
      <c r="B69" s="2"/>
      <c r="C69" s="2"/>
      <c r="D69" s="2"/>
      <c r="E69" s="3"/>
      <c r="F69" s="3"/>
      <c r="G69" s="2"/>
      <c r="H69" s="2"/>
      <c r="I69" s="46"/>
      <c r="J69" s="12"/>
      <c r="K69" s="2"/>
      <c r="L69" s="59"/>
    </row>
    <row r="70" spans="1:12" x14ac:dyDescent="0.35">
      <c r="A70" s="45">
        <v>66</v>
      </c>
      <c r="B70" s="2"/>
      <c r="C70" s="2"/>
      <c r="D70" s="2"/>
      <c r="E70" s="3"/>
      <c r="F70" s="3"/>
      <c r="G70" s="2"/>
      <c r="H70" s="2"/>
      <c r="I70" s="46"/>
      <c r="J70" s="12"/>
      <c r="K70" s="2"/>
      <c r="L70" s="59"/>
    </row>
    <row r="71" spans="1:12" x14ac:dyDescent="0.35">
      <c r="A71" s="45">
        <v>67</v>
      </c>
      <c r="B71" s="2"/>
      <c r="C71" s="2"/>
      <c r="D71" s="2"/>
      <c r="E71" s="3"/>
      <c r="F71" s="3"/>
      <c r="G71" s="2"/>
      <c r="H71" s="2"/>
      <c r="I71" s="46"/>
      <c r="J71" s="12"/>
      <c r="K71" s="2"/>
      <c r="L71" s="59"/>
    </row>
    <row r="72" spans="1:12" x14ac:dyDescent="0.35">
      <c r="A72" s="45">
        <v>68</v>
      </c>
      <c r="B72" s="2"/>
      <c r="C72" s="2"/>
      <c r="D72" s="2"/>
      <c r="E72" s="3"/>
      <c r="F72" s="3"/>
      <c r="G72" s="2"/>
      <c r="H72" s="2"/>
      <c r="I72" s="46"/>
      <c r="J72" s="12"/>
      <c r="K72" s="2"/>
      <c r="L72" s="59"/>
    </row>
    <row r="73" spans="1:12" x14ac:dyDescent="0.35">
      <c r="A73" s="45">
        <v>69</v>
      </c>
      <c r="B73" s="2"/>
      <c r="C73" s="2"/>
      <c r="D73" s="2"/>
      <c r="E73" s="3"/>
      <c r="F73" s="3"/>
      <c r="G73" s="2"/>
      <c r="H73" s="2"/>
      <c r="I73" s="46"/>
      <c r="J73" s="12"/>
      <c r="K73" s="2"/>
      <c r="L73" s="59"/>
    </row>
    <row r="74" spans="1:12" x14ac:dyDescent="0.35">
      <c r="A74" s="45">
        <v>70</v>
      </c>
      <c r="B74" s="2"/>
      <c r="C74" s="2"/>
      <c r="D74" s="2"/>
      <c r="E74" s="3"/>
      <c r="F74" s="3"/>
      <c r="G74" s="2"/>
      <c r="H74" s="2"/>
      <c r="I74" s="46"/>
      <c r="J74" s="12"/>
      <c r="K74" s="2"/>
      <c r="L74" s="59"/>
    </row>
    <row r="75" spans="1:12" x14ac:dyDescent="0.35">
      <c r="A75" s="45">
        <v>71</v>
      </c>
      <c r="B75" s="2"/>
      <c r="C75" s="2"/>
      <c r="D75" s="2"/>
      <c r="E75" s="3"/>
      <c r="F75" s="3"/>
      <c r="G75" s="2"/>
      <c r="H75" s="2"/>
      <c r="I75" s="46"/>
      <c r="J75" s="12"/>
      <c r="K75" s="2"/>
      <c r="L75" s="59"/>
    </row>
    <row r="76" spans="1:12" x14ac:dyDescent="0.35">
      <c r="A76" s="45">
        <v>72</v>
      </c>
      <c r="B76" s="2"/>
      <c r="C76" s="2"/>
      <c r="D76" s="2"/>
      <c r="E76" s="3"/>
      <c r="F76" s="3"/>
      <c r="G76" s="2"/>
      <c r="H76" s="2"/>
      <c r="I76" s="46"/>
      <c r="J76" s="12"/>
      <c r="K76" s="2"/>
      <c r="L76" s="59"/>
    </row>
    <row r="77" spans="1:12" x14ac:dyDescent="0.35">
      <c r="A77" s="45">
        <v>73</v>
      </c>
      <c r="B77" s="2"/>
      <c r="C77" s="2"/>
      <c r="D77" s="2"/>
      <c r="E77" s="3"/>
      <c r="F77" s="3"/>
      <c r="G77" s="2"/>
      <c r="H77" s="2"/>
      <c r="I77" s="46"/>
      <c r="J77" s="12"/>
      <c r="K77" s="2"/>
      <c r="L77" s="59"/>
    </row>
    <row r="78" spans="1:12" x14ac:dyDescent="0.35">
      <c r="A78" s="45">
        <v>74</v>
      </c>
      <c r="B78" s="2"/>
      <c r="C78" s="2"/>
      <c r="D78" s="2"/>
      <c r="E78" s="3"/>
      <c r="F78" s="3"/>
      <c r="G78" s="2"/>
      <c r="H78" s="2"/>
      <c r="I78" s="46"/>
      <c r="J78" s="12"/>
      <c r="K78" s="2"/>
      <c r="L78" s="59"/>
    </row>
    <row r="79" spans="1:12" x14ac:dyDescent="0.35">
      <c r="A79" s="45">
        <v>75</v>
      </c>
      <c r="B79" s="2"/>
      <c r="C79" s="2"/>
      <c r="D79" s="2"/>
      <c r="E79" s="3"/>
      <c r="F79" s="3"/>
      <c r="G79" s="2"/>
      <c r="H79" s="2"/>
      <c r="I79" s="46"/>
      <c r="J79" s="12"/>
      <c r="K79" s="2"/>
      <c r="L79" s="59"/>
    </row>
    <row r="80" spans="1:12" x14ac:dyDescent="0.35">
      <c r="A80" s="45">
        <v>76</v>
      </c>
      <c r="B80" s="2"/>
      <c r="C80" s="2"/>
      <c r="D80" s="2"/>
      <c r="E80" s="3"/>
      <c r="F80" s="3"/>
      <c r="G80" s="2"/>
      <c r="H80" s="2"/>
      <c r="I80" s="46"/>
      <c r="J80" s="12"/>
      <c r="K80" s="2"/>
      <c r="L80" s="59"/>
    </row>
    <row r="81" spans="1:12" x14ac:dyDescent="0.35">
      <c r="A81" s="45">
        <v>77</v>
      </c>
      <c r="B81" s="2"/>
      <c r="C81" s="2"/>
      <c r="D81" s="2"/>
      <c r="E81" s="3"/>
      <c r="F81" s="3"/>
      <c r="G81" s="2"/>
      <c r="H81" s="2"/>
      <c r="I81" s="46"/>
      <c r="J81" s="12"/>
      <c r="K81" s="2"/>
      <c r="L81" s="59"/>
    </row>
    <row r="82" spans="1:12" x14ac:dyDescent="0.35">
      <c r="A82" s="45">
        <v>78</v>
      </c>
      <c r="B82" s="2"/>
      <c r="C82" s="2"/>
      <c r="D82" s="2"/>
      <c r="E82" s="3"/>
      <c r="F82" s="3"/>
      <c r="G82" s="2"/>
      <c r="H82" s="2"/>
      <c r="I82" s="46"/>
      <c r="J82" s="12"/>
      <c r="K82" s="2"/>
      <c r="L82" s="59"/>
    </row>
    <row r="83" spans="1:12" x14ac:dyDescent="0.35">
      <c r="A83" s="45">
        <v>79</v>
      </c>
      <c r="B83" s="2"/>
      <c r="C83" s="2"/>
      <c r="D83" s="2"/>
      <c r="E83" s="3"/>
      <c r="F83" s="3"/>
      <c r="G83" s="2"/>
      <c r="H83" s="2"/>
      <c r="I83" s="46"/>
      <c r="J83" s="12"/>
      <c r="K83" s="2"/>
      <c r="L83" s="59"/>
    </row>
    <row r="84" spans="1:12" x14ac:dyDescent="0.35">
      <c r="A84" s="45">
        <v>80</v>
      </c>
      <c r="B84" s="2"/>
      <c r="C84" s="2"/>
      <c r="D84" s="2"/>
      <c r="E84" s="3"/>
      <c r="F84" s="3"/>
      <c r="G84" s="2"/>
      <c r="H84" s="2"/>
      <c r="I84" s="46"/>
      <c r="J84" s="12"/>
      <c r="K84" s="2"/>
      <c r="L84" s="59"/>
    </row>
    <row r="85" spans="1:12" x14ac:dyDescent="0.35">
      <c r="A85" s="45">
        <v>81</v>
      </c>
      <c r="B85" s="2"/>
      <c r="C85" s="2"/>
      <c r="D85" s="2"/>
      <c r="E85" s="3"/>
      <c r="F85" s="3"/>
      <c r="G85" s="2"/>
      <c r="H85" s="2"/>
      <c r="I85" s="46"/>
      <c r="J85" s="12"/>
      <c r="K85" s="2"/>
      <c r="L85" s="59"/>
    </row>
    <row r="86" spans="1:12" x14ac:dyDescent="0.35">
      <c r="A86" s="45">
        <v>82</v>
      </c>
      <c r="B86" s="2"/>
      <c r="C86" s="2"/>
      <c r="D86" s="2"/>
      <c r="E86" s="3"/>
      <c r="F86" s="3"/>
      <c r="G86" s="2"/>
      <c r="H86" s="2"/>
      <c r="I86" s="46"/>
      <c r="J86" s="12"/>
      <c r="K86" s="2"/>
      <c r="L86" s="59"/>
    </row>
    <row r="87" spans="1:12" x14ac:dyDescent="0.35">
      <c r="A87" s="45">
        <v>83</v>
      </c>
      <c r="B87" s="2"/>
      <c r="C87" s="2"/>
      <c r="D87" s="2"/>
      <c r="E87" s="3"/>
      <c r="F87" s="3"/>
      <c r="G87" s="2"/>
      <c r="H87" s="2"/>
      <c r="I87" s="46"/>
      <c r="J87" s="12"/>
      <c r="K87" s="2"/>
      <c r="L87" s="59"/>
    </row>
    <row r="88" spans="1:12" x14ac:dyDescent="0.35">
      <c r="A88" s="45">
        <v>84</v>
      </c>
      <c r="B88" s="2"/>
      <c r="C88" s="2"/>
      <c r="D88" s="2"/>
      <c r="E88" s="3"/>
      <c r="F88" s="3"/>
      <c r="G88" s="2"/>
      <c r="H88" s="2"/>
      <c r="I88" s="46"/>
      <c r="J88" s="12"/>
      <c r="K88" s="2"/>
      <c r="L88" s="59"/>
    </row>
    <row r="89" spans="1:12" x14ac:dyDescent="0.35">
      <c r="A89" s="45">
        <v>85</v>
      </c>
      <c r="B89" s="2"/>
      <c r="C89" s="2"/>
      <c r="D89" s="2"/>
      <c r="E89" s="3"/>
      <c r="F89" s="3"/>
      <c r="G89" s="2"/>
      <c r="H89" s="2"/>
      <c r="I89" s="46"/>
      <c r="J89" s="12"/>
      <c r="K89" s="2"/>
      <c r="L89" s="59"/>
    </row>
    <row r="90" spans="1:12" x14ac:dyDescent="0.35">
      <c r="A90" s="45">
        <v>86</v>
      </c>
      <c r="B90" s="2"/>
      <c r="C90" s="2"/>
      <c r="D90" s="2"/>
      <c r="E90" s="3"/>
      <c r="F90" s="3"/>
      <c r="G90" s="2"/>
      <c r="H90" s="2"/>
      <c r="I90" s="46"/>
      <c r="J90" s="12"/>
      <c r="K90" s="2"/>
      <c r="L90" s="59"/>
    </row>
    <row r="91" spans="1:12" x14ac:dyDescent="0.35">
      <c r="A91" s="45">
        <v>87</v>
      </c>
      <c r="B91" s="2"/>
      <c r="C91" s="2"/>
      <c r="D91" s="2"/>
      <c r="E91" s="3"/>
      <c r="F91" s="3"/>
      <c r="G91" s="2"/>
      <c r="H91" s="2"/>
      <c r="I91" s="46"/>
      <c r="J91" s="12"/>
      <c r="K91" s="2"/>
      <c r="L91" s="59"/>
    </row>
    <row r="92" spans="1:12" x14ac:dyDescent="0.35">
      <c r="A92" s="45">
        <v>88</v>
      </c>
      <c r="B92" s="2"/>
      <c r="C92" s="2"/>
      <c r="D92" s="2"/>
      <c r="E92" s="3"/>
      <c r="F92" s="3"/>
      <c r="G92" s="2"/>
      <c r="H92" s="2"/>
      <c r="I92" s="46"/>
      <c r="J92" s="12"/>
      <c r="K92" s="2"/>
      <c r="L92" s="59"/>
    </row>
    <row r="93" spans="1:12" x14ac:dyDescent="0.35">
      <c r="A93" s="45">
        <v>89</v>
      </c>
      <c r="B93" s="2"/>
      <c r="C93" s="2"/>
      <c r="D93" s="2"/>
      <c r="E93" s="3"/>
      <c r="F93" s="3"/>
      <c r="G93" s="2"/>
      <c r="H93" s="2"/>
      <c r="I93" s="46"/>
      <c r="J93" s="12"/>
      <c r="K93" s="2"/>
      <c r="L93" s="59"/>
    </row>
    <row r="94" spans="1:12" x14ac:dyDescent="0.35">
      <c r="A94" s="45">
        <v>90</v>
      </c>
      <c r="B94" s="2"/>
      <c r="C94" s="2"/>
      <c r="D94" s="2"/>
      <c r="E94" s="3"/>
      <c r="F94" s="3"/>
      <c r="G94" s="2"/>
      <c r="H94" s="2"/>
      <c r="I94" s="46"/>
      <c r="J94" s="12"/>
      <c r="K94" s="2"/>
      <c r="L94" s="59"/>
    </row>
    <row r="95" spans="1:12" x14ac:dyDescent="0.35">
      <c r="A95" s="45">
        <v>91</v>
      </c>
      <c r="B95" s="2"/>
      <c r="C95" s="2"/>
      <c r="D95" s="2"/>
      <c r="E95" s="3"/>
      <c r="F95" s="3"/>
      <c r="G95" s="2"/>
      <c r="H95" s="2"/>
      <c r="I95" s="46"/>
      <c r="J95" s="12"/>
      <c r="K95" s="2"/>
      <c r="L95" s="59"/>
    </row>
    <row r="96" spans="1:12" x14ac:dyDescent="0.35">
      <c r="A96" s="45">
        <v>92</v>
      </c>
      <c r="B96" s="2"/>
      <c r="C96" s="2"/>
      <c r="D96" s="2"/>
      <c r="E96" s="3"/>
      <c r="F96" s="3"/>
      <c r="G96" s="2"/>
      <c r="H96" s="2"/>
      <c r="I96" s="46"/>
      <c r="J96" s="12"/>
      <c r="K96" s="2"/>
      <c r="L96" s="59"/>
    </row>
    <row r="97" spans="1:12" x14ac:dyDescent="0.35">
      <c r="A97" s="45">
        <v>93</v>
      </c>
      <c r="B97" s="2"/>
      <c r="C97" s="2"/>
      <c r="D97" s="2"/>
      <c r="E97" s="3"/>
      <c r="F97" s="3"/>
      <c r="G97" s="2"/>
      <c r="H97" s="2"/>
      <c r="I97" s="46"/>
      <c r="J97" s="12"/>
      <c r="K97" s="2"/>
      <c r="L97" s="59"/>
    </row>
    <row r="98" spans="1:12" x14ac:dyDescent="0.35">
      <c r="A98" s="45">
        <v>94</v>
      </c>
      <c r="B98" s="2"/>
      <c r="C98" s="2"/>
      <c r="D98" s="2"/>
      <c r="E98" s="3"/>
      <c r="F98" s="3"/>
      <c r="G98" s="2"/>
      <c r="H98" s="2"/>
      <c r="I98" s="46"/>
      <c r="J98" s="12"/>
      <c r="K98" s="2"/>
      <c r="L98" s="59"/>
    </row>
    <row r="99" spans="1:12" x14ac:dyDescent="0.35">
      <c r="A99" s="45">
        <v>95</v>
      </c>
      <c r="B99" s="2"/>
      <c r="C99" s="2"/>
      <c r="D99" s="2"/>
      <c r="E99" s="3"/>
      <c r="F99" s="3"/>
      <c r="G99" s="2"/>
      <c r="H99" s="2"/>
      <c r="I99" s="46"/>
      <c r="J99" s="12"/>
      <c r="K99" s="2"/>
      <c r="L99" s="59"/>
    </row>
    <row r="100" spans="1:12" x14ac:dyDescent="0.35">
      <c r="A100" s="45">
        <v>96</v>
      </c>
      <c r="B100" s="2"/>
      <c r="C100" s="2"/>
      <c r="D100" s="2"/>
      <c r="E100" s="3"/>
      <c r="F100" s="3"/>
      <c r="G100" s="2"/>
      <c r="H100" s="2"/>
      <c r="I100" s="46"/>
      <c r="J100" s="12"/>
      <c r="K100" s="2"/>
      <c r="L100" s="59"/>
    </row>
    <row r="101" spans="1:12" x14ac:dyDescent="0.35">
      <c r="A101" s="45">
        <v>97</v>
      </c>
      <c r="B101" s="2"/>
      <c r="C101" s="2"/>
      <c r="D101" s="2"/>
      <c r="E101" s="3"/>
      <c r="F101" s="3"/>
      <c r="G101" s="2"/>
      <c r="H101" s="2"/>
      <c r="I101" s="46"/>
      <c r="J101" s="12"/>
      <c r="K101" s="2"/>
      <c r="L101" s="59"/>
    </row>
    <row r="102" spans="1:12" x14ac:dyDescent="0.35">
      <c r="A102" s="45">
        <v>98</v>
      </c>
      <c r="B102" s="2"/>
      <c r="C102" s="2"/>
      <c r="D102" s="2"/>
      <c r="E102" s="3"/>
      <c r="F102" s="3"/>
      <c r="G102" s="2"/>
      <c r="H102" s="2"/>
      <c r="I102" s="46"/>
      <c r="J102" s="12"/>
      <c r="K102" s="2"/>
      <c r="L102" s="59"/>
    </row>
    <row r="103" spans="1:12" x14ac:dyDescent="0.35">
      <c r="A103" s="45">
        <v>99</v>
      </c>
      <c r="B103" s="2"/>
      <c r="C103" s="2"/>
      <c r="D103" s="2"/>
      <c r="E103" s="3"/>
      <c r="F103" s="3"/>
      <c r="G103" s="2"/>
      <c r="H103" s="2"/>
      <c r="I103" s="46"/>
      <c r="J103" s="12"/>
      <c r="K103" s="2"/>
      <c r="L103" s="59"/>
    </row>
    <row r="104" spans="1:12" x14ac:dyDescent="0.35">
      <c r="A104" s="45">
        <v>100</v>
      </c>
      <c r="B104" s="2"/>
      <c r="C104" s="2"/>
      <c r="D104" s="2"/>
      <c r="E104" s="3"/>
      <c r="F104" s="3"/>
      <c r="G104" s="2"/>
      <c r="H104" s="2"/>
      <c r="I104" s="46"/>
      <c r="J104" s="12"/>
      <c r="K104" s="2"/>
      <c r="L104" s="59"/>
    </row>
    <row r="105" spans="1:12" x14ac:dyDescent="0.35">
      <c r="A105" s="45">
        <v>101</v>
      </c>
      <c r="B105" s="2"/>
      <c r="C105" s="2"/>
      <c r="D105" s="2"/>
      <c r="E105" s="3"/>
      <c r="F105" s="3"/>
      <c r="G105" s="2"/>
      <c r="H105" s="2"/>
      <c r="I105" s="46"/>
      <c r="J105" s="12"/>
      <c r="K105" s="2"/>
      <c r="L105" s="59"/>
    </row>
    <row r="106" spans="1:12" x14ac:dyDescent="0.35">
      <c r="A106" s="45">
        <v>102</v>
      </c>
      <c r="B106" s="2"/>
      <c r="C106" s="2"/>
      <c r="D106" s="2"/>
      <c r="E106" s="3"/>
      <c r="F106" s="3"/>
      <c r="G106" s="2"/>
      <c r="H106" s="2"/>
      <c r="I106" s="46"/>
      <c r="J106" s="12"/>
      <c r="K106" s="2"/>
      <c r="L106" s="59"/>
    </row>
    <row r="107" spans="1:12" x14ac:dyDescent="0.35">
      <c r="A107" s="45">
        <v>103</v>
      </c>
      <c r="B107" s="2"/>
      <c r="C107" s="2"/>
      <c r="D107" s="2"/>
      <c r="E107" s="3"/>
      <c r="F107" s="3"/>
      <c r="G107" s="2"/>
      <c r="H107" s="2"/>
      <c r="I107" s="46"/>
      <c r="J107" s="12"/>
      <c r="K107" s="2"/>
      <c r="L107" s="59"/>
    </row>
    <row r="108" spans="1:12" x14ac:dyDescent="0.35">
      <c r="A108" s="45">
        <v>104</v>
      </c>
      <c r="B108" s="2"/>
      <c r="C108" s="2"/>
      <c r="D108" s="2"/>
      <c r="E108" s="3"/>
      <c r="F108" s="3"/>
      <c r="G108" s="2"/>
      <c r="H108" s="2"/>
      <c r="I108" s="46"/>
      <c r="J108" s="12"/>
      <c r="K108" s="2"/>
      <c r="L108" s="59"/>
    </row>
    <row r="109" spans="1:12" x14ac:dyDescent="0.35">
      <c r="A109" s="45">
        <v>105</v>
      </c>
      <c r="B109" s="2"/>
      <c r="C109" s="2"/>
      <c r="D109" s="2"/>
      <c r="E109" s="3"/>
      <c r="F109" s="3"/>
      <c r="G109" s="2"/>
      <c r="H109" s="2"/>
      <c r="I109" s="46"/>
      <c r="J109" s="12"/>
      <c r="K109" s="2"/>
      <c r="L109" s="59"/>
    </row>
    <row r="110" spans="1:12" x14ac:dyDescent="0.35">
      <c r="A110" s="45">
        <v>106</v>
      </c>
      <c r="B110" s="2"/>
      <c r="C110" s="2"/>
      <c r="D110" s="2"/>
      <c r="E110" s="3"/>
      <c r="F110" s="3"/>
      <c r="G110" s="2"/>
      <c r="H110" s="2"/>
      <c r="I110" s="46"/>
      <c r="J110" s="12"/>
      <c r="K110" s="2"/>
      <c r="L110" s="59"/>
    </row>
    <row r="111" spans="1:12" x14ac:dyDescent="0.35">
      <c r="A111" s="45">
        <v>107</v>
      </c>
      <c r="B111" s="2"/>
      <c r="C111" s="2"/>
      <c r="D111" s="2"/>
      <c r="E111" s="3"/>
      <c r="F111" s="3"/>
      <c r="G111" s="2"/>
      <c r="H111" s="2"/>
      <c r="I111" s="46"/>
      <c r="J111" s="12"/>
      <c r="K111" s="2"/>
      <c r="L111" s="59"/>
    </row>
    <row r="112" spans="1:12" x14ac:dyDescent="0.35">
      <c r="A112" s="45">
        <v>108</v>
      </c>
      <c r="B112" s="2"/>
      <c r="C112" s="2"/>
      <c r="D112" s="2"/>
      <c r="E112" s="3"/>
      <c r="F112" s="3"/>
      <c r="G112" s="2"/>
      <c r="H112" s="2"/>
      <c r="I112" s="46"/>
      <c r="J112" s="12"/>
      <c r="K112" s="2"/>
      <c r="L112" s="59"/>
    </row>
    <row r="113" spans="1:12" x14ac:dyDescent="0.35">
      <c r="A113" s="45">
        <v>109</v>
      </c>
      <c r="B113" s="2"/>
      <c r="C113" s="2"/>
      <c r="D113" s="2"/>
      <c r="E113" s="3"/>
      <c r="F113" s="3"/>
      <c r="G113" s="2"/>
      <c r="H113" s="2"/>
      <c r="I113" s="46"/>
      <c r="J113" s="12"/>
      <c r="K113" s="2"/>
      <c r="L113" s="59"/>
    </row>
    <row r="114" spans="1:12" x14ac:dyDescent="0.35">
      <c r="A114" s="45">
        <v>110</v>
      </c>
      <c r="B114" s="2"/>
      <c r="C114" s="2"/>
      <c r="D114" s="2"/>
      <c r="E114" s="3"/>
      <c r="F114" s="3"/>
      <c r="G114" s="2"/>
      <c r="H114" s="2"/>
      <c r="I114" s="46"/>
      <c r="J114" s="12"/>
      <c r="K114" s="2"/>
      <c r="L114" s="59"/>
    </row>
    <row r="115" spans="1:12" x14ac:dyDescent="0.35">
      <c r="A115" s="45">
        <v>111</v>
      </c>
      <c r="B115" s="2"/>
      <c r="C115" s="2"/>
      <c r="D115" s="2"/>
      <c r="E115" s="3"/>
      <c r="F115" s="3"/>
      <c r="G115" s="2"/>
      <c r="H115" s="2"/>
      <c r="I115" s="46"/>
      <c r="J115" s="12"/>
      <c r="K115" s="2"/>
      <c r="L115" s="59"/>
    </row>
    <row r="116" spans="1:12" x14ac:dyDescent="0.35">
      <c r="A116" s="45">
        <v>112</v>
      </c>
      <c r="B116" s="2"/>
      <c r="C116" s="2"/>
      <c r="D116" s="2"/>
      <c r="E116" s="3"/>
      <c r="F116" s="3"/>
      <c r="G116" s="2"/>
      <c r="H116" s="2"/>
      <c r="I116" s="46"/>
      <c r="J116" s="12"/>
      <c r="K116" s="2"/>
      <c r="L116" s="59"/>
    </row>
    <row r="117" spans="1:12" x14ac:dyDescent="0.35">
      <c r="A117" s="45">
        <v>113</v>
      </c>
      <c r="B117" s="2"/>
      <c r="C117" s="2"/>
      <c r="D117" s="2"/>
      <c r="E117" s="3"/>
      <c r="F117" s="3"/>
      <c r="G117" s="2"/>
      <c r="H117" s="2"/>
      <c r="I117" s="46"/>
      <c r="J117" s="12"/>
      <c r="K117" s="2"/>
      <c r="L117" s="59"/>
    </row>
    <row r="118" spans="1:12" x14ac:dyDescent="0.35">
      <c r="A118" s="45">
        <v>114</v>
      </c>
      <c r="B118" s="2"/>
      <c r="C118" s="2"/>
      <c r="D118" s="2"/>
      <c r="E118" s="3"/>
      <c r="F118" s="3"/>
      <c r="G118" s="2"/>
      <c r="H118" s="2"/>
      <c r="I118" s="46"/>
      <c r="J118" s="12"/>
      <c r="K118" s="2"/>
      <c r="L118" s="59"/>
    </row>
    <row r="119" spans="1:12" x14ac:dyDescent="0.35">
      <c r="A119" s="45">
        <v>115</v>
      </c>
      <c r="B119" s="2"/>
      <c r="C119" s="2"/>
      <c r="D119" s="2"/>
      <c r="E119" s="3"/>
      <c r="F119" s="3"/>
      <c r="G119" s="2"/>
      <c r="H119" s="2"/>
      <c r="I119" s="46"/>
      <c r="J119" s="12"/>
      <c r="K119" s="2"/>
      <c r="L119" s="59"/>
    </row>
    <row r="120" spans="1:12" x14ac:dyDescent="0.35">
      <c r="A120" s="45">
        <v>116</v>
      </c>
      <c r="B120" s="2"/>
      <c r="C120" s="2"/>
      <c r="D120" s="2"/>
      <c r="E120" s="3"/>
      <c r="F120" s="3"/>
      <c r="G120" s="2"/>
      <c r="H120" s="2"/>
      <c r="I120" s="46"/>
      <c r="J120" s="12"/>
      <c r="K120" s="2"/>
      <c r="L120" s="59"/>
    </row>
    <row r="121" spans="1:12" x14ac:dyDescent="0.35">
      <c r="A121" s="45">
        <v>117</v>
      </c>
      <c r="B121" s="2"/>
      <c r="C121" s="2"/>
      <c r="D121" s="2"/>
      <c r="E121" s="3"/>
      <c r="F121" s="3"/>
      <c r="G121" s="2"/>
      <c r="H121" s="2"/>
      <c r="I121" s="46"/>
      <c r="J121" s="12"/>
      <c r="K121" s="2"/>
      <c r="L121" s="59"/>
    </row>
    <row r="122" spans="1:12" x14ac:dyDescent="0.35">
      <c r="A122" s="45">
        <v>118</v>
      </c>
      <c r="B122" s="2"/>
      <c r="C122" s="2"/>
      <c r="D122" s="2"/>
      <c r="E122" s="3"/>
      <c r="F122" s="3"/>
      <c r="G122" s="2"/>
      <c r="H122" s="2"/>
      <c r="I122" s="46"/>
      <c r="J122" s="12"/>
      <c r="K122" s="2"/>
      <c r="L122" s="59"/>
    </row>
    <row r="123" spans="1:12" x14ac:dyDescent="0.35">
      <c r="A123" s="45">
        <v>119</v>
      </c>
      <c r="B123" s="2"/>
      <c r="C123" s="2"/>
      <c r="D123" s="2"/>
      <c r="E123" s="3"/>
      <c r="F123" s="3"/>
      <c r="G123" s="2"/>
      <c r="H123" s="2"/>
      <c r="I123" s="46"/>
      <c r="J123" s="12"/>
      <c r="K123" s="2"/>
      <c r="L123" s="59"/>
    </row>
    <row r="124" spans="1:12" x14ac:dyDescent="0.35">
      <c r="A124" s="45">
        <v>120</v>
      </c>
      <c r="B124" s="2"/>
      <c r="C124" s="2"/>
      <c r="D124" s="2"/>
      <c r="E124" s="3"/>
      <c r="F124" s="3"/>
      <c r="G124" s="2"/>
      <c r="H124" s="2"/>
      <c r="I124" s="46"/>
      <c r="J124" s="12"/>
      <c r="K124" s="2"/>
      <c r="L124" s="59"/>
    </row>
    <row r="125" spans="1:12" x14ac:dyDescent="0.35">
      <c r="A125" s="45">
        <v>121</v>
      </c>
      <c r="B125" s="2"/>
      <c r="C125" s="2"/>
      <c r="D125" s="2"/>
      <c r="E125" s="3"/>
      <c r="F125" s="3"/>
      <c r="G125" s="2"/>
      <c r="H125" s="2"/>
      <c r="I125" s="46"/>
      <c r="J125" s="12"/>
      <c r="K125" s="2"/>
      <c r="L125" s="59"/>
    </row>
    <row r="126" spans="1:12" x14ac:dyDescent="0.35">
      <c r="A126" s="45">
        <v>122</v>
      </c>
      <c r="B126" s="2"/>
      <c r="C126" s="2"/>
      <c r="D126" s="2"/>
      <c r="E126" s="3"/>
      <c r="F126" s="3"/>
      <c r="G126" s="2"/>
      <c r="H126" s="2"/>
      <c r="I126" s="46"/>
      <c r="J126" s="12"/>
      <c r="K126" s="2"/>
      <c r="L126" s="59"/>
    </row>
    <row r="127" spans="1:12" x14ac:dyDescent="0.35">
      <c r="A127" s="45">
        <v>123</v>
      </c>
      <c r="B127" s="2"/>
      <c r="C127" s="2"/>
      <c r="D127" s="2"/>
      <c r="E127" s="3"/>
      <c r="F127" s="3"/>
      <c r="G127" s="2"/>
      <c r="H127" s="2"/>
      <c r="I127" s="46"/>
      <c r="J127" s="12"/>
      <c r="K127" s="2"/>
      <c r="L127" s="59"/>
    </row>
    <row r="128" spans="1:12" x14ac:dyDescent="0.35">
      <c r="A128" s="45">
        <v>124</v>
      </c>
      <c r="B128" s="2"/>
      <c r="C128" s="2"/>
      <c r="D128" s="2"/>
      <c r="E128" s="3"/>
      <c r="F128" s="3"/>
      <c r="G128" s="2"/>
      <c r="H128" s="2"/>
      <c r="I128" s="46"/>
      <c r="J128" s="12"/>
      <c r="K128" s="2"/>
      <c r="L128" s="59"/>
    </row>
    <row r="129" spans="1:12" x14ac:dyDescent="0.35">
      <c r="A129" s="45">
        <v>125</v>
      </c>
      <c r="B129" s="2"/>
      <c r="C129" s="2"/>
      <c r="D129" s="2"/>
      <c r="E129" s="3"/>
      <c r="F129" s="3"/>
      <c r="G129" s="2"/>
      <c r="H129" s="2"/>
      <c r="I129" s="46"/>
      <c r="J129" s="12"/>
      <c r="K129" s="2"/>
      <c r="L129" s="59"/>
    </row>
    <row r="130" spans="1:12" x14ac:dyDescent="0.35">
      <c r="A130" s="45">
        <v>126</v>
      </c>
      <c r="B130" s="2"/>
      <c r="C130" s="2"/>
      <c r="D130" s="2"/>
      <c r="E130" s="3"/>
      <c r="F130" s="3"/>
      <c r="G130" s="2"/>
      <c r="H130" s="2"/>
      <c r="I130" s="46"/>
      <c r="J130" s="12"/>
      <c r="K130" s="2"/>
      <c r="L130" s="59"/>
    </row>
    <row r="131" spans="1:12" x14ac:dyDescent="0.35">
      <c r="A131" s="45">
        <v>127</v>
      </c>
      <c r="B131" s="2"/>
      <c r="C131" s="2"/>
      <c r="D131" s="2"/>
      <c r="E131" s="3"/>
      <c r="F131" s="3"/>
      <c r="G131" s="2"/>
      <c r="H131" s="2"/>
      <c r="I131" s="46"/>
      <c r="J131" s="12"/>
      <c r="K131" s="2"/>
      <c r="L131" s="59"/>
    </row>
    <row r="132" spans="1:12" x14ac:dyDescent="0.35">
      <c r="A132" s="45">
        <v>128</v>
      </c>
      <c r="B132" s="2"/>
      <c r="C132" s="2"/>
      <c r="D132" s="2"/>
      <c r="E132" s="3"/>
      <c r="F132" s="3"/>
      <c r="G132" s="2"/>
      <c r="H132" s="2"/>
      <c r="I132" s="46"/>
      <c r="J132" s="12"/>
      <c r="K132" s="2"/>
      <c r="L132" s="59"/>
    </row>
    <row r="133" spans="1:12" x14ac:dyDescent="0.35">
      <c r="A133" s="45">
        <v>129</v>
      </c>
      <c r="B133" s="2"/>
      <c r="C133" s="2"/>
      <c r="D133" s="2"/>
      <c r="E133" s="3"/>
      <c r="F133" s="3"/>
      <c r="G133" s="2"/>
      <c r="H133" s="2"/>
      <c r="I133" s="46"/>
      <c r="J133" s="12"/>
      <c r="K133" s="2"/>
      <c r="L133" s="59"/>
    </row>
    <row r="134" spans="1:12" x14ac:dyDescent="0.35">
      <c r="A134" s="45">
        <v>130</v>
      </c>
      <c r="B134" s="2"/>
      <c r="C134" s="2"/>
      <c r="D134" s="2"/>
      <c r="E134" s="3"/>
      <c r="F134" s="3"/>
      <c r="G134" s="2"/>
      <c r="H134" s="2"/>
      <c r="I134" s="46"/>
      <c r="J134" s="12"/>
      <c r="K134" s="2"/>
      <c r="L134" s="59"/>
    </row>
    <row r="135" spans="1:12" x14ac:dyDescent="0.35">
      <c r="A135" s="45">
        <v>131</v>
      </c>
      <c r="B135" s="2"/>
      <c r="C135" s="2"/>
      <c r="D135" s="2"/>
      <c r="E135" s="3"/>
      <c r="F135" s="3"/>
      <c r="G135" s="2"/>
      <c r="H135" s="2"/>
      <c r="I135" s="46"/>
      <c r="J135" s="12"/>
      <c r="K135" s="2"/>
      <c r="L135" s="59"/>
    </row>
    <row r="136" spans="1:12" x14ac:dyDescent="0.35">
      <c r="A136" s="45">
        <v>132</v>
      </c>
      <c r="B136" s="2"/>
      <c r="C136" s="2"/>
      <c r="D136" s="2"/>
      <c r="E136" s="3"/>
      <c r="F136" s="3"/>
      <c r="G136" s="2"/>
      <c r="H136" s="2"/>
      <c r="I136" s="46"/>
      <c r="J136" s="12"/>
      <c r="K136" s="2"/>
      <c r="L136" s="59"/>
    </row>
    <row r="137" spans="1:12" x14ac:dyDescent="0.35">
      <c r="A137" s="45">
        <v>133</v>
      </c>
      <c r="B137" s="2"/>
      <c r="C137" s="2"/>
      <c r="D137" s="2"/>
      <c r="E137" s="3"/>
      <c r="F137" s="3"/>
      <c r="G137" s="2"/>
      <c r="H137" s="2"/>
      <c r="I137" s="46"/>
      <c r="J137" s="12"/>
      <c r="K137" s="2"/>
      <c r="L137" s="59"/>
    </row>
    <row r="138" spans="1:12" x14ac:dyDescent="0.35">
      <c r="A138" s="45">
        <v>134</v>
      </c>
      <c r="B138" s="2"/>
      <c r="C138" s="2"/>
      <c r="D138" s="2"/>
      <c r="E138" s="3"/>
      <c r="F138" s="3"/>
      <c r="G138" s="2"/>
      <c r="H138" s="2"/>
      <c r="I138" s="46"/>
      <c r="J138" s="12"/>
      <c r="K138" s="2"/>
      <c r="L138" s="59"/>
    </row>
    <row r="139" spans="1:12" x14ac:dyDescent="0.35">
      <c r="A139" s="45">
        <v>135</v>
      </c>
      <c r="B139" s="2"/>
      <c r="C139" s="2"/>
      <c r="D139" s="2"/>
      <c r="E139" s="3"/>
      <c r="F139" s="3"/>
      <c r="G139" s="2"/>
      <c r="H139" s="2"/>
      <c r="I139" s="46"/>
      <c r="J139" s="12"/>
      <c r="K139" s="2"/>
      <c r="L139" s="59"/>
    </row>
    <row r="140" spans="1:12" x14ac:dyDescent="0.35">
      <c r="A140" s="45">
        <v>136</v>
      </c>
      <c r="B140" s="2"/>
      <c r="C140" s="2"/>
      <c r="D140" s="2"/>
      <c r="E140" s="3"/>
      <c r="F140" s="3"/>
      <c r="G140" s="2"/>
      <c r="H140" s="2"/>
      <c r="I140" s="46"/>
      <c r="J140" s="12"/>
      <c r="K140" s="2"/>
      <c r="L140" s="59"/>
    </row>
    <row r="141" spans="1:12" x14ac:dyDescent="0.35">
      <c r="A141" s="45">
        <v>137</v>
      </c>
      <c r="B141" s="2"/>
      <c r="C141" s="2"/>
      <c r="D141" s="2"/>
      <c r="E141" s="3"/>
      <c r="F141" s="3"/>
      <c r="G141" s="2"/>
      <c r="H141" s="2"/>
      <c r="I141" s="46"/>
      <c r="J141" s="12"/>
      <c r="K141" s="2"/>
      <c r="L141" s="59"/>
    </row>
    <row r="142" spans="1:12" x14ac:dyDescent="0.35">
      <c r="A142" s="45">
        <v>138</v>
      </c>
      <c r="B142" s="2"/>
      <c r="C142" s="2"/>
      <c r="D142" s="2"/>
      <c r="E142" s="3"/>
      <c r="F142" s="3"/>
      <c r="G142" s="2"/>
      <c r="H142" s="2"/>
      <c r="I142" s="46"/>
      <c r="J142" s="12"/>
      <c r="K142" s="2"/>
      <c r="L142" s="59"/>
    </row>
    <row r="143" spans="1:12" x14ac:dyDescent="0.35">
      <c r="A143" s="45">
        <v>139</v>
      </c>
      <c r="B143" s="2"/>
      <c r="C143" s="2"/>
      <c r="D143" s="2"/>
      <c r="E143" s="3"/>
      <c r="F143" s="3"/>
      <c r="G143" s="2"/>
      <c r="H143" s="2"/>
      <c r="I143" s="46"/>
      <c r="J143" s="12"/>
      <c r="K143" s="2"/>
      <c r="L143" s="59"/>
    </row>
    <row r="144" spans="1:12" x14ac:dyDescent="0.35">
      <c r="A144" s="45">
        <v>140</v>
      </c>
      <c r="B144" s="2"/>
      <c r="C144" s="2"/>
      <c r="D144" s="2"/>
      <c r="E144" s="3"/>
      <c r="F144" s="3"/>
      <c r="G144" s="2"/>
      <c r="H144" s="2"/>
      <c r="I144" s="46"/>
      <c r="J144" s="12"/>
      <c r="K144" s="2"/>
      <c r="L144" s="59"/>
    </row>
    <row r="145" spans="1:12" x14ac:dyDescent="0.35">
      <c r="A145" s="45">
        <v>141</v>
      </c>
      <c r="B145" s="2"/>
      <c r="C145" s="2"/>
      <c r="D145" s="2"/>
      <c r="E145" s="3"/>
      <c r="F145" s="3"/>
      <c r="G145" s="2"/>
      <c r="H145" s="2"/>
      <c r="I145" s="46"/>
      <c r="J145" s="12"/>
      <c r="K145" s="2"/>
      <c r="L145" s="59"/>
    </row>
    <row r="146" spans="1:12" x14ac:dyDescent="0.35">
      <c r="A146" s="45">
        <v>142</v>
      </c>
      <c r="B146" s="2"/>
      <c r="C146" s="2"/>
      <c r="D146" s="2"/>
      <c r="E146" s="3"/>
      <c r="F146" s="3"/>
      <c r="G146" s="2"/>
      <c r="H146" s="2"/>
      <c r="I146" s="46"/>
      <c r="J146" s="12"/>
      <c r="K146" s="2"/>
      <c r="L146" s="59"/>
    </row>
    <row r="147" spans="1:12" x14ac:dyDescent="0.35">
      <c r="A147" s="45">
        <v>143</v>
      </c>
      <c r="B147" s="2"/>
      <c r="C147" s="2"/>
      <c r="D147" s="2"/>
      <c r="E147" s="3"/>
      <c r="F147" s="3"/>
      <c r="G147" s="2"/>
      <c r="H147" s="2"/>
      <c r="I147" s="46"/>
      <c r="J147" s="12"/>
      <c r="K147" s="2"/>
      <c r="L147" s="59"/>
    </row>
    <row r="148" spans="1:12" x14ac:dyDescent="0.35">
      <c r="A148" s="45">
        <v>144</v>
      </c>
      <c r="B148" s="2"/>
      <c r="C148" s="2"/>
      <c r="D148" s="2"/>
      <c r="E148" s="3"/>
      <c r="F148" s="3"/>
      <c r="G148" s="2"/>
      <c r="H148" s="2"/>
      <c r="I148" s="46"/>
      <c r="J148" s="12"/>
      <c r="K148" s="2"/>
      <c r="L148" s="59"/>
    </row>
    <row r="149" spans="1:12" x14ac:dyDescent="0.35">
      <c r="A149" s="45">
        <v>145</v>
      </c>
      <c r="B149" s="2"/>
      <c r="C149" s="2"/>
      <c r="D149" s="2"/>
      <c r="E149" s="3"/>
      <c r="F149" s="3"/>
      <c r="G149" s="2"/>
      <c r="H149" s="2"/>
      <c r="I149" s="46"/>
      <c r="J149" s="12"/>
      <c r="K149" s="2"/>
      <c r="L149" s="59"/>
    </row>
    <row r="150" spans="1:12" x14ac:dyDescent="0.35">
      <c r="A150" s="45">
        <v>146</v>
      </c>
      <c r="B150" s="2"/>
      <c r="C150" s="2"/>
      <c r="D150" s="2"/>
      <c r="E150" s="3"/>
      <c r="F150" s="3"/>
      <c r="G150" s="2"/>
      <c r="H150" s="2"/>
      <c r="I150" s="46"/>
      <c r="J150" s="12"/>
      <c r="K150" s="2"/>
      <c r="L150" s="59"/>
    </row>
    <row r="151" spans="1:12" x14ac:dyDescent="0.35">
      <c r="A151" s="45">
        <v>147</v>
      </c>
      <c r="B151" s="2"/>
      <c r="C151" s="2"/>
      <c r="D151" s="2"/>
      <c r="E151" s="3"/>
      <c r="F151" s="3"/>
      <c r="G151" s="2"/>
      <c r="H151" s="2"/>
      <c r="I151" s="46"/>
      <c r="J151" s="12"/>
      <c r="K151" s="2"/>
      <c r="L151" s="59"/>
    </row>
    <row r="152" spans="1:12" x14ac:dyDescent="0.35">
      <c r="A152" s="45">
        <v>148</v>
      </c>
      <c r="B152" s="2"/>
      <c r="C152" s="2"/>
      <c r="D152" s="2"/>
      <c r="E152" s="3"/>
      <c r="F152" s="3"/>
      <c r="G152" s="2"/>
      <c r="H152" s="2"/>
      <c r="I152" s="46"/>
      <c r="J152" s="12"/>
      <c r="K152" s="2"/>
      <c r="L152" s="59"/>
    </row>
    <row r="153" spans="1:12" x14ac:dyDescent="0.35">
      <c r="A153" s="45">
        <v>149</v>
      </c>
      <c r="B153" s="2"/>
      <c r="C153" s="2"/>
      <c r="D153" s="2"/>
      <c r="E153" s="3"/>
      <c r="F153" s="3"/>
      <c r="G153" s="2"/>
      <c r="H153" s="2"/>
      <c r="I153" s="46"/>
      <c r="J153" s="12"/>
      <c r="K153" s="2"/>
      <c r="L153" s="59"/>
    </row>
    <row r="154" spans="1:12" x14ac:dyDescent="0.35">
      <c r="A154" s="45">
        <v>150</v>
      </c>
      <c r="B154" s="2"/>
      <c r="C154" s="2"/>
      <c r="D154" s="2"/>
      <c r="E154" s="3"/>
      <c r="F154" s="3"/>
      <c r="G154" s="2"/>
      <c r="H154" s="2"/>
      <c r="I154" s="46"/>
      <c r="J154" s="12"/>
      <c r="K154" s="2"/>
      <c r="L154" s="59"/>
    </row>
    <row r="155" spans="1:12" x14ac:dyDescent="0.35">
      <c r="A155" s="45">
        <v>151</v>
      </c>
      <c r="B155" s="2"/>
      <c r="C155" s="2"/>
      <c r="D155" s="2"/>
      <c r="E155" s="3"/>
      <c r="F155" s="3"/>
      <c r="G155" s="2"/>
      <c r="H155" s="2"/>
      <c r="I155" s="46"/>
      <c r="J155" s="12"/>
      <c r="K155" s="2"/>
      <c r="L155" s="59"/>
    </row>
    <row r="156" spans="1:12" x14ac:dyDescent="0.35">
      <c r="A156" s="45">
        <v>152</v>
      </c>
      <c r="B156" s="2"/>
      <c r="C156" s="2"/>
      <c r="D156" s="2"/>
      <c r="E156" s="3"/>
      <c r="F156" s="3"/>
      <c r="G156" s="2"/>
      <c r="H156" s="2"/>
      <c r="I156" s="46"/>
      <c r="J156" s="12"/>
      <c r="K156" s="2"/>
      <c r="L156" s="59"/>
    </row>
    <row r="157" spans="1:12" x14ac:dyDescent="0.35">
      <c r="A157" s="45">
        <v>153</v>
      </c>
      <c r="B157" s="2"/>
      <c r="C157" s="2"/>
      <c r="D157" s="2"/>
      <c r="E157" s="3"/>
      <c r="F157" s="3"/>
      <c r="G157" s="2"/>
      <c r="H157" s="2"/>
      <c r="I157" s="46"/>
      <c r="J157" s="12"/>
      <c r="K157" s="2"/>
      <c r="L157" s="59"/>
    </row>
    <row r="158" spans="1:12" x14ac:dyDescent="0.35">
      <c r="A158" s="45">
        <v>154</v>
      </c>
      <c r="B158" s="2"/>
      <c r="C158" s="2"/>
      <c r="D158" s="2"/>
      <c r="E158" s="3"/>
      <c r="F158" s="3"/>
      <c r="G158" s="2"/>
      <c r="H158" s="2"/>
      <c r="I158" s="46"/>
      <c r="J158" s="12"/>
      <c r="K158" s="2"/>
      <c r="L158" s="59"/>
    </row>
    <row r="159" spans="1:12" x14ac:dyDescent="0.35">
      <c r="A159" s="45">
        <v>155</v>
      </c>
      <c r="B159" s="2"/>
      <c r="C159" s="2"/>
      <c r="D159" s="2"/>
      <c r="E159" s="3"/>
      <c r="F159" s="3"/>
      <c r="G159" s="2"/>
      <c r="H159" s="2"/>
      <c r="I159" s="46"/>
      <c r="J159" s="12"/>
      <c r="K159" s="2"/>
      <c r="L159" s="59"/>
    </row>
    <row r="160" spans="1:12" x14ac:dyDescent="0.35">
      <c r="A160" s="45">
        <v>156</v>
      </c>
      <c r="B160" s="2"/>
      <c r="C160" s="2"/>
      <c r="D160" s="2"/>
      <c r="E160" s="3"/>
      <c r="F160" s="3"/>
      <c r="G160" s="2"/>
      <c r="H160" s="2"/>
      <c r="I160" s="46"/>
      <c r="J160" s="12"/>
      <c r="K160" s="2"/>
      <c r="L160" s="59"/>
    </row>
    <row r="161" spans="1:12" x14ac:dyDescent="0.35">
      <c r="A161" s="45">
        <v>157</v>
      </c>
      <c r="B161" s="2"/>
      <c r="C161" s="2"/>
      <c r="D161" s="2"/>
      <c r="E161" s="3"/>
      <c r="F161" s="3"/>
      <c r="G161" s="2"/>
      <c r="H161" s="2"/>
      <c r="I161" s="46"/>
      <c r="J161" s="12"/>
      <c r="K161" s="2"/>
      <c r="L161" s="59"/>
    </row>
    <row r="162" spans="1:12" x14ac:dyDescent="0.35">
      <c r="A162" s="45">
        <v>158</v>
      </c>
      <c r="B162" s="2"/>
      <c r="C162" s="2"/>
      <c r="D162" s="2"/>
      <c r="E162" s="3"/>
      <c r="F162" s="3"/>
      <c r="G162" s="2"/>
      <c r="H162" s="2"/>
      <c r="I162" s="46"/>
      <c r="J162" s="12"/>
      <c r="K162" s="2"/>
      <c r="L162" s="59"/>
    </row>
    <row r="163" spans="1:12" x14ac:dyDescent="0.35">
      <c r="A163" s="45">
        <v>159</v>
      </c>
      <c r="B163" s="2"/>
      <c r="C163" s="2"/>
      <c r="D163" s="2"/>
      <c r="E163" s="3"/>
      <c r="F163" s="3"/>
      <c r="G163" s="2"/>
      <c r="H163" s="2"/>
      <c r="I163" s="46"/>
      <c r="J163" s="12"/>
      <c r="K163" s="2"/>
      <c r="L163" s="59"/>
    </row>
    <row r="164" spans="1:12" x14ac:dyDescent="0.35">
      <c r="A164" s="45">
        <v>160</v>
      </c>
      <c r="B164" s="2"/>
      <c r="C164" s="2"/>
      <c r="D164" s="2"/>
      <c r="E164" s="3"/>
      <c r="F164" s="3"/>
      <c r="G164" s="2"/>
      <c r="H164" s="2"/>
      <c r="I164" s="46"/>
      <c r="J164" s="12"/>
      <c r="K164" s="2"/>
      <c r="L164" s="59"/>
    </row>
    <row r="165" spans="1:12" x14ac:dyDescent="0.35">
      <c r="A165" s="45">
        <v>161</v>
      </c>
      <c r="B165" s="2"/>
      <c r="C165" s="2"/>
      <c r="D165" s="2"/>
      <c r="E165" s="3"/>
      <c r="F165" s="3"/>
      <c r="G165" s="2"/>
      <c r="H165" s="2"/>
      <c r="I165" s="46"/>
      <c r="J165" s="12"/>
      <c r="K165" s="2"/>
      <c r="L165" s="59"/>
    </row>
    <row r="166" spans="1:12" x14ac:dyDescent="0.35">
      <c r="A166" s="45">
        <v>162</v>
      </c>
      <c r="B166" s="2"/>
      <c r="C166" s="2"/>
      <c r="D166" s="2"/>
      <c r="E166" s="3"/>
      <c r="F166" s="3"/>
      <c r="G166" s="2"/>
      <c r="H166" s="2"/>
      <c r="I166" s="46"/>
      <c r="J166" s="12"/>
      <c r="K166" s="2"/>
      <c r="L166" s="59"/>
    </row>
    <row r="167" spans="1:12" x14ac:dyDescent="0.35">
      <c r="A167" s="45">
        <v>163</v>
      </c>
      <c r="B167" s="2"/>
      <c r="C167" s="2"/>
      <c r="D167" s="2"/>
      <c r="E167" s="3"/>
      <c r="F167" s="3"/>
      <c r="G167" s="2"/>
      <c r="H167" s="2"/>
      <c r="I167" s="46"/>
      <c r="J167" s="12"/>
      <c r="K167" s="2"/>
      <c r="L167" s="59"/>
    </row>
    <row r="168" spans="1:12" x14ac:dyDescent="0.35">
      <c r="A168" s="45">
        <v>164</v>
      </c>
      <c r="B168" s="2"/>
      <c r="C168" s="2"/>
      <c r="D168" s="2"/>
      <c r="E168" s="3"/>
      <c r="F168" s="3"/>
      <c r="G168" s="2"/>
      <c r="H168" s="2"/>
      <c r="I168" s="46"/>
      <c r="J168" s="12"/>
      <c r="K168" s="2"/>
      <c r="L168" s="59"/>
    </row>
    <row r="169" spans="1:12" x14ac:dyDescent="0.35">
      <c r="A169" s="45">
        <v>165</v>
      </c>
      <c r="B169" s="2"/>
      <c r="C169" s="2"/>
      <c r="D169" s="2"/>
      <c r="E169" s="3"/>
      <c r="F169" s="3"/>
      <c r="G169" s="2"/>
      <c r="H169" s="2"/>
      <c r="I169" s="46"/>
      <c r="J169" s="12"/>
      <c r="K169" s="2"/>
      <c r="L169" s="59"/>
    </row>
    <row r="170" spans="1:12" x14ac:dyDescent="0.35">
      <c r="A170" s="45">
        <v>166</v>
      </c>
      <c r="B170" s="2"/>
      <c r="C170" s="2"/>
      <c r="D170" s="2"/>
      <c r="E170" s="3"/>
      <c r="F170" s="3"/>
      <c r="G170" s="2"/>
      <c r="H170" s="2"/>
      <c r="I170" s="46"/>
      <c r="J170" s="12"/>
      <c r="K170" s="2"/>
      <c r="L170" s="59"/>
    </row>
    <row r="171" spans="1:12" x14ac:dyDescent="0.35">
      <c r="A171" s="45">
        <v>167</v>
      </c>
      <c r="B171" s="2"/>
      <c r="C171" s="2"/>
      <c r="D171" s="2"/>
      <c r="E171" s="3"/>
      <c r="F171" s="3"/>
      <c r="G171" s="2"/>
      <c r="H171" s="2"/>
      <c r="I171" s="46"/>
      <c r="J171" s="12"/>
      <c r="K171" s="2"/>
      <c r="L171" s="59"/>
    </row>
    <row r="172" spans="1:12" x14ac:dyDescent="0.35">
      <c r="A172" s="45">
        <v>168</v>
      </c>
      <c r="B172" s="2"/>
      <c r="C172" s="2"/>
      <c r="D172" s="2"/>
      <c r="E172" s="3"/>
      <c r="F172" s="3"/>
      <c r="G172" s="2"/>
      <c r="H172" s="2"/>
      <c r="I172" s="46"/>
      <c r="J172" s="12"/>
      <c r="K172" s="2"/>
      <c r="L172" s="59"/>
    </row>
    <row r="173" spans="1:12" x14ac:dyDescent="0.35">
      <c r="A173" s="45">
        <v>169</v>
      </c>
      <c r="B173" s="2"/>
      <c r="C173" s="2"/>
      <c r="D173" s="2"/>
      <c r="E173" s="3"/>
      <c r="F173" s="3"/>
      <c r="G173" s="2"/>
      <c r="H173" s="2"/>
      <c r="I173" s="46"/>
      <c r="J173" s="12"/>
      <c r="K173" s="2"/>
      <c r="L173" s="59"/>
    </row>
    <row r="174" spans="1:12" x14ac:dyDescent="0.35">
      <c r="A174" s="45">
        <v>170</v>
      </c>
      <c r="B174" s="2"/>
      <c r="C174" s="2"/>
      <c r="D174" s="2"/>
      <c r="E174" s="3"/>
      <c r="F174" s="3"/>
      <c r="G174" s="2"/>
      <c r="H174" s="2"/>
      <c r="I174" s="46"/>
      <c r="J174" s="12"/>
      <c r="K174" s="2"/>
      <c r="L174" s="59"/>
    </row>
    <row r="175" spans="1:12" x14ac:dyDescent="0.35">
      <c r="A175" s="45">
        <v>171</v>
      </c>
      <c r="B175" s="2"/>
      <c r="C175" s="2"/>
      <c r="D175" s="2"/>
      <c r="E175" s="3"/>
      <c r="F175" s="3"/>
      <c r="G175" s="2"/>
      <c r="H175" s="2"/>
      <c r="I175" s="46"/>
      <c r="J175" s="12"/>
      <c r="K175" s="2"/>
      <c r="L175" s="59"/>
    </row>
    <row r="176" spans="1:12" x14ac:dyDescent="0.35">
      <c r="A176" s="45">
        <v>172</v>
      </c>
      <c r="B176" s="2"/>
      <c r="C176" s="2"/>
      <c r="D176" s="2"/>
      <c r="E176" s="3"/>
      <c r="F176" s="3"/>
      <c r="G176" s="2"/>
      <c r="H176" s="2"/>
      <c r="I176" s="46"/>
      <c r="J176" s="12"/>
      <c r="K176" s="2"/>
      <c r="L176" s="59"/>
    </row>
    <row r="177" spans="1:12" x14ac:dyDescent="0.35">
      <c r="A177" s="45">
        <v>173</v>
      </c>
      <c r="B177" s="2"/>
      <c r="C177" s="2"/>
      <c r="D177" s="2"/>
      <c r="E177" s="3"/>
      <c r="F177" s="3"/>
      <c r="G177" s="2"/>
      <c r="H177" s="2"/>
      <c r="I177" s="46"/>
      <c r="J177" s="12"/>
      <c r="K177" s="2"/>
      <c r="L177" s="59"/>
    </row>
    <row r="178" spans="1:12" x14ac:dyDescent="0.35">
      <c r="A178" s="45">
        <v>174</v>
      </c>
      <c r="B178" s="2"/>
      <c r="C178" s="2"/>
      <c r="D178" s="2"/>
      <c r="E178" s="3"/>
      <c r="F178" s="3"/>
      <c r="G178" s="2"/>
      <c r="H178" s="2"/>
      <c r="I178" s="46"/>
      <c r="J178" s="12"/>
      <c r="K178" s="2"/>
      <c r="L178" s="59"/>
    </row>
    <row r="179" spans="1:12" x14ac:dyDescent="0.35">
      <c r="A179" s="45">
        <v>175</v>
      </c>
      <c r="B179" s="2"/>
      <c r="C179" s="2"/>
      <c r="D179" s="2"/>
      <c r="E179" s="3"/>
      <c r="F179" s="3"/>
      <c r="G179" s="2"/>
      <c r="H179" s="2"/>
      <c r="I179" s="46"/>
      <c r="J179" s="12"/>
      <c r="K179" s="2"/>
      <c r="L179" s="59"/>
    </row>
    <row r="180" spans="1:12" x14ac:dyDescent="0.35">
      <c r="A180" s="45">
        <v>176</v>
      </c>
      <c r="B180" s="2"/>
      <c r="C180" s="2"/>
      <c r="D180" s="2"/>
      <c r="E180" s="3"/>
      <c r="F180" s="3"/>
      <c r="G180" s="2"/>
      <c r="H180" s="2"/>
      <c r="I180" s="46"/>
      <c r="J180" s="12"/>
      <c r="K180" s="2"/>
      <c r="L180" s="59"/>
    </row>
    <row r="181" spans="1:12" x14ac:dyDescent="0.35">
      <c r="A181" s="45">
        <v>177</v>
      </c>
      <c r="B181" s="2"/>
      <c r="C181" s="2"/>
      <c r="D181" s="2"/>
      <c r="E181" s="3"/>
      <c r="F181" s="3"/>
      <c r="G181" s="2"/>
      <c r="H181" s="2"/>
      <c r="I181" s="46"/>
      <c r="J181" s="12"/>
      <c r="K181" s="2"/>
      <c r="L181" s="59"/>
    </row>
    <row r="182" spans="1:12" x14ac:dyDescent="0.35">
      <c r="A182" s="45">
        <v>178</v>
      </c>
      <c r="B182" s="2"/>
      <c r="C182" s="2"/>
      <c r="D182" s="2"/>
      <c r="E182" s="3"/>
      <c r="F182" s="3"/>
      <c r="G182" s="2"/>
      <c r="H182" s="2"/>
      <c r="I182" s="46"/>
      <c r="J182" s="12"/>
      <c r="K182" s="2"/>
      <c r="L182" s="59"/>
    </row>
    <row r="183" spans="1:12" x14ac:dyDescent="0.35">
      <c r="A183" s="45">
        <v>179</v>
      </c>
      <c r="B183" s="2"/>
      <c r="C183" s="2"/>
      <c r="D183" s="2"/>
      <c r="E183" s="3"/>
      <c r="F183" s="3"/>
      <c r="G183" s="2"/>
      <c r="H183" s="2"/>
      <c r="I183" s="46"/>
      <c r="J183" s="12"/>
      <c r="K183" s="2"/>
      <c r="L183" s="59"/>
    </row>
    <row r="184" spans="1:12" x14ac:dyDescent="0.35">
      <c r="A184" s="45">
        <v>180</v>
      </c>
      <c r="B184" s="2"/>
      <c r="C184" s="2"/>
      <c r="D184" s="2"/>
      <c r="E184" s="3"/>
      <c r="F184" s="3"/>
      <c r="G184" s="2"/>
      <c r="H184" s="2"/>
      <c r="I184" s="46"/>
      <c r="J184" s="12"/>
      <c r="K184" s="2"/>
      <c r="L184" s="59"/>
    </row>
    <row r="185" spans="1:12" x14ac:dyDescent="0.35">
      <c r="A185" s="45">
        <v>181</v>
      </c>
      <c r="B185" s="2"/>
      <c r="C185" s="2"/>
      <c r="D185" s="2"/>
      <c r="E185" s="3"/>
      <c r="F185" s="3"/>
      <c r="G185" s="2"/>
      <c r="H185" s="2"/>
      <c r="I185" s="46"/>
      <c r="J185" s="12"/>
      <c r="K185" s="2"/>
      <c r="L185" s="59"/>
    </row>
    <row r="186" spans="1:12" x14ac:dyDescent="0.35">
      <c r="A186" s="45">
        <v>182</v>
      </c>
      <c r="B186" s="2"/>
      <c r="C186" s="2"/>
      <c r="D186" s="2"/>
      <c r="E186" s="3"/>
      <c r="F186" s="3"/>
      <c r="G186" s="2"/>
      <c r="H186" s="2"/>
      <c r="I186" s="46"/>
      <c r="J186" s="12"/>
      <c r="K186" s="2"/>
      <c r="L186" s="59"/>
    </row>
    <row r="187" spans="1:12" x14ac:dyDescent="0.35">
      <c r="A187" s="45">
        <v>183</v>
      </c>
      <c r="B187" s="2"/>
      <c r="C187" s="2"/>
      <c r="D187" s="2"/>
      <c r="E187" s="3"/>
      <c r="F187" s="3"/>
      <c r="G187" s="2"/>
      <c r="H187" s="2"/>
      <c r="I187" s="46"/>
      <c r="J187" s="12"/>
      <c r="K187" s="2"/>
      <c r="L187" s="59"/>
    </row>
    <row r="188" spans="1:12" x14ac:dyDescent="0.35">
      <c r="A188" s="45">
        <v>184</v>
      </c>
      <c r="B188" s="2"/>
      <c r="C188" s="2"/>
      <c r="D188" s="2"/>
      <c r="E188" s="3"/>
      <c r="F188" s="3"/>
      <c r="G188" s="2"/>
      <c r="H188" s="2"/>
      <c r="I188" s="46"/>
      <c r="J188" s="12"/>
      <c r="K188" s="2"/>
      <c r="L188" s="59"/>
    </row>
    <row r="189" spans="1:12" x14ac:dyDescent="0.35">
      <c r="A189" s="45">
        <v>185</v>
      </c>
      <c r="B189" s="2"/>
      <c r="C189" s="2"/>
      <c r="D189" s="2"/>
      <c r="E189" s="3"/>
      <c r="F189" s="3"/>
      <c r="G189" s="2"/>
      <c r="H189" s="2"/>
      <c r="I189" s="46"/>
      <c r="J189" s="12"/>
      <c r="K189" s="2"/>
      <c r="L189" s="59"/>
    </row>
    <row r="190" spans="1:12" x14ac:dyDescent="0.35">
      <c r="A190" s="45">
        <v>186</v>
      </c>
      <c r="B190" s="2"/>
      <c r="C190" s="2"/>
      <c r="D190" s="2"/>
      <c r="E190" s="3"/>
      <c r="F190" s="3"/>
      <c r="G190" s="2"/>
      <c r="H190" s="2"/>
      <c r="I190" s="46"/>
      <c r="J190" s="12"/>
      <c r="K190" s="2"/>
      <c r="L190" s="59"/>
    </row>
    <row r="191" spans="1:12" x14ac:dyDescent="0.35">
      <c r="A191" s="45">
        <v>187</v>
      </c>
      <c r="B191" s="2"/>
      <c r="C191" s="2"/>
      <c r="D191" s="2"/>
      <c r="E191" s="3"/>
      <c r="F191" s="3"/>
      <c r="G191" s="2"/>
      <c r="H191" s="2"/>
      <c r="I191" s="46"/>
      <c r="J191" s="12"/>
      <c r="K191" s="2"/>
      <c r="L191" s="59"/>
    </row>
    <row r="192" spans="1:12" x14ac:dyDescent="0.35">
      <c r="A192" s="45">
        <v>188</v>
      </c>
      <c r="B192" s="2"/>
      <c r="C192" s="2"/>
      <c r="D192" s="2"/>
      <c r="E192" s="3"/>
      <c r="F192" s="3"/>
      <c r="G192" s="2"/>
      <c r="H192" s="2"/>
      <c r="I192" s="46"/>
      <c r="J192" s="12"/>
      <c r="K192" s="2"/>
      <c r="L192" s="59"/>
    </row>
    <row r="193" spans="1:12" x14ac:dyDescent="0.35">
      <c r="A193" s="45">
        <v>189</v>
      </c>
      <c r="B193" s="2"/>
      <c r="C193" s="2"/>
      <c r="D193" s="2"/>
      <c r="E193" s="3"/>
      <c r="F193" s="3"/>
      <c r="G193" s="2"/>
      <c r="H193" s="2"/>
      <c r="I193" s="46"/>
      <c r="J193" s="12"/>
      <c r="K193" s="2"/>
      <c r="L193" s="59"/>
    </row>
    <row r="194" spans="1:12" x14ac:dyDescent="0.35">
      <c r="A194" s="45">
        <v>190</v>
      </c>
      <c r="B194" s="2"/>
      <c r="C194" s="2"/>
      <c r="D194" s="2"/>
      <c r="E194" s="3"/>
      <c r="F194" s="3"/>
      <c r="G194" s="2"/>
      <c r="H194" s="2"/>
      <c r="I194" s="46"/>
      <c r="J194" s="12"/>
      <c r="K194" s="2"/>
      <c r="L194" s="59"/>
    </row>
    <row r="195" spans="1:12" x14ac:dyDescent="0.35">
      <c r="A195" s="45">
        <v>191</v>
      </c>
      <c r="B195" s="2"/>
      <c r="C195" s="2"/>
      <c r="D195" s="2"/>
      <c r="E195" s="3"/>
      <c r="F195" s="3"/>
      <c r="G195" s="2"/>
      <c r="H195" s="2"/>
      <c r="I195" s="46"/>
      <c r="J195" s="12"/>
      <c r="K195" s="2"/>
      <c r="L195" s="59"/>
    </row>
    <row r="196" spans="1:12" x14ac:dyDescent="0.35">
      <c r="A196" s="45">
        <v>192</v>
      </c>
      <c r="B196" s="2"/>
      <c r="C196" s="2"/>
      <c r="D196" s="2"/>
      <c r="E196" s="3"/>
      <c r="F196" s="3"/>
      <c r="G196" s="2"/>
      <c r="H196" s="2"/>
      <c r="I196" s="46"/>
      <c r="J196" s="12"/>
      <c r="K196" s="2"/>
      <c r="L196" s="59"/>
    </row>
    <row r="197" spans="1:12" x14ac:dyDescent="0.35">
      <c r="A197" s="45">
        <v>193</v>
      </c>
      <c r="B197" s="2"/>
      <c r="C197" s="2"/>
      <c r="D197" s="2"/>
      <c r="E197" s="3"/>
      <c r="F197" s="3"/>
      <c r="G197" s="2"/>
      <c r="H197" s="2"/>
      <c r="I197" s="46"/>
      <c r="J197" s="12"/>
      <c r="K197" s="2"/>
      <c r="L197" s="59"/>
    </row>
    <row r="198" spans="1:12" x14ac:dyDescent="0.35">
      <c r="A198" s="45">
        <v>194</v>
      </c>
      <c r="B198" s="2"/>
      <c r="C198" s="2"/>
      <c r="D198" s="2"/>
      <c r="E198" s="3"/>
      <c r="F198" s="3"/>
      <c r="G198" s="2"/>
      <c r="H198" s="2"/>
      <c r="I198" s="46"/>
      <c r="J198" s="12"/>
      <c r="K198" s="2"/>
      <c r="L198" s="59"/>
    </row>
    <row r="199" spans="1:12" x14ac:dyDescent="0.35">
      <c r="A199" s="45">
        <v>195</v>
      </c>
      <c r="B199" s="2"/>
      <c r="C199" s="2"/>
      <c r="D199" s="2"/>
      <c r="E199" s="3"/>
      <c r="F199" s="3"/>
      <c r="G199" s="2"/>
      <c r="H199" s="2"/>
      <c r="I199" s="46"/>
      <c r="J199" s="12"/>
      <c r="K199" s="2"/>
      <c r="L199" s="59"/>
    </row>
    <row r="200" spans="1:12" x14ac:dyDescent="0.35">
      <c r="A200" s="45">
        <v>196</v>
      </c>
      <c r="B200" s="2"/>
      <c r="C200" s="2"/>
      <c r="D200" s="2"/>
      <c r="E200" s="3"/>
      <c r="F200" s="3"/>
      <c r="G200" s="2"/>
      <c r="H200" s="2"/>
      <c r="I200" s="46"/>
      <c r="J200" s="12"/>
      <c r="K200" s="2"/>
      <c r="L200" s="59"/>
    </row>
    <row r="201" spans="1:12" x14ac:dyDescent="0.35">
      <c r="A201" s="45">
        <v>197</v>
      </c>
      <c r="B201" s="2"/>
      <c r="C201" s="2"/>
      <c r="D201" s="2"/>
      <c r="E201" s="3"/>
      <c r="F201" s="3"/>
      <c r="G201" s="2"/>
      <c r="H201" s="2"/>
      <c r="I201" s="46"/>
      <c r="J201" s="12"/>
      <c r="K201" s="2"/>
      <c r="L201" s="59"/>
    </row>
    <row r="202" spans="1:12" x14ac:dyDescent="0.35">
      <c r="A202" s="45">
        <v>198</v>
      </c>
      <c r="B202" s="2"/>
      <c r="C202" s="2"/>
      <c r="D202" s="2"/>
      <c r="E202" s="3"/>
      <c r="F202" s="3"/>
      <c r="G202" s="2"/>
      <c r="H202" s="2"/>
      <c r="I202" s="46"/>
      <c r="J202" s="12"/>
      <c r="K202" s="2"/>
      <c r="L202" s="59"/>
    </row>
    <row r="203" spans="1:12" x14ac:dyDescent="0.35">
      <c r="A203" s="45">
        <v>199</v>
      </c>
      <c r="B203" s="2"/>
      <c r="C203" s="2"/>
      <c r="D203" s="2"/>
      <c r="E203" s="3"/>
      <c r="F203" s="3"/>
      <c r="G203" s="2"/>
      <c r="H203" s="2"/>
      <c r="I203" s="46"/>
      <c r="J203" s="12"/>
      <c r="K203" s="2"/>
      <c r="L203" s="59"/>
    </row>
    <row r="204" spans="1:12" x14ac:dyDescent="0.35">
      <c r="A204" s="45">
        <v>200</v>
      </c>
      <c r="B204" s="2"/>
      <c r="C204" s="2"/>
      <c r="D204" s="2"/>
      <c r="E204" s="3"/>
      <c r="F204" s="3"/>
      <c r="G204" s="2"/>
      <c r="H204" s="2"/>
      <c r="I204" s="46"/>
      <c r="J204" s="12"/>
      <c r="K204" s="2"/>
      <c r="L204" s="59"/>
    </row>
    <row r="205" spans="1:12" x14ac:dyDescent="0.35">
      <c r="A205" s="45">
        <v>201</v>
      </c>
      <c r="B205" s="2"/>
      <c r="C205" s="2"/>
      <c r="D205" s="2"/>
      <c r="E205" s="3"/>
      <c r="F205" s="3"/>
      <c r="G205" s="2"/>
      <c r="H205" s="2"/>
      <c r="I205" s="46"/>
      <c r="J205" s="12"/>
      <c r="K205" s="2"/>
      <c r="L205" s="59"/>
    </row>
    <row r="206" spans="1:12" x14ac:dyDescent="0.35">
      <c r="A206" s="45">
        <v>202</v>
      </c>
      <c r="B206" s="2"/>
      <c r="C206" s="2"/>
      <c r="D206" s="2"/>
      <c r="E206" s="3"/>
      <c r="F206" s="3"/>
      <c r="G206" s="2"/>
      <c r="H206" s="2"/>
      <c r="I206" s="46"/>
      <c r="J206" s="12"/>
      <c r="K206" s="2"/>
      <c r="L206" s="59"/>
    </row>
    <row r="207" spans="1:12" x14ac:dyDescent="0.35">
      <c r="A207" s="45">
        <v>203</v>
      </c>
      <c r="B207" s="2"/>
      <c r="C207" s="2"/>
      <c r="D207" s="2"/>
      <c r="E207" s="3"/>
      <c r="F207" s="3"/>
      <c r="G207" s="2"/>
      <c r="H207" s="2"/>
      <c r="I207" s="46"/>
      <c r="J207" s="12"/>
      <c r="K207" s="2"/>
      <c r="L207" s="59"/>
    </row>
    <row r="208" spans="1:12" x14ac:dyDescent="0.35">
      <c r="A208" s="45">
        <v>204</v>
      </c>
      <c r="B208" s="2"/>
      <c r="C208" s="2"/>
      <c r="D208" s="2"/>
      <c r="E208" s="3"/>
      <c r="F208" s="3"/>
      <c r="G208" s="2"/>
      <c r="H208" s="2"/>
      <c r="I208" s="46"/>
      <c r="J208" s="12"/>
      <c r="K208" s="2"/>
      <c r="L208" s="59"/>
    </row>
    <row r="209" spans="1:12" x14ac:dyDescent="0.35">
      <c r="A209" s="45">
        <v>205</v>
      </c>
      <c r="B209" s="2"/>
      <c r="C209" s="2"/>
      <c r="D209" s="2"/>
      <c r="E209" s="3"/>
      <c r="F209" s="3"/>
      <c r="G209" s="2"/>
      <c r="H209" s="2"/>
      <c r="I209" s="46"/>
      <c r="J209" s="12"/>
      <c r="K209" s="2"/>
      <c r="L209" s="59"/>
    </row>
    <row r="210" spans="1:12" x14ac:dyDescent="0.35">
      <c r="A210" s="45">
        <v>206</v>
      </c>
      <c r="B210" s="2"/>
      <c r="C210" s="2"/>
      <c r="D210" s="2"/>
      <c r="E210" s="3"/>
      <c r="F210" s="3"/>
      <c r="G210" s="2"/>
      <c r="H210" s="2"/>
      <c r="I210" s="46"/>
      <c r="J210" s="12"/>
      <c r="K210" s="2"/>
      <c r="L210" s="59"/>
    </row>
    <row r="211" spans="1:12" x14ac:dyDescent="0.35">
      <c r="A211" s="45">
        <v>207</v>
      </c>
      <c r="B211" s="2"/>
      <c r="C211" s="2"/>
      <c r="D211" s="2"/>
      <c r="E211" s="3"/>
      <c r="F211" s="3"/>
      <c r="G211" s="2"/>
      <c r="H211" s="2"/>
      <c r="I211" s="46"/>
      <c r="J211" s="12"/>
      <c r="K211" s="2"/>
      <c r="L211" s="59"/>
    </row>
    <row r="212" spans="1:12" x14ac:dyDescent="0.35">
      <c r="A212" s="45">
        <v>208</v>
      </c>
      <c r="B212" s="2"/>
      <c r="C212" s="2"/>
      <c r="D212" s="2"/>
      <c r="E212" s="3"/>
      <c r="F212" s="3"/>
      <c r="G212" s="2"/>
      <c r="H212" s="2"/>
      <c r="I212" s="46"/>
      <c r="J212" s="12"/>
      <c r="K212" s="2"/>
      <c r="L212" s="59"/>
    </row>
    <row r="213" spans="1:12" x14ac:dyDescent="0.35">
      <c r="A213" s="45">
        <v>209</v>
      </c>
      <c r="B213" s="2"/>
      <c r="C213" s="2"/>
      <c r="D213" s="2"/>
      <c r="E213" s="3"/>
      <c r="F213" s="3"/>
      <c r="G213" s="2"/>
      <c r="H213" s="2"/>
      <c r="I213" s="46"/>
      <c r="J213" s="12"/>
      <c r="K213" s="2"/>
      <c r="L213" s="59"/>
    </row>
    <row r="214" spans="1:12" x14ac:dyDescent="0.35">
      <c r="A214" s="45">
        <v>210</v>
      </c>
      <c r="B214" s="2"/>
      <c r="C214" s="2"/>
      <c r="D214" s="2"/>
      <c r="E214" s="3"/>
      <c r="F214" s="3"/>
      <c r="G214" s="2"/>
      <c r="H214" s="2"/>
      <c r="I214" s="46"/>
      <c r="J214" s="12"/>
      <c r="K214" s="2"/>
      <c r="L214" s="59"/>
    </row>
    <row r="215" spans="1:12" x14ac:dyDescent="0.35">
      <c r="A215" s="45">
        <v>211</v>
      </c>
      <c r="B215" s="2"/>
      <c r="C215" s="2"/>
      <c r="D215" s="2"/>
      <c r="E215" s="3"/>
      <c r="F215" s="3"/>
      <c r="G215" s="2"/>
      <c r="H215" s="2"/>
      <c r="I215" s="46"/>
      <c r="J215" s="12"/>
      <c r="K215" s="2"/>
      <c r="L215" s="59"/>
    </row>
    <row r="216" spans="1:12" x14ac:dyDescent="0.35">
      <c r="A216" s="45">
        <v>212</v>
      </c>
      <c r="B216" s="2"/>
      <c r="C216" s="2"/>
      <c r="D216" s="2"/>
      <c r="E216" s="3"/>
      <c r="F216" s="3"/>
      <c r="G216" s="2"/>
      <c r="H216" s="2"/>
      <c r="I216" s="46"/>
      <c r="J216" s="12"/>
      <c r="K216" s="2"/>
      <c r="L216" s="59"/>
    </row>
    <row r="217" spans="1:12" x14ac:dyDescent="0.35">
      <c r="A217" s="45">
        <v>213</v>
      </c>
      <c r="B217" s="2"/>
      <c r="C217" s="2"/>
      <c r="D217" s="2"/>
      <c r="E217" s="3"/>
      <c r="F217" s="3"/>
      <c r="G217" s="2"/>
      <c r="H217" s="2"/>
      <c r="I217" s="46"/>
      <c r="J217" s="12"/>
      <c r="K217" s="2"/>
      <c r="L217" s="59"/>
    </row>
    <row r="218" spans="1:12" x14ac:dyDescent="0.35">
      <c r="A218" s="45">
        <v>214</v>
      </c>
      <c r="B218" s="2"/>
      <c r="C218" s="2"/>
      <c r="D218" s="2"/>
      <c r="E218" s="3"/>
      <c r="F218" s="3"/>
      <c r="G218" s="2"/>
      <c r="H218" s="2"/>
      <c r="I218" s="46"/>
      <c r="J218" s="12"/>
      <c r="K218" s="2"/>
      <c r="L218" s="59"/>
    </row>
    <row r="219" spans="1:12" x14ac:dyDescent="0.35">
      <c r="A219" s="45">
        <v>215</v>
      </c>
      <c r="B219" s="2"/>
      <c r="C219" s="2"/>
      <c r="D219" s="2"/>
      <c r="E219" s="3"/>
      <c r="F219" s="3"/>
      <c r="G219" s="2"/>
      <c r="H219" s="2"/>
      <c r="I219" s="46"/>
      <c r="J219" s="12"/>
      <c r="K219" s="2"/>
      <c r="L219" s="59"/>
    </row>
    <row r="220" spans="1:12" x14ac:dyDescent="0.35">
      <c r="A220" s="45">
        <v>216</v>
      </c>
      <c r="B220" s="2"/>
      <c r="C220" s="2"/>
      <c r="D220" s="2"/>
      <c r="E220" s="3"/>
      <c r="F220" s="3"/>
      <c r="G220" s="2"/>
      <c r="H220" s="2"/>
      <c r="I220" s="46"/>
      <c r="J220" s="12"/>
      <c r="K220" s="2"/>
      <c r="L220" s="59"/>
    </row>
    <row r="221" spans="1:12" x14ac:dyDescent="0.35">
      <c r="A221" s="45">
        <v>217</v>
      </c>
      <c r="B221" s="2"/>
      <c r="C221" s="2"/>
      <c r="D221" s="2"/>
      <c r="E221" s="3"/>
      <c r="F221" s="3"/>
      <c r="G221" s="2"/>
      <c r="H221" s="2"/>
      <c r="I221" s="46"/>
      <c r="J221" s="12"/>
      <c r="K221" s="2"/>
      <c r="L221" s="59"/>
    </row>
    <row r="222" spans="1:12" x14ac:dyDescent="0.35">
      <c r="A222" s="45">
        <v>218</v>
      </c>
      <c r="B222" s="2"/>
      <c r="C222" s="2"/>
      <c r="D222" s="2"/>
      <c r="E222" s="3"/>
      <c r="F222" s="3"/>
      <c r="G222" s="2"/>
      <c r="H222" s="2"/>
      <c r="I222" s="46"/>
      <c r="J222" s="12"/>
      <c r="K222" s="2"/>
      <c r="L222" s="59"/>
    </row>
    <row r="223" spans="1:12" x14ac:dyDescent="0.35">
      <c r="A223" s="45">
        <v>219</v>
      </c>
      <c r="B223" s="2"/>
      <c r="C223" s="2"/>
      <c r="D223" s="2"/>
      <c r="E223" s="3"/>
      <c r="F223" s="3"/>
      <c r="G223" s="2"/>
      <c r="H223" s="2"/>
      <c r="I223" s="46"/>
      <c r="J223" s="12"/>
      <c r="K223" s="2"/>
      <c r="L223" s="59"/>
    </row>
    <row r="224" spans="1:12" x14ac:dyDescent="0.35">
      <c r="A224" s="45">
        <v>220</v>
      </c>
      <c r="B224" s="2"/>
      <c r="C224" s="2"/>
      <c r="D224" s="2"/>
      <c r="E224" s="3"/>
      <c r="F224" s="3"/>
      <c r="G224" s="2"/>
      <c r="H224" s="2"/>
      <c r="I224" s="46"/>
      <c r="J224" s="12"/>
      <c r="K224" s="2"/>
      <c r="L224" s="59"/>
    </row>
    <row r="225" spans="1:12" x14ac:dyDescent="0.35">
      <c r="A225" s="45">
        <v>221</v>
      </c>
      <c r="B225" s="2"/>
      <c r="C225" s="2"/>
      <c r="D225" s="2"/>
      <c r="E225" s="3"/>
      <c r="F225" s="3"/>
      <c r="G225" s="2"/>
      <c r="H225" s="2"/>
      <c r="I225" s="46"/>
      <c r="J225" s="12"/>
      <c r="K225" s="2"/>
      <c r="L225" s="59"/>
    </row>
    <row r="226" spans="1:12" x14ac:dyDescent="0.35">
      <c r="A226" s="45">
        <v>222</v>
      </c>
      <c r="B226" s="2"/>
      <c r="C226" s="2"/>
      <c r="D226" s="2"/>
      <c r="E226" s="3"/>
      <c r="F226" s="3"/>
      <c r="G226" s="2"/>
      <c r="H226" s="2"/>
      <c r="I226" s="46"/>
      <c r="J226" s="12"/>
      <c r="K226" s="2"/>
      <c r="L226" s="59"/>
    </row>
    <row r="227" spans="1:12" x14ac:dyDescent="0.35">
      <c r="A227" s="45">
        <v>223</v>
      </c>
      <c r="B227" s="2"/>
      <c r="C227" s="2"/>
      <c r="D227" s="2"/>
      <c r="E227" s="3"/>
      <c r="F227" s="3"/>
      <c r="G227" s="2"/>
      <c r="H227" s="2"/>
      <c r="I227" s="46"/>
      <c r="J227" s="12"/>
      <c r="K227" s="2"/>
      <c r="L227" s="59"/>
    </row>
    <row r="228" spans="1:12" x14ac:dyDescent="0.35">
      <c r="A228" s="45">
        <v>224</v>
      </c>
      <c r="B228" s="2"/>
      <c r="C228" s="2"/>
      <c r="D228" s="2"/>
      <c r="E228" s="3"/>
      <c r="F228" s="3"/>
      <c r="G228" s="2"/>
      <c r="H228" s="2"/>
      <c r="I228" s="46"/>
      <c r="J228" s="12"/>
      <c r="K228" s="2"/>
      <c r="L228" s="59"/>
    </row>
    <row r="229" spans="1:12" x14ac:dyDescent="0.35">
      <c r="A229" s="45">
        <v>225</v>
      </c>
      <c r="B229" s="2"/>
      <c r="C229" s="2"/>
      <c r="D229" s="2"/>
      <c r="E229" s="3"/>
      <c r="F229" s="3"/>
      <c r="G229" s="2"/>
      <c r="H229" s="2"/>
      <c r="I229" s="46"/>
      <c r="J229" s="12"/>
      <c r="K229" s="2"/>
      <c r="L229" s="59"/>
    </row>
    <row r="230" spans="1:12" x14ac:dyDescent="0.35">
      <c r="A230" s="45">
        <v>226</v>
      </c>
      <c r="B230" s="2"/>
      <c r="C230" s="2"/>
      <c r="D230" s="2"/>
      <c r="E230" s="3"/>
      <c r="F230" s="3"/>
      <c r="G230" s="2"/>
      <c r="H230" s="2"/>
      <c r="I230" s="46"/>
      <c r="J230" s="12"/>
      <c r="K230" s="2"/>
      <c r="L230" s="59"/>
    </row>
    <row r="231" spans="1:12" x14ac:dyDescent="0.35">
      <c r="A231" s="45">
        <v>227</v>
      </c>
      <c r="B231" s="2"/>
      <c r="C231" s="2"/>
      <c r="D231" s="2"/>
      <c r="E231" s="3"/>
      <c r="F231" s="3"/>
      <c r="G231" s="2"/>
      <c r="H231" s="2"/>
      <c r="I231" s="46"/>
      <c r="J231" s="12"/>
      <c r="K231" s="2"/>
      <c r="L231" s="59"/>
    </row>
    <row r="232" spans="1:12" x14ac:dyDescent="0.35">
      <c r="A232" s="45">
        <v>228</v>
      </c>
      <c r="B232" s="2"/>
      <c r="C232" s="2"/>
      <c r="D232" s="2"/>
      <c r="E232" s="3"/>
      <c r="F232" s="3"/>
      <c r="G232" s="2"/>
      <c r="H232" s="2"/>
      <c r="I232" s="46"/>
      <c r="J232" s="12"/>
      <c r="K232" s="2"/>
      <c r="L232" s="59"/>
    </row>
    <row r="233" spans="1:12" x14ac:dyDescent="0.35">
      <c r="A233" s="45">
        <v>229</v>
      </c>
      <c r="B233" s="2"/>
      <c r="C233" s="2"/>
      <c r="D233" s="2"/>
      <c r="E233" s="3"/>
      <c r="F233" s="3"/>
      <c r="G233" s="2"/>
      <c r="H233" s="2"/>
      <c r="I233" s="46"/>
      <c r="J233" s="12"/>
      <c r="K233" s="2"/>
      <c r="L233" s="59"/>
    </row>
    <row r="234" spans="1:12" x14ac:dyDescent="0.35">
      <c r="A234" s="45">
        <v>230</v>
      </c>
      <c r="B234" s="2"/>
      <c r="C234" s="2"/>
      <c r="D234" s="2"/>
      <c r="E234" s="3"/>
      <c r="F234" s="3"/>
      <c r="G234" s="2"/>
      <c r="H234" s="2"/>
      <c r="I234" s="46"/>
      <c r="J234" s="12"/>
      <c r="K234" s="2"/>
      <c r="L234" s="59"/>
    </row>
    <row r="235" spans="1:12" x14ac:dyDescent="0.35">
      <c r="A235" s="45">
        <v>231</v>
      </c>
      <c r="B235" s="2"/>
      <c r="C235" s="2"/>
      <c r="D235" s="2"/>
      <c r="E235" s="3"/>
      <c r="F235" s="3"/>
      <c r="G235" s="2"/>
      <c r="H235" s="2"/>
      <c r="I235" s="46"/>
      <c r="J235" s="12"/>
      <c r="K235" s="2"/>
      <c r="L235" s="59"/>
    </row>
    <row r="236" spans="1:12" x14ac:dyDescent="0.35">
      <c r="A236" s="45">
        <v>232</v>
      </c>
      <c r="B236" s="2"/>
      <c r="C236" s="2"/>
      <c r="D236" s="2"/>
      <c r="E236" s="3"/>
      <c r="F236" s="3"/>
      <c r="G236" s="2"/>
      <c r="H236" s="2"/>
      <c r="I236" s="46"/>
      <c r="J236" s="12"/>
      <c r="K236" s="2"/>
      <c r="L236" s="59"/>
    </row>
    <row r="237" spans="1:12" x14ac:dyDescent="0.35">
      <c r="A237" s="45">
        <v>233</v>
      </c>
      <c r="B237" s="2"/>
      <c r="C237" s="2"/>
      <c r="D237" s="2"/>
      <c r="E237" s="3"/>
      <c r="F237" s="3"/>
      <c r="G237" s="2"/>
      <c r="H237" s="2"/>
      <c r="I237" s="46"/>
      <c r="J237" s="12"/>
      <c r="K237" s="2"/>
      <c r="L237" s="59"/>
    </row>
    <row r="238" spans="1:12" x14ac:dyDescent="0.35">
      <c r="A238" s="45">
        <v>234</v>
      </c>
      <c r="B238" s="2"/>
      <c r="C238" s="2"/>
      <c r="D238" s="2"/>
      <c r="E238" s="3"/>
      <c r="F238" s="3"/>
      <c r="G238" s="2"/>
      <c r="H238" s="2"/>
      <c r="I238" s="46"/>
      <c r="J238" s="12"/>
      <c r="K238" s="2"/>
      <c r="L238" s="59"/>
    </row>
    <row r="239" spans="1:12" x14ac:dyDescent="0.35">
      <c r="A239" s="45">
        <v>235</v>
      </c>
      <c r="B239" s="2"/>
      <c r="C239" s="2"/>
      <c r="D239" s="2"/>
      <c r="E239" s="3"/>
      <c r="F239" s="3"/>
      <c r="G239" s="2"/>
      <c r="H239" s="2"/>
      <c r="I239" s="46"/>
      <c r="J239" s="12"/>
      <c r="K239" s="2"/>
      <c r="L239" s="59"/>
    </row>
    <row r="240" spans="1:12" x14ac:dyDescent="0.35">
      <c r="A240" s="45">
        <v>236</v>
      </c>
      <c r="B240" s="2"/>
      <c r="C240" s="2"/>
      <c r="D240" s="2"/>
      <c r="E240" s="3"/>
      <c r="F240" s="3"/>
      <c r="G240" s="2"/>
      <c r="H240" s="2"/>
      <c r="I240" s="46"/>
      <c r="J240" s="12"/>
      <c r="K240" s="2"/>
      <c r="L240" s="59"/>
    </row>
    <row r="241" spans="1:12" x14ac:dyDescent="0.35">
      <c r="A241" s="45">
        <v>237</v>
      </c>
      <c r="B241" s="2"/>
      <c r="C241" s="2"/>
      <c r="D241" s="2"/>
      <c r="E241" s="3"/>
      <c r="F241" s="3"/>
      <c r="G241" s="2"/>
      <c r="H241" s="2"/>
      <c r="I241" s="46"/>
      <c r="J241" s="12"/>
      <c r="K241" s="2"/>
      <c r="L241" s="59"/>
    </row>
    <row r="242" spans="1:12" x14ac:dyDescent="0.35">
      <c r="A242" s="45">
        <v>238</v>
      </c>
      <c r="B242" s="2"/>
      <c r="C242" s="2"/>
      <c r="D242" s="2"/>
      <c r="E242" s="3"/>
      <c r="F242" s="3"/>
      <c r="G242" s="2"/>
      <c r="H242" s="2"/>
      <c r="I242" s="46"/>
      <c r="J242" s="12"/>
      <c r="K242" s="2"/>
      <c r="L242" s="59"/>
    </row>
    <row r="243" spans="1:12" x14ac:dyDescent="0.35">
      <c r="A243" s="45">
        <v>239</v>
      </c>
      <c r="B243" s="2"/>
      <c r="C243" s="2"/>
      <c r="D243" s="2"/>
      <c r="E243" s="3"/>
      <c r="F243" s="3"/>
      <c r="G243" s="2"/>
      <c r="H243" s="2"/>
      <c r="I243" s="46"/>
      <c r="J243" s="12"/>
      <c r="K243" s="2"/>
      <c r="L243" s="59"/>
    </row>
    <row r="244" spans="1:12" x14ac:dyDescent="0.35">
      <c r="A244" s="45">
        <v>240</v>
      </c>
      <c r="B244" s="2"/>
      <c r="C244" s="2"/>
      <c r="D244" s="2"/>
      <c r="E244" s="3"/>
      <c r="F244" s="3"/>
      <c r="G244" s="2"/>
      <c r="H244" s="2"/>
      <c r="I244" s="46"/>
      <c r="J244" s="12"/>
      <c r="K244" s="2"/>
      <c r="L244" s="59"/>
    </row>
    <row r="245" spans="1:12" x14ac:dyDescent="0.35">
      <c r="A245" s="45">
        <v>241</v>
      </c>
      <c r="B245" s="2"/>
      <c r="C245" s="2"/>
      <c r="D245" s="2"/>
      <c r="E245" s="3"/>
      <c r="F245" s="3"/>
      <c r="G245" s="2"/>
      <c r="H245" s="2"/>
      <c r="I245" s="46"/>
      <c r="J245" s="12"/>
      <c r="K245" s="2"/>
      <c r="L245" s="59"/>
    </row>
    <row r="246" spans="1:12" x14ac:dyDescent="0.35">
      <c r="A246" s="45">
        <v>242</v>
      </c>
      <c r="B246" s="2"/>
      <c r="C246" s="2"/>
      <c r="D246" s="2"/>
      <c r="E246" s="3"/>
      <c r="F246" s="3"/>
      <c r="G246" s="2"/>
      <c r="H246" s="2"/>
      <c r="I246" s="46"/>
      <c r="J246" s="12"/>
      <c r="K246" s="2"/>
      <c r="L246" s="59"/>
    </row>
    <row r="247" spans="1:12" x14ac:dyDescent="0.35">
      <c r="A247" s="45">
        <v>243</v>
      </c>
      <c r="B247" s="2"/>
      <c r="C247" s="2"/>
      <c r="D247" s="2"/>
      <c r="E247" s="3"/>
      <c r="F247" s="3"/>
      <c r="G247" s="2"/>
      <c r="H247" s="2"/>
      <c r="I247" s="46"/>
      <c r="J247" s="12"/>
      <c r="K247" s="2"/>
      <c r="L247" s="59"/>
    </row>
    <row r="248" spans="1:12" x14ac:dyDescent="0.35">
      <c r="A248" s="45">
        <v>244</v>
      </c>
      <c r="B248" s="2"/>
      <c r="C248" s="2"/>
      <c r="D248" s="2"/>
      <c r="E248" s="3"/>
      <c r="F248" s="3"/>
      <c r="G248" s="2"/>
      <c r="H248" s="2"/>
      <c r="I248" s="46"/>
      <c r="J248" s="12"/>
      <c r="K248" s="2"/>
      <c r="L248" s="59"/>
    </row>
    <row r="249" spans="1:12" x14ac:dyDescent="0.35">
      <c r="A249" s="45">
        <v>245</v>
      </c>
      <c r="B249" s="2"/>
      <c r="C249" s="2"/>
      <c r="D249" s="2"/>
      <c r="E249" s="3"/>
      <c r="F249" s="3"/>
      <c r="G249" s="2"/>
      <c r="H249" s="2"/>
      <c r="I249" s="46"/>
      <c r="J249" s="12"/>
      <c r="K249" s="2"/>
      <c r="L249" s="59"/>
    </row>
    <row r="250" spans="1:12" x14ac:dyDescent="0.35">
      <c r="A250" s="45">
        <v>246</v>
      </c>
      <c r="B250" s="2"/>
      <c r="C250" s="2"/>
      <c r="D250" s="2"/>
      <c r="E250" s="3"/>
      <c r="F250" s="3"/>
      <c r="G250" s="2"/>
      <c r="H250" s="2"/>
      <c r="I250" s="46"/>
      <c r="J250" s="12"/>
      <c r="K250" s="2"/>
      <c r="L250" s="59"/>
    </row>
    <row r="251" spans="1:12" x14ac:dyDescent="0.35">
      <c r="A251" s="45">
        <v>247</v>
      </c>
      <c r="B251" s="2"/>
      <c r="C251" s="2"/>
      <c r="D251" s="2"/>
      <c r="E251" s="3"/>
      <c r="F251" s="3"/>
      <c r="G251" s="2"/>
      <c r="H251" s="2"/>
      <c r="I251" s="46"/>
      <c r="J251" s="12"/>
      <c r="K251" s="2"/>
      <c r="L251" s="59"/>
    </row>
    <row r="252" spans="1:12" x14ac:dyDescent="0.35">
      <c r="A252" s="45">
        <v>248</v>
      </c>
      <c r="B252" s="2"/>
      <c r="C252" s="2"/>
      <c r="D252" s="2"/>
      <c r="E252" s="3"/>
      <c r="F252" s="3"/>
      <c r="G252" s="2"/>
      <c r="H252" s="2"/>
      <c r="I252" s="46"/>
      <c r="J252" s="12"/>
      <c r="K252" s="2"/>
      <c r="L252" s="59"/>
    </row>
    <row r="253" spans="1:12" x14ac:dyDescent="0.35">
      <c r="A253" s="45">
        <v>249</v>
      </c>
      <c r="B253" s="2"/>
      <c r="C253" s="2"/>
      <c r="D253" s="2"/>
      <c r="E253" s="3"/>
      <c r="F253" s="3"/>
      <c r="G253" s="2"/>
      <c r="H253" s="2"/>
      <c r="I253" s="46"/>
      <c r="J253" s="12"/>
      <c r="K253" s="2"/>
      <c r="L253" s="59"/>
    </row>
    <row r="254" spans="1:12" x14ac:dyDescent="0.35">
      <c r="A254" s="45">
        <v>250</v>
      </c>
      <c r="B254" s="2"/>
      <c r="C254" s="2"/>
      <c r="D254" s="2"/>
      <c r="E254" s="3"/>
      <c r="F254" s="3"/>
      <c r="G254" s="2"/>
      <c r="H254" s="2"/>
      <c r="I254" s="46"/>
      <c r="J254" s="12"/>
      <c r="K254" s="2"/>
      <c r="L254" s="59"/>
    </row>
    <row r="255" spans="1:12" x14ac:dyDescent="0.35">
      <c r="A255" s="45">
        <v>251</v>
      </c>
      <c r="B255" s="2"/>
      <c r="C255" s="2"/>
      <c r="D255" s="2"/>
      <c r="E255" s="3"/>
      <c r="F255" s="3"/>
      <c r="G255" s="2"/>
      <c r="H255" s="2"/>
      <c r="I255" s="46"/>
      <c r="J255" s="12"/>
      <c r="K255" s="2"/>
      <c r="L255" s="59"/>
    </row>
    <row r="256" spans="1:12" x14ac:dyDescent="0.35">
      <c r="A256" s="45">
        <v>252</v>
      </c>
      <c r="B256" s="2"/>
      <c r="C256" s="2"/>
      <c r="D256" s="2"/>
      <c r="E256" s="3"/>
      <c r="F256" s="3"/>
      <c r="G256" s="2"/>
      <c r="H256" s="2"/>
      <c r="I256" s="46"/>
      <c r="J256" s="12"/>
      <c r="K256" s="2"/>
      <c r="L256" s="59"/>
    </row>
    <row r="257" spans="1:12" x14ac:dyDescent="0.35">
      <c r="A257" s="45">
        <v>253</v>
      </c>
      <c r="B257" s="2"/>
      <c r="C257" s="2"/>
      <c r="D257" s="2"/>
      <c r="E257" s="3"/>
      <c r="F257" s="3"/>
      <c r="G257" s="2"/>
      <c r="H257" s="2"/>
      <c r="I257" s="46"/>
      <c r="J257" s="12"/>
      <c r="K257" s="2"/>
      <c r="L257" s="59"/>
    </row>
    <row r="258" spans="1:12" x14ac:dyDescent="0.35">
      <c r="A258" s="45">
        <v>254</v>
      </c>
      <c r="B258" s="2"/>
      <c r="C258" s="2"/>
      <c r="D258" s="2"/>
      <c r="E258" s="3"/>
      <c r="F258" s="3"/>
      <c r="G258" s="2"/>
      <c r="H258" s="2"/>
      <c r="I258" s="46"/>
      <c r="J258" s="12"/>
      <c r="K258" s="2"/>
      <c r="L258" s="59"/>
    </row>
    <row r="259" spans="1:12" x14ac:dyDescent="0.35">
      <c r="A259" s="45">
        <v>255</v>
      </c>
      <c r="B259" s="2"/>
      <c r="C259" s="2"/>
      <c r="D259" s="2"/>
      <c r="E259" s="3"/>
      <c r="F259" s="3"/>
      <c r="G259" s="2"/>
      <c r="H259" s="2"/>
      <c r="I259" s="46"/>
      <c r="J259" s="12"/>
      <c r="K259" s="2"/>
      <c r="L259" s="59"/>
    </row>
    <row r="260" spans="1:12" x14ac:dyDescent="0.35">
      <c r="A260" s="45">
        <v>256</v>
      </c>
      <c r="B260" s="2"/>
      <c r="C260" s="2"/>
      <c r="D260" s="2"/>
      <c r="E260" s="3"/>
      <c r="F260" s="3"/>
      <c r="G260" s="2"/>
      <c r="H260" s="2"/>
      <c r="I260" s="46"/>
      <c r="J260" s="12"/>
      <c r="K260" s="2"/>
      <c r="L260" s="59"/>
    </row>
    <row r="261" spans="1:12" x14ac:dyDescent="0.35">
      <c r="A261" s="45">
        <v>257</v>
      </c>
      <c r="B261" s="2"/>
      <c r="C261" s="2"/>
      <c r="D261" s="2"/>
      <c r="E261" s="3"/>
      <c r="F261" s="3"/>
      <c r="G261" s="2"/>
      <c r="H261" s="2"/>
      <c r="I261" s="46"/>
      <c r="J261" s="12"/>
      <c r="K261" s="2"/>
      <c r="L261" s="59"/>
    </row>
    <row r="262" spans="1:12" x14ac:dyDescent="0.35">
      <c r="A262" s="45">
        <v>258</v>
      </c>
      <c r="B262" s="2"/>
      <c r="C262" s="2"/>
      <c r="D262" s="2"/>
      <c r="E262" s="3"/>
      <c r="F262" s="3"/>
      <c r="G262" s="2"/>
      <c r="H262" s="2"/>
      <c r="I262" s="46"/>
      <c r="J262" s="12"/>
      <c r="K262" s="2"/>
      <c r="L262" s="59"/>
    </row>
    <row r="263" spans="1:12" x14ac:dyDescent="0.35">
      <c r="A263" s="45">
        <v>259</v>
      </c>
      <c r="B263" s="2"/>
      <c r="C263" s="2"/>
      <c r="D263" s="2"/>
      <c r="E263" s="3"/>
      <c r="F263" s="3"/>
      <c r="G263" s="2"/>
      <c r="H263" s="2"/>
      <c r="I263" s="46"/>
      <c r="J263" s="12"/>
      <c r="K263" s="2"/>
      <c r="L263" s="59"/>
    </row>
    <row r="264" spans="1:12" x14ac:dyDescent="0.35">
      <c r="A264" s="45">
        <v>260</v>
      </c>
      <c r="B264" s="2"/>
      <c r="C264" s="2"/>
      <c r="D264" s="2"/>
      <c r="E264" s="3"/>
      <c r="F264" s="3"/>
      <c r="G264" s="2"/>
      <c r="H264" s="2"/>
      <c r="I264" s="46"/>
      <c r="J264" s="12"/>
      <c r="K264" s="2"/>
      <c r="L264" s="59"/>
    </row>
    <row r="265" spans="1:12" x14ac:dyDescent="0.35">
      <c r="A265" s="45">
        <v>261</v>
      </c>
      <c r="B265" s="2"/>
      <c r="C265" s="2"/>
      <c r="D265" s="2"/>
      <c r="E265" s="3"/>
      <c r="F265" s="3"/>
      <c r="G265" s="2"/>
      <c r="H265" s="2"/>
      <c r="I265" s="46"/>
      <c r="J265" s="12"/>
      <c r="K265" s="2"/>
      <c r="L265" s="59"/>
    </row>
    <row r="266" spans="1:12" x14ac:dyDescent="0.35">
      <c r="A266" s="45">
        <v>262</v>
      </c>
      <c r="B266" s="2"/>
      <c r="C266" s="2"/>
      <c r="D266" s="2"/>
      <c r="E266" s="3"/>
      <c r="F266" s="3"/>
      <c r="G266" s="2"/>
      <c r="H266" s="2"/>
      <c r="I266" s="46"/>
      <c r="J266" s="12"/>
      <c r="K266" s="2"/>
      <c r="L266" s="59"/>
    </row>
    <row r="267" spans="1:12" x14ac:dyDescent="0.35">
      <c r="A267" s="45">
        <v>263</v>
      </c>
      <c r="B267" s="2"/>
      <c r="C267" s="2"/>
      <c r="D267" s="2"/>
      <c r="E267" s="3"/>
      <c r="F267" s="3"/>
      <c r="G267" s="2"/>
      <c r="H267" s="2"/>
      <c r="I267" s="46"/>
      <c r="J267" s="12"/>
      <c r="K267" s="2"/>
      <c r="L267" s="59"/>
    </row>
    <row r="268" spans="1:12" x14ac:dyDescent="0.35">
      <c r="A268" s="45">
        <v>264</v>
      </c>
      <c r="B268" s="2"/>
      <c r="C268" s="2"/>
      <c r="D268" s="2"/>
      <c r="E268" s="3"/>
      <c r="F268" s="3"/>
      <c r="G268" s="2"/>
      <c r="H268" s="2"/>
      <c r="I268" s="46"/>
      <c r="J268" s="12"/>
      <c r="K268" s="2"/>
      <c r="L268" s="59"/>
    </row>
    <row r="269" spans="1:12" x14ac:dyDescent="0.35">
      <c r="A269" s="45">
        <v>265</v>
      </c>
      <c r="B269" s="2"/>
      <c r="C269" s="2"/>
      <c r="D269" s="2"/>
      <c r="E269" s="3"/>
      <c r="F269" s="3"/>
      <c r="G269" s="2"/>
      <c r="H269" s="2"/>
      <c r="I269" s="46"/>
      <c r="J269" s="12"/>
      <c r="K269" s="2"/>
      <c r="L269" s="59"/>
    </row>
    <row r="270" spans="1:12" x14ac:dyDescent="0.35">
      <c r="A270" s="45">
        <v>266</v>
      </c>
      <c r="B270" s="2"/>
      <c r="C270" s="2"/>
      <c r="D270" s="2"/>
      <c r="E270" s="3"/>
      <c r="F270" s="3"/>
      <c r="G270" s="2"/>
      <c r="H270" s="2"/>
      <c r="I270" s="46"/>
      <c r="J270" s="12"/>
      <c r="K270" s="2"/>
      <c r="L270" s="59"/>
    </row>
    <row r="271" spans="1:12" x14ac:dyDescent="0.35">
      <c r="A271" s="45">
        <v>267</v>
      </c>
      <c r="B271" s="2"/>
      <c r="C271" s="2"/>
      <c r="D271" s="2"/>
      <c r="E271" s="3"/>
      <c r="F271" s="3"/>
      <c r="G271" s="2"/>
      <c r="H271" s="2"/>
      <c r="I271" s="46"/>
      <c r="J271" s="12"/>
      <c r="K271" s="2"/>
      <c r="L271" s="59"/>
    </row>
    <row r="272" spans="1:12" x14ac:dyDescent="0.35">
      <c r="A272" s="45">
        <v>268</v>
      </c>
      <c r="B272" s="2"/>
      <c r="C272" s="2"/>
      <c r="D272" s="2"/>
      <c r="E272" s="3"/>
      <c r="F272" s="3"/>
      <c r="G272" s="2"/>
      <c r="H272" s="2"/>
      <c r="I272" s="46"/>
      <c r="J272" s="12"/>
      <c r="K272" s="2"/>
      <c r="L272" s="59"/>
    </row>
    <row r="273" spans="1:12" x14ac:dyDescent="0.35">
      <c r="A273" s="45">
        <v>269</v>
      </c>
      <c r="B273" s="2"/>
      <c r="C273" s="2"/>
      <c r="D273" s="2"/>
      <c r="E273" s="3"/>
      <c r="F273" s="3"/>
      <c r="G273" s="2"/>
      <c r="H273" s="2"/>
      <c r="I273" s="46"/>
      <c r="J273" s="12"/>
      <c r="K273" s="2"/>
      <c r="L273" s="59"/>
    </row>
    <row r="274" spans="1:12" x14ac:dyDescent="0.35">
      <c r="A274" s="45">
        <v>270</v>
      </c>
      <c r="B274" s="2"/>
      <c r="C274" s="2"/>
      <c r="D274" s="2"/>
      <c r="E274" s="3"/>
      <c r="F274" s="3"/>
      <c r="G274" s="2"/>
      <c r="H274" s="2"/>
      <c r="I274" s="46"/>
      <c r="J274" s="12"/>
      <c r="K274" s="2"/>
      <c r="L274" s="59"/>
    </row>
    <row r="275" spans="1:12" x14ac:dyDescent="0.35">
      <c r="A275" s="45">
        <v>271</v>
      </c>
      <c r="B275" s="2"/>
      <c r="C275" s="2"/>
      <c r="D275" s="2"/>
      <c r="E275" s="3"/>
      <c r="F275" s="3"/>
      <c r="G275" s="2"/>
      <c r="H275" s="2"/>
      <c r="I275" s="46"/>
      <c r="J275" s="12"/>
      <c r="K275" s="2"/>
      <c r="L275" s="59"/>
    </row>
    <row r="276" spans="1:12" x14ac:dyDescent="0.35">
      <c r="A276" s="45">
        <v>272</v>
      </c>
      <c r="B276" s="2"/>
      <c r="C276" s="2"/>
      <c r="D276" s="2"/>
      <c r="E276" s="3"/>
      <c r="F276" s="3"/>
      <c r="G276" s="2"/>
      <c r="H276" s="2"/>
      <c r="I276" s="46"/>
      <c r="J276" s="12"/>
      <c r="K276" s="2"/>
      <c r="L276" s="59"/>
    </row>
    <row r="277" spans="1:12" x14ac:dyDescent="0.35">
      <c r="A277" s="45">
        <v>273</v>
      </c>
      <c r="B277" s="2"/>
      <c r="C277" s="2"/>
      <c r="D277" s="2"/>
      <c r="E277" s="3"/>
      <c r="F277" s="3"/>
      <c r="G277" s="2"/>
      <c r="H277" s="2"/>
      <c r="I277" s="46"/>
      <c r="J277" s="12"/>
      <c r="K277" s="2"/>
      <c r="L277" s="59"/>
    </row>
    <row r="278" spans="1:12" x14ac:dyDescent="0.35">
      <c r="A278" s="45">
        <v>274</v>
      </c>
      <c r="B278" s="2"/>
      <c r="C278" s="2"/>
      <c r="D278" s="2"/>
      <c r="E278" s="3"/>
      <c r="F278" s="3"/>
      <c r="G278" s="2"/>
      <c r="H278" s="2"/>
      <c r="I278" s="46"/>
      <c r="J278" s="12"/>
      <c r="K278" s="2"/>
      <c r="L278" s="59"/>
    </row>
    <row r="279" spans="1:12" x14ac:dyDescent="0.35">
      <c r="A279" s="45">
        <v>275</v>
      </c>
      <c r="B279" s="2"/>
      <c r="C279" s="2"/>
      <c r="D279" s="2"/>
      <c r="E279" s="3"/>
      <c r="F279" s="3"/>
      <c r="G279" s="2"/>
      <c r="H279" s="2"/>
      <c r="I279" s="46"/>
      <c r="J279" s="12"/>
      <c r="K279" s="2"/>
      <c r="L279" s="59"/>
    </row>
    <row r="280" spans="1:12" x14ac:dyDescent="0.35">
      <c r="A280" s="45">
        <v>276</v>
      </c>
      <c r="B280" s="2"/>
      <c r="C280" s="2"/>
      <c r="D280" s="2"/>
      <c r="E280" s="3"/>
      <c r="F280" s="3"/>
      <c r="G280" s="2"/>
      <c r="H280" s="2"/>
      <c r="I280" s="46"/>
      <c r="J280" s="12"/>
      <c r="K280" s="2"/>
      <c r="L280" s="59"/>
    </row>
    <row r="281" spans="1:12" x14ac:dyDescent="0.35">
      <c r="A281" s="45">
        <v>277</v>
      </c>
      <c r="B281" s="2"/>
      <c r="C281" s="2"/>
      <c r="D281" s="2"/>
      <c r="E281" s="3"/>
      <c r="F281" s="3"/>
      <c r="G281" s="2"/>
      <c r="H281" s="2"/>
      <c r="I281" s="46"/>
      <c r="J281" s="12"/>
      <c r="K281" s="2"/>
      <c r="L281" s="59"/>
    </row>
    <row r="282" spans="1:12" x14ac:dyDescent="0.35">
      <c r="A282" s="45">
        <v>278</v>
      </c>
      <c r="B282" s="2"/>
      <c r="C282" s="2"/>
      <c r="D282" s="2"/>
      <c r="E282" s="3"/>
      <c r="F282" s="3"/>
      <c r="G282" s="2"/>
      <c r="H282" s="2"/>
      <c r="I282" s="46"/>
      <c r="J282" s="12"/>
      <c r="K282" s="2"/>
      <c r="L282" s="59"/>
    </row>
    <row r="283" spans="1:12" x14ac:dyDescent="0.35">
      <c r="A283" s="45">
        <v>279</v>
      </c>
      <c r="B283" s="2"/>
      <c r="C283" s="2"/>
      <c r="D283" s="2"/>
      <c r="E283" s="3"/>
      <c r="F283" s="3"/>
      <c r="G283" s="2"/>
      <c r="H283" s="2"/>
      <c r="I283" s="46"/>
      <c r="J283" s="12"/>
      <c r="K283" s="2"/>
      <c r="L283" s="59"/>
    </row>
    <row r="284" spans="1:12" x14ac:dyDescent="0.35">
      <c r="A284" s="45">
        <v>280</v>
      </c>
      <c r="B284" s="2"/>
      <c r="C284" s="2"/>
      <c r="D284" s="2"/>
      <c r="E284" s="3"/>
      <c r="F284" s="3"/>
      <c r="G284" s="2"/>
      <c r="H284" s="2"/>
      <c r="I284" s="46"/>
      <c r="J284" s="12"/>
      <c r="K284" s="2"/>
      <c r="L284" s="59"/>
    </row>
    <row r="285" spans="1:12" x14ac:dyDescent="0.35">
      <c r="A285" s="45">
        <v>281</v>
      </c>
      <c r="B285" s="2"/>
      <c r="C285" s="2"/>
      <c r="D285" s="2"/>
      <c r="E285" s="3"/>
      <c r="F285" s="3"/>
      <c r="G285" s="2"/>
      <c r="H285" s="2"/>
      <c r="I285" s="46"/>
      <c r="J285" s="12"/>
      <c r="K285" s="2"/>
      <c r="L285" s="59"/>
    </row>
    <row r="286" spans="1:12" x14ac:dyDescent="0.35">
      <c r="A286" s="45">
        <v>282</v>
      </c>
      <c r="B286" s="2"/>
      <c r="C286" s="2"/>
      <c r="D286" s="2"/>
      <c r="E286" s="3"/>
      <c r="F286" s="3"/>
      <c r="G286" s="2"/>
      <c r="H286" s="2"/>
      <c r="I286" s="46"/>
      <c r="J286" s="12"/>
      <c r="K286" s="2"/>
      <c r="L286" s="59"/>
    </row>
    <row r="287" spans="1:12" x14ac:dyDescent="0.35">
      <c r="A287" s="45">
        <v>283</v>
      </c>
      <c r="B287" s="2"/>
      <c r="C287" s="2"/>
      <c r="D287" s="2"/>
      <c r="E287" s="3"/>
      <c r="F287" s="3"/>
      <c r="G287" s="2"/>
      <c r="H287" s="2"/>
      <c r="I287" s="46"/>
      <c r="J287" s="12"/>
      <c r="K287" s="2"/>
      <c r="L287" s="59"/>
    </row>
    <row r="288" spans="1:12" x14ac:dyDescent="0.35">
      <c r="A288" s="45">
        <v>284</v>
      </c>
      <c r="B288" s="2"/>
      <c r="C288" s="2"/>
      <c r="D288" s="2"/>
      <c r="E288" s="3"/>
      <c r="F288" s="3"/>
      <c r="G288" s="2"/>
      <c r="H288" s="2"/>
      <c r="I288" s="46"/>
      <c r="J288" s="12"/>
      <c r="K288" s="2"/>
      <c r="L288" s="59"/>
    </row>
    <row r="289" spans="1:12" x14ac:dyDescent="0.35">
      <c r="A289" s="45">
        <v>285</v>
      </c>
      <c r="B289" s="2"/>
      <c r="C289" s="2"/>
      <c r="D289" s="2"/>
      <c r="E289" s="3"/>
      <c r="F289" s="3"/>
      <c r="G289" s="2"/>
      <c r="H289" s="2"/>
      <c r="I289" s="46"/>
      <c r="J289" s="12"/>
      <c r="K289" s="2"/>
      <c r="L289" s="59"/>
    </row>
    <row r="290" spans="1:12" x14ac:dyDescent="0.35">
      <c r="A290" s="45">
        <v>286</v>
      </c>
      <c r="B290" s="2"/>
      <c r="C290" s="2"/>
      <c r="D290" s="2"/>
      <c r="E290" s="3"/>
      <c r="F290" s="3"/>
      <c r="G290" s="2"/>
      <c r="H290" s="2"/>
      <c r="I290" s="46"/>
      <c r="J290" s="12"/>
      <c r="K290" s="2"/>
      <c r="L290" s="59"/>
    </row>
    <row r="291" spans="1:12" x14ac:dyDescent="0.35">
      <c r="A291" s="45">
        <v>287</v>
      </c>
      <c r="B291" s="2"/>
      <c r="C291" s="2"/>
      <c r="D291" s="2"/>
      <c r="E291" s="3"/>
      <c r="F291" s="3"/>
      <c r="G291" s="2"/>
      <c r="H291" s="2"/>
      <c r="I291" s="46"/>
      <c r="J291" s="12"/>
      <c r="K291" s="2"/>
      <c r="L291" s="59"/>
    </row>
    <row r="292" spans="1:12" x14ac:dyDescent="0.35">
      <c r="A292" s="45">
        <v>288</v>
      </c>
      <c r="B292" s="2"/>
      <c r="C292" s="2"/>
      <c r="D292" s="2"/>
      <c r="E292" s="3"/>
      <c r="F292" s="3"/>
      <c r="G292" s="2"/>
      <c r="H292" s="2"/>
      <c r="I292" s="46"/>
      <c r="J292" s="12"/>
      <c r="K292" s="2"/>
      <c r="L292" s="59"/>
    </row>
    <row r="293" spans="1:12" x14ac:dyDescent="0.35">
      <c r="A293" s="45">
        <v>289</v>
      </c>
      <c r="B293" s="2"/>
      <c r="C293" s="2"/>
      <c r="D293" s="2"/>
      <c r="E293" s="3"/>
      <c r="F293" s="3"/>
      <c r="G293" s="2"/>
      <c r="H293" s="2"/>
      <c r="I293" s="46"/>
      <c r="J293" s="12"/>
      <c r="K293" s="2"/>
      <c r="L293" s="59"/>
    </row>
    <row r="294" spans="1:12" x14ac:dyDescent="0.35">
      <c r="A294" s="45">
        <v>290</v>
      </c>
      <c r="B294" s="2"/>
      <c r="C294" s="2"/>
      <c r="D294" s="2"/>
      <c r="E294" s="3"/>
      <c r="F294" s="3"/>
      <c r="G294" s="2"/>
      <c r="H294" s="2"/>
      <c r="I294" s="46"/>
      <c r="J294" s="12"/>
      <c r="K294" s="2"/>
      <c r="L294" s="59"/>
    </row>
    <row r="295" spans="1:12" x14ac:dyDescent="0.35">
      <c r="A295" s="45">
        <v>291</v>
      </c>
      <c r="B295" s="2"/>
      <c r="C295" s="2"/>
      <c r="D295" s="2"/>
      <c r="E295" s="3"/>
      <c r="F295" s="3"/>
      <c r="G295" s="2"/>
      <c r="H295" s="2"/>
      <c r="I295" s="46"/>
      <c r="J295" s="12"/>
      <c r="K295" s="2"/>
      <c r="L295" s="59"/>
    </row>
    <row r="296" spans="1:12" x14ac:dyDescent="0.35">
      <c r="A296" s="45">
        <v>292</v>
      </c>
      <c r="B296" s="2"/>
      <c r="C296" s="2"/>
      <c r="D296" s="2"/>
      <c r="E296" s="3"/>
      <c r="F296" s="3"/>
      <c r="G296" s="2"/>
      <c r="H296" s="2"/>
      <c r="I296" s="46"/>
      <c r="J296" s="12"/>
      <c r="K296" s="2"/>
      <c r="L296" s="59"/>
    </row>
    <row r="297" spans="1:12" x14ac:dyDescent="0.35">
      <c r="A297" s="45">
        <v>293</v>
      </c>
      <c r="B297" s="2"/>
      <c r="C297" s="2"/>
      <c r="D297" s="2"/>
      <c r="E297" s="3"/>
      <c r="F297" s="3"/>
      <c r="G297" s="2"/>
      <c r="H297" s="2"/>
      <c r="I297" s="46"/>
      <c r="J297" s="12"/>
      <c r="K297" s="2"/>
      <c r="L297" s="59"/>
    </row>
    <row r="298" spans="1:12" x14ac:dyDescent="0.35">
      <c r="A298" s="45">
        <v>294</v>
      </c>
      <c r="B298" s="2"/>
      <c r="C298" s="2"/>
      <c r="D298" s="2"/>
      <c r="E298" s="3"/>
      <c r="F298" s="3"/>
      <c r="G298" s="2"/>
      <c r="H298" s="2"/>
      <c r="I298" s="46"/>
      <c r="J298" s="12"/>
      <c r="K298" s="2"/>
      <c r="L298" s="59"/>
    </row>
    <row r="299" spans="1:12" x14ac:dyDescent="0.35">
      <c r="A299" s="45">
        <v>295</v>
      </c>
      <c r="B299" s="2"/>
      <c r="C299" s="2"/>
      <c r="D299" s="2"/>
      <c r="E299" s="3"/>
      <c r="F299" s="3"/>
      <c r="G299" s="2"/>
      <c r="H299" s="2"/>
      <c r="I299" s="46"/>
      <c r="J299" s="12"/>
      <c r="K299" s="2"/>
      <c r="L299" s="59"/>
    </row>
    <row r="300" spans="1:12" x14ac:dyDescent="0.35">
      <c r="A300" s="45">
        <v>296</v>
      </c>
      <c r="B300" s="2"/>
      <c r="C300" s="2"/>
      <c r="D300" s="2"/>
      <c r="E300" s="3"/>
      <c r="F300" s="3"/>
      <c r="G300" s="2"/>
      <c r="H300" s="2"/>
      <c r="I300" s="46"/>
      <c r="J300" s="12"/>
      <c r="K300" s="2"/>
      <c r="L300" s="59"/>
    </row>
    <row r="301" spans="1:12" x14ac:dyDescent="0.35">
      <c r="A301" s="45">
        <v>297</v>
      </c>
      <c r="B301" s="2"/>
      <c r="C301" s="2"/>
      <c r="D301" s="2"/>
      <c r="E301" s="3"/>
      <c r="F301" s="3"/>
      <c r="G301" s="2"/>
      <c r="H301" s="2"/>
      <c r="I301" s="46"/>
      <c r="J301" s="12"/>
      <c r="K301" s="2"/>
      <c r="L301" s="59"/>
    </row>
    <row r="302" spans="1:12" x14ac:dyDescent="0.35">
      <c r="A302" s="45">
        <v>298</v>
      </c>
      <c r="B302" s="2"/>
      <c r="C302" s="2"/>
      <c r="D302" s="2"/>
      <c r="E302" s="3"/>
      <c r="F302" s="3"/>
      <c r="G302" s="2"/>
      <c r="H302" s="2"/>
      <c r="I302" s="46"/>
      <c r="J302" s="12"/>
      <c r="K302" s="2"/>
      <c r="L302" s="59"/>
    </row>
    <row r="303" spans="1:12" x14ac:dyDescent="0.35">
      <c r="A303" s="45">
        <v>299</v>
      </c>
      <c r="B303" s="2"/>
      <c r="C303" s="2"/>
      <c r="D303" s="2"/>
      <c r="E303" s="3"/>
      <c r="F303" s="3"/>
      <c r="G303" s="2"/>
      <c r="H303" s="2"/>
      <c r="I303" s="46"/>
      <c r="J303" s="12"/>
      <c r="K303" s="2"/>
      <c r="L303" s="59"/>
    </row>
    <row r="304" spans="1:12" x14ac:dyDescent="0.35">
      <c r="A304" s="45">
        <v>300</v>
      </c>
      <c r="B304" s="2"/>
      <c r="C304" s="2"/>
      <c r="D304" s="2"/>
      <c r="E304" s="3"/>
      <c r="F304" s="3"/>
      <c r="G304" s="2"/>
      <c r="H304" s="2"/>
      <c r="I304" s="46"/>
      <c r="J304" s="12"/>
      <c r="K304" s="2"/>
      <c r="L304" s="59"/>
    </row>
    <row r="305" spans="1:12" x14ac:dyDescent="0.35">
      <c r="A305" s="45">
        <v>301</v>
      </c>
      <c r="B305" s="2"/>
      <c r="C305" s="2"/>
      <c r="D305" s="2"/>
      <c r="E305" s="3"/>
      <c r="F305" s="3"/>
      <c r="G305" s="2"/>
      <c r="H305" s="2"/>
      <c r="I305" s="46"/>
      <c r="J305" s="12"/>
      <c r="K305" s="2"/>
      <c r="L305" s="59"/>
    </row>
    <row r="306" spans="1:12" x14ac:dyDescent="0.35">
      <c r="A306" s="45">
        <v>302</v>
      </c>
      <c r="B306" s="2"/>
      <c r="C306" s="2"/>
      <c r="D306" s="2"/>
      <c r="E306" s="3"/>
      <c r="F306" s="3"/>
      <c r="G306" s="2"/>
      <c r="H306" s="2"/>
      <c r="I306" s="46"/>
      <c r="J306" s="12"/>
      <c r="K306" s="2"/>
      <c r="L306" s="59"/>
    </row>
    <row r="307" spans="1:12" x14ac:dyDescent="0.35">
      <c r="A307" s="45">
        <v>303</v>
      </c>
      <c r="B307" s="2"/>
      <c r="C307" s="2"/>
      <c r="D307" s="2"/>
      <c r="E307" s="3"/>
      <c r="F307" s="3"/>
      <c r="G307" s="2"/>
      <c r="H307" s="2"/>
      <c r="I307" s="46"/>
      <c r="J307" s="12"/>
      <c r="K307" s="2"/>
      <c r="L307" s="59"/>
    </row>
    <row r="308" spans="1:12" x14ac:dyDescent="0.35">
      <c r="A308" s="45">
        <v>304</v>
      </c>
      <c r="B308" s="2"/>
      <c r="C308" s="2"/>
      <c r="D308" s="2"/>
      <c r="E308" s="3"/>
      <c r="F308" s="3"/>
      <c r="G308" s="2"/>
      <c r="H308" s="2"/>
      <c r="I308" s="46"/>
      <c r="J308" s="12"/>
      <c r="K308" s="2"/>
      <c r="L308" s="59"/>
    </row>
    <row r="309" spans="1:12" x14ac:dyDescent="0.35">
      <c r="A309" s="45">
        <v>305</v>
      </c>
      <c r="B309" s="2"/>
      <c r="C309" s="2"/>
      <c r="D309" s="2"/>
      <c r="E309" s="3"/>
      <c r="F309" s="3"/>
      <c r="G309" s="2"/>
      <c r="H309" s="2"/>
      <c r="I309" s="46"/>
      <c r="J309" s="12"/>
      <c r="K309" s="2"/>
      <c r="L309" s="59"/>
    </row>
    <row r="310" spans="1:12" x14ac:dyDescent="0.35">
      <c r="A310" s="45">
        <v>306</v>
      </c>
      <c r="B310" s="2"/>
      <c r="C310" s="2"/>
      <c r="D310" s="2"/>
      <c r="E310" s="3"/>
      <c r="F310" s="3"/>
      <c r="G310" s="2"/>
      <c r="H310" s="2"/>
      <c r="I310" s="46"/>
      <c r="J310" s="12"/>
      <c r="K310" s="2"/>
      <c r="L310" s="59"/>
    </row>
    <row r="311" spans="1:12" x14ac:dyDescent="0.35">
      <c r="A311" s="45">
        <v>307</v>
      </c>
      <c r="B311" s="2"/>
      <c r="C311" s="2"/>
      <c r="D311" s="2"/>
      <c r="E311" s="3"/>
      <c r="F311" s="3"/>
      <c r="G311" s="2"/>
      <c r="H311" s="2"/>
      <c r="I311" s="46"/>
      <c r="J311" s="12"/>
      <c r="K311" s="2"/>
      <c r="L311" s="59"/>
    </row>
    <row r="312" spans="1:12" x14ac:dyDescent="0.35">
      <c r="A312" s="45">
        <v>308</v>
      </c>
      <c r="B312" s="2"/>
      <c r="C312" s="2"/>
      <c r="D312" s="2"/>
      <c r="E312" s="3"/>
      <c r="F312" s="3"/>
      <c r="G312" s="2"/>
      <c r="H312" s="2"/>
      <c r="I312" s="46"/>
      <c r="J312" s="12"/>
      <c r="K312" s="2"/>
      <c r="L312" s="59"/>
    </row>
    <row r="313" spans="1:12" x14ac:dyDescent="0.35">
      <c r="A313" s="45">
        <v>309</v>
      </c>
      <c r="B313" s="2"/>
      <c r="C313" s="2"/>
      <c r="D313" s="2"/>
      <c r="E313" s="3"/>
      <c r="F313" s="3"/>
      <c r="G313" s="2"/>
      <c r="H313" s="2"/>
      <c r="I313" s="46"/>
      <c r="J313" s="12"/>
      <c r="K313" s="2"/>
      <c r="L313" s="59"/>
    </row>
    <row r="314" spans="1:12" x14ac:dyDescent="0.35">
      <c r="A314" s="45">
        <v>310</v>
      </c>
      <c r="B314" s="2"/>
      <c r="C314" s="2"/>
      <c r="D314" s="2"/>
      <c r="E314" s="3"/>
      <c r="F314" s="3"/>
      <c r="G314" s="2"/>
      <c r="H314" s="2"/>
      <c r="I314" s="46"/>
      <c r="J314" s="12"/>
      <c r="K314" s="2"/>
      <c r="L314" s="59"/>
    </row>
    <row r="315" spans="1:12" x14ac:dyDescent="0.35">
      <c r="A315" s="45">
        <v>311</v>
      </c>
      <c r="B315" s="2"/>
      <c r="C315" s="2"/>
      <c r="D315" s="2"/>
      <c r="E315" s="3"/>
      <c r="F315" s="3"/>
      <c r="G315" s="2"/>
      <c r="H315" s="2"/>
      <c r="I315" s="46"/>
      <c r="J315" s="12"/>
      <c r="K315" s="2"/>
      <c r="L315" s="59"/>
    </row>
    <row r="316" spans="1:12" x14ac:dyDescent="0.35">
      <c r="A316" s="45">
        <v>312</v>
      </c>
      <c r="B316" s="2"/>
      <c r="C316" s="2"/>
      <c r="D316" s="2"/>
      <c r="E316" s="3"/>
      <c r="F316" s="3"/>
      <c r="G316" s="2"/>
      <c r="H316" s="2"/>
      <c r="I316" s="46"/>
      <c r="J316" s="12"/>
      <c r="K316" s="2"/>
      <c r="L316" s="59"/>
    </row>
    <row r="317" spans="1:12" x14ac:dyDescent="0.35">
      <c r="A317" s="45">
        <v>313</v>
      </c>
      <c r="B317" s="2"/>
      <c r="C317" s="2"/>
      <c r="D317" s="2"/>
      <c r="E317" s="3"/>
      <c r="F317" s="3"/>
      <c r="G317" s="2"/>
      <c r="H317" s="2"/>
      <c r="I317" s="46"/>
      <c r="J317" s="12"/>
      <c r="K317" s="2"/>
      <c r="L317" s="59"/>
    </row>
    <row r="318" spans="1:12" x14ac:dyDescent="0.35">
      <c r="A318" s="45">
        <v>314</v>
      </c>
      <c r="B318" s="2"/>
      <c r="C318" s="2"/>
      <c r="D318" s="2"/>
      <c r="E318" s="3"/>
      <c r="F318" s="3"/>
      <c r="G318" s="2"/>
      <c r="H318" s="2"/>
      <c r="I318" s="46"/>
      <c r="J318" s="12"/>
      <c r="K318" s="2"/>
      <c r="L318" s="59"/>
    </row>
    <row r="319" spans="1:12" x14ac:dyDescent="0.35">
      <c r="A319" s="45">
        <v>315</v>
      </c>
      <c r="B319" s="2"/>
      <c r="C319" s="2"/>
      <c r="D319" s="2"/>
      <c r="E319" s="3"/>
      <c r="F319" s="3"/>
      <c r="G319" s="2"/>
      <c r="H319" s="2"/>
      <c r="I319" s="46"/>
      <c r="J319" s="12"/>
      <c r="K319" s="2"/>
      <c r="L319" s="59"/>
    </row>
    <row r="320" spans="1:12" x14ac:dyDescent="0.35">
      <c r="A320" s="45">
        <v>316</v>
      </c>
      <c r="B320" s="2"/>
      <c r="C320" s="2"/>
      <c r="D320" s="2"/>
      <c r="E320" s="3"/>
      <c r="F320" s="3"/>
      <c r="G320" s="2"/>
      <c r="H320" s="2"/>
      <c r="I320" s="46"/>
      <c r="J320" s="12"/>
      <c r="K320" s="2"/>
      <c r="L320" s="59"/>
    </row>
    <row r="321" spans="1:12" x14ac:dyDescent="0.35">
      <c r="A321" s="45">
        <v>317</v>
      </c>
      <c r="B321" s="2"/>
      <c r="C321" s="2"/>
      <c r="D321" s="2"/>
      <c r="E321" s="3"/>
      <c r="F321" s="3"/>
      <c r="G321" s="2"/>
      <c r="H321" s="2"/>
      <c r="I321" s="46"/>
      <c r="J321" s="12"/>
      <c r="K321" s="2"/>
      <c r="L321" s="59"/>
    </row>
    <row r="322" spans="1:12" x14ac:dyDescent="0.35">
      <c r="A322" s="45">
        <v>318</v>
      </c>
      <c r="B322" s="2"/>
      <c r="C322" s="2"/>
      <c r="D322" s="2"/>
      <c r="E322" s="3"/>
      <c r="F322" s="3"/>
      <c r="G322" s="2"/>
      <c r="H322" s="2"/>
      <c r="I322" s="46"/>
      <c r="J322" s="12"/>
      <c r="K322" s="2"/>
      <c r="L322" s="59"/>
    </row>
    <row r="323" spans="1:12" x14ac:dyDescent="0.35">
      <c r="A323" s="45">
        <v>319</v>
      </c>
      <c r="B323" s="2"/>
      <c r="C323" s="2"/>
      <c r="D323" s="2"/>
      <c r="E323" s="3"/>
      <c r="F323" s="3"/>
      <c r="G323" s="2"/>
      <c r="H323" s="2"/>
      <c r="I323" s="46"/>
      <c r="J323" s="12"/>
      <c r="K323" s="2"/>
      <c r="L323" s="59"/>
    </row>
    <row r="324" spans="1:12" x14ac:dyDescent="0.35">
      <c r="A324" s="45">
        <v>320</v>
      </c>
      <c r="B324" s="2"/>
      <c r="C324" s="2"/>
      <c r="D324" s="2"/>
      <c r="E324" s="3"/>
      <c r="F324" s="3"/>
      <c r="G324" s="2"/>
      <c r="H324" s="2"/>
      <c r="I324" s="46"/>
      <c r="J324" s="12"/>
      <c r="K324" s="2"/>
      <c r="L324" s="59"/>
    </row>
    <row r="325" spans="1:12" x14ac:dyDescent="0.35">
      <c r="A325" s="45">
        <v>321</v>
      </c>
      <c r="B325" s="2"/>
      <c r="C325" s="2"/>
      <c r="D325" s="2"/>
      <c r="E325" s="3"/>
      <c r="F325" s="3"/>
      <c r="G325" s="2"/>
      <c r="H325" s="2"/>
      <c r="I325" s="46"/>
      <c r="J325" s="12"/>
      <c r="K325" s="2"/>
      <c r="L325" s="59"/>
    </row>
    <row r="326" spans="1:12" x14ac:dyDescent="0.35">
      <c r="A326" s="45">
        <v>322</v>
      </c>
      <c r="B326" s="2"/>
      <c r="C326" s="2"/>
      <c r="D326" s="2"/>
      <c r="E326" s="3"/>
      <c r="F326" s="3"/>
      <c r="G326" s="2"/>
      <c r="H326" s="2"/>
      <c r="I326" s="46"/>
      <c r="J326" s="12"/>
      <c r="K326" s="2"/>
      <c r="L326" s="59"/>
    </row>
    <row r="327" spans="1:12" x14ac:dyDescent="0.35">
      <c r="A327" s="45">
        <v>323</v>
      </c>
      <c r="B327" s="2"/>
      <c r="C327" s="2"/>
      <c r="D327" s="2"/>
      <c r="E327" s="3"/>
      <c r="F327" s="3"/>
      <c r="G327" s="2"/>
      <c r="H327" s="2"/>
      <c r="I327" s="46"/>
      <c r="J327" s="12"/>
      <c r="K327" s="2"/>
      <c r="L327" s="59"/>
    </row>
    <row r="328" spans="1:12" x14ac:dyDescent="0.35">
      <c r="A328" s="45">
        <v>324</v>
      </c>
      <c r="B328" s="2"/>
      <c r="C328" s="2"/>
      <c r="D328" s="2"/>
      <c r="E328" s="3"/>
      <c r="F328" s="3"/>
      <c r="G328" s="2"/>
      <c r="H328" s="2"/>
      <c r="I328" s="46"/>
      <c r="J328" s="12"/>
      <c r="K328" s="2"/>
      <c r="L328" s="59"/>
    </row>
    <row r="329" spans="1:12" x14ac:dyDescent="0.35">
      <c r="A329" s="45">
        <v>325</v>
      </c>
      <c r="B329" s="2"/>
      <c r="C329" s="2"/>
      <c r="D329" s="2"/>
      <c r="E329" s="3"/>
      <c r="F329" s="3"/>
      <c r="G329" s="2"/>
      <c r="H329" s="2"/>
      <c r="I329" s="46"/>
      <c r="J329" s="12"/>
      <c r="K329" s="2"/>
      <c r="L329" s="59"/>
    </row>
    <row r="330" spans="1:12" x14ac:dyDescent="0.35">
      <c r="A330" s="45">
        <v>326</v>
      </c>
      <c r="B330" s="2"/>
      <c r="C330" s="2"/>
      <c r="D330" s="2"/>
      <c r="E330" s="3"/>
      <c r="F330" s="3"/>
      <c r="G330" s="2"/>
      <c r="H330" s="2"/>
      <c r="I330" s="46"/>
      <c r="J330" s="12"/>
      <c r="K330" s="2"/>
      <c r="L330" s="59"/>
    </row>
    <row r="331" spans="1:12" x14ac:dyDescent="0.35">
      <c r="A331" s="45">
        <v>327</v>
      </c>
      <c r="B331" s="2"/>
      <c r="C331" s="2"/>
      <c r="D331" s="2"/>
      <c r="E331" s="3"/>
      <c r="F331" s="3"/>
      <c r="G331" s="2"/>
      <c r="H331" s="2"/>
      <c r="I331" s="46"/>
      <c r="J331" s="12"/>
      <c r="K331" s="2"/>
      <c r="L331" s="59"/>
    </row>
    <row r="332" spans="1:12" x14ac:dyDescent="0.35">
      <c r="A332" s="45">
        <v>328</v>
      </c>
      <c r="B332" s="2"/>
      <c r="C332" s="2"/>
      <c r="D332" s="2"/>
      <c r="E332" s="3"/>
      <c r="F332" s="3"/>
      <c r="G332" s="2"/>
      <c r="H332" s="2"/>
      <c r="I332" s="46"/>
      <c r="J332" s="12"/>
      <c r="K332" s="2"/>
      <c r="L332" s="59"/>
    </row>
    <row r="333" spans="1:12" x14ac:dyDescent="0.35">
      <c r="A333" s="45">
        <v>329</v>
      </c>
      <c r="B333" s="2"/>
      <c r="C333" s="2"/>
      <c r="D333" s="2"/>
      <c r="E333" s="3"/>
      <c r="F333" s="3"/>
      <c r="G333" s="2"/>
      <c r="H333" s="2"/>
      <c r="I333" s="46"/>
      <c r="J333" s="12"/>
      <c r="K333" s="2"/>
      <c r="L333" s="59"/>
    </row>
    <row r="334" spans="1:12" x14ac:dyDescent="0.35">
      <c r="A334" s="45">
        <v>330</v>
      </c>
      <c r="B334" s="2"/>
      <c r="C334" s="2"/>
      <c r="D334" s="2"/>
      <c r="E334" s="3"/>
      <c r="F334" s="3"/>
      <c r="G334" s="2"/>
      <c r="H334" s="2"/>
      <c r="I334" s="46"/>
      <c r="J334" s="12"/>
      <c r="K334" s="2"/>
      <c r="L334" s="59"/>
    </row>
    <row r="335" spans="1:12" x14ac:dyDescent="0.35">
      <c r="A335" s="45">
        <v>331</v>
      </c>
      <c r="B335" s="2"/>
      <c r="C335" s="2"/>
      <c r="D335" s="2"/>
      <c r="E335" s="3"/>
      <c r="F335" s="3"/>
      <c r="G335" s="2"/>
      <c r="H335" s="2"/>
      <c r="I335" s="46"/>
      <c r="J335" s="12"/>
      <c r="K335" s="2"/>
      <c r="L335" s="59"/>
    </row>
    <row r="336" spans="1:12" x14ac:dyDescent="0.35">
      <c r="A336" s="45">
        <v>332</v>
      </c>
      <c r="B336" s="2"/>
      <c r="C336" s="2"/>
      <c r="D336" s="2"/>
      <c r="E336" s="3"/>
      <c r="F336" s="3"/>
      <c r="G336" s="2"/>
      <c r="H336" s="2"/>
      <c r="I336" s="46"/>
      <c r="J336" s="12"/>
      <c r="K336" s="2"/>
      <c r="L336" s="59"/>
    </row>
    <row r="337" spans="1:12" x14ac:dyDescent="0.35">
      <c r="A337" s="45">
        <v>333</v>
      </c>
      <c r="B337" s="2"/>
      <c r="C337" s="2"/>
      <c r="D337" s="2"/>
      <c r="E337" s="3"/>
      <c r="F337" s="3"/>
      <c r="G337" s="2"/>
      <c r="H337" s="2"/>
      <c r="I337" s="46"/>
      <c r="J337" s="12"/>
      <c r="K337" s="2"/>
      <c r="L337" s="59"/>
    </row>
    <row r="338" spans="1:12" x14ac:dyDescent="0.35">
      <c r="A338" s="45">
        <v>334</v>
      </c>
      <c r="B338" s="2"/>
      <c r="C338" s="2"/>
      <c r="D338" s="2"/>
      <c r="E338" s="3"/>
      <c r="F338" s="3"/>
      <c r="G338" s="2"/>
      <c r="H338" s="2"/>
      <c r="I338" s="46"/>
      <c r="J338" s="12"/>
      <c r="K338" s="2"/>
      <c r="L338" s="59"/>
    </row>
    <row r="339" spans="1:12" x14ac:dyDescent="0.35">
      <c r="A339" s="45">
        <v>335</v>
      </c>
      <c r="B339" s="2"/>
      <c r="C339" s="2"/>
      <c r="D339" s="2"/>
      <c r="E339" s="3"/>
      <c r="F339" s="3"/>
      <c r="G339" s="2"/>
      <c r="H339" s="2"/>
      <c r="I339" s="46"/>
      <c r="J339" s="12"/>
      <c r="K339" s="2"/>
      <c r="L339" s="59"/>
    </row>
    <row r="340" spans="1:12" x14ac:dyDescent="0.35">
      <c r="A340" s="45">
        <v>336</v>
      </c>
      <c r="B340" s="2"/>
      <c r="C340" s="2"/>
      <c r="D340" s="2"/>
      <c r="E340" s="3"/>
      <c r="F340" s="3"/>
      <c r="G340" s="2"/>
      <c r="H340" s="2"/>
      <c r="I340" s="46"/>
      <c r="J340" s="12"/>
      <c r="K340" s="2"/>
      <c r="L340" s="59"/>
    </row>
    <row r="341" spans="1:12" x14ac:dyDescent="0.35">
      <c r="A341" s="45">
        <v>337</v>
      </c>
      <c r="B341" s="2"/>
      <c r="C341" s="2"/>
      <c r="D341" s="2"/>
      <c r="E341" s="3"/>
      <c r="F341" s="3"/>
      <c r="G341" s="2"/>
      <c r="H341" s="2"/>
      <c r="I341" s="46"/>
      <c r="J341" s="12"/>
      <c r="K341" s="2"/>
      <c r="L341" s="59"/>
    </row>
    <row r="342" spans="1:12" x14ac:dyDescent="0.35">
      <c r="A342" s="45">
        <v>338</v>
      </c>
      <c r="B342" s="2"/>
      <c r="C342" s="2"/>
      <c r="D342" s="2"/>
      <c r="E342" s="3"/>
      <c r="F342" s="3"/>
      <c r="G342" s="2"/>
      <c r="H342" s="2"/>
      <c r="I342" s="46"/>
      <c r="J342" s="12"/>
      <c r="K342" s="2"/>
      <c r="L342" s="59"/>
    </row>
    <row r="343" spans="1:12" x14ac:dyDescent="0.35">
      <c r="A343" s="45">
        <v>339</v>
      </c>
      <c r="B343" s="2"/>
      <c r="C343" s="2"/>
      <c r="D343" s="2"/>
      <c r="E343" s="3"/>
      <c r="F343" s="3"/>
      <c r="G343" s="2"/>
      <c r="H343" s="2"/>
      <c r="I343" s="46"/>
      <c r="J343" s="12"/>
      <c r="K343" s="2"/>
      <c r="L343" s="59"/>
    </row>
    <row r="344" spans="1:12" x14ac:dyDescent="0.35">
      <c r="A344" s="45">
        <v>340</v>
      </c>
      <c r="B344" s="2"/>
      <c r="C344" s="2"/>
      <c r="D344" s="2"/>
      <c r="E344" s="3"/>
      <c r="F344" s="3"/>
      <c r="G344" s="2"/>
      <c r="H344" s="2"/>
      <c r="I344" s="46"/>
      <c r="J344" s="12"/>
      <c r="K344" s="2"/>
      <c r="L344" s="59"/>
    </row>
    <row r="345" spans="1:12" x14ac:dyDescent="0.35">
      <c r="A345" s="45">
        <v>341</v>
      </c>
      <c r="B345" s="2"/>
      <c r="C345" s="2"/>
      <c r="D345" s="2"/>
      <c r="E345" s="3"/>
      <c r="F345" s="3"/>
      <c r="G345" s="2"/>
      <c r="H345" s="2"/>
      <c r="I345" s="46"/>
      <c r="J345" s="12"/>
      <c r="K345" s="2"/>
      <c r="L345" s="59"/>
    </row>
    <row r="346" spans="1:12" x14ac:dyDescent="0.35">
      <c r="A346" s="45">
        <v>342</v>
      </c>
      <c r="B346" s="2"/>
      <c r="C346" s="2"/>
      <c r="D346" s="2"/>
      <c r="E346" s="3"/>
      <c r="F346" s="3"/>
      <c r="G346" s="2"/>
      <c r="H346" s="2"/>
      <c r="I346" s="46"/>
      <c r="J346" s="12"/>
      <c r="K346" s="2"/>
      <c r="L346" s="59"/>
    </row>
    <row r="347" spans="1:12" x14ac:dyDescent="0.35">
      <c r="A347" s="45">
        <v>343</v>
      </c>
      <c r="B347" s="2"/>
      <c r="C347" s="2"/>
      <c r="D347" s="2"/>
      <c r="E347" s="3"/>
      <c r="F347" s="3"/>
      <c r="G347" s="2"/>
      <c r="H347" s="2"/>
      <c r="I347" s="46"/>
      <c r="J347" s="12"/>
      <c r="K347" s="2"/>
      <c r="L347" s="59"/>
    </row>
    <row r="348" spans="1:12" x14ac:dyDescent="0.35">
      <c r="A348" s="45">
        <v>344</v>
      </c>
      <c r="B348" s="2"/>
      <c r="C348" s="2"/>
      <c r="D348" s="2"/>
      <c r="E348" s="3"/>
      <c r="F348" s="3"/>
      <c r="G348" s="2"/>
      <c r="H348" s="2"/>
      <c r="I348" s="46"/>
      <c r="J348" s="12"/>
      <c r="K348" s="2"/>
      <c r="L348" s="59"/>
    </row>
    <row r="349" spans="1:12" x14ac:dyDescent="0.35">
      <c r="A349" s="45">
        <v>345</v>
      </c>
      <c r="B349" s="2"/>
      <c r="C349" s="2"/>
      <c r="D349" s="2"/>
      <c r="E349" s="3"/>
      <c r="F349" s="3"/>
      <c r="G349" s="2"/>
      <c r="H349" s="2"/>
      <c r="I349" s="46"/>
      <c r="J349" s="12"/>
      <c r="K349" s="2"/>
      <c r="L349" s="59"/>
    </row>
    <row r="350" spans="1:12" x14ac:dyDescent="0.35">
      <c r="A350" s="45">
        <v>346</v>
      </c>
      <c r="B350" s="2"/>
      <c r="C350" s="2"/>
      <c r="D350" s="2"/>
      <c r="E350" s="3"/>
      <c r="F350" s="3"/>
      <c r="G350" s="2"/>
      <c r="H350" s="2"/>
      <c r="I350" s="46"/>
      <c r="J350" s="12"/>
      <c r="K350" s="2"/>
      <c r="L350" s="59"/>
    </row>
    <row r="351" spans="1:12" x14ac:dyDescent="0.35">
      <c r="A351" s="45">
        <v>347</v>
      </c>
      <c r="B351" s="2"/>
      <c r="C351" s="2"/>
      <c r="D351" s="2"/>
      <c r="E351" s="3"/>
      <c r="F351" s="3"/>
      <c r="G351" s="2"/>
      <c r="H351" s="2"/>
      <c r="I351" s="46"/>
      <c r="J351" s="12"/>
      <c r="K351" s="2"/>
      <c r="L351" s="59"/>
    </row>
    <row r="352" spans="1:12" x14ac:dyDescent="0.35">
      <c r="A352" s="45">
        <v>348</v>
      </c>
      <c r="B352" s="2"/>
      <c r="C352" s="2"/>
      <c r="D352" s="2"/>
      <c r="E352" s="3"/>
      <c r="F352" s="3"/>
      <c r="G352" s="2"/>
      <c r="H352" s="2"/>
      <c r="I352" s="46"/>
      <c r="J352" s="12"/>
      <c r="K352" s="2"/>
      <c r="L352" s="59"/>
    </row>
    <row r="353" spans="1:12" x14ac:dyDescent="0.35">
      <c r="A353" s="45">
        <v>349</v>
      </c>
      <c r="B353" s="2"/>
      <c r="C353" s="2"/>
      <c r="D353" s="2"/>
      <c r="E353" s="3"/>
      <c r="F353" s="3"/>
      <c r="G353" s="2"/>
      <c r="H353" s="2"/>
      <c r="I353" s="46"/>
      <c r="J353" s="12"/>
      <c r="K353" s="2"/>
      <c r="L353" s="59"/>
    </row>
    <row r="354" spans="1:12" x14ac:dyDescent="0.35">
      <c r="A354" s="45">
        <v>350</v>
      </c>
      <c r="B354" s="2"/>
      <c r="C354" s="2"/>
      <c r="D354" s="2"/>
      <c r="E354" s="3"/>
      <c r="F354" s="3"/>
      <c r="G354" s="2"/>
      <c r="H354" s="2"/>
      <c r="I354" s="46"/>
      <c r="J354" s="12"/>
      <c r="K354" s="2"/>
      <c r="L354" s="59"/>
    </row>
    <row r="355" spans="1:12" x14ac:dyDescent="0.35">
      <c r="A355" s="45">
        <v>351</v>
      </c>
      <c r="B355" s="2"/>
      <c r="C355" s="2"/>
      <c r="D355" s="2"/>
      <c r="E355" s="3"/>
      <c r="F355" s="3"/>
      <c r="G355" s="2"/>
      <c r="H355" s="2"/>
      <c r="I355" s="46"/>
      <c r="J355" s="12"/>
      <c r="K355" s="2"/>
      <c r="L355" s="59"/>
    </row>
    <row r="356" spans="1:12" x14ac:dyDescent="0.35">
      <c r="A356" s="45">
        <v>352</v>
      </c>
      <c r="B356" s="2"/>
      <c r="C356" s="2"/>
      <c r="D356" s="2"/>
      <c r="E356" s="3"/>
      <c r="F356" s="3"/>
      <c r="G356" s="2"/>
      <c r="H356" s="2"/>
      <c r="I356" s="46"/>
      <c r="J356" s="12"/>
      <c r="K356" s="2"/>
      <c r="L356" s="59"/>
    </row>
    <row r="357" spans="1:12" x14ac:dyDescent="0.35">
      <c r="A357" s="45">
        <v>353</v>
      </c>
      <c r="B357" s="2"/>
      <c r="C357" s="2"/>
      <c r="D357" s="2"/>
      <c r="E357" s="3"/>
      <c r="F357" s="3"/>
      <c r="G357" s="2"/>
      <c r="H357" s="2"/>
      <c r="I357" s="46"/>
      <c r="J357" s="12"/>
      <c r="K357" s="2"/>
      <c r="L357" s="59"/>
    </row>
    <row r="358" spans="1:12" x14ac:dyDescent="0.35">
      <c r="A358" s="45">
        <v>354</v>
      </c>
      <c r="B358" s="2"/>
      <c r="C358" s="2"/>
      <c r="D358" s="2"/>
      <c r="E358" s="3"/>
      <c r="F358" s="3"/>
      <c r="G358" s="2"/>
      <c r="H358" s="2"/>
      <c r="I358" s="46"/>
      <c r="J358" s="12"/>
      <c r="K358" s="2"/>
      <c r="L358" s="59"/>
    </row>
    <row r="359" spans="1:12" x14ac:dyDescent="0.35">
      <c r="A359" s="45">
        <v>355</v>
      </c>
      <c r="B359" s="2"/>
      <c r="C359" s="2"/>
      <c r="D359" s="2"/>
      <c r="E359" s="3"/>
      <c r="F359" s="3"/>
      <c r="G359" s="2"/>
      <c r="H359" s="2"/>
      <c r="I359" s="46"/>
      <c r="J359" s="12"/>
      <c r="K359" s="2"/>
      <c r="L359" s="59"/>
    </row>
    <row r="360" spans="1:12" x14ac:dyDescent="0.35">
      <c r="A360" s="45">
        <v>356</v>
      </c>
      <c r="B360" s="2"/>
      <c r="C360" s="2"/>
      <c r="D360" s="2"/>
      <c r="E360" s="3"/>
      <c r="F360" s="3"/>
      <c r="G360" s="2"/>
      <c r="H360" s="2"/>
      <c r="I360" s="46"/>
      <c r="J360" s="12"/>
      <c r="K360" s="2"/>
      <c r="L360" s="59"/>
    </row>
    <row r="361" spans="1:12" x14ac:dyDescent="0.35">
      <c r="A361" s="45">
        <v>357</v>
      </c>
      <c r="B361" s="2"/>
      <c r="C361" s="2"/>
      <c r="D361" s="2"/>
      <c r="E361" s="3"/>
      <c r="F361" s="3"/>
      <c r="G361" s="2"/>
      <c r="H361" s="2"/>
      <c r="I361" s="46"/>
      <c r="J361" s="12"/>
      <c r="K361" s="2"/>
      <c r="L361" s="59"/>
    </row>
    <row r="362" spans="1:12" x14ac:dyDescent="0.35">
      <c r="A362" s="45">
        <v>358</v>
      </c>
      <c r="B362" s="2"/>
      <c r="C362" s="2"/>
      <c r="D362" s="2"/>
      <c r="E362" s="3"/>
      <c r="F362" s="3"/>
      <c r="G362" s="2"/>
      <c r="H362" s="2"/>
      <c r="I362" s="46"/>
      <c r="J362" s="12"/>
      <c r="K362" s="2"/>
      <c r="L362" s="59"/>
    </row>
    <row r="363" spans="1:12" x14ac:dyDescent="0.35">
      <c r="A363" s="45">
        <v>359</v>
      </c>
      <c r="B363" s="2"/>
      <c r="C363" s="2"/>
      <c r="D363" s="2"/>
      <c r="E363" s="3"/>
      <c r="F363" s="3"/>
      <c r="G363" s="2"/>
      <c r="H363" s="2"/>
      <c r="I363" s="46"/>
      <c r="J363" s="12"/>
      <c r="K363" s="2"/>
      <c r="L363" s="59"/>
    </row>
    <row r="364" spans="1:12" x14ac:dyDescent="0.35">
      <c r="A364" s="45">
        <v>360</v>
      </c>
      <c r="B364" s="2"/>
      <c r="C364" s="2"/>
      <c r="D364" s="2"/>
      <c r="E364" s="3"/>
      <c r="F364" s="3"/>
      <c r="G364" s="2"/>
      <c r="H364" s="2"/>
      <c r="I364" s="46"/>
      <c r="J364" s="12"/>
      <c r="K364" s="2"/>
      <c r="L364" s="59"/>
    </row>
    <row r="365" spans="1:12" x14ac:dyDescent="0.35">
      <c r="A365" s="45">
        <v>361</v>
      </c>
      <c r="B365" s="2"/>
      <c r="C365" s="2"/>
      <c r="D365" s="2"/>
      <c r="E365" s="3"/>
      <c r="F365" s="3"/>
      <c r="G365" s="2"/>
      <c r="H365" s="2"/>
      <c r="I365" s="46"/>
      <c r="J365" s="12"/>
      <c r="K365" s="2"/>
      <c r="L365" s="59"/>
    </row>
    <row r="366" spans="1:12" x14ac:dyDescent="0.35">
      <c r="A366" s="45">
        <v>362</v>
      </c>
      <c r="B366" s="2"/>
      <c r="C366" s="2"/>
      <c r="D366" s="2"/>
      <c r="E366" s="3"/>
      <c r="F366" s="3"/>
      <c r="G366" s="2"/>
      <c r="H366" s="2"/>
      <c r="I366" s="46"/>
      <c r="J366" s="12"/>
      <c r="K366" s="2"/>
      <c r="L366" s="59"/>
    </row>
    <row r="367" spans="1:12" x14ac:dyDescent="0.35">
      <c r="A367" s="45">
        <v>363</v>
      </c>
      <c r="B367" s="2"/>
      <c r="C367" s="2"/>
      <c r="D367" s="2"/>
      <c r="E367" s="3"/>
      <c r="F367" s="3"/>
      <c r="G367" s="2"/>
      <c r="H367" s="2"/>
      <c r="I367" s="46"/>
      <c r="J367" s="12"/>
      <c r="K367" s="2"/>
      <c r="L367" s="59"/>
    </row>
    <row r="368" spans="1:12" x14ac:dyDescent="0.35">
      <c r="A368" s="45">
        <v>364</v>
      </c>
      <c r="B368" s="2"/>
      <c r="C368" s="2"/>
      <c r="D368" s="2"/>
      <c r="E368" s="3"/>
      <c r="F368" s="3"/>
      <c r="G368" s="2"/>
      <c r="H368" s="2"/>
      <c r="I368" s="46"/>
      <c r="J368" s="12"/>
      <c r="K368" s="2"/>
      <c r="L368" s="59"/>
    </row>
    <row r="369" spans="1:12" x14ac:dyDescent="0.35">
      <c r="A369" s="45">
        <v>365</v>
      </c>
      <c r="B369" s="2"/>
      <c r="C369" s="2"/>
      <c r="D369" s="2"/>
      <c r="E369" s="3"/>
      <c r="F369" s="3"/>
      <c r="G369" s="2"/>
      <c r="H369" s="2"/>
      <c r="I369" s="46"/>
      <c r="J369" s="12"/>
      <c r="K369" s="2"/>
      <c r="L369" s="59"/>
    </row>
    <row r="370" spans="1:12" x14ac:dyDescent="0.35">
      <c r="A370" s="45">
        <v>366</v>
      </c>
      <c r="B370" s="2"/>
      <c r="C370" s="2"/>
      <c r="D370" s="2"/>
      <c r="E370" s="3"/>
      <c r="F370" s="3"/>
      <c r="G370" s="2"/>
      <c r="H370" s="2"/>
      <c r="I370" s="46"/>
      <c r="J370" s="12"/>
      <c r="K370" s="2"/>
      <c r="L370" s="59"/>
    </row>
    <row r="371" spans="1:12" x14ac:dyDescent="0.35">
      <c r="A371" s="45">
        <v>367</v>
      </c>
      <c r="B371" s="2"/>
      <c r="C371" s="2"/>
      <c r="D371" s="2"/>
      <c r="E371" s="3"/>
      <c r="F371" s="3"/>
      <c r="G371" s="2"/>
      <c r="H371" s="2"/>
      <c r="I371" s="46"/>
      <c r="J371" s="12"/>
      <c r="K371" s="2"/>
      <c r="L371" s="59"/>
    </row>
    <row r="372" spans="1:12" x14ac:dyDescent="0.35">
      <c r="A372" s="45">
        <v>368</v>
      </c>
      <c r="B372" s="2"/>
      <c r="C372" s="2"/>
      <c r="D372" s="2"/>
      <c r="E372" s="3"/>
      <c r="F372" s="3"/>
      <c r="G372" s="2"/>
      <c r="H372" s="2"/>
      <c r="I372" s="46"/>
      <c r="J372" s="12"/>
      <c r="K372" s="2"/>
      <c r="L372" s="59"/>
    </row>
    <row r="373" spans="1:12" x14ac:dyDescent="0.35">
      <c r="A373" s="45">
        <v>369</v>
      </c>
      <c r="B373" s="2"/>
      <c r="C373" s="2"/>
      <c r="D373" s="2"/>
      <c r="E373" s="3"/>
      <c r="F373" s="3"/>
      <c r="G373" s="2"/>
      <c r="H373" s="2"/>
      <c r="I373" s="46"/>
      <c r="J373" s="12"/>
      <c r="K373" s="2"/>
      <c r="L373" s="59"/>
    </row>
    <row r="374" spans="1:12" x14ac:dyDescent="0.35">
      <c r="A374" s="45">
        <v>370</v>
      </c>
      <c r="B374" s="2"/>
      <c r="C374" s="2"/>
      <c r="D374" s="2"/>
      <c r="E374" s="3"/>
      <c r="F374" s="3"/>
      <c r="G374" s="2"/>
      <c r="H374" s="2"/>
      <c r="I374" s="46"/>
      <c r="J374" s="12"/>
      <c r="K374" s="2"/>
      <c r="L374" s="59"/>
    </row>
    <row r="375" spans="1:12" x14ac:dyDescent="0.35">
      <c r="A375" s="45">
        <v>371</v>
      </c>
      <c r="B375" s="2"/>
      <c r="C375" s="2"/>
      <c r="D375" s="2"/>
      <c r="E375" s="3"/>
      <c r="F375" s="3"/>
      <c r="G375" s="2"/>
      <c r="H375" s="2"/>
      <c r="I375" s="46"/>
      <c r="J375" s="12"/>
      <c r="K375" s="2"/>
      <c r="L375" s="59"/>
    </row>
    <row r="376" spans="1:12" x14ac:dyDescent="0.35">
      <c r="A376" s="45">
        <v>372</v>
      </c>
      <c r="B376" s="2"/>
      <c r="C376" s="2"/>
      <c r="D376" s="2"/>
      <c r="E376" s="3"/>
      <c r="F376" s="3"/>
      <c r="G376" s="2"/>
      <c r="H376" s="2"/>
      <c r="I376" s="46"/>
      <c r="J376" s="12"/>
      <c r="K376" s="2"/>
      <c r="L376" s="59"/>
    </row>
    <row r="377" spans="1:12" x14ac:dyDescent="0.35">
      <c r="A377" s="45">
        <v>373</v>
      </c>
      <c r="B377" s="2"/>
      <c r="C377" s="2"/>
      <c r="D377" s="2"/>
      <c r="E377" s="3"/>
      <c r="F377" s="3"/>
      <c r="G377" s="2"/>
      <c r="H377" s="2"/>
      <c r="I377" s="46"/>
      <c r="J377" s="12"/>
      <c r="K377" s="2"/>
      <c r="L377" s="59"/>
    </row>
    <row r="378" spans="1:12" x14ac:dyDescent="0.35">
      <c r="A378" s="45">
        <v>374</v>
      </c>
      <c r="B378" s="2"/>
      <c r="C378" s="2"/>
      <c r="D378" s="2"/>
      <c r="E378" s="3"/>
      <c r="F378" s="3"/>
      <c r="G378" s="2"/>
      <c r="H378" s="2"/>
      <c r="I378" s="46"/>
      <c r="J378" s="12"/>
      <c r="K378" s="2"/>
      <c r="L378" s="59"/>
    </row>
    <row r="379" spans="1:12" x14ac:dyDescent="0.35">
      <c r="A379" s="45">
        <v>375</v>
      </c>
      <c r="B379" s="2"/>
      <c r="C379" s="2"/>
      <c r="D379" s="2"/>
      <c r="E379" s="3"/>
      <c r="F379" s="3"/>
      <c r="G379" s="2"/>
      <c r="H379" s="2"/>
      <c r="I379" s="46"/>
      <c r="J379" s="12"/>
      <c r="K379" s="2"/>
      <c r="L379" s="59"/>
    </row>
    <row r="380" spans="1:12" x14ac:dyDescent="0.35">
      <c r="A380" s="45">
        <v>376</v>
      </c>
      <c r="B380" s="2"/>
      <c r="C380" s="2"/>
      <c r="D380" s="2"/>
      <c r="E380" s="3"/>
      <c r="F380" s="3"/>
      <c r="G380" s="2"/>
      <c r="H380" s="2"/>
      <c r="I380" s="46"/>
      <c r="J380" s="12"/>
      <c r="K380" s="2"/>
      <c r="L380" s="59"/>
    </row>
    <row r="381" spans="1:12" x14ac:dyDescent="0.35">
      <c r="A381" s="45">
        <v>377</v>
      </c>
      <c r="B381" s="2"/>
      <c r="C381" s="2"/>
      <c r="D381" s="2"/>
      <c r="E381" s="3"/>
      <c r="F381" s="3"/>
      <c r="G381" s="2"/>
      <c r="H381" s="2"/>
      <c r="I381" s="46"/>
      <c r="J381" s="12"/>
      <c r="K381" s="2"/>
      <c r="L381" s="59"/>
    </row>
    <row r="382" spans="1:12" x14ac:dyDescent="0.35">
      <c r="A382" s="45">
        <v>378</v>
      </c>
      <c r="B382" s="2"/>
      <c r="C382" s="2"/>
      <c r="D382" s="2"/>
      <c r="E382" s="3"/>
      <c r="F382" s="3"/>
      <c r="G382" s="2"/>
      <c r="H382" s="2"/>
      <c r="I382" s="46"/>
      <c r="J382" s="12"/>
      <c r="K382" s="2"/>
      <c r="L382" s="59"/>
    </row>
    <row r="383" spans="1:12" x14ac:dyDescent="0.35">
      <c r="A383" s="45">
        <v>379</v>
      </c>
      <c r="B383" s="2"/>
      <c r="C383" s="2"/>
      <c r="D383" s="2"/>
      <c r="E383" s="3"/>
      <c r="F383" s="3"/>
      <c r="G383" s="2"/>
      <c r="H383" s="2"/>
      <c r="I383" s="46"/>
      <c r="J383" s="12"/>
      <c r="K383" s="2"/>
      <c r="L383" s="59"/>
    </row>
    <row r="384" spans="1:12" x14ac:dyDescent="0.35">
      <c r="A384" s="45">
        <v>380</v>
      </c>
      <c r="B384" s="2"/>
      <c r="C384" s="2"/>
      <c r="D384" s="2"/>
      <c r="E384" s="3"/>
      <c r="F384" s="3"/>
      <c r="G384" s="2"/>
      <c r="H384" s="2"/>
      <c r="I384" s="46"/>
      <c r="J384" s="12"/>
      <c r="K384" s="2"/>
      <c r="L384" s="59"/>
    </row>
    <row r="385" spans="1:12" x14ac:dyDescent="0.35">
      <c r="A385" s="45">
        <v>381</v>
      </c>
      <c r="B385" s="2"/>
      <c r="C385" s="2"/>
      <c r="D385" s="2"/>
      <c r="E385" s="3"/>
      <c r="F385" s="3"/>
      <c r="G385" s="2"/>
      <c r="H385" s="2"/>
      <c r="I385" s="46"/>
      <c r="J385" s="12"/>
      <c r="K385" s="2"/>
      <c r="L385" s="59"/>
    </row>
    <row r="386" spans="1:12" x14ac:dyDescent="0.35">
      <c r="A386" s="45">
        <v>382</v>
      </c>
      <c r="B386" s="2"/>
      <c r="C386" s="2"/>
      <c r="D386" s="2"/>
      <c r="E386" s="3"/>
      <c r="F386" s="3"/>
      <c r="G386" s="2"/>
      <c r="H386" s="2"/>
      <c r="I386" s="46"/>
      <c r="J386" s="12"/>
      <c r="K386" s="2"/>
      <c r="L386" s="59"/>
    </row>
    <row r="387" spans="1:12" x14ac:dyDescent="0.35">
      <c r="A387" s="45">
        <v>383</v>
      </c>
      <c r="B387" s="2"/>
      <c r="C387" s="2"/>
      <c r="D387" s="2"/>
      <c r="E387" s="3"/>
      <c r="F387" s="3"/>
      <c r="G387" s="2"/>
      <c r="H387" s="2"/>
      <c r="I387" s="46"/>
      <c r="J387" s="12"/>
      <c r="K387" s="2"/>
      <c r="L387" s="59"/>
    </row>
    <row r="388" spans="1:12" x14ac:dyDescent="0.35">
      <c r="A388" s="45">
        <v>384</v>
      </c>
      <c r="B388" s="2"/>
      <c r="C388" s="2"/>
      <c r="D388" s="2"/>
      <c r="E388" s="3"/>
      <c r="F388" s="3"/>
      <c r="G388" s="2"/>
      <c r="H388" s="2"/>
      <c r="I388" s="46"/>
      <c r="J388" s="12"/>
      <c r="K388" s="2"/>
      <c r="L388" s="59"/>
    </row>
    <row r="389" spans="1:12" x14ac:dyDescent="0.35">
      <c r="A389" s="45">
        <v>385</v>
      </c>
      <c r="B389" s="2"/>
      <c r="C389" s="2"/>
      <c r="D389" s="2"/>
      <c r="E389" s="3"/>
      <c r="F389" s="3"/>
      <c r="G389" s="2"/>
      <c r="H389" s="2"/>
      <c r="I389" s="46"/>
      <c r="J389" s="12"/>
      <c r="K389" s="2"/>
      <c r="L389" s="59"/>
    </row>
    <row r="390" spans="1:12" x14ac:dyDescent="0.35">
      <c r="A390" s="45">
        <v>386</v>
      </c>
      <c r="B390" s="2"/>
      <c r="C390" s="2"/>
      <c r="D390" s="2"/>
      <c r="E390" s="3"/>
      <c r="F390" s="3"/>
      <c r="G390" s="2"/>
      <c r="H390" s="2"/>
      <c r="I390" s="46"/>
      <c r="J390" s="12"/>
      <c r="K390" s="2"/>
      <c r="L390" s="59"/>
    </row>
    <row r="391" spans="1:12" x14ac:dyDescent="0.35">
      <c r="A391" s="45">
        <v>387</v>
      </c>
      <c r="B391" s="2"/>
      <c r="C391" s="2"/>
      <c r="D391" s="2"/>
      <c r="E391" s="3"/>
      <c r="F391" s="3"/>
      <c r="G391" s="2"/>
      <c r="H391" s="2"/>
      <c r="I391" s="46"/>
      <c r="J391" s="12"/>
      <c r="K391" s="2"/>
      <c r="L391" s="59"/>
    </row>
    <row r="392" spans="1:12" x14ac:dyDescent="0.35">
      <c r="A392" s="45">
        <v>388</v>
      </c>
      <c r="B392" s="2"/>
      <c r="C392" s="2"/>
      <c r="D392" s="2"/>
      <c r="E392" s="3"/>
      <c r="F392" s="3"/>
      <c r="G392" s="2"/>
      <c r="H392" s="2"/>
      <c r="I392" s="46"/>
      <c r="J392" s="12"/>
      <c r="K392" s="2"/>
      <c r="L392" s="59"/>
    </row>
    <row r="393" spans="1:12" x14ac:dyDescent="0.35">
      <c r="A393" s="45">
        <v>389</v>
      </c>
      <c r="B393" s="2"/>
      <c r="C393" s="2"/>
      <c r="D393" s="2"/>
      <c r="E393" s="3"/>
      <c r="F393" s="3"/>
      <c r="G393" s="2"/>
      <c r="H393" s="2"/>
      <c r="I393" s="46"/>
      <c r="J393" s="12"/>
      <c r="K393" s="2"/>
      <c r="L393" s="59"/>
    </row>
    <row r="394" spans="1:12" x14ac:dyDescent="0.35">
      <c r="A394" s="45">
        <v>390</v>
      </c>
      <c r="B394" s="2"/>
      <c r="C394" s="2"/>
      <c r="D394" s="2"/>
      <c r="E394" s="3"/>
      <c r="F394" s="3"/>
      <c r="G394" s="2"/>
      <c r="H394" s="2"/>
      <c r="I394" s="46"/>
      <c r="J394" s="12"/>
      <c r="K394" s="2"/>
      <c r="L394" s="59"/>
    </row>
    <row r="395" spans="1:12" x14ac:dyDescent="0.35">
      <c r="A395" s="45">
        <v>391</v>
      </c>
      <c r="B395" s="2"/>
      <c r="C395" s="2"/>
      <c r="D395" s="2"/>
      <c r="E395" s="3"/>
      <c r="F395" s="3"/>
      <c r="G395" s="2"/>
      <c r="H395" s="2"/>
      <c r="I395" s="46"/>
      <c r="J395" s="12"/>
      <c r="K395" s="2"/>
      <c r="L395" s="59"/>
    </row>
    <row r="396" spans="1:12" x14ac:dyDescent="0.35">
      <c r="A396" s="45">
        <v>392</v>
      </c>
      <c r="B396" s="2"/>
      <c r="C396" s="2"/>
      <c r="D396" s="2"/>
      <c r="E396" s="3"/>
      <c r="F396" s="3"/>
      <c r="G396" s="2"/>
      <c r="H396" s="2"/>
      <c r="I396" s="46"/>
      <c r="J396" s="12"/>
      <c r="K396" s="2"/>
      <c r="L396" s="59"/>
    </row>
    <row r="397" spans="1:12" x14ac:dyDescent="0.35">
      <c r="A397" s="45">
        <v>393</v>
      </c>
      <c r="B397" s="2"/>
      <c r="C397" s="2"/>
      <c r="D397" s="2"/>
      <c r="E397" s="3"/>
      <c r="F397" s="3"/>
      <c r="G397" s="2"/>
      <c r="H397" s="2"/>
      <c r="I397" s="46"/>
      <c r="J397" s="12"/>
      <c r="K397" s="2"/>
      <c r="L397" s="59"/>
    </row>
    <row r="398" spans="1:12" x14ac:dyDescent="0.35">
      <c r="A398" s="45">
        <v>394</v>
      </c>
      <c r="B398" s="2"/>
      <c r="C398" s="2"/>
      <c r="D398" s="2"/>
      <c r="E398" s="3"/>
      <c r="F398" s="3"/>
      <c r="G398" s="2"/>
      <c r="H398" s="2"/>
      <c r="I398" s="46"/>
      <c r="J398" s="12"/>
      <c r="K398" s="2"/>
      <c r="L398" s="59"/>
    </row>
    <row r="399" spans="1:12" x14ac:dyDescent="0.35">
      <c r="A399" s="45">
        <v>395</v>
      </c>
      <c r="B399" s="2"/>
      <c r="C399" s="2"/>
      <c r="D399" s="2"/>
      <c r="E399" s="3"/>
      <c r="F399" s="3"/>
      <c r="G399" s="2"/>
      <c r="H399" s="2"/>
      <c r="I399" s="46"/>
      <c r="J399" s="12"/>
      <c r="K399" s="2"/>
      <c r="L399" s="59"/>
    </row>
    <row r="400" spans="1:12" x14ac:dyDescent="0.35">
      <c r="A400" s="45">
        <v>396</v>
      </c>
      <c r="B400" s="2"/>
      <c r="C400" s="2"/>
      <c r="D400" s="2"/>
      <c r="E400" s="3"/>
      <c r="F400" s="3"/>
      <c r="G400" s="2"/>
      <c r="H400" s="2"/>
      <c r="I400" s="46"/>
      <c r="J400" s="12"/>
      <c r="K400" s="2"/>
      <c r="L400" s="59"/>
    </row>
    <row r="401" spans="1:12" x14ac:dyDescent="0.35">
      <c r="A401" s="45">
        <v>397</v>
      </c>
      <c r="B401" s="2"/>
      <c r="C401" s="2"/>
      <c r="D401" s="2"/>
      <c r="E401" s="3"/>
      <c r="F401" s="3"/>
      <c r="G401" s="2"/>
      <c r="H401" s="2"/>
      <c r="I401" s="46"/>
      <c r="J401" s="12"/>
      <c r="K401" s="2"/>
      <c r="L401" s="59"/>
    </row>
    <row r="402" spans="1:12" x14ac:dyDescent="0.35">
      <c r="A402" s="45">
        <v>398</v>
      </c>
      <c r="B402" s="2"/>
      <c r="C402" s="2"/>
      <c r="D402" s="2"/>
      <c r="E402" s="3"/>
      <c r="F402" s="3"/>
      <c r="G402" s="2"/>
      <c r="H402" s="2"/>
      <c r="I402" s="46"/>
      <c r="J402" s="12"/>
      <c r="K402" s="2"/>
      <c r="L402" s="59"/>
    </row>
    <row r="403" spans="1:12" x14ac:dyDescent="0.35">
      <c r="A403" s="45">
        <v>399</v>
      </c>
      <c r="B403" s="2"/>
      <c r="C403" s="2"/>
      <c r="D403" s="2"/>
      <c r="E403" s="3"/>
      <c r="F403" s="3"/>
      <c r="G403" s="2"/>
      <c r="H403" s="2"/>
      <c r="I403" s="46"/>
      <c r="J403" s="12"/>
      <c r="K403" s="2"/>
      <c r="L403" s="59"/>
    </row>
    <row r="404" spans="1:12" x14ac:dyDescent="0.35">
      <c r="A404" s="45">
        <v>400</v>
      </c>
      <c r="B404" s="2"/>
      <c r="C404" s="2"/>
      <c r="D404" s="2"/>
      <c r="E404" s="3"/>
      <c r="F404" s="3"/>
      <c r="G404" s="2"/>
      <c r="H404" s="2"/>
      <c r="I404" s="46"/>
      <c r="J404" s="12"/>
      <c r="K404" s="2"/>
      <c r="L404" s="59"/>
    </row>
    <row r="405" spans="1:12" x14ac:dyDescent="0.35">
      <c r="A405" s="45">
        <v>401</v>
      </c>
      <c r="B405" s="2"/>
      <c r="C405" s="2"/>
      <c r="D405" s="2"/>
      <c r="E405" s="3"/>
      <c r="F405" s="3"/>
      <c r="G405" s="2"/>
      <c r="H405" s="2"/>
      <c r="I405" s="46"/>
      <c r="J405" s="12"/>
      <c r="K405" s="2"/>
      <c r="L405" s="59"/>
    </row>
    <row r="406" spans="1:12" x14ac:dyDescent="0.35">
      <c r="A406" s="45">
        <v>402</v>
      </c>
      <c r="B406" s="2"/>
      <c r="C406" s="2"/>
      <c r="D406" s="2"/>
      <c r="E406" s="3"/>
      <c r="F406" s="3"/>
      <c r="G406" s="2"/>
      <c r="H406" s="2"/>
      <c r="I406" s="46"/>
      <c r="J406" s="12"/>
      <c r="K406" s="2"/>
      <c r="L406" s="59"/>
    </row>
    <row r="407" spans="1:12" x14ac:dyDescent="0.35">
      <c r="A407" s="45">
        <v>403</v>
      </c>
      <c r="B407" s="2"/>
      <c r="C407" s="2"/>
      <c r="D407" s="2"/>
      <c r="E407" s="3"/>
      <c r="F407" s="3"/>
      <c r="G407" s="2"/>
      <c r="H407" s="2"/>
      <c r="I407" s="46"/>
      <c r="J407" s="12"/>
      <c r="K407" s="2"/>
      <c r="L407" s="59"/>
    </row>
    <row r="408" spans="1:12" x14ac:dyDescent="0.35">
      <c r="A408" s="45">
        <v>404</v>
      </c>
      <c r="B408" s="2"/>
      <c r="C408" s="2"/>
      <c r="D408" s="2"/>
      <c r="E408" s="3"/>
      <c r="F408" s="3"/>
      <c r="G408" s="2"/>
      <c r="H408" s="2"/>
      <c r="I408" s="46"/>
      <c r="J408" s="12"/>
      <c r="K408" s="2"/>
      <c r="L408" s="59"/>
    </row>
    <row r="409" spans="1:12" x14ac:dyDescent="0.35">
      <c r="A409" s="45">
        <v>405</v>
      </c>
      <c r="B409" s="2"/>
      <c r="C409" s="2"/>
      <c r="D409" s="2"/>
      <c r="E409" s="3"/>
      <c r="F409" s="3"/>
      <c r="G409" s="2"/>
      <c r="H409" s="2"/>
      <c r="I409" s="46"/>
      <c r="J409" s="12"/>
      <c r="K409" s="2"/>
      <c r="L409" s="59"/>
    </row>
    <row r="410" spans="1:12" x14ac:dyDescent="0.35">
      <c r="A410" s="45">
        <v>406</v>
      </c>
      <c r="B410" s="2"/>
      <c r="C410" s="2"/>
      <c r="D410" s="2"/>
      <c r="E410" s="3"/>
      <c r="F410" s="3"/>
      <c r="G410" s="2"/>
      <c r="H410" s="2"/>
      <c r="I410" s="46"/>
      <c r="J410" s="12"/>
      <c r="K410" s="2"/>
      <c r="L410" s="59"/>
    </row>
    <row r="411" spans="1:12" x14ac:dyDescent="0.35">
      <c r="A411" s="45">
        <v>407</v>
      </c>
      <c r="B411" s="2"/>
      <c r="C411" s="2"/>
      <c r="D411" s="2"/>
      <c r="E411" s="3"/>
      <c r="F411" s="3"/>
      <c r="G411" s="2"/>
      <c r="H411" s="2"/>
      <c r="I411" s="46"/>
      <c r="J411" s="12"/>
      <c r="K411" s="2"/>
      <c r="L411" s="59"/>
    </row>
    <row r="412" spans="1:12" x14ac:dyDescent="0.35">
      <c r="A412" s="45">
        <v>408</v>
      </c>
      <c r="B412" s="2"/>
      <c r="C412" s="2"/>
      <c r="D412" s="2"/>
      <c r="E412" s="3"/>
      <c r="F412" s="3"/>
      <c r="G412" s="2"/>
      <c r="H412" s="2"/>
      <c r="I412" s="46"/>
      <c r="J412" s="12"/>
      <c r="K412" s="2"/>
      <c r="L412" s="59"/>
    </row>
    <row r="413" spans="1:12" x14ac:dyDescent="0.35">
      <c r="A413" s="45">
        <v>409</v>
      </c>
      <c r="B413" s="2"/>
      <c r="C413" s="2"/>
      <c r="D413" s="2"/>
      <c r="E413" s="3"/>
      <c r="F413" s="3"/>
      <c r="G413" s="2"/>
      <c r="H413" s="2"/>
      <c r="I413" s="46"/>
      <c r="J413" s="12"/>
      <c r="K413" s="2"/>
      <c r="L413" s="59"/>
    </row>
    <row r="414" spans="1:12" x14ac:dyDescent="0.35">
      <c r="A414" s="45">
        <v>410</v>
      </c>
      <c r="B414" s="2"/>
      <c r="C414" s="2"/>
      <c r="D414" s="2"/>
      <c r="E414" s="3"/>
      <c r="F414" s="3"/>
      <c r="G414" s="2"/>
      <c r="H414" s="2"/>
      <c r="I414" s="46"/>
      <c r="J414" s="12"/>
      <c r="K414" s="2"/>
      <c r="L414" s="59"/>
    </row>
    <row r="415" spans="1:12" x14ac:dyDescent="0.35">
      <c r="A415" s="45">
        <v>411</v>
      </c>
      <c r="B415" s="2"/>
      <c r="C415" s="2"/>
      <c r="D415" s="2"/>
      <c r="E415" s="3"/>
      <c r="F415" s="3"/>
      <c r="G415" s="2"/>
      <c r="H415" s="2"/>
      <c r="I415" s="46"/>
      <c r="J415" s="12"/>
      <c r="K415" s="2"/>
      <c r="L415" s="59"/>
    </row>
    <row r="416" spans="1:12" x14ac:dyDescent="0.35">
      <c r="A416" s="45">
        <v>412</v>
      </c>
      <c r="B416" s="2"/>
      <c r="C416" s="2"/>
      <c r="D416" s="2"/>
      <c r="E416" s="3"/>
      <c r="F416" s="3"/>
      <c r="G416" s="2"/>
      <c r="H416" s="2"/>
      <c r="I416" s="46"/>
      <c r="J416" s="12"/>
      <c r="K416" s="2"/>
      <c r="L416" s="59"/>
    </row>
    <row r="417" spans="1:12" x14ac:dyDescent="0.35">
      <c r="A417" s="45">
        <v>413</v>
      </c>
      <c r="B417" s="2"/>
      <c r="C417" s="2"/>
      <c r="D417" s="2"/>
      <c r="E417" s="3"/>
      <c r="F417" s="3"/>
      <c r="G417" s="2"/>
      <c r="H417" s="2"/>
      <c r="I417" s="46"/>
      <c r="J417" s="12"/>
      <c r="K417" s="2"/>
      <c r="L417" s="59"/>
    </row>
    <row r="418" spans="1:12" x14ac:dyDescent="0.35">
      <c r="A418" s="45">
        <v>414</v>
      </c>
      <c r="B418" s="2"/>
      <c r="C418" s="2"/>
      <c r="D418" s="2"/>
      <c r="E418" s="3"/>
      <c r="F418" s="3"/>
      <c r="G418" s="2"/>
      <c r="H418" s="2"/>
      <c r="I418" s="46"/>
      <c r="J418" s="12"/>
      <c r="K418" s="2"/>
      <c r="L418" s="59"/>
    </row>
    <row r="419" spans="1:12" x14ac:dyDescent="0.35">
      <c r="A419" s="45">
        <v>415</v>
      </c>
      <c r="B419" s="2"/>
      <c r="C419" s="2"/>
      <c r="D419" s="2"/>
      <c r="E419" s="3"/>
      <c r="F419" s="3"/>
      <c r="G419" s="2"/>
      <c r="H419" s="2"/>
      <c r="I419" s="46"/>
      <c r="J419" s="12"/>
      <c r="K419" s="2"/>
      <c r="L419" s="59"/>
    </row>
    <row r="420" spans="1:12" x14ac:dyDescent="0.35">
      <c r="A420" s="45">
        <v>416</v>
      </c>
      <c r="B420" s="2"/>
      <c r="C420" s="2"/>
      <c r="D420" s="2"/>
      <c r="E420" s="3"/>
      <c r="F420" s="3"/>
      <c r="G420" s="2"/>
      <c r="H420" s="2"/>
      <c r="I420" s="46"/>
      <c r="J420" s="12"/>
      <c r="K420" s="2"/>
      <c r="L420" s="59"/>
    </row>
    <row r="421" spans="1:12" x14ac:dyDescent="0.35">
      <c r="A421" s="45">
        <v>417</v>
      </c>
      <c r="B421" s="2"/>
      <c r="C421" s="2"/>
      <c r="D421" s="2"/>
      <c r="E421" s="3"/>
      <c r="F421" s="3"/>
      <c r="G421" s="2"/>
      <c r="H421" s="2"/>
      <c r="I421" s="46"/>
      <c r="J421" s="12"/>
      <c r="K421" s="2"/>
      <c r="L421" s="59"/>
    </row>
    <row r="422" spans="1:12" x14ac:dyDescent="0.35">
      <c r="A422" s="45">
        <v>418</v>
      </c>
      <c r="B422" s="2"/>
      <c r="C422" s="2"/>
      <c r="D422" s="2"/>
      <c r="E422" s="3"/>
      <c r="F422" s="3"/>
      <c r="G422" s="2"/>
      <c r="H422" s="2"/>
      <c r="I422" s="46"/>
      <c r="J422" s="12"/>
      <c r="K422" s="2"/>
      <c r="L422" s="59"/>
    </row>
    <row r="423" spans="1:12" x14ac:dyDescent="0.35">
      <c r="A423" s="45">
        <v>419</v>
      </c>
      <c r="B423" s="2"/>
      <c r="C423" s="2"/>
      <c r="D423" s="2"/>
      <c r="E423" s="3"/>
      <c r="F423" s="3"/>
      <c r="G423" s="2"/>
      <c r="H423" s="2"/>
      <c r="I423" s="46"/>
      <c r="J423" s="12"/>
      <c r="K423" s="2"/>
      <c r="L423" s="59"/>
    </row>
    <row r="424" spans="1:12" x14ac:dyDescent="0.35">
      <c r="A424" s="45">
        <v>420</v>
      </c>
      <c r="B424" s="2"/>
      <c r="C424" s="2"/>
      <c r="D424" s="2"/>
      <c r="E424" s="3"/>
      <c r="F424" s="3"/>
      <c r="G424" s="2"/>
      <c r="H424" s="2"/>
      <c r="I424" s="46"/>
      <c r="J424" s="12"/>
      <c r="K424" s="2"/>
      <c r="L424" s="59"/>
    </row>
    <row r="425" spans="1:12" x14ac:dyDescent="0.35">
      <c r="A425" s="45">
        <v>421</v>
      </c>
      <c r="B425" s="2"/>
      <c r="C425" s="2"/>
      <c r="D425" s="2"/>
      <c r="E425" s="3"/>
      <c r="F425" s="3"/>
      <c r="G425" s="2"/>
      <c r="H425" s="2"/>
      <c r="I425" s="46"/>
      <c r="J425" s="12"/>
      <c r="K425" s="2"/>
      <c r="L425" s="59"/>
    </row>
    <row r="426" spans="1:12" x14ac:dyDescent="0.35">
      <c r="A426" s="45">
        <v>422</v>
      </c>
      <c r="B426" s="2"/>
      <c r="C426" s="2"/>
      <c r="D426" s="2"/>
      <c r="E426" s="3"/>
      <c r="F426" s="3"/>
      <c r="G426" s="2"/>
      <c r="H426" s="2"/>
      <c r="I426" s="46"/>
      <c r="J426" s="12"/>
      <c r="K426" s="2"/>
      <c r="L426" s="59"/>
    </row>
    <row r="427" spans="1:12" x14ac:dyDescent="0.35">
      <c r="A427" s="45">
        <v>423</v>
      </c>
      <c r="B427" s="2"/>
      <c r="C427" s="2"/>
      <c r="D427" s="2"/>
      <c r="E427" s="3"/>
      <c r="F427" s="3"/>
      <c r="G427" s="2"/>
      <c r="H427" s="2"/>
      <c r="I427" s="46"/>
      <c r="J427" s="12"/>
      <c r="K427" s="2"/>
      <c r="L427" s="59"/>
    </row>
    <row r="428" spans="1:12" x14ac:dyDescent="0.35">
      <c r="A428" s="45">
        <v>424</v>
      </c>
      <c r="B428" s="2"/>
      <c r="C428" s="2"/>
      <c r="D428" s="2"/>
      <c r="E428" s="3"/>
      <c r="F428" s="3"/>
      <c r="G428" s="2"/>
      <c r="H428" s="2"/>
      <c r="I428" s="46"/>
      <c r="J428" s="12"/>
      <c r="K428" s="2"/>
      <c r="L428" s="59"/>
    </row>
    <row r="429" spans="1:12" x14ac:dyDescent="0.35">
      <c r="A429" s="45">
        <v>425</v>
      </c>
      <c r="B429" s="2"/>
      <c r="C429" s="2"/>
      <c r="D429" s="2"/>
      <c r="E429" s="3"/>
      <c r="F429" s="3"/>
      <c r="G429" s="2"/>
      <c r="H429" s="2"/>
      <c r="I429" s="46"/>
      <c r="J429" s="12"/>
      <c r="K429" s="2"/>
      <c r="L429" s="59"/>
    </row>
    <row r="430" spans="1:12" x14ac:dyDescent="0.35">
      <c r="A430" s="45">
        <v>426</v>
      </c>
      <c r="B430" s="2"/>
      <c r="C430" s="2"/>
      <c r="D430" s="2"/>
      <c r="E430" s="3"/>
      <c r="F430" s="3"/>
      <c r="G430" s="2"/>
      <c r="H430" s="2"/>
      <c r="I430" s="46"/>
      <c r="J430" s="12"/>
      <c r="K430" s="2"/>
      <c r="L430" s="59"/>
    </row>
    <row r="431" spans="1:12" x14ac:dyDescent="0.35">
      <c r="A431" s="45">
        <v>427</v>
      </c>
      <c r="B431" s="2"/>
      <c r="C431" s="2"/>
      <c r="D431" s="2"/>
      <c r="E431" s="3"/>
      <c r="F431" s="3"/>
      <c r="G431" s="2"/>
      <c r="H431" s="2"/>
      <c r="I431" s="46"/>
      <c r="J431" s="12"/>
      <c r="K431" s="2"/>
      <c r="L431" s="59"/>
    </row>
    <row r="432" spans="1:12" x14ac:dyDescent="0.35">
      <c r="A432" s="45">
        <v>428</v>
      </c>
      <c r="B432" s="2"/>
      <c r="C432" s="2"/>
      <c r="D432" s="2"/>
      <c r="E432" s="3"/>
      <c r="F432" s="3"/>
      <c r="G432" s="2"/>
      <c r="H432" s="2"/>
      <c r="I432" s="46"/>
      <c r="J432" s="12"/>
      <c r="K432" s="2"/>
      <c r="L432" s="59"/>
    </row>
    <row r="433" spans="1:12" x14ac:dyDescent="0.35">
      <c r="A433" s="45">
        <v>429</v>
      </c>
      <c r="B433" s="2"/>
      <c r="C433" s="2"/>
      <c r="D433" s="2"/>
      <c r="E433" s="3"/>
      <c r="F433" s="3"/>
      <c r="G433" s="2"/>
      <c r="H433" s="2"/>
      <c r="I433" s="46"/>
      <c r="J433" s="12"/>
      <c r="K433" s="2"/>
      <c r="L433" s="59"/>
    </row>
    <row r="434" spans="1:12" x14ac:dyDescent="0.35">
      <c r="A434" s="45">
        <v>430</v>
      </c>
      <c r="B434" s="2"/>
      <c r="C434" s="2"/>
      <c r="D434" s="2"/>
      <c r="E434" s="3"/>
      <c r="F434" s="3"/>
      <c r="G434" s="2"/>
      <c r="H434" s="2"/>
      <c r="I434" s="46"/>
      <c r="J434" s="12"/>
      <c r="K434" s="2"/>
      <c r="L434" s="59"/>
    </row>
    <row r="435" spans="1:12" x14ac:dyDescent="0.35">
      <c r="A435" s="45">
        <v>431</v>
      </c>
      <c r="B435" s="2"/>
      <c r="C435" s="2"/>
      <c r="D435" s="2"/>
      <c r="E435" s="3"/>
      <c r="F435" s="3"/>
      <c r="G435" s="2"/>
      <c r="H435" s="2"/>
      <c r="I435" s="46"/>
      <c r="J435" s="12"/>
      <c r="K435" s="2"/>
      <c r="L435" s="59"/>
    </row>
    <row r="436" spans="1:12" x14ac:dyDescent="0.35">
      <c r="A436" s="45">
        <v>432</v>
      </c>
      <c r="B436" s="2"/>
      <c r="C436" s="2"/>
      <c r="D436" s="2"/>
      <c r="E436" s="3"/>
      <c r="F436" s="3"/>
      <c r="G436" s="2"/>
      <c r="H436" s="2"/>
      <c r="I436" s="46"/>
      <c r="J436" s="12"/>
      <c r="K436" s="2"/>
      <c r="L436" s="59"/>
    </row>
    <row r="437" spans="1:12" x14ac:dyDescent="0.35">
      <c r="A437" s="45">
        <v>433</v>
      </c>
      <c r="B437" s="2"/>
      <c r="C437" s="2"/>
      <c r="D437" s="2"/>
      <c r="E437" s="3"/>
      <c r="F437" s="3"/>
      <c r="G437" s="2"/>
      <c r="H437" s="2"/>
      <c r="I437" s="46"/>
      <c r="J437" s="12"/>
      <c r="K437" s="2"/>
      <c r="L437" s="59"/>
    </row>
    <row r="438" spans="1:12" x14ac:dyDescent="0.35">
      <c r="A438" s="45">
        <v>434</v>
      </c>
      <c r="B438" s="2"/>
      <c r="C438" s="2"/>
      <c r="D438" s="2"/>
      <c r="E438" s="3"/>
      <c r="F438" s="3"/>
      <c r="G438" s="2"/>
      <c r="H438" s="2"/>
      <c r="I438" s="46"/>
      <c r="J438" s="12"/>
      <c r="K438" s="2"/>
      <c r="L438" s="59"/>
    </row>
    <row r="439" spans="1:12" x14ac:dyDescent="0.35">
      <c r="A439" s="45">
        <v>435</v>
      </c>
      <c r="B439" s="2"/>
      <c r="C439" s="2"/>
      <c r="D439" s="2"/>
      <c r="E439" s="3"/>
      <c r="F439" s="3"/>
      <c r="G439" s="2"/>
      <c r="H439" s="2"/>
      <c r="I439" s="46"/>
      <c r="J439" s="12"/>
      <c r="K439" s="2"/>
      <c r="L439" s="59"/>
    </row>
    <row r="440" spans="1:12" x14ac:dyDescent="0.35">
      <c r="A440" s="45">
        <v>436</v>
      </c>
      <c r="B440" s="2"/>
      <c r="C440" s="2"/>
      <c r="D440" s="2"/>
      <c r="E440" s="3"/>
      <c r="F440" s="3"/>
      <c r="G440" s="2"/>
      <c r="H440" s="2"/>
      <c r="I440" s="46"/>
      <c r="J440" s="12"/>
      <c r="K440" s="2"/>
      <c r="L440" s="59"/>
    </row>
    <row r="441" spans="1:12" x14ac:dyDescent="0.35">
      <c r="A441" s="45">
        <v>437</v>
      </c>
      <c r="B441" s="2"/>
      <c r="C441" s="2"/>
      <c r="D441" s="2"/>
      <c r="E441" s="3"/>
      <c r="F441" s="3"/>
      <c r="G441" s="2"/>
      <c r="H441" s="2"/>
      <c r="I441" s="46"/>
      <c r="J441" s="12"/>
      <c r="K441" s="2"/>
      <c r="L441" s="59"/>
    </row>
    <row r="442" spans="1:12" x14ac:dyDescent="0.35">
      <c r="A442" s="45">
        <v>438</v>
      </c>
      <c r="B442" s="2"/>
      <c r="C442" s="2"/>
      <c r="D442" s="2"/>
      <c r="E442" s="3"/>
      <c r="F442" s="3"/>
      <c r="G442" s="2"/>
      <c r="H442" s="2"/>
      <c r="I442" s="46"/>
      <c r="J442" s="12"/>
      <c r="K442" s="2"/>
      <c r="L442" s="59"/>
    </row>
    <row r="443" spans="1:12" x14ac:dyDescent="0.35">
      <c r="A443" s="45">
        <v>439</v>
      </c>
      <c r="B443" s="2"/>
      <c r="C443" s="2"/>
      <c r="D443" s="2"/>
      <c r="E443" s="3"/>
      <c r="F443" s="3"/>
      <c r="G443" s="2"/>
      <c r="H443" s="2"/>
      <c r="I443" s="46"/>
      <c r="J443" s="12"/>
      <c r="K443" s="2"/>
      <c r="L443" s="59"/>
    </row>
    <row r="444" spans="1:12" x14ac:dyDescent="0.35">
      <c r="A444" s="45">
        <v>440</v>
      </c>
      <c r="B444" s="2"/>
      <c r="C444" s="2"/>
      <c r="D444" s="2"/>
      <c r="E444" s="3"/>
      <c r="F444" s="3"/>
      <c r="G444" s="2"/>
      <c r="H444" s="2"/>
      <c r="I444" s="46"/>
      <c r="J444" s="12"/>
      <c r="K444" s="2"/>
      <c r="L444" s="59"/>
    </row>
    <row r="445" spans="1:12" x14ac:dyDescent="0.35">
      <c r="A445" s="45">
        <v>441</v>
      </c>
      <c r="B445" s="2"/>
      <c r="C445" s="2"/>
      <c r="D445" s="2"/>
      <c r="E445" s="3"/>
      <c r="F445" s="3"/>
      <c r="G445" s="2"/>
      <c r="H445" s="2"/>
      <c r="I445" s="46"/>
      <c r="J445" s="12"/>
      <c r="K445" s="2"/>
      <c r="L445" s="59"/>
    </row>
    <row r="446" spans="1:12" x14ac:dyDescent="0.35">
      <c r="A446" s="45">
        <v>442</v>
      </c>
      <c r="B446" s="2"/>
      <c r="C446" s="2"/>
      <c r="D446" s="2"/>
      <c r="E446" s="3"/>
      <c r="F446" s="3"/>
      <c r="G446" s="2"/>
      <c r="H446" s="2"/>
      <c r="I446" s="46"/>
      <c r="J446" s="12"/>
      <c r="K446" s="2"/>
      <c r="L446" s="59"/>
    </row>
    <row r="447" spans="1:12" x14ac:dyDescent="0.35">
      <c r="A447" s="45">
        <v>443</v>
      </c>
      <c r="B447" s="2"/>
      <c r="C447" s="2"/>
      <c r="D447" s="2"/>
      <c r="E447" s="3"/>
      <c r="F447" s="3"/>
      <c r="G447" s="2"/>
      <c r="H447" s="2"/>
      <c r="I447" s="46"/>
      <c r="J447" s="12"/>
      <c r="K447" s="2"/>
      <c r="L447" s="59"/>
    </row>
    <row r="448" spans="1:12" x14ac:dyDescent="0.35">
      <c r="A448" s="45">
        <v>444</v>
      </c>
      <c r="B448" s="2"/>
      <c r="C448" s="2"/>
      <c r="D448" s="2"/>
      <c r="E448" s="3"/>
      <c r="F448" s="3"/>
      <c r="G448" s="2"/>
      <c r="H448" s="2"/>
      <c r="I448" s="46"/>
      <c r="J448" s="12"/>
      <c r="K448" s="2"/>
      <c r="L448" s="59"/>
    </row>
    <row r="449" spans="1:12" x14ac:dyDescent="0.35">
      <c r="A449" s="45">
        <v>445</v>
      </c>
      <c r="B449" s="2"/>
      <c r="C449" s="2"/>
      <c r="D449" s="2"/>
      <c r="E449" s="3"/>
      <c r="F449" s="3"/>
      <c r="G449" s="2"/>
      <c r="H449" s="2"/>
      <c r="I449" s="46"/>
      <c r="J449" s="12"/>
      <c r="K449" s="2"/>
      <c r="L449" s="59"/>
    </row>
    <row r="450" spans="1:12" x14ac:dyDescent="0.35">
      <c r="A450" s="45">
        <v>446</v>
      </c>
      <c r="B450" s="2"/>
      <c r="C450" s="2"/>
      <c r="D450" s="2"/>
      <c r="E450" s="3"/>
      <c r="F450" s="3"/>
      <c r="G450" s="2"/>
      <c r="H450" s="2"/>
      <c r="I450" s="46"/>
      <c r="J450" s="12"/>
      <c r="K450" s="2"/>
      <c r="L450" s="59"/>
    </row>
    <row r="451" spans="1:12" x14ac:dyDescent="0.35">
      <c r="A451" s="45">
        <v>447</v>
      </c>
      <c r="B451" s="2"/>
      <c r="C451" s="2"/>
      <c r="D451" s="2"/>
      <c r="E451" s="3"/>
      <c r="F451" s="3"/>
      <c r="G451" s="2"/>
      <c r="H451" s="2"/>
      <c r="I451" s="46"/>
      <c r="J451" s="12"/>
      <c r="K451" s="2"/>
      <c r="L451" s="59"/>
    </row>
    <row r="452" spans="1:12" x14ac:dyDescent="0.35">
      <c r="A452" s="45">
        <v>448</v>
      </c>
      <c r="B452" s="2"/>
      <c r="C452" s="2"/>
      <c r="D452" s="2"/>
      <c r="E452" s="3"/>
      <c r="F452" s="3"/>
      <c r="G452" s="2"/>
      <c r="H452" s="2"/>
      <c r="I452" s="46"/>
      <c r="J452" s="12"/>
      <c r="K452" s="2"/>
      <c r="L452" s="59"/>
    </row>
    <row r="453" spans="1:12" x14ac:dyDescent="0.35">
      <c r="A453" s="45">
        <v>449</v>
      </c>
      <c r="B453" s="2"/>
      <c r="C453" s="2"/>
      <c r="D453" s="2"/>
      <c r="E453" s="3"/>
      <c r="F453" s="3"/>
      <c r="G453" s="2"/>
      <c r="H453" s="2"/>
      <c r="I453" s="46"/>
      <c r="J453" s="12"/>
      <c r="K453" s="2"/>
      <c r="L453" s="59"/>
    </row>
    <row r="454" spans="1:12" x14ac:dyDescent="0.35">
      <c r="A454" s="45">
        <v>450</v>
      </c>
      <c r="B454" s="2"/>
      <c r="C454" s="2"/>
      <c r="D454" s="2"/>
      <c r="E454" s="3"/>
      <c r="F454" s="3"/>
      <c r="G454" s="2"/>
      <c r="H454" s="2"/>
      <c r="I454" s="46"/>
      <c r="J454" s="12"/>
      <c r="K454" s="2"/>
      <c r="L454" s="59"/>
    </row>
    <row r="455" spans="1:12" x14ac:dyDescent="0.35">
      <c r="A455" s="45">
        <v>451</v>
      </c>
      <c r="B455" s="2"/>
      <c r="C455" s="2"/>
      <c r="D455" s="2"/>
      <c r="E455" s="3"/>
      <c r="F455" s="3"/>
      <c r="G455" s="2"/>
      <c r="H455" s="2"/>
      <c r="I455" s="46"/>
      <c r="J455" s="12"/>
      <c r="K455" s="2"/>
      <c r="L455" s="59"/>
    </row>
    <row r="456" spans="1:12" x14ac:dyDescent="0.35">
      <c r="A456" s="45">
        <v>452</v>
      </c>
      <c r="B456" s="2"/>
      <c r="C456" s="2"/>
      <c r="D456" s="2"/>
      <c r="E456" s="3"/>
      <c r="F456" s="3"/>
      <c r="G456" s="2"/>
      <c r="H456" s="2"/>
      <c r="I456" s="46"/>
      <c r="J456" s="12"/>
      <c r="K456" s="2"/>
      <c r="L456" s="59"/>
    </row>
    <row r="457" spans="1:12" x14ac:dyDescent="0.35">
      <c r="A457" s="45">
        <v>453</v>
      </c>
      <c r="B457" s="2"/>
      <c r="C457" s="2"/>
      <c r="D457" s="2"/>
      <c r="E457" s="3"/>
      <c r="F457" s="3"/>
      <c r="G457" s="2"/>
      <c r="H457" s="2"/>
      <c r="I457" s="46"/>
      <c r="J457" s="12"/>
      <c r="K457" s="2"/>
      <c r="L457" s="59"/>
    </row>
    <row r="458" spans="1:12" x14ac:dyDescent="0.35">
      <c r="A458" s="45">
        <v>454</v>
      </c>
      <c r="B458" s="2"/>
      <c r="C458" s="2"/>
      <c r="D458" s="2"/>
      <c r="E458" s="3"/>
      <c r="F458" s="3"/>
      <c r="G458" s="2"/>
      <c r="H458" s="2"/>
      <c r="I458" s="46"/>
      <c r="J458" s="12"/>
      <c r="K458" s="2"/>
      <c r="L458" s="59"/>
    </row>
    <row r="459" spans="1:12" x14ac:dyDescent="0.35">
      <c r="A459" s="45">
        <v>455</v>
      </c>
      <c r="B459" s="2"/>
      <c r="C459" s="2"/>
      <c r="D459" s="2"/>
      <c r="E459" s="3"/>
      <c r="F459" s="3"/>
      <c r="G459" s="2"/>
      <c r="H459" s="2"/>
      <c r="I459" s="46"/>
      <c r="J459" s="12"/>
      <c r="K459" s="2"/>
      <c r="L459" s="59"/>
    </row>
    <row r="460" spans="1:12" x14ac:dyDescent="0.35">
      <c r="A460" s="45">
        <v>456</v>
      </c>
      <c r="B460" s="2"/>
      <c r="C460" s="2"/>
      <c r="D460" s="2"/>
      <c r="E460" s="3"/>
      <c r="F460" s="3"/>
      <c r="G460" s="2"/>
      <c r="H460" s="2"/>
      <c r="I460" s="46"/>
      <c r="J460" s="12"/>
      <c r="K460" s="2"/>
      <c r="L460" s="59"/>
    </row>
    <row r="461" spans="1:12" x14ac:dyDescent="0.35">
      <c r="A461" s="45">
        <v>457</v>
      </c>
      <c r="B461" s="2"/>
      <c r="C461" s="2"/>
      <c r="D461" s="2"/>
      <c r="E461" s="3"/>
      <c r="F461" s="3"/>
      <c r="G461" s="2"/>
      <c r="H461" s="2"/>
      <c r="I461" s="46"/>
      <c r="J461" s="12"/>
      <c r="K461" s="2"/>
      <c r="L461" s="59"/>
    </row>
    <row r="462" spans="1:12" x14ac:dyDescent="0.35">
      <c r="A462" s="45">
        <v>458</v>
      </c>
      <c r="B462" s="2"/>
      <c r="C462" s="2"/>
      <c r="D462" s="2"/>
      <c r="E462" s="3"/>
      <c r="F462" s="3"/>
      <c r="G462" s="2"/>
      <c r="H462" s="2"/>
      <c r="I462" s="46"/>
      <c r="J462" s="12"/>
      <c r="K462" s="2"/>
      <c r="L462" s="59"/>
    </row>
    <row r="463" spans="1:12" x14ac:dyDescent="0.35">
      <c r="A463" s="45">
        <v>459</v>
      </c>
      <c r="B463" s="2"/>
      <c r="C463" s="2"/>
      <c r="D463" s="2"/>
      <c r="E463" s="3"/>
      <c r="F463" s="3"/>
      <c r="G463" s="2"/>
      <c r="H463" s="2"/>
      <c r="I463" s="46"/>
      <c r="J463" s="12"/>
      <c r="K463" s="2"/>
      <c r="L463" s="59"/>
    </row>
    <row r="464" spans="1:12" x14ac:dyDescent="0.35">
      <c r="A464" s="45">
        <v>460</v>
      </c>
      <c r="B464" s="2"/>
      <c r="C464" s="2"/>
      <c r="D464" s="2"/>
      <c r="E464" s="3"/>
      <c r="F464" s="3"/>
      <c r="G464" s="2"/>
      <c r="H464" s="2"/>
      <c r="I464" s="46"/>
      <c r="J464" s="12"/>
      <c r="K464" s="2"/>
      <c r="L464" s="59"/>
    </row>
    <row r="465" spans="1:12" x14ac:dyDescent="0.35">
      <c r="A465" s="45">
        <v>461</v>
      </c>
      <c r="B465" s="2"/>
      <c r="C465" s="2"/>
      <c r="D465" s="2"/>
      <c r="E465" s="3"/>
      <c r="F465" s="3"/>
      <c r="G465" s="2"/>
      <c r="H465" s="2"/>
      <c r="I465" s="46"/>
      <c r="J465" s="12"/>
      <c r="K465" s="2"/>
      <c r="L465" s="59"/>
    </row>
    <row r="466" spans="1:12" x14ac:dyDescent="0.35">
      <c r="A466" s="45">
        <v>462</v>
      </c>
      <c r="B466" s="2"/>
      <c r="C466" s="2"/>
      <c r="D466" s="2"/>
      <c r="E466" s="3"/>
      <c r="F466" s="3"/>
      <c r="G466" s="2"/>
      <c r="H466" s="2"/>
      <c r="I466" s="46"/>
      <c r="J466" s="12"/>
      <c r="K466" s="2"/>
      <c r="L466" s="59"/>
    </row>
    <row r="467" spans="1:12" x14ac:dyDescent="0.35">
      <c r="A467" s="45">
        <v>463</v>
      </c>
      <c r="B467" s="2"/>
      <c r="C467" s="2"/>
      <c r="D467" s="2"/>
      <c r="E467" s="3"/>
      <c r="F467" s="3"/>
      <c r="G467" s="2"/>
      <c r="H467" s="2"/>
      <c r="I467" s="46"/>
      <c r="J467" s="12"/>
      <c r="K467" s="2"/>
      <c r="L467" s="59"/>
    </row>
    <row r="468" spans="1:12" x14ac:dyDescent="0.35">
      <c r="A468" s="45">
        <v>464</v>
      </c>
      <c r="B468" s="2"/>
      <c r="C468" s="2"/>
      <c r="D468" s="2"/>
      <c r="E468" s="3"/>
      <c r="F468" s="3"/>
      <c r="G468" s="2"/>
      <c r="H468" s="2"/>
      <c r="I468" s="46"/>
      <c r="J468" s="12"/>
      <c r="K468" s="2"/>
      <c r="L468" s="59"/>
    </row>
    <row r="469" spans="1:12" x14ac:dyDescent="0.35">
      <c r="A469" s="45">
        <v>465</v>
      </c>
      <c r="B469" s="2"/>
      <c r="C469" s="2"/>
      <c r="D469" s="2"/>
      <c r="E469" s="3"/>
      <c r="F469" s="3"/>
      <c r="G469" s="2"/>
      <c r="H469" s="2"/>
      <c r="I469" s="46"/>
      <c r="J469" s="12"/>
      <c r="K469" s="2"/>
      <c r="L469" s="59"/>
    </row>
    <row r="470" spans="1:12" x14ac:dyDescent="0.35">
      <c r="A470" s="45">
        <v>466</v>
      </c>
      <c r="B470" s="2"/>
      <c r="C470" s="2"/>
      <c r="D470" s="2"/>
      <c r="E470" s="3"/>
      <c r="F470" s="3"/>
      <c r="G470" s="2"/>
      <c r="H470" s="2"/>
      <c r="I470" s="46"/>
      <c r="J470" s="12"/>
      <c r="K470" s="2"/>
      <c r="L470" s="59"/>
    </row>
    <row r="471" spans="1:12" x14ac:dyDescent="0.35">
      <c r="A471" s="45">
        <v>467</v>
      </c>
      <c r="B471" s="2"/>
      <c r="C471" s="2"/>
      <c r="D471" s="2"/>
      <c r="E471" s="3"/>
      <c r="F471" s="3"/>
      <c r="G471" s="2"/>
      <c r="H471" s="2"/>
      <c r="I471" s="46"/>
      <c r="J471" s="12"/>
      <c r="K471" s="2"/>
      <c r="L471" s="59"/>
    </row>
    <row r="472" spans="1:12" x14ac:dyDescent="0.35">
      <c r="A472" s="45">
        <v>468</v>
      </c>
      <c r="B472" s="2"/>
      <c r="C472" s="2"/>
      <c r="D472" s="2"/>
      <c r="E472" s="3"/>
      <c r="F472" s="3"/>
      <c r="G472" s="2"/>
      <c r="H472" s="2"/>
      <c r="I472" s="46"/>
      <c r="J472" s="12"/>
      <c r="K472" s="2"/>
      <c r="L472" s="59"/>
    </row>
    <row r="473" spans="1:12" x14ac:dyDescent="0.35">
      <c r="A473" s="45">
        <v>469</v>
      </c>
      <c r="B473" s="2"/>
      <c r="C473" s="2"/>
      <c r="D473" s="2"/>
      <c r="E473" s="3"/>
      <c r="F473" s="3"/>
      <c r="G473" s="2"/>
      <c r="H473" s="2"/>
      <c r="I473" s="46"/>
      <c r="J473" s="12"/>
      <c r="K473" s="2"/>
      <c r="L473" s="59"/>
    </row>
    <row r="474" spans="1:12" x14ac:dyDescent="0.35">
      <c r="A474" s="45">
        <v>470</v>
      </c>
      <c r="B474" s="2"/>
      <c r="C474" s="2"/>
      <c r="D474" s="2"/>
      <c r="E474" s="3"/>
      <c r="F474" s="3"/>
      <c r="G474" s="2"/>
      <c r="H474" s="2"/>
      <c r="I474" s="46"/>
      <c r="J474" s="12"/>
      <c r="K474" s="2"/>
      <c r="L474" s="59"/>
    </row>
    <row r="475" spans="1:12" x14ac:dyDescent="0.35">
      <c r="A475" s="45">
        <v>471</v>
      </c>
      <c r="B475" s="2"/>
      <c r="C475" s="2"/>
      <c r="D475" s="2"/>
      <c r="E475" s="3"/>
      <c r="F475" s="3"/>
      <c r="G475" s="2"/>
      <c r="H475" s="2"/>
      <c r="I475" s="46"/>
      <c r="J475" s="12"/>
      <c r="K475" s="2"/>
      <c r="L475" s="59"/>
    </row>
    <row r="476" spans="1:12" x14ac:dyDescent="0.35">
      <c r="A476" s="45">
        <v>472</v>
      </c>
      <c r="B476" s="2"/>
      <c r="C476" s="2"/>
      <c r="D476" s="2"/>
      <c r="E476" s="3"/>
      <c r="F476" s="3"/>
      <c r="G476" s="2"/>
      <c r="H476" s="2"/>
      <c r="I476" s="46"/>
      <c r="J476" s="12"/>
      <c r="K476" s="2"/>
      <c r="L476" s="59"/>
    </row>
    <row r="477" spans="1:12" x14ac:dyDescent="0.35">
      <c r="A477" s="45">
        <v>473</v>
      </c>
      <c r="B477" s="2"/>
      <c r="C477" s="2"/>
      <c r="D477" s="2"/>
      <c r="E477" s="3"/>
      <c r="F477" s="3"/>
      <c r="G477" s="2"/>
      <c r="H477" s="2"/>
      <c r="I477" s="46"/>
      <c r="J477" s="12"/>
      <c r="K477" s="2"/>
      <c r="L477" s="59"/>
    </row>
    <row r="478" spans="1:12" x14ac:dyDescent="0.35">
      <c r="A478" s="45">
        <v>474</v>
      </c>
      <c r="B478" s="2"/>
      <c r="C478" s="2"/>
      <c r="D478" s="2"/>
      <c r="E478" s="3"/>
      <c r="F478" s="3"/>
      <c r="G478" s="2"/>
      <c r="H478" s="2"/>
      <c r="I478" s="46"/>
      <c r="J478" s="12"/>
      <c r="K478" s="2"/>
      <c r="L478" s="59"/>
    </row>
    <row r="479" spans="1:12" x14ac:dyDescent="0.35">
      <c r="A479" s="45">
        <v>475</v>
      </c>
      <c r="B479" s="2"/>
      <c r="C479" s="2"/>
      <c r="D479" s="2"/>
      <c r="E479" s="3"/>
      <c r="F479" s="3"/>
      <c r="G479" s="2"/>
      <c r="H479" s="2"/>
      <c r="I479" s="46"/>
      <c r="J479" s="12"/>
      <c r="K479" s="2"/>
      <c r="L479" s="59"/>
    </row>
    <row r="480" spans="1:12" x14ac:dyDescent="0.35">
      <c r="A480" s="45">
        <v>476</v>
      </c>
      <c r="B480" s="2"/>
      <c r="C480" s="2"/>
      <c r="D480" s="2"/>
      <c r="E480" s="3"/>
      <c r="F480" s="3"/>
      <c r="G480" s="2"/>
      <c r="H480" s="2"/>
      <c r="I480" s="46"/>
      <c r="J480" s="12"/>
      <c r="K480" s="2"/>
      <c r="L480" s="59"/>
    </row>
    <row r="481" spans="1:12" x14ac:dyDescent="0.35">
      <c r="A481" s="45">
        <v>477</v>
      </c>
      <c r="B481" s="2"/>
      <c r="C481" s="2"/>
      <c r="D481" s="2"/>
      <c r="E481" s="3"/>
      <c r="F481" s="3"/>
      <c r="G481" s="2"/>
      <c r="H481" s="2"/>
      <c r="I481" s="46"/>
      <c r="J481" s="12"/>
      <c r="K481" s="2"/>
      <c r="L481" s="59"/>
    </row>
    <row r="482" spans="1:12" x14ac:dyDescent="0.35">
      <c r="A482" s="45">
        <v>478</v>
      </c>
      <c r="B482" s="2"/>
      <c r="C482" s="2"/>
      <c r="D482" s="2"/>
      <c r="E482" s="3"/>
      <c r="F482" s="3"/>
      <c r="G482" s="2"/>
      <c r="H482" s="2"/>
      <c r="I482" s="46"/>
      <c r="J482" s="12"/>
      <c r="K482" s="2"/>
      <c r="L482" s="59"/>
    </row>
    <row r="483" spans="1:12" x14ac:dyDescent="0.35">
      <c r="A483" s="45">
        <v>479</v>
      </c>
      <c r="B483" s="2"/>
      <c r="C483" s="2"/>
      <c r="D483" s="2"/>
      <c r="E483" s="3"/>
      <c r="F483" s="3"/>
      <c r="G483" s="2"/>
      <c r="H483" s="2"/>
      <c r="I483" s="46"/>
      <c r="J483" s="12"/>
      <c r="K483" s="2"/>
      <c r="L483" s="59"/>
    </row>
    <row r="484" spans="1:12" x14ac:dyDescent="0.35">
      <c r="A484" s="45">
        <v>480</v>
      </c>
      <c r="B484" s="2"/>
      <c r="C484" s="2"/>
      <c r="D484" s="2"/>
      <c r="E484" s="3"/>
      <c r="F484" s="3"/>
      <c r="G484" s="2"/>
      <c r="H484" s="2"/>
      <c r="I484" s="46"/>
      <c r="J484" s="12"/>
      <c r="K484" s="2"/>
      <c r="L484" s="59"/>
    </row>
    <row r="485" spans="1:12" x14ac:dyDescent="0.35">
      <c r="A485" s="45">
        <v>481</v>
      </c>
      <c r="B485" s="2"/>
      <c r="C485" s="2"/>
      <c r="D485" s="2"/>
      <c r="E485" s="3"/>
      <c r="F485" s="3"/>
      <c r="G485" s="2"/>
      <c r="H485" s="2"/>
      <c r="I485" s="46"/>
      <c r="J485" s="12"/>
      <c r="K485" s="2"/>
      <c r="L485" s="59"/>
    </row>
    <row r="486" spans="1:12" x14ac:dyDescent="0.35">
      <c r="A486" s="45">
        <v>482</v>
      </c>
      <c r="B486" s="2"/>
      <c r="C486" s="2"/>
      <c r="D486" s="2"/>
      <c r="E486" s="3"/>
      <c r="F486" s="3"/>
      <c r="G486" s="2"/>
      <c r="H486" s="2"/>
      <c r="I486" s="46"/>
      <c r="J486" s="12"/>
      <c r="K486" s="2"/>
      <c r="L486" s="59"/>
    </row>
    <row r="487" spans="1:12" x14ac:dyDescent="0.35">
      <c r="A487" s="45">
        <v>483</v>
      </c>
      <c r="B487" s="2"/>
      <c r="C487" s="2"/>
      <c r="D487" s="2"/>
      <c r="E487" s="3"/>
      <c r="F487" s="3"/>
      <c r="G487" s="2"/>
      <c r="H487" s="2"/>
      <c r="I487" s="46"/>
      <c r="J487" s="12"/>
      <c r="K487" s="2"/>
      <c r="L487" s="59"/>
    </row>
    <row r="488" spans="1:12" x14ac:dyDescent="0.35">
      <c r="A488" s="45">
        <v>484</v>
      </c>
      <c r="B488" s="2"/>
      <c r="C488" s="2"/>
      <c r="D488" s="2"/>
      <c r="E488" s="3"/>
      <c r="F488" s="3"/>
      <c r="G488" s="2"/>
      <c r="H488" s="2"/>
      <c r="I488" s="46"/>
      <c r="J488" s="12"/>
      <c r="K488" s="2"/>
      <c r="L488" s="59"/>
    </row>
    <row r="489" spans="1:12" x14ac:dyDescent="0.35">
      <c r="A489" s="45">
        <v>485</v>
      </c>
      <c r="B489" s="2"/>
      <c r="C489" s="2"/>
      <c r="D489" s="2"/>
      <c r="E489" s="3"/>
      <c r="F489" s="3"/>
      <c r="G489" s="2"/>
      <c r="H489" s="2"/>
      <c r="I489" s="46"/>
      <c r="J489" s="12"/>
      <c r="K489" s="2"/>
      <c r="L489" s="59"/>
    </row>
    <row r="490" spans="1:12" x14ac:dyDescent="0.35">
      <c r="A490" s="45">
        <v>486</v>
      </c>
      <c r="B490" s="2"/>
      <c r="C490" s="2"/>
      <c r="D490" s="2"/>
      <c r="E490" s="3"/>
      <c r="F490" s="3"/>
      <c r="G490" s="2"/>
      <c r="H490" s="2"/>
      <c r="I490" s="46"/>
      <c r="J490" s="12"/>
      <c r="K490" s="2"/>
      <c r="L490" s="59"/>
    </row>
    <row r="491" spans="1:12" x14ac:dyDescent="0.35">
      <c r="A491" s="45">
        <v>487</v>
      </c>
      <c r="B491" s="2"/>
      <c r="C491" s="2"/>
      <c r="D491" s="2"/>
      <c r="E491" s="3"/>
      <c r="F491" s="3"/>
      <c r="G491" s="2"/>
      <c r="H491" s="2"/>
      <c r="I491" s="46"/>
      <c r="J491" s="12"/>
      <c r="K491" s="2"/>
      <c r="L491" s="59"/>
    </row>
    <row r="492" spans="1:12" x14ac:dyDescent="0.35">
      <c r="A492" s="45">
        <v>488</v>
      </c>
      <c r="B492" s="2"/>
      <c r="C492" s="2"/>
      <c r="D492" s="2"/>
      <c r="E492" s="3"/>
      <c r="F492" s="3"/>
      <c r="G492" s="2"/>
      <c r="H492" s="2"/>
      <c r="I492" s="46"/>
      <c r="J492" s="12"/>
      <c r="K492" s="2"/>
      <c r="L492" s="59"/>
    </row>
    <row r="493" spans="1:12" x14ac:dyDescent="0.35">
      <c r="A493" s="45">
        <v>489</v>
      </c>
      <c r="B493" s="2"/>
      <c r="C493" s="2"/>
      <c r="D493" s="2"/>
      <c r="E493" s="3"/>
      <c r="F493" s="3"/>
      <c r="G493" s="2"/>
      <c r="H493" s="2"/>
      <c r="I493" s="46"/>
      <c r="J493" s="12"/>
      <c r="K493" s="2"/>
      <c r="L493" s="59"/>
    </row>
    <row r="494" spans="1:12" x14ac:dyDescent="0.35">
      <c r="A494" s="45">
        <v>490</v>
      </c>
      <c r="B494" s="2"/>
      <c r="C494" s="2"/>
      <c r="D494" s="2"/>
      <c r="E494" s="3"/>
      <c r="F494" s="3"/>
      <c r="G494" s="2"/>
      <c r="H494" s="2"/>
      <c r="I494" s="46"/>
      <c r="J494" s="12"/>
      <c r="K494" s="2"/>
      <c r="L494" s="59"/>
    </row>
    <row r="495" spans="1:12" x14ac:dyDescent="0.35">
      <c r="A495" s="45">
        <v>491</v>
      </c>
      <c r="B495" s="2"/>
      <c r="C495" s="2"/>
      <c r="D495" s="2"/>
      <c r="E495" s="3"/>
      <c r="F495" s="3"/>
      <c r="G495" s="2"/>
      <c r="H495" s="2"/>
      <c r="I495" s="46"/>
      <c r="J495" s="12"/>
      <c r="K495" s="2"/>
      <c r="L495" s="59"/>
    </row>
    <row r="496" spans="1:12" x14ac:dyDescent="0.35">
      <c r="A496" s="45">
        <v>492</v>
      </c>
      <c r="B496" s="2"/>
      <c r="C496" s="2"/>
      <c r="D496" s="2"/>
      <c r="E496" s="3"/>
      <c r="F496" s="3"/>
      <c r="G496" s="2"/>
      <c r="H496" s="2"/>
      <c r="I496" s="46"/>
      <c r="J496" s="12"/>
      <c r="K496" s="2"/>
      <c r="L496" s="59"/>
    </row>
    <row r="497" spans="1:12" x14ac:dyDescent="0.35">
      <c r="A497" s="45">
        <v>493</v>
      </c>
      <c r="B497" s="2"/>
      <c r="C497" s="2"/>
      <c r="D497" s="2"/>
      <c r="E497" s="3"/>
      <c r="F497" s="3"/>
      <c r="G497" s="2"/>
      <c r="H497" s="2"/>
      <c r="I497" s="46"/>
      <c r="J497" s="12"/>
      <c r="K497" s="2"/>
      <c r="L497" s="59"/>
    </row>
    <row r="498" spans="1:12" x14ac:dyDescent="0.35">
      <c r="A498" s="45">
        <v>494</v>
      </c>
      <c r="B498" s="2"/>
      <c r="C498" s="2"/>
      <c r="D498" s="2"/>
      <c r="E498" s="3"/>
      <c r="F498" s="3"/>
      <c r="G498" s="2"/>
      <c r="H498" s="2"/>
      <c r="I498" s="46"/>
      <c r="J498" s="12"/>
      <c r="K498" s="2"/>
      <c r="L498" s="59"/>
    </row>
    <row r="499" spans="1:12" x14ac:dyDescent="0.35">
      <c r="A499" s="45">
        <v>495</v>
      </c>
      <c r="B499" s="2"/>
      <c r="C499" s="2"/>
      <c r="D499" s="2"/>
      <c r="E499" s="3"/>
      <c r="F499" s="3"/>
      <c r="G499" s="2"/>
      <c r="H499" s="2"/>
      <c r="I499" s="46"/>
      <c r="J499" s="12"/>
      <c r="K499" s="2"/>
      <c r="L499" s="59"/>
    </row>
    <row r="500" spans="1:12" x14ac:dyDescent="0.35">
      <c r="A500" s="45">
        <v>496</v>
      </c>
      <c r="B500" s="2"/>
      <c r="C500" s="2"/>
      <c r="D500" s="2"/>
      <c r="E500" s="3"/>
      <c r="F500" s="3"/>
      <c r="G500" s="2"/>
      <c r="H500" s="2"/>
      <c r="I500" s="46"/>
      <c r="J500" s="12"/>
      <c r="K500" s="2"/>
      <c r="L500" s="59"/>
    </row>
    <row r="501" spans="1:12" x14ac:dyDescent="0.35">
      <c r="A501" s="45">
        <v>497</v>
      </c>
      <c r="B501" s="2"/>
      <c r="C501" s="2"/>
      <c r="D501" s="2"/>
      <c r="E501" s="3"/>
      <c r="F501" s="3"/>
      <c r="G501" s="2"/>
      <c r="H501" s="2"/>
      <c r="I501" s="46"/>
      <c r="J501" s="12"/>
      <c r="K501" s="2"/>
      <c r="L501" s="59"/>
    </row>
    <row r="502" spans="1:12" x14ac:dyDescent="0.35">
      <c r="A502" s="45">
        <v>498</v>
      </c>
      <c r="B502" s="2"/>
      <c r="C502" s="2"/>
      <c r="D502" s="2"/>
      <c r="E502" s="3"/>
      <c r="F502" s="3"/>
      <c r="G502" s="2"/>
      <c r="H502" s="2"/>
      <c r="I502" s="46"/>
      <c r="J502" s="12"/>
      <c r="K502" s="2"/>
      <c r="L502" s="59"/>
    </row>
    <row r="503" spans="1:12" x14ac:dyDescent="0.35">
      <c r="A503" s="45">
        <v>499</v>
      </c>
      <c r="B503" s="2"/>
      <c r="C503" s="2"/>
      <c r="D503" s="2"/>
      <c r="E503" s="3"/>
      <c r="F503" s="3"/>
      <c r="G503" s="2"/>
      <c r="H503" s="2"/>
      <c r="I503" s="46"/>
      <c r="J503" s="12"/>
      <c r="K503" s="2"/>
      <c r="L503" s="59"/>
    </row>
    <row r="504" spans="1:12" x14ac:dyDescent="0.35">
      <c r="A504" s="45">
        <v>500</v>
      </c>
      <c r="B504" s="2"/>
      <c r="C504" s="2"/>
      <c r="D504" s="2"/>
      <c r="E504" s="3"/>
      <c r="F504" s="3"/>
      <c r="G504" s="2"/>
      <c r="H504" s="2"/>
      <c r="I504" s="46"/>
      <c r="J504" s="12"/>
      <c r="K504" s="2"/>
      <c r="L504" s="59"/>
    </row>
    <row r="505" spans="1:12" x14ac:dyDescent="0.35">
      <c r="A505" s="45">
        <v>501</v>
      </c>
      <c r="B505" s="2"/>
      <c r="C505" s="2"/>
      <c r="D505" s="2"/>
      <c r="E505" s="3"/>
      <c r="F505" s="3"/>
      <c r="G505" s="2"/>
      <c r="H505" s="2"/>
      <c r="I505" s="46"/>
      <c r="J505" s="12"/>
      <c r="K505" s="2"/>
      <c r="L505" s="59"/>
    </row>
    <row r="506" spans="1:12" x14ac:dyDescent="0.35">
      <c r="A506" s="45">
        <v>502</v>
      </c>
      <c r="B506" s="2"/>
      <c r="C506" s="2"/>
      <c r="D506" s="2"/>
      <c r="E506" s="3"/>
      <c r="F506" s="3"/>
      <c r="G506" s="2"/>
      <c r="H506" s="2"/>
      <c r="I506" s="46"/>
      <c r="J506" s="12"/>
      <c r="K506" s="2"/>
      <c r="L506" s="59"/>
    </row>
    <row r="507" spans="1:12" x14ac:dyDescent="0.35">
      <c r="A507" s="45">
        <v>503</v>
      </c>
      <c r="B507" s="2"/>
      <c r="C507" s="2"/>
      <c r="D507" s="2"/>
      <c r="E507" s="3"/>
      <c r="F507" s="3"/>
      <c r="G507" s="2"/>
      <c r="H507" s="2"/>
      <c r="I507" s="46"/>
      <c r="J507" s="12"/>
      <c r="K507" s="2"/>
      <c r="L507" s="59"/>
    </row>
    <row r="508" spans="1:12" x14ac:dyDescent="0.35">
      <c r="A508" s="45">
        <v>504</v>
      </c>
      <c r="B508" s="2"/>
      <c r="C508" s="2"/>
      <c r="D508" s="2"/>
      <c r="E508" s="3"/>
      <c r="F508" s="3"/>
      <c r="G508" s="2"/>
      <c r="H508" s="2"/>
      <c r="I508" s="46"/>
      <c r="J508" s="12"/>
      <c r="K508" s="2"/>
      <c r="L508" s="59"/>
    </row>
    <row r="509" spans="1:12" x14ac:dyDescent="0.35">
      <c r="A509" s="45">
        <v>505</v>
      </c>
      <c r="B509" s="2"/>
      <c r="C509" s="2"/>
      <c r="D509" s="2"/>
      <c r="E509" s="3"/>
      <c r="F509" s="3"/>
      <c r="G509" s="2"/>
      <c r="H509" s="2"/>
      <c r="I509" s="46"/>
      <c r="J509" s="12"/>
      <c r="K509" s="2"/>
      <c r="L509" s="59"/>
    </row>
    <row r="510" spans="1:12" x14ac:dyDescent="0.35">
      <c r="A510" s="45">
        <v>506</v>
      </c>
      <c r="B510" s="2"/>
      <c r="C510" s="2"/>
      <c r="D510" s="2"/>
      <c r="E510" s="3"/>
      <c r="F510" s="3"/>
      <c r="G510" s="2"/>
      <c r="H510" s="2"/>
      <c r="I510" s="46"/>
      <c r="J510" s="12"/>
      <c r="K510" s="2"/>
      <c r="L510" s="59"/>
    </row>
    <row r="511" spans="1:12" x14ac:dyDescent="0.35">
      <c r="A511" s="45">
        <v>507</v>
      </c>
      <c r="B511" s="2"/>
      <c r="C511" s="2"/>
      <c r="D511" s="2"/>
      <c r="E511" s="3"/>
      <c r="F511" s="3"/>
      <c r="G511" s="2"/>
      <c r="H511" s="2"/>
      <c r="I511" s="46"/>
      <c r="J511" s="12"/>
      <c r="K511" s="2"/>
      <c r="L511" s="59"/>
    </row>
    <row r="512" spans="1:12" x14ac:dyDescent="0.35">
      <c r="A512" s="45">
        <v>508</v>
      </c>
      <c r="B512" s="2"/>
      <c r="C512" s="2"/>
      <c r="D512" s="2"/>
      <c r="E512" s="3"/>
      <c r="F512" s="3"/>
      <c r="G512" s="2"/>
      <c r="H512" s="2"/>
      <c r="I512" s="46"/>
      <c r="J512" s="12"/>
      <c r="K512" s="2"/>
      <c r="L512" s="59"/>
    </row>
    <row r="513" spans="1:12" x14ac:dyDescent="0.35">
      <c r="A513" s="45">
        <v>509</v>
      </c>
      <c r="B513" s="2"/>
      <c r="C513" s="2"/>
      <c r="D513" s="2"/>
      <c r="E513" s="3"/>
      <c r="F513" s="3"/>
      <c r="G513" s="2"/>
      <c r="H513" s="2"/>
      <c r="I513" s="46"/>
      <c r="J513" s="12"/>
      <c r="K513" s="2"/>
      <c r="L513" s="59"/>
    </row>
    <row r="514" spans="1:12" x14ac:dyDescent="0.35">
      <c r="A514" s="45">
        <v>510</v>
      </c>
      <c r="B514" s="2"/>
      <c r="C514" s="2"/>
      <c r="D514" s="2"/>
      <c r="E514" s="3"/>
      <c r="F514" s="3"/>
      <c r="G514" s="2"/>
      <c r="H514" s="2"/>
      <c r="I514" s="46"/>
      <c r="J514" s="12"/>
      <c r="K514" s="2"/>
      <c r="L514" s="59"/>
    </row>
    <row r="515" spans="1:12" x14ac:dyDescent="0.35">
      <c r="A515" s="45">
        <v>511</v>
      </c>
      <c r="B515" s="2"/>
      <c r="C515" s="2"/>
      <c r="D515" s="2"/>
      <c r="E515" s="3"/>
      <c r="F515" s="3"/>
      <c r="G515" s="2"/>
      <c r="H515" s="2"/>
      <c r="I515" s="46"/>
      <c r="J515" s="12"/>
      <c r="K515" s="2"/>
      <c r="L515" s="59"/>
    </row>
    <row r="516" spans="1:12" x14ac:dyDescent="0.35">
      <c r="A516" s="45">
        <v>512</v>
      </c>
      <c r="B516" s="2"/>
      <c r="C516" s="2"/>
      <c r="D516" s="2"/>
      <c r="E516" s="3"/>
      <c r="F516" s="3"/>
      <c r="G516" s="2"/>
      <c r="H516" s="2"/>
      <c r="I516" s="46"/>
      <c r="J516" s="12"/>
      <c r="K516" s="2"/>
      <c r="L516" s="59"/>
    </row>
    <row r="517" spans="1:12" x14ac:dyDescent="0.35">
      <c r="A517" s="45">
        <v>513</v>
      </c>
      <c r="B517" s="2"/>
      <c r="C517" s="2"/>
      <c r="D517" s="2"/>
      <c r="E517" s="3"/>
      <c r="F517" s="3"/>
      <c r="G517" s="2"/>
      <c r="H517" s="2"/>
      <c r="I517" s="46"/>
      <c r="J517" s="12"/>
      <c r="K517" s="2"/>
      <c r="L517" s="59"/>
    </row>
    <row r="518" spans="1:12" x14ac:dyDescent="0.35">
      <c r="A518" s="45">
        <v>514</v>
      </c>
      <c r="B518" s="2"/>
      <c r="C518" s="2"/>
      <c r="D518" s="2"/>
      <c r="E518" s="3"/>
      <c r="F518" s="3"/>
      <c r="G518" s="2"/>
      <c r="H518" s="2"/>
      <c r="I518" s="46"/>
      <c r="J518" s="12"/>
      <c r="K518" s="2"/>
      <c r="L518" s="59"/>
    </row>
    <row r="519" spans="1:12" x14ac:dyDescent="0.35">
      <c r="A519" s="45">
        <v>515</v>
      </c>
      <c r="B519" s="2"/>
      <c r="C519" s="2"/>
      <c r="D519" s="2"/>
      <c r="E519" s="3"/>
      <c r="F519" s="3"/>
      <c r="G519" s="2"/>
      <c r="H519" s="2"/>
      <c r="I519" s="46"/>
      <c r="J519" s="12"/>
      <c r="K519" s="2"/>
      <c r="L519" s="59"/>
    </row>
    <row r="520" spans="1:12" x14ac:dyDescent="0.35">
      <c r="A520" s="45">
        <v>516</v>
      </c>
      <c r="B520" s="2"/>
      <c r="C520" s="2"/>
      <c r="D520" s="2"/>
      <c r="E520" s="3"/>
      <c r="F520" s="3"/>
      <c r="G520" s="2"/>
      <c r="H520" s="2"/>
      <c r="I520" s="46"/>
      <c r="J520" s="12"/>
      <c r="K520" s="2"/>
      <c r="L520" s="59"/>
    </row>
    <row r="521" spans="1:12" x14ac:dyDescent="0.35">
      <c r="A521" s="45">
        <v>517</v>
      </c>
      <c r="B521" s="2"/>
      <c r="C521" s="2"/>
      <c r="D521" s="2"/>
      <c r="E521" s="3"/>
      <c r="F521" s="3"/>
      <c r="G521" s="2"/>
      <c r="H521" s="2"/>
      <c r="I521" s="46"/>
      <c r="J521" s="12"/>
      <c r="K521" s="2"/>
      <c r="L521" s="59"/>
    </row>
    <row r="522" spans="1:12" x14ac:dyDescent="0.35">
      <c r="A522" s="45">
        <v>518</v>
      </c>
      <c r="B522" s="2"/>
      <c r="C522" s="2"/>
      <c r="D522" s="2"/>
      <c r="E522" s="3"/>
      <c r="F522" s="3"/>
      <c r="G522" s="2"/>
      <c r="H522" s="2"/>
      <c r="I522" s="46"/>
      <c r="J522" s="12"/>
      <c r="K522" s="2"/>
      <c r="L522" s="59"/>
    </row>
    <row r="523" spans="1:12" x14ac:dyDescent="0.35">
      <c r="A523" s="45">
        <v>519</v>
      </c>
      <c r="B523" s="2"/>
      <c r="C523" s="2"/>
      <c r="D523" s="2"/>
      <c r="E523" s="3"/>
      <c r="F523" s="3"/>
      <c r="G523" s="2"/>
      <c r="H523" s="2"/>
      <c r="I523" s="46"/>
      <c r="J523" s="12"/>
      <c r="K523" s="2"/>
      <c r="L523" s="59"/>
    </row>
    <row r="524" spans="1:12" x14ac:dyDescent="0.35">
      <c r="A524" s="45">
        <v>520</v>
      </c>
      <c r="B524" s="2"/>
      <c r="C524" s="2"/>
      <c r="D524" s="2"/>
      <c r="E524" s="3"/>
      <c r="F524" s="3"/>
      <c r="G524" s="2"/>
      <c r="H524" s="2"/>
      <c r="I524" s="46"/>
      <c r="J524" s="12"/>
      <c r="K524" s="2"/>
      <c r="L524" s="59"/>
    </row>
    <row r="525" spans="1:12" x14ac:dyDescent="0.35">
      <c r="A525" s="45">
        <v>521</v>
      </c>
      <c r="B525" s="2"/>
      <c r="C525" s="2"/>
      <c r="D525" s="2"/>
      <c r="E525" s="3"/>
      <c r="F525" s="3"/>
      <c r="G525" s="2"/>
      <c r="H525" s="2"/>
      <c r="I525" s="46"/>
      <c r="J525" s="12"/>
      <c r="K525" s="2"/>
      <c r="L525" s="59"/>
    </row>
    <row r="526" spans="1:12" x14ac:dyDescent="0.35">
      <c r="A526" s="45">
        <v>522</v>
      </c>
      <c r="B526" s="2"/>
      <c r="C526" s="2"/>
      <c r="D526" s="2"/>
      <c r="E526" s="3"/>
      <c r="F526" s="3"/>
      <c r="G526" s="2"/>
      <c r="H526" s="2"/>
      <c r="I526" s="46"/>
      <c r="J526" s="12"/>
      <c r="K526" s="2"/>
      <c r="L526" s="59"/>
    </row>
    <row r="527" spans="1:12" x14ac:dyDescent="0.35">
      <c r="A527" s="45">
        <v>523</v>
      </c>
      <c r="B527" s="2"/>
      <c r="C527" s="2"/>
      <c r="D527" s="2"/>
      <c r="E527" s="3"/>
      <c r="F527" s="3"/>
      <c r="G527" s="2"/>
      <c r="H527" s="2"/>
      <c r="I527" s="46"/>
      <c r="J527" s="12"/>
      <c r="K527" s="2"/>
      <c r="L527" s="59"/>
    </row>
    <row r="528" spans="1:12" x14ac:dyDescent="0.35">
      <c r="A528" s="45">
        <v>524</v>
      </c>
      <c r="B528" s="2"/>
      <c r="C528" s="2"/>
      <c r="D528" s="2"/>
      <c r="E528" s="3"/>
      <c r="F528" s="3"/>
      <c r="G528" s="2"/>
      <c r="H528" s="2"/>
      <c r="I528" s="46"/>
      <c r="J528" s="12"/>
      <c r="K528" s="2"/>
      <c r="L528" s="59"/>
    </row>
    <row r="529" spans="1:12" x14ac:dyDescent="0.35">
      <c r="A529" s="45">
        <v>525</v>
      </c>
      <c r="B529" s="2"/>
      <c r="C529" s="2"/>
      <c r="D529" s="2"/>
      <c r="E529" s="3"/>
      <c r="F529" s="3"/>
      <c r="G529" s="2"/>
      <c r="H529" s="2"/>
      <c r="I529" s="46"/>
      <c r="J529" s="12"/>
      <c r="K529" s="2"/>
      <c r="L529" s="59"/>
    </row>
    <row r="530" spans="1:12" x14ac:dyDescent="0.35">
      <c r="A530" s="45">
        <v>526</v>
      </c>
      <c r="B530" s="2"/>
      <c r="C530" s="2"/>
      <c r="D530" s="2"/>
      <c r="E530" s="3"/>
      <c r="F530" s="3"/>
      <c r="G530" s="2"/>
      <c r="H530" s="2"/>
      <c r="I530" s="46"/>
      <c r="J530" s="12"/>
      <c r="K530" s="2"/>
      <c r="L530" s="59"/>
    </row>
    <row r="531" spans="1:12" x14ac:dyDescent="0.35">
      <c r="A531" s="45">
        <v>527</v>
      </c>
      <c r="B531" s="2"/>
      <c r="C531" s="2"/>
      <c r="D531" s="2"/>
      <c r="E531" s="3"/>
      <c r="F531" s="3"/>
      <c r="G531" s="2"/>
      <c r="H531" s="2"/>
      <c r="I531" s="46"/>
      <c r="J531" s="12"/>
      <c r="K531" s="2"/>
      <c r="L531" s="59"/>
    </row>
    <row r="532" spans="1:12" x14ac:dyDescent="0.35">
      <c r="A532" s="45">
        <v>528</v>
      </c>
      <c r="B532" s="2"/>
      <c r="C532" s="2"/>
      <c r="D532" s="2"/>
      <c r="E532" s="3"/>
      <c r="F532" s="3"/>
      <c r="G532" s="2"/>
      <c r="H532" s="2"/>
      <c r="I532" s="46"/>
      <c r="J532" s="12"/>
      <c r="K532" s="2"/>
      <c r="L532" s="59"/>
    </row>
    <row r="533" spans="1:12" x14ac:dyDescent="0.35">
      <c r="A533" s="45">
        <v>529</v>
      </c>
      <c r="B533" s="2"/>
      <c r="C533" s="2"/>
      <c r="D533" s="2"/>
      <c r="E533" s="3"/>
      <c r="F533" s="3"/>
      <c r="G533" s="2"/>
      <c r="H533" s="2"/>
      <c r="I533" s="46"/>
      <c r="J533" s="12"/>
      <c r="K533" s="2"/>
      <c r="L533" s="59"/>
    </row>
    <row r="534" spans="1:12" x14ac:dyDescent="0.35">
      <c r="A534" s="45">
        <v>530</v>
      </c>
      <c r="B534" s="2"/>
      <c r="C534" s="2"/>
      <c r="D534" s="2"/>
      <c r="E534" s="3"/>
      <c r="F534" s="3"/>
      <c r="G534" s="2"/>
      <c r="H534" s="2"/>
      <c r="I534" s="46"/>
      <c r="J534" s="12"/>
      <c r="K534" s="2"/>
      <c r="L534" s="59"/>
    </row>
    <row r="535" spans="1:12" x14ac:dyDescent="0.35">
      <c r="A535" s="45">
        <v>531</v>
      </c>
      <c r="B535" s="2"/>
      <c r="C535" s="2"/>
      <c r="D535" s="2"/>
      <c r="E535" s="3"/>
      <c r="F535" s="3"/>
      <c r="G535" s="2"/>
      <c r="H535" s="2"/>
      <c r="I535" s="46"/>
      <c r="J535" s="12"/>
      <c r="K535" s="2"/>
      <c r="L535" s="59"/>
    </row>
    <row r="536" spans="1:12" x14ac:dyDescent="0.35">
      <c r="A536" s="45">
        <v>532</v>
      </c>
      <c r="B536" s="2"/>
      <c r="C536" s="2"/>
      <c r="D536" s="2"/>
      <c r="E536" s="3"/>
      <c r="F536" s="3"/>
      <c r="G536" s="2"/>
      <c r="H536" s="2"/>
      <c r="I536" s="46"/>
      <c r="J536" s="12"/>
      <c r="K536" s="2"/>
      <c r="L536" s="59"/>
    </row>
    <row r="537" spans="1:12" x14ac:dyDescent="0.35">
      <c r="A537" s="45">
        <v>533</v>
      </c>
      <c r="B537" s="2"/>
      <c r="C537" s="2"/>
      <c r="D537" s="2"/>
      <c r="E537" s="3"/>
      <c r="F537" s="3"/>
      <c r="G537" s="2"/>
      <c r="H537" s="2"/>
      <c r="I537" s="46"/>
      <c r="J537" s="12"/>
      <c r="K537" s="2"/>
      <c r="L537" s="59"/>
    </row>
    <row r="538" spans="1:12" x14ac:dyDescent="0.35">
      <c r="A538" s="45">
        <v>534</v>
      </c>
      <c r="B538" s="2"/>
      <c r="C538" s="2"/>
      <c r="D538" s="2"/>
      <c r="E538" s="3"/>
      <c r="F538" s="3"/>
      <c r="G538" s="2"/>
      <c r="H538" s="2"/>
      <c r="I538" s="46"/>
      <c r="J538" s="12"/>
      <c r="K538" s="2"/>
      <c r="L538" s="59"/>
    </row>
    <row r="539" spans="1:12" x14ac:dyDescent="0.35">
      <c r="A539" s="45">
        <v>535</v>
      </c>
      <c r="B539" s="2"/>
      <c r="C539" s="2"/>
      <c r="D539" s="2"/>
      <c r="E539" s="3"/>
      <c r="F539" s="3"/>
      <c r="G539" s="2"/>
      <c r="H539" s="2"/>
      <c r="I539" s="46"/>
      <c r="J539" s="12"/>
      <c r="K539" s="2"/>
      <c r="L539" s="59"/>
    </row>
    <row r="540" spans="1:12" x14ac:dyDescent="0.35">
      <c r="A540" s="45">
        <v>536</v>
      </c>
      <c r="B540" s="2"/>
      <c r="C540" s="2"/>
      <c r="D540" s="2"/>
      <c r="E540" s="3"/>
      <c r="F540" s="3"/>
      <c r="G540" s="2"/>
      <c r="H540" s="2"/>
      <c r="I540" s="46"/>
      <c r="J540" s="12"/>
      <c r="K540" s="2"/>
      <c r="L540" s="59"/>
    </row>
    <row r="541" spans="1:12" x14ac:dyDescent="0.35">
      <c r="A541" s="45">
        <v>537</v>
      </c>
      <c r="B541" s="2"/>
      <c r="C541" s="2"/>
      <c r="D541" s="2"/>
      <c r="E541" s="3"/>
      <c r="F541" s="3"/>
      <c r="G541" s="2"/>
      <c r="H541" s="2"/>
      <c r="I541" s="46"/>
      <c r="J541" s="12"/>
      <c r="K541" s="2"/>
      <c r="L541" s="59"/>
    </row>
    <row r="542" spans="1:12" x14ac:dyDescent="0.35">
      <c r="A542" s="45">
        <v>538</v>
      </c>
      <c r="B542" s="2"/>
      <c r="C542" s="2"/>
      <c r="D542" s="2"/>
      <c r="E542" s="3"/>
      <c r="F542" s="3"/>
      <c r="G542" s="2"/>
      <c r="H542" s="2"/>
      <c r="I542" s="46"/>
      <c r="J542" s="12"/>
      <c r="K542" s="2"/>
      <c r="L542" s="59"/>
    </row>
    <row r="543" spans="1:12" x14ac:dyDescent="0.35">
      <c r="A543" s="45">
        <v>539</v>
      </c>
      <c r="B543" s="2"/>
      <c r="C543" s="2"/>
      <c r="D543" s="2"/>
      <c r="E543" s="3"/>
      <c r="F543" s="3"/>
      <c r="G543" s="2"/>
      <c r="H543" s="2"/>
      <c r="I543" s="46"/>
      <c r="J543" s="12"/>
      <c r="K543" s="2"/>
      <c r="L543" s="59"/>
    </row>
    <row r="544" spans="1:12" x14ac:dyDescent="0.35">
      <c r="A544" s="45">
        <v>540</v>
      </c>
      <c r="B544" s="2"/>
      <c r="C544" s="2"/>
      <c r="D544" s="2"/>
      <c r="E544" s="3"/>
      <c r="F544" s="3"/>
      <c r="G544" s="2"/>
      <c r="H544" s="2"/>
      <c r="I544" s="46"/>
      <c r="J544" s="12"/>
      <c r="K544" s="2"/>
      <c r="L544" s="59"/>
    </row>
    <row r="545" spans="1:12" x14ac:dyDescent="0.35">
      <c r="A545" s="45">
        <v>541</v>
      </c>
      <c r="B545" s="2"/>
      <c r="C545" s="2"/>
      <c r="D545" s="2"/>
      <c r="E545" s="3"/>
      <c r="F545" s="3"/>
      <c r="G545" s="2"/>
      <c r="H545" s="2"/>
      <c r="I545" s="46"/>
      <c r="J545" s="12"/>
      <c r="K545" s="2"/>
      <c r="L545" s="59"/>
    </row>
    <row r="546" spans="1:12" x14ac:dyDescent="0.35">
      <c r="A546" s="45">
        <v>542</v>
      </c>
      <c r="B546" s="2"/>
      <c r="C546" s="2"/>
      <c r="D546" s="2"/>
      <c r="E546" s="3"/>
      <c r="F546" s="3"/>
      <c r="G546" s="2"/>
      <c r="H546" s="2"/>
      <c r="I546" s="46"/>
      <c r="J546" s="12"/>
      <c r="K546" s="2"/>
      <c r="L546" s="59"/>
    </row>
    <row r="547" spans="1:12" x14ac:dyDescent="0.35">
      <c r="A547" s="45">
        <v>543</v>
      </c>
      <c r="B547" s="2"/>
      <c r="C547" s="2"/>
      <c r="D547" s="2"/>
      <c r="E547" s="3"/>
      <c r="F547" s="3"/>
      <c r="G547" s="2"/>
      <c r="H547" s="2"/>
      <c r="I547" s="46"/>
      <c r="J547" s="12"/>
      <c r="K547" s="2"/>
      <c r="L547" s="59"/>
    </row>
    <row r="548" spans="1:12" x14ac:dyDescent="0.35">
      <c r="A548" s="45">
        <v>544</v>
      </c>
      <c r="B548" s="2"/>
      <c r="C548" s="2"/>
      <c r="D548" s="2"/>
      <c r="E548" s="3"/>
      <c r="F548" s="3"/>
      <c r="G548" s="2"/>
      <c r="H548" s="2"/>
      <c r="I548" s="46"/>
      <c r="J548" s="12"/>
      <c r="K548" s="2"/>
      <c r="L548" s="59"/>
    </row>
    <row r="549" spans="1:12" x14ac:dyDescent="0.35">
      <c r="A549" s="45">
        <v>545</v>
      </c>
      <c r="B549" s="2"/>
      <c r="C549" s="2"/>
      <c r="D549" s="2"/>
      <c r="E549" s="3"/>
      <c r="F549" s="3"/>
      <c r="G549" s="2"/>
      <c r="H549" s="2"/>
      <c r="I549" s="46"/>
      <c r="J549" s="12"/>
      <c r="K549" s="2"/>
      <c r="L549" s="59"/>
    </row>
    <row r="550" spans="1:12" x14ac:dyDescent="0.35">
      <c r="A550" s="45">
        <v>546</v>
      </c>
      <c r="B550" s="2"/>
      <c r="C550" s="2"/>
      <c r="D550" s="2"/>
      <c r="E550" s="3"/>
      <c r="F550" s="3"/>
      <c r="G550" s="2"/>
      <c r="H550" s="2"/>
      <c r="I550" s="46"/>
      <c r="J550" s="12"/>
      <c r="K550" s="2"/>
      <c r="L550" s="59"/>
    </row>
    <row r="551" spans="1:12" x14ac:dyDescent="0.35">
      <c r="A551" s="45">
        <v>547</v>
      </c>
      <c r="B551" s="2"/>
      <c r="C551" s="2"/>
      <c r="D551" s="2"/>
      <c r="E551" s="3"/>
      <c r="F551" s="3"/>
      <c r="G551" s="2"/>
      <c r="H551" s="2"/>
      <c r="I551" s="46"/>
      <c r="J551" s="12"/>
      <c r="K551" s="2"/>
      <c r="L551" s="59"/>
    </row>
    <row r="552" spans="1:12" x14ac:dyDescent="0.35">
      <c r="A552" s="45">
        <v>548</v>
      </c>
      <c r="B552" s="2"/>
      <c r="C552" s="2"/>
      <c r="D552" s="2"/>
      <c r="E552" s="3"/>
      <c r="F552" s="3"/>
      <c r="G552" s="2"/>
      <c r="H552" s="2"/>
      <c r="I552" s="46"/>
      <c r="J552" s="12"/>
      <c r="K552" s="2"/>
      <c r="L552" s="59"/>
    </row>
    <row r="553" spans="1:12" x14ac:dyDescent="0.35">
      <c r="A553" s="45">
        <v>549</v>
      </c>
      <c r="B553" s="2"/>
      <c r="C553" s="2"/>
      <c r="D553" s="2"/>
      <c r="E553" s="3"/>
      <c r="F553" s="3"/>
      <c r="G553" s="2"/>
      <c r="H553" s="2"/>
      <c r="I553" s="46"/>
      <c r="J553" s="12"/>
      <c r="K553" s="2"/>
      <c r="L553" s="59"/>
    </row>
    <row r="554" spans="1:12" x14ac:dyDescent="0.35">
      <c r="A554" s="45">
        <v>550</v>
      </c>
      <c r="B554" s="2"/>
      <c r="C554" s="2"/>
      <c r="D554" s="2"/>
      <c r="E554" s="3"/>
      <c r="F554" s="3"/>
      <c r="G554" s="2"/>
      <c r="H554" s="2"/>
      <c r="I554" s="46"/>
      <c r="J554" s="12"/>
      <c r="K554" s="2"/>
      <c r="L554" s="59"/>
    </row>
    <row r="555" spans="1:12" x14ac:dyDescent="0.35">
      <c r="A555" s="45">
        <v>551</v>
      </c>
      <c r="B555" s="2"/>
      <c r="C555" s="2"/>
      <c r="D555" s="2"/>
      <c r="E555" s="3"/>
      <c r="F555" s="3"/>
      <c r="G555" s="2"/>
      <c r="H555" s="2"/>
      <c r="I555" s="46"/>
      <c r="J555" s="12"/>
      <c r="K555" s="2"/>
      <c r="L555" s="59"/>
    </row>
    <row r="556" spans="1:12" x14ac:dyDescent="0.35">
      <c r="A556" s="45">
        <v>552</v>
      </c>
      <c r="B556" s="2"/>
      <c r="C556" s="2"/>
      <c r="D556" s="2"/>
      <c r="E556" s="3"/>
      <c r="F556" s="3"/>
      <c r="G556" s="2"/>
      <c r="H556" s="2"/>
      <c r="I556" s="46"/>
      <c r="J556" s="12"/>
      <c r="K556" s="2"/>
      <c r="L556" s="59"/>
    </row>
    <row r="557" spans="1:12" x14ac:dyDescent="0.35">
      <c r="A557" s="45">
        <v>553</v>
      </c>
      <c r="B557" s="2"/>
      <c r="C557" s="2"/>
      <c r="D557" s="2"/>
      <c r="E557" s="3"/>
      <c r="F557" s="3"/>
      <c r="G557" s="2"/>
      <c r="H557" s="2"/>
      <c r="I557" s="46"/>
      <c r="J557" s="12"/>
      <c r="K557" s="2"/>
      <c r="L557" s="59"/>
    </row>
    <row r="558" spans="1:12" x14ac:dyDescent="0.35">
      <c r="A558" s="45">
        <v>554</v>
      </c>
      <c r="B558" s="2"/>
      <c r="C558" s="2"/>
      <c r="D558" s="2"/>
      <c r="E558" s="3"/>
      <c r="F558" s="3"/>
      <c r="G558" s="2"/>
      <c r="H558" s="2"/>
      <c r="I558" s="46"/>
      <c r="J558" s="12"/>
      <c r="K558" s="2"/>
      <c r="L558" s="59"/>
    </row>
    <row r="559" spans="1:12" x14ac:dyDescent="0.35">
      <c r="A559" s="45">
        <v>555</v>
      </c>
      <c r="B559" s="2"/>
      <c r="C559" s="2"/>
      <c r="D559" s="2"/>
      <c r="E559" s="3"/>
      <c r="F559" s="3"/>
      <c r="G559" s="2"/>
      <c r="H559" s="2"/>
      <c r="I559" s="46"/>
      <c r="J559" s="12"/>
      <c r="K559" s="2"/>
      <c r="L559" s="59"/>
    </row>
    <row r="560" spans="1:12" x14ac:dyDescent="0.35">
      <c r="A560" s="45">
        <v>556</v>
      </c>
      <c r="B560" s="2"/>
      <c r="C560" s="2"/>
      <c r="D560" s="2"/>
      <c r="E560" s="3"/>
      <c r="F560" s="3"/>
      <c r="G560" s="2"/>
      <c r="H560" s="2"/>
      <c r="I560" s="46"/>
      <c r="J560" s="12"/>
      <c r="K560" s="2"/>
      <c r="L560" s="59"/>
    </row>
    <row r="561" spans="1:12" x14ac:dyDescent="0.35">
      <c r="A561" s="45">
        <v>557</v>
      </c>
      <c r="B561" s="2"/>
      <c r="C561" s="2"/>
      <c r="D561" s="2"/>
      <c r="E561" s="3"/>
      <c r="F561" s="3"/>
      <c r="G561" s="2"/>
      <c r="H561" s="2"/>
      <c r="I561" s="46"/>
      <c r="J561" s="12"/>
      <c r="K561" s="2"/>
      <c r="L561" s="59"/>
    </row>
    <row r="562" spans="1:12" x14ac:dyDescent="0.35">
      <c r="A562" s="45">
        <v>558</v>
      </c>
      <c r="B562" s="2"/>
      <c r="C562" s="2"/>
      <c r="D562" s="2"/>
      <c r="E562" s="3"/>
      <c r="F562" s="3"/>
      <c r="G562" s="2"/>
      <c r="H562" s="2"/>
      <c r="I562" s="46"/>
      <c r="J562" s="12"/>
      <c r="K562" s="2"/>
      <c r="L562" s="59"/>
    </row>
    <row r="563" spans="1:12" x14ac:dyDescent="0.35">
      <c r="A563" s="45">
        <v>559</v>
      </c>
      <c r="B563" s="2"/>
      <c r="C563" s="2"/>
      <c r="D563" s="2"/>
      <c r="E563" s="3"/>
      <c r="F563" s="3"/>
      <c r="G563" s="2"/>
      <c r="H563" s="2"/>
      <c r="I563" s="46"/>
      <c r="J563" s="12"/>
      <c r="K563" s="2"/>
      <c r="L563" s="59"/>
    </row>
    <row r="564" spans="1:12" x14ac:dyDescent="0.35">
      <c r="A564" s="45">
        <v>560</v>
      </c>
      <c r="B564" s="2"/>
      <c r="C564" s="2"/>
      <c r="D564" s="2"/>
      <c r="E564" s="3"/>
      <c r="F564" s="3"/>
      <c r="G564" s="2"/>
      <c r="H564" s="2"/>
      <c r="I564" s="46"/>
      <c r="J564" s="12"/>
      <c r="K564" s="2"/>
      <c r="L564" s="59"/>
    </row>
    <row r="565" spans="1:12" x14ac:dyDescent="0.35">
      <c r="A565" s="45">
        <v>561</v>
      </c>
      <c r="B565" s="2"/>
      <c r="C565" s="2"/>
      <c r="D565" s="2"/>
      <c r="E565" s="3"/>
      <c r="F565" s="3"/>
      <c r="G565" s="2"/>
      <c r="H565" s="2"/>
      <c r="I565" s="46"/>
      <c r="J565" s="12"/>
      <c r="K565" s="2"/>
      <c r="L565" s="59"/>
    </row>
    <row r="566" spans="1:12" x14ac:dyDescent="0.35">
      <c r="A566" s="45">
        <v>562</v>
      </c>
      <c r="B566" s="2"/>
      <c r="C566" s="2"/>
      <c r="D566" s="2"/>
      <c r="E566" s="3"/>
      <c r="F566" s="3"/>
      <c r="G566" s="2"/>
      <c r="H566" s="2"/>
      <c r="I566" s="46"/>
      <c r="J566" s="12"/>
      <c r="K566" s="2"/>
      <c r="L566" s="59"/>
    </row>
    <row r="567" spans="1:12" x14ac:dyDescent="0.35">
      <c r="A567" s="45">
        <v>563</v>
      </c>
      <c r="B567" s="2"/>
      <c r="C567" s="2"/>
      <c r="D567" s="2"/>
      <c r="E567" s="3"/>
      <c r="F567" s="3"/>
      <c r="G567" s="2"/>
      <c r="H567" s="2"/>
      <c r="I567" s="46"/>
      <c r="J567" s="12"/>
      <c r="K567" s="2"/>
      <c r="L567" s="59"/>
    </row>
    <row r="568" spans="1:12" x14ac:dyDescent="0.35">
      <c r="A568" s="45">
        <v>564</v>
      </c>
      <c r="B568" s="2"/>
      <c r="C568" s="2"/>
      <c r="D568" s="2"/>
      <c r="E568" s="3"/>
      <c r="F568" s="3"/>
      <c r="G568" s="2"/>
      <c r="H568" s="2"/>
      <c r="I568" s="46"/>
      <c r="J568" s="12"/>
      <c r="K568" s="2"/>
      <c r="L568" s="59"/>
    </row>
    <row r="569" spans="1:12" x14ac:dyDescent="0.35">
      <c r="A569" s="45">
        <v>565</v>
      </c>
      <c r="B569" s="2"/>
      <c r="C569" s="2"/>
      <c r="D569" s="2"/>
      <c r="E569" s="3"/>
      <c r="F569" s="3"/>
      <c r="G569" s="2"/>
      <c r="H569" s="2"/>
      <c r="I569" s="46"/>
      <c r="J569" s="12"/>
      <c r="K569" s="2"/>
      <c r="L569" s="59"/>
    </row>
    <row r="570" spans="1:12" x14ac:dyDescent="0.35">
      <c r="A570" s="45">
        <v>566</v>
      </c>
      <c r="B570" s="2"/>
      <c r="C570" s="2"/>
      <c r="D570" s="2"/>
      <c r="E570" s="3"/>
      <c r="F570" s="3"/>
      <c r="G570" s="2"/>
      <c r="H570" s="2"/>
      <c r="I570" s="46"/>
      <c r="J570" s="12"/>
      <c r="K570" s="2"/>
      <c r="L570" s="59"/>
    </row>
    <row r="571" spans="1:12" x14ac:dyDescent="0.35">
      <c r="A571" s="45">
        <v>567</v>
      </c>
      <c r="B571" s="2"/>
      <c r="C571" s="2"/>
      <c r="D571" s="2"/>
      <c r="E571" s="3"/>
      <c r="F571" s="3"/>
      <c r="G571" s="2"/>
      <c r="H571" s="2"/>
      <c r="I571" s="46"/>
      <c r="J571" s="12"/>
      <c r="K571" s="2"/>
      <c r="L571" s="59"/>
    </row>
    <row r="572" spans="1:12" x14ac:dyDescent="0.35">
      <c r="A572" s="45">
        <v>568</v>
      </c>
      <c r="B572" s="2"/>
      <c r="C572" s="2"/>
      <c r="D572" s="2"/>
      <c r="E572" s="3"/>
      <c r="F572" s="3"/>
      <c r="G572" s="2"/>
      <c r="H572" s="2"/>
      <c r="I572" s="46"/>
      <c r="J572" s="12"/>
      <c r="K572" s="2"/>
      <c r="L572" s="59"/>
    </row>
    <row r="573" spans="1:12" x14ac:dyDescent="0.35">
      <c r="A573" s="45">
        <v>569</v>
      </c>
      <c r="B573" s="2"/>
      <c r="C573" s="2"/>
      <c r="D573" s="2"/>
      <c r="E573" s="3"/>
      <c r="F573" s="3"/>
      <c r="G573" s="2"/>
      <c r="H573" s="2"/>
      <c r="I573" s="46"/>
      <c r="J573" s="12"/>
      <c r="K573" s="2"/>
      <c r="L573" s="59"/>
    </row>
    <row r="574" spans="1:12" x14ac:dyDescent="0.35">
      <c r="A574" s="45">
        <v>570</v>
      </c>
      <c r="B574" s="2"/>
      <c r="C574" s="2"/>
      <c r="D574" s="2"/>
      <c r="E574" s="3"/>
      <c r="F574" s="3"/>
      <c r="G574" s="2"/>
      <c r="H574" s="2"/>
      <c r="I574" s="46"/>
      <c r="J574" s="12"/>
      <c r="K574" s="2"/>
      <c r="L574" s="59"/>
    </row>
    <row r="575" spans="1:12" x14ac:dyDescent="0.35">
      <c r="A575" s="45">
        <v>571</v>
      </c>
      <c r="B575" s="2"/>
      <c r="C575" s="2"/>
      <c r="D575" s="2"/>
      <c r="E575" s="3"/>
      <c r="F575" s="3"/>
      <c r="G575" s="2"/>
      <c r="H575" s="2"/>
      <c r="I575" s="46"/>
      <c r="J575" s="12"/>
      <c r="K575" s="2"/>
      <c r="L575" s="59"/>
    </row>
    <row r="576" spans="1:12" x14ac:dyDescent="0.35">
      <c r="A576" s="45">
        <v>572</v>
      </c>
      <c r="B576" s="2"/>
      <c r="C576" s="2"/>
      <c r="D576" s="2"/>
      <c r="E576" s="3"/>
      <c r="F576" s="3"/>
      <c r="G576" s="2"/>
      <c r="H576" s="2"/>
      <c r="I576" s="46"/>
      <c r="J576" s="12"/>
      <c r="K576" s="2"/>
      <c r="L576" s="59"/>
    </row>
    <row r="577" spans="1:12" x14ac:dyDescent="0.35">
      <c r="A577" s="45">
        <v>573</v>
      </c>
      <c r="B577" s="2"/>
      <c r="C577" s="2"/>
      <c r="D577" s="2"/>
      <c r="E577" s="3"/>
      <c r="F577" s="3"/>
      <c r="G577" s="2"/>
      <c r="H577" s="2"/>
      <c r="I577" s="46"/>
      <c r="J577" s="12"/>
      <c r="K577" s="2"/>
      <c r="L577" s="59"/>
    </row>
    <row r="578" spans="1:12" x14ac:dyDescent="0.35">
      <c r="A578" s="45">
        <v>574</v>
      </c>
      <c r="B578" s="2"/>
      <c r="C578" s="2"/>
      <c r="D578" s="2"/>
      <c r="E578" s="3"/>
      <c r="F578" s="3"/>
      <c r="G578" s="2"/>
      <c r="H578" s="2"/>
      <c r="I578" s="46"/>
      <c r="J578" s="12"/>
      <c r="K578" s="2"/>
      <c r="L578" s="59"/>
    </row>
    <row r="579" spans="1:12" x14ac:dyDescent="0.35">
      <c r="A579" s="45">
        <v>575</v>
      </c>
      <c r="B579" s="2"/>
      <c r="C579" s="2"/>
      <c r="D579" s="2"/>
      <c r="E579" s="3"/>
      <c r="F579" s="3"/>
      <c r="G579" s="2"/>
      <c r="H579" s="2"/>
      <c r="I579" s="46"/>
      <c r="J579" s="12"/>
      <c r="K579" s="2"/>
      <c r="L579" s="59"/>
    </row>
    <row r="580" spans="1:12" x14ac:dyDescent="0.35">
      <c r="A580" s="45">
        <v>576</v>
      </c>
      <c r="B580" s="2"/>
      <c r="C580" s="2"/>
      <c r="D580" s="2"/>
      <c r="E580" s="3"/>
      <c r="F580" s="3"/>
      <c r="G580" s="2"/>
      <c r="H580" s="2"/>
      <c r="I580" s="46"/>
      <c r="J580" s="12"/>
      <c r="K580" s="2"/>
      <c r="L580" s="59"/>
    </row>
    <row r="581" spans="1:12" x14ac:dyDescent="0.35">
      <c r="A581" s="45">
        <v>577</v>
      </c>
      <c r="B581" s="2"/>
      <c r="C581" s="2"/>
      <c r="D581" s="2"/>
      <c r="E581" s="3"/>
      <c r="F581" s="3"/>
      <c r="G581" s="2"/>
      <c r="H581" s="2"/>
      <c r="I581" s="46"/>
      <c r="J581" s="12"/>
      <c r="K581" s="2"/>
      <c r="L581" s="59"/>
    </row>
    <row r="582" spans="1:12" x14ac:dyDescent="0.35">
      <c r="A582" s="45">
        <v>578</v>
      </c>
      <c r="B582" s="2"/>
      <c r="C582" s="2"/>
      <c r="D582" s="2"/>
      <c r="E582" s="3"/>
      <c r="F582" s="3"/>
      <c r="G582" s="2"/>
      <c r="H582" s="2"/>
      <c r="I582" s="46"/>
      <c r="J582" s="12"/>
      <c r="K582" s="2"/>
      <c r="L582" s="59"/>
    </row>
    <row r="583" spans="1:12" x14ac:dyDescent="0.35">
      <c r="A583" s="45">
        <v>579</v>
      </c>
      <c r="B583" s="2"/>
      <c r="C583" s="2"/>
      <c r="D583" s="2"/>
      <c r="E583" s="3"/>
      <c r="F583" s="3"/>
      <c r="G583" s="2"/>
      <c r="H583" s="2"/>
      <c r="I583" s="46"/>
      <c r="J583" s="12"/>
      <c r="K583" s="2"/>
      <c r="L583" s="59"/>
    </row>
    <row r="584" spans="1:12" x14ac:dyDescent="0.35">
      <c r="A584" s="45">
        <v>580</v>
      </c>
      <c r="B584" s="2"/>
      <c r="C584" s="2"/>
      <c r="D584" s="2"/>
      <c r="E584" s="3"/>
      <c r="F584" s="3"/>
      <c r="G584" s="2"/>
      <c r="H584" s="2"/>
      <c r="I584" s="46"/>
      <c r="J584" s="12"/>
      <c r="K584" s="2"/>
      <c r="L584" s="59"/>
    </row>
    <row r="585" spans="1:12" x14ac:dyDescent="0.35">
      <c r="A585" s="45">
        <v>581</v>
      </c>
      <c r="B585" s="2"/>
      <c r="C585" s="2"/>
      <c r="D585" s="2"/>
      <c r="E585" s="3"/>
      <c r="F585" s="3"/>
      <c r="G585" s="2"/>
      <c r="H585" s="2"/>
      <c r="I585" s="46"/>
      <c r="J585" s="12"/>
      <c r="K585" s="2"/>
      <c r="L585" s="59"/>
    </row>
    <row r="586" spans="1:12" x14ac:dyDescent="0.35">
      <c r="A586" s="45">
        <v>582</v>
      </c>
      <c r="B586" s="2"/>
      <c r="C586" s="2"/>
      <c r="D586" s="2"/>
      <c r="E586" s="3"/>
      <c r="F586" s="3"/>
      <c r="G586" s="2"/>
      <c r="H586" s="2"/>
      <c r="I586" s="46"/>
      <c r="J586" s="12"/>
      <c r="K586" s="2"/>
      <c r="L586" s="59"/>
    </row>
    <row r="587" spans="1:12" x14ac:dyDescent="0.35">
      <c r="A587" s="45">
        <v>583</v>
      </c>
      <c r="B587" s="2"/>
      <c r="C587" s="2"/>
      <c r="D587" s="2"/>
      <c r="E587" s="3"/>
      <c r="F587" s="3"/>
      <c r="G587" s="2"/>
      <c r="H587" s="2"/>
      <c r="I587" s="46"/>
      <c r="J587" s="12"/>
      <c r="K587" s="2"/>
      <c r="L587" s="59"/>
    </row>
    <row r="588" spans="1:12" x14ac:dyDescent="0.35">
      <c r="A588" s="45">
        <v>584</v>
      </c>
      <c r="B588" s="2"/>
      <c r="C588" s="2"/>
      <c r="D588" s="2"/>
      <c r="E588" s="3"/>
      <c r="F588" s="3"/>
      <c r="G588" s="2"/>
      <c r="H588" s="2"/>
      <c r="I588" s="46"/>
      <c r="J588" s="12"/>
      <c r="K588" s="2"/>
      <c r="L588" s="59"/>
    </row>
    <row r="589" spans="1:12" x14ac:dyDescent="0.35">
      <c r="A589" s="45">
        <v>585</v>
      </c>
      <c r="B589" s="2"/>
      <c r="C589" s="2"/>
      <c r="D589" s="2"/>
      <c r="E589" s="3"/>
      <c r="F589" s="3"/>
      <c r="G589" s="2"/>
      <c r="H589" s="2"/>
      <c r="I589" s="46"/>
      <c r="J589" s="12"/>
      <c r="K589" s="2"/>
      <c r="L589" s="59"/>
    </row>
    <row r="590" spans="1:12" x14ac:dyDescent="0.35">
      <c r="A590" s="45">
        <v>586</v>
      </c>
      <c r="B590" s="2"/>
      <c r="C590" s="2"/>
      <c r="D590" s="2"/>
      <c r="E590" s="3"/>
      <c r="F590" s="3"/>
      <c r="G590" s="2"/>
      <c r="H590" s="2"/>
      <c r="I590" s="46"/>
      <c r="J590" s="12"/>
      <c r="K590" s="2"/>
      <c r="L590" s="59"/>
    </row>
    <row r="591" spans="1:12" x14ac:dyDescent="0.35">
      <c r="A591" s="45">
        <v>587</v>
      </c>
      <c r="B591" s="2"/>
      <c r="C591" s="2"/>
      <c r="D591" s="2"/>
      <c r="E591" s="3"/>
      <c r="F591" s="3"/>
      <c r="G591" s="2"/>
      <c r="H591" s="2"/>
      <c r="I591" s="46"/>
      <c r="J591" s="12"/>
      <c r="K591" s="2"/>
      <c r="L591" s="59"/>
    </row>
    <row r="592" spans="1:12" x14ac:dyDescent="0.35">
      <c r="A592" s="45">
        <v>588</v>
      </c>
      <c r="B592" s="2"/>
      <c r="C592" s="2"/>
      <c r="D592" s="2"/>
      <c r="E592" s="3"/>
      <c r="F592" s="3"/>
      <c r="G592" s="2"/>
      <c r="H592" s="2"/>
      <c r="I592" s="46"/>
      <c r="J592" s="12"/>
      <c r="K592" s="2"/>
      <c r="L592" s="59"/>
    </row>
    <row r="593" spans="1:12" x14ac:dyDescent="0.35">
      <c r="A593" s="45">
        <v>589</v>
      </c>
      <c r="B593" s="2"/>
      <c r="C593" s="2"/>
      <c r="D593" s="2"/>
      <c r="E593" s="3"/>
      <c r="F593" s="3"/>
      <c r="G593" s="2"/>
      <c r="H593" s="2"/>
      <c r="I593" s="46"/>
      <c r="J593" s="12"/>
      <c r="K593" s="2"/>
      <c r="L593" s="59"/>
    </row>
    <row r="594" spans="1:12" x14ac:dyDescent="0.35">
      <c r="A594" s="45">
        <v>590</v>
      </c>
      <c r="B594" s="2"/>
      <c r="C594" s="2"/>
      <c r="D594" s="2"/>
      <c r="E594" s="3"/>
      <c r="F594" s="3"/>
      <c r="G594" s="2"/>
      <c r="H594" s="2"/>
      <c r="I594" s="46"/>
      <c r="J594" s="12"/>
      <c r="K594" s="2"/>
      <c r="L594" s="59"/>
    </row>
    <row r="595" spans="1:12" x14ac:dyDescent="0.35">
      <c r="A595" s="45">
        <v>591</v>
      </c>
      <c r="B595" s="2"/>
      <c r="C595" s="2"/>
      <c r="D595" s="2"/>
      <c r="E595" s="3"/>
      <c r="F595" s="3"/>
      <c r="G595" s="2"/>
      <c r="H595" s="2"/>
      <c r="I595" s="46"/>
      <c r="J595" s="12"/>
      <c r="K595" s="2"/>
      <c r="L595" s="59"/>
    </row>
    <row r="596" spans="1:12" x14ac:dyDescent="0.35">
      <c r="A596" s="45">
        <v>592</v>
      </c>
      <c r="B596" s="2"/>
      <c r="C596" s="2"/>
      <c r="D596" s="2"/>
      <c r="E596" s="3"/>
      <c r="F596" s="3"/>
      <c r="G596" s="2"/>
      <c r="H596" s="2"/>
      <c r="I596" s="46"/>
      <c r="J596" s="12"/>
      <c r="K596" s="2"/>
      <c r="L596" s="59"/>
    </row>
    <row r="597" spans="1:12" x14ac:dyDescent="0.35">
      <c r="A597" s="45">
        <v>593</v>
      </c>
      <c r="B597" s="2"/>
      <c r="C597" s="2"/>
      <c r="D597" s="2"/>
      <c r="E597" s="3"/>
      <c r="F597" s="3"/>
      <c r="G597" s="2"/>
      <c r="H597" s="2"/>
      <c r="I597" s="46"/>
      <c r="J597" s="12"/>
      <c r="K597" s="2"/>
      <c r="L597" s="59"/>
    </row>
    <row r="598" spans="1:12" x14ac:dyDescent="0.35">
      <c r="A598" s="45">
        <v>594</v>
      </c>
      <c r="B598" s="2"/>
      <c r="C598" s="2"/>
      <c r="D598" s="2"/>
      <c r="E598" s="3"/>
      <c r="F598" s="3"/>
      <c r="G598" s="2"/>
      <c r="H598" s="2"/>
      <c r="I598" s="46"/>
      <c r="J598" s="12"/>
      <c r="K598" s="2"/>
      <c r="L598" s="59"/>
    </row>
    <row r="599" spans="1:12" x14ac:dyDescent="0.35">
      <c r="A599" s="45">
        <v>595</v>
      </c>
      <c r="B599" s="2"/>
      <c r="C599" s="2"/>
      <c r="D599" s="2"/>
      <c r="E599" s="3"/>
      <c r="F599" s="3"/>
      <c r="G599" s="2"/>
      <c r="H599" s="2"/>
      <c r="I599" s="46"/>
      <c r="J599" s="12"/>
      <c r="K599" s="2"/>
      <c r="L599" s="59"/>
    </row>
    <row r="600" spans="1:12" x14ac:dyDescent="0.35">
      <c r="A600" s="45">
        <v>596</v>
      </c>
      <c r="B600" s="2"/>
      <c r="C600" s="2"/>
      <c r="D600" s="2"/>
      <c r="E600" s="3"/>
      <c r="F600" s="3"/>
      <c r="G600" s="2"/>
      <c r="H600" s="2"/>
      <c r="I600" s="46"/>
      <c r="J600" s="12"/>
      <c r="K600" s="2"/>
      <c r="L600" s="59"/>
    </row>
    <row r="601" spans="1:12" x14ac:dyDescent="0.35">
      <c r="A601" s="45">
        <v>597</v>
      </c>
      <c r="B601" s="2"/>
      <c r="C601" s="2"/>
      <c r="D601" s="2"/>
      <c r="E601" s="3"/>
      <c r="F601" s="3"/>
      <c r="G601" s="2"/>
      <c r="H601" s="2"/>
      <c r="I601" s="46"/>
      <c r="J601" s="12"/>
      <c r="K601" s="2"/>
      <c r="L601" s="59"/>
    </row>
    <row r="602" spans="1:12" x14ac:dyDescent="0.35">
      <c r="A602" s="45">
        <v>598</v>
      </c>
      <c r="B602" s="2"/>
      <c r="C602" s="2"/>
      <c r="D602" s="2"/>
      <c r="E602" s="3"/>
      <c r="F602" s="3"/>
      <c r="G602" s="2"/>
      <c r="H602" s="2"/>
      <c r="I602" s="46"/>
      <c r="J602" s="12"/>
      <c r="K602" s="2"/>
      <c r="L602" s="59"/>
    </row>
    <row r="603" spans="1:12" x14ac:dyDescent="0.35">
      <c r="A603" s="45">
        <v>599</v>
      </c>
      <c r="B603" s="2"/>
      <c r="C603" s="2"/>
      <c r="D603" s="2"/>
      <c r="E603" s="3"/>
      <c r="F603" s="3"/>
      <c r="G603" s="2"/>
      <c r="H603" s="2"/>
      <c r="I603" s="46"/>
      <c r="J603" s="12"/>
      <c r="K603" s="2"/>
      <c r="L603" s="59"/>
    </row>
    <row r="604" spans="1:12" x14ac:dyDescent="0.35">
      <c r="A604" s="45">
        <v>600</v>
      </c>
      <c r="B604" s="2"/>
      <c r="C604" s="2"/>
      <c r="D604" s="2"/>
      <c r="E604" s="3"/>
      <c r="F604" s="3"/>
      <c r="G604" s="2"/>
      <c r="H604" s="2"/>
      <c r="I604" s="46"/>
      <c r="J604" s="12"/>
      <c r="K604" s="2"/>
      <c r="L604" s="59"/>
    </row>
    <row r="605" spans="1:12" x14ac:dyDescent="0.35">
      <c r="A605" s="45">
        <v>601</v>
      </c>
      <c r="B605" s="2"/>
      <c r="C605" s="2"/>
      <c r="D605" s="2"/>
      <c r="E605" s="3"/>
      <c r="F605" s="3"/>
      <c r="G605" s="2"/>
      <c r="H605" s="2"/>
      <c r="I605" s="46"/>
      <c r="J605" s="12"/>
      <c r="K605" s="2"/>
      <c r="L605" s="59"/>
    </row>
    <row r="606" spans="1:12" x14ac:dyDescent="0.35">
      <c r="A606" s="45">
        <v>602</v>
      </c>
      <c r="B606" s="2"/>
      <c r="C606" s="2"/>
      <c r="D606" s="2"/>
      <c r="E606" s="3"/>
      <c r="F606" s="3"/>
      <c r="G606" s="2"/>
      <c r="H606" s="2"/>
      <c r="I606" s="46"/>
      <c r="J606" s="12"/>
      <c r="K606" s="2"/>
      <c r="L606" s="59"/>
    </row>
    <row r="607" spans="1:12" x14ac:dyDescent="0.35">
      <c r="A607" s="45">
        <v>603</v>
      </c>
      <c r="B607" s="2"/>
      <c r="C607" s="2"/>
      <c r="D607" s="2"/>
      <c r="E607" s="3"/>
      <c r="F607" s="3"/>
      <c r="G607" s="2"/>
      <c r="H607" s="2"/>
      <c r="I607" s="46"/>
      <c r="J607" s="12"/>
      <c r="K607" s="2"/>
      <c r="L607" s="59"/>
    </row>
    <row r="608" spans="1:12" x14ac:dyDescent="0.35">
      <c r="A608" s="45">
        <v>604</v>
      </c>
      <c r="B608" s="2"/>
      <c r="C608" s="2"/>
      <c r="D608" s="2"/>
      <c r="E608" s="3"/>
      <c r="F608" s="3"/>
      <c r="G608" s="2"/>
      <c r="H608" s="2"/>
      <c r="I608" s="46"/>
      <c r="J608" s="12"/>
      <c r="K608" s="2"/>
      <c r="L608" s="59"/>
    </row>
    <row r="609" spans="1:12" x14ac:dyDescent="0.35">
      <c r="A609" s="45">
        <v>605</v>
      </c>
      <c r="B609" s="2"/>
      <c r="C609" s="2"/>
      <c r="D609" s="2"/>
      <c r="E609" s="3"/>
      <c r="F609" s="3"/>
      <c r="G609" s="2"/>
      <c r="H609" s="2"/>
      <c r="I609" s="46"/>
      <c r="J609" s="12"/>
      <c r="K609" s="2"/>
      <c r="L609" s="59"/>
    </row>
    <row r="610" spans="1:12" x14ac:dyDescent="0.35">
      <c r="A610" s="45">
        <v>606</v>
      </c>
      <c r="B610" s="2"/>
      <c r="C610" s="2"/>
      <c r="D610" s="2"/>
      <c r="E610" s="3"/>
      <c r="F610" s="3"/>
      <c r="G610" s="2"/>
      <c r="H610" s="2"/>
      <c r="I610" s="46"/>
      <c r="J610" s="12"/>
      <c r="K610" s="2"/>
      <c r="L610" s="59"/>
    </row>
    <row r="611" spans="1:12" x14ac:dyDescent="0.35">
      <c r="A611" s="45">
        <v>607</v>
      </c>
      <c r="B611" s="2"/>
      <c r="C611" s="2"/>
      <c r="D611" s="2"/>
      <c r="E611" s="3"/>
      <c r="F611" s="3"/>
      <c r="G611" s="2"/>
      <c r="H611" s="2"/>
      <c r="I611" s="46"/>
      <c r="J611" s="12"/>
      <c r="K611" s="2"/>
      <c r="L611" s="59"/>
    </row>
    <row r="612" spans="1:12" x14ac:dyDescent="0.35">
      <c r="A612" s="45">
        <v>608</v>
      </c>
      <c r="B612" s="2"/>
      <c r="C612" s="2"/>
      <c r="D612" s="2"/>
      <c r="E612" s="3"/>
      <c r="F612" s="3"/>
      <c r="G612" s="2"/>
      <c r="H612" s="2"/>
      <c r="I612" s="46"/>
      <c r="J612" s="12"/>
      <c r="K612" s="2"/>
      <c r="L612" s="59"/>
    </row>
    <row r="613" spans="1:12" x14ac:dyDescent="0.35">
      <c r="A613" s="45">
        <v>609</v>
      </c>
      <c r="B613" s="2"/>
      <c r="C613" s="2"/>
      <c r="D613" s="2"/>
      <c r="E613" s="3"/>
      <c r="F613" s="3"/>
      <c r="G613" s="2"/>
      <c r="H613" s="2"/>
      <c r="I613" s="46"/>
      <c r="J613" s="12"/>
      <c r="K613" s="2"/>
      <c r="L613" s="59"/>
    </row>
    <row r="614" spans="1:12" x14ac:dyDescent="0.35">
      <c r="A614" s="45">
        <v>610</v>
      </c>
      <c r="B614" s="2"/>
      <c r="C614" s="2"/>
      <c r="D614" s="2"/>
      <c r="E614" s="3"/>
      <c r="F614" s="3"/>
      <c r="G614" s="2"/>
      <c r="H614" s="2"/>
      <c r="I614" s="46"/>
      <c r="J614" s="12"/>
      <c r="K614" s="2"/>
      <c r="L614" s="59"/>
    </row>
    <row r="615" spans="1:12" x14ac:dyDescent="0.35">
      <c r="A615" s="45">
        <v>611</v>
      </c>
      <c r="B615" s="2"/>
      <c r="C615" s="2"/>
      <c r="D615" s="2"/>
      <c r="E615" s="3"/>
      <c r="F615" s="3"/>
      <c r="G615" s="2"/>
      <c r="H615" s="2"/>
      <c r="I615" s="46"/>
      <c r="J615" s="12"/>
      <c r="K615" s="2"/>
      <c r="L615" s="59"/>
    </row>
    <row r="616" spans="1:12" x14ac:dyDescent="0.35">
      <c r="A616" s="45">
        <v>612</v>
      </c>
      <c r="B616" s="2"/>
      <c r="C616" s="2"/>
      <c r="D616" s="2"/>
      <c r="E616" s="3"/>
      <c r="F616" s="3"/>
      <c r="G616" s="2"/>
      <c r="H616" s="2"/>
      <c r="I616" s="46"/>
      <c r="J616" s="12"/>
      <c r="K616" s="2"/>
      <c r="L616" s="59"/>
    </row>
    <row r="617" spans="1:12" x14ac:dyDescent="0.35">
      <c r="A617" s="45">
        <v>613</v>
      </c>
      <c r="B617" s="2"/>
      <c r="C617" s="2"/>
      <c r="D617" s="2"/>
      <c r="E617" s="3"/>
      <c r="F617" s="3"/>
      <c r="G617" s="2"/>
      <c r="H617" s="2"/>
      <c r="I617" s="46"/>
      <c r="J617" s="12"/>
      <c r="K617" s="2"/>
      <c r="L617" s="59"/>
    </row>
    <row r="618" spans="1:12" x14ac:dyDescent="0.35">
      <c r="A618" s="45">
        <v>614</v>
      </c>
      <c r="B618" s="2"/>
      <c r="C618" s="2"/>
      <c r="D618" s="2"/>
      <c r="E618" s="3"/>
      <c r="F618" s="3"/>
      <c r="G618" s="2"/>
      <c r="H618" s="2"/>
      <c r="I618" s="46"/>
      <c r="J618" s="12"/>
      <c r="K618" s="2"/>
      <c r="L618" s="59"/>
    </row>
    <row r="619" spans="1:12" x14ac:dyDescent="0.35">
      <c r="A619" s="45">
        <v>615</v>
      </c>
      <c r="B619" s="2"/>
      <c r="C619" s="2"/>
      <c r="D619" s="2"/>
      <c r="E619" s="3"/>
      <c r="F619" s="3"/>
      <c r="G619" s="2"/>
      <c r="H619" s="2"/>
      <c r="I619" s="46"/>
      <c r="J619" s="12"/>
      <c r="K619" s="2"/>
      <c r="L619" s="59"/>
    </row>
    <row r="620" spans="1:12" x14ac:dyDescent="0.35">
      <c r="A620" s="45">
        <v>616</v>
      </c>
      <c r="B620" s="2"/>
      <c r="C620" s="2"/>
      <c r="D620" s="2"/>
      <c r="E620" s="3"/>
      <c r="F620" s="3"/>
      <c r="G620" s="2"/>
      <c r="H620" s="2"/>
      <c r="I620" s="46"/>
      <c r="J620" s="12"/>
      <c r="K620" s="2"/>
      <c r="L620" s="59"/>
    </row>
    <row r="621" spans="1:12" x14ac:dyDescent="0.35">
      <c r="A621" s="45">
        <v>617</v>
      </c>
      <c r="B621" s="2"/>
      <c r="C621" s="2"/>
      <c r="D621" s="2"/>
      <c r="E621" s="3"/>
      <c r="F621" s="3"/>
      <c r="G621" s="2"/>
      <c r="H621" s="2"/>
      <c r="I621" s="46"/>
      <c r="J621" s="12"/>
      <c r="K621" s="2"/>
      <c r="L621" s="59"/>
    </row>
    <row r="622" spans="1:12" x14ac:dyDescent="0.35">
      <c r="A622" s="45">
        <v>618</v>
      </c>
      <c r="B622" s="2"/>
      <c r="C622" s="2"/>
      <c r="D622" s="2"/>
      <c r="E622" s="3"/>
      <c r="F622" s="3"/>
      <c r="G622" s="2"/>
      <c r="H622" s="2"/>
      <c r="I622" s="46"/>
      <c r="J622" s="12"/>
      <c r="K622" s="2"/>
      <c r="L622" s="59"/>
    </row>
    <row r="623" spans="1:12" x14ac:dyDescent="0.35">
      <c r="A623" s="45">
        <v>619</v>
      </c>
      <c r="B623" s="2"/>
      <c r="C623" s="2"/>
      <c r="D623" s="2"/>
      <c r="E623" s="3"/>
      <c r="F623" s="3"/>
      <c r="G623" s="2"/>
      <c r="H623" s="2"/>
      <c r="I623" s="46"/>
      <c r="J623" s="12"/>
      <c r="K623" s="2"/>
      <c r="L623" s="59"/>
    </row>
    <row r="624" spans="1:12" x14ac:dyDescent="0.35">
      <c r="A624" s="45">
        <v>620</v>
      </c>
      <c r="B624" s="2"/>
      <c r="C624" s="2"/>
      <c r="D624" s="2"/>
      <c r="E624" s="3"/>
      <c r="F624" s="3"/>
      <c r="G624" s="2"/>
      <c r="H624" s="2"/>
      <c r="I624" s="46"/>
      <c r="J624" s="12"/>
      <c r="K624" s="2"/>
      <c r="L624" s="59"/>
    </row>
    <row r="625" spans="1:12" x14ac:dyDescent="0.35">
      <c r="A625" s="45">
        <v>621</v>
      </c>
      <c r="B625" s="2"/>
      <c r="C625" s="2"/>
      <c r="D625" s="2"/>
      <c r="E625" s="3"/>
      <c r="F625" s="3"/>
      <c r="G625" s="2"/>
      <c r="H625" s="2"/>
      <c r="I625" s="46"/>
      <c r="J625" s="12"/>
      <c r="K625" s="2"/>
      <c r="L625" s="59"/>
    </row>
    <row r="626" spans="1:12" x14ac:dyDescent="0.35">
      <c r="A626" s="45">
        <v>622</v>
      </c>
      <c r="B626" s="2"/>
      <c r="C626" s="2"/>
      <c r="D626" s="2"/>
      <c r="E626" s="3"/>
      <c r="F626" s="3"/>
      <c r="G626" s="2"/>
      <c r="H626" s="2"/>
      <c r="I626" s="46"/>
      <c r="J626" s="12"/>
      <c r="K626" s="2"/>
      <c r="L626" s="59"/>
    </row>
    <row r="627" spans="1:12" x14ac:dyDescent="0.35">
      <c r="A627" s="45">
        <v>623</v>
      </c>
      <c r="B627" s="2"/>
      <c r="C627" s="2"/>
      <c r="D627" s="2"/>
      <c r="E627" s="3"/>
      <c r="F627" s="3"/>
      <c r="G627" s="2"/>
      <c r="H627" s="2"/>
      <c r="I627" s="46"/>
      <c r="J627" s="12"/>
      <c r="K627" s="2"/>
      <c r="L627" s="59"/>
    </row>
    <row r="628" spans="1:12" x14ac:dyDescent="0.35">
      <c r="A628" s="45">
        <v>624</v>
      </c>
      <c r="B628" s="2"/>
      <c r="C628" s="2"/>
      <c r="D628" s="2"/>
      <c r="E628" s="3"/>
      <c r="F628" s="3"/>
      <c r="G628" s="2"/>
      <c r="H628" s="2"/>
      <c r="I628" s="46"/>
      <c r="J628" s="12"/>
      <c r="K628" s="2"/>
      <c r="L628" s="59"/>
    </row>
    <row r="629" spans="1:12" x14ac:dyDescent="0.35">
      <c r="A629" s="45">
        <v>625</v>
      </c>
      <c r="B629" s="2"/>
      <c r="C629" s="2"/>
      <c r="D629" s="2"/>
      <c r="E629" s="3"/>
      <c r="F629" s="3"/>
      <c r="G629" s="2"/>
      <c r="H629" s="2"/>
      <c r="I629" s="46"/>
      <c r="J629" s="12"/>
      <c r="K629" s="2"/>
      <c r="L629" s="59"/>
    </row>
    <row r="630" spans="1:12" x14ac:dyDescent="0.35">
      <c r="A630" s="45">
        <v>626</v>
      </c>
      <c r="B630" s="2"/>
      <c r="C630" s="2"/>
      <c r="D630" s="2"/>
      <c r="E630" s="3"/>
      <c r="F630" s="3"/>
      <c r="G630" s="2"/>
      <c r="H630" s="2"/>
      <c r="I630" s="46"/>
      <c r="J630" s="12"/>
      <c r="K630" s="2"/>
      <c r="L630" s="59"/>
    </row>
    <row r="631" spans="1:12" x14ac:dyDescent="0.35">
      <c r="A631" s="45">
        <v>627</v>
      </c>
      <c r="B631" s="2"/>
      <c r="C631" s="2"/>
      <c r="D631" s="2"/>
      <c r="E631" s="3"/>
      <c r="F631" s="3"/>
      <c r="G631" s="2"/>
      <c r="H631" s="2"/>
      <c r="I631" s="46"/>
      <c r="J631" s="12"/>
      <c r="K631" s="2"/>
      <c r="L631" s="59"/>
    </row>
    <row r="632" spans="1:12" x14ac:dyDescent="0.35">
      <c r="A632" s="45">
        <v>628</v>
      </c>
      <c r="B632" s="2"/>
      <c r="C632" s="2"/>
      <c r="D632" s="2"/>
      <c r="E632" s="3"/>
      <c r="F632" s="3"/>
      <c r="G632" s="2"/>
      <c r="H632" s="2"/>
      <c r="I632" s="46"/>
      <c r="J632" s="12"/>
      <c r="K632" s="2"/>
      <c r="L632" s="59"/>
    </row>
    <row r="633" spans="1:12" x14ac:dyDescent="0.35">
      <c r="A633" s="45">
        <v>629</v>
      </c>
      <c r="B633" s="2"/>
      <c r="C633" s="2"/>
      <c r="D633" s="2"/>
      <c r="E633" s="3"/>
      <c r="F633" s="3"/>
      <c r="G633" s="2"/>
      <c r="H633" s="2"/>
      <c r="I633" s="46"/>
      <c r="J633" s="12"/>
      <c r="K633" s="2"/>
      <c r="L633" s="59"/>
    </row>
    <row r="634" spans="1:12" x14ac:dyDescent="0.35">
      <c r="A634" s="45">
        <v>630</v>
      </c>
      <c r="B634" s="2"/>
      <c r="C634" s="2"/>
      <c r="D634" s="2"/>
      <c r="E634" s="3"/>
      <c r="F634" s="3"/>
      <c r="G634" s="2"/>
      <c r="H634" s="2"/>
      <c r="I634" s="46"/>
      <c r="J634" s="12"/>
      <c r="K634" s="2"/>
      <c r="L634" s="59"/>
    </row>
    <row r="635" spans="1:12" x14ac:dyDescent="0.35">
      <c r="A635" s="45">
        <v>631</v>
      </c>
      <c r="B635" s="2"/>
      <c r="C635" s="2"/>
      <c r="D635" s="2"/>
      <c r="E635" s="3"/>
      <c r="F635" s="3"/>
      <c r="G635" s="2"/>
      <c r="H635" s="2"/>
      <c r="I635" s="46"/>
      <c r="J635" s="12"/>
      <c r="K635" s="2"/>
      <c r="L635" s="59"/>
    </row>
    <row r="636" spans="1:12" x14ac:dyDescent="0.35">
      <c r="A636" s="45">
        <v>632</v>
      </c>
      <c r="B636" s="2"/>
      <c r="C636" s="2"/>
      <c r="D636" s="2"/>
      <c r="E636" s="3"/>
      <c r="F636" s="3"/>
      <c r="G636" s="2"/>
      <c r="H636" s="2"/>
      <c r="I636" s="46"/>
      <c r="J636" s="12"/>
      <c r="K636" s="2"/>
      <c r="L636" s="59"/>
    </row>
    <row r="637" spans="1:12" x14ac:dyDescent="0.35">
      <c r="A637" s="45">
        <v>633</v>
      </c>
      <c r="B637" s="2"/>
      <c r="C637" s="2"/>
      <c r="D637" s="2"/>
      <c r="E637" s="3"/>
      <c r="F637" s="3"/>
      <c r="G637" s="2"/>
      <c r="H637" s="2"/>
      <c r="I637" s="46"/>
      <c r="J637" s="12"/>
      <c r="K637" s="2"/>
      <c r="L637" s="59"/>
    </row>
    <row r="638" spans="1:12" x14ac:dyDescent="0.35">
      <c r="A638" s="45">
        <v>634</v>
      </c>
      <c r="B638" s="2"/>
      <c r="C638" s="2"/>
      <c r="D638" s="2"/>
      <c r="E638" s="3"/>
      <c r="F638" s="3"/>
      <c r="G638" s="2"/>
      <c r="H638" s="2"/>
      <c r="I638" s="46"/>
      <c r="J638" s="12"/>
      <c r="K638" s="2"/>
      <c r="L638" s="59"/>
    </row>
    <row r="639" spans="1:12" x14ac:dyDescent="0.35">
      <c r="A639" s="45">
        <v>635</v>
      </c>
      <c r="B639" s="2"/>
      <c r="C639" s="2"/>
      <c r="D639" s="2"/>
      <c r="E639" s="3"/>
      <c r="F639" s="3"/>
      <c r="G639" s="2"/>
      <c r="H639" s="2"/>
      <c r="I639" s="46"/>
      <c r="J639" s="12"/>
      <c r="K639" s="2"/>
      <c r="L639" s="59"/>
    </row>
    <row r="640" spans="1:12" x14ac:dyDescent="0.35">
      <c r="A640" s="45">
        <v>636</v>
      </c>
      <c r="B640" s="2"/>
      <c r="C640" s="2"/>
      <c r="D640" s="2"/>
      <c r="E640" s="3"/>
      <c r="F640" s="3"/>
      <c r="G640" s="2"/>
      <c r="H640" s="2"/>
      <c r="I640" s="46"/>
      <c r="J640" s="12"/>
      <c r="K640" s="2"/>
      <c r="L640" s="59"/>
    </row>
    <row r="641" spans="1:12" x14ac:dyDescent="0.35">
      <c r="A641" s="45">
        <v>637</v>
      </c>
      <c r="B641" s="2"/>
      <c r="C641" s="2"/>
      <c r="D641" s="2"/>
      <c r="E641" s="3"/>
      <c r="F641" s="3"/>
      <c r="G641" s="2"/>
      <c r="H641" s="2"/>
      <c r="I641" s="46"/>
      <c r="J641" s="12"/>
      <c r="K641" s="2"/>
      <c r="L641" s="59"/>
    </row>
    <row r="642" spans="1:12" x14ac:dyDescent="0.35">
      <c r="A642" s="45">
        <v>638</v>
      </c>
      <c r="B642" s="2"/>
      <c r="C642" s="2"/>
      <c r="D642" s="2"/>
      <c r="E642" s="3"/>
      <c r="F642" s="3"/>
      <c r="G642" s="2"/>
      <c r="H642" s="2"/>
      <c r="I642" s="46"/>
      <c r="J642" s="12"/>
      <c r="K642" s="2"/>
      <c r="L642" s="59"/>
    </row>
    <row r="643" spans="1:12" x14ac:dyDescent="0.35">
      <c r="A643" s="45">
        <v>639</v>
      </c>
      <c r="B643" s="2"/>
      <c r="C643" s="2"/>
      <c r="D643" s="2"/>
      <c r="E643" s="3"/>
      <c r="F643" s="3"/>
      <c r="G643" s="2"/>
      <c r="H643" s="2"/>
      <c r="I643" s="46"/>
      <c r="J643" s="12"/>
      <c r="K643" s="2"/>
      <c r="L643" s="59"/>
    </row>
    <row r="644" spans="1:12" x14ac:dyDescent="0.35">
      <c r="A644" s="45">
        <v>640</v>
      </c>
      <c r="B644" s="2"/>
      <c r="C644" s="2"/>
      <c r="D644" s="2"/>
      <c r="E644" s="3"/>
      <c r="F644" s="3"/>
      <c r="G644" s="2"/>
      <c r="H644" s="2"/>
      <c r="I644" s="46"/>
      <c r="J644" s="12"/>
      <c r="K644" s="2"/>
      <c r="L644" s="59"/>
    </row>
    <row r="645" spans="1:12" x14ac:dyDescent="0.35">
      <c r="A645" s="45">
        <v>641</v>
      </c>
      <c r="B645" s="2"/>
      <c r="C645" s="2"/>
      <c r="D645" s="2"/>
      <c r="E645" s="3"/>
      <c r="F645" s="3"/>
      <c r="G645" s="2"/>
      <c r="H645" s="2"/>
      <c r="I645" s="46"/>
      <c r="J645" s="12"/>
      <c r="K645" s="2"/>
      <c r="L645" s="59"/>
    </row>
    <row r="646" spans="1:12" x14ac:dyDescent="0.35">
      <c r="A646" s="45">
        <v>642</v>
      </c>
      <c r="B646" s="2"/>
      <c r="C646" s="2"/>
      <c r="D646" s="2"/>
      <c r="E646" s="3"/>
      <c r="F646" s="3"/>
      <c r="G646" s="2"/>
      <c r="H646" s="2"/>
      <c r="I646" s="46"/>
      <c r="J646" s="12"/>
      <c r="K646" s="2"/>
      <c r="L646" s="59"/>
    </row>
    <row r="647" spans="1:12" x14ac:dyDescent="0.35">
      <c r="A647" s="45">
        <v>643</v>
      </c>
      <c r="B647" s="2"/>
      <c r="C647" s="2"/>
      <c r="D647" s="2"/>
      <c r="E647" s="3"/>
      <c r="F647" s="3"/>
      <c r="G647" s="2"/>
      <c r="H647" s="2"/>
      <c r="I647" s="46"/>
      <c r="J647" s="12"/>
      <c r="K647" s="2"/>
      <c r="L647" s="59"/>
    </row>
    <row r="648" spans="1:12" x14ac:dyDescent="0.35">
      <c r="A648" s="45">
        <v>644</v>
      </c>
      <c r="B648" s="2"/>
      <c r="C648" s="2"/>
      <c r="D648" s="2"/>
      <c r="E648" s="3"/>
      <c r="F648" s="3"/>
      <c r="G648" s="2"/>
      <c r="H648" s="2"/>
      <c r="I648" s="46"/>
      <c r="J648" s="12"/>
      <c r="K648" s="2"/>
      <c r="L648" s="59"/>
    </row>
    <row r="649" spans="1:12" x14ac:dyDescent="0.35">
      <c r="A649" s="45">
        <v>645</v>
      </c>
      <c r="B649" s="2"/>
      <c r="C649" s="2"/>
      <c r="D649" s="2"/>
      <c r="E649" s="3"/>
      <c r="F649" s="3"/>
      <c r="G649" s="2"/>
      <c r="H649" s="2"/>
      <c r="I649" s="46"/>
      <c r="J649" s="12"/>
      <c r="K649" s="2"/>
      <c r="L649" s="59"/>
    </row>
    <row r="650" spans="1:12" x14ac:dyDescent="0.35">
      <c r="A650" s="45">
        <v>646</v>
      </c>
      <c r="B650" s="2"/>
      <c r="C650" s="2"/>
      <c r="D650" s="2"/>
      <c r="E650" s="3"/>
      <c r="F650" s="3"/>
      <c r="G650" s="2"/>
      <c r="H650" s="2"/>
      <c r="I650" s="46"/>
      <c r="J650" s="12"/>
      <c r="K650" s="2"/>
      <c r="L650" s="59"/>
    </row>
    <row r="651" spans="1:12" x14ac:dyDescent="0.35">
      <c r="A651" s="45">
        <v>647</v>
      </c>
      <c r="B651" s="2"/>
      <c r="C651" s="2"/>
      <c r="D651" s="2"/>
      <c r="E651" s="3"/>
      <c r="F651" s="3"/>
      <c r="G651" s="2"/>
      <c r="H651" s="2"/>
      <c r="I651" s="46"/>
      <c r="J651" s="12"/>
      <c r="K651" s="2"/>
      <c r="L651" s="59"/>
    </row>
    <row r="652" spans="1:12" x14ac:dyDescent="0.35">
      <c r="A652" s="45">
        <v>648</v>
      </c>
      <c r="B652" s="2"/>
      <c r="C652" s="2"/>
      <c r="D652" s="2"/>
      <c r="E652" s="3"/>
      <c r="F652" s="3"/>
      <c r="G652" s="2"/>
      <c r="H652" s="2"/>
      <c r="I652" s="46"/>
      <c r="J652" s="12"/>
      <c r="K652" s="2"/>
      <c r="L652" s="59"/>
    </row>
    <row r="653" spans="1:12" x14ac:dyDescent="0.35">
      <c r="A653" s="45">
        <v>649</v>
      </c>
      <c r="B653" s="2"/>
      <c r="C653" s="2"/>
      <c r="D653" s="2"/>
      <c r="E653" s="3"/>
      <c r="F653" s="3"/>
      <c r="G653" s="2"/>
      <c r="H653" s="2"/>
      <c r="I653" s="46"/>
      <c r="J653" s="12"/>
      <c r="K653" s="2"/>
      <c r="L653" s="59"/>
    </row>
    <row r="654" spans="1:12" x14ac:dyDescent="0.35">
      <c r="A654" s="45">
        <v>650</v>
      </c>
      <c r="B654" s="2"/>
      <c r="C654" s="2"/>
      <c r="D654" s="2"/>
      <c r="E654" s="3"/>
      <c r="F654" s="3"/>
      <c r="G654" s="2"/>
      <c r="H654" s="2"/>
      <c r="I654" s="46"/>
      <c r="J654" s="12"/>
      <c r="K654" s="2"/>
      <c r="L654" s="59"/>
    </row>
    <row r="655" spans="1:12" x14ac:dyDescent="0.35">
      <c r="A655" s="45">
        <v>651</v>
      </c>
      <c r="B655" s="2"/>
      <c r="C655" s="2"/>
      <c r="D655" s="2"/>
      <c r="E655" s="3"/>
      <c r="F655" s="3"/>
      <c r="G655" s="2"/>
      <c r="H655" s="2"/>
      <c r="I655" s="46"/>
      <c r="J655" s="12"/>
      <c r="K655" s="2"/>
      <c r="L655" s="59"/>
    </row>
    <row r="656" spans="1:12" x14ac:dyDescent="0.35">
      <c r="A656" s="45">
        <v>652</v>
      </c>
      <c r="B656" s="2"/>
      <c r="C656" s="2"/>
      <c r="D656" s="2"/>
      <c r="E656" s="3"/>
      <c r="F656" s="3"/>
      <c r="G656" s="2"/>
      <c r="H656" s="2"/>
      <c r="I656" s="46"/>
      <c r="J656" s="12"/>
      <c r="K656" s="2"/>
      <c r="L656" s="59"/>
    </row>
    <row r="657" spans="1:12" x14ac:dyDescent="0.35">
      <c r="A657" s="45">
        <v>653</v>
      </c>
      <c r="B657" s="2"/>
      <c r="C657" s="2"/>
      <c r="D657" s="2"/>
      <c r="E657" s="3"/>
      <c r="F657" s="3"/>
      <c r="G657" s="2"/>
      <c r="H657" s="2"/>
      <c r="I657" s="46"/>
      <c r="J657" s="12"/>
      <c r="K657" s="2"/>
      <c r="L657" s="59"/>
    </row>
    <row r="658" spans="1:12" x14ac:dyDescent="0.35">
      <c r="A658" s="45">
        <v>654</v>
      </c>
      <c r="B658" s="2"/>
      <c r="C658" s="2"/>
      <c r="D658" s="2"/>
      <c r="E658" s="3"/>
      <c r="F658" s="3"/>
      <c r="G658" s="2"/>
      <c r="H658" s="2"/>
      <c r="I658" s="46"/>
      <c r="J658" s="12"/>
      <c r="K658" s="2"/>
      <c r="L658" s="59"/>
    </row>
    <row r="659" spans="1:12" x14ac:dyDescent="0.35">
      <c r="A659" s="45">
        <v>655</v>
      </c>
      <c r="B659" s="2"/>
      <c r="C659" s="2"/>
      <c r="D659" s="2"/>
      <c r="E659" s="3"/>
      <c r="F659" s="3"/>
      <c r="G659" s="2"/>
      <c r="H659" s="2"/>
      <c r="I659" s="46"/>
      <c r="J659" s="12"/>
      <c r="K659" s="2"/>
      <c r="L659" s="59"/>
    </row>
    <row r="660" spans="1:12" x14ac:dyDescent="0.35">
      <c r="A660" s="45">
        <v>656</v>
      </c>
      <c r="B660" s="2"/>
      <c r="C660" s="2"/>
      <c r="D660" s="2"/>
      <c r="E660" s="3"/>
      <c r="F660" s="3"/>
      <c r="G660" s="2"/>
      <c r="H660" s="2"/>
      <c r="I660" s="46"/>
      <c r="J660" s="12"/>
      <c r="K660" s="2"/>
      <c r="L660" s="59"/>
    </row>
    <row r="661" spans="1:12" x14ac:dyDescent="0.35">
      <c r="A661" s="45">
        <v>657</v>
      </c>
      <c r="B661" s="2"/>
      <c r="C661" s="2"/>
      <c r="D661" s="2"/>
      <c r="E661" s="3"/>
      <c r="F661" s="3"/>
      <c r="G661" s="2"/>
      <c r="H661" s="2"/>
      <c r="I661" s="46"/>
      <c r="J661" s="12"/>
      <c r="K661" s="2"/>
      <c r="L661" s="59"/>
    </row>
    <row r="662" spans="1:12" x14ac:dyDescent="0.35">
      <c r="A662" s="45">
        <v>658</v>
      </c>
      <c r="B662" s="2"/>
      <c r="C662" s="2"/>
      <c r="D662" s="2"/>
      <c r="E662" s="3"/>
      <c r="F662" s="3"/>
      <c r="G662" s="2"/>
      <c r="H662" s="2"/>
      <c r="I662" s="46"/>
      <c r="J662" s="12"/>
      <c r="K662" s="2"/>
      <c r="L662" s="59"/>
    </row>
    <row r="663" spans="1:12" x14ac:dyDescent="0.35">
      <c r="A663" s="45">
        <v>659</v>
      </c>
      <c r="B663" s="2"/>
      <c r="C663" s="2"/>
      <c r="D663" s="2"/>
      <c r="E663" s="3"/>
      <c r="F663" s="3"/>
      <c r="G663" s="2"/>
      <c r="H663" s="2"/>
      <c r="I663" s="46"/>
      <c r="J663" s="12"/>
      <c r="K663" s="2"/>
      <c r="L663" s="59"/>
    </row>
    <row r="664" spans="1:12" x14ac:dyDescent="0.35">
      <c r="A664" s="45">
        <v>660</v>
      </c>
      <c r="B664" s="2"/>
      <c r="C664" s="2"/>
      <c r="D664" s="2"/>
      <c r="E664" s="3"/>
      <c r="F664" s="3"/>
      <c r="G664" s="2"/>
      <c r="H664" s="2"/>
      <c r="I664" s="46"/>
      <c r="J664" s="12"/>
      <c r="K664" s="2"/>
      <c r="L664" s="59"/>
    </row>
    <row r="665" spans="1:12" x14ac:dyDescent="0.35">
      <c r="A665" s="45">
        <v>661</v>
      </c>
      <c r="B665" s="2"/>
      <c r="C665" s="2"/>
      <c r="D665" s="2"/>
      <c r="E665" s="3"/>
      <c r="F665" s="3"/>
      <c r="G665" s="2"/>
      <c r="H665" s="2"/>
      <c r="I665" s="46"/>
      <c r="J665" s="12"/>
      <c r="K665" s="2"/>
      <c r="L665" s="59"/>
    </row>
    <row r="666" spans="1:12" x14ac:dyDescent="0.35">
      <c r="A666" s="45">
        <v>662</v>
      </c>
      <c r="B666" s="2"/>
      <c r="C666" s="2"/>
      <c r="D666" s="2"/>
      <c r="E666" s="3"/>
      <c r="F666" s="3"/>
      <c r="G666" s="2"/>
      <c r="H666" s="2"/>
      <c r="I666" s="46"/>
      <c r="J666" s="12"/>
      <c r="K666" s="2"/>
      <c r="L666" s="59"/>
    </row>
    <row r="667" spans="1:12" x14ac:dyDescent="0.35">
      <c r="A667" s="45">
        <v>663</v>
      </c>
      <c r="B667" s="2"/>
      <c r="C667" s="2"/>
      <c r="D667" s="2"/>
      <c r="E667" s="3"/>
      <c r="F667" s="3"/>
      <c r="G667" s="2"/>
      <c r="H667" s="2"/>
      <c r="I667" s="46"/>
      <c r="J667" s="12"/>
      <c r="K667" s="2"/>
      <c r="L667" s="59"/>
    </row>
    <row r="668" spans="1:12" x14ac:dyDescent="0.35">
      <c r="A668" s="45">
        <v>664</v>
      </c>
      <c r="B668" s="2"/>
      <c r="C668" s="2"/>
      <c r="D668" s="2"/>
      <c r="E668" s="3"/>
      <c r="F668" s="3"/>
      <c r="G668" s="2"/>
      <c r="H668" s="2"/>
      <c r="I668" s="46"/>
      <c r="J668" s="12"/>
      <c r="K668" s="2"/>
      <c r="L668" s="59"/>
    </row>
    <row r="669" spans="1:12" x14ac:dyDescent="0.35">
      <c r="A669" s="45">
        <v>665</v>
      </c>
      <c r="B669" s="2"/>
      <c r="C669" s="2"/>
      <c r="D669" s="2"/>
      <c r="E669" s="3"/>
      <c r="F669" s="3"/>
      <c r="G669" s="2"/>
      <c r="H669" s="2"/>
      <c r="I669" s="46"/>
      <c r="J669" s="12"/>
      <c r="K669" s="2"/>
      <c r="L669" s="59"/>
    </row>
    <row r="670" spans="1:12" x14ac:dyDescent="0.35">
      <c r="A670" s="45">
        <v>666</v>
      </c>
      <c r="B670" s="2"/>
      <c r="C670" s="2"/>
      <c r="D670" s="2"/>
      <c r="E670" s="3"/>
      <c r="F670" s="3"/>
      <c r="G670" s="2"/>
      <c r="H670" s="2"/>
      <c r="I670" s="46"/>
      <c r="J670" s="12"/>
      <c r="K670" s="2"/>
      <c r="L670" s="59"/>
    </row>
    <row r="671" spans="1:12" x14ac:dyDescent="0.35">
      <c r="A671" s="45">
        <v>667</v>
      </c>
      <c r="B671" s="2"/>
      <c r="C671" s="2"/>
      <c r="D671" s="2"/>
      <c r="E671" s="3"/>
      <c r="F671" s="3"/>
      <c r="G671" s="2"/>
      <c r="H671" s="2"/>
      <c r="I671" s="46"/>
      <c r="J671" s="12"/>
      <c r="K671" s="2"/>
      <c r="L671" s="59"/>
    </row>
    <row r="672" spans="1:12" x14ac:dyDescent="0.35">
      <c r="A672" s="45">
        <v>668</v>
      </c>
      <c r="B672" s="2"/>
      <c r="C672" s="2"/>
      <c r="D672" s="2"/>
      <c r="E672" s="3"/>
      <c r="F672" s="3"/>
      <c r="G672" s="2"/>
      <c r="H672" s="2"/>
      <c r="I672" s="46"/>
      <c r="J672" s="12"/>
      <c r="K672" s="2"/>
      <c r="L672" s="59"/>
    </row>
    <row r="673" spans="1:12" x14ac:dyDescent="0.35">
      <c r="A673" s="45">
        <v>669</v>
      </c>
      <c r="B673" s="2"/>
      <c r="C673" s="2"/>
      <c r="D673" s="2"/>
      <c r="E673" s="3"/>
      <c r="F673" s="3"/>
      <c r="G673" s="2"/>
      <c r="H673" s="2"/>
      <c r="I673" s="46"/>
      <c r="J673" s="12"/>
      <c r="K673" s="2"/>
      <c r="L673" s="59"/>
    </row>
    <row r="674" spans="1:12" x14ac:dyDescent="0.35">
      <c r="A674" s="45">
        <v>670</v>
      </c>
      <c r="B674" s="2"/>
      <c r="C674" s="2"/>
      <c r="D674" s="2"/>
      <c r="E674" s="3"/>
      <c r="F674" s="3"/>
      <c r="G674" s="2"/>
      <c r="H674" s="2"/>
      <c r="I674" s="46"/>
      <c r="J674" s="12"/>
      <c r="K674" s="2"/>
      <c r="L674" s="59"/>
    </row>
    <row r="675" spans="1:12" x14ac:dyDescent="0.35">
      <c r="A675" s="45">
        <v>671</v>
      </c>
      <c r="B675" s="2"/>
      <c r="C675" s="2"/>
      <c r="D675" s="2"/>
      <c r="E675" s="3"/>
      <c r="F675" s="3"/>
      <c r="G675" s="2"/>
      <c r="H675" s="2"/>
      <c r="I675" s="46"/>
      <c r="J675" s="12"/>
      <c r="K675" s="2"/>
      <c r="L675" s="59"/>
    </row>
    <row r="676" spans="1:12" x14ac:dyDescent="0.35">
      <c r="A676" s="45">
        <v>672</v>
      </c>
      <c r="B676" s="2"/>
      <c r="C676" s="2"/>
      <c r="D676" s="2"/>
      <c r="E676" s="3"/>
      <c r="F676" s="3"/>
      <c r="G676" s="2"/>
      <c r="H676" s="2"/>
      <c r="I676" s="46"/>
      <c r="J676" s="12"/>
      <c r="K676" s="2"/>
      <c r="L676" s="59"/>
    </row>
    <row r="677" spans="1:12" x14ac:dyDescent="0.35">
      <c r="A677" s="45">
        <v>673</v>
      </c>
      <c r="B677" s="2"/>
      <c r="C677" s="2"/>
      <c r="D677" s="2"/>
      <c r="E677" s="3"/>
      <c r="F677" s="3"/>
      <c r="G677" s="2"/>
      <c r="H677" s="2"/>
      <c r="I677" s="46"/>
      <c r="J677" s="12"/>
      <c r="K677" s="2"/>
      <c r="L677" s="59"/>
    </row>
    <row r="678" spans="1:12" x14ac:dyDescent="0.35">
      <c r="A678" s="45">
        <v>674</v>
      </c>
      <c r="B678" s="2"/>
      <c r="C678" s="2"/>
      <c r="D678" s="2"/>
      <c r="E678" s="3"/>
      <c r="F678" s="3"/>
      <c r="G678" s="2"/>
      <c r="H678" s="2"/>
      <c r="I678" s="46"/>
      <c r="J678" s="12"/>
      <c r="K678" s="2"/>
      <c r="L678" s="59"/>
    </row>
    <row r="679" spans="1:12" x14ac:dyDescent="0.35">
      <c r="A679" s="45">
        <v>675</v>
      </c>
      <c r="B679" s="2"/>
      <c r="C679" s="2"/>
      <c r="D679" s="2"/>
      <c r="E679" s="3"/>
      <c r="F679" s="3"/>
      <c r="G679" s="2"/>
      <c r="H679" s="2"/>
      <c r="I679" s="46"/>
      <c r="J679" s="12"/>
      <c r="K679" s="2"/>
      <c r="L679" s="59"/>
    </row>
    <row r="680" spans="1:12" x14ac:dyDescent="0.35">
      <c r="A680" s="45">
        <v>676</v>
      </c>
      <c r="B680" s="2"/>
      <c r="C680" s="2"/>
      <c r="D680" s="2"/>
      <c r="E680" s="3"/>
      <c r="F680" s="3"/>
      <c r="G680" s="2"/>
      <c r="H680" s="2"/>
      <c r="I680" s="46"/>
      <c r="J680" s="12"/>
      <c r="K680" s="2"/>
      <c r="L680" s="59"/>
    </row>
    <row r="681" spans="1:12" x14ac:dyDescent="0.35">
      <c r="A681" s="45">
        <v>677</v>
      </c>
      <c r="B681" s="2"/>
      <c r="C681" s="2"/>
      <c r="D681" s="2"/>
      <c r="E681" s="3"/>
      <c r="F681" s="3"/>
      <c r="G681" s="2"/>
      <c r="H681" s="2"/>
      <c r="I681" s="46"/>
      <c r="J681" s="12"/>
      <c r="K681" s="2"/>
      <c r="L681" s="59"/>
    </row>
    <row r="682" spans="1:12" x14ac:dyDescent="0.35">
      <c r="A682" s="45">
        <v>678</v>
      </c>
      <c r="B682" s="2"/>
      <c r="C682" s="2"/>
      <c r="D682" s="2"/>
      <c r="E682" s="3"/>
      <c r="F682" s="3"/>
      <c r="G682" s="2"/>
      <c r="H682" s="2"/>
      <c r="I682" s="46"/>
      <c r="J682" s="12"/>
      <c r="K682" s="2"/>
      <c r="L682" s="59"/>
    </row>
    <row r="683" spans="1:12" x14ac:dyDescent="0.35">
      <c r="A683" s="45">
        <v>679</v>
      </c>
      <c r="B683" s="2"/>
      <c r="C683" s="2"/>
      <c r="D683" s="2"/>
      <c r="E683" s="3"/>
      <c r="F683" s="3"/>
      <c r="G683" s="2"/>
      <c r="H683" s="2"/>
      <c r="I683" s="46"/>
      <c r="J683" s="12"/>
      <c r="K683" s="2"/>
      <c r="L683" s="59"/>
    </row>
    <row r="684" spans="1:12" x14ac:dyDescent="0.35">
      <c r="A684" s="45">
        <v>680</v>
      </c>
      <c r="B684" s="2"/>
      <c r="C684" s="2"/>
      <c r="D684" s="2"/>
      <c r="E684" s="3"/>
      <c r="F684" s="3"/>
      <c r="G684" s="2"/>
      <c r="H684" s="2"/>
      <c r="I684" s="46"/>
      <c r="J684" s="12"/>
      <c r="K684" s="2"/>
      <c r="L684" s="59"/>
    </row>
    <row r="685" spans="1:12" x14ac:dyDescent="0.35">
      <c r="A685" s="45">
        <v>681</v>
      </c>
      <c r="B685" s="2"/>
      <c r="C685" s="2"/>
      <c r="D685" s="2"/>
      <c r="E685" s="3"/>
      <c r="F685" s="3"/>
      <c r="G685" s="2"/>
      <c r="H685" s="2"/>
      <c r="I685" s="46"/>
      <c r="J685" s="12"/>
      <c r="K685" s="2"/>
      <c r="L685" s="59"/>
    </row>
    <row r="686" spans="1:12" x14ac:dyDescent="0.35">
      <c r="A686" s="45">
        <v>682</v>
      </c>
      <c r="B686" s="2"/>
      <c r="C686" s="2"/>
      <c r="D686" s="2"/>
      <c r="E686" s="3"/>
      <c r="F686" s="3"/>
      <c r="G686" s="2"/>
      <c r="H686" s="2"/>
      <c r="I686" s="46"/>
      <c r="J686" s="12"/>
      <c r="K686" s="2"/>
      <c r="L686" s="59"/>
    </row>
    <row r="687" spans="1:12" x14ac:dyDescent="0.35">
      <c r="A687" s="45">
        <v>683</v>
      </c>
      <c r="B687" s="2"/>
      <c r="C687" s="2"/>
      <c r="D687" s="2"/>
      <c r="E687" s="3"/>
      <c r="F687" s="3"/>
      <c r="G687" s="2"/>
      <c r="H687" s="2"/>
      <c r="I687" s="46"/>
      <c r="J687" s="12"/>
      <c r="K687" s="2"/>
      <c r="L687" s="59"/>
    </row>
    <row r="688" spans="1:12" x14ac:dyDescent="0.35">
      <c r="A688" s="45">
        <v>684</v>
      </c>
      <c r="B688" s="2"/>
      <c r="C688" s="2"/>
      <c r="D688" s="2"/>
      <c r="E688" s="3"/>
      <c r="F688" s="3"/>
      <c r="G688" s="2"/>
      <c r="H688" s="2"/>
      <c r="I688" s="46"/>
      <c r="J688" s="12"/>
      <c r="K688" s="2"/>
      <c r="L688" s="59"/>
    </row>
    <row r="689" spans="1:12" x14ac:dyDescent="0.35">
      <c r="A689" s="45">
        <v>685</v>
      </c>
      <c r="B689" s="2"/>
      <c r="C689" s="2"/>
      <c r="D689" s="2"/>
      <c r="E689" s="3"/>
      <c r="F689" s="3"/>
      <c r="G689" s="2"/>
      <c r="H689" s="2"/>
      <c r="I689" s="46"/>
      <c r="J689" s="12"/>
      <c r="K689" s="2"/>
      <c r="L689" s="59"/>
    </row>
    <row r="690" spans="1:12" x14ac:dyDescent="0.35">
      <c r="A690" s="45">
        <v>686</v>
      </c>
      <c r="B690" s="2"/>
      <c r="C690" s="2"/>
      <c r="D690" s="2"/>
      <c r="E690" s="3"/>
      <c r="F690" s="3"/>
      <c r="G690" s="2"/>
      <c r="H690" s="2"/>
      <c r="I690" s="46"/>
      <c r="J690" s="12"/>
      <c r="K690" s="2"/>
      <c r="L690" s="59"/>
    </row>
    <row r="691" spans="1:12" x14ac:dyDescent="0.35">
      <c r="A691" s="45">
        <v>687</v>
      </c>
      <c r="B691" s="2"/>
      <c r="C691" s="2"/>
      <c r="D691" s="2"/>
      <c r="E691" s="3"/>
      <c r="F691" s="3"/>
      <c r="G691" s="2"/>
      <c r="H691" s="2"/>
      <c r="I691" s="46"/>
      <c r="J691" s="12"/>
      <c r="K691" s="2"/>
      <c r="L691" s="59"/>
    </row>
    <row r="692" spans="1:12" x14ac:dyDescent="0.35">
      <c r="A692" s="45">
        <v>688</v>
      </c>
      <c r="B692" s="2"/>
      <c r="C692" s="2"/>
      <c r="D692" s="2"/>
      <c r="E692" s="3"/>
      <c r="F692" s="3"/>
      <c r="G692" s="2"/>
      <c r="H692" s="2"/>
      <c r="I692" s="46"/>
      <c r="J692" s="12"/>
      <c r="K692" s="2"/>
      <c r="L692" s="59"/>
    </row>
    <row r="693" spans="1:12" x14ac:dyDescent="0.35">
      <c r="A693" s="45">
        <v>689</v>
      </c>
      <c r="B693" s="2"/>
      <c r="C693" s="2"/>
      <c r="D693" s="2"/>
      <c r="E693" s="3"/>
      <c r="F693" s="3"/>
      <c r="G693" s="2"/>
      <c r="H693" s="2"/>
      <c r="I693" s="46"/>
      <c r="J693" s="12"/>
      <c r="K693" s="2"/>
      <c r="L693" s="59"/>
    </row>
    <row r="694" spans="1:12" x14ac:dyDescent="0.35">
      <c r="A694" s="45">
        <v>690</v>
      </c>
      <c r="B694" s="2"/>
      <c r="C694" s="2"/>
      <c r="D694" s="2"/>
      <c r="E694" s="3"/>
      <c r="F694" s="3"/>
      <c r="G694" s="2"/>
      <c r="H694" s="2"/>
      <c r="I694" s="46"/>
      <c r="J694" s="12"/>
      <c r="K694" s="2"/>
      <c r="L694" s="59"/>
    </row>
    <row r="695" spans="1:12" x14ac:dyDescent="0.35">
      <c r="A695" s="45">
        <v>691</v>
      </c>
      <c r="B695" s="2"/>
      <c r="C695" s="2"/>
      <c r="D695" s="2"/>
      <c r="E695" s="3"/>
      <c r="F695" s="3"/>
      <c r="G695" s="2"/>
      <c r="H695" s="2"/>
      <c r="I695" s="46"/>
      <c r="J695" s="12"/>
      <c r="K695" s="2"/>
      <c r="L695" s="59"/>
    </row>
    <row r="696" spans="1:12" x14ac:dyDescent="0.35">
      <c r="A696" s="45">
        <v>692</v>
      </c>
      <c r="B696" s="2"/>
      <c r="C696" s="2"/>
      <c r="D696" s="2"/>
      <c r="E696" s="3"/>
      <c r="F696" s="3"/>
      <c r="G696" s="2"/>
      <c r="H696" s="2"/>
      <c r="I696" s="46"/>
      <c r="J696" s="12"/>
      <c r="K696" s="2"/>
      <c r="L696" s="59"/>
    </row>
    <row r="697" spans="1:12" x14ac:dyDescent="0.35">
      <c r="A697" s="45">
        <v>693</v>
      </c>
      <c r="B697" s="2"/>
      <c r="C697" s="2"/>
      <c r="D697" s="2"/>
      <c r="E697" s="3"/>
      <c r="F697" s="3"/>
      <c r="G697" s="2"/>
      <c r="H697" s="2"/>
      <c r="I697" s="46"/>
      <c r="J697" s="12"/>
      <c r="K697" s="2"/>
      <c r="L697" s="59"/>
    </row>
    <row r="698" spans="1:12" x14ac:dyDescent="0.35">
      <c r="A698" s="45">
        <v>694</v>
      </c>
      <c r="B698" s="2"/>
      <c r="C698" s="2"/>
      <c r="D698" s="2"/>
      <c r="E698" s="3"/>
      <c r="F698" s="3"/>
      <c r="G698" s="2"/>
      <c r="H698" s="2"/>
      <c r="I698" s="46"/>
      <c r="J698" s="12"/>
      <c r="K698" s="2"/>
      <c r="L698" s="59"/>
    </row>
    <row r="699" spans="1:12" x14ac:dyDescent="0.35">
      <c r="A699" s="45">
        <v>695</v>
      </c>
      <c r="B699" s="2"/>
      <c r="C699" s="2"/>
      <c r="D699" s="2"/>
      <c r="E699" s="3"/>
      <c r="F699" s="3"/>
      <c r="G699" s="2"/>
      <c r="H699" s="2"/>
      <c r="I699" s="46"/>
      <c r="J699" s="12"/>
      <c r="K699" s="2"/>
      <c r="L699" s="59"/>
    </row>
    <row r="700" spans="1:12" x14ac:dyDescent="0.35">
      <c r="A700" s="45">
        <v>696</v>
      </c>
      <c r="B700" s="2"/>
      <c r="C700" s="2"/>
      <c r="D700" s="2"/>
      <c r="E700" s="3"/>
      <c r="F700" s="3"/>
      <c r="G700" s="2"/>
      <c r="H700" s="2"/>
      <c r="I700" s="46"/>
      <c r="J700" s="12"/>
      <c r="K700" s="2"/>
      <c r="L700" s="59"/>
    </row>
    <row r="701" spans="1:12" x14ac:dyDescent="0.35">
      <c r="A701" s="45">
        <v>697</v>
      </c>
      <c r="B701" s="2"/>
      <c r="C701" s="2"/>
      <c r="D701" s="2"/>
      <c r="E701" s="3"/>
      <c r="F701" s="3"/>
      <c r="G701" s="2"/>
      <c r="H701" s="2"/>
      <c r="I701" s="46"/>
      <c r="J701" s="12"/>
      <c r="K701" s="2"/>
      <c r="L701" s="59"/>
    </row>
    <row r="702" spans="1:12" x14ac:dyDescent="0.35">
      <c r="A702" s="45">
        <v>698</v>
      </c>
      <c r="B702" s="2"/>
      <c r="C702" s="2"/>
      <c r="D702" s="2"/>
      <c r="E702" s="3"/>
      <c r="F702" s="3"/>
      <c r="G702" s="2"/>
      <c r="H702" s="2"/>
      <c r="I702" s="46"/>
      <c r="J702" s="12"/>
      <c r="K702" s="2"/>
      <c r="L702" s="59"/>
    </row>
    <row r="703" spans="1:12" x14ac:dyDescent="0.35">
      <c r="A703" s="45">
        <v>699</v>
      </c>
      <c r="B703" s="2"/>
      <c r="C703" s="2"/>
      <c r="D703" s="2"/>
      <c r="E703" s="3"/>
      <c r="F703" s="3"/>
      <c r="G703" s="2"/>
      <c r="H703" s="2"/>
      <c r="I703" s="46"/>
      <c r="J703" s="12"/>
      <c r="K703" s="2"/>
      <c r="L703" s="59"/>
    </row>
    <row r="704" spans="1:12" x14ac:dyDescent="0.35">
      <c r="A704" s="45">
        <v>700</v>
      </c>
      <c r="B704" s="2"/>
      <c r="C704" s="2"/>
      <c r="D704" s="2"/>
      <c r="E704" s="3"/>
      <c r="F704" s="3"/>
      <c r="G704" s="2"/>
      <c r="H704" s="2"/>
      <c r="I704" s="46"/>
      <c r="J704" s="12"/>
      <c r="K704" s="2"/>
      <c r="L704" s="59"/>
    </row>
    <row r="705" spans="1:12" x14ac:dyDescent="0.35">
      <c r="A705" s="45">
        <v>701</v>
      </c>
      <c r="B705" s="2"/>
      <c r="C705" s="2"/>
      <c r="D705" s="2"/>
      <c r="E705" s="3"/>
      <c r="F705" s="3"/>
      <c r="G705" s="2"/>
      <c r="H705" s="2"/>
      <c r="I705" s="46"/>
      <c r="J705" s="12"/>
      <c r="K705" s="2"/>
      <c r="L705" s="59"/>
    </row>
    <row r="706" spans="1:12" x14ac:dyDescent="0.35">
      <c r="A706" s="45">
        <v>702</v>
      </c>
      <c r="B706" s="2"/>
      <c r="C706" s="2"/>
      <c r="D706" s="2"/>
      <c r="E706" s="3"/>
      <c r="F706" s="3"/>
      <c r="G706" s="2"/>
      <c r="H706" s="2"/>
      <c r="I706" s="46"/>
      <c r="J706" s="12"/>
      <c r="K706" s="2"/>
      <c r="L706" s="59"/>
    </row>
    <row r="707" spans="1:12" x14ac:dyDescent="0.35">
      <c r="A707" s="45">
        <v>703</v>
      </c>
      <c r="B707" s="2"/>
      <c r="C707" s="2"/>
      <c r="D707" s="2"/>
      <c r="E707" s="3"/>
      <c r="F707" s="3"/>
      <c r="G707" s="2"/>
      <c r="H707" s="2"/>
      <c r="I707" s="46"/>
      <c r="J707" s="12"/>
      <c r="K707" s="2"/>
      <c r="L707" s="59"/>
    </row>
    <row r="708" spans="1:12" x14ac:dyDescent="0.35">
      <c r="A708" s="45">
        <v>704</v>
      </c>
      <c r="B708" s="2"/>
      <c r="C708" s="2"/>
      <c r="D708" s="2"/>
      <c r="E708" s="3"/>
      <c r="F708" s="3"/>
      <c r="G708" s="2"/>
      <c r="H708" s="2"/>
      <c r="I708" s="46"/>
      <c r="J708" s="12"/>
      <c r="K708" s="2"/>
      <c r="L708" s="59"/>
    </row>
    <row r="709" spans="1:12" x14ac:dyDescent="0.35">
      <c r="A709" s="45">
        <v>705</v>
      </c>
      <c r="B709" s="2"/>
      <c r="C709" s="2"/>
      <c r="D709" s="2"/>
      <c r="E709" s="3"/>
      <c r="F709" s="3"/>
      <c r="G709" s="2"/>
      <c r="H709" s="2"/>
      <c r="I709" s="46"/>
      <c r="J709" s="12"/>
      <c r="K709" s="2"/>
      <c r="L709" s="59"/>
    </row>
    <row r="710" spans="1:12" x14ac:dyDescent="0.35">
      <c r="A710" s="45">
        <v>706</v>
      </c>
      <c r="B710" s="2"/>
      <c r="C710" s="2"/>
      <c r="D710" s="2"/>
      <c r="E710" s="3"/>
      <c r="F710" s="3"/>
      <c r="G710" s="2"/>
      <c r="H710" s="2"/>
      <c r="I710" s="46"/>
      <c r="J710" s="12"/>
      <c r="K710" s="2"/>
      <c r="L710" s="59"/>
    </row>
    <row r="711" spans="1:12" x14ac:dyDescent="0.35">
      <c r="A711" s="45">
        <v>707</v>
      </c>
      <c r="B711" s="2"/>
      <c r="C711" s="2"/>
      <c r="D711" s="2"/>
      <c r="E711" s="3"/>
      <c r="F711" s="3"/>
      <c r="G711" s="2"/>
      <c r="H711" s="2"/>
      <c r="I711" s="46"/>
      <c r="J711" s="12"/>
      <c r="K711" s="2"/>
      <c r="L711" s="59"/>
    </row>
    <row r="712" spans="1:12" x14ac:dyDescent="0.35">
      <c r="A712" s="45">
        <v>708</v>
      </c>
      <c r="B712" s="2"/>
      <c r="C712" s="2"/>
      <c r="D712" s="2"/>
      <c r="E712" s="3"/>
      <c r="F712" s="3"/>
      <c r="G712" s="2"/>
      <c r="H712" s="2"/>
      <c r="I712" s="46"/>
      <c r="J712" s="12"/>
      <c r="K712" s="2"/>
      <c r="L712" s="59"/>
    </row>
    <row r="713" spans="1:12" x14ac:dyDescent="0.35">
      <c r="A713" s="45">
        <v>709</v>
      </c>
      <c r="B713" s="2"/>
      <c r="C713" s="2"/>
      <c r="D713" s="2"/>
      <c r="E713" s="3"/>
      <c r="F713" s="3"/>
      <c r="G713" s="2"/>
      <c r="H713" s="2"/>
      <c r="I713" s="46"/>
      <c r="J713" s="12"/>
      <c r="K713" s="2"/>
      <c r="L713" s="59"/>
    </row>
    <row r="714" spans="1:12" x14ac:dyDescent="0.35">
      <c r="A714" s="45">
        <v>710</v>
      </c>
      <c r="B714" s="2"/>
      <c r="C714" s="2"/>
      <c r="D714" s="2"/>
      <c r="E714" s="3"/>
      <c r="F714" s="3"/>
      <c r="G714" s="2"/>
      <c r="H714" s="2"/>
      <c r="I714" s="46"/>
      <c r="J714" s="12"/>
      <c r="K714" s="2"/>
      <c r="L714" s="59"/>
    </row>
    <row r="715" spans="1:12" x14ac:dyDescent="0.35">
      <c r="A715" s="45">
        <v>711</v>
      </c>
      <c r="B715" s="2"/>
      <c r="C715" s="2"/>
      <c r="D715" s="2"/>
      <c r="E715" s="3"/>
      <c r="F715" s="3"/>
      <c r="G715" s="2"/>
      <c r="H715" s="2"/>
      <c r="I715" s="46"/>
      <c r="J715" s="12"/>
      <c r="K715" s="2"/>
      <c r="L715" s="59"/>
    </row>
    <row r="716" spans="1:12" x14ac:dyDescent="0.35">
      <c r="A716" s="45">
        <v>712</v>
      </c>
      <c r="B716" s="2"/>
      <c r="C716" s="2"/>
      <c r="D716" s="2"/>
      <c r="E716" s="3"/>
      <c r="F716" s="3"/>
      <c r="G716" s="2"/>
      <c r="H716" s="2"/>
      <c r="I716" s="46"/>
      <c r="J716" s="12"/>
      <c r="K716" s="2"/>
      <c r="L716" s="59"/>
    </row>
    <row r="717" spans="1:12" x14ac:dyDescent="0.35">
      <c r="A717" s="45">
        <v>713</v>
      </c>
      <c r="B717" s="2"/>
      <c r="C717" s="2"/>
      <c r="D717" s="2"/>
      <c r="E717" s="3"/>
      <c r="F717" s="3"/>
      <c r="G717" s="2"/>
      <c r="H717" s="2"/>
      <c r="I717" s="46"/>
      <c r="J717" s="12"/>
      <c r="K717" s="2"/>
      <c r="L717" s="59"/>
    </row>
    <row r="718" spans="1:12" x14ac:dyDescent="0.35">
      <c r="A718" s="45">
        <v>714</v>
      </c>
      <c r="B718" s="2"/>
      <c r="C718" s="2"/>
      <c r="D718" s="2"/>
      <c r="E718" s="3"/>
      <c r="F718" s="3"/>
      <c r="G718" s="2"/>
      <c r="H718" s="2"/>
      <c r="I718" s="46"/>
      <c r="J718" s="12"/>
      <c r="K718" s="2"/>
      <c r="L718" s="59"/>
    </row>
    <row r="719" spans="1:12" x14ac:dyDescent="0.35">
      <c r="A719" s="45">
        <v>715</v>
      </c>
      <c r="B719" s="2"/>
      <c r="C719" s="2"/>
      <c r="D719" s="2"/>
      <c r="E719" s="3"/>
      <c r="F719" s="3"/>
      <c r="G719" s="2"/>
      <c r="H719" s="2"/>
      <c r="I719" s="46"/>
      <c r="J719" s="12"/>
      <c r="K719" s="2"/>
      <c r="L719" s="59"/>
    </row>
    <row r="720" spans="1:12" x14ac:dyDescent="0.35">
      <c r="A720" s="45">
        <v>716</v>
      </c>
      <c r="B720" s="2"/>
      <c r="C720" s="2"/>
      <c r="D720" s="2"/>
      <c r="E720" s="3"/>
      <c r="F720" s="3"/>
      <c r="G720" s="2"/>
      <c r="H720" s="2"/>
      <c r="I720" s="46"/>
      <c r="J720" s="12"/>
      <c r="K720" s="2"/>
      <c r="L720" s="59"/>
    </row>
    <row r="721" spans="1:12" x14ac:dyDescent="0.35">
      <c r="A721" s="45">
        <v>717</v>
      </c>
      <c r="B721" s="2"/>
      <c r="C721" s="2"/>
      <c r="D721" s="2"/>
      <c r="E721" s="3"/>
      <c r="F721" s="3"/>
      <c r="G721" s="2"/>
      <c r="H721" s="2"/>
      <c r="I721" s="46"/>
      <c r="J721" s="12"/>
      <c r="K721" s="2"/>
      <c r="L721" s="59"/>
    </row>
    <row r="722" spans="1:12" x14ac:dyDescent="0.35">
      <c r="A722" s="45">
        <v>718</v>
      </c>
      <c r="B722" s="2"/>
      <c r="C722" s="2"/>
      <c r="D722" s="2"/>
      <c r="E722" s="3"/>
      <c r="F722" s="3"/>
      <c r="G722" s="2"/>
      <c r="H722" s="2"/>
      <c r="I722" s="46"/>
      <c r="J722" s="12"/>
      <c r="K722" s="2"/>
      <c r="L722" s="59"/>
    </row>
    <row r="723" spans="1:12" x14ac:dyDescent="0.35">
      <c r="A723" s="45">
        <v>719</v>
      </c>
      <c r="B723" s="2"/>
      <c r="C723" s="2"/>
      <c r="D723" s="2"/>
      <c r="E723" s="3"/>
      <c r="F723" s="3"/>
      <c r="G723" s="2"/>
      <c r="H723" s="2"/>
      <c r="I723" s="46"/>
      <c r="J723" s="12"/>
      <c r="K723" s="2"/>
      <c r="L723" s="59"/>
    </row>
    <row r="724" spans="1:12" x14ac:dyDescent="0.35">
      <c r="A724" s="45">
        <v>720</v>
      </c>
      <c r="B724" s="2"/>
      <c r="C724" s="2"/>
      <c r="D724" s="2"/>
      <c r="E724" s="3"/>
      <c r="F724" s="3"/>
      <c r="G724" s="2"/>
      <c r="H724" s="2"/>
      <c r="I724" s="46"/>
      <c r="J724" s="12"/>
      <c r="K724" s="2"/>
      <c r="L724" s="59"/>
    </row>
    <row r="725" spans="1:12" x14ac:dyDescent="0.35">
      <c r="A725" s="45">
        <v>721</v>
      </c>
      <c r="B725" s="2"/>
      <c r="C725" s="2"/>
      <c r="D725" s="2"/>
      <c r="E725" s="3"/>
      <c r="F725" s="3"/>
      <c r="G725" s="2"/>
      <c r="H725" s="2"/>
      <c r="I725" s="46"/>
      <c r="J725" s="12"/>
      <c r="K725" s="2"/>
      <c r="L725" s="59"/>
    </row>
    <row r="726" spans="1:12" x14ac:dyDescent="0.35">
      <c r="A726" s="45">
        <v>722</v>
      </c>
      <c r="B726" s="2"/>
      <c r="C726" s="2"/>
      <c r="D726" s="2"/>
      <c r="E726" s="3"/>
      <c r="F726" s="3"/>
      <c r="G726" s="2"/>
      <c r="H726" s="2"/>
      <c r="I726" s="46"/>
      <c r="J726" s="12"/>
      <c r="K726" s="2"/>
      <c r="L726" s="59"/>
    </row>
    <row r="727" spans="1:12" x14ac:dyDescent="0.35">
      <c r="A727" s="45">
        <v>723</v>
      </c>
      <c r="B727" s="2"/>
      <c r="C727" s="2"/>
      <c r="D727" s="2"/>
      <c r="E727" s="3"/>
      <c r="F727" s="3"/>
      <c r="G727" s="2"/>
      <c r="H727" s="2"/>
      <c r="I727" s="46"/>
      <c r="J727" s="12"/>
      <c r="K727" s="2"/>
      <c r="L727" s="59"/>
    </row>
    <row r="728" spans="1:12" x14ac:dyDescent="0.35">
      <c r="A728" s="45">
        <v>724</v>
      </c>
      <c r="B728" s="2"/>
      <c r="C728" s="2"/>
      <c r="D728" s="2"/>
      <c r="E728" s="3"/>
      <c r="F728" s="3"/>
      <c r="G728" s="2"/>
      <c r="H728" s="2"/>
      <c r="I728" s="46"/>
      <c r="J728" s="12"/>
      <c r="K728" s="2"/>
      <c r="L728" s="59"/>
    </row>
    <row r="729" spans="1:12" x14ac:dyDescent="0.35">
      <c r="A729" s="45">
        <v>725</v>
      </c>
      <c r="B729" s="2"/>
      <c r="C729" s="2"/>
      <c r="D729" s="2"/>
      <c r="E729" s="3"/>
      <c r="F729" s="3"/>
      <c r="G729" s="2"/>
      <c r="H729" s="2"/>
      <c r="I729" s="46"/>
      <c r="J729" s="12"/>
      <c r="K729" s="2"/>
      <c r="L729" s="59"/>
    </row>
    <row r="730" spans="1:12" x14ac:dyDescent="0.35">
      <c r="A730" s="45">
        <v>726</v>
      </c>
      <c r="B730" s="2"/>
      <c r="C730" s="2"/>
      <c r="D730" s="2"/>
      <c r="E730" s="3"/>
      <c r="F730" s="3"/>
      <c r="G730" s="2"/>
      <c r="H730" s="2"/>
      <c r="I730" s="46"/>
      <c r="J730" s="12"/>
      <c r="K730" s="2"/>
      <c r="L730" s="59"/>
    </row>
    <row r="731" spans="1:12" x14ac:dyDescent="0.35">
      <c r="A731" s="45">
        <v>727</v>
      </c>
      <c r="B731" s="2"/>
      <c r="C731" s="2"/>
      <c r="D731" s="2"/>
      <c r="E731" s="3"/>
      <c r="F731" s="3"/>
      <c r="G731" s="2"/>
      <c r="H731" s="2"/>
      <c r="I731" s="46"/>
      <c r="J731" s="12"/>
      <c r="K731" s="2"/>
      <c r="L731" s="59"/>
    </row>
    <row r="732" spans="1:12" x14ac:dyDescent="0.35">
      <c r="A732" s="45">
        <v>728</v>
      </c>
      <c r="B732" s="2"/>
      <c r="C732" s="2"/>
      <c r="D732" s="2"/>
      <c r="E732" s="3"/>
      <c r="F732" s="3"/>
      <c r="G732" s="2"/>
      <c r="H732" s="2"/>
      <c r="I732" s="46"/>
      <c r="J732" s="12"/>
      <c r="K732" s="2"/>
      <c r="L732" s="59"/>
    </row>
    <row r="733" spans="1:12" x14ac:dyDescent="0.35">
      <c r="A733" s="45">
        <v>729</v>
      </c>
      <c r="B733" s="2"/>
      <c r="C733" s="2"/>
      <c r="D733" s="2"/>
      <c r="E733" s="3"/>
      <c r="F733" s="3"/>
      <c r="G733" s="2"/>
      <c r="H733" s="2"/>
      <c r="I733" s="46"/>
      <c r="J733" s="12"/>
      <c r="K733" s="2"/>
      <c r="L733" s="59"/>
    </row>
    <row r="734" spans="1:12" x14ac:dyDescent="0.35">
      <c r="A734" s="45">
        <v>730</v>
      </c>
      <c r="B734" s="2"/>
      <c r="C734" s="2"/>
      <c r="D734" s="2"/>
      <c r="E734" s="3"/>
      <c r="F734" s="3"/>
      <c r="G734" s="2"/>
      <c r="H734" s="2"/>
      <c r="I734" s="46"/>
      <c r="J734" s="12"/>
      <c r="K734" s="2"/>
      <c r="L734" s="59"/>
    </row>
    <row r="735" spans="1:12" x14ac:dyDescent="0.35">
      <c r="A735" s="45">
        <v>731</v>
      </c>
      <c r="B735" s="2"/>
      <c r="C735" s="2"/>
      <c r="D735" s="2"/>
      <c r="E735" s="3"/>
      <c r="F735" s="3"/>
      <c r="G735" s="2"/>
      <c r="H735" s="2"/>
      <c r="I735" s="46"/>
      <c r="J735" s="12"/>
      <c r="K735" s="2"/>
      <c r="L735" s="59"/>
    </row>
    <row r="736" spans="1:12" x14ac:dyDescent="0.35">
      <c r="A736" s="45">
        <v>732</v>
      </c>
      <c r="B736" s="2"/>
      <c r="C736" s="2"/>
      <c r="D736" s="2"/>
      <c r="E736" s="3"/>
      <c r="F736" s="3"/>
      <c r="G736" s="2"/>
      <c r="H736" s="2"/>
      <c r="I736" s="46"/>
      <c r="J736" s="12"/>
      <c r="K736" s="2"/>
      <c r="L736" s="59"/>
    </row>
    <row r="737" spans="1:12" x14ac:dyDescent="0.35">
      <c r="A737" s="45">
        <v>733</v>
      </c>
      <c r="B737" s="2"/>
      <c r="C737" s="2"/>
      <c r="D737" s="2"/>
      <c r="E737" s="3"/>
      <c r="F737" s="3"/>
      <c r="G737" s="2"/>
      <c r="H737" s="2"/>
      <c r="I737" s="46"/>
      <c r="J737" s="12"/>
      <c r="K737" s="2"/>
      <c r="L737" s="59"/>
    </row>
    <row r="738" spans="1:12" x14ac:dyDescent="0.35">
      <c r="A738" s="45">
        <v>734</v>
      </c>
      <c r="B738" s="2"/>
      <c r="C738" s="2"/>
      <c r="D738" s="2"/>
      <c r="E738" s="3"/>
      <c r="F738" s="3"/>
      <c r="G738" s="2"/>
      <c r="H738" s="2"/>
      <c r="I738" s="46"/>
      <c r="J738" s="12"/>
      <c r="K738" s="2"/>
      <c r="L738" s="59"/>
    </row>
    <row r="739" spans="1:12" x14ac:dyDescent="0.35">
      <c r="A739" s="45">
        <v>735</v>
      </c>
      <c r="B739" s="2"/>
      <c r="C739" s="2"/>
      <c r="D739" s="2"/>
      <c r="E739" s="3"/>
      <c r="F739" s="3"/>
      <c r="G739" s="2"/>
      <c r="H739" s="2"/>
      <c r="I739" s="46"/>
      <c r="J739" s="12"/>
      <c r="K739" s="2"/>
      <c r="L739" s="59"/>
    </row>
    <row r="740" spans="1:12" x14ac:dyDescent="0.35">
      <c r="A740" s="45">
        <v>736</v>
      </c>
      <c r="B740" s="2"/>
      <c r="C740" s="2"/>
      <c r="D740" s="2"/>
      <c r="E740" s="3"/>
      <c r="F740" s="3"/>
      <c r="G740" s="2"/>
      <c r="H740" s="2"/>
      <c r="I740" s="46"/>
      <c r="J740" s="12"/>
      <c r="K740" s="2"/>
      <c r="L740" s="59"/>
    </row>
    <row r="741" spans="1:12" x14ac:dyDescent="0.35">
      <c r="A741" s="45">
        <v>737</v>
      </c>
      <c r="B741" s="2"/>
      <c r="C741" s="2"/>
      <c r="D741" s="2"/>
      <c r="E741" s="3"/>
      <c r="F741" s="3"/>
      <c r="G741" s="2"/>
      <c r="H741" s="2"/>
      <c r="I741" s="46"/>
      <c r="J741" s="12"/>
      <c r="K741" s="2"/>
      <c r="L741" s="59"/>
    </row>
    <row r="742" spans="1:12" x14ac:dyDescent="0.35">
      <c r="A742" s="45">
        <v>738</v>
      </c>
      <c r="B742" s="2"/>
      <c r="C742" s="2"/>
      <c r="D742" s="2"/>
      <c r="E742" s="3"/>
      <c r="F742" s="3"/>
      <c r="G742" s="2"/>
      <c r="H742" s="2"/>
      <c r="I742" s="46"/>
      <c r="J742" s="12"/>
      <c r="K742" s="2"/>
      <c r="L742" s="59"/>
    </row>
    <row r="743" spans="1:12" x14ac:dyDescent="0.35">
      <c r="A743" s="45">
        <v>739</v>
      </c>
      <c r="B743" s="2"/>
      <c r="C743" s="2"/>
      <c r="D743" s="2"/>
      <c r="E743" s="3"/>
      <c r="F743" s="3"/>
      <c r="G743" s="2"/>
      <c r="H743" s="2"/>
      <c r="I743" s="46"/>
      <c r="J743" s="12"/>
      <c r="K743" s="2"/>
      <c r="L743" s="59"/>
    </row>
    <row r="744" spans="1:12" x14ac:dyDescent="0.35">
      <c r="A744" s="45">
        <v>740</v>
      </c>
      <c r="B744" s="2"/>
      <c r="C744" s="2"/>
      <c r="D744" s="2"/>
      <c r="E744" s="3"/>
      <c r="F744" s="3"/>
      <c r="G744" s="2"/>
      <c r="H744" s="2"/>
      <c r="I744" s="46"/>
      <c r="J744" s="12"/>
      <c r="K744" s="2"/>
      <c r="L744" s="59"/>
    </row>
    <row r="745" spans="1:12" x14ac:dyDescent="0.35">
      <c r="A745" s="45">
        <v>741</v>
      </c>
      <c r="B745" s="2"/>
      <c r="C745" s="2"/>
      <c r="D745" s="2"/>
      <c r="E745" s="3"/>
      <c r="F745" s="3"/>
      <c r="G745" s="2"/>
      <c r="H745" s="2"/>
      <c r="I745" s="46"/>
      <c r="J745" s="12"/>
      <c r="K745" s="2"/>
      <c r="L745" s="59"/>
    </row>
    <row r="746" spans="1:12" x14ac:dyDescent="0.35">
      <c r="A746" s="45">
        <v>742</v>
      </c>
      <c r="B746" s="2"/>
      <c r="C746" s="2"/>
      <c r="D746" s="2"/>
      <c r="E746" s="3"/>
      <c r="F746" s="3"/>
      <c r="G746" s="2"/>
      <c r="H746" s="2"/>
      <c r="I746" s="46"/>
      <c r="J746" s="12"/>
      <c r="K746" s="2"/>
      <c r="L746" s="59"/>
    </row>
    <row r="747" spans="1:12" x14ac:dyDescent="0.35">
      <c r="A747" s="45">
        <v>743</v>
      </c>
      <c r="B747" s="2"/>
      <c r="C747" s="2"/>
      <c r="D747" s="2"/>
      <c r="E747" s="3"/>
      <c r="F747" s="3"/>
      <c r="G747" s="2"/>
      <c r="H747" s="2"/>
      <c r="I747" s="46"/>
      <c r="J747" s="12"/>
      <c r="K747" s="2"/>
      <c r="L747" s="59"/>
    </row>
    <row r="748" spans="1:12" x14ac:dyDescent="0.35">
      <c r="A748" s="45">
        <v>744</v>
      </c>
      <c r="B748" s="2"/>
      <c r="C748" s="2"/>
      <c r="D748" s="2"/>
      <c r="E748" s="3"/>
      <c r="F748" s="3"/>
      <c r="G748" s="2"/>
      <c r="H748" s="2"/>
      <c r="I748" s="46"/>
      <c r="J748" s="12"/>
      <c r="K748" s="2"/>
      <c r="L748" s="59"/>
    </row>
    <row r="749" spans="1:12" x14ac:dyDescent="0.35">
      <c r="A749" s="45">
        <v>745</v>
      </c>
      <c r="B749" s="2"/>
      <c r="C749" s="2"/>
      <c r="D749" s="2"/>
      <c r="E749" s="3"/>
      <c r="F749" s="3"/>
      <c r="G749" s="2"/>
      <c r="H749" s="2"/>
      <c r="I749" s="46"/>
      <c r="J749" s="12"/>
      <c r="K749" s="2"/>
      <c r="L749" s="59"/>
    </row>
    <row r="750" spans="1:12" x14ac:dyDescent="0.35">
      <c r="A750" s="45">
        <v>746</v>
      </c>
      <c r="B750" s="2"/>
      <c r="C750" s="2"/>
      <c r="D750" s="2"/>
      <c r="E750" s="3"/>
      <c r="F750" s="3"/>
      <c r="G750" s="2"/>
      <c r="H750" s="2"/>
      <c r="I750" s="46"/>
      <c r="J750" s="12"/>
      <c r="K750" s="2"/>
      <c r="L750" s="59"/>
    </row>
    <row r="751" spans="1:12" x14ac:dyDescent="0.35">
      <c r="A751" s="45">
        <v>747</v>
      </c>
      <c r="B751" s="2"/>
      <c r="C751" s="2"/>
      <c r="D751" s="2"/>
      <c r="E751" s="3"/>
      <c r="F751" s="3"/>
      <c r="G751" s="2"/>
      <c r="H751" s="2"/>
      <c r="I751" s="46"/>
      <c r="J751" s="12"/>
      <c r="K751" s="2"/>
      <c r="L751" s="59"/>
    </row>
    <row r="752" spans="1:12" x14ac:dyDescent="0.35">
      <c r="A752" s="45">
        <v>748</v>
      </c>
      <c r="B752" s="2"/>
      <c r="C752" s="2"/>
      <c r="D752" s="2"/>
      <c r="E752" s="3"/>
      <c r="F752" s="3"/>
      <c r="G752" s="2"/>
      <c r="H752" s="2"/>
      <c r="I752" s="46"/>
      <c r="J752" s="12"/>
      <c r="K752" s="2"/>
      <c r="L752" s="59"/>
    </row>
    <row r="753" spans="1:12" x14ac:dyDescent="0.35">
      <c r="A753" s="45">
        <v>749</v>
      </c>
      <c r="B753" s="2"/>
      <c r="C753" s="2"/>
      <c r="D753" s="2"/>
      <c r="E753" s="3"/>
      <c r="F753" s="3"/>
      <c r="G753" s="2"/>
      <c r="H753" s="2"/>
      <c r="I753" s="46"/>
      <c r="J753" s="12"/>
      <c r="K753" s="2"/>
      <c r="L753" s="59"/>
    </row>
    <row r="754" spans="1:12" x14ac:dyDescent="0.35">
      <c r="A754" s="45">
        <v>750</v>
      </c>
      <c r="B754" s="2"/>
      <c r="C754" s="2"/>
      <c r="D754" s="2"/>
      <c r="E754" s="3"/>
      <c r="F754" s="3"/>
      <c r="G754" s="2"/>
      <c r="H754" s="2"/>
      <c r="I754" s="46"/>
      <c r="J754" s="12"/>
      <c r="K754" s="2"/>
      <c r="L754" s="59"/>
    </row>
    <row r="755" spans="1:12" x14ac:dyDescent="0.35">
      <c r="A755" s="45">
        <v>751</v>
      </c>
      <c r="B755" s="2"/>
      <c r="C755" s="2"/>
      <c r="D755" s="2"/>
      <c r="E755" s="3"/>
      <c r="F755" s="3"/>
      <c r="G755" s="2"/>
      <c r="H755" s="2"/>
      <c r="I755" s="46"/>
      <c r="J755" s="12"/>
      <c r="K755" s="2"/>
      <c r="L755" s="59"/>
    </row>
    <row r="756" spans="1:12" x14ac:dyDescent="0.35">
      <c r="A756" s="45">
        <v>752</v>
      </c>
      <c r="B756" s="2"/>
      <c r="C756" s="2"/>
      <c r="D756" s="2"/>
      <c r="E756" s="3"/>
      <c r="F756" s="3"/>
      <c r="G756" s="2"/>
      <c r="H756" s="2"/>
      <c r="I756" s="46"/>
      <c r="J756" s="12"/>
      <c r="K756" s="2"/>
      <c r="L756" s="59"/>
    </row>
    <row r="757" spans="1:12" x14ac:dyDescent="0.35">
      <c r="A757" s="45">
        <v>753</v>
      </c>
      <c r="B757" s="2"/>
      <c r="C757" s="2"/>
      <c r="D757" s="2"/>
      <c r="E757" s="3"/>
      <c r="F757" s="3"/>
      <c r="G757" s="2"/>
      <c r="H757" s="2"/>
      <c r="I757" s="46"/>
      <c r="J757" s="12"/>
      <c r="K757" s="2"/>
      <c r="L757" s="59"/>
    </row>
    <row r="758" spans="1:12" x14ac:dyDescent="0.35">
      <c r="A758" s="45">
        <v>754</v>
      </c>
      <c r="B758" s="2"/>
      <c r="C758" s="2"/>
      <c r="D758" s="2"/>
      <c r="E758" s="3"/>
      <c r="F758" s="3"/>
      <c r="G758" s="2"/>
      <c r="H758" s="2"/>
      <c r="I758" s="46"/>
      <c r="J758" s="12"/>
      <c r="K758" s="2"/>
      <c r="L758" s="59"/>
    </row>
    <row r="759" spans="1:12" x14ac:dyDescent="0.35">
      <c r="A759" s="45">
        <v>755</v>
      </c>
      <c r="B759" s="2"/>
      <c r="C759" s="2"/>
      <c r="D759" s="2"/>
      <c r="E759" s="3"/>
      <c r="F759" s="3"/>
      <c r="G759" s="2"/>
      <c r="H759" s="2"/>
      <c r="I759" s="46"/>
      <c r="J759" s="12"/>
      <c r="K759" s="2"/>
      <c r="L759" s="59"/>
    </row>
    <row r="760" spans="1:12" x14ac:dyDescent="0.35">
      <c r="A760" s="45">
        <v>756</v>
      </c>
      <c r="B760" s="2"/>
      <c r="C760" s="2"/>
      <c r="D760" s="2"/>
      <c r="E760" s="3"/>
      <c r="F760" s="3"/>
      <c r="G760" s="2"/>
      <c r="H760" s="2"/>
      <c r="I760" s="46"/>
      <c r="J760" s="12"/>
      <c r="K760" s="2"/>
      <c r="L760" s="59"/>
    </row>
    <row r="761" spans="1:12" x14ac:dyDescent="0.35">
      <c r="A761" s="45">
        <v>757</v>
      </c>
      <c r="B761" s="2"/>
      <c r="C761" s="2"/>
      <c r="D761" s="2"/>
      <c r="E761" s="3"/>
      <c r="F761" s="3"/>
      <c r="G761" s="2"/>
      <c r="H761" s="2"/>
      <c r="I761" s="46"/>
      <c r="J761" s="12"/>
      <c r="K761" s="2"/>
      <c r="L761" s="59"/>
    </row>
    <row r="762" spans="1:12" x14ac:dyDescent="0.35">
      <c r="A762" s="45">
        <v>758</v>
      </c>
      <c r="B762" s="2"/>
      <c r="C762" s="2"/>
      <c r="D762" s="2"/>
      <c r="E762" s="3"/>
      <c r="F762" s="3"/>
      <c r="G762" s="2"/>
      <c r="H762" s="2"/>
      <c r="I762" s="46"/>
      <c r="J762" s="12"/>
      <c r="K762" s="2"/>
      <c r="L762" s="59"/>
    </row>
    <row r="763" spans="1:12" x14ac:dyDescent="0.35">
      <c r="A763" s="45">
        <v>759</v>
      </c>
      <c r="B763" s="2"/>
      <c r="C763" s="2"/>
      <c r="D763" s="2"/>
      <c r="E763" s="3"/>
      <c r="F763" s="3"/>
      <c r="G763" s="2"/>
      <c r="H763" s="2"/>
      <c r="I763" s="46"/>
      <c r="J763" s="12"/>
      <c r="K763" s="2"/>
      <c r="L763" s="59"/>
    </row>
    <row r="764" spans="1:12" x14ac:dyDescent="0.35">
      <c r="A764" s="45">
        <v>760</v>
      </c>
      <c r="B764" s="2"/>
      <c r="C764" s="2"/>
      <c r="D764" s="2"/>
      <c r="E764" s="3"/>
      <c r="F764" s="3"/>
      <c r="G764" s="2"/>
      <c r="H764" s="2"/>
      <c r="I764" s="46"/>
      <c r="J764" s="12"/>
      <c r="K764" s="2"/>
      <c r="L764" s="59"/>
    </row>
    <row r="765" spans="1:12" x14ac:dyDescent="0.35">
      <c r="A765" s="45">
        <v>761</v>
      </c>
      <c r="B765" s="2"/>
      <c r="C765" s="2"/>
      <c r="D765" s="2"/>
      <c r="E765" s="3"/>
      <c r="F765" s="3"/>
      <c r="G765" s="2"/>
      <c r="H765" s="2"/>
      <c r="I765" s="46"/>
      <c r="J765" s="12"/>
      <c r="K765" s="2"/>
      <c r="L765" s="59"/>
    </row>
    <row r="766" spans="1:12" x14ac:dyDescent="0.35">
      <c r="A766" s="45">
        <v>762</v>
      </c>
      <c r="B766" s="2"/>
      <c r="C766" s="2"/>
      <c r="D766" s="2"/>
      <c r="E766" s="3"/>
      <c r="F766" s="3"/>
      <c r="G766" s="2"/>
      <c r="H766" s="2"/>
      <c r="I766" s="46"/>
      <c r="J766" s="12"/>
      <c r="K766" s="2"/>
      <c r="L766" s="59"/>
    </row>
    <row r="767" spans="1:12" x14ac:dyDescent="0.35">
      <c r="A767" s="45">
        <v>763</v>
      </c>
      <c r="B767" s="2"/>
      <c r="C767" s="2"/>
      <c r="D767" s="2"/>
      <c r="E767" s="3"/>
      <c r="F767" s="3"/>
      <c r="G767" s="2"/>
      <c r="H767" s="2"/>
      <c r="I767" s="46"/>
      <c r="J767" s="12"/>
      <c r="K767" s="2"/>
      <c r="L767" s="59"/>
    </row>
    <row r="768" spans="1:12" x14ac:dyDescent="0.35">
      <c r="A768" s="45">
        <v>764</v>
      </c>
      <c r="B768" s="2"/>
      <c r="C768" s="2"/>
      <c r="D768" s="2"/>
      <c r="E768" s="3"/>
      <c r="F768" s="3"/>
      <c r="G768" s="2"/>
      <c r="H768" s="2"/>
      <c r="I768" s="46"/>
      <c r="J768" s="12"/>
      <c r="K768" s="2"/>
      <c r="L768" s="59"/>
    </row>
    <row r="769" spans="1:12" x14ac:dyDescent="0.35">
      <c r="A769" s="45">
        <v>765</v>
      </c>
      <c r="B769" s="2"/>
      <c r="C769" s="2"/>
      <c r="D769" s="2"/>
      <c r="E769" s="3"/>
      <c r="F769" s="3"/>
      <c r="G769" s="2"/>
      <c r="H769" s="2"/>
      <c r="I769" s="46"/>
      <c r="J769" s="12"/>
      <c r="K769" s="2"/>
      <c r="L769" s="59"/>
    </row>
    <row r="770" spans="1:12" x14ac:dyDescent="0.35">
      <c r="A770" s="45">
        <v>766</v>
      </c>
      <c r="B770" s="2"/>
      <c r="C770" s="2"/>
      <c r="D770" s="2"/>
      <c r="E770" s="3"/>
      <c r="F770" s="3"/>
      <c r="G770" s="2"/>
      <c r="H770" s="2"/>
      <c r="I770" s="46"/>
      <c r="J770" s="12"/>
      <c r="K770" s="2"/>
      <c r="L770" s="59"/>
    </row>
    <row r="771" spans="1:12" x14ac:dyDescent="0.35">
      <c r="A771" s="45">
        <v>767</v>
      </c>
      <c r="B771" s="2"/>
      <c r="C771" s="2"/>
      <c r="D771" s="2"/>
      <c r="E771" s="3"/>
      <c r="F771" s="3"/>
      <c r="G771" s="2"/>
      <c r="H771" s="2"/>
      <c r="I771" s="46"/>
      <c r="J771" s="12"/>
      <c r="K771" s="2"/>
      <c r="L771" s="59"/>
    </row>
    <row r="772" spans="1:12" x14ac:dyDescent="0.35">
      <c r="A772" s="45">
        <v>768</v>
      </c>
      <c r="B772" s="2"/>
      <c r="C772" s="2"/>
      <c r="D772" s="2"/>
      <c r="E772" s="3"/>
      <c r="F772" s="3"/>
      <c r="G772" s="2"/>
      <c r="H772" s="2"/>
      <c r="I772" s="46"/>
      <c r="J772" s="12"/>
      <c r="K772" s="2"/>
      <c r="L772" s="59"/>
    </row>
    <row r="773" spans="1:12" x14ac:dyDescent="0.35">
      <c r="A773" s="45">
        <v>769</v>
      </c>
      <c r="B773" s="2"/>
      <c r="C773" s="2"/>
      <c r="D773" s="2"/>
      <c r="E773" s="3"/>
      <c r="F773" s="3"/>
      <c r="G773" s="2"/>
      <c r="H773" s="2"/>
      <c r="I773" s="46"/>
      <c r="J773" s="12"/>
      <c r="K773" s="2"/>
      <c r="L773" s="59"/>
    </row>
    <row r="774" spans="1:12" x14ac:dyDescent="0.35">
      <c r="A774" s="45">
        <v>770</v>
      </c>
      <c r="B774" s="2"/>
      <c r="C774" s="2"/>
      <c r="D774" s="2"/>
      <c r="E774" s="3"/>
      <c r="F774" s="3"/>
      <c r="G774" s="2"/>
      <c r="H774" s="2"/>
      <c r="I774" s="46"/>
      <c r="J774" s="12"/>
      <c r="K774" s="2"/>
      <c r="L774" s="59"/>
    </row>
    <row r="775" spans="1:12" x14ac:dyDescent="0.35">
      <c r="A775" s="45">
        <v>771</v>
      </c>
      <c r="B775" s="2"/>
      <c r="C775" s="2"/>
      <c r="D775" s="2"/>
      <c r="E775" s="3"/>
      <c r="F775" s="3"/>
      <c r="G775" s="2"/>
      <c r="H775" s="2"/>
      <c r="I775" s="46"/>
      <c r="J775" s="12"/>
      <c r="K775" s="2"/>
      <c r="L775" s="59"/>
    </row>
    <row r="776" spans="1:12" x14ac:dyDescent="0.35">
      <c r="A776" s="45">
        <v>772</v>
      </c>
      <c r="B776" s="2"/>
      <c r="C776" s="2"/>
      <c r="D776" s="2"/>
      <c r="E776" s="3"/>
      <c r="F776" s="3"/>
      <c r="G776" s="2"/>
      <c r="H776" s="2"/>
      <c r="I776" s="46"/>
      <c r="J776" s="12"/>
      <c r="K776" s="2"/>
      <c r="L776" s="59"/>
    </row>
    <row r="777" spans="1:12" x14ac:dyDescent="0.35">
      <c r="A777" s="45">
        <v>773</v>
      </c>
      <c r="B777" s="2"/>
      <c r="C777" s="2"/>
      <c r="D777" s="2"/>
      <c r="E777" s="3"/>
      <c r="F777" s="3"/>
      <c r="G777" s="2"/>
      <c r="H777" s="2"/>
      <c r="I777" s="46"/>
      <c r="J777" s="12"/>
      <c r="K777" s="2"/>
      <c r="L777" s="59"/>
    </row>
    <row r="778" spans="1:12" x14ac:dyDescent="0.35">
      <c r="A778" s="45">
        <v>774</v>
      </c>
      <c r="B778" s="2"/>
      <c r="C778" s="2"/>
      <c r="D778" s="2"/>
      <c r="E778" s="3"/>
      <c r="F778" s="3"/>
      <c r="G778" s="2"/>
      <c r="H778" s="2"/>
      <c r="I778" s="46"/>
      <c r="J778" s="12"/>
      <c r="K778" s="2"/>
      <c r="L778" s="59"/>
    </row>
    <row r="779" spans="1:12" x14ac:dyDescent="0.35">
      <c r="A779" s="45">
        <v>775</v>
      </c>
      <c r="B779" s="2"/>
      <c r="C779" s="2"/>
      <c r="D779" s="2"/>
      <c r="E779" s="3"/>
      <c r="F779" s="3"/>
      <c r="G779" s="2"/>
      <c r="H779" s="2"/>
      <c r="I779" s="46"/>
      <c r="J779" s="12"/>
      <c r="K779" s="2"/>
      <c r="L779" s="59"/>
    </row>
    <row r="780" spans="1:12" x14ac:dyDescent="0.35">
      <c r="A780" s="45">
        <v>776</v>
      </c>
      <c r="B780" s="2"/>
      <c r="C780" s="2"/>
      <c r="D780" s="2"/>
      <c r="E780" s="3"/>
      <c r="F780" s="3"/>
      <c r="G780" s="2"/>
      <c r="H780" s="2"/>
      <c r="I780" s="46"/>
      <c r="J780" s="12"/>
      <c r="K780" s="2"/>
      <c r="L780" s="59"/>
    </row>
    <row r="781" spans="1:12" x14ac:dyDescent="0.35">
      <c r="A781" s="45">
        <v>777</v>
      </c>
      <c r="B781" s="2"/>
      <c r="C781" s="2"/>
      <c r="D781" s="2"/>
      <c r="E781" s="3"/>
      <c r="F781" s="3"/>
      <c r="G781" s="2"/>
      <c r="H781" s="2"/>
      <c r="I781" s="46"/>
      <c r="J781" s="12"/>
      <c r="K781" s="2"/>
      <c r="L781" s="59"/>
    </row>
    <row r="782" spans="1:12" x14ac:dyDescent="0.35">
      <c r="A782" s="45">
        <v>778</v>
      </c>
      <c r="B782" s="2"/>
      <c r="C782" s="2"/>
      <c r="D782" s="2"/>
      <c r="E782" s="3"/>
      <c r="F782" s="3"/>
      <c r="G782" s="2"/>
      <c r="H782" s="2"/>
      <c r="I782" s="46"/>
      <c r="J782" s="12"/>
      <c r="K782" s="2"/>
      <c r="L782" s="59"/>
    </row>
    <row r="783" spans="1:12" x14ac:dyDescent="0.35">
      <c r="A783" s="45">
        <v>779</v>
      </c>
      <c r="B783" s="2"/>
      <c r="C783" s="2"/>
      <c r="D783" s="2"/>
      <c r="E783" s="3"/>
      <c r="F783" s="3"/>
      <c r="G783" s="2"/>
      <c r="H783" s="2"/>
      <c r="I783" s="46"/>
      <c r="J783" s="12"/>
      <c r="K783" s="2"/>
      <c r="L783" s="59"/>
    </row>
    <row r="784" spans="1:12" x14ac:dyDescent="0.35">
      <c r="A784" s="45">
        <v>780</v>
      </c>
      <c r="B784" s="2"/>
      <c r="C784" s="2"/>
      <c r="D784" s="2"/>
      <c r="E784" s="3"/>
      <c r="F784" s="3"/>
      <c r="G784" s="2"/>
      <c r="H784" s="2"/>
      <c r="I784" s="46"/>
      <c r="J784" s="12"/>
      <c r="K784" s="2"/>
      <c r="L784" s="59"/>
    </row>
    <row r="785" spans="1:12" x14ac:dyDescent="0.35">
      <c r="A785" s="45">
        <v>781</v>
      </c>
      <c r="B785" s="2"/>
      <c r="C785" s="2"/>
      <c r="D785" s="2"/>
      <c r="E785" s="3"/>
      <c r="F785" s="3"/>
      <c r="G785" s="2"/>
      <c r="H785" s="2"/>
      <c r="I785" s="46"/>
      <c r="J785" s="12"/>
      <c r="K785" s="2"/>
      <c r="L785" s="59"/>
    </row>
    <row r="786" spans="1:12" x14ac:dyDescent="0.35">
      <c r="A786" s="45">
        <v>782</v>
      </c>
      <c r="B786" s="2"/>
      <c r="C786" s="2"/>
      <c r="D786" s="2"/>
      <c r="E786" s="3"/>
      <c r="F786" s="3"/>
      <c r="G786" s="2"/>
      <c r="H786" s="2"/>
      <c r="I786" s="46"/>
      <c r="J786" s="12"/>
      <c r="K786" s="2"/>
      <c r="L786" s="59"/>
    </row>
    <row r="787" spans="1:12" x14ac:dyDescent="0.35">
      <c r="A787" s="45">
        <v>783</v>
      </c>
      <c r="B787" s="2"/>
      <c r="C787" s="2"/>
      <c r="D787" s="2"/>
      <c r="E787" s="3"/>
      <c r="F787" s="3"/>
      <c r="G787" s="2"/>
      <c r="H787" s="2"/>
      <c r="I787" s="46"/>
      <c r="J787" s="12"/>
      <c r="K787" s="2"/>
      <c r="L787" s="59"/>
    </row>
    <row r="788" spans="1:12" x14ac:dyDescent="0.35">
      <c r="A788" s="45">
        <v>784</v>
      </c>
      <c r="B788" s="2"/>
      <c r="C788" s="2"/>
      <c r="D788" s="2"/>
      <c r="E788" s="3"/>
      <c r="F788" s="3"/>
      <c r="G788" s="2"/>
      <c r="H788" s="2"/>
      <c r="I788" s="46"/>
      <c r="J788" s="12"/>
      <c r="K788" s="2"/>
      <c r="L788" s="59"/>
    </row>
    <row r="789" spans="1:12" x14ac:dyDescent="0.35">
      <c r="A789" s="45">
        <v>785</v>
      </c>
      <c r="B789" s="2"/>
      <c r="C789" s="2"/>
      <c r="D789" s="2"/>
      <c r="E789" s="3"/>
      <c r="F789" s="3"/>
      <c r="G789" s="2"/>
      <c r="H789" s="2"/>
      <c r="I789" s="46"/>
      <c r="J789" s="12"/>
      <c r="K789" s="2"/>
      <c r="L789" s="59"/>
    </row>
    <row r="790" spans="1:12" x14ac:dyDescent="0.35">
      <c r="A790" s="45">
        <v>786</v>
      </c>
      <c r="B790" s="2"/>
      <c r="C790" s="2"/>
      <c r="D790" s="2"/>
      <c r="E790" s="3"/>
      <c r="F790" s="3"/>
      <c r="G790" s="2"/>
      <c r="H790" s="2"/>
      <c r="I790" s="46"/>
      <c r="J790" s="12"/>
      <c r="K790" s="2"/>
      <c r="L790" s="59"/>
    </row>
    <row r="791" spans="1:12" x14ac:dyDescent="0.35">
      <c r="A791" s="45">
        <v>787</v>
      </c>
      <c r="B791" s="2"/>
      <c r="C791" s="2"/>
      <c r="D791" s="2"/>
      <c r="E791" s="3"/>
      <c r="F791" s="3"/>
      <c r="G791" s="2"/>
      <c r="H791" s="2"/>
      <c r="I791" s="46"/>
      <c r="J791" s="12"/>
      <c r="K791" s="2"/>
      <c r="L791" s="59"/>
    </row>
    <row r="792" spans="1:12" x14ac:dyDescent="0.35">
      <c r="A792" s="45">
        <v>788</v>
      </c>
      <c r="B792" s="2"/>
      <c r="C792" s="2"/>
      <c r="D792" s="2"/>
      <c r="E792" s="3"/>
      <c r="F792" s="3"/>
      <c r="G792" s="2"/>
      <c r="H792" s="2"/>
      <c r="I792" s="46"/>
      <c r="J792" s="12"/>
      <c r="K792" s="2"/>
      <c r="L792" s="59"/>
    </row>
    <row r="793" spans="1:12" x14ac:dyDescent="0.35">
      <c r="A793" s="45">
        <v>789</v>
      </c>
      <c r="B793" s="2"/>
      <c r="C793" s="2"/>
      <c r="D793" s="2"/>
      <c r="E793" s="3"/>
      <c r="F793" s="3"/>
      <c r="G793" s="2"/>
      <c r="H793" s="2"/>
      <c r="I793" s="46"/>
      <c r="J793" s="12"/>
      <c r="K793" s="2"/>
      <c r="L793" s="59"/>
    </row>
    <row r="794" spans="1:12" x14ac:dyDescent="0.35">
      <c r="A794" s="45">
        <v>790</v>
      </c>
      <c r="B794" s="2"/>
      <c r="C794" s="2"/>
      <c r="D794" s="2"/>
      <c r="E794" s="3"/>
      <c r="F794" s="3"/>
      <c r="G794" s="2"/>
      <c r="H794" s="2"/>
      <c r="I794" s="46"/>
      <c r="J794" s="12"/>
      <c r="K794" s="2"/>
      <c r="L794" s="59"/>
    </row>
    <row r="795" spans="1:12" x14ac:dyDescent="0.35">
      <c r="A795" s="45">
        <v>791</v>
      </c>
      <c r="B795" s="2"/>
      <c r="C795" s="2"/>
      <c r="D795" s="2"/>
      <c r="E795" s="3"/>
      <c r="F795" s="3"/>
      <c r="G795" s="2"/>
      <c r="H795" s="2"/>
      <c r="I795" s="46"/>
      <c r="J795" s="12"/>
      <c r="K795" s="2"/>
      <c r="L795" s="59"/>
    </row>
    <row r="796" spans="1:12" x14ac:dyDescent="0.35">
      <c r="A796" s="45">
        <v>792</v>
      </c>
      <c r="B796" s="2"/>
      <c r="C796" s="2"/>
      <c r="D796" s="2"/>
      <c r="E796" s="3"/>
      <c r="F796" s="3"/>
      <c r="G796" s="2"/>
      <c r="H796" s="2"/>
      <c r="I796" s="46"/>
      <c r="J796" s="12"/>
      <c r="K796" s="2"/>
      <c r="L796" s="59"/>
    </row>
    <row r="797" spans="1:12" x14ac:dyDescent="0.35">
      <c r="A797" s="45">
        <v>793</v>
      </c>
      <c r="B797" s="2"/>
      <c r="C797" s="2"/>
      <c r="D797" s="2"/>
      <c r="E797" s="3"/>
      <c r="F797" s="3"/>
      <c r="G797" s="2"/>
      <c r="H797" s="2"/>
      <c r="I797" s="46"/>
      <c r="J797" s="12"/>
      <c r="K797" s="2"/>
      <c r="L797" s="59"/>
    </row>
    <row r="798" spans="1:12" x14ac:dyDescent="0.35">
      <c r="A798" s="45">
        <v>794</v>
      </c>
      <c r="B798" s="2"/>
      <c r="C798" s="2"/>
      <c r="D798" s="2"/>
      <c r="E798" s="3"/>
      <c r="F798" s="3"/>
      <c r="G798" s="2"/>
      <c r="H798" s="2"/>
      <c r="I798" s="46"/>
      <c r="J798" s="12"/>
      <c r="K798" s="2"/>
      <c r="L798" s="59"/>
    </row>
    <row r="799" spans="1:12" x14ac:dyDescent="0.35">
      <c r="A799" s="45">
        <v>795</v>
      </c>
      <c r="B799" s="2"/>
      <c r="C799" s="2"/>
      <c r="D799" s="2"/>
      <c r="E799" s="3"/>
      <c r="F799" s="3"/>
      <c r="G799" s="2"/>
      <c r="H799" s="2"/>
      <c r="I799" s="46"/>
      <c r="J799" s="12"/>
      <c r="K799" s="2"/>
      <c r="L799" s="59"/>
    </row>
    <row r="800" spans="1:12" x14ac:dyDescent="0.35">
      <c r="A800" s="45">
        <v>796</v>
      </c>
      <c r="B800" s="2"/>
      <c r="C800" s="2"/>
      <c r="D800" s="2"/>
      <c r="E800" s="3"/>
      <c r="F800" s="3"/>
      <c r="G800" s="2"/>
      <c r="H800" s="2"/>
      <c r="I800" s="46"/>
      <c r="J800" s="12"/>
      <c r="K800" s="2"/>
      <c r="L800" s="59"/>
    </row>
    <row r="801" spans="1:12" x14ac:dyDescent="0.35">
      <c r="A801" s="45">
        <v>797</v>
      </c>
      <c r="B801" s="2"/>
      <c r="C801" s="2"/>
      <c r="D801" s="2"/>
      <c r="E801" s="3"/>
      <c r="F801" s="3"/>
      <c r="G801" s="2"/>
      <c r="H801" s="2"/>
      <c r="I801" s="46"/>
      <c r="J801" s="12"/>
      <c r="K801" s="2"/>
      <c r="L801" s="59"/>
    </row>
    <row r="802" spans="1:12" x14ac:dyDescent="0.35">
      <c r="A802" s="45">
        <v>798</v>
      </c>
      <c r="B802" s="2"/>
      <c r="C802" s="2"/>
      <c r="D802" s="2"/>
      <c r="E802" s="3"/>
      <c r="F802" s="3"/>
      <c r="G802" s="2"/>
      <c r="H802" s="2"/>
      <c r="I802" s="46"/>
      <c r="J802" s="12"/>
      <c r="K802" s="2"/>
      <c r="L802" s="59"/>
    </row>
    <row r="803" spans="1:12" x14ac:dyDescent="0.35">
      <c r="A803" s="45">
        <v>799</v>
      </c>
      <c r="B803" s="2"/>
      <c r="C803" s="2"/>
      <c r="D803" s="2"/>
      <c r="E803" s="3"/>
      <c r="F803" s="3"/>
      <c r="G803" s="2"/>
      <c r="H803" s="2"/>
      <c r="I803" s="46"/>
      <c r="J803" s="12"/>
      <c r="K803" s="2"/>
      <c r="L803" s="59"/>
    </row>
    <row r="804" spans="1:12" x14ac:dyDescent="0.35">
      <c r="A804" s="45">
        <v>800</v>
      </c>
      <c r="B804" s="2"/>
      <c r="C804" s="2"/>
      <c r="D804" s="2"/>
      <c r="E804" s="3"/>
      <c r="F804" s="3"/>
      <c r="G804" s="2"/>
      <c r="H804" s="2"/>
      <c r="I804" s="46"/>
      <c r="J804" s="12"/>
      <c r="K804" s="2"/>
      <c r="L804" s="59"/>
    </row>
    <row r="805" spans="1:12" x14ac:dyDescent="0.35">
      <c r="A805" s="45">
        <v>801</v>
      </c>
      <c r="B805" s="2"/>
      <c r="C805" s="2"/>
      <c r="D805" s="2"/>
      <c r="E805" s="3"/>
      <c r="F805" s="3"/>
      <c r="G805" s="2"/>
      <c r="H805" s="2"/>
      <c r="I805" s="46"/>
      <c r="J805" s="12"/>
      <c r="K805" s="2"/>
      <c r="L805" s="59"/>
    </row>
    <row r="806" spans="1:12" x14ac:dyDescent="0.35">
      <c r="A806" s="45">
        <v>802</v>
      </c>
      <c r="B806" s="2"/>
      <c r="C806" s="2"/>
      <c r="D806" s="2"/>
      <c r="E806" s="3"/>
      <c r="F806" s="3"/>
      <c r="G806" s="2"/>
      <c r="H806" s="2"/>
      <c r="I806" s="46"/>
      <c r="J806" s="12"/>
      <c r="K806" s="2"/>
      <c r="L806" s="59"/>
    </row>
    <row r="807" spans="1:12" x14ac:dyDescent="0.35">
      <c r="A807" s="45">
        <v>803</v>
      </c>
      <c r="B807" s="2"/>
      <c r="C807" s="2"/>
      <c r="D807" s="2"/>
      <c r="E807" s="3"/>
      <c r="F807" s="3"/>
      <c r="G807" s="2"/>
      <c r="H807" s="2"/>
      <c r="I807" s="46"/>
      <c r="J807" s="12"/>
      <c r="K807" s="2"/>
      <c r="L807" s="59"/>
    </row>
    <row r="808" spans="1:12" x14ac:dyDescent="0.35">
      <c r="A808" s="45">
        <v>804</v>
      </c>
      <c r="B808" s="2"/>
      <c r="C808" s="2"/>
      <c r="D808" s="2"/>
      <c r="E808" s="3"/>
      <c r="F808" s="3"/>
      <c r="G808" s="2"/>
      <c r="H808" s="2"/>
      <c r="I808" s="46"/>
      <c r="J808" s="12"/>
      <c r="K808" s="2"/>
      <c r="L808" s="59"/>
    </row>
    <row r="809" spans="1:12" x14ac:dyDescent="0.35">
      <c r="A809" s="45">
        <v>805</v>
      </c>
      <c r="B809" s="2"/>
      <c r="C809" s="2"/>
      <c r="D809" s="2"/>
      <c r="E809" s="3"/>
      <c r="F809" s="3"/>
      <c r="G809" s="2"/>
      <c r="H809" s="2"/>
      <c r="I809" s="46"/>
      <c r="J809" s="12"/>
      <c r="K809" s="2"/>
      <c r="L809" s="59"/>
    </row>
    <row r="810" spans="1:12" x14ac:dyDescent="0.35">
      <c r="A810" s="45">
        <v>806</v>
      </c>
      <c r="B810" s="2"/>
      <c r="C810" s="2"/>
      <c r="D810" s="2"/>
      <c r="E810" s="3"/>
      <c r="F810" s="3"/>
      <c r="G810" s="2"/>
      <c r="H810" s="2"/>
      <c r="I810" s="46"/>
      <c r="J810" s="12"/>
      <c r="K810" s="2"/>
      <c r="L810" s="59"/>
    </row>
    <row r="811" spans="1:12" x14ac:dyDescent="0.35">
      <c r="A811" s="45">
        <v>807</v>
      </c>
      <c r="B811" s="2"/>
      <c r="C811" s="2"/>
      <c r="D811" s="2"/>
      <c r="E811" s="3"/>
      <c r="F811" s="3"/>
      <c r="G811" s="2"/>
      <c r="H811" s="2"/>
      <c r="I811" s="46"/>
      <c r="J811" s="12"/>
      <c r="K811" s="2"/>
      <c r="L811" s="59"/>
    </row>
    <row r="812" spans="1:12" x14ac:dyDescent="0.35">
      <c r="A812" s="45">
        <v>808</v>
      </c>
      <c r="B812" s="2"/>
      <c r="C812" s="2"/>
      <c r="D812" s="2"/>
      <c r="E812" s="3"/>
      <c r="F812" s="3"/>
      <c r="G812" s="2"/>
      <c r="H812" s="2"/>
      <c r="I812" s="46"/>
      <c r="J812" s="12"/>
      <c r="K812" s="2"/>
      <c r="L812" s="59"/>
    </row>
    <row r="813" spans="1:12" x14ac:dyDescent="0.35">
      <c r="A813" s="45">
        <v>809</v>
      </c>
      <c r="B813" s="2"/>
      <c r="C813" s="2"/>
      <c r="D813" s="2"/>
      <c r="E813" s="3"/>
      <c r="F813" s="3"/>
      <c r="G813" s="2"/>
      <c r="H813" s="2"/>
      <c r="I813" s="46"/>
      <c r="J813" s="12"/>
      <c r="K813" s="2"/>
      <c r="L813" s="59"/>
    </row>
    <row r="814" spans="1:12" x14ac:dyDescent="0.35">
      <c r="A814" s="45">
        <v>810</v>
      </c>
      <c r="B814" s="2"/>
      <c r="C814" s="2"/>
      <c r="D814" s="2"/>
      <c r="E814" s="3"/>
      <c r="F814" s="3"/>
      <c r="G814" s="2"/>
      <c r="H814" s="2"/>
      <c r="I814" s="46"/>
      <c r="J814" s="12"/>
      <c r="K814" s="2"/>
      <c r="L814" s="59"/>
    </row>
    <row r="815" spans="1:12" x14ac:dyDescent="0.35">
      <c r="A815" s="45">
        <v>811</v>
      </c>
      <c r="B815" s="2"/>
      <c r="C815" s="2"/>
      <c r="D815" s="2"/>
      <c r="E815" s="3"/>
      <c r="F815" s="3"/>
      <c r="G815" s="2"/>
      <c r="H815" s="2"/>
      <c r="I815" s="46"/>
      <c r="J815" s="12"/>
      <c r="K815" s="2"/>
      <c r="L815" s="59"/>
    </row>
    <row r="816" spans="1:12" x14ac:dyDescent="0.35">
      <c r="A816" s="45">
        <v>812</v>
      </c>
      <c r="B816" s="2"/>
      <c r="C816" s="2"/>
      <c r="D816" s="2"/>
      <c r="E816" s="3"/>
      <c r="F816" s="3"/>
      <c r="G816" s="2"/>
      <c r="H816" s="2"/>
      <c r="I816" s="46"/>
      <c r="J816" s="12"/>
      <c r="K816" s="2"/>
      <c r="L816" s="59"/>
    </row>
    <row r="817" spans="1:12" x14ac:dyDescent="0.35">
      <c r="A817" s="45">
        <v>813</v>
      </c>
      <c r="B817" s="2"/>
      <c r="C817" s="2"/>
      <c r="D817" s="2"/>
      <c r="E817" s="3"/>
      <c r="F817" s="3"/>
      <c r="G817" s="2"/>
      <c r="H817" s="2"/>
      <c r="I817" s="46"/>
      <c r="J817" s="12"/>
      <c r="K817" s="2"/>
      <c r="L817" s="59"/>
    </row>
    <row r="818" spans="1:12" x14ac:dyDescent="0.35">
      <c r="A818" s="45">
        <v>814</v>
      </c>
      <c r="B818" s="2"/>
      <c r="C818" s="2"/>
      <c r="D818" s="2"/>
      <c r="E818" s="3"/>
      <c r="F818" s="3"/>
      <c r="G818" s="2"/>
      <c r="H818" s="2"/>
      <c r="I818" s="46"/>
      <c r="J818" s="12"/>
      <c r="K818" s="2"/>
      <c r="L818" s="59"/>
    </row>
    <row r="819" spans="1:12" x14ac:dyDescent="0.35">
      <c r="A819" s="45">
        <v>815</v>
      </c>
      <c r="B819" s="2"/>
      <c r="C819" s="2"/>
      <c r="D819" s="2"/>
      <c r="E819" s="3"/>
      <c r="F819" s="3"/>
      <c r="G819" s="2"/>
      <c r="H819" s="2"/>
      <c r="I819" s="46"/>
      <c r="J819" s="12"/>
      <c r="K819" s="2"/>
      <c r="L819" s="59"/>
    </row>
    <row r="820" spans="1:12" x14ac:dyDescent="0.35">
      <c r="A820" s="45">
        <v>816</v>
      </c>
      <c r="B820" s="2"/>
      <c r="C820" s="2"/>
      <c r="D820" s="2"/>
      <c r="E820" s="3"/>
      <c r="F820" s="3"/>
      <c r="G820" s="2"/>
      <c r="H820" s="2"/>
      <c r="I820" s="46"/>
      <c r="J820" s="12"/>
      <c r="K820" s="2"/>
      <c r="L820" s="59"/>
    </row>
    <row r="821" spans="1:12" x14ac:dyDescent="0.35">
      <c r="A821" s="45">
        <v>817</v>
      </c>
      <c r="B821" s="2"/>
      <c r="C821" s="2"/>
      <c r="D821" s="2"/>
      <c r="E821" s="3"/>
      <c r="F821" s="3"/>
      <c r="G821" s="2"/>
      <c r="H821" s="2"/>
      <c r="I821" s="46"/>
      <c r="J821" s="12"/>
      <c r="K821" s="2"/>
      <c r="L821" s="59"/>
    </row>
    <row r="822" spans="1:12" x14ac:dyDescent="0.35">
      <c r="A822" s="45">
        <v>818</v>
      </c>
      <c r="B822" s="2"/>
      <c r="C822" s="2"/>
      <c r="D822" s="2"/>
      <c r="E822" s="3"/>
      <c r="F822" s="3"/>
      <c r="G822" s="2"/>
      <c r="H822" s="2"/>
      <c r="I822" s="46"/>
      <c r="J822" s="12"/>
      <c r="K822" s="2"/>
      <c r="L822" s="59"/>
    </row>
    <row r="823" spans="1:12" x14ac:dyDescent="0.35">
      <c r="A823" s="45">
        <v>819</v>
      </c>
      <c r="B823" s="2"/>
      <c r="C823" s="2"/>
      <c r="D823" s="2"/>
      <c r="E823" s="3"/>
      <c r="F823" s="3"/>
      <c r="G823" s="2"/>
      <c r="H823" s="2"/>
      <c r="I823" s="46"/>
      <c r="J823" s="12"/>
      <c r="K823" s="2"/>
      <c r="L823" s="59"/>
    </row>
    <row r="824" spans="1:12" x14ac:dyDescent="0.35">
      <c r="A824" s="45">
        <v>820</v>
      </c>
      <c r="B824" s="2"/>
      <c r="C824" s="2"/>
      <c r="D824" s="2"/>
      <c r="E824" s="3"/>
      <c r="F824" s="3"/>
      <c r="G824" s="2"/>
      <c r="H824" s="2"/>
      <c r="I824" s="46"/>
      <c r="J824" s="12"/>
      <c r="K824" s="2"/>
      <c r="L824" s="59"/>
    </row>
    <row r="825" spans="1:12" x14ac:dyDescent="0.35">
      <c r="A825" s="45">
        <v>821</v>
      </c>
      <c r="B825" s="2"/>
      <c r="C825" s="2"/>
      <c r="D825" s="2"/>
      <c r="E825" s="3"/>
      <c r="F825" s="3"/>
      <c r="G825" s="2"/>
      <c r="H825" s="2"/>
      <c r="I825" s="46"/>
      <c r="J825" s="12"/>
      <c r="K825" s="2"/>
      <c r="L825" s="59"/>
    </row>
    <row r="826" spans="1:12" x14ac:dyDescent="0.35">
      <c r="A826" s="45">
        <v>822</v>
      </c>
      <c r="B826" s="2"/>
      <c r="C826" s="2"/>
      <c r="D826" s="2"/>
      <c r="E826" s="3"/>
      <c r="F826" s="3"/>
      <c r="G826" s="2"/>
      <c r="H826" s="2"/>
      <c r="I826" s="46"/>
      <c r="J826" s="12"/>
      <c r="K826" s="2"/>
      <c r="L826" s="59"/>
    </row>
    <row r="827" spans="1:12" x14ac:dyDescent="0.35">
      <c r="A827" s="45">
        <v>823</v>
      </c>
      <c r="B827" s="2"/>
      <c r="C827" s="2"/>
      <c r="D827" s="2"/>
      <c r="E827" s="3"/>
      <c r="F827" s="3"/>
      <c r="G827" s="2"/>
      <c r="H827" s="2"/>
      <c r="I827" s="46"/>
      <c r="J827" s="12"/>
      <c r="K827" s="2"/>
      <c r="L827" s="59"/>
    </row>
    <row r="828" spans="1:12" x14ac:dyDescent="0.35">
      <c r="A828" s="45">
        <v>824</v>
      </c>
      <c r="B828" s="2"/>
      <c r="C828" s="2"/>
      <c r="D828" s="2"/>
      <c r="E828" s="3"/>
      <c r="F828" s="3"/>
      <c r="G828" s="2"/>
      <c r="H828" s="2"/>
      <c r="I828" s="46"/>
      <c r="J828" s="12"/>
      <c r="K828" s="2"/>
      <c r="L828" s="59"/>
    </row>
    <row r="829" spans="1:12" x14ac:dyDescent="0.35">
      <c r="A829" s="45">
        <v>825</v>
      </c>
      <c r="B829" s="2"/>
      <c r="C829" s="2"/>
      <c r="D829" s="2"/>
      <c r="E829" s="3"/>
      <c r="F829" s="3"/>
      <c r="G829" s="2"/>
      <c r="H829" s="2"/>
      <c r="I829" s="46"/>
      <c r="J829" s="12"/>
      <c r="K829" s="2"/>
      <c r="L829" s="59"/>
    </row>
    <row r="830" spans="1:12" x14ac:dyDescent="0.35">
      <c r="A830" s="45">
        <v>826</v>
      </c>
      <c r="B830" s="2"/>
      <c r="C830" s="2"/>
      <c r="D830" s="2"/>
      <c r="E830" s="3"/>
      <c r="F830" s="3"/>
      <c r="G830" s="2"/>
      <c r="H830" s="2"/>
      <c r="I830" s="46"/>
      <c r="J830" s="12"/>
      <c r="K830" s="2"/>
      <c r="L830" s="59"/>
    </row>
    <row r="831" spans="1:12" x14ac:dyDescent="0.35">
      <c r="A831" s="45">
        <v>827</v>
      </c>
      <c r="B831" s="2"/>
      <c r="C831" s="2"/>
      <c r="D831" s="2"/>
      <c r="E831" s="3"/>
      <c r="F831" s="3"/>
      <c r="G831" s="2"/>
      <c r="H831" s="2"/>
      <c r="I831" s="46"/>
      <c r="J831" s="12"/>
      <c r="K831" s="2"/>
      <c r="L831" s="59"/>
    </row>
    <row r="832" spans="1:12" x14ac:dyDescent="0.35">
      <c r="A832" s="45">
        <v>828</v>
      </c>
      <c r="B832" s="2"/>
      <c r="C832" s="2"/>
      <c r="D832" s="2"/>
      <c r="E832" s="3"/>
      <c r="F832" s="3"/>
      <c r="G832" s="2"/>
      <c r="H832" s="2"/>
      <c r="I832" s="46"/>
      <c r="J832" s="12"/>
      <c r="K832" s="2"/>
      <c r="L832" s="59"/>
    </row>
    <row r="833" spans="1:12" x14ac:dyDescent="0.35">
      <c r="A833" s="45">
        <v>829</v>
      </c>
      <c r="B833" s="2"/>
      <c r="C833" s="2"/>
      <c r="D833" s="2"/>
      <c r="E833" s="3"/>
      <c r="F833" s="3"/>
      <c r="G833" s="2"/>
      <c r="H833" s="2"/>
      <c r="I833" s="46"/>
      <c r="J833" s="12"/>
      <c r="K833" s="2"/>
      <c r="L833" s="59"/>
    </row>
    <row r="834" spans="1:12" x14ac:dyDescent="0.35">
      <c r="A834" s="45">
        <v>830</v>
      </c>
      <c r="B834" s="2"/>
      <c r="C834" s="2"/>
      <c r="D834" s="2"/>
      <c r="E834" s="3"/>
      <c r="F834" s="3"/>
      <c r="G834" s="2"/>
      <c r="H834" s="2"/>
      <c r="I834" s="46"/>
      <c r="J834" s="12"/>
      <c r="K834" s="2"/>
      <c r="L834" s="59"/>
    </row>
    <row r="835" spans="1:12" x14ac:dyDescent="0.35">
      <c r="A835" s="45">
        <v>831</v>
      </c>
      <c r="B835" s="2"/>
      <c r="C835" s="2"/>
      <c r="D835" s="2"/>
      <c r="E835" s="3"/>
      <c r="F835" s="3"/>
      <c r="G835" s="2"/>
      <c r="H835" s="2"/>
      <c r="I835" s="46"/>
      <c r="J835" s="12"/>
      <c r="K835" s="2"/>
      <c r="L835" s="59"/>
    </row>
    <row r="836" spans="1:12" x14ac:dyDescent="0.35">
      <c r="A836" s="45">
        <v>832</v>
      </c>
      <c r="B836" s="2"/>
      <c r="C836" s="2"/>
      <c r="D836" s="2"/>
      <c r="E836" s="3"/>
      <c r="F836" s="3"/>
      <c r="G836" s="2"/>
      <c r="H836" s="2"/>
      <c r="I836" s="46"/>
      <c r="J836" s="12"/>
      <c r="K836" s="2"/>
      <c r="L836" s="59"/>
    </row>
    <row r="837" spans="1:12" x14ac:dyDescent="0.35">
      <c r="A837" s="45">
        <v>833</v>
      </c>
      <c r="B837" s="2"/>
      <c r="C837" s="2"/>
      <c r="D837" s="2"/>
      <c r="E837" s="3"/>
      <c r="F837" s="3"/>
      <c r="G837" s="2"/>
      <c r="H837" s="2"/>
      <c r="I837" s="46"/>
      <c r="J837" s="12"/>
      <c r="K837" s="2"/>
      <c r="L837" s="59"/>
    </row>
    <row r="838" spans="1:12" x14ac:dyDescent="0.35">
      <c r="A838" s="45">
        <v>834</v>
      </c>
      <c r="B838" s="2"/>
      <c r="C838" s="2"/>
      <c r="D838" s="2"/>
      <c r="E838" s="3"/>
      <c r="F838" s="3"/>
      <c r="G838" s="2"/>
      <c r="H838" s="2"/>
      <c r="I838" s="46"/>
      <c r="J838" s="12"/>
      <c r="K838" s="2"/>
      <c r="L838" s="59"/>
    </row>
    <row r="839" spans="1:12" x14ac:dyDescent="0.35">
      <c r="A839" s="45">
        <v>835</v>
      </c>
      <c r="B839" s="2"/>
      <c r="C839" s="2"/>
      <c r="D839" s="2"/>
      <c r="E839" s="3"/>
      <c r="F839" s="3"/>
      <c r="G839" s="2"/>
      <c r="H839" s="2"/>
      <c r="I839" s="46"/>
      <c r="J839" s="12"/>
      <c r="K839" s="2"/>
      <c r="L839" s="59"/>
    </row>
    <row r="840" spans="1:12" x14ac:dyDescent="0.35">
      <c r="A840" s="45">
        <v>836</v>
      </c>
      <c r="B840" s="2"/>
      <c r="C840" s="2"/>
      <c r="D840" s="2"/>
      <c r="E840" s="3"/>
      <c r="F840" s="3"/>
      <c r="G840" s="2"/>
      <c r="H840" s="2"/>
      <c r="I840" s="46"/>
      <c r="J840" s="12"/>
      <c r="K840" s="2"/>
      <c r="L840" s="59"/>
    </row>
    <row r="841" spans="1:12" x14ac:dyDescent="0.35">
      <c r="A841" s="45">
        <v>837</v>
      </c>
      <c r="B841" s="2"/>
      <c r="C841" s="2"/>
      <c r="D841" s="2"/>
      <c r="E841" s="3"/>
      <c r="F841" s="3"/>
      <c r="G841" s="2"/>
      <c r="H841" s="2"/>
      <c r="I841" s="46"/>
      <c r="J841" s="12"/>
      <c r="K841" s="2"/>
      <c r="L841" s="59"/>
    </row>
    <row r="842" spans="1:12" x14ac:dyDescent="0.35">
      <c r="A842" s="45">
        <v>838</v>
      </c>
      <c r="B842" s="2"/>
      <c r="C842" s="2"/>
      <c r="D842" s="2"/>
      <c r="E842" s="3"/>
      <c r="F842" s="3"/>
      <c r="G842" s="2"/>
      <c r="H842" s="2"/>
      <c r="I842" s="46"/>
      <c r="J842" s="12"/>
      <c r="K842" s="2"/>
      <c r="L842" s="59"/>
    </row>
    <row r="843" spans="1:12" x14ac:dyDescent="0.35">
      <c r="A843" s="45">
        <v>839</v>
      </c>
      <c r="B843" s="2"/>
      <c r="C843" s="2"/>
      <c r="D843" s="2"/>
      <c r="E843" s="3"/>
      <c r="F843" s="3"/>
      <c r="G843" s="2"/>
      <c r="H843" s="2"/>
      <c r="I843" s="46"/>
      <c r="J843" s="12"/>
      <c r="K843" s="2"/>
      <c r="L843" s="59"/>
    </row>
    <row r="844" spans="1:12" x14ac:dyDescent="0.35">
      <c r="A844" s="45">
        <v>840</v>
      </c>
      <c r="B844" s="2"/>
      <c r="C844" s="2"/>
      <c r="D844" s="2"/>
      <c r="E844" s="3"/>
      <c r="F844" s="3"/>
      <c r="G844" s="2"/>
      <c r="H844" s="2"/>
      <c r="I844" s="46"/>
      <c r="J844" s="12"/>
      <c r="K844" s="2"/>
      <c r="L844" s="59"/>
    </row>
    <row r="845" spans="1:12" x14ac:dyDescent="0.35">
      <c r="A845" s="45">
        <v>841</v>
      </c>
      <c r="B845" s="2"/>
      <c r="C845" s="2"/>
      <c r="D845" s="2"/>
      <c r="E845" s="3"/>
      <c r="F845" s="3"/>
      <c r="G845" s="2"/>
      <c r="H845" s="2"/>
      <c r="I845" s="46"/>
      <c r="J845" s="12"/>
      <c r="K845" s="2"/>
      <c r="L845" s="59"/>
    </row>
    <row r="846" spans="1:12" x14ac:dyDescent="0.35">
      <c r="A846" s="45">
        <v>842</v>
      </c>
      <c r="B846" s="2"/>
      <c r="C846" s="2"/>
      <c r="D846" s="2"/>
      <c r="E846" s="3"/>
      <c r="F846" s="3"/>
      <c r="G846" s="2"/>
      <c r="H846" s="2"/>
      <c r="I846" s="46"/>
      <c r="J846" s="12"/>
      <c r="K846" s="2"/>
      <c r="L846" s="59"/>
    </row>
    <row r="847" spans="1:12" x14ac:dyDescent="0.35">
      <c r="A847" s="45">
        <v>843</v>
      </c>
      <c r="B847" s="2"/>
      <c r="C847" s="2"/>
      <c r="D847" s="2"/>
      <c r="E847" s="3"/>
      <c r="F847" s="3"/>
      <c r="G847" s="2"/>
      <c r="H847" s="2"/>
      <c r="I847" s="46"/>
      <c r="J847" s="12"/>
      <c r="K847" s="2"/>
      <c r="L847" s="59"/>
    </row>
    <row r="848" spans="1:12" x14ac:dyDescent="0.35">
      <c r="A848" s="45">
        <v>844</v>
      </c>
      <c r="B848" s="2"/>
      <c r="C848" s="2"/>
      <c r="D848" s="2"/>
      <c r="E848" s="3"/>
      <c r="F848" s="3"/>
      <c r="G848" s="2"/>
      <c r="H848" s="2"/>
      <c r="I848" s="46"/>
      <c r="J848" s="12"/>
      <c r="K848" s="2"/>
      <c r="L848" s="59"/>
    </row>
    <row r="849" spans="1:12" x14ac:dyDescent="0.35">
      <c r="A849" s="45">
        <v>845</v>
      </c>
      <c r="B849" s="2"/>
      <c r="C849" s="2"/>
      <c r="D849" s="2"/>
      <c r="E849" s="3"/>
      <c r="F849" s="3"/>
      <c r="G849" s="2"/>
      <c r="H849" s="2"/>
      <c r="I849" s="46"/>
      <c r="J849" s="12"/>
      <c r="K849" s="2"/>
      <c r="L849" s="59"/>
    </row>
    <row r="850" spans="1:12" x14ac:dyDescent="0.35">
      <c r="A850" s="45">
        <v>846</v>
      </c>
      <c r="B850" s="2"/>
      <c r="C850" s="2"/>
      <c r="D850" s="2"/>
      <c r="E850" s="3"/>
      <c r="F850" s="3"/>
      <c r="G850" s="2"/>
      <c r="H850" s="2"/>
      <c r="I850" s="46"/>
      <c r="J850" s="12"/>
      <c r="K850" s="2"/>
      <c r="L850" s="59"/>
    </row>
    <row r="851" spans="1:12" x14ac:dyDescent="0.35">
      <c r="A851" s="45">
        <v>847</v>
      </c>
      <c r="B851" s="2"/>
      <c r="C851" s="2"/>
      <c r="D851" s="2"/>
      <c r="E851" s="3"/>
      <c r="F851" s="3"/>
      <c r="G851" s="2"/>
      <c r="H851" s="2"/>
      <c r="I851" s="46"/>
      <c r="J851" s="12"/>
      <c r="K851" s="2"/>
      <c r="L851" s="59"/>
    </row>
    <row r="852" spans="1:12" x14ac:dyDescent="0.35">
      <c r="A852" s="45">
        <v>848</v>
      </c>
      <c r="B852" s="2"/>
      <c r="C852" s="2"/>
      <c r="D852" s="2"/>
      <c r="E852" s="3"/>
      <c r="F852" s="3"/>
      <c r="G852" s="2"/>
      <c r="H852" s="2"/>
      <c r="I852" s="46"/>
      <c r="J852" s="12"/>
      <c r="K852" s="2"/>
      <c r="L852" s="59"/>
    </row>
    <row r="853" spans="1:12" x14ac:dyDescent="0.35">
      <c r="A853" s="45">
        <v>849</v>
      </c>
      <c r="B853" s="2"/>
      <c r="C853" s="2"/>
      <c r="D853" s="2"/>
      <c r="E853" s="3"/>
      <c r="F853" s="3"/>
      <c r="G853" s="2"/>
      <c r="H853" s="2"/>
      <c r="I853" s="46"/>
      <c r="J853" s="12"/>
      <c r="K853" s="2"/>
      <c r="L853" s="59"/>
    </row>
    <row r="854" spans="1:12" x14ac:dyDescent="0.35">
      <c r="A854" s="45">
        <v>850</v>
      </c>
      <c r="B854" s="2"/>
      <c r="C854" s="2"/>
      <c r="D854" s="2"/>
      <c r="E854" s="3"/>
      <c r="F854" s="3"/>
      <c r="G854" s="2"/>
      <c r="H854" s="2"/>
      <c r="I854" s="46"/>
      <c r="J854" s="12"/>
      <c r="K854" s="2"/>
      <c r="L854" s="59"/>
    </row>
    <row r="855" spans="1:12" x14ac:dyDescent="0.35">
      <c r="A855" s="45">
        <v>851</v>
      </c>
      <c r="B855" s="2"/>
      <c r="C855" s="2"/>
      <c r="D855" s="2"/>
      <c r="E855" s="3"/>
      <c r="F855" s="3"/>
      <c r="G855" s="2"/>
      <c r="H855" s="2"/>
      <c r="I855" s="46"/>
      <c r="J855" s="12"/>
      <c r="K855" s="2"/>
      <c r="L855" s="59"/>
    </row>
    <row r="856" spans="1:12" x14ac:dyDescent="0.35">
      <c r="A856" s="45">
        <v>852</v>
      </c>
      <c r="B856" s="2"/>
      <c r="C856" s="2"/>
      <c r="D856" s="2"/>
      <c r="E856" s="3"/>
      <c r="F856" s="3"/>
      <c r="G856" s="2"/>
      <c r="H856" s="2"/>
      <c r="I856" s="46"/>
      <c r="J856" s="12"/>
      <c r="K856" s="2"/>
      <c r="L856" s="59"/>
    </row>
    <row r="857" spans="1:12" x14ac:dyDescent="0.35">
      <c r="A857" s="45">
        <v>853</v>
      </c>
      <c r="B857" s="2"/>
      <c r="C857" s="2"/>
      <c r="D857" s="2"/>
      <c r="E857" s="3"/>
      <c r="F857" s="3"/>
      <c r="G857" s="2"/>
      <c r="H857" s="2"/>
      <c r="I857" s="46"/>
      <c r="J857" s="12"/>
      <c r="K857" s="2"/>
      <c r="L857" s="59"/>
    </row>
    <row r="858" spans="1:12" x14ac:dyDescent="0.35">
      <c r="A858" s="45">
        <v>854</v>
      </c>
      <c r="B858" s="2"/>
      <c r="C858" s="2"/>
      <c r="D858" s="2"/>
      <c r="E858" s="3"/>
      <c r="F858" s="3"/>
      <c r="G858" s="2"/>
      <c r="H858" s="2"/>
      <c r="I858" s="46"/>
      <c r="J858" s="12"/>
      <c r="K858" s="2"/>
      <c r="L858" s="59"/>
    </row>
    <row r="859" spans="1:12" x14ac:dyDescent="0.35">
      <c r="A859" s="45">
        <v>855</v>
      </c>
      <c r="B859" s="2"/>
      <c r="C859" s="2"/>
      <c r="D859" s="2"/>
      <c r="E859" s="3"/>
      <c r="F859" s="3"/>
      <c r="G859" s="2"/>
      <c r="H859" s="2"/>
      <c r="I859" s="46"/>
      <c r="J859" s="12"/>
      <c r="K859" s="2"/>
      <c r="L859" s="59"/>
    </row>
    <row r="860" spans="1:12" x14ac:dyDescent="0.35">
      <c r="A860" s="45">
        <v>856</v>
      </c>
      <c r="B860" s="2"/>
      <c r="C860" s="2"/>
      <c r="D860" s="2"/>
      <c r="E860" s="3"/>
      <c r="F860" s="3"/>
      <c r="G860" s="2"/>
      <c r="H860" s="2"/>
      <c r="I860" s="46"/>
      <c r="J860" s="12"/>
      <c r="K860" s="2"/>
      <c r="L860" s="59"/>
    </row>
    <row r="861" spans="1:12" x14ac:dyDescent="0.35">
      <c r="A861" s="45">
        <v>857</v>
      </c>
      <c r="B861" s="2"/>
      <c r="C861" s="2"/>
      <c r="D861" s="2"/>
      <c r="E861" s="3"/>
      <c r="F861" s="3"/>
      <c r="G861" s="2"/>
      <c r="H861" s="2"/>
      <c r="I861" s="46"/>
      <c r="J861" s="12"/>
      <c r="K861" s="2"/>
      <c r="L861" s="59"/>
    </row>
    <row r="862" spans="1:12" x14ac:dyDescent="0.35">
      <c r="A862" s="45">
        <v>858</v>
      </c>
      <c r="B862" s="2"/>
      <c r="C862" s="2"/>
      <c r="D862" s="2"/>
      <c r="E862" s="3"/>
      <c r="F862" s="3"/>
      <c r="G862" s="2"/>
      <c r="H862" s="2"/>
      <c r="I862" s="46"/>
      <c r="J862" s="12"/>
      <c r="K862" s="2"/>
      <c r="L862" s="59"/>
    </row>
    <row r="863" spans="1:12" x14ac:dyDescent="0.35">
      <c r="A863" s="45">
        <v>859</v>
      </c>
      <c r="B863" s="2"/>
      <c r="C863" s="2"/>
      <c r="D863" s="2"/>
      <c r="E863" s="3"/>
      <c r="F863" s="3"/>
      <c r="G863" s="2"/>
      <c r="H863" s="2"/>
      <c r="I863" s="46"/>
      <c r="J863" s="12"/>
      <c r="K863" s="2"/>
      <c r="L863" s="59"/>
    </row>
    <row r="864" spans="1:12" x14ac:dyDescent="0.35">
      <c r="A864" s="45">
        <v>860</v>
      </c>
      <c r="B864" s="2"/>
      <c r="C864" s="2"/>
      <c r="D864" s="2"/>
      <c r="E864" s="3"/>
      <c r="F864" s="3"/>
      <c r="G864" s="2"/>
      <c r="H864" s="2"/>
      <c r="I864" s="46"/>
      <c r="J864" s="12"/>
      <c r="K864" s="2"/>
      <c r="L864" s="59"/>
    </row>
    <row r="865" spans="1:12" x14ac:dyDescent="0.35">
      <c r="A865" s="45">
        <v>861</v>
      </c>
      <c r="B865" s="2"/>
      <c r="C865" s="2"/>
      <c r="D865" s="2"/>
      <c r="E865" s="3"/>
      <c r="F865" s="3"/>
      <c r="G865" s="2"/>
      <c r="H865" s="2"/>
      <c r="I865" s="46"/>
      <c r="J865" s="12"/>
      <c r="K865" s="2"/>
      <c r="L865" s="59"/>
    </row>
    <row r="866" spans="1:12" x14ac:dyDescent="0.35">
      <c r="A866" s="45">
        <v>862</v>
      </c>
      <c r="B866" s="2"/>
      <c r="C866" s="2"/>
      <c r="D866" s="2"/>
      <c r="E866" s="3"/>
      <c r="F866" s="3"/>
      <c r="G866" s="2"/>
      <c r="H866" s="2"/>
      <c r="I866" s="46"/>
      <c r="J866" s="12"/>
      <c r="K866" s="2"/>
      <c r="L866" s="59"/>
    </row>
    <row r="867" spans="1:12" x14ac:dyDescent="0.35">
      <c r="A867" s="45">
        <v>863</v>
      </c>
      <c r="B867" s="2"/>
      <c r="C867" s="2"/>
      <c r="D867" s="2"/>
      <c r="E867" s="3"/>
      <c r="F867" s="3"/>
      <c r="G867" s="2"/>
      <c r="H867" s="2"/>
      <c r="I867" s="46"/>
      <c r="J867" s="12"/>
      <c r="K867" s="2"/>
      <c r="L867" s="59"/>
    </row>
    <row r="868" spans="1:12" x14ac:dyDescent="0.35">
      <c r="A868" s="45">
        <v>864</v>
      </c>
      <c r="B868" s="2"/>
      <c r="C868" s="2"/>
      <c r="D868" s="2"/>
      <c r="E868" s="3"/>
      <c r="F868" s="3"/>
      <c r="G868" s="2"/>
      <c r="H868" s="2"/>
      <c r="I868" s="46"/>
      <c r="J868" s="12"/>
      <c r="K868" s="2"/>
      <c r="L868" s="59"/>
    </row>
    <row r="869" spans="1:12" x14ac:dyDescent="0.35">
      <c r="A869" s="45">
        <v>865</v>
      </c>
      <c r="B869" s="2"/>
      <c r="C869" s="2"/>
      <c r="D869" s="2"/>
      <c r="E869" s="3"/>
      <c r="F869" s="3"/>
      <c r="G869" s="2"/>
      <c r="H869" s="2"/>
      <c r="I869" s="46"/>
      <c r="J869" s="12"/>
      <c r="K869" s="2"/>
      <c r="L869" s="59"/>
    </row>
    <row r="870" spans="1:12" x14ac:dyDescent="0.35">
      <c r="A870" s="45">
        <v>866</v>
      </c>
      <c r="B870" s="2"/>
      <c r="C870" s="2"/>
      <c r="D870" s="2"/>
      <c r="E870" s="3"/>
      <c r="F870" s="3"/>
      <c r="G870" s="2"/>
      <c r="H870" s="2"/>
      <c r="I870" s="46"/>
      <c r="J870" s="12"/>
      <c r="K870" s="2"/>
      <c r="L870" s="59"/>
    </row>
    <row r="871" spans="1:12" x14ac:dyDescent="0.35">
      <c r="A871" s="45">
        <v>867</v>
      </c>
      <c r="B871" s="2"/>
      <c r="C871" s="2"/>
      <c r="D871" s="2"/>
      <c r="E871" s="3"/>
      <c r="F871" s="3"/>
      <c r="G871" s="2"/>
      <c r="H871" s="2"/>
      <c r="I871" s="46"/>
      <c r="J871" s="12"/>
      <c r="K871" s="2"/>
      <c r="L871" s="59"/>
    </row>
    <row r="872" spans="1:12" x14ac:dyDescent="0.35">
      <c r="A872" s="45">
        <v>868</v>
      </c>
      <c r="B872" s="2"/>
      <c r="C872" s="2"/>
      <c r="D872" s="2"/>
      <c r="E872" s="3"/>
      <c r="F872" s="3"/>
      <c r="G872" s="2"/>
      <c r="H872" s="2"/>
      <c r="I872" s="46"/>
      <c r="J872" s="12"/>
      <c r="K872" s="2"/>
      <c r="L872" s="59"/>
    </row>
    <row r="873" spans="1:12" x14ac:dyDescent="0.35">
      <c r="A873" s="45">
        <v>869</v>
      </c>
      <c r="B873" s="2"/>
      <c r="C873" s="2"/>
      <c r="D873" s="2"/>
      <c r="E873" s="3"/>
      <c r="F873" s="3"/>
      <c r="G873" s="2"/>
      <c r="H873" s="2"/>
      <c r="I873" s="46"/>
      <c r="J873" s="12"/>
      <c r="K873" s="2"/>
      <c r="L873" s="59"/>
    </row>
    <row r="874" spans="1:12" x14ac:dyDescent="0.35">
      <c r="A874" s="45">
        <v>870</v>
      </c>
      <c r="B874" s="2"/>
      <c r="C874" s="2"/>
      <c r="D874" s="2"/>
      <c r="E874" s="3"/>
      <c r="F874" s="3"/>
      <c r="G874" s="2"/>
      <c r="H874" s="2"/>
      <c r="I874" s="46"/>
      <c r="J874" s="12"/>
      <c r="K874" s="2"/>
      <c r="L874" s="59"/>
    </row>
    <row r="875" spans="1:12" x14ac:dyDescent="0.35">
      <c r="A875" s="45">
        <v>871</v>
      </c>
      <c r="B875" s="2"/>
      <c r="C875" s="2"/>
      <c r="D875" s="2"/>
      <c r="E875" s="3"/>
      <c r="F875" s="3"/>
      <c r="G875" s="2"/>
      <c r="H875" s="2"/>
      <c r="I875" s="46"/>
      <c r="J875" s="12"/>
      <c r="K875" s="2"/>
      <c r="L875" s="59"/>
    </row>
    <row r="876" spans="1:12" x14ac:dyDescent="0.35">
      <c r="A876" s="45">
        <v>872</v>
      </c>
      <c r="B876" s="2"/>
      <c r="C876" s="2"/>
      <c r="D876" s="2"/>
      <c r="E876" s="3"/>
      <c r="F876" s="3"/>
      <c r="G876" s="2"/>
      <c r="H876" s="2"/>
      <c r="I876" s="46"/>
      <c r="J876" s="12"/>
      <c r="K876" s="2"/>
      <c r="L876" s="59"/>
    </row>
    <row r="877" spans="1:12" x14ac:dyDescent="0.35">
      <c r="A877" s="45">
        <v>873</v>
      </c>
      <c r="B877" s="2"/>
      <c r="C877" s="2"/>
      <c r="D877" s="2"/>
      <c r="E877" s="3"/>
      <c r="F877" s="3"/>
      <c r="G877" s="2"/>
      <c r="H877" s="2"/>
      <c r="I877" s="46"/>
      <c r="J877" s="12"/>
      <c r="K877" s="2"/>
      <c r="L877" s="59"/>
    </row>
    <row r="878" spans="1:12" x14ac:dyDescent="0.35">
      <c r="A878" s="45">
        <v>874</v>
      </c>
      <c r="B878" s="2"/>
      <c r="C878" s="2"/>
      <c r="D878" s="2"/>
      <c r="E878" s="3"/>
      <c r="F878" s="3"/>
      <c r="G878" s="2"/>
      <c r="H878" s="2"/>
      <c r="I878" s="46"/>
      <c r="J878" s="12"/>
      <c r="K878" s="2"/>
      <c r="L878" s="59"/>
    </row>
    <row r="879" spans="1:12" x14ac:dyDescent="0.35">
      <c r="A879" s="45">
        <v>875</v>
      </c>
      <c r="B879" s="2"/>
      <c r="C879" s="2"/>
      <c r="D879" s="2"/>
      <c r="E879" s="3"/>
      <c r="F879" s="3"/>
      <c r="G879" s="2"/>
      <c r="H879" s="2"/>
      <c r="I879" s="46"/>
      <c r="J879" s="12"/>
      <c r="K879" s="2"/>
      <c r="L879" s="59"/>
    </row>
    <row r="880" spans="1:12" x14ac:dyDescent="0.35">
      <c r="A880" s="45">
        <v>876</v>
      </c>
      <c r="B880" s="2"/>
      <c r="C880" s="2"/>
      <c r="D880" s="2"/>
      <c r="E880" s="3"/>
      <c r="F880" s="3"/>
      <c r="G880" s="2"/>
      <c r="H880" s="2"/>
      <c r="I880" s="46"/>
      <c r="J880" s="12"/>
      <c r="K880" s="2"/>
      <c r="L880" s="59"/>
    </row>
    <row r="881" spans="1:12" x14ac:dyDescent="0.35">
      <c r="A881" s="45">
        <v>877</v>
      </c>
      <c r="B881" s="2"/>
      <c r="C881" s="2"/>
      <c r="D881" s="2"/>
      <c r="E881" s="3"/>
      <c r="F881" s="3"/>
      <c r="G881" s="2"/>
      <c r="H881" s="2"/>
      <c r="I881" s="46"/>
      <c r="J881" s="12"/>
      <c r="K881" s="2"/>
      <c r="L881" s="59"/>
    </row>
    <row r="882" spans="1:12" x14ac:dyDescent="0.35">
      <c r="A882" s="45">
        <v>878</v>
      </c>
      <c r="B882" s="2"/>
      <c r="C882" s="2"/>
      <c r="D882" s="2"/>
      <c r="E882" s="3"/>
      <c r="F882" s="3"/>
      <c r="G882" s="2"/>
      <c r="H882" s="2"/>
      <c r="I882" s="46"/>
      <c r="J882" s="12"/>
      <c r="K882" s="2"/>
      <c r="L882" s="59"/>
    </row>
    <row r="883" spans="1:12" x14ac:dyDescent="0.35">
      <c r="A883" s="45">
        <v>879</v>
      </c>
      <c r="B883" s="2"/>
      <c r="C883" s="2"/>
      <c r="D883" s="2"/>
      <c r="E883" s="3"/>
      <c r="F883" s="3"/>
      <c r="G883" s="2"/>
      <c r="H883" s="2"/>
      <c r="I883" s="46"/>
      <c r="J883" s="12"/>
      <c r="K883" s="2"/>
      <c r="L883" s="59"/>
    </row>
    <row r="884" spans="1:12" x14ac:dyDescent="0.35">
      <c r="A884" s="45">
        <v>880</v>
      </c>
      <c r="B884" s="2"/>
      <c r="C884" s="2"/>
      <c r="D884" s="2"/>
      <c r="E884" s="3"/>
      <c r="F884" s="3"/>
      <c r="G884" s="2"/>
      <c r="H884" s="2"/>
      <c r="I884" s="46"/>
      <c r="J884" s="12"/>
      <c r="K884" s="2"/>
      <c r="L884" s="59"/>
    </row>
    <row r="885" spans="1:12" x14ac:dyDescent="0.35">
      <c r="A885" s="45">
        <v>881</v>
      </c>
      <c r="B885" s="2"/>
      <c r="C885" s="2"/>
      <c r="D885" s="2"/>
      <c r="E885" s="3"/>
      <c r="F885" s="3"/>
      <c r="G885" s="2"/>
      <c r="H885" s="2"/>
      <c r="I885" s="46"/>
      <c r="J885" s="12"/>
      <c r="K885" s="2"/>
      <c r="L885" s="59"/>
    </row>
    <row r="886" spans="1:12" x14ac:dyDescent="0.35">
      <c r="A886" s="45">
        <v>882</v>
      </c>
      <c r="B886" s="2"/>
      <c r="C886" s="2"/>
      <c r="D886" s="2"/>
      <c r="E886" s="3"/>
      <c r="F886" s="3"/>
      <c r="G886" s="2"/>
      <c r="H886" s="2"/>
      <c r="I886" s="46"/>
      <c r="J886" s="12"/>
      <c r="K886" s="2"/>
      <c r="L886" s="59"/>
    </row>
    <row r="887" spans="1:12" x14ac:dyDescent="0.35">
      <c r="A887" s="45">
        <v>883</v>
      </c>
      <c r="B887" s="2"/>
      <c r="C887" s="2"/>
      <c r="D887" s="2"/>
      <c r="E887" s="3"/>
      <c r="F887" s="3"/>
      <c r="G887" s="2"/>
      <c r="H887" s="2"/>
      <c r="I887" s="46"/>
      <c r="J887" s="12"/>
      <c r="K887" s="2"/>
      <c r="L887" s="59"/>
    </row>
    <row r="888" spans="1:12" x14ac:dyDescent="0.35">
      <c r="A888" s="45">
        <v>884</v>
      </c>
      <c r="B888" s="2"/>
      <c r="C888" s="2"/>
      <c r="D888" s="2"/>
      <c r="E888" s="3"/>
      <c r="F888" s="3"/>
      <c r="G888" s="2"/>
      <c r="H888" s="2"/>
      <c r="I888" s="46"/>
      <c r="J888" s="12"/>
      <c r="K888" s="2"/>
      <c r="L888" s="59"/>
    </row>
    <row r="889" spans="1:12" x14ac:dyDescent="0.35">
      <c r="A889" s="45">
        <v>885</v>
      </c>
      <c r="B889" s="2"/>
      <c r="C889" s="2"/>
      <c r="D889" s="2"/>
      <c r="E889" s="3"/>
      <c r="F889" s="3"/>
      <c r="G889" s="2"/>
      <c r="H889" s="2"/>
      <c r="I889" s="46"/>
      <c r="J889" s="12"/>
      <c r="K889" s="2"/>
      <c r="L889" s="59"/>
    </row>
    <row r="890" spans="1:12" x14ac:dyDescent="0.35">
      <c r="A890" s="45">
        <v>886</v>
      </c>
      <c r="B890" s="2"/>
      <c r="C890" s="2"/>
      <c r="D890" s="2"/>
      <c r="E890" s="3"/>
      <c r="F890" s="3"/>
      <c r="G890" s="2"/>
      <c r="H890" s="2"/>
      <c r="I890" s="46"/>
      <c r="J890" s="12"/>
      <c r="K890" s="2"/>
      <c r="L890" s="59"/>
    </row>
    <row r="891" spans="1:12" x14ac:dyDescent="0.35">
      <c r="A891" s="45">
        <v>887</v>
      </c>
      <c r="B891" s="2"/>
      <c r="C891" s="2"/>
      <c r="D891" s="2"/>
      <c r="E891" s="3"/>
      <c r="F891" s="3"/>
      <c r="G891" s="2"/>
      <c r="H891" s="2"/>
      <c r="I891" s="46"/>
      <c r="J891" s="12"/>
      <c r="K891" s="2"/>
      <c r="L891" s="59"/>
    </row>
    <row r="892" spans="1:12" x14ac:dyDescent="0.35">
      <c r="A892" s="45">
        <v>888</v>
      </c>
      <c r="B892" s="2"/>
      <c r="C892" s="2"/>
      <c r="D892" s="2"/>
      <c r="E892" s="3"/>
      <c r="F892" s="3"/>
      <c r="G892" s="2"/>
      <c r="H892" s="2"/>
      <c r="I892" s="46"/>
      <c r="J892" s="12"/>
      <c r="K892" s="2"/>
      <c r="L892" s="59"/>
    </row>
    <row r="893" spans="1:12" x14ac:dyDescent="0.35">
      <c r="A893" s="45">
        <v>889</v>
      </c>
      <c r="B893" s="2"/>
      <c r="C893" s="2"/>
      <c r="D893" s="2"/>
      <c r="E893" s="3"/>
      <c r="F893" s="3"/>
      <c r="G893" s="2"/>
      <c r="H893" s="2"/>
      <c r="I893" s="46"/>
      <c r="J893" s="12"/>
      <c r="K893" s="2"/>
      <c r="L893" s="59"/>
    </row>
    <row r="894" spans="1:12" x14ac:dyDescent="0.35">
      <c r="A894" s="45">
        <v>890</v>
      </c>
      <c r="B894" s="2"/>
      <c r="C894" s="2"/>
      <c r="D894" s="2"/>
      <c r="E894" s="3"/>
      <c r="F894" s="3"/>
      <c r="G894" s="2"/>
      <c r="H894" s="2"/>
      <c r="I894" s="46"/>
      <c r="J894" s="12"/>
      <c r="K894" s="2"/>
      <c r="L894" s="59"/>
    </row>
    <row r="895" spans="1:12" x14ac:dyDescent="0.35">
      <c r="A895" s="45">
        <v>891</v>
      </c>
      <c r="B895" s="2"/>
      <c r="C895" s="2"/>
      <c r="D895" s="2"/>
      <c r="E895" s="3"/>
      <c r="F895" s="3"/>
      <c r="G895" s="2"/>
      <c r="H895" s="2"/>
      <c r="I895" s="46"/>
      <c r="J895" s="12"/>
      <c r="K895" s="2"/>
      <c r="L895" s="59"/>
    </row>
    <row r="896" spans="1:12" x14ac:dyDescent="0.35">
      <c r="A896" s="45">
        <v>892</v>
      </c>
      <c r="B896" s="2"/>
      <c r="C896" s="2"/>
      <c r="D896" s="2"/>
      <c r="E896" s="3"/>
      <c r="F896" s="3"/>
      <c r="G896" s="2"/>
      <c r="H896" s="2"/>
      <c r="I896" s="46"/>
      <c r="J896" s="12"/>
      <c r="K896" s="2"/>
      <c r="L896" s="59"/>
    </row>
    <row r="897" spans="1:12" x14ac:dyDescent="0.35">
      <c r="A897" s="45">
        <v>893</v>
      </c>
      <c r="B897" s="2"/>
      <c r="C897" s="2"/>
      <c r="D897" s="2"/>
      <c r="E897" s="3"/>
      <c r="F897" s="3"/>
      <c r="G897" s="2"/>
      <c r="H897" s="2"/>
      <c r="I897" s="46"/>
      <c r="J897" s="12"/>
      <c r="K897" s="2"/>
      <c r="L897" s="59"/>
    </row>
    <row r="898" spans="1:12" x14ac:dyDescent="0.35">
      <c r="A898" s="45">
        <v>894</v>
      </c>
      <c r="B898" s="2"/>
      <c r="C898" s="2"/>
      <c r="D898" s="2"/>
      <c r="E898" s="3"/>
      <c r="F898" s="3"/>
      <c r="G898" s="2"/>
      <c r="H898" s="2"/>
      <c r="I898" s="46"/>
      <c r="J898" s="12"/>
      <c r="K898" s="2"/>
      <c r="L898" s="59"/>
    </row>
    <row r="899" spans="1:12" x14ac:dyDescent="0.35">
      <c r="A899" s="45">
        <v>895</v>
      </c>
      <c r="B899" s="2"/>
      <c r="C899" s="2"/>
      <c r="D899" s="2"/>
      <c r="E899" s="3"/>
      <c r="F899" s="3"/>
      <c r="G899" s="2"/>
      <c r="H899" s="2"/>
      <c r="I899" s="46"/>
      <c r="J899" s="12"/>
      <c r="K899" s="2"/>
      <c r="L899" s="59"/>
    </row>
    <row r="900" spans="1:12" x14ac:dyDescent="0.35">
      <c r="A900" s="45">
        <v>896</v>
      </c>
      <c r="B900" s="2"/>
      <c r="C900" s="2"/>
      <c r="D900" s="2"/>
      <c r="E900" s="3"/>
      <c r="F900" s="3"/>
      <c r="G900" s="2"/>
      <c r="H900" s="2"/>
      <c r="I900" s="46"/>
      <c r="J900" s="12"/>
      <c r="K900" s="2"/>
      <c r="L900" s="59"/>
    </row>
    <row r="901" spans="1:12" x14ac:dyDescent="0.35">
      <c r="A901" s="45">
        <v>897</v>
      </c>
      <c r="B901" s="2"/>
      <c r="C901" s="2"/>
      <c r="D901" s="2"/>
      <c r="E901" s="3"/>
      <c r="F901" s="3"/>
      <c r="G901" s="2"/>
      <c r="H901" s="2"/>
      <c r="I901" s="46"/>
      <c r="J901" s="12"/>
      <c r="K901" s="2"/>
      <c r="L901" s="59"/>
    </row>
    <row r="902" spans="1:12" x14ac:dyDescent="0.35">
      <c r="A902" s="45">
        <v>898</v>
      </c>
      <c r="B902" s="2"/>
      <c r="C902" s="2"/>
      <c r="D902" s="2"/>
      <c r="E902" s="3"/>
      <c r="F902" s="3"/>
      <c r="G902" s="2"/>
      <c r="H902" s="2"/>
      <c r="I902" s="46"/>
      <c r="J902" s="12"/>
      <c r="K902" s="2"/>
      <c r="L902" s="59"/>
    </row>
    <row r="903" spans="1:12" x14ac:dyDescent="0.35">
      <c r="A903" s="45">
        <v>899</v>
      </c>
      <c r="B903" s="2"/>
      <c r="C903" s="2"/>
      <c r="D903" s="2"/>
      <c r="E903" s="3"/>
      <c r="F903" s="3"/>
      <c r="G903" s="2"/>
      <c r="H903" s="2"/>
      <c r="I903" s="46"/>
      <c r="J903" s="12"/>
      <c r="K903" s="2"/>
      <c r="L903" s="59"/>
    </row>
    <row r="904" spans="1:12" x14ac:dyDescent="0.35">
      <c r="A904" s="45">
        <v>900</v>
      </c>
      <c r="B904" s="2"/>
      <c r="C904" s="2"/>
      <c r="D904" s="2"/>
      <c r="E904" s="3"/>
      <c r="F904" s="3"/>
      <c r="G904" s="2"/>
      <c r="H904" s="2"/>
      <c r="I904" s="46"/>
      <c r="J904" s="12"/>
      <c r="K904" s="2"/>
      <c r="L904" s="59"/>
    </row>
    <row r="905" spans="1:12" x14ac:dyDescent="0.35">
      <c r="A905" s="45">
        <v>901</v>
      </c>
      <c r="B905" s="2"/>
      <c r="C905" s="2"/>
      <c r="D905" s="2"/>
      <c r="E905" s="3"/>
      <c r="F905" s="3"/>
      <c r="G905" s="2"/>
      <c r="H905" s="2"/>
      <c r="I905" s="46"/>
      <c r="J905" s="12"/>
      <c r="K905" s="2"/>
      <c r="L905" s="59"/>
    </row>
    <row r="906" spans="1:12" x14ac:dyDescent="0.35">
      <c r="A906" s="45">
        <v>902</v>
      </c>
      <c r="B906" s="2"/>
      <c r="C906" s="2"/>
      <c r="D906" s="2"/>
      <c r="E906" s="3"/>
      <c r="F906" s="3"/>
      <c r="G906" s="2"/>
      <c r="H906" s="2"/>
      <c r="I906" s="46"/>
      <c r="J906" s="12"/>
      <c r="K906" s="2"/>
      <c r="L906" s="59"/>
    </row>
    <row r="907" spans="1:12" x14ac:dyDescent="0.35">
      <c r="A907" s="45">
        <v>903</v>
      </c>
      <c r="B907" s="2"/>
      <c r="C907" s="2"/>
      <c r="D907" s="2"/>
      <c r="E907" s="3"/>
      <c r="F907" s="3"/>
      <c r="G907" s="2"/>
      <c r="H907" s="2"/>
      <c r="I907" s="46"/>
      <c r="J907" s="12"/>
      <c r="K907" s="2"/>
      <c r="L907" s="59"/>
    </row>
    <row r="908" spans="1:12" x14ac:dyDescent="0.35">
      <c r="A908" s="45">
        <v>904</v>
      </c>
      <c r="B908" s="2"/>
      <c r="C908" s="2"/>
      <c r="D908" s="2"/>
      <c r="E908" s="3"/>
      <c r="F908" s="3"/>
      <c r="G908" s="2"/>
      <c r="H908" s="2"/>
      <c r="I908" s="46"/>
      <c r="J908" s="12"/>
      <c r="K908" s="2"/>
      <c r="L908" s="59"/>
    </row>
    <row r="909" spans="1:12" x14ac:dyDescent="0.35">
      <c r="A909" s="45">
        <v>905</v>
      </c>
      <c r="B909" s="2"/>
      <c r="C909" s="2"/>
      <c r="D909" s="2"/>
      <c r="E909" s="3"/>
      <c r="F909" s="3"/>
      <c r="G909" s="2"/>
      <c r="H909" s="2"/>
      <c r="I909" s="46"/>
      <c r="J909" s="12"/>
      <c r="K909" s="2"/>
      <c r="L909" s="59"/>
    </row>
    <row r="910" spans="1:12" x14ac:dyDescent="0.35">
      <c r="A910" s="45">
        <v>906</v>
      </c>
      <c r="B910" s="2"/>
      <c r="C910" s="2"/>
      <c r="D910" s="2"/>
      <c r="E910" s="3"/>
      <c r="F910" s="3"/>
      <c r="G910" s="2"/>
      <c r="H910" s="2"/>
      <c r="I910" s="46"/>
      <c r="J910" s="12"/>
      <c r="K910" s="2"/>
      <c r="L910" s="59"/>
    </row>
    <row r="911" spans="1:12" x14ac:dyDescent="0.35">
      <c r="A911" s="45">
        <v>907</v>
      </c>
      <c r="B911" s="2"/>
      <c r="C911" s="2"/>
      <c r="D911" s="2"/>
      <c r="E911" s="3"/>
      <c r="F911" s="3"/>
      <c r="G911" s="2"/>
      <c r="H911" s="2"/>
      <c r="I911" s="46"/>
      <c r="J911" s="12"/>
      <c r="K911" s="2"/>
      <c r="L911" s="59"/>
    </row>
    <row r="912" spans="1:12" x14ac:dyDescent="0.35">
      <c r="A912" s="45">
        <v>908</v>
      </c>
      <c r="B912" s="2"/>
      <c r="C912" s="2"/>
      <c r="D912" s="2"/>
      <c r="E912" s="3"/>
      <c r="F912" s="3"/>
      <c r="G912" s="2"/>
      <c r="H912" s="2"/>
      <c r="I912" s="46"/>
      <c r="J912" s="12"/>
      <c r="K912" s="2"/>
      <c r="L912" s="59"/>
    </row>
    <row r="913" spans="1:12" x14ac:dyDescent="0.35">
      <c r="A913" s="45">
        <v>909</v>
      </c>
      <c r="B913" s="2"/>
      <c r="C913" s="2"/>
      <c r="D913" s="2"/>
      <c r="E913" s="3"/>
      <c r="F913" s="3"/>
      <c r="G913" s="2"/>
      <c r="H913" s="2"/>
      <c r="I913" s="46"/>
      <c r="J913" s="12"/>
      <c r="K913" s="2"/>
      <c r="L913" s="59"/>
    </row>
    <row r="914" spans="1:12" x14ac:dyDescent="0.35">
      <c r="A914" s="45">
        <v>910</v>
      </c>
      <c r="B914" s="2"/>
      <c r="C914" s="2"/>
      <c r="D914" s="2"/>
      <c r="E914" s="3"/>
      <c r="F914" s="3"/>
      <c r="G914" s="2"/>
      <c r="H914" s="2"/>
      <c r="I914" s="46"/>
      <c r="J914" s="12"/>
      <c r="K914" s="2"/>
      <c r="L914" s="59"/>
    </row>
    <row r="915" spans="1:12" x14ac:dyDescent="0.35">
      <c r="A915" s="45">
        <v>911</v>
      </c>
      <c r="B915" s="2"/>
      <c r="C915" s="2"/>
      <c r="D915" s="2"/>
      <c r="E915" s="3"/>
      <c r="F915" s="3"/>
      <c r="G915" s="2"/>
      <c r="H915" s="2"/>
      <c r="I915" s="46"/>
      <c r="J915" s="12"/>
      <c r="K915" s="2"/>
      <c r="L915" s="59"/>
    </row>
    <row r="916" spans="1:12" x14ac:dyDescent="0.35">
      <c r="A916" s="45">
        <v>912</v>
      </c>
      <c r="B916" s="2"/>
      <c r="C916" s="2"/>
      <c r="D916" s="2"/>
      <c r="E916" s="3"/>
      <c r="F916" s="3"/>
      <c r="G916" s="2"/>
      <c r="H916" s="2"/>
      <c r="I916" s="46"/>
      <c r="J916" s="12"/>
      <c r="K916" s="2"/>
      <c r="L916" s="59"/>
    </row>
    <row r="917" spans="1:12" x14ac:dyDescent="0.35">
      <c r="A917" s="45">
        <v>913</v>
      </c>
      <c r="B917" s="2"/>
      <c r="C917" s="2"/>
      <c r="D917" s="2"/>
      <c r="E917" s="3"/>
      <c r="F917" s="3"/>
      <c r="G917" s="2"/>
      <c r="H917" s="2"/>
      <c r="I917" s="46"/>
      <c r="J917" s="12"/>
      <c r="K917" s="2"/>
      <c r="L917" s="59"/>
    </row>
    <row r="918" spans="1:12" x14ac:dyDescent="0.35">
      <c r="A918" s="45">
        <v>914</v>
      </c>
      <c r="B918" s="2"/>
      <c r="C918" s="2"/>
      <c r="D918" s="2"/>
      <c r="E918" s="3"/>
      <c r="F918" s="3"/>
      <c r="G918" s="2"/>
      <c r="H918" s="2"/>
      <c r="I918" s="46"/>
      <c r="J918" s="12"/>
      <c r="K918" s="2"/>
      <c r="L918" s="59"/>
    </row>
    <row r="919" spans="1:12" x14ac:dyDescent="0.35">
      <c r="A919" s="45">
        <v>915</v>
      </c>
      <c r="B919" s="2"/>
      <c r="C919" s="2"/>
      <c r="D919" s="2"/>
      <c r="E919" s="3"/>
      <c r="F919" s="3"/>
      <c r="G919" s="2"/>
      <c r="H919" s="2"/>
      <c r="I919" s="46"/>
      <c r="J919" s="12"/>
      <c r="K919" s="2"/>
      <c r="L919" s="59"/>
    </row>
    <row r="920" spans="1:12" x14ac:dyDescent="0.35">
      <c r="A920" s="45">
        <v>916</v>
      </c>
      <c r="B920" s="2"/>
      <c r="C920" s="2"/>
      <c r="D920" s="2"/>
      <c r="E920" s="3"/>
      <c r="F920" s="3"/>
      <c r="G920" s="2"/>
      <c r="H920" s="2"/>
      <c r="I920" s="46"/>
      <c r="J920" s="12"/>
      <c r="K920" s="2"/>
      <c r="L920" s="59"/>
    </row>
    <row r="921" spans="1:12" x14ac:dyDescent="0.35">
      <c r="A921" s="45">
        <v>917</v>
      </c>
      <c r="B921" s="2"/>
      <c r="C921" s="2"/>
      <c r="D921" s="2"/>
      <c r="E921" s="3"/>
      <c r="F921" s="3"/>
      <c r="G921" s="2"/>
      <c r="H921" s="2"/>
      <c r="I921" s="46"/>
      <c r="J921" s="12"/>
      <c r="K921" s="2"/>
      <c r="L921" s="59"/>
    </row>
    <row r="922" spans="1:12" x14ac:dyDescent="0.35">
      <c r="A922" s="45">
        <v>918</v>
      </c>
      <c r="B922" s="2"/>
      <c r="C922" s="2"/>
      <c r="D922" s="2"/>
      <c r="E922" s="3"/>
      <c r="F922" s="3"/>
      <c r="G922" s="2"/>
      <c r="H922" s="2"/>
      <c r="I922" s="46"/>
      <c r="J922" s="12"/>
      <c r="K922" s="2"/>
      <c r="L922" s="59"/>
    </row>
    <row r="923" spans="1:12" x14ac:dyDescent="0.35">
      <c r="A923" s="45">
        <v>919</v>
      </c>
      <c r="B923" s="2"/>
      <c r="C923" s="2"/>
      <c r="D923" s="2"/>
      <c r="E923" s="3"/>
      <c r="F923" s="3"/>
      <c r="G923" s="2"/>
      <c r="H923" s="2"/>
      <c r="I923" s="46"/>
      <c r="J923" s="12"/>
      <c r="K923" s="2"/>
      <c r="L923" s="59"/>
    </row>
    <row r="924" spans="1:12" x14ac:dyDescent="0.35">
      <c r="A924" s="45">
        <v>920</v>
      </c>
      <c r="B924" s="2"/>
      <c r="C924" s="2"/>
      <c r="D924" s="2"/>
      <c r="E924" s="3"/>
      <c r="F924" s="3"/>
      <c r="G924" s="2"/>
      <c r="H924" s="2"/>
      <c r="I924" s="46"/>
      <c r="J924" s="12"/>
      <c r="K924" s="2"/>
      <c r="L924" s="59"/>
    </row>
    <row r="925" spans="1:12" x14ac:dyDescent="0.35">
      <c r="A925" s="45">
        <v>921</v>
      </c>
      <c r="B925" s="2"/>
      <c r="C925" s="2"/>
      <c r="D925" s="2"/>
      <c r="E925" s="3"/>
      <c r="F925" s="3"/>
      <c r="G925" s="2"/>
      <c r="H925" s="2"/>
      <c r="I925" s="46"/>
      <c r="J925" s="12"/>
      <c r="K925" s="2"/>
      <c r="L925" s="59"/>
    </row>
    <row r="926" spans="1:12" x14ac:dyDescent="0.35">
      <c r="A926" s="45">
        <v>922</v>
      </c>
      <c r="B926" s="2"/>
      <c r="C926" s="2"/>
      <c r="D926" s="2"/>
      <c r="E926" s="3"/>
      <c r="F926" s="3"/>
      <c r="G926" s="2"/>
      <c r="H926" s="2"/>
      <c r="I926" s="46"/>
      <c r="J926" s="12"/>
      <c r="K926" s="2"/>
      <c r="L926" s="59"/>
    </row>
    <row r="927" spans="1:12" x14ac:dyDescent="0.35">
      <c r="A927" s="45">
        <v>923</v>
      </c>
      <c r="B927" s="2"/>
      <c r="C927" s="2"/>
      <c r="D927" s="2"/>
      <c r="E927" s="3"/>
      <c r="F927" s="3"/>
      <c r="G927" s="2"/>
      <c r="H927" s="2"/>
      <c r="I927" s="46"/>
      <c r="J927" s="12"/>
      <c r="K927" s="2"/>
      <c r="L927" s="59"/>
    </row>
    <row r="928" spans="1:12" x14ac:dyDescent="0.35">
      <c r="A928" s="45">
        <v>924</v>
      </c>
      <c r="B928" s="2"/>
      <c r="C928" s="2"/>
      <c r="D928" s="2"/>
      <c r="E928" s="3"/>
      <c r="F928" s="3"/>
      <c r="G928" s="2"/>
      <c r="H928" s="2"/>
      <c r="I928" s="46"/>
      <c r="J928" s="12"/>
      <c r="K928" s="2"/>
      <c r="L928" s="59"/>
    </row>
    <row r="929" spans="1:12" x14ac:dyDescent="0.35">
      <c r="A929" s="45">
        <v>925</v>
      </c>
      <c r="B929" s="2"/>
      <c r="C929" s="2"/>
      <c r="D929" s="2"/>
      <c r="E929" s="3"/>
      <c r="F929" s="3"/>
      <c r="G929" s="2"/>
      <c r="H929" s="2"/>
      <c r="I929" s="46"/>
      <c r="J929" s="12"/>
      <c r="K929" s="2"/>
      <c r="L929" s="59"/>
    </row>
    <row r="930" spans="1:12" x14ac:dyDescent="0.35">
      <c r="A930" s="45">
        <v>926</v>
      </c>
      <c r="B930" s="2"/>
      <c r="C930" s="2"/>
      <c r="D930" s="2"/>
      <c r="E930" s="3"/>
      <c r="F930" s="3"/>
      <c r="G930" s="2"/>
      <c r="H930" s="2"/>
      <c r="I930" s="46"/>
      <c r="J930" s="12"/>
      <c r="K930" s="2"/>
      <c r="L930" s="59"/>
    </row>
    <row r="931" spans="1:12" x14ac:dyDescent="0.35">
      <c r="A931" s="45">
        <v>927</v>
      </c>
      <c r="B931" s="2"/>
      <c r="C931" s="2"/>
      <c r="D931" s="2"/>
      <c r="E931" s="3"/>
      <c r="F931" s="3"/>
      <c r="G931" s="2"/>
      <c r="H931" s="2"/>
      <c r="I931" s="46"/>
      <c r="J931" s="12"/>
      <c r="K931" s="2"/>
      <c r="L931" s="59"/>
    </row>
    <row r="932" spans="1:12" x14ac:dyDescent="0.35">
      <c r="A932" s="45">
        <v>928</v>
      </c>
      <c r="B932" s="2"/>
      <c r="C932" s="2"/>
      <c r="D932" s="2"/>
      <c r="E932" s="3"/>
      <c r="F932" s="3"/>
      <c r="G932" s="2"/>
      <c r="H932" s="2"/>
      <c r="I932" s="46"/>
      <c r="J932" s="12"/>
      <c r="K932" s="2"/>
      <c r="L932" s="59"/>
    </row>
    <row r="933" spans="1:12" x14ac:dyDescent="0.35">
      <c r="A933" s="45">
        <v>929</v>
      </c>
      <c r="B933" s="2"/>
      <c r="C933" s="2"/>
      <c r="D933" s="2"/>
      <c r="E933" s="3"/>
      <c r="F933" s="3"/>
      <c r="G933" s="2"/>
      <c r="H933" s="2"/>
      <c r="I933" s="46"/>
      <c r="J933" s="12"/>
      <c r="K933" s="2"/>
      <c r="L933" s="59"/>
    </row>
    <row r="934" spans="1:12" x14ac:dyDescent="0.35">
      <c r="A934" s="45">
        <v>930</v>
      </c>
      <c r="B934" s="2"/>
      <c r="C934" s="2"/>
      <c r="D934" s="2"/>
      <c r="E934" s="3"/>
      <c r="F934" s="3"/>
      <c r="G934" s="2"/>
      <c r="H934" s="2"/>
      <c r="I934" s="46"/>
      <c r="J934" s="12"/>
      <c r="K934" s="2"/>
      <c r="L934" s="59"/>
    </row>
    <row r="935" spans="1:12" x14ac:dyDescent="0.35">
      <c r="A935" s="45">
        <v>931</v>
      </c>
      <c r="B935" s="2"/>
      <c r="C935" s="2"/>
      <c r="D935" s="2"/>
      <c r="E935" s="3"/>
      <c r="F935" s="3"/>
      <c r="G935" s="2"/>
      <c r="H935" s="2"/>
      <c r="I935" s="46"/>
      <c r="J935" s="12"/>
      <c r="K935" s="2"/>
      <c r="L935" s="59"/>
    </row>
    <row r="936" spans="1:12" x14ac:dyDescent="0.35">
      <c r="A936" s="45">
        <v>932</v>
      </c>
      <c r="B936" s="2"/>
      <c r="C936" s="2"/>
      <c r="D936" s="2"/>
      <c r="E936" s="3"/>
      <c r="F936" s="3"/>
      <c r="G936" s="2"/>
      <c r="H936" s="2"/>
      <c r="I936" s="46"/>
      <c r="J936" s="12"/>
      <c r="K936" s="2"/>
      <c r="L936" s="59"/>
    </row>
    <row r="937" spans="1:12" x14ac:dyDescent="0.35">
      <c r="A937" s="45">
        <v>933</v>
      </c>
      <c r="B937" s="2"/>
      <c r="C937" s="2"/>
      <c r="D937" s="2"/>
      <c r="E937" s="3"/>
      <c r="F937" s="3"/>
      <c r="G937" s="2"/>
      <c r="H937" s="2"/>
      <c r="I937" s="46"/>
      <c r="J937" s="12"/>
      <c r="K937" s="2"/>
      <c r="L937" s="59"/>
    </row>
    <row r="938" spans="1:12" x14ac:dyDescent="0.35">
      <c r="A938" s="45">
        <v>934</v>
      </c>
      <c r="B938" s="2"/>
      <c r="C938" s="2"/>
      <c r="D938" s="2"/>
      <c r="E938" s="3"/>
      <c r="F938" s="3"/>
      <c r="G938" s="2"/>
      <c r="H938" s="2"/>
      <c r="I938" s="46"/>
      <c r="J938" s="12"/>
      <c r="K938" s="2"/>
      <c r="L938" s="59"/>
    </row>
    <row r="939" spans="1:12" x14ac:dyDescent="0.35">
      <c r="A939" s="45">
        <v>935</v>
      </c>
      <c r="B939" s="2"/>
      <c r="C939" s="2"/>
      <c r="D939" s="2"/>
      <c r="E939" s="3"/>
      <c r="F939" s="3"/>
      <c r="G939" s="2"/>
      <c r="H939" s="2"/>
      <c r="I939" s="46"/>
      <c r="J939" s="12"/>
      <c r="K939" s="2"/>
      <c r="L939" s="59"/>
    </row>
    <row r="940" spans="1:12" x14ac:dyDescent="0.35">
      <c r="A940" s="45">
        <v>936</v>
      </c>
      <c r="B940" s="2"/>
      <c r="C940" s="2"/>
      <c r="D940" s="2"/>
      <c r="E940" s="3"/>
      <c r="F940" s="3"/>
      <c r="G940" s="2"/>
      <c r="H940" s="2"/>
      <c r="I940" s="46"/>
      <c r="J940" s="12"/>
      <c r="K940" s="2"/>
      <c r="L940" s="59"/>
    </row>
    <row r="941" spans="1:12" x14ac:dyDescent="0.35">
      <c r="A941" s="45">
        <v>937</v>
      </c>
      <c r="B941" s="2"/>
      <c r="C941" s="2"/>
      <c r="D941" s="2"/>
      <c r="E941" s="3"/>
      <c r="F941" s="3"/>
      <c r="G941" s="2"/>
      <c r="H941" s="2"/>
      <c r="I941" s="46"/>
      <c r="J941" s="12"/>
      <c r="K941" s="2"/>
      <c r="L941" s="59"/>
    </row>
    <row r="942" spans="1:12" x14ac:dyDescent="0.35">
      <c r="A942" s="45">
        <v>938</v>
      </c>
      <c r="B942" s="2"/>
      <c r="C942" s="2"/>
      <c r="D942" s="2"/>
      <c r="E942" s="3"/>
      <c r="F942" s="3"/>
      <c r="G942" s="2"/>
      <c r="H942" s="2"/>
      <c r="I942" s="46"/>
      <c r="J942" s="12"/>
      <c r="K942" s="2"/>
      <c r="L942" s="59"/>
    </row>
    <row r="943" spans="1:12" x14ac:dyDescent="0.35">
      <c r="A943" s="45">
        <v>939</v>
      </c>
      <c r="B943" s="2"/>
      <c r="C943" s="2"/>
      <c r="D943" s="2"/>
      <c r="E943" s="3"/>
      <c r="F943" s="3"/>
      <c r="G943" s="2"/>
      <c r="H943" s="2"/>
      <c r="I943" s="46"/>
      <c r="J943" s="12"/>
      <c r="K943" s="2"/>
      <c r="L943" s="59"/>
    </row>
    <row r="944" spans="1:12" x14ac:dyDescent="0.35">
      <c r="A944" s="45">
        <v>940</v>
      </c>
      <c r="B944" s="2"/>
      <c r="C944" s="2"/>
      <c r="D944" s="2"/>
      <c r="E944" s="3"/>
      <c r="F944" s="3"/>
      <c r="G944" s="2"/>
      <c r="H944" s="2"/>
      <c r="I944" s="46"/>
      <c r="J944" s="12"/>
      <c r="K944" s="2"/>
      <c r="L944" s="59"/>
    </row>
    <row r="945" spans="1:12" x14ac:dyDescent="0.35">
      <c r="A945" s="45">
        <v>941</v>
      </c>
      <c r="B945" s="2"/>
      <c r="C945" s="2"/>
      <c r="D945" s="2"/>
      <c r="E945" s="3"/>
      <c r="F945" s="3"/>
      <c r="G945" s="2"/>
      <c r="H945" s="2"/>
      <c r="I945" s="46"/>
      <c r="J945" s="12"/>
      <c r="K945" s="2"/>
      <c r="L945" s="59"/>
    </row>
    <row r="946" spans="1:12" x14ac:dyDescent="0.35">
      <c r="A946" s="45">
        <v>942</v>
      </c>
      <c r="B946" s="2"/>
      <c r="C946" s="2"/>
      <c r="D946" s="2"/>
      <c r="E946" s="3"/>
      <c r="F946" s="3"/>
      <c r="G946" s="2"/>
      <c r="H946" s="2"/>
      <c r="I946" s="46"/>
      <c r="J946" s="12"/>
      <c r="K946" s="2"/>
      <c r="L946" s="59"/>
    </row>
    <row r="947" spans="1:12" x14ac:dyDescent="0.35">
      <c r="A947" s="45">
        <v>943</v>
      </c>
      <c r="B947" s="2"/>
      <c r="C947" s="2"/>
      <c r="D947" s="2"/>
      <c r="E947" s="3"/>
      <c r="F947" s="3"/>
      <c r="G947" s="2"/>
      <c r="H947" s="2"/>
      <c r="I947" s="46"/>
      <c r="J947" s="12"/>
      <c r="K947" s="2"/>
      <c r="L947" s="59"/>
    </row>
    <row r="948" spans="1:12" x14ac:dyDescent="0.35">
      <c r="A948" s="45">
        <v>944</v>
      </c>
      <c r="B948" s="2"/>
      <c r="C948" s="2"/>
      <c r="D948" s="2"/>
      <c r="E948" s="3"/>
      <c r="F948" s="3"/>
      <c r="G948" s="2"/>
      <c r="H948" s="2"/>
      <c r="I948" s="46"/>
      <c r="J948" s="12"/>
      <c r="K948" s="2"/>
      <c r="L948" s="59"/>
    </row>
    <row r="949" spans="1:12" x14ac:dyDescent="0.35">
      <c r="A949" s="45">
        <v>945</v>
      </c>
      <c r="B949" s="2"/>
      <c r="C949" s="2"/>
      <c r="D949" s="2"/>
      <c r="E949" s="3"/>
      <c r="F949" s="3"/>
      <c r="G949" s="2"/>
      <c r="H949" s="2"/>
      <c r="I949" s="46"/>
      <c r="J949" s="12"/>
      <c r="K949" s="2"/>
      <c r="L949" s="59"/>
    </row>
    <row r="950" spans="1:12" x14ac:dyDescent="0.35">
      <c r="A950" s="45">
        <v>946</v>
      </c>
      <c r="B950" s="2"/>
      <c r="C950" s="2"/>
      <c r="D950" s="2"/>
      <c r="E950" s="3"/>
      <c r="F950" s="3"/>
      <c r="G950" s="2"/>
      <c r="H950" s="2"/>
      <c r="I950" s="46"/>
      <c r="J950" s="12"/>
      <c r="K950" s="2"/>
      <c r="L950" s="59"/>
    </row>
    <row r="951" spans="1:12" x14ac:dyDescent="0.35">
      <c r="A951" s="45">
        <v>947</v>
      </c>
      <c r="B951" s="2"/>
      <c r="C951" s="2"/>
      <c r="D951" s="2"/>
      <c r="E951" s="3"/>
      <c r="F951" s="3"/>
      <c r="G951" s="2"/>
      <c r="H951" s="2"/>
      <c r="I951" s="46"/>
      <c r="J951" s="12"/>
      <c r="K951" s="2"/>
      <c r="L951" s="59"/>
    </row>
    <row r="952" spans="1:12" x14ac:dyDescent="0.35">
      <c r="A952" s="45">
        <v>948</v>
      </c>
      <c r="B952" s="2"/>
      <c r="C952" s="2"/>
      <c r="D952" s="2"/>
      <c r="E952" s="3"/>
      <c r="F952" s="3"/>
      <c r="G952" s="2"/>
      <c r="H952" s="2"/>
      <c r="I952" s="46"/>
      <c r="J952" s="12"/>
      <c r="K952" s="2"/>
      <c r="L952" s="59"/>
    </row>
    <row r="953" spans="1:12" x14ac:dyDescent="0.35">
      <c r="A953" s="45">
        <v>949</v>
      </c>
      <c r="B953" s="2"/>
      <c r="C953" s="2"/>
      <c r="D953" s="2"/>
      <c r="E953" s="3"/>
      <c r="F953" s="3"/>
      <c r="G953" s="2"/>
      <c r="H953" s="2"/>
      <c r="I953" s="46"/>
      <c r="J953" s="12"/>
      <c r="K953" s="2"/>
      <c r="L953" s="59"/>
    </row>
    <row r="954" spans="1:12" x14ac:dyDescent="0.35">
      <c r="A954" s="45">
        <v>950</v>
      </c>
      <c r="B954" s="2"/>
      <c r="C954" s="2"/>
      <c r="D954" s="2"/>
      <c r="E954" s="3"/>
      <c r="F954" s="3"/>
      <c r="G954" s="2"/>
      <c r="H954" s="2"/>
      <c r="I954" s="46"/>
      <c r="J954" s="12"/>
      <c r="K954" s="2"/>
      <c r="L954" s="59"/>
    </row>
    <row r="955" spans="1:12" x14ac:dyDescent="0.35">
      <c r="A955" s="45">
        <v>951</v>
      </c>
      <c r="B955" s="2"/>
      <c r="C955" s="2"/>
      <c r="D955" s="2"/>
      <c r="E955" s="3"/>
      <c r="F955" s="3"/>
      <c r="G955" s="2"/>
      <c r="H955" s="2"/>
      <c r="I955" s="46"/>
      <c r="J955" s="12"/>
      <c r="K955" s="2"/>
      <c r="L955" s="59"/>
    </row>
    <row r="956" spans="1:12" x14ac:dyDescent="0.35">
      <c r="A956" s="45">
        <v>952</v>
      </c>
      <c r="B956" s="2"/>
      <c r="C956" s="2"/>
      <c r="D956" s="2"/>
      <c r="E956" s="3"/>
      <c r="F956" s="3"/>
      <c r="G956" s="2"/>
      <c r="H956" s="2"/>
      <c r="I956" s="46"/>
      <c r="J956" s="12"/>
      <c r="K956" s="2"/>
      <c r="L956" s="59"/>
    </row>
    <row r="957" spans="1:12" x14ac:dyDescent="0.35">
      <c r="A957" s="45">
        <v>953</v>
      </c>
      <c r="B957" s="2"/>
      <c r="C957" s="2"/>
      <c r="D957" s="2"/>
      <c r="E957" s="3"/>
      <c r="F957" s="3"/>
      <c r="G957" s="2"/>
      <c r="H957" s="2"/>
      <c r="I957" s="46"/>
      <c r="J957" s="12"/>
      <c r="K957" s="2"/>
      <c r="L957" s="59"/>
    </row>
    <row r="958" spans="1:12" x14ac:dyDescent="0.35">
      <c r="A958" s="45">
        <v>954</v>
      </c>
      <c r="B958" s="2"/>
      <c r="C958" s="2"/>
      <c r="D958" s="2"/>
      <c r="E958" s="3"/>
      <c r="F958" s="3"/>
      <c r="G958" s="2"/>
      <c r="H958" s="2"/>
      <c r="I958" s="46"/>
      <c r="J958" s="12"/>
      <c r="K958" s="2"/>
      <c r="L958" s="59"/>
    </row>
    <row r="959" spans="1:12" x14ac:dyDescent="0.35">
      <c r="A959" s="45">
        <v>955</v>
      </c>
      <c r="B959" s="2"/>
      <c r="C959" s="2"/>
      <c r="D959" s="2"/>
      <c r="E959" s="3"/>
      <c r="F959" s="3"/>
      <c r="G959" s="2"/>
      <c r="H959" s="2"/>
      <c r="I959" s="46"/>
      <c r="J959" s="12"/>
      <c r="K959" s="2"/>
      <c r="L959" s="59"/>
    </row>
    <row r="960" spans="1:12" x14ac:dyDescent="0.35">
      <c r="A960" s="45">
        <v>956</v>
      </c>
      <c r="B960" s="2"/>
      <c r="C960" s="2"/>
      <c r="D960" s="2"/>
      <c r="E960" s="3"/>
      <c r="F960" s="3"/>
      <c r="G960" s="2"/>
      <c r="H960" s="2"/>
      <c r="I960" s="46"/>
      <c r="J960" s="12"/>
      <c r="K960" s="2"/>
      <c r="L960" s="59"/>
    </row>
    <row r="961" spans="1:12" x14ac:dyDescent="0.35">
      <c r="A961" s="45">
        <v>957</v>
      </c>
      <c r="B961" s="2"/>
      <c r="C961" s="2"/>
      <c r="D961" s="2"/>
      <c r="E961" s="3"/>
      <c r="F961" s="3"/>
      <c r="G961" s="2"/>
      <c r="H961" s="2"/>
      <c r="I961" s="46"/>
      <c r="J961" s="12"/>
      <c r="K961" s="2"/>
      <c r="L961" s="59"/>
    </row>
    <row r="962" spans="1:12" x14ac:dyDescent="0.35">
      <c r="A962" s="45">
        <v>958</v>
      </c>
      <c r="B962" s="2"/>
      <c r="C962" s="2"/>
      <c r="D962" s="2"/>
      <c r="E962" s="3"/>
      <c r="F962" s="3"/>
      <c r="G962" s="2"/>
      <c r="H962" s="2"/>
      <c r="I962" s="46"/>
      <c r="J962" s="12"/>
      <c r="K962" s="2"/>
      <c r="L962" s="59"/>
    </row>
    <row r="963" spans="1:12" x14ac:dyDescent="0.35">
      <c r="A963" s="45">
        <v>959</v>
      </c>
      <c r="B963" s="2"/>
      <c r="C963" s="2"/>
      <c r="D963" s="2"/>
      <c r="E963" s="3"/>
      <c r="F963" s="3"/>
      <c r="G963" s="2"/>
      <c r="H963" s="2"/>
      <c r="I963" s="46"/>
      <c r="J963" s="12"/>
      <c r="K963" s="2"/>
      <c r="L963" s="59"/>
    </row>
    <row r="964" spans="1:12" x14ac:dyDescent="0.35">
      <c r="A964" s="45">
        <v>960</v>
      </c>
      <c r="B964" s="2"/>
      <c r="C964" s="2"/>
      <c r="D964" s="2"/>
      <c r="E964" s="3"/>
      <c r="F964" s="3"/>
      <c r="G964" s="2"/>
      <c r="H964" s="2"/>
      <c r="I964" s="46"/>
      <c r="J964" s="12"/>
      <c r="K964" s="2"/>
      <c r="L964" s="59"/>
    </row>
    <row r="965" spans="1:12" x14ac:dyDescent="0.35">
      <c r="A965" s="45">
        <v>961</v>
      </c>
      <c r="B965" s="2"/>
      <c r="C965" s="2"/>
      <c r="D965" s="2"/>
      <c r="E965" s="3"/>
      <c r="F965" s="3"/>
      <c r="G965" s="2"/>
      <c r="H965" s="2"/>
      <c r="I965" s="46"/>
      <c r="J965" s="12"/>
      <c r="K965" s="2"/>
      <c r="L965" s="59"/>
    </row>
    <row r="966" spans="1:12" x14ac:dyDescent="0.35">
      <c r="A966" s="45">
        <v>962</v>
      </c>
      <c r="B966" s="2"/>
      <c r="C966" s="2"/>
      <c r="D966" s="2"/>
      <c r="E966" s="3"/>
      <c r="F966" s="3"/>
      <c r="G966" s="2"/>
      <c r="H966" s="2"/>
      <c r="I966" s="46"/>
      <c r="J966" s="12"/>
      <c r="K966" s="2"/>
      <c r="L966" s="59"/>
    </row>
    <row r="967" spans="1:12" x14ac:dyDescent="0.35">
      <c r="A967" s="45">
        <v>963</v>
      </c>
      <c r="B967" s="2"/>
      <c r="C967" s="2"/>
      <c r="D967" s="2"/>
      <c r="E967" s="3"/>
      <c r="F967" s="3"/>
      <c r="G967" s="2"/>
      <c r="H967" s="2"/>
      <c r="I967" s="46"/>
      <c r="J967" s="12"/>
      <c r="K967" s="2"/>
      <c r="L967" s="59"/>
    </row>
    <row r="968" spans="1:12" x14ac:dyDescent="0.35">
      <c r="A968" s="45">
        <v>964</v>
      </c>
      <c r="B968" s="2"/>
      <c r="C968" s="2"/>
      <c r="D968" s="2"/>
      <c r="E968" s="3"/>
      <c r="F968" s="3"/>
      <c r="G968" s="2"/>
      <c r="H968" s="2"/>
      <c r="I968" s="46"/>
      <c r="J968" s="12"/>
      <c r="K968" s="2"/>
      <c r="L968" s="59"/>
    </row>
    <row r="969" spans="1:12" x14ac:dyDescent="0.35">
      <c r="A969" s="45">
        <v>965</v>
      </c>
      <c r="B969" s="2"/>
      <c r="C969" s="2"/>
      <c r="D969" s="2"/>
      <c r="E969" s="3"/>
      <c r="F969" s="3"/>
      <c r="G969" s="2"/>
      <c r="H969" s="2"/>
      <c r="I969" s="46"/>
      <c r="J969" s="12"/>
      <c r="K969" s="2"/>
      <c r="L969" s="59"/>
    </row>
    <row r="970" spans="1:12" x14ac:dyDescent="0.35">
      <c r="A970" s="45">
        <v>966</v>
      </c>
      <c r="B970" s="2"/>
      <c r="C970" s="2"/>
      <c r="D970" s="2"/>
      <c r="E970" s="3"/>
      <c r="F970" s="3"/>
      <c r="G970" s="2"/>
      <c r="H970" s="2"/>
      <c r="I970" s="46"/>
      <c r="J970" s="12"/>
      <c r="K970" s="2"/>
      <c r="L970" s="59"/>
    </row>
    <row r="971" spans="1:12" x14ac:dyDescent="0.35">
      <c r="A971" s="45">
        <v>967</v>
      </c>
      <c r="B971" s="2"/>
      <c r="C971" s="2"/>
      <c r="D971" s="2"/>
      <c r="E971" s="3"/>
      <c r="F971" s="3"/>
      <c r="G971" s="2"/>
      <c r="H971" s="2"/>
      <c r="I971" s="46"/>
      <c r="J971" s="12"/>
      <c r="K971" s="2"/>
      <c r="L971" s="59"/>
    </row>
    <row r="972" spans="1:12" x14ac:dyDescent="0.35">
      <c r="A972" s="45">
        <v>968</v>
      </c>
      <c r="B972" s="2"/>
      <c r="C972" s="2"/>
      <c r="D972" s="2"/>
      <c r="E972" s="3"/>
      <c r="F972" s="3"/>
      <c r="G972" s="2"/>
      <c r="H972" s="2"/>
      <c r="I972" s="46"/>
      <c r="J972" s="12"/>
      <c r="K972" s="2"/>
      <c r="L972" s="59"/>
    </row>
    <row r="973" spans="1:12" x14ac:dyDescent="0.35">
      <c r="A973" s="45">
        <v>969</v>
      </c>
      <c r="B973" s="2"/>
      <c r="C973" s="2"/>
      <c r="D973" s="2"/>
      <c r="E973" s="3"/>
      <c r="F973" s="3"/>
      <c r="G973" s="2"/>
      <c r="H973" s="2"/>
      <c r="I973" s="46"/>
      <c r="J973" s="12"/>
      <c r="K973" s="2"/>
      <c r="L973" s="59"/>
    </row>
    <row r="974" spans="1:12" x14ac:dyDescent="0.35">
      <c r="A974" s="45">
        <v>970</v>
      </c>
      <c r="B974" s="2"/>
      <c r="C974" s="2"/>
      <c r="D974" s="2"/>
      <c r="E974" s="3"/>
      <c r="F974" s="3"/>
      <c r="G974" s="2"/>
      <c r="H974" s="2"/>
      <c r="I974" s="46"/>
      <c r="J974" s="12"/>
      <c r="K974" s="2"/>
      <c r="L974" s="59"/>
    </row>
    <row r="975" spans="1:12" x14ac:dyDescent="0.35">
      <c r="A975" s="45">
        <v>971</v>
      </c>
      <c r="B975" s="2"/>
      <c r="C975" s="2"/>
      <c r="D975" s="2"/>
      <c r="E975" s="3"/>
      <c r="F975" s="3"/>
      <c r="G975" s="2"/>
      <c r="H975" s="2"/>
      <c r="I975" s="46"/>
      <c r="J975" s="12"/>
      <c r="K975" s="2"/>
      <c r="L975" s="59"/>
    </row>
    <row r="976" spans="1:12" x14ac:dyDescent="0.35">
      <c r="A976" s="45">
        <v>972</v>
      </c>
      <c r="B976" s="2"/>
      <c r="C976" s="2"/>
      <c r="D976" s="2"/>
      <c r="E976" s="3"/>
      <c r="F976" s="3"/>
      <c r="G976" s="2"/>
      <c r="H976" s="2"/>
      <c r="I976" s="46"/>
      <c r="J976" s="12"/>
      <c r="K976" s="2"/>
      <c r="L976" s="59"/>
    </row>
    <row r="977" spans="1:12" x14ac:dyDescent="0.35">
      <c r="A977" s="45">
        <v>973</v>
      </c>
      <c r="B977" s="2"/>
      <c r="C977" s="2"/>
      <c r="D977" s="2"/>
      <c r="E977" s="3"/>
      <c r="F977" s="3"/>
      <c r="G977" s="2"/>
      <c r="H977" s="2"/>
      <c r="I977" s="46"/>
      <c r="J977" s="12"/>
      <c r="K977" s="2"/>
      <c r="L977" s="59"/>
    </row>
    <row r="978" spans="1:12" x14ac:dyDescent="0.35">
      <c r="A978" s="45">
        <v>974</v>
      </c>
      <c r="B978" s="2"/>
      <c r="C978" s="2"/>
      <c r="D978" s="2"/>
      <c r="E978" s="3"/>
      <c r="F978" s="3"/>
      <c r="G978" s="2"/>
      <c r="H978" s="2"/>
      <c r="I978" s="46"/>
      <c r="J978" s="12"/>
      <c r="K978" s="2"/>
      <c r="L978" s="59"/>
    </row>
    <row r="979" spans="1:12" x14ac:dyDescent="0.35">
      <c r="A979" s="45">
        <v>975</v>
      </c>
      <c r="B979" s="2"/>
      <c r="C979" s="2"/>
      <c r="D979" s="2"/>
      <c r="E979" s="3"/>
      <c r="F979" s="3"/>
      <c r="G979" s="2"/>
      <c r="H979" s="2"/>
      <c r="I979" s="46"/>
      <c r="J979" s="12"/>
      <c r="K979" s="2"/>
      <c r="L979" s="59"/>
    </row>
    <row r="980" spans="1:12" x14ac:dyDescent="0.35">
      <c r="A980" s="45">
        <v>976</v>
      </c>
      <c r="B980" s="2"/>
      <c r="C980" s="2"/>
      <c r="D980" s="2"/>
      <c r="E980" s="3"/>
      <c r="F980" s="3"/>
      <c r="G980" s="2"/>
      <c r="H980" s="2"/>
      <c r="I980" s="46"/>
      <c r="J980" s="12"/>
      <c r="K980" s="2"/>
      <c r="L980" s="59"/>
    </row>
    <row r="981" spans="1:12" x14ac:dyDescent="0.35">
      <c r="A981" s="45">
        <v>977</v>
      </c>
      <c r="B981" s="2"/>
      <c r="C981" s="2"/>
      <c r="D981" s="2"/>
      <c r="E981" s="3"/>
      <c r="F981" s="3"/>
      <c r="G981" s="2"/>
      <c r="H981" s="2"/>
      <c r="I981" s="46"/>
      <c r="J981" s="12"/>
      <c r="K981" s="2"/>
      <c r="L981" s="59"/>
    </row>
    <row r="982" spans="1:12" x14ac:dyDescent="0.35">
      <c r="A982" s="45">
        <v>978</v>
      </c>
      <c r="B982" s="2"/>
      <c r="C982" s="2"/>
      <c r="D982" s="2"/>
      <c r="E982" s="3"/>
      <c r="F982" s="3"/>
      <c r="G982" s="2"/>
      <c r="H982" s="2"/>
      <c r="I982" s="46"/>
      <c r="J982" s="12"/>
      <c r="K982" s="2"/>
      <c r="L982" s="59"/>
    </row>
    <row r="983" spans="1:12" x14ac:dyDescent="0.35">
      <c r="A983" s="45">
        <v>979</v>
      </c>
      <c r="B983" s="2"/>
      <c r="C983" s="2"/>
      <c r="D983" s="2"/>
      <c r="E983" s="3"/>
      <c r="F983" s="3"/>
      <c r="G983" s="2"/>
      <c r="H983" s="2"/>
      <c r="I983" s="46"/>
      <c r="J983" s="12"/>
      <c r="K983" s="2"/>
      <c r="L983" s="59"/>
    </row>
    <row r="984" spans="1:12" x14ac:dyDescent="0.35">
      <c r="A984" s="45">
        <v>980</v>
      </c>
      <c r="B984" s="2"/>
      <c r="C984" s="2"/>
      <c r="D984" s="2"/>
      <c r="E984" s="3"/>
      <c r="F984" s="3"/>
      <c r="G984" s="2"/>
      <c r="H984" s="2"/>
      <c r="I984" s="46"/>
      <c r="J984" s="12"/>
      <c r="K984" s="2"/>
      <c r="L984" s="59"/>
    </row>
    <row r="985" spans="1:12" x14ac:dyDescent="0.35">
      <c r="A985" s="45">
        <v>981</v>
      </c>
      <c r="B985" s="2"/>
      <c r="C985" s="2"/>
      <c r="D985" s="2"/>
      <c r="E985" s="3"/>
      <c r="F985" s="3"/>
      <c r="G985" s="2"/>
      <c r="H985" s="2"/>
      <c r="I985" s="46"/>
      <c r="J985" s="12"/>
      <c r="K985" s="2"/>
      <c r="L985" s="59"/>
    </row>
    <row r="986" spans="1:12" x14ac:dyDescent="0.35">
      <c r="A986" s="45">
        <v>982</v>
      </c>
      <c r="B986" s="2"/>
      <c r="C986" s="2"/>
      <c r="D986" s="2"/>
      <c r="E986" s="3"/>
      <c r="F986" s="3"/>
      <c r="G986" s="2"/>
      <c r="H986" s="2"/>
      <c r="I986" s="46"/>
      <c r="J986" s="12"/>
      <c r="K986" s="2"/>
      <c r="L986" s="59"/>
    </row>
    <row r="987" spans="1:12" x14ac:dyDescent="0.35">
      <c r="A987" s="45">
        <v>983</v>
      </c>
      <c r="B987" s="2"/>
      <c r="C987" s="2"/>
      <c r="D987" s="2"/>
      <c r="E987" s="3"/>
      <c r="F987" s="3"/>
      <c r="G987" s="2"/>
      <c r="H987" s="2"/>
      <c r="I987" s="46"/>
      <c r="J987" s="12"/>
      <c r="K987" s="2"/>
      <c r="L987" s="59"/>
    </row>
    <row r="988" spans="1:12" x14ac:dyDescent="0.35">
      <c r="A988" s="45">
        <v>984</v>
      </c>
      <c r="B988" s="2"/>
      <c r="C988" s="2"/>
      <c r="D988" s="2"/>
      <c r="E988" s="3"/>
      <c r="F988" s="3"/>
      <c r="G988" s="2"/>
      <c r="H988" s="2"/>
      <c r="I988" s="46"/>
      <c r="J988" s="12"/>
      <c r="K988" s="2"/>
      <c r="L988" s="59"/>
    </row>
    <row r="989" spans="1:12" x14ac:dyDescent="0.35">
      <c r="A989" s="45">
        <v>985</v>
      </c>
      <c r="B989" s="2"/>
      <c r="C989" s="2"/>
      <c r="D989" s="2"/>
      <c r="E989" s="3"/>
      <c r="F989" s="3"/>
      <c r="G989" s="2"/>
      <c r="H989" s="2"/>
      <c r="I989" s="46"/>
      <c r="J989" s="12"/>
      <c r="K989" s="2"/>
      <c r="L989" s="59"/>
    </row>
    <row r="990" spans="1:12" x14ac:dyDescent="0.35">
      <c r="A990" s="45">
        <v>986</v>
      </c>
      <c r="B990" s="2"/>
      <c r="C990" s="2"/>
      <c r="D990" s="2"/>
      <c r="E990" s="3"/>
      <c r="F990" s="3"/>
      <c r="G990" s="2"/>
      <c r="H990" s="2"/>
      <c r="I990" s="46"/>
      <c r="J990" s="12"/>
      <c r="K990" s="2"/>
      <c r="L990" s="59"/>
    </row>
    <row r="991" spans="1:12" x14ac:dyDescent="0.35">
      <c r="A991" s="45">
        <v>987</v>
      </c>
      <c r="B991" s="2"/>
      <c r="C991" s="2"/>
      <c r="D991" s="2"/>
      <c r="E991" s="3"/>
      <c r="F991" s="3"/>
      <c r="G991" s="2"/>
      <c r="H991" s="2"/>
      <c r="I991" s="46"/>
      <c r="J991" s="12"/>
      <c r="K991" s="2"/>
      <c r="L991" s="59"/>
    </row>
    <row r="992" spans="1:12" x14ac:dyDescent="0.35">
      <c r="A992" s="45">
        <v>988</v>
      </c>
      <c r="B992" s="2"/>
      <c r="C992" s="2"/>
      <c r="D992" s="2"/>
      <c r="E992" s="3"/>
      <c r="F992" s="3"/>
      <c r="G992" s="2"/>
      <c r="H992" s="2"/>
      <c r="I992" s="46"/>
      <c r="J992" s="12"/>
      <c r="K992" s="2"/>
      <c r="L992" s="59"/>
    </row>
    <row r="993" spans="1:12" x14ac:dyDescent="0.35">
      <c r="A993" s="45">
        <v>989</v>
      </c>
      <c r="B993" s="2"/>
      <c r="C993" s="2"/>
      <c r="D993" s="2"/>
      <c r="E993" s="3"/>
      <c r="F993" s="3"/>
      <c r="G993" s="2"/>
      <c r="H993" s="2"/>
      <c r="I993" s="46"/>
      <c r="J993" s="12"/>
      <c r="K993" s="2"/>
      <c r="L993" s="59"/>
    </row>
    <row r="994" spans="1:12" x14ac:dyDescent="0.35">
      <c r="A994" s="45">
        <v>990</v>
      </c>
      <c r="B994" s="2"/>
      <c r="C994" s="2"/>
      <c r="D994" s="2"/>
      <c r="E994" s="3"/>
      <c r="F994" s="3"/>
      <c r="G994" s="2"/>
      <c r="H994" s="2"/>
      <c r="I994" s="46"/>
      <c r="J994" s="12"/>
      <c r="K994" s="2"/>
      <c r="L994" s="59"/>
    </row>
    <row r="995" spans="1:12" x14ac:dyDescent="0.35">
      <c r="A995" s="45">
        <v>991</v>
      </c>
      <c r="B995" s="2"/>
      <c r="C995" s="2"/>
      <c r="D995" s="2"/>
      <c r="E995" s="3"/>
      <c r="F995" s="3"/>
      <c r="G995" s="2"/>
      <c r="H995" s="2"/>
      <c r="I995" s="46"/>
      <c r="J995" s="12"/>
      <c r="K995" s="2"/>
      <c r="L995" s="59"/>
    </row>
    <row r="996" spans="1:12" x14ac:dyDescent="0.35">
      <c r="A996" s="45">
        <v>992</v>
      </c>
      <c r="B996" s="2"/>
      <c r="C996" s="2"/>
      <c r="D996" s="2"/>
      <c r="E996" s="3"/>
      <c r="F996" s="3"/>
      <c r="G996" s="2"/>
      <c r="H996" s="2"/>
      <c r="I996" s="46"/>
      <c r="J996" s="12"/>
      <c r="K996" s="2"/>
      <c r="L996" s="59"/>
    </row>
    <row r="997" spans="1:12" x14ac:dyDescent="0.35">
      <c r="A997" s="45">
        <v>993</v>
      </c>
      <c r="B997" s="2"/>
      <c r="C997" s="2"/>
      <c r="D997" s="2"/>
      <c r="E997" s="3"/>
      <c r="F997" s="3"/>
      <c r="G997" s="2"/>
      <c r="H997" s="2"/>
      <c r="I997" s="46"/>
      <c r="J997" s="12"/>
      <c r="K997" s="2"/>
      <c r="L997" s="59"/>
    </row>
    <row r="998" spans="1:12" x14ac:dyDescent="0.35">
      <c r="A998" s="45">
        <v>994</v>
      </c>
      <c r="B998" s="2"/>
      <c r="C998" s="2"/>
      <c r="D998" s="2"/>
      <c r="E998" s="3"/>
      <c r="F998" s="3"/>
      <c r="G998" s="2"/>
      <c r="H998" s="2"/>
      <c r="I998" s="46"/>
      <c r="J998" s="12"/>
      <c r="K998" s="2"/>
      <c r="L998" s="59"/>
    </row>
    <row r="999" spans="1:12" x14ac:dyDescent="0.35">
      <c r="A999" s="45">
        <v>995</v>
      </c>
      <c r="B999" s="2"/>
      <c r="C999" s="2"/>
      <c r="D999" s="2"/>
      <c r="E999" s="3"/>
      <c r="F999" s="3"/>
      <c r="G999" s="2"/>
      <c r="H999" s="2"/>
      <c r="I999" s="46"/>
      <c r="J999" s="12"/>
      <c r="K999" s="2"/>
      <c r="L999" s="59"/>
    </row>
    <row r="1000" spans="1:12" x14ac:dyDescent="0.35">
      <c r="A1000" s="45">
        <v>996</v>
      </c>
      <c r="B1000" s="2"/>
      <c r="C1000" s="2"/>
      <c r="D1000" s="2"/>
      <c r="E1000" s="3"/>
      <c r="F1000" s="3"/>
      <c r="G1000" s="2"/>
      <c r="H1000" s="2"/>
      <c r="I1000" s="46"/>
      <c r="J1000" s="12"/>
      <c r="K1000" s="2"/>
      <c r="L1000" s="59"/>
    </row>
    <row r="1001" spans="1:12" x14ac:dyDescent="0.35">
      <c r="A1001" s="45">
        <v>997</v>
      </c>
      <c r="B1001" s="2"/>
      <c r="C1001" s="2"/>
      <c r="D1001" s="2"/>
      <c r="E1001" s="3"/>
      <c r="F1001" s="3"/>
      <c r="G1001" s="2"/>
      <c r="H1001" s="2"/>
      <c r="I1001" s="46"/>
      <c r="J1001" s="12"/>
      <c r="K1001" s="2"/>
      <c r="L1001" s="59"/>
    </row>
    <row r="1002" spans="1:12" x14ac:dyDescent="0.35">
      <c r="A1002" s="45">
        <v>998</v>
      </c>
      <c r="B1002" s="2"/>
      <c r="C1002" s="2"/>
      <c r="D1002" s="2"/>
      <c r="E1002" s="3"/>
      <c r="F1002" s="3"/>
      <c r="G1002" s="2"/>
      <c r="H1002" s="2"/>
      <c r="I1002" s="46"/>
      <c r="J1002" s="12"/>
      <c r="K1002" s="2"/>
      <c r="L1002" s="59"/>
    </row>
    <row r="1003" spans="1:12" x14ac:dyDescent="0.35">
      <c r="A1003" s="45">
        <v>999</v>
      </c>
      <c r="B1003" s="2"/>
      <c r="C1003" s="2"/>
      <c r="D1003" s="2"/>
      <c r="E1003" s="3"/>
      <c r="F1003" s="3"/>
      <c r="G1003" s="2"/>
      <c r="H1003" s="2"/>
      <c r="I1003" s="46"/>
      <c r="J1003" s="12"/>
      <c r="K1003" s="2"/>
      <c r="L1003" s="59"/>
    </row>
    <row r="1004" spans="1:12" x14ac:dyDescent="0.35">
      <c r="A1004" s="45">
        <v>1000</v>
      </c>
      <c r="B1004" s="2"/>
      <c r="C1004" s="2"/>
      <c r="D1004" s="2"/>
      <c r="E1004" s="3"/>
      <c r="F1004" s="3"/>
      <c r="G1004" s="2"/>
      <c r="H1004" s="2"/>
      <c r="I1004" s="46"/>
      <c r="J1004" s="12"/>
      <c r="K1004" s="2"/>
      <c r="L1004" s="59"/>
    </row>
    <row r="1005" spans="1:12" x14ac:dyDescent="0.35">
      <c r="A1005" s="45">
        <v>1001</v>
      </c>
      <c r="B1005" s="2"/>
      <c r="C1005" s="2"/>
      <c r="D1005" s="2"/>
      <c r="E1005" s="3"/>
      <c r="F1005" s="3"/>
      <c r="G1005" s="2"/>
      <c r="H1005" s="2"/>
      <c r="I1005" s="46"/>
      <c r="J1005" s="12"/>
      <c r="K1005" s="2"/>
      <c r="L1005" s="59"/>
    </row>
    <row r="1006" spans="1:12" x14ac:dyDescent="0.35">
      <c r="A1006" s="45">
        <v>1002</v>
      </c>
      <c r="B1006" s="2"/>
      <c r="C1006" s="2"/>
      <c r="D1006" s="2"/>
      <c r="E1006" s="3"/>
      <c r="F1006" s="3"/>
      <c r="G1006" s="2"/>
      <c r="H1006" s="2"/>
      <c r="I1006" s="46"/>
      <c r="J1006" s="12"/>
      <c r="K1006" s="2"/>
      <c r="L1006" s="59"/>
    </row>
    <row r="1007" spans="1:12" x14ac:dyDescent="0.35">
      <c r="A1007" s="45">
        <v>1003</v>
      </c>
      <c r="B1007" s="2"/>
      <c r="C1007" s="2"/>
      <c r="D1007" s="2"/>
      <c r="E1007" s="3"/>
      <c r="F1007" s="3"/>
      <c r="G1007" s="2"/>
      <c r="H1007" s="2"/>
      <c r="I1007" s="46"/>
      <c r="J1007" s="12"/>
      <c r="K1007" s="2"/>
      <c r="L1007" s="59"/>
    </row>
    <row r="1008" spans="1:12" x14ac:dyDescent="0.35">
      <c r="A1008" s="45">
        <v>1004</v>
      </c>
      <c r="B1008" s="2"/>
      <c r="C1008" s="2"/>
      <c r="D1008" s="2"/>
      <c r="E1008" s="3"/>
      <c r="F1008" s="3"/>
      <c r="G1008" s="2"/>
      <c r="H1008" s="2"/>
      <c r="I1008" s="46"/>
      <c r="J1008" s="12"/>
      <c r="K1008" s="2"/>
      <c r="L1008" s="59"/>
    </row>
    <row r="1009" spans="1:12" x14ac:dyDescent="0.35">
      <c r="A1009" s="45">
        <v>1005</v>
      </c>
      <c r="B1009" s="2"/>
      <c r="C1009" s="2"/>
      <c r="D1009" s="2"/>
      <c r="E1009" s="3"/>
      <c r="F1009" s="3"/>
      <c r="G1009" s="2"/>
      <c r="H1009" s="2"/>
      <c r="I1009" s="46"/>
      <c r="J1009" s="12"/>
      <c r="K1009" s="2"/>
      <c r="L1009" s="59"/>
    </row>
    <row r="1010" spans="1:12" x14ac:dyDescent="0.35">
      <c r="A1010" s="45">
        <v>1006</v>
      </c>
      <c r="B1010" s="2"/>
      <c r="C1010" s="2"/>
      <c r="D1010" s="2"/>
      <c r="E1010" s="3"/>
      <c r="F1010" s="3"/>
      <c r="G1010" s="2"/>
      <c r="H1010" s="2"/>
      <c r="I1010" s="46"/>
      <c r="J1010" s="12"/>
      <c r="K1010" s="2"/>
      <c r="L1010" s="59"/>
    </row>
    <row r="1011" spans="1:12" x14ac:dyDescent="0.35">
      <c r="A1011" s="45">
        <v>1007</v>
      </c>
      <c r="B1011" s="2"/>
      <c r="C1011" s="2"/>
      <c r="D1011" s="2"/>
      <c r="E1011" s="3"/>
      <c r="F1011" s="3"/>
      <c r="G1011" s="2"/>
      <c r="H1011" s="2"/>
      <c r="I1011" s="46"/>
      <c r="J1011" s="12"/>
      <c r="K1011" s="2"/>
      <c r="L1011" s="59"/>
    </row>
    <row r="1012" spans="1:12" x14ac:dyDescent="0.35">
      <c r="A1012" s="45">
        <v>1008</v>
      </c>
      <c r="B1012" s="2"/>
      <c r="C1012" s="2"/>
      <c r="D1012" s="2"/>
      <c r="E1012" s="3"/>
      <c r="F1012" s="3"/>
      <c r="G1012" s="2"/>
      <c r="H1012" s="2"/>
      <c r="I1012" s="46"/>
      <c r="J1012" s="12"/>
      <c r="K1012" s="2"/>
      <c r="L1012" s="59"/>
    </row>
    <row r="1013" spans="1:12" x14ac:dyDescent="0.35">
      <c r="A1013" s="45">
        <v>1009</v>
      </c>
      <c r="B1013" s="2"/>
      <c r="C1013" s="2"/>
      <c r="D1013" s="2"/>
      <c r="E1013" s="3"/>
      <c r="F1013" s="3"/>
      <c r="G1013" s="2"/>
      <c r="H1013" s="2"/>
      <c r="I1013" s="46"/>
      <c r="J1013" s="12"/>
      <c r="K1013" s="2"/>
      <c r="L1013" s="59"/>
    </row>
    <row r="1014" spans="1:12" x14ac:dyDescent="0.35">
      <c r="A1014" s="45">
        <v>1010</v>
      </c>
      <c r="B1014" s="2"/>
      <c r="C1014" s="2"/>
      <c r="D1014" s="2"/>
      <c r="E1014" s="3"/>
      <c r="F1014" s="3"/>
      <c r="G1014" s="2"/>
      <c r="H1014" s="2"/>
      <c r="I1014" s="46"/>
      <c r="J1014" s="12"/>
      <c r="K1014" s="2"/>
      <c r="L1014" s="59"/>
    </row>
    <row r="1015" spans="1:12" x14ac:dyDescent="0.35">
      <c r="A1015" s="45">
        <v>1011</v>
      </c>
      <c r="B1015" s="2"/>
      <c r="C1015" s="2"/>
      <c r="D1015" s="2"/>
      <c r="E1015" s="3"/>
      <c r="F1015" s="3"/>
      <c r="G1015" s="2"/>
      <c r="H1015" s="2"/>
      <c r="I1015" s="46"/>
      <c r="J1015" s="12"/>
      <c r="K1015" s="2"/>
      <c r="L1015" s="59"/>
    </row>
    <row r="1016" spans="1:12" x14ac:dyDescent="0.35">
      <c r="A1016" s="45">
        <v>1012</v>
      </c>
      <c r="B1016" s="2"/>
      <c r="C1016" s="2"/>
      <c r="D1016" s="2"/>
      <c r="E1016" s="3"/>
      <c r="F1016" s="3"/>
      <c r="G1016" s="2"/>
      <c r="H1016" s="2"/>
      <c r="I1016" s="46"/>
      <c r="J1016" s="12"/>
      <c r="K1016" s="2"/>
      <c r="L1016" s="59"/>
    </row>
    <row r="1017" spans="1:12" x14ac:dyDescent="0.35">
      <c r="A1017" s="45">
        <v>1013</v>
      </c>
      <c r="B1017" s="2"/>
      <c r="C1017" s="2"/>
      <c r="D1017" s="2"/>
      <c r="E1017" s="3"/>
      <c r="F1017" s="3"/>
      <c r="G1017" s="2"/>
      <c r="H1017" s="2"/>
      <c r="I1017" s="46"/>
      <c r="J1017" s="12"/>
      <c r="K1017" s="2"/>
      <c r="L1017" s="59"/>
    </row>
    <row r="1018" spans="1:12" x14ac:dyDescent="0.35">
      <c r="A1018" s="45">
        <v>1014</v>
      </c>
      <c r="B1018" s="2"/>
      <c r="C1018" s="2"/>
      <c r="D1018" s="2"/>
      <c r="E1018" s="3"/>
      <c r="F1018" s="3"/>
      <c r="G1018" s="2"/>
      <c r="H1018" s="2"/>
      <c r="I1018" s="46"/>
      <c r="J1018" s="12"/>
      <c r="K1018" s="2"/>
      <c r="L1018" s="59"/>
    </row>
    <row r="1019" spans="1:12" x14ac:dyDescent="0.35">
      <c r="A1019" s="45">
        <v>1015</v>
      </c>
      <c r="B1019" s="2"/>
      <c r="C1019" s="2"/>
      <c r="D1019" s="2"/>
      <c r="E1019" s="3"/>
      <c r="F1019" s="3"/>
      <c r="G1019" s="2"/>
      <c r="H1019" s="2"/>
      <c r="I1019" s="46"/>
      <c r="J1019" s="12"/>
      <c r="K1019" s="2"/>
      <c r="L1019" s="59"/>
    </row>
    <row r="1020" spans="1:12" x14ac:dyDescent="0.35">
      <c r="A1020" s="45">
        <v>1016</v>
      </c>
      <c r="B1020" s="2"/>
      <c r="C1020" s="2"/>
      <c r="D1020" s="2"/>
      <c r="E1020" s="3"/>
      <c r="F1020" s="3"/>
      <c r="G1020" s="2"/>
      <c r="H1020" s="2"/>
      <c r="I1020" s="46"/>
      <c r="J1020" s="12"/>
      <c r="K1020" s="2"/>
      <c r="L1020" s="59"/>
    </row>
    <row r="1021" spans="1:12" x14ac:dyDescent="0.35">
      <c r="A1021" s="45">
        <v>1017</v>
      </c>
      <c r="B1021" s="2"/>
      <c r="C1021" s="2"/>
      <c r="D1021" s="2"/>
      <c r="E1021" s="3"/>
      <c r="F1021" s="3"/>
      <c r="G1021" s="2"/>
      <c r="H1021" s="2"/>
      <c r="I1021" s="46"/>
      <c r="J1021" s="12"/>
      <c r="K1021" s="2"/>
      <c r="L1021" s="59"/>
    </row>
    <row r="1022" spans="1:12" x14ac:dyDescent="0.35">
      <c r="A1022" s="45">
        <v>1018</v>
      </c>
      <c r="B1022" s="2"/>
      <c r="C1022" s="2"/>
      <c r="D1022" s="2"/>
      <c r="E1022" s="3"/>
      <c r="F1022" s="3"/>
      <c r="G1022" s="2"/>
      <c r="H1022" s="2"/>
      <c r="I1022" s="46"/>
      <c r="J1022" s="12"/>
      <c r="K1022" s="2"/>
      <c r="L1022" s="59"/>
    </row>
    <row r="1023" spans="1:12" x14ac:dyDescent="0.35">
      <c r="A1023" s="45">
        <v>1019</v>
      </c>
      <c r="B1023" s="2"/>
      <c r="C1023" s="2"/>
      <c r="D1023" s="2"/>
      <c r="E1023" s="3"/>
      <c r="F1023" s="3"/>
      <c r="G1023" s="2"/>
      <c r="H1023" s="2"/>
      <c r="I1023" s="46"/>
      <c r="J1023" s="12"/>
      <c r="K1023" s="2"/>
      <c r="L1023" s="59"/>
    </row>
    <row r="1024" spans="1:12" x14ac:dyDescent="0.35">
      <c r="A1024" s="45">
        <v>1020</v>
      </c>
      <c r="B1024" s="2"/>
      <c r="C1024" s="2"/>
      <c r="D1024" s="2"/>
      <c r="E1024" s="3"/>
      <c r="F1024" s="3"/>
      <c r="G1024" s="2"/>
      <c r="H1024" s="2"/>
      <c r="I1024" s="46"/>
      <c r="J1024" s="12"/>
      <c r="K1024" s="2"/>
      <c r="L1024" s="59"/>
    </row>
    <row r="1025" spans="1:12" x14ac:dyDescent="0.35">
      <c r="A1025" s="45">
        <v>1021</v>
      </c>
      <c r="B1025" s="2"/>
      <c r="C1025" s="2"/>
      <c r="D1025" s="2"/>
      <c r="E1025" s="3"/>
      <c r="F1025" s="3"/>
      <c r="G1025" s="2"/>
      <c r="H1025" s="2"/>
      <c r="I1025" s="46"/>
      <c r="J1025" s="12"/>
      <c r="K1025" s="2"/>
      <c r="L1025" s="59"/>
    </row>
    <row r="1026" spans="1:12" x14ac:dyDescent="0.35">
      <c r="A1026" s="45">
        <v>1022</v>
      </c>
      <c r="B1026" s="2"/>
      <c r="C1026" s="2"/>
      <c r="D1026" s="2"/>
      <c r="E1026" s="3"/>
      <c r="F1026" s="3"/>
      <c r="G1026" s="2"/>
      <c r="H1026" s="2"/>
      <c r="I1026" s="46"/>
      <c r="J1026" s="12"/>
      <c r="K1026" s="2"/>
      <c r="L1026" s="59"/>
    </row>
    <row r="1027" spans="1:12" x14ac:dyDescent="0.35">
      <c r="A1027" s="45">
        <v>1023</v>
      </c>
      <c r="B1027" s="2"/>
      <c r="C1027" s="2"/>
      <c r="D1027" s="2"/>
      <c r="E1027" s="3"/>
      <c r="F1027" s="3"/>
      <c r="G1027" s="2"/>
      <c r="H1027" s="2"/>
      <c r="I1027" s="46"/>
      <c r="J1027" s="12"/>
      <c r="K1027" s="2"/>
      <c r="L1027" s="59"/>
    </row>
    <row r="1028" spans="1:12" x14ac:dyDescent="0.35">
      <c r="A1028" s="45">
        <v>1024</v>
      </c>
      <c r="B1028" s="2"/>
      <c r="C1028" s="2"/>
      <c r="D1028" s="2"/>
      <c r="E1028" s="3"/>
      <c r="F1028" s="3"/>
      <c r="G1028" s="2"/>
      <c r="H1028" s="2"/>
      <c r="I1028" s="46"/>
      <c r="J1028" s="12"/>
      <c r="K1028" s="2"/>
      <c r="L1028" s="59"/>
    </row>
    <row r="1029" spans="1:12" x14ac:dyDescent="0.35">
      <c r="A1029" s="45">
        <v>1025</v>
      </c>
      <c r="B1029" s="2"/>
      <c r="C1029" s="2"/>
      <c r="D1029" s="2"/>
      <c r="E1029" s="3"/>
      <c r="F1029" s="3"/>
      <c r="G1029" s="2"/>
      <c r="H1029" s="2"/>
      <c r="I1029" s="46"/>
      <c r="J1029" s="12"/>
      <c r="K1029" s="2"/>
      <c r="L1029" s="59"/>
    </row>
    <row r="1030" spans="1:12" x14ac:dyDescent="0.35">
      <c r="A1030" s="45">
        <v>1026</v>
      </c>
      <c r="B1030" s="2"/>
      <c r="C1030" s="2"/>
      <c r="D1030" s="2"/>
      <c r="E1030" s="3"/>
      <c r="F1030" s="3"/>
      <c r="G1030" s="2"/>
      <c r="H1030" s="2"/>
      <c r="I1030" s="46"/>
      <c r="J1030" s="12"/>
      <c r="K1030" s="2"/>
      <c r="L1030" s="59"/>
    </row>
    <row r="1031" spans="1:12" x14ac:dyDescent="0.35">
      <c r="A1031" s="45">
        <v>1027</v>
      </c>
      <c r="B1031" s="2"/>
      <c r="C1031" s="2"/>
      <c r="D1031" s="2"/>
      <c r="E1031" s="3"/>
      <c r="F1031" s="3"/>
      <c r="G1031" s="2"/>
      <c r="H1031" s="2"/>
      <c r="I1031" s="46"/>
      <c r="J1031" s="12"/>
      <c r="K1031" s="2"/>
      <c r="L1031" s="59"/>
    </row>
    <row r="1032" spans="1:12" x14ac:dyDescent="0.35">
      <c r="A1032" s="45">
        <v>1028</v>
      </c>
      <c r="B1032" s="2"/>
      <c r="C1032" s="2"/>
      <c r="D1032" s="2"/>
      <c r="E1032" s="3"/>
      <c r="F1032" s="3"/>
      <c r="G1032" s="2"/>
      <c r="H1032" s="2"/>
      <c r="I1032" s="46"/>
      <c r="J1032" s="12"/>
      <c r="K1032" s="2"/>
      <c r="L1032" s="59"/>
    </row>
    <row r="1033" spans="1:12" x14ac:dyDescent="0.35">
      <c r="A1033" s="45">
        <v>1029</v>
      </c>
      <c r="B1033" s="2"/>
      <c r="C1033" s="2"/>
      <c r="D1033" s="2"/>
      <c r="E1033" s="3"/>
      <c r="F1033" s="3"/>
      <c r="G1033" s="2"/>
      <c r="H1033" s="2"/>
      <c r="I1033" s="46"/>
      <c r="J1033" s="12"/>
      <c r="K1033" s="2"/>
      <c r="L1033" s="59"/>
    </row>
    <row r="1034" spans="1:12" x14ac:dyDescent="0.35">
      <c r="A1034" s="45">
        <v>1030</v>
      </c>
      <c r="B1034" s="2"/>
      <c r="C1034" s="2"/>
      <c r="D1034" s="2"/>
      <c r="E1034" s="3"/>
      <c r="F1034" s="3"/>
      <c r="G1034" s="2"/>
      <c r="H1034" s="2"/>
      <c r="I1034" s="46"/>
      <c r="J1034" s="12"/>
      <c r="K1034" s="2"/>
      <c r="L1034" s="59"/>
    </row>
    <row r="1035" spans="1:12" x14ac:dyDescent="0.35">
      <c r="A1035" s="45">
        <v>1031</v>
      </c>
      <c r="B1035" s="2"/>
      <c r="C1035" s="2"/>
      <c r="D1035" s="2"/>
      <c r="E1035" s="3"/>
      <c r="F1035" s="3"/>
      <c r="G1035" s="2"/>
      <c r="H1035" s="2"/>
      <c r="I1035" s="46"/>
      <c r="J1035" s="12"/>
      <c r="K1035" s="2"/>
      <c r="L1035" s="59"/>
    </row>
    <row r="1036" spans="1:12" x14ac:dyDescent="0.35">
      <c r="A1036" s="45">
        <v>1032</v>
      </c>
      <c r="B1036" s="2"/>
      <c r="C1036" s="2"/>
      <c r="D1036" s="2"/>
      <c r="E1036" s="3"/>
      <c r="F1036" s="3"/>
      <c r="G1036" s="2"/>
      <c r="H1036" s="2"/>
      <c r="I1036" s="46"/>
      <c r="J1036" s="12"/>
      <c r="K1036" s="2"/>
      <c r="L1036" s="59"/>
    </row>
    <row r="1037" spans="1:12" x14ac:dyDescent="0.35">
      <c r="A1037" s="45">
        <v>1033</v>
      </c>
      <c r="B1037" s="2"/>
      <c r="C1037" s="2"/>
      <c r="D1037" s="2"/>
      <c r="E1037" s="3"/>
      <c r="F1037" s="3"/>
      <c r="G1037" s="2"/>
      <c r="H1037" s="2"/>
      <c r="I1037" s="46"/>
      <c r="J1037" s="12"/>
      <c r="K1037" s="2"/>
      <c r="L1037" s="59"/>
    </row>
    <row r="1038" spans="1:12" x14ac:dyDescent="0.35">
      <c r="A1038" s="45">
        <v>1034</v>
      </c>
      <c r="B1038" s="2"/>
      <c r="C1038" s="2"/>
      <c r="D1038" s="2"/>
      <c r="E1038" s="3"/>
      <c r="F1038" s="3"/>
      <c r="G1038" s="2"/>
      <c r="H1038" s="2"/>
      <c r="I1038" s="46"/>
      <c r="J1038" s="12"/>
      <c r="K1038" s="2"/>
      <c r="L1038" s="59"/>
    </row>
    <row r="1039" spans="1:12" x14ac:dyDescent="0.35">
      <c r="A1039" s="45">
        <v>1035</v>
      </c>
      <c r="B1039" s="2"/>
      <c r="C1039" s="2"/>
      <c r="D1039" s="2"/>
      <c r="E1039" s="3"/>
      <c r="F1039" s="3"/>
      <c r="G1039" s="2"/>
      <c r="H1039" s="2"/>
      <c r="I1039" s="46"/>
      <c r="J1039" s="12"/>
      <c r="K1039" s="2"/>
      <c r="L1039" s="59"/>
    </row>
    <row r="1040" spans="1:12" x14ac:dyDescent="0.35">
      <c r="A1040" s="45">
        <v>1036</v>
      </c>
      <c r="B1040" s="2"/>
      <c r="C1040" s="2"/>
      <c r="D1040" s="2"/>
      <c r="E1040" s="3"/>
      <c r="F1040" s="3"/>
      <c r="G1040" s="2"/>
      <c r="H1040" s="2"/>
      <c r="I1040" s="46"/>
      <c r="J1040" s="12"/>
      <c r="K1040" s="2"/>
      <c r="L1040" s="59"/>
    </row>
    <row r="1041" spans="1:12" x14ac:dyDescent="0.35">
      <c r="A1041" s="45">
        <v>1037</v>
      </c>
      <c r="B1041" s="2"/>
      <c r="C1041" s="2"/>
      <c r="D1041" s="2"/>
      <c r="E1041" s="3"/>
      <c r="F1041" s="3"/>
      <c r="G1041" s="2"/>
      <c r="H1041" s="2"/>
      <c r="I1041" s="46"/>
      <c r="J1041" s="12"/>
      <c r="K1041" s="2"/>
      <c r="L1041" s="59"/>
    </row>
    <row r="1042" spans="1:12" x14ac:dyDescent="0.35">
      <c r="A1042" s="45">
        <v>1038</v>
      </c>
      <c r="B1042" s="2"/>
      <c r="C1042" s="2"/>
      <c r="D1042" s="2"/>
      <c r="E1042" s="3"/>
      <c r="F1042" s="3"/>
      <c r="G1042" s="2"/>
      <c r="H1042" s="2"/>
      <c r="I1042" s="46"/>
      <c r="J1042" s="12"/>
      <c r="K1042" s="2"/>
      <c r="L1042" s="59"/>
    </row>
    <row r="1043" spans="1:12" x14ac:dyDescent="0.35">
      <c r="A1043" s="45">
        <v>1039</v>
      </c>
      <c r="B1043" s="2"/>
      <c r="C1043" s="2"/>
      <c r="D1043" s="2"/>
      <c r="E1043" s="3"/>
      <c r="F1043" s="3"/>
      <c r="G1043" s="2"/>
      <c r="H1043" s="2"/>
      <c r="I1043" s="46"/>
      <c r="J1043" s="12"/>
      <c r="K1043" s="2"/>
      <c r="L1043" s="59"/>
    </row>
    <row r="1044" spans="1:12" x14ac:dyDescent="0.35">
      <c r="A1044" s="45">
        <v>1040</v>
      </c>
      <c r="B1044" s="2"/>
      <c r="C1044" s="2"/>
      <c r="D1044" s="2"/>
      <c r="E1044" s="3"/>
      <c r="F1044" s="3"/>
      <c r="G1044" s="2"/>
      <c r="H1044" s="2"/>
      <c r="I1044" s="46"/>
      <c r="J1044" s="12"/>
      <c r="K1044" s="2"/>
      <c r="L1044" s="59"/>
    </row>
    <row r="1045" spans="1:12" x14ac:dyDescent="0.35">
      <c r="A1045" s="45">
        <v>1041</v>
      </c>
      <c r="B1045" s="2"/>
      <c r="C1045" s="2"/>
      <c r="D1045" s="2"/>
      <c r="E1045" s="3"/>
      <c r="F1045" s="3"/>
      <c r="G1045" s="2"/>
      <c r="H1045" s="2"/>
      <c r="I1045" s="46"/>
      <c r="J1045" s="12"/>
      <c r="K1045" s="2"/>
      <c r="L1045" s="59"/>
    </row>
    <row r="1046" spans="1:12" x14ac:dyDescent="0.35">
      <c r="A1046" s="45">
        <v>1042</v>
      </c>
      <c r="B1046" s="2"/>
      <c r="C1046" s="2"/>
      <c r="D1046" s="2"/>
      <c r="E1046" s="3"/>
      <c r="F1046" s="3"/>
      <c r="G1046" s="2"/>
      <c r="H1046" s="2"/>
      <c r="I1046" s="46"/>
      <c r="J1046" s="12"/>
      <c r="K1046" s="2"/>
      <c r="L1046" s="59"/>
    </row>
    <row r="1047" spans="1:12" x14ac:dyDescent="0.35">
      <c r="A1047" s="45">
        <v>1043</v>
      </c>
      <c r="B1047" s="2"/>
      <c r="C1047" s="2"/>
      <c r="D1047" s="2"/>
      <c r="E1047" s="3"/>
      <c r="F1047" s="3"/>
      <c r="G1047" s="2"/>
      <c r="H1047" s="2"/>
      <c r="I1047" s="46"/>
      <c r="J1047" s="12"/>
      <c r="K1047" s="2"/>
      <c r="L1047" s="59"/>
    </row>
    <row r="1048" spans="1:12" x14ac:dyDescent="0.35">
      <c r="A1048" s="45">
        <v>1044</v>
      </c>
      <c r="B1048" s="2"/>
      <c r="C1048" s="2"/>
      <c r="D1048" s="2"/>
      <c r="E1048" s="3"/>
      <c r="F1048" s="3"/>
      <c r="G1048" s="2"/>
      <c r="H1048" s="2"/>
      <c r="I1048" s="46"/>
      <c r="J1048" s="12"/>
      <c r="K1048" s="2"/>
      <c r="L1048" s="59"/>
    </row>
    <row r="1049" spans="1:12" x14ac:dyDescent="0.35">
      <c r="A1049" s="45">
        <v>1045</v>
      </c>
      <c r="B1049" s="2"/>
      <c r="C1049" s="2"/>
      <c r="D1049" s="2"/>
      <c r="E1049" s="3"/>
      <c r="F1049" s="3"/>
      <c r="G1049" s="2"/>
      <c r="H1049" s="2"/>
      <c r="I1049" s="46"/>
      <c r="J1049" s="12"/>
      <c r="K1049" s="2"/>
      <c r="L1049" s="59"/>
    </row>
    <row r="1050" spans="1:12" x14ac:dyDescent="0.35">
      <c r="A1050" s="45">
        <v>1046</v>
      </c>
      <c r="B1050" s="2"/>
      <c r="C1050" s="2"/>
      <c r="D1050" s="2"/>
      <c r="E1050" s="3"/>
      <c r="F1050" s="3"/>
      <c r="G1050" s="2"/>
      <c r="H1050" s="2"/>
      <c r="I1050" s="46"/>
      <c r="J1050" s="12"/>
      <c r="K1050" s="2"/>
      <c r="L1050" s="59"/>
    </row>
    <row r="1051" spans="1:12" x14ac:dyDescent="0.35">
      <c r="A1051" s="45">
        <v>1047</v>
      </c>
      <c r="B1051" s="2"/>
      <c r="C1051" s="2"/>
      <c r="D1051" s="2"/>
      <c r="E1051" s="3"/>
      <c r="F1051" s="3"/>
      <c r="G1051" s="2"/>
      <c r="H1051" s="2"/>
      <c r="I1051" s="46"/>
      <c r="J1051" s="12"/>
      <c r="K1051" s="2"/>
      <c r="L1051" s="59"/>
    </row>
    <row r="1052" spans="1:12" x14ac:dyDescent="0.35">
      <c r="A1052" s="45">
        <v>1048</v>
      </c>
      <c r="B1052" s="2"/>
      <c r="C1052" s="2"/>
      <c r="D1052" s="2"/>
      <c r="E1052" s="3"/>
      <c r="F1052" s="3"/>
      <c r="G1052" s="2"/>
      <c r="H1052" s="2"/>
      <c r="I1052" s="46"/>
      <c r="J1052" s="12"/>
      <c r="K1052" s="2"/>
      <c r="L1052" s="59"/>
    </row>
    <row r="1053" spans="1:12" x14ac:dyDescent="0.35">
      <c r="A1053" s="45">
        <v>1049</v>
      </c>
      <c r="B1053" s="2"/>
      <c r="C1053" s="2"/>
      <c r="D1053" s="2"/>
      <c r="E1053" s="3"/>
      <c r="F1053" s="3"/>
      <c r="G1053" s="2"/>
      <c r="H1053" s="2"/>
      <c r="I1053" s="46"/>
      <c r="J1053" s="12"/>
      <c r="K1053" s="2"/>
      <c r="L1053" s="59"/>
    </row>
    <row r="1054" spans="1:12" x14ac:dyDescent="0.35">
      <c r="A1054" s="45">
        <v>1050</v>
      </c>
      <c r="B1054" s="2"/>
      <c r="C1054" s="2"/>
      <c r="D1054" s="2"/>
      <c r="E1054" s="3"/>
      <c r="F1054" s="3"/>
      <c r="G1054" s="2"/>
      <c r="H1054" s="2"/>
      <c r="I1054" s="46"/>
      <c r="J1054" s="12"/>
      <c r="K1054" s="2"/>
      <c r="L1054" s="59"/>
    </row>
    <row r="1055" spans="1:12" x14ac:dyDescent="0.35">
      <c r="A1055" s="45">
        <v>1051</v>
      </c>
      <c r="B1055" s="2"/>
      <c r="C1055" s="2"/>
      <c r="D1055" s="2"/>
      <c r="E1055" s="3"/>
      <c r="F1055" s="3"/>
      <c r="G1055" s="2"/>
      <c r="H1055" s="2"/>
      <c r="I1055" s="46"/>
      <c r="J1055" s="12"/>
      <c r="K1055" s="2"/>
      <c r="L1055" s="59"/>
    </row>
    <row r="1056" spans="1:12" x14ac:dyDescent="0.35">
      <c r="A1056" s="45">
        <v>1052</v>
      </c>
      <c r="B1056" s="2"/>
      <c r="C1056" s="2"/>
      <c r="D1056" s="2"/>
      <c r="E1056" s="3"/>
      <c r="F1056" s="3"/>
      <c r="G1056" s="2"/>
      <c r="H1056" s="2"/>
      <c r="I1056" s="46"/>
      <c r="J1056" s="12"/>
      <c r="K1056" s="2"/>
      <c r="L1056" s="59"/>
    </row>
    <row r="1057" spans="1:12" x14ac:dyDescent="0.35">
      <c r="A1057" s="45">
        <v>1053</v>
      </c>
      <c r="B1057" s="2"/>
      <c r="C1057" s="2"/>
      <c r="D1057" s="2"/>
      <c r="E1057" s="3"/>
      <c r="F1057" s="3"/>
      <c r="G1057" s="2"/>
      <c r="H1057" s="2"/>
      <c r="I1057" s="46"/>
      <c r="J1057" s="12"/>
      <c r="K1057" s="2"/>
      <c r="L1057" s="59"/>
    </row>
    <row r="1058" spans="1:12" x14ac:dyDescent="0.35">
      <c r="A1058" s="45">
        <v>1054</v>
      </c>
      <c r="B1058" s="2"/>
      <c r="C1058" s="2"/>
      <c r="D1058" s="2"/>
      <c r="E1058" s="3"/>
      <c r="F1058" s="3"/>
      <c r="G1058" s="2"/>
      <c r="H1058" s="2"/>
      <c r="I1058" s="46"/>
      <c r="J1058" s="12"/>
      <c r="K1058" s="2"/>
      <c r="L1058" s="59"/>
    </row>
    <row r="1059" spans="1:12" x14ac:dyDescent="0.35">
      <c r="A1059" s="45">
        <v>1055</v>
      </c>
      <c r="B1059" s="2"/>
      <c r="C1059" s="2"/>
      <c r="D1059" s="2"/>
      <c r="E1059" s="3"/>
      <c r="F1059" s="3"/>
      <c r="G1059" s="2"/>
      <c r="H1059" s="2"/>
      <c r="I1059" s="46"/>
      <c r="J1059" s="12"/>
      <c r="K1059" s="2"/>
      <c r="L1059" s="59"/>
    </row>
    <row r="1060" spans="1:12" x14ac:dyDescent="0.35">
      <c r="A1060" s="45">
        <v>1056</v>
      </c>
      <c r="B1060" s="2"/>
      <c r="C1060" s="2"/>
      <c r="D1060" s="2"/>
      <c r="E1060" s="3"/>
      <c r="F1060" s="3"/>
      <c r="G1060" s="2"/>
      <c r="H1060" s="2"/>
      <c r="I1060" s="46"/>
      <c r="J1060" s="12"/>
      <c r="K1060" s="2"/>
      <c r="L1060" s="59"/>
    </row>
    <row r="1061" spans="1:12" x14ac:dyDescent="0.35">
      <c r="A1061" s="45">
        <v>1057</v>
      </c>
      <c r="B1061" s="2"/>
      <c r="C1061" s="2"/>
      <c r="D1061" s="2"/>
      <c r="E1061" s="3"/>
      <c r="F1061" s="3"/>
      <c r="G1061" s="2"/>
      <c r="H1061" s="2"/>
      <c r="I1061" s="46"/>
      <c r="J1061" s="12"/>
      <c r="K1061" s="2"/>
      <c r="L1061" s="59"/>
    </row>
    <row r="1062" spans="1:12" x14ac:dyDescent="0.35">
      <c r="A1062" s="45">
        <v>1058</v>
      </c>
      <c r="B1062" s="2"/>
      <c r="C1062" s="2"/>
      <c r="D1062" s="2"/>
      <c r="E1062" s="3"/>
      <c r="F1062" s="3"/>
      <c r="G1062" s="2"/>
      <c r="H1062" s="2"/>
      <c r="I1062" s="46"/>
      <c r="J1062" s="12"/>
      <c r="K1062" s="2"/>
      <c r="L1062" s="59"/>
    </row>
    <row r="1063" spans="1:12" x14ac:dyDescent="0.35">
      <c r="A1063" s="45">
        <v>1059</v>
      </c>
      <c r="B1063" s="2"/>
      <c r="C1063" s="2"/>
      <c r="D1063" s="2"/>
      <c r="E1063" s="3"/>
      <c r="F1063" s="3"/>
      <c r="G1063" s="2"/>
      <c r="H1063" s="2"/>
      <c r="I1063" s="46"/>
      <c r="J1063" s="12"/>
      <c r="K1063" s="2"/>
      <c r="L1063" s="59"/>
    </row>
    <row r="1064" spans="1:12" x14ac:dyDescent="0.35">
      <c r="A1064" s="45">
        <v>1060</v>
      </c>
      <c r="B1064" s="2"/>
      <c r="C1064" s="2"/>
      <c r="D1064" s="2"/>
      <c r="E1064" s="3"/>
      <c r="F1064" s="3"/>
      <c r="G1064" s="2"/>
      <c r="H1064" s="2"/>
      <c r="I1064" s="46"/>
      <c r="J1064" s="12"/>
      <c r="K1064" s="2"/>
      <c r="L1064" s="59"/>
    </row>
    <row r="1065" spans="1:12" x14ac:dyDescent="0.35">
      <c r="A1065" s="45">
        <v>1061</v>
      </c>
      <c r="B1065" s="2"/>
      <c r="C1065" s="2"/>
      <c r="D1065" s="2"/>
      <c r="E1065" s="3"/>
      <c r="F1065" s="3"/>
      <c r="G1065" s="2"/>
      <c r="H1065" s="2"/>
      <c r="I1065" s="46"/>
      <c r="J1065" s="12"/>
      <c r="K1065" s="2"/>
      <c r="L1065" s="59"/>
    </row>
    <row r="1066" spans="1:12" x14ac:dyDescent="0.35">
      <c r="A1066" s="45">
        <v>1062</v>
      </c>
      <c r="B1066" s="2"/>
      <c r="C1066" s="2"/>
      <c r="D1066" s="2"/>
      <c r="E1066" s="3"/>
      <c r="F1066" s="3"/>
      <c r="G1066" s="2"/>
      <c r="H1066" s="2"/>
      <c r="I1066" s="46"/>
      <c r="J1066" s="12"/>
      <c r="K1066" s="2"/>
      <c r="L1066" s="59"/>
    </row>
    <row r="1067" spans="1:12" x14ac:dyDescent="0.35">
      <c r="A1067" s="45">
        <v>1063</v>
      </c>
      <c r="B1067" s="2"/>
      <c r="C1067" s="2"/>
      <c r="D1067" s="2"/>
      <c r="E1067" s="3"/>
      <c r="F1067" s="3"/>
      <c r="G1067" s="2"/>
      <c r="H1067" s="2"/>
      <c r="I1067" s="46"/>
      <c r="J1067" s="12"/>
      <c r="K1067" s="2"/>
      <c r="L1067" s="59"/>
    </row>
    <row r="1068" spans="1:12" x14ac:dyDescent="0.35">
      <c r="A1068" s="45">
        <v>1064</v>
      </c>
      <c r="B1068" s="2"/>
      <c r="C1068" s="2"/>
      <c r="D1068" s="2"/>
      <c r="E1068" s="3"/>
      <c r="F1068" s="3"/>
      <c r="G1068" s="2"/>
      <c r="H1068" s="2"/>
      <c r="I1068" s="46"/>
      <c r="J1068" s="12"/>
      <c r="K1068" s="2"/>
      <c r="L1068" s="59"/>
    </row>
    <row r="1069" spans="1:12" x14ac:dyDescent="0.35">
      <c r="A1069" s="45">
        <v>1065</v>
      </c>
      <c r="B1069" s="2"/>
      <c r="C1069" s="2"/>
      <c r="D1069" s="2"/>
      <c r="E1069" s="3"/>
      <c r="F1069" s="3"/>
      <c r="G1069" s="2"/>
      <c r="H1069" s="2"/>
      <c r="I1069" s="46"/>
      <c r="J1069" s="12"/>
      <c r="K1069" s="2"/>
      <c r="L1069" s="59"/>
    </row>
    <row r="1070" spans="1:12" x14ac:dyDescent="0.35">
      <c r="A1070" s="45">
        <v>1066</v>
      </c>
      <c r="B1070" s="2"/>
      <c r="C1070" s="2"/>
      <c r="D1070" s="2"/>
      <c r="E1070" s="3"/>
      <c r="F1070" s="3"/>
      <c r="G1070" s="2"/>
      <c r="H1070" s="2"/>
      <c r="I1070" s="46"/>
      <c r="J1070" s="12"/>
      <c r="K1070" s="2"/>
      <c r="L1070" s="59"/>
    </row>
    <row r="1071" spans="1:12" x14ac:dyDescent="0.35">
      <c r="A1071" s="45">
        <v>1067</v>
      </c>
      <c r="B1071" s="2"/>
      <c r="C1071" s="2"/>
      <c r="D1071" s="2"/>
      <c r="E1071" s="3"/>
      <c r="F1071" s="3"/>
      <c r="G1071" s="2"/>
      <c r="H1071" s="2"/>
      <c r="I1071" s="46"/>
      <c r="J1071" s="12"/>
      <c r="K1071" s="2"/>
      <c r="L1071" s="59"/>
    </row>
    <row r="1072" spans="1:12" x14ac:dyDescent="0.35">
      <c r="A1072" s="45">
        <v>1068</v>
      </c>
      <c r="B1072" s="2"/>
      <c r="C1072" s="2"/>
      <c r="D1072" s="2"/>
      <c r="E1072" s="3"/>
      <c r="F1072" s="3"/>
      <c r="G1072" s="2"/>
      <c r="H1072" s="2"/>
      <c r="I1072" s="46"/>
      <c r="J1072" s="12"/>
      <c r="K1072" s="2"/>
      <c r="L1072" s="59"/>
    </row>
    <row r="1073" spans="1:12" x14ac:dyDescent="0.35">
      <c r="A1073" s="45">
        <v>1069</v>
      </c>
      <c r="B1073" s="2"/>
      <c r="C1073" s="2"/>
      <c r="D1073" s="2"/>
      <c r="E1073" s="3"/>
      <c r="F1073" s="3"/>
      <c r="G1073" s="2"/>
      <c r="H1073" s="2"/>
      <c r="I1073" s="46"/>
      <c r="J1073" s="12"/>
      <c r="K1073" s="2"/>
      <c r="L1073" s="59"/>
    </row>
    <row r="1074" spans="1:12" x14ac:dyDescent="0.35">
      <c r="A1074" s="45">
        <v>1070</v>
      </c>
      <c r="B1074" s="2"/>
      <c r="C1074" s="2"/>
      <c r="D1074" s="2"/>
      <c r="E1074" s="3"/>
      <c r="F1074" s="3"/>
      <c r="G1074" s="2"/>
      <c r="H1074" s="2"/>
      <c r="I1074" s="46"/>
      <c r="J1074" s="12"/>
      <c r="K1074" s="2"/>
      <c r="L1074" s="59"/>
    </row>
    <row r="1075" spans="1:12" x14ac:dyDescent="0.35">
      <c r="A1075" s="45">
        <v>1071</v>
      </c>
      <c r="B1075" s="2"/>
      <c r="C1075" s="2"/>
      <c r="D1075" s="2"/>
      <c r="E1075" s="3"/>
      <c r="F1075" s="3"/>
      <c r="G1075" s="2"/>
      <c r="H1075" s="2"/>
      <c r="I1075" s="46"/>
      <c r="J1075" s="12"/>
      <c r="K1075" s="2"/>
      <c r="L1075" s="59"/>
    </row>
    <row r="1076" spans="1:12" x14ac:dyDescent="0.35">
      <c r="A1076" s="45">
        <v>1072</v>
      </c>
      <c r="B1076" s="2"/>
      <c r="C1076" s="2"/>
      <c r="D1076" s="2"/>
      <c r="E1076" s="3"/>
      <c r="F1076" s="3"/>
      <c r="G1076" s="2"/>
      <c r="H1076" s="2"/>
      <c r="I1076" s="46"/>
      <c r="J1076" s="12"/>
      <c r="K1076" s="2"/>
      <c r="L1076" s="59"/>
    </row>
    <row r="1077" spans="1:12" x14ac:dyDescent="0.35">
      <c r="A1077" s="45">
        <v>1073</v>
      </c>
      <c r="B1077" s="2"/>
      <c r="C1077" s="2"/>
      <c r="D1077" s="2"/>
      <c r="E1077" s="3"/>
      <c r="F1077" s="3"/>
      <c r="G1077" s="2"/>
      <c r="H1077" s="2"/>
      <c r="I1077" s="46"/>
      <c r="J1077" s="12"/>
      <c r="K1077" s="2"/>
      <c r="L1077" s="59"/>
    </row>
    <row r="1078" spans="1:12" x14ac:dyDescent="0.35">
      <c r="A1078" s="45">
        <v>1074</v>
      </c>
      <c r="B1078" s="2"/>
      <c r="C1078" s="2"/>
      <c r="D1078" s="2"/>
      <c r="E1078" s="3"/>
      <c r="F1078" s="3"/>
      <c r="G1078" s="2"/>
      <c r="H1078" s="2"/>
      <c r="I1078" s="46"/>
      <c r="J1078" s="12"/>
      <c r="K1078" s="2"/>
      <c r="L1078" s="59"/>
    </row>
    <row r="1079" spans="1:12" x14ac:dyDescent="0.35">
      <c r="A1079" s="45">
        <v>1075</v>
      </c>
      <c r="B1079" s="2"/>
      <c r="C1079" s="2"/>
      <c r="D1079" s="2"/>
      <c r="E1079" s="3"/>
      <c r="F1079" s="3"/>
      <c r="G1079" s="2"/>
      <c r="H1079" s="2"/>
      <c r="I1079" s="46"/>
      <c r="J1079" s="12"/>
      <c r="K1079" s="2"/>
      <c r="L1079" s="59"/>
    </row>
    <row r="1080" spans="1:12" x14ac:dyDescent="0.35">
      <c r="A1080" s="45">
        <v>1076</v>
      </c>
      <c r="B1080" s="2"/>
      <c r="C1080" s="2"/>
      <c r="D1080" s="2"/>
      <c r="E1080" s="3"/>
      <c r="F1080" s="3"/>
      <c r="G1080" s="2"/>
      <c r="H1080" s="2"/>
      <c r="I1080" s="46"/>
      <c r="J1080" s="12"/>
      <c r="K1080" s="2"/>
      <c r="L1080" s="59"/>
    </row>
    <row r="1081" spans="1:12" x14ac:dyDescent="0.35">
      <c r="A1081" s="45">
        <v>1077</v>
      </c>
      <c r="B1081" s="2"/>
      <c r="C1081" s="2"/>
      <c r="D1081" s="2"/>
      <c r="E1081" s="3"/>
      <c r="F1081" s="3"/>
      <c r="G1081" s="2"/>
      <c r="H1081" s="2"/>
      <c r="I1081" s="46"/>
      <c r="J1081" s="12"/>
      <c r="K1081" s="2"/>
      <c r="L1081" s="59"/>
    </row>
    <row r="1082" spans="1:12" x14ac:dyDescent="0.35">
      <c r="A1082" s="45">
        <v>1078</v>
      </c>
      <c r="B1082" s="2"/>
      <c r="C1082" s="2"/>
      <c r="D1082" s="2"/>
      <c r="E1082" s="3"/>
      <c r="F1082" s="3"/>
      <c r="G1082" s="2"/>
      <c r="H1082" s="2"/>
      <c r="I1082" s="46"/>
      <c r="J1082" s="12"/>
      <c r="K1082" s="2"/>
      <c r="L1082" s="59"/>
    </row>
    <row r="1083" spans="1:12" x14ac:dyDescent="0.35">
      <c r="A1083" s="45">
        <v>1079</v>
      </c>
      <c r="B1083" s="2"/>
      <c r="C1083" s="2"/>
      <c r="D1083" s="2"/>
      <c r="E1083" s="3"/>
      <c r="F1083" s="3"/>
      <c r="G1083" s="2"/>
      <c r="H1083" s="2"/>
      <c r="I1083" s="46"/>
      <c r="J1083" s="12"/>
      <c r="K1083" s="2"/>
      <c r="L1083" s="59"/>
    </row>
    <row r="1084" spans="1:12" x14ac:dyDescent="0.35">
      <c r="A1084" s="45">
        <v>1080</v>
      </c>
      <c r="B1084" s="2"/>
      <c r="C1084" s="2"/>
      <c r="D1084" s="2"/>
      <c r="E1084" s="3"/>
      <c r="F1084" s="3"/>
      <c r="G1084" s="2"/>
      <c r="H1084" s="2"/>
      <c r="I1084" s="46"/>
      <c r="J1084" s="12"/>
      <c r="K1084" s="2"/>
      <c r="L1084" s="59"/>
    </row>
    <row r="1085" spans="1:12" x14ac:dyDescent="0.35">
      <c r="A1085" s="45">
        <v>1081</v>
      </c>
      <c r="B1085" s="2"/>
      <c r="C1085" s="2"/>
      <c r="D1085" s="2"/>
      <c r="E1085" s="3"/>
      <c r="F1085" s="3"/>
      <c r="G1085" s="2"/>
      <c r="H1085" s="2"/>
      <c r="I1085" s="46"/>
      <c r="J1085" s="12"/>
      <c r="K1085" s="2"/>
      <c r="L1085" s="59"/>
    </row>
    <row r="1086" spans="1:12" x14ac:dyDescent="0.35">
      <c r="A1086" s="45">
        <v>1082</v>
      </c>
      <c r="B1086" s="2"/>
      <c r="C1086" s="2"/>
      <c r="D1086" s="2"/>
      <c r="E1086" s="3"/>
      <c r="F1086" s="3"/>
      <c r="G1086" s="2"/>
      <c r="H1086" s="2"/>
      <c r="I1086" s="46"/>
      <c r="J1086" s="12"/>
      <c r="K1086" s="2"/>
      <c r="L1086" s="59"/>
    </row>
    <row r="1087" spans="1:12" x14ac:dyDescent="0.35">
      <c r="A1087" s="45">
        <v>1083</v>
      </c>
      <c r="B1087" s="2"/>
      <c r="C1087" s="2"/>
      <c r="D1087" s="2"/>
      <c r="E1087" s="3"/>
      <c r="F1087" s="3"/>
      <c r="G1087" s="2"/>
      <c r="H1087" s="2"/>
      <c r="I1087" s="46"/>
      <c r="J1087" s="12"/>
      <c r="K1087" s="2"/>
      <c r="L1087" s="59"/>
    </row>
    <row r="1088" spans="1:12" x14ac:dyDescent="0.35">
      <c r="A1088" s="45">
        <v>1084</v>
      </c>
      <c r="B1088" s="2"/>
      <c r="C1088" s="2"/>
      <c r="D1088" s="2"/>
      <c r="E1088" s="3"/>
      <c r="F1088" s="3"/>
      <c r="G1088" s="2"/>
      <c r="H1088" s="2"/>
      <c r="I1088" s="46"/>
      <c r="J1088" s="12"/>
      <c r="K1088" s="2"/>
      <c r="L1088" s="59"/>
    </row>
    <row r="1089" spans="1:12" x14ac:dyDescent="0.35">
      <c r="A1089" s="45">
        <v>1085</v>
      </c>
      <c r="B1089" s="2"/>
      <c r="C1089" s="2"/>
      <c r="D1089" s="2"/>
      <c r="E1089" s="3"/>
      <c r="F1089" s="3"/>
      <c r="G1089" s="2"/>
      <c r="H1089" s="2"/>
      <c r="I1089" s="46"/>
      <c r="J1089" s="12"/>
      <c r="K1089" s="2"/>
      <c r="L1089" s="59"/>
    </row>
    <row r="1090" spans="1:12" x14ac:dyDescent="0.35">
      <c r="A1090" s="45">
        <v>1086</v>
      </c>
      <c r="B1090" s="2"/>
      <c r="C1090" s="2"/>
      <c r="D1090" s="2"/>
      <c r="E1090" s="3"/>
      <c r="F1090" s="3"/>
      <c r="G1090" s="2"/>
      <c r="H1090" s="2"/>
      <c r="I1090" s="46"/>
      <c r="J1090" s="12"/>
      <c r="K1090" s="2"/>
      <c r="L1090" s="59"/>
    </row>
    <row r="1091" spans="1:12" x14ac:dyDescent="0.35">
      <c r="A1091" s="45">
        <v>1087</v>
      </c>
      <c r="B1091" s="2"/>
      <c r="C1091" s="2"/>
      <c r="D1091" s="2"/>
      <c r="E1091" s="3"/>
      <c r="F1091" s="3"/>
      <c r="G1091" s="2"/>
      <c r="H1091" s="2"/>
      <c r="I1091" s="46"/>
      <c r="J1091" s="12"/>
      <c r="K1091" s="2"/>
      <c r="L1091" s="59"/>
    </row>
    <row r="1092" spans="1:12" x14ac:dyDescent="0.35">
      <c r="A1092" s="45">
        <v>1088</v>
      </c>
      <c r="B1092" s="2"/>
      <c r="C1092" s="2"/>
      <c r="D1092" s="2"/>
      <c r="E1092" s="3"/>
      <c r="F1092" s="3"/>
      <c r="G1092" s="2"/>
      <c r="H1092" s="2"/>
      <c r="I1092" s="46"/>
      <c r="J1092" s="12"/>
      <c r="K1092" s="2"/>
      <c r="L1092" s="59"/>
    </row>
    <row r="1093" spans="1:12" x14ac:dyDescent="0.35">
      <c r="A1093" s="45">
        <v>1089</v>
      </c>
      <c r="B1093" s="2"/>
      <c r="C1093" s="2"/>
      <c r="D1093" s="2"/>
      <c r="E1093" s="3"/>
      <c r="F1093" s="3"/>
      <c r="G1093" s="2"/>
      <c r="H1093" s="2"/>
      <c r="I1093" s="46"/>
      <c r="J1093" s="12"/>
      <c r="K1093" s="2"/>
      <c r="L1093" s="59"/>
    </row>
    <row r="1094" spans="1:12" x14ac:dyDescent="0.35">
      <c r="A1094" s="45">
        <v>1090</v>
      </c>
      <c r="B1094" s="2"/>
      <c r="C1094" s="2"/>
      <c r="D1094" s="2"/>
      <c r="E1094" s="3"/>
      <c r="F1094" s="3"/>
      <c r="G1094" s="2"/>
      <c r="H1094" s="2"/>
      <c r="I1094" s="46"/>
      <c r="J1094" s="12"/>
      <c r="K1094" s="2"/>
      <c r="L1094" s="59"/>
    </row>
    <row r="1095" spans="1:12" x14ac:dyDescent="0.35">
      <c r="A1095" s="45">
        <v>1091</v>
      </c>
      <c r="B1095" s="2"/>
      <c r="C1095" s="2"/>
      <c r="D1095" s="2"/>
      <c r="E1095" s="3"/>
      <c r="F1095" s="3"/>
      <c r="G1095" s="2"/>
      <c r="H1095" s="2"/>
      <c r="I1095" s="46"/>
      <c r="J1095" s="12"/>
      <c r="K1095" s="2"/>
      <c r="L1095" s="59"/>
    </row>
    <row r="1096" spans="1:12" x14ac:dyDescent="0.35">
      <c r="A1096" s="45">
        <v>1092</v>
      </c>
      <c r="B1096" s="2"/>
      <c r="C1096" s="2"/>
      <c r="D1096" s="2"/>
      <c r="E1096" s="3"/>
      <c r="F1096" s="3"/>
      <c r="G1096" s="2"/>
      <c r="H1096" s="2"/>
      <c r="I1096" s="46"/>
      <c r="J1096" s="12"/>
      <c r="K1096" s="2"/>
      <c r="L1096" s="59"/>
    </row>
    <row r="1097" spans="1:12" x14ac:dyDescent="0.35">
      <c r="A1097" s="45">
        <v>1093</v>
      </c>
      <c r="B1097" s="2"/>
      <c r="C1097" s="2"/>
      <c r="D1097" s="2"/>
      <c r="E1097" s="3"/>
      <c r="F1097" s="3"/>
      <c r="G1097" s="2"/>
      <c r="H1097" s="2"/>
      <c r="I1097" s="46"/>
      <c r="J1097" s="12"/>
      <c r="K1097" s="2"/>
      <c r="L1097" s="59"/>
    </row>
    <row r="1098" spans="1:12" x14ac:dyDescent="0.35">
      <c r="A1098" s="45">
        <v>1094</v>
      </c>
      <c r="B1098" s="2"/>
      <c r="C1098" s="2"/>
      <c r="D1098" s="2"/>
      <c r="E1098" s="3"/>
      <c r="F1098" s="3"/>
      <c r="G1098" s="2"/>
      <c r="H1098" s="2"/>
      <c r="I1098" s="46"/>
      <c r="J1098" s="12"/>
      <c r="K1098" s="2"/>
      <c r="L1098" s="59"/>
    </row>
    <row r="1099" spans="1:12" x14ac:dyDescent="0.35">
      <c r="A1099" s="45">
        <v>1095</v>
      </c>
      <c r="B1099" s="2"/>
      <c r="C1099" s="2"/>
      <c r="D1099" s="2"/>
      <c r="E1099" s="3"/>
      <c r="F1099" s="3"/>
      <c r="G1099" s="2"/>
      <c r="H1099" s="2"/>
      <c r="I1099" s="46"/>
      <c r="J1099" s="12"/>
      <c r="K1099" s="2"/>
      <c r="L1099" s="59"/>
    </row>
    <row r="1100" spans="1:12" x14ac:dyDescent="0.35">
      <c r="A1100" s="45">
        <v>1096</v>
      </c>
      <c r="B1100" s="2"/>
      <c r="C1100" s="2"/>
      <c r="D1100" s="2"/>
      <c r="E1100" s="3"/>
      <c r="F1100" s="3"/>
      <c r="G1100" s="2"/>
      <c r="H1100" s="2"/>
      <c r="I1100" s="46"/>
      <c r="J1100" s="12"/>
      <c r="K1100" s="2"/>
      <c r="L1100" s="59"/>
    </row>
    <row r="1101" spans="1:12" x14ac:dyDescent="0.35">
      <c r="A1101" s="45">
        <v>1097</v>
      </c>
      <c r="B1101" s="2"/>
      <c r="C1101" s="2"/>
      <c r="D1101" s="2"/>
      <c r="E1101" s="3"/>
      <c r="F1101" s="3"/>
      <c r="G1101" s="2"/>
      <c r="H1101" s="2"/>
      <c r="I1101" s="46"/>
      <c r="J1101" s="12"/>
      <c r="K1101" s="2"/>
      <c r="L1101" s="59"/>
    </row>
    <row r="1102" spans="1:12" x14ac:dyDescent="0.35">
      <c r="A1102" s="45">
        <v>1098</v>
      </c>
      <c r="B1102" s="2"/>
      <c r="C1102" s="2"/>
      <c r="D1102" s="2"/>
      <c r="E1102" s="3"/>
      <c r="F1102" s="3"/>
      <c r="G1102" s="2"/>
      <c r="H1102" s="2"/>
      <c r="I1102" s="46"/>
      <c r="J1102" s="12"/>
      <c r="K1102" s="2"/>
      <c r="L1102" s="59"/>
    </row>
    <row r="1103" spans="1:12" x14ac:dyDescent="0.35">
      <c r="A1103" s="45">
        <v>1099</v>
      </c>
      <c r="B1103" s="2"/>
      <c r="C1103" s="2"/>
      <c r="D1103" s="2"/>
      <c r="E1103" s="3"/>
      <c r="F1103" s="3"/>
      <c r="G1103" s="2"/>
      <c r="H1103" s="2"/>
      <c r="I1103" s="46"/>
      <c r="J1103" s="12"/>
      <c r="K1103" s="2"/>
      <c r="L1103" s="59"/>
    </row>
    <row r="1104" spans="1:12" x14ac:dyDescent="0.35">
      <c r="A1104" s="45">
        <v>1100</v>
      </c>
      <c r="B1104" s="2"/>
      <c r="C1104" s="2"/>
      <c r="D1104" s="2"/>
      <c r="E1104" s="3"/>
      <c r="F1104" s="3"/>
      <c r="G1104" s="2"/>
      <c r="H1104" s="2"/>
      <c r="I1104" s="46"/>
      <c r="J1104" s="12"/>
      <c r="K1104" s="2"/>
      <c r="L1104" s="59"/>
    </row>
    <row r="1105" spans="1:12" x14ac:dyDescent="0.35">
      <c r="A1105" s="45">
        <v>1101</v>
      </c>
      <c r="B1105" s="2"/>
      <c r="C1105" s="2"/>
      <c r="D1105" s="2"/>
      <c r="E1105" s="3"/>
      <c r="F1105" s="3"/>
      <c r="G1105" s="2"/>
      <c r="H1105" s="2"/>
      <c r="I1105" s="46"/>
      <c r="J1105" s="12"/>
      <c r="K1105" s="2"/>
      <c r="L1105" s="59"/>
    </row>
    <row r="1106" spans="1:12" x14ac:dyDescent="0.35">
      <c r="A1106" s="45">
        <v>1102</v>
      </c>
      <c r="B1106" s="2"/>
      <c r="C1106" s="2"/>
      <c r="D1106" s="2"/>
      <c r="E1106" s="3"/>
      <c r="F1106" s="3"/>
      <c r="G1106" s="2"/>
      <c r="H1106" s="2"/>
      <c r="I1106" s="46"/>
      <c r="J1106" s="12"/>
      <c r="K1106" s="2"/>
      <c r="L1106" s="59"/>
    </row>
    <row r="1107" spans="1:12" x14ac:dyDescent="0.35">
      <c r="A1107" s="45">
        <v>1103</v>
      </c>
      <c r="B1107" s="2"/>
      <c r="C1107" s="2"/>
      <c r="D1107" s="2"/>
      <c r="E1107" s="3"/>
      <c r="F1107" s="3"/>
      <c r="G1107" s="2"/>
      <c r="H1107" s="2"/>
      <c r="I1107" s="46"/>
      <c r="J1107" s="12"/>
      <c r="K1107" s="2"/>
      <c r="L1107" s="59"/>
    </row>
    <row r="1108" spans="1:12" x14ac:dyDescent="0.35">
      <c r="A1108" s="45">
        <v>1104</v>
      </c>
      <c r="B1108" s="2"/>
      <c r="C1108" s="2"/>
      <c r="D1108" s="2"/>
      <c r="E1108" s="3"/>
      <c r="F1108" s="3"/>
      <c r="G1108" s="2"/>
      <c r="H1108" s="2"/>
      <c r="I1108" s="46"/>
      <c r="J1108" s="12"/>
      <c r="K1108" s="2"/>
      <c r="L1108" s="59"/>
    </row>
    <row r="1109" spans="1:12" x14ac:dyDescent="0.35">
      <c r="A1109" s="45">
        <v>1105</v>
      </c>
      <c r="B1109" s="2"/>
      <c r="C1109" s="2"/>
      <c r="D1109" s="2"/>
      <c r="E1109" s="3"/>
      <c r="F1109" s="3"/>
      <c r="G1109" s="2"/>
      <c r="H1109" s="2"/>
      <c r="I1109" s="46"/>
      <c r="J1109" s="12"/>
      <c r="K1109" s="2"/>
      <c r="L1109" s="59"/>
    </row>
    <row r="1110" spans="1:12" x14ac:dyDescent="0.35">
      <c r="A1110" s="45">
        <v>1106</v>
      </c>
      <c r="B1110" s="2"/>
      <c r="C1110" s="2"/>
      <c r="D1110" s="2"/>
      <c r="E1110" s="3"/>
      <c r="F1110" s="3"/>
      <c r="G1110" s="2"/>
      <c r="H1110" s="2"/>
      <c r="I1110" s="46"/>
      <c r="J1110" s="12"/>
      <c r="K1110" s="2"/>
      <c r="L1110" s="59"/>
    </row>
    <row r="1111" spans="1:12" x14ac:dyDescent="0.35">
      <c r="A1111" s="45">
        <v>1107</v>
      </c>
      <c r="B1111" s="2"/>
      <c r="C1111" s="2"/>
      <c r="D1111" s="2"/>
      <c r="E1111" s="3"/>
      <c r="F1111" s="3"/>
      <c r="G1111" s="2"/>
      <c r="H1111" s="2"/>
      <c r="I1111" s="46"/>
      <c r="J1111" s="12"/>
      <c r="K1111" s="2"/>
      <c r="L1111" s="59"/>
    </row>
    <row r="1112" spans="1:12" x14ac:dyDescent="0.35">
      <c r="A1112" s="45">
        <v>1108</v>
      </c>
      <c r="B1112" s="2"/>
      <c r="C1112" s="2"/>
      <c r="D1112" s="2"/>
      <c r="E1112" s="3"/>
      <c r="F1112" s="3"/>
      <c r="G1112" s="2"/>
      <c r="H1112" s="2"/>
      <c r="I1112" s="46"/>
      <c r="J1112" s="12"/>
      <c r="K1112" s="2"/>
      <c r="L1112" s="59"/>
    </row>
    <row r="1113" spans="1:12" x14ac:dyDescent="0.35">
      <c r="A1113" s="45">
        <v>1109</v>
      </c>
      <c r="B1113" s="2"/>
      <c r="C1113" s="2"/>
      <c r="D1113" s="2"/>
      <c r="E1113" s="3"/>
      <c r="F1113" s="3"/>
      <c r="G1113" s="2"/>
      <c r="H1113" s="2"/>
      <c r="I1113" s="46"/>
      <c r="J1113" s="12"/>
      <c r="K1113" s="2"/>
      <c r="L1113" s="59"/>
    </row>
    <row r="1114" spans="1:12" x14ac:dyDescent="0.35">
      <c r="A1114" s="45">
        <v>1110</v>
      </c>
      <c r="B1114" s="2"/>
      <c r="C1114" s="2"/>
      <c r="D1114" s="2"/>
      <c r="E1114" s="3"/>
      <c r="F1114" s="3"/>
      <c r="G1114" s="2"/>
      <c r="H1114" s="2"/>
      <c r="I1114" s="46"/>
      <c r="J1114" s="12"/>
      <c r="K1114" s="2"/>
      <c r="L1114" s="59"/>
    </row>
    <row r="1115" spans="1:12" x14ac:dyDescent="0.35">
      <c r="A1115" s="45">
        <v>1111</v>
      </c>
      <c r="B1115" s="2"/>
      <c r="C1115" s="2"/>
      <c r="D1115" s="2"/>
      <c r="E1115" s="3"/>
      <c r="F1115" s="3"/>
      <c r="G1115" s="2"/>
      <c r="H1115" s="2"/>
      <c r="I1115" s="46"/>
      <c r="J1115" s="12"/>
      <c r="K1115" s="2"/>
      <c r="L1115" s="59"/>
    </row>
    <row r="1116" spans="1:12" x14ac:dyDescent="0.35">
      <c r="A1116" s="45">
        <v>1112</v>
      </c>
      <c r="B1116" s="2"/>
      <c r="C1116" s="2"/>
      <c r="D1116" s="2"/>
      <c r="E1116" s="3"/>
      <c r="F1116" s="3"/>
      <c r="G1116" s="2"/>
      <c r="H1116" s="2"/>
      <c r="I1116" s="46"/>
      <c r="J1116" s="12"/>
      <c r="K1116" s="2"/>
      <c r="L1116" s="59"/>
    </row>
    <row r="1117" spans="1:12" x14ac:dyDescent="0.35">
      <c r="A1117" s="45">
        <v>1113</v>
      </c>
      <c r="B1117" s="2"/>
      <c r="C1117" s="2"/>
      <c r="D1117" s="2"/>
      <c r="E1117" s="3"/>
      <c r="F1117" s="3"/>
      <c r="G1117" s="2"/>
      <c r="H1117" s="2"/>
      <c r="I1117" s="46"/>
      <c r="J1117" s="12"/>
      <c r="K1117" s="2"/>
      <c r="L1117" s="59"/>
    </row>
    <row r="1118" spans="1:12" x14ac:dyDescent="0.35">
      <c r="A1118" s="45">
        <v>1114</v>
      </c>
      <c r="B1118" s="2"/>
      <c r="C1118" s="2"/>
      <c r="D1118" s="2"/>
      <c r="E1118" s="3"/>
      <c r="F1118" s="3"/>
      <c r="G1118" s="2"/>
      <c r="H1118" s="2"/>
      <c r="I1118" s="46"/>
      <c r="J1118" s="12"/>
      <c r="K1118" s="2"/>
      <c r="L1118" s="59"/>
    </row>
    <row r="1119" spans="1:12" x14ac:dyDescent="0.35">
      <c r="A1119" s="45">
        <v>1115</v>
      </c>
      <c r="B1119" s="2"/>
      <c r="C1119" s="2"/>
      <c r="D1119" s="2"/>
      <c r="E1119" s="3"/>
      <c r="F1119" s="3"/>
      <c r="G1119" s="2"/>
      <c r="H1119" s="2"/>
      <c r="I1119" s="46"/>
      <c r="J1119" s="12"/>
      <c r="K1119" s="2"/>
      <c r="L1119" s="59"/>
    </row>
    <row r="1120" spans="1:12" x14ac:dyDescent="0.35">
      <c r="A1120" s="45">
        <v>1116</v>
      </c>
      <c r="B1120" s="2"/>
      <c r="C1120" s="2"/>
      <c r="D1120" s="2"/>
      <c r="E1120" s="3"/>
      <c r="F1120" s="3"/>
      <c r="G1120" s="2"/>
      <c r="H1120" s="2"/>
      <c r="I1120" s="46"/>
      <c r="J1120" s="12"/>
      <c r="K1120" s="2"/>
      <c r="L1120" s="59"/>
    </row>
    <row r="1121" spans="1:12" x14ac:dyDescent="0.35">
      <c r="A1121" s="45">
        <v>1117</v>
      </c>
      <c r="B1121" s="2"/>
      <c r="C1121" s="2"/>
      <c r="D1121" s="2"/>
      <c r="E1121" s="3"/>
      <c r="F1121" s="3"/>
      <c r="G1121" s="2"/>
      <c r="H1121" s="2"/>
      <c r="I1121" s="46"/>
      <c r="J1121" s="12"/>
      <c r="K1121" s="2"/>
      <c r="L1121" s="59"/>
    </row>
    <row r="1122" spans="1:12" x14ac:dyDescent="0.35">
      <c r="A1122" s="45">
        <v>1118</v>
      </c>
      <c r="B1122" s="2"/>
      <c r="C1122" s="2"/>
      <c r="D1122" s="2"/>
      <c r="E1122" s="3"/>
      <c r="F1122" s="3"/>
      <c r="G1122" s="2"/>
      <c r="H1122" s="2"/>
      <c r="I1122" s="46"/>
      <c r="J1122" s="12"/>
      <c r="K1122" s="2"/>
      <c r="L1122" s="59"/>
    </row>
    <row r="1123" spans="1:12" x14ac:dyDescent="0.35">
      <c r="A1123" s="45">
        <v>1119</v>
      </c>
      <c r="B1123" s="2"/>
      <c r="C1123" s="2"/>
      <c r="D1123" s="2"/>
      <c r="E1123" s="3"/>
      <c r="F1123" s="3"/>
      <c r="G1123" s="2"/>
      <c r="H1123" s="2"/>
      <c r="I1123" s="46"/>
      <c r="J1123" s="12"/>
      <c r="K1123" s="2"/>
      <c r="L1123" s="59"/>
    </row>
    <row r="1124" spans="1:12" x14ac:dyDescent="0.35">
      <c r="A1124" s="45">
        <v>1120</v>
      </c>
      <c r="B1124" s="2"/>
      <c r="C1124" s="2"/>
      <c r="D1124" s="2"/>
      <c r="E1124" s="3"/>
      <c r="F1124" s="3"/>
      <c r="G1124" s="2"/>
      <c r="H1124" s="2"/>
      <c r="I1124" s="46"/>
      <c r="J1124" s="12"/>
      <c r="K1124" s="2"/>
      <c r="L1124" s="59"/>
    </row>
    <row r="1125" spans="1:12" x14ac:dyDescent="0.35">
      <c r="A1125" s="45">
        <v>1121</v>
      </c>
      <c r="B1125" s="2"/>
      <c r="C1125" s="2"/>
      <c r="D1125" s="2"/>
      <c r="E1125" s="3"/>
      <c r="F1125" s="3"/>
      <c r="G1125" s="2"/>
      <c r="H1125" s="2"/>
      <c r="I1125" s="46"/>
      <c r="J1125" s="12"/>
      <c r="K1125" s="2"/>
      <c r="L1125" s="59"/>
    </row>
    <row r="1126" spans="1:12" x14ac:dyDescent="0.35">
      <c r="A1126" s="45">
        <v>1122</v>
      </c>
      <c r="B1126" s="2"/>
      <c r="C1126" s="2"/>
      <c r="D1126" s="2"/>
      <c r="E1126" s="3"/>
      <c r="F1126" s="3"/>
      <c r="G1126" s="2"/>
      <c r="H1126" s="2"/>
      <c r="I1126" s="46"/>
      <c r="J1126" s="12"/>
      <c r="K1126" s="2"/>
      <c r="L1126" s="59"/>
    </row>
    <row r="1127" spans="1:12" x14ac:dyDescent="0.35">
      <c r="A1127" s="45">
        <v>1123</v>
      </c>
      <c r="B1127" s="2"/>
      <c r="C1127" s="2"/>
      <c r="D1127" s="2"/>
      <c r="E1127" s="3"/>
      <c r="F1127" s="3"/>
      <c r="G1127" s="2"/>
      <c r="H1127" s="2"/>
      <c r="I1127" s="46"/>
      <c r="J1127" s="12"/>
      <c r="K1127" s="2"/>
      <c r="L1127" s="59"/>
    </row>
    <row r="1128" spans="1:12" x14ac:dyDescent="0.35">
      <c r="A1128" s="45">
        <v>1124</v>
      </c>
      <c r="B1128" s="2"/>
      <c r="C1128" s="2"/>
      <c r="D1128" s="2"/>
      <c r="E1128" s="3"/>
      <c r="F1128" s="3"/>
      <c r="G1128" s="2"/>
      <c r="H1128" s="2"/>
      <c r="I1128" s="46"/>
      <c r="J1128" s="12"/>
      <c r="K1128" s="2"/>
      <c r="L1128" s="59"/>
    </row>
    <row r="1129" spans="1:12" x14ac:dyDescent="0.35">
      <c r="A1129" s="45">
        <v>1125</v>
      </c>
      <c r="B1129" s="2"/>
      <c r="C1129" s="2"/>
      <c r="D1129" s="2"/>
      <c r="E1129" s="3"/>
      <c r="F1129" s="3"/>
      <c r="G1129" s="2"/>
      <c r="H1129" s="2"/>
      <c r="I1129" s="46"/>
      <c r="J1129" s="12"/>
      <c r="K1129" s="2"/>
      <c r="L1129" s="59"/>
    </row>
    <row r="1130" spans="1:12" x14ac:dyDescent="0.35">
      <c r="A1130" s="45">
        <v>1126</v>
      </c>
      <c r="B1130" s="2"/>
      <c r="C1130" s="2"/>
      <c r="D1130" s="2"/>
      <c r="E1130" s="3"/>
      <c r="F1130" s="3"/>
      <c r="G1130" s="2"/>
      <c r="H1130" s="2"/>
      <c r="I1130" s="46"/>
      <c r="J1130" s="12"/>
      <c r="K1130" s="2"/>
      <c r="L1130" s="59"/>
    </row>
    <row r="1131" spans="1:12" x14ac:dyDescent="0.35">
      <c r="A1131" s="45">
        <v>1127</v>
      </c>
      <c r="B1131" s="2"/>
      <c r="C1131" s="2"/>
      <c r="D1131" s="2"/>
      <c r="E1131" s="3"/>
      <c r="F1131" s="3"/>
      <c r="G1131" s="2"/>
      <c r="H1131" s="2"/>
      <c r="I1131" s="46"/>
      <c r="J1131" s="12"/>
      <c r="K1131" s="2"/>
      <c r="L1131" s="59"/>
    </row>
    <row r="1132" spans="1:12" x14ac:dyDescent="0.35">
      <c r="A1132" s="45">
        <v>1128</v>
      </c>
      <c r="B1132" s="2"/>
      <c r="C1132" s="2"/>
      <c r="D1132" s="2"/>
      <c r="E1132" s="3"/>
      <c r="F1132" s="3"/>
      <c r="G1132" s="2"/>
      <c r="H1132" s="2"/>
      <c r="I1132" s="46"/>
      <c r="J1132" s="12"/>
      <c r="K1132" s="2"/>
      <c r="L1132" s="59"/>
    </row>
    <row r="1133" spans="1:12" x14ac:dyDescent="0.35">
      <c r="A1133" s="45">
        <v>1129</v>
      </c>
      <c r="B1133" s="2"/>
      <c r="C1133" s="2"/>
      <c r="D1133" s="2"/>
      <c r="E1133" s="3"/>
      <c r="F1133" s="3"/>
      <c r="G1133" s="2"/>
      <c r="H1133" s="2"/>
      <c r="I1133" s="46"/>
      <c r="J1133" s="12"/>
      <c r="K1133" s="2"/>
      <c r="L1133" s="59"/>
    </row>
    <row r="1134" spans="1:12" x14ac:dyDescent="0.35">
      <c r="A1134" s="45">
        <v>1130</v>
      </c>
      <c r="B1134" s="2"/>
      <c r="C1134" s="2"/>
      <c r="D1134" s="2"/>
      <c r="E1134" s="3"/>
      <c r="F1134" s="3"/>
      <c r="G1134" s="2"/>
      <c r="H1134" s="2"/>
      <c r="I1134" s="46"/>
      <c r="J1134" s="12"/>
      <c r="K1134" s="2"/>
      <c r="L1134" s="59"/>
    </row>
    <row r="1135" spans="1:12" x14ac:dyDescent="0.35">
      <c r="A1135" s="45">
        <v>1131</v>
      </c>
      <c r="B1135" s="2"/>
      <c r="C1135" s="2"/>
      <c r="D1135" s="2"/>
      <c r="E1135" s="3"/>
      <c r="F1135" s="3"/>
      <c r="G1135" s="2"/>
      <c r="H1135" s="2"/>
      <c r="I1135" s="46"/>
      <c r="J1135" s="12"/>
      <c r="K1135" s="2"/>
      <c r="L1135" s="59"/>
    </row>
    <row r="1136" spans="1:12" x14ac:dyDescent="0.35">
      <c r="A1136" s="45">
        <v>1132</v>
      </c>
      <c r="B1136" s="2"/>
      <c r="C1136" s="2"/>
      <c r="D1136" s="2"/>
      <c r="E1136" s="3"/>
      <c r="F1136" s="3"/>
      <c r="G1136" s="2"/>
      <c r="H1136" s="2"/>
      <c r="I1136" s="46"/>
      <c r="J1136" s="12"/>
      <c r="K1136" s="2"/>
      <c r="L1136" s="59"/>
    </row>
    <row r="1137" spans="1:12" x14ac:dyDescent="0.35">
      <c r="A1137" s="45">
        <v>1133</v>
      </c>
      <c r="B1137" s="2"/>
      <c r="C1137" s="2"/>
      <c r="D1137" s="2"/>
      <c r="E1137" s="3"/>
      <c r="F1137" s="3"/>
      <c r="G1137" s="2"/>
      <c r="H1137" s="2"/>
      <c r="I1137" s="46"/>
      <c r="J1137" s="12"/>
      <c r="K1137" s="2"/>
      <c r="L1137" s="59"/>
    </row>
    <row r="1138" spans="1:12" x14ac:dyDescent="0.35">
      <c r="A1138" s="45">
        <v>1134</v>
      </c>
      <c r="B1138" s="2"/>
      <c r="C1138" s="2"/>
      <c r="D1138" s="2"/>
      <c r="E1138" s="3"/>
      <c r="F1138" s="3"/>
      <c r="G1138" s="2"/>
      <c r="H1138" s="2"/>
      <c r="I1138" s="46"/>
      <c r="J1138" s="12"/>
      <c r="K1138" s="2"/>
      <c r="L1138" s="59"/>
    </row>
    <row r="1139" spans="1:12" x14ac:dyDescent="0.35">
      <c r="A1139" s="45">
        <v>1135</v>
      </c>
      <c r="B1139" s="2"/>
      <c r="C1139" s="2"/>
      <c r="D1139" s="2"/>
      <c r="E1139" s="3"/>
      <c r="F1139" s="3"/>
      <c r="G1139" s="2"/>
      <c r="H1139" s="2"/>
      <c r="I1139" s="46"/>
      <c r="J1139" s="12"/>
      <c r="K1139" s="2"/>
      <c r="L1139" s="59"/>
    </row>
    <row r="1140" spans="1:12" x14ac:dyDescent="0.35">
      <c r="A1140" s="45">
        <v>1136</v>
      </c>
      <c r="B1140" s="2"/>
      <c r="C1140" s="2"/>
      <c r="D1140" s="2"/>
      <c r="E1140" s="3"/>
      <c r="F1140" s="3"/>
      <c r="G1140" s="2"/>
      <c r="H1140" s="2"/>
      <c r="I1140" s="46"/>
      <c r="J1140" s="12"/>
      <c r="K1140" s="2"/>
      <c r="L1140" s="59"/>
    </row>
    <row r="1141" spans="1:12" x14ac:dyDescent="0.35">
      <c r="A1141" s="45">
        <v>1137</v>
      </c>
      <c r="B1141" s="2"/>
      <c r="C1141" s="2"/>
      <c r="D1141" s="2"/>
      <c r="E1141" s="3"/>
      <c r="F1141" s="3"/>
      <c r="G1141" s="2"/>
      <c r="H1141" s="2"/>
      <c r="I1141" s="46"/>
      <c r="J1141" s="12"/>
      <c r="K1141" s="2"/>
      <c r="L1141" s="59"/>
    </row>
    <row r="1142" spans="1:12" x14ac:dyDescent="0.35">
      <c r="A1142" s="45">
        <v>1138</v>
      </c>
      <c r="B1142" s="2"/>
      <c r="C1142" s="2"/>
      <c r="D1142" s="2"/>
      <c r="E1142" s="3"/>
      <c r="F1142" s="3"/>
      <c r="G1142" s="2"/>
      <c r="H1142" s="2"/>
      <c r="I1142" s="46"/>
      <c r="J1142" s="12"/>
      <c r="K1142" s="2"/>
      <c r="L1142" s="59"/>
    </row>
    <row r="1143" spans="1:12" x14ac:dyDescent="0.35">
      <c r="A1143" s="45">
        <v>1139</v>
      </c>
      <c r="B1143" s="2"/>
      <c r="C1143" s="2"/>
      <c r="D1143" s="2"/>
      <c r="E1143" s="3"/>
      <c r="F1143" s="3"/>
      <c r="G1143" s="2"/>
      <c r="H1143" s="2"/>
      <c r="I1143" s="46"/>
      <c r="J1143" s="12"/>
      <c r="K1143" s="2"/>
      <c r="L1143" s="59"/>
    </row>
    <row r="1144" spans="1:12" x14ac:dyDescent="0.35">
      <c r="A1144" s="45">
        <v>1140</v>
      </c>
      <c r="B1144" s="2"/>
      <c r="C1144" s="2"/>
      <c r="D1144" s="2"/>
      <c r="E1144" s="3"/>
      <c r="F1144" s="3"/>
      <c r="G1144" s="2"/>
      <c r="H1144" s="2"/>
      <c r="I1144" s="46"/>
      <c r="J1144" s="12"/>
      <c r="K1144" s="2"/>
      <c r="L1144" s="59"/>
    </row>
    <row r="1145" spans="1:12" x14ac:dyDescent="0.35">
      <c r="A1145" s="45">
        <v>1141</v>
      </c>
      <c r="B1145" s="2"/>
      <c r="C1145" s="2"/>
      <c r="D1145" s="2"/>
      <c r="E1145" s="3"/>
      <c r="F1145" s="3"/>
      <c r="G1145" s="2"/>
      <c r="H1145" s="2"/>
      <c r="I1145" s="46"/>
      <c r="J1145" s="12"/>
      <c r="K1145" s="2"/>
      <c r="L1145" s="59"/>
    </row>
    <row r="1146" spans="1:12" x14ac:dyDescent="0.35">
      <c r="A1146" s="45">
        <v>1142</v>
      </c>
      <c r="B1146" s="2"/>
      <c r="C1146" s="2"/>
      <c r="D1146" s="2"/>
      <c r="E1146" s="3"/>
      <c r="F1146" s="3"/>
      <c r="G1146" s="2"/>
      <c r="H1146" s="2"/>
      <c r="I1146" s="46"/>
      <c r="J1146" s="12"/>
      <c r="K1146" s="2"/>
      <c r="L1146" s="59"/>
    </row>
    <row r="1147" spans="1:12" x14ac:dyDescent="0.35">
      <c r="A1147" s="45">
        <v>1143</v>
      </c>
      <c r="B1147" s="2"/>
      <c r="C1147" s="2"/>
      <c r="D1147" s="2"/>
      <c r="E1147" s="3"/>
      <c r="F1147" s="3"/>
      <c r="G1147" s="2"/>
      <c r="H1147" s="2"/>
      <c r="I1147" s="46"/>
      <c r="J1147" s="12"/>
      <c r="K1147" s="2"/>
      <c r="L1147" s="59"/>
    </row>
    <row r="1148" spans="1:12" x14ac:dyDescent="0.35">
      <c r="A1148" s="45">
        <v>1144</v>
      </c>
      <c r="B1148" s="2"/>
      <c r="C1148" s="2"/>
      <c r="D1148" s="2"/>
      <c r="E1148" s="3"/>
      <c r="F1148" s="3"/>
      <c r="G1148" s="2"/>
      <c r="H1148" s="2"/>
      <c r="I1148" s="46"/>
      <c r="J1148" s="12"/>
      <c r="K1148" s="2"/>
      <c r="L1148" s="59"/>
    </row>
    <row r="1149" spans="1:12" x14ac:dyDescent="0.35">
      <c r="A1149" s="45">
        <v>1145</v>
      </c>
      <c r="B1149" s="2"/>
      <c r="C1149" s="2"/>
      <c r="D1149" s="2"/>
      <c r="E1149" s="3"/>
      <c r="F1149" s="3"/>
      <c r="G1149" s="2"/>
      <c r="H1149" s="2"/>
      <c r="I1149" s="46"/>
      <c r="J1149" s="12"/>
      <c r="K1149" s="2"/>
      <c r="L1149" s="59"/>
    </row>
    <row r="1150" spans="1:12" x14ac:dyDescent="0.35">
      <c r="A1150" s="45">
        <v>1146</v>
      </c>
      <c r="B1150" s="2"/>
      <c r="C1150" s="2"/>
      <c r="D1150" s="2"/>
      <c r="E1150" s="3"/>
      <c r="F1150" s="3"/>
      <c r="G1150" s="2"/>
      <c r="H1150" s="2"/>
      <c r="I1150" s="46"/>
      <c r="J1150" s="12"/>
      <c r="K1150" s="2"/>
      <c r="L1150" s="59"/>
    </row>
    <row r="1151" spans="1:12" x14ac:dyDescent="0.35">
      <c r="A1151" s="45">
        <v>1147</v>
      </c>
      <c r="B1151" s="2"/>
      <c r="C1151" s="2"/>
      <c r="D1151" s="2"/>
      <c r="E1151" s="3"/>
      <c r="F1151" s="3"/>
      <c r="G1151" s="2"/>
      <c r="H1151" s="2"/>
      <c r="I1151" s="46"/>
      <c r="J1151" s="12"/>
      <c r="K1151" s="2"/>
      <c r="L1151" s="59"/>
    </row>
    <row r="1152" spans="1:12" x14ac:dyDescent="0.35">
      <c r="A1152" s="45">
        <v>1148</v>
      </c>
      <c r="B1152" s="2"/>
      <c r="C1152" s="2"/>
      <c r="D1152" s="2"/>
      <c r="E1152" s="3"/>
      <c r="F1152" s="3"/>
      <c r="G1152" s="2"/>
      <c r="H1152" s="2"/>
      <c r="I1152" s="46"/>
      <c r="J1152" s="12"/>
      <c r="K1152" s="2"/>
      <c r="L1152" s="59"/>
    </row>
    <row r="1153" spans="1:12" x14ac:dyDescent="0.35">
      <c r="A1153" s="45">
        <v>1149</v>
      </c>
      <c r="B1153" s="2"/>
      <c r="C1153" s="2"/>
      <c r="D1153" s="2"/>
      <c r="E1153" s="3"/>
      <c r="F1153" s="3"/>
      <c r="G1153" s="2"/>
      <c r="H1153" s="2"/>
      <c r="I1153" s="46"/>
      <c r="J1153" s="12"/>
      <c r="K1153" s="2"/>
      <c r="L1153" s="59"/>
    </row>
    <row r="1154" spans="1:12" x14ac:dyDescent="0.35">
      <c r="A1154" s="45">
        <v>1150</v>
      </c>
      <c r="B1154" s="2"/>
      <c r="C1154" s="2"/>
      <c r="D1154" s="2"/>
      <c r="E1154" s="3"/>
      <c r="F1154" s="3"/>
      <c r="G1154" s="2"/>
      <c r="H1154" s="2"/>
      <c r="I1154" s="46"/>
      <c r="J1154" s="12"/>
      <c r="K1154" s="2"/>
      <c r="L1154" s="59"/>
    </row>
    <row r="1155" spans="1:12" x14ac:dyDescent="0.35">
      <c r="A1155" s="45">
        <v>1151</v>
      </c>
      <c r="B1155" s="2"/>
      <c r="C1155" s="2"/>
      <c r="D1155" s="2"/>
      <c r="E1155" s="3"/>
      <c r="F1155" s="3"/>
      <c r="G1155" s="2"/>
      <c r="H1155" s="2"/>
      <c r="I1155" s="46"/>
      <c r="J1155" s="12"/>
      <c r="K1155" s="2"/>
      <c r="L1155" s="59"/>
    </row>
    <row r="1156" spans="1:12" x14ac:dyDescent="0.35">
      <c r="A1156" s="45">
        <v>1152</v>
      </c>
      <c r="B1156" s="2"/>
      <c r="C1156" s="2"/>
      <c r="D1156" s="2"/>
      <c r="E1156" s="3"/>
      <c r="F1156" s="3"/>
      <c r="G1156" s="2"/>
      <c r="H1156" s="2"/>
      <c r="I1156" s="46"/>
      <c r="J1156" s="12"/>
      <c r="K1156" s="2"/>
      <c r="L1156" s="59"/>
    </row>
    <row r="1157" spans="1:12" x14ac:dyDescent="0.35">
      <c r="A1157" s="45">
        <v>1153</v>
      </c>
      <c r="B1157" s="2"/>
      <c r="C1157" s="2"/>
      <c r="D1157" s="2"/>
      <c r="E1157" s="3"/>
      <c r="F1157" s="3"/>
      <c r="G1157" s="2"/>
      <c r="H1157" s="2"/>
      <c r="I1157" s="46"/>
      <c r="J1157" s="12"/>
      <c r="K1157" s="2"/>
      <c r="L1157" s="59"/>
    </row>
    <row r="1158" spans="1:12" x14ac:dyDescent="0.35">
      <c r="A1158" s="45">
        <v>1154</v>
      </c>
      <c r="B1158" s="2"/>
      <c r="C1158" s="2"/>
      <c r="D1158" s="2"/>
      <c r="E1158" s="3"/>
      <c r="F1158" s="3"/>
      <c r="G1158" s="2"/>
      <c r="H1158" s="2"/>
      <c r="I1158" s="46"/>
      <c r="J1158" s="12"/>
      <c r="K1158" s="2"/>
      <c r="L1158" s="59"/>
    </row>
    <row r="1159" spans="1:12" x14ac:dyDescent="0.35">
      <c r="A1159" s="45">
        <v>1155</v>
      </c>
      <c r="B1159" s="2"/>
      <c r="C1159" s="2"/>
      <c r="D1159" s="2"/>
      <c r="E1159" s="3"/>
      <c r="F1159" s="3"/>
      <c r="G1159" s="2"/>
      <c r="H1159" s="2"/>
      <c r="I1159" s="46"/>
      <c r="J1159" s="12"/>
      <c r="K1159" s="2"/>
      <c r="L1159" s="59"/>
    </row>
    <row r="1160" spans="1:12" x14ac:dyDescent="0.35">
      <c r="A1160" s="45">
        <v>1156</v>
      </c>
      <c r="B1160" s="2"/>
      <c r="C1160" s="2"/>
      <c r="D1160" s="2"/>
      <c r="E1160" s="3"/>
      <c r="F1160" s="3"/>
      <c r="G1160" s="2"/>
      <c r="H1160" s="2"/>
      <c r="I1160" s="46"/>
      <c r="J1160" s="12"/>
      <c r="K1160" s="2"/>
      <c r="L1160" s="59"/>
    </row>
    <row r="1161" spans="1:12" x14ac:dyDescent="0.35">
      <c r="A1161" s="45">
        <v>1157</v>
      </c>
      <c r="B1161" s="2"/>
      <c r="C1161" s="2"/>
      <c r="D1161" s="2"/>
      <c r="E1161" s="3"/>
      <c r="F1161" s="3"/>
      <c r="G1161" s="2"/>
      <c r="H1161" s="2"/>
      <c r="I1161" s="46"/>
      <c r="J1161" s="12"/>
      <c r="K1161" s="2"/>
      <c r="L1161" s="59"/>
    </row>
    <row r="1162" spans="1:12" x14ac:dyDescent="0.35">
      <c r="A1162" s="45">
        <v>1158</v>
      </c>
      <c r="B1162" s="2"/>
      <c r="C1162" s="2"/>
      <c r="D1162" s="2"/>
      <c r="E1162" s="3"/>
      <c r="F1162" s="3"/>
      <c r="G1162" s="2"/>
      <c r="H1162" s="2"/>
      <c r="I1162" s="46"/>
      <c r="J1162" s="12"/>
      <c r="K1162" s="2"/>
      <c r="L1162" s="59"/>
    </row>
    <row r="1163" spans="1:12" x14ac:dyDescent="0.35">
      <c r="A1163" s="45">
        <v>1159</v>
      </c>
      <c r="B1163" s="2"/>
      <c r="C1163" s="2"/>
      <c r="D1163" s="2"/>
      <c r="E1163" s="3"/>
      <c r="F1163" s="3"/>
      <c r="G1163" s="2"/>
      <c r="H1163" s="2"/>
      <c r="I1163" s="46"/>
      <c r="J1163" s="12"/>
      <c r="K1163" s="2"/>
      <c r="L1163" s="59"/>
    </row>
    <row r="1164" spans="1:12" x14ac:dyDescent="0.35">
      <c r="A1164" s="45">
        <v>1160</v>
      </c>
      <c r="B1164" s="2"/>
      <c r="C1164" s="2"/>
      <c r="D1164" s="2"/>
      <c r="E1164" s="3"/>
      <c r="F1164" s="3"/>
      <c r="G1164" s="2"/>
      <c r="H1164" s="2"/>
      <c r="I1164" s="46"/>
      <c r="J1164" s="12"/>
      <c r="K1164" s="2"/>
      <c r="L1164" s="59"/>
    </row>
    <row r="1165" spans="1:12" x14ac:dyDescent="0.35">
      <c r="A1165" s="45">
        <v>1161</v>
      </c>
      <c r="B1165" s="2"/>
      <c r="C1165" s="2"/>
      <c r="D1165" s="2"/>
      <c r="E1165" s="3"/>
      <c r="F1165" s="3"/>
      <c r="G1165" s="2"/>
      <c r="H1165" s="2"/>
      <c r="I1165" s="46"/>
      <c r="J1165" s="12"/>
      <c r="K1165" s="2"/>
      <c r="L1165" s="59"/>
    </row>
    <row r="1166" spans="1:12" x14ac:dyDescent="0.35">
      <c r="A1166" s="45">
        <v>1162</v>
      </c>
      <c r="B1166" s="2"/>
      <c r="C1166" s="2"/>
      <c r="D1166" s="2"/>
      <c r="E1166" s="3"/>
      <c r="F1166" s="3"/>
      <c r="G1166" s="2"/>
      <c r="H1166" s="2"/>
      <c r="I1166" s="46"/>
      <c r="J1166" s="12"/>
      <c r="K1166" s="2"/>
      <c r="L1166" s="59"/>
    </row>
    <row r="1167" spans="1:12" x14ac:dyDescent="0.35">
      <c r="A1167" s="45">
        <v>1163</v>
      </c>
      <c r="B1167" s="2"/>
      <c r="C1167" s="2"/>
      <c r="D1167" s="2"/>
      <c r="E1167" s="3"/>
      <c r="F1167" s="3"/>
      <c r="G1167" s="2"/>
      <c r="H1167" s="2"/>
      <c r="I1167" s="46"/>
      <c r="J1167" s="12"/>
      <c r="K1167" s="2"/>
      <c r="L1167" s="59"/>
    </row>
    <row r="1168" spans="1:12" x14ac:dyDescent="0.35">
      <c r="A1168" s="45">
        <v>1164</v>
      </c>
      <c r="B1168" s="2"/>
      <c r="C1168" s="2"/>
      <c r="D1168" s="2"/>
      <c r="E1168" s="3"/>
      <c r="F1168" s="3"/>
      <c r="G1168" s="2"/>
      <c r="H1168" s="2"/>
      <c r="I1168" s="46"/>
      <c r="J1168" s="12"/>
      <c r="K1168" s="2"/>
      <c r="L1168" s="59"/>
    </row>
    <row r="1169" spans="1:12" x14ac:dyDescent="0.35">
      <c r="A1169" s="45">
        <v>1165</v>
      </c>
      <c r="B1169" s="2"/>
      <c r="C1169" s="2"/>
      <c r="D1169" s="2"/>
      <c r="E1169" s="3"/>
      <c r="F1169" s="3"/>
      <c r="G1169" s="2"/>
      <c r="H1169" s="2"/>
      <c r="I1169" s="46"/>
      <c r="J1169" s="12"/>
      <c r="K1169" s="2"/>
      <c r="L1169" s="59"/>
    </row>
    <row r="1170" spans="1:12" x14ac:dyDescent="0.35">
      <c r="A1170" s="45">
        <v>1166</v>
      </c>
      <c r="B1170" s="2"/>
      <c r="C1170" s="2"/>
      <c r="D1170" s="2"/>
      <c r="E1170" s="3"/>
      <c r="F1170" s="3"/>
      <c r="G1170" s="2"/>
      <c r="H1170" s="2"/>
      <c r="I1170" s="46"/>
      <c r="J1170" s="12"/>
      <c r="K1170" s="2"/>
      <c r="L1170" s="59"/>
    </row>
    <row r="1171" spans="1:12" x14ac:dyDescent="0.35">
      <c r="A1171" s="45">
        <v>1167</v>
      </c>
      <c r="B1171" s="2"/>
      <c r="C1171" s="2"/>
      <c r="D1171" s="2"/>
      <c r="E1171" s="3"/>
      <c r="F1171" s="3"/>
      <c r="G1171" s="2"/>
      <c r="H1171" s="2"/>
      <c r="I1171" s="46"/>
      <c r="J1171" s="12"/>
      <c r="K1171" s="2"/>
      <c r="L1171" s="59"/>
    </row>
    <row r="1172" spans="1:12" x14ac:dyDescent="0.35">
      <c r="A1172" s="45">
        <v>1168</v>
      </c>
      <c r="B1172" s="2"/>
      <c r="C1172" s="2"/>
      <c r="D1172" s="2"/>
      <c r="E1172" s="3"/>
      <c r="F1172" s="3"/>
      <c r="G1172" s="2"/>
      <c r="H1172" s="2"/>
      <c r="I1172" s="46"/>
      <c r="J1172" s="12"/>
      <c r="K1172" s="2"/>
      <c r="L1172" s="59"/>
    </row>
    <row r="1173" spans="1:12" x14ac:dyDescent="0.35">
      <c r="A1173" s="45">
        <v>1169</v>
      </c>
      <c r="B1173" s="2"/>
      <c r="C1173" s="2"/>
      <c r="D1173" s="2"/>
      <c r="E1173" s="3"/>
      <c r="F1173" s="3"/>
      <c r="G1173" s="2"/>
      <c r="H1173" s="2"/>
      <c r="I1173" s="46"/>
      <c r="J1173" s="12"/>
      <c r="K1173" s="2"/>
      <c r="L1173" s="59"/>
    </row>
    <row r="1174" spans="1:12" x14ac:dyDescent="0.35">
      <c r="A1174" s="45">
        <v>1170</v>
      </c>
      <c r="B1174" s="2"/>
      <c r="C1174" s="2"/>
      <c r="D1174" s="2"/>
      <c r="E1174" s="3"/>
      <c r="F1174" s="3"/>
      <c r="G1174" s="2"/>
      <c r="H1174" s="2"/>
      <c r="I1174" s="46"/>
      <c r="J1174" s="12"/>
      <c r="K1174" s="2"/>
      <c r="L1174" s="59"/>
    </row>
    <row r="1175" spans="1:12" x14ac:dyDescent="0.35">
      <c r="A1175" s="45">
        <v>1171</v>
      </c>
      <c r="B1175" s="2"/>
      <c r="C1175" s="2"/>
      <c r="D1175" s="2"/>
      <c r="E1175" s="3"/>
      <c r="F1175" s="3"/>
      <c r="G1175" s="2"/>
      <c r="H1175" s="2"/>
      <c r="I1175" s="46"/>
      <c r="J1175" s="12"/>
      <c r="K1175" s="2"/>
      <c r="L1175" s="59"/>
    </row>
    <row r="1176" spans="1:12" x14ac:dyDescent="0.35">
      <c r="A1176" s="45">
        <v>1172</v>
      </c>
      <c r="B1176" s="2"/>
      <c r="C1176" s="2"/>
      <c r="D1176" s="2"/>
      <c r="E1176" s="3"/>
      <c r="F1176" s="3"/>
      <c r="G1176" s="2"/>
      <c r="H1176" s="2"/>
      <c r="I1176" s="46"/>
      <c r="J1176" s="12"/>
      <c r="K1176" s="2"/>
      <c r="L1176" s="59"/>
    </row>
    <row r="1177" spans="1:12" x14ac:dyDescent="0.35">
      <c r="A1177" s="45">
        <v>1173</v>
      </c>
      <c r="B1177" s="2"/>
      <c r="C1177" s="2"/>
      <c r="D1177" s="2"/>
      <c r="E1177" s="3"/>
      <c r="F1177" s="3"/>
      <c r="G1177" s="2"/>
      <c r="H1177" s="2"/>
      <c r="I1177" s="46"/>
      <c r="J1177" s="12"/>
      <c r="K1177" s="2"/>
      <c r="L1177" s="59"/>
    </row>
    <row r="1178" spans="1:12" x14ac:dyDescent="0.35">
      <c r="A1178" s="45">
        <v>1174</v>
      </c>
      <c r="B1178" s="2"/>
      <c r="C1178" s="2"/>
      <c r="D1178" s="2"/>
      <c r="E1178" s="3"/>
      <c r="F1178" s="3"/>
      <c r="G1178" s="2"/>
      <c r="H1178" s="2"/>
      <c r="I1178" s="46"/>
      <c r="J1178" s="12"/>
      <c r="K1178" s="2"/>
      <c r="L1178" s="59"/>
    </row>
    <row r="1179" spans="1:12" x14ac:dyDescent="0.35">
      <c r="A1179" s="45">
        <v>1175</v>
      </c>
      <c r="B1179" s="2"/>
      <c r="C1179" s="2"/>
      <c r="D1179" s="2"/>
      <c r="E1179" s="3"/>
      <c r="F1179" s="3"/>
      <c r="G1179" s="2"/>
      <c r="H1179" s="2"/>
      <c r="I1179" s="46"/>
      <c r="J1179" s="12"/>
      <c r="K1179" s="2"/>
      <c r="L1179" s="59"/>
    </row>
    <row r="1180" spans="1:12" x14ac:dyDescent="0.35">
      <c r="A1180" s="45">
        <v>1176</v>
      </c>
      <c r="B1180" s="2"/>
      <c r="C1180" s="2"/>
      <c r="D1180" s="2"/>
      <c r="E1180" s="3"/>
      <c r="F1180" s="3"/>
      <c r="G1180" s="2"/>
      <c r="H1180" s="2"/>
      <c r="I1180" s="46"/>
      <c r="J1180" s="12"/>
      <c r="K1180" s="2"/>
      <c r="L1180" s="59"/>
    </row>
    <row r="1181" spans="1:12" x14ac:dyDescent="0.35">
      <c r="A1181" s="45">
        <v>1177</v>
      </c>
      <c r="B1181" s="2"/>
      <c r="C1181" s="2"/>
      <c r="D1181" s="2"/>
      <c r="E1181" s="3"/>
      <c r="F1181" s="3"/>
      <c r="G1181" s="2"/>
      <c r="H1181" s="2"/>
      <c r="I1181" s="46"/>
      <c r="J1181" s="12"/>
      <c r="K1181" s="2"/>
      <c r="L1181" s="59"/>
    </row>
    <row r="1182" spans="1:12" x14ac:dyDescent="0.35">
      <c r="A1182" s="45">
        <v>1178</v>
      </c>
      <c r="B1182" s="2"/>
      <c r="C1182" s="2"/>
      <c r="D1182" s="2"/>
      <c r="E1182" s="3"/>
      <c r="F1182" s="3"/>
      <c r="G1182" s="2"/>
      <c r="H1182" s="2"/>
      <c r="I1182" s="46"/>
      <c r="J1182" s="12"/>
      <c r="K1182" s="2"/>
      <c r="L1182" s="59"/>
    </row>
    <row r="1183" spans="1:12" x14ac:dyDescent="0.35">
      <c r="A1183" s="45">
        <v>1179</v>
      </c>
      <c r="B1183" s="2"/>
      <c r="C1183" s="2"/>
      <c r="D1183" s="2"/>
      <c r="E1183" s="3"/>
      <c r="F1183" s="3"/>
      <c r="G1183" s="2"/>
      <c r="H1183" s="2"/>
      <c r="I1183" s="46"/>
      <c r="J1183" s="12"/>
      <c r="K1183" s="2"/>
      <c r="L1183" s="59"/>
    </row>
    <row r="1184" spans="1:12" x14ac:dyDescent="0.35">
      <c r="A1184" s="45">
        <v>1180</v>
      </c>
      <c r="B1184" s="2"/>
      <c r="C1184" s="2"/>
      <c r="D1184" s="2"/>
      <c r="E1184" s="3"/>
      <c r="F1184" s="3"/>
      <c r="G1184" s="2"/>
      <c r="H1184" s="2"/>
      <c r="I1184" s="46"/>
      <c r="J1184" s="12"/>
      <c r="K1184" s="2"/>
      <c r="L1184" s="59"/>
    </row>
    <row r="1185" spans="1:12" x14ac:dyDescent="0.35">
      <c r="A1185" s="45">
        <v>1181</v>
      </c>
      <c r="B1185" s="2"/>
      <c r="C1185" s="2"/>
      <c r="D1185" s="2"/>
      <c r="E1185" s="3"/>
      <c r="F1185" s="3"/>
      <c r="G1185" s="2"/>
      <c r="H1185" s="2"/>
      <c r="I1185" s="46"/>
      <c r="J1185" s="12"/>
      <c r="K1185" s="2"/>
      <c r="L1185" s="59"/>
    </row>
    <row r="1186" spans="1:12" x14ac:dyDescent="0.35">
      <c r="A1186" s="45">
        <v>1182</v>
      </c>
      <c r="B1186" s="2"/>
      <c r="C1186" s="2"/>
      <c r="D1186" s="2"/>
      <c r="E1186" s="3"/>
      <c r="F1186" s="3"/>
      <c r="G1186" s="2"/>
      <c r="H1186" s="2"/>
      <c r="I1186" s="46"/>
      <c r="J1186" s="12"/>
      <c r="K1186" s="2"/>
      <c r="L1186" s="59"/>
    </row>
    <row r="1187" spans="1:12" x14ac:dyDescent="0.35">
      <c r="A1187" s="45">
        <v>1183</v>
      </c>
      <c r="B1187" s="2"/>
      <c r="C1187" s="2"/>
      <c r="D1187" s="2"/>
      <c r="E1187" s="3"/>
      <c r="F1187" s="3"/>
      <c r="G1187" s="2"/>
      <c r="H1187" s="2"/>
      <c r="I1187" s="46"/>
      <c r="J1187" s="12"/>
      <c r="K1187" s="2"/>
      <c r="L1187" s="59"/>
    </row>
    <row r="1188" spans="1:12" x14ac:dyDescent="0.35">
      <c r="A1188" s="45">
        <v>1184</v>
      </c>
      <c r="B1188" s="2"/>
      <c r="C1188" s="2"/>
      <c r="D1188" s="2"/>
      <c r="E1188" s="3"/>
      <c r="F1188" s="3"/>
      <c r="G1188" s="2"/>
      <c r="H1188" s="2"/>
      <c r="I1188" s="46"/>
      <c r="J1188" s="12"/>
      <c r="K1188" s="2"/>
      <c r="L1188" s="59"/>
    </row>
    <row r="1189" spans="1:12" x14ac:dyDescent="0.35">
      <c r="A1189" s="45">
        <v>1185</v>
      </c>
      <c r="B1189" s="2"/>
      <c r="C1189" s="2"/>
      <c r="D1189" s="2"/>
      <c r="E1189" s="3"/>
      <c r="F1189" s="3"/>
      <c r="G1189" s="2"/>
      <c r="H1189" s="2"/>
      <c r="I1189" s="46"/>
      <c r="J1189" s="12"/>
      <c r="K1189" s="2"/>
      <c r="L1189" s="59"/>
    </row>
    <row r="1190" spans="1:12" x14ac:dyDescent="0.35">
      <c r="A1190" s="45">
        <v>1186</v>
      </c>
      <c r="B1190" s="2"/>
      <c r="C1190" s="2"/>
      <c r="D1190" s="2"/>
      <c r="E1190" s="3"/>
      <c r="F1190" s="3"/>
      <c r="G1190" s="2"/>
      <c r="H1190" s="2"/>
      <c r="I1190" s="46"/>
      <c r="J1190" s="12"/>
      <c r="K1190" s="2"/>
      <c r="L1190" s="59"/>
    </row>
    <row r="1191" spans="1:12" x14ac:dyDescent="0.35">
      <c r="A1191" s="45">
        <v>1187</v>
      </c>
      <c r="B1191" s="2"/>
      <c r="C1191" s="2"/>
      <c r="D1191" s="2"/>
      <c r="E1191" s="3"/>
      <c r="F1191" s="3"/>
      <c r="G1191" s="2"/>
      <c r="H1191" s="2"/>
      <c r="I1191" s="46"/>
      <c r="J1191" s="12"/>
      <c r="K1191" s="2"/>
      <c r="L1191" s="59"/>
    </row>
    <row r="1192" spans="1:12" x14ac:dyDescent="0.35">
      <c r="A1192" s="45">
        <v>1188</v>
      </c>
      <c r="B1192" s="2"/>
      <c r="C1192" s="2"/>
      <c r="D1192" s="2"/>
      <c r="E1192" s="3"/>
      <c r="F1192" s="3"/>
      <c r="G1192" s="2"/>
      <c r="H1192" s="2"/>
      <c r="I1192" s="46"/>
      <c r="J1192" s="12"/>
      <c r="K1192" s="2"/>
      <c r="L1192" s="59"/>
    </row>
    <row r="1193" spans="1:12" x14ac:dyDescent="0.35">
      <c r="A1193" s="45">
        <v>1189</v>
      </c>
      <c r="B1193" s="2"/>
      <c r="C1193" s="2"/>
      <c r="D1193" s="2"/>
      <c r="E1193" s="3"/>
      <c r="F1193" s="3"/>
      <c r="G1193" s="2"/>
      <c r="H1193" s="2"/>
      <c r="I1193" s="46"/>
      <c r="J1193" s="12"/>
      <c r="K1193" s="2"/>
      <c r="L1193" s="59"/>
    </row>
    <row r="1194" spans="1:12" x14ac:dyDescent="0.35">
      <c r="A1194" s="45">
        <v>1190</v>
      </c>
      <c r="B1194" s="2"/>
      <c r="C1194" s="2"/>
      <c r="D1194" s="2"/>
      <c r="E1194" s="3"/>
      <c r="F1194" s="3"/>
      <c r="G1194" s="2"/>
      <c r="H1194" s="2"/>
      <c r="I1194" s="46"/>
      <c r="J1194" s="12"/>
      <c r="K1194" s="2"/>
      <c r="L1194" s="59"/>
    </row>
    <row r="1195" spans="1:12" x14ac:dyDescent="0.35">
      <c r="A1195" s="45">
        <v>1191</v>
      </c>
      <c r="B1195" s="2"/>
      <c r="C1195" s="2"/>
      <c r="D1195" s="2"/>
      <c r="E1195" s="3"/>
      <c r="F1195" s="3"/>
      <c r="G1195" s="2"/>
      <c r="H1195" s="2"/>
      <c r="I1195" s="46"/>
      <c r="J1195" s="12"/>
      <c r="K1195" s="2"/>
      <c r="L1195" s="59"/>
    </row>
    <row r="1196" spans="1:12" x14ac:dyDescent="0.35">
      <c r="A1196" s="45">
        <v>1192</v>
      </c>
      <c r="B1196" s="2"/>
      <c r="C1196" s="2"/>
      <c r="D1196" s="2"/>
      <c r="E1196" s="3"/>
      <c r="F1196" s="3"/>
      <c r="G1196" s="2"/>
      <c r="H1196" s="2"/>
      <c r="I1196" s="46"/>
      <c r="J1196" s="12"/>
      <c r="K1196" s="2"/>
      <c r="L1196" s="59"/>
    </row>
    <row r="1197" spans="1:12" x14ac:dyDescent="0.35">
      <c r="A1197" s="45">
        <v>1193</v>
      </c>
      <c r="B1197" s="2"/>
      <c r="C1197" s="2"/>
      <c r="D1197" s="2"/>
      <c r="E1197" s="3"/>
      <c r="F1197" s="3"/>
      <c r="G1197" s="2"/>
      <c r="H1197" s="2"/>
      <c r="I1197" s="46"/>
      <c r="J1197" s="12"/>
      <c r="K1197" s="2"/>
      <c r="L1197" s="59"/>
    </row>
    <row r="1198" spans="1:12" x14ac:dyDescent="0.35">
      <c r="A1198" s="45">
        <v>1194</v>
      </c>
      <c r="B1198" s="2"/>
      <c r="C1198" s="2"/>
      <c r="D1198" s="2"/>
      <c r="E1198" s="3"/>
      <c r="F1198" s="3"/>
      <c r="G1198" s="2"/>
      <c r="H1198" s="2"/>
      <c r="I1198" s="46"/>
      <c r="J1198" s="12"/>
      <c r="K1198" s="2"/>
      <c r="L1198" s="59"/>
    </row>
    <row r="1199" spans="1:12" x14ac:dyDescent="0.35">
      <c r="A1199" s="45">
        <v>1195</v>
      </c>
      <c r="B1199" s="2"/>
      <c r="C1199" s="2"/>
      <c r="D1199" s="2"/>
      <c r="E1199" s="3"/>
      <c r="F1199" s="3"/>
      <c r="G1199" s="2"/>
      <c r="H1199" s="2"/>
      <c r="I1199" s="46"/>
      <c r="J1199" s="12"/>
      <c r="K1199" s="2"/>
      <c r="L1199" s="59"/>
    </row>
    <row r="1200" spans="1:12" x14ac:dyDescent="0.35">
      <c r="A1200" s="45">
        <v>1196</v>
      </c>
      <c r="B1200" s="2"/>
      <c r="C1200" s="2"/>
      <c r="D1200" s="2"/>
      <c r="E1200" s="3"/>
      <c r="F1200" s="3"/>
      <c r="G1200" s="2"/>
      <c r="H1200" s="2"/>
      <c r="I1200" s="46"/>
      <c r="J1200" s="12"/>
      <c r="K1200" s="2"/>
      <c r="L1200" s="59"/>
    </row>
    <row r="1201" spans="1:12" x14ac:dyDescent="0.35">
      <c r="A1201" s="45">
        <v>1197</v>
      </c>
      <c r="B1201" s="2"/>
      <c r="C1201" s="2"/>
      <c r="D1201" s="2"/>
      <c r="E1201" s="3"/>
      <c r="F1201" s="3"/>
      <c r="G1201" s="2"/>
      <c r="H1201" s="2"/>
      <c r="I1201" s="46"/>
      <c r="J1201" s="12"/>
      <c r="K1201" s="2"/>
      <c r="L1201" s="59"/>
    </row>
    <row r="1202" spans="1:12" x14ac:dyDescent="0.35">
      <c r="A1202" s="45">
        <v>1198</v>
      </c>
      <c r="B1202" s="2"/>
      <c r="C1202" s="2"/>
      <c r="D1202" s="2"/>
      <c r="E1202" s="3"/>
      <c r="F1202" s="3"/>
      <c r="G1202" s="2"/>
      <c r="H1202" s="2"/>
      <c r="I1202" s="46"/>
      <c r="J1202" s="12"/>
      <c r="K1202" s="2"/>
      <c r="L1202" s="59"/>
    </row>
    <row r="1203" spans="1:12" x14ac:dyDescent="0.35">
      <c r="A1203" s="45">
        <v>1199</v>
      </c>
      <c r="B1203" s="2"/>
      <c r="C1203" s="2"/>
      <c r="D1203" s="2"/>
      <c r="E1203" s="3"/>
      <c r="F1203" s="3"/>
      <c r="G1203" s="2"/>
      <c r="H1203" s="2"/>
      <c r="I1203" s="46"/>
      <c r="J1203" s="12"/>
      <c r="K1203" s="2"/>
      <c r="L1203" s="59"/>
    </row>
    <row r="1204" spans="1:12" x14ac:dyDescent="0.35">
      <c r="A1204" s="45">
        <v>1200</v>
      </c>
      <c r="B1204" s="2"/>
      <c r="C1204" s="2"/>
      <c r="D1204" s="2"/>
      <c r="E1204" s="3"/>
      <c r="F1204" s="3"/>
      <c r="G1204" s="2"/>
      <c r="H1204" s="2"/>
      <c r="I1204" s="46"/>
      <c r="J1204" s="12"/>
      <c r="K1204" s="2"/>
      <c r="L1204" s="59"/>
    </row>
    <row r="1205" spans="1:12" x14ac:dyDescent="0.35">
      <c r="A1205" s="45">
        <v>1201</v>
      </c>
      <c r="B1205" s="2"/>
      <c r="C1205" s="2"/>
      <c r="D1205" s="2"/>
      <c r="E1205" s="3"/>
      <c r="F1205" s="3"/>
      <c r="G1205" s="2"/>
      <c r="H1205" s="2"/>
      <c r="I1205" s="46"/>
      <c r="J1205" s="12"/>
      <c r="K1205" s="2"/>
      <c r="L1205" s="59"/>
    </row>
    <row r="1206" spans="1:12" x14ac:dyDescent="0.35">
      <c r="A1206" s="45">
        <v>1202</v>
      </c>
      <c r="B1206" s="2"/>
      <c r="C1206" s="2"/>
      <c r="D1206" s="2"/>
      <c r="E1206" s="3"/>
      <c r="F1206" s="3"/>
      <c r="G1206" s="2"/>
      <c r="H1206" s="2"/>
      <c r="I1206" s="46"/>
      <c r="J1206" s="12"/>
      <c r="K1206" s="2"/>
      <c r="L1206" s="59"/>
    </row>
    <row r="1207" spans="1:12" x14ac:dyDescent="0.35">
      <c r="A1207" s="45">
        <v>1203</v>
      </c>
      <c r="B1207" s="2"/>
      <c r="C1207" s="2"/>
      <c r="D1207" s="2"/>
      <c r="E1207" s="3"/>
      <c r="F1207" s="3"/>
      <c r="G1207" s="2"/>
      <c r="H1207" s="2"/>
      <c r="I1207" s="46"/>
      <c r="J1207" s="12"/>
      <c r="K1207" s="2"/>
      <c r="L1207" s="59"/>
    </row>
    <row r="1208" spans="1:12" x14ac:dyDescent="0.35">
      <c r="A1208" s="45">
        <v>1204</v>
      </c>
      <c r="B1208" s="2"/>
      <c r="C1208" s="2"/>
      <c r="D1208" s="2"/>
      <c r="E1208" s="3"/>
      <c r="F1208" s="3"/>
      <c r="G1208" s="2"/>
      <c r="H1208" s="2"/>
      <c r="I1208" s="46"/>
      <c r="J1208" s="12"/>
      <c r="K1208" s="2"/>
      <c r="L1208" s="59"/>
    </row>
    <row r="1209" spans="1:12" x14ac:dyDescent="0.35">
      <c r="A1209" s="45">
        <v>1205</v>
      </c>
      <c r="B1209" s="2"/>
      <c r="C1209" s="2"/>
      <c r="D1209" s="2"/>
      <c r="E1209" s="3"/>
      <c r="F1209" s="3"/>
      <c r="G1209" s="2"/>
      <c r="H1209" s="2"/>
      <c r="I1209" s="46"/>
      <c r="J1209" s="12"/>
      <c r="K1209" s="2"/>
      <c r="L1209" s="59"/>
    </row>
    <row r="1210" spans="1:12" x14ac:dyDescent="0.35">
      <c r="A1210" s="45">
        <v>1206</v>
      </c>
      <c r="B1210" s="2"/>
      <c r="C1210" s="2"/>
      <c r="D1210" s="2"/>
      <c r="E1210" s="3"/>
      <c r="F1210" s="3"/>
      <c r="G1210" s="2"/>
      <c r="H1210" s="2"/>
      <c r="I1210" s="46"/>
      <c r="J1210" s="12"/>
      <c r="K1210" s="2"/>
      <c r="L1210" s="59"/>
    </row>
    <row r="1211" spans="1:12" x14ac:dyDescent="0.35">
      <c r="A1211" s="45">
        <v>1207</v>
      </c>
      <c r="B1211" s="2"/>
      <c r="C1211" s="2"/>
      <c r="D1211" s="2"/>
      <c r="E1211" s="3"/>
      <c r="F1211" s="3"/>
      <c r="G1211" s="2"/>
      <c r="H1211" s="2"/>
      <c r="I1211" s="46"/>
      <c r="J1211" s="12"/>
      <c r="K1211" s="2"/>
      <c r="L1211" s="59"/>
    </row>
    <row r="1212" spans="1:12" x14ac:dyDescent="0.35">
      <c r="A1212" s="45">
        <v>1208</v>
      </c>
      <c r="B1212" s="2"/>
      <c r="C1212" s="2"/>
      <c r="D1212" s="2"/>
      <c r="E1212" s="3"/>
      <c r="F1212" s="3"/>
      <c r="G1212" s="2"/>
      <c r="H1212" s="2"/>
      <c r="I1212" s="46"/>
      <c r="J1212" s="12"/>
      <c r="K1212" s="2"/>
      <c r="L1212" s="59"/>
    </row>
    <row r="1213" spans="1:12" x14ac:dyDescent="0.35">
      <c r="A1213" s="45">
        <v>1209</v>
      </c>
      <c r="B1213" s="2"/>
      <c r="C1213" s="2"/>
      <c r="D1213" s="2"/>
      <c r="E1213" s="3"/>
      <c r="F1213" s="3"/>
      <c r="G1213" s="2"/>
      <c r="H1213" s="2"/>
      <c r="I1213" s="46"/>
      <c r="J1213" s="12"/>
      <c r="K1213" s="2"/>
      <c r="L1213" s="59"/>
    </row>
    <row r="1214" spans="1:12" x14ac:dyDescent="0.35">
      <c r="A1214" s="45">
        <v>1210</v>
      </c>
      <c r="B1214" s="2"/>
      <c r="C1214" s="2"/>
      <c r="D1214" s="2"/>
      <c r="E1214" s="3"/>
      <c r="F1214" s="3"/>
      <c r="G1214" s="2"/>
      <c r="H1214" s="2"/>
      <c r="I1214" s="46"/>
      <c r="J1214" s="12"/>
      <c r="K1214" s="2"/>
      <c r="L1214" s="59"/>
    </row>
    <row r="1215" spans="1:12" x14ac:dyDescent="0.35">
      <c r="A1215" s="45">
        <v>1211</v>
      </c>
      <c r="B1215" s="2"/>
      <c r="C1215" s="2"/>
      <c r="D1215" s="2"/>
      <c r="E1215" s="3"/>
      <c r="F1215" s="3"/>
      <c r="G1215" s="2"/>
      <c r="H1215" s="2"/>
      <c r="I1215" s="46"/>
      <c r="J1215" s="12"/>
      <c r="K1215" s="2"/>
      <c r="L1215" s="59"/>
    </row>
    <row r="1216" spans="1:12" x14ac:dyDescent="0.35">
      <c r="A1216" s="45">
        <v>1212</v>
      </c>
      <c r="B1216" s="2"/>
      <c r="C1216" s="2"/>
      <c r="D1216" s="2"/>
      <c r="E1216" s="3"/>
      <c r="F1216" s="3"/>
      <c r="G1216" s="2"/>
      <c r="H1216" s="2"/>
      <c r="I1216" s="46"/>
      <c r="J1216" s="12"/>
      <c r="K1216" s="2"/>
      <c r="L1216" s="59"/>
    </row>
    <row r="1217" spans="1:12" x14ac:dyDescent="0.35">
      <c r="A1217" s="45">
        <v>1213</v>
      </c>
      <c r="B1217" s="2"/>
      <c r="C1217" s="2"/>
      <c r="D1217" s="2"/>
      <c r="E1217" s="3"/>
      <c r="F1217" s="3"/>
      <c r="G1217" s="2"/>
      <c r="H1217" s="2"/>
      <c r="I1217" s="46"/>
      <c r="J1217" s="12"/>
      <c r="K1217" s="2"/>
      <c r="L1217" s="59"/>
    </row>
    <row r="1218" spans="1:12" x14ac:dyDescent="0.35">
      <c r="A1218" s="45">
        <v>1214</v>
      </c>
      <c r="B1218" s="2"/>
      <c r="C1218" s="2"/>
      <c r="D1218" s="2"/>
      <c r="E1218" s="3"/>
      <c r="F1218" s="3"/>
      <c r="G1218" s="2"/>
      <c r="H1218" s="2"/>
      <c r="I1218" s="46"/>
      <c r="J1218" s="12"/>
      <c r="K1218" s="2"/>
      <c r="L1218" s="59"/>
    </row>
    <row r="1219" spans="1:12" x14ac:dyDescent="0.35">
      <c r="A1219" s="45">
        <v>1215</v>
      </c>
      <c r="B1219" s="2"/>
      <c r="C1219" s="2"/>
      <c r="D1219" s="2"/>
      <c r="E1219" s="3"/>
      <c r="F1219" s="3"/>
      <c r="G1219" s="2"/>
      <c r="H1219" s="2"/>
      <c r="I1219" s="46"/>
      <c r="J1219" s="12"/>
      <c r="K1219" s="2"/>
      <c r="L1219" s="59"/>
    </row>
    <row r="1220" spans="1:12" x14ac:dyDescent="0.35">
      <c r="A1220" s="45">
        <v>1216</v>
      </c>
      <c r="B1220" s="2"/>
      <c r="C1220" s="2"/>
      <c r="D1220" s="2"/>
      <c r="E1220" s="3"/>
      <c r="F1220" s="3"/>
      <c r="G1220" s="2"/>
      <c r="H1220" s="2"/>
      <c r="I1220" s="46"/>
      <c r="J1220" s="12"/>
      <c r="K1220" s="2"/>
      <c r="L1220" s="59"/>
    </row>
    <row r="1221" spans="1:12" x14ac:dyDescent="0.35">
      <c r="A1221" s="45">
        <v>1217</v>
      </c>
      <c r="B1221" s="2"/>
      <c r="C1221" s="2"/>
      <c r="D1221" s="2"/>
      <c r="E1221" s="3"/>
      <c r="F1221" s="3"/>
      <c r="G1221" s="2"/>
      <c r="H1221" s="2"/>
      <c r="I1221" s="46"/>
      <c r="J1221" s="12"/>
      <c r="K1221" s="2"/>
      <c r="L1221" s="59"/>
    </row>
    <row r="1222" spans="1:12" x14ac:dyDescent="0.35">
      <c r="A1222" s="45">
        <v>1218</v>
      </c>
      <c r="B1222" s="2"/>
      <c r="C1222" s="2"/>
      <c r="D1222" s="2"/>
      <c r="E1222" s="3"/>
      <c r="F1222" s="3"/>
      <c r="G1222" s="2"/>
      <c r="H1222" s="2"/>
      <c r="I1222" s="46"/>
      <c r="J1222" s="12"/>
      <c r="K1222" s="2"/>
      <c r="L1222" s="59"/>
    </row>
    <row r="1223" spans="1:12" x14ac:dyDescent="0.35">
      <c r="A1223" s="45">
        <v>1219</v>
      </c>
      <c r="B1223" s="2"/>
      <c r="C1223" s="2"/>
      <c r="D1223" s="2"/>
      <c r="E1223" s="3"/>
      <c r="F1223" s="3"/>
      <c r="G1223" s="2"/>
      <c r="H1223" s="2"/>
      <c r="I1223" s="46"/>
      <c r="J1223" s="12"/>
      <c r="K1223" s="2"/>
      <c r="L1223" s="59"/>
    </row>
    <row r="1224" spans="1:12" x14ac:dyDescent="0.35">
      <c r="A1224" s="45">
        <v>1220</v>
      </c>
      <c r="B1224" s="2"/>
      <c r="C1224" s="2"/>
      <c r="D1224" s="2"/>
      <c r="E1224" s="3"/>
      <c r="F1224" s="3"/>
      <c r="G1224" s="2"/>
      <c r="H1224" s="2"/>
      <c r="I1224" s="46"/>
      <c r="J1224" s="12"/>
      <c r="K1224" s="2"/>
      <c r="L1224" s="59"/>
    </row>
    <row r="1225" spans="1:12" x14ac:dyDescent="0.35">
      <c r="A1225" s="45">
        <v>1221</v>
      </c>
      <c r="B1225" s="2"/>
      <c r="C1225" s="2"/>
      <c r="D1225" s="2"/>
      <c r="E1225" s="3"/>
      <c r="F1225" s="3"/>
      <c r="G1225" s="2"/>
      <c r="H1225" s="2"/>
      <c r="I1225" s="46"/>
      <c r="J1225" s="12"/>
      <c r="K1225" s="2"/>
      <c r="L1225" s="59"/>
    </row>
    <row r="1226" spans="1:12" x14ac:dyDescent="0.35">
      <c r="A1226" s="45">
        <v>1222</v>
      </c>
      <c r="B1226" s="2"/>
      <c r="C1226" s="2"/>
      <c r="D1226" s="2"/>
      <c r="E1226" s="3"/>
      <c r="F1226" s="3"/>
      <c r="G1226" s="2"/>
      <c r="H1226" s="2"/>
      <c r="I1226" s="46"/>
      <c r="J1226" s="12"/>
      <c r="K1226" s="2"/>
      <c r="L1226" s="59"/>
    </row>
    <row r="1227" spans="1:12" x14ac:dyDescent="0.35">
      <c r="A1227" s="45">
        <v>1223</v>
      </c>
      <c r="B1227" s="2"/>
      <c r="C1227" s="2"/>
      <c r="D1227" s="2"/>
      <c r="E1227" s="3"/>
      <c r="F1227" s="3"/>
      <c r="G1227" s="2"/>
      <c r="H1227" s="2"/>
      <c r="I1227" s="46"/>
      <c r="J1227" s="12"/>
      <c r="K1227" s="2"/>
      <c r="L1227" s="59"/>
    </row>
    <row r="1228" spans="1:12" x14ac:dyDescent="0.35">
      <c r="A1228" s="45">
        <v>1224</v>
      </c>
      <c r="B1228" s="2"/>
      <c r="C1228" s="2"/>
      <c r="D1228" s="2"/>
      <c r="E1228" s="3"/>
      <c r="F1228" s="3"/>
      <c r="G1228" s="2"/>
      <c r="H1228" s="2"/>
      <c r="I1228" s="46"/>
      <c r="J1228" s="12"/>
      <c r="K1228" s="2"/>
      <c r="L1228" s="59"/>
    </row>
    <row r="1229" spans="1:12" x14ac:dyDescent="0.35">
      <c r="A1229" s="45">
        <v>1225</v>
      </c>
      <c r="B1229" s="2"/>
      <c r="C1229" s="2"/>
      <c r="D1229" s="2"/>
      <c r="E1229" s="3"/>
      <c r="F1229" s="3"/>
      <c r="G1229" s="2"/>
      <c r="H1229" s="2"/>
      <c r="I1229" s="46"/>
      <c r="J1229" s="12"/>
      <c r="K1229" s="2"/>
      <c r="L1229" s="59"/>
    </row>
    <row r="1230" spans="1:12" x14ac:dyDescent="0.35">
      <c r="A1230" s="45">
        <v>1226</v>
      </c>
      <c r="B1230" s="2"/>
      <c r="C1230" s="2"/>
      <c r="D1230" s="2"/>
      <c r="E1230" s="3"/>
      <c r="F1230" s="3"/>
      <c r="G1230" s="2"/>
      <c r="H1230" s="2"/>
      <c r="I1230" s="46"/>
      <c r="J1230" s="12"/>
      <c r="K1230" s="2"/>
      <c r="L1230" s="59"/>
    </row>
    <row r="1231" spans="1:12" x14ac:dyDescent="0.35">
      <c r="A1231" s="45">
        <v>1227</v>
      </c>
      <c r="B1231" s="2"/>
      <c r="C1231" s="2"/>
      <c r="D1231" s="2"/>
      <c r="E1231" s="3"/>
      <c r="F1231" s="3"/>
      <c r="G1231" s="2"/>
      <c r="H1231" s="2"/>
      <c r="I1231" s="46"/>
      <c r="J1231" s="12"/>
      <c r="K1231" s="2"/>
      <c r="L1231" s="59"/>
    </row>
    <row r="1232" spans="1:12" x14ac:dyDescent="0.35">
      <c r="A1232" s="45">
        <v>1228</v>
      </c>
      <c r="B1232" s="2"/>
      <c r="C1232" s="2"/>
      <c r="D1232" s="2"/>
      <c r="E1232" s="3"/>
      <c r="F1232" s="3"/>
      <c r="G1232" s="2"/>
      <c r="H1232" s="2"/>
      <c r="I1232" s="46"/>
      <c r="J1232" s="12"/>
      <c r="K1232" s="2"/>
      <c r="L1232" s="59"/>
    </row>
    <row r="1233" spans="1:12" x14ac:dyDescent="0.35">
      <c r="A1233" s="45">
        <v>1229</v>
      </c>
      <c r="B1233" s="2"/>
      <c r="C1233" s="2"/>
      <c r="D1233" s="2"/>
      <c r="E1233" s="3"/>
      <c r="F1233" s="3"/>
      <c r="G1233" s="2"/>
      <c r="H1233" s="2"/>
      <c r="I1233" s="46"/>
      <c r="J1233" s="12"/>
      <c r="K1233" s="2"/>
      <c r="L1233" s="59"/>
    </row>
    <row r="1234" spans="1:12" x14ac:dyDescent="0.35">
      <c r="A1234" s="45">
        <v>1230</v>
      </c>
      <c r="B1234" s="2"/>
      <c r="C1234" s="2"/>
      <c r="D1234" s="2"/>
      <c r="E1234" s="3"/>
      <c r="F1234" s="3"/>
      <c r="G1234" s="2"/>
      <c r="H1234" s="2"/>
      <c r="I1234" s="46"/>
      <c r="J1234" s="12"/>
      <c r="K1234" s="2"/>
      <c r="L1234" s="59"/>
    </row>
    <row r="1235" spans="1:12" x14ac:dyDescent="0.35">
      <c r="A1235" s="45">
        <v>1231</v>
      </c>
      <c r="B1235" s="2"/>
      <c r="C1235" s="2"/>
      <c r="D1235" s="2"/>
      <c r="E1235" s="3"/>
      <c r="F1235" s="3"/>
      <c r="G1235" s="2"/>
      <c r="H1235" s="2"/>
      <c r="I1235" s="46"/>
      <c r="J1235" s="12"/>
      <c r="K1235" s="2"/>
      <c r="L1235" s="59"/>
    </row>
    <row r="1236" spans="1:12" x14ac:dyDescent="0.35">
      <c r="A1236" s="45">
        <v>1232</v>
      </c>
      <c r="B1236" s="2"/>
      <c r="C1236" s="2"/>
      <c r="D1236" s="2"/>
      <c r="E1236" s="3"/>
      <c r="F1236" s="3"/>
      <c r="G1236" s="2"/>
      <c r="H1236" s="2"/>
      <c r="I1236" s="46"/>
      <c r="J1236" s="12"/>
      <c r="K1236" s="2"/>
      <c r="L1236" s="59"/>
    </row>
    <row r="1237" spans="1:12" x14ac:dyDescent="0.35">
      <c r="A1237" s="45">
        <v>1233</v>
      </c>
      <c r="B1237" s="2"/>
      <c r="C1237" s="2"/>
      <c r="D1237" s="2"/>
      <c r="E1237" s="3"/>
      <c r="F1237" s="3"/>
      <c r="G1237" s="2"/>
      <c r="H1237" s="2"/>
      <c r="I1237" s="46"/>
      <c r="J1237" s="12"/>
      <c r="K1237" s="2"/>
      <c r="L1237" s="59"/>
    </row>
    <row r="1238" spans="1:12" x14ac:dyDescent="0.35">
      <c r="A1238" s="45">
        <v>1234</v>
      </c>
      <c r="B1238" s="2"/>
      <c r="C1238" s="2"/>
      <c r="D1238" s="2"/>
      <c r="E1238" s="3"/>
      <c r="F1238" s="3"/>
      <c r="G1238" s="2"/>
      <c r="H1238" s="2"/>
      <c r="I1238" s="46"/>
      <c r="J1238" s="12"/>
      <c r="K1238" s="2"/>
      <c r="L1238" s="59"/>
    </row>
    <row r="1239" spans="1:12" x14ac:dyDescent="0.35">
      <c r="A1239" s="45">
        <v>1235</v>
      </c>
      <c r="B1239" s="2"/>
      <c r="C1239" s="2"/>
      <c r="D1239" s="2"/>
      <c r="E1239" s="3"/>
      <c r="F1239" s="3"/>
      <c r="G1239" s="2"/>
      <c r="H1239" s="2"/>
      <c r="I1239" s="46"/>
      <c r="J1239" s="12"/>
      <c r="K1239" s="2"/>
      <c r="L1239" s="59"/>
    </row>
    <row r="1240" spans="1:12" x14ac:dyDescent="0.35">
      <c r="A1240" s="45">
        <v>1236</v>
      </c>
      <c r="B1240" s="2"/>
      <c r="C1240" s="2"/>
      <c r="D1240" s="2"/>
      <c r="E1240" s="3"/>
      <c r="F1240" s="3"/>
      <c r="G1240" s="2"/>
      <c r="H1240" s="2"/>
      <c r="I1240" s="46"/>
      <c r="J1240" s="12"/>
      <c r="K1240" s="2"/>
      <c r="L1240" s="59"/>
    </row>
    <row r="1241" spans="1:12" x14ac:dyDescent="0.35">
      <c r="A1241" s="45">
        <v>1237</v>
      </c>
      <c r="B1241" s="2"/>
      <c r="C1241" s="2"/>
      <c r="D1241" s="2"/>
      <c r="E1241" s="3"/>
      <c r="F1241" s="3"/>
      <c r="G1241" s="2"/>
      <c r="H1241" s="2"/>
      <c r="I1241" s="46"/>
      <c r="J1241" s="12"/>
      <c r="K1241" s="2"/>
      <c r="L1241" s="59"/>
    </row>
    <row r="1242" spans="1:12" x14ac:dyDescent="0.35">
      <c r="A1242" s="45">
        <v>1238</v>
      </c>
      <c r="B1242" s="2"/>
      <c r="C1242" s="2"/>
      <c r="D1242" s="2"/>
      <c r="E1242" s="3"/>
      <c r="F1242" s="3"/>
      <c r="G1242" s="2"/>
      <c r="H1242" s="2"/>
      <c r="I1242" s="46"/>
      <c r="J1242" s="12"/>
      <c r="K1242" s="2"/>
      <c r="L1242" s="59"/>
    </row>
    <row r="1243" spans="1:12" x14ac:dyDescent="0.35">
      <c r="A1243" s="45">
        <v>1239</v>
      </c>
      <c r="B1243" s="2"/>
      <c r="C1243" s="2"/>
      <c r="D1243" s="2"/>
      <c r="E1243" s="3"/>
      <c r="F1243" s="3"/>
      <c r="G1243" s="2"/>
      <c r="H1243" s="2"/>
      <c r="I1243" s="46"/>
      <c r="J1243" s="12"/>
      <c r="K1243" s="2"/>
      <c r="L1243" s="59"/>
    </row>
    <row r="1244" spans="1:12" x14ac:dyDescent="0.35">
      <c r="A1244" s="45">
        <v>1240</v>
      </c>
      <c r="B1244" s="2"/>
      <c r="C1244" s="2"/>
      <c r="D1244" s="2"/>
      <c r="E1244" s="3"/>
      <c r="F1244" s="3"/>
      <c r="G1244" s="2"/>
      <c r="H1244" s="2"/>
      <c r="I1244" s="46"/>
      <c r="J1244" s="12"/>
      <c r="K1244" s="2"/>
      <c r="L1244" s="59"/>
    </row>
    <row r="1245" spans="1:12" x14ac:dyDescent="0.35">
      <c r="A1245" s="45">
        <v>1241</v>
      </c>
      <c r="B1245" s="2"/>
      <c r="C1245" s="2"/>
      <c r="D1245" s="2"/>
      <c r="E1245" s="3"/>
      <c r="F1245" s="3"/>
      <c r="G1245" s="2"/>
      <c r="H1245" s="2"/>
      <c r="I1245" s="46"/>
      <c r="J1245" s="12"/>
      <c r="K1245" s="2"/>
      <c r="L1245" s="59"/>
    </row>
    <row r="1246" spans="1:12" x14ac:dyDescent="0.35">
      <c r="A1246" s="45">
        <v>1242</v>
      </c>
      <c r="B1246" s="2"/>
      <c r="C1246" s="2"/>
      <c r="D1246" s="2"/>
      <c r="E1246" s="3"/>
      <c r="F1246" s="3"/>
      <c r="G1246" s="2"/>
      <c r="H1246" s="2"/>
      <c r="I1246" s="46"/>
      <c r="J1246" s="12"/>
      <c r="K1246" s="2"/>
      <c r="L1246" s="59"/>
    </row>
    <row r="1247" spans="1:12" x14ac:dyDescent="0.35">
      <c r="A1247" s="45">
        <v>1243</v>
      </c>
      <c r="B1247" s="2"/>
      <c r="C1247" s="2"/>
      <c r="D1247" s="2"/>
      <c r="E1247" s="3"/>
      <c r="F1247" s="3"/>
      <c r="G1247" s="2"/>
      <c r="H1247" s="2"/>
      <c r="I1247" s="46"/>
      <c r="J1247" s="12"/>
      <c r="K1247" s="2"/>
      <c r="L1247" s="59"/>
    </row>
    <row r="1248" spans="1:12" x14ac:dyDescent="0.35">
      <c r="A1248" s="45">
        <v>1244</v>
      </c>
      <c r="B1248" s="2"/>
      <c r="C1248" s="2"/>
      <c r="D1248" s="2"/>
      <c r="E1248" s="3"/>
      <c r="F1248" s="3"/>
      <c r="G1248" s="2"/>
      <c r="H1248" s="2"/>
      <c r="I1248" s="46"/>
      <c r="J1248" s="12"/>
      <c r="K1248" s="2"/>
      <c r="L1248" s="59"/>
    </row>
    <row r="1249" spans="1:12" x14ac:dyDescent="0.35">
      <c r="A1249" s="45">
        <v>1245</v>
      </c>
      <c r="B1249" s="2"/>
      <c r="C1249" s="2"/>
      <c r="D1249" s="2"/>
      <c r="E1249" s="3"/>
      <c r="F1249" s="3"/>
      <c r="G1249" s="2"/>
      <c r="H1249" s="2"/>
      <c r="I1249" s="46"/>
      <c r="J1249" s="12"/>
      <c r="K1249" s="2"/>
      <c r="L1249" s="59"/>
    </row>
    <row r="1250" spans="1:12" x14ac:dyDescent="0.35">
      <c r="A1250" s="45">
        <v>1246</v>
      </c>
      <c r="B1250" s="2"/>
      <c r="C1250" s="2"/>
      <c r="D1250" s="2"/>
      <c r="E1250" s="3"/>
      <c r="F1250" s="3"/>
      <c r="G1250" s="2"/>
      <c r="H1250" s="2"/>
      <c r="I1250" s="46"/>
      <c r="J1250" s="12"/>
      <c r="K1250" s="2"/>
      <c r="L1250" s="59"/>
    </row>
    <row r="1251" spans="1:12" x14ac:dyDescent="0.35">
      <c r="A1251" s="45">
        <v>1247</v>
      </c>
      <c r="B1251" s="2"/>
      <c r="C1251" s="2"/>
      <c r="D1251" s="2"/>
      <c r="E1251" s="3"/>
      <c r="F1251" s="3"/>
      <c r="G1251" s="2"/>
      <c r="H1251" s="2"/>
      <c r="I1251" s="46"/>
      <c r="J1251" s="12"/>
      <c r="K1251" s="2"/>
      <c r="L1251" s="59"/>
    </row>
    <row r="1252" spans="1:12" x14ac:dyDescent="0.35">
      <c r="A1252" s="45">
        <v>1248</v>
      </c>
      <c r="B1252" s="2"/>
      <c r="C1252" s="2"/>
      <c r="D1252" s="2"/>
      <c r="E1252" s="3"/>
      <c r="F1252" s="3"/>
      <c r="G1252" s="2"/>
      <c r="H1252" s="2"/>
      <c r="I1252" s="46"/>
      <c r="J1252" s="12"/>
      <c r="K1252" s="2"/>
      <c r="L1252" s="59"/>
    </row>
    <row r="1253" spans="1:12" x14ac:dyDescent="0.35">
      <c r="A1253" s="45">
        <v>1249</v>
      </c>
      <c r="B1253" s="2"/>
      <c r="C1253" s="2"/>
      <c r="D1253" s="2"/>
      <c r="E1253" s="3"/>
      <c r="F1253" s="3"/>
      <c r="G1253" s="2"/>
      <c r="H1253" s="2"/>
      <c r="I1253" s="46"/>
      <c r="J1253" s="12"/>
      <c r="K1253" s="2"/>
      <c r="L1253" s="59"/>
    </row>
    <row r="1254" spans="1:12" x14ac:dyDescent="0.35">
      <c r="A1254" s="45">
        <v>1250</v>
      </c>
      <c r="B1254" s="2"/>
      <c r="C1254" s="2"/>
      <c r="D1254" s="2"/>
      <c r="E1254" s="3"/>
      <c r="F1254" s="3"/>
      <c r="G1254" s="2"/>
      <c r="H1254" s="2"/>
      <c r="I1254" s="46"/>
      <c r="J1254" s="12"/>
      <c r="K1254" s="2"/>
      <c r="L1254" s="59"/>
    </row>
    <row r="1255" spans="1:12" x14ac:dyDescent="0.35">
      <c r="A1255" s="45">
        <v>1251</v>
      </c>
      <c r="B1255" s="2"/>
      <c r="C1255" s="2"/>
      <c r="D1255" s="2"/>
      <c r="E1255" s="3"/>
      <c r="F1255" s="3"/>
      <c r="G1255" s="2"/>
      <c r="H1255" s="2"/>
      <c r="I1255" s="46"/>
      <c r="J1255" s="12"/>
      <c r="K1255" s="2"/>
      <c r="L1255" s="59"/>
    </row>
    <row r="1256" spans="1:12" x14ac:dyDescent="0.35">
      <c r="A1256" s="45">
        <v>1252</v>
      </c>
      <c r="B1256" s="2"/>
      <c r="C1256" s="2"/>
      <c r="D1256" s="2"/>
      <c r="E1256" s="3"/>
      <c r="F1256" s="3"/>
      <c r="G1256" s="2"/>
      <c r="H1256" s="2"/>
      <c r="I1256" s="46"/>
      <c r="J1256" s="12"/>
      <c r="K1256" s="2"/>
      <c r="L1256" s="59"/>
    </row>
    <row r="1257" spans="1:12" x14ac:dyDescent="0.35">
      <c r="A1257" s="45">
        <v>1253</v>
      </c>
      <c r="B1257" s="2"/>
      <c r="C1257" s="2"/>
      <c r="D1257" s="2"/>
      <c r="E1257" s="3"/>
      <c r="F1257" s="3"/>
      <c r="G1257" s="2"/>
      <c r="H1257" s="2"/>
      <c r="I1257" s="46"/>
      <c r="J1257" s="12"/>
      <c r="K1257" s="2"/>
      <c r="L1257" s="59"/>
    </row>
    <row r="1258" spans="1:12" x14ac:dyDescent="0.35">
      <c r="A1258" s="45">
        <v>1254</v>
      </c>
      <c r="B1258" s="2"/>
      <c r="C1258" s="2"/>
      <c r="D1258" s="2"/>
      <c r="E1258" s="3"/>
      <c r="F1258" s="3"/>
      <c r="G1258" s="2"/>
      <c r="H1258" s="2"/>
      <c r="I1258" s="46"/>
      <c r="J1258" s="12"/>
      <c r="K1258" s="2"/>
      <c r="L1258" s="59"/>
    </row>
    <row r="1259" spans="1:12" x14ac:dyDescent="0.35">
      <c r="A1259" s="45">
        <v>1255</v>
      </c>
      <c r="B1259" s="2"/>
      <c r="C1259" s="2"/>
      <c r="D1259" s="2"/>
      <c r="E1259" s="3"/>
      <c r="F1259" s="3"/>
      <c r="G1259" s="2"/>
      <c r="H1259" s="2"/>
      <c r="I1259" s="46"/>
      <c r="J1259" s="12"/>
      <c r="K1259" s="2"/>
      <c r="L1259" s="59"/>
    </row>
    <row r="1260" spans="1:12" x14ac:dyDescent="0.35">
      <c r="A1260" s="45">
        <v>1256</v>
      </c>
      <c r="B1260" s="2"/>
      <c r="C1260" s="2"/>
      <c r="D1260" s="2"/>
      <c r="E1260" s="3"/>
      <c r="F1260" s="3"/>
      <c r="G1260" s="2"/>
      <c r="H1260" s="2"/>
      <c r="I1260" s="46"/>
      <c r="J1260" s="12"/>
      <c r="K1260" s="2"/>
      <c r="L1260" s="59"/>
    </row>
    <row r="1261" spans="1:12" x14ac:dyDescent="0.35">
      <c r="A1261" s="45">
        <v>1257</v>
      </c>
      <c r="B1261" s="2"/>
      <c r="C1261" s="2"/>
      <c r="D1261" s="2"/>
      <c r="E1261" s="3"/>
      <c r="F1261" s="3"/>
      <c r="G1261" s="2"/>
      <c r="H1261" s="2"/>
      <c r="I1261" s="46"/>
      <c r="J1261" s="12"/>
      <c r="K1261" s="2"/>
      <c r="L1261" s="59"/>
    </row>
    <row r="1262" spans="1:12" x14ac:dyDescent="0.35">
      <c r="A1262" s="45">
        <v>1258</v>
      </c>
      <c r="B1262" s="2"/>
      <c r="C1262" s="2"/>
      <c r="D1262" s="2"/>
      <c r="E1262" s="3"/>
      <c r="F1262" s="3"/>
      <c r="G1262" s="2"/>
      <c r="H1262" s="2"/>
      <c r="I1262" s="46"/>
      <c r="J1262" s="12"/>
      <c r="K1262" s="2"/>
      <c r="L1262" s="59"/>
    </row>
    <row r="1263" spans="1:12" x14ac:dyDescent="0.35">
      <c r="A1263" s="45">
        <v>1259</v>
      </c>
      <c r="B1263" s="2"/>
      <c r="C1263" s="2"/>
      <c r="D1263" s="2"/>
      <c r="E1263" s="3"/>
      <c r="F1263" s="3"/>
      <c r="G1263" s="2"/>
      <c r="H1263" s="2"/>
      <c r="I1263" s="46"/>
      <c r="J1263" s="12"/>
      <c r="K1263" s="2"/>
      <c r="L1263" s="59"/>
    </row>
    <row r="1264" spans="1:12" x14ac:dyDescent="0.35">
      <c r="A1264" s="45">
        <v>1260</v>
      </c>
      <c r="B1264" s="2"/>
      <c r="C1264" s="2"/>
      <c r="D1264" s="2"/>
      <c r="E1264" s="3"/>
      <c r="F1264" s="3"/>
      <c r="G1264" s="2"/>
      <c r="H1264" s="2"/>
      <c r="I1264" s="46"/>
      <c r="J1264" s="12"/>
      <c r="K1264" s="2"/>
      <c r="L1264" s="59"/>
    </row>
    <row r="1265" spans="1:12" x14ac:dyDescent="0.35">
      <c r="A1265" s="45">
        <v>1261</v>
      </c>
      <c r="B1265" s="2"/>
      <c r="C1265" s="2"/>
      <c r="D1265" s="2"/>
      <c r="E1265" s="3"/>
      <c r="F1265" s="3"/>
      <c r="G1265" s="2"/>
      <c r="H1265" s="2"/>
      <c r="I1265" s="46"/>
      <c r="J1265" s="12"/>
      <c r="K1265" s="2"/>
      <c r="L1265" s="59"/>
    </row>
    <row r="1266" spans="1:12" x14ac:dyDescent="0.35">
      <c r="A1266" s="45">
        <v>1262</v>
      </c>
      <c r="B1266" s="2"/>
      <c r="C1266" s="2"/>
      <c r="D1266" s="2"/>
      <c r="E1266" s="3"/>
      <c r="F1266" s="3"/>
      <c r="G1266" s="2"/>
      <c r="H1266" s="2"/>
      <c r="I1266" s="46"/>
      <c r="J1266" s="12"/>
      <c r="K1266" s="2"/>
      <c r="L1266" s="59"/>
    </row>
    <row r="1267" spans="1:12" x14ac:dyDescent="0.35">
      <c r="A1267" s="45">
        <v>1263</v>
      </c>
      <c r="B1267" s="2"/>
      <c r="C1267" s="2"/>
      <c r="D1267" s="2"/>
      <c r="E1267" s="3"/>
      <c r="F1267" s="3"/>
      <c r="G1267" s="2"/>
      <c r="H1267" s="2"/>
      <c r="I1267" s="46"/>
      <c r="J1267" s="12"/>
      <c r="K1267" s="2"/>
      <c r="L1267" s="59"/>
    </row>
    <row r="1268" spans="1:12" x14ac:dyDescent="0.35">
      <c r="A1268" s="45">
        <v>1264</v>
      </c>
      <c r="B1268" s="2"/>
      <c r="C1268" s="2"/>
      <c r="D1268" s="2"/>
      <c r="E1268" s="3"/>
      <c r="F1268" s="3"/>
      <c r="G1268" s="2"/>
      <c r="H1268" s="2"/>
      <c r="I1268" s="46"/>
      <c r="J1268" s="12"/>
      <c r="K1268" s="2"/>
      <c r="L1268" s="59"/>
    </row>
    <row r="1269" spans="1:12" x14ac:dyDescent="0.35">
      <c r="A1269" s="45">
        <v>1265</v>
      </c>
      <c r="B1269" s="2"/>
      <c r="C1269" s="2"/>
      <c r="D1269" s="2"/>
      <c r="E1269" s="3"/>
      <c r="F1269" s="3"/>
      <c r="G1269" s="2"/>
      <c r="H1269" s="2"/>
      <c r="I1269" s="46"/>
      <c r="J1269" s="12"/>
      <c r="K1269" s="2"/>
      <c r="L1269" s="59"/>
    </row>
    <row r="1270" spans="1:12" x14ac:dyDescent="0.35">
      <c r="A1270" s="45">
        <v>1266</v>
      </c>
      <c r="B1270" s="2"/>
      <c r="C1270" s="2"/>
      <c r="D1270" s="2"/>
      <c r="E1270" s="3"/>
      <c r="F1270" s="3"/>
      <c r="G1270" s="2"/>
      <c r="H1270" s="2"/>
      <c r="I1270" s="46"/>
      <c r="J1270" s="12"/>
      <c r="K1270" s="2"/>
      <c r="L1270" s="59"/>
    </row>
    <row r="1271" spans="1:12" x14ac:dyDescent="0.35">
      <c r="A1271" s="45">
        <v>1267</v>
      </c>
      <c r="B1271" s="2"/>
      <c r="C1271" s="2"/>
      <c r="D1271" s="2"/>
      <c r="E1271" s="3"/>
      <c r="F1271" s="3"/>
      <c r="G1271" s="2"/>
      <c r="H1271" s="2"/>
      <c r="I1271" s="46"/>
      <c r="J1271" s="12"/>
      <c r="K1271" s="2"/>
      <c r="L1271" s="59"/>
    </row>
    <row r="1272" spans="1:12" x14ac:dyDescent="0.35">
      <c r="A1272" s="45">
        <v>1268</v>
      </c>
      <c r="B1272" s="2"/>
      <c r="C1272" s="2"/>
      <c r="D1272" s="2"/>
      <c r="E1272" s="3"/>
      <c r="F1272" s="3"/>
      <c r="G1272" s="2"/>
      <c r="H1272" s="2"/>
      <c r="I1272" s="46"/>
      <c r="J1272" s="12"/>
      <c r="K1272" s="2"/>
      <c r="L1272" s="59"/>
    </row>
    <row r="1273" spans="1:12" x14ac:dyDescent="0.35">
      <c r="A1273" s="45">
        <v>1269</v>
      </c>
      <c r="B1273" s="2"/>
      <c r="C1273" s="2"/>
      <c r="D1273" s="2"/>
      <c r="E1273" s="3"/>
      <c r="F1273" s="3"/>
      <c r="G1273" s="2"/>
      <c r="H1273" s="2"/>
      <c r="I1273" s="46"/>
      <c r="J1273" s="12"/>
      <c r="K1273" s="2"/>
      <c r="L1273" s="59"/>
    </row>
    <row r="1274" spans="1:12" x14ac:dyDescent="0.35">
      <c r="A1274" s="45">
        <v>1270</v>
      </c>
      <c r="B1274" s="2"/>
      <c r="C1274" s="2"/>
      <c r="D1274" s="2"/>
      <c r="E1274" s="3"/>
      <c r="F1274" s="3"/>
      <c r="G1274" s="2"/>
      <c r="H1274" s="2"/>
      <c r="I1274" s="46"/>
      <c r="J1274" s="12"/>
      <c r="K1274" s="2"/>
      <c r="L1274" s="59"/>
    </row>
    <row r="1275" spans="1:12" x14ac:dyDescent="0.35">
      <c r="A1275" s="45">
        <v>1271</v>
      </c>
      <c r="B1275" s="2"/>
      <c r="C1275" s="2"/>
      <c r="D1275" s="2"/>
      <c r="E1275" s="3"/>
      <c r="F1275" s="3"/>
      <c r="G1275" s="2"/>
      <c r="H1275" s="2"/>
      <c r="I1275" s="46"/>
      <c r="J1275" s="12"/>
      <c r="K1275" s="2"/>
      <c r="L1275" s="59"/>
    </row>
    <row r="1276" spans="1:12" x14ac:dyDescent="0.35">
      <c r="A1276" s="45">
        <v>1272</v>
      </c>
      <c r="B1276" s="2"/>
      <c r="C1276" s="2"/>
      <c r="D1276" s="2"/>
      <c r="E1276" s="3"/>
      <c r="F1276" s="3"/>
      <c r="G1276" s="2"/>
      <c r="H1276" s="2"/>
      <c r="I1276" s="46"/>
      <c r="J1276" s="12"/>
      <c r="K1276" s="2"/>
      <c r="L1276" s="59"/>
    </row>
    <row r="1277" spans="1:12" x14ac:dyDescent="0.35">
      <c r="A1277" s="45">
        <v>1273</v>
      </c>
      <c r="B1277" s="2"/>
      <c r="C1277" s="2"/>
      <c r="D1277" s="2"/>
      <c r="E1277" s="3"/>
      <c r="F1277" s="3"/>
      <c r="G1277" s="2"/>
      <c r="H1277" s="2"/>
      <c r="I1277" s="46"/>
      <c r="J1277" s="12"/>
      <c r="K1277" s="2"/>
      <c r="L1277" s="59"/>
    </row>
    <row r="1278" spans="1:12" x14ac:dyDescent="0.35">
      <c r="A1278" s="45">
        <v>1274</v>
      </c>
      <c r="B1278" s="2"/>
      <c r="C1278" s="2"/>
      <c r="D1278" s="2"/>
      <c r="E1278" s="3"/>
      <c r="F1278" s="3"/>
      <c r="G1278" s="2"/>
      <c r="H1278" s="2"/>
      <c r="I1278" s="46"/>
      <c r="J1278" s="12"/>
      <c r="K1278" s="2"/>
      <c r="L1278" s="59"/>
    </row>
    <row r="1279" spans="1:12" x14ac:dyDescent="0.35">
      <c r="A1279" s="45">
        <v>1275</v>
      </c>
      <c r="B1279" s="2"/>
      <c r="C1279" s="2"/>
      <c r="D1279" s="2"/>
      <c r="E1279" s="3"/>
      <c r="F1279" s="3"/>
      <c r="G1279" s="2"/>
      <c r="H1279" s="2"/>
      <c r="I1279" s="46"/>
      <c r="J1279" s="12"/>
      <c r="K1279" s="2"/>
      <c r="L1279" s="59"/>
    </row>
    <row r="1280" spans="1:12" x14ac:dyDescent="0.35">
      <c r="A1280" s="45">
        <v>1276</v>
      </c>
      <c r="B1280" s="2"/>
      <c r="C1280" s="2"/>
      <c r="D1280" s="2"/>
      <c r="E1280" s="3"/>
      <c r="F1280" s="3"/>
      <c r="G1280" s="2"/>
      <c r="H1280" s="2"/>
      <c r="I1280" s="46"/>
      <c r="J1280" s="12"/>
      <c r="K1280" s="2"/>
      <c r="L1280" s="59"/>
    </row>
    <row r="1281" spans="1:12" x14ac:dyDescent="0.35">
      <c r="A1281" s="45">
        <v>1277</v>
      </c>
      <c r="B1281" s="2"/>
      <c r="C1281" s="2"/>
      <c r="D1281" s="2"/>
      <c r="E1281" s="3"/>
      <c r="F1281" s="3"/>
      <c r="G1281" s="2"/>
      <c r="H1281" s="2"/>
      <c r="I1281" s="46"/>
      <c r="J1281" s="12"/>
      <c r="K1281" s="2"/>
      <c r="L1281" s="59"/>
    </row>
    <row r="1282" spans="1:12" x14ac:dyDescent="0.35">
      <c r="A1282" s="45">
        <v>1278</v>
      </c>
      <c r="B1282" s="2"/>
      <c r="C1282" s="2"/>
      <c r="D1282" s="2"/>
      <c r="E1282" s="3"/>
      <c r="F1282" s="3"/>
      <c r="G1282" s="2"/>
      <c r="H1282" s="2"/>
      <c r="I1282" s="46"/>
      <c r="J1282" s="12"/>
      <c r="K1282" s="2"/>
      <c r="L1282" s="59"/>
    </row>
    <row r="1283" spans="1:12" x14ac:dyDescent="0.35">
      <c r="A1283" s="45">
        <v>1279</v>
      </c>
      <c r="B1283" s="2"/>
      <c r="C1283" s="2"/>
      <c r="D1283" s="2"/>
      <c r="E1283" s="3"/>
      <c r="F1283" s="3"/>
      <c r="G1283" s="2"/>
      <c r="H1283" s="2"/>
      <c r="I1283" s="46"/>
      <c r="J1283" s="12"/>
      <c r="K1283" s="2"/>
      <c r="L1283" s="59"/>
    </row>
    <row r="1284" spans="1:12" x14ac:dyDescent="0.35">
      <c r="A1284" s="45">
        <v>1280</v>
      </c>
      <c r="B1284" s="2"/>
      <c r="C1284" s="2"/>
      <c r="D1284" s="2"/>
      <c r="E1284" s="3"/>
      <c r="F1284" s="3"/>
      <c r="G1284" s="2"/>
      <c r="H1284" s="2"/>
      <c r="I1284" s="46"/>
      <c r="J1284" s="12"/>
      <c r="K1284" s="2"/>
      <c r="L1284" s="59"/>
    </row>
    <row r="1285" spans="1:12" x14ac:dyDescent="0.35">
      <c r="A1285" s="45">
        <v>1281</v>
      </c>
      <c r="B1285" s="2"/>
      <c r="C1285" s="2"/>
      <c r="D1285" s="2"/>
      <c r="E1285" s="3"/>
      <c r="F1285" s="3"/>
      <c r="G1285" s="2"/>
      <c r="H1285" s="2"/>
      <c r="I1285" s="46"/>
      <c r="J1285" s="12"/>
      <c r="K1285" s="2"/>
      <c r="L1285" s="59"/>
    </row>
    <row r="1286" spans="1:12" x14ac:dyDescent="0.35">
      <c r="A1286" s="45">
        <v>1282</v>
      </c>
      <c r="B1286" s="2"/>
      <c r="C1286" s="2"/>
      <c r="D1286" s="2"/>
      <c r="E1286" s="3"/>
      <c r="F1286" s="3"/>
      <c r="G1286" s="2"/>
      <c r="H1286" s="2"/>
      <c r="I1286" s="46"/>
      <c r="J1286" s="12"/>
      <c r="K1286" s="2"/>
      <c r="L1286" s="59"/>
    </row>
    <row r="1287" spans="1:12" x14ac:dyDescent="0.35">
      <c r="A1287" s="45">
        <v>1283</v>
      </c>
      <c r="B1287" s="2"/>
      <c r="C1287" s="2"/>
      <c r="D1287" s="2"/>
      <c r="E1287" s="3"/>
      <c r="F1287" s="3"/>
      <c r="G1287" s="2"/>
      <c r="H1287" s="2"/>
      <c r="I1287" s="46"/>
      <c r="J1287" s="12"/>
      <c r="K1287" s="2"/>
      <c r="L1287" s="59"/>
    </row>
    <row r="1288" spans="1:12" x14ac:dyDescent="0.35">
      <c r="A1288" s="45">
        <v>1284</v>
      </c>
      <c r="B1288" s="2"/>
      <c r="C1288" s="2"/>
      <c r="D1288" s="2"/>
      <c r="E1288" s="3"/>
      <c r="F1288" s="3"/>
      <c r="G1288" s="2"/>
      <c r="H1288" s="2"/>
      <c r="I1288" s="46"/>
      <c r="J1288" s="12"/>
      <c r="K1288" s="2"/>
      <c r="L1288" s="59"/>
    </row>
    <row r="1289" spans="1:12" x14ac:dyDescent="0.35">
      <c r="A1289" s="45">
        <v>1285</v>
      </c>
      <c r="B1289" s="2"/>
      <c r="C1289" s="2"/>
      <c r="D1289" s="2"/>
      <c r="E1289" s="3"/>
      <c r="F1289" s="3"/>
      <c r="G1289" s="2"/>
      <c r="H1289" s="2"/>
      <c r="I1289" s="46"/>
      <c r="J1289" s="12"/>
      <c r="K1289" s="2"/>
      <c r="L1289" s="59"/>
    </row>
    <row r="1290" spans="1:12" x14ac:dyDescent="0.35">
      <c r="A1290" s="45">
        <v>1286</v>
      </c>
      <c r="B1290" s="2"/>
      <c r="C1290" s="2"/>
      <c r="D1290" s="2"/>
      <c r="E1290" s="3"/>
      <c r="F1290" s="3"/>
      <c r="G1290" s="2"/>
      <c r="H1290" s="2"/>
      <c r="I1290" s="46"/>
      <c r="J1290" s="12"/>
      <c r="K1290" s="2"/>
      <c r="L1290" s="59"/>
    </row>
    <row r="1291" spans="1:12" x14ac:dyDescent="0.35">
      <c r="A1291" s="45">
        <v>1287</v>
      </c>
      <c r="B1291" s="2"/>
      <c r="C1291" s="2"/>
      <c r="D1291" s="2"/>
      <c r="E1291" s="3"/>
      <c r="F1291" s="3"/>
      <c r="G1291" s="2"/>
      <c r="H1291" s="2"/>
      <c r="I1291" s="46"/>
      <c r="J1291" s="12"/>
      <c r="K1291" s="2"/>
      <c r="L1291" s="59"/>
    </row>
    <row r="1292" spans="1:12" x14ac:dyDescent="0.35">
      <c r="A1292" s="45">
        <v>1288</v>
      </c>
      <c r="B1292" s="2"/>
      <c r="C1292" s="2"/>
      <c r="D1292" s="2"/>
      <c r="E1292" s="3"/>
      <c r="F1292" s="3"/>
      <c r="G1292" s="2"/>
      <c r="H1292" s="2"/>
      <c r="I1292" s="46"/>
      <c r="J1292" s="12"/>
      <c r="K1292" s="2"/>
      <c r="L1292" s="59"/>
    </row>
    <row r="1293" spans="1:12" x14ac:dyDescent="0.35">
      <c r="A1293" s="45">
        <v>1289</v>
      </c>
      <c r="B1293" s="2"/>
      <c r="C1293" s="2"/>
      <c r="D1293" s="2"/>
      <c r="E1293" s="3"/>
      <c r="F1293" s="3"/>
      <c r="G1293" s="2"/>
      <c r="H1293" s="2"/>
      <c r="I1293" s="46"/>
      <c r="J1293" s="12"/>
      <c r="K1293" s="2"/>
      <c r="L1293" s="59"/>
    </row>
    <row r="1294" spans="1:12" x14ac:dyDescent="0.35">
      <c r="A1294" s="45">
        <v>1290</v>
      </c>
      <c r="B1294" s="2"/>
      <c r="C1294" s="2"/>
      <c r="D1294" s="2"/>
      <c r="E1294" s="3"/>
      <c r="F1294" s="3"/>
      <c r="G1294" s="2"/>
      <c r="H1294" s="2"/>
      <c r="I1294" s="46"/>
      <c r="J1294" s="12"/>
      <c r="K1294" s="2"/>
      <c r="L1294" s="59"/>
    </row>
    <row r="1295" spans="1:12" x14ac:dyDescent="0.35">
      <c r="A1295" s="45">
        <v>1291</v>
      </c>
      <c r="B1295" s="2"/>
      <c r="C1295" s="2"/>
      <c r="D1295" s="2"/>
      <c r="E1295" s="3"/>
      <c r="F1295" s="3"/>
      <c r="G1295" s="2"/>
      <c r="H1295" s="2"/>
      <c r="I1295" s="46"/>
      <c r="J1295" s="12"/>
      <c r="K1295" s="2"/>
      <c r="L1295" s="59"/>
    </row>
    <row r="1296" spans="1:12" x14ac:dyDescent="0.35">
      <c r="A1296" s="45">
        <v>1292</v>
      </c>
      <c r="B1296" s="2"/>
      <c r="C1296" s="2"/>
      <c r="D1296" s="2"/>
      <c r="E1296" s="3"/>
      <c r="F1296" s="3"/>
      <c r="G1296" s="2"/>
      <c r="H1296" s="2"/>
      <c r="I1296" s="46"/>
      <c r="J1296" s="12"/>
      <c r="K1296" s="2"/>
      <c r="L1296" s="59"/>
    </row>
    <row r="1297" spans="1:12" x14ac:dyDescent="0.35">
      <c r="A1297" s="45">
        <v>1293</v>
      </c>
      <c r="B1297" s="2"/>
      <c r="C1297" s="2"/>
      <c r="D1297" s="2"/>
      <c r="E1297" s="3"/>
      <c r="F1297" s="3"/>
      <c r="G1297" s="2"/>
      <c r="H1297" s="2"/>
      <c r="I1297" s="46"/>
      <c r="J1297" s="12"/>
      <c r="K1297" s="2"/>
      <c r="L1297" s="59"/>
    </row>
    <row r="1298" spans="1:12" x14ac:dyDescent="0.35">
      <c r="A1298" s="45">
        <v>1294</v>
      </c>
      <c r="B1298" s="2"/>
      <c r="C1298" s="2"/>
      <c r="D1298" s="2"/>
      <c r="E1298" s="3"/>
      <c r="F1298" s="3"/>
      <c r="G1298" s="2"/>
      <c r="H1298" s="2"/>
      <c r="I1298" s="46"/>
      <c r="J1298" s="12"/>
      <c r="K1298" s="2"/>
      <c r="L1298" s="59"/>
    </row>
    <row r="1299" spans="1:12" x14ac:dyDescent="0.35">
      <c r="A1299" s="45">
        <v>1295</v>
      </c>
      <c r="B1299" s="2"/>
      <c r="C1299" s="2"/>
      <c r="D1299" s="2"/>
      <c r="E1299" s="3"/>
      <c r="F1299" s="3"/>
      <c r="G1299" s="2"/>
      <c r="H1299" s="2"/>
      <c r="I1299" s="46"/>
      <c r="J1299" s="12"/>
      <c r="K1299" s="2"/>
      <c r="L1299" s="59"/>
    </row>
    <row r="1300" spans="1:12" x14ac:dyDescent="0.35">
      <c r="A1300" s="45">
        <v>1296</v>
      </c>
      <c r="B1300" s="2"/>
      <c r="C1300" s="2"/>
      <c r="D1300" s="2"/>
      <c r="E1300" s="3"/>
      <c r="F1300" s="3"/>
      <c r="G1300" s="2"/>
      <c r="H1300" s="2"/>
      <c r="I1300" s="46"/>
      <c r="J1300" s="12"/>
      <c r="K1300" s="2"/>
      <c r="L1300" s="59"/>
    </row>
    <row r="1301" spans="1:12" x14ac:dyDescent="0.35">
      <c r="A1301" s="45">
        <v>1297</v>
      </c>
      <c r="B1301" s="2"/>
      <c r="C1301" s="2"/>
      <c r="D1301" s="2"/>
      <c r="E1301" s="3"/>
      <c r="F1301" s="3"/>
      <c r="G1301" s="2"/>
      <c r="H1301" s="2"/>
      <c r="I1301" s="46"/>
      <c r="J1301" s="12"/>
      <c r="K1301" s="2"/>
      <c r="L1301" s="59"/>
    </row>
    <row r="1302" spans="1:12" x14ac:dyDescent="0.35">
      <c r="A1302" s="45">
        <v>1298</v>
      </c>
      <c r="B1302" s="2"/>
      <c r="C1302" s="2"/>
      <c r="D1302" s="2"/>
      <c r="E1302" s="3"/>
      <c r="F1302" s="3"/>
      <c r="G1302" s="2"/>
      <c r="H1302" s="2"/>
      <c r="I1302" s="46"/>
      <c r="J1302" s="12"/>
      <c r="K1302" s="2"/>
      <c r="L1302" s="59"/>
    </row>
    <row r="1303" spans="1:12" x14ac:dyDescent="0.35">
      <c r="A1303" s="45">
        <v>1299</v>
      </c>
      <c r="B1303" s="2"/>
      <c r="C1303" s="2"/>
      <c r="D1303" s="2"/>
      <c r="E1303" s="3"/>
      <c r="F1303" s="3"/>
      <c r="G1303" s="2"/>
      <c r="H1303" s="2"/>
      <c r="I1303" s="46"/>
      <c r="J1303" s="12"/>
      <c r="K1303" s="2"/>
      <c r="L1303" s="59"/>
    </row>
    <row r="1304" spans="1:12" x14ac:dyDescent="0.35">
      <c r="A1304" s="45">
        <v>1300</v>
      </c>
      <c r="B1304" s="2"/>
      <c r="C1304" s="2"/>
      <c r="D1304" s="2"/>
      <c r="E1304" s="3"/>
      <c r="F1304" s="3"/>
      <c r="G1304" s="2"/>
      <c r="H1304" s="2"/>
      <c r="I1304" s="46"/>
      <c r="J1304" s="12"/>
      <c r="K1304" s="2"/>
      <c r="L1304" s="59"/>
    </row>
    <row r="1305" spans="1:12" x14ac:dyDescent="0.35">
      <c r="A1305" s="45">
        <v>1301</v>
      </c>
      <c r="B1305" s="2"/>
      <c r="C1305" s="2"/>
      <c r="D1305" s="2"/>
      <c r="E1305" s="3"/>
      <c r="F1305" s="3"/>
      <c r="G1305" s="2"/>
      <c r="H1305" s="2"/>
      <c r="I1305" s="46"/>
      <c r="J1305" s="12"/>
      <c r="K1305" s="2"/>
      <c r="L1305" s="59"/>
    </row>
    <row r="1306" spans="1:12" x14ac:dyDescent="0.35">
      <c r="A1306" s="45">
        <v>1302</v>
      </c>
      <c r="B1306" s="2"/>
      <c r="C1306" s="2"/>
      <c r="D1306" s="2"/>
      <c r="E1306" s="3"/>
      <c r="F1306" s="3"/>
      <c r="G1306" s="2"/>
      <c r="H1306" s="2"/>
      <c r="I1306" s="46"/>
      <c r="J1306" s="12"/>
      <c r="K1306" s="2"/>
      <c r="L1306" s="59"/>
    </row>
    <row r="1307" spans="1:12" x14ac:dyDescent="0.35">
      <c r="A1307" s="45">
        <v>1303</v>
      </c>
      <c r="B1307" s="2"/>
      <c r="C1307" s="2"/>
      <c r="D1307" s="2"/>
      <c r="E1307" s="3"/>
      <c r="F1307" s="3"/>
      <c r="G1307" s="2"/>
      <c r="H1307" s="2"/>
      <c r="I1307" s="46"/>
      <c r="J1307" s="12"/>
      <c r="K1307" s="2"/>
      <c r="L1307" s="59"/>
    </row>
    <row r="1308" spans="1:12" x14ac:dyDescent="0.35">
      <c r="A1308" s="45">
        <v>1304</v>
      </c>
      <c r="B1308" s="2"/>
      <c r="C1308" s="2"/>
      <c r="D1308" s="2"/>
      <c r="E1308" s="3"/>
      <c r="F1308" s="3"/>
      <c r="G1308" s="2"/>
      <c r="H1308" s="2"/>
      <c r="I1308" s="46"/>
      <c r="J1308" s="12"/>
      <c r="K1308" s="2"/>
      <c r="L1308" s="59"/>
    </row>
    <row r="1309" spans="1:12" x14ac:dyDescent="0.35">
      <c r="A1309" s="45">
        <v>1305</v>
      </c>
      <c r="B1309" s="2"/>
      <c r="C1309" s="2"/>
      <c r="D1309" s="2"/>
      <c r="E1309" s="3"/>
      <c r="F1309" s="3"/>
      <c r="G1309" s="2"/>
      <c r="H1309" s="2"/>
      <c r="I1309" s="46"/>
      <c r="J1309" s="12"/>
      <c r="K1309" s="2"/>
      <c r="L1309" s="59"/>
    </row>
    <row r="1310" spans="1:12" x14ac:dyDescent="0.35">
      <c r="A1310" s="45">
        <v>1306</v>
      </c>
      <c r="B1310" s="2"/>
      <c r="C1310" s="2"/>
      <c r="D1310" s="2"/>
      <c r="E1310" s="3"/>
      <c r="F1310" s="3"/>
      <c r="G1310" s="2"/>
      <c r="H1310" s="2"/>
      <c r="I1310" s="46"/>
      <c r="J1310" s="12"/>
      <c r="K1310" s="2"/>
      <c r="L1310" s="59"/>
    </row>
    <row r="1311" spans="1:12" x14ac:dyDescent="0.35">
      <c r="A1311" s="45">
        <v>1307</v>
      </c>
      <c r="B1311" s="2"/>
      <c r="C1311" s="2"/>
      <c r="D1311" s="2"/>
      <c r="E1311" s="3"/>
      <c r="F1311" s="3"/>
      <c r="G1311" s="2"/>
      <c r="H1311" s="2"/>
      <c r="I1311" s="46"/>
      <c r="J1311" s="12"/>
      <c r="K1311" s="2"/>
      <c r="L1311" s="59"/>
    </row>
    <row r="1312" spans="1:12" x14ac:dyDescent="0.35">
      <c r="A1312" s="45">
        <v>1308</v>
      </c>
      <c r="B1312" s="2"/>
      <c r="C1312" s="2"/>
      <c r="D1312" s="2"/>
      <c r="E1312" s="3"/>
      <c r="F1312" s="3"/>
      <c r="G1312" s="2"/>
      <c r="H1312" s="2"/>
      <c r="I1312" s="46"/>
      <c r="J1312" s="12"/>
      <c r="K1312" s="2"/>
      <c r="L1312" s="59"/>
    </row>
    <row r="1313" spans="1:12" x14ac:dyDescent="0.35">
      <c r="A1313" s="45">
        <v>1309</v>
      </c>
      <c r="B1313" s="2"/>
      <c r="C1313" s="2"/>
      <c r="D1313" s="2"/>
      <c r="E1313" s="3"/>
      <c r="F1313" s="3"/>
      <c r="G1313" s="2"/>
      <c r="H1313" s="2"/>
      <c r="I1313" s="46"/>
      <c r="J1313" s="12"/>
      <c r="K1313" s="2"/>
      <c r="L1313" s="59"/>
    </row>
    <row r="1314" spans="1:12" x14ac:dyDescent="0.35">
      <c r="A1314" s="45">
        <v>1310</v>
      </c>
      <c r="B1314" s="2"/>
      <c r="C1314" s="2"/>
      <c r="D1314" s="2"/>
      <c r="E1314" s="3"/>
      <c r="F1314" s="3"/>
      <c r="G1314" s="2"/>
      <c r="H1314" s="2"/>
      <c r="I1314" s="46"/>
      <c r="J1314" s="12"/>
      <c r="K1314" s="2"/>
      <c r="L1314" s="59"/>
    </row>
    <row r="1315" spans="1:12" x14ac:dyDescent="0.35">
      <c r="A1315" s="45">
        <v>1311</v>
      </c>
      <c r="B1315" s="2"/>
      <c r="C1315" s="2"/>
      <c r="D1315" s="2"/>
      <c r="E1315" s="3"/>
      <c r="F1315" s="3"/>
      <c r="G1315" s="2"/>
      <c r="H1315" s="2"/>
      <c r="I1315" s="46"/>
      <c r="J1315" s="12"/>
      <c r="K1315" s="2"/>
      <c r="L1315" s="59"/>
    </row>
    <row r="1316" spans="1:12" x14ac:dyDescent="0.35">
      <c r="A1316" s="45">
        <v>1312</v>
      </c>
      <c r="B1316" s="2"/>
      <c r="C1316" s="2"/>
      <c r="D1316" s="2"/>
      <c r="E1316" s="3"/>
      <c r="F1316" s="3"/>
      <c r="G1316" s="2"/>
      <c r="H1316" s="2"/>
      <c r="I1316" s="46"/>
      <c r="J1316" s="12"/>
      <c r="K1316" s="2"/>
      <c r="L1316" s="59"/>
    </row>
    <row r="1317" spans="1:12" x14ac:dyDescent="0.35">
      <c r="A1317" s="45">
        <v>1313</v>
      </c>
      <c r="B1317" s="2"/>
      <c r="C1317" s="2"/>
      <c r="D1317" s="2"/>
      <c r="E1317" s="3"/>
      <c r="F1317" s="3"/>
      <c r="G1317" s="2"/>
      <c r="H1317" s="2"/>
      <c r="I1317" s="46"/>
      <c r="J1317" s="12"/>
      <c r="K1317" s="2"/>
      <c r="L1317" s="59"/>
    </row>
    <row r="1318" spans="1:12" x14ac:dyDescent="0.35">
      <c r="A1318" s="45">
        <v>1314</v>
      </c>
      <c r="B1318" s="2"/>
      <c r="C1318" s="2"/>
      <c r="D1318" s="2"/>
      <c r="E1318" s="3"/>
      <c r="F1318" s="3"/>
      <c r="G1318" s="2"/>
      <c r="H1318" s="2"/>
      <c r="I1318" s="46"/>
      <c r="J1318" s="12"/>
      <c r="K1318" s="2"/>
      <c r="L1318" s="59"/>
    </row>
    <row r="1319" spans="1:12" x14ac:dyDescent="0.35">
      <c r="A1319" s="45">
        <v>1315</v>
      </c>
      <c r="B1319" s="2"/>
      <c r="C1319" s="2"/>
      <c r="D1319" s="2"/>
      <c r="E1319" s="3"/>
      <c r="F1319" s="3"/>
      <c r="G1319" s="2"/>
      <c r="H1319" s="2"/>
      <c r="I1319" s="46"/>
      <c r="J1319" s="12"/>
      <c r="K1319" s="2"/>
      <c r="L1319" s="59"/>
    </row>
    <row r="1320" spans="1:12" x14ac:dyDescent="0.35">
      <c r="A1320" s="45">
        <v>1316</v>
      </c>
      <c r="B1320" s="2"/>
      <c r="C1320" s="2"/>
      <c r="D1320" s="2"/>
      <c r="E1320" s="3"/>
      <c r="F1320" s="3"/>
      <c r="G1320" s="2"/>
      <c r="H1320" s="2"/>
      <c r="I1320" s="46"/>
      <c r="J1320" s="12"/>
      <c r="K1320" s="2"/>
      <c r="L1320" s="59"/>
    </row>
    <row r="1321" spans="1:12" x14ac:dyDescent="0.35">
      <c r="A1321" s="45">
        <v>1317</v>
      </c>
      <c r="B1321" s="2"/>
      <c r="C1321" s="2"/>
      <c r="D1321" s="2"/>
      <c r="E1321" s="3"/>
      <c r="F1321" s="3"/>
      <c r="G1321" s="2"/>
      <c r="H1321" s="2"/>
      <c r="I1321" s="46"/>
      <c r="J1321" s="12"/>
      <c r="K1321" s="2"/>
      <c r="L1321" s="59"/>
    </row>
    <row r="1322" spans="1:12" x14ac:dyDescent="0.35">
      <c r="A1322" s="45">
        <v>1318</v>
      </c>
      <c r="B1322" s="2"/>
      <c r="C1322" s="2"/>
      <c r="D1322" s="2"/>
      <c r="E1322" s="3"/>
      <c r="F1322" s="3"/>
      <c r="G1322" s="2"/>
      <c r="H1322" s="2"/>
      <c r="I1322" s="46"/>
      <c r="J1322" s="12"/>
      <c r="K1322" s="2"/>
      <c r="L1322" s="59"/>
    </row>
    <row r="1323" spans="1:12" x14ac:dyDescent="0.35">
      <c r="A1323" s="45">
        <v>1319</v>
      </c>
      <c r="B1323" s="2"/>
      <c r="C1323" s="2"/>
      <c r="D1323" s="2"/>
      <c r="E1323" s="3"/>
      <c r="F1323" s="3"/>
      <c r="G1323" s="2"/>
      <c r="H1323" s="2"/>
      <c r="I1323" s="46"/>
      <c r="J1323" s="12"/>
      <c r="K1323" s="2"/>
      <c r="L1323" s="59"/>
    </row>
    <row r="1324" spans="1:12" x14ac:dyDescent="0.35">
      <c r="A1324" s="45">
        <v>1320</v>
      </c>
      <c r="B1324" s="2"/>
      <c r="C1324" s="2"/>
      <c r="D1324" s="2"/>
      <c r="E1324" s="3"/>
      <c r="F1324" s="3"/>
      <c r="G1324" s="2"/>
      <c r="H1324" s="2"/>
      <c r="I1324" s="46"/>
      <c r="J1324" s="12"/>
      <c r="K1324" s="2"/>
      <c r="L1324" s="59"/>
    </row>
    <row r="1325" spans="1:12" x14ac:dyDescent="0.35">
      <c r="A1325" s="45">
        <v>1321</v>
      </c>
      <c r="B1325" s="2"/>
      <c r="C1325" s="2"/>
      <c r="D1325" s="2"/>
      <c r="E1325" s="3"/>
      <c r="F1325" s="3"/>
      <c r="G1325" s="2"/>
      <c r="H1325" s="2"/>
      <c r="I1325" s="46"/>
      <c r="J1325" s="12"/>
      <c r="K1325" s="2"/>
      <c r="L1325" s="59"/>
    </row>
    <row r="1326" spans="1:12" x14ac:dyDescent="0.35">
      <c r="A1326" s="45">
        <v>1322</v>
      </c>
      <c r="B1326" s="2"/>
      <c r="C1326" s="2"/>
      <c r="D1326" s="2"/>
      <c r="E1326" s="3"/>
      <c r="F1326" s="3"/>
      <c r="G1326" s="2"/>
      <c r="H1326" s="2"/>
      <c r="I1326" s="46"/>
      <c r="J1326" s="12"/>
      <c r="K1326" s="2"/>
      <c r="L1326" s="59"/>
    </row>
    <row r="1327" spans="1:12" x14ac:dyDescent="0.35">
      <c r="A1327" s="45">
        <v>1323</v>
      </c>
      <c r="B1327" s="2"/>
      <c r="C1327" s="2"/>
      <c r="D1327" s="2"/>
      <c r="E1327" s="3"/>
      <c r="F1327" s="3"/>
      <c r="G1327" s="2"/>
      <c r="H1327" s="2"/>
      <c r="I1327" s="46"/>
      <c r="J1327" s="12"/>
      <c r="K1327" s="2"/>
      <c r="L1327" s="59"/>
    </row>
    <row r="1328" spans="1:12" x14ac:dyDescent="0.35">
      <c r="A1328" s="45">
        <v>1324</v>
      </c>
      <c r="B1328" s="2"/>
      <c r="C1328" s="2"/>
      <c r="D1328" s="2"/>
      <c r="E1328" s="3"/>
      <c r="F1328" s="3"/>
      <c r="G1328" s="2"/>
      <c r="H1328" s="2"/>
      <c r="I1328" s="46"/>
      <c r="J1328" s="12"/>
      <c r="K1328" s="2"/>
      <c r="L1328" s="59"/>
    </row>
    <row r="1329" spans="1:12" x14ac:dyDescent="0.35">
      <c r="A1329" s="45">
        <v>1325</v>
      </c>
      <c r="B1329" s="2"/>
      <c r="C1329" s="2"/>
      <c r="D1329" s="2"/>
      <c r="E1329" s="3"/>
      <c r="F1329" s="3"/>
      <c r="G1329" s="2"/>
      <c r="H1329" s="2"/>
      <c r="I1329" s="46"/>
      <c r="J1329" s="12"/>
      <c r="K1329" s="2"/>
      <c r="L1329" s="59"/>
    </row>
    <row r="1330" spans="1:12" x14ac:dyDescent="0.35">
      <c r="A1330" s="45">
        <v>1326</v>
      </c>
      <c r="B1330" s="2"/>
      <c r="C1330" s="2"/>
      <c r="D1330" s="2"/>
      <c r="E1330" s="3"/>
      <c r="F1330" s="3"/>
      <c r="G1330" s="2"/>
      <c r="H1330" s="2"/>
      <c r="I1330" s="46"/>
      <c r="J1330" s="12"/>
      <c r="K1330" s="2"/>
      <c r="L1330" s="59"/>
    </row>
    <row r="1331" spans="1:12" x14ac:dyDescent="0.35">
      <c r="A1331" s="45">
        <v>1327</v>
      </c>
      <c r="B1331" s="2"/>
      <c r="C1331" s="2"/>
      <c r="D1331" s="2"/>
      <c r="E1331" s="3"/>
      <c r="F1331" s="3"/>
      <c r="G1331" s="2"/>
      <c r="H1331" s="2"/>
      <c r="I1331" s="46"/>
      <c r="J1331" s="12"/>
      <c r="K1331" s="2"/>
      <c r="L1331" s="59"/>
    </row>
    <row r="1332" spans="1:12" x14ac:dyDescent="0.35">
      <c r="A1332" s="45">
        <v>1328</v>
      </c>
      <c r="B1332" s="2"/>
      <c r="C1332" s="2"/>
      <c r="D1332" s="2"/>
      <c r="E1332" s="3"/>
      <c r="F1332" s="3"/>
      <c r="G1332" s="2"/>
      <c r="H1332" s="2"/>
      <c r="I1332" s="46"/>
      <c r="J1332" s="12"/>
      <c r="K1332" s="2"/>
      <c r="L1332" s="59"/>
    </row>
    <row r="1333" spans="1:12" x14ac:dyDescent="0.35">
      <c r="A1333" s="45">
        <v>1329</v>
      </c>
      <c r="B1333" s="2"/>
      <c r="C1333" s="2"/>
      <c r="D1333" s="2"/>
      <c r="E1333" s="3"/>
      <c r="F1333" s="3"/>
      <c r="G1333" s="2"/>
      <c r="H1333" s="2"/>
      <c r="I1333" s="46"/>
      <c r="J1333" s="12"/>
      <c r="K1333" s="2"/>
      <c r="L1333" s="59"/>
    </row>
    <row r="1334" spans="1:12" x14ac:dyDescent="0.35">
      <c r="A1334" s="45">
        <v>1330</v>
      </c>
      <c r="B1334" s="2"/>
      <c r="C1334" s="2"/>
      <c r="D1334" s="2"/>
      <c r="E1334" s="3"/>
      <c r="F1334" s="3"/>
      <c r="G1334" s="2"/>
      <c r="H1334" s="2"/>
      <c r="I1334" s="46"/>
      <c r="J1334" s="12"/>
      <c r="K1334" s="2"/>
      <c r="L1334" s="59"/>
    </row>
    <row r="1335" spans="1:12" x14ac:dyDescent="0.35">
      <c r="A1335" s="45">
        <v>1331</v>
      </c>
      <c r="B1335" s="2"/>
      <c r="C1335" s="2"/>
      <c r="D1335" s="2"/>
      <c r="E1335" s="3"/>
      <c r="F1335" s="3"/>
      <c r="G1335" s="2"/>
      <c r="H1335" s="2"/>
      <c r="I1335" s="46"/>
      <c r="J1335" s="12"/>
      <c r="K1335" s="2"/>
      <c r="L1335" s="59"/>
    </row>
    <row r="1336" spans="1:12" x14ac:dyDescent="0.35">
      <c r="A1336" s="45">
        <v>1332</v>
      </c>
      <c r="B1336" s="2"/>
      <c r="C1336" s="2"/>
      <c r="D1336" s="2"/>
      <c r="E1336" s="3"/>
      <c r="F1336" s="3"/>
      <c r="G1336" s="2"/>
      <c r="H1336" s="2"/>
      <c r="I1336" s="46"/>
      <c r="J1336" s="12"/>
      <c r="K1336" s="2"/>
      <c r="L1336" s="59"/>
    </row>
    <row r="1337" spans="1:12" x14ac:dyDescent="0.35">
      <c r="A1337" s="45">
        <v>1333</v>
      </c>
      <c r="B1337" s="2"/>
      <c r="C1337" s="2"/>
      <c r="D1337" s="2"/>
      <c r="E1337" s="3"/>
      <c r="F1337" s="3"/>
      <c r="G1337" s="2"/>
      <c r="H1337" s="2"/>
      <c r="I1337" s="46"/>
      <c r="J1337" s="12"/>
      <c r="K1337" s="2"/>
      <c r="L1337" s="59"/>
    </row>
    <row r="1338" spans="1:12" x14ac:dyDescent="0.35">
      <c r="A1338" s="45">
        <v>1334</v>
      </c>
      <c r="B1338" s="2"/>
      <c r="C1338" s="2"/>
      <c r="D1338" s="2"/>
      <c r="E1338" s="3"/>
      <c r="F1338" s="3"/>
      <c r="G1338" s="2"/>
      <c r="H1338" s="2"/>
      <c r="I1338" s="46"/>
      <c r="J1338" s="12"/>
      <c r="K1338" s="2"/>
      <c r="L1338" s="59"/>
    </row>
    <row r="1339" spans="1:12" x14ac:dyDescent="0.35">
      <c r="A1339" s="45">
        <v>1335</v>
      </c>
      <c r="B1339" s="2"/>
      <c r="C1339" s="2"/>
      <c r="D1339" s="2"/>
      <c r="E1339" s="3"/>
      <c r="F1339" s="3"/>
      <c r="G1339" s="2"/>
      <c r="H1339" s="2"/>
      <c r="I1339" s="46"/>
      <c r="J1339" s="12"/>
      <c r="K1339" s="2"/>
      <c r="L1339" s="59"/>
    </row>
    <row r="1340" spans="1:12" x14ac:dyDescent="0.35">
      <c r="A1340" s="45">
        <v>1336</v>
      </c>
      <c r="B1340" s="2"/>
      <c r="C1340" s="2"/>
      <c r="D1340" s="2"/>
      <c r="E1340" s="3"/>
      <c r="F1340" s="3"/>
      <c r="G1340" s="2"/>
      <c r="H1340" s="2"/>
      <c r="I1340" s="46"/>
      <c r="J1340" s="12"/>
      <c r="K1340" s="2"/>
      <c r="L1340" s="59"/>
    </row>
    <row r="1341" spans="1:12" x14ac:dyDescent="0.35">
      <c r="A1341" s="45">
        <v>1337</v>
      </c>
      <c r="B1341" s="2"/>
      <c r="C1341" s="2"/>
      <c r="D1341" s="2"/>
      <c r="E1341" s="3"/>
      <c r="F1341" s="3"/>
      <c r="G1341" s="2"/>
      <c r="H1341" s="2"/>
      <c r="I1341" s="46"/>
      <c r="J1341" s="12"/>
      <c r="K1341" s="2"/>
      <c r="L1341" s="59"/>
    </row>
    <row r="1342" spans="1:12" x14ac:dyDescent="0.35">
      <c r="A1342" s="45">
        <v>1338</v>
      </c>
      <c r="B1342" s="2"/>
      <c r="C1342" s="2"/>
      <c r="D1342" s="2"/>
      <c r="E1342" s="3"/>
      <c r="F1342" s="3"/>
      <c r="G1342" s="2"/>
      <c r="H1342" s="2"/>
      <c r="I1342" s="46"/>
      <c r="J1342" s="12"/>
      <c r="K1342" s="2"/>
      <c r="L1342" s="59"/>
    </row>
    <row r="1343" spans="1:12" x14ac:dyDescent="0.35">
      <c r="A1343" s="45">
        <v>1339</v>
      </c>
      <c r="B1343" s="2"/>
      <c r="C1343" s="2"/>
      <c r="D1343" s="2"/>
      <c r="E1343" s="3"/>
      <c r="F1343" s="3"/>
      <c r="G1343" s="2"/>
      <c r="H1343" s="2"/>
      <c r="I1343" s="46"/>
      <c r="J1343" s="12"/>
      <c r="K1343" s="2"/>
      <c r="L1343" s="59"/>
    </row>
    <row r="1344" spans="1:12" x14ac:dyDescent="0.35">
      <c r="A1344" s="45">
        <v>1340</v>
      </c>
      <c r="B1344" s="2"/>
      <c r="C1344" s="2"/>
      <c r="D1344" s="2"/>
      <c r="E1344" s="3"/>
      <c r="F1344" s="3"/>
      <c r="G1344" s="2"/>
      <c r="H1344" s="2"/>
      <c r="I1344" s="46"/>
      <c r="J1344" s="12"/>
      <c r="K1344" s="2"/>
      <c r="L1344" s="59"/>
    </row>
    <row r="1345" spans="1:12" x14ac:dyDescent="0.35">
      <c r="A1345" s="45">
        <v>1341</v>
      </c>
      <c r="B1345" s="2"/>
      <c r="C1345" s="2"/>
      <c r="D1345" s="2"/>
      <c r="E1345" s="3"/>
      <c r="F1345" s="3"/>
      <c r="G1345" s="2"/>
      <c r="H1345" s="2"/>
      <c r="I1345" s="46"/>
      <c r="J1345" s="12"/>
      <c r="K1345" s="2"/>
      <c r="L1345" s="59"/>
    </row>
    <row r="1346" spans="1:12" x14ac:dyDescent="0.35">
      <c r="A1346" s="45">
        <v>1342</v>
      </c>
      <c r="B1346" s="2"/>
      <c r="C1346" s="2"/>
      <c r="D1346" s="2"/>
      <c r="E1346" s="3"/>
      <c r="F1346" s="3"/>
      <c r="G1346" s="2"/>
      <c r="H1346" s="2"/>
      <c r="I1346" s="46"/>
      <c r="J1346" s="12"/>
      <c r="K1346" s="2"/>
      <c r="L1346" s="59"/>
    </row>
    <row r="1347" spans="1:12" x14ac:dyDescent="0.35">
      <c r="A1347" s="45">
        <v>1343</v>
      </c>
      <c r="B1347" s="2"/>
      <c r="C1347" s="2"/>
      <c r="D1347" s="2"/>
      <c r="E1347" s="3"/>
      <c r="F1347" s="3"/>
      <c r="G1347" s="2"/>
      <c r="H1347" s="2"/>
      <c r="I1347" s="46"/>
      <c r="J1347" s="12"/>
      <c r="K1347" s="2"/>
      <c r="L1347" s="59"/>
    </row>
    <row r="1348" spans="1:12" x14ac:dyDescent="0.35">
      <c r="A1348" s="45">
        <v>1344</v>
      </c>
      <c r="B1348" s="2"/>
      <c r="C1348" s="2"/>
      <c r="D1348" s="2"/>
      <c r="E1348" s="3"/>
      <c r="F1348" s="3"/>
      <c r="G1348" s="2"/>
      <c r="H1348" s="2"/>
      <c r="I1348" s="46"/>
      <c r="J1348" s="12"/>
      <c r="K1348" s="2"/>
      <c r="L1348" s="59"/>
    </row>
    <row r="1349" spans="1:12" x14ac:dyDescent="0.35">
      <c r="A1349" s="45">
        <v>1345</v>
      </c>
      <c r="B1349" s="2"/>
      <c r="C1349" s="2"/>
      <c r="D1349" s="2"/>
      <c r="E1349" s="3"/>
      <c r="F1349" s="3"/>
      <c r="G1349" s="2"/>
      <c r="H1349" s="2"/>
      <c r="I1349" s="46"/>
      <c r="J1349" s="12"/>
      <c r="K1349" s="2"/>
      <c r="L1349" s="59"/>
    </row>
    <row r="1350" spans="1:12" x14ac:dyDescent="0.35">
      <c r="A1350" s="45">
        <v>1346</v>
      </c>
      <c r="B1350" s="2"/>
      <c r="C1350" s="2"/>
      <c r="D1350" s="2"/>
      <c r="E1350" s="3"/>
      <c r="F1350" s="3"/>
      <c r="G1350" s="2"/>
      <c r="H1350" s="2"/>
      <c r="I1350" s="46"/>
      <c r="J1350" s="12"/>
      <c r="K1350" s="2"/>
      <c r="L1350" s="59"/>
    </row>
    <row r="1351" spans="1:12" x14ac:dyDescent="0.35">
      <c r="A1351" s="45">
        <v>1347</v>
      </c>
      <c r="B1351" s="2"/>
      <c r="C1351" s="2"/>
      <c r="D1351" s="2"/>
      <c r="E1351" s="3"/>
      <c r="F1351" s="3"/>
      <c r="G1351" s="2"/>
      <c r="H1351" s="2"/>
      <c r="I1351" s="46"/>
      <c r="J1351" s="12"/>
      <c r="K1351" s="2"/>
      <c r="L1351" s="59"/>
    </row>
    <row r="1352" spans="1:12" x14ac:dyDescent="0.35">
      <c r="A1352" s="45">
        <v>1348</v>
      </c>
      <c r="B1352" s="2"/>
      <c r="C1352" s="2"/>
      <c r="D1352" s="2"/>
      <c r="E1352" s="3"/>
      <c r="F1352" s="3"/>
      <c r="G1352" s="2"/>
      <c r="H1352" s="2"/>
      <c r="I1352" s="46"/>
      <c r="J1352" s="12"/>
      <c r="K1352" s="2"/>
      <c r="L1352" s="59"/>
    </row>
    <row r="1353" spans="1:12" x14ac:dyDescent="0.35">
      <c r="A1353" s="45">
        <v>1349</v>
      </c>
      <c r="B1353" s="2"/>
      <c r="C1353" s="2"/>
      <c r="D1353" s="2"/>
      <c r="E1353" s="3"/>
      <c r="F1353" s="3"/>
      <c r="G1353" s="2"/>
      <c r="H1353" s="2"/>
      <c r="I1353" s="46"/>
      <c r="J1353" s="12"/>
      <c r="K1353" s="2"/>
      <c r="L1353" s="59"/>
    </row>
    <row r="1354" spans="1:12" x14ac:dyDescent="0.35">
      <c r="A1354" s="45">
        <v>1350</v>
      </c>
      <c r="B1354" s="2"/>
      <c r="C1354" s="2"/>
      <c r="D1354" s="2"/>
      <c r="E1354" s="3"/>
      <c r="F1354" s="3"/>
      <c r="G1354" s="2"/>
      <c r="H1354" s="2"/>
      <c r="I1354" s="46"/>
      <c r="J1354" s="12"/>
      <c r="K1354" s="2"/>
      <c r="L1354" s="59"/>
    </row>
    <row r="1355" spans="1:12" x14ac:dyDescent="0.35">
      <c r="A1355" s="45">
        <v>1351</v>
      </c>
      <c r="B1355" s="2"/>
      <c r="C1355" s="2"/>
      <c r="D1355" s="2"/>
      <c r="E1355" s="3"/>
      <c r="F1355" s="3"/>
      <c r="G1355" s="2"/>
      <c r="H1355" s="2"/>
      <c r="I1355" s="46"/>
      <c r="J1355" s="12"/>
      <c r="K1355" s="2"/>
      <c r="L1355" s="59"/>
    </row>
    <row r="1356" spans="1:12" x14ac:dyDescent="0.35">
      <c r="A1356" s="45">
        <v>1352</v>
      </c>
      <c r="B1356" s="2"/>
      <c r="C1356" s="2"/>
      <c r="D1356" s="2"/>
      <c r="E1356" s="3"/>
      <c r="F1356" s="3"/>
      <c r="G1356" s="2"/>
      <c r="H1356" s="2"/>
      <c r="I1356" s="46"/>
      <c r="J1356" s="12"/>
      <c r="K1356" s="2"/>
      <c r="L1356" s="59"/>
    </row>
    <row r="1357" spans="1:12" x14ac:dyDescent="0.35">
      <c r="A1357" s="45">
        <v>1353</v>
      </c>
      <c r="B1357" s="2"/>
      <c r="C1357" s="2"/>
      <c r="D1357" s="2"/>
      <c r="E1357" s="3"/>
      <c r="F1357" s="3"/>
      <c r="G1357" s="2"/>
      <c r="H1357" s="2"/>
      <c r="I1357" s="46"/>
      <c r="J1357" s="12"/>
      <c r="K1357" s="2"/>
      <c r="L1357" s="59"/>
    </row>
    <row r="1358" spans="1:12" x14ac:dyDescent="0.35">
      <c r="A1358" s="45">
        <v>1354</v>
      </c>
      <c r="B1358" s="2"/>
      <c r="C1358" s="2"/>
      <c r="D1358" s="2"/>
      <c r="E1358" s="3"/>
      <c r="F1358" s="3"/>
      <c r="G1358" s="2"/>
      <c r="H1358" s="2"/>
      <c r="I1358" s="46"/>
      <c r="J1358" s="12"/>
      <c r="K1358" s="2"/>
      <c r="L1358" s="59"/>
    </row>
    <row r="1359" spans="1:12" x14ac:dyDescent="0.35">
      <c r="A1359" s="45">
        <v>1355</v>
      </c>
      <c r="B1359" s="2"/>
      <c r="C1359" s="2"/>
      <c r="D1359" s="2"/>
      <c r="E1359" s="3"/>
      <c r="F1359" s="3"/>
      <c r="G1359" s="2"/>
      <c r="H1359" s="2"/>
      <c r="I1359" s="46"/>
      <c r="J1359" s="12"/>
      <c r="K1359" s="2"/>
      <c r="L1359" s="59"/>
    </row>
    <row r="1360" spans="1:12" x14ac:dyDescent="0.35">
      <c r="A1360" s="45">
        <v>1356</v>
      </c>
      <c r="B1360" s="2"/>
      <c r="C1360" s="2"/>
      <c r="D1360" s="2"/>
      <c r="E1360" s="3"/>
      <c r="F1360" s="3"/>
      <c r="G1360" s="2"/>
      <c r="H1360" s="2"/>
      <c r="I1360" s="46"/>
      <c r="J1360" s="12"/>
      <c r="K1360" s="2"/>
      <c r="L1360" s="59"/>
    </row>
    <row r="1361" spans="1:12" x14ac:dyDescent="0.35">
      <c r="A1361" s="45">
        <v>1357</v>
      </c>
      <c r="B1361" s="2"/>
      <c r="C1361" s="2"/>
      <c r="D1361" s="2"/>
      <c r="E1361" s="3"/>
      <c r="F1361" s="3"/>
      <c r="G1361" s="2"/>
      <c r="H1361" s="2"/>
      <c r="I1361" s="46"/>
      <c r="J1361" s="12"/>
      <c r="K1361" s="2"/>
      <c r="L1361" s="59"/>
    </row>
    <row r="1362" spans="1:12" x14ac:dyDescent="0.35">
      <c r="A1362" s="45">
        <v>1358</v>
      </c>
      <c r="B1362" s="2"/>
      <c r="C1362" s="2"/>
      <c r="D1362" s="2"/>
      <c r="E1362" s="3"/>
      <c r="F1362" s="3"/>
      <c r="G1362" s="2"/>
      <c r="H1362" s="2"/>
      <c r="I1362" s="46"/>
      <c r="J1362" s="12"/>
      <c r="K1362" s="2"/>
      <c r="L1362" s="59"/>
    </row>
    <row r="1363" spans="1:12" x14ac:dyDescent="0.35">
      <c r="A1363" s="45">
        <v>1359</v>
      </c>
      <c r="B1363" s="2"/>
      <c r="C1363" s="2"/>
      <c r="D1363" s="2"/>
      <c r="E1363" s="3"/>
      <c r="F1363" s="3"/>
      <c r="G1363" s="2"/>
      <c r="H1363" s="2"/>
      <c r="I1363" s="46"/>
      <c r="J1363" s="12"/>
      <c r="K1363" s="2"/>
      <c r="L1363" s="59"/>
    </row>
    <row r="1364" spans="1:12" x14ac:dyDescent="0.35">
      <c r="A1364" s="45">
        <v>1360</v>
      </c>
      <c r="B1364" s="2"/>
      <c r="C1364" s="2"/>
      <c r="D1364" s="2"/>
      <c r="E1364" s="3"/>
      <c r="F1364" s="3"/>
      <c r="G1364" s="2"/>
      <c r="H1364" s="2"/>
      <c r="I1364" s="46"/>
      <c r="J1364" s="12"/>
      <c r="K1364" s="2"/>
      <c r="L1364" s="59"/>
    </row>
    <row r="1365" spans="1:12" x14ac:dyDescent="0.35">
      <c r="A1365" s="45">
        <v>1361</v>
      </c>
      <c r="B1365" s="2"/>
      <c r="C1365" s="2"/>
      <c r="D1365" s="2"/>
      <c r="E1365" s="3"/>
      <c r="F1365" s="3"/>
      <c r="G1365" s="2"/>
      <c r="H1365" s="2"/>
      <c r="I1365" s="46"/>
      <c r="J1365" s="12"/>
      <c r="K1365" s="2"/>
      <c r="L1365" s="59"/>
    </row>
    <row r="1366" spans="1:12" x14ac:dyDescent="0.35">
      <c r="A1366" s="45">
        <v>1362</v>
      </c>
      <c r="B1366" s="2"/>
      <c r="C1366" s="2"/>
      <c r="D1366" s="2"/>
      <c r="E1366" s="3"/>
      <c r="F1366" s="3"/>
      <c r="G1366" s="2"/>
      <c r="H1366" s="2"/>
      <c r="I1366" s="46"/>
      <c r="J1366" s="12"/>
      <c r="K1366" s="2"/>
      <c r="L1366" s="59"/>
    </row>
    <row r="1367" spans="1:12" x14ac:dyDescent="0.35">
      <c r="A1367" s="45">
        <v>1363</v>
      </c>
      <c r="B1367" s="2"/>
      <c r="C1367" s="2"/>
      <c r="D1367" s="2"/>
      <c r="E1367" s="3"/>
      <c r="F1367" s="3"/>
      <c r="G1367" s="2"/>
      <c r="H1367" s="2"/>
      <c r="I1367" s="46"/>
      <c r="J1367" s="12"/>
      <c r="K1367" s="2"/>
      <c r="L1367" s="59"/>
    </row>
    <row r="1368" spans="1:12" x14ac:dyDescent="0.35">
      <c r="A1368" s="45">
        <v>1364</v>
      </c>
      <c r="B1368" s="2"/>
      <c r="C1368" s="2"/>
      <c r="D1368" s="2"/>
      <c r="E1368" s="3"/>
      <c r="F1368" s="3"/>
      <c r="G1368" s="2"/>
      <c r="H1368" s="2"/>
      <c r="I1368" s="46"/>
      <c r="J1368" s="12"/>
      <c r="K1368" s="2"/>
      <c r="L1368" s="59"/>
    </row>
    <row r="1369" spans="1:12" x14ac:dyDescent="0.35">
      <c r="A1369" s="45">
        <v>1365</v>
      </c>
      <c r="B1369" s="2"/>
      <c r="C1369" s="2"/>
      <c r="D1369" s="2"/>
      <c r="E1369" s="3"/>
      <c r="F1369" s="3"/>
      <c r="G1369" s="2"/>
      <c r="H1369" s="2"/>
      <c r="I1369" s="46"/>
      <c r="J1369" s="12"/>
      <c r="K1369" s="2"/>
      <c r="L1369" s="59"/>
    </row>
    <row r="1370" spans="1:12" x14ac:dyDescent="0.35">
      <c r="A1370" s="45">
        <v>1366</v>
      </c>
      <c r="B1370" s="2"/>
      <c r="C1370" s="2"/>
      <c r="D1370" s="2"/>
      <c r="E1370" s="3"/>
      <c r="F1370" s="3"/>
      <c r="G1370" s="2"/>
      <c r="H1370" s="2"/>
      <c r="I1370" s="46"/>
      <c r="J1370" s="12"/>
      <c r="K1370" s="2"/>
      <c r="L1370" s="59"/>
    </row>
    <row r="1371" spans="1:12" x14ac:dyDescent="0.35">
      <c r="A1371" s="45">
        <v>1367</v>
      </c>
      <c r="B1371" s="2"/>
      <c r="C1371" s="2"/>
      <c r="D1371" s="2"/>
      <c r="E1371" s="3"/>
      <c r="F1371" s="3"/>
      <c r="G1371" s="2"/>
      <c r="H1371" s="2"/>
      <c r="I1371" s="46"/>
      <c r="J1371" s="12"/>
      <c r="K1371" s="2"/>
      <c r="L1371" s="59"/>
    </row>
    <row r="1372" spans="1:12" x14ac:dyDescent="0.35">
      <c r="A1372" s="45">
        <v>1368</v>
      </c>
      <c r="B1372" s="2"/>
      <c r="C1372" s="2"/>
      <c r="D1372" s="2"/>
      <c r="E1372" s="3"/>
      <c r="F1372" s="3"/>
      <c r="G1372" s="2"/>
      <c r="H1372" s="2"/>
      <c r="I1372" s="46"/>
      <c r="J1372" s="12"/>
      <c r="K1372" s="2"/>
      <c r="L1372" s="59"/>
    </row>
    <row r="1373" spans="1:12" x14ac:dyDescent="0.35">
      <c r="A1373" s="45">
        <v>1369</v>
      </c>
      <c r="B1373" s="2"/>
      <c r="C1373" s="2"/>
      <c r="D1373" s="2"/>
      <c r="E1373" s="3"/>
      <c r="F1373" s="3"/>
      <c r="G1373" s="2"/>
      <c r="H1373" s="2"/>
      <c r="I1373" s="46"/>
      <c r="J1373" s="12"/>
      <c r="K1373" s="2"/>
      <c r="L1373" s="59"/>
    </row>
    <row r="1374" spans="1:12" x14ac:dyDescent="0.35">
      <c r="A1374" s="45">
        <v>1370</v>
      </c>
      <c r="B1374" s="2"/>
      <c r="C1374" s="2"/>
      <c r="D1374" s="2"/>
      <c r="E1374" s="3"/>
      <c r="F1374" s="3"/>
      <c r="G1374" s="2"/>
      <c r="H1374" s="2"/>
      <c r="I1374" s="46"/>
      <c r="J1374" s="12"/>
      <c r="K1374" s="2"/>
      <c r="L1374" s="59"/>
    </row>
    <row r="1375" spans="1:12" x14ac:dyDescent="0.35">
      <c r="A1375" s="45">
        <v>1371</v>
      </c>
      <c r="B1375" s="2"/>
      <c r="C1375" s="2"/>
      <c r="D1375" s="2"/>
      <c r="E1375" s="3"/>
      <c r="F1375" s="3"/>
      <c r="G1375" s="2"/>
      <c r="H1375" s="2"/>
      <c r="I1375" s="46"/>
      <c r="J1375" s="12"/>
      <c r="K1375" s="2"/>
      <c r="L1375" s="59"/>
    </row>
    <row r="1376" spans="1:12" x14ac:dyDescent="0.35">
      <c r="A1376" s="45">
        <v>1372</v>
      </c>
      <c r="B1376" s="2"/>
      <c r="C1376" s="2"/>
      <c r="D1376" s="2"/>
      <c r="E1376" s="3"/>
      <c r="F1376" s="3"/>
      <c r="G1376" s="2"/>
      <c r="H1376" s="2"/>
      <c r="I1376" s="46"/>
      <c r="J1376" s="12"/>
      <c r="K1376" s="2"/>
      <c r="L1376" s="59"/>
    </row>
    <row r="1377" spans="1:12" x14ac:dyDescent="0.35">
      <c r="A1377" s="45">
        <v>1373</v>
      </c>
      <c r="B1377" s="2"/>
      <c r="C1377" s="2"/>
      <c r="D1377" s="2"/>
      <c r="E1377" s="3"/>
      <c r="F1377" s="3"/>
      <c r="G1377" s="2"/>
      <c r="H1377" s="2"/>
      <c r="I1377" s="46"/>
      <c r="J1377" s="12"/>
      <c r="K1377" s="2"/>
      <c r="L1377" s="59"/>
    </row>
    <row r="1378" spans="1:12" x14ac:dyDescent="0.35">
      <c r="A1378" s="45">
        <v>1374</v>
      </c>
      <c r="B1378" s="2"/>
      <c r="C1378" s="2"/>
      <c r="D1378" s="2"/>
      <c r="E1378" s="3"/>
      <c r="F1378" s="3"/>
      <c r="G1378" s="2"/>
      <c r="H1378" s="2"/>
      <c r="I1378" s="46"/>
      <c r="J1378" s="12"/>
      <c r="K1378" s="2"/>
      <c r="L1378" s="59"/>
    </row>
    <row r="1379" spans="1:12" x14ac:dyDescent="0.35">
      <c r="A1379" s="45">
        <v>1375</v>
      </c>
      <c r="B1379" s="2"/>
      <c r="C1379" s="2"/>
      <c r="D1379" s="2"/>
      <c r="E1379" s="3"/>
      <c r="F1379" s="3"/>
      <c r="G1379" s="2"/>
      <c r="H1379" s="2"/>
      <c r="I1379" s="46"/>
      <c r="J1379" s="12"/>
      <c r="K1379" s="2"/>
      <c r="L1379" s="59"/>
    </row>
    <row r="1380" spans="1:12" x14ac:dyDescent="0.35">
      <c r="A1380" s="45">
        <v>1376</v>
      </c>
      <c r="B1380" s="2"/>
      <c r="C1380" s="2"/>
      <c r="D1380" s="2"/>
      <c r="E1380" s="3"/>
      <c r="F1380" s="3"/>
      <c r="G1380" s="2"/>
      <c r="H1380" s="2"/>
      <c r="I1380" s="46"/>
      <c r="J1380" s="12"/>
      <c r="K1380" s="2"/>
      <c r="L1380" s="59"/>
    </row>
    <row r="1381" spans="1:12" x14ac:dyDescent="0.35">
      <c r="A1381" s="45">
        <v>1377</v>
      </c>
      <c r="B1381" s="2"/>
      <c r="C1381" s="2"/>
      <c r="D1381" s="2"/>
      <c r="E1381" s="3"/>
      <c r="F1381" s="3"/>
      <c r="G1381" s="2"/>
      <c r="H1381" s="2"/>
      <c r="I1381" s="46"/>
      <c r="J1381" s="12"/>
      <c r="K1381" s="2"/>
      <c r="L1381" s="59"/>
    </row>
    <row r="1382" spans="1:12" x14ac:dyDescent="0.35">
      <c r="A1382" s="45">
        <v>1378</v>
      </c>
      <c r="B1382" s="2"/>
      <c r="C1382" s="2"/>
      <c r="D1382" s="2"/>
      <c r="E1382" s="3"/>
      <c r="F1382" s="3"/>
      <c r="G1382" s="2"/>
      <c r="H1382" s="2"/>
      <c r="I1382" s="46"/>
      <c r="J1382" s="12"/>
      <c r="K1382" s="2"/>
      <c r="L1382" s="59"/>
    </row>
    <row r="1383" spans="1:12" x14ac:dyDescent="0.35">
      <c r="A1383" s="45">
        <v>1379</v>
      </c>
      <c r="B1383" s="2"/>
      <c r="C1383" s="2"/>
      <c r="D1383" s="2"/>
      <c r="E1383" s="3"/>
      <c r="F1383" s="3"/>
      <c r="G1383" s="2"/>
      <c r="H1383" s="2"/>
      <c r="I1383" s="46"/>
      <c r="J1383" s="12"/>
      <c r="K1383" s="2"/>
      <c r="L1383" s="59"/>
    </row>
    <row r="1384" spans="1:12" x14ac:dyDescent="0.35">
      <c r="A1384" s="45">
        <v>1380</v>
      </c>
      <c r="B1384" s="2"/>
      <c r="C1384" s="2"/>
      <c r="D1384" s="2"/>
      <c r="E1384" s="3"/>
      <c r="F1384" s="3"/>
      <c r="G1384" s="2"/>
      <c r="H1384" s="2"/>
      <c r="I1384" s="46"/>
      <c r="J1384" s="12"/>
      <c r="K1384" s="2"/>
      <c r="L1384" s="59"/>
    </row>
    <row r="1385" spans="1:12" x14ac:dyDescent="0.35">
      <c r="A1385" s="45">
        <v>1381</v>
      </c>
      <c r="B1385" s="2"/>
      <c r="C1385" s="2"/>
      <c r="D1385" s="2"/>
      <c r="E1385" s="3"/>
      <c r="F1385" s="3"/>
      <c r="G1385" s="2"/>
      <c r="H1385" s="2"/>
      <c r="I1385" s="46"/>
      <c r="J1385" s="12"/>
      <c r="K1385" s="2"/>
      <c r="L1385" s="59"/>
    </row>
    <row r="1386" spans="1:12" x14ac:dyDescent="0.35">
      <c r="A1386" s="45">
        <v>1382</v>
      </c>
      <c r="B1386" s="2"/>
      <c r="C1386" s="2"/>
      <c r="D1386" s="2"/>
      <c r="E1386" s="3"/>
      <c r="F1386" s="3"/>
      <c r="G1386" s="2"/>
      <c r="H1386" s="2"/>
      <c r="I1386" s="46"/>
      <c r="J1386" s="12"/>
      <c r="K1386" s="2"/>
      <c r="L1386" s="59"/>
    </row>
    <row r="1387" spans="1:12" x14ac:dyDescent="0.35">
      <c r="A1387" s="45">
        <v>1383</v>
      </c>
      <c r="B1387" s="2"/>
      <c r="C1387" s="2"/>
      <c r="D1387" s="2"/>
      <c r="E1387" s="3"/>
      <c r="F1387" s="3"/>
      <c r="G1387" s="2"/>
      <c r="H1387" s="2"/>
      <c r="I1387" s="46"/>
      <c r="J1387" s="12"/>
      <c r="K1387" s="2"/>
      <c r="L1387" s="59"/>
    </row>
    <row r="1388" spans="1:12" x14ac:dyDescent="0.35">
      <c r="A1388" s="45">
        <v>1384</v>
      </c>
      <c r="B1388" s="2"/>
      <c r="C1388" s="2"/>
      <c r="D1388" s="2"/>
      <c r="E1388" s="3"/>
      <c r="F1388" s="3"/>
      <c r="G1388" s="2"/>
      <c r="H1388" s="2"/>
      <c r="I1388" s="46"/>
      <c r="J1388" s="12"/>
      <c r="K1388" s="2"/>
      <c r="L1388" s="59"/>
    </row>
    <row r="1389" spans="1:12" x14ac:dyDescent="0.35">
      <c r="A1389" s="45">
        <v>1385</v>
      </c>
      <c r="B1389" s="2"/>
      <c r="C1389" s="2"/>
      <c r="D1389" s="2"/>
      <c r="E1389" s="3"/>
      <c r="F1389" s="3"/>
      <c r="G1389" s="2"/>
      <c r="H1389" s="2"/>
      <c r="I1389" s="46"/>
      <c r="J1389" s="12"/>
      <c r="K1389" s="2"/>
      <c r="L1389" s="59"/>
    </row>
    <row r="1390" spans="1:12" x14ac:dyDescent="0.35">
      <c r="A1390" s="45">
        <v>1386</v>
      </c>
      <c r="B1390" s="2"/>
      <c r="C1390" s="2"/>
      <c r="D1390" s="2"/>
      <c r="E1390" s="3"/>
      <c r="F1390" s="3"/>
      <c r="G1390" s="2"/>
      <c r="H1390" s="2"/>
      <c r="I1390" s="46"/>
      <c r="J1390" s="12"/>
      <c r="K1390" s="2"/>
      <c r="L1390" s="59"/>
    </row>
    <row r="1391" spans="1:12" x14ac:dyDescent="0.35">
      <c r="A1391" s="45">
        <v>1387</v>
      </c>
      <c r="B1391" s="2"/>
      <c r="C1391" s="2"/>
      <c r="D1391" s="2"/>
      <c r="E1391" s="3"/>
      <c r="F1391" s="3"/>
      <c r="G1391" s="2"/>
      <c r="H1391" s="2"/>
      <c r="I1391" s="46"/>
      <c r="J1391" s="12"/>
      <c r="K1391" s="2"/>
      <c r="L1391" s="59"/>
    </row>
    <row r="1392" spans="1:12" x14ac:dyDescent="0.35">
      <c r="A1392" s="45">
        <v>1388</v>
      </c>
      <c r="B1392" s="2"/>
      <c r="C1392" s="2"/>
      <c r="D1392" s="2"/>
      <c r="E1392" s="3"/>
      <c r="F1392" s="3"/>
      <c r="G1392" s="2"/>
      <c r="H1392" s="2"/>
      <c r="I1392" s="46"/>
      <c r="J1392" s="12"/>
      <c r="K1392" s="2"/>
      <c r="L1392" s="59"/>
    </row>
    <row r="1393" spans="1:12" x14ac:dyDescent="0.35">
      <c r="A1393" s="45">
        <v>1389</v>
      </c>
      <c r="B1393" s="2"/>
      <c r="C1393" s="2"/>
      <c r="D1393" s="2"/>
      <c r="E1393" s="3"/>
      <c r="F1393" s="3"/>
      <c r="G1393" s="2"/>
      <c r="H1393" s="2"/>
      <c r="I1393" s="46"/>
      <c r="J1393" s="12"/>
      <c r="K1393" s="2"/>
      <c r="L1393" s="59"/>
    </row>
    <row r="1394" spans="1:12" x14ac:dyDescent="0.35">
      <c r="A1394" s="45">
        <v>1390</v>
      </c>
      <c r="B1394" s="2"/>
      <c r="C1394" s="2"/>
      <c r="D1394" s="2"/>
      <c r="E1394" s="3"/>
      <c r="F1394" s="3"/>
      <c r="G1394" s="2"/>
      <c r="H1394" s="2"/>
      <c r="I1394" s="46"/>
      <c r="J1394" s="12"/>
      <c r="K1394" s="2"/>
      <c r="L1394" s="59"/>
    </row>
    <row r="1395" spans="1:12" x14ac:dyDescent="0.35">
      <c r="A1395" s="45">
        <v>1391</v>
      </c>
      <c r="B1395" s="2"/>
      <c r="C1395" s="2"/>
      <c r="D1395" s="2"/>
      <c r="E1395" s="3"/>
      <c r="F1395" s="3"/>
      <c r="G1395" s="2"/>
      <c r="H1395" s="2"/>
      <c r="I1395" s="46"/>
      <c r="J1395" s="12"/>
      <c r="K1395" s="2"/>
      <c r="L1395" s="59"/>
    </row>
    <row r="1396" spans="1:12" x14ac:dyDescent="0.35">
      <c r="A1396" s="45">
        <v>1392</v>
      </c>
      <c r="B1396" s="2"/>
      <c r="C1396" s="2"/>
      <c r="D1396" s="2"/>
      <c r="E1396" s="3"/>
      <c r="F1396" s="3"/>
      <c r="G1396" s="2"/>
      <c r="H1396" s="2"/>
      <c r="I1396" s="46"/>
      <c r="J1396" s="12"/>
      <c r="K1396" s="2"/>
      <c r="L1396" s="59"/>
    </row>
    <row r="1397" spans="1:12" x14ac:dyDescent="0.35">
      <c r="A1397" s="45">
        <v>1393</v>
      </c>
      <c r="B1397" s="2"/>
      <c r="C1397" s="2"/>
      <c r="D1397" s="2"/>
      <c r="E1397" s="3"/>
      <c r="F1397" s="3"/>
      <c r="G1397" s="2"/>
      <c r="H1397" s="2"/>
      <c r="I1397" s="46"/>
      <c r="J1397" s="12"/>
      <c r="K1397" s="2"/>
      <c r="L1397" s="59"/>
    </row>
    <row r="1398" spans="1:12" x14ac:dyDescent="0.35">
      <c r="A1398" s="45">
        <v>1394</v>
      </c>
      <c r="B1398" s="2"/>
      <c r="C1398" s="2"/>
      <c r="D1398" s="2"/>
      <c r="E1398" s="3"/>
      <c r="F1398" s="3"/>
      <c r="G1398" s="2"/>
      <c r="H1398" s="2"/>
      <c r="I1398" s="46"/>
      <c r="J1398" s="12"/>
      <c r="K1398" s="2"/>
      <c r="L1398" s="59"/>
    </row>
    <row r="1399" spans="1:12" x14ac:dyDescent="0.35">
      <c r="A1399" s="45">
        <v>1395</v>
      </c>
      <c r="B1399" s="2"/>
      <c r="C1399" s="2"/>
      <c r="D1399" s="2"/>
      <c r="E1399" s="3"/>
      <c r="F1399" s="3"/>
      <c r="G1399" s="2"/>
      <c r="H1399" s="2"/>
      <c r="I1399" s="46"/>
      <c r="J1399" s="12"/>
      <c r="K1399" s="2"/>
      <c r="L1399" s="59"/>
    </row>
    <row r="1400" spans="1:12" x14ac:dyDescent="0.35">
      <c r="A1400" s="45">
        <v>1396</v>
      </c>
      <c r="B1400" s="2"/>
      <c r="C1400" s="2"/>
      <c r="D1400" s="2"/>
      <c r="E1400" s="3"/>
      <c r="F1400" s="3"/>
      <c r="G1400" s="2"/>
      <c r="H1400" s="2"/>
      <c r="I1400" s="46"/>
      <c r="J1400" s="12"/>
      <c r="K1400" s="2"/>
      <c r="L1400" s="59"/>
    </row>
    <row r="1401" spans="1:12" x14ac:dyDescent="0.35">
      <c r="A1401" s="45">
        <v>1397</v>
      </c>
      <c r="B1401" s="2"/>
      <c r="C1401" s="2"/>
      <c r="D1401" s="2"/>
      <c r="E1401" s="3"/>
      <c r="F1401" s="3"/>
      <c r="G1401" s="2"/>
      <c r="H1401" s="2"/>
      <c r="I1401" s="46"/>
      <c r="J1401" s="12"/>
      <c r="K1401" s="2"/>
      <c r="L1401" s="59"/>
    </row>
    <row r="1402" spans="1:12" x14ac:dyDescent="0.35">
      <c r="A1402" s="45">
        <v>1398</v>
      </c>
      <c r="B1402" s="2"/>
      <c r="C1402" s="2"/>
      <c r="D1402" s="2"/>
      <c r="E1402" s="3"/>
      <c r="F1402" s="3"/>
      <c r="G1402" s="2"/>
      <c r="H1402" s="2"/>
      <c r="I1402" s="46"/>
      <c r="J1402" s="12"/>
      <c r="K1402" s="2"/>
      <c r="L1402" s="59"/>
    </row>
    <row r="1403" spans="1:12" x14ac:dyDescent="0.35">
      <c r="A1403" s="45">
        <v>1399</v>
      </c>
      <c r="B1403" s="2"/>
      <c r="C1403" s="2"/>
      <c r="D1403" s="2"/>
      <c r="E1403" s="3"/>
      <c r="F1403" s="3"/>
      <c r="G1403" s="2"/>
      <c r="H1403" s="2"/>
      <c r="I1403" s="46"/>
      <c r="J1403" s="12"/>
      <c r="K1403" s="2"/>
      <c r="L1403" s="59"/>
    </row>
    <row r="1404" spans="1:12" x14ac:dyDescent="0.35">
      <c r="A1404" s="45">
        <v>1400</v>
      </c>
      <c r="B1404" s="2"/>
      <c r="C1404" s="2"/>
      <c r="D1404" s="2"/>
      <c r="E1404" s="3"/>
      <c r="F1404" s="3"/>
      <c r="G1404" s="2"/>
      <c r="H1404" s="2"/>
      <c r="I1404" s="46"/>
      <c r="J1404" s="12"/>
      <c r="K1404" s="2"/>
      <c r="L1404" s="59"/>
    </row>
    <row r="1405" spans="1:12" x14ac:dyDescent="0.35">
      <c r="A1405" s="45">
        <v>1401</v>
      </c>
      <c r="B1405" s="2"/>
      <c r="C1405" s="2"/>
      <c r="D1405" s="2"/>
      <c r="E1405" s="3"/>
      <c r="F1405" s="3"/>
      <c r="G1405" s="2"/>
      <c r="H1405" s="2"/>
      <c r="I1405" s="46"/>
      <c r="J1405" s="12"/>
      <c r="K1405" s="2"/>
      <c r="L1405" s="59"/>
    </row>
    <row r="1406" spans="1:12" x14ac:dyDescent="0.35">
      <c r="A1406" s="45">
        <v>1402</v>
      </c>
      <c r="B1406" s="2"/>
      <c r="C1406" s="2"/>
      <c r="D1406" s="2"/>
      <c r="E1406" s="3"/>
      <c r="F1406" s="3"/>
      <c r="G1406" s="2"/>
      <c r="H1406" s="2"/>
      <c r="I1406" s="46"/>
      <c r="J1406" s="12"/>
      <c r="K1406" s="2"/>
      <c r="L1406" s="59"/>
    </row>
    <row r="1407" spans="1:12" x14ac:dyDescent="0.35">
      <c r="A1407" s="45">
        <v>1403</v>
      </c>
      <c r="B1407" s="2"/>
      <c r="C1407" s="2"/>
      <c r="D1407" s="2"/>
      <c r="E1407" s="3"/>
      <c r="F1407" s="3"/>
      <c r="G1407" s="2"/>
      <c r="H1407" s="2"/>
      <c r="I1407" s="46"/>
      <c r="J1407" s="12"/>
      <c r="K1407" s="2"/>
      <c r="L1407" s="59"/>
    </row>
    <row r="1408" spans="1:12" x14ac:dyDescent="0.35">
      <c r="A1408" s="45">
        <v>1404</v>
      </c>
      <c r="B1408" s="2"/>
      <c r="C1408" s="2"/>
      <c r="D1408" s="2"/>
      <c r="E1408" s="3"/>
      <c r="F1408" s="3"/>
      <c r="G1408" s="2"/>
      <c r="H1408" s="2"/>
      <c r="I1408" s="46"/>
      <c r="J1408" s="12"/>
      <c r="K1408" s="2"/>
      <c r="L1408" s="59"/>
    </row>
    <row r="1409" spans="1:12" x14ac:dyDescent="0.35">
      <c r="A1409" s="45">
        <v>1405</v>
      </c>
      <c r="B1409" s="2"/>
      <c r="C1409" s="2"/>
      <c r="D1409" s="2"/>
      <c r="E1409" s="3"/>
      <c r="F1409" s="3"/>
      <c r="G1409" s="2"/>
      <c r="H1409" s="2"/>
      <c r="I1409" s="46"/>
      <c r="J1409" s="12"/>
      <c r="K1409" s="2"/>
      <c r="L1409" s="59"/>
    </row>
    <row r="1410" spans="1:12" x14ac:dyDescent="0.35">
      <c r="A1410" s="45">
        <v>1406</v>
      </c>
      <c r="B1410" s="2"/>
      <c r="C1410" s="2"/>
      <c r="D1410" s="2"/>
      <c r="E1410" s="3"/>
      <c r="F1410" s="3"/>
      <c r="G1410" s="2"/>
      <c r="H1410" s="2"/>
      <c r="I1410" s="46"/>
      <c r="J1410" s="12"/>
      <c r="K1410" s="2"/>
      <c r="L1410" s="59"/>
    </row>
    <row r="1411" spans="1:12" x14ac:dyDescent="0.35">
      <c r="A1411" s="45">
        <v>1407</v>
      </c>
      <c r="B1411" s="2"/>
      <c r="C1411" s="2"/>
      <c r="D1411" s="2"/>
      <c r="E1411" s="3"/>
      <c r="F1411" s="3"/>
      <c r="G1411" s="2"/>
      <c r="H1411" s="2"/>
      <c r="I1411" s="46"/>
      <c r="J1411" s="12"/>
      <c r="K1411" s="2"/>
      <c r="L1411" s="59"/>
    </row>
    <row r="1412" spans="1:12" x14ac:dyDescent="0.35">
      <c r="A1412" s="45">
        <v>1408</v>
      </c>
      <c r="B1412" s="2"/>
      <c r="C1412" s="2"/>
      <c r="D1412" s="2"/>
      <c r="E1412" s="3"/>
      <c r="F1412" s="3"/>
      <c r="G1412" s="2"/>
      <c r="H1412" s="2"/>
      <c r="I1412" s="46"/>
      <c r="J1412" s="12"/>
      <c r="K1412" s="2"/>
      <c r="L1412" s="59"/>
    </row>
    <row r="1413" spans="1:12" x14ac:dyDescent="0.35">
      <c r="A1413" s="45">
        <v>1409</v>
      </c>
      <c r="B1413" s="2"/>
      <c r="C1413" s="2"/>
      <c r="D1413" s="2"/>
      <c r="E1413" s="3"/>
      <c r="F1413" s="3"/>
      <c r="G1413" s="2"/>
      <c r="H1413" s="2"/>
      <c r="I1413" s="46"/>
      <c r="J1413" s="12"/>
      <c r="K1413" s="2"/>
      <c r="L1413" s="59"/>
    </row>
    <row r="1414" spans="1:12" x14ac:dyDescent="0.35">
      <c r="A1414" s="45">
        <v>1410</v>
      </c>
      <c r="B1414" s="2"/>
      <c r="C1414" s="2"/>
      <c r="D1414" s="2"/>
      <c r="E1414" s="3"/>
      <c r="F1414" s="3"/>
      <c r="G1414" s="2"/>
      <c r="H1414" s="2"/>
      <c r="I1414" s="46"/>
      <c r="J1414" s="12"/>
      <c r="K1414" s="2"/>
      <c r="L1414" s="59"/>
    </row>
    <row r="1415" spans="1:12" x14ac:dyDescent="0.35">
      <c r="A1415" s="45">
        <v>1411</v>
      </c>
      <c r="B1415" s="2"/>
      <c r="C1415" s="2"/>
      <c r="D1415" s="2"/>
      <c r="E1415" s="3"/>
      <c r="F1415" s="3"/>
      <c r="G1415" s="2"/>
      <c r="H1415" s="2"/>
      <c r="I1415" s="46"/>
      <c r="J1415" s="12"/>
      <c r="K1415" s="2"/>
      <c r="L1415" s="59"/>
    </row>
    <row r="1416" spans="1:12" x14ac:dyDescent="0.35">
      <c r="A1416" s="45">
        <v>1412</v>
      </c>
      <c r="B1416" s="2"/>
      <c r="C1416" s="2"/>
      <c r="D1416" s="2"/>
      <c r="E1416" s="3"/>
      <c r="F1416" s="3"/>
      <c r="G1416" s="2"/>
      <c r="H1416" s="2"/>
      <c r="I1416" s="46"/>
      <c r="J1416" s="12"/>
      <c r="K1416" s="2"/>
      <c r="L1416" s="59"/>
    </row>
    <row r="1417" spans="1:12" x14ac:dyDescent="0.35">
      <c r="A1417" s="45">
        <v>1413</v>
      </c>
      <c r="B1417" s="2"/>
      <c r="C1417" s="2"/>
      <c r="D1417" s="2"/>
      <c r="E1417" s="3"/>
      <c r="F1417" s="3"/>
      <c r="G1417" s="2"/>
      <c r="H1417" s="2"/>
      <c r="I1417" s="46"/>
      <c r="J1417" s="12"/>
      <c r="K1417" s="2"/>
      <c r="L1417" s="59"/>
    </row>
    <row r="1418" spans="1:12" x14ac:dyDescent="0.35">
      <c r="A1418" s="45">
        <v>1414</v>
      </c>
      <c r="B1418" s="2"/>
      <c r="C1418" s="2"/>
      <c r="D1418" s="2"/>
      <c r="E1418" s="3"/>
      <c r="F1418" s="3"/>
      <c r="G1418" s="2"/>
      <c r="H1418" s="2"/>
      <c r="I1418" s="46"/>
      <c r="J1418" s="12"/>
      <c r="K1418" s="2"/>
      <c r="L1418" s="59"/>
    </row>
    <row r="1419" spans="1:12" x14ac:dyDescent="0.35">
      <c r="A1419" s="45">
        <v>1415</v>
      </c>
      <c r="B1419" s="2"/>
      <c r="C1419" s="2"/>
      <c r="D1419" s="2"/>
      <c r="E1419" s="3"/>
      <c r="F1419" s="3"/>
      <c r="G1419" s="2"/>
      <c r="H1419" s="2"/>
      <c r="I1419" s="46"/>
      <c r="J1419" s="12"/>
      <c r="K1419" s="2"/>
      <c r="L1419" s="59"/>
    </row>
    <row r="1420" spans="1:12" x14ac:dyDescent="0.35">
      <c r="A1420" s="45">
        <v>1416</v>
      </c>
      <c r="B1420" s="2"/>
      <c r="C1420" s="2"/>
      <c r="D1420" s="2"/>
      <c r="E1420" s="3"/>
      <c r="F1420" s="3"/>
      <c r="G1420" s="2"/>
      <c r="H1420" s="2"/>
      <c r="I1420" s="46"/>
      <c r="J1420" s="12"/>
      <c r="K1420" s="2"/>
      <c r="L1420" s="59"/>
    </row>
    <row r="1421" spans="1:12" x14ac:dyDescent="0.35">
      <c r="A1421" s="45">
        <v>1417</v>
      </c>
      <c r="B1421" s="2"/>
      <c r="C1421" s="2"/>
      <c r="D1421" s="2"/>
      <c r="E1421" s="3"/>
      <c r="F1421" s="3"/>
      <c r="G1421" s="2"/>
      <c r="H1421" s="2"/>
      <c r="I1421" s="46"/>
      <c r="J1421" s="12"/>
      <c r="K1421" s="2"/>
      <c r="L1421" s="59"/>
    </row>
    <row r="1422" spans="1:12" x14ac:dyDescent="0.35">
      <c r="A1422" s="45">
        <v>1418</v>
      </c>
      <c r="B1422" s="2"/>
      <c r="C1422" s="2"/>
      <c r="D1422" s="2"/>
      <c r="E1422" s="3"/>
      <c r="F1422" s="3"/>
      <c r="G1422" s="2"/>
      <c r="H1422" s="2"/>
      <c r="I1422" s="46"/>
      <c r="J1422" s="12"/>
      <c r="K1422" s="2"/>
      <c r="L1422" s="59"/>
    </row>
    <row r="1423" spans="1:12" x14ac:dyDescent="0.35">
      <c r="A1423" s="45">
        <v>1419</v>
      </c>
      <c r="B1423" s="2"/>
      <c r="C1423" s="2"/>
      <c r="D1423" s="2"/>
      <c r="E1423" s="3"/>
      <c r="F1423" s="3"/>
      <c r="G1423" s="2"/>
      <c r="H1423" s="2"/>
      <c r="I1423" s="46"/>
      <c r="J1423" s="12"/>
      <c r="K1423" s="2"/>
      <c r="L1423" s="59"/>
    </row>
    <row r="1424" spans="1:12" x14ac:dyDescent="0.35">
      <c r="A1424" s="45">
        <v>1420</v>
      </c>
      <c r="B1424" s="2"/>
      <c r="C1424" s="2"/>
      <c r="D1424" s="2"/>
      <c r="E1424" s="3"/>
      <c r="F1424" s="3"/>
      <c r="G1424" s="2"/>
      <c r="H1424" s="2"/>
      <c r="I1424" s="46"/>
      <c r="J1424" s="12"/>
      <c r="K1424" s="2"/>
      <c r="L1424" s="59"/>
    </row>
    <row r="1425" spans="1:12" x14ac:dyDescent="0.35">
      <c r="A1425" s="45">
        <v>1421</v>
      </c>
      <c r="B1425" s="2"/>
      <c r="C1425" s="2"/>
      <c r="D1425" s="2"/>
      <c r="E1425" s="3"/>
      <c r="F1425" s="3"/>
      <c r="G1425" s="2"/>
      <c r="H1425" s="2"/>
      <c r="I1425" s="46"/>
      <c r="J1425" s="12"/>
      <c r="K1425" s="2"/>
      <c r="L1425" s="59"/>
    </row>
    <row r="1426" spans="1:12" x14ac:dyDescent="0.35">
      <c r="A1426" s="45">
        <v>1422</v>
      </c>
      <c r="B1426" s="2"/>
      <c r="C1426" s="2"/>
      <c r="D1426" s="2"/>
      <c r="E1426" s="3"/>
      <c r="F1426" s="3"/>
      <c r="G1426" s="2"/>
      <c r="H1426" s="2"/>
      <c r="I1426" s="46"/>
      <c r="J1426" s="12"/>
      <c r="K1426" s="2"/>
      <c r="L1426" s="59"/>
    </row>
    <row r="1427" spans="1:12" x14ac:dyDescent="0.35">
      <c r="A1427" s="45">
        <v>1423</v>
      </c>
      <c r="B1427" s="2"/>
      <c r="C1427" s="2"/>
      <c r="D1427" s="2"/>
      <c r="E1427" s="3"/>
      <c r="F1427" s="3"/>
      <c r="G1427" s="2"/>
      <c r="H1427" s="2"/>
      <c r="I1427" s="46"/>
      <c r="J1427" s="12"/>
      <c r="K1427" s="2"/>
      <c r="L1427" s="59"/>
    </row>
    <row r="1428" spans="1:12" x14ac:dyDescent="0.35">
      <c r="A1428" s="45">
        <v>1424</v>
      </c>
      <c r="B1428" s="2"/>
      <c r="C1428" s="2"/>
      <c r="D1428" s="2"/>
      <c r="E1428" s="3"/>
      <c r="F1428" s="3"/>
      <c r="G1428" s="2"/>
      <c r="H1428" s="2"/>
      <c r="I1428" s="46"/>
      <c r="J1428" s="12"/>
      <c r="K1428" s="2"/>
      <c r="L1428" s="59"/>
    </row>
    <row r="1429" spans="1:12" x14ac:dyDescent="0.35">
      <c r="A1429" s="45">
        <v>1425</v>
      </c>
      <c r="B1429" s="2"/>
      <c r="C1429" s="2"/>
      <c r="D1429" s="2"/>
      <c r="E1429" s="3"/>
      <c r="F1429" s="3"/>
      <c r="G1429" s="2"/>
      <c r="H1429" s="2"/>
      <c r="I1429" s="46"/>
      <c r="J1429" s="12"/>
      <c r="K1429" s="2"/>
      <c r="L1429" s="59"/>
    </row>
    <row r="1430" spans="1:12" x14ac:dyDescent="0.35">
      <c r="A1430" s="45">
        <v>1426</v>
      </c>
      <c r="B1430" s="2"/>
      <c r="C1430" s="2"/>
      <c r="D1430" s="2"/>
      <c r="E1430" s="3"/>
      <c r="F1430" s="3"/>
      <c r="G1430" s="2"/>
      <c r="H1430" s="2"/>
      <c r="I1430" s="46"/>
      <c r="J1430" s="12"/>
      <c r="K1430" s="2"/>
      <c r="L1430" s="59"/>
    </row>
    <row r="1431" spans="1:12" x14ac:dyDescent="0.35">
      <c r="A1431" s="45">
        <v>1427</v>
      </c>
      <c r="B1431" s="2"/>
      <c r="C1431" s="2"/>
      <c r="D1431" s="2"/>
      <c r="E1431" s="3"/>
      <c r="F1431" s="3"/>
      <c r="G1431" s="2"/>
      <c r="H1431" s="2"/>
      <c r="I1431" s="46"/>
      <c r="J1431" s="12"/>
      <c r="K1431" s="2"/>
      <c r="L1431" s="59"/>
    </row>
    <row r="1432" spans="1:12" x14ac:dyDescent="0.35">
      <c r="A1432" s="45">
        <v>1428</v>
      </c>
      <c r="B1432" s="2"/>
      <c r="C1432" s="2"/>
      <c r="D1432" s="2"/>
      <c r="E1432" s="3"/>
      <c r="F1432" s="3"/>
      <c r="G1432" s="2"/>
      <c r="H1432" s="2"/>
      <c r="I1432" s="46"/>
      <c r="J1432" s="12"/>
      <c r="K1432" s="2"/>
      <c r="L1432" s="59"/>
    </row>
    <row r="1433" spans="1:12" x14ac:dyDescent="0.35">
      <c r="A1433" s="45">
        <v>1429</v>
      </c>
      <c r="B1433" s="2"/>
      <c r="C1433" s="2"/>
      <c r="D1433" s="2"/>
      <c r="E1433" s="3"/>
      <c r="F1433" s="3"/>
      <c r="G1433" s="2"/>
      <c r="H1433" s="2"/>
      <c r="I1433" s="46"/>
      <c r="J1433" s="12"/>
      <c r="K1433" s="2"/>
      <c r="L1433" s="59"/>
    </row>
    <row r="1434" spans="1:12" x14ac:dyDescent="0.35">
      <c r="A1434" s="45">
        <v>1430</v>
      </c>
      <c r="B1434" s="2"/>
      <c r="C1434" s="2"/>
      <c r="D1434" s="2"/>
      <c r="E1434" s="3"/>
      <c r="F1434" s="3"/>
      <c r="G1434" s="2"/>
      <c r="H1434" s="2"/>
      <c r="I1434" s="46"/>
      <c r="J1434" s="12"/>
      <c r="K1434" s="2"/>
      <c r="L1434" s="59"/>
    </row>
    <row r="1435" spans="1:12" x14ac:dyDescent="0.35">
      <c r="A1435" s="45">
        <v>1431</v>
      </c>
      <c r="B1435" s="2"/>
      <c r="C1435" s="2"/>
      <c r="D1435" s="2"/>
      <c r="E1435" s="3"/>
      <c r="F1435" s="3"/>
      <c r="G1435" s="2"/>
      <c r="H1435" s="2"/>
      <c r="I1435" s="46"/>
      <c r="J1435" s="12"/>
      <c r="K1435" s="2"/>
      <c r="L1435" s="59"/>
    </row>
    <row r="1436" spans="1:12" x14ac:dyDescent="0.35">
      <c r="A1436" s="45">
        <v>1432</v>
      </c>
      <c r="B1436" s="2"/>
      <c r="C1436" s="2"/>
      <c r="D1436" s="2"/>
      <c r="E1436" s="3"/>
      <c r="F1436" s="3"/>
      <c r="G1436" s="2"/>
      <c r="H1436" s="2"/>
      <c r="I1436" s="46"/>
      <c r="J1436" s="12"/>
      <c r="K1436" s="2"/>
      <c r="L1436" s="59"/>
    </row>
    <row r="1437" spans="1:12" x14ac:dyDescent="0.35">
      <c r="A1437" s="45">
        <v>1433</v>
      </c>
      <c r="B1437" s="2"/>
      <c r="C1437" s="2"/>
      <c r="D1437" s="2"/>
      <c r="E1437" s="3"/>
      <c r="F1437" s="3"/>
      <c r="G1437" s="2"/>
      <c r="H1437" s="2"/>
      <c r="I1437" s="46"/>
      <c r="J1437" s="12"/>
      <c r="K1437" s="2"/>
      <c r="L1437" s="59"/>
    </row>
    <row r="1438" spans="1:12" x14ac:dyDescent="0.35">
      <c r="A1438" s="45">
        <v>1434</v>
      </c>
      <c r="B1438" s="2"/>
      <c r="C1438" s="2"/>
      <c r="D1438" s="2"/>
      <c r="E1438" s="3"/>
      <c r="F1438" s="3"/>
      <c r="G1438" s="2"/>
      <c r="H1438" s="2"/>
      <c r="I1438" s="46"/>
      <c r="J1438" s="12"/>
      <c r="K1438" s="2"/>
      <c r="L1438" s="59"/>
    </row>
    <row r="1439" spans="1:12" x14ac:dyDescent="0.35">
      <c r="A1439" s="45">
        <v>1435</v>
      </c>
      <c r="B1439" s="2"/>
      <c r="C1439" s="2"/>
      <c r="D1439" s="2"/>
      <c r="E1439" s="3"/>
      <c r="F1439" s="3"/>
      <c r="G1439" s="2"/>
      <c r="H1439" s="2"/>
      <c r="I1439" s="46"/>
      <c r="J1439" s="12"/>
      <c r="K1439" s="2"/>
      <c r="L1439" s="59"/>
    </row>
    <row r="1440" spans="1:12" x14ac:dyDescent="0.35">
      <c r="A1440" s="45">
        <v>1436</v>
      </c>
      <c r="B1440" s="2"/>
      <c r="C1440" s="2"/>
      <c r="D1440" s="2"/>
      <c r="E1440" s="3"/>
      <c r="F1440" s="3"/>
      <c r="G1440" s="2"/>
      <c r="H1440" s="2"/>
      <c r="I1440" s="46"/>
      <c r="J1440" s="12"/>
      <c r="K1440" s="2"/>
      <c r="L1440" s="59"/>
    </row>
    <row r="1441" spans="1:12" x14ac:dyDescent="0.35">
      <c r="A1441" s="45">
        <v>1437</v>
      </c>
      <c r="B1441" s="2"/>
      <c r="C1441" s="2"/>
      <c r="D1441" s="2"/>
      <c r="E1441" s="3"/>
      <c r="F1441" s="3"/>
      <c r="G1441" s="2"/>
      <c r="H1441" s="2"/>
      <c r="I1441" s="46"/>
      <c r="J1441" s="12"/>
      <c r="K1441" s="2"/>
      <c r="L1441" s="59"/>
    </row>
    <row r="1442" spans="1:12" x14ac:dyDescent="0.35">
      <c r="A1442" s="45">
        <v>1438</v>
      </c>
      <c r="B1442" s="2"/>
      <c r="C1442" s="2"/>
      <c r="D1442" s="2"/>
      <c r="E1442" s="3"/>
      <c r="F1442" s="3"/>
      <c r="G1442" s="2"/>
      <c r="H1442" s="2"/>
      <c r="I1442" s="46"/>
      <c r="J1442" s="12"/>
      <c r="K1442" s="2"/>
      <c r="L1442" s="59"/>
    </row>
    <row r="1443" spans="1:12" x14ac:dyDescent="0.35">
      <c r="A1443" s="45">
        <v>1439</v>
      </c>
      <c r="B1443" s="2"/>
      <c r="C1443" s="2"/>
      <c r="D1443" s="2"/>
      <c r="E1443" s="3"/>
      <c r="F1443" s="3"/>
      <c r="G1443" s="2"/>
      <c r="H1443" s="2"/>
      <c r="I1443" s="46"/>
      <c r="J1443" s="12"/>
      <c r="K1443" s="2"/>
      <c r="L1443" s="59"/>
    </row>
    <row r="1444" spans="1:12" x14ac:dyDescent="0.35">
      <c r="A1444" s="45">
        <v>1440</v>
      </c>
      <c r="B1444" s="2"/>
      <c r="C1444" s="2"/>
      <c r="D1444" s="2"/>
      <c r="E1444" s="3"/>
      <c r="F1444" s="3"/>
      <c r="G1444" s="2"/>
      <c r="H1444" s="2"/>
      <c r="I1444" s="46"/>
      <c r="J1444" s="12"/>
      <c r="K1444" s="2"/>
      <c r="L1444" s="59"/>
    </row>
    <row r="1445" spans="1:12" x14ac:dyDescent="0.35">
      <c r="A1445" s="45">
        <v>1441</v>
      </c>
      <c r="B1445" s="2"/>
      <c r="C1445" s="2"/>
      <c r="D1445" s="2"/>
      <c r="E1445" s="3"/>
      <c r="F1445" s="3"/>
      <c r="G1445" s="2"/>
      <c r="H1445" s="2"/>
      <c r="I1445" s="46"/>
      <c r="J1445" s="12"/>
      <c r="K1445" s="2"/>
      <c r="L1445" s="59"/>
    </row>
    <row r="1446" spans="1:12" x14ac:dyDescent="0.35">
      <c r="A1446" s="45">
        <v>1442</v>
      </c>
      <c r="B1446" s="2"/>
      <c r="C1446" s="2"/>
      <c r="D1446" s="2"/>
      <c r="E1446" s="3"/>
      <c r="F1446" s="3"/>
      <c r="G1446" s="2"/>
      <c r="H1446" s="2"/>
      <c r="I1446" s="46"/>
      <c r="J1446" s="12"/>
      <c r="K1446" s="2"/>
      <c r="L1446" s="59"/>
    </row>
    <row r="1447" spans="1:12" x14ac:dyDescent="0.35">
      <c r="A1447" s="45">
        <v>1443</v>
      </c>
      <c r="B1447" s="2"/>
      <c r="C1447" s="2"/>
      <c r="D1447" s="2"/>
      <c r="E1447" s="3"/>
      <c r="F1447" s="3"/>
      <c r="G1447" s="2"/>
      <c r="H1447" s="2"/>
      <c r="I1447" s="46"/>
      <c r="J1447" s="12"/>
      <c r="K1447" s="2"/>
      <c r="L1447" s="59"/>
    </row>
    <row r="1448" spans="1:12" x14ac:dyDescent="0.35">
      <c r="A1448" s="45">
        <v>1444</v>
      </c>
      <c r="B1448" s="2"/>
      <c r="C1448" s="2"/>
      <c r="D1448" s="2"/>
      <c r="E1448" s="3"/>
      <c r="F1448" s="3"/>
      <c r="G1448" s="2"/>
      <c r="H1448" s="2"/>
      <c r="I1448" s="46"/>
      <c r="J1448" s="12"/>
      <c r="K1448" s="2"/>
      <c r="L1448" s="59"/>
    </row>
    <row r="1449" spans="1:12" x14ac:dyDescent="0.35">
      <c r="A1449" s="45">
        <v>1445</v>
      </c>
      <c r="B1449" s="2"/>
      <c r="C1449" s="2"/>
      <c r="D1449" s="2"/>
      <c r="E1449" s="3"/>
      <c r="F1449" s="3"/>
      <c r="G1449" s="2"/>
      <c r="H1449" s="2"/>
      <c r="I1449" s="46"/>
      <c r="J1449" s="12"/>
      <c r="K1449" s="2"/>
      <c r="L1449" s="59"/>
    </row>
    <row r="1450" spans="1:12" x14ac:dyDescent="0.35">
      <c r="A1450" s="45">
        <v>1446</v>
      </c>
      <c r="B1450" s="2"/>
      <c r="C1450" s="2"/>
      <c r="D1450" s="2"/>
      <c r="E1450" s="3"/>
      <c r="F1450" s="3"/>
      <c r="G1450" s="2"/>
      <c r="H1450" s="2"/>
      <c r="I1450" s="46"/>
      <c r="J1450" s="12"/>
      <c r="K1450" s="2"/>
      <c r="L1450" s="59"/>
    </row>
    <row r="1451" spans="1:12" x14ac:dyDescent="0.35">
      <c r="A1451" s="45">
        <v>1447</v>
      </c>
      <c r="B1451" s="2"/>
      <c r="C1451" s="2"/>
      <c r="D1451" s="2"/>
      <c r="E1451" s="3"/>
      <c r="F1451" s="3"/>
      <c r="G1451" s="2"/>
      <c r="H1451" s="2"/>
      <c r="I1451" s="46"/>
      <c r="J1451" s="12"/>
      <c r="K1451" s="2"/>
      <c r="L1451" s="59"/>
    </row>
    <row r="1452" spans="1:12" x14ac:dyDescent="0.35">
      <c r="A1452" s="45">
        <v>1448</v>
      </c>
      <c r="B1452" s="2"/>
      <c r="C1452" s="2"/>
      <c r="D1452" s="2"/>
      <c r="E1452" s="3"/>
      <c r="F1452" s="3"/>
      <c r="G1452" s="2"/>
      <c r="H1452" s="2"/>
      <c r="I1452" s="46"/>
      <c r="J1452" s="12"/>
      <c r="K1452" s="2"/>
      <c r="L1452" s="59"/>
    </row>
    <row r="1453" spans="1:12" x14ac:dyDescent="0.35">
      <c r="A1453" s="45">
        <v>1449</v>
      </c>
      <c r="B1453" s="2"/>
      <c r="C1453" s="2"/>
      <c r="D1453" s="2"/>
      <c r="E1453" s="3"/>
      <c r="F1453" s="3"/>
      <c r="G1453" s="2"/>
      <c r="H1453" s="2"/>
      <c r="I1453" s="46"/>
      <c r="J1453" s="12"/>
      <c r="K1453" s="2"/>
      <c r="L1453" s="59"/>
    </row>
    <row r="1454" spans="1:12" x14ac:dyDescent="0.35">
      <c r="A1454" s="45">
        <v>1450</v>
      </c>
      <c r="B1454" s="2"/>
      <c r="C1454" s="2"/>
      <c r="D1454" s="2"/>
      <c r="E1454" s="3"/>
      <c r="F1454" s="3"/>
      <c r="G1454" s="2"/>
      <c r="H1454" s="2"/>
      <c r="I1454" s="46"/>
      <c r="J1454" s="12"/>
      <c r="K1454" s="2"/>
      <c r="L1454" s="59"/>
    </row>
    <row r="1455" spans="1:12" x14ac:dyDescent="0.35">
      <c r="A1455" s="45">
        <v>1451</v>
      </c>
      <c r="B1455" s="2"/>
      <c r="C1455" s="2"/>
      <c r="D1455" s="2"/>
      <c r="E1455" s="3"/>
      <c r="F1455" s="3"/>
      <c r="G1455" s="2"/>
      <c r="H1455" s="2"/>
      <c r="I1455" s="46"/>
      <c r="J1455" s="12"/>
      <c r="K1455" s="2"/>
      <c r="L1455" s="59"/>
    </row>
    <row r="1456" spans="1:12" x14ac:dyDescent="0.35">
      <c r="A1456" s="45">
        <v>1452</v>
      </c>
      <c r="B1456" s="2"/>
      <c r="C1456" s="2"/>
      <c r="D1456" s="2"/>
      <c r="E1456" s="3"/>
      <c r="F1456" s="3"/>
      <c r="G1456" s="2"/>
      <c r="H1456" s="2"/>
      <c r="I1456" s="46"/>
      <c r="J1456" s="12"/>
      <c r="K1456" s="2"/>
      <c r="L1456" s="59"/>
    </row>
    <row r="1457" spans="1:12" x14ac:dyDescent="0.35">
      <c r="A1457" s="45">
        <v>1453</v>
      </c>
      <c r="B1457" s="2"/>
      <c r="C1457" s="2"/>
      <c r="D1457" s="2"/>
      <c r="E1457" s="3"/>
      <c r="F1457" s="3"/>
      <c r="G1457" s="2"/>
      <c r="H1457" s="2"/>
      <c r="I1457" s="46"/>
      <c r="J1457" s="12"/>
      <c r="K1457" s="2"/>
      <c r="L1457" s="59"/>
    </row>
    <row r="1458" spans="1:12" x14ac:dyDescent="0.35">
      <c r="A1458" s="45">
        <v>1454</v>
      </c>
      <c r="B1458" s="2"/>
      <c r="C1458" s="2"/>
      <c r="D1458" s="2"/>
      <c r="E1458" s="3"/>
      <c r="F1458" s="3"/>
      <c r="G1458" s="2"/>
      <c r="H1458" s="2"/>
      <c r="I1458" s="46"/>
      <c r="J1458" s="12"/>
      <c r="K1458" s="2"/>
      <c r="L1458" s="59"/>
    </row>
    <row r="1459" spans="1:12" x14ac:dyDescent="0.35">
      <c r="A1459" s="45">
        <v>1455</v>
      </c>
      <c r="B1459" s="2"/>
      <c r="C1459" s="2"/>
      <c r="D1459" s="2"/>
      <c r="E1459" s="3"/>
      <c r="F1459" s="3"/>
      <c r="G1459" s="2"/>
      <c r="H1459" s="2"/>
      <c r="I1459" s="46"/>
      <c r="J1459" s="12"/>
      <c r="K1459" s="2"/>
      <c r="L1459" s="59"/>
    </row>
    <row r="1460" spans="1:12" x14ac:dyDescent="0.35">
      <c r="A1460" s="45">
        <v>1456</v>
      </c>
      <c r="B1460" s="2"/>
      <c r="C1460" s="2"/>
      <c r="D1460" s="2"/>
      <c r="E1460" s="3"/>
      <c r="F1460" s="3"/>
      <c r="G1460" s="2"/>
      <c r="H1460" s="2"/>
      <c r="I1460" s="46"/>
      <c r="J1460" s="12"/>
      <c r="K1460" s="2"/>
      <c r="L1460" s="59"/>
    </row>
    <row r="1461" spans="1:12" x14ac:dyDescent="0.35">
      <c r="A1461" s="45">
        <v>1457</v>
      </c>
      <c r="B1461" s="2"/>
      <c r="C1461" s="2"/>
      <c r="D1461" s="2"/>
      <c r="E1461" s="3"/>
      <c r="F1461" s="3"/>
      <c r="G1461" s="2"/>
      <c r="H1461" s="2"/>
      <c r="I1461" s="46"/>
      <c r="J1461" s="12"/>
      <c r="K1461" s="2"/>
      <c r="L1461" s="59"/>
    </row>
    <row r="1462" spans="1:12" x14ac:dyDescent="0.35">
      <c r="A1462" s="45">
        <v>1458</v>
      </c>
      <c r="B1462" s="2"/>
      <c r="C1462" s="2"/>
      <c r="D1462" s="2"/>
      <c r="E1462" s="3"/>
      <c r="F1462" s="3"/>
      <c r="G1462" s="2"/>
      <c r="H1462" s="2"/>
      <c r="I1462" s="46"/>
      <c r="J1462" s="12"/>
      <c r="K1462" s="2"/>
      <c r="L1462" s="59"/>
    </row>
    <row r="1463" spans="1:12" x14ac:dyDescent="0.35">
      <c r="A1463" s="45">
        <v>1459</v>
      </c>
      <c r="B1463" s="2"/>
      <c r="C1463" s="2"/>
      <c r="D1463" s="2"/>
      <c r="E1463" s="3"/>
      <c r="F1463" s="3"/>
      <c r="G1463" s="2"/>
      <c r="H1463" s="2"/>
      <c r="I1463" s="46"/>
      <c r="J1463" s="12"/>
      <c r="K1463" s="2"/>
      <c r="L1463" s="59"/>
    </row>
    <row r="1464" spans="1:12" x14ac:dyDescent="0.35">
      <c r="A1464" s="45">
        <v>1460</v>
      </c>
      <c r="B1464" s="2"/>
      <c r="C1464" s="2"/>
      <c r="D1464" s="2"/>
      <c r="E1464" s="3"/>
      <c r="F1464" s="3"/>
      <c r="G1464" s="2"/>
      <c r="H1464" s="2"/>
      <c r="I1464" s="46"/>
      <c r="J1464" s="12"/>
      <c r="K1464" s="2"/>
      <c r="L1464" s="59"/>
    </row>
    <row r="1465" spans="1:12" x14ac:dyDescent="0.35">
      <c r="A1465" s="45">
        <v>1461</v>
      </c>
      <c r="B1465" s="2"/>
      <c r="C1465" s="2"/>
      <c r="D1465" s="2"/>
      <c r="E1465" s="3"/>
      <c r="F1465" s="3"/>
      <c r="G1465" s="2"/>
      <c r="H1465" s="2"/>
      <c r="I1465" s="46"/>
      <c r="J1465" s="12"/>
      <c r="K1465" s="2"/>
      <c r="L1465" s="59"/>
    </row>
    <row r="1466" spans="1:12" x14ac:dyDescent="0.35">
      <c r="A1466" s="45">
        <v>1462</v>
      </c>
      <c r="B1466" s="2"/>
      <c r="C1466" s="2"/>
      <c r="D1466" s="2"/>
      <c r="E1466" s="3"/>
      <c r="F1466" s="3"/>
      <c r="G1466" s="2"/>
      <c r="H1466" s="2"/>
      <c r="I1466" s="46"/>
      <c r="J1466" s="12"/>
      <c r="K1466" s="2"/>
      <c r="L1466" s="59"/>
    </row>
    <row r="1467" spans="1:12" x14ac:dyDescent="0.35">
      <c r="A1467" s="45">
        <v>1463</v>
      </c>
      <c r="B1467" s="2"/>
      <c r="C1467" s="2"/>
      <c r="D1467" s="2"/>
      <c r="E1467" s="3"/>
      <c r="F1467" s="3"/>
      <c r="G1467" s="2"/>
      <c r="H1467" s="2"/>
      <c r="I1467" s="46"/>
      <c r="J1467" s="12"/>
      <c r="K1467" s="2"/>
      <c r="L1467" s="59"/>
    </row>
    <row r="1468" spans="1:12" x14ac:dyDescent="0.35">
      <c r="A1468" s="45">
        <v>1464</v>
      </c>
      <c r="B1468" s="2"/>
      <c r="C1468" s="2"/>
      <c r="D1468" s="2"/>
      <c r="E1468" s="3"/>
      <c r="F1468" s="3"/>
      <c r="G1468" s="2"/>
      <c r="H1468" s="2"/>
      <c r="I1468" s="46"/>
      <c r="J1468" s="12"/>
      <c r="K1468" s="2"/>
      <c r="L1468" s="59"/>
    </row>
    <row r="1469" spans="1:12" x14ac:dyDescent="0.35">
      <c r="A1469" s="45">
        <v>1465</v>
      </c>
      <c r="B1469" s="2"/>
      <c r="C1469" s="2"/>
      <c r="D1469" s="2"/>
      <c r="E1469" s="3"/>
      <c r="F1469" s="3"/>
      <c r="G1469" s="2"/>
      <c r="H1469" s="2"/>
      <c r="I1469" s="46"/>
      <c r="J1469" s="12"/>
      <c r="K1469" s="2"/>
      <c r="L1469" s="59"/>
    </row>
    <row r="1470" spans="1:12" x14ac:dyDescent="0.35">
      <c r="A1470" s="45">
        <v>1466</v>
      </c>
      <c r="B1470" s="2"/>
      <c r="C1470" s="2"/>
      <c r="D1470" s="2"/>
      <c r="E1470" s="3"/>
      <c r="F1470" s="3"/>
      <c r="G1470" s="2"/>
      <c r="H1470" s="2"/>
      <c r="I1470" s="46"/>
      <c r="J1470" s="12"/>
      <c r="K1470" s="2"/>
      <c r="L1470" s="59"/>
    </row>
    <row r="1471" spans="1:12" x14ac:dyDescent="0.35">
      <c r="A1471" s="45">
        <v>1467</v>
      </c>
      <c r="B1471" s="2"/>
      <c r="C1471" s="2"/>
      <c r="D1471" s="2"/>
      <c r="E1471" s="3"/>
      <c r="F1471" s="3"/>
      <c r="G1471" s="2"/>
      <c r="H1471" s="2"/>
      <c r="I1471" s="46"/>
      <c r="J1471" s="12"/>
      <c r="K1471" s="2"/>
      <c r="L1471" s="59"/>
    </row>
    <row r="1472" spans="1:12" x14ac:dyDescent="0.35">
      <c r="A1472" s="45">
        <v>1468</v>
      </c>
      <c r="B1472" s="2"/>
      <c r="C1472" s="2"/>
      <c r="D1472" s="2"/>
      <c r="E1472" s="3"/>
      <c r="F1472" s="3"/>
      <c r="G1472" s="2"/>
      <c r="H1472" s="2"/>
      <c r="I1472" s="46"/>
      <c r="J1472" s="12"/>
      <c r="K1472" s="2"/>
      <c r="L1472" s="59"/>
    </row>
    <row r="1473" spans="1:12" x14ac:dyDescent="0.35">
      <c r="A1473" s="45">
        <v>1469</v>
      </c>
      <c r="B1473" s="2"/>
      <c r="C1473" s="2"/>
      <c r="D1473" s="2"/>
      <c r="E1473" s="3"/>
      <c r="F1473" s="3"/>
      <c r="G1473" s="2"/>
      <c r="H1473" s="2"/>
      <c r="I1473" s="46"/>
      <c r="J1473" s="12"/>
      <c r="K1473" s="2"/>
      <c r="L1473" s="59"/>
    </row>
    <row r="1474" spans="1:12" x14ac:dyDescent="0.35">
      <c r="A1474" s="45">
        <v>1470</v>
      </c>
      <c r="B1474" s="2"/>
      <c r="C1474" s="2"/>
      <c r="D1474" s="2"/>
      <c r="E1474" s="3"/>
      <c r="F1474" s="3"/>
      <c r="G1474" s="2"/>
      <c r="H1474" s="2"/>
      <c r="I1474" s="46"/>
      <c r="J1474" s="12"/>
      <c r="K1474" s="2"/>
      <c r="L1474" s="59"/>
    </row>
    <row r="1475" spans="1:12" x14ac:dyDescent="0.35">
      <c r="A1475" s="45">
        <v>1471</v>
      </c>
      <c r="B1475" s="2"/>
      <c r="C1475" s="2"/>
      <c r="D1475" s="2"/>
      <c r="E1475" s="3"/>
      <c r="F1475" s="3"/>
      <c r="G1475" s="2"/>
      <c r="H1475" s="2"/>
      <c r="I1475" s="46"/>
      <c r="J1475" s="12"/>
      <c r="K1475" s="2"/>
      <c r="L1475" s="59"/>
    </row>
    <row r="1476" spans="1:12" x14ac:dyDescent="0.35">
      <c r="A1476" s="45">
        <v>1472</v>
      </c>
      <c r="B1476" s="2"/>
      <c r="C1476" s="2"/>
      <c r="D1476" s="2"/>
      <c r="E1476" s="3"/>
      <c r="F1476" s="3"/>
      <c r="G1476" s="2"/>
      <c r="H1476" s="2"/>
      <c r="I1476" s="46"/>
      <c r="J1476" s="12"/>
      <c r="K1476" s="2"/>
      <c r="L1476" s="59"/>
    </row>
    <row r="1477" spans="1:12" x14ac:dyDescent="0.35">
      <c r="A1477" s="45">
        <v>1473</v>
      </c>
      <c r="B1477" s="2"/>
      <c r="C1477" s="2"/>
      <c r="D1477" s="2"/>
      <c r="E1477" s="3"/>
      <c r="F1477" s="3"/>
      <c r="G1477" s="2"/>
      <c r="H1477" s="2"/>
      <c r="I1477" s="46"/>
      <c r="J1477" s="12"/>
      <c r="K1477" s="2"/>
      <c r="L1477" s="59"/>
    </row>
    <row r="1478" spans="1:12" x14ac:dyDescent="0.35">
      <c r="A1478" s="45">
        <v>1474</v>
      </c>
      <c r="B1478" s="2"/>
      <c r="C1478" s="2"/>
      <c r="D1478" s="2"/>
      <c r="E1478" s="3"/>
      <c r="F1478" s="3"/>
      <c r="G1478" s="2"/>
      <c r="H1478" s="2"/>
      <c r="I1478" s="46"/>
      <c r="J1478" s="12"/>
      <c r="K1478" s="2"/>
      <c r="L1478" s="59"/>
    </row>
    <row r="1479" spans="1:12" x14ac:dyDescent="0.35">
      <c r="A1479" s="45">
        <v>1475</v>
      </c>
      <c r="B1479" s="2"/>
      <c r="C1479" s="2"/>
      <c r="D1479" s="2"/>
      <c r="E1479" s="3"/>
      <c r="F1479" s="3"/>
      <c r="G1479" s="2"/>
      <c r="H1479" s="2"/>
      <c r="I1479" s="46"/>
      <c r="J1479" s="12"/>
      <c r="K1479" s="2"/>
      <c r="L1479" s="59"/>
    </row>
    <row r="1480" spans="1:12" x14ac:dyDescent="0.35">
      <c r="A1480" s="45">
        <v>1476</v>
      </c>
      <c r="B1480" s="2"/>
      <c r="C1480" s="2"/>
      <c r="D1480" s="2"/>
      <c r="E1480" s="3"/>
      <c r="F1480" s="3"/>
      <c r="G1480" s="2"/>
      <c r="H1480" s="2"/>
      <c r="I1480" s="46"/>
      <c r="J1480" s="12"/>
      <c r="K1480" s="2"/>
      <c r="L1480" s="59"/>
    </row>
    <row r="1481" spans="1:12" x14ac:dyDescent="0.35">
      <c r="A1481" s="45">
        <v>1477</v>
      </c>
      <c r="B1481" s="2"/>
      <c r="C1481" s="2"/>
      <c r="D1481" s="2"/>
      <c r="E1481" s="3"/>
      <c r="F1481" s="3"/>
      <c r="G1481" s="2"/>
      <c r="H1481" s="2"/>
      <c r="I1481" s="46"/>
      <c r="J1481" s="12"/>
      <c r="K1481" s="2"/>
      <c r="L1481" s="59"/>
    </row>
    <row r="1482" spans="1:12" x14ac:dyDescent="0.35">
      <c r="A1482" s="45">
        <v>1478</v>
      </c>
      <c r="B1482" s="2"/>
      <c r="C1482" s="2"/>
      <c r="D1482" s="2"/>
      <c r="E1482" s="3"/>
      <c r="F1482" s="3"/>
      <c r="G1482" s="2"/>
      <c r="H1482" s="2"/>
      <c r="I1482" s="46"/>
      <c r="J1482" s="12"/>
      <c r="K1482" s="2"/>
      <c r="L1482" s="59"/>
    </row>
    <row r="1483" spans="1:12" x14ac:dyDescent="0.35">
      <c r="A1483" s="45">
        <v>1479</v>
      </c>
      <c r="B1483" s="2"/>
      <c r="C1483" s="2"/>
      <c r="D1483" s="2"/>
      <c r="E1483" s="3"/>
      <c r="F1483" s="3"/>
      <c r="G1483" s="2"/>
      <c r="H1483" s="2"/>
      <c r="I1483" s="46"/>
      <c r="J1483" s="12"/>
      <c r="K1483" s="2"/>
      <c r="L1483" s="59"/>
    </row>
    <row r="1484" spans="1:12" x14ac:dyDescent="0.35">
      <c r="A1484" s="45">
        <v>1480</v>
      </c>
      <c r="B1484" s="2"/>
      <c r="C1484" s="2"/>
      <c r="D1484" s="2"/>
      <c r="E1484" s="3"/>
      <c r="F1484" s="3"/>
      <c r="G1484" s="2"/>
      <c r="H1484" s="2"/>
      <c r="I1484" s="46"/>
      <c r="J1484" s="12"/>
      <c r="K1484" s="2"/>
      <c r="L1484" s="59"/>
    </row>
    <row r="1485" spans="1:12" x14ac:dyDescent="0.35">
      <c r="A1485" s="45">
        <v>1481</v>
      </c>
      <c r="B1485" s="2"/>
      <c r="C1485" s="2"/>
      <c r="D1485" s="2"/>
      <c r="E1485" s="3"/>
      <c r="F1485" s="3"/>
      <c r="G1485" s="2"/>
      <c r="H1485" s="2"/>
      <c r="I1485" s="46"/>
      <c r="J1485" s="12"/>
      <c r="K1485" s="2"/>
      <c r="L1485" s="59"/>
    </row>
    <row r="1486" spans="1:12" x14ac:dyDescent="0.35">
      <c r="A1486" s="45">
        <v>1482</v>
      </c>
      <c r="B1486" s="2"/>
      <c r="C1486" s="2"/>
      <c r="D1486" s="2"/>
      <c r="E1486" s="3"/>
      <c r="F1486" s="3"/>
      <c r="G1486" s="2"/>
      <c r="H1486" s="2"/>
      <c r="I1486" s="46"/>
      <c r="J1486" s="12"/>
      <c r="K1486" s="2"/>
      <c r="L1486" s="59"/>
    </row>
    <row r="1487" spans="1:12" x14ac:dyDescent="0.35">
      <c r="A1487" s="45">
        <v>1483</v>
      </c>
      <c r="B1487" s="2"/>
      <c r="C1487" s="2"/>
      <c r="D1487" s="2"/>
      <c r="E1487" s="3"/>
      <c r="F1487" s="3"/>
      <c r="G1487" s="2"/>
      <c r="H1487" s="2"/>
      <c r="I1487" s="46"/>
      <c r="J1487" s="12"/>
      <c r="K1487" s="2"/>
      <c r="L1487" s="59"/>
    </row>
    <row r="1488" spans="1:12" x14ac:dyDescent="0.35">
      <c r="A1488" s="45">
        <v>1484</v>
      </c>
      <c r="B1488" s="2"/>
      <c r="C1488" s="2"/>
      <c r="D1488" s="2"/>
      <c r="E1488" s="3"/>
      <c r="F1488" s="3"/>
      <c r="G1488" s="2"/>
      <c r="H1488" s="2"/>
      <c r="I1488" s="46"/>
      <c r="J1488" s="12"/>
      <c r="K1488" s="2"/>
      <c r="L1488" s="59"/>
    </row>
    <row r="1489" spans="1:12" x14ac:dyDescent="0.35">
      <c r="A1489" s="45">
        <v>1485</v>
      </c>
      <c r="B1489" s="2"/>
      <c r="C1489" s="2"/>
      <c r="D1489" s="2"/>
      <c r="E1489" s="3"/>
      <c r="F1489" s="3"/>
      <c r="G1489" s="2"/>
      <c r="H1489" s="2"/>
      <c r="I1489" s="46"/>
      <c r="J1489" s="12"/>
      <c r="K1489" s="2"/>
      <c r="L1489" s="59"/>
    </row>
    <row r="1490" spans="1:12" x14ac:dyDescent="0.35">
      <c r="A1490" s="45">
        <v>1486</v>
      </c>
      <c r="B1490" s="2"/>
      <c r="C1490" s="2"/>
      <c r="D1490" s="2"/>
      <c r="E1490" s="3"/>
      <c r="F1490" s="3"/>
      <c r="G1490" s="2"/>
      <c r="H1490" s="2"/>
      <c r="I1490" s="46"/>
      <c r="J1490" s="12"/>
      <c r="K1490" s="2"/>
      <c r="L1490" s="59"/>
    </row>
    <row r="1491" spans="1:12" x14ac:dyDescent="0.35">
      <c r="A1491" s="45">
        <v>1487</v>
      </c>
      <c r="B1491" s="2"/>
      <c r="C1491" s="2"/>
      <c r="D1491" s="2"/>
      <c r="E1491" s="3"/>
      <c r="F1491" s="3"/>
      <c r="G1491" s="2"/>
      <c r="H1491" s="2"/>
      <c r="I1491" s="46"/>
      <c r="J1491" s="12"/>
      <c r="K1491" s="2"/>
      <c r="L1491" s="59"/>
    </row>
    <row r="1492" spans="1:12" x14ac:dyDescent="0.35">
      <c r="A1492" s="45">
        <v>1488</v>
      </c>
      <c r="B1492" s="2"/>
      <c r="C1492" s="2"/>
      <c r="D1492" s="2"/>
      <c r="E1492" s="3"/>
      <c r="F1492" s="3"/>
      <c r="G1492" s="2"/>
      <c r="H1492" s="2"/>
      <c r="I1492" s="46"/>
      <c r="J1492" s="12"/>
      <c r="K1492" s="2"/>
      <c r="L1492" s="59"/>
    </row>
    <row r="1493" spans="1:12" x14ac:dyDescent="0.35">
      <c r="A1493" s="45">
        <v>1489</v>
      </c>
      <c r="B1493" s="2"/>
      <c r="C1493" s="2"/>
      <c r="D1493" s="2"/>
      <c r="E1493" s="3"/>
      <c r="F1493" s="3"/>
      <c r="G1493" s="2"/>
      <c r="H1493" s="2"/>
      <c r="I1493" s="46"/>
      <c r="J1493" s="12"/>
      <c r="K1493" s="2"/>
      <c r="L1493" s="59"/>
    </row>
    <row r="1494" spans="1:12" x14ac:dyDescent="0.35">
      <c r="A1494" s="45">
        <v>1490</v>
      </c>
      <c r="B1494" s="2"/>
      <c r="C1494" s="2"/>
      <c r="D1494" s="2"/>
      <c r="E1494" s="3"/>
      <c r="F1494" s="3"/>
      <c r="G1494" s="2"/>
      <c r="H1494" s="2"/>
      <c r="I1494" s="46"/>
      <c r="J1494" s="12"/>
      <c r="K1494" s="2"/>
      <c r="L1494" s="59"/>
    </row>
    <row r="1495" spans="1:12" x14ac:dyDescent="0.35">
      <c r="A1495" s="45">
        <v>1491</v>
      </c>
      <c r="B1495" s="2"/>
      <c r="C1495" s="2"/>
      <c r="D1495" s="2"/>
      <c r="E1495" s="3"/>
      <c r="F1495" s="3"/>
      <c r="G1495" s="2"/>
      <c r="H1495" s="2"/>
      <c r="I1495" s="46"/>
      <c r="J1495" s="12"/>
      <c r="K1495" s="2"/>
      <c r="L1495" s="59"/>
    </row>
    <row r="1496" spans="1:12" x14ac:dyDescent="0.35">
      <c r="A1496" s="45">
        <v>1492</v>
      </c>
      <c r="B1496" s="2"/>
      <c r="C1496" s="2"/>
      <c r="D1496" s="2"/>
      <c r="E1496" s="3"/>
      <c r="F1496" s="3"/>
      <c r="G1496" s="2"/>
      <c r="H1496" s="2"/>
      <c r="I1496" s="46"/>
      <c r="J1496" s="12"/>
      <c r="K1496" s="2"/>
      <c r="L1496" s="59"/>
    </row>
    <row r="1497" spans="1:12" x14ac:dyDescent="0.35">
      <c r="A1497" s="45">
        <v>1493</v>
      </c>
      <c r="B1497" s="2"/>
      <c r="C1497" s="2"/>
      <c r="D1497" s="2"/>
      <c r="E1497" s="3"/>
      <c r="F1497" s="3"/>
      <c r="G1497" s="2"/>
      <c r="H1497" s="2"/>
      <c r="I1497" s="46"/>
      <c r="J1497" s="12"/>
      <c r="K1497" s="2"/>
      <c r="L1497" s="59"/>
    </row>
    <row r="1498" spans="1:12" x14ac:dyDescent="0.35">
      <c r="A1498" s="45">
        <v>1494</v>
      </c>
      <c r="B1498" s="2"/>
      <c r="C1498" s="2"/>
      <c r="D1498" s="2"/>
      <c r="E1498" s="3"/>
      <c r="F1498" s="3"/>
      <c r="G1498" s="2"/>
      <c r="H1498" s="2"/>
      <c r="I1498" s="46"/>
      <c r="J1498" s="12"/>
      <c r="K1498" s="2"/>
      <c r="L1498" s="59"/>
    </row>
    <row r="1499" spans="1:12" x14ac:dyDescent="0.35">
      <c r="A1499" s="45">
        <v>1495</v>
      </c>
      <c r="B1499" s="2"/>
      <c r="C1499" s="2"/>
      <c r="D1499" s="2"/>
      <c r="E1499" s="3"/>
      <c r="F1499" s="3"/>
      <c r="G1499" s="2"/>
      <c r="H1499" s="2"/>
      <c r="I1499" s="46"/>
      <c r="J1499" s="12"/>
      <c r="K1499" s="2"/>
      <c r="L1499" s="59"/>
    </row>
    <row r="1500" spans="1:12" x14ac:dyDescent="0.35">
      <c r="A1500" s="45">
        <v>1496</v>
      </c>
      <c r="B1500" s="2"/>
      <c r="C1500" s="2"/>
      <c r="D1500" s="2"/>
      <c r="E1500" s="3"/>
      <c r="F1500" s="3"/>
      <c r="G1500" s="2"/>
      <c r="H1500" s="2"/>
      <c r="I1500" s="46"/>
      <c r="J1500" s="12"/>
      <c r="K1500" s="2"/>
      <c r="L1500" s="59"/>
    </row>
    <row r="1501" spans="1:12" x14ac:dyDescent="0.35">
      <c r="A1501" s="45">
        <v>1497</v>
      </c>
      <c r="B1501" s="2"/>
      <c r="C1501" s="2"/>
      <c r="D1501" s="2"/>
      <c r="E1501" s="3"/>
      <c r="F1501" s="3"/>
      <c r="G1501" s="2"/>
      <c r="H1501" s="2"/>
      <c r="I1501" s="46"/>
      <c r="J1501" s="12"/>
      <c r="K1501" s="2"/>
      <c r="L1501" s="59"/>
    </row>
    <row r="1502" spans="1:12" x14ac:dyDescent="0.35">
      <c r="A1502" s="45">
        <v>1498</v>
      </c>
      <c r="B1502" s="2"/>
      <c r="C1502" s="2"/>
      <c r="D1502" s="2"/>
      <c r="E1502" s="3"/>
      <c r="F1502" s="3"/>
      <c r="G1502" s="2"/>
      <c r="H1502" s="2"/>
      <c r="I1502" s="46"/>
      <c r="J1502" s="12"/>
      <c r="K1502" s="2"/>
      <c r="L1502" s="59"/>
    </row>
    <row r="1503" spans="1:12" x14ac:dyDescent="0.35">
      <c r="A1503" s="45">
        <v>1499</v>
      </c>
      <c r="B1503" s="2"/>
      <c r="C1503" s="2"/>
      <c r="D1503" s="2"/>
      <c r="E1503" s="3"/>
      <c r="F1503" s="3"/>
      <c r="G1503" s="2"/>
      <c r="H1503" s="2"/>
      <c r="I1503" s="46"/>
      <c r="J1503" s="12"/>
      <c r="K1503" s="2"/>
      <c r="L1503" s="59"/>
    </row>
    <row r="1504" spans="1:12" x14ac:dyDescent="0.35">
      <c r="A1504" s="45">
        <v>1500</v>
      </c>
      <c r="B1504" s="2"/>
      <c r="C1504" s="2"/>
      <c r="D1504" s="2"/>
      <c r="E1504" s="3"/>
      <c r="F1504" s="3"/>
      <c r="G1504" s="2"/>
      <c r="H1504" s="2"/>
      <c r="I1504" s="46"/>
      <c r="J1504" s="12"/>
      <c r="K1504" s="2"/>
      <c r="L1504" s="59"/>
    </row>
    <row r="1505" spans="1:12" x14ac:dyDescent="0.35">
      <c r="A1505" s="45">
        <v>1501</v>
      </c>
      <c r="B1505" s="2"/>
      <c r="C1505" s="2"/>
      <c r="D1505" s="2"/>
      <c r="E1505" s="3"/>
      <c r="F1505" s="3"/>
      <c r="G1505" s="2"/>
      <c r="H1505" s="2"/>
      <c r="I1505" s="46"/>
      <c r="J1505" s="12"/>
      <c r="K1505" s="2"/>
      <c r="L1505" s="59"/>
    </row>
    <row r="1506" spans="1:12" x14ac:dyDescent="0.35">
      <c r="A1506" s="45">
        <v>1502</v>
      </c>
      <c r="B1506" s="2"/>
      <c r="C1506" s="2"/>
      <c r="D1506" s="2"/>
      <c r="E1506" s="3"/>
      <c r="F1506" s="3"/>
      <c r="G1506" s="2"/>
      <c r="H1506" s="2"/>
      <c r="I1506" s="46"/>
      <c r="J1506" s="12"/>
      <c r="K1506" s="2"/>
      <c r="L1506" s="59"/>
    </row>
    <row r="1507" spans="1:12" x14ac:dyDescent="0.35">
      <c r="A1507" s="45">
        <v>1503</v>
      </c>
      <c r="B1507" s="2"/>
      <c r="C1507" s="2"/>
      <c r="D1507" s="2"/>
      <c r="E1507" s="3"/>
      <c r="F1507" s="3"/>
      <c r="G1507" s="2"/>
      <c r="H1507" s="2"/>
      <c r="I1507" s="46"/>
      <c r="J1507" s="12"/>
      <c r="K1507" s="2"/>
      <c r="L1507" s="59"/>
    </row>
    <row r="1508" spans="1:12" x14ac:dyDescent="0.35">
      <c r="A1508" s="45">
        <v>1504</v>
      </c>
      <c r="B1508" s="2"/>
      <c r="C1508" s="2"/>
      <c r="D1508" s="2"/>
      <c r="E1508" s="3"/>
      <c r="F1508" s="3"/>
      <c r="G1508" s="2"/>
      <c r="H1508" s="2"/>
      <c r="I1508" s="46"/>
      <c r="J1508" s="12"/>
      <c r="K1508" s="2"/>
      <c r="L1508" s="59"/>
    </row>
    <row r="1509" spans="1:12" x14ac:dyDescent="0.35">
      <c r="A1509" s="45">
        <v>1505</v>
      </c>
      <c r="B1509" s="2"/>
      <c r="C1509" s="2"/>
      <c r="D1509" s="2"/>
      <c r="E1509" s="3"/>
      <c r="F1509" s="3"/>
      <c r="G1509" s="2"/>
      <c r="H1509" s="2"/>
      <c r="I1509" s="46"/>
      <c r="J1509" s="12"/>
      <c r="K1509" s="2"/>
      <c r="L1509" s="59"/>
    </row>
    <row r="1510" spans="1:12" x14ac:dyDescent="0.35">
      <c r="A1510" s="45">
        <v>1506</v>
      </c>
      <c r="B1510" s="2"/>
      <c r="C1510" s="2"/>
      <c r="D1510" s="2"/>
      <c r="E1510" s="3"/>
      <c r="F1510" s="3"/>
      <c r="G1510" s="2"/>
      <c r="H1510" s="2"/>
      <c r="I1510" s="46"/>
      <c r="J1510" s="12"/>
      <c r="K1510" s="2"/>
      <c r="L1510" s="59"/>
    </row>
    <row r="1511" spans="1:12" x14ac:dyDescent="0.35">
      <c r="A1511" s="45">
        <v>1507</v>
      </c>
      <c r="B1511" s="2"/>
      <c r="C1511" s="2"/>
      <c r="D1511" s="2"/>
      <c r="E1511" s="3"/>
      <c r="F1511" s="3"/>
      <c r="G1511" s="2"/>
      <c r="H1511" s="2"/>
      <c r="I1511" s="46"/>
      <c r="J1511" s="12"/>
      <c r="K1511" s="2"/>
      <c r="L1511" s="59"/>
    </row>
    <row r="1512" spans="1:12" x14ac:dyDescent="0.35">
      <c r="A1512" s="45">
        <v>1508</v>
      </c>
      <c r="B1512" s="2"/>
      <c r="C1512" s="2"/>
      <c r="D1512" s="2"/>
      <c r="E1512" s="3"/>
      <c r="F1512" s="3"/>
      <c r="G1512" s="2"/>
      <c r="H1512" s="2"/>
      <c r="I1512" s="46"/>
      <c r="J1512" s="12"/>
      <c r="K1512" s="2"/>
      <c r="L1512" s="59"/>
    </row>
    <row r="1513" spans="1:12" x14ac:dyDescent="0.35">
      <c r="A1513" s="45">
        <v>1509</v>
      </c>
      <c r="B1513" s="2"/>
      <c r="C1513" s="2"/>
      <c r="D1513" s="2"/>
      <c r="E1513" s="3"/>
      <c r="F1513" s="3"/>
      <c r="G1513" s="2"/>
      <c r="H1513" s="2"/>
      <c r="I1513" s="46"/>
      <c r="J1513" s="12"/>
      <c r="K1513" s="2"/>
      <c r="L1513" s="59"/>
    </row>
    <row r="1514" spans="1:12" x14ac:dyDescent="0.35">
      <c r="A1514" s="45">
        <v>1510</v>
      </c>
      <c r="B1514" s="2"/>
      <c r="C1514" s="2"/>
      <c r="D1514" s="2"/>
      <c r="E1514" s="3"/>
      <c r="F1514" s="3"/>
      <c r="G1514" s="2"/>
      <c r="H1514" s="2"/>
      <c r="I1514" s="46"/>
      <c r="J1514" s="12"/>
      <c r="K1514" s="2"/>
      <c r="L1514" s="59"/>
    </row>
    <row r="1515" spans="1:12" x14ac:dyDescent="0.35">
      <c r="A1515" s="45">
        <v>1511</v>
      </c>
      <c r="B1515" s="2"/>
      <c r="C1515" s="2"/>
      <c r="D1515" s="2"/>
      <c r="E1515" s="3"/>
      <c r="F1515" s="3"/>
      <c r="G1515" s="2"/>
      <c r="H1515" s="2"/>
      <c r="I1515" s="46"/>
      <c r="J1515" s="12"/>
      <c r="K1515" s="2"/>
      <c r="L1515" s="59"/>
    </row>
    <row r="1516" spans="1:12" x14ac:dyDescent="0.35">
      <c r="A1516" s="45">
        <v>1512</v>
      </c>
      <c r="B1516" s="2"/>
      <c r="C1516" s="2"/>
      <c r="D1516" s="2"/>
      <c r="E1516" s="3"/>
      <c r="F1516" s="3"/>
      <c r="G1516" s="2"/>
      <c r="H1516" s="2"/>
      <c r="I1516" s="46"/>
      <c r="J1516" s="12"/>
      <c r="K1516" s="2"/>
      <c r="L1516" s="59"/>
    </row>
    <row r="1517" spans="1:12" x14ac:dyDescent="0.35">
      <c r="A1517" s="45">
        <v>1513</v>
      </c>
      <c r="B1517" s="2"/>
      <c r="C1517" s="2"/>
      <c r="D1517" s="2"/>
      <c r="E1517" s="3"/>
      <c r="F1517" s="3"/>
      <c r="G1517" s="2"/>
      <c r="H1517" s="2"/>
      <c r="I1517" s="46"/>
      <c r="J1517" s="12"/>
      <c r="K1517" s="2"/>
      <c r="L1517" s="59"/>
    </row>
    <row r="1518" spans="1:12" x14ac:dyDescent="0.35">
      <c r="A1518" s="45">
        <v>1514</v>
      </c>
      <c r="B1518" s="2"/>
      <c r="C1518" s="2"/>
      <c r="D1518" s="2"/>
      <c r="E1518" s="3"/>
      <c r="F1518" s="3"/>
      <c r="G1518" s="2"/>
      <c r="H1518" s="2"/>
      <c r="I1518" s="46"/>
      <c r="J1518" s="12"/>
      <c r="K1518" s="2"/>
      <c r="L1518" s="59"/>
    </row>
    <row r="1519" spans="1:12" x14ac:dyDescent="0.35">
      <c r="A1519" s="45">
        <v>1515</v>
      </c>
      <c r="B1519" s="2"/>
      <c r="C1519" s="2"/>
      <c r="D1519" s="2"/>
      <c r="E1519" s="3"/>
      <c r="F1519" s="3"/>
      <c r="G1519" s="2"/>
      <c r="H1519" s="2"/>
      <c r="I1519" s="46"/>
      <c r="J1519" s="12"/>
      <c r="K1519" s="2"/>
      <c r="L1519" s="59"/>
    </row>
    <row r="1520" spans="1:12" x14ac:dyDescent="0.35">
      <c r="A1520" s="45">
        <v>1516</v>
      </c>
      <c r="B1520" s="2"/>
      <c r="C1520" s="2"/>
      <c r="D1520" s="2"/>
      <c r="E1520" s="3"/>
      <c r="F1520" s="3"/>
      <c r="G1520" s="2"/>
      <c r="H1520" s="2"/>
      <c r="I1520" s="46"/>
      <c r="J1520" s="12"/>
      <c r="K1520" s="2"/>
      <c r="L1520" s="59"/>
    </row>
    <row r="1521" spans="1:12" x14ac:dyDescent="0.35">
      <c r="A1521" s="45">
        <v>1517</v>
      </c>
      <c r="B1521" s="2"/>
      <c r="C1521" s="2"/>
      <c r="D1521" s="2"/>
      <c r="E1521" s="3"/>
      <c r="F1521" s="3"/>
      <c r="G1521" s="2"/>
      <c r="H1521" s="2"/>
      <c r="I1521" s="46"/>
      <c r="J1521" s="12"/>
      <c r="K1521" s="2"/>
      <c r="L1521" s="59"/>
    </row>
    <row r="1522" spans="1:12" x14ac:dyDescent="0.35">
      <c r="A1522" s="45">
        <v>1518</v>
      </c>
      <c r="B1522" s="2"/>
      <c r="C1522" s="2"/>
      <c r="D1522" s="2"/>
      <c r="E1522" s="3"/>
      <c r="F1522" s="3"/>
      <c r="G1522" s="2"/>
      <c r="H1522" s="2"/>
      <c r="I1522" s="46"/>
      <c r="J1522" s="12"/>
      <c r="K1522" s="2"/>
      <c r="L1522" s="59"/>
    </row>
    <row r="1523" spans="1:12" x14ac:dyDescent="0.35">
      <c r="A1523" s="45">
        <v>1519</v>
      </c>
      <c r="B1523" s="2"/>
      <c r="C1523" s="2"/>
      <c r="D1523" s="2"/>
      <c r="E1523" s="3"/>
      <c r="F1523" s="3"/>
      <c r="G1523" s="2"/>
      <c r="H1523" s="2"/>
      <c r="I1523" s="46"/>
      <c r="J1523" s="12"/>
      <c r="K1523" s="2"/>
      <c r="L1523" s="59"/>
    </row>
    <row r="1524" spans="1:12" x14ac:dyDescent="0.35">
      <c r="A1524" s="45">
        <v>1520</v>
      </c>
      <c r="B1524" s="2"/>
      <c r="C1524" s="2"/>
      <c r="D1524" s="2"/>
      <c r="E1524" s="3"/>
      <c r="F1524" s="3"/>
      <c r="G1524" s="2"/>
      <c r="H1524" s="2"/>
      <c r="I1524" s="46"/>
      <c r="J1524" s="12"/>
      <c r="K1524" s="2"/>
      <c r="L1524" s="59"/>
    </row>
    <row r="1525" spans="1:12" x14ac:dyDescent="0.35">
      <c r="A1525" s="45">
        <v>1521</v>
      </c>
      <c r="B1525" s="2"/>
      <c r="C1525" s="2"/>
      <c r="D1525" s="2"/>
      <c r="E1525" s="3"/>
      <c r="F1525" s="3"/>
      <c r="G1525" s="2"/>
      <c r="H1525" s="2"/>
      <c r="I1525" s="46"/>
      <c r="J1525" s="12"/>
      <c r="K1525" s="2"/>
      <c r="L1525" s="59"/>
    </row>
    <row r="1526" spans="1:12" x14ac:dyDescent="0.35">
      <c r="A1526" s="45">
        <v>1522</v>
      </c>
      <c r="B1526" s="2"/>
      <c r="C1526" s="2"/>
      <c r="D1526" s="2"/>
      <c r="E1526" s="3"/>
      <c r="F1526" s="3"/>
      <c r="G1526" s="2"/>
      <c r="H1526" s="2"/>
      <c r="I1526" s="46"/>
      <c r="J1526" s="12"/>
      <c r="K1526" s="2"/>
      <c r="L1526" s="59"/>
    </row>
    <row r="1527" spans="1:12" x14ac:dyDescent="0.35">
      <c r="A1527" s="45">
        <v>1523</v>
      </c>
      <c r="B1527" s="2"/>
      <c r="C1527" s="2"/>
      <c r="D1527" s="2"/>
      <c r="E1527" s="3"/>
      <c r="F1527" s="3"/>
      <c r="G1527" s="2"/>
      <c r="H1527" s="2"/>
      <c r="I1527" s="46"/>
      <c r="J1527" s="12"/>
      <c r="K1527" s="2"/>
      <c r="L1527" s="59"/>
    </row>
    <row r="1528" spans="1:12" x14ac:dyDescent="0.35">
      <c r="A1528" s="45">
        <v>1524</v>
      </c>
      <c r="B1528" s="2"/>
      <c r="C1528" s="2"/>
      <c r="D1528" s="2"/>
      <c r="E1528" s="3"/>
      <c r="F1528" s="3"/>
      <c r="G1528" s="2"/>
      <c r="H1528" s="2"/>
      <c r="I1528" s="46"/>
      <c r="J1528" s="12"/>
      <c r="K1528" s="2"/>
      <c r="L1528" s="59"/>
    </row>
    <row r="1529" spans="1:12" x14ac:dyDescent="0.35">
      <c r="A1529" s="45">
        <v>1525</v>
      </c>
      <c r="B1529" s="2"/>
      <c r="C1529" s="2"/>
      <c r="D1529" s="2"/>
      <c r="E1529" s="3"/>
      <c r="F1529" s="3"/>
      <c r="G1529" s="2"/>
      <c r="H1529" s="2"/>
      <c r="I1529" s="46"/>
      <c r="J1529" s="12"/>
      <c r="K1529" s="2"/>
      <c r="L1529" s="59"/>
    </row>
    <row r="1530" spans="1:12" x14ac:dyDescent="0.35">
      <c r="A1530" s="45">
        <v>1526</v>
      </c>
      <c r="B1530" s="2"/>
      <c r="C1530" s="2"/>
      <c r="D1530" s="2"/>
      <c r="E1530" s="3"/>
      <c r="F1530" s="3"/>
      <c r="G1530" s="2"/>
      <c r="H1530" s="2"/>
      <c r="I1530" s="46"/>
      <c r="J1530" s="12"/>
      <c r="K1530" s="2"/>
      <c r="L1530" s="59"/>
    </row>
    <row r="1531" spans="1:12" x14ac:dyDescent="0.35">
      <c r="A1531" s="45">
        <v>1527</v>
      </c>
      <c r="B1531" s="2"/>
      <c r="C1531" s="2"/>
      <c r="D1531" s="2"/>
      <c r="E1531" s="3"/>
      <c r="F1531" s="3"/>
      <c r="G1531" s="2"/>
      <c r="H1531" s="2"/>
      <c r="I1531" s="46"/>
      <c r="J1531" s="12"/>
      <c r="K1531" s="2"/>
      <c r="L1531" s="59"/>
    </row>
    <row r="1532" spans="1:12" x14ac:dyDescent="0.35">
      <c r="A1532" s="45">
        <v>1528</v>
      </c>
      <c r="B1532" s="2"/>
      <c r="C1532" s="2"/>
      <c r="D1532" s="2"/>
      <c r="E1532" s="3"/>
      <c r="F1532" s="3"/>
      <c r="G1532" s="2"/>
      <c r="H1532" s="2"/>
      <c r="I1532" s="46"/>
      <c r="J1532" s="12"/>
      <c r="K1532" s="2"/>
      <c r="L1532" s="59"/>
    </row>
    <row r="1533" spans="1:12" x14ac:dyDescent="0.35">
      <c r="A1533" s="45">
        <v>1529</v>
      </c>
      <c r="B1533" s="2"/>
      <c r="C1533" s="2"/>
      <c r="D1533" s="2"/>
      <c r="E1533" s="3"/>
      <c r="F1533" s="3"/>
      <c r="G1533" s="2"/>
      <c r="H1533" s="2"/>
      <c r="I1533" s="46"/>
      <c r="J1533" s="12"/>
      <c r="K1533" s="2"/>
      <c r="L1533" s="59"/>
    </row>
    <row r="1534" spans="1:12" x14ac:dyDescent="0.35">
      <c r="A1534" s="45">
        <v>1530</v>
      </c>
      <c r="B1534" s="2"/>
      <c r="C1534" s="2"/>
      <c r="D1534" s="2"/>
      <c r="E1534" s="3"/>
      <c r="F1534" s="3"/>
      <c r="G1534" s="2"/>
      <c r="H1534" s="2"/>
      <c r="I1534" s="46"/>
      <c r="J1534" s="12"/>
      <c r="K1534" s="2"/>
      <c r="L1534" s="59"/>
    </row>
    <row r="1535" spans="1:12" x14ac:dyDescent="0.35">
      <c r="A1535" s="45">
        <v>1531</v>
      </c>
      <c r="B1535" s="2"/>
      <c r="C1535" s="2"/>
      <c r="D1535" s="2"/>
      <c r="E1535" s="3"/>
      <c r="F1535" s="3"/>
      <c r="G1535" s="2"/>
      <c r="H1535" s="2"/>
      <c r="I1535" s="46"/>
      <c r="J1535" s="12"/>
      <c r="K1535" s="2"/>
      <c r="L1535" s="59"/>
    </row>
    <row r="1536" spans="1:12" x14ac:dyDescent="0.35">
      <c r="A1536" s="45">
        <v>1532</v>
      </c>
      <c r="B1536" s="2"/>
      <c r="C1536" s="2"/>
      <c r="D1536" s="2"/>
      <c r="E1536" s="3"/>
      <c r="F1536" s="3"/>
      <c r="G1536" s="2"/>
      <c r="H1536" s="2"/>
      <c r="I1536" s="46"/>
      <c r="J1536" s="12"/>
      <c r="K1536" s="2"/>
      <c r="L1536" s="59"/>
    </row>
    <row r="1537" spans="1:12" x14ac:dyDescent="0.35">
      <c r="A1537" s="45">
        <v>1533</v>
      </c>
      <c r="B1537" s="2"/>
      <c r="C1537" s="2"/>
      <c r="D1537" s="2"/>
      <c r="E1537" s="3"/>
      <c r="F1537" s="3"/>
      <c r="G1537" s="2"/>
      <c r="H1537" s="2"/>
      <c r="I1537" s="46"/>
      <c r="J1537" s="12"/>
      <c r="K1537" s="2"/>
      <c r="L1537" s="59"/>
    </row>
    <row r="1538" spans="1:12" x14ac:dyDescent="0.35">
      <c r="A1538" s="45">
        <v>1534</v>
      </c>
      <c r="B1538" s="2"/>
      <c r="C1538" s="2"/>
      <c r="D1538" s="2"/>
      <c r="E1538" s="3"/>
      <c r="F1538" s="3"/>
      <c r="G1538" s="2"/>
      <c r="H1538" s="2"/>
      <c r="I1538" s="46"/>
      <c r="J1538" s="12"/>
      <c r="K1538" s="2"/>
      <c r="L1538" s="59"/>
    </row>
    <row r="1539" spans="1:12" x14ac:dyDescent="0.35">
      <c r="A1539" s="45">
        <v>1535</v>
      </c>
      <c r="B1539" s="2"/>
      <c r="C1539" s="2"/>
      <c r="D1539" s="2"/>
      <c r="E1539" s="3"/>
      <c r="F1539" s="3"/>
      <c r="G1539" s="2"/>
      <c r="H1539" s="2"/>
      <c r="I1539" s="46"/>
      <c r="J1539" s="12"/>
      <c r="K1539" s="2"/>
      <c r="L1539" s="59"/>
    </row>
    <row r="1540" spans="1:12" x14ac:dyDescent="0.35">
      <c r="A1540" s="45">
        <v>1536</v>
      </c>
      <c r="B1540" s="2"/>
      <c r="C1540" s="2"/>
      <c r="D1540" s="2"/>
      <c r="E1540" s="3"/>
      <c r="F1540" s="3"/>
      <c r="G1540" s="2"/>
      <c r="H1540" s="2"/>
      <c r="I1540" s="46"/>
      <c r="J1540" s="12"/>
      <c r="K1540" s="2"/>
      <c r="L1540" s="59"/>
    </row>
    <row r="1541" spans="1:12" x14ac:dyDescent="0.35">
      <c r="A1541" s="45">
        <v>1537</v>
      </c>
      <c r="B1541" s="2"/>
      <c r="C1541" s="2"/>
      <c r="D1541" s="2"/>
      <c r="E1541" s="3"/>
      <c r="F1541" s="3"/>
      <c r="G1541" s="2"/>
      <c r="H1541" s="2"/>
      <c r="I1541" s="46"/>
      <c r="J1541" s="12"/>
      <c r="K1541" s="2"/>
      <c r="L1541" s="59"/>
    </row>
    <row r="1542" spans="1:12" x14ac:dyDescent="0.35">
      <c r="A1542" s="45">
        <v>1538</v>
      </c>
      <c r="B1542" s="2"/>
      <c r="C1542" s="2"/>
      <c r="D1542" s="2"/>
      <c r="E1542" s="3"/>
      <c r="F1542" s="3"/>
      <c r="G1542" s="2"/>
      <c r="H1542" s="2"/>
      <c r="I1542" s="46"/>
      <c r="J1542" s="12"/>
      <c r="K1542" s="2"/>
      <c r="L1542" s="59"/>
    </row>
    <row r="1543" spans="1:12" x14ac:dyDescent="0.35">
      <c r="A1543" s="45">
        <v>1539</v>
      </c>
      <c r="B1543" s="2"/>
      <c r="C1543" s="2"/>
      <c r="D1543" s="2"/>
      <c r="E1543" s="3"/>
      <c r="F1543" s="3"/>
      <c r="G1543" s="2"/>
      <c r="H1543" s="2"/>
      <c r="I1543" s="46"/>
      <c r="J1543" s="12"/>
      <c r="K1543" s="2"/>
      <c r="L1543" s="59"/>
    </row>
    <row r="1544" spans="1:12" x14ac:dyDescent="0.35">
      <c r="A1544" s="45">
        <v>1540</v>
      </c>
      <c r="B1544" s="2"/>
      <c r="C1544" s="2"/>
      <c r="D1544" s="2"/>
      <c r="E1544" s="3"/>
      <c r="F1544" s="3"/>
      <c r="G1544" s="2"/>
      <c r="H1544" s="2"/>
      <c r="I1544" s="46"/>
      <c r="J1544" s="12"/>
      <c r="K1544" s="2"/>
      <c r="L1544" s="59"/>
    </row>
    <row r="1545" spans="1:12" x14ac:dyDescent="0.35">
      <c r="A1545" s="45">
        <v>1541</v>
      </c>
      <c r="B1545" s="2"/>
      <c r="C1545" s="2"/>
      <c r="D1545" s="2"/>
      <c r="E1545" s="3"/>
      <c r="F1545" s="3"/>
      <c r="G1545" s="2"/>
      <c r="H1545" s="2"/>
      <c r="I1545" s="46"/>
      <c r="J1545" s="12"/>
      <c r="K1545" s="2"/>
      <c r="L1545" s="59"/>
    </row>
    <row r="1546" spans="1:12" x14ac:dyDescent="0.35">
      <c r="A1546" s="45">
        <v>1542</v>
      </c>
      <c r="B1546" s="2"/>
      <c r="C1546" s="2"/>
      <c r="D1546" s="2"/>
      <c r="E1546" s="3"/>
      <c r="F1546" s="3"/>
      <c r="G1546" s="2"/>
      <c r="H1546" s="2"/>
      <c r="I1546" s="46"/>
      <c r="J1546" s="12"/>
      <c r="K1546" s="2"/>
      <c r="L1546" s="59"/>
    </row>
    <row r="1547" spans="1:12" x14ac:dyDescent="0.35">
      <c r="A1547" s="45">
        <v>1543</v>
      </c>
      <c r="B1547" s="2"/>
      <c r="C1547" s="2"/>
      <c r="D1547" s="2"/>
      <c r="E1547" s="3"/>
      <c r="F1547" s="3"/>
      <c r="G1547" s="2"/>
      <c r="H1547" s="2"/>
      <c r="I1547" s="46"/>
      <c r="J1547" s="12"/>
      <c r="K1547" s="2"/>
      <c r="L1547" s="59"/>
    </row>
    <row r="1548" spans="1:12" x14ac:dyDescent="0.35">
      <c r="A1548" s="45">
        <v>1544</v>
      </c>
      <c r="B1548" s="2"/>
      <c r="C1548" s="2"/>
      <c r="D1548" s="2"/>
      <c r="E1548" s="3"/>
      <c r="F1548" s="3"/>
      <c r="G1548" s="2"/>
      <c r="H1548" s="2"/>
      <c r="I1548" s="46"/>
      <c r="J1548" s="12"/>
      <c r="K1548" s="2"/>
      <c r="L1548" s="59"/>
    </row>
    <row r="1549" spans="1:12" x14ac:dyDescent="0.35">
      <c r="A1549" s="45">
        <v>1545</v>
      </c>
      <c r="B1549" s="2"/>
      <c r="C1549" s="2"/>
      <c r="D1549" s="2"/>
      <c r="E1549" s="3"/>
      <c r="F1549" s="3"/>
      <c r="G1549" s="2"/>
      <c r="H1549" s="2"/>
      <c r="I1549" s="46"/>
      <c r="J1549" s="12"/>
      <c r="K1549" s="2"/>
      <c r="L1549" s="59"/>
    </row>
    <row r="1550" spans="1:12" x14ac:dyDescent="0.35">
      <c r="A1550" s="45">
        <v>1546</v>
      </c>
      <c r="B1550" s="2"/>
      <c r="C1550" s="2"/>
      <c r="D1550" s="2"/>
      <c r="E1550" s="3"/>
      <c r="F1550" s="3"/>
      <c r="G1550" s="2"/>
      <c r="H1550" s="2"/>
      <c r="I1550" s="46"/>
      <c r="J1550" s="12"/>
      <c r="K1550" s="2"/>
      <c r="L1550" s="59"/>
    </row>
    <row r="1551" spans="1:12" x14ac:dyDescent="0.35">
      <c r="A1551" s="45">
        <v>1547</v>
      </c>
      <c r="B1551" s="2"/>
      <c r="C1551" s="2"/>
      <c r="D1551" s="2"/>
      <c r="E1551" s="3"/>
      <c r="F1551" s="3"/>
      <c r="G1551" s="2"/>
      <c r="H1551" s="2"/>
      <c r="I1551" s="46"/>
      <c r="J1551" s="12"/>
      <c r="K1551" s="2"/>
      <c r="L1551" s="59"/>
    </row>
    <row r="1552" spans="1:12" x14ac:dyDescent="0.35">
      <c r="A1552" s="45">
        <v>1548</v>
      </c>
      <c r="B1552" s="2"/>
      <c r="C1552" s="2"/>
      <c r="D1552" s="2"/>
      <c r="E1552" s="3"/>
      <c r="F1552" s="3"/>
      <c r="G1552" s="2"/>
      <c r="H1552" s="2"/>
      <c r="I1552" s="46"/>
      <c r="J1552" s="12"/>
      <c r="K1552" s="2"/>
      <c r="L1552" s="59"/>
    </row>
    <row r="1553" spans="1:12" x14ac:dyDescent="0.35">
      <c r="A1553" s="45">
        <v>1549</v>
      </c>
      <c r="B1553" s="2"/>
      <c r="C1553" s="2"/>
      <c r="D1553" s="2"/>
      <c r="E1553" s="3"/>
      <c r="F1553" s="3"/>
      <c r="G1553" s="2"/>
      <c r="H1553" s="2"/>
      <c r="I1553" s="46"/>
      <c r="J1553" s="12"/>
      <c r="K1553" s="2"/>
      <c r="L1553" s="59"/>
    </row>
    <row r="1554" spans="1:12" x14ac:dyDescent="0.35">
      <c r="A1554" s="45">
        <v>1550</v>
      </c>
      <c r="B1554" s="2"/>
      <c r="C1554" s="2"/>
      <c r="D1554" s="2"/>
      <c r="E1554" s="3"/>
      <c r="F1554" s="3"/>
      <c r="G1554" s="2"/>
      <c r="H1554" s="2"/>
      <c r="I1554" s="46"/>
      <c r="J1554" s="12"/>
      <c r="K1554" s="2"/>
      <c r="L1554" s="59"/>
    </row>
    <row r="1555" spans="1:12" x14ac:dyDescent="0.35">
      <c r="A1555" s="45">
        <v>1551</v>
      </c>
      <c r="B1555" s="2"/>
      <c r="C1555" s="2"/>
      <c r="D1555" s="2"/>
      <c r="E1555" s="3"/>
      <c r="F1555" s="3"/>
      <c r="G1555" s="2"/>
      <c r="H1555" s="2"/>
      <c r="I1555" s="46"/>
      <c r="J1555" s="12"/>
      <c r="K1555" s="2"/>
      <c r="L1555" s="59"/>
    </row>
    <row r="1556" spans="1:12" x14ac:dyDescent="0.35">
      <c r="A1556" s="45">
        <v>1552</v>
      </c>
      <c r="B1556" s="2"/>
      <c r="C1556" s="2"/>
      <c r="D1556" s="2"/>
      <c r="E1556" s="3"/>
      <c r="F1556" s="3"/>
      <c r="G1556" s="2"/>
      <c r="H1556" s="2"/>
      <c r="I1556" s="46"/>
      <c r="J1556" s="12"/>
      <c r="K1556" s="2"/>
      <c r="L1556" s="59"/>
    </row>
    <row r="1557" spans="1:12" x14ac:dyDescent="0.35">
      <c r="A1557" s="45">
        <v>1553</v>
      </c>
      <c r="B1557" s="2"/>
      <c r="C1557" s="2"/>
      <c r="D1557" s="2"/>
      <c r="E1557" s="3"/>
      <c r="F1557" s="3"/>
      <c r="G1557" s="2"/>
      <c r="H1557" s="2"/>
      <c r="I1557" s="46"/>
      <c r="J1557" s="12"/>
      <c r="K1557" s="2"/>
      <c r="L1557" s="59"/>
    </row>
    <row r="1558" spans="1:12" x14ac:dyDescent="0.35">
      <c r="A1558" s="45">
        <v>1554</v>
      </c>
      <c r="B1558" s="2"/>
      <c r="C1558" s="2"/>
      <c r="D1558" s="2"/>
      <c r="E1558" s="3"/>
      <c r="F1558" s="3"/>
      <c r="G1558" s="2"/>
      <c r="H1558" s="2"/>
      <c r="I1558" s="46"/>
      <c r="J1558" s="12"/>
      <c r="K1558" s="2"/>
      <c r="L1558" s="59"/>
    </row>
    <row r="1559" spans="1:12" x14ac:dyDescent="0.35">
      <c r="A1559" s="45">
        <v>1555</v>
      </c>
      <c r="B1559" s="2"/>
      <c r="C1559" s="2"/>
      <c r="D1559" s="2"/>
      <c r="E1559" s="3"/>
      <c r="F1559" s="3"/>
      <c r="G1559" s="2"/>
      <c r="H1559" s="2"/>
      <c r="I1559" s="46"/>
      <c r="J1559" s="12"/>
      <c r="K1559" s="2"/>
      <c r="L1559" s="59"/>
    </row>
    <row r="1560" spans="1:12" x14ac:dyDescent="0.35">
      <c r="A1560" s="45">
        <v>1556</v>
      </c>
      <c r="B1560" s="2"/>
      <c r="C1560" s="2"/>
      <c r="D1560" s="2"/>
      <c r="E1560" s="3"/>
      <c r="F1560" s="3"/>
      <c r="G1560" s="2"/>
      <c r="H1560" s="2"/>
      <c r="I1560" s="46"/>
      <c r="J1560" s="12"/>
      <c r="K1560" s="2"/>
      <c r="L1560" s="59"/>
    </row>
    <row r="1561" spans="1:12" x14ac:dyDescent="0.35">
      <c r="A1561" s="45">
        <v>1557</v>
      </c>
      <c r="B1561" s="2"/>
      <c r="C1561" s="2"/>
      <c r="D1561" s="2"/>
      <c r="E1561" s="3"/>
      <c r="F1561" s="3"/>
      <c r="G1561" s="2"/>
      <c r="H1561" s="2"/>
      <c r="I1561" s="46"/>
      <c r="J1561" s="12"/>
      <c r="K1561" s="2"/>
      <c r="L1561" s="59"/>
    </row>
    <row r="1562" spans="1:12" x14ac:dyDescent="0.35">
      <c r="A1562" s="45">
        <v>1558</v>
      </c>
      <c r="B1562" s="2"/>
      <c r="C1562" s="2"/>
      <c r="D1562" s="2"/>
      <c r="E1562" s="3"/>
      <c r="F1562" s="3"/>
      <c r="G1562" s="2"/>
      <c r="H1562" s="2"/>
      <c r="I1562" s="46"/>
      <c r="J1562" s="12"/>
      <c r="K1562" s="2"/>
      <c r="L1562" s="59"/>
    </row>
    <row r="1563" spans="1:12" x14ac:dyDescent="0.35">
      <c r="A1563" s="45">
        <v>1559</v>
      </c>
      <c r="B1563" s="2"/>
      <c r="C1563" s="2"/>
      <c r="D1563" s="2"/>
      <c r="E1563" s="3"/>
      <c r="F1563" s="3"/>
      <c r="G1563" s="2"/>
      <c r="H1563" s="2"/>
      <c r="I1563" s="46"/>
      <c r="J1563" s="12"/>
      <c r="K1563" s="2"/>
      <c r="L1563" s="59"/>
    </row>
    <row r="1564" spans="1:12" x14ac:dyDescent="0.35">
      <c r="A1564" s="45">
        <v>1560</v>
      </c>
      <c r="B1564" s="2"/>
      <c r="C1564" s="2"/>
      <c r="D1564" s="2"/>
      <c r="E1564" s="3"/>
      <c r="F1564" s="3"/>
      <c r="G1564" s="2"/>
      <c r="H1564" s="2"/>
      <c r="I1564" s="46"/>
      <c r="J1564" s="12"/>
      <c r="K1564" s="2"/>
      <c r="L1564" s="59"/>
    </row>
    <row r="1565" spans="1:12" x14ac:dyDescent="0.35">
      <c r="A1565" s="45">
        <v>1561</v>
      </c>
      <c r="B1565" s="2"/>
      <c r="C1565" s="2"/>
      <c r="D1565" s="2"/>
      <c r="E1565" s="3"/>
      <c r="F1565" s="3"/>
      <c r="G1565" s="2"/>
      <c r="H1565" s="2"/>
      <c r="I1565" s="46"/>
      <c r="J1565" s="12"/>
      <c r="K1565" s="2"/>
      <c r="L1565" s="59"/>
    </row>
    <row r="1566" spans="1:12" x14ac:dyDescent="0.35">
      <c r="A1566" s="45">
        <v>1562</v>
      </c>
      <c r="B1566" s="2"/>
      <c r="C1566" s="2"/>
      <c r="D1566" s="2"/>
      <c r="E1566" s="3"/>
      <c r="F1566" s="3"/>
      <c r="G1566" s="2"/>
      <c r="H1566" s="2"/>
      <c r="I1566" s="46"/>
      <c r="J1566" s="12"/>
      <c r="K1566" s="2"/>
      <c r="L1566" s="59"/>
    </row>
    <row r="1567" spans="1:12" x14ac:dyDescent="0.35">
      <c r="A1567" s="45">
        <v>1563</v>
      </c>
      <c r="B1567" s="2"/>
      <c r="C1567" s="2"/>
      <c r="D1567" s="2"/>
      <c r="E1567" s="3"/>
      <c r="F1567" s="3"/>
      <c r="G1567" s="2"/>
      <c r="H1567" s="2"/>
      <c r="I1567" s="46"/>
      <c r="J1567" s="12"/>
      <c r="K1567" s="2"/>
      <c r="L1567" s="59"/>
    </row>
    <row r="1568" spans="1:12" x14ac:dyDescent="0.35">
      <c r="A1568" s="45">
        <v>1564</v>
      </c>
      <c r="B1568" s="2"/>
      <c r="C1568" s="2"/>
      <c r="D1568" s="2"/>
      <c r="E1568" s="3"/>
      <c r="F1568" s="3"/>
      <c r="G1568" s="2"/>
      <c r="H1568" s="2"/>
      <c r="I1568" s="46"/>
      <c r="J1568" s="12"/>
      <c r="K1568" s="2"/>
      <c r="L1568" s="59"/>
    </row>
    <row r="1569" spans="1:12" x14ac:dyDescent="0.35">
      <c r="A1569" s="45">
        <v>1565</v>
      </c>
      <c r="B1569" s="2"/>
      <c r="C1569" s="2"/>
      <c r="D1569" s="2"/>
      <c r="E1569" s="3"/>
      <c r="F1569" s="3"/>
      <c r="G1569" s="2"/>
      <c r="H1569" s="2"/>
      <c r="I1569" s="46"/>
      <c r="J1569" s="12"/>
      <c r="K1569" s="2"/>
      <c r="L1569" s="59"/>
    </row>
    <row r="1570" spans="1:12" x14ac:dyDescent="0.35">
      <c r="A1570" s="45">
        <v>1566</v>
      </c>
      <c r="B1570" s="2"/>
      <c r="C1570" s="2"/>
      <c r="D1570" s="2"/>
      <c r="E1570" s="3"/>
      <c r="F1570" s="3"/>
      <c r="G1570" s="2"/>
      <c r="H1570" s="2"/>
      <c r="I1570" s="46"/>
      <c r="J1570" s="12"/>
      <c r="K1570" s="2"/>
      <c r="L1570" s="59"/>
    </row>
    <row r="1571" spans="1:12" x14ac:dyDescent="0.35">
      <c r="A1571" s="45">
        <v>1567</v>
      </c>
      <c r="B1571" s="2"/>
      <c r="C1571" s="2"/>
      <c r="D1571" s="2"/>
      <c r="E1571" s="3"/>
      <c r="F1571" s="3"/>
      <c r="G1571" s="2"/>
      <c r="H1571" s="2"/>
      <c r="I1571" s="46"/>
      <c r="J1571" s="12"/>
      <c r="K1571" s="2"/>
      <c r="L1571" s="59"/>
    </row>
    <row r="1572" spans="1:12" x14ac:dyDescent="0.35">
      <c r="A1572" s="45">
        <v>1568</v>
      </c>
      <c r="B1572" s="2"/>
      <c r="C1572" s="2"/>
      <c r="D1572" s="2"/>
      <c r="E1572" s="3"/>
      <c r="F1572" s="3"/>
      <c r="G1572" s="2"/>
      <c r="H1572" s="2"/>
      <c r="I1572" s="46"/>
      <c r="J1572" s="12"/>
      <c r="K1572" s="2"/>
      <c r="L1572" s="59"/>
    </row>
    <row r="1573" spans="1:12" x14ac:dyDescent="0.35">
      <c r="A1573" s="45">
        <v>1569</v>
      </c>
      <c r="B1573" s="2"/>
      <c r="C1573" s="2"/>
      <c r="D1573" s="2"/>
      <c r="E1573" s="3"/>
      <c r="F1573" s="3"/>
      <c r="G1573" s="2"/>
      <c r="H1573" s="2"/>
      <c r="I1573" s="46"/>
      <c r="J1573" s="12"/>
      <c r="K1573" s="2"/>
      <c r="L1573" s="59"/>
    </row>
    <row r="1574" spans="1:12" x14ac:dyDescent="0.35">
      <c r="A1574" s="45">
        <v>1570</v>
      </c>
      <c r="B1574" s="2"/>
      <c r="C1574" s="2"/>
      <c r="D1574" s="2"/>
      <c r="E1574" s="3"/>
      <c r="F1574" s="3"/>
      <c r="G1574" s="2"/>
      <c r="H1574" s="2"/>
      <c r="I1574" s="46"/>
      <c r="J1574" s="12"/>
      <c r="K1574" s="2"/>
      <c r="L1574" s="59"/>
    </row>
    <row r="1575" spans="1:12" x14ac:dyDescent="0.35">
      <c r="A1575" s="45">
        <v>1571</v>
      </c>
      <c r="B1575" s="2"/>
      <c r="C1575" s="2"/>
      <c r="D1575" s="2"/>
      <c r="E1575" s="3"/>
      <c r="F1575" s="3"/>
      <c r="G1575" s="2"/>
      <c r="H1575" s="2"/>
      <c r="I1575" s="46"/>
      <c r="J1575" s="12"/>
      <c r="K1575" s="2"/>
      <c r="L1575" s="59"/>
    </row>
    <row r="1576" spans="1:12" x14ac:dyDescent="0.35">
      <c r="A1576" s="45">
        <v>1572</v>
      </c>
      <c r="B1576" s="2"/>
      <c r="C1576" s="2"/>
      <c r="D1576" s="2"/>
      <c r="E1576" s="3"/>
      <c r="F1576" s="3"/>
      <c r="G1576" s="2"/>
      <c r="H1576" s="2"/>
      <c r="I1576" s="46"/>
      <c r="J1576" s="12"/>
      <c r="K1576" s="2"/>
      <c r="L1576" s="59"/>
    </row>
    <row r="1577" spans="1:12" x14ac:dyDescent="0.35">
      <c r="A1577" s="45">
        <v>1573</v>
      </c>
      <c r="B1577" s="2"/>
      <c r="C1577" s="2"/>
      <c r="D1577" s="2"/>
      <c r="E1577" s="3"/>
      <c r="F1577" s="3"/>
      <c r="G1577" s="2"/>
      <c r="H1577" s="2"/>
      <c r="I1577" s="46"/>
      <c r="J1577" s="12"/>
      <c r="K1577" s="2"/>
      <c r="L1577" s="59"/>
    </row>
    <row r="1578" spans="1:12" x14ac:dyDescent="0.35">
      <c r="A1578" s="45">
        <v>1574</v>
      </c>
      <c r="B1578" s="2"/>
      <c r="C1578" s="2"/>
      <c r="D1578" s="2"/>
      <c r="E1578" s="3"/>
      <c r="F1578" s="3"/>
      <c r="G1578" s="2"/>
      <c r="H1578" s="2"/>
      <c r="I1578" s="46"/>
      <c r="J1578" s="12"/>
      <c r="K1578" s="2"/>
      <c r="L1578" s="59"/>
    </row>
    <row r="1579" spans="1:12" x14ac:dyDescent="0.35">
      <c r="A1579" s="45">
        <v>1575</v>
      </c>
      <c r="B1579" s="2"/>
      <c r="C1579" s="2"/>
      <c r="D1579" s="2"/>
      <c r="E1579" s="3"/>
      <c r="F1579" s="3"/>
      <c r="G1579" s="2"/>
      <c r="H1579" s="2"/>
      <c r="I1579" s="46"/>
      <c r="J1579" s="12"/>
      <c r="K1579" s="2"/>
      <c r="L1579" s="59"/>
    </row>
    <row r="1580" spans="1:12" x14ac:dyDescent="0.35">
      <c r="A1580" s="45">
        <v>1576</v>
      </c>
      <c r="B1580" s="2"/>
      <c r="C1580" s="2"/>
      <c r="D1580" s="2"/>
      <c r="E1580" s="3"/>
      <c r="F1580" s="3"/>
      <c r="G1580" s="2"/>
      <c r="H1580" s="2"/>
      <c r="I1580" s="46"/>
      <c r="J1580" s="12"/>
      <c r="K1580" s="2"/>
      <c r="L1580" s="59"/>
    </row>
    <row r="1581" spans="1:12" x14ac:dyDescent="0.35">
      <c r="A1581" s="45">
        <v>1577</v>
      </c>
      <c r="B1581" s="2"/>
      <c r="C1581" s="2"/>
      <c r="D1581" s="2"/>
      <c r="E1581" s="3"/>
      <c r="F1581" s="3"/>
      <c r="G1581" s="2"/>
      <c r="H1581" s="2"/>
      <c r="I1581" s="46"/>
      <c r="J1581" s="12"/>
      <c r="K1581" s="2"/>
      <c r="L1581" s="59"/>
    </row>
    <row r="1582" spans="1:12" x14ac:dyDescent="0.35">
      <c r="A1582" s="45">
        <v>1578</v>
      </c>
      <c r="B1582" s="2"/>
      <c r="C1582" s="2"/>
      <c r="D1582" s="2"/>
      <c r="E1582" s="3"/>
      <c r="F1582" s="3"/>
      <c r="G1582" s="2"/>
      <c r="H1582" s="2"/>
      <c r="I1582" s="46"/>
      <c r="J1582" s="12"/>
      <c r="K1582" s="2"/>
      <c r="L1582" s="59"/>
    </row>
    <row r="1583" spans="1:12" x14ac:dyDescent="0.35">
      <c r="A1583" s="45">
        <v>1579</v>
      </c>
      <c r="B1583" s="2"/>
      <c r="C1583" s="2"/>
      <c r="D1583" s="2"/>
      <c r="E1583" s="3"/>
      <c r="F1583" s="3"/>
      <c r="G1583" s="2"/>
      <c r="H1583" s="2"/>
      <c r="I1583" s="46"/>
      <c r="J1583" s="12"/>
      <c r="K1583" s="2"/>
      <c r="L1583" s="59"/>
    </row>
    <row r="1584" spans="1:12" x14ac:dyDescent="0.35">
      <c r="A1584" s="45">
        <v>1580</v>
      </c>
      <c r="B1584" s="2"/>
      <c r="C1584" s="2"/>
      <c r="D1584" s="2"/>
      <c r="E1584" s="3"/>
      <c r="F1584" s="3"/>
      <c r="G1584" s="2"/>
      <c r="H1584" s="2"/>
      <c r="I1584" s="46"/>
      <c r="J1584" s="12"/>
      <c r="K1584" s="2"/>
      <c r="L1584" s="59"/>
    </row>
    <row r="1585" spans="1:12" x14ac:dyDescent="0.35">
      <c r="A1585" s="45">
        <v>1581</v>
      </c>
      <c r="B1585" s="2"/>
      <c r="C1585" s="2"/>
      <c r="D1585" s="2"/>
      <c r="E1585" s="3"/>
      <c r="F1585" s="3"/>
      <c r="G1585" s="2"/>
      <c r="H1585" s="2"/>
      <c r="I1585" s="46"/>
      <c r="J1585" s="12"/>
      <c r="K1585" s="2"/>
      <c r="L1585" s="59"/>
    </row>
    <row r="1586" spans="1:12" x14ac:dyDescent="0.35">
      <c r="A1586" s="45">
        <v>1582</v>
      </c>
      <c r="B1586" s="2"/>
      <c r="C1586" s="2"/>
      <c r="D1586" s="2"/>
      <c r="E1586" s="3"/>
      <c r="F1586" s="3"/>
      <c r="G1586" s="2"/>
      <c r="H1586" s="2"/>
      <c r="I1586" s="46"/>
      <c r="J1586" s="12"/>
      <c r="K1586" s="2"/>
      <c r="L1586" s="59"/>
    </row>
    <row r="1587" spans="1:12" x14ac:dyDescent="0.35">
      <c r="A1587" s="45">
        <v>1583</v>
      </c>
      <c r="B1587" s="2"/>
      <c r="C1587" s="2"/>
      <c r="D1587" s="2"/>
      <c r="E1587" s="3"/>
      <c r="F1587" s="3"/>
      <c r="G1587" s="2"/>
      <c r="H1587" s="2"/>
      <c r="I1587" s="46"/>
      <c r="J1587" s="12"/>
      <c r="K1587" s="2"/>
      <c r="L1587" s="59"/>
    </row>
    <row r="1588" spans="1:12" x14ac:dyDescent="0.35">
      <c r="A1588" s="45">
        <v>1584</v>
      </c>
      <c r="B1588" s="2"/>
      <c r="C1588" s="2"/>
      <c r="D1588" s="2"/>
      <c r="E1588" s="3"/>
      <c r="F1588" s="3"/>
      <c r="G1588" s="2"/>
      <c r="H1588" s="2"/>
      <c r="I1588" s="46"/>
      <c r="J1588" s="12"/>
      <c r="K1588" s="2"/>
      <c r="L1588" s="59"/>
    </row>
    <row r="1589" spans="1:12" x14ac:dyDescent="0.35">
      <c r="A1589" s="45">
        <v>1585</v>
      </c>
      <c r="B1589" s="2"/>
      <c r="C1589" s="2"/>
      <c r="D1589" s="2"/>
      <c r="E1589" s="3"/>
      <c r="F1589" s="3"/>
      <c r="G1589" s="2"/>
      <c r="H1589" s="2"/>
      <c r="I1589" s="46"/>
      <c r="J1589" s="12"/>
      <c r="K1589" s="2"/>
      <c r="L1589" s="59"/>
    </row>
    <row r="1590" spans="1:12" x14ac:dyDescent="0.35">
      <c r="A1590" s="45">
        <v>1586</v>
      </c>
      <c r="B1590" s="2"/>
      <c r="C1590" s="2"/>
      <c r="D1590" s="2"/>
      <c r="E1590" s="3"/>
      <c r="F1590" s="3"/>
      <c r="G1590" s="2"/>
      <c r="H1590" s="2"/>
      <c r="I1590" s="46"/>
      <c r="J1590" s="12"/>
      <c r="K1590" s="2"/>
      <c r="L1590" s="59"/>
    </row>
    <row r="1591" spans="1:12" x14ac:dyDescent="0.35">
      <c r="A1591" s="45">
        <v>1587</v>
      </c>
      <c r="B1591" s="2"/>
      <c r="C1591" s="2"/>
      <c r="D1591" s="2"/>
      <c r="E1591" s="3"/>
      <c r="F1591" s="3"/>
      <c r="G1591" s="2"/>
      <c r="H1591" s="2"/>
      <c r="I1591" s="46"/>
      <c r="J1591" s="12"/>
      <c r="K1591" s="2"/>
      <c r="L1591" s="59"/>
    </row>
    <row r="1592" spans="1:12" x14ac:dyDescent="0.35">
      <c r="A1592" s="45">
        <v>1588</v>
      </c>
      <c r="B1592" s="2"/>
      <c r="C1592" s="2"/>
      <c r="D1592" s="2"/>
      <c r="E1592" s="3"/>
      <c r="F1592" s="3"/>
      <c r="G1592" s="2"/>
      <c r="H1592" s="2"/>
      <c r="I1592" s="46"/>
      <c r="J1592" s="12"/>
      <c r="K1592" s="2"/>
      <c r="L1592" s="59"/>
    </row>
    <row r="1593" spans="1:12" x14ac:dyDescent="0.35">
      <c r="A1593" s="45">
        <v>1589</v>
      </c>
      <c r="B1593" s="2"/>
      <c r="C1593" s="2"/>
      <c r="D1593" s="2"/>
      <c r="E1593" s="3"/>
      <c r="F1593" s="3"/>
      <c r="G1593" s="2"/>
      <c r="H1593" s="2"/>
      <c r="I1593" s="46"/>
      <c r="J1593" s="12"/>
      <c r="K1593" s="2"/>
      <c r="L1593" s="59"/>
    </row>
    <row r="1594" spans="1:12" x14ac:dyDescent="0.35">
      <c r="A1594" s="45">
        <v>1590</v>
      </c>
      <c r="B1594" s="2"/>
      <c r="C1594" s="2"/>
      <c r="D1594" s="2"/>
      <c r="E1594" s="3"/>
      <c r="F1594" s="3"/>
      <c r="G1594" s="2"/>
      <c r="H1594" s="2"/>
      <c r="I1594" s="46"/>
      <c r="J1594" s="12"/>
      <c r="K1594" s="2"/>
      <c r="L1594" s="59"/>
    </row>
    <row r="1595" spans="1:12" x14ac:dyDescent="0.35">
      <c r="A1595" s="45">
        <v>1591</v>
      </c>
      <c r="B1595" s="2"/>
      <c r="C1595" s="2"/>
      <c r="D1595" s="2"/>
      <c r="E1595" s="3"/>
      <c r="F1595" s="3"/>
      <c r="G1595" s="2"/>
      <c r="H1595" s="2"/>
      <c r="I1595" s="46"/>
      <c r="J1595" s="12"/>
      <c r="K1595" s="2"/>
      <c r="L1595" s="59"/>
    </row>
    <row r="1596" spans="1:12" x14ac:dyDescent="0.35">
      <c r="A1596" s="45">
        <v>1592</v>
      </c>
      <c r="B1596" s="2"/>
      <c r="C1596" s="2"/>
      <c r="D1596" s="2"/>
      <c r="E1596" s="3"/>
      <c r="F1596" s="3"/>
      <c r="G1596" s="2"/>
      <c r="H1596" s="2"/>
      <c r="I1596" s="46"/>
      <c r="J1596" s="12"/>
      <c r="K1596" s="2"/>
      <c r="L1596" s="59"/>
    </row>
    <row r="1597" spans="1:12" x14ac:dyDescent="0.35">
      <c r="A1597" s="45">
        <v>1593</v>
      </c>
      <c r="B1597" s="2"/>
      <c r="C1597" s="2"/>
      <c r="D1597" s="2"/>
      <c r="E1597" s="3"/>
      <c r="F1597" s="3"/>
      <c r="G1597" s="2"/>
      <c r="H1597" s="2"/>
      <c r="I1597" s="46"/>
      <c r="J1597" s="12"/>
      <c r="K1597" s="2"/>
      <c r="L1597" s="59"/>
    </row>
    <row r="1598" spans="1:12" x14ac:dyDescent="0.35">
      <c r="A1598" s="45">
        <v>1594</v>
      </c>
      <c r="B1598" s="2"/>
      <c r="C1598" s="2"/>
      <c r="D1598" s="2"/>
      <c r="E1598" s="3"/>
      <c r="F1598" s="3"/>
      <c r="G1598" s="2"/>
      <c r="H1598" s="2"/>
      <c r="I1598" s="46"/>
      <c r="J1598" s="12"/>
      <c r="K1598" s="2"/>
      <c r="L1598" s="59"/>
    </row>
    <row r="1599" spans="1:12" x14ac:dyDescent="0.35">
      <c r="A1599" s="45">
        <v>1595</v>
      </c>
      <c r="B1599" s="2"/>
      <c r="C1599" s="2"/>
      <c r="D1599" s="2"/>
      <c r="E1599" s="3"/>
      <c r="F1599" s="3"/>
      <c r="G1599" s="2"/>
      <c r="H1599" s="2"/>
      <c r="I1599" s="46"/>
      <c r="J1599" s="12"/>
      <c r="K1599" s="2"/>
      <c r="L1599" s="59"/>
    </row>
    <row r="1600" spans="1:12" x14ac:dyDescent="0.35">
      <c r="A1600" s="45">
        <v>1596</v>
      </c>
      <c r="B1600" s="2"/>
      <c r="C1600" s="2"/>
      <c r="D1600" s="2"/>
      <c r="E1600" s="3"/>
      <c r="F1600" s="3"/>
      <c r="G1600" s="2"/>
      <c r="H1600" s="2"/>
      <c r="I1600" s="46"/>
      <c r="J1600" s="12"/>
      <c r="K1600" s="2"/>
      <c r="L1600" s="59"/>
    </row>
    <row r="1601" spans="1:12" x14ac:dyDescent="0.35">
      <c r="A1601" s="45">
        <v>1597</v>
      </c>
      <c r="B1601" s="2"/>
      <c r="C1601" s="2"/>
      <c r="D1601" s="2"/>
      <c r="E1601" s="3"/>
      <c r="F1601" s="3"/>
      <c r="G1601" s="2"/>
      <c r="H1601" s="2"/>
      <c r="I1601" s="46"/>
      <c r="J1601" s="12"/>
      <c r="K1601" s="2"/>
      <c r="L1601" s="59"/>
    </row>
    <row r="1602" spans="1:12" x14ac:dyDescent="0.35">
      <c r="A1602" s="45">
        <v>1598</v>
      </c>
      <c r="B1602" s="2"/>
      <c r="C1602" s="2"/>
      <c r="D1602" s="2"/>
      <c r="E1602" s="3"/>
      <c r="F1602" s="3"/>
      <c r="G1602" s="2"/>
      <c r="H1602" s="2"/>
      <c r="I1602" s="46"/>
      <c r="J1602" s="12"/>
      <c r="K1602" s="2"/>
      <c r="L1602" s="59"/>
    </row>
    <row r="1603" spans="1:12" x14ac:dyDescent="0.35">
      <c r="A1603" s="45">
        <v>1599</v>
      </c>
      <c r="B1603" s="2"/>
      <c r="C1603" s="2"/>
      <c r="D1603" s="2"/>
      <c r="E1603" s="3"/>
      <c r="F1603" s="3"/>
      <c r="G1603" s="2"/>
      <c r="H1603" s="2"/>
      <c r="I1603" s="46"/>
      <c r="J1603" s="12"/>
      <c r="K1603" s="2"/>
      <c r="L1603" s="59"/>
    </row>
    <row r="1604" spans="1:12" x14ac:dyDescent="0.35">
      <c r="A1604" s="45">
        <v>1600</v>
      </c>
      <c r="B1604" s="2"/>
      <c r="C1604" s="2"/>
      <c r="D1604" s="2"/>
      <c r="E1604" s="3"/>
      <c r="F1604" s="3"/>
      <c r="G1604" s="2"/>
      <c r="H1604" s="2"/>
      <c r="I1604" s="46"/>
      <c r="J1604" s="12"/>
      <c r="K1604" s="2"/>
      <c r="L1604" s="59"/>
    </row>
    <row r="1605" spans="1:12" x14ac:dyDescent="0.35">
      <c r="A1605" s="45">
        <v>1601</v>
      </c>
      <c r="B1605" s="2"/>
      <c r="C1605" s="2"/>
      <c r="D1605" s="2"/>
      <c r="E1605" s="3"/>
      <c r="F1605" s="3"/>
      <c r="G1605" s="2"/>
      <c r="H1605" s="2"/>
      <c r="I1605" s="46"/>
      <c r="J1605" s="12"/>
      <c r="K1605" s="2"/>
      <c r="L1605" s="59"/>
    </row>
    <row r="1606" spans="1:12" x14ac:dyDescent="0.35">
      <c r="A1606" s="45">
        <v>1602</v>
      </c>
      <c r="B1606" s="2"/>
      <c r="C1606" s="2"/>
      <c r="D1606" s="2"/>
      <c r="E1606" s="3"/>
      <c r="F1606" s="3"/>
      <c r="G1606" s="2"/>
      <c r="H1606" s="2"/>
      <c r="I1606" s="46"/>
      <c r="J1606" s="12"/>
      <c r="K1606" s="2"/>
      <c r="L1606" s="59"/>
    </row>
    <row r="1607" spans="1:12" x14ac:dyDescent="0.35">
      <c r="A1607" s="45">
        <v>1603</v>
      </c>
      <c r="B1607" s="2"/>
      <c r="C1607" s="2"/>
      <c r="D1607" s="2"/>
      <c r="E1607" s="3"/>
      <c r="F1607" s="3"/>
      <c r="G1607" s="2"/>
      <c r="H1607" s="2"/>
      <c r="I1607" s="46"/>
      <c r="J1607" s="12"/>
      <c r="K1607" s="2"/>
      <c r="L1607" s="59"/>
    </row>
    <row r="1608" spans="1:12" x14ac:dyDescent="0.35">
      <c r="A1608" s="45">
        <v>1604</v>
      </c>
      <c r="B1608" s="2"/>
      <c r="C1608" s="2"/>
      <c r="D1608" s="2"/>
      <c r="E1608" s="3"/>
      <c r="F1608" s="3"/>
      <c r="G1608" s="2"/>
      <c r="H1608" s="2"/>
      <c r="I1608" s="46"/>
      <c r="J1608" s="12"/>
      <c r="K1608" s="2"/>
      <c r="L1608" s="59"/>
    </row>
    <row r="1609" spans="1:12" x14ac:dyDescent="0.35">
      <c r="A1609" s="45">
        <v>1605</v>
      </c>
      <c r="B1609" s="2"/>
      <c r="C1609" s="2"/>
      <c r="D1609" s="2"/>
      <c r="E1609" s="3"/>
      <c r="F1609" s="3"/>
      <c r="G1609" s="2"/>
      <c r="H1609" s="2"/>
      <c r="I1609" s="46"/>
      <c r="J1609" s="12"/>
      <c r="K1609" s="2"/>
      <c r="L1609" s="59"/>
    </row>
    <row r="1610" spans="1:12" x14ac:dyDescent="0.35">
      <c r="A1610" s="45">
        <v>1606</v>
      </c>
      <c r="B1610" s="2"/>
      <c r="C1610" s="2"/>
      <c r="D1610" s="2"/>
      <c r="E1610" s="3"/>
      <c r="F1610" s="3"/>
      <c r="G1610" s="2"/>
      <c r="H1610" s="2"/>
      <c r="I1610" s="46"/>
      <c r="J1610" s="12"/>
      <c r="K1610" s="2"/>
      <c r="L1610" s="59"/>
    </row>
    <row r="1611" spans="1:12" x14ac:dyDescent="0.35">
      <c r="A1611" s="45">
        <v>1607</v>
      </c>
      <c r="B1611" s="2"/>
      <c r="C1611" s="2"/>
      <c r="D1611" s="2"/>
      <c r="E1611" s="3"/>
      <c r="F1611" s="3"/>
      <c r="G1611" s="2"/>
      <c r="H1611" s="2"/>
      <c r="I1611" s="46"/>
      <c r="J1611" s="12"/>
      <c r="K1611" s="2"/>
      <c r="L1611" s="59"/>
    </row>
    <row r="1612" spans="1:12" x14ac:dyDescent="0.35">
      <c r="A1612" s="45">
        <v>1608</v>
      </c>
      <c r="B1612" s="2"/>
      <c r="C1612" s="2"/>
      <c r="D1612" s="2"/>
      <c r="E1612" s="3"/>
      <c r="F1612" s="3"/>
      <c r="G1612" s="2"/>
      <c r="H1612" s="2"/>
      <c r="I1612" s="46"/>
      <c r="J1612" s="12"/>
      <c r="K1612" s="2"/>
      <c r="L1612" s="59"/>
    </row>
    <row r="1613" spans="1:12" x14ac:dyDescent="0.35">
      <c r="A1613" s="45">
        <v>1609</v>
      </c>
      <c r="B1613" s="2"/>
      <c r="C1613" s="2"/>
      <c r="D1613" s="2"/>
      <c r="E1613" s="3"/>
      <c r="F1613" s="3"/>
      <c r="G1613" s="2"/>
      <c r="H1613" s="2"/>
      <c r="I1613" s="46"/>
      <c r="J1613" s="12"/>
      <c r="K1613" s="2"/>
      <c r="L1613" s="59"/>
    </row>
    <row r="1614" spans="1:12" x14ac:dyDescent="0.35">
      <c r="A1614" s="45">
        <v>1610</v>
      </c>
      <c r="B1614" s="2"/>
      <c r="C1614" s="2"/>
      <c r="D1614" s="2"/>
      <c r="E1614" s="3"/>
      <c r="F1614" s="3"/>
      <c r="G1614" s="2"/>
      <c r="H1614" s="2"/>
      <c r="I1614" s="46"/>
      <c r="J1614" s="12"/>
      <c r="K1614" s="2"/>
      <c r="L1614" s="59"/>
    </row>
    <row r="1615" spans="1:12" x14ac:dyDescent="0.35">
      <c r="A1615" s="45">
        <v>1611</v>
      </c>
      <c r="B1615" s="2"/>
      <c r="C1615" s="2"/>
      <c r="D1615" s="2"/>
      <c r="E1615" s="3"/>
      <c r="F1615" s="3"/>
      <c r="G1615" s="2"/>
      <c r="H1615" s="2"/>
      <c r="I1615" s="46"/>
      <c r="J1615" s="12"/>
      <c r="K1615" s="2"/>
      <c r="L1615" s="59"/>
    </row>
    <row r="1616" spans="1:12" x14ac:dyDescent="0.35">
      <c r="A1616" s="45">
        <v>1612</v>
      </c>
      <c r="B1616" s="2"/>
      <c r="C1616" s="2"/>
      <c r="D1616" s="2"/>
      <c r="E1616" s="3"/>
      <c r="F1616" s="3"/>
      <c r="G1616" s="2"/>
      <c r="H1616" s="2"/>
      <c r="I1616" s="46"/>
      <c r="J1616" s="12"/>
      <c r="K1616" s="2"/>
      <c r="L1616" s="59"/>
    </row>
    <row r="1617" spans="1:12" x14ac:dyDescent="0.35">
      <c r="A1617" s="45">
        <v>1613</v>
      </c>
      <c r="B1617" s="2"/>
      <c r="C1617" s="2"/>
      <c r="D1617" s="2"/>
      <c r="E1617" s="3"/>
      <c r="F1617" s="3"/>
      <c r="G1617" s="2"/>
      <c r="H1617" s="2"/>
      <c r="I1617" s="46"/>
      <c r="J1617" s="12"/>
      <c r="K1617" s="2"/>
      <c r="L1617" s="59"/>
    </row>
    <row r="1618" spans="1:12" x14ac:dyDescent="0.35">
      <c r="A1618" s="45">
        <v>1614</v>
      </c>
      <c r="B1618" s="2"/>
      <c r="C1618" s="2"/>
      <c r="D1618" s="2"/>
      <c r="E1618" s="3"/>
      <c r="F1618" s="3"/>
      <c r="G1618" s="2"/>
      <c r="H1618" s="2"/>
      <c r="I1618" s="46"/>
      <c r="J1618" s="12"/>
      <c r="K1618" s="2"/>
      <c r="L1618" s="59"/>
    </row>
    <row r="1619" spans="1:12" x14ac:dyDescent="0.35">
      <c r="A1619" s="45">
        <v>1615</v>
      </c>
      <c r="B1619" s="2"/>
      <c r="C1619" s="2"/>
      <c r="D1619" s="2"/>
      <c r="E1619" s="3"/>
      <c r="F1619" s="3"/>
      <c r="G1619" s="2"/>
      <c r="H1619" s="2"/>
      <c r="I1619" s="46"/>
      <c r="J1619" s="12"/>
      <c r="K1619" s="2"/>
      <c r="L1619" s="59"/>
    </row>
    <row r="1620" spans="1:12" x14ac:dyDescent="0.35">
      <c r="A1620" s="45">
        <v>1616</v>
      </c>
      <c r="B1620" s="2"/>
      <c r="C1620" s="2"/>
      <c r="D1620" s="2"/>
      <c r="E1620" s="3"/>
      <c r="F1620" s="3"/>
      <c r="G1620" s="2"/>
      <c r="H1620" s="2"/>
      <c r="I1620" s="46"/>
      <c r="J1620" s="12"/>
      <c r="K1620" s="2"/>
      <c r="L1620" s="59"/>
    </row>
    <row r="1621" spans="1:12" x14ac:dyDescent="0.35">
      <c r="A1621" s="45">
        <v>1617</v>
      </c>
      <c r="B1621" s="2"/>
      <c r="C1621" s="2"/>
      <c r="D1621" s="2"/>
      <c r="E1621" s="3"/>
      <c r="F1621" s="3"/>
      <c r="G1621" s="2"/>
      <c r="H1621" s="2"/>
      <c r="I1621" s="46"/>
      <c r="J1621" s="12"/>
      <c r="K1621" s="2"/>
      <c r="L1621" s="59"/>
    </row>
    <row r="1622" spans="1:12" x14ac:dyDescent="0.35">
      <c r="A1622" s="45">
        <v>1618</v>
      </c>
      <c r="B1622" s="2"/>
      <c r="C1622" s="2"/>
      <c r="D1622" s="2"/>
      <c r="E1622" s="3"/>
      <c r="F1622" s="3"/>
      <c r="G1622" s="2"/>
      <c r="H1622" s="2"/>
      <c r="I1622" s="46"/>
      <c r="J1622" s="12"/>
      <c r="K1622" s="2"/>
      <c r="L1622" s="59"/>
    </row>
    <row r="1623" spans="1:12" x14ac:dyDescent="0.35">
      <c r="A1623" s="45">
        <v>1619</v>
      </c>
      <c r="B1623" s="2"/>
      <c r="C1623" s="2"/>
      <c r="D1623" s="2"/>
      <c r="E1623" s="3"/>
      <c r="F1623" s="3"/>
      <c r="G1623" s="2"/>
      <c r="H1623" s="2"/>
      <c r="I1623" s="46"/>
      <c r="J1623" s="12"/>
      <c r="K1623" s="2"/>
      <c r="L1623" s="59"/>
    </row>
    <row r="1624" spans="1:12" x14ac:dyDescent="0.35">
      <c r="A1624" s="45">
        <v>1620</v>
      </c>
      <c r="B1624" s="2"/>
      <c r="C1624" s="2"/>
      <c r="D1624" s="2"/>
      <c r="E1624" s="3"/>
      <c r="F1624" s="3"/>
      <c r="G1624" s="2"/>
      <c r="H1624" s="2"/>
      <c r="I1624" s="46"/>
      <c r="J1624" s="12"/>
      <c r="K1624" s="2"/>
      <c r="L1624" s="59"/>
    </row>
    <row r="1625" spans="1:12" x14ac:dyDescent="0.35">
      <c r="A1625" s="45">
        <v>1621</v>
      </c>
      <c r="B1625" s="2"/>
      <c r="C1625" s="2"/>
      <c r="D1625" s="2"/>
      <c r="E1625" s="3"/>
      <c r="F1625" s="3"/>
      <c r="G1625" s="2"/>
      <c r="H1625" s="2"/>
      <c r="I1625" s="46"/>
      <c r="J1625" s="12"/>
      <c r="K1625" s="2"/>
      <c r="L1625" s="59"/>
    </row>
    <row r="1626" spans="1:12" x14ac:dyDescent="0.35">
      <c r="A1626" s="45">
        <v>1622</v>
      </c>
      <c r="B1626" s="2"/>
      <c r="C1626" s="2"/>
      <c r="D1626" s="2"/>
      <c r="E1626" s="3"/>
      <c r="F1626" s="3"/>
      <c r="G1626" s="2"/>
      <c r="H1626" s="2"/>
      <c r="I1626" s="46"/>
      <c r="J1626" s="12"/>
      <c r="K1626" s="2"/>
      <c r="L1626" s="59"/>
    </row>
    <row r="1627" spans="1:12" x14ac:dyDescent="0.35">
      <c r="A1627" s="45">
        <v>1623</v>
      </c>
      <c r="B1627" s="2"/>
      <c r="C1627" s="2"/>
      <c r="D1627" s="2"/>
      <c r="E1627" s="3"/>
      <c r="F1627" s="3"/>
      <c r="G1627" s="2"/>
      <c r="H1627" s="2"/>
      <c r="I1627" s="46"/>
      <c r="J1627" s="12"/>
      <c r="K1627" s="2"/>
      <c r="L1627" s="59"/>
    </row>
    <row r="1628" spans="1:12" x14ac:dyDescent="0.35">
      <c r="A1628" s="45">
        <v>1624</v>
      </c>
      <c r="B1628" s="2"/>
      <c r="C1628" s="2"/>
      <c r="D1628" s="2"/>
      <c r="E1628" s="3"/>
      <c r="F1628" s="3"/>
      <c r="G1628" s="2"/>
      <c r="H1628" s="2"/>
      <c r="I1628" s="46"/>
      <c r="J1628" s="12"/>
      <c r="K1628" s="2"/>
      <c r="L1628" s="59"/>
    </row>
    <row r="1629" spans="1:12" x14ac:dyDescent="0.35">
      <c r="A1629" s="45">
        <v>1625</v>
      </c>
      <c r="B1629" s="2"/>
      <c r="C1629" s="2"/>
      <c r="D1629" s="2"/>
      <c r="E1629" s="3"/>
      <c r="F1629" s="3"/>
      <c r="G1629" s="2"/>
      <c r="H1629" s="2"/>
      <c r="I1629" s="46"/>
      <c r="J1629" s="12"/>
      <c r="K1629" s="2"/>
      <c r="L1629" s="59"/>
    </row>
    <row r="1630" spans="1:12" x14ac:dyDescent="0.35">
      <c r="A1630" s="45">
        <v>1626</v>
      </c>
      <c r="B1630" s="2"/>
      <c r="C1630" s="2"/>
      <c r="D1630" s="2"/>
      <c r="E1630" s="3"/>
      <c r="F1630" s="3"/>
      <c r="G1630" s="2"/>
      <c r="H1630" s="2"/>
      <c r="I1630" s="46"/>
      <c r="J1630" s="12"/>
      <c r="K1630" s="2"/>
      <c r="L1630" s="59"/>
    </row>
    <row r="1631" spans="1:12" x14ac:dyDescent="0.35">
      <c r="A1631" s="45">
        <v>1627</v>
      </c>
      <c r="B1631" s="2"/>
      <c r="C1631" s="2"/>
      <c r="D1631" s="2"/>
      <c r="E1631" s="3"/>
      <c r="F1631" s="3"/>
      <c r="G1631" s="2"/>
      <c r="H1631" s="2"/>
      <c r="I1631" s="46"/>
      <c r="J1631" s="12"/>
      <c r="K1631" s="2"/>
      <c r="L1631" s="59"/>
    </row>
    <row r="1632" spans="1:12" x14ac:dyDescent="0.35">
      <c r="A1632" s="45">
        <v>1628</v>
      </c>
      <c r="B1632" s="2"/>
      <c r="C1632" s="2"/>
      <c r="D1632" s="2"/>
      <c r="E1632" s="3"/>
      <c r="F1632" s="3"/>
      <c r="G1632" s="2"/>
      <c r="H1632" s="2"/>
      <c r="I1632" s="46"/>
      <c r="J1632" s="12"/>
      <c r="K1632" s="2"/>
      <c r="L1632" s="59"/>
    </row>
    <row r="1633" spans="1:12" x14ac:dyDescent="0.35">
      <c r="A1633" s="45">
        <v>1629</v>
      </c>
      <c r="B1633" s="2"/>
      <c r="C1633" s="2"/>
      <c r="D1633" s="2"/>
      <c r="E1633" s="3"/>
      <c r="F1633" s="3"/>
      <c r="G1633" s="2"/>
      <c r="H1633" s="2"/>
      <c r="I1633" s="46"/>
      <c r="J1633" s="12"/>
      <c r="K1633" s="2"/>
      <c r="L1633" s="59"/>
    </row>
    <row r="1634" spans="1:12" x14ac:dyDescent="0.35">
      <c r="A1634" s="45">
        <v>1630</v>
      </c>
      <c r="B1634" s="2"/>
      <c r="C1634" s="2"/>
      <c r="D1634" s="2"/>
      <c r="E1634" s="3"/>
      <c r="F1634" s="3"/>
      <c r="G1634" s="2"/>
      <c r="H1634" s="2"/>
      <c r="I1634" s="46"/>
      <c r="J1634" s="12"/>
      <c r="K1634" s="2"/>
      <c r="L1634" s="59"/>
    </row>
    <row r="1635" spans="1:12" x14ac:dyDescent="0.35">
      <c r="A1635" s="45">
        <v>1631</v>
      </c>
      <c r="B1635" s="2"/>
      <c r="C1635" s="2"/>
      <c r="D1635" s="2"/>
      <c r="E1635" s="3"/>
      <c r="F1635" s="3"/>
      <c r="G1635" s="2"/>
      <c r="H1635" s="2"/>
      <c r="I1635" s="46"/>
      <c r="J1635" s="12"/>
      <c r="K1635" s="2"/>
      <c r="L1635" s="59"/>
    </row>
    <row r="1636" spans="1:12" x14ac:dyDescent="0.35">
      <c r="A1636" s="45">
        <v>1632</v>
      </c>
      <c r="B1636" s="2"/>
      <c r="C1636" s="2"/>
      <c r="D1636" s="2"/>
      <c r="E1636" s="3"/>
      <c r="F1636" s="3"/>
      <c r="G1636" s="2"/>
      <c r="H1636" s="2"/>
      <c r="I1636" s="46"/>
      <c r="J1636" s="12"/>
      <c r="K1636" s="2"/>
      <c r="L1636" s="59"/>
    </row>
    <row r="1637" spans="1:12" x14ac:dyDescent="0.35">
      <c r="A1637" s="45">
        <v>1633</v>
      </c>
      <c r="B1637" s="2"/>
      <c r="C1637" s="2"/>
      <c r="D1637" s="2"/>
      <c r="E1637" s="3"/>
      <c r="F1637" s="3"/>
      <c r="G1637" s="2"/>
      <c r="H1637" s="2"/>
      <c r="I1637" s="46"/>
      <c r="J1637" s="12"/>
      <c r="K1637" s="2"/>
      <c r="L1637" s="59"/>
    </row>
    <row r="1638" spans="1:12" x14ac:dyDescent="0.35">
      <c r="A1638" s="45">
        <v>1634</v>
      </c>
      <c r="B1638" s="2"/>
      <c r="C1638" s="2"/>
      <c r="D1638" s="2"/>
      <c r="E1638" s="3"/>
      <c r="F1638" s="3"/>
      <c r="G1638" s="2"/>
      <c r="H1638" s="2"/>
      <c r="I1638" s="46"/>
      <c r="J1638" s="12"/>
      <c r="K1638" s="2"/>
      <c r="L1638" s="59"/>
    </row>
    <row r="1639" spans="1:12" x14ac:dyDescent="0.35">
      <c r="A1639" s="45">
        <v>1635</v>
      </c>
      <c r="B1639" s="2"/>
      <c r="C1639" s="2"/>
      <c r="D1639" s="2"/>
      <c r="E1639" s="3"/>
      <c r="F1639" s="3"/>
      <c r="G1639" s="2"/>
      <c r="H1639" s="2"/>
      <c r="I1639" s="46"/>
      <c r="J1639" s="12"/>
      <c r="K1639" s="2"/>
      <c r="L1639" s="59"/>
    </row>
    <row r="1640" spans="1:12" x14ac:dyDescent="0.35">
      <c r="A1640" s="45">
        <v>1636</v>
      </c>
      <c r="B1640" s="2"/>
      <c r="C1640" s="2"/>
      <c r="D1640" s="2"/>
      <c r="E1640" s="3"/>
      <c r="F1640" s="3"/>
      <c r="G1640" s="2"/>
      <c r="H1640" s="2"/>
      <c r="I1640" s="46"/>
      <c r="J1640" s="12"/>
      <c r="K1640" s="2"/>
      <c r="L1640" s="59"/>
    </row>
    <row r="1641" spans="1:12" x14ac:dyDescent="0.35">
      <c r="A1641" s="45">
        <v>1637</v>
      </c>
      <c r="B1641" s="2"/>
      <c r="C1641" s="2"/>
      <c r="D1641" s="2"/>
      <c r="E1641" s="3"/>
      <c r="F1641" s="3"/>
      <c r="G1641" s="2"/>
      <c r="H1641" s="2"/>
      <c r="I1641" s="46"/>
      <c r="J1641" s="12"/>
      <c r="K1641" s="2"/>
      <c r="L1641" s="59"/>
    </row>
    <row r="1642" spans="1:12" x14ac:dyDescent="0.35">
      <c r="A1642" s="45">
        <v>1638</v>
      </c>
      <c r="B1642" s="2"/>
      <c r="C1642" s="2"/>
      <c r="D1642" s="2"/>
      <c r="E1642" s="3"/>
      <c r="F1642" s="3"/>
      <c r="G1642" s="2"/>
      <c r="H1642" s="2"/>
      <c r="I1642" s="46"/>
      <c r="J1642" s="12"/>
      <c r="K1642" s="2"/>
      <c r="L1642" s="59"/>
    </row>
    <row r="1643" spans="1:12" x14ac:dyDescent="0.35">
      <c r="A1643" s="45">
        <v>1639</v>
      </c>
      <c r="B1643" s="2"/>
      <c r="C1643" s="2"/>
      <c r="D1643" s="2"/>
      <c r="E1643" s="3"/>
      <c r="F1643" s="3"/>
      <c r="G1643" s="2"/>
      <c r="H1643" s="2"/>
      <c r="I1643" s="46"/>
      <c r="J1643" s="12"/>
      <c r="K1643" s="2"/>
      <c r="L1643" s="59"/>
    </row>
    <row r="1644" spans="1:12" x14ac:dyDescent="0.35">
      <c r="A1644" s="45">
        <v>1640</v>
      </c>
      <c r="B1644" s="2"/>
      <c r="C1644" s="2"/>
      <c r="D1644" s="2"/>
      <c r="E1644" s="3"/>
      <c r="F1644" s="3"/>
      <c r="G1644" s="2"/>
      <c r="H1644" s="2"/>
      <c r="I1644" s="46"/>
      <c r="J1644" s="12"/>
      <c r="K1644" s="2"/>
      <c r="L1644" s="59"/>
    </row>
    <row r="1645" spans="1:12" x14ac:dyDescent="0.35">
      <c r="A1645" s="45">
        <v>1641</v>
      </c>
      <c r="B1645" s="2"/>
      <c r="C1645" s="2"/>
      <c r="D1645" s="2"/>
      <c r="E1645" s="3"/>
      <c r="F1645" s="3"/>
      <c r="G1645" s="2"/>
      <c r="H1645" s="2"/>
      <c r="I1645" s="46"/>
      <c r="J1645" s="12"/>
      <c r="K1645" s="2"/>
      <c r="L1645" s="59"/>
    </row>
    <row r="1646" spans="1:12" x14ac:dyDescent="0.35">
      <c r="A1646" s="45">
        <v>1642</v>
      </c>
      <c r="B1646" s="2"/>
      <c r="C1646" s="2"/>
      <c r="D1646" s="2"/>
      <c r="E1646" s="3"/>
      <c r="F1646" s="3"/>
      <c r="G1646" s="2"/>
      <c r="H1646" s="2"/>
      <c r="I1646" s="46"/>
      <c r="J1646" s="12"/>
      <c r="K1646" s="2"/>
      <c r="L1646" s="59"/>
    </row>
    <row r="1647" spans="1:12" x14ac:dyDescent="0.35">
      <c r="A1647" s="45">
        <v>1643</v>
      </c>
      <c r="B1647" s="2"/>
      <c r="C1647" s="2"/>
      <c r="D1647" s="2"/>
      <c r="E1647" s="3"/>
      <c r="F1647" s="3"/>
      <c r="G1647" s="2"/>
      <c r="H1647" s="2"/>
      <c r="I1647" s="46"/>
      <c r="J1647" s="12"/>
      <c r="K1647" s="2"/>
      <c r="L1647" s="59"/>
    </row>
    <row r="1648" spans="1:12" x14ac:dyDescent="0.35">
      <c r="A1648" s="45">
        <v>1644</v>
      </c>
      <c r="B1648" s="2"/>
      <c r="C1648" s="2"/>
      <c r="D1648" s="2"/>
      <c r="E1648" s="3"/>
      <c r="F1648" s="3"/>
      <c r="G1648" s="2"/>
      <c r="H1648" s="2"/>
      <c r="I1648" s="46"/>
      <c r="J1648" s="12"/>
      <c r="K1648" s="2"/>
      <c r="L1648" s="59"/>
    </row>
    <row r="1649" spans="1:12" x14ac:dyDescent="0.35">
      <c r="A1649" s="45">
        <v>1645</v>
      </c>
      <c r="B1649" s="2"/>
      <c r="C1649" s="2"/>
      <c r="D1649" s="2"/>
      <c r="E1649" s="3"/>
      <c r="F1649" s="3"/>
      <c r="G1649" s="2"/>
      <c r="H1649" s="2"/>
      <c r="I1649" s="46"/>
      <c r="J1649" s="12"/>
      <c r="K1649" s="2"/>
      <c r="L1649" s="59"/>
    </row>
    <row r="1650" spans="1:12" x14ac:dyDescent="0.35">
      <c r="A1650" s="45">
        <v>1646</v>
      </c>
      <c r="B1650" s="2"/>
      <c r="C1650" s="2"/>
      <c r="D1650" s="2"/>
      <c r="E1650" s="3"/>
      <c r="F1650" s="3"/>
      <c r="G1650" s="2"/>
      <c r="H1650" s="2"/>
      <c r="I1650" s="46"/>
      <c r="J1650" s="12"/>
      <c r="K1650" s="2"/>
      <c r="L1650" s="59"/>
    </row>
    <row r="1651" spans="1:12" x14ac:dyDescent="0.35">
      <c r="A1651" s="45">
        <v>1647</v>
      </c>
      <c r="B1651" s="2"/>
      <c r="C1651" s="2"/>
      <c r="D1651" s="2"/>
      <c r="E1651" s="3"/>
      <c r="F1651" s="3"/>
      <c r="G1651" s="2"/>
      <c r="H1651" s="2"/>
      <c r="I1651" s="46"/>
      <c r="J1651" s="12"/>
      <c r="K1651" s="2"/>
      <c r="L1651" s="59"/>
    </row>
    <row r="1652" spans="1:12" x14ac:dyDescent="0.35">
      <c r="A1652" s="45">
        <v>1648</v>
      </c>
      <c r="B1652" s="2"/>
      <c r="C1652" s="2"/>
      <c r="D1652" s="2"/>
      <c r="E1652" s="3"/>
      <c r="F1652" s="3"/>
      <c r="G1652" s="2"/>
      <c r="H1652" s="2"/>
      <c r="I1652" s="46"/>
      <c r="J1652" s="12"/>
      <c r="K1652" s="2"/>
      <c r="L1652" s="59"/>
    </row>
    <row r="1653" spans="1:12" x14ac:dyDescent="0.35">
      <c r="A1653" s="45">
        <v>1649</v>
      </c>
      <c r="B1653" s="2"/>
      <c r="C1653" s="2"/>
      <c r="D1653" s="2"/>
      <c r="E1653" s="3"/>
      <c r="F1653" s="3"/>
      <c r="G1653" s="2"/>
      <c r="H1653" s="2"/>
      <c r="I1653" s="46"/>
      <c r="J1653" s="12"/>
      <c r="K1653" s="2"/>
      <c r="L1653" s="59"/>
    </row>
    <row r="1654" spans="1:12" x14ac:dyDescent="0.35">
      <c r="A1654" s="45">
        <v>1650</v>
      </c>
      <c r="B1654" s="2"/>
      <c r="C1654" s="2"/>
      <c r="D1654" s="2"/>
      <c r="E1654" s="3"/>
      <c r="F1654" s="3"/>
      <c r="G1654" s="2"/>
      <c r="H1654" s="2"/>
      <c r="I1654" s="46"/>
      <c r="J1654" s="12"/>
      <c r="K1654" s="2"/>
      <c r="L1654" s="59"/>
    </row>
    <row r="1655" spans="1:12" x14ac:dyDescent="0.35">
      <c r="A1655" s="45">
        <v>1651</v>
      </c>
      <c r="B1655" s="2"/>
      <c r="C1655" s="2"/>
      <c r="D1655" s="2"/>
      <c r="E1655" s="3"/>
      <c r="F1655" s="3"/>
      <c r="G1655" s="2"/>
      <c r="H1655" s="2"/>
      <c r="I1655" s="46"/>
      <c r="J1655" s="12"/>
      <c r="K1655" s="2"/>
      <c r="L1655" s="59"/>
    </row>
    <row r="1656" spans="1:12" x14ac:dyDescent="0.35">
      <c r="A1656" s="45">
        <v>1652</v>
      </c>
      <c r="B1656" s="2"/>
      <c r="C1656" s="2"/>
      <c r="D1656" s="2"/>
      <c r="E1656" s="3"/>
      <c r="F1656" s="3"/>
      <c r="G1656" s="2"/>
      <c r="H1656" s="2"/>
      <c r="I1656" s="46"/>
      <c r="J1656" s="12"/>
      <c r="K1656" s="2"/>
      <c r="L1656" s="59"/>
    </row>
    <row r="1657" spans="1:12" x14ac:dyDescent="0.35">
      <c r="A1657" s="45">
        <v>1653</v>
      </c>
      <c r="B1657" s="2"/>
      <c r="C1657" s="2"/>
      <c r="D1657" s="2"/>
      <c r="E1657" s="3"/>
      <c r="F1657" s="3"/>
      <c r="G1657" s="2"/>
      <c r="H1657" s="2"/>
      <c r="I1657" s="46"/>
      <c r="J1657" s="12"/>
      <c r="K1657" s="2"/>
      <c r="L1657" s="59"/>
    </row>
    <row r="1658" spans="1:12" x14ac:dyDescent="0.35">
      <c r="A1658" s="45">
        <v>1654</v>
      </c>
      <c r="B1658" s="2"/>
      <c r="C1658" s="2"/>
      <c r="D1658" s="2"/>
      <c r="E1658" s="3"/>
      <c r="F1658" s="3"/>
      <c r="G1658" s="2"/>
      <c r="H1658" s="2"/>
      <c r="I1658" s="46"/>
      <c r="J1658" s="12"/>
      <c r="K1658" s="2"/>
      <c r="L1658" s="59"/>
    </row>
    <row r="1659" spans="1:12" x14ac:dyDescent="0.35">
      <c r="A1659" s="45">
        <v>1655</v>
      </c>
      <c r="B1659" s="2"/>
      <c r="C1659" s="2"/>
      <c r="D1659" s="2"/>
      <c r="E1659" s="3"/>
      <c r="F1659" s="3"/>
      <c r="G1659" s="2"/>
      <c r="H1659" s="2"/>
      <c r="I1659" s="46"/>
      <c r="J1659" s="12"/>
      <c r="K1659" s="2"/>
      <c r="L1659" s="59"/>
    </row>
    <row r="1660" spans="1:12" x14ac:dyDescent="0.35">
      <c r="A1660" s="45">
        <v>1656</v>
      </c>
      <c r="B1660" s="2"/>
      <c r="C1660" s="2"/>
      <c r="D1660" s="2"/>
      <c r="E1660" s="3"/>
      <c r="F1660" s="3"/>
      <c r="G1660" s="2"/>
      <c r="H1660" s="2"/>
      <c r="I1660" s="46"/>
      <c r="J1660" s="12"/>
      <c r="K1660" s="2"/>
      <c r="L1660" s="59"/>
    </row>
    <row r="1661" spans="1:12" x14ac:dyDescent="0.35">
      <c r="A1661" s="45">
        <v>1657</v>
      </c>
      <c r="B1661" s="2"/>
      <c r="C1661" s="2"/>
      <c r="D1661" s="2"/>
      <c r="E1661" s="3"/>
      <c r="F1661" s="3"/>
      <c r="G1661" s="2"/>
      <c r="H1661" s="2"/>
      <c r="I1661" s="46"/>
      <c r="J1661" s="12"/>
      <c r="K1661" s="2"/>
      <c r="L1661" s="59"/>
    </row>
    <row r="1662" spans="1:12" x14ac:dyDescent="0.35">
      <c r="A1662" s="45">
        <v>1658</v>
      </c>
      <c r="B1662" s="2"/>
      <c r="C1662" s="2"/>
      <c r="D1662" s="2"/>
      <c r="E1662" s="3"/>
      <c r="F1662" s="3"/>
      <c r="G1662" s="2"/>
      <c r="H1662" s="2"/>
      <c r="I1662" s="46"/>
      <c r="J1662" s="12"/>
      <c r="K1662" s="2"/>
      <c r="L1662" s="59"/>
    </row>
    <row r="1663" spans="1:12" x14ac:dyDescent="0.35">
      <c r="A1663" s="45">
        <v>1659</v>
      </c>
      <c r="B1663" s="2"/>
      <c r="C1663" s="2"/>
      <c r="D1663" s="2"/>
      <c r="E1663" s="3"/>
      <c r="F1663" s="3"/>
      <c r="G1663" s="2"/>
      <c r="H1663" s="2"/>
      <c r="I1663" s="46"/>
      <c r="J1663" s="12"/>
      <c r="K1663" s="2"/>
      <c r="L1663" s="59"/>
    </row>
    <row r="1664" spans="1:12" x14ac:dyDescent="0.35">
      <c r="A1664" s="45">
        <v>1660</v>
      </c>
      <c r="B1664" s="2"/>
      <c r="C1664" s="2"/>
      <c r="D1664" s="2"/>
      <c r="E1664" s="3"/>
      <c r="F1664" s="3"/>
      <c r="G1664" s="2"/>
      <c r="H1664" s="2"/>
      <c r="I1664" s="46"/>
      <c r="J1664" s="12"/>
      <c r="K1664" s="2"/>
      <c r="L1664" s="59"/>
    </row>
    <row r="1665" spans="1:12" x14ac:dyDescent="0.35">
      <c r="A1665" s="45">
        <v>1661</v>
      </c>
      <c r="B1665" s="2"/>
      <c r="C1665" s="2"/>
      <c r="D1665" s="2"/>
      <c r="E1665" s="3"/>
      <c r="F1665" s="3"/>
      <c r="G1665" s="2"/>
      <c r="H1665" s="2"/>
      <c r="I1665" s="46"/>
      <c r="J1665" s="12"/>
      <c r="K1665" s="2"/>
      <c r="L1665" s="59"/>
    </row>
    <row r="1666" spans="1:12" x14ac:dyDescent="0.35">
      <c r="A1666" s="45">
        <v>1662</v>
      </c>
      <c r="B1666" s="2"/>
      <c r="C1666" s="2"/>
      <c r="D1666" s="2"/>
      <c r="E1666" s="3"/>
      <c r="F1666" s="3"/>
      <c r="G1666" s="2"/>
      <c r="H1666" s="2"/>
      <c r="I1666" s="46"/>
      <c r="J1666" s="12"/>
      <c r="K1666" s="2"/>
      <c r="L1666" s="59"/>
    </row>
    <row r="1667" spans="1:12" x14ac:dyDescent="0.35">
      <c r="A1667" s="45">
        <v>1663</v>
      </c>
      <c r="B1667" s="2"/>
      <c r="C1667" s="2"/>
      <c r="D1667" s="2"/>
      <c r="E1667" s="3"/>
      <c r="F1667" s="3"/>
      <c r="G1667" s="2"/>
      <c r="H1667" s="2"/>
      <c r="I1667" s="46"/>
      <c r="J1667" s="12"/>
      <c r="K1667" s="2"/>
      <c r="L1667" s="59"/>
    </row>
    <row r="1668" spans="1:12" x14ac:dyDescent="0.35">
      <c r="A1668" s="45">
        <v>1664</v>
      </c>
      <c r="B1668" s="2"/>
      <c r="C1668" s="2"/>
      <c r="D1668" s="2"/>
      <c r="E1668" s="3"/>
      <c r="F1668" s="3"/>
      <c r="G1668" s="2"/>
      <c r="H1668" s="2"/>
      <c r="I1668" s="46"/>
      <c r="J1668" s="12"/>
      <c r="K1668" s="2"/>
      <c r="L1668" s="59"/>
    </row>
    <row r="1669" spans="1:12" x14ac:dyDescent="0.35">
      <c r="A1669" s="45">
        <v>1665</v>
      </c>
      <c r="B1669" s="2"/>
      <c r="C1669" s="2"/>
      <c r="D1669" s="2"/>
      <c r="E1669" s="3"/>
      <c r="F1669" s="3"/>
      <c r="G1669" s="2"/>
      <c r="H1669" s="2"/>
      <c r="I1669" s="46"/>
      <c r="J1669" s="12"/>
      <c r="K1669" s="2"/>
      <c r="L1669" s="59"/>
    </row>
    <row r="1670" spans="1:12" x14ac:dyDescent="0.35">
      <c r="A1670" s="45">
        <v>1666</v>
      </c>
      <c r="B1670" s="2"/>
      <c r="C1670" s="2"/>
      <c r="D1670" s="2"/>
      <c r="E1670" s="3"/>
      <c r="F1670" s="3"/>
      <c r="G1670" s="2"/>
      <c r="H1670" s="2"/>
      <c r="I1670" s="46"/>
      <c r="J1670" s="12"/>
      <c r="K1670" s="2"/>
      <c r="L1670" s="59"/>
    </row>
    <row r="1671" spans="1:12" x14ac:dyDescent="0.35">
      <c r="A1671" s="45">
        <v>1667</v>
      </c>
      <c r="B1671" s="2"/>
      <c r="C1671" s="2"/>
      <c r="D1671" s="2"/>
      <c r="E1671" s="3"/>
      <c r="F1671" s="3"/>
      <c r="G1671" s="2"/>
      <c r="H1671" s="2"/>
      <c r="I1671" s="46"/>
      <c r="J1671" s="12"/>
      <c r="K1671" s="2"/>
      <c r="L1671" s="59"/>
    </row>
    <row r="1672" spans="1:12" x14ac:dyDescent="0.35">
      <c r="A1672" s="45">
        <v>1668</v>
      </c>
      <c r="B1672" s="2"/>
      <c r="C1672" s="2"/>
      <c r="D1672" s="2"/>
      <c r="E1672" s="3"/>
      <c r="F1672" s="3"/>
      <c r="G1672" s="2"/>
      <c r="H1672" s="2"/>
      <c r="I1672" s="46"/>
      <c r="J1672" s="12"/>
      <c r="K1672" s="2"/>
      <c r="L1672" s="59"/>
    </row>
    <row r="1673" spans="1:12" x14ac:dyDescent="0.35">
      <c r="A1673" s="45">
        <v>1669</v>
      </c>
      <c r="B1673" s="2"/>
      <c r="C1673" s="2"/>
      <c r="D1673" s="2"/>
      <c r="E1673" s="3"/>
      <c r="F1673" s="3"/>
      <c r="G1673" s="2"/>
      <c r="H1673" s="2"/>
      <c r="I1673" s="46"/>
      <c r="J1673" s="12"/>
      <c r="K1673" s="2"/>
      <c r="L1673" s="59"/>
    </row>
    <row r="1674" spans="1:12" x14ac:dyDescent="0.35">
      <c r="A1674" s="45">
        <v>1670</v>
      </c>
      <c r="B1674" s="2"/>
      <c r="C1674" s="2"/>
      <c r="D1674" s="2"/>
      <c r="E1674" s="3"/>
      <c r="F1674" s="3"/>
      <c r="G1674" s="2"/>
      <c r="H1674" s="2"/>
      <c r="I1674" s="46"/>
      <c r="J1674" s="12"/>
      <c r="K1674" s="2"/>
      <c r="L1674" s="59"/>
    </row>
    <row r="1675" spans="1:12" x14ac:dyDescent="0.35">
      <c r="A1675" s="45">
        <v>1671</v>
      </c>
      <c r="B1675" s="2"/>
      <c r="C1675" s="2"/>
      <c r="D1675" s="2"/>
      <c r="E1675" s="3"/>
      <c r="F1675" s="3"/>
      <c r="G1675" s="2"/>
      <c r="H1675" s="2"/>
      <c r="I1675" s="46"/>
      <c r="J1675" s="12"/>
      <c r="K1675" s="2"/>
      <c r="L1675" s="59"/>
    </row>
    <row r="1676" spans="1:12" x14ac:dyDescent="0.35">
      <c r="A1676" s="45">
        <v>1672</v>
      </c>
      <c r="B1676" s="2"/>
      <c r="C1676" s="2"/>
      <c r="D1676" s="2"/>
      <c r="E1676" s="3"/>
      <c r="F1676" s="3"/>
      <c r="G1676" s="2"/>
      <c r="H1676" s="2"/>
      <c r="I1676" s="46"/>
      <c r="J1676" s="12"/>
      <c r="K1676" s="2"/>
      <c r="L1676" s="59"/>
    </row>
    <row r="1677" spans="1:12" x14ac:dyDescent="0.35">
      <c r="A1677" s="45">
        <v>1673</v>
      </c>
      <c r="B1677" s="2"/>
      <c r="C1677" s="2"/>
      <c r="D1677" s="2"/>
      <c r="E1677" s="3"/>
      <c r="F1677" s="3"/>
      <c r="G1677" s="2"/>
      <c r="H1677" s="2"/>
      <c r="I1677" s="46"/>
      <c r="J1677" s="12"/>
      <c r="K1677" s="2"/>
      <c r="L1677" s="59"/>
    </row>
    <row r="1678" spans="1:12" x14ac:dyDescent="0.35">
      <c r="A1678" s="45">
        <v>1674</v>
      </c>
      <c r="B1678" s="2"/>
      <c r="C1678" s="2"/>
      <c r="D1678" s="2"/>
      <c r="E1678" s="3"/>
      <c r="F1678" s="3"/>
      <c r="G1678" s="2"/>
      <c r="H1678" s="2"/>
      <c r="I1678" s="46"/>
      <c r="J1678" s="12"/>
      <c r="K1678" s="2"/>
      <c r="L1678" s="59"/>
    </row>
    <row r="1679" spans="1:12" x14ac:dyDescent="0.35">
      <c r="A1679" s="45">
        <v>1675</v>
      </c>
      <c r="B1679" s="2"/>
      <c r="C1679" s="2"/>
      <c r="D1679" s="2"/>
      <c r="E1679" s="3"/>
      <c r="F1679" s="3"/>
      <c r="G1679" s="2"/>
      <c r="H1679" s="2"/>
      <c r="I1679" s="46"/>
      <c r="J1679" s="12"/>
      <c r="K1679" s="2"/>
      <c r="L1679" s="59"/>
    </row>
    <row r="1680" spans="1:12" x14ac:dyDescent="0.35">
      <c r="A1680" s="45">
        <v>1676</v>
      </c>
      <c r="B1680" s="2"/>
      <c r="C1680" s="2"/>
      <c r="D1680" s="2"/>
      <c r="E1680" s="3"/>
      <c r="F1680" s="3"/>
      <c r="G1680" s="2"/>
      <c r="H1680" s="2"/>
      <c r="I1680" s="46"/>
      <c r="J1680" s="12"/>
      <c r="K1680" s="2"/>
      <c r="L1680" s="59"/>
    </row>
    <row r="1681" spans="1:12" x14ac:dyDescent="0.35">
      <c r="A1681" s="45">
        <v>1677</v>
      </c>
      <c r="B1681" s="2"/>
      <c r="C1681" s="2"/>
      <c r="D1681" s="2"/>
      <c r="E1681" s="3"/>
      <c r="F1681" s="3"/>
      <c r="G1681" s="2"/>
      <c r="H1681" s="2"/>
      <c r="I1681" s="46"/>
      <c r="J1681" s="12"/>
      <c r="K1681" s="2"/>
      <c r="L1681" s="59"/>
    </row>
    <row r="1682" spans="1:12" x14ac:dyDescent="0.35">
      <c r="A1682" s="45">
        <v>1678</v>
      </c>
      <c r="B1682" s="2"/>
      <c r="C1682" s="2"/>
      <c r="D1682" s="2"/>
      <c r="E1682" s="3"/>
      <c r="F1682" s="3"/>
      <c r="G1682" s="2"/>
      <c r="H1682" s="2"/>
      <c r="I1682" s="46"/>
      <c r="J1682" s="12"/>
      <c r="K1682" s="2"/>
      <c r="L1682" s="59"/>
    </row>
    <row r="1683" spans="1:12" x14ac:dyDescent="0.35">
      <c r="A1683" s="45">
        <v>1679</v>
      </c>
      <c r="B1683" s="2"/>
      <c r="C1683" s="2"/>
      <c r="D1683" s="2"/>
      <c r="E1683" s="3"/>
      <c r="F1683" s="3"/>
      <c r="G1683" s="2"/>
      <c r="H1683" s="2"/>
      <c r="I1683" s="46"/>
      <c r="J1683" s="12"/>
      <c r="K1683" s="2"/>
      <c r="L1683" s="59"/>
    </row>
    <row r="1684" spans="1:12" x14ac:dyDescent="0.35">
      <c r="A1684" s="45">
        <v>1680</v>
      </c>
      <c r="B1684" s="2"/>
      <c r="C1684" s="2"/>
      <c r="D1684" s="2"/>
      <c r="E1684" s="3"/>
      <c r="F1684" s="3"/>
      <c r="G1684" s="2"/>
      <c r="H1684" s="2"/>
      <c r="I1684" s="46"/>
      <c r="J1684" s="12"/>
      <c r="K1684" s="2"/>
      <c r="L1684" s="59"/>
    </row>
    <row r="1685" spans="1:12" x14ac:dyDescent="0.35">
      <c r="A1685" s="45">
        <v>1681</v>
      </c>
      <c r="B1685" s="2"/>
      <c r="C1685" s="2"/>
      <c r="D1685" s="2"/>
      <c r="E1685" s="3"/>
      <c r="F1685" s="3"/>
      <c r="G1685" s="2"/>
      <c r="H1685" s="2"/>
      <c r="I1685" s="46"/>
      <c r="J1685" s="12"/>
      <c r="K1685" s="2"/>
      <c r="L1685" s="59"/>
    </row>
    <row r="1686" spans="1:12" x14ac:dyDescent="0.35">
      <c r="A1686" s="45">
        <v>1682</v>
      </c>
      <c r="B1686" s="2"/>
      <c r="C1686" s="2"/>
      <c r="D1686" s="2"/>
      <c r="E1686" s="3"/>
      <c r="F1686" s="3"/>
      <c r="G1686" s="2"/>
      <c r="H1686" s="2"/>
      <c r="I1686" s="46"/>
      <c r="J1686" s="12"/>
      <c r="K1686" s="2"/>
      <c r="L1686" s="59"/>
    </row>
    <row r="1687" spans="1:12" x14ac:dyDescent="0.35">
      <c r="A1687" s="45">
        <v>1683</v>
      </c>
      <c r="B1687" s="2"/>
      <c r="C1687" s="2"/>
      <c r="D1687" s="2"/>
      <c r="E1687" s="3"/>
      <c r="F1687" s="3"/>
      <c r="G1687" s="2"/>
      <c r="H1687" s="2"/>
      <c r="I1687" s="46"/>
      <c r="J1687" s="12"/>
      <c r="K1687" s="2"/>
      <c r="L1687" s="59"/>
    </row>
    <row r="1688" spans="1:12" x14ac:dyDescent="0.35">
      <c r="A1688" s="45">
        <v>1684</v>
      </c>
      <c r="B1688" s="2"/>
      <c r="C1688" s="2"/>
      <c r="D1688" s="2"/>
      <c r="E1688" s="3"/>
      <c r="F1688" s="3"/>
      <c r="G1688" s="2"/>
      <c r="H1688" s="2"/>
      <c r="I1688" s="46"/>
      <c r="J1688" s="12"/>
      <c r="K1688" s="2"/>
      <c r="L1688" s="59"/>
    </row>
    <row r="1689" spans="1:12" x14ac:dyDescent="0.35">
      <c r="A1689" s="45">
        <v>1685</v>
      </c>
      <c r="B1689" s="2"/>
      <c r="C1689" s="2"/>
      <c r="D1689" s="2"/>
      <c r="E1689" s="3"/>
      <c r="F1689" s="3"/>
      <c r="G1689" s="2"/>
      <c r="H1689" s="2"/>
      <c r="I1689" s="46"/>
      <c r="J1689" s="12"/>
      <c r="K1689" s="2"/>
      <c r="L1689" s="59"/>
    </row>
    <row r="1690" spans="1:12" x14ac:dyDescent="0.35">
      <c r="A1690" s="45">
        <v>1686</v>
      </c>
      <c r="B1690" s="2"/>
      <c r="C1690" s="2"/>
      <c r="D1690" s="2"/>
      <c r="E1690" s="3"/>
      <c r="F1690" s="3"/>
      <c r="G1690" s="2"/>
      <c r="H1690" s="2"/>
      <c r="I1690" s="46"/>
      <c r="J1690" s="12"/>
      <c r="K1690" s="2"/>
      <c r="L1690" s="59"/>
    </row>
    <row r="1691" spans="1:12" x14ac:dyDescent="0.35">
      <c r="A1691" s="45">
        <v>1687</v>
      </c>
      <c r="B1691" s="2"/>
      <c r="C1691" s="2"/>
      <c r="D1691" s="2"/>
      <c r="E1691" s="3"/>
      <c r="F1691" s="3"/>
      <c r="G1691" s="2"/>
      <c r="H1691" s="2"/>
      <c r="I1691" s="46"/>
      <c r="J1691" s="12"/>
      <c r="K1691" s="2"/>
      <c r="L1691" s="59"/>
    </row>
    <row r="1692" spans="1:12" x14ac:dyDescent="0.35">
      <c r="A1692" s="45">
        <v>1688</v>
      </c>
      <c r="B1692" s="2"/>
      <c r="C1692" s="2"/>
      <c r="D1692" s="2"/>
      <c r="E1692" s="3"/>
      <c r="F1692" s="3"/>
      <c r="G1692" s="2"/>
      <c r="H1692" s="2"/>
      <c r="I1692" s="46"/>
      <c r="J1692" s="12"/>
      <c r="K1692" s="2"/>
      <c r="L1692" s="59"/>
    </row>
    <row r="1693" spans="1:12" x14ac:dyDescent="0.35">
      <c r="A1693" s="45">
        <v>1689</v>
      </c>
      <c r="B1693" s="2"/>
      <c r="C1693" s="2"/>
      <c r="D1693" s="2"/>
      <c r="E1693" s="3"/>
      <c r="F1693" s="3"/>
      <c r="G1693" s="2"/>
      <c r="H1693" s="2"/>
      <c r="I1693" s="46"/>
      <c r="J1693" s="12"/>
      <c r="K1693" s="2"/>
      <c r="L1693" s="59"/>
    </row>
    <row r="1694" spans="1:12" x14ac:dyDescent="0.35">
      <c r="A1694" s="45">
        <v>1690</v>
      </c>
      <c r="B1694" s="2"/>
      <c r="C1694" s="2"/>
      <c r="D1694" s="2"/>
      <c r="E1694" s="3"/>
      <c r="F1694" s="3"/>
      <c r="G1694" s="2"/>
      <c r="H1694" s="2"/>
      <c r="I1694" s="46"/>
      <c r="J1694" s="12"/>
      <c r="K1694" s="2"/>
      <c r="L1694" s="59"/>
    </row>
    <row r="1695" spans="1:12" x14ac:dyDescent="0.35">
      <c r="A1695" s="45">
        <v>1691</v>
      </c>
      <c r="B1695" s="2"/>
      <c r="C1695" s="2"/>
      <c r="D1695" s="2"/>
      <c r="E1695" s="3"/>
      <c r="F1695" s="3"/>
      <c r="G1695" s="2"/>
      <c r="H1695" s="2"/>
      <c r="I1695" s="46"/>
      <c r="J1695" s="12"/>
      <c r="K1695" s="2"/>
      <c r="L1695" s="59"/>
    </row>
    <row r="1696" spans="1:12" x14ac:dyDescent="0.35">
      <c r="A1696" s="45">
        <v>1692</v>
      </c>
      <c r="B1696" s="2"/>
      <c r="C1696" s="2"/>
      <c r="D1696" s="2"/>
      <c r="E1696" s="3"/>
      <c r="F1696" s="3"/>
      <c r="G1696" s="2"/>
      <c r="H1696" s="2"/>
      <c r="I1696" s="46"/>
      <c r="J1696" s="12"/>
      <c r="K1696" s="2"/>
      <c r="L1696" s="59"/>
    </row>
    <row r="1697" spans="1:12" x14ac:dyDescent="0.35">
      <c r="A1697" s="45">
        <v>1693</v>
      </c>
      <c r="B1697" s="2"/>
      <c r="C1697" s="2"/>
      <c r="D1697" s="2"/>
      <c r="E1697" s="3"/>
      <c r="F1697" s="3"/>
      <c r="G1697" s="2"/>
      <c r="H1697" s="2"/>
      <c r="I1697" s="46"/>
      <c r="J1697" s="12"/>
      <c r="K1697" s="2"/>
      <c r="L1697" s="59"/>
    </row>
    <row r="1698" spans="1:12" x14ac:dyDescent="0.35">
      <c r="A1698" s="45">
        <v>1694</v>
      </c>
      <c r="B1698" s="2"/>
      <c r="C1698" s="2"/>
      <c r="D1698" s="2"/>
      <c r="E1698" s="3"/>
      <c r="F1698" s="3"/>
      <c r="G1698" s="2"/>
      <c r="H1698" s="2"/>
      <c r="I1698" s="46"/>
      <c r="J1698" s="12"/>
      <c r="K1698" s="2"/>
      <c r="L1698" s="59"/>
    </row>
    <row r="1699" spans="1:12" x14ac:dyDescent="0.35">
      <c r="A1699" s="45">
        <v>1695</v>
      </c>
      <c r="B1699" s="2"/>
      <c r="C1699" s="2"/>
      <c r="D1699" s="2"/>
      <c r="E1699" s="3"/>
      <c r="F1699" s="3"/>
      <c r="G1699" s="2"/>
      <c r="H1699" s="2"/>
      <c r="I1699" s="46"/>
      <c r="J1699" s="12"/>
      <c r="K1699" s="2"/>
      <c r="L1699" s="59"/>
    </row>
    <row r="1700" spans="1:12" x14ac:dyDescent="0.35">
      <c r="A1700" s="45">
        <v>1696</v>
      </c>
      <c r="B1700" s="2"/>
      <c r="C1700" s="2"/>
      <c r="D1700" s="2"/>
      <c r="E1700" s="3"/>
      <c r="F1700" s="3"/>
      <c r="G1700" s="2"/>
      <c r="H1700" s="2"/>
      <c r="I1700" s="46"/>
      <c r="J1700" s="12"/>
      <c r="K1700" s="2"/>
      <c r="L1700" s="59"/>
    </row>
    <row r="1701" spans="1:12" x14ac:dyDescent="0.35">
      <c r="A1701" s="45">
        <v>1697</v>
      </c>
      <c r="B1701" s="2"/>
      <c r="C1701" s="2"/>
      <c r="D1701" s="2"/>
      <c r="E1701" s="3"/>
      <c r="F1701" s="3"/>
      <c r="G1701" s="2"/>
      <c r="H1701" s="2"/>
      <c r="I1701" s="46"/>
      <c r="J1701" s="12"/>
      <c r="K1701" s="2"/>
      <c r="L1701" s="59"/>
    </row>
    <row r="1702" spans="1:12" x14ac:dyDescent="0.35">
      <c r="A1702" s="45">
        <v>1698</v>
      </c>
      <c r="B1702" s="2"/>
      <c r="C1702" s="2"/>
      <c r="D1702" s="2"/>
      <c r="E1702" s="3"/>
      <c r="F1702" s="3"/>
      <c r="G1702" s="2"/>
      <c r="H1702" s="2"/>
      <c r="I1702" s="46"/>
      <c r="J1702" s="12"/>
      <c r="K1702" s="2"/>
      <c r="L1702" s="59"/>
    </row>
    <row r="1703" spans="1:12" x14ac:dyDescent="0.35">
      <c r="A1703" s="45">
        <v>1699</v>
      </c>
      <c r="B1703" s="2"/>
      <c r="C1703" s="2"/>
      <c r="D1703" s="2"/>
      <c r="E1703" s="3"/>
      <c r="F1703" s="3"/>
      <c r="G1703" s="2"/>
      <c r="H1703" s="2"/>
      <c r="I1703" s="46"/>
      <c r="J1703" s="12"/>
      <c r="K1703" s="2"/>
      <c r="L1703" s="59"/>
    </row>
    <row r="1704" spans="1:12" x14ac:dyDescent="0.35">
      <c r="A1704" s="45">
        <v>1700</v>
      </c>
      <c r="B1704" s="2"/>
      <c r="C1704" s="2"/>
      <c r="D1704" s="2"/>
      <c r="E1704" s="3"/>
      <c r="F1704" s="3"/>
      <c r="G1704" s="2"/>
      <c r="H1704" s="2"/>
      <c r="I1704" s="46"/>
      <c r="J1704" s="12"/>
      <c r="K1704" s="2"/>
      <c r="L1704" s="59"/>
    </row>
    <row r="1705" spans="1:12" x14ac:dyDescent="0.35">
      <c r="A1705" s="45">
        <v>1701</v>
      </c>
      <c r="B1705" s="2"/>
      <c r="C1705" s="2"/>
      <c r="D1705" s="2"/>
      <c r="E1705" s="3"/>
      <c r="F1705" s="3"/>
      <c r="G1705" s="2"/>
      <c r="H1705" s="2"/>
      <c r="I1705" s="46"/>
      <c r="J1705" s="12"/>
      <c r="K1705" s="2"/>
      <c r="L1705" s="59"/>
    </row>
    <row r="1706" spans="1:12" x14ac:dyDescent="0.35">
      <c r="A1706" s="45">
        <v>1702</v>
      </c>
      <c r="B1706" s="2"/>
      <c r="C1706" s="2"/>
      <c r="D1706" s="2"/>
      <c r="E1706" s="3"/>
      <c r="F1706" s="3"/>
      <c r="G1706" s="2"/>
      <c r="H1706" s="2"/>
      <c r="I1706" s="46"/>
      <c r="J1706" s="12"/>
      <c r="K1706" s="2"/>
      <c r="L1706" s="59"/>
    </row>
    <row r="1707" spans="1:12" x14ac:dyDescent="0.35">
      <c r="A1707" s="45">
        <v>1703</v>
      </c>
      <c r="B1707" s="2"/>
      <c r="C1707" s="2"/>
      <c r="D1707" s="2"/>
      <c r="E1707" s="3"/>
      <c r="F1707" s="3"/>
      <c r="G1707" s="2"/>
      <c r="H1707" s="2"/>
      <c r="I1707" s="46"/>
      <c r="J1707" s="12"/>
      <c r="K1707" s="2"/>
      <c r="L1707" s="59"/>
    </row>
    <row r="1708" spans="1:12" x14ac:dyDescent="0.35">
      <c r="A1708" s="45">
        <v>1704</v>
      </c>
      <c r="B1708" s="2"/>
      <c r="C1708" s="2"/>
      <c r="D1708" s="2"/>
      <c r="E1708" s="3"/>
      <c r="F1708" s="3"/>
      <c r="G1708" s="2"/>
      <c r="H1708" s="2"/>
      <c r="I1708" s="46"/>
      <c r="J1708" s="12"/>
      <c r="K1708" s="2"/>
      <c r="L1708" s="59"/>
    </row>
    <row r="1709" spans="1:12" x14ac:dyDescent="0.35">
      <c r="A1709" s="45">
        <v>1705</v>
      </c>
      <c r="B1709" s="2"/>
      <c r="C1709" s="2"/>
      <c r="D1709" s="2"/>
      <c r="E1709" s="3"/>
      <c r="F1709" s="3"/>
      <c r="G1709" s="2"/>
      <c r="H1709" s="2"/>
      <c r="I1709" s="46"/>
      <c r="J1709" s="12"/>
      <c r="K1709" s="2"/>
      <c r="L1709" s="59"/>
    </row>
    <row r="1710" spans="1:12" x14ac:dyDescent="0.35">
      <c r="A1710" s="45">
        <v>1706</v>
      </c>
      <c r="B1710" s="2"/>
      <c r="C1710" s="2"/>
      <c r="D1710" s="2"/>
      <c r="E1710" s="3"/>
      <c r="F1710" s="3"/>
      <c r="G1710" s="2"/>
      <c r="H1710" s="2"/>
      <c r="I1710" s="46"/>
      <c r="J1710" s="12"/>
      <c r="K1710" s="2"/>
      <c r="L1710" s="59"/>
    </row>
    <row r="1711" spans="1:12" x14ac:dyDescent="0.35">
      <c r="A1711" s="45">
        <v>1707</v>
      </c>
      <c r="B1711" s="2"/>
      <c r="C1711" s="2"/>
      <c r="D1711" s="2"/>
      <c r="E1711" s="3"/>
      <c r="F1711" s="3"/>
      <c r="G1711" s="2"/>
      <c r="H1711" s="2"/>
      <c r="I1711" s="46"/>
      <c r="J1711" s="12"/>
      <c r="K1711" s="2"/>
      <c r="L1711" s="59"/>
    </row>
    <row r="1712" spans="1:12" x14ac:dyDescent="0.35">
      <c r="A1712" s="45">
        <v>1708</v>
      </c>
      <c r="B1712" s="2"/>
      <c r="C1712" s="2"/>
      <c r="D1712" s="2"/>
      <c r="E1712" s="3"/>
      <c r="F1712" s="3"/>
      <c r="G1712" s="2"/>
      <c r="H1712" s="2"/>
      <c r="I1712" s="46"/>
      <c r="J1712" s="12"/>
      <c r="K1712" s="2"/>
      <c r="L1712" s="59"/>
    </row>
    <row r="1713" spans="1:12" x14ac:dyDescent="0.35">
      <c r="A1713" s="45">
        <v>1709</v>
      </c>
      <c r="B1713" s="2"/>
      <c r="C1713" s="2"/>
      <c r="D1713" s="2"/>
      <c r="E1713" s="3"/>
      <c r="F1713" s="3"/>
      <c r="G1713" s="2"/>
      <c r="H1713" s="2"/>
      <c r="I1713" s="46"/>
      <c r="J1713" s="12"/>
      <c r="K1713" s="2"/>
      <c r="L1713" s="59"/>
    </row>
    <row r="1714" spans="1:12" x14ac:dyDescent="0.35">
      <c r="A1714" s="45">
        <v>1710</v>
      </c>
      <c r="B1714" s="2"/>
      <c r="C1714" s="2"/>
      <c r="D1714" s="2"/>
      <c r="E1714" s="3"/>
      <c r="F1714" s="3"/>
      <c r="G1714" s="2"/>
      <c r="H1714" s="2"/>
      <c r="I1714" s="46"/>
      <c r="J1714" s="12"/>
      <c r="K1714" s="2"/>
      <c r="L1714" s="59"/>
    </row>
    <row r="1715" spans="1:12" x14ac:dyDescent="0.35">
      <c r="A1715" s="45">
        <v>1711</v>
      </c>
      <c r="B1715" s="2"/>
      <c r="C1715" s="2"/>
      <c r="D1715" s="2"/>
      <c r="E1715" s="3"/>
      <c r="F1715" s="3"/>
      <c r="G1715" s="2"/>
      <c r="H1715" s="2"/>
      <c r="I1715" s="46"/>
      <c r="J1715" s="12"/>
      <c r="K1715" s="2"/>
      <c r="L1715" s="59"/>
    </row>
    <row r="1716" spans="1:12" x14ac:dyDescent="0.35">
      <c r="A1716" s="45">
        <v>1712</v>
      </c>
      <c r="B1716" s="2"/>
      <c r="C1716" s="2"/>
      <c r="D1716" s="2"/>
      <c r="E1716" s="3"/>
      <c r="F1716" s="3"/>
      <c r="G1716" s="2"/>
      <c r="H1716" s="2"/>
      <c r="I1716" s="46"/>
      <c r="J1716" s="12"/>
      <c r="K1716" s="2"/>
      <c r="L1716" s="59"/>
    </row>
    <row r="1717" spans="1:12" x14ac:dyDescent="0.35">
      <c r="A1717" s="45">
        <v>1713</v>
      </c>
      <c r="B1717" s="2"/>
      <c r="C1717" s="2"/>
      <c r="D1717" s="2"/>
      <c r="E1717" s="3"/>
      <c r="F1717" s="3"/>
      <c r="G1717" s="2"/>
      <c r="H1717" s="2"/>
      <c r="I1717" s="46"/>
      <c r="J1717" s="12"/>
      <c r="K1717" s="2"/>
      <c r="L1717" s="59"/>
    </row>
    <row r="1718" spans="1:12" x14ac:dyDescent="0.35">
      <c r="A1718" s="45">
        <v>1714</v>
      </c>
      <c r="B1718" s="2"/>
      <c r="C1718" s="2"/>
      <c r="D1718" s="2"/>
      <c r="E1718" s="3"/>
      <c r="F1718" s="3"/>
      <c r="G1718" s="2"/>
      <c r="H1718" s="2"/>
      <c r="I1718" s="46"/>
      <c r="J1718" s="12"/>
      <c r="K1718" s="2"/>
      <c r="L1718" s="59"/>
    </row>
    <row r="1719" spans="1:12" x14ac:dyDescent="0.35">
      <c r="A1719" s="45">
        <v>1715</v>
      </c>
      <c r="B1719" s="2"/>
      <c r="C1719" s="2"/>
      <c r="D1719" s="2"/>
      <c r="E1719" s="3"/>
      <c r="F1719" s="3"/>
      <c r="G1719" s="2"/>
      <c r="H1719" s="2"/>
      <c r="I1719" s="46"/>
      <c r="J1719" s="12"/>
      <c r="K1719" s="2"/>
      <c r="L1719" s="59"/>
    </row>
    <row r="1720" spans="1:12" x14ac:dyDescent="0.35">
      <c r="A1720" s="45">
        <v>1716</v>
      </c>
      <c r="B1720" s="2"/>
      <c r="C1720" s="2"/>
      <c r="D1720" s="2"/>
      <c r="E1720" s="3"/>
      <c r="F1720" s="3"/>
      <c r="G1720" s="2"/>
      <c r="H1720" s="2"/>
      <c r="I1720" s="46"/>
      <c r="J1720" s="12"/>
      <c r="K1720" s="2"/>
      <c r="L1720" s="59"/>
    </row>
    <row r="1721" spans="1:12" x14ac:dyDescent="0.35">
      <c r="A1721" s="45">
        <v>1717</v>
      </c>
      <c r="B1721" s="2"/>
      <c r="C1721" s="2"/>
      <c r="D1721" s="2"/>
      <c r="E1721" s="3"/>
      <c r="F1721" s="3"/>
      <c r="G1721" s="2"/>
      <c r="H1721" s="2"/>
      <c r="I1721" s="46"/>
      <c r="J1721" s="12"/>
      <c r="K1721" s="2"/>
      <c r="L1721" s="59"/>
    </row>
    <row r="1722" spans="1:12" x14ac:dyDescent="0.35">
      <c r="A1722" s="45">
        <v>1718</v>
      </c>
      <c r="B1722" s="2"/>
      <c r="C1722" s="2"/>
      <c r="D1722" s="2"/>
      <c r="E1722" s="3"/>
      <c r="F1722" s="3"/>
      <c r="G1722" s="2"/>
      <c r="H1722" s="2"/>
      <c r="I1722" s="46"/>
      <c r="J1722" s="12"/>
      <c r="K1722" s="2"/>
      <c r="L1722" s="59"/>
    </row>
    <row r="1723" spans="1:12" x14ac:dyDescent="0.35">
      <c r="A1723" s="45">
        <v>1719</v>
      </c>
      <c r="B1723" s="2"/>
      <c r="C1723" s="2"/>
      <c r="D1723" s="2"/>
      <c r="E1723" s="3"/>
      <c r="F1723" s="3"/>
      <c r="G1723" s="2"/>
      <c r="H1723" s="2"/>
      <c r="I1723" s="46"/>
      <c r="J1723" s="12"/>
      <c r="K1723" s="2"/>
      <c r="L1723" s="59"/>
    </row>
    <row r="1724" spans="1:12" x14ac:dyDescent="0.35">
      <c r="A1724" s="45">
        <v>1720</v>
      </c>
      <c r="B1724" s="2"/>
      <c r="C1724" s="2"/>
      <c r="D1724" s="2"/>
      <c r="E1724" s="3"/>
      <c r="F1724" s="3"/>
      <c r="G1724" s="2"/>
      <c r="H1724" s="2"/>
      <c r="I1724" s="46"/>
      <c r="J1724" s="12"/>
      <c r="K1724" s="2"/>
      <c r="L1724" s="59"/>
    </row>
    <row r="1725" spans="1:12" x14ac:dyDescent="0.35">
      <c r="A1725" s="45">
        <v>1721</v>
      </c>
      <c r="B1725" s="2"/>
      <c r="C1725" s="2"/>
      <c r="D1725" s="2"/>
      <c r="E1725" s="3"/>
      <c r="F1725" s="3"/>
      <c r="G1725" s="2"/>
      <c r="H1725" s="2"/>
      <c r="I1725" s="46"/>
      <c r="J1725" s="12"/>
      <c r="K1725" s="2"/>
      <c r="L1725" s="59"/>
    </row>
    <row r="1726" spans="1:12" x14ac:dyDescent="0.35">
      <c r="A1726" s="45">
        <v>1722</v>
      </c>
      <c r="B1726" s="2"/>
      <c r="C1726" s="2"/>
      <c r="D1726" s="2"/>
      <c r="E1726" s="3"/>
      <c r="F1726" s="3"/>
      <c r="G1726" s="2"/>
      <c r="H1726" s="2"/>
      <c r="I1726" s="46"/>
      <c r="J1726" s="12"/>
      <c r="K1726" s="2"/>
      <c r="L1726" s="59"/>
    </row>
    <row r="1727" spans="1:12" x14ac:dyDescent="0.35">
      <c r="A1727" s="45">
        <v>1723</v>
      </c>
      <c r="B1727" s="2"/>
      <c r="C1727" s="2"/>
      <c r="D1727" s="2"/>
      <c r="E1727" s="3"/>
      <c r="F1727" s="3"/>
      <c r="G1727" s="2"/>
      <c r="H1727" s="2"/>
      <c r="I1727" s="46"/>
      <c r="J1727" s="12"/>
      <c r="K1727" s="2"/>
      <c r="L1727" s="59"/>
    </row>
    <row r="1728" spans="1:12" x14ac:dyDescent="0.35">
      <c r="A1728" s="45">
        <v>1724</v>
      </c>
      <c r="B1728" s="2"/>
      <c r="C1728" s="2"/>
      <c r="D1728" s="2"/>
      <c r="E1728" s="3"/>
      <c r="F1728" s="3"/>
      <c r="G1728" s="2"/>
      <c r="H1728" s="2"/>
      <c r="I1728" s="46"/>
      <c r="J1728" s="12"/>
      <c r="K1728" s="2"/>
      <c r="L1728" s="59"/>
    </row>
    <row r="1729" spans="1:12" x14ac:dyDescent="0.35">
      <c r="A1729" s="45">
        <v>1725</v>
      </c>
      <c r="B1729" s="2"/>
      <c r="C1729" s="2"/>
      <c r="D1729" s="2"/>
      <c r="E1729" s="3"/>
      <c r="F1729" s="3"/>
      <c r="G1729" s="2"/>
      <c r="H1729" s="2"/>
      <c r="I1729" s="46"/>
      <c r="J1729" s="12"/>
      <c r="K1729" s="2"/>
      <c r="L1729" s="59"/>
    </row>
    <row r="1730" spans="1:12" x14ac:dyDescent="0.35">
      <c r="A1730" s="45">
        <v>1726</v>
      </c>
      <c r="B1730" s="2"/>
      <c r="C1730" s="2"/>
      <c r="D1730" s="2"/>
      <c r="E1730" s="3"/>
      <c r="F1730" s="3"/>
      <c r="G1730" s="2"/>
      <c r="H1730" s="2"/>
      <c r="I1730" s="46"/>
      <c r="J1730" s="12"/>
      <c r="K1730" s="2"/>
      <c r="L1730" s="59"/>
    </row>
    <row r="1731" spans="1:12" x14ac:dyDescent="0.35">
      <c r="A1731" s="45">
        <v>1727</v>
      </c>
      <c r="B1731" s="2"/>
      <c r="C1731" s="2"/>
      <c r="D1731" s="2"/>
      <c r="E1731" s="3"/>
      <c r="F1731" s="3"/>
      <c r="G1731" s="2"/>
      <c r="H1731" s="2"/>
      <c r="I1731" s="46"/>
      <c r="J1731" s="12"/>
      <c r="K1731" s="2"/>
      <c r="L1731" s="59"/>
    </row>
    <row r="1732" spans="1:12" x14ac:dyDescent="0.35">
      <c r="A1732" s="45">
        <v>1728</v>
      </c>
      <c r="B1732" s="2"/>
      <c r="C1732" s="2"/>
      <c r="D1732" s="2"/>
      <c r="E1732" s="3"/>
      <c r="F1732" s="3"/>
      <c r="G1732" s="2"/>
      <c r="H1732" s="2"/>
      <c r="I1732" s="46"/>
      <c r="J1732" s="12"/>
      <c r="K1732" s="2"/>
      <c r="L1732" s="59"/>
    </row>
    <row r="1733" spans="1:12" x14ac:dyDescent="0.35">
      <c r="A1733" s="45">
        <v>1729</v>
      </c>
      <c r="B1733" s="2"/>
      <c r="C1733" s="2"/>
      <c r="D1733" s="2"/>
      <c r="E1733" s="3"/>
      <c r="F1733" s="3"/>
      <c r="G1733" s="2"/>
      <c r="H1733" s="2"/>
      <c r="I1733" s="46"/>
      <c r="J1733" s="12"/>
      <c r="K1733" s="2"/>
      <c r="L1733" s="59"/>
    </row>
    <row r="1734" spans="1:12" x14ac:dyDescent="0.35">
      <c r="A1734" s="45">
        <v>1730</v>
      </c>
      <c r="B1734" s="2"/>
      <c r="C1734" s="2"/>
      <c r="D1734" s="2"/>
      <c r="E1734" s="3"/>
      <c r="F1734" s="3"/>
      <c r="G1734" s="2"/>
      <c r="H1734" s="2"/>
      <c r="I1734" s="46"/>
      <c r="J1734" s="12"/>
      <c r="K1734" s="2"/>
      <c r="L1734" s="59"/>
    </row>
    <row r="1735" spans="1:12" x14ac:dyDescent="0.35">
      <c r="A1735" s="45">
        <v>1731</v>
      </c>
      <c r="B1735" s="2"/>
      <c r="C1735" s="2"/>
      <c r="D1735" s="2"/>
      <c r="E1735" s="3"/>
      <c r="F1735" s="3"/>
      <c r="G1735" s="2"/>
      <c r="H1735" s="2"/>
      <c r="I1735" s="46"/>
      <c r="J1735" s="12"/>
      <c r="K1735" s="2"/>
      <c r="L1735" s="59"/>
    </row>
    <row r="1736" spans="1:12" x14ac:dyDescent="0.35">
      <c r="A1736" s="45">
        <v>1732</v>
      </c>
      <c r="B1736" s="2"/>
      <c r="C1736" s="2"/>
      <c r="D1736" s="2"/>
      <c r="E1736" s="3"/>
      <c r="F1736" s="3"/>
      <c r="G1736" s="2"/>
      <c r="H1736" s="2"/>
      <c r="I1736" s="46"/>
      <c r="J1736" s="12"/>
      <c r="K1736" s="2"/>
      <c r="L1736" s="59"/>
    </row>
    <row r="1737" spans="1:12" x14ac:dyDescent="0.35">
      <c r="A1737" s="45">
        <v>1733</v>
      </c>
      <c r="B1737" s="2"/>
      <c r="C1737" s="2"/>
      <c r="D1737" s="2"/>
      <c r="E1737" s="3"/>
      <c r="F1737" s="3"/>
      <c r="G1737" s="2"/>
      <c r="H1737" s="2"/>
      <c r="I1737" s="46"/>
      <c r="J1737" s="12"/>
      <c r="K1737" s="2"/>
      <c r="L1737" s="59"/>
    </row>
    <row r="1738" spans="1:12" x14ac:dyDescent="0.35">
      <c r="A1738" s="45">
        <v>1734</v>
      </c>
      <c r="B1738" s="2"/>
      <c r="C1738" s="2"/>
      <c r="D1738" s="2"/>
      <c r="E1738" s="3"/>
      <c r="F1738" s="3"/>
      <c r="G1738" s="2"/>
      <c r="H1738" s="2"/>
      <c r="I1738" s="46"/>
      <c r="J1738" s="12"/>
      <c r="K1738" s="2"/>
      <c r="L1738" s="59"/>
    </row>
    <row r="1739" spans="1:12" x14ac:dyDescent="0.35">
      <c r="A1739" s="45">
        <v>1735</v>
      </c>
      <c r="B1739" s="2"/>
      <c r="C1739" s="2"/>
      <c r="D1739" s="2"/>
      <c r="E1739" s="3"/>
      <c r="F1739" s="3"/>
      <c r="G1739" s="2"/>
      <c r="H1739" s="2"/>
      <c r="I1739" s="46"/>
      <c r="J1739" s="12"/>
      <c r="K1739" s="2"/>
      <c r="L1739" s="59"/>
    </row>
    <row r="1740" spans="1:12" x14ac:dyDescent="0.35">
      <c r="A1740" s="45">
        <v>1736</v>
      </c>
      <c r="B1740" s="2"/>
      <c r="C1740" s="2"/>
      <c r="D1740" s="2"/>
      <c r="E1740" s="3"/>
      <c r="F1740" s="3"/>
      <c r="G1740" s="2"/>
      <c r="H1740" s="2"/>
      <c r="I1740" s="46"/>
      <c r="J1740" s="12"/>
      <c r="K1740" s="2"/>
      <c r="L1740" s="59"/>
    </row>
    <row r="1741" spans="1:12" x14ac:dyDescent="0.35">
      <c r="A1741" s="45">
        <v>1737</v>
      </c>
      <c r="B1741" s="2"/>
      <c r="C1741" s="2"/>
      <c r="D1741" s="2"/>
      <c r="E1741" s="3"/>
      <c r="F1741" s="3"/>
      <c r="G1741" s="2"/>
      <c r="H1741" s="2"/>
      <c r="I1741" s="46"/>
      <c r="J1741" s="12"/>
      <c r="K1741" s="2"/>
      <c r="L1741" s="59"/>
    </row>
    <row r="1742" spans="1:12" x14ac:dyDescent="0.35">
      <c r="A1742" s="45">
        <v>1738</v>
      </c>
      <c r="B1742" s="2"/>
      <c r="C1742" s="2"/>
      <c r="D1742" s="2"/>
      <c r="E1742" s="3"/>
      <c r="F1742" s="3"/>
      <c r="G1742" s="2"/>
      <c r="H1742" s="2"/>
      <c r="I1742" s="46"/>
      <c r="J1742" s="12"/>
      <c r="K1742" s="2"/>
      <c r="L1742" s="59"/>
    </row>
    <row r="1743" spans="1:12" x14ac:dyDescent="0.35">
      <c r="A1743" s="45">
        <v>1739</v>
      </c>
      <c r="B1743" s="2"/>
      <c r="C1743" s="2"/>
      <c r="D1743" s="2"/>
      <c r="E1743" s="3"/>
      <c r="F1743" s="3"/>
      <c r="G1743" s="2"/>
      <c r="H1743" s="2"/>
      <c r="I1743" s="46"/>
      <c r="J1743" s="12"/>
      <c r="K1743" s="2"/>
      <c r="L1743" s="59"/>
    </row>
    <row r="1744" spans="1:12" x14ac:dyDescent="0.35">
      <c r="A1744" s="45">
        <v>1740</v>
      </c>
      <c r="B1744" s="2"/>
      <c r="C1744" s="2"/>
      <c r="D1744" s="2"/>
      <c r="E1744" s="3"/>
      <c r="F1744" s="3"/>
      <c r="G1744" s="2"/>
      <c r="H1744" s="2"/>
      <c r="I1744" s="46"/>
      <c r="J1744" s="12"/>
      <c r="K1744" s="2"/>
      <c r="L1744" s="59"/>
    </row>
    <row r="1745" spans="1:12" x14ac:dyDescent="0.35">
      <c r="A1745" s="45">
        <v>1741</v>
      </c>
      <c r="B1745" s="2"/>
      <c r="C1745" s="2"/>
      <c r="D1745" s="2"/>
      <c r="E1745" s="3"/>
      <c r="F1745" s="3"/>
      <c r="G1745" s="2"/>
      <c r="H1745" s="2"/>
      <c r="I1745" s="46"/>
      <c r="J1745" s="12"/>
      <c r="K1745" s="2"/>
      <c r="L1745" s="59"/>
    </row>
    <row r="1746" spans="1:12" x14ac:dyDescent="0.35">
      <c r="A1746" s="45">
        <v>1742</v>
      </c>
      <c r="B1746" s="2"/>
      <c r="C1746" s="2"/>
      <c r="D1746" s="2"/>
      <c r="E1746" s="3"/>
      <c r="F1746" s="3"/>
      <c r="G1746" s="2"/>
      <c r="H1746" s="2"/>
      <c r="I1746" s="46"/>
      <c r="J1746" s="12"/>
      <c r="K1746" s="2"/>
      <c r="L1746" s="59"/>
    </row>
    <row r="1747" spans="1:12" x14ac:dyDescent="0.35">
      <c r="A1747" s="45">
        <v>1743</v>
      </c>
      <c r="B1747" s="2"/>
      <c r="C1747" s="2"/>
      <c r="D1747" s="2"/>
      <c r="E1747" s="3"/>
      <c r="F1747" s="3"/>
      <c r="G1747" s="2"/>
      <c r="H1747" s="2"/>
      <c r="I1747" s="46"/>
      <c r="J1747" s="12"/>
      <c r="K1747" s="2"/>
      <c r="L1747" s="59"/>
    </row>
    <row r="1748" spans="1:12" x14ac:dyDescent="0.35">
      <c r="A1748" s="45">
        <v>1744</v>
      </c>
      <c r="B1748" s="2"/>
      <c r="C1748" s="2"/>
      <c r="D1748" s="2"/>
      <c r="E1748" s="3"/>
      <c r="F1748" s="3"/>
      <c r="G1748" s="2"/>
      <c r="H1748" s="2"/>
      <c r="I1748" s="46"/>
      <c r="J1748" s="12"/>
      <c r="K1748" s="2"/>
      <c r="L1748" s="59"/>
    </row>
    <row r="1749" spans="1:12" x14ac:dyDescent="0.35">
      <c r="A1749" s="45">
        <v>1745</v>
      </c>
      <c r="B1749" s="2"/>
      <c r="C1749" s="2"/>
      <c r="D1749" s="2"/>
      <c r="E1749" s="3"/>
      <c r="F1749" s="3"/>
      <c r="G1749" s="2"/>
      <c r="H1749" s="2"/>
      <c r="I1749" s="46"/>
      <c r="J1749" s="12"/>
      <c r="K1749" s="2"/>
      <c r="L1749" s="59"/>
    </row>
    <row r="1750" spans="1:12" x14ac:dyDescent="0.35">
      <c r="A1750" s="45">
        <v>1746</v>
      </c>
      <c r="B1750" s="2"/>
      <c r="C1750" s="2"/>
      <c r="D1750" s="2"/>
      <c r="E1750" s="3"/>
      <c r="F1750" s="3"/>
      <c r="G1750" s="2"/>
      <c r="H1750" s="2"/>
      <c r="I1750" s="46"/>
      <c r="J1750" s="12"/>
      <c r="K1750" s="2"/>
      <c r="L1750" s="59"/>
    </row>
    <row r="1751" spans="1:12" x14ac:dyDescent="0.35">
      <c r="A1751" s="45">
        <v>1747</v>
      </c>
      <c r="B1751" s="2"/>
      <c r="C1751" s="2"/>
      <c r="D1751" s="2"/>
      <c r="E1751" s="3"/>
      <c r="F1751" s="3"/>
      <c r="G1751" s="2"/>
      <c r="H1751" s="2"/>
      <c r="I1751" s="46"/>
      <c r="J1751" s="12"/>
      <c r="K1751" s="2"/>
      <c r="L1751" s="59"/>
    </row>
    <row r="1752" spans="1:12" x14ac:dyDescent="0.35">
      <c r="A1752" s="45">
        <v>1748</v>
      </c>
      <c r="B1752" s="2"/>
      <c r="C1752" s="2"/>
      <c r="D1752" s="2"/>
      <c r="E1752" s="3"/>
      <c r="F1752" s="3"/>
      <c r="G1752" s="2"/>
      <c r="H1752" s="2"/>
      <c r="I1752" s="46"/>
      <c r="J1752" s="12"/>
      <c r="K1752" s="2"/>
      <c r="L1752" s="59"/>
    </row>
    <row r="1753" spans="1:12" x14ac:dyDescent="0.35">
      <c r="A1753" s="45">
        <v>1749</v>
      </c>
      <c r="B1753" s="2"/>
      <c r="C1753" s="2"/>
      <c r="D1753" s="2"/>
      <c r="E1753" s="3"/>
      <c r="F1753" s="3"/>
      <c r="G1753" s="2"/>
      <c r="H1753" s="2"/>
      <c r="I1753" s="46"/>
      <c r="J1753" s="12"/>
      <c r="K1753" s="2"/>
      <c r="L1753" s="59"/>
    </row>
    <row r="1754" spans="1:12" x14ac:dyDescent="0.35">
      <c r="A1754" s="45">
        <v>1750</v>
      </c>
      <c r="B1754" s="2"/>
      <c r="C1754" s="2"/>
      <c r="D1754" s="2"/>
      <c r="E1754" s="3"/>
      <c r="F1754" s="3"/>
      <c r="G1754" s="2"/>
      <c r="H1754" s="2"/>
      <c r="I1754" s="46"/>
      <c r="J1754" s="12"/>
      <c r="K1754" s="2"/>
      <c r="L1754" s="59"/>
    </row>
    <row r="1755" spans="1:12" x14ac:dyDescent="0.35">
      <c r="A1755" s="45">
        <v>1751</v>
      </c>
      <c r="B1755" s="2"/>
      <c r="C1755" s="2"/>
      <c r="D1755" s="2"/>
      <c r="E1755" s="3"/>
      <c r="F1755" s="3"/>
      <c r="G1755" s="2"/>
      <c r="H1755" s="2"/>
      <c r="I1755" s="46"/>
      <c r="J1755" s="12"/>
      <c r="K1755" s="2"/>
      <c r="L1755" s="59"/>
    </row>
    <row r="1756" spans="1:12" x14ac:dyDescent="0.35">
      <c r="A1756" s="45">
        <v>1752</v>
      </c>
      <c r="B1756" s="2"/>
      <c r="C1756" s="2"/>
      <c r="D1756" s="2"/>
      <c r="E1756" s="3"/>
      <c r="F1756" s="3"/>
      <c r="G1756" s="2"/>
      <c r="H1756" s="2"/>
      <c r="I1756" s="46"/>
      <c r="J1756" s="12"/>
      <c r="K1756" s="2"/>
      <c r="L1756" s="59"/>
    </row>
    <row r="1757" spans="1:12" x14ac:dyDescent="0.35">
      <c r="A1757" s="45">
        <v>1753</v>
      </c>
      <c r="B1757" s="2"/>
      <c r="C1757" s="2"/>
      <c r="D1757" s="2"/>
      <c r="E1757" s="3"/>
      <c r="F1757" s="3"/>
      <c r="G1757" s="2"/>
      <c r="H1757" s="2"/>
      <c r="I1757" s="46"/>
      <c r="J1757" s="12"/>
      <c r="K1757" s="2"/>
      <c r="L1757" s="59"/>
    </row>
    <row r="1758" spans="1:12" x14ac:dyDescent="0.35">
      <c r="A1758" s="45">
        <v>1754</v>
      </c>
      <c r="B1758" s="2"/>
      <c r="C1758" s="2"/>
      <c r="D1758" s="2"/>
      <c r="E1758" s="3"/>
      <c r="F1758" s="3"/>
      <c r="G1758" s="2"/>
      <c r="H1758" s="2"/>
      <c r="I1758" s="46"/>
      <c r="J1758" s="12"/>
      <c r="K1758" s="2"/>
      <c r="L1758" s="59"/>
    </row>
    <row r="1759" spans="1:12" x14ac:dyDescent="0.35">
      <c r="A1759" s="45">
        <v>1755</v>
      </c>
      <c r="B1759" s="2"/>
      <c r="C1759" s="2"/>
      <c r="D1759" s="2"/>
      <c r="E1759" s="3"/>
      <c r="F1759" s="3"/>
      <c r="G1759" s="2"/>
      <c r="H1759" s="2"/>
      <c r="I1759" s="46"/>
      <c r="J1759" s="12"/>
      <c r="K1759" s="2"/>
      <c r="L1759" s="59"/>
    </row>
    <row r="1760" spans="1:12" x14ac:dyDescent="0.35">
      <c r="A1760" s="45">
        <v>1756</v>
      </c>
      <c r="B1760" s="2"/>
      <c r="C1760" s="2"/>
      <c r="D1760" s="2"/>
      <c r="E1760" s="3"/>
      <c r="F1760" s="3"/>
      <c r="G1760" s="2"/>
      <c r="H1760" s="2"/>
      <c r="I1760" s="46"/>
      <c r="J1760" s="12"/>
      <c r="K1760" s="2"/>
      <c r="L1760" s="59"/>
    </row>
    <row r="1761" spans="1:12" x14ac:dyDescent="0.35">
      <c r="A1761" s="45">
        <v>1757</v>
      </c>
      <c r="B1761" s="2"/>
      <c r="C1761" s="2"/>
      <c r="D1761" s="2"/>
      <c r="E1761" s="3"/>
      <c r="F1761" s="3"/>
      <c r="G1761" s="2"/>
      <c r="H1761" s="2"/>
      <c r="I1761" s="46"/>
      <c r="J1761" s="12"/>
      <c r="K1761" s="2"/>
      <c r="L1761" s="59"/>
    </row>
    <row r="1762" spans="1:12" x14ac:dyDescent="0.35">
      <c r="A1762" s="45">
        <v>1758</v>
      </c>
      <c r="B1762" s="2"/>
      <c r="C1762" s="2"/>
      <c r="D1762" s="2"/>
      <c r="E1762" s="3"/>
      <c r="F1762" s="3"/>
      <c r="G1762" s="2"/>
      <c r="H1762" s="2"/>
      <c r="I1762" s="46"/>
      <c r="J1762" s="12"/>
      <c r="K1762" s="2"/>
      <c r="L1762" s="59"/>
    </row>
    <row r="1763" spans="1:12" x14ac:dyDescent="0.35">
      <c r="A1763" s="45">
        <v>1759</v>
      </c>
      <c r="B1763" s="2"/>
      <c r="C1763" s="2"/>
      <c r="D1763" s="2"/>
      <c r="E1763" s="3"/>
      <c r="F1763" s="3"/>
      <c r="G1763" s="2"/>
      <c r="H1763" s="2"/>
      <c r="I1763" s="46"/>
      <c r="J1763" s="12"/>
      <c r="K1763" s="2"/>
      <c r="L1763" s="59"/>
    </row>
    <row r="1764" spans="1:12" x14ac:dyDescent="0.35">
      <c r="A1764" s="45">
        <v>1760</v>
      </c>
      <c r="B1764" s="2"/>
      <c r="C1764" s="2"/>
      <c r="D1764" s="2"/>
      <c r="E1764" s="3"/>
      <c r="F1764" s="3"/>
      <c r="G1764" s="2"/>
      <c r="H1764" s="2"/>
      <c r="I1764" s="46"/>
      <c r="J1764" s="12"/>
      <c r="K1764" s="2"/>
      <c r="L1764" s="59"/>
    </row>
    <row r="1765" spans="1:12" x14ac:dyDescent="0.35">
      <c r="A1765" s="45">
        <v>1761</v>
      </c>
      <c r="B1765" s="2"/>
      <c r="C1765" s="2"/>
      <c r="D1765" s="2"/>
      <c r="E1765" s="3"/>
      <c r="F1765" s="3"/>
      <c r="G1765" s="2"/>
      <c r="H1765" s="2"/>
      <c r="I1765" s="46"/>
      <c r="J1765" s="12"/>
      <c r="K1765" s="2"/>
      <c r="L1765" s="59"/>
    </row>
    <row r="1766" spans="1:12" x14ac:dyDescent="0.35">
      <c r="A1766" s="45">
        <v>1762</v>
      </c>
      <c r="B1766" s="2"/>
      <c r="C1766" s="2"/>
      <c r="D1766" s="2"/>
      <c r="E1766" s="3"/>
      <c r="F1766" s="3"/>
      <c r="G1766" s="2"/>
      <c r="H1766" s="2"/>
      <c r="I1766" s="46"/>
      <c r="J1766" s="12"/>
      <c r="K1766" s="2"/>
      <c r="L1766" s="59"/>
    </row>
    <row r="1767" spans="1:12" x14ac:dyDescent="0.35">
      <c r="A1767" s="45">
        <v>1763</v>
      </c>
      <c r="B1767" s="2"/>
      <c r="C1767" s="2"/>
      <c r="D1767" s="2"/>
      <c r="E1767" s="3"/>
      <c r="F1767" s="3"/>
      <c r="G1767" s="2"/>
      <c r="H1767" s="2"/>
      <c r="I1767" s="46"/>
      <c r="J1767" s="12"/>
      <c r="K1767" s="2"/>
      <c r="L1767" s="59"/>
    </row>
    <row r="1768" spans="1:12" x14ac:dyDescent="0.35">
      <c r="A1768" s="45">
        <v>1764</v>
      </c>
      <c r="B1768" s="2"/>
      <c r="C1768" s="2"/>
      <c r="D1768" s="2"/>
      <c r="E1768" s="3"/>
      <c r="F1768" s="3"/>
      <c r="G1768" s="2"/>
      <c r="H1768" s="2"/>
      <c r="I1768" s="46"/>
      <c r="J1768" s="12"/>
      <c r="K1768" s="2"/>
      <c r="L1768" s="59"/>
    </row>
    <row r="1769" spans="1:12" x14ac:dyDescent="0.35">
      <c r="A1769" s="45">
        <v>1765</v>
      </c>
      <c r="B1769" s="2"/>
      <c r="C1769" s="2"/>
      <c r="D1769" s="2"/>
      <c r="E1769" s="3"/>
      <c r="F1769" s="3"/>
      <c r="G1769" s="2"/>
      <c r="H1769" s="2"/>
      <c r="I1769" s="46"/>
      <c r="J1769" s="12"/>
      <c r="K1769" s="2"/>
      <c r="L1769" s="59"/>
    </row>
    <row r="1770" spans="1:12" x14ac:dyDescent="0.35">
      <c r="A1770" s="45">
        <v>1766</v>
      </c>
      <c r="B1770" s="2"/>
      <c r="C1770" s="2"/>
      <c r="D1770" s="2"/>
      <c r="E1770" s="3"/>
      <c r="F1770" s="3"/>
      <c r="G1770" s="2"/>
      <c r="H1770" s="2"/>
      <c r="I1770" s="46"/>
      <c r="J1770" s="12"/>
      <c r="K1770" s="2"/>
      <c r="L1770" s="59"/>
    </row>
    <row r="1771" spans="1:12" x14ac:dyDescent="0.35">
      <c r="A1771" s="45">
        <v>1767</v>
      </c>
      <c r="B1771" s="2"/>
      <c r="C1771" s="2"/>
      <c r="D1771" s="2"/>
      <c r="E1771" s="3"/>
      <c r="F1771" s="3"/>
      <c r="G1771" s="2"/>
      <c r="H1771" s="2"/>
      <c r="I1771" s="46"/>
      <c r="J1771" s="12"/>
      <c r="K1771" s="2"/>
      <c r="L1771" s="59"/>
    </row>
    <row r="1772" spans="1:12" x14ac:dyDescent="0.35">
      <c r="A1772" s="45">
        <v>1768</v>
      </c>
      <c r="B1772" s="2"/>
      <c r="C1772" s="2"/>
      <c r="D1772" s="2"/>
      <c r="E1772" s="3"/>
      <c r="F1772" s="3"/>
      <c r="G1772" s="2"/>
      <c r="H1772" s="2"/>
      <c r="I1772" s="46"/>
      <c r="J1772" s="12"/>
      <c r="K1772" s="2"/>
      <c r="L1772" s="59"/>
    </row>
    <row r="1773" spans="1:12" x14ac:dyDescent="0.35">
      <c r="A1773" s="45">
        <v>1769</v>
      </c>
      <c r="B1773" s="2"/>
      <c r="C1773" s="2"/>
      <c r="D1773" s="2"/>
      <c r="E1773" s="3"/>
      <c r="F1773" s="3"/>
      <c r="G1773" s="2"/>
      <c r="H1773" s="2"/>
      <c r="I1773" s="46"/>
      <c r="J1773" s="12"/>
      <c r="K1773" s="2"/>
      <c r="L1773" s="59"/>
    </row>
    <row r="1774" spans="1:12" x14ac:dyDescent="0.35">
      <c r="A1774" s="45">
        <v>1770</v>
      </c>
      <c r="B1774" s="2"/>
      <c r="C1774" s="2"/>
      <c r="D1774" s="2"/>
      <c r="E1774" s="3"/>
      <c r="F1774" s="3"/>
      <c r="G1774" s="2"/>
      <c r="H1774" s="2"/>
      <c r="I1774" s="46"/>
      <c r="J1774" s="12"/>
      <c r="K1774" s="2"/>
      <c r="L1774" s="59"/>
    </row>
    <row r="1775" spans="1:12" x14ac:dyDescent="0.35">
      <c r="A1775" s="45">
        <v>1771</v>
      </c>
      <c r="B1775" s="2"/>
      <c r="C1775" s="2"/>
      <c r="D1775" s="2"/>
      <c r="E1775" s="3"/>
      <c r="F1775" s="3"/>
      <c r="G1775" s="2"/>
      <c r="H1775" s="2"/>
      <c r="I1775" s="46"/>
      <c r="J1775" s="12"/>
      <c r="K1775" s="2"/>
      <c r="L1775" s="59"/>
    </row>
    <row r="1776" spans="1:12" x14ac:dyDescent="0.35">
      <c r="A1776" s="45">
        <v>1772</v>
      </c>
      <c r="B1776" s="2"/>
      <c r="C1776" s="2"/>
      <c r="D1776" s="2"/>
      <c r="E1776" s="3"/>
      <c r="F1776" s="3"/>
      <c r="G1776" s="2"/>
      <c r="H1776" s="2"/>
      <c r="I1776" s="46"/>
      <c r="J1776" s="12"/>
      <c r="K1776" s="2"/>
      <c r="L1776" s="59"/>
    </row>
    <row r="1777" spans="1:12" x14ac:dyDescent="0.35">
      <c r="A1777" s="45">
        <v>1773</v>
      </c>
      <c r="B1777" s="2"/>
      <c r="C1777" s="2"/>
      <c r="D1777" s="2"/>
      <c r="E1777" s="3"/>
      <c r="F1777" s="3"/>
      <c r="G1777" s="2"/>
      <c r="H1777" s="2"/>
      <c r="I1777" s="46"/>
      <c r="J1777" s="12"/>
      <c r="K1777" s="2"/>
      <c r="L1777" s="59"/>
    </row>
    <row r="1778" spans="1:12" x14ac:dyDescent="0.35">
      <c r="A1778" s="45">
        <v>1774</v>
      </c>
      <c r="B1778" s="2"/>
      <c r="C1778" s="2"/>
      <c r="D1778" s="2"/>
      <c r="E1778" s="3"/>
      <c r="F1778" s="3"/>
      <c r="G1778" s="2"/>
      <c r="H1778" s="2"/>
      <c r="I1778" s="46"/>
      <c r="J1778" s="12"/>
      <c r="K1778" s="2"/>
      <c r="L1778" s="59"/>
    </row>
    <row r="1779" spans="1:12" x14ac:dyDescent="0.35">
      <c r="A1779" s="45">
        <v>1775</v>
      </c>
      <c r="B1779" s="2"/>
      <c r="C1779" s="2"/>
      <c r="D1779" s="2"/>
      <c r="E1779" s="3"/>
      <c r="F1779" s="3"/>
      <c r="G1779" s="2"/>
      <c r="H1779" s="2"/>
      <c r="I1779" s="46"/>
      <c r="J1779" s="12"/>
      <c r="K1779" s="2"/>
      <c r="L1779" s="59"/>
    </row>
    <row r="1780" spans="1:12" x14ac:dyDescent="0.35">
      <c r="A1780" s="45">
        <v>1776</v>
      </c>
      <c r="B1780" s="2"/>
      <c r="C1780" s="2"/>
      <c r="D1780" s="2"/>
      <c r="E1780" s="3"/>
      <c r="F1780" s="3"/>
      <c r="G1780" s="2"/>
      <c r="H1780" s="2"/>
      <c r="I1780" s="46"/>
      <c r="J1780" s="12"/>
      <c r="K1780" s="2"/>
      <c r="L1780" s="59"/>
    </row>
    <row r="1781" spans="1:12" x14ac:dyDescent="0.35">
      <c r="A1781" s="45">
        <v>1777</v>
      </c>
      <c r="B1781" s="2"/>
      <c r="C1781" s="2"/>
      <c r="D1781" s="2"/>
      <c r="E1781" s="3"/>
      <c r="F1781" s="3"/>
      <c r="G1781" s="2"/>
      <c r="H1781" s="2"/>
      <c r="I1781" s="46"/>
      <c r="J1781" s="12"/>
      <c r="K1781" s="2"/>
      <c r="L1781" s="59"/>
    </row>
    <row r="1782" spans="1:12" x14ac:dyDescent="0.35">
      <c r="A1782" s="45">
        <v>1778</v>
      </c>
      <c r="B1782" s="2"/>
      <c r="C1782" s="2"/>
      <c r="D1782" s="2"/>
      <c r="E1782" s="3"/>
      <c r="F1782" s="3"/>
      <c r="G1782" s="2"/>
      <c r="H1782" s="2"/>
      <c r="I1782" s="46"/>
      <c r="J1782" s="12"/>
      <c r="K1782" s="2"/>
      <c r="L1782" s="59"/>
    </row>
    <row r="1783" spans="1:12" x14ac:dyDescent="0.35">
      <c r="A1783" s="45">
        <v>1779</v>
      </c>
      <c r="B1783" s="2"/>
      <c r="C1783" s="2"/>
      <c r="D1783" s="2"/>
      <c r="E1783" s="3"/>
      <c r="F1783" s="3"/>
      <c r="G1783" s="2"/>
      <c r="H1783" s="2"/>
      <c r="I1783" s="46"/>
      <c r="J1783" s="12"/>
      <c r="K1783" s="2"/>
      <c r="L1783" s="59"/>
    </row>
    <row r="1784" spans="1:12" x14ac:dyDescent="0.35">
      <c r="A1784" s="45">
        <v>1780</v>
      </c>
      <c r="B1784" s="2"/>
      <c r="C1784" s="2"/>
      <c r="D1784" s="2"/>
      <c r="E1784" s="3"/>
      <c r="F1784" s="3"/>
      <c r="G1784" s="2"/>
      <c r="H1784" s="2"/>
      <c r="I1784" s="46"/>
      <c r="J1784" s="12"/>
      <c r="K1784" s="2"/>
      <c r="L1784" s="59"/>
    </row>
    <row r="1785" spans="1:12" x14ac:dyDescent="0.35">
      <c r="A1785" s="45">
        <v>1781</v>
      </c>
      <c r="B1785" s="2"/>
      <c r="C1785" s="2"/>
      <c r="D1785" s="2"/>
      <c r="E1785" s="3"/>
      <c r="F1785" s="3"/>
      <c r="G1785" s="2"/>
      <c r="H1785" s="2"/>
      <c r="I1785" s="46"/>
      <c r="J1785" s="12"/>
      <c r="K1785" s="2"/>
      <c r="L1785" s="59"/>
    </row>
    <row r="1786" spans="1:12" x14ac:dyDescent="0.35">
      <c r="A1786" s="45">
        <v>1782</v>
      </c>
      <c r="B1786" s="2"/>
      <c r="C1786" s="2"/>
      <c r="D1786" s="2"/>
      <c r="E1786" s="3"/>
      <c r="F1786" s="3"/>
      <c r="G1786" s="2"/>
      <c r="H1786" s="2"/>
      <c r="I1786" s="46"/>
      <c r="J1786" s="12"/>
      <c r="K1786" s="2"/>
      <c r="L1786" s="59"/>
    </row>
    <row r="1787" spans="1:12" x14ac:dyDescent="0.35">
      <c r="A1787" s="45">
        <v>1783</v>
      </c>
      <c r="B1787" s="2"/>
      <c r="C1787" s="2"/>
      <c r="D1787" s="2"/>
      <c r="E1787" s="3"/>
      <c r="F1787" s="3"/>
      <c r="G1787" s="2"/>
      <c r="H1787" s="2"/>
      <c r="I1787" s="46"/>
      <c r="J1787" s="12"/>
      <c r="K1787" s="2"/>
      <c r="L1787" s="59"/>
    </row>
    <row r="1788" spans="1:12" x14ac:dyDescent="0.35">
      <c r="A1788" s="45">
        <v>1784</v>
      </c>
      <c r="B1788" s="2"/>
      <c r="C1788" s="2"/>
      <c r="D1788" s="2"/>
      <c r="E1788" s="3"/>
      <c r="F1788" s="3"/>
      <c r="G1788" s="2"/>
      <c r="H1788" s="2"/>
      <c r="I1788" s="46"/>
      <c r="J1788" s="12"/>
      <c r="K1788" s="2"/>
      <c r="L1788" s="59"/>
    </row>
    <row r="1789" spans="1:12" x14ac:dyDescent="0.35">
      <c r="A1789" s="45">
        <v>1785</v>
      </c>
      <c r="B1789" s="2"/>
      <c r="C1789" s="2"/>
      <c r="D1789" s="2"/>
      <c r="E1789" s="3"/>
      <c r="F1789" s="3"/>
      <c r="G1789" s="2"/>
      <c r="H1789" s="2"/>
      <c r="I1789" s="46"/>
      <c r="J1789" s="12"/>
      <c r="K1789" s="2"/>
      <c r="L1789" s="59"/>
    </row>
    <row r="1790" spans="1:12" x14ac:dyDescent="0.35">
      <c r="A1790" s="45">
        <v>1786</v>
      </c>
      <c r="B1790" s="2"/>
      <c r="C1790" s="2"/>
      <c r="D1790" s="2"/>
      <c r="E1790" s="3"/>
      <c r="F1790" s="3"/>
      <c r="G1790" s="2"/>
      <c r="H1790" s="2"/>
      <c r="I1790" s="46"/>
      <c r="J1790" s="12"/>
      <c r="K1790" s="2"/>
      <c r="L1790" s="59"/>
    </row>
    <row r="1791" spans="1:12" x14ac:dyDescent="0.35">
      <c r="A1791" s="45">
        <v>1787</v>
      </c>
      <c r="B1791" s="2"/>
      <c r="C1791" s="2"/>
      <c r="D1791" s="2"/>
      <c r="E1791" s="3"/>
      <c r="F1791" s="3"/>
      <c r="G1791" s="2"/>
      <c r="H1791" s="2"/>
      <c r="I1791" s="46"/>
      <c r="J1791" s="12"/>
      <c r="K1791" s="2"/>
      <c r="L1791" s="59"/>
    </row>
    <row r="1792" spans="1:12" x14ac:dyDescent="0.35">
      <c r="A1792" s="45">
        <v>1788</v>
      </c>
      <c r="B1792" s="2"/>
      <c r="C1792" s="2"/>
      <c r="D1792" s="2"/>
      <c r="E1792" s="3"/>
      <c r="F1792" s="3"/>
      <c r="G1792" s="2"/>
      <c r="H1792" s="2"/>
      <c r="I1792" s="46"/>
      <c r="J1792" s="12"/>
      <c r="K1792" s="2"/>
      <c r="L1792" s="59"/>
    </row>
    <row r="1793" spans="1:12" x14ac:dyDescent="0.35">
      <c r="A1793" s="45">
        <v>1789</v>
      </c>
      <c r="B1793" s="2"/>
      <c r="C1793" s="2"/>
      <c r="D1793" s="2"/>
      <c r="E1793" s="3"/>
      <c r="F1793" s="3"/>
      <c r="G1793" s="2"/>
      <c r="H1793" s="2"/>
      <c r="I1793" s="46"/>
      <c r="J1793" s="12"/>
      <c r="K1793" s="2"/>
      <c r="L1793" s="59"/>
    </row>
    <row r="1794" spans="1:12" x14ac:dyDescent="0.35">
      <c r="A1794" s="45">
        <v>1790</v>
      </c>
      <c r="B1794" s="2"/>
      <c r="C1794" s="2"/>
      <c r="D1794" s="2"/>
      <c r="E1794" s="3"/>
      <c r="F1794" s="3"/>
      <c r="G1794" s="2"/>
      <c r="H1794" s="2"/>
      <c r="I1794" s="46"/>
      <c r="J1794" s="12"/>
      <c r="K1794" s="2"/>
      <c r="L1794" s="59"/>
    </row>
    <row r="1795" spans="1:12" x14ac:dyDescent="0.35">
      <c r="A1795" s="45">
        <v>1791</v>
      </c>
      <c r="B1795" s="2"/>
      <c r="C1795" s="2"/>
      <c r="D1795" s="2"/>
      <c r="E1795" s="3"/>
      <c r="F1795" s="3"/>
      <c r="G1795" s="2"/>
      <c r="H1795" s="2"/>
      <c r="I1795" s="46"/>
      <c r="J1795" s="12"/>
      <c r="K1795" s="2"/>
      <c r="L1795" s="59"/>
    </row>
    <row r="1796" spans="1:12" x14ac:dyDescent="0.35">
      <c r="A1796" s="45">
        <v>1792</v>
      </c>
      <c r="B1796" s="2"/>
      <c r="C1796" s="2"/>
      <c r="D1796" s="2"/>
      <c r="E1796" s="3"/>
      <c r="F1796" s="3"/>
      <c r="G1796" s="2"/>
      <c r="H1796" s="2"/>
      <c r="I1796" s="46"/>
      <c r="J1796" s="12"/>
      <c r="K1796" s="2"/>
      <c r="L1796" s="59"/>
    </row>
    <row r="1797" spans="1:12" x14ac:dyDescent="0.35">
      <c r="A1797" s="45">
        <v>1793</v>
      </c>
      <c r="B1797" s="2"/>
      <c r="C1797" s="2"/>
      <c r="D1797" s="2"/>
      <c r="E1797" s="3"/>
      <c r="F1797" s="3"/>
      <c r="G1797" s="2"/>
      <c r="H1797" s="2"/>
      <c r="I1797" s="46"/>
      <c r="J1797" s="12"/>
      <c r="K1797" s="2"/>
      <c r="L1797" s="59"/>
    </row>
    <row r="1798" spans="1:12" x14ac:dyDescent="0.35">
      <c r="A1798" s="45">
        <v>1794</v>
      </c>
      <c r="B1798" s="2"/>
      <c r="C1798" s="2"/>
      <c r="D1798" s="2"/>
      <c r="E1798" s="3"/>
      <c r="F1798" s="3"/>
      <c r="G1798" s="2"/>
      <c r="H1798" s="2"/>
      <c r="I1798" s="46"/>
      <c r="J1798" s="12"/>
      <c r="K1798" s="2"/>
      <c r="L1798" s="59"/>
    </row>
    <row r="1799" spans="1:12" x14ac:dyDescent="0.35">
      <c r="A1799" s="45">
        <v>1795</v>
      </c>
      <c r="B1799" s="2"/>
      <c r="C1799" s="2"/>
      <c r="D1799" s="2"/>
      <c r="E1799" s="3"/>
      <c r="F1799" s="3"/>
      <c r="G1799" s="2"/>
      <c r="H1799" s="2"/>
      <c r="I1799" s="46"/>
      <c r="J1799" s="12"/>
      <c r="K1799" s="2"/>
      <c r="L1799" s="59"/>
    </row>
    <row r="1800" spans="1:12" x14ac:dyDescent="0.35">
      <c r="A1800" s="45">
        <v>1796</v>
      </c>
      <c r="B1800" s="2"/>
      <c r="C1800" s="2"/>
      <c r="D1800" s="2"/>
      <c r="E1800" s="3"/>
      <c r="F1800" s="3"/>
      <c r="G1800" s="2"/>
      <c r="H1800" s="2"/>
      <c r="I1800" s="46"/>
      <c r="J1800" s="12"/>
      <c r="K1800" s="2"/>
      <c r="L1800" s="59"/>
    </row>
    <row r="1801" spans="1:12" x14ac:dyDescent="0.35">
      <c r="A1801" s="45">
        <v>1797</v>
      </c>
      <c r="B1801" s="2"/>
      <c r="C1801" s="2"/>
      <c r="D1801" s="2"/>
      <c r="E1801" s="3"/>
      <c r="F1801" s="3"/>
      <c r="G1801" s="2"/>
      <c r="H1801" s="2"/>
      <c r="I1801" s="46"/>
      <c r="J1801" s="12"/>
      <c r="K1801" s="2"/>
      <c r="L1801" s="59"/>
    </row>
    <row r="1802" spans="1:12" x14ac:dyDescent="0.35">
      <c r="A1802" s="45">
        <v>1798</v>
      </c>
      <c r="B1802" s="2"/>
      <c r="C1802" s="2"/>
      <c r="D1802" s="2"/>
      <c r="E1802" s="3"/>
      <c r="F1802" s="3"/>
      <c r="G1802" s="2"/>
      <c r="H1802" s="2"/>
      <c r="I1802" s="46"/>
      <c r="J1802" s="12"/>
      <c r="K1802" s="2"/>
      <c r="L1802" s="59"/>
    </row>
    <row r="1803" spans="1:12" x14ac:dyDescent="0.35">
      <c r="A1803" s="45">
        <v>1799</v>
      </c>
      <c r="B1803" s="2"/>
      <c r="C1803" s="2"/>
      <c r="D1803" s="2"/>
      <c r="E1803" s="3"/>
      <c r="F1803" s="3"/>
      <c r="G1803" s="2"/>
      <c r="H1803" s="2"/>
      <c r="I1803" s="46"/>
      <c r="J1803" s="12"/>
      <c r="K1803" s="2"/>
      <c r="L1803" s="59"/>
    </row>
    <row r="1804" spans="1:12" x14ac:dyDescent="0.35">
      <c r="A1804" s="45">
        <v>1800</v>
      </c>
      <c r="B1804" s="2"/>
      <c r="C1804" s="2"/>
      <c r="D1804" s="2"/>
      <c r="E1804" s="3"/>
      <c r="F1804" s="3"/>
      <c r="G1804" s="2"/>
      <c r="H1804" s="2"/>
      <c r="I1804" s="46"/>
      <c r="J1804" s="12"/>
      <c r="K1804" s="2"/>
      <c r="L1804" s="59"/>
    </row>
    <row r="1805" spans="1:12" x14ac:dyDescent="0.35">
      <c r="A1805" s="45">
        <v>1801</v>
      </c>
      <c r="B1805" s="2"/>
      <c r="C1805" s="2"/>
      <c r="D1805" s="2"/>
      <c r="E1805" s="3"/>
      <c r="F1805" s="3"/>
      <c r="G1805" s="2"/>
      <c r="H1805" s="2"/>
      <c r="I1805" s="46"/>
      <c r="J1805" s="12"/>
      <c r="K1805" s="2"/>
      <c r="L1805" s="59"/>
    </row>
    <row r="1806" spans="1:12" x14ac:dyDescent="0.35">
      <c r="A1806" s="45">
        <v>1802</v>
      </c>
      <c r="B1806" s="2"/>
      <c r="C1806" s="2"/>
      <c r="D1806" s="2"/>
      <c r="E1806" s="3"/>
      <c r="F1806" s="3"/>
      <c r="G1806" s="2"/>
      <c r="H1806" s="2"/>
      <c r="I1806" s="46"/>
      <c r="J1806" s="12"/>
      <c r="K1806" s="2"/>
      <c r="L1806" s="59"/>
    </row>
    <row r="1807" spans="1:12" x14ac:dyDescent="0.35">
      <c r="A1807" s="45">
        <v>1803</v>
      </c>
      <c r="B1807" s="2"/>
      <c r="C1807" s="2"/>
      <c r="D1807" s="2"/>
      <c r="E1807" s="3"/>
      <c r="F1807" s="3"/>
      <c r="G1807" s="2"/>
      <c r="H1807" s="2"/>
      <c r="I1807" s="46"/>
      <c r="J1807" s="12"/>
      <c r="K1807" s="2"/>
      <c r="L1807" s="59"/>
    </row>
    <row r="1808" spans="1:12" x14ac:dyDescent="0.35">
      <c r="A1808" s="45">
        <v>1804</v>
      </c>
      <c r="B1808" s="2"/>
      <c r="C1808" s="2"/>
      <c r="D1808" s="2"/>
      <c r="E1808" s="3"/>
      <c r="F1808" s="3"/>
      <c r="G1808" s="2"/>
      <c r="H1808" s="2"/>
      <c r="I1808" s="46"/>
      <c r="J1808" s="12"/>
      <c r="K1808" s="2"/>
      <c r="L1808" s="59"/>
    </row>
    <row r="1809" spans="1:12" x14ac:dyDescent="0.35">
      <c r="A1809" s="45">
        <v>1805</v>
      </c>
      <c r="B1809" s="2"/>
      <c r="C1809" s="2"/>
      <c r="D1809" s="2"/>
      <c r="E1809" s="3"/>
      <c r="F1809" s="3"/>
      <c r="G1809" s="2"/>
      <c r="H1809" s="2"/>
      <c r="I1809" s="46"/>
      <c r="J1809" s="12"/>
      <c r="K1809" s="2"/>
      <c r="L1809" s="59"/>
    </row>
    <row r="1810" spans="1:12" x14ac:dyDescent="0.35">
      <c r="A1810" s="45">
        <v>1806</v>
      </c>
      <c r="B1810" s="2"/>
      <c r="C1810" s="2"/>
      <c r="D1810" s="2"/>
      <c r="E1810" s="3"/>
      <c r="F1810" s="3"/>
      <c r="G1810" s="2"/>
      <c r="H1810" s="2"/>
      <c r="I1810" s="46"/>
      <c r="J1810" s="12"/>
      <c r="K1810" s="2"/>
      <c r="L1810" s="59"/>
    </row>
    <row r="1811" spans="1:12" x14ac:dyDescent="0.35">
      <c r="A1811" s="45">
        <v>1807</v>
      </c>
      <c r="B1811" s="2"/>
      <c r="C1811" s="2"/>
      <c r="D1811" s="2"/>
      <c r="E1811" s="3"/>
      <c r="F1811" s="3"/>
      <c r="G1811" s="2"/>
      <c r="H1811" s="2"/>
      <c r="I1811" s="46"/>
      <c r="J1811" s="12"/>
      <c r="K1811" s="2"/>
      <c r="L1811" s="59"/>
    </row>
    <row r="1812" spans="1:12" x14ac:dyDescent="0.35">
      <c r="A1812" s="45">
        <v>1808</v>
      </c>
      <c r="B1812" s="2"/>
      <c r="C1812" s="2"/>
      <c r="D1812" s="2"/>
      <c r="E1812" s="3"/>
      <c r="F1812" s="3"/>
      <c r="G1812" s="2"/>
      <c r="H1812" s="2"/>
      <c r="I1812" s="46"/>
      <c r="J1812" s="12"/>
      <c r="K1812" s="2"/>
      <c r="L1812" s="59"/>
    </row>
    <row r="1813" spans="1:12" x14ac:dyDescent="0.35">
      <c r="A1813" s="45">
        <v>1809</v>
      </c>
      <c r="B1813" s="2"/>
      <c r="C1813" s="2"/>
      <c r="D1813" s="2"/>
      <c r="E1813" s="3"/>
      <c r="F1813" s="3"/>
      <c r="G1813" s="2"/>
      <c r="H1813" s="2"/>
      <c r="I1813" s="46"/>
      <c r="J1813" s="12"/>
      <c r="K1813" s="2"/>
      <c r="L1813" s="59"/>
    </row>
    <row r="1814" spans="1:12" x14ac:dyDescent="0.35">
      <c r="A1814" s="45">
        <v>1810</v>
      </c>
      <c r="B1814" s="2"/>
      <c r="C1814" s="2"/>
      <c r="D1814" s="2"/>
      <c r="E1814" s="3"/>
      <c r="F1814" s="3"/>
      <c r="G1814" s="2"/>
      <c r="H1814" s="2"/>
      <c r="I1814" s="46"/>
      <c r="J1814" s="12"/>
      <c r="K1814" s="2"/>
      <c r="L1814" s="59"/>
    </row>
    <row r="1815" spans="1:12" x14ac:dyDescent="0.35">
      <c r="A1815" s="45">
        <v>1811</v>
      </c>
      <c r="B1815" s="2"/>
      <c r="C1815" s="2"/>
      <c r="D1815" s="2"/>
      <c r="E1815" s="3"/>
      <c r="F1815" s="3"/>
      <c r="G1815" s="2"/>
      <c r="H1815" s="2"/>
      <c r="I1815" s="46"/>
      <c r="J1815" s="12"/>
      <c r="K1815" s="2"/>
      <c r="L1815" s="59"/>
    </row>
    <row r="1816" spans="1:12" x14ac:dyDescent="0.35">
      <c r="A1816" s="45">
        <v>1812</v>
      </c>
      <c r="B1816" s="2"/>
      <c r="C1816" s="2"/>
      <c r="D1816" s="2"/>
      <c r="E1816" s="3"/>
      <c r="F1816" s="3"/>
      <c r="G1816" s="2"/>
      <c r="H1816" s="2"/>
      <c r="I1816" s="46"/>
      <c r="J1816" s="12"/>
      <c r="K1816" s="2"/>
      <c r="L1816" s="59"/>
    </row>
    <row r="1817" spans="1:12" x14ac:dyDescent="0.35">
      <c r="A1817" s="45">
        <v>1813</v>
      </c>
      <c r="B1817" s="2"/>
      <c r="C1817" s="2"/>
      <c r="D1817" s="2"/>
      <c r="E1817" s="3"/>
      <c r="F1817" s="3"/>
      <c r="G1817" s="2"/>
      <c r="H1817" s="2"/>
      <c r="I1817" s="46"/>
      <c r="J1817" s="12"/>
      <c r="K1817" s="2"/>
      <c r="L1817" s="59"/>
    </row>
    <row r="1818" spans="1:12" x14ac:dyDescent="0.35">
      <c r="A1818" s="45">
        <v>1814</v>
      </c>
      <c r="B1818" s="2"/>
      <c r="C1818" s="2"/>
      <c r="D1818" s="2"/>
      <c r="E1818" s="3"/>
      <c r="F1818" s="3"/>
      <c r="G1818" s="2"/>
      <c r="H1818" s="2"/>
      <c r="I1818" s="46"/>
      <c r="J1818" s="12"/>
      <c r="K1818" s="2"/>
      <c r="L1818" s="59"/>
    </row>
    <row r="1819" spans="1:12" x14ac:dyDescent="0.35">
      <c r="A1819" s="45">
        <v>1815</v>
      </c>
      <c r="B1819" s="2"/>
      <c r="C1819" s="2"/>
      <c r="D1819" s="2"/>
      <c r="E1819" s="3"/>
      <c r="F1819" s="3"/>
      <c r="G1819" s="2"/>
      <c r="H1819" s="2"/>
      <c r="I1819" s="46"/>
      <c r="J1819" s="12"/>
      <c r="K1819" s="2"/>
      <c r="L1819" s="59"/>
    </row>
    <row r="1820" spans="1:12" x14ac:dyDescent="0.35">
      <c r="A1820" s="45">
        <v>1816</v>
      </c>
      <c r="B1820" s="2"/>
      <c r="C1820" s="2"/>
      <c r="D1820" s="2"/>
      <c r="E1820" s="3"/>
      <c r="F1820" s="3"/>
      <c r="G1820" s="2"/>
      <c r="H1820" s="2"/>
      <c r="I1820" s="46"/>
      <c r="J1820" s="12"/>
      <c r="K1820" s="2"/>
      <c r="L1820" s="59"/>
    </row>
    <row r="1821" spans="1:12" x14ac:dyDescent="0.35">
      <c r="A1821" s="45">
        <v>1817</v>
      </c>
      <c r="B1821" s="2"/>
      <c r="C1821" s="2"/>
      <c r="D1821" s="2"/>
      <c r="E1821" s="3"/>
      <c r="F1821" s="3"/>
      <c r="G1821" s="2"/>
      <c r="H1821" s="2"/>
      <c r="I1821" s="46"/>
      <c r="J1821" s="12"/>
      <c r="K1821" s="2"/>
      <c r="L1821" s="59"/>
    </row>
    <row r="1822" spans="1:12" x14ac:dyDescent="0.35">
      <c r="A1822" s="45">
        <v>1818</v>
      </c>
      <c r="B1822" s="2"/>
      <c r="C1822" s="2"/>
      <c r="D1822" s="2"/>
      <c r="E1822" s="3"/>
      <c r="F1822" s="3"/>
      <c r="G1822" s="2"/>
      <c r="H1822" s="2"/>
      <c r="I1822" s="46"/>
      <c r="J1822" s="12"/>
      <c r="K1822" s="2"/>
      <c r="L1822" s="59"/>
    </row>
    <row r="1823" spans="1:12" x14ac:dyDescent="0.35">
      <c r="A1823" s="45">
        <v>1819</v>
      </c>
      <c r="B1823" s="2"/>
      <c r="C1823" s="2"/>
      <c r="D1823" s="2"/>
      <c r="E1823" s="3"/>
      <c r="F1823" s="3"/>
      <c r="G1823" s="2"/>
      <c r="H1823" s="2"/>
      <c r="I1823" s="46"/>
      <c r="J1823" s="12"/>
      <c r="K1823" s="2"/>
      <c r="L1823" s="59"/>
    </row>
    <row r="1824" spans="1:12" x14ac:dyDescent="0.35">
      <c r="A1824" s="45">
        <v>1820</v>
      </c>
      <c r="B1824" s="2"/>
      <c r="C1824" s="2"/>
      <c r="D1824" s="2"/>
      <c r="E1824" s="3"/>
      <c r="F1824" s="3"/>
      <c r="G1824" s="2"/>
      <c r="H1824" s="2"/>
      <c r="I1824" s="46"/>
      <c r="J1824" s="12"/>
      <c r="K1824" s="2"/>
      <c r="L1824" s="59"/>
    </row>
    <row r="1825" spans="1:12" x14ac:dyDescent="0.35">
      <c r="A1825" s="45">
        <v>1821</v>
      </c>
      <c r="B1825" s="2"/>
      <c r="C1825" s="2"/>
      <c r="D1825" s="2"/>
      <c r="E1825" s="3"/>
      <c r="F1825" s="3"/>
      <c r="G1825" s="2"/>
      <c r="H1825" s="2"/>
      <c r="I1825" s="46"/>
      <c r="J1825" s="12"/>
      <c r="K1825" s="2"/>
      <c r="L1825" s="59"/>
    </row>
    <row r="1826" spans="1:12" x14ac:dyDescent="0.35">
      <c r="A1826" s="45">
        <v>1822</v>
      </c>
      <c r="B1826" s="2"/>
      <c r="C1826" s="2"/>
      <c r="D1826" s="2"/>
      <c r="E1826" s="3"/>
      <c r="F1826" s="3"/>
      <c r="G1826" s="2"/>
      <c r="H1826" s="2"/>
      <c r="I1826" s="46"/>
      <c r="J1826" s="12"/>
      <c r="K1826" s="2"/>
      <c r="L1826" s="59"/>
    </row>
    <row r="1827" spans="1:12" x14ac:dyDescent="0.35">
      <c r="A1827" s="45">
        <v>1823</v>
      </c>
      <c r="B1827" s="2"/>
      <c r="C1827" s="2"/>
      <c r="D1827" s="2"/>
      <c r="E1827" s="3"/>
      <c r="F1827" s="3"/>
      <c r="G1827" s="2"/>
      <c r="H1827" s="2"/>
      <c r="I1827" s="46"/>
      <c r="J1827" s="12"/>
      <c r="K1827" s="2"/>
      <c r="L1827" s="59"/>
    </row>
    <row r="1828" spans="1:12" x14ac:dyDescent="0.35">
      <c r="A1828" s="45">
        <v>1824</v>
      </c>
      <c r="B1828" s="2"/>
      <c r="C1828" s="2"/>
      <c r="D1828" s="2"/>
      <c r="E1828" s="3"/>
      <c r="F1828" s="3"/>
      <c r="G1828" s="2"/>
      <c r="H1828" s="2"/>
      <c r="I1828" s="46"/>
      <c r="J1828" s="12"/>
      <c r="K1828" s="2"/>
      <c r="L1828" s="59"/>
    </row>
    <row r="1829" spans="1:12" x14ac:dyDescent="0.35">
      <c r="A1829" s="45">
        <v>1825</v>
      </c>
      <c r="B1829" s="2"/>
      <c r="C1829" s="2"/>
      <c r="D1829" s="2"/>
      <c r="E1829" s="3"/>
      <c r="F1829" s="3"/>
      <c r="G1829" s="2"/>
      <c r="H1829" s="2"/>
      <c r="I1829" s="46"/>
      <c r="J1829" s="12"/>
      <c r="K1829" s="2"/>
      <c r="L1829" s="59"/>
    </row>
    <row r="1830" spans="1:12" x14ac:dyDescent="0.35">
      <c r="A1830" s="45">
        <v>1826</v>
      </c>
      <c r="B1830" s="2"/>
      <c r="C1830" s="2"/>
      <c r="D1830" s="2"/>
      <c r="E1830" s="3"/>
      <c r="F1830" s="3"/>
      <c r="G1830" s="2"/>
      <c r="H1830" s="2"/>
      <c r="I1830" s="46"/>
      <c r="J1830" s="12"/>
      <c r="K1830" s="2"/>
      <c r="L1830" s="59"/>
    </row>
    <row r="1831" spans="1:12" x14ac:dyDescent="0.35">
      <c r="A1831" s="45">
        <v>1827</v>
      </c>
      <c r="B1831" s="2"/>
      <c r="C1831" s="2"/>
      <c r="D1831" s="2"/>
      <c r="E1831" s="3"/>
      <c r="F1831" s="3"/>
      <c r="G1831" s="2"/>
      <c r="H1831" s="2"/>
      <c r="I1831" s="46"/>
      <c r="J1831" s="12"/>
      <c r="K1831" s="2"/>
      <c r="L1831" s="59"/>
    </row>
    <row r="1832" spans="1:12" x14ac:dyDescent="0.35">
      <c r="A1832" s="45">
        <v>1828</v>
      </c>
      <c r="B1832" s="2"/>
      <c r="C1832" s="2"/>
      <c r="D1832" s="2"/>
      <c r="E1832" s="3"/>
      <c r="F1832" s="3"/>
      <c r="G1832" s="2"/>
      <c r="H1832" s="2"/>
      <c r="I1832" s="46"/>
      <c r="J1832" s="12"/>
      <c r="K1832" s="2"/>
      <c r="L1832" s="59"/>
    </row>
    <row r="1833" spans="1:12" x14ac:dyDescent="0.35">
      <c r="A1833" s="45">
        <v>1829</v>
      </c>
      <c r="B1833" s="2"/>
      <c r="C1833" s="2"/>
      <c r="D1833" s="2"/>
      <c r="E1833" s="3"/>
      <c r="F1833" s="3"/>
      <c r="G1833" s="2"/>
      <c r="H1833" s="2"/>
      <c r="I1833" s="46"/>
      <c r="J1833" s="12"/>
      <c r="K1833" s="2"/>
      <c r="L1833" s="59"/>
    </row>
    <row r="1834" spans="1:12" x14ac:dyDescent="0.35">
      <c r="A1834" s="45">
        <v>1830</v>
      </c>
      <c r="B1834" s="2"/>
      <c r="C1834" s="2"/>
      <c r="D1834" s="2"/>
      <c r="E1834" s="3"/>
      <c r="F1834" s="3"/>
      <c r="G1834" s="2"/>
      <c r="H1834" s="2"/>
      <c r="I1834" s="46"/>
      <c r="J1834" s="12"/>
      <c r="K1834" s="2"/>
      <c r="L1834" s="59"/>
    </row>
    <row r="1835" spans="1:12" x14ac:dyDescent="0.35">
      <c r="A1835" s="45">
        <v>1831</v>
      </c>
      <c r="B1835" s="2"/>
      <c r="C1835" s="2"/>
      <c r="D1835" s="2"/>
      <c r="E1835" s="3"/>
      <c r="F1835" s="3"/>
      <c r="G1835" s="2"/>
      <c r="H1835" s="2"/>
      <c r="I1835" s="46"/>
      <c r="J1835" s="12"/>
      <c r="K1835" s="2"/>
      <c r="L1835" s="59"/>
    </row>
    <row r="1836" spans="1:12" x14ac:dyDescent="0.35">
      <c r="A1836" s="45">
        <v>1832</v>
      </c>
      <c r="B1836" s="2"/>
      <c r="C1836" s="2"/>
      <c r="D1836" s="2"/>
      <c r="E1836" s="3"/>
      <c r="F1836" s="3"/>
      <c r="G1836" s="2"/>
      <c r="H1836" s="2"/>
      <c r="I1836" s="46"/>
      <c r="J1836" s="12"/>
      <c r="K1836" s="2"/>
      <c r="L1836" s="59"/>
    </row>
    <row r="1837" spans="1:12" x14ac:dyDescent="0.35">
      <c r="A1837" s="45">
        <v>1833</v>
      </c>
      <c r="B1837" s="2"/>
      <c r="C1837" s="2"/>
      <c r="D1837" s="2"/>
      <c r="E1837" s="3"/>
      <c r="F1837" s="3"/>
      <c r="G1837" s="2"/>
      <c r="H1837" s="2"/>
      <c r="I1837" s="46"/>
      <c r="J1837" s="12"/>
      <c r="K1837" s="2"/>
      <c r="L1837" s="59"/>
    </row>
    <row r="1838" spans="1:12" x14ac:dyDescent="0.35">
      <c r="A1838" s="45">
        <v>1834</v>
      </c>
      <c r="B1838" s="2"/>
      <c r="C1838" s="2"/>
      <c r="D1838" s="2"/>
      <c r="E1838" s="3"/>
      <c r="F1838" s="3"/>
      <c r="G1838" s="2"/>
      <c r="H1838" s="2"/>
      <c r="I1838" s="46"/>
      <c r="J1838" s="12"/>
      <c r="K1838" s="2"/>
      <c r="L1838" s="59"/>
    </row>
    <row r="1839" spans="1:12" x14ac:dyDescent="0.35">
      <c r="A1839" s="45">
        <v>1835</v>
      </c>
      <c r="B1839" s="2"/>
      <c r="C1839" s="2"/>
      <c r="D1839" s="2"/>
      <c r="E1839" s="3"/>
      <c r="F1839" s="3"/>
      <c r="G1839" s="2"/>
      <c r="H1839" s="2"/>
      <c r="I1839" s="46"/>
      <c r="J1839" s="12"/>
      <c r="K1839" s="2"/>
      <c r="L1839" s="59"/>
    </row>
    <row r="1840" spans="1:12" x14ac:dyDescent="0.35">
      <c r="A1840" s="45">
        <v>1836</v>
      </c>
      <c r="B1840" s="2"/>
      <c r="C1840" s="2"/>
      <c r="D1840" s="2"/>
      <c r="E1840" s="3"/>
      <c r="F1840" s="3"/>
      <c r="G1840" s="2"/>
      <c r="H1840" s="2"/>
      <c r="I1840" s="46"/>
      <c r="J1840" s="12"/>
      <c r="K1840" s="2"/>
      <c r="L1840" s="59"/>
    </row>
    <row r="1841" spans="1:12" x14ac:dyDescent="0.35">
      <c r="A1841" s="45">
        <v>1837</v>
      </c>
      <c r="B1841" s="2"/>
      <c r="C1841" s="2"/>
      <c r="D1841" s="2"/>
      <c r="E1841" s="3"/>
      <c r="F1841" s="3"/>
      <c r="G1841" s="2"/>
      <c r="H1841" s="2"/>
      <c r="I1841" s="46"/>
      <c r="J1841" s="12"/>
      <c r="K1841" s="2"/>
      <c r="L1841" s="59"/>
    </row>
    <row r="1842" spans="1:12" x14ac:dyDescent="0.35">
      <c r="A1842" s="45">
        <v>1838</v>
      </c>
      <c r="B1842" s="2"/>
      <c r="C1842" s="2"/>
      <c r="D1842" s="2"/>
      <c r="E1842" s="3"/>
      <c r="F1842" s="3"/>
      <c r="G1842" s="2"/>
      <c r="H1842" s="2"/>
      <c r="I1842" s="46"/>
      <c r="J1842" s="12"/>
      <c r="K1842" s="2"/>
      <c r="L1842" s="59"/>
    </row>
    <row r="1843" spans="1:12" x14ac:dyDescent="0.35">
      <c r="A1843" s="45">
        <v>1839</v>
      </c>
      <c r="B1843" s="2"/>
      <c r="C1843" s="2"/>
      <c r="D1843" s="2"/>
      <c r="E1843" s="3"/>
      <c r="F1843" s="3"/>
      <c r="G1843" s="2"/>
      <c r="H1843" s="2"/>
      <c r="I1843" s="46"/>
      <c r="J1843" s="12"/>
      <c r="K1843" s="2"/>
      <c r="L1843" s="59"/>
    </row>
    <row r="1844" spans="1:12" x14ac:dyDescent="0.35">
      <c r="A1844" s="45">
        <v>1840</v>
      </c>
      <c r="B1844" s="2"/>
      <c r="C1844" s="2"/>
      <c r="D1844" s="2"/>
      <c r="E1844" s="3"/>
      <c r="F1844" s="3"/>
      <c r="G1844" s="2"/>
      <c r="H1844" s="2"/>
      <c r="I1844" s="46"/>
      <c r="J1844" s="12"/>
      <c r="K1844" s="2"/>
      <c r="L1844" s="59"/>
    </row>
    <row r="1845" spans="1:12" x14ac:dyDescent="0.35">
      <c r="A1845" s="45">
        <v>1841</v>
      </c>
      <c r="B1845" s="2"/>
      <c r="C1845" s="2"/>
      <c r="D1845" s="2"/>
      <c r="E1845" s="3"/>
      <c r="F1845" s="3"/>
      <c r="G1845" s="2"/>
      <c r="H1845" s="2"/>
      <c r="I1845" s="46"/>
      <c r="J1845" s="12"/>
      <c r="K1845" s="2"/>
      <c r="L1845" s="59"/>
    </row>
    <row r="1846" spans="1:12" x14ac:dyDescent="0.35">
      <c r="A1846" s="45">
        <v>1842</v>
      </c>
      <c r="B1846" s="2"/>
      <c r="C1846" s="2"/>
      <c r="D1846" s="2"/>
      <c r="E1846" s="3"/>
      <c r="F1846" s="3"/>
      <c r="G1846" s="2"/>
      <c r="H1846" s="2"/>
      <c r="I1846" s="46"/>
      <c r="J1846" s="12"/>
      <c r="K1846" s="2"/>
      <c r="L1846" s="59"/>
    </row>
    <row r="1847" spans="1:12" x14ac:dyDescent="0.35">
      <c r="A1847" s="45">
        <v>1843</v>
      </c>
      <c r="B1847" s="2"/>
      <c r="C1847" s="2"/>
      <c r="D1847" s="2"/>
      <c r="E1847" s="3"/>
      <c r="F1847" s="3"/>
      <c r="G1847" s="2"/>
      <c r="H1847" s="2"/>
      <c r="I1847" s="46"/>
      <c r="J1847" s="12"/>
      <c r="K1847" s="2"/>
      <c r="L1847" s="59"/>
    </row>
    <row r="1848" spans="1:12" x14ac:dyDescent="0.35">
      <c r="A1848" s="45">
        <v>1844</v>
      </c>
      <c r="B1848" s="2"/>
      <c r="C1848" s="2"/>
      <c r="D1848" s="2"/>
      <c r="E1848" s="3"/>
      <c r="F1848" s="3"/>
      <c r="G1848" s="2"/>
      <c r="H1848" s="2"/>
      <c r="I1848" s="46"/>
      <c r="J1848" s="12"/>
      <c r="K1848" s="2"/>
      <c r="L1848" s="59"/>
    </row>
    <row r="1849" spans="1:12" x14ac:dyDescent="0.35">
      <c r="A1849" s="45">
        <v>1845</v>
      </c>
      <c r="B1849" s="2"/>
      <c r="C1849" s="2"/>
      <c r="D1849" s="2"/>
      <c r="E1849" s="3"/>
      <c r="F1849" s="3"/>
      <c r="G1849" s="2"/>
      <c r="H1849" s="2"/>
      <c r="I1849" s="46"/>
      <c r="J1849" s="12"/>
      <c r="K1849" s="2"/>
      <c r="L1849" s="59"/>
    </row>
    <row r="1850" spans="1:12" x14ac:dyDescent="0.35">
      <c r="A1850" s="45">
        <v>1846</v>
      </c>
      <c r="B1850" s="2"/>
      <c r="C1850" s="2"/>
      <c r="D1850" s="2"/>
      <c r="E1850" s="3"/>
      <c r="F1850" s="3"/>
      <c r="G1850" s="2"/>
      <c r="H1850" s="2"/>
      <c r="I1850" s="46"/>
      <c r="J1850" s="12"/>
      <c r="K1850" s="2"/>
      <c r="L1850" s="59"/>
    </row>
    <row r="1851" spans="1:12" x14ac:dyDescent="0.35">
      <c r="A1851" s="45">
        <v>1847</v>
      </c>
      <c r="B1851" s="2"/>
      <c r="C1851" s="2"/>
      <c r="D1851" s="2"/>
      <c r="E1851" s="3"/>
      <c r="F1851" s="3"/>
      <c r="G1851" s="2"/>
      <c r="H1851" s="2"/>
      <c r="I1851" s="46"/>
      <c r="J1851" s="12"/>
      <c r="K1851" s="2"/>
      <c r="L1851" s="59"/>
    </row>
    <row r="1852" spans="1:12" x14ac:dyDescent="0.35">
      <c r="A1852" s="45">
        <v>1848</v>
      </c>
      <c r="B1852" s="2"/>
      <c r="C1852" s="2"/>
      <c r="D1852" s="2"/>
      <c r="E1852" s="3"/>
      <c r="F1852" s="3"/>
      <c r="G1852" s="2"/>
      <c r="H1852" s="2"/>
      <c r="I1852" s="46"/>
      <c r="J1852" s="12"/>
      <c r="K1852" s="2"/>
      <c r="L1852" s="59"/>
    </row>
    <row r="1853" spans="1:12" x14ac:dyDescent="0.35">
      <c r="A1853" s="45">
        <v>1849</v>
      </c>
      <c r="B1853" s="2"/>
      <c r="C1853" s="2"/>
      <c r="D1853" s="2"/>
      <c r="E1853" s="3"/>
      <c r="F1853" s="3"/>
      <c r="G1853" s="2"/>
      <c r="H1853" s="2"/>
      <c r="I1853" s="46"/>
      <c r="J1853" s="12"/>
      <c r="K1853" s="2"/>
      <c r="L1853" s="59"/>
    </row>
    <row r="1854" spans="1:12" x14ac:dyDescent="0.35">
      <c r="A1854" s="45">
        <v>1850</v>
      </c>
      <c r="B1854" s="2"/>
      <c r="C1854" s="2"/>
      <c r="D1854" s="2"/>
      <c r="E1854" s="3"/>
      <c r="F1854" s="3"/>
      <c r="G1854" s="2"/>
      <c r="H1854" s="2"/>
      <c r="I1854" s="46"/>
      <c r="J1854" s="12"/>
      <c r="K1854" s="2"/>
      <c r="L1854" s="59"/>
    </row>
    <row r="1855" spans="1:12" x14ac:dyDescent="0.35">
      <c r="A1855" s="45">
        <v>1851</v>
      </c>
      <c r="B1855" s="2"/>
      <c r="C1855" s="2"/>
      <c r="D1855" s="2"/>
      <c r="E1855" s="3"/>
      <c r="F1855" s="3"/>
      <c r="G1855" s="2"/>
      <c r="H1855" s="2"/>
      <c r="I1855" s="46"/>
      <c r="J1855" s="12"/>
      <c r="K1855" s="2"/>
      <c r="L1855" s="59"/>
    </row>
    <row r="1856" spans="1:12" x14ac:dyDescent="0.35">
      <c r="A1856" s="45">
        <v>1852</v>
      </c>
      <c r="B1856" s="2"/>
      <c r="C1856" s="2"/>
      <c r="D1856" s="2"/>
      <c r="E1856" s="3"/>
      <c r="F1856" s="3"/>
      <c r="G1856" s="2"/>
      <c r="H1856" s="2"/>
      <c r="I1856" s="46"/>
      <c r="J1856" s="12"/>
      <c r="K1856" s="2"/>
      <c r="L1856" s="59"/>
    </row>
    <row r="1857" spans="1:12" x14ac:dyDescent="0.35">
      <c r="A1857" s="45">
        <v>1853</v>
      </c>
      <c r="B1857" s="2"/>
      <c r="C1857" s="2"/>
      <c r="D1857" s="2"/>
      <c r="E1857" s="3"/>
      <c r="F1857" s="3"/>
      <c r="G1857" s="2"/>
      <c r="H1857" s="2"/>
      <c r="I1857" s="46"/>
      <c r="J1857" s="12"/>
      <c r="K1857" s="2"/>
      <c r="L1857" s="59"/>
    </row>
    <row r="1858" spans="1:12" x14ac:dyDescent="0.35">
      <c r="A1858" s="45">
        <v>1854</v>
      </c>
      <c r="B1858" s="2"/>
      <c r="C1858" s="2"/>
      <c r="D1858" s="2"/>
      <c r="E1858" s="3"/>
      <c r="F1858" s="3"/>
      <c r="G1858" s="2"/>
      <c r="H1858" s="2"/>
      <c r="I1858" s="46"/>
      <c r="J1858" s="12"/>
      <c r="K1858" s="2"/>
      <c r="L1858" s="59"/>
    </row>
    <row r="1859" spans="1:12" x14ac:dyDescent="0.35">
      <c r="A1859" s="45">
        <v>1855</v>
      </c>
      <c r="B1859" s="2"/>
      <c r="C1859" s="2"/>
      <c r="D1859" s="2"/>
      <c r="E1859" s="3"/>
      <c r="F1859" s="3"/>
      <c r="G1859" s="2"/>
      <c r="H1859" s="2"/>
      <c r="I1859" s="46"/>
      <c r="J1859" s="12"/>
      <c r="K1859" s="2"/>
      <c r="L1859" s="59"/>
    </row>
    <row r="1860" spans="1:12" x14ac:dyDescent="0.35">
      <c r="A1860" s="45">
        <v>1856</v>
      </c>
      <c r="B1860" s="2"/>
      <c r="C1860" s="2"/>
      <c r="D1860" s="2"/>
      <c r="E1860" s="3"/>
      <c r="F1860" s="3"/>
      <c r="G1860" s="2"/>
      <c r="H1860" s="2"/>
      <c r="I1860" s="46"/>
      <c r="J1860" s="12"/>
      <c r="K1860" s="2"/>
      <c r="L1860" s="59"/>
    </row>
    <row r="1861" spans="1:12" x14ac:dyDescent="0.35">
      <c r="A1861" s="45">
        <v>1857</v>
      </c>
      <c r="B1861" s="2"/>
      <c r="C1861" s="2"/>
      <c r="D1861" s="2"/>
      <c r="E1861" s="3"/>
      <c r="F1861" s="3"/>
      <c r="G1861" s="2"/>
      <c r="H1861" s="2"/>
      <c r="I1861" s="46"/>
      <c r="J1861" s="12"/>
      <c r="K1861" s="2"/>
      <c r="L1861" s="59"/>
    </row>
    <row r="1862" spans="1:12" x14ac:dyDescent="0.35">
      <c r="A1862" s="45">
        <v>1858</v>
      </c>
      <c r="B1862" s="2"/>
      <c r="C1862" s="2"/>
      <c r="D1862" s="2"/>
      <c r="E1862" s="3"/>
      <c r="F1862" s="3"/>
      <c r="G1862" s="2"/>
      <c r="H1862" s="2"/>
      <c r="I1862" s="46"/>
      <c r="J1862" s="12"/>
      <c r="K1862" s="2"/>
      <c r="L1862" s="59"/>
    </row>
    <row r="1863" spans="1:12" x14ac:dyDescent="0.35">
      <c r="A1863" s="45">
        <v>1859</v>
      </c>
      <c r="B1863" s="2"/>
      <c r="C1863" s="2"/>
      <c r="D1863" s="2"/>
      <c r="E1863" s="3"/>
      <c r="F1863" s="3"/>
      <c r="G1863" s="2"/>
      <c r="H1863" s="2"/>
      <c r="I1863" s="46"/>
      <c r="J1863" s="12"/>
      <c r="K1863" s="2"/>
      <c r="L1863" s="59"/>
    </row>
    <row r="1864" spans="1:12" x14ac:dyDescent="0.35">
      <c r="A1864" s="45">
        <v>1860</v>
      </c>
      <c r="B1864" s="2"/>
      <c r="C1864" s="2"/>
      <c r="D1864" s="2"/>
      <c r="E1864" s="3"/>
      <c r="F1864" s="3"/>
      <c r="G1864" s="2"/>
      <c r="H1864" s="2"/>
      <c r="I1864" s="46"/>
      <c r="J1864" s="12"/>
      <c r="K1864" s="2"/>
      <c r="L1864" s="59"/>
    </row>
    <row r="1865" spans="1:12" x14ac:dyDescent="0.35">
      <c r="A1865" s="45">
        <v>1861</v>
      </c>
      <c r="B1865" s="2"/>
      <c r="C1865" s="2"/>
      <c r="D1865" s="2"/>
      <c r="E1865" s="3"/>
      <c r="F1865" s="3"/>
      <c r="G1865" s="2"/>
      <c r="H1865" s="2"/>
      <c r="I1865" s="46"/>
      <c r="J1865" s="12"/>
      <c r="K1865" s="2"/>
      <c r="L1865" s="59"/>
    </row>
    <row r="1866" spans="1:12" x14ac:dyDescent="0.35">
      <c r="A1866" s="45">
        <v>1862</v>
      </c>
      <c r="B1866" s="2"/>
      <c r="C1866" s="2"/>
      <c r="D1866" s="2"/>
      <c r="E1866" s="3"/>
      <c r="F1866" s="3"/>
      <c r="G1866" s="2"/>
      <c r="H1866" s="2"/>
      <c r="I1866" s="46"/>
      <c r="J1866" s="12"/>
      <c r="K1866" s="2"/>
      <c r="L1866" s="59"/>
    </row>
    <row r="1867" spans="1:12" x14ac:dyDescent="0.35">
      <c r="A1867" s="45">
        <v>1863</v>
      </c>
      <c r="B1867" s="2"/>
      <c r="C1867" s="2"/>
      <c r="D1867" s="2"/>
      <c r="E1867" s="3"/>
      <c r="F1867" s="3"/>
      <c r="G1867" s="2"/>
      <c r="H1867" s="2"/>
      <c r="I1867" s="46"/>
      <c r="J1867" s="12"/>
      <c r="K1867" s="2"/>
      <c r="L1867" s="59"/>
    </row>
    <row r="1868" spans="1:12" x14ac:dyDescent="0.35">
      <c r="A1868" s="45">
        <v>1864</v>
      </c>
      <c r="B1868" s="2"/>
      <c r="C1868" s="2"/>
      <c r="D1868" s="2"/>
      <c r="E1868" s="3"/>
      <c r="F1868" s="3"/>
      <c r="G1868" s="2"/>
      <c r="H1868" s="2"/>
      <c r="I1868" s="46"/>
      <c r="J1868" s="12"/>
      <c r="K1868" s="2"/>
      <c r="L1868" s="59"/>
    </row>
    <row r="1869" spans="1:12" x14ac:dyDescent="0.35">
      <c r="A1869" s="45">
        <v>1865</v>
      </c>
      <c r="B1869" s="2"/>
      <c r="C1869" s="2"/>
      <c r="D1869" s="2"/>
      <c r="E1869" s="3"/>
      <c r="F1869" s="3"/>
      <c r="G1869" s="2"/>
      <c r="H1869" s="2"/>
      <c r="I1869" s="46"/>
      <c r="J1869" s="12"/>
      <c r="K1869" s="2"/>
      <c r="L1869" s="59"/>
    </row>
    <row r="1870" spans="1:12" x14ac:dyDescent="0.35">
      <c r="A1870" s="45">
        <v>1866</v>
      </c>
      <c r="B1870" s="2"/>
      <c r="C1870" s="2"/>
      <c r="D1870" s="2"/>
      <c r="E1870" s="3"/>
      <c r="F1870" s="3"/>
      <c r="G1870" s="2"/>
      <c r="H1870" s="2"/>
      <c r="I1870" s="46"/>
      <c r="J1870" s="12"/>
      <c r="K1870" s="2"/>
      <c r="L1870" s="59"/>
    </row>
    <row r="1871" spans="1:12" x14ac:dyDescent="0.35">
      <c r="A1871" s="45">
        <v>1867</v>
      </c>
      <c r="B1871" s="2"/>
      <c r="C1871" s="2"/>
      <c r="D1871" s="2"/>
      <c r="E1871" s="3"/>
      <c r="F1871" s="3"/>
      <c r="G1871" s="2"/>
      <c r="H1871" s="2"/>
      <c r="I1871" s="46"/>
      <c r="J1871" s="12"/>
      <c r="K1871" s="2"/>
      <c r="L1871" s="59"/>
    </row>
    <row r="1872" spans="1:12" x14ac:dyDescent="0.35">
      <c r="A1872" s="45">
        <v>1868</v>
      </c>
      <c r="B1872" s="2"/>
      <c r="C1872" s="2"/>
      <c r="D1872" s="2"/>
      <c r="E1872" s="3"/>
      <c r="F1872" s="3"/>
      <c r="G1872" s="2"/>
      <c r="H1872" s="2"/>
      <c r="I1872" s="46"/>
      <c r="J1872" s="12"/>
      <c r="K1872" s="2"/>
      <c r="L1872" s="59"/>
    </row>
    <row r="1873" spans="1:12" x14ac:dyDescent="0.35">
      <c r="A1873" s="45">
        <v>1869</v>
      </c>
      <c r="B1873" s="2"/>
      <c r="C1873" s="2"/>
      <c r="D1873" s="2"/>
      <c r="E1873" s="3"/>
      <c r="F1873" s="3"/>
      <c r="G1873" s="2"/>
      <c r="H1873" s="2"/>
      <c r="I1873" s="46"/>
      <c r="J1873" s="12"/>
      <c r="K1873" s="2"/>
      <c r="L1873" s="59"/>
    </row>
    <row r="1874" spans="1:12" x14ac:dyDescent="0.35">
      <c r="A1874" s="45">
        <v>1870</v>
      </c>
      <c r="B1874" s="2"/>
      <c r="C1874" s="2"/>
      <c r="D1874" s="2"/>
      <c r="E1874" s="3"/>
      <c r="F1874" s="3"/>
      <c r="G1874" s="2"/>
      <c r="H1874" s="2"/>
      <c r="I1874" s="46"/>
      <c r="J1874" s="12"/>
      <c r="K1874" s="2"/>
      <c r="L1874" s="59"/>
    </row>
    <row r="1875" spans="1:12" x14ac:dyDescent="0.35">
      <c r="A1875" s="45">
        <v>1871</v>
      </c>
      <c r="B1875" s="2"/>
      <c r="C1875" s="2"/>
      <c r="D1875" s="2"/>
      <c r="E1875" s="3"/>
      <c r="F1875" s="3"/>
      <c r="G1875" s="2"/>
      <c r="H1875" s="2"/>
      <c r="I1875" s="46"/>
      <c r="J1875" s="12"/>
      <c r="K1875" s="2"/>
      <c r="L1875" s="59"/>
    </row>
    <row r="1876" spans="1:12" x14ac:dyDescent="0.35">
      <c r="A1876" s="45">
        <v>1872</v>
      </c>
      <c r="B1876" s="2"/>
      <c r="C1876" s="2"/>
      <c r="D1876" s="2"/>
      <c r="E1876" s="3"/>
      <c r="F1876" s="3"/>
      <c r="G1876" s="2"/>
      <c r="H1876" s="2"/>
      <c r="I1876" s="46"/>
      <c r="J1876" s="12"/>
      <c r="K1876" s="2"/>
      <c r="L1876" s="59"/>
    </row>
    <row r="1877" spans="1:12" x14ac:dyDescent="0.35">
      <c r="A1877" s="45">
        <v>1873</v>
      </c>
      <c r="B1877" s="2"/>
      <c r="C1877" s="2"/>
      <c r="D1877" s="2"/>
      <c r="E1877" s="3"/>
      <c r="F1877" s="3"/>
      <c r="G1877" s="2"/>
      <c r="H1877" s="2"/>
      <c r="I1877" s="46"/>
      <c r="J1877" s="12"/>
      <c r="K1877" s="2"/>
      <c r="L1877" s="59"/>
    </row>
    <row r="1878" spans="1:12" x14ac:dyDescent="0.35">
      <c r="A1878" s="45">
        <v>1874</v>
      </c>
      <c r="B1878" s="2"/>
      <c r="C1878" s="2"/>
      <c r="D1878" s="2"/>
      <c r="E1878" s="3"/>
      <c r="F1878" s="3"/>
      <c r="G1878" s="2"/>
      <c r="H1878" s="2"/>
      <c r="I1878" s="46"/>
      <c r="J1878" s="12"/>
      <c r="K1878" s="2"/>
      <c r="L1878" s="59"/>
    </row>
    <row r="1879" spans="1:12" x14ac:dyDescent="0.35">
      <c r="A1879" s="45">
        <v>1875</v>
      </c>
      <c r="B1879" s="2"/>
      <c r="C1879" s="2"/>
      <c r="D1879" s="2"/>
      <c r="E1879" s="3"/>
      <c r="F1879" s="3"/>
      <c r="G1879" s="2"/>
      <c r="H1879" s="2"/>
      <c r="I1879" s="46"/>
      <c r="J1879" s="12"/>
      <c r="K1879" s="2"/>
      <c r="L1879" s="59"/>
    </row>
    <row r="1880" spans="1:12" x14ac:dyDescent="0.35">
      <c r="A1880" s="45">
        <v>1876</v>
      </c>
      <c r="B1880" s="2"/>
      <c r="C1880" s="2"/>
      <c r="D1880" s="2"/>
      <c r="E1880" s="3"/>
      <c r="F1880" s="3"/>
      <c r="G1880" s="2"/>
      <c r="H1880" s="2"/>
      <c r="I1880" s="46"/>
      <c r="J1880" s="12"/>
      <c r="K1880" s="2"/>
      <c r="L1880" s="59"/>
    </row>
    <row r="1881" spans="1:12" x14ac:dyDescent="0.35">
      <c r="A1881" s="45">
        <v>1877</v>
      </c>
      <c r="B1881" s="2"/>
      <c r="C1881" s="2"/>
      <c r="D1881" s="2"/>
      <c r="E1881" s="3"/>
      <c r="F1881" s="3"/>
      <c r="G1881" s="2"/>
      <c r="H1881" s="2"/>
      <c r="I1881" s="46"/>
      <c r="J1881" s="12"/>
      <c r="K1881" s="2"/>
      <c r="L1881" s="59"/>
    </row>
    <row r="1882" spans="1:12" x14ac:dyDescent="0.35">
      <c r="A1882" s="45">
        <v>1878</v>
      </c>
      <c r="B1882" s="2"/>
      <c r="C1882" s="2"/>
      <c r="D1882" s="2"/>
      <c r="E1882" s="3"/>
      <c r="F1882" s="3"/>
      <c r="G1882" s="2"/>
      <c r="H1882" s="2"/>
      <c r="I1882" s="46"/>
      <c r="J1882" s="12"/>
      <c r="K1882" s="2"/>
      <c r="L1882" s="59"/>
    </row>
    <row r="1883" spans="1:12" x14ac:dyDescent="0.35">
      <c r="A1883" s="45">
        <v>1879</v>
      </c>
      <c r="B1883" s="2"/>
      <c r="C1883" s="2"/>
      <c r="D1883" s="2"/>
      <c r="E1883" s="3"/>
      <c r="F1883" s="3"/>
      <c r="G1883" s="2"/>
      <c r="H1883" s="2"/>
      <c r="I1883" s="46"/>
      <c r="J1883" s="12"/>
      <c r="K1883" s="2"/>
      <c r="L1883" s="59"/>
    </row>
    <row r="1884" spans="1:12" x14ac:dyDescent="0.35">
      <c r="A1884" s="45">
        <v>1880</v>
      </c>
      <c r="B1884" s="2"/>
      <c r="C1884" s="2"/>
      <c r="D1884" s="2"/>
      <c r="E1884" s="3"/>
      <c r="F1884" s="3"/>
      <c r="G1884" s="2"/>
      <c r="H1884" s="2"/>
      <c r="I1884" s="46"/>
      <c r="J1884" s="12"/>
      <c r="K1884" s="2"/>
      <c r="L1884" s="59"/>
    </row>
    <row r="1885" spans="1:12" x14ac:dyDescent="0.35">
      <c r="A1885" s="45">
        <v>1881</v>
      </c>
      <c r="B1885" s="2"/>
      <c r="C1885" s="2"/>
      <c r="D1885" s="2"/>
      <c r="E1885" s="3"/>
      <c r="F1885" s="3"/>
      <c r="G1885" s="2"/>
      <c r="H1885" s="2"/>
      <c r="I1885" s="46"/>
      <c r="J1885" s="12"/>
      <c r="K1885" s="2"/>
      <c r="L1885" s="59"/>
    </row>
    <row r="1886" spans="1:12" x14ac:dyDescent="0.35">
      <c r="A1886" s="45">
        <v>1882</v>
      </c>
      <c r="B1886" s="2"/>
      <c r="C1886" s="2"/>
      <c r="D1886" s="2"/>
      <c r="E1886" s="3"/>
      <c r="F1886" s="3"/>
      <c r="G1886" s="2"/>
      <c r="H1886" s="2"/>
      <c r="I1886" s="46"/>
      <c r="J1886" s="12"/>
      <c r="K1886" s="2"/>
      <c r="L1886" s="59"/>
    </row>
    <row r="1887" spans="1:12" x14ac:dyDescent="0.35">
      <c r="A1887" s="45">
        <v>1883</v>
      </c>
      <c r="B1887" s="2"/>
      <c r="C1887" s="2"/>
      <c r="D1887" s="2"/>
      <c r="E1887" s="3"/>
      <c r="F1887" s="3"/>
      <c r="G1887" s="2"/>
      <c r="H1887" s="2"/>
      <c r="I1887" s="46"/>
      <c r="J1887" s="12"/>
      <c r="K1887" s="2"/>
      <c r="L1887" s="59"/>
    </row>
    <row r="1888" spans="1:12" x14ac:dyDescent="0.35">
      <c r="A1888" s="45">
        <v>1884</v>
      </c>
      <c r="B1888" s="2"/>
      <c r="C1888" s="2"/>
      <c r="D1888" s="2"/>
      <c r="E1888" s="3"/>
      <c r="F1888" s="3"/>
      <c r="G1888" s="2"/>
      <c r="H1888" s="2"/>
      <c r="I1888" s="46"/>
      <c r="J1888" s="12"/>
      <c r="K1888" s="2"/>
      <c r="L1888" s="59"/>
    </row>
    <row r="1889" spans="1:12" x14ac:dyDescent="0.35">
      <c r="A1889" s="45">
        <v>1885</v>
      </c>
      <c r="B1889" s="2"/>
      <c r="C1889" s="2"/>
      <c r="D1889" s="2"/>
      <c r="E1889" s="3"/>
      <c r="F1889" s="3"/>
      <c r="G1889" s="2"/>
      <c r="H1889" s="2"/>
      <c r="I1889" s="46"/>
      <c r="J1889" s="12"/>
      <c r="K1889" s="2"/>
      <c r="L1889" s="59"/>
    </row>
    <row r="1890" spans="1:12" x14ac:dyDescent="0.35">
      <c r="A1890" s="45">
        <v>1886</v>
      </c>
      <c r="B1890" s="2"/>
      <c r="C1890" s="2"/>
      <c r="D1890" s="2"/>
      <c r="E1890" s="3"/>
      <c r="F1890" s="3"/>
      <c r="G1890" s="2"/>
      <c r="H1890" s="2"/>
      <c r="I1890" s="46"/>
      <c r="J1890" s="12"/>
      <c r="K1890" s="2"/>
      <c r="L1890" s="59"/>
    </row>
    <row r="1891" spans="1:12" x14ac:dyDescent="0.35">
      <c r="A1891" s="45">
        <v>1887</v>
      </c>
      <c r="B1891" s="2"/>
      <c r="C1891" s="2"/>
      <c r="D1891" s="2"/>
      <c r="E1891" s="3"/>
      <c r="F1891" s="3"/>
      <c r="G1891" s="2"/>
      <c r="H1891" s="2"/>
      <c r="I1891" s="46"/>
      <c r="J1891" s="12"/>
      <c r="K1891" s="2"/>
      <c r="L1891" s="59"/>
    </row>
    <row r="1892" spans="1:12" x14ac:dyDescent="0.35">
      <c r="A1892" s="45">
        <v>1888</v>
      </c>
      <c r="B1892" s="2"/>
      <c r="C1892" s="2"/>
      <c r="D1892" s="2"/>
      <c r="E1892" s="3"/>
      <c r="F1892" s="3"/>
      <c r="G1892" s="2"/>
      <c r="H1892" s="2"/>
      <c r="I1892" s="46"/>
      <c r="J1892" s="12"/>
      <c r="K1892" s="2"/>
      <c r="L1892" s="59"/>
    </row>
    <row r="1893" spans="1:12" x14ac:dyDescent="0.35">
      <c r="A1893" s="45">
        <v>1889</v>
      </c>
      <c r="B1893" s="2"/>
      <c r="C1893" s="2"/>
      <c r="D1893" s="2"/>
      <c r="E1893" s="3"/>
      <c r="F1893" s="3"/>
      <c r="G1893" s="2"/>
      <c r="H1893" s="2"/>
      <c r="I1893" s="46"/>
      <c r="J1893" s="12"/>
      <c r="K1893" s="2"/>
      <c r="L1893" s="59"/>
    </row>
    <row r="1894" spans="1:12" x14ac:dyDescent="0.35">
      <c r="A1894" s="45">
        <v>1890</v>
      </c>
      <c r="B1894" s="2"/>
      <c r="C1894" s="2"/>
      <c r="D1894" s="2"/>
      <c r="E1894" s="3"/>
      <c r="F1894" s="3"/>
      <c r="G1894" s="2"/>
      <c r="H1894" s="2"/>
      <c r="I1894" s="46"/>
      <c r="J1894" s="12"/>
      <c r="K1894" s="2"/>
      <c r="L1894" s="59"/>
    </row>
    <row r="1895" spans="1:12" x14ac:dyDescent="0.35">
      <c r="A1895" s="45">
        <v>1891</v>
      </c>
      <c r="B1895" s="2"/>
      <c r="C1895" s="2"/>
      <c r="D1895" s="2"/>
      <c r="E1895" s="3"/>
      <c r="F1895" s="3"/>
      <c r="G1895" s="2"/>
      <c r="H1895" s="2"/>
      <c r="I1895" s="46"/>
      <c r="J1895" s="12"/>
      <c r="K1895" s="2"/>
      <c r="L1895" s="59"/>
    </row>
    <row r="1896" spans="1:12" x14ac:dyDescent="0.35">
      <c r="A1896" s="45">
        <v>1892</v>
      </c>
      <c r="B1896" s="2"/>
      <c r="C1896" s="2"/>
      <c r="D1896" s="2"/>
      <c r="E1896" s="3"/>
      <c r="F1896" s="3"/>
      <c r="G1896" s="2"/>
      <c r="H1896" s="2"/>
      <c r="I1896" s="46"/>
      <c r="J1896" s="12"/>
      <c r="K1896" s="2"/>
      <c r="L1896" s="59"/>
    </row>
    <row r="1897" spans="1:12" x14ac:dyDescent="0.35">
      <c r="A1897" s="45">
        <v>1893</v>
      </c>
      <c r="B1897" s="2"/>
      <c r="C1897" s="2"/>
      <c r="D1897" s="2"/>
      <c r="E1897" s="3"/>
      <c r="F1897" s="3"/>
      <c r="G1897" s="2"/>
      <c r="H1897" s="2"/>
      <c r="I1897" s="46"/>
      <c r="J1897" s="12"/>
      <c r="K1897" s="2"/>
      <c r="L1897" s="59"/>
    </row>
    <row r="1898" spans="1:12" x14ac:dyDescent="0.35">
      <c r="A1898" s="45">
        <v>1894</v>
      </c>
      <c r="B1898" s="2"/>
      <c r="C1898" s="2"/>
      <c r="D1898" s="2"/>
      <c r="E1898" s="3"/>
      <c r="F1898" s="3"/>
      <c r="G1898" s="2"/>
      <c r="H1898" s="2"/>
      <c r="I1898" s="46"/>
      <c r="J1898" s="12"/>
      <c r="K1898" s="2"/>
      <c r="L1898" s="59"/>
    </row>
    <row r="1899" spans="1:12" x14ac:dyDescent="0.35">
      <c r="A1899" s="45">
        <v>1895</v>
      </c>
      <c r="B1899" s="2"/>
      <c r="C1899" s="2"/>
      <c r="D1899" s="2"/>
      <c r="E1899" s="3"/>
      <c r="F1899" s="3"/>
      <c r="G1899" s="2"/>
      <c r="H1899" s="2"/>
      <c r="I1899" s="46"/>
      <c r="J1899" s="12"/>
      <c r="K1899" s="2"/>
      <c r="L1899" s="59"/>
    </row>
    <row r="1900" spans="1:12" x14ac:dyDescent="0.35">
      <c r="A1900" s="45">
        <v>1896</v>
      </c>
      <c r="B1900" s="2"/>
      <c r="C1900" s="2"/>
      <c r="D1900" s="2"/>
      <c r="E1900" s="3"/>
      <c r="F1900" s="3"/>
      <c r="G1900" s="2"/>
      <c r="H1900" s="2"/>
      <c r="I1900" s="46"/>
      <c r="J1900" s="12"/>
      <c r="K1900" s="2"/>
      <c r="L1900" s="59"/>
    </row>
    <row r="1901" spans="1:12" x14ac:dyDescent="0.35">
      <c r="A1901" s="45">
        <v>1897</v>
      </c>
      <c r="B1901" s="2"/>
      <c r="C1901" s="2"/>
      <c r="D1901" s="2"/>
      <c r="E1901" s="3"/>
      <c r="F1901" s="3"/>
      <c r="G1901" s="2"/>
      <c r="H1901" s="2"/>
      <c r="I1901" s="46"/>
      <c r="J1901" s="12"/>
      <c r="K1901" s="2"/>
      <c r="L1901" s="59"/>
    </row>
    <row r="1902" spans="1:12" x14ac:dyDescent="0.35">
      <c r="A1902" s="45">
        <v>1898</v>
      </c>
      <c r="B1902" s="2"/>
      <c r="C1902" s="2"/>
      <c r="D1902" s="2"/>
      <c r="E1902" s="3"/>
      <c r="F1902" s="3"/>
      <c r="G1902" s="2"/>
      <c r="H1902" s="2"/>
      <c r="I1902" s="46"/>
      <c r="J1902" s="12"/>
      <c r="K1902" s="2"/>
      <c r="L1902" s="59"/>
    </row>
    <row r="1903" spans="1:12" x14ac:dyDescent="0.35">
      <c r="A1903" s="45">
        <v>1899</v>
      </c>
      <c r="B1903" s="2"/>
      <c r="C1903" s="2"/>
      <c r="D1903" s="2"/>
      <c r="E1903" s="3"/>
      <c r="F1903" s="3"/>
      <c r="G1903" s="2"/>
      <c r="H1903" s="2"/>
      <c r="I1903" s="46"/>
      <c r="J1903" s="12"/>
      <c r="K1903" s="2"/>
      <c r="L1903" s="59"/>
    </row>
    <row r="1904" spans="1:12" x14ac:dyDescent="0.35">
      <c r="A1904" s="45">
        <v>1900</v>
      </c>
      <c r="B1904" s="2"/>
      <c r="C1904" s="2"/>
      <c r="D1904" s="2"/>
      <c r="E1904" s="3"/>
      <c r="F1904" s="3"/>
      <c r="G1904" s="2"/>
      <c r="H1904" s="2"/>
      <c r="I1904" s="46"/>
      <c r="J1904" s="12"/>
      <c r="K1904" s="2"/>
      <c r="L1904" s="59"/>
    </row>
    <row r="1905" spans="1:12" x14ac:dyDescent="0.35">
      <c r="A1905" s="45">
        <v>1901</v>
      </c>
      <c r="B1905" s="2"/>
      <c r="C1905" s="2"/>
      <c r="D1905" s="2"/>
      <c r="E1905" s="3"/>
      <c r="F1905" s="3"/>
      <c r="G1905" s="2"/>
      <c r="H1905" s="2"/>
      <c r="I1905" s="46"/>
      <c r="J1905" s="12"/>
      <c r="K1905" s="2"/>
      <c r="L1905" s="59"/>
    </row>
    <row r="1906" spans="1:12" x14ac:dyDescent="0.35">
      <c r="A1906" s="45">
        <v>1902</v>
      </c>
      <c r="B1906" s="2"/>
      <c r="C1906" s="2"/>
      <c r="D1906" s="2"/>
      <c r="E1906" s="3"/>
      <c r="F1906" s="3"/>
      <c r="G1906" s="2"/>
      <c r="H1906" s="2"/>
      <c r="I1906" s="46"/>
      <c r="J1906" s="12"/>
      <c r="K1906" s="2"/>
      <c r="L1906" s="59"/>
    </row>
    <row r="1907" spans="1:12" x14ac:dyDescent="0.35">
      <c r="A1907" s="45">
        <v>1903</v>
      </c>
      <c r="B1907" s="2"/>
      <c r="C1907" s="2"/>
      <c r="D1907" s="2"/>
      <c r="E1907" s="3"/>
      <c r="F1907" s="3"/>
      <c r="G1907" s="2"/>
      <c r="H1907" s="2"/>
      <c r="I1907" s="46"/>
      <c r="J1907" s="12"/>
      <c r="K1907" s="2"/>
      <c r="L1907" s="59"/>
    </row>
    <row r="1908" spans="1:12" x14ac:dyDescent="0.35">
      <c r="A1908" s="45">
        <v>1904</v>
      </c>
      <c r="B1908" s="2"/>
      <c r="C1908" s="2"/>
      <c r="D1908" s="2"/>
      <c r="E1908" s="3"/>
      <c r="F1908" s="3"/>
      <c r="G1908" s="2"/>
      <c r="H1908" s="2"/>
      <c r="I1908" s="46"/>
      <c r="J1908" s="12"/>
      <c r="K1908" s="2"/>
      <c r="L1908" s="59"/>
    </row>
    <row r="1909" spans="1:12" x14ac:dyDescent="0.35">
      <c r="A1909" s="45">
        <v>1905</v>
      </c>
      <c r="B1909" s="2"/>
      <c r="C1909" s="2"/>
      <c r="D1909" s="2"/>
      <c r="E1909" s="3"/>
      <c r="F1909" s="3"/>
      <c r="G1909" s="2"/>
      <c r="H1909" s="2"/>
      <c r="I1909" s="46"/>
      <c r="J1909" s="12"/>
      <c r="K1909" s="2"/>
      <c r="L1909" s="59"/>
    </row>
    <row r="1910" spans="1:12" x14ac:dyDescent="0.35">
      <c r="A1910" s="45">
        <v>1906</v>
      </c>
      <c r="B1910" s="2"/>
      <c r="C1910" s="2"/>
      <c r="D1910" s="2"/>
      <c r="E1910" s="3"/>
      <c r="F1910" s="3"/>
      <c r="G1910" s="2"/>
      <c r="H1910" s="2"/>
      <c r="I1910" s="46"/>
      <c r="J1910" s="12"/>
      <c r="K1910" s="2"/>
      <c r="L1910" s="59"/>
    </row>
    <row r="1911" spans="1:12" x14ac:dyDescent="0.35">
      <c r="A1911" s="45">
        <v>1907</v>
      </c>
      <c r="B1911" s="2"/>
      <c r="C1911" s="2"/>
      <c r="D1911" s="2"/>
      <c r="E1911" s="3"/>
      <c r="F1911" s="3"/>
      <c r="G1911" s="2"/>
      <c r="H1911" s="2"/>
      <c r="I1911" s="46"/>
      <c r="J1911" s="12"/>
      <c r="K1911" s="2"/>
      <c r="L1911" s="59"/>
    </row>
    <row r="1912" spans="1:12" x14ac:dyDescent="0.35">
      <c r="A1912" s="45">
        <v>1908</v>
      </c>
      <c r="B1912" s="2"/>
      <c r="C1912" s="2"/>
      <c r="D1912" s="2"/>
      <c r="E1912" s="3"/>
      <c r="F1912" s="3"/>
      <c r="G1912" s="2"/>
      <c r="H1912" s="2"/>
      <c r="I1912" s="46"/>
      <c r="J1912" s="12"/>
      <c r="K1912" s="2"/>
      <c r="L1912" s="59"/>
    </row>
    <row r="1913" spans="1:12" x14ac:dyDescent="0.35">
      <c r="A1913" s="45">
        <v>1909</v>
      </c>
      <c r="B1913" s="2"/>
      <c r="C1913" s="2"/>
      <c r="D1913" s="2"/>
      <c r="E1913" s="3"/>
      <c r="F1913" s="3"/>
      <c r="G1913" s="2"/>
      <c r="H1913" s="2"/>
      <c r="I1913" s="46"/>
      <c r="J1913" s="12"/>
      <c r="K1913" s="2"/>
      <c r="L1913" s="59"/>
    </row>
    <row r="1914" spans="1:12" x14ac:dyDescent="0.35">
      <c r="A1914" s="45">
        <v>1910</v>
      </c>
      <c r="B1914" s="2"/>
      <c r="C1914" s="2"/>
      <c r="D1914" s="2"/>
      <c r="E1914" s="3"/>
      <c r="F1914" s="3"/>
      <c r="G1914" s="2"/>
      <c r="H1914" s="2"/>
      <c r="I1914" s="46"/>
      <c r="J1914" s="12"/>
      <c r="K1914" s="2"/>
      <c r="L1914" s="59"/>
    </row>
    <row r="1915" spans="1:12" x14ac:dyDescent="0.35">
      <c r="A1915" s="45">
        <v>1911</v>
      </c>
      <c r="B1915" s="2"/>
      <c r="C1915" s="2"/>
      <c r="D1915" s="2"/>
      <c r="E1915" s="3"/>
      <c r="F1915" s="3"/>
      <c r="G1915" s="2"/>
      <c r="H1915" s="2"/>
      <c r="I1915" s="46"/>
      <c r="J1915" s="12"/>
      <c r="K1915" s="2"/>
      <c r="L1915" s="59"/>
    </row>
    <row r="1916" spans="1:12" x14ac:dyDescent="0.35">
      <c r="A1916" s="45">
        <v>1912</v>
      </c>
      <c r="B1916" s="2"/>
      <c r="C1916" s="2"/>
      <c r="D1916" s="2"/>
      <c r="E1916" s="3"/>
      <c r="F1916" s="3"/>
      <c r="G1916" s="2"/>
      <c r="H1916" s="2"/>
      <c r="I1916" s="46"/>
      <c r="J1916" s="12"/>
      <c r="K1916" s="2"/>
      <c r="L1916" s="59"/>
    </row>
    <row r="1917" spans="1:12" x14ac:dyDescent="0.35">
      <c r="A1917" s="45">
        <v>1913</v>
      </c>
      <c r="B1917" s="2"/>
      <c r="C1917" s="2"/>
      <c r="D1917" s="2"/>
      <c r="E1917" s="3"/>
      <c r="F1917" s="3"/>
      <c r="G1917" s="2"/>
      <c r="H1917" s="2"/>
      <c r="I1917" s="46"/>
      <c r="J1917" s="12"/>
      <c r="K1917" s="2"/>
      <c r="L1917" s="59"/>
    </row>
    <row r="1918" spans="1:12" x14ac:dyDescent="0.35">
      <c r="A1918" s="45">
        <v>1914</v>
      </c>
      <c r="B1918" s="2"/>
      <c r="C1918" s="2"/>
      <c r="D1918" s="2"/>
      <c r="E1918" s="3"/>
      <c r="F1918" s="3"/>
      <c r="G1918" s="2"/>
      <c r="H1918" s="2"/>
      <c r="I1918" s="46"/>
      <c r="J1918" s="12"/>
      <c r="K1918" s="2"/>
      <c r="L1918" s="59"/>
    </row>
    <row r="1919" spans="1:12" x14ac:dyDescent="0.35">
      <c r="A1919" s="45">
        <v>1915</v>
      </c>
      <c r="B1919" s="2"/>
      <c r="C1919" s="2"/>
      <c r="D1919" s="2"/>
      <c r="E1919" s="3"/>
      <c r="F1919" s="3"/>
      <c r="G1919" s="2"/>
      <c r="H1919" s="2"/>
      <c r="I1919" s="46"/>
      <c r="J1919" s="12"/>
      <c r="K1919" s="2"/>
      <c r="L1919" s="59"/>
    </row>
    <row r="1920" spans="1:12" x14ac:dyDescent="0.35">
      <c r="A1920" s="45">
        <v>1916</v>
      </c>
      <c r="B1920" s="2"/>
      <c r="C1920" s="2"/>
      <c r="D1920" s="2"/>
      <c r="E1920" s="3"/>
      <c r="F1920" s="3"/>
      <c r="G1920" s="2"/>
      <c r="H1920" s="2"/>
      <c r="I1920" s="46"/>
      <c r="J1920" s="12"/>
      <c r="K1920" s="2"/>
      <c r="L1920" s="59"/>
    </row>
    <row r="1921" spans="1:12" x14ac:dyDescent="0.35">
      <c r="A1921" s="45">
        <v>1917</v>
      </c>
      <c r="B1921" s="2"/>
      <c r="C1921" s="2"/>
      <c r="D1921" s="2"/>
      <c r="E1921" s="3"/>
      <c r="F1921" s="3"/>
      <c r="G1921" s="2"/>
      <c r="H1921" s="2"/>
      <c r="I1921" s="46"/>
      <c r="J1921" s="12"/>
      <c r="K1921" s="2"/>
      <c r="L1921" s="59"/>
    </row>
    <row r="1922" spans="1:12" x14ac:dyDescent="0.35">
      <c r="A1922" s="45">
        <v>1918</v>
      </c>
      <c r="B1922" s="2"/>
      <c r="C1922" s="2"/>
      <c r="D1922" s="2"/>
      <c r="E1922" s="3"/>
      <c r="F1922" s="3"/>
      <c r="G1922" s="2"/>
      <c r="H1922" s="2"/>
      <c r="I1922" s="46"/>
      <c r="J1922" s="12"/>
      <c r="K1922" s="2"/>
      <c r="L1922" s="59"/>
    </row>
    <row r="1923" spans="1:12" x14ac:dyDescent="0.35">
      <c r="A1923" s="45">
        <v>1919</v>
      </c>
      <c r="B1923" s="2"/>
      <c r="C1923" s="2"/>
      <c r="D1923" s="2"/>
      <c r="E1923" s="3"/>
      <c r="F1923" s="3"/>
      <c r="G1923" s="2"/>
      <c r="H1923" s="2"/>
      <c r="I1923" s="46"/>
      <c r="J1923" s="12"/>
      <c r="K1923" s="2"/>
      <c r="L1923" s="59"/>
    </row>
    <row r="1924" spans="1:12" x14ac:dyDescent="0.35">
      <c r="A1924" s="45">
        <v>1920</v>
      </c>
      <c r="B1924" s="2"/>
      <c r="C1924" s="2"/>
      <c r="D1924" s="2"/>
      <c r="E1924" s="3"/>
      <c r="F1924" s="3"/>
      <c r="G1924" s="2"/>
      <c r="H1924" s="2"/>
      <c r="I1924" s="46"/>
      <c r="J1924" s="12"/>
      <c r="K1924" s="2"/>
      <c r="L1924" s="59"/>
    </row>
    <row r="1925" spans="1:12" x14ac:dyDescent="0.35">
      <c r="A1925" s="45">
        <v>1921</v>
      </c>
      <c r="B1925" s="2"/>
      <c r="C1925" s="2"/>
      <c r="D1925" s="2"/>
      <c r="E1925" s="3"/>
      <c r="F1925" s="3"/>
      <c r="G1925" s="2"/>
      <c r="H1925" s="2"/>
      <c r="I1925" s="46"/>
      <c r="J1925" s="12"/>
      <c r="K1925" s="2"/>
      <c r="L1925" s="59"/>
    </row>
    <row r="1926" spans="1:12" x14ac:dyDescent="0.35">
      <c r="A1926" s="45">
        <v>1922</v>
      </c>
      <c r="B1926" s="2"/>
      <c r="C1926" s="2"/>
      <c r="D1926" s="2"/>
      <c r="E1926" s="3"/>
      <c r="F1926" s="3"/>
      <c r="G1926" s="2"/>
      <c r="H1926" s="2"/>
      <c r="I1926" s="46"/>
      <c r="J1926" s="12"/>
      <c r="K1926" s="2"/>
      <c r="L1926" s="59"/>
    </row>
    <row r="1927" spans="1:12" x14ac:dyDescent="0.35">
      <c r="A1927" s="45">
        <v>1923</v>
      </c>
      <c r="B1927" s="2"/>
      <c r="C1927" s="2"/>
      <c r="D1927" s="2"/>
      <c r="E1927" s="3"/>
      <c r="F1927" s="3"/>
      <c r="G1927" s="2"/>
      <c r="H1927" s="2"/>
      <c r="I1927" s="46"/>
      <c r="J1927" s="12"/>
      <c r="K1927" s="2"/>
      <c r="L1927" s="59"/>
    </row>
    <row r="1928" spans="1:12" x14ac:dyDescent="0.35">
      <c r="A1928" s="45">
        <v>1924</v>
      </c>
      <c r="B1928" s="2"/>
      <c r="C1928" s="2"/>
      <c r="D1928" s="2"/>
      <c r="E1928" s="3"/>
      <c r="F1928" s="3"/>
      <c r="G1928" s="2"/>
      <c r="H1928" s="2"/>
      <c r="I1928" s="46"/>
      <c r="J1928" s="12"/>
      <c r="K1928" s="2"/>
      <c r="L1928" s="59"/>
    </row>
    <row r="1929" spans="1:12" x14ac:dyDescent="0.35">
      <c r="A1929" s="45">
        <v>1925</v>
      </c>
      <c r="B1929" s="2"/>
      <c r="C1929" s="2"/>
      <c r="D1929" s="2"/>
      <c r="E1929" s="3"/>
      <c r="F1929" s="3"/>
      <c r="G1929" s="2"/>
      <c r="H1929" s="2"/>
      <c r="I1929" s="46"/>
      <c r="J1929" s="12"/>
      <c r="K1929" s="2"/>
      <c r="L1929" s="59"/>
    </row>
    <row r="1930" spans="1:12" x14ac:dyDescent="0.35">
      <c r="A1930" s="45">
        <v>1926</v>
      </c>
      <c r="B1930" s="2"/>
      <c r="C1930" s="2"/>
      <c r="D1930" s="2"/>
      <c r="E1930" s="3"/>
      <c r="F1930" s="3"/>
      <c r="G1930" s="2"/>
      <c r="H1930" s="2"/>
      <c r="I1930" s="46"/>
      <c r="J1930" s="12"/>
      <c r="K1930" s="2"/>
      <c r="L1930" s="59"/>
    </row>
    <row r="1931" spans="1:12" x14ac:dyDescent="0.35">
      <c r="A1931" s="45">
        <v>1927</v>
      </c>
      <c r="B1931" s="2"/>
      <c r="C1931" s="2"/>
      <c r="D1931" s="2"/>
      <c r="E1931" s="3"/>
      <c r="F1931" s="3"/>
      <c r="G1931" s="2"/>
      <c r="H1931" s="2"/>
      <c r="I1931" s="46"/>
      <c r="J1931" s="12"/>
      <c r="K1931" s="2"/>
      <c r="L1931" s="59"/>
    </row>
    <row r="1932" spans="1:12" x14ac:dyDescent="0.35">
      <c r="A1932" s="45">
        <v>1928</v>
      </c>
      <c r="B1932" s="2"/>
      <c r="C1932" s="2"/>
      <c r="D1932" s="2"/>
      <c r="E1932" s="3"/>
      <c r="F1932" s="3"/>
      <c r="G1932" s="2"/>
      <c r="H1932" s="2"/>
      <c r="I1932" s="46"/>
      <c r="J1932" s="12"/>
      <c r="K1932" s="2"/>
      <c r="L1932" s="59"/>
    </row>
    <row r="1933" spans="1:12" x14ac:dyDescent="0.35">
      <c r="A1933" s="45">
        <v>1929</v>
      </c>
      <c r="B1933" s="2"/>
      <c r="C1933" s="2"/>
      <c r="D1933" s="2"/>
      <c r="E1933" s="3"/>
      <c r="F1933" s="3"/>
      <c r="G1933" s="2"/>
      <c r="H1933" s="2"/>
      <c r="I1933" s="46"/>
      <c r="J1933" s="12"/>
      <c r="K1933" s="2"/>
      <c r="L1933" s="59"/>
    </row>
    <row r="1934" spans="1:12" x14ac:dyDescent="0.35">
      <c r="A1934" s="45">
        <v>1930</v>
      </c>
      <c r="B1934" s="2"/>
      <c r="C1934" s="2"/>
      <c r="D1934" s="2"/>
      <c r="E1934" s="3"/>
      <c r="F1934" s="3"/>
      <c r="G1934" s="2"/>
      <c r="H1934" s="2"/>
      <c r="I1934" s="46"/>
      <c r="J1934" s="12"/>
      <c r="K1934" s="2"/>
      <c r="L1934" s="59"/>
    </row>
    <row r="1935" spans="1:12" x14ac:dyDescent="0.35">
      <c r="A1935" s="45">
        <v>1931</v>
      </c>
      <c r="B1935" s="2"/>
      <c r="C1935" s="2"/>
      <c r="D1935" s="2"/>
      <c r="E1935" s="3"/>
      <c r="F1935" s="3"/>
      <c r="G1935" s="2"/>
      <c r="H1935" s="2"/>
      <c r="I1935" s="46"/>
      <c r="J1935" s="12"/>
      <c r="K1935" s="2"/>
      <c r="L1935" s="59"/>
    </row>
    <row r="1936" spans="1:12" x14ac:dyDescent="0.35">
      <c r="A1936" s="45">
        <v>1932</v>
      </c>
      <c r="B1936" s="2"/>
      <c r="C1936" s="2"/>
      <c r="D1936" s="2"/>
      <c r="E1936" s="3"/>
      <c r="F1936" s="3"/>
      <c r="G1936" s="2"/>
      <c r="H1936" s="2"/>
      <c r="I1936" s="46"/>
      <c r="J1936" s="12"/>
      <c r="K1936" s="2"/>
      <c r="L1936" s="59"/>
    </row>
    <row r="1937" spans="1:12" x14ac:dyDescent="0.35">
      <c r="A1937" s="45">
        <v>1933</v>
      </c>
      <c r="B1937" s="2"/>
      <c r="C1937" s="2"/>
      <c r="D1937" s="2"/>
      <c r="E1937" s="3"/>
      <c r="F1937" s="3"/>
      <c r="G1937" s="2"/>
      <c r="H1937" s="2"/>
      <c r="I1937" s="46"/>
      <c r="J1937" s="12"/>
      <c r="K1937" s="2"/>
      <c r="L1937" s="59"/>
    </row>
    <row r="1938" spans="1:12" x14ac:dyDescent="0.35">
      <c r="A1938" s="45">
        <v>1934</v>
      </c>
      <c r="B1938" s="2"/>
      <c r="C1938" s="2"/>
      <c r="D1938" s="2"/>
      <c r="E1938" s="3"/>
      <c r="F1938" s="3"/>
      <c r="G1938" s="2"/>
      <c r="H1938" s="2"/>
      <c r="I1938" s="46"/>
      <c r="J1938" s="12"/>
      <c r="K1938" s="2"/>
      <c r="L1938" s="59"/>
    </row>
    <row r="1939" spans="1:12" x14ac:dyDescent="0.35">
      <c r="A1939" s="45">
        <v>1935</v>
      </c>
      <c r="B1939" s="2"/>
      <c r="C1939" s="2"/>
      <c r="D1939" s="2"/>
      <c r="E1939" s="3"/>
      <c r="F1939" s="3"/>
      <c r="G1939" s="2"/>
      <c r="H1939" s="2"/>
      <c r="I1939" s="46"/>
      <c r="J1939" s="12"/>
      <c r="K1939" s="2"/>
      <c r="L1939" s="59"/>
    </row>
    <row r="1940" spans="1:12" x14ac:dyDescent="0.35">
      <c r="A1940" s="45">
        <v>1936</v>
      </c>
      <c r="B1940" s="2"/>
      <c r="C1940" s="2"/>
      <c r="D1940" s="2"/>
      <c r="E1940" s="3"/>
      <c r="F1940" s="3"/>
      <c r="G1940" s="2"/>
      <c r="H1940" s="2"/>
      <c r="I1940" s="46"/>
      <c r="J1940" s="12"/>
      <c r="K1940" s="2"/>
      <c r="L1940" s="59"/>
    </row>
    <row r="1941" spans="1:12" x14ac:dyDescent="0.35">
      <c r="A1941" s="45">
        <v>1937</v>
      </c>
      <c r="B1941" s="2"/>
      <c r="C1941" s="2"/>
      <c r="D1941" s="2"/>
      <c r="E1941" s="3"/>
      <c r="F1941" s="3"/>
      <c r="G1941" s="2"/>
      <c r="H1941" s="2"/>
      <c r="I1941" s="46"/>
      <c r="J1941" s="12"/>
      <c r="K1941" s="2"/>
      <c r="L1941" s="59"/>
    </row>
    <row r="1942" spans="1:12" x14ac:dyDescent="0.35">
      <c r="A1942" s="45">
        <v>1938</v>
      </c>
      <c r="B1942" s="2"/>
      <c r="C1942" s="2"/>
      <c r="D1942" s="2"/>
      <c r="E1942" s="3"/>
      <c r="F1942" s="3"/>
      <c r="G1942" s="2"/>
      <c r="H1942" s="2"/>
      <c r="I1942" s="46"/>
      <c r="J1942" s="12"/>
      <c r="K1942" s="2"/>
      <c r="L1942" s="59"/>
    </row>
    <row r="1943" spans="1:12" x14ac:dyDescent="0.35">
      <c r="A1943" s="45">
        <v>1939</v>
      </c>
      <c r="B1943" s="2"/>
      <c r="C1943" s="2"/>
      <c r="D1943" s="2"/>
      <c r="E1943" s="3"/>
      <c r="F1943" s="3"/>
      <c r="G1943" s="2"/>
      <c r="H1943" s="2"/>
      <c r="I1943" s="46"/>
      <c r="J1943" s="12"/>
      <c r="K1943" s="2"/>
      <c r="L1943" s="59"/>
    </row>
    <row r="1944" spans="1:12" x14ac:dyDescent="0.35">
      <c r="A1944" s="45">
        <v>1940</v>
      </c>
      <c r="B1944" s="2"/>
      <c r="C1944" s="2"/>
      <c r="D1944" s="2"/>
      <c r="E1944" s="3"/>
      <c r="F1944" s="3"/>
      <c r="G1944" s="2"/>
      <c r="H1944" s="2"/>
      <c r="I1944" s="46"/>
      <c r="J1944" s="12"/>
      <c r="K1944" s="2"/>
      <c r="L1944" s="59"/>
    </row>
    <row r="1945" spans="1:12" x14ac:dyDescent="0.35">
      <c r="A1945" s="45">
        <v>1941</v>
      </c>
      <c r="B1945" s="2"/>
      <c r="C1945" s="2"/>
      <c r="D1945" s="2"/>
      <c r="E1945" s="3"/>
      <c r="F1945" s="3"/>
      <c r="G1945" s="2"/>
      <c r="H1945" s="2"/>
      <c r="I1945" s="46"/>
      <c r="J1945" s="12"/>
      <c r="K1945" s="2"/>
      <c r="L1945" s="59"/>
    </row>
    <row r="1946" spans="1:12" x14ac:dyDescent="0.35">
      <c r="A1946" s="45">
        <v>1942</v>
      </c>
      <c r="B1946" s="2"/>
      <c r="C1946" s="2"/>
      <c r="D1946" s="2"/>
      <c r="E1946" s="3"/>
      <c r="F1946" s="3"/>
      <c r="G1946" s="2"/>
      <c r="H1946" s="2"/>
      <c r="I1946" s="46"/>
      <c r="J1946" s="12"/>
      <c r="K1946" s="2"/>
      <c r="L1946" s="59"/>
    </row>
    <row r="1947" spans="1:12" x14ac:dyDescent="0.35">
      <c r="A1947" s="45">
        <v>1943</v>
      </c>
      <c r="B1947" s="2"/>
      <c r="C1947" s="2"/>
      <c r="D1947" s="2"/>
      <c r="E1947" s="3"/>
      <c r="F1947" s="3"/>
      <c r="G1947" s="2"/>
      <c r="H1947" s="2"/>
      <c r="I1947" s="46"/>
      <c r="J1947" s="12"/>
      <c r="K1947" s="2"/>
      <c r="L1947" s="59"/>
    </row>
    <row r="1948" spans="1:12" x14ac:dyDescent="0.35">
      <c r="A1948" s="45">
        <v>1944</v>
      </c>
      <c r="B1948" s="2"/>
      <c r="C1948" s="2"/>
      <c r="D1948" s="2"/>
      <c r="E1948" s="3"/>
      <c r="F1948" s="3"/>
      <c r="G1948" s="2"/>
      <c r="H1948" s="2"/>
      <c r="I1948" s="46"/>
      <c r="J1948" s="12"/>
      <c r="K1948" s="2"/>
      <c r="L1948" s="59"/>
    </row>
    <row r="1949" spans="1:12" x14ac:dyDescent="0.35">
      <c r="A1949" s="45">
        <v>1945</v>
      </c>
      <c r="B1949" s="2"/>
      <c r="C1949" s="2"/>
      <c r="D1949" s="2"/>
      <c r="E1949" s="3"/>
      <c r="F1949" s="3"/>
      <c r="G1949" s="2"/>
      <c r="H1949" s="2"/>
      <c r="I1949" s="46"/>
      <c r="J1949" s="12"/>
      <c r="K1949" s="2"/>
      <c r="L1949" s="59"/>
    </row>
    <row r="1950" spans="1:12" x14ac:dyDescent="0.35">
      <c r="A1950" s="45">
        <v>1946</v>
      </c>
      <c r="B1950" s="2"/>
      <c r="C1950" s="2"/>
      <c r="D1950" s="2"/>
      <c r="E1950" s="3"/>
      <c r="F1950" s="3"/>
      <c r="G1950" s="2"/>
      <c r="H1950" s="2"/>
      <c r="I1950" s="46"/>
      <c r="J1950" s="12"/>
      <c r="K1950" s="2"/>
      <c r="L1950" s="59"/>
    </row>
    <row r="1951" spans="1:12" x14ac:dyDescent="0.35">
      <c r="A1951" s="45">
        <v>1947</v>
      </c>
      <c r="B1951" s="2"/>
      <c r="C1951" s="2"/>
      <c r="D1951" s="2"/>
      <c r="E1951" s="3"/>
      <c r="F1951" s="3"/>
      <c r="G1951" s="2"/>
      <c r="H1951" s="2"/>
      <c r="I1951" s="46"/>
      <c r="J1951" s="12"/>
      <c r="K1951" s="2"/>
      <c r="L1951" s="59"/>
    </row>
    <row r="1952" spans="1:12" x14ac:dyDescent="0.35">
      <c r="A1952" s="45">
        <v>1948</v>
      </c>
      <c r="B1952" s="2"/>
      <c r="C1952" s="2"/>
      <c r="D1952" s="2"/>
      <c r="E1952" s="3"/>
      <c r="F1952" s="3"/>
      <c r="G1952" s="2"/>
      <c r="H1952" s="2"/>
      <c r="I1952" s="46"/>
      <c r="J1952" s="12"/>
      <c r="K1952" s="2"/>
      <c r="L1952" s="59"/>
    </row>
    <row r="1953" spans="1:12" x14ac:dyDescent="0.35">
      <c r="A1953" s="45">
        <v>1949</v>
      </c>
      <c r="B1953" s="2"/>
      <c r="C1953" s="2"/>
      <c r="D1953" s="2"/>
      <c r="E1953" s="3"/>
      <c r="F1953" s="3"/>
      <c r="G1953" s="2"/>
      <c r="H1953" s="2"/>
      <c r="I1953" s="46"/>
      <c r="J1953" s="12"/>
      <c r="K1953" s="2"/>
      <c r="L1953" s="59"/>
    </row>
    <row r="1954" spans="1:12" x14ac:dyDescent="0.35">
      <c r="A1954" s="45">
        <v>1950</v>
      </c>
      <c r="B1954" s="2"/>
      <c r="C1954" s="2"/>
      <c r="D1954" s="2"/>
      <c r="E1954" s="3"/>
      <c r="F1954" s="3"/>
      <c r="G1954" s="2"/>
      <c r="H1954" s="2"/>
      <c r="I1954" s="46"/>
      <c r="J1954" s="12"/>
      <c r="K1954" s="2"/>
      <c r="L1954" s="59"/>
    </row>
    <row r="1955" spans="1:12" x14ac:dyDescent="0.35">
      <c r="A1955" s="45">
        <v>1951</v>
      </c>
      <c r="B1955" s="2"/>
      <c r="C1955" s="2"/>
      <c r="D1955" s="2"/>
      <c r="E1955" s="3"/>
      <c r="F1955" s="3"/>
      <c r="G1955" s="2"/>
      <c r="H1955" s="2"/>
      <c r="I1955" s="46"/>
      <c r="J1955" s="12"/>
      <c r="K1955" s="2"/>
      <c r="L1955" s="59"/>
    </row>
    <row r="1956" spans="1:12" x14ac:dyDescent="0.35">
      <c r="A1956" s="45">
        <v>1952</v>
      </c>
      <c r="B1956" s="2"/>
      <c r="C1956" s="2"/>
      <c r="D1956" s="2"/>
      <c r="E1956" s="3"/>
      <c r="F1956" s="3"/>
      <c r="G1956" s="2"/>
      <c r="H1956" s="2"/>
      <c r="I1956" s="46"/>
      <c r="J1956" s="12"/>
      <c r="K1956" s="2"/>
      <c r="L1956" s="59"/>
    </row>
    <row r="1957" spans="1:12" x14ac:dyDescent="0.35">
      <c r="A1957" s="45">
        <v>1953</v>
      </c>
      <c r="B1957" s="2"/>
      <c r="C1957" s="2"/>
      <c r="D1957" s="2"/>
      <c r="E1957" s="3"/>
      <c r="F1957" s="3"/>
      <c r="G1957" s="2"/>
      <c r="H1957" s="2"/>
      <c r="I1957" s="46"/>
      <c r="J1957" s="12"/>
      <c r="K1957" s="2"/>
      <c r="L1957" s="59"/>
    </row>
    <row r="1958" spans="1:12" x14ac:dyDescent="0.35">
      <c r="A1958" s="45">
        <v>1954</v>
      </c>
      <c r="B1958" s="2"/>
      <c r="C1958" s="2"/>
      <c r="D1958" s="2"/>
      <c r="E1958" s="3"/>
      <c r="F1958" s="3"/>
      <c r="G1958" s="2"/>
      <c r="H1958" s="2"/>
      <c r="I1958" s="46"/>
      <c r="J1958" s="12"/>
      <c r="K1958" s="2"/>
      <c r="L1958" s="59"/>
    </row>
    <row r="1959" spans="1:12" x14ac:dyDescent="0.35">
      <c r="A1959" s="45">
        <v>1955</v>
      </c>
      <c r="B1959" s="2"/>
      <c r="C1959" s="2"/>
      <c r="D1959" s="2"/>
      <c r="E1959" s="3"/>
      <c r="F1959" s="3"/>
      <c r="G1959" s="2"/>
      <c r="H1959" s="2"/>
      <c r="I1959" s="46"/>
      <c r="J1959" s="12"/>
      <c r="K1959" s="2"/>
      <c r="L1959" s="59"/>
    </row>
    <row r="1960" spans="1:12" x14ac:dyDescent="0.35">
      <c r="A1960" s="45">
        <v>1956</v>
      </c>
      <c r="B1960" s="2"/>
      <c r="C1960" s="2"/>
      <c r="D1960" s="2"/>
      <c r="E1960" s="3"/>
      <c r="F1960" s="3"/>
      <c r="G1960" s="2"/>
      <c r="H1960" s="2"/>
      <c r="I1960" s="46"/>
      <c r="J1960" s="12"/>
      <c r="K1960" s="2"/>
      <c r="L1960" s="59"/>
    </row>
    <row r="1961" spans="1:12" x14ac:dyDescent="0.35">
      <c r="A1961" s="45">
        <v>1957</v>
      </c>
      <c r="B1961" s="2"/>
      <c r="C1961" s="2"/>
      <c r="D1961" s="2"/>
      <c r="E1961" s="3"/>
      <c r="F1961" s="3"/>
      <c r="G1961" s="2"/>
      <c r="H1961" s="2"/>
      <c r="I1961" s="46"/>
      <c r="J1961" s="12"/>
      <c r="K1961" s="2"/>
      <c r="L1961" s="59"/>
    </row>
    <row r="1962" spans="1:12" x14ac:dyDescent="0.35">
      <c r="A1962" s="45">
        <v>1958</v>
      </c>
      <c r="B1962" s="2"/>
      <c r="C1962" s="2"/>
      <c r="D1962" s="2"/>
      <c r="E1962" s="3"/>
      <c r="F1962" s="3"/>
      <c r="G1962" s="2"/>
      <c r="H1962" s="2"/>
      <c r="I1962" s="46"/>
      <c r="J1962" s="12"/>
      <c r="K1962" s="2"/>
      <c r="L1962" s="59"/>
    </row>
    <row r="1963" spans="1:12" x14ac:dyDescent="0.35">
      <c r="A1963" s="45">
        <v>1959</v>
      </c>
      <c r="B1963" s="2"/>
      <c r="C1963" s="2"/>
      <c r="D1963" s="2"/>
      <c r="E1963" s="3"/>
      <c r="F1963" s="3"/>
      <c r="G1963" s="2"/>
      <c r="H1963" s="2"/>
      <c r="I1963" s="46"/>
      <c r="J1963" s="12"/>
      <c r="K1963" s="2"/>
      <c r="L1963" s="59"/>
    </row>
    <row r="1964" spans="1:12" x14ac:dyDescent="0.35">
      <c r="A1964" s="45">
        <v>1960</v>
      </c>
      <c r="B1964" s="2"/>
      <c r="C1964" s="2"/>
      <c r="D1964" s="2"/>
      <c r="E1964" s="3"/>
      <c r="F1964" s="3"/>
      <c r="G1964" s="2"/>
      <c r="H1964" s="2"/>
      <c r="I1964" s="46"/>
      <c r="J1964" s="12"/>
      <c r="K1964" s="2"/>
      <c r="L1964" s="59"/>
    </row>
    <row r="1965" spans="1:12" x14ac:dyDescent="0.35">
      <c r="A1965" s="45">
        <v>1961</v>
      </c>
      <c r="B1965" s="2"/>
      <c r="C1965" s="2"/>
      <c r="D1965" s="2"/>
      <c r="E1965" s="3"/>
      <c r="F1965" s="3"/>
      <c r="G1965" s="2"/>
      <c r="H1965" s="2"/>
      <c r="I1965" s="46"/>
      <c r="J1965" s="12"/>
      <c r="K1965" s="2"/>
      <c r="L1965" s="59"/>
    </row>
    <row r="1966" spans="1:12" x14ac:dyDescent="0.35">
      <c r="A1966" s="45">
        <v>1962</v>
      </c>
      <c r="B1966" s="2"/>
      <c r="C1966" s="2"/>
      <c r="D1966" s="2"/>
      <c r="E1966" s="3"/>
      <c r="F1966" s="3"/>
      <c r="G1966" s="2"/>
      <c r="H1966" s="2"/>
      <c r="I1966" s="46"/>
      <c r="J1966" s="12"/>
      <c r="K1966" s="2"/>
      <c r="L1966" s="59"/>
    </row>
    <row r="1967" spans="1:12" x14ac:dyDescent="0.35">
      <c r="A1967" s="45">
        <v>1963</v>
      </c>
      <c r="B1967" s="2"/>
      <c r="C1967" s="2"/>
      <c r="D1967" s="2"/>
      <c r="E1967" s="3"/>
      <c r="F1967" s="3"/>
      <c r="G1967" s="2"/>
      <c r="H1967" s="2"/>
      <c r="I1967" s="46"/>
      <c r="J1967" s="12"/>
      <c r="K1967" s="2"/>
      <c r="L1967" s="59"/>
    </row>
    <row r="1968" spans="1:12" x14ac:dyDescent="0.35">
      <c r="A1968" s="45">
        <v>1964</v>
      </c>
      <c r="B1968" s="2"/>
      <c r="C1968" s="2"/>
      <c r="D1968" s="2"/>
      <c r="E1968" s="3"/>
      <c r="F1968" s="3"/>
      <c r="G1968" s="2"/>
      <c r="H1968" s="2"/>
      <c r="I1968" s="46"/>
      <c r="J1968" s="12"/>
      <c r="K1968" s="2"/>
      <c r="L1968" s="59"/>
    </row>
    <row r="1969" spans="1:12" x14ac:dyDescent="0.35">
      <c r="A1969" s="45">
        <v>1965</v>
      </c>
      <c r="B1969" s="2"/>
      <c r="C1969" s="2"/>
      <c r="D1969" s="2"/>
      <c r="E1969" s="3"/>
      <c r="F1969" s="3"/>
      <c r="G1969" s="2"/>
      <c r="H1969" s="2"/>
      <c r="I1969" s="46"/>
      <c r="J1969" s="12"/>
      <c r="K1969" s="2"/>
      <c r="L1969" s="59"/>
    </row>
    <row r="1970" spans="1:12" x14ac:dyDescent="0.35">
      <c r="A1970" s="45">
        <v>1966</v>
      </c>
      <c r="B1970" s="2"/>
      <c r="C1970" s="2"/>
      <c r="D1970" s="2"/>
      <c r="E1970" s="3"/>
      <c r="F1970" s="3"/>
      <c r="G1970" s="2"/>
      <c r="H1970" s="2"/>
      <c r="I1970" s="46"/>
      <c r="J1970" s="12"/>
      <c r="K1970" s="2"/>
      <c r="L1970" s="59"/>
    </row>
    <row r="1971" spans="1:12" x14ac:dyDescent="0.35">
      <c r="A1971" s="45">
        <v>1967</v>
      </c>
      <c r="B1971" s="2"/>
      <c r="C1971" s="2"/>
      <c r="D1971" s="2"/>
      <c r="E1971" s="3"/>
      <c r="F1971" s="3"/>
      <c r="G1971" s="2"/>
      <c r="H1971" s="2"/>
      <c r="I1971" s="46"/>
      <c r="J1971" s="12"/>
      <c r="K1971" s="2"/>
      <c r="L1971" s="59"/>
    </row>
    <row r="1972" spans="1:12" x14ac:dyDescent="0.35">
      <c r="A1972" s="45">
        <v>1968</v>
      </c>
      <c r="B1972" s="2"/>
      <c r="C1972" s="2"/>
      <c r="D1972" s="2"/>
      <c r="E1972" s="3"/>
      <c r="F1972" s="3"/>
      <c r="G1972" s="2"/>
      <c r="H1972" s="2"/>
      <c r="I1972" s="46"/>
      <c r="J1972" s="12"/>
      <c r="K1972" s="2"/>
      <c r="L1972" s="59"/>
    </row>
    <row r="1973" spans="1:12" x14ac:dyDescent="0.35">
      <c r="A1973" s="45">
        <v>1969</v>
      </c>
      <c r="B1973" s="2"/>
      <c r="C1973" s="2"/>
      <c r="D1973" s="2"/>
      <c r="E1973" s="3"/>
      <c r="F1973" s="3"/>
      <c r="G1973" s="2"/>
      <c r="H1973" s="2"/>
      <c r="I1973" s="46"/>
      <c r="J1973" s="12"/>
      <c r="K1973" s="2"/>
      <c r="L1973" s="59"/>
    </row>
    <row r="1974" spans="1:12" x14ac:dyDescent="0.35">
      <c r="A1974" s="45">
        <v>1970</v>
      </c>
      <c r="B1974" s="2"/>
      <c r="C1974" s="2"/>
      <c r="D1974" s="2"/>
      <c r="E1974" s="3"/>
      <c r="F1974" s="3"/>
      <c r="G1974" s="2"/>
      <c r="H1974" s="2"/>
      <c r="I1974" s="46"/>
      <c r="J1974" s="12"/>
      <c r="K1974" s="2"/>
      <c r="L1974" s="59"/>
    </row>
    <row r="1975" spans="1:12" x14ac:dyDescent="0.35">
      <c r="A1975" s="45">
        <v>1971</v>
      </c>
      <c r="B1975" s="2"/>
      <c r="C1975" s="2"/>
      <c r="D1975" s="2"/>
      <c r="E1975" s="3"/>
      <c r="F1975" s="3"/>
      <c r="G1975" s="2"/>
      <c r="H1975" s="2"/>
      <c r="I1975" s="46"/>
      <c r="J1975" s="12"/>
      <c r="K1975" s="2"/>
      <c r="L1975" s="59"/>
    </row>
    <row r="1976" spans="1:12" x14ac:dyDescent="0.35">
      <c r="A1976" s="45">
        <v>1972</v>
      </c>
      <c r="B1976" s="2"/>
      <c r="C1976" s="2"/>
      <c r="D1976" s="2"/>
      <c r="E1976" s="3"/>
      <c r="F1976" s="3"/>
      <c r="G1976" s="2"/>
      <c r="H1976" s="2"/>
      <c r="I1976" s="46"/>
      <c r="J1976" s="12"/>
      <c r="K1976" s="2"/>
      <c r="L1976" s="59"/>
    </row>
    <row r="1977" spans="1:12" x14ac:dyDescent="0.35">
      <c r="A1977" s="45">
        <v>1973</v>
      </c>
      <c r="B1977" s="2"/>
      <c r="C1977" s="2"/>
      <c r="D1977" s="2"/>
      <c r="E1977" s="3"/>
      <c r="F1977" s="3"/>
      <c r="G1977" s="2"/>
      <c r="H1977" s="2"/>
      <c r="I1977" s="46"/>
      <c r="J1977" s="12"/>
      <c r="K1977" s="2"/>
      <c r="L1977" s="59"/>
    </row>
    <row r="1978" spans="1:12" x14ac:dyDescent="0.35">
      <c r="A1978" s="45">
        <v>1974</v>
      </c>
      <c r="B1978" s="2"/>
      <c r="C1978" s="2"/>
      <c r="D1978" s="2"/>
      <c r="E1978" s="3"/>
      <c r="F1978" s="3"/>
      <c r="G1978" s="2"/>
      <c r="H1978" s="2"/>
      <c r="I1978" s="46"/>
      <c r="J1978" s="12"/>
      <c r="K1978" s="2"/>
      <c r="L1978" s="59"/>
    </row>
    <row r="1979" spans="1:12" x14ac:dyDescent="0.35">
      <c r="A1979" s="45">
        <v>1975</v>
      </c>
      <c r="B1979" s="2"/>
      <c r="C1979" s="2"/>
      <c r="D1979" s="2"/>
      <c r="E1979" s="3"/>
      <c r="F1979" s="3"/>
      <c r="G1979" s="2"/>
      <c r="H1979" s="2"/>
      <c r="I1979" s="46"/>
      <c r="J1979" s="12"/>
      <c r="K1979" s="2"/>
      <c r="L1979" s="59"/>
    </row>
    <row r="1980" spans="1:12" x14ac:dyDescent="0.35">
      <c r="A1980" s="45">
        <v>1976</v>
      </c>
      <c r="B1980" s="2"/>
      <c r="C1980" s="2"/>
      <c r="D1980" s="2"/>
      <c r="E1980" s="3"/>
      <c r="F1980" s="3"/>
      <c r="G1980" s="2"/>
      <c r="H1980" s="2"/>
      <c r="I1980" s="46"/>
      <c r="J1980" s="12"/>
      <c r="K1980" s="2"/>
      <c r="L1980" s="59"/>
    </row>
    <row r="1981" spans="1:12" x14ac:dyDescent="0.35">
      <c r="A1981" s="45">
        <v>1977</v>
      </c>
      <c r="B1981" s="2"/>
      <c r="C1981" s="2"/>
      <c r="D1981" s="2"/>
      <c r="E1981" s="3"/>
      <c r="F1981" s="3"/>
      <c r="G1981" s="2"/>
      <c r="H1981" s="2"/>
      <c r="I1981" s="46"/>
      <c r="J1981" s="12"/>
      <c r="K1981" s="2"/>
      <c r="L1981" s="59"/>
    </row>
    <row r="1982" spans="1:12" x14ac:dyDescent="0.35">
      <c r="A1982" s="45">
        <v>1978</v>
      </c>
      <c r="B1982" s="2"/>
      <c r="C1982" s="2"/>
      <c r="D1982" s="2"/>
      <c r="E1982" s="3"/>
      <c r="F1982" s="3"/>
      <c r="G1982" s="2"/>
      <c r="H1982" s="2"/>
      <c r="I1982" s="46"/>
      <c r="J1982" s="12"/>
      <c r="K1982" s="2"/>
      <c r="L1982" s="59"/>
    </row>
    <row r="1983" spans="1:12" x14ac:dyDescent="0.35">
      <c r="A1983" s="45">
        <v>1979</v>
      </c>
      <c r="B1983" s="2"/>
      <c r="C1983" s="2"/>
      <c r="D1983" s="2"/>
      <c r="E1983" s="3"/>
      <c r="F1983" s="3"/>
      <c r="G1983" s="2"/>
      <c r="H1983" s="2"/>
      <c r="I1983" s="46"/>
      <c r="J1983" s="12"/>
      <c r="K1983" s="2"/>
      <c r="L1983" s="59"/>
    </row>
    <row r="1984" spans="1:12" x14ac:dyDescent="0.35">
      <c r="A1984" s="45">
        <v>1980</v>
      </c>
      <c r="B1984" s="2"/>
      <c r="C1984" s="2"/>
      <c r="D1984" s="2"/>
      <c r="E1984" s="3"/>
      <c r="F1984" s="3"/>
      <c r="G1984" s="2"/>
      <c r="H1984" s="2"/>
      <c r="I1984" s="46"/>
      <c r="J1984" s="12"/>
      <c r="K1984" s="2"/>
      <c r="L1984" s="59"/>
    </row>
    <row r="1985" spans="1:12" x14ac:dyDescent="0.35">
      <c r="A1985" s="45">
        <v>1981</v>
      </c>
      <c r="B1985" s="2"/>
      <c r="C1985" s="2"/>
      <c r="D1985" s="2"/>
      <c r="E1985" s="3"/>
      <c r="F1985" s="3"/>
      <c r="G1985" s="2"/>
      <c r="H1985" s="2"/>
      <c r="I1985" s="46"/>
      <c r="J1985" s="12"/>
      <c r="K1985" s="2"/>
      <c r="L1985" s="59"/>
    </row>
    <row r="1986" spans="1:12" x14ac:dyDescent="0.35">
      <c r="A1986" s="45">
        <v>1982</v>
      </c>
      <c r="B1986" s="2"/>
      <c r="C1986" s="2"/>
      <c r="D1986" s="2"/>
      <c r="E1986" s="3"/>
      <c r="F1986" s="3"/>
      <c r="G1986" s="2"/>
      <c r="H1986" s="2"/>
      <c r="I1986" s="46"/>
      <c r="J1986" s="12"/>
      <c r="K1986" s="2"/>
      <c r="L1986" s="59"/>
    </row>
    <row r="1987" spans="1:12" x14ac:dyDescent="0.35">
      <c r="A1987" s="45">
        <v>1983</v>
      </c>
      <c r="B1987" s="2"/>
      <c r="C1987" s="2"/>
      <c r="D1987" s="2"/>
      <c r="E1987" s="3"/>
      <c r="F1987" s="3"/>
      <c r="G1987" s="2"/>
      <c r="H1987" s="2"/>
      <c r="I1987" s="46"/>
      <c r="J1987" s="12"/>
      <c r="K1987" s="2"/>
      <c r="L1987" s="59"/>
    </row>
    <row r="1988" spans="1:12" x14ac:dyDescent="0.35">
      <c r="A1988" s="45">
        <v>1984</v>
      </c>
      <c r="B1988" s="2"/>
      <c r="C1988" s="2"/>
      <c r="D1988" s="2"/>
      <c r="E1988" s="3"/>
      <c r="F1988" s="3"/>
      <c r="G1988" s="2"/>
      <c r="H1988" s="2"/>
      <c r="I1988" s="46"/>
      <c r="J1988" s="12"/>
      <c r="K1988" s="2"/>
      <c r="L1988" s="59"/>
    </row>
    <row r="1989" spans="1:12" x14ac:dyDescent="0.35">
      <c r="A1989" s="45">
        <v>1985</v>
      </c>
      <c r="B1989" s="2"/>
      <c r="C1989" s="2"/>
      <c r="D1989" s="2"/>
      <c r="E1989" s="3"/>
      <c r="F1989" s="3"/>
      <c r="G1989" s="2"/>
      <c r="H1989" s="2"/>
      <c r="I1989" s="46"/>
      <c r="J1989" s="12"/>
      <c r="K1989" s="2"/>
      <c r="L1989" s="59"/>
    </row>
    <row r="1990" spans="1:12" x14ac:dyDescent="0.35">
      <c r="A1990" s="45">
        <v>1986</v>
      </c>
      <c r="B1990" s="2"/>
      <c r="C1990" s="2"/>
      <c r="D1990" s="2"/>
      <c r="E1990" s="3"/>
      <c r="F1990" s="3"/>
      <c r="G1990" s="2"/>
      <c r="H1990" s="2"/>
      <c r="I1990" s="46"/>
      <c r="J1990" s="12"/>
      <c r="K1990" s="2"/>
      <c r="L1990" s="59"/>
    </row>
    <row r="1991" spans="1:12" x14ac:dyDescent="0.35">
      <c r="A1991" s="45">
        <v>1987</v>
      </c>
      <c r="B1991" s="2"/>
      <c r="C1991" s="2"/>
      <c r="D1991" s="2"/>
      <c r="E1991" s="3"/>
      <c r="F1991" s="3"/>
      <c r="G1991" s="2"/>
      <c r="H1991" s="2"/>
      <c r="I1991" s="46"/>
      <c r="J1991" s="12"/>
      <c r="K1991" s="2"/>
      <c r="L1991" s="59"/>
    </row>
    <row r="1992" spans="1:12" x14ac:dyDescent="0.35">
      <c r="A1992" s="45">
        <v>1988</v>
      </c>
      <c r="B1992" s="2"/>
      <c r="C1992" s="2"/>
      <c r="D1992" s="2"/>
      <c r="E1992" s="3"/>
      <c r="F1992" s="3"/>
      <c r="G1992" s="2"/>
      <c r="H1992" s="2"/>
      <c r="I1992" s="46"/>
      <c r="J1992" s="12"/>
      <c r="K1992" s="2"/>
      <c r="L1992" s="59"/>
    </row>
    <row r="1993" spans="1:12" x14ac:dyDescent="0.35">
      <c r="A1993" s="45">
        <v>1989</v>
      </c>
      <c r="B1993" s="2"/>
      <c r="C1993" s="2"/>
      <c r="D1993" s="2"/>
      <c r="E1993" s="3"/>
      <c r="F1993" s="3"/>
      <c r="G1993" s="2"/>
      <c r="H1993" s="2"/>
      <c r="I1993" s="46"/>
      <c r="J1993" s="12"/>
      <c r="K1993" s="2"/>
      <c r="L1993" s="59"/>
    </row>
    <row r="1994" spans="1:12" x14ac:dyDescent="0.35">
      <c r="A1994" s="45">
        <v>1990</v>
      </c>
      <c r="B1994" s="2"/>
      <c r="C1994" s="2"/>
      <c r="D1994" s="2"/>
      <c r="E1994" s="3"/>
      <c r="F1994" s="3"/>
      <c r="G1994" s="2"/>
      <c r="H1994" s="2"/>
      <c r="I1994" s="46"/>
      <c r="J1994" s="12"/>
      <c r="K1994" s="2"/>
      <c r="L1994" s="59"/>
    </row>
    <row r="1995" spans="1:12" x14ac:dyDescent="0.35">
      <c r="A1995" s="45">
        <v>1991</v>
      </c>
      <c r="B1995" s="2"/>
      <c r="C1995" s="2"/>
      <c r="D1995" s="2"/>
      <c r="E1995" s="3"/>
      <c r="F1995" s="3"/>
      <c r="G1995" s="2"/>
      <c r="H1995" s="2"/>
      <c r="I1995" s="46"/>
      <c r="J1995" s="12"/>
      <c r="K1995" s="2"/>
      <c r="L1995" s="59"/>
    </row>
    <row r="1996" spans="1:12" x14ac:dyDescent="0.35">
      <c r="A1996" s="45">
        <v>1992</v>
      </c>
      <c r="B1996" s="2"/>
      <c r="C1996" s="2"/>
      <c r="D1996" s="2"/>
      <c r="E1996" s="3"/>
      <c r="F1996" s="3"/>
      <c r="G1996" s="2"/>
      <c r="H1996" s="2"/>
      <c r="I1996" s="46"/>
      <c r="J1996" s="12"/>
      <c r="K1996" s="2"/>
      <c r="L1996" s="59"/>
    </row>
    <row r="1997" spans="1:12" x14ac:dyDescent="0.35">
      <c r="A1997" s="45">
        <v>1993</v>
      </c>
      <c r="B1997" s="2"/>
      <c r="C1997" s="2"/>
      <c r="D1997" s="2"/>
      <c r="E1997" s="3"/>
      <c r="F1997" s="3"/>
      <c r="G1997" s="2"/>
      <c r="H1997" s="2"/>
      <c r="I1997" s="46"/>
      <c r="J1997" s="12"/>
      <c r="K1997" s="2"/>
      <c r="L1997" s="59"/>
    </row>
    <row r="1998" spans="1:12" x14ac:dyDescent="0.35">
      <c r="A1998" s="45">
        <v>1994</v>
      </c>
      <c r="B1998" s="2"/>
      <c r="C1998" s="2"/>
      <c r="D1998" s="2"/>
      <c r="E1998" s="3"/>
      <c r="F1998" s="3"/>
      <c r="G1998" s="2"/>
      <c r="H1998" s="2"/>
      <c r="I1998" s="46"/>
      <c r="J1998" s="12"/>
      <c r="K1998" s="2"/>
      <c r="L1998" s="59"/>
    </row>
    <row r="1999" spans="1:12" x14ac:dyDescent="0.35">
      <c r="A1999" s="45">
        <v>1995</v>
      </c>
      <c r="B1999" s="2"/>
      <c r="C1999" s="2"/>
      <c r="D1999" s="2"/>
      <c r="E1999" s="3"/>
      <c r="F1999" s="3"/>
      <c r="G1999" s="2"/>
      <c r="H1999" s="2"/>
      <c r="I1999" s="46"/>
      <c r="J1999" s="12"/>
      <c r="K1999" s="2"/>
      <c r="L1999" s="59"/>
    </row>
    <row r="2000" spans="1:12" x14ac:dyDescent="0.35">
      <c r="A2000" s="45">
        <v>1996</v>
      </c>
      <c r="B2000" s="2"/>
      <c r="C2000" s="2"/>
      <c r="D2000" s="2"/>
      <c r="E2000" s="3"/>
      <c r="F2000" s="3"/>
      <c r="G2000" s="2"/>
      <c r="H2000" s="2"/>
      <c r="I2000" s="46"/>
      <c r="J2000" s="12"/>
      <c r="K2000" s="2"/>
      <c r="L2000" s="59"/>
    </row>
    <row r="2001" spans="1:12" x14ac:dyDescent="0.35">
      <c r="A2001" s="45">
        <v>1997</v>
      </c>
      <c r="B2001" s="2"/>
      <c r="C2001" s="2"/>
      <c r="D2001" s="2"/>
      <c r="E2001" s="3"/>
      <c r="F2001" s="3"/>
      <c r="G2001" s="2"/>
      <c r="H2001" s="2"/>
      <c r="I2001" s="46"/>
      <c r="J2001" s="12"/>
      <c r="K2001" s="2"/>
      <c r="L2001" s="59"/>
    </row>
    <row r="2002" spans="1:12" x14ac:dyDescent="0.35">
      <c r="A2002" s="45">
        <v>1998</v>
      </c>
      <c r="B2002" s="2"/>
      <c r="C2002" s="2"/>
      <c r="D2002" s="2"/>
      <c r="E2002" s="3"/>
      <c r="F2002" s="3"/>
      <c r="G2002" s="2"/>
      <c r="H2002" s="2"/>
      <c r="I2002" s="46"/>
      <c r="J2002" s="12"/>
      <c r="K2002" s="2"/>
      <c r="L2002" s="59"/>
    </row>
    <row r="2003" spans="1:12" x14ac:dyDescent="0.35">
      <c r="A2003" s="45">
        <v>1999</v>
      </c>
      <c r="B2003" s="2"/>
      <c r="C2003" s="2"/>
      <c r="D2003" s="2"/>
      <c r="E2003" s="3"/>
      <c r="F2003" s="3"/>
      <c r="G2003" s="2"/>
      <c r="H2003" s="2"/>
      <c r="I2003" s="46"/>
      <c r="J2003" s="12"/>
      <c r="K2003" s="2"/>
      <c r="L2003" s="59"/>
    </row>
    <row r="2004" spans="1:12" ht="15" customHeight="1" thickBot="1" x14ac:dyDescent="0.4">
      <c r="A2004" s="48">
        <v>2000</v>
      </c>
      <c r="B2004" s="20"/>
      <c r="C2004" s="20"/>
      <c r="D2004" s="20"/>
      <c r="E2004" s="21"/>
      <c r="F2004" s="21"/>
      <c r="G2004" s="20"/>
      <c r="H2004" s="20"/>
      <c r="I2004" s="49"/>
      <c r="J2004" s="27"/>
      <c r="K2004" s="20"/>
      <c r="L2004" s="60"/>
    </row>
    <row r="2005" spans="1:12" x14ac:dyDescent="0.35">
      <c r="E2005" s="71"/>
      <c r="F2005" s="71"/>
    </row>
    <row r="2006" spans="1:12" x14ac:dyDescent="0.35">
      <c r="E2006" s="71"/>
      <c r="F2006" s="71"/>
    </row>
  </sheetData>
  <mergeCells count="10">
    <mergeCell ref="A2:L2"/>
    <mergeCell ref="L3:L4"/>
    <mergeCell ref="B3:B4"/>
    <mergeCell ref="A1:L1"/>
    <mergeCell ref="A3:A4"/>
    <mergeCell ref="C3:C4"/>
    <mergeCell ref="G3:G4"/>
    <mergeCell ref="D3:D4"/>
    <mergeCell ref="I3:K3"/>
    <mergeCell ref="E3:F3"/>
  </mergeCells>
  <dataValidations count="1">
    <dataValidation type="list" allowBlank="1" showInputMessage="1" showErrorMessage="1" sqref="I5:I2004" xr:uid="{00000000-0002-0000-0000-000000000000}">
      <formula1>"Company,Vendor"</formula1>
    </dataValidation>
  </dataValidations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2004"/>
  <sheetViews>
    <sheetView tabSelected="1" zoomScaleNormal="100" workbookViewId="0">
      <selection activeCell="N10" sqref="N10"/>
    </sheetView>
  </sheetViews>
  <sheetFormatPr defaultRowHeight="14.5" x14ac:dyDescent="0.35"/>
  <cols>
    <col min="1" max="1" width="5.6328125" customWidth="1"/>
    <col min="2" max="2" width="28.6328125" style="15" customWidth="1"/>
    <col min="3" max="3" width="10.6328125" style="15" customWidth="1"/>
    <col min="4" max="4" width="15.6328125" style="15" customWidth="1"/>
    <col min="5" max="6" width="12.6328125" style="39" customWidth="1"/>
    <col min="7" max="7" width="12.54296875" style="15" customWidth="1"/>
    <col min="8" max="8" width="14.6328125" style="15" customWidth="1"/>
    <col min="9" max="9" width="14.54296875" style="40" customWidth="1"/>
    <col min="10" max="10" width="11.6328125" style="41" customWidth="1"/>
    <col min="11" max="11" width="11.6328125" style="15" customWidth="1"/>
    <col min="12" max="12" width="11.6328125" customWidth="1"/>
  </cols>
  <sheetData>
    <row r="1" spans="1:13" ht="75" customHeight="1" x14ac:dyDescent="0.35">
      <c r="A1" s="93" t="s">
        <v>46</v>
      </c>
      <c r="B1" s="73"/>
      <c r="C1" s="73"/>
      <c r="D1" s="73"/>
      <c r="E1" s="73"/>
      <c r="F1" s="73"/>
      <c r="G1" s="73"/>
      <c r="H1" s="73"/>
      <c r="I1" s="73"/>
      <c r="J1" s="73"/>
      <c r="K1" s="73"/>
      <c r="L1" s="87"/>
    </row>
    <row r="2" spans="1:13" ht="8" customHeight="1" thickBot="1" x14ac:dyDescent="0.4">
      <c r="A2" s="88"/>
      <c r="B2" s="84"/>
      <c r="C2" s="84"/>
      <c r="D2" s="84"/>
      <c r="E2" s="84"/>
      <c r="F2" s="84"/>
      <c r="G2" s="84"/>
      <c r="H2" s="84"/>
      <c r="I2" s="84"/>
      <c r="J2" s="84"/>
      <c r="K2" s="84"/>
      <c r="L2" s="89"/>
    </row>
    <row r="3" spans="1:13" s="16" customFormat="1" ht="25" customHeight="1" x14ac:dyDescent="0.45">
      <c r="A3" s="94" t="s">
        <v>14</v>
      </c>
      <c r="B3" s="92" t="s">
        <v>47</v>
      </c>
      <c r="C3" s="77" t="s">
        <v>2</v>
      </c>
      <c r="D3" s="75" t="s">
        <v>3</v>
      </c>
      <c r="E3" s="92" t="s">
        <v>17</v>
      </c>
      <c r="F3" s="87"/>
      <c r="G3" s="77" t="s">
        <v>18</v>
      </c>
      <c r="H3" s="54" t="s">
        <v>19</v>
      </c>
      <c r="I3" s="92" t="s">
        <v>20</v>
      </c>
      <c r="J3" s="73"/>
      <c r="K3" s="87"/>
      <c r="L3" s="90" t="s">
        <v>21</v>
      </c>
    </row>
    <row r="4" spans="1:13" s="1" customFormat="1" ht="50" customHeight="1" thickBot="1" x14ac:dyDescent="0.4">
      <c r="A4" s="80"/>
      <c r="B4" s="78"/>
      <c r="C4" s="78"/>
      <c r="D4" s="76"/>
      <c r="E4" s="55" t="s">
        <v>22</v>
      </c>
      <c r="F4" s="55" t="s">
        <v>23</v>
      </c>
      <c r="G4" s="78"/>
      <c r="H4" s="56" t="s">
        <v>24</v>
      </c>
      <c r="I4" s="56" t="s">
        <v>25</v>
      </c>
      <c r="J4" s="56" t="s">
        <v>26</v>
      </c>
      <c r="K4" s="56" t="s">
        <v>27</v>
      </c>
      <c r="L4" s="91"/>
      <c r="M4" t="s">
        <v>28</v>
      </c>
    </row>
    <row r="5" spans="1:13" x14ac:dyDescent="0.35">
      <c r="A5" s="57">
        <v>1</v>
      </c>
      <c r="B5" s="50"/>
      <c r="C5" s="50"/>
      <c r="D5" s="50"/>
      <c r="E5" s="51"/>
      <c r="F5" s="51"/>
      <c r="G5" s="50"/>
      <c r="H5" s="50"/>
      <c r="I5" s="52"/>
      <c r="J5" s="53"/>
      <c r="K5" s="50"/>
      <c r="L5" s="58"/>
    </row>
    <row r="6" spans="1:13" x14ac:dyDescent="0.35">
      <c r="A6" s="45">
        <v>2</v>
      </c>
      <c r="B6" s="2"/>
      <c r="C6" s="2"/>
      <c r="D6" s="2"/>
      <c r="E6" s="44"/>
      <c r="F6" s="44"/>
      <c r="G6" s="2"/>
      <c r="H6" s="2"/>
      <c r="I6" s="46"/>
      <c r="J6" s="47"/>
      <c r="K6" s="2"/>
      <c r="L6" s="59"/>
    </row>
    <row r="7" spans="1:13" x14ac:dyDescent="0.35">
      <c r="A7" s="45">
        <v>3</v>
      </c>
      <c r="B7" s="2"/>
      <c r="C7" s="2"/>
      <c r="D7" s="2"/>
      <c r="E7" s="44"/>
      <c r="F7" s="44"/>
      <c r="G7" s="2"/>
      <c r="H7" s="2"/>
      <c r="I7" s="46"/>
      <c r="J7" s="47"/>
      <c r="K7" s="2"/>
      <c r="L7" s="59"/>
    </row>
    <row r="8" spans="1:13" x14ac:dyDescent="0.35">
      <c r="A8" s="45">
        <v>4</v>
      </c>
      <c r="B8" s="2"/>
      <c r="C8" s="2"/>
      <c r="D8" s="2"/>
      <c r="E8" s="44"/>
      <c r="F8" s="44"/>
      <c r="G8" s="2"/>
      <c r="H8" s="2"/>
      <c r="I8" s="46"/>
      <c r="J8" s="47"/>
      <c r="K8" s="2"/>
      <c r="L8" s="59"/>
    </row>
    <row r="9" spans="1:13" x14ac:dyDescent="0.35">
      <c r="A9" s="45">
        <v>5</v>
      </c>
      <c r="B9" s="2"/>
      <c r="C9" s="2"/>
      <c r="D9" s="2"/>
      <c r="E9" s="44"/>
      <c r="F9" s="44"/>
      <c r="G9" s="2"/>
      <c r="H9" s="2"/>
      <c r="I9" s="46"/>
      <c r="J9" s="47"/>
      <c r="K9" s="2"/>
      <c r="L9" s="59"/>
    </row>
    <row r="10" spans="1:13" x14ac:dyDescent="0.35">
      <c r="A10" s="45">
        <v>6</v>
      </c>
      <c r="B10" s="2"/>
      <c r="C10" s="2"/>
      <c r="D10" s="2"/>
      <c r="E10" s="44"/>
      <c r="F10" s="44"/>
      <c r="G10" s="2"/>
      <c r="H10" s="2"/>
      <c r="I10" s="46"/>
      <c r="J10" s="47"/>
      <c r="K10" s="2"/>
      <c r="L10" s="59"/>
    </row>
    <row r="11" spans="1:13" x14ac:dyDescent="0.35">
      <c r="A11" s="45">
        <v>7</v>
      </c>
      <c r="B11" s="2"/>
      <c r="C11" s="2"/>
      <c r="D11" s="2"/>
      <c r="E11" s="3"/>
      <c r="F11" s="3"/>
      <c r="G11" s="2"/>
      <c r="H11" s="2"/>
      <c r="I11" s="46"/>
      <c r="J11" s="12"/>
      <c r="K11" s="2"/>
      <c r="L11" s="59"/>
    </row>
    <row r="12" spans="1:13" x14ac:dyDescent="0.35">
      <c r="A12" s="45">
        <v>8</v>
      </c>
      <c r="B12" s="2"/>
      <c r="C12" s="2"/>
      <c r="D12" s="2"/>
      <c r="E12" s="3"/>
      <c r="F12" s="3"/>
      <c r="G12" s="2"/>
      <c r="H12" s="2"/>
      <c r="I12" s="46"/>
      <c r="J12" s="12"/>
      <c r="K12" s="2"/>
      <c r="L12" s="59"/>
    </row>
    <row r="13" spans="1:13" x14ac:dyDescent="0.35">
      <c r="A13" s="45">
        <v>9</v>
      </c>
      <c r="B13" s="2"/>
      <c r="C13" s="2"/>
      <c r="D13" s="2"/>
      <c r="E13" s="3"/>
      <c r="F13" s="3"/>
      <c r="G13" s="2"/>
      <c r="H13" s="2"/>
      <c r="I13" s="46"/>
      <c r="J13" s="12"/>
      <c r="K13" s="2"/>
      <c r="L13" s="59"/>
    </row>
    <row r="14" spans="1:13" x14ac:dyDescent="0.35">
      <c r="A14" s="45">
        <v>10</v>
      </c>
      <c r="B14" s="2"/>
      <c r="C14" s="2"/>
      <c r="D14" s="2"/>
      <c r="E14" s="3"/>
      <c r="F14" s="3"/>
      <c r="G14" s="2"/>
      <c r="H14" s="2"/>
      <c r="I14" s="46"/>
      <c r="J14" s="12"/>
      <c r="K14" s="2"/>
      <c r="L14" s="59"/>
    </row>
    <row r="15" spans="1:13" x14ac:dyDescent="0.35">
      <c r="A15" s="45">
        <v>11</v>
      </c>
      <c r="B15" s="2"/>
      <c r="C15" s="2"/>
      <c r="D15" s="2"/>
      <c r="E15" s="3"/>
      <c r="F15" s="3"/>
      <c r="G15" s="2"/>
      <c r="H15" s="2"/>
      <c r="I15" s="46"/>
      <c r="J15" s="12"/>
      <c r="K15" s="2"/>
      <c r="L15" s="59"/>
    </row>
    <row r="16" spans="1:13" x14ac:dyDescent="0.35">
      <c r="A16" s="45">
        <v>12</v>
      </c>
      <c r="B16" s="2"/>
      <c r="C16" s="2"/>
      <c r="D16" s="2"/>
      <c r="E16" s="3"/>
      <c r="F16" s="3"/>
      <c r="G16" s="2"/>
      <c r="H16" s="2"/>
      <c r="I16" s="46"/>
      <c r="J16" s="12"/>
      <c r="K16" s="2"/>
      <c r="L16" s="59"/>
    </row>
    <row r="17" spans="1:12" x14ac:dyDescent="0.35">
      <c r="A17" s="45">
        <v>13</v>
      </c>
      <c r="B17" s="2"/>
      <c r="C17" s="2"/>
      <c r="D17" s="2"/>
      <c r="E17" s="3"/>
      <c r="F17" s="3"/>
      <c r="G17" s="2"/>
      <c r="H17" s="2"/>
      <c r="I17" s="46"/>
      <c r="J17" s="12"/>
      <c r="K17" s="2"/>
      <c r="L17" s="59"/>
    </row>
    <row r="18" spans="1:12" x14ac:dyDescent="0.35">
      <c r="A18" s="45">
        <v>14</v>
      </c>
      <c r="B18" s="2"/>
      <c r="C18" s="2"/>
      <c r="D18" s="2"/>
      <c r="E18" s="3"/>
      <c r="F18" s="3"/>
      <c r="G18" s="2"/>
      <c r="H18" s="2"/>
      <c r="I18" s="46"/>
      <c r="J18" s="12"/>
      <c r="K18" s="2"/>
      <c r="L18" s="59"/>
    </row>
    <row r="19" spans="1:12" x14ac:dyDescent="0.35">
      <c r="A19" s="45">
        <v>15</v>
      </c>
      <c r="B19" s="2"/>
      <c r="C19" s="2"/>
      <c r="D19" s="2"/>
      <c r="E19" s="3"/>
      <c r="F19" s="3"/>
      <c r="G19" s="2"/>
      <c r="H19" s="2"/>
      <c r="I19" s="46"/>
      <c r="J19" s="12"/>
      <c r="K19" s="2"/>
      <c r="L19" s="59"/>
    </row>
    <row r="20" spans="1:12" x14ac:dyDescent="0.35">
      <c r="A20" s="45">
        <v>16</v>
      </c>
      <c r="B20" s="2"/>
      <c r="C20" s="2"/>
      <c r="D20" s="2"/>
      <c r="E20" s="3"/>
      <c r="F20" s="3"/>
      <c r="G20" s="2"/>
      <c r="H20" s="2"/>
      <c r="I20" s="46"/>
      <c r="J20" s="12"/>
      <c r="K20" s="2"/>
      <c r="L20" s="59"/>
    </row>
    <row r="21" spans="1:12" x14ac:dyDescent="0.35">
      <c r="A21" s="45">
        <v>17</v>
      </c>
      <c r="B21" s="2"/>
      <c r="C21" s="2"/>
      <c r="D21" s="2"/>
      <c r="E21" s="3"/>
      <c r="F21" s="3"/>
      <c r="G21" s="2"/>
      <c r="H21" s="2"/>
      <c r="I21" s="46"/>
      <c r="J21" s="12"/>
      <c r="K21" s="2"/>
      <c r="L21" s="59"/>
    </row>
    <row r="22" spans="1:12" x14ac:dyDescent="0.35">
      <c r="A22" s="45">
        <v>18</v>
      </c>
      <c r="B22" s="2"/>
      <c r="C22" s="2"/>
      <c r="D22" s="2"/>
      <c r="E22" s="3"/>
      <c r="F22" s="3"/>
      <c r="G22" s="2"/>
      <c r="H22" s="2"/>
      <c r="I22" s="46"/>
      <c r="J22" s="12"/>
      <c r="K22" s="2"/>
      <c r="L22" s="59"/>
    </row>
    <row r="23" spans="1:12" x14ac:dyDescent="0.35">
      <c r="A23" s="45">
        <v>19</v>
      </c>
      <c r="B23" s="2"/>
      <c r="C23" s="2"/>
      <c r="D23" s="2"/>
      <c r="E23" s="3"/>
      <c r="F23" s="3"/>
      <c r="G23" s="2"/>
      <c r="H23" s="2"/>
      <c r="I23" s="46"/>
      <c r="J23" s="12"/>
      <c r="K23" s="2"/>
      <c r="L23" s="59"/>
    </row>
    <row r="24" spans="1:12" x14ac:dyDescent="0.35">
      <c r="A24" s="45">
        <v>20</v>
      </c>
      <c r="B24" s="2"/>
      <c r="C24" s="2"/>
      <c r="D24" s="2"/>
      <c r="E24" s="3"/>
      <c r="F24" s="3"/>
      <c r="G24" s="2"/>
      <c r="H24" s="2"/>
      <c r="I24" s="46"/>
      <c r="J24" s="12"/>
      <c r="K24" s="2"/>
      <c r="L24" s="59"/>
    </row>
    <row r="25" spans="1:12" x14ac:dyDescent="0.35">
      <c r="A25" s="45">
        <v>21</v>
      </c>
      <c r="B25" s="2"/>
      <c r="C25" s="2"/>
      <c r="D25" s="2"/>
      <c r="E25" s="3"/>
      <c r="F25" s="3"/>
      <c r="G25" s="2"/>
      <c r="H25" s="2"/>
      <c r="I25" s="46"/>
      <c r="J25" s="12"/>
      <c r="K25" s="2"/>
      <c r="L25" s="59"/>
    </row>
    <row r="26" spans="1:12" x14ac:dyDescent="0.35">
      <c r="A26" s="45">
        <v>22</v>
      </c>
      <c r="B26" s="2"/>
      <c r="C26" s="2"/>
      <c r="D26" s="2"/>
      <c r="E26" s="3"/>
      <c r="F26" s="3"/>
      <c r="G26" s="2"/>
      <c r="H26" s="2"/>
      <c r="I26" s="46"/>
      <c r="J26" s="12"/>
      <c r="K26" s="2"/>
      <c r="L26" s="59"/>
    </row>
    <row r="27" spans="1:12" x14ac:dyDescent="0.35">
      <c r="A27" s="45">
        <v>23</v>
      </c>
      <c r="B27" s="2"/>
      <c r="C27" s="2"/>
      <c r="D27" s="2"/>
      <c r="E27" s="3"/>
      <c r="F27" s="3"/>
      <c r="G27" s="2"/>
      <c r="H27" s="2"/>
      <c r="I27" s="46"/>
      <c r="J27" s="12"/>
      <c r="K27" s="2"/>
      <c r="L27" s="59"/>
    </row>
    <row r="28" spans="1:12" x14ac:dyDescent="0.35">
      <c r="A28" s="45">
        <v>24</v>
      </c>
      <c r="B28" s="2"/>
      <c r="C28" s="2"/>
      <c r="D28" s="2"/>
      <c r="E28" s="3"/>
      <c r="F28" s="3"/>
      <c r="G28" s="2"/>
      <c r="H28" s="2"/>
      <c r="I28" s="46"/>
      <c r="J28" s="12"/>
      <c r="K28" s="2"/>
      <c r="L28" s="59"/>
    </row>
    <row r="29" spans="1:12" x14ac:dyDescent="0.35">
      <c r="A29" s="45">
        <v>25</v>
      </c>
      <c r="B29" s="2"/>
      <c r="C29" s="2"/>
      <c r="D29" s="2"/>
      <c r="E29" s="3"/>
      <c r="F29" s="3"/>
      <c r="G29" s="2"/>
      <c r="H29" s="2"/>
      <c r="I29" s="46"/>
      <c r="J29" s="12"/>
      <c r="K29" s="2"/>
      <c r="L29" s="59"/>
    </row>
    <row r="30" spans="1:12" x14ac:dyDescent="0.35">
      <c r="A30" s="45">
        <v>26</v>
      </c>
      <c r="B30" s="2"/>
      <c r="C30" s="2"/>
      <c r="D30" s="2"/>
      <c r="E30" s="3"/>
      <c r="F30" s="3"/>
      <c r="G30" s="2"/>
      <c r="H30" s="2"/>
      <c r="I30" s="46"/>
      <c r="J30" s="12"/>
      <c r="K30" s="2"/>
      <c r="L30" s="59"/>
    </row>
    <row r="31" spans="1:12" x14ac:dyDescent="0.35">
      <c r="A31" s="45">
        <v>27</v>
      </c>
      <c r="B31" s="2"/>
      <c r="C31" s="2"/>
      <c r="D31" s="2"/>
      <c r="E31" s="3"/>
      <c r="F31" s="3"/>
      <c r="G31" s="2"/>
      <c r="H31" s="2"/>
      <c r="I31" s="46"/>
      <c r="J31" s="12"/>
      <c r="K31" s="2"/>
      <c r="L31" s="59"/>
    </row>
    <row r="32" spans="1:12" x14ac:dyDescent="0.35">
      <c r="A32" s="45">
        <v>28</v>
      </c>
      <c r="B32" s="2"/>
      <c r="C32" s="2"/>
      <c r="D32" s="2"/>
      <c r="E32" s="3"/>
      <c r="F32" s="3"/>
      <c r="G32" s="2"/>
      <c r="H32" s="2"/>
      <c r="I32" s="46"/>
      <c r="J32" s="12"/>
      <c r="K32" s="2"/>
      <c r="L32" s="59"/>
    </row>
    <row r="33" spans="1:12" x14ac:dyDescent="0.35">
      <c r="A33" s="45">
        <v>29</v>
      </c>
      <c r="B33" s="2"/>
      <c r="C33" s="2"/>
      <c r="D33" s="2"/>
      <c r="E33" s="3"/>
      <c r="F33" s="3"/>
      <c r="G33" s="2"/>
      <c r="H33" s="2"/>
      <c r="I33" s="46"/>
      <c r="J33" s="12"/>
      <c r="K33" s="2"/>
      <c r="L33" s="59"/>
    </row>
    <row r="34" spans="1:12" x14ac:dyDescent="0.35">
      <c r="A34" s="45">
        <v>30</v>
      </c>
      <c r="B34" s="2"/>
      <c r="C34" s="2"/>
      <c r="D34" s="2"/>
      <c r="E34" s="3"/>
      <c r="F34" s="3"/>
      <c r="G34" s="2"/>
      <c r="H34" s="2"/>
      <c r="I34" s="46"/>
      <c r="J34" s="12"/>
      <c r="K34" s="2"/>
      <c r="L34" s="59"/>
    </row>
    <row r="35" spans="1:12" x14ac:dyDescent="0.35">
      <c r="A35" s="45">
        <v>31</v>
      </c>
      <c r="B35" s="2"/>
      <c r="C35" s="2"/>
      <c r="D35" s="2"/>
      <c r="E35" s="3"/>
      <c r="F35" s="3"/>
      <c r="G35" s="2"/>
      <c r="H35" s="2"/>
      <c r="I35" s="46"/>
      <c r="J35" s="12"/>
      <c r="K35" s="2"/>
      <c r="L35" s="59"/>
    </row>
    <row r="36" spans="1:12" x14ac:dyDescent="0.35">
      <c r="A36" s="45">
        <v>32</v>
      </c>
      <c r="B36" s="2"/>
      <c r="C36" s="2"/>
      <c r="D36" s="2"/>
      <c r="E36" s="3"/>
      <c r="F36" s="3"/>
      <c r="G36" s="2"/>
      <c r="H36" s="2"/>
      <c r="I36" s="46"/>
      <c r="J36" s="12"/>
      <c r="K36" s="2"/>
      <c r="L36" s="59"/>
    </row>
    <row r="37" spans="1:12" x14ac:dyDescent="0.35">
      <c r="A37" s="45">
        <v>33</v>
      </c>
      <c r="B37" s="2"/>
      <c r="C37" s="2"/>
      <c r="D37" s="2"/>
      <c r="E37" s="3"/>
      <c r="F37" s="3"/>
      <c r="G37" s="2"/>
      <c r="H37" s="2"/>
      <c r="I37" s="46"/>
      <c r="J37" s="12"/>
      <c r="K37" s="2"/>
      <c r="L37" s="59"/>
    </row>
    <row r="38" spans="1:12" x14ac:dyDescent="0.35">
      <c r="A38" s="45">
        <v>34</v>
      </c>
      <c r="B38" s="2"/>
      <c r="C38" s="2"/>
      <c r="D38" s="2"/>
      <c r="E38" s="3"/>
      <c r="F38" s="3"/>
      <c r="G38" s="2"/>
      <c r="H38" s="2"/>
      <c r="I38" s="46"/>
      <c r="J38" s="12"/>
      <c r="K38" s="2"/>
      <c r="L38" s="59"/>
    </row>
    <row r="39" spans="1:12" x14ac:dyDescent="0.35">
      <c r="A39" s="45">
        <v>35</v>
      </c>
      <c r="B39" s="2"/>
      <c r="C39" s="2"/>
      <c r="D39" s="2"/>
      <c r="E39" s="3"/>
      <c r="F39" s="3"/>
      <c r="G39" s="2"/>
      <c r="H39" s="2"/>
      <c r="I39" s="46"/>
      <c r="J39" s="12"/>
      <c r="K39" s="2"/>
      <c r="L39" s="59"/>
    </row>
    <row r="40" spans="1:12" x14ac:dyDescent="0.35">
      <c r="A40" s="45">
        <v>36</v>
      </c>
      <c r="B40" s="2"/>
      <c r="C40" s="2"/>
      <c r="D40" s="2"/>
      <c r="E40" s="3"/>
      <c r="F40" s="3"/>
      <c r="G40" s="2"/>
      <c r="H40" s="2"/>
      <c r="I40" s="46"/>
      <c r="J40" s="12"/>
      <c r="K40" s="2"/>
      <c r="L40" s="59"/>
    </row>
    <row r="41" spans="1:12" x14ac:dyDescent="0.35">
      <c r="A41" s="45">
        <v>37</v>
      </c>
      <c r="B41" s="2"/>
      <c r="C41" s="2"/>
      <c r="D41" s="2"/>
      <c r="E41" s="3"/>
      <c r="F41" s="3"/>
      <c r="G41" s="2"/>
      <c r="H41" s="2"/>
      <c r="I41" s="46"/>
      <c r="J41" s="12"/>
      <c r="K41" s="2"/>
      <c r="L41" s="59"/>
    </row>
    <row r="42" spans="1:12" x14ac:dyDescent="0.35">
      <c r="A42" s="45">
        <v>38</v>
      </c>
      <c r="B42" s="2"/>
      <c r="C42" s="2"/>
      <c r="D42" s="2"/>
      <c r="E42" s="3"/>
      <c r="F42" s="3"/>
      <c r="G42" s="2"/>
      <c r="H42" s="2"/>
      <c r="I42" s="46"/>
      <c r="J42" s="12"/>
      <c r="K42" s="2"/>
      <c r="L42" s="59"/>
    </row>
    <row r="43" spans="1:12" x14ac:dyDescent="0.35">
      <c r="A43" s="45">
        <v>39</v>
      </c>
      <c r="B43" s="2"/>
      <c r="C43" s="2"/>
      <c r="D43" s="2"/>
      <c r="E43" s="3"/>
      <c r="F43" s="3"/>
      <c r="G43" s="2"/>
      <c r="H43" s="2"/>
      <c r="I43" s="46"/>
      <c r="J43" s="12"/>
      <c r="K43" s="2"/>
      <c r="L43" s="59"/>
    </row>
    <row r="44" spans="1:12" x14ac:dyDescent="0.35">
      <c r="A44" s="45">
        <v>40</v>
      </c>
      <c r="B44" s="2"/>
      <c r="C44" s="2"/>
      <c r="D44" s="2"/>
      <c r="E44" s="3"/>
      <c r="F44" s="3"/>
      <c r="G44" s="2"/>
      <c r="H44" s="2"/>
      <c r="I44" s="46"/>
      <c r="J44" s="12"/>
      <c r="K44" s="2"/>
      <c r="L44" s="59"/>
    </row>
    <row r="45" spans="1:12" x14ac:dyDescent="0.35">
      <c r="A45" s="45">
        <v>41</v>
      </c>
      <c r="B45" s="2"/>
      <c r="C45" s="2"/>
      <c r="D45" s="2"/>
      <c r="E45" s="3"/>
      <c r="F45" s="3"/>
      <c r="G45" s="2"/>
      <c r="H45" s="2"/>
      <c r="I45" s="46"/>
      <c r="J45" s="12"/>
      <c r="K45" s="2"/>
      <c r="L45" s="59"/>
    </row>
    <row r="46" spans="1:12" x14ac:dyDescent="0.35">
      <c r="A46" s="45">
        <v>42</v>
      </c>
      <c r="B46" s="2"/>
      <c r="C46" s="2"/>
      <c r="D46" s="2"/>
      <c r="E46" s="3"/>
      <c r="F46" s="3"/>
      <c r="G46" s="2"/>
      <c r="H46" s="2"/>
      <c r="I46" s="46"/>
      <c r="J46" s="12"/>
      <c r="K46" s="2"/>
      <c r="L46" s="59"/>
    </row>
    <row r="47" spans="1:12" x14ac:dyDescent="0.35">
      <c r="A47" s="45">
        <v>43</v>
      </c>
      <c r="B47" s="2"/>
      <c r="C47" s="2"/>
      <c r="D47" s="2"/>
      <c r="E47" s="3"/>
      <c r="F47" s="3"/>
      <c r="G47" s="2"/>
      <c r="H47" s="2"/>
      <c r="I47" s="46"/>
      <c r="J47" s="12"/>
      <c r="K47" s="2"/>
      <c r="L47" s="59"/>
    </row>
    <row r="48" spans="1:12" x14ac:dyDescent="0.35">
      <c r="A48" s="45">
        <v>44</v>
      </c>
      <c r="B48" s="2"/>
      <c r="C48" s="2"/>
      <c r="D48" s="2"/>
      <c r="E48" s="3"/>
      <c r="F48" s="3"/>
      <c r="G48" s="2"/>
      <c r="H48" s="2"/>
      <c r="I48" s="46"/>
      <c r="J48" s="12"/>
      <c r="K48" s="2"/>
      <c r="L48" s="59"/>
    </row>
    <row r="49" spans="1:12" x14ac:dyDescent="0.35">
      <c r="A49" s="45">
        <v>45</v>
      </c>
      <c r="B49" s="2"/>
      <c r="C49" s="2"/>
      <c r="D49" s="2"/>
      <c r="E49" s="3"/>
      <c r="F49" s="3"/>
      <c r="G49" s="2"/>
      <c r="H49" s="2"/>
      <c r="I49" s="46"/>
      <c r="J49" s="12"/>
      <c r="K49" s="2"/>
      <c r="L49" s="59"/>
    </row>
    <row r="50" spans="1:12" x14ac:dyDescent="0.35">
      <c r="A50" s="45">
        <v>46</v>
      </c>
      <c r="B50" s="2"/>
      <c r="C50" s="2"/>
      <c r="D50" s="2"/>
      <c r="E50" s="3"/>
      <c r="F50" s="3"/>
      <c r="G50" s="2"/>
      <c r="H50" s="2"/>
      <c r="I50" s="46"/>
      <c r="J50" s="12"/>
      <c r="K50" s="2"/>
      <c r="L50" s="59"/>
    </row>
    <row r="51" spans="1:12" x14ac:dyDescent="0.35">
      <c r="A51" s="45">
        <v>47</v>
      </c>
      <c r="B51" s="2"/>
      <c r="C51" s="2"/>
      <c r="D51" s="2"/>
      <c r="E51" s="3"/>
      <c r="F51" s="3"/>
      <c r="G51" s="2"/>
      <c r="H51" s="2"/>
      <c r="I51" s="46"/>
      <c r="J51" s="12"/>
      <c r="K51" s="2"/>
      <c r="L51" s="59"/>
    </row>
    <row r="52" spans="1:12" x14ac:dyDescent="0.35">
      <c r="A52" s="45">
        <v>48</v>
      </c>
      <c r="B52" s="2"/>
      <c r="C52" s="2"/>
      <c r="D52" s="2"/>
      <c r="E52" s="3"/>
      <c r="F52" s="3"/>
      <c r="G52" s="2"/>
      <c r="H52" s="2"/>
      <c r="I52" s="46"/>
      <c r="J52" s="12"/>
      <c r="K52" s="2"/>
      <c r="L52" s="59"/>
    </row>
    <row r="53" spans="1:12" x14ac:dyDescent="0.35">
      <c r="A53" s="45">
        <v>49</v>
      </c>
      <c r="B53" s="2"/>
      <c r="C53" s="2"/>
      <c r="D53" s="2"/>
      <c r="E53" s="3"/>
      <c r="F53" s="3"/>
      <c r="G53" s="2"/>
      <c r="H53" s="2"/>
      <c r="I53" s="46"/>
      <c r="J53" s="12"/>
      <c r="K53" s="2"/>
      <c r="L53" s="59"/>
    </row>
    <row r="54" spans="1:12" x14ac:dyDescent="0.35">
      <c r="A54" s="45">
        <v>50</v>
      </c>
      <c r="B54" s="2"/>
      <c r="C54" s="2"/>
      <c r="D54" s="2"/>
      <c r="E54" s="3"/>
      <c r="F54" s="3"/>
      <c r="G54" s="2"/>
      <c r="H54" s="2"/>
      <c r="I54" s="46"/>
      <c r="J54" s="12"/>
      <c r="K54" s="2"/>
      <c r="L54" s="59"/>
    </row>
    <row r="55" spans="1:12" x14ac:dyDescent="0.35">
      <c r="A55" s="45">
        <v>51</v>
      </c>
      <c r="B55" s="2"/>
      <c r="C55" s="2"/>
      <c r="D55" s="2"/>
      <c r="E55" s="3"/>
      <c r="F55" s="3"/>
      <c r="G55" s="2"/>
      <c r="H55" s="2"/>
      <c r="I55" s="46"/>
      <c r="J55" s="12"/>
      <c r="K55" s="2"/>
      <c r="L55" s="59"/>
    </row>
    <row r="56" spans="1:12" x14ac:dyDescent="0.35">
      <c r="A56" s="45">
        <v>52</v>
      </c>
      <c r="B56" s="2"/>
      <c r="C56" s="2"/>
      <c r="D56" s="2"/>
      <c r="E56" s="3"/>
      <c r="F56" s="3"/>
      <c r="G56" s="2"/>
      <c r="H56" s="2"/>
      <c r="I56" s="46"/>
      <c r="J56" s="12"/>
      <c r="K56" s="2"/>
      <c r="L56" s="59"/>
    </row>
    <row r="57" spans="1:12" x14ac:dyDescent="0.35">
      <c r="A57" s="45">
        <v>53</v>
      </c>
      <c r="B57" s="2"/>
      <c r="C57" s="2"/>
      <c r="D57" s="2"/>
      <c r="E57" s="3"/>
      <c r="F57" s="3"/>
      <c r="G57" s="2"/>
      <c r="H57" s="2"/>
      <c r="I57" s="46"/>
      <c r="J57" s="12"/>
      <c r="K57" s="2"/>
      <c r="L57" s="59"/>
    </row>
    <row r="58" spans="1:12" x14ac:dyDescent="0.35">
      <c r="A58" s="45">
        <v>54</v>
      </c>
      <c r="B58" s="2"/>
      <c r="C58" s="2"/>
      <c r="D58" s="2"/>
      <c r="E58" s="3"/>
      <c r="F58" s="3"/>
      <c r="G58" s="2"/>
      <c r="H58" s="2"/>
      <c r="I58" s="46"/>
      <c r="J58" s="12"/>
      <c r="K58" s="2"/>
      <c r="L58" s="59"/>
    </row>
    <row r="59" spans="1:12" x14ac:dyDescent="0.35">
      <c r="A59" s="45">
        <v>55</v>
      </c>
      <c r="B59" s="2"/>
      <c r="C59" s="2"/>
      <c r="D59" s="2"/>
      <c r="E59" s="3"/>
      <c r="F59" s="3"/>
      <c r="G59" s="2"/>
      <c r="H59" s="2"/>
      <c r="I59" s="46"/>
      <c r="J59" s="12"/>
      <c r="K59" s="2"/>
      <c r="L59" s="59"/>
    </row>
    <row r="60" spans="1:12" x14ac:dyDescent="0.35">
      <c r="A60" s="45">
        <v>56</v>
      </c>
      <c r="B60" s="2"/>
      <c r="C60" s="2"/>
      <c r="D60" s="2"/>
      <c r="E60" s="3"/>
      <c r="F60" s="3"/>
      <c r="G60" s="2"/>
      <c r="H60" s="2"/>
      <c r="I60" s="46"/>
      <c r="J60" s="12"/>
      <c r="K60" s="2"/>
      <c r="L60" s="59"/>
    </row>
    <row r="61" spans="1:12" x14ac:dyDescent="0.35">
      <c r="A61" s="45">
        <v>57</v>
      </c>
      <c r="B61" s="2"/>
      <c r="C61" s="2"/>
      <c r="D61" s="2"/>
      <c r="E61" s="3"/>
      <c r="F61" s="3"/>
      <c r="G61" s="2"/>
      <c r="H61" s="2"/>
      <c r="I61" s="46"/>
      <c r="J61" s="12"/>
      <c r="K61" s="2"/>
      <c r="L61" s="59"/>
    </row>
    <row r="62" spans="1:12" x14ac:dyDescent="0.35">
      <c r="A62" s="45">
        <v>58</v>
      </c>
      <c r="B62" s="2"/>
      <c r="C62" s="2"/>
      <c r="D62" s="2"/>
      <c r="E62" s="3"/>
      <c r="F62" s="3"/>
      <c r="G62" s="2"/>
      <c r="H62" s="2"/>
      <c r="I62" s="46"/>
      <c r="J62" s="12"/>
      <c r="K62" s="2"/>
      <c r="L62" s="59"/>
    </row>
    <row r="63" spans="1:12" x14ac:dyDescent="0.35">
      <c r="A63" s="45">
        <v>59</v>
      </c>
      <c r="B63" s="2"/>
      <c r="C63" s="2"/>
      <c r="D63" s="2"/>
      <c r="E63" s="3"/>
      <c r="F63" s="3"/>
      <c r="G63" s="2"/>
      <c r="H63" s="2"/>
      <c r="I63" s="46"/>
      <c r="J63" s="12"/>
      <c r="K63" s="2"/>
      <c r="L63" s="59"/>
    </row>
    <row r="64" spans="1:12" x14ac:dyDescent="0.35">
      <c r="A64" s="45">
        <v>60</v>
      </c>
      <c r="B64" s="2"/>
      <c r="C64" s="2"/>
      <c r="D64" s="2"/>
      <c r="E64" s="3"/>
      <c r="F64" s="3"/>
      <c r="G64" s="2"/>
      <c r="H64" s="2"/>
      <c r="I64" s="46"/>
      <c r="J64" s="12"/>
      <c r="K64" s="2"/>
      <c r="L64" s="59"/>
    </row>
    <row r="65" spans="1:12" x14ac:dyDescent="0.35">
      <c r="A65" s="45">
        <v>61</v>
      </c>
      <c r="B65" s="2"/>
      <c r="C65" s="2"/>
      <c r="D65" s="2"/>
      <c r="E65" s="3"/>
      <c r="F65" s="3"/>
      <c r="G65" s="2"/>
      <c r="H65" s="2"/>
      <c r="I65" s="46"/>
      <c r="J65" s="12"/>
      <c r="K65" s="2"/>
      <c r="L65" s="59"/>
    </row>
    <row r="66" spans="1:12" x14ac:dyDescent="0.35">
      <c r="A66" s="45">
        <v>62</v>
      </c>
      <c r="B66" s="2"/>
      <c r="C66" s="2"/>
      <c r="D66" s="2"/>
      <c r="E66" s="3"/>
      <c r="F66" s="3"/>
      <c r="G66" s="2"/>
      <c r="H66" s="2"/>
      <c r="I66" s="46"/>
      <c r="J66" s="12"/>
      <c r="K66" s="2"/>
      <c r="L66" s="59"/>
    </row>
    <row r="67" spans="1:12" x14ac:dyDescent="0.35">
      <c r="A67" s="45">
        <v>63</v>
      </c>
      <c r="B67" s="2"/>
      <c r="C67" s="2"/>
      <c r="D67" s="2"/>
      <c r="E67" s="3"/>
      <c r="F67" s="3"/>
      <c r="G67" s="2"/>
      <c r="H67" s="2"/>
      <c r="I67" s="46"/>
      <c r="J67" s="12"/>
      <c r="K67" s="2"/>
      <c r="L67" s="59"/>
    </row>
    <row r="68" spans="1:12" x14ac:dyDescent="0.35">
      <c r="A68" s="45">
        <v>64</v>
      </c>
      <c r="B68" s="2"/>
      <c r="C68" s="2"/>
      <c r="D68" s="2"/>
      <c r="E68" s="3"/>
      <c r="F68" s="3"/>
      <c r="G68" s="2"/>
      <c r="H68" s="2"/>
      <c r="I68" s="46"/>
      <c r="J68" s="12"/>
      <c r="K68" s="2"/>
      <c r="L68" s="59"/>
    </row>
    <row r="69" spans="1:12" x14ac:dyDescent="0.35">
      <c r="A69" s="45">
        <v>65</v>
      </c>
      <c r="B69" s="2"/>
      <c r="C69" s="2"/>
      <c r="D69" s="2"/>
      <c r="E69" s="3"/>
      <c r="F69" s="3"/>
      <c r="G69" s="2"/>
      <c r="H69" s="2"/>
      <c r="I69" s="46"/>
      <c r="J69" s="12"/>
      <c r="K69" s="2"/>
      <c r="L69" s="59"/>
    </row>
    <row r="70" spans="1:12" x14ac:dyDescent="0.35">
      <c r="A70" s="45">
        <v>66</v>
      </c>
      <c r="B70" s="2"/>
      <c r="C70" s="2"/>
      <c r="D70" s="2"/>
      <c r="E70" s="3"/>
      <c r="F70" s="3"/>
      <c r="G70" s="2"/>
      <c r="H70" s="2"/>
      <c r="I70" s="46"/>
      <c r="J70" s="12"/>
      <c r="K70" s="2"/>
      <c r="L70" s="59"/>
    </row>
    <row r="71" spans="1:12" x14ac:dyDescent="0.35">
      <c r="A71" s="45">
        <v>67</v>
      </c>
      <c r="B71" s="2"/>
      <c r="C71" s="2"/>
      <c r="D71" s="2"/>
      <c r="E71" s="3"/>
      <c r="F71" s="3"/>
      <c r="G71" s="2"/>
      <c r="H71" s="2"/>
      <c r="I71" s="46"/>
      <c r="J71" s="12"/>
      <c r="K71" s="2"/>
      <c r="L71" s="59"/>
    </row>
    <row r="72" spans="1:12" x14ac:dyDescent="0.35">
      <c r="A72" s="45">
        <v>68</v>
      </c>
      <c r="B72" s="2"/>
      <c r="C72" s="2"/>
      <c r="D72" s="2"/>
      <c r="E72" s="3"/>
      <c r="F72" s="3"/>
      <c r="G72" s="2"/>
      <c r="H72" s="2"/>
      <c r="I72" s="46"/>
      <c r="J72" s="12"/>
      <c r="K72" s="2"/>
      <c r="L72" s="59"/>
    </row>
    <row r="73" spans="1:12" x14ac:dyDescent="0.35">
      <c r="A73" s="45">
        <v>69</v>
      </c>
      <c r="B73" s="2"/>
      <c r="C73" s="2"/>
      <c r="D73" s="2"/>
      <c r="E73" s="3"/>
      <c r="F73" s="3"/>
      <c r="G73" s="2"/>
      <c r="H73" s="2"/>
      <c r="I73" s="46"/>
      <c r="J73" s="12"/>
      <c r="K73" s="2"/>
      <c r="L73" s="59"/>
    </row>
    <row r="74" spans="1:12" x14ac:dyDescent="0.35">
      <c r="A74" s="45">
        <v>70</v>
      </c>
      <c r="B74" s="2"/>
      <c r="C74" s="2"/>
      <c r="D74" s="2"/>
      <c r="E74" s="3"/>
      <c r="F74" s="3"/>
      <c r="G74" s="2"/>
      <c r="H74" s="2"/>
      <c r="I74" s="46"/>
      <c r="J74" s="12"/>
      <c r="K74" s="2"/>
      <c r="L74" s="59"/>
    </row>
    <row r="75" spans="1:12" x14ac:dyDescent="0.35">
      <c r="A75" s="45">
        <v>71</v>
      </c>
      <c r="B75" s="2"/>
      <c r="C75" s="2"/>
      <c r="D75" s="2"/>
      <c r="E75" s="3"/>
      <c r="F75" s="3"/>
      <c r="G75" s="2"/>
      <c r="H75" s="2"/>
      <c r="I75" s="46"/>
      <c r="J75" s="12"/>
      <c r="K75" s="2"/>
      <c r="L75" s="59"/>
    </row>
    <row r="76" spans="1:12" x14ac:dyDescent="0.35">
      <c r="A76" s="45">
        <v>72</v>
      </c>
      <c r="B76" s="2"/>
      <c r="C76" s="2"/>
      <c r="D76" s="2"/>
      <c r="E76" s="3"/>
      <c r="F76" s="3"/>
      <c r="G76" s="2"/>
      <c r="H76" s="2"/>
      <c r="I76" s="46"/>
      <c r="J76" s="12"/>
      <c r="K76" s="2"/>
      <c r="L76" s="59"/>
    </row>
    <row r="77" spans="1:12" x14ac:dyDescent="0.35">
      <c r="A77" s="45">
        <v>73</v>
      </c>
      <c r="B77" s="2"/>
      <c r="C77" s="2"/>
      <c r="D77" s="2"/>
      <c r="E77" s="3"/>
      <c r="F77" s="3"/>
      <c r="G77" s="2"/>
      <c r="H77" s="2"/>
      <c r="I77" s="46"/>
      <c r="J77" s="12"/>
      <c r="K77" s="2"/>
      <c r="L77" s="59"/>
    </row>
    <row r="78" spans="1:12" x14ac:dyDescent="0.35">
      <c r="A78" s="45">
        <v>74</v>
      </c>
      <c r="B78" s="2"/>
      <c r="C78" s="2"/>
      <c r="D78" s="2"/>
      <c r="E78" s="3"/>
      <c r="F78" s="3"/>
      <c r="G78" s="2"/>
      <c r="H78" s="2"/>
      <c r="I78" s="46"/>
      <c r="J78" s="12"/>
      <c r="K78" s="2"/>
      <c r="L78" s="59"/>
    </row>
    <row r="79" spans="1:12" x14ac:dyDescent="0.35">
      <c r="A79" s="45">
        <v>75</v>
      </c>
      <c r="B79" s="2"/>
      <c r="C79" s="2"/>
      <c r="D79" s="2"/>
      <c r="E79" s="3"/>
      <c r="F79" s="3"/>
      <c r="G79" s="2"/>
      <c r="H79" s="2"/>
      <c r="I79" s="46"/>
      <c r="J79" s="12"/>
      <c r="K79" s="2"/>
      <c r="L79" s="59"/>
    </row>
    <row r="80" spans="1:12" x14ac:dyDescent="0.35">
      <c r="A80" s="45">
        <v>76</v>
      </c>
      <c r="B80" s="2"/>
      <c r="C80" s="2"/>
      <c r="D80" s="2"/>
      <c r="E80" s="3"/>
      <c r="F80" s="3"/>
      <c r="G80" s="2"/>
      <c r="H80" s="2"/>
      <c r="I80" s="46"/>
      <c r="J80" s="12"/>
      <c r="K80" s="2"/>
      <c r="L80" s="59"/>
    </row>
    <row r="81" spans="1:12" x14ac:dyDescent="0.35">
      <c r="A81" s="45">
        <v>77</v>
      </c>
      <c r="B81" s="2"/>
      <c r="C81" s="2"/>
      <c r="D81" s="2"/>
      <c r="E81" s="3"/>
      <c r="F81" s="3"/>
      <c r="G81" s="2"/>
      <c r="H81" s="2"/>
      <c r="I81" s="46"/>
      <c r="J81" s="12"/>
      <c r="K81" s="2"/>
      <c r="L81" s="59"/>
    </row>
    <row r="82" spans="1:12" x14ac:dyDescent="0.35">
      <c r="A82" s="45">
        <v>78</v>
      </c>
      <c r="B82" s="2"/>
      <c r="C82" s="2"/>
      <c r="D82" s="2"/>
      <c r="E82" s="3"/>
      <c r="F82" s="3"/>
      <c r="G82" s="2"/>
      <c r="H82" s="2"/>
      <c r="I82" s="46"/>
      <c r="J82" s="12"/>
      <c r="K82" s="2"/>
      <c r="L82" s="59"/>
    </row>
    <row r="83" spans="1:12" x14ac:dyDescent="0.35">
      <c r="A83" s="45">
        <v>79</v>
      </c>
      <c r="B83" s="2"/>
      <c r="C83" s="2"/>
      <c r="D83" s="2"/>
      <c r="E83" s="3"/>
      <c r="F83" s="3"/>
      <c r="G83" s="2"/>
      <c r="H83" s="2"/>
      <c r="I83" s="46"/>
      <c r="J83" s="12"/>
      <c r="K83" s="2"/>
      <c r="L83" s="59"/>
    </row>
    <row r="84" spans="1:12" x14ac:dyDescent="0.35">
      <c r="A84" s="45">
        <v>80</v>
      </c>
      <c r="B84" s="2"/>
      <c r="C84" s="2"/>
      <c r="D84" s="2"/>
      <c r="E84" s="3"/>
      <c r="F84" s="3"/>
      <c r="G84" s="2"/>
      <c r="H84" s="2"/>
      <c r="I84" s="46"/>
      <c r="J84" s="12"/>
      <c r="K84" s="2"/>
      <c r="L84" s="59"/>
    </row>
    <row r="85" spans="1:12" x14ac:dyDescent="0.35">
      <c r="A85" s="45">
        <v>81</v>
      </c>
      <c r="B85" s="2"/>
      <c r="C85" s="2"/>
      <c r="D85" s="2"/>
      <c r="E85" s="3"/>
      <c r="F85" s="3"/>
      <c r="G85" s="2"/>
      <c r="H85" s="2"/>
      <c r="I85" s="46"/>
      <c r="J85" s="12"/>
      <c r="K85" s="2"/>
      <c r="L85" s="59"/>
    </row>
    <row r="86" spans="1:12" x14ac:dyDescent="0.35">
      <c r="A86" s="45">
        <v>82</v>
      </c>
      <c r="B86" s="2"/>
      <c r="C86" s="2"/>
      <c r="D86" s="2"/>
      <c r="E86" s="3"/>
      <c r="F86" s="3"/>
      <c r="G86" s="2"/>
      <c r="H86" s="2"/>
      <c r="I86" s="46"/>
      <c r="J86" s="12"/>
      <c r="K86" s="2"/>
      <c r="L86" s="59"/>
    </row>
    <row r="87" spans="1:12" x14ac:dyDescent="0.35">
      <c r="A87" s="45">
        <v>83</v>
      </c>
      <c r="B87" s="2"/>
      <c r="C87" s="2"/>
      <c r="D87" s="2"/>
      <c r="E87" s="3"/>
      <c r="F87" s="3"/>
      <c r="G87" s="2"/>
      <c r="H87" s="2"/>
      <c r="I87" s="46"/>
      <c r="J87" s="12"/>
      <c r="K87" s="2"/>
      <c r="L87" s="59"/>
    </row>
    <row r="88" spans="1:12" x14ac:dyDescent="0.35">
      <c r="A88" s="45">
        <v>84</v>
      </c>
      <c r="B88" s="2"/>
      <c r="C88" s="2"/>
      <c r="D88" s="2"/>
      <c r="E88" s="3"/>
      <c r="F88" s="3"/>
      <c r="G88" s="2"/>
      <c r="H88" s="2"/>
      <c r="I88" s="46"/>
      <c r="J88" s="12"/>
      <c r="K88" s="2"/>
      <c r="L88" s="59"/>
    </row>
    <row r="89" spans="1:12" x14ac:dyDescent="0.35">
      <c r="A89" s="45">
        <v>85</v>
      </c>
      <c r="B89" s="2"/>
      <c r="C89" s="2"/>
      <c r="D89" s="2"/>
      <c r="E89" s="3"/>
      <c r="F89" s="3"/>
      <c r="G89" s="2"/>
      <c r="H89" s="2"/>
      <c r="I89" s="46"/>
      <c r="J89" s="12"/>
      <c r="K89" s="2"/>
      <c r="L89" s="59"/>
    </row>
    <row r="90" spans="1:12" x14ac:dyDescent="0.35">
      <c r="A90" s="45">
        <v>86</v>
      </c>
      <c r="B90" s="2"/>
      <c r="C90" s="2"/>
      <c r="D90" s="2"/>
      <c r="E90" s="3"/>
      <c r="F90" s="3"/>
      <c r="G90" s="2"/>
      <c r="H90" s="2"/>
      <c r="I90" s="46"/>
      <c r="J90" s="12"/>
      <c r="K90" s="2"/>
      <c r="L90" s="59"/>
    </row>
    <row r="91" spans="1:12" x14ac:dyDescent="0.35">
      <c r="A91" s="45">
        <v>87</v>
      </c>
      <c r="B91" s="2"/>
      <c r="C91" s="2"/>
      <c r="D91" s="2"/>
      <c r="E91" s="3"/>
      <c r="F91" s="3"/>
      <c r="G91" s="2"/>
      <c r="H91" s="2"/>
      <c r="I91" s="46"/>
      <c r="J91" s="12"/>
      <c r="K91" s="2"/>
      <c r="L91" s="59"/>
    </row>
    <row r="92" spans="1:12" x14ac:dyDescent="0.35">
      <c r="A92" s="45">
        <v>88</v>
      </c>
      <c r="B92" s="2"/>
      <c r="C92" s="2"/>
      <c r="D92" s="2"/>
      <c r="E92" s="3"/>
      <c r="F92" s="3"/>
      <c r="G92" s="2"/>
      <c r="H92" s="2"/>
      <c r="I92" s="46"/>
      <c r="J92" s="12"/>
      <c r="K92" s="2"/>
      <c r="L92" s="59"/>
    </row>
    <row r="93" spans="1:12" x14ac:dyDescent="0.35">
      <c r="A93" s="45">
        <v>89</v>
      </c>
      <c r="B93" s="2"/>
      <c r="C93" s="2"/>
      <c r="D93" s="2"/>
      <c r="E93" s="3"/>
      <c r="F93" s="3"/>
      <c r="G93" s="2"/>
      <c r="H93" s="2"/>
      <c r="I93" s="46"/>
      <c r="J93" s="12"/>
      <c r="K93" s="2"/>
      <c r="L93" s="59"/>
    </row>
    <row r="94" spans="1:12" x14ac:dyDescent="0.35">
      <c r="A94" s="45">
        <v>90</v>
      </c>
      <c r="B94" s="2"/>
      <c r="C94" s="2"/>
      <c r="D94" s="2"/>
      <c r="E94" s="3"/>
      <c r="F94" s="3"/>
      <c r="G94" s="2"/>
      <c r="H94" s="2"/>
      <c r="I94" s="46"/>
      <c r="J94" s="12"/>
      <c r="K94" s="2"/>
      <c r="L94" s="59"/>
    </row>
    <row r="95" spans="1:12" x14ac:dyDescent="0.35">
      <c r="A95" s="45">
        <v>91</v>
      </c>
      <c r="B95" s="2"/>
      <c r="C95" s="2"/>
      <c r="D95" s="2"/>
      <c r="E95" s="3"/>
      <c r="F95" s="3"/>
      <c r="G95" s="2"/>
      <c r="H95" s="2"/>
      <c r="I95" s="46"/>
      <c r="J95" s="12"/>
      <c r="K95" s="2"/>
      <c r="L95" s="59"/>
    </row>
    <row r="96" spans="1:12" x14ac:dyDescent="0.35">
      <c r="A96" s="45">
        <v>92</v>
      </c>
      <c r="B96" s="2"/>
      <c r="C96" s="2"/>
      <c r="D96" s="2"/>
      <c r="E96" s="3"/>
      <c r="F96" s="3"/>
      <c r="G96" s="2"/>
      <c r="H96" s="2"/>
      <c r="I96" s="46"/>
      <c r="J96" s="12"/>
      <c r="K96" s="2"/>
      <c r="L96" s="59"/>
    </row>
    <row r="97" spans="1:12" x14ac:dyDescent="0.35">
      <c r="A97" s="45">
        <v>93</v>
      </c>
      <c r="B97" s="2"/>
      <c r="C97" s="2"/>
      <c r="D97" s="2"/>
      <c r="E97" s="3"/>
      <c r="F97" s="3"/>
      <c r="G97" s="2"/>
      <c r="H97" s="2"/>
      <c r="I97" s="46"/>
      <c r="J97" s="12"/>
      <c r="K97" s="2"/>
      <c r="L97" s="59"/>
    </row>
    <row r="98" spans="1:12" x14ac:dyDescent="0.35">
      <c r="A98" s="45">
        <v>94</v>
      </c>
      <c r="B98" s="2"/>
      <c r="C98" s="2"/>
      <c r="D98" s="2"/>
      <c r="E98" s="3"/>
      <c r="F98" s="3"/>
      <c r="G98" s="2"/>
      <c r="H98" s="2"/>
      <c r="I98" s="46"/>
      <c r="J98" s="12"/>
      <c r="K98" s="2"/>
      <c r="L98" s="59"/>
    </row>
    <row r="99" spans="1:12" x14ac:dyDescent="0.35">
      <c r="A99" s="45">
        <v>95</v>
      </c>
      <c r="B99" s="2"/>
      <c r="C99" s="2"/>
      <c r="D99" s="2"/>
      <c r="E99" s="3"/>
      <c r="F99" s="3"/>
      <c r="G99" s="2"/>
      <c r="H99" s="2"/>
      <c r="I99" s="46"/>
      <c r="J99" s="12"/>
      <c r="K99" s="2"/>
      <c r="L99" s="59"/>
    </row>
    <row r="100" spans="1:12" x14ac:dyDescent="0.35">
      <c r="A100" s="45">
        <v>96</v>
      </c>
      <c r="B100" s="2"/>
      <c r="C100" s="2"/>
      <c r="D100" s="2"/>
      <c r="E100" s="3"/>
      <c r="F100" s="3"/>
      <c r="G100" s="2"/>
      <c r="H100" s="2"/>
      <c r="I100" s="46"/>
      <c r="J100" s="12"/>
      <c r="K100" s="2"/>
      <c r="L100" s="59"/>
    </row>
    <row r="101" spans="1:12" x14ac:dyDescent="0.35">
      <c r="A101" s="45">
        <v>97</v>
      </c>
      <c r="B101" s="2"/>
      <c r="C101" s="2"/>
      <c r="D101" s="2"/>
      <c r="E101" s="3"/>
      <c r="F101" s="3"/>
      <c r="G101" s="2"/>
      <c r="H101" s="2"/>
      <c r="I101" s="46"/>
      <c r="J101" s="12"/>
      <c r="K101" s="2"/>
      <c r="L101" s="59"/>
    </row>
    <row r="102" spans="1:12" x14ac:dyDescent="0.35">
      <c r="A102" s="45">
        <v>98</v>
      </c>
      <c r="B102" s="2"/>
      <c r="C102" s="2"/>
      <c r="D102" s="2"/>
      <c r="E102" s="3"/>
      <c r="F102" s="3"/>
      <c r="G102" s="2"/>
      <c r="H102" s="2"/>
      <c r="I102" s="46"/>
      <c r="J102" s="12"/>
      <c r="K102" s="2"/>
      <c r="L102" s="59"/>
    </row>
    <row r="103" spans="1:12" x14ac:dyDescent="0.35">
      <c r="A103" s="45">
        <v>99</v>
      </c>
      <c r="B103" s="2"/>
      <c r="C103" s="2"/>
      <c r="D103" s="2"/>
      <c r="E103" s="3"/>
      <c r="F103" s="3"/>
      <c r="G103" s="2"/>
      <c r="H103" s="2"/>
      <c r="I103" s="46"/>
      <c r="J103" s="12"/>
      <c r="K103" s="2"/>
      <c r="L103" s="59"/>
    </row>
    <row r="104" spans="1:12" x14ac:dyDescent="0.35">
      <c r="A104" s="45">
        <v>100</v>
      </c>
      <c r="B104" s="2"/>
      <c r="C104" s="2"/>
      <c r="D104" s="2"/>
      <c r="E104" s="3"/>
      <c r="F104" s="3"/>
      <c r="G104" s="2"/>
      <c r="H104" s="2"/>
      <c r="I104" s="46"/>
      <c r="J104" s="12"/>
      <c r="K104" s="2"/>
      <c r="L104" s="59"/>
    </row>
    <row r="105" spans="1:12" x14ac:dyDescent="0.35">
      <c r="A105" s="45">
        <v>101</v>
      </c>
      <c r="B105" s="2"/>
      <c r="C105" s="2"/>
      <c r="D105" s="2"/>
      <c r="E105" s="3"/>
      <c r="F105" s="3"/>
      <c r="G105" s="2"/>
      <c r="H105" s="2"/>
      <c r="I105" s="46"/>
      <c r="J105" s="12"/>
      <c r="K105" s="2"/>
      <c r="L105" s="59"/>
    </row>
    <row r="106" spans="1:12" x14ac:dyDescent="0.35">
      <c r="A106" s="45">
        <v>102</v>
      </c>
      <c r="B106" s="2"/>
      <c r="C106" s="2"/>
      <c r="D106" s="2"/>
      <c r="E106" s="3"/>
      <c r="F106" s="3"/>
      <c r="G106" s="2"/>
      <c r="H106" s="2"/>
      <c r="I106" s="46"/>
      <c r="J106" s="12"/>
      <c r="K106" s="2"/>
      <c r="L106" s="59"/>
    </row>
    <row r="107" spans="1:12" x14ac:dyDescent="0.35">
      <c r="A107" s="45">
        <v>103</v>
      </c>
      <c r="B107" s="2"/>
      <c r="C107" s="2"/>
      <c r="D107" s="2"/>
      <c r="E107" s="3"/>
      <c r="F107" s="3"/>
      <c r="G107" s="2"/>
      <c r="H107" s="2"/>
      <c r="I107" s="46"/>
      <c r="J107" s="12"/>
      <c r="K107" s="2"/>
      <c r="L107" s="59"/>
    </row>
    <row r="108" spans="1:12" x14ac:dyDescent="0.35">
      <c r="A108" s="45">
        <v>104</v>
      </c>
      <c r="B108" s="2"/>
      <c r="C108" s="2"/>
      <c r="D108" s="2"/>
      <c r="E108" s="3"/>
      <c r="F108" s="3"/>
      <c r="G108" s="2"/>
      <c r="H108" s="2"/>
      <c r="I108" s="46"/>
      <c r="J108" s="12"/>
      <c r="K108" s="2"/>
      <c r="L108" s="59"/>
    </row>
    <row r="109" spans="1:12" x14ac:dyDescent="0.35">
      <c r="A109" s="45">
        <v>105</v>
      </c>
      <c r="B109" s="2"/>
      <c r="C109" s="2"/>
      <c r="D109" s="2"/>
      <c r="E109" s="3"/>
      <c r="F109" s="3"/>
      <c r="G109" s="2"/>
      <c r="H109" s="2"/>
      <c r="I109" s="46"/>
      <c r="J109" s="12"/>
      <c r="K109" s="2"/>
      <c r="L109" s="59"/>
    </row>
    <row r="110" spans="1:12" x14ac:dyDescent="0.35">
      <c r="A110" s="45">
        <v>106</v>
      </c>
      <c r="B110" s="2"/>
      <c r="C110" s="2"/>
      <c r="D110" s="2"/>
      <c r="E110" s="3"/>
      <c r="F110" s="3"/>
      <c r="G110" s="2"/>
      <c r="H110" s="2"/>
      <c r="I110" s="46"/>
      <c r="J110" s="12"/>
      <c r="K110" s="2"/>
      <c r="L110" s="59"/>
    </row>
    <row r="111" spans="1:12" x14ac:dyDescent="0.35">
      <c r="A111" s="45">
        <v>107</v>
      </c>
      <c r="B111" s="2"/>
      <c r="C111" s="2"/>
      <c r="D111" s="2"/>
      <c r="E111" s="3"/>
      <c r="F111" s="3"/>
      <c r="G111" s="2"/>
      <c r="H111" s="2"/>
      <c r="I111" s="46"/>
      <c r="J111" s="12"/>
      <c r="K111" s="2"/>
      <c r="L111" s="59"/>
    </row>
    <row r="112" spans="1:12" x14ac:dyDescent="0.35">
      <c r="A112" s="45">
        <v>108</v>
      </c>
      <c r="B112" s="2"/>
      <c r="C112" s="2"/>
      <c r="D112" s="2"/>
      <c r="E112" s="3"/>
      <c r="F112" s="3"/>
      <c r="G112" s="2"/>
      <c r="H112" s="2"/>
      <c r="I112" s="46"/>
      <c r="J112" s="12"/>
      <c r="K112" s="2"/>
      <c r="L112" s="59"/>
    </row>
    <row r="113" spans="1:12" x14ac:dyDescent="0.35">
      <c r="A113" s="45">
        <v>109</v>
      </c>
      <c r="B113" s="2"/>
      <c r="C113" s="2"/>
      <c r="D113" s="2"/>
      <c r="E113" s="3"/>
      <c r="F113" s="3"/>
      <c r="G113" s="2"/>
      <c r="H113" s="2"/>
      <c r="I113" s="46"/>
      <c r="J113" s="12"/>
      <c r="K113" s="2"/>
      <c r="L113" s="59"/>
    </row>
    <row r="114" spans="1:12" x14ac:dyDescent="0.35">
      <c r="A114" s="45">
        <v>110</v>
      </c>
      <c r="B114" s="2"/>
      <c r="C114" s="2"/>
      <c r="D114" s="2"/>
      <c r="E114" s="3"/>
      <c r="F114" s="3"/>
      <c r="G114" s="2"/>
      <c r="H114" s="2"/>
      <c r="I114" s="46"/>
      <c r="J114" s="12"/>
      <c r="K114" s="2"/>
      <c r="L114" s="59"/>
    </row>
    <row r="115" spans="1:12" x14ac:dyDescent="0.35">
      <c r="A115" s="45">
        <v>111</v>
      </c>
      <c r="B115" s="2"/>
      <c r="C115" s="2"/>
      <c r="D115" s="2"/>
      <c r="E115" s="3"/>
      <c r="F115" s="3"/>
      <c r="G115" s="2"/>
      <c r="H115" s="2"/>
      <c r="I115" s="46"/>
      <c r="J115" s="12"/>
      <c r="K115" s="2"/>
      <c r="L115" s="59"/>
    </row>
    <row r="116" spans="1:12" x14ac:dyDescent="0.35">
      <c r="A116" s="45">
        <v>112</v>
      </c>
      <c r="B116" s="2"/>
      <c r="C116" s="2"/>
      <c r="D116" s="2"/>
      <c r="E116" s="3"/>
      <c r="F116" s="3"/>
      <c r="G116" s="2"/>
      <c r="H116" s="2"/>
      <c r="I116" s="46"/>
      <c r="J116" s="12"/>
      <c r="K116" s="2"/>
      <c r="L116" s="59"/>
    </row>
    <row r="117" spans="1:12" x14ac:dyDescent="0.35">
      <c r="A117" s="45">
        <v>113</v>
      </c>
      <c r="B117" s="2"/>
      <c r="C117" s="2"/>
      <c r="D117" s="2"/>
      <c r="E117" s="3"/>
      <c r="F117" s="3"/>
      <c r="G117" s="2"/>
      <c r="H117" s="2"/>
      <c r="I117" s="46"/>
      <c r="J117" s="12"/>
      <c r="K117" s="2"/>
      <c r="L117" s="59"/>
    </row>
    <row r="118" spans="1:12" x14ac:dyDescent="0.35">
      <c r="A118" s="45">
        <v>114</v>
      </c>
      <c r="B118" s="2"/>
      <c r="C118" s="2"/>
      <c r="D118" s="2"/>
      <c r="E118" s="3"/>
      <c r="F118" s="3"/>
      <c r="G118" s="2"/>
      <c r="H118" s="2"/>
      <c r="I118" s="46"/>
      <c r="J118" s="12"/>
      <c r="K118" s="2"/>
      <c r="L118" s="59"/>
    </row>
    <row r="119" spans="1:12" x14ac:dyDescent="0.35">
      <c r="A119" s="45">
        <v>115</v>
      </c>
      <c r="B119" s="2"/>
      <c r="C119" s="2"/>
      <c r="D119" s="2"/>
      <c r="E119" s="3"/>
      <c r="F119" s="3"/>
      <c r="G119" s="2"/>
      <c r="H119" s="2"/>
      <c r="I119" s="46"/>
      <c r="J119" s="12"/>
      <c r="K119" s="2"/>
      <c r="L119" s="59"/>
    </row>
    <row r="120" spans="1:12" x14ac:dyDescent="0.35">
      <c r="A120" s="45">
        <v>116</v>
      </c>
      <c r="B120" s="2"/>
      <c r="C120" s="2"/>
      <c r="D120" s="2"/>
      <c r="E120" s="3"/>
      <c r="F120" s="3"/>
      <c r="G120" s="2"/>
      <c r="H120" s="2"/>
      <c r="I120" s="46"/>
      <c r="J120" s="12"/>
      <c r="K120" s="2"/>
      <c r="L120" s="59"/>
    </row>
    <row r="121" spans="1:12" x14ac:dyDescent="0.35">
      <c r="A121" s="45">
        <v>117</v>
      </c>
      <c r="B121" s="2"/>
      <c r="C121" s="2"/>
      <c r="D121" s="2"/>
      <c r="E121" s="3"/>
      <c r="F121" s="3"/>
      <c r="G121" s="2"/>
      <c r="H121" s="2"/>
      <c r="I121" s="46"/>
      <c r="J121" s="12"/>
      <c r="K121" s="2"/>
      <c r="L121" s="59"/>
    </row>
    <row r="122" spans="1:12" x14ac:dyDescent="0.35">
      <c r="A122" s="45">
        <v>118</v>
      </c>
      <c r="B122" s="2"/>
      <c r="C122" s="2"/>
      <c r="D122" s="2"/>
      <c r="E122" s="3"/>
      <c r="F122" s="3"/>
      <c r="G122" s="2"/>
      <c r="H122" s="2"/>
      <c r="I122" s="46"/>
      <c r="J122" s="12"/>
      <c r="K122" s="2"/>
      <c r="L122" s="59"/>
    </row>
    <row r="123" spans="1:12" x14ac:dyDescent="0.35">
      <c r="A123" s="45">
        <v>119</v>
      </c>
      <c r="B123" s="2"/>
      <c r="C123" s="2"/>
      <c r="D123" s="2"/>
      <c r="E123" s="3"/>
      <c r="F123" s="3"/>
      <c r="G123" s="2"/>
      <c r="H123" s="2"/>
      <c r="I123" s="46"/>
      <c r="J123" s="12"/>
      <c r="K123" s="2"/>
      <c r="L123" s="59"/>
    </row>
    <row r="124" spans="1:12" x14ac:dyDescent="0.35">
      <c r="A124" s="45">
        <v>120</v>
      </c>
      <c r="B124" s="2"/>
      <c r="C124" s="2"/>
      <c r="D124" s="2"/>
      <c r="E124" s="3"/>
      <c r="F124" s="3"/>
      <c r="G124" s="2"/>
      <c r="H124" s="2"/>
      <c r="I124" s="46"/>
      <c r="J124" s="12"/>
      <c r="K124" s="2"/>
      <c r="L124" s="59"/>
    </row>
    <row r="125" spans="1:12" x14ac:dyDescent="0.35">
      <c r="A125" s="45">
        <v>121</v>
      </c>
      <c r="B125" s="2"/>
      <c r="C125" s="2"/>
      <c r="D125" s="2"/>
      <c r="E125" s="3"/>
      <c r="F125" s="3"/>
      <c r="G125" s="2"/>
      <c r="H125" s="2"/>
      <c r="I125" s="46"/>
      <c r="J125" s="12"/>
      <c r="K125" s="2"/>
      <c r="L125" s="59"/>
    </row>
    <row r="126" spans="1:12" x14ac:dyDescent="0.35">
      <c r="A126" s="45">
        <v>122</v>
      </c>
      <c r="B126" s="2"/>
      <c r="C126" s="2"/>
      <c r="D126" s="2"/>
      <c r="E126" s="3"/>
      <c r="F126" s="3"/>
      <c r="G126" s="2"/>
      <c r="H126" s="2"/>
      <c r="I126" s="46"/>
      <c r="J126" s="12"/>
      <c r="K126" s="2"/>
      <c r="L126" s="59"/>
    </row>
    <row r="127" spans="1:12" x14ac:dyDescent="0.35">
      <c r="A127" s="45">
        <v>123</v>
      </c>
      <c r="B127" s="2"/>
      <c r="C127" s="2"/>
      <c r="D127" s="2"/>
      <c r="E127" s="3"/>
      <c r="F127" s="3"/>
      <c r="G127" s="2"/>
      <c r="H127" s="2"/>
      <c r="I127" s="46"/>
      <c r="J127" s="12"/>
      <c r="K127" s="2"/>
      <c r="L127" s="59"/>
    </row>
    <row r="128" spans="1:12" x14ac:dyDescent="0.35">
      <c r="A128" s="45">
        <v>124</v>
      </c>
      <c r="B128" s="2"/>
      <c r="C128" s="2"/>
      <c r="D128" s="2"/>
      <c r="E128" s="3"/>
      <c r="F128" s="3"/>
      <c r="G128" s="2"/>
      <c r="H128" s="2"/>
      <c r="I128" s="46"/>
      <c r="J128" s="12"/>
      <c r="K128" s="2"/>
      <c r="L128" s="59"/>
    </row>
    <row r="129" spans="1:12" x14ac:dyDescent="0.35">
      <c r="A129" s="45">
        <v>125</v>
      </c>
      <c r="B129" s="2"/>
      <c r="C129" s="2"/>
      <c r="D129" s="2"/>
      <c r="E129" s="3"/>
      <c r="F129" s="3"/>
      <c r="G129" s="2"/>
      <c r="H129" s="2"/>
      <c r="I129" s="46"/>
      <c r="J129" s="12"/>
      <c r="K129" s="2"/>
      <c r="L129" s="59"/>
    </row>
    <row r="130" spans="1:12" x14ac:dyDescent="0.35">
      <c r="A130" s="45">
        <v>126</v>
      </c>
      <c r="B130" s="2"/>
      <c r="C130" s="2"/>
      <c r="D130" s="2"/>
      <c r="E130" s="3"/>
      <c r="F130" s="3"/>
      <c r="G130" s="2"/>
      <c r="H130" s="2"/>
      <c r="I130" s="46"/>
      <c r="J130" s="12"/>
      <c r="K130" s="2"/>
      <c r="L130" s="59"/>
    </row>
    <row r="131" spans="1:12" x14ac:dyDescent="0.35">
      <c r="A131" s="45">
        <v>127</v>
      </c>
      <c r="B131" s="2"/>
      <c r="C131" s="2"/>
      <c r="D131" s="2"/>
      <c r="E131" s="3"/>
      <c r="F131" s="3"/>
      <c r="G131" s="2"/>
      <c r="H131" s="2"/>
      <c r="I131" s="46"/>
      <c r="J131" s="12"/>
      <c r="K131" s="2"/>
      <c r="L131" s="59"/>
    </row>
    <row r="132" spans="1:12" x14ac:dyDescent="0.35">
      <c r="A132" s="45">
        <v>128</v>
      </c>
      <c r="B132" s="2"/>
      <c r="C132" s="2"/>
      <c r="D132" s="2"/>
      <c r="E132" s="3"/>
      <c r="F132" s="3"/>
      <c r="G132" s="2"/>
      <c r="H132" s="2"/>
      <c r="I132" s="46"/>
      <c r="J132" s="12"/>
      <c r="K132" s="2"/>
      <c r="L132" s="59"/>
    </row>
    <row r="133" spans="1:12" x14ac:dyDescent="0.35">
      <c r="A133" s="45">
        <v>129</v>
      </c>
      <c r="B133" s="2"/>
      <c r="C133" s="2"/>
      <c r="D133" s="2"/>
      <c r="E133" s="3"/>
      <c r="F133" s="3"/>
      <c r="G133" s="2"/>
      <c r="H133" s="2"/>
      <c r="I133" s="46"/>
      <c r="J133" s="12"/>
      <c r="K133" s="2"/>
      <c r="L133" s="59"/>
    </row>
    <row r="134" spans="1:12" x14ac:dyDescent="0.35">
      <c r="A134" s="45">
        <v>130</v>
      </c>
      <c r="B134" s="2"/>
      <c r="C134" s="2"/>
      <c r="D134" s="2"/>
      <c r="E134" s="3"/>
      <c r="F134" s="3"/>
      <c r="G134" s="2"/>
      <c r="H134" s="2"/>
      <c r="I134" s="46"/>
      <c r="J134" s="12"/>
      <c r="K134" s="2"/>
      <c r="L134" s="59"/>
    </row>
    <row r="135" spans="1:12" x14ac:dyDescent="0.35">
      <c r="A135" s="45">
        <v>131</v>
      </c>
      <c r="B135" s="2"/>
      <c r="C135" s="2"/>
      <c r="D135" s="2"/>
      <c r="E135" s="3"/>
      <c r="F135" s="3"/>
      <c r="G135" s="2"/>
      <c r="H135" s="2"/>
      <c r="I135" s="46"/>
      <c r="J135" s="12"/>
      <c r="K135" s="2"/>
      <c r="L135" s="59"/>
    </row>
    <row r="136" spans="1:12" x14ac:dyDescent="0.35">
      <c r="A136" s="45">
        <v>132</v>
      </c>
      <c r="B136" s="2"/>
      <c r="C136" s="2"/>
      <c r="D136" s="2"/>
      <c r="E136" s="3"/>
      <c r="F136" s="3"/>
      <c r="G136" s="2"/>
      <c r="H136" s="2"/>
      <c r="I136" s="46"/>
      <c r="J136" s="12"/>
      <c r="K136" s="2"/>
      <c r="L136" s="59"/>
    </row>
    <row r="137" spans="1:12" x14ac:dyDescent="0.35">
      <c r="A137" s="45">
        <v>133</v>
      </c>
      <c r="B137" s="2"/>
      <c r="C137" s="2"/>
      <c r="D137" s="2"/>
      <c r="E137" s="3"/>
      <c r="F137" s="3"/>
      <c r="G137" s="2"/>
      <c r="H137" s="2"/>
      <c r="I137" s="46"/>
      <c r="J137" s="12"/>
      <c r="K137" s="2"/>
      <c r="L137" s="59"/>
    </row>
    <row r="138" spans="1:12" x14ac:dyDescent="0.35">
      <c r="A138" s="45">
        <v>134</v>
      </c>
      <c r="B138" s="2"/>
      <c r="C138" s="2"/>
      <c r="D138" s="2"/>
      <c r="E138" s="3"/>
      <c r="F138" s="3"/>
      <c r="G138" s="2"/>
      <c r="H138" s="2"/>
      <c r="I138" s="46"/>
      <c r="J138" s="12"/>
      <c r="K138" s="2"/>
      <c r="L138" s="59"/>
    </row>
    <row r="139" spans="1:12" x14ac:dyDescent="0.35">
      <c r="A139" s="45">
        <v>135</v>
      </c>
      <c r="B139" s="2"/>
      <c r="C139" s="2"/>
      <c r="D139" s="2"/>
      <c r="E139" s="3"/>
      <c r="F139" s="3"/>
      <c r="G139" s="2"/>
      <c r="H139" s="2"/>
      <c r="I139" s="46"/>
      <c r="J139" s="12"/>
      <c r="K139" s="2"/>
      <c r="L139" s="59"/>
    </row>
    <row r="140" spans="1:12" x14ac:dyDescent="0.35">
      <c r="A140" s="45">
        <v>136</v>
      </c>
      <c r="B140" s="2"/>
      <c r="C140" s="2"/>
      <c r="D140" s="2"/>
      <c r="E140" s="3"/>
      <c r="F140" s="3"/>
      <c r="G140" s="2"/>
      <c r="H140" s="2"/>
      <c r="I140" s="46"/>
      <c r="J140" s="12"/>
      <c r="K140" s="2"/>
      <c r="L140" s="59"/>
    </row>
    <row r="141" spans="1:12" x14ac:dyDescent="0.35">
      <c r="A141" s="45">
        <v>137</v>
      </c>
      <c r="B141" s="2"/>
      <c r="C141" s="2"/>
      <c r="D141" s="2"/>
      <c r="E141" s="3"/>
      <c r="F141" s="3"/>
      <c r="G141" s="2"/>
      <c r="H141" s="2"/>
      <c r="I141" s="46"/>
      <c r="J141" s="12"/>
      <c r="K141" s="2"/>
      <c r="L141" s="59"/>
    </row>
    <row r="142" spans="1:12" x14ac:dyDescent="0.35">
      <c r="A142" s="45">
        <v>138</v>
      </c>
      <c r="B142" s="2"/>
      <c r="C142" s="2"/>
      <c r="D142" s="2"/>
      <c r="E142" s="3"/>
      <c r="F142" s="3"/>
      <c r="G142" s="2"/>
      <c r="H142" s="2"/>
      <c r="I142" s="46"/>
      <c r="J142" s="12"/>
      <c r="K142" s="2"/>
      <c r="L142" s="59"/>
    </row>
    <row r="143" spans="1:12" x14ac:dyDescent="0.35">
      <c r="A143" s="45">
        <v>139</v>
      </c>
      <c r="B143" s="2"/>
      <c r="C143" s="2"/>
      <c r="D143" s="2"/>
      <c r="E143" s="3"/>
      <c r="F143" s="3"/>
      <c r="G143" s="2"/>
      <c r="H143" s="2"/>
      <c r="I143" s="46"/>
      <c r="J143" s="12"/>
      <c r="K143" s="2"/>
      <c r="L143" s="59"/>
    </row>
    <row r="144" spans="1:12" x14ac:dyDescent="0.35">
      <c r="A144" s="45">
        <v>140</v>
      </c>
      <c r="B144" s="2"/>
      <c r="C144" s="2"/>
      <c r="D144" s="2"/>
      <c r="E144" s="3"/>
      <c r="F144" s="3"/>
      <c r="G144" s="2"/>
      <c r="H144" s="2"/>
      <c r="I144" s="46"/>
      <c r="J144" s="12"/>
      <c r="K144" s="2"/>
      <c r="L144" s="59"/>
    </row>
    <row r="145" spans="1:12" x14ac:dyDescent="0.35">
      <c r="A145" s="45">
        <v>141</v>
      </c>
      <c r="B145" s="2"/>
      <c r="C145" s="2"/>
      <c r="D145" s="2"/>
      <c r="E145" s="3"/>
      <c r="F145" s="3"/>
      <c r="G145" s="2"/>
      <c r="H145" s="2"/>
      <c r="I145" s="46"/>
      <c r="J145" s="12"/>
      <c r="K145" s="2"/>
      <c r="L145" s="59"/>
    </row>
    <row r="146" spans="1:12" x14ac:dyDescent="0.35">
      <c r="A146" s="45">
        <v>142</v>
      </c>
      <c r="B146" s="2"/>
      <c r="C146" s="2"/>
      <c r="D146" s="2"/>
      <c r="E146" s="3"/>
      <c r="F146" s="3"/>
      <c r="G146" s="2"/>
      <c r="H146" s="2"/>
      <c r="I146" s="46"/>
      <c r="J146" s="12"/>
      <c r="K146" s="2"/>
      <c r="L146" s="59"/>
    </row>
    <row r="147" spans="1:12" x14ac:dyDescent="0.35">
      <c r="A147" s="45">
        <v>143</v>
      </c>
      <c r="B147" s="2"/>
      <c r="C147" s="2"/>
      <c r="D147" s="2"/>
      <c r="E147" s="3"/>
      <c r="F147" s="3"/>
      <c r="G147" s="2"/>
      <c r="H147" s="2"/>
      <c r="I147" s="46"/>
      <c r="J147" s="12"/>
      <c r="K147" s="2"/>
      <c r="L147" s="59"/>
    </row>
    <row r="148" spans="1:12" x14ac:dyDescent="0.35">
      <c r="A148" s="45">
        <v>144</v>
      </c>
      <c r="B148" s="2"/>
      <c r="C148" s="2"/>
      <c r="D148" s="2"/>
      <c r="E148" s="3"/>
      <c r="F148" s="3"/>
      <c r="G148" s="2"/>
      <c r="H148" s="2"/>
      <c r="I148" s="46"/>
      <c r="J148" s="12"/>
      <c r="K148" s="2"/>
      <c r="L148" s="59"/>
    </row>
    <row r="149" spans="1:12" x14ac:dyDescent="0.35">
      <c r="A149" s="45">
        <v>145</v>
      </c>
      <c r="B149" s="2"/>
      <c r="C149" s="2"/>
      <c r="D149" s="2"/>
      <c r="E149" s="3"/>
      <c r="F149" s="3"/>
      <c r="G149" s="2"/>
      <c r="H149" s="2"/>
      <c r="I149" s="46"/>
      <c r="J149" s="12"/>
      <c r="K149" s="2"/>
      <c r="L149" s="59"/>
    </row>
    <row r="150" spans="1:12" x14ac:dyDescent="0.35">
      <c r="A150" s="45">
        <v>146</v>
      </c>
      <c r="B150" s="2"/>
      <c r="C150" s="2"/>
      <c r="D150" s="2"/>
      <c r="E150" s="3"/>
      <c r="F150" s="3"/>
      <c r="G150" s="2"/>
      <c r="H150" s="2"/>
      <c r="I150" s="46"/>
      <c r="J150" s="12"/>
      <c r="K150" s="2"/>
      <c r="L150" s="59"/>
    </row>
    <row r="151" spans="1:12" x14ac:dyDescent="0.35">
      <c r="A151" s="45">
        <v>147</v>
      </c>
      <c r="B151" s="2"/>
      <c r="C151" s="2"/>
      <c r="D151" s="2"/>
      <c r="E151" s="3"/>
      <c r="F151" s="3"/>
      <c r="G151" s="2"/>
      <c r="H151" s="2"/>
      <c r="I151" s="46"/>
      <c r="J151" s="12"/>
      <c r="K151" s="2"/>
      <c r="L151" s="59"/>
    </row>
    <row r="152" spans="1:12" x14ac:dyDescent="0.35">
      <c r="A152" s="45">
        <v>148</v>
      </c>
      <c r="B152" s="2"/>
      <c r="C152" s="2"/>
      <c r="D152" s="2"/>
      <c r="E152" s="3"/>
      <c r="F152" s="3"/>
      <c r="G152" s="2"/>
      <c r="H152" s="2"/>
      <c r="I152" s="46"/>
      <c r="J152" s="12"/>
      <c r="K152" s="2"/>
      <c r="L152" s="59"/>
    </row>
    <row r="153" spans="1:12" x14ac:dyDescent="0.35">
      <c r="A153" s="45">
        <v>149</v>
      </c>
      <c r="B153" s="2"/>
      <c r="C153" s="2"/>
      <c r="D153" s="2"/>
      <c r="E153" s="3"/>
      <c r="F153" s="3"/>
      <c r="G153" s="2"/>
      <c r="H153" s="2"/>
      <c r="I153" s="46"/>
      <c r="J153" s="12"/>
      <c r="K153" s="2"/>
      <c r="L153" s="59"/>
    </row>
    <row r="154" spans="1:12" x14ac:dyDescent="0.35">
      <c r="A154" s="45">
        <v>150</v>
      </c>
      <c r="B154" s="2"/>
      <c r="C154" s="2"/>
      <c r="D154" s="2"/>
      <c r="E154" s="3"/>
      <c r="F154" s="3"/>
      <c r="G154" s="2"/>
      <c r="H154" s="2"/>
      <c r="I154" s="46"/>
      <c r="J154" s="12"/>
      <c r="K154" s="2"/>
      <c r="L154" s="59"/>
    </row>
    <row r="155" spans="1:12" x14ac:dyDescent="0.35">
      <c r="A155" s="45">
        <v>151</v>
      </c>
      <c r="B155" s="2"/>
      <c r="C155" s="2"/>
      <c r="D155" s="2"/>
      <c r="E155" s="3"/>
      <c r="F155" s="3"/>
      <c r="G155" s="2"/>
      <c r="H155" s="2"/>
      <c r="I155" s="46"/>
      <c r="J155" s="12"/>
      <c r="K155" s="2"/>
      <c r="L155" s="59"/>
    </row>
    <row r="156" spans="1:12" x14ac:dyDescent="0.35">
      <c r="A156" s="45">
        <v>152</v>
      </c>
      <c r="B156" s="2"/>
      <c r="C156" s="2"/>
      <c r="D156" s="2"/>
      <c r="E156" s="3"/>
      <c r="F156" s="3"/>
      <c r="G156" s="2"/>
      <c r="H156" s="2"/>
      <c r="I156" s="46"/>
      <c r="J156" s="12"/>
      <c r="K156" s="2"/>
      <c r="L156" s="59"/>
    </row>
    <row r="157" spans="1:12" x14ac:dyDescent="0.35">
      <c r="A157" s="45">
        <v>153</v>
      </c>
      <c r="B157" s="2"/>
      <c r="C157" s="2"/>
      <c r="D157" s="2"/>
      <c r="E157" s="3"/>
      <c r="F157" s="3"/>
      <c r="G157" s="2"/>
      <c r="H157" s="2"/>
      <c r="I157" s="46"/>
      <c r="J157" s="12"/>
      <c r="K157" s="2"/>
      <c r="L157" s="59"/>
    </row>
    <row r="158" spans="1:12" x14ac:dyDescent="0.35">
      <c r="A158" s="45">
        <v>154</v>
      </c>
      <c r="B158" s="2"/>
      <c r="C158" s="2"/>
      <c r="D158" s="2"/>
      <c r="E158" s="3"/>
      <c r="F158" s="3"/>
      <c r="G158" s="2"/>
      <c r="H158" s="2"/>
      <c r="I158" s="46"/>
      <c r="J158" s="12"/>
      <c r="K158" s="2"/>
      <c r="L158" s="59"/>
    </row>
    <row r="159" spans="1:12" x14ac:dyDescent="0.35">
      <c r="A159" s="45">
        <v>155</v>
      </c>
      <c r="B159" s="2"/>
      <c r="C159" s="2"/>
      <c r="D159" s="2"/>
      <c r="E159" s="3"/>
      <c r="F159" s="3"/>
      <c r="G159" s="2"/>
      <c r="H159" s="2"/>
      <c r="I159" s="46"/>
      <c r="J159" s="12"/>
      <c r="K159" s="2"/>
      <c r="L159" s="59"/>
    </row>
    <row r="160" spans="1:12" x14ac:dyDescent="0.35">
      <c r="A160" s="45">
        <v>156</v>
      </c>
      <c r="B160" s="2"/>
      <c r="C160" s="2"/>
      <c r="D160" s="2"/>
      <c r="E160" s="3"/>
      <c r="F160" s="3"/>
      <c r="G160" s="2"/>
      <c r="H160" s="2"/>
      <c r="I160" s="46"/>
      <c r="J160" s="12"/>
      <c r="K160" s="2"/>
      <c r="L160" s="59"/>
    </row>
    <row r="161" spans="1:12" x14ac:dyDescent="0.35">
      <c r="A161" s="45">
        <v>157</v>
      </c>
      <c r="B161" s="2"/>
      <c r="C161" s="2"/>
      <c r="D161" s="2"/>
      <c r="E161" s="3"/>
      <c r="F161" s="3"/>
      <c r="G161" s="2"/>
      <c r="H161" s="2"/>
      <c r="I161" s="46"/>
      <c r="J161" s="12"/>
      <c r="K161" s="2"/>
      <c r="L161" s="59"/>
    </row>
    <row r="162" spans="1:12" x14ac:dyDescent="0.35">
      <c r="A162" s="45">
        <v>158</v>
      </c>
      <c r="B162" s="2"/>
      <c r="C162" s="2"/>
      <c r="D162" s="2"/>
      <c r="E162" s="3"/>
      <c r="F162" s="3"/>
      <c r="G162" s="2"/>
      <c r="H162" s="2"/>
      <c r="I162" s="46"/>
      <c r="J162" s="12"/>
      <c r="K162" s="2"/>
      <c r="L162" s="59"/>
    </row>
    <row r="163" spans="1:12" x14ac:dyDescent="0.35">
      <c r="A163" s="45">
        <v>159</v>
      </c>
      <c r="B163" s="2"/>
      <c r="C163" s="2"/>
      <c r="D163" s="2"/>
      <c r="E163" s="3"/>
      <c r="F163" s="3"/>
      <c r="G163" s="2"/>
      <c r="H163" s="2"/>
      <c r="I163" s="46"/>
      <c r="J163" s="12"/>
      <c r="K163" s="2"/>
      <c r="L163" s="59"/>
    </row>
    <row r="164" spans="1:12" x14ac:dyDescent="0.35">
      <c r="A164" s="45">
        <v>160</v>
      </c>
      <c r="B164" s="2"/>
      <c r="C164" s="2"/>
      <c r="D164" s="2"/>
      <c r="E164" s="3"/>
      <c r="F164" s="3"/>
      <c r="G164" s="2"/>
      <c r="H164" s="2"/>
      <c r="I164" s="46"/>
      <c r="J164" s="12"/>
      <c r="K164" s="2"/>
      <c r="L164" s="59"/>
    </row>
    <row r="165" spans="1:12" x14ac:dyDescent="0.35">
      <c r="A165" s="45">
        <v>161</v>
      </c>
      <c r="B165" s="2"/>
      <c r="C165" s="2"/>
      <c r="D165" s="2"/>
      <c r="E165" s="3"/>
      <c r="F165" s="3"/>
      <c r="G165" s="2"/>
      <c r="H165" s="2"/>
      <c r="I165" s="46"/>
      <c r="J165" s="12"/>
      <c r="K165" s="2"/>
      <c r="L165" s="59"/>
    </row>
    <row r="166" spans="1:12" x14ac:dyDescent="0.35">
      <c r="A166" s="45">
        <v>162</v>
      </c>
      <c r="B166" s="2"/>
      <c r="C166" s="2"/>
      <c r="D166" s="2"/>
      <c r="E166" s="3"/>
      <c r="F166" s="3"/>
      <c r="G166" s="2"/>
      <c r="H166" s="2"/>
      <c r="I166" s="46"/>
      <c r="J166" s="12"/>
      <c r="K166" s="2"/>
      <c r="L166" s="59"/>
    </row>
    <row r="167" spans="1:12" x14ac:dyDescent="0.35">
      <c r="A167" s="45">
        <v>163</v>
      </c>
      <c r="B167" s="2"/>
      <c r="C167" s="2"/>
      <c r="D167" s="2"/>
      <c r="E167" s="3"/>
      <c r="F167" s="3"/>
      <c r="G167" s="2"/>
      <c r="H167" s="2"/>
      <c r="I167" s="46"/>
      <c r="J167" s="12"/>
      <c r="K167" s="2"/>
      <c r="L167" s="59"/>
    </row>
    <row r="168" spans="1:12" x14ac:dyDescent="0.35">
      <c r="A168" s="45">
        <v>164</v>
      </c>
      <c r="B168" s="2"/>
      <c r="C168" s="2"/>
      <c r="D168" s="2"/>
      <c r="E168" s="3"/>
      <c r="F168" s="3"/>
      <c r="G168" s="2"/>
      <c r="H168" s="2"/>
      <c r="I168" s="46"/>
      <c r="J168" s="12"/>
      <c r="K168" s="2"/>
      <c r="L168" s="59"/>
    </row>
    <row r="169" spans="1:12" x14ac:dyDescent="0.35">
      <c r="A169" s="45">
        <v>165</v>
      </c>
      <c r="B169" s="2"/>
      <c r="C169" s="2"/>
      <c r="D169" s="2"/>
      <c r="E169" s="3"/>
      <c r="F169" s="3"/>
      <c r="G169" s="2"/>
      <c r="H169" s="2"/>
      <c r="I169" s="46"/>
      <c r="J169" s="12"/>
      <c r="K169" s="2"/>
      <c r="L169" s="59"/>
    </row>
    <row r="170" spans="1:12" x14ac:dyDescent="0.35">
      <c r="A170" s="45">
        <v>166</v>
      </c>
      <c r="B170" s="2"/>
      <c r="C170" s="2"/>
      <c r="D170" s="2"/>
      <c r="E170" s="3"/>
      <c r="F170" s="3"/>
      <c r="G170" s="2"/>
      <c r="H170" s="2"/>
      <c r="I170" s="46"/>
      <c r="J170" s="12"/>
      <c r="K170" s="2"/>
      <c r="L170" s="59"/>
    </row>
    <row r="171" spans="1:12" x14ac:dyDescent="0.35">
      <c r="A171" s="45">
        <v>167</v>
      </c>
      <c r="B171" s="2"/>
      <c r="C171" s="2"/>
      <c r="D171" s="2"/>
      <c r="E171" s="3"/>
      <c r="F171" s="3"/>
      <c r="G171" s="2"/>
      <c r="H171" s="2"/>
      <c r="I171" s="46"/>
      <c r="J171" s="12"/>
      <c r="K171" s="2"/>
      <c r="L171" s="59"/>
    </row>
    <row r="172" spans="1:12" x14ac:dyDescent="0.35">
      <c r="A172" s="45">
        <v>168</v>
      </c>
      <c r="B172" s="2"/>
      <c r="C172" s="2"/>
      <c r="D172" s="2"/>
      <c r="E172" s="3"/>
      <c r="F172" s="3"/>
      <c r="G172" s="2"/>
      <c r="H172" s="2"/>
      <c r="I172" s="46"/>
      <c r="J172" s="12"/>
      <c r="K172" s="2"/>
      <c r="L172" s="59"/>
    </row>
    <row r="173" spans="1:12" x14ac:dyDescent="0.35">
      <c r="A173" s="45">
        <v>169</v>
      </c>
      <c r="B173" s="2"/>
      <c r="C173" s="2"/>
      <c r="D173" s="2"/>
      <c r="E173" s="3"/>
      <c r="F173" s="3"/>
      <c r="G173" s="2"/>
      <c r="H173" s="2"/>
      <c r="I173" s="46"/>
      <c r="J173" s="12"/>
      <c r="K173" s="2"/>
      <c r="L173" s="59"/>
    </row>
    <row r="174" spans="1:12" x14ac:dyDescent="0.35">
      <c r="A174" s="45">
        <v>170</v>
      </c>
      <c r="B174" s="2"/>
      <c r="C174" s="2"/>
      <c r="D174" s="2"/>
      <c r="E174" s="3"/>
      <c r="F174" s="3"/>
      <c r="G174" s="2"/>
      <c r="H174" s="2"/>
      <c r="I174" s="46"/>
      <c r="J174" s="12"/>
      <c r="K174" s="2"/>
      <c r="L174" s="59"/>
    </row>
    <row r="175" spans="1:12" x14ac:dyDescent="0.35">
      <c r="A175" s="45">
        <v>171</v>
      </c>
      <c r="B175" s="2"/>
      <c r="C175" s="2"/>
      <c r="D175" s="2"/>
      <c r="E175" s="3"/>
      <c r="F175" s="3"/>
      <c r="G175" s="2"/>
      <c r="H175" s="2"/>
      <c r="I175" s="46"/>
      <c r="J175" s="12"/>
      <c r="K175" s="2"/>
      <c r="L175" s="59"/>
    </row>
    <row r="176" spans="1:12" x14ac:dyDescent="0.35">
      <c r="A176" s="45">
        <v>172</v>
      </c>
      <c r="B176" s="2"/>
      <c r="C176" s="2"/>
      <c r="D176" s="2"/>
      <c r="E176" s="3"/>
      <c r="F176" s="3"/>
      <c r="G176" s="2"/>
      <c r="H176" s="2"/>
      <c r="I176" s="46"/>
      <c r="J176" s="12"/>
      <c r="K176" s="2"/>
      <c r="L176" s="59"/>
    </row>
    <row r="177" spans="1:12" x14ac:dyDescent="0.35">
      <c r="A177" s="45">
        <v>173</v>
      </c>
      <c r="B177" s="2"/>
      <c r="C177" s="2"/>
      <c r="D177" s="2"/>
      <c r="E177" s="3"/>
      <c r="F177" s="3"/>
      <c r="G177" s="2"/>
      <c r="H177" s="2"/>
      <c r="I177" s="46"/>
      <c r="J177" s="12"/>
      <c r="K177" s="2"/>
      <c r="L177" s="59"/>
    </row>
    <row r="178" spans="1:12" x14ac:dyDescent="0.35">
      <c r="A178" s="45">
        <v>174</v>
      </c>
      <c r="B178" s="2"/>
      <c r="C178" s="2"/>
      <c r="D178" s="2"/>
      <c r="E178" s="3"/>
      <c r="F178" s="3"/>
      <c r="G178" s="2"/>
      <c r="H178" s="2"/>
      <c r="I178" s="46"/>
      <c r="J178" s="12"/>
      <c r="K178" s="2"/>
      <c r="L178" s="59"/>
    </row>
    <row r="179" spans="1:12" x14ac:dyDescent="0.35">
      <c r="A179" s="45">
        <v>175</v>
      </c>
      <c r="B179" s="2"/>
      <c r="C179" s="2"/>
      <c r="D179" s="2"/>
      <c r="E179" s="3"/>
      <c r="F179" s="3"/>
      <c r="G179" s="2"/>
      <c r="H179" s="2"/>
      <c r="I179" s="46"/>
      <c r="J179" s="12"/>
      <c r="K179" s="2"/>
      <c r="L179" s="59"/>
    </row>
    <row r="180" spans="1:12" x14ac:dyDescent="0.35">
      <c r="A180" s="45">
        <v>176</v>
      </c>
      <c r="B180" s="2"/>
      <c r="C180" s="2"/>
      <c r="D180" s="2"/>
      <c r="E180" s="3"/>
      <c r="F180" s="3"/>
      <c r="G180" s="2"/>
      <c r="H180" s="2"/>
      <c r="I180" s="46"/>
      <c r="J180" s="12"/>
      <c r="K180" s="2"/>
      <c r="L180" s="59"/>
    </row>
    <row r="181" spans="1:12" x14ac:dyDescent="0.35">
      <c r="A181" s="45">
        <v>177</v>
      </c>
      <c r="B181" s="2"/>
      <c r="C181" s="2"/>
      <c r="D181" s="2"/>
      <c r="E181" s="3"/>
      <c r="F181" s="3"/>
      <c r="G181" s="2"/>
      <c r="H181" s="2"/>
      <c r="I181" s="46"/>
      <c r="J181" s="12"/>
      <c r="K181" s="2"/>
      <c r="L181" s="59"/>
    </row>
    <row r="182" spans="1:12" x14ac:dyDescent="0.35">
      <c r="A182" s="45">
        <v>178</v>
      </c>
      <c r="B182" s="2"/>
      <c r="C182" s="2"/>
      <c r="D182" s="2"/>
      <c r="E182" s="3"/>
      <c r="F182" s="3"/>
      <c r="G182" s="2"/>
      <c r="H182" s="2"/>
      <c r="I182" s="46"/>
      <c r="J182" s="12"/>
      <c r="K182" s="2"/>
      <c r="L182" s="59"/>
    </row>
    <row r="183" spans="1:12" x14ac:dyDescent="0.35">
      <c r="A183" s="45">
        <v>179</v>
      </c>
      <c r="B183" s="2"/>
      <c r="C183" s="2"/>
      <c r="D183" s="2"/>
      <c r="E183" s="3"/>
      <c r="F183" s="3"/>
      <c r="G183" s="2"/>
      <c r="H183" s="2"/>
      <c r="I183" s="46"/>
      <c r="J183" s="12"/>
      <c r="K183" s="2"/>
      <c r="L183" s="59"/>
    </row>
    <row r="184" spans="1:12" x14ac:dyDescent="0.35">
      <c r="A184" s="45">
        <v>180</v>
      </c>
      <c r="B184" s="2"/>
      <c r="C184" s="2"/>
      <c r="D184" s="2"/>
      <c r="E184" s="3"/>
      <c r="F184" s="3"/>
      <c r="G184" s="2"/>
      <c r="H184" s="2"/>
      <c r="I184" s="46"/>
      <c r="J184" s="12"/>
      <c r="K184" s="2"/>
      <c r="L184" s="59"/>
    </row>
    <row r="185" spans="1:12" x14ac:dyDescent="0.35">
      <c r="A185" s="45">
        <v>181</v>
      </c>
      <c r="B185" s="2"/>
      <c r="C185" s="2"/>
      <c r="D185" s="2"/>
      <c r="E185" s="3"/>
      <c r="F185" s="3"/>
      <c r="G185" s="2"/>
      <c r="H185" s="2"/>
      <c r="I185" s="46"/>
      <c r="J185" s="12"/>
      <c r="K185" s="2"/>
      <c r="L185" s="59"/>
    </row>
    <row r="186" spans="1:12" x14ac:dyDescent="0.35">
      <c r="A186" s="45">
        <v>182</v>
      </c>
      <c r="B186" s="2"/>
      <c r="C186" s="2"/>
      <c r="D186" s="2"/>
      <c r="E186" s="3"/>
      <c r="F186" s="3"/>
      <c r="G186" s="2"/>
      <c r="H186" s="2"/>
      <c r="I186" s="46"/>
      <c r="J186" s="12"/>
      <c r="K186" s="2"/>
      <c r="L186" s="59"/>
    </row>
    <row r="187" spans="1:12" x14ac:dyDescent="0.35">
      <c r="A187" s="45">
        <v>183</v>
      </c>
      <c r="B187" s="2"/>
      <c r="C187" s="2"/>
      <c r="D187" s="2"/>
      <c r="E187" s="3"/>
      <c r="F187" s="3"/>
      <c r="G187" s="2"/>
      <c r="H187" s="2"/>
      <c r="I187" s="46"/>
      <c r="J187" s="12"/>
      <c r="K187" s="2"/>
      <c r="L187" s="59"/>
    </row>
    <row r="188" spans="1:12" x14ac:dyDescent="0.35">
      <c r="A188" s="45">
        <v>184</v>
      </c>
      <c r="B188" s="2"/>
      <c r="C188" s="2"/>
      <c r="D188" s="2"/>
      <c r="E188" s="3"/>
      <c r="F188" s="3"/>
      <c r="G188" s="2"/>
      <c r="H188" s="2"/>
      <c r="I188" s="46"/>
      <c r="J188" s="12"/>
      <c r="K188" s="2"/>
      <c r="L188" s="59"/>
    </row>
    <row r="189" spans="1:12" x14ac:dyDescent="0.35">
      <c r="A189" s="45">
        <v>185</v>
      </c>
      <c r="B189" s="2"/>
      <c r="C189" s="2"/>
      <c r="D189" s="2"/>
      <c r="E189" s="3"/>
      <c r="F189" s="3"/>
      <c r="G189" s="2"/>
      <c r="H189" s="2"/>
      <c r="I189" s="46"/>
      <c r="J189" s="12"/>
      <c r="K189" s="2"/>
      <c r="L189" s="59"/>
    </row>
    <row r="190" spans="1:12" x14ac:dyDescent="0.35">
      <c r="A190" s="45">
        <v>186</v>
      </c>
      <c r="B190" s="2"/>
      <c r="C190" s="2"/>
      <c r="D190" s="2"/>
      <c r="E190" s="3"/>
      <c r="F190" s="3"/>
      <c r="G190" s="2"/>
      <c r="H190" s="2"/>
      <c r="I190" s="46"/>
      <c r="J190" s="12"/>
      <c r="K190" s="2"/>
      <c r="L190" s="59"/>
    </row>
    <row r="191" spans="1:12" x14ac:dyDescent="0.35">
      <c r="A191" s="45">
        <v>187</v>
      </c>
      <c r="B191" s="2"/>
      <c r="C191" s="2"/>
      <c r="D191" s="2"/>
      <c r="E191" s="3"/>
      <c r="F191" s="3"/>
      <c r="G191" s="2"/>
      <c r="H191" s="2"/>
      <c r="I191" s="46"/>
      <c r="J191" s="12"/>
      <c r="K191" s="2"/>
      <c r="L191" s="59"/>
    </row>
    <row r="192" spans="1:12" x14ac:dyDescent="0.35">
      <c r="A192" s="45">
        <v>188</v>
      </c>
      <c r="B192" s="2"/>
      <c r="C192" s="2"/>
      <c r="D192" s="2"/>
      <c r="E192" s="3"/>
      <c r="F192" s="3"/>
      <c r="G192" s="2"/>
      <c r="H192" s="2"/>
      <c r="I192" s="46"/>
      <c r="J192" s="12"/>
      <c r="K192" s="2"/>
      <c r="L192" s="59"/>
    </row>
    <row r="193" spans="1:12" x14ac:dyDescent="0.35">
      <c r="A193" s="45">
        <v>189</v>
      </c>
      <c r="B193" s="2"/>
      <c r="C193" s="2"/>
      <c r="D193" s="2"/>
      <c r="E193" s="3"/>
      <c r="F193" s="3"/>
      <c r="G193" s="2"/>
      <c r="H193" s="2"/>
      <c r="I193" s="46"/>
      <c r="J193" s="12"/>
      <c r="K193" s="2"/>
      <c r="L193" s="59"/>
    </row>
    <row r="194" spans="1:12" x14ac:dyDescent="0.35">
      <c r="A194" s="45">
        <v>190</v>
      </c>
      <c r="B194" s="2"/>
      <c r="C194" s="2"/>
      <c r="D194" s="2"/>
      <c r="E194" s="3"/>
      <c r="F194" s="3"/>
      <c r="G194" s="2"/>
      <c r="H194" s="2"/>
      <c r="I194" s="46"/>
      <c r="J194" s="12"/>
      <c r="K194" s="2"/>
      <c r="L194" s="59"/>
    </row>
    <row r="195" spans="1:12" x14ac:dyDescent="0.35">
      <c r="A195" s="45">
        <v>191</v>
      </c>
      <c r="B195" s="2"/>
      <c r="C195" s="2"/>
      <c r="D195" s="2"/>
      <c r="E195" s="3"/>
      <c r="F195" s="3"/>
      <c r="G195" s="2"/>
      <c r="H195" s="2"/>
      <c r="I195" s="46"/>
      <c r="J195" s="12"/>
      <c r="K195" s="2"/>
      <c r="L195" s="59"/>
    </row>
    <row r="196" spans="1:12" x14ac:dyDescent="0.35">
      <c r="A196" s="45">
        <v>192</v>
      </c>
      <c r="B196" s="2"/>
      <c r="C196" s="2"/>
      <c r="D196" s="2"/>
      <c r="E196" s="3"/>
      <c r="F196" s="3"/>
      <c r="G196" s="2"/>
      <c r="H196" s="2"/>
      <c r="I196" s="46"/>
      <c r="J196" s="12"/>
      <c r="K196" s="2"/>
      <c r="L196" s="59"/>
    </row>
    <row r="197" spans="1:12" x14ac:dyDescent="0.35">
      <c r="A197" s="45">
        <v>193</v>
      </c>
      <c r="B197" s="2"/>
      <c r="C197" s="2"/>
      <c r="D197" s="2"/>
      <c r="E197" s="3"/>
      <c r="F197" s="3"/>
      <c r="G197" s="2"/>
      <c r="H197" s="2"/>
      <c r="I197" s="46"/>
      <c r="J197" s="12"/>
      <c r="K197" s="2"/>
      <c r="L197" s="59"/>
    </row>
    <row r="198" spans="1:12" x14ac:dyDescent="0.35">
      <c r="A198" s="45">
        <v>194</v>
      </c>
      <c r="B198" s="2"/>
      <c r="C198" s="2"/>
      <c r="D198" s="2"/>
      <c r="E198" s="3"/>
      <c r="F198" s="3"/>
      <c r="G198" s="2"/>
      <c r="H198" s="2"/>
      <c r="I198" s="46"/>
      <c r="J198" s="12"/>
      <c r="K198" s="2"/>
      <c r="L198" s="59"/>
    </row>
    <row r="199" spans="1:12" x14ac:dyDescent="0.35">
      <c r="A199" s="45">
        <v>195</v>
      </c>
      <c r="B199" s="2"/>
      <c r="C199" s="2"/>
      <c r="D199" s="2"/>
      <c r="E199" s="3"/>
      <c r="F199" s="3"/>
      <c r="G199" s="2"/>
      <c r="H199" s="2"/>
      <c r="I199" s="46"/>
      <c r="J199" s="12"/>
      <c r="K199" s="2"/>
      <c r="L199" s="59"/>
    </row>
    <row r="200" spans="1:12" x14ac:dyDescent="0.35">
      <c r="A200" s="45">
        <v>196</v>
      </c>
      <c r="B200" s="2"/>
      <c r="C200" s="2"/>
      <c r="D200" s="2"/>
      <c r="E200" s="3"/>
      <c r="F200" s="3"/>
      <c r="G200" s="2"/>
      <c r="H200" s="2"/>
      <c r="I200" s="46"/>
      <c r="J200" s="12"/>
      <c r="K200" s="2"/>
      <c r="L200" s="59"/>
    </row>
    <row r="201" spans="1:12" x14ac:dyDescent="0.35">
      <c r="A201" s="45">
        <v>197</v>
      </c>
      <c r="B201" s="2"/>
      <c r="C201" s="2"/>
      <c r="D201" s="2"/>
      <c r="E201" s="3"/>
      <c r="F201" s="3"/>
      <c r="G201" s="2"/>
      <c r="H201" s="2"/>
      <c r="I201" s="46"/>
      <c r="J201" s="12"/>
      <c r="K201" s="2"/>
      <c r="L201" s="59"/>
    </row>
    <row r="202" spans="1:12" x14ac:dyDescent="0.35">
      <c r="A202" s="45">
        <v>198</v>
      </c>
      <c r="B202" s="2"/>
      <c r="C202" s="2"/>
      <c r="D202" s="2"/>
      <c r="E202" s="3"/>
      <c r="F202" s="3"/>
      <c r="G202" s="2"/>
      <c r="H202" s="2"/>
      <c r="I202" s="46"/>
      <c r="J202" s="12"/>
      <c r="K202" s="2"/>
      <c r="L202" s="59"/>
    </row>
    <row r="203" spans="1:12" x14ac:dyDescent="0.35">
      <c r="A203" s="45">
        <v>199</v>
      </c>
      <c r="B203" s="2"/>
      <c r="C203" s="2"/>
      <c r="D203" s="2"/>
      <c r="E203" s="3"/>
      <c r="F203" s="3"/>
      <c r="G203" s="2"/>
      <c r="H203" s="2"/>
      <c r="I203" s="46"/>
      <c r="J203" s="12"/>
      <c r="K203" s="2"/>
      <c r="L203" s="59"/>
    </row>
    <row r="204" spans="1:12" x14ac:dyDescent="0.35">
      <c r="A204" s="45">
        <v>200</v>
      </c>
      <c r="B204" s="2"/>
      <c r="C204" s="2"/>
      <c r="D204" s="2"/>
      <c r="E204" s="3"/>
      <c r="F204" s="3"/>
      <c r="G204" s="2"/>
      <c r="H204" s="2"/>
      <c r="I204" s="46"/>
      <c r="J204" s="12"/>
      <c r="K204" s="2"/>
      <c r="L204" s="59"/>
    </row>
    <row r="205" spans="1:12" x14ac:dyDescent="0.35">
      <c r="A205" s="45">
        <v>201</v>
      </c>
      <c r="B205" s="2"/>
      <c r="C205" s="2"/>
      <c r="D205" s="2"/>
      <c r="E205" s="3"/>
      <c r="F205" s="3"/>
      <c r="G205" s="2"/>
      <c r="H205" s="2"/>
      <c r="I205" s="46"/>
      <c r="J205" s="12"/>
      <c r="K205" s="2"/>
      <c r="L205" s="59"/>
    </row>
    <row r="206" spans="1:12" x14ac:dyDescent="0.35">
      <c r="A206" s="45">
        <v>202</v>
      </c>
      <c r="B206" s="2"/>
      <c r="C206" s="2"/>
      <c r="D206" s="2"/>
      <c r="E206" s="3"/>
      <c r="F206" s="3"/>
      <c r="G206" s="2"/>
      <c r="H206" s="2"/>
      <c r="I206" s="46"/>
      <c r="J206" s="12"/>
      <c r="K206" s="2"/>
      <c r="L206" s="59"/>
    </row>
    <row r="207" spans="1:12" x14ac:dyDescent="0.35">
      <c r="A207" s="45">
        <v>203</v>
      </c>
      <c r="B207" s="2"/>
      <c r="C207" s="2"/>
      <c r="D207" s="2"/>
      <c r="E207" s="3"/>
      <c r="F207" s="3"/>
      <c r="G207" s="2"/>
      <c r="H207" s="2"/>
      <c r="I207" s="46"/>
      <c r="J207" s="12"/>
      <c r="K207" s="2"/>
      <c r="L207" s="59"/>
    </row>
    <row r="208" spans="1:12" x14ac:dyDescent="0.35">
      <c r="A208" s="45">
        <v>204</v>
      </c>
      <c r="B208" s="2"/>
      <c r="C208" s="2"/>
      <c r="D208" s="2"/>
      <c r="E208" s="3"/>
      <c r="F208" s="3"/>
      <c r="G208" s="2"/>
      <c r="H208" s="2"/>
      <c r="I208" s="46"/>
      <c r="J208" s="12"/>
      <c r="K208" s="2"/>
      <c r="L208" s="59"/>
    </row>
    <row r="209" spans="1:12" x14ac:dyDescent="0.35">
      <c r="A209" s="45">
        <v>205</v>
      </c>
      <c r="B209" s="2"/>
      <c r="C209" s="2"/>
      <c r="D209" s="2"/>
      <c r="E209" s="3"/>
      <c r="F209" s="3"/>
      <c r="G209" s="2"/>
      <c r="H209" s="2"/>
      <c r="I209" s="46"/>
      <c r="J209" s="12"/>
      <c r="K209" s="2"/>
      <c r="L209" s="59"/>
    </row>
    <row r="210" spans="1:12" x14ac:dyDescent="0.35">
      <c r="A210" s="45">
        <v>206</v>
      </c>
      <c r="B210" s="2"/>
      <c r="C210" s="2"/>
      <c r="D210" s="2"/>
      <c r="E210" s="3"/>
      <c r="F210" s="3"/>
      <c r="G210" s="2"/>
      <c r="H210" s="2"/>
      <c r="I210" s="46"/>
      <c r="J210" s="12"/>
      <c r="K210" s="2"/>
      <c r="L210" s="59"/>
    </row>
    <row r="211" spans="1:12" x14ac:dyDescent="0.35">
      <c r="A211" s="45">
        <v>207</v>
      </c>
      <c r="B211" s="2"/>
      <c r="C211" s="2"/>
      <c r="D211" s="2"/>
      <c r="E211" s="3"/>
      <c r="F211" s="3"/>
      <c r="G211" s="2"/>
      <c r="H211" s="2"/>
      <c r="I211" s="46"/>
      <c r="J211" s="12"/>
      <c r="K211" s="2"/>
      <c r="L211" s="59"/>
    </row>
    <row r="212" spans="1:12" x14ac:dyDescent="0.35">
      <c r="A212" s="45">
        <v>208</v>
      </c>
      <c r="B212" s="2"/>
      <c r="C212" s="2"/>
      <c r="D212" s="2"/>
      <c r="E212" s="3"/>
      <c r="F212" s="3"/>
      <c r="G212" s="2"/>
      <c r="H212" s="2"/>
      <c r="I212" s="46"/>
      <c r="J212" s="12"/>
      <c r="K212" s="2"/>
      <c r="L212" s="59"/>
    </row>
    <row r="213" spans="1:12" x14ac:dyDescent="0.35">
      <c r="A213" s="45">
        <v>209</v>
      </c>
      <c r="B213" s="2"/>
      <c r="C213" s="2"/>
      <c r="D213" s="2"/>
      <c r="E213" s="3"/>
      <c r="F213" s="3"/>
      <c r="G213" s="2"/>
      <c r="H213" s="2"/>
      <c r="I213" s="46"/>
      <c r="J213" s="12"/>
      <c r="K213" s="2"/>
      <c r="L213" s="59"/>
    </row>
    <row r="214" spans="1:12" x14ac:dyDescent="0.35">
      <c r="A214" s="45">
        <v>210</v>
      </c>
      <c r="B214" s="2"/>
      <c r="C214" s="2"/>
      <c r="D214" s="2"/>
      <c r="E214" s="3"/>
      <c r="F214" s="3"/>
      <c r="G214" s="2"/>
      <c r="H214" s="2"/>
      <c r="I214" s="46"/>
      <c r="J214" s="12"/>
      <c r="K214" s="2"/>
      <c r="L214" s="59"/>
    </row>
    <row r="215" spans="1:12" x14ac:dyDescent="0.35">
      <c r="A215" s="45">
        <v>211</v>
      </c>
      <c r="B215" s="2"/>
      <c r="C215" s="2"/>
      <c r="D215" s="2"/>
      <c r="E215" s="3"/>
      <c r="F215" s="3"/>
      <c r="G215" s="2"/>
      <c r="H215" s="2"/>
      <c r="I215" s="46"/>
      <c r="J215" s="12"/>
      <c r="K215" s="2"/>
      <c r="L215" s="59"/>
    </row>
    <row r="216" spans="1:12" x14ac:dyDescent="0.35">
      <c r="A216" s="45">
        <v>212</v>
      </c>
      <c r="B216" s="2"/>
      <c r="C216" s="2"/>
      <c r="D216" s="2"/>
      <c r="E216" s="3"/>
      <c r="F216" s="3"/>
      <c r="G216" s="2"/>
      <c r="H216" s="2"/>
      <c r="I216" s="46"/>
      <c r="J216" s="12"/>
      <c r="K216" s="2"/>
      <c r="L216" s="59"/>
    </row>
    <row r="217" spans="1:12" x14ac:dyDescent="0.35">
      <c r="A217" s="45">
        <v>213</v>
      </c>
      <c r="B217" s="2"/>
      <c r="C217" s="2"/>
      <c r="D217" s="2"/>
      <c r="E217" s="3"/>
      <c r="F217" s="3"/>
      <c r="G217" s="2"/>
      <c r="H217" s="2"/>
      <c r="I217" s="46"/>
      <c r="J217" s="12"/>
      <c r="K217" s="2"/>
      <c r="L217" s="59"/>
    </row>
    <row r="218" spans="1:12" x14ac:dyDescent="0.35">
      <c r="A218" s="45">
        <v>214</v>
      </c>
      <c r="B218" s="2"/>
      <c r="C218" s="2"/>
      <c r="D218" s="2"/>
      <c r="E218" s="3"/>
      <c r="F218" s="3"/>
      <c r="G218" s="2"/>
      <c r="H218" s="2"/>
      <c r="I218" s="46"/>
      <c r="J218" s="12"/>
      <c r="K218" s="2"/>
      <c r="L218" s="59"/>
    </row>
    <row r="219" spans="1:12" x14ac:dyDescent="0.35">
      <c r="A219" s="45">
        <v>215</v>
      </c>
      <c r="B219" s="2"/>
      <c r="C219" s="2"/>
      <c r="D219" s="2"/>
      <c r="E219" s="3"/>
      <c r="F219" s="3"/>
      <c r="G219" s="2"/>
      <c r="H219" s="2"/>
      <c r="I219" s="46"/>
      <c r="J219" s="12"/>
      <c r="K219" s="2"/>
      <c r="L219" s="59"/>
    </row>
    <row r="220" spans="1:12" x14ac:dyDescent="0.35">
      <c r="A220" s="45">
        <v>216</v>
      </c>
      <c r="B220" s="2"/>
      <c r="C220" s="2"/>
      <c r="D220" s="2"/>
      <c r="E220" s="3"/>
      <c r="F220" s="3"/>
      <c r="G220" s="2"/>
      <c r="H220" s="2"/>
      <c r="I220" s="46"/>
      <c r="J220" s="12"/>
      <c r="K220" s="2"/>
      <c r="L220" s="59"/>
    </row>
    <row r="221" spans="1:12" x14ac:dyDescent="0.35">
      <c r="A221" s="45">
        <v>217</v>
      </c>
      <c r="B221" s="2"/>
      <c r="C221" s="2"/>
      <c r="D221" s="2"/>
      <c r="E221" s="3"/>
      <c r="F221" s="3"/>
      <c r="G221" s="2"/>
      <c r="H221" s="2"/>
      <c r="I221" s="46"/>
      <c r="J221" s="12"/>
      <c r="K221" s="2"/>
      <c r="L221" s="59"/>
    </row>
    <row r="222" spans="1:12" x14ac:dyDescent="0.35">
      <c r="A222" s="45">
        <v>218</v>
      </c>
      <c r="B222" s="2"/>
      <c r="C222" s="2"/>
      <c r="D222" s="2"/>
      <c r="E222" s="3"/>
      <c r="F222" s="3"/>
      <c r="G222" s="2"/>
      <c r="H222" s="2"/>
      <c r="I222" s="46"/>
      <c r="J222" s="12"/>
      <c r="K222" s="2"/>
      <c r="L222" s="59"/>
    </row>
    <row r="223" spans="1:12" x14ac:dyDescent="0.35">
      <c r="A223" s="45">
        <v>219</v>
      </c>
      <c r="B223" s="2"/>
      <c r="C223" s="2"/>
      <c r="D223" s="2"/>
      <c r="E223" s="3"/>
      <c r="F223" s="3"/>
      <c r="G223" s="2"/>
      <c r="H223" s="2"/>
      <c r="I223" s="46"/>
      <c r="J223" s="12"/>
      <c r="K223" s="2"/>
      <c r="L223" s="59"/>
    </row>
    <row r="224" spans="1:12" x14ac:dyDescent="0.35">
      <c r="A224" s="45">
        <v>220</v>
      </c>
      <c r="B224" s="2"/>
      <c r="C224" s="2"/>
      <c r="D224" s="2"/>
      <c r="E224" s="3"/>
      <c r="F224" s="3"/>
      <c r="G224" s="2"/>
      <c r="H224" s="2"/>
      <c r="I224" s="46"/>
      <c r="J224" s="12"/>
      <c r="K224" s="2"/>
      <c r="L224" s="59"/>
    </row>
    <row r="225" spans="1:12" x14ac:dyDescent="0.35">
      <c r="A225" s="45">
        <v>221</v>
      </c>
      <c r="B225" s="2"/>
      <c r="C225" s="2"/>
      <c r="D225" s="2"/>
      <c r="E225" s="3"/>
      <c r="F225" s="3"/>
      <c r="G225" s="2"/>
      <c r="H225" s="2"/>
      <c r="I225" s="46"/>
      <c r="J225" s="12"/>
      <c r="K225" s="2"/>
      <c r="L225" s="59"/>
    </row>
    <row r="226" spans="1:12" x14ac:dyDescent="0.35">
      <c r="A226" s="45">
        <v>222</v>
      </c>
      <c r="B226" s="2"/>
      <c r="C226" s="2"/>
      <c r="D226" s="2"/>
      <c r="E226" s="3"/>
      <c r="F226" s="3"/>
      <c r="G226" s="2"/>
      <c r="H226" s="2"/>
      <c r="I226" s="46"/>
      <c r="J226" s="12"/>
      <c r="K226" s="2"/>
      <c r="L226" s="59"/>
    </row>
    <row r="227" spans="1:12" x14ac:dyDescent="0.35">
      <c r="A227" s="45">
        <v>223</v>
      </c>
      <c r="B227" s="2"/>
      <c r="C227" s="2"/>
      <c r="D227" s="2"/>
      <c r="E227" s="3"/>
      <c r="F227" s="3"/>
      <c r="G227" s="2"/>
      <c r="H227" s="2"/>
      <c r="I227" s="46"/>
      <c r="J227" s="12"/>
      <c r="K227" s="2"/>
      <c r="L227" s="59"/>
    </row>
    <row r="228" spans="1:12" x14ac:dyDescent="0.35">
      <c r="A228" s="45">
        <v>224</v>
      </c>
      <c r="B228" s="2"/>
      <c r="C228" s="2"/>
      <c r="D228" s="2"/>
      <c r="E228" s="3"/>
      <c r="F228" s="3"/>
      <c r="G228" s="2"/>
      <c r="H228" s="2"/>
      <c r="I228" s="46"/>
      <c r="J228" s="12"/>
      <c r="K228" s="2"/>
      <c r="L228" s="59"/>
    </row>
    <row r="229" spans="1:12" x14ac:dyDescent="0.35">
      <c r="A229" s="45">
        <v>225</v>
      </c>
      <c r="B229" s="2"/>
      <c r="C229" s="2"/>
      <c r="D229" s="2"/>
      <c r="E229" s="3"/>
      <c r="F229" s="3"/>
      <c r="G229" s="2"/>
      <c r="H229" s="2"/>
      <c r="I229" s="46"/>
      <c r="J229" s="12"/>
      <c r="K229" s="2"/>
      <c r="L229" s="59"/>
    </row>
    <row r="230" spans="1:12" x14ac:dyDescent="0.35">
      <c r="A230" s="45">
        <v>226</v>
      </c>
      <c r="B230" s="2"/>
      <c r="C230" s="2"/>
      <c r="D230" s="2"/>
      <c r="E230" s="3"/>
      <c r="F230" s="3"/>
      <c r="G230" s="2"/>
      <c r="H230" s="2"/>
      <c r="I230" s="46"/>
      <c r="J230" s="12"/>
      <c r="K230" s="2"/>
      <c r="L230" s="59"/>
    </row>
    <row r="231" spans="1:12" x14ac:dyDescent="0.35">
      <c r="A231" s="45">
        <v>227</v>
      </c>
      <c r="B231" s="2"/>
      <c r="C231" s="2"/>
      <c r="D231" s="2"/>
      <c r="E231" s="3"/>
      <c r="F231" s="3"/>
      <c r="G231" s="2"/>
      <c r="H231" s="2"/>
      <c r="I231" s="46"/>
      <c r="J231" s="12"/>
      <c r="K231" s="2"/>
      <c r="L231" s="59"/>
    </row>
    <row r="232" spans="1:12" x14ac:dyDescent="0.35">
      <c r="A232" s="45">
        <v>228</v>
      </c>
      <c r="B232" s="2"/>
      <c r="C232" s="2"/>
      <c r="D232" s="2"/>
      <c r="E232" s="3"/>
      <c r="F232" s="3"/>
      <c r="G232" s="2"/>
      <c r="H232" s="2"/>
      <c r="I232" s="46"/>
      <c r="J232" s="12"/>
      <c r="K232" s="2"/>
      <c r="L232" s="59"/>
    </row>
    <row r="233" spans="1:12" x14ac:dyDescent="0.35">
      <c r="A233" s="45">
        <v>229</v>
      </c>
      <c r="B233" s="2"/>
      <c r="C233" s="2"/>
      <c r="D233" s="2"/>
      <c r="E233" s="3"/>
      <c r="F233" s="3"/>
      <c r="G233" s="2"/>
      <c r="H233" s="2"/>
      <c r="I233" s="46"/>
      <c r="J233" s="12"/>
      <c r="K233" s="2"/>
      <c r="L233" s="59"/>
    </row>
    <row r="234" spans="1:12" x14ac:dyDescent="0.35">
      <c r="A234" s="45">
        <v>230</v>
      </c>
      <c r="B234" s="2"/>
      <c r="C234" s="2"/>
      <c r="D234" s="2"/>
      <c r="E234" s="3"/>
      <c r="F234" s="3"/>
      <c r="G234" s="2"/>
      <c r="H234" s="2"/>
      <c r="I234" s="46"/>
      <c r="J234" s="12"/>
      <c r="K234" s="2"/>
      <c r="L234" s="59"/>
    </row>
    <row r="235" spans="1:12" x14ac:dyDescent="0.35">
      <c r="A235" s="45">
        <v>231</v>
      </c>
      <c r="B235" s="2"/>
      <c r="C235" s="2"/>
      <c r="D235" s="2"/>
      <c r="E235" s="3"/>
      <c r="F235" s="3"/>
      <c r="G235" s="2"/>
      <c r="H235" s="2"/>
      <c r="I235" s="46"/>
      <c r="J235" s="12"/>
      <c r="K235" s="2"/>
      <c r="L235" s="59"/>
    </row>
    <row r="236" spans="1:12" x14ac:dyDescent="0.35">
      <c r="A236" s="45">
        <v>232</v>
      </c>
      <c r="B236" s="2"/>
      <c r="C236" s="2"/>
      <c r="D236" s="2"/>
      <c r="E236" s="3"/>
      <c r="F236" s="3"/>
      <c r="G236" s="2"/>
      <c r="H236" s="2"/>
      <c r="I236" s="46"/>
      <c r="J236" s="12"/>
      <c r="K236" s="2"/>
      <c r="L236" s="59"/>
    </row>
    <row r="237" spans="1:12" x14ac:dyDescent="0.35">
      <c r="A237" s="45">
        <v>233</v>
      </c>
      <c r="B237" s="2"/>
      <c r="C237" s="2"/>
      <c r="D237" s="2"/>
      <c r="E237" s="3"/>
      <c r="F237" s="3"/>
      <c r="G237" s="2"/>
      <c r="H237" s="2"/>
      <c r="I237" s="46"/>
      <c r="J237" s="12"/>
      <c r="K237" s="2"/>
      <c r="L237" s="59"/>
    </row>
    <row r="238" spans="1:12" x14ac:dyDescent="0.35">
      <c r="A238" s="45">
        <v>234</v>
      </c>
      <c r="B238" s="2"/>
      <c r="C238" s="2"/>
      <c r="D238" s="2"/>
      <c r="E238" s="3"/>
      <c r="F238" s="3"/>
      <c r="G238" s="2"/>
      <c r="H238" s="2"/>
      <c r="I238" s="46"/>
      <c r="J238" s="12"/>
      <c r="K238" s="2"/>
      <c r="L238" s="59"/>
    </row>
    <row r="239" spans="1:12" x14ac:dyDescent="0.35">
      <c r="A239" s="45">
        <v>235</v>
      </c>
      <c r="B239" s="2"/>
      <c r="C239" s="2"/>
      <c r="D239" s="2"/>
      <c r="E239" s="3"/>
      <c r="F239" s="3"/>
      <c r="G239" s="2"/>
      <c r="H239" s="2"/>
      <c r="I239" s="46"/>
      <c r="J239" s="12"/>
      <c r="K239" s="2"/>
      <c r="L239" s="59"/>
    </row>
    <row r="240" spans="1:12" x14ac:dyDescent="0.35">
      <c r="A240" s="45">
        <v>236</v>
      </c>
      <c r="B240" s="2"/>
      <c r="C240" s="2"/>
      <c r="D240" s="2"/>
      <c r="E240" s="3"/>
      <c r="F240" s="3"/>
      <c r="G240" s="2"/>
      <c r="H240" s="2"/>
      <c r="I240" s="46"/>
      <c r="J240" s="12"/>
      <c r="K240" s="2"/>
      <c r="L240" s="59"/>
    </row>
    <row r="241" spans="1:12" x14ac:dyDescent="0.35">
      <c r="A241" s="45">
        <v>237</v>
      </c>
      <c r="B241" s="2"/>
      <c r="C241" s="2"/>
      <c r="D241" s="2"/>
      <c r="E241" s="3"/>
      <c r="F241" s="3"/>
      <c r="G241" s="2"/>
      <c r="H241" s="2"/>
      <c r="I241" s="46"/>
      <c r="J241" s="12"/>
      <c r="K241" s="2"/>
      <c r="L241" s="59"/>
    </row>
    <row r="242" spans="1:12" x14ac:dyDescent="0.35">
      <c r="A242" s="45">
        <v>238</v>
      </c>
      <c r="B242" s="2"/>
      <c r="C242" s="2"/>
      <c r="D242" s="2"/>
      <c r="E242" s="3"/>
      <c r="F242" s="3"/>
      <c r="G242" s="2"/>
      <c r="H242" s="2"/>
      <c r="I242" s="46"/>
      <c r="J242" s="12"/>
      <c r="K242" s="2"/>
      <c r="L242" s="59"/>
    </row>
    <row r="243" spans="1:12" x14ac:dyDescent="0.35">
      <c r="A243" s="45">
        <v>239</v>
      </c>
      <c r="B243" s="2"/>
      <c r="C243" s="2"/>
      <c r="D243" s="2"/>
      <c r="E243" s="3"/>
      <c r="F243" s="3"/>
      <c r="G243" s="2"/>
      <c r="H243" s="2"/>
      <c r="I243" s="46"/>
      <c r="J243" s="12"/>
      <c r="K243" s="2"/>
      <c r="L243" s="59"/>
    </row>
    <row r="244" spans="1:12" x14ac:dyDescent="0.35">
      <c r="A244" s="45">
        <v>240</v>
      </c>
      <c r="B244" s="2"/>
      <c r="C244" s="2"/>
      <c r="D244" s="2"/>
      <c r="E244" s="3"/>
      <c r="F244" s="3"/>
      <c r="G244" s="2"/>
      <c r="H244" s="2"/>
      <c r="I244" s="46"/>
      <c r="J244" s="12"/>
      <c r="K244" s="2"/>
      <c r="L244" s="59"/>
    </row>
    <row r="245" spans="1:12" x14ac:dyDescent="0.35">
      <c r="A245" s="45">
        <v>241</v>
      </c>
      <c r="B245" s="2"/>
      <c r="C245" s="2"/>
      <c r="D245" s="2"/>
      <c r="E245" s="3"/>
      <c r="F245" s="3"/>
      <c r="G245" s="2"/>
      <c r="H245" s="2"/>
      <c r="I245" s="46"/>
      <c r="J245" s="12"/>
      <c r="K245" s="2"/>
      <c r="L245" s="59"/>
    </row>
    <row r="246" spans="1:12" x14ac:dyDescent="0.35">
      <c r="A246" s="45">
        <v>242</v>
      </c>
      <c r="B246" s="2"/>
      <c r="C246" s="2"/>
      <c r="D246" s="2"/>
      <c r="E246" s="3"/>
      <c r="F246" s="3"/>
      <c r="G246" s="2"/>
      <c r="H246" s="2"/>
      <c r="I246" s="46"/>
      <c r="J246" s="12"/>
      <c r="K246" s="2"/>
      <c r="L246" s="59"/>
    </row>
    <row r="247" spans="1:12" x14ac:dyDescent="0.35">
      <c r="A247" s="45">
        <v>243</v>
      </c>
      <c r="B247" s="2"/>
      <c r="C247" s="2"/>
      <c r="D247" s="2"/>
      <c r="E247" s="3"/>
      <c r="F247" s="3"/>
      <c r="G247" s="2"/>
      <c r="H247" s="2"/>
      <c r="I247" s="46"/>
      <c r="J247" s="12"/>
      <c r="K247" s="2"/>
      <c r="L247" s="59"/>
    </row>
    <row r="248" spans="1:12" x14ac:dyDescent="0.35">
      <c r="A248" s="45">
        <v>244</v>
      </c>
      <c r="B248" s="2"/>
      <c r="C248" s="2"/>
      <c r="D248" s="2"/>
      <c r="E248" s="3"/>
      <c r="F248" s="3"/>
      <c r="G248" s="2"/>
      <c r="H248" s="2"/>
      <c r="I248" s="46"/>
      <c r="J248" s="12"/>
      <c r="K248" s="2"/>
      <c r="L248" s="59"/>
    </row>
    <row r="249" spans="1:12" x14ac:dyDescent="0.35">
      <c r="A249" s="45">
        <v>245</v>
      </c>
      <c r="B249" s="2"/>
      <c r="C249" s="2"/>
      <c r="D249" s="2"/>
      <c r="E249" s="3"/>
      <c r="F249" s="3"/>
      <c r="G249" s="2"/>
      <c r="H249" s="2"/>
      <c r="I249" s="46"/>
      <c r="J249" s="12"/>
      <c r="K249" s="2"/>
      <c r="L249" s="59"/>
    </row>
    <row r="250" spans="1:12" x14ac:dyDescent="0.35">
      <c r="A250" s="45">
        <v>246</v>
      </c>
      <c r="B250" s="2"/>
      <c r="C250" s="2"/>
      <c r="D250" s="2"/>
      <c r="E250" s="3"/>
      <c r="F250" s="3"/>
      <c r="G250" s="2"/>
      <c r="H250" s="2"/>
      <c r="I250" s="46"/>
      <c r="J250" s="12"/>
      <c r="K250" s="2"/>
      <c r="L250" s="59"/>
    </row>
    <row r="251" spans="1:12" x14ac:dyDescent="0.35">
      <c r="A251" s="45">
        <v>247</v>
      </c>
      <c r="B251" s="2"/>
      <c r="C251" s="2"/>
      <c r="D251" s="2"/>
      <c r="E251" s="3"/>
      <c r="F251" s="3"/>
      <c r="G251" s="2"/>
      <c r="H251" s="2"/>
      <c r="I251" s="46"/>
      <c r="J251" s="12"/>
      <c r="K251" s="2"/>
      <c r="L251" s="59"/>
    </row>
    <row r="252" spans="1:12" x14ac:dyDescent="0.35">
      <c r="A252" s="45">
        <v>248</v>
      </c>
      <c r="B252" s="2"/>
      <c r="C252" s="2"/>
      <c r="D252" s="2"/>
      <c r="E252" s="3"/>
      <c r="F252" s="3"/>
      <c r="G252" s="2"/>
      <c r="H252" s="2"/>
      <c r="I252" s="46"/>
      <c r="J252" s="12"/>
      <c r="K252" s="2"/>
      <c r="L252" s="59"/>
    </row>
    <row r="253" spans="1:12" x14ac:dyDescent="0.35">
      <c r="A253" s="45">
        <v>249</v>
      </c>
      <c r="B253" s="2"/>
      <c r="C253" s="2"/>
      <c r="D253" s="2"/>
      <c r="E253" s="3"/>
      <c r="F253" s="3"/>
      <c r="G253" s="2"/>
      <c r="H253" s="2"/>
      <c r="I253" s="46"/>
      <c r="J253" s="12"/>
      <c r="K253" s="2"/>
      <c r="L253" s="59"/>
    </row>
    <row r="254" spans="1:12" x14ac:dyDescent="0.35">
      <c r="A254" s="45">
        <v>250</v>
      </c>
      <c r="B254" s="2"/>
      <c r="C254" s="2"/>
      <c r="D254" s="2"/>
      <c r="E254" s="3"/>
      <c r="F254" s="3"/>
      <c r="G254" s="2"/>
      <c r="H254" s="2"/>
      <c r="I254" s="46"/>
      <c r="J254" s="12"/>
      <c r="K254" s="2"/>
      <c r="L254" s="59"/>
    </row>
    <row r="255" spans="1:12" x14ac:dyDescent="0.35">
      <c r="A255" s="45">
        <v>251</v>
      </c>
      <c r="B255" s="2"/>
      <c r="C255" s="2"/>
      <c r="D255" s="2"/>
      <c r="E255" s="3"/>
      <c r="F255" s="3"/>
      <c r="G255" s="2"/>
      <c r="H255" s="2"/>
      <c r="I255" s="46"/>
      <c r="J255" s="12"/>
      <c r="K255" s="2"/>
      <c r="L255" s="59"/>
    </row>
    <row r="256" spans="1:12" x14ac:dyDescent="0.35">
      <c r="A256" s="45">
        <v>252</v>
      </c>
      <c r="B256" s="2"/>
      <c r="C256" s="2"/>
      <c r="D256" s="2"/>
      <c r="E256" s="3"/>
      <c r="F256" s="3"/>
      <c r="G256" s="2"/>
      <c r="H256" s="2"/>
      <c r="I256" s="46"/>
      <c r="J256" s="12"/>
      <c r="K256" s="2"/>
      <c r="L256" s="59"/>
    </row>
    <row r="257" spans="1:12" x14ac:dyDescent="0.35">
      <c r="A257" s="45">
        <v>253</v>
      </c>
      <c r="B257" s="2"/>
      <c r="C257" s="2"/>
      <c r="D257" s="2"/>
      <c r="E257" s="3"/>
      <c r="F257" s="3"/>
      <c r="G257" s="2"/>
      <c r="H257" s="2"/>
      <c r="I257" s="46"/>
      <c r="J257" s="12"/>
      <c r="K257" s="2"/>
      <c r="L257" s="59"/>
    </row>
    <row r="258" spans="1:12" x14ac:dyDescent="0.35">
      <c r="A258" s="45">
        <v>254</v>
      </c>
      <c r="B258" s="2"/>
      <c r="C258" s="2"/>
      <c r="D258" s="2"/>
      <c r="E258" s="3"/>
      <c r="F258" s="3"/>
      <c r="G258" s="2"/>
      <c r="H258" s="2"/>
      <c r="I258" s="46"/>
      <c r="J258" s="12"/>
      <c r="K258" s="2"/>
      <c r="L258" s="59"/>
    </row>
    <row r="259" spans="1:12" x14ac:dyDescent="0.35">
      <c r="A259" s="45">
        <v>255</v>
      </c>
      <c r="B259" s="2"/>
      <c r="C259" s="2"/>
      <c r="D259" s="2"/>
      <c r="E259" s="3"/>
      <c r="F259" s="3"/>
      <c r="G259" s="2"/>
      <c r="H259" s="2"/>
      <c r="I259" s="46"/>
      <c r="J259" s="12"/>
      <c r="K259" s="2"/>
      <c r="L259" s="59"/>
    </row>
    <row r="260" spans="1:12" x14ac:dyDescent="0.35">
      <c r="A260" s="45">
        <v>256</v>
      </c>
      <c r="B260" s="2"/>
      <c r="C260" s="2"/>
      <c r="D260" s="2"/>
      <c r="E260" s="3"/>
      <c r="F260" s="3"/>
      <c r="G260" s="2"/>
      <c r="H260" s="2"/>
      <c r="I260" s="46"/>
      <c r="J260" s="12"/>
      <c r="K260" s="2"/>
      <c r="L260" s="59"/>
    </row>
    <row r="261" spans="1:12" x14ac:dyDescent="0.35">
      <c r="A261" s="45">
        <v>257</v>
      </c>
      <c r="B261" s="2"/>
      <c r="C261" s="2"/>
      <c r="D261" s="2"/>
      <c r="E261" s="3"/>
      <c r="F261" s="3"/>
      <c r="G261" s="2"/>
      <c r="H261" s="2"/>
      <c r="I261" s="46"/>
      <c r="J261" s="12"/>
      <c r="K261" s="2"/>
      <c r="L261" s="59"/>
    </row>
    <row r="262" spans="1:12" x14ac:dyDescent="0.35">
      <c r="A262" s="45">
        <v>258</v>
      </c>
      <c r="B262" s="2"/>
      <c r="C262" s="2"/>
      <c r="D262" s="2"/>
      <c r="E262" s="3"/>
      <c r="F262" s="3"/>
      <c r="G262" s="2"/>
      <c r="H262" s="2"/>
      <c r="I262" s="46"/>
      <c r="J262" s="12"/>
      <c r="K262" s="2"/>
      <c r="L262" s="59"/>
    </row>
    <row r="263" spans="1:12" x14ac:dyDescent="0.35">
      <c r="A263" s="45">
        <v>259</v>
      </c>
      <c r="B263" s="2"/>
      <c r="C263" s="2"/>
      <c r="D263" s="2"/>
      <c r="E263" s="3"/>
      <c r="F263" s="3"/>
      <c r="G263" s="2"/>
      <c r="H263" s="2"/>
      <c r="I263" s="46"/>
      <c r="J263" s="12"/>
      <c r="K263" s="2"/>
      <c r="L263" s="59"/>
    </row>
    <row r="264" spans="1:12" x14ac:dyDescent="0.35">
      <c r="A264" s="45">
        <v>260</v>
      </c>
      <c r="B264" s="2"/>
      <c r="C264" s="2"/>
      <c r="D264" s="2"/>
      <c r="E264" s="3"/>
      <c r="F264" s="3"/>
      <c r="G264" s="2"/>
      <c r="H264" s="2"/>
      <c r="I264" s="46"/>
      <c r="J264" s="12"/>
      <c r="K264" s="2"/>
      <c r="L264" s="59"/>
    </row>
    <row r="265" spans="1:12" x14ac:dyDescent="0.35">
      <c r="A265" s="45">
        <v>261</v>
      </c>
      <c r="B265" s="2"/>
      <c r="C265" s="2"/>
      <c r="D265" s="2"/>
      <c r="E265" s="3"/>
      <c r="F265" s="3"/>
      <c r="G265" s="2"/>
      <c r="H265" s="2"/>
      <c r="I265" s="46"/>
      <c r="J265" s="12"/>
      <c r="K265" s="2"/>
      <c r="L265" s="59"/>
    </row>
    <row r="266" spans="1:12" x14ac:dyDescent="0.35">
      <c r="A266" s="45">
        <v>262</v>
      </c>
      <c r="B266" s="2"/>
      <c r="C266" s="2"/>
      <c r="D266" s="2"/>
      <c r="E266" s="3"/>
      <c r="F266" s="3"/>
      <c r="G266" s="2"/>
      <c r="H266" s="2"/>
      <c r="I266" s="46"/>
      <c r="J266" s="12"/>
      <c r="K266" s="2"/>
      <c r="L266" s="59"/>
    </row>
    <row r="267" spans="1:12" x14ac:dyDescent="0.35">
      <c r="A267" s="45">
        <v>263</v>
      </c>
      <c r="B267" s="2"/>
      <c r="C267" s="2"/>
      <c r="D267" s="2"/>
      <c r="E267" s="3"/>
      <c r="F267" s="3"/>
      <c r="G267" s="2"/>
      <c r="H267" s="2"/>
      <c r="I267" s="46"/>
      <c r="J267" s="12"/>
      <c r="K267" s="2"/>
      <c r="L267" s="59"/>
    </row>
    <row r="268" spans="1:12" x14ac:dyDescent="0.35">
      <c r="A268" s="45">
        <v>264</v>
      </c>
      <c r="B268" s="2"/>
      <c r="C268" s="2"/>
      <c r="D268" s="2"/>
      <c r="E268" s="3"/>
      <c r="F268" s="3"/>
      <c r="G268" s="2"/>
      <c r="H268" s="2"/>
      <c r="I268" s="46"/>
      <c r="J268" s="12"/>
      <c r="K268" s="2"/>
      <c r="L268" s="59"/>
    </row>
    <row r="269" spans="1:12" x14ac:dyDescent="0.35">
      <c r="A269" s="45">
        <v>265</v>
      </c>
      <c r="B269" s="2"/>
      <c r="C269" s="2"/>
      <c r="D269" s="2"/>
      <c r="E269" s="3"/>
      <c r="F269" s="3"/>
      <c r="G269" s="2"/>
      <c r="H269" s="2"/>
      <c r="I269" s="46"/>
      <c r="J269" s="12"/>
      <c r="K269" s="2"/>
      <c r="L269" s="59"/>
    </row>
    <row r="270" spans="1:12" x14ac:dyDescent="0.35">
      <c r="A270" s="45">
        <v>266</v>
      </c>
      <c r="B270" s="2"/>
      <c r="C270" s="2"/>
      <c r="D270" s="2"/>
      <c r="E270" s="3"/>
      <c r="F270" s="3"/>
      <c r="G270" s="2"/>
      <c r="H270" s="2"/>
      <c r="I270" s="46"/>
      <c r="J270" s="12"/>
      <c r="K270" s="2"/>
      <c r="L270" s="59"/>
    </row>
    <row r="271" spans="1:12" x14ac:dyDescent="0.35">
      <c r="A271" s="45">
        <v>267</v>
      </c>
      <c r="B271" s="2"/>
      <c r="C271" s="2"/>
      <c r="D271" s="2"/>
      <c r="E271" s="3"/>
      <c r="F271" s="3"/>
      <c r="G271" s="2"/>
      <c r="H271" s="2"/>
      <c r="I271" s="46"/>
      <c r="J271" s="12"/>
      <c r="K271" s="2"/>
      <c r="L271" s="59"/>
    </row>
    <row r="272" spans="1:12" x14ac:dyDescent="0.35">
      <c r="A272" s="45">
        <v>268</v>
      </c>
      <c r="B272" s="2"/>
      <c r="C272" s="2"/>
      <c r="D272" s="2"/>
      <c r="E272" s="3"/>
      <c r="F272" s="3"/>
      <c r="G272" s="2"/>
      <c r="H272" s="2"/>
      <c r="I272" s="46"/>
      <c r="J272" s="12"/>
      <c r="K272" s="2"/>
      <c r="L272" s="59"/>
    </row>
    <row r="273" spans="1:12" x14ac:dyDescent="0.35">
      <c r="A273" s="45">
        <v>269</v>
      </c>
      <c r="B273" s="2"/>
      <c r="C273" s="2"/>
      <c r="D273" s="2"/>
      <c r="E273" s="3"/>
      <c r="F273" s="3"/>
      <c r="G273" s="2"/>
      <c r="H273" s="2"/>
      <c r="I273" s="46"/>
      <c r="J273" s="12"/>
      <c r="K273" s="2"/>
      <c r="L273" s="59"/>
    </row>
    <row r="274" spans="1:12" x14ac:dyDescent="0.35">
      <c r="A274" s="45">
        <v>270</v>
      </c>
      <c r="B274" s="2"/>
      <c r="C274" s="2"/>
      <c r="D274" s="2"/>
      <c r="E274" s="3"/>
      <c r="F274" s="3"/>
      <c r="G274" s="2"/>
      <c r="H274" s="2"/>
      <c r="I274" s="46"/>
      <c r="J274" s="12"/>
      <c r="K274" s="2"/>
      <c r="L274" s="59"/>
    </row>
    <row r="275" spans="1:12" x14ac:dyDescent="0.35">
      <c r="A275" s="45">
        <v>271</v>
      </c>
      <c r="B275" s="2"/>
      <c r="C275" s="2"/>
      <c r="D275" s="2"/>
      <c r="E275" s="3"/>
      <c r="F275" s="3"/>
      <c r="G275" s="2"/>
      <c r="H275" s="2"/>
      <c r="I275" s="46"/>
      <c r="J275" s="12"/>
      <c r="K275" s="2"/>
      <c r="L275" s="59"/>
    </row>
    <row r="276" spans="1:12" x14ac:dyDescent="0.35">
      <c r="A276" s="45">
        <v>272</v>
      </c>
      <c r="B276" s="2"/>
      <c r="C276" s="2"/>
      <c r="D276" s="2"/>
      <c r="E276" s="3"/>
      <c r="F276" s="3"/>
      <c r="G276" s="2"/>
      <c r="H276" s="2"/>
      <c r="I276" s="46"/>
      <c r="J276" s="12"/>
      <c r="K276" s="2"/>
      <c r="L276" s="59"/>
    </row>
    <row r="277" spans="1:12" x14ac:dyDescent="0.35">
      <c r="A277" s="45">
        <v>273</v>
      </c>
      <c r="B277" s="2"/>
      <c r="C277" s="2"/>
      <c r="D277" s="2"/>
      <c r="E277" s="3"/>
      <c r="F277" s="3"/>
      <c r="G277" s="2"/>
      <c r="H277" s="2"/>
      <c r="I277" s="46"/>
      <c r="J277" s="12"/>
      <c r="K277" s="2"/>
      <c r="L277" s="59"/>
    </row>
    <row r="278" spans="1:12" x14ac:dyDescent="0.35">
      <c r="A278" s="45">
        <v>274</v>
      </c>
      <c r="B278" s="2"/>
      <c r="C278" s="2"/>
      <c r="D278" s="2"/>
      <c r="E278" s="3"/>
      <c r="F278" s="3"/>
      <c r="G278" s="2"/>
      <c r="H278" s="2"/>
      <c r="I278" s="46"/>
      <c r="J278" s="12"/>
      <c r="K278" s="2"/>
      <c r="L278" s="59"/>
    </row>
    <row r="279" spans="1:12" x14ac:dyDescent="0.35">
      <c r="A279" s="45">
        <v>275</v>
      </c>
      <c r="B279" s="2"/>
      <c r="C279" s="2"/>
      <c r="D279" s="2"/>
      <c r="E279" s="3"/>
      <c r="F279" s="3"/>
      <c r="G279" s="2"/>
      <c r="H279" s="2"/>
      <c r="I279" s="46"/>
      <c r="J279" s="12"/>
      <c r="K279" s="2"/>
      <c r="L279" s="59"/>
    </row>
    <row r="280" spans="1:12" x14ac:dyDescent="0.35">
      <c r="A280" s="45">
        <v>276</v>
      </c>
      <c r="B280" s="2"/>
      <c r="C280" s="2"/>
      <c r="D280" s="2"/>
      <c r="E280" s="3"/>
      <c r="F280" s="3"/>
      <c r="G280" s="2"/>
      <c r="H280" s="2"/>
      <c r="I280" s="46"/>
      <c r="J280" s="12"/>
      <c r="K280" s="2"/>
      <c r="L280" s="59"/>
    </row>
    <row r="281" spans="1:12" x14ac:dyDescent="0.35">
      <c r="A281" s="45">
        <v>277</v>
      </c>
      <c r="B281" s="2"/>
      <c r="C281" s="2"/>
      <c r="D281" s="2"/>
      <c r="E281" s="3"/>
      <c r="F281" s="3"/>
      <c r="G281" s="2"/>
      <c r="H281" s="2"/>
      <c r="I281" s="46"/>
      <c r="J281" s="12"/>
      <c r="K281" s="2"/>
      <c r="L281" s="59"/>
    </row>
    <row r="282" spans="1:12" x14ac:dyDescent="0.35">
      <c r="A282" s="45">
        <v>278</v>
      </c>
      <c r="B282" s="2"/>
      <c r="C282" s="2"/>
      <c r="D282" s="2"/>
      <c r="E282" s="3"/>
      <c r="F282" s="3"/>
      <c r="G282" s="2"/>
      <c r="H282" s="2"/>
      <c r="I282" s="46"/>
      <c r="J282" s="12"/>
      <c r="K282" s="2"/>
      <c r="L282" s="59"/>
    </row>
    <row r="283" spans="1:12" x14ac:dyDescent="0.35">
      <c r="A283" s="45">
        <v>279</v>
      </c>
      <c r="B283" s="2"/>
      <c r="C283" s="2"/>
      <c r="D283" s="2"/>
      <c r="E283" s="3"/>
      <c r="F283" s="3"/>
      <c r="G283" s="2"/>
      <c r="H283" s="2"/>
      <c r="I283" s="46"/>
      <c r="J283" s="12"/>
      <c r="K283" s="2"/>
      <c r="L283" s="59"/>
    </row>
    <row r="284" spans="1:12" x14ac:dyDescent="0.35">
      <c r="A284" s="45">
        <v>280</v>
      </c>
      <c r="B284" s="2"/>
      <c r="C284" s="2"/>
      <c r="D284" s="2"/>
      <c r="E284" s="3"/>
      <c r="F284" s="3"/>
      <c r="G284" s="2"/>
      <c r="H284" s="2"/>
      <c r="I284" s="46"/>
      <c r="J284" s="12"/>
      <c r="K284" s="2"/>
      <c r="L284" s="59"/>
    </row>
    <row r="285" spans="1:12" x14ac:dyDescent="0.35">
      <c r="A285" s="45">
        <v>281</v>
      </c>
      <c r="B285" s="2"/>
      <c r="C285" s="2"/>
      <c r="D285" s="2"/>
      <c r="E285" s="3"/>
      <c r="F285" s="3"/>
      <c r="G285" s="2"/>
      <c r="H285" s="2"/>
      <c r="I285" s="46"/>
      <c r="J285" s="12"/>
      <c r="K285" s="2"/>
      <c r="L285" s="59"/>
    </row>
    <row r="286" spans="1:12" x14ac:dyDescent="0.35">
      <c r="A286" s="45">
        <v>282</v>
      </c>
      <c r="B286" s="2"/>
      <c r="C286" s="2"/>
      <c r="D286" s="2"/>
      <c r="E286" s="3"/>
      <c r="F286" s="3"/>
      <c r="G286" s="2"/>
      <c r="H286" s="2"/>
      <c r="I286" s="46"/>
      <c r="J286" s="12"/>
      <c r="K286" s="2"/>
      <c r="L286" s="59"/>
    </row>
    <row r="287" spans="1:12" x14ac:dyDescent="0.35">
      <c r="A287" s="45">
        <v>283</v>
      </c>
      <c r="B287" s="2"/>
      <c r="C287" s="2"/>
      <c r="D287" s="2"/>
      <c r="E287" s="3"/>
      <c r="F287" s="3"/>
      <c r="G287" s="2"/>
      <c r="H287" s="2"/>
      <c r="I287" s="46"/>
      <c r="J287" s="12"/>
      <c r="K287" s="2"/>
      <c r="L287" s="59"/>
    </row>
    <row r="288" spans="1:12" x14ac:dyDescent="0.35">
      <c r="A288" s="45">
        <v>284</v>
      </c>
      <c r="B288" s="2"/>
      <c r="C288" s="2"/>
      <c r="D288" s="2"/>
      <c r="E288" s="3"/>
      <c r="F288" s="3"/>
      <c r="G288" s="2"/>
      <c r="H288" s="2"/>
      <c r="I288" s="46"/>
      <c r="J288" s="12"/>
      <c r="K288" s="2"/>
      <c r="L288" s="59"/>
    </row>
    <row r="289" spans="1:12" x14ac:dyDescent="0.35">
      <c r="A289" s="45">
        <v>285</v>
      </c>
      <c r="B289" s="2"/>
      <c r="C289" s="2"/>
      <c r="D289" s="2"/>
      <c r="E289" s="3"/>
      <c r="F289" s="3"/>
      <c r="G289" s="2"/>
      <c r="H289" s="2"/>
      <c r="I289" s="46"/>
      <c r="J289" s="12"/>
      <c r="K289" s="2"/>
      <c r="L289" s="59"/>
    </row>
    <row r="290" spans="1:12" x14ac:dyDescent="0.35">
      <c r="A290" s="45">
        <v>286</v>
      </c>
      <c r="B290" s="2"/>
      <c r="C290" s="2"/>
      <c r="D290" s="2"/>
      <c r="E290" s="3"/>
      <c r="F290" s="3"/>
      <c r="G290" s="2"/>
      <c r="H290" s="2"/>
      <c r="I290" s="46"/>
      <c r="J290" s="12"/>
      <c r="K290" s="2"/>
      <c r="L290" s="59"/>
    </row>
    <row r="291" spans="1:12" x14ac:dyDescent="0.35">
      <c r="A291" s="45">
        <v>287</v>
      </c>
      <c r="B291" s="2"/>
      <c r="C291" s="2"/>
      <c r="D291" s="2"/>
      <c r="E291" s="3"/>
      <c r="F291" s="3"/>
      <c r="G291" s="2"/>
      <c r="H291" s="2"/>
      <c r="I291" s="46"/>
      <c r="J291" s="12"/>
      <c r="K291" s="2"/>
      <c r="L291" s="59"/>
    </row>
    <row r="292" spans="1:12" x14ac:dyDescent="0.35">
      <c r="A292" s="45">
        <v>288</v>
      </c>
      <c r="B292" s="2"/>
      <c r="C292" s="2"/>
      <c r="D292" s="2"/>
      <c r="E292" s="3"/>
      <c r="F292" s="3"/>
      <c r="G292" s="2"/>
      <c r="H292" s="2"/>
      <c r="I292" s="46"/>
      <c r="J292" s="12"/>
      <c r="K292" s="2"/>
      <c r="L292" s="59"/>
    </row>
    <row r="293" spans="1:12" x14ac:dyDescent="0.35">
      <c r="A293" s="45">
        <v>289</v>
      </c>
      <c r="B293" s="2"/>
      <c r="C293" s="2"/>
      <c r="D293" s="2"/>
      <c r="E293" s="3"/>
      <c r="F293" s="3"/>
      <c r="G293" s="2"/>
      <c r="H293" s="2"/>
      <c r="I293" s="46"/>
      <c r="J293" s="12"/>
      <c r="K293" s="2"/>
      <c r="L293" s="59"/>
    </row>
    <row r="294" spans="1:12" x14ac:dyDescent="0.35">
      <c r="A294" s="45">
        <v>290</v>
      </c>
      <c r="B294" s="2"/>
      <c r="C294" s="2"/>
      <c r="D294" s="2"/>
      <c r="E294" s="3"/>
      <c r="F294" s="3"/>
      <c r="G294" s="2"/>
      <c r="H294" s="2"/>
      <c r="I294" s="46"/>
      <c r="J294" s="12"/>
      <c r="K294" s="2"/>
      <c r="L294" s="59"/>
    </row>
    <row r="295" spans="1:12" x14ac:dyDescent="0.35">
      <c r="A295" s="45">
        <v>291</v>
      </c>
      <c r="B295" s="2"/>
      <c r="C295" s="2"/>
      <c r="D295" s="2"/>
      <c r="E295" s="3"/>
      <c r="F295" s="3"/>
      <c r="G295" s="2"/>
      <c r="H295" s="2"/>
      <c r="I295" s="46"/>
      <c r="J295" s="12"/>
      <c r="K295" s="2"/>
      <c r="L295" s="59"/>
    </row>
    <row r="296" spans="1:12" x14ac:dyDescent="0.35">
      <c r="A296" s="45">
        <v>292</v>
      </c>
      <c r="B296" s="2"/>
      <c r="C296" s="2"/>
      <c r="D296" s="2"/>
      <c r="E296" s="3"/>
      <c r="F296" s="3"/>
      <c r="G296" s="2"/>
      <c r="H296" s="2"/>
      <c r="I296" s="46"/>
      <c r="J296" s="12"/>
      <c r="K296" s="2"/>
      <c r="L296" s="59"/>
    </row>
    <row r="297" spans="1:12" x14ac:dyDescent="0.35">
      <c r="A297" s="45">
        <v>293</v>
      </c>
      <c r="B297" s="2"/>
      <c r="C297" s="2"/>
      <c r="D297" s="2"/>
      <c r="E297" s="3"/>
      <c r="F297" s="3"/>
      <c r="G297" s="2"/>
      <c r="H297" s="2"/>
      <c r="I297" s="46"/>
      <c r="J297" s="12"/>
      <c r="K297" s="2"/>
      <c r="L297" s="59"/>
    </row>
    <row r="298" spans="1:12" x14ac:dyDescent="0.35">
      <c r="A298" s="45">
        <v>294</v>
      </c>
      <c r="B298" s="2"/>
      <c r="C298" s="2"/>
      <c r="D298" s="2"/>
      <c r="E298" s="3"/>
      <c r="F298" s="3"/>
      <c r="G298" s="2"/>
      <c r="H298" s="2"/>
      <c r="I298" s="46"/>
      <c r="J298" s="12"/>
      <c r="K298" s="2"/>
      <c r="L298" s="59"/>
    </row>
    <row r="299" spans="1:12" x14ac:dyDescent="0.35">
      <c r="A299" s="45">
        <v>295</v>
      </c>
      <c r="B299" s="2"/>
      <c r="C299" s="2"/>
      <c r="D299" s="2"/>
      <c r="E299" s="3"/>
      <c r="F299" s="3"/>
      <c r="G299" s="2"/>
      <c r="H299" s="2"/>
      <c r="I299" s="46"/>
      <c r="J299" s="12"/>
      <c r="K299" s="2"/>
      <c r="L299" s="59"/>
    </row>
    <row r="300" spans="1:12" x14ac:dyDescent="0.35">
      <c r="A300" s="45">
        <v>296</v>
      </c>
      <c r="B300" s="2"/>
      <c r="C300" s="2"/>
      <c r="D300" s="2"/>
      <c r="E300" s="3"/>
      <c r="F300" s="3"/>
      <c r="G300" s="2"/>
      <c r="H300" s="2"/>
      <c r="I300" s="46"/>
      <c r="J300" s="12"/>
      <c r="K300" s="2"/>
      <c r="L300" s="59"/>
    </row>
    <row r="301" spans="1:12" x14ac:dyDescent="0.35">
      <c r="A301" s="45">
        <v>297</v>
      </c>
      <c r="B301" s="2"/>
      <c r="C301" s="2"/>
      <c r="D301" s="2"/>
      <c r="E301" s="3"/>
      <c r="F301" s="3"/>
      <c r="G301" s="2"/>
      <c r="H301" s="2"/>
      <c r="I301" s="46"/>
      <c r="J301" s="12"/>
      <c r="K301" s="2"/>
      <c r="L301" s="59"/>
    </row>
    <row r="302" spans="1:12" x14ac:dyDescent="0.35">
      <c r="A302" s="45">
        <v>298</v>
      </c>
      <c r="B302" s="2"/>
      <c r="C302" s="2"/>
      <c r="D302" s="2"/>
      <c r="E302" s="3"/>
      <c r="F302" s="3"/>
      <c r="G302" s="2"/>
      <c r="H302" s="2"/>
      <c r="I302" s="46"/>
      <c r="J302" s="12"/>
      <c r="K302" s="2"/>
      <c r="L302" s="59"/>
    </row>
    <row r="303" spans="1:12" x14ac:dyDescent="0.35">
      <c r="A303" s="45">
        <v>299</v>
      </c>
      <c r="B303" s="2"/>
      <c r="C303" s="2"/>
      <c r="D303" s="2"/>
      <c r="E303" s="3"/>
      <c r="F303" s="3"/>
      <c r="G303" s="2"/>
      <c r="H303" s="2"/>
      <c r="I303" s="46"/>
      <c r="J303" s="12"/>
      <c r="K303" s="2"/>
      <c r="L303" s="59"/>
    </row>
    <row r="304" spans="1:12" x14ac:dyDescent="0.35">
      <c r="A304" s="45">
        <v>300</v>
      </c>
      <c r="B304" s="2"/>
      <c r="C304" s="2"/>
      <c r="D304" s="2"/>
      <c r="E304" s="3"/>
      <c r="F304" s="3"/>
      <c r="G304" s="2"/>
      <c r="H304" s="2"/>
      <c r="I304" s="46"/>
      <c r="J304" s="12"/>
      <c r="K304" s="2"/>
      <c r="L304" s="59"/>
    </row>
    <row r="305" spans="1:12" x14ac:dyDescent="0.35">
      <c r="A305" s="45">
        <v>301</v>
      </c>
      <c r="B305" s="2"/>
      <c r="C305" s="2"/>
      <c r="D305" s="2"/>
      <c r="E305" s="3"/>
      <c r="F305" s="3"/>
      <c r="G305" s="2"/>
      <c r="H305" s="2"/>
      <c r="I305" s="46"/>
      <c r="J305" s="12"/>
      <c r="K305" s="2"/>
      <c r="L305" s="59"/>
    </row>
    <row r="306" spans="1:12" x14ac:dyDescent="0.35">
      <c r="A306" s="45">
        <v>302</v>
      </c>
      <c r="B306" s="2"/>
      <c r="C306" s="2"/>
      <c r="D306" s="2"/>
      <c r="E306" s="3"/>
      <c r="F306" s="3"/>
      <c r="G306" s="2"/>
      <c r="H306" s="2"/>
      <c r="I306" s="46"/>
      <c r="J306" s="12"/>
      <c r="K306" s="2"/>
      <c r="L306" s="59"/>
    </row>
    <row r="307" spans="1:12" x14ac:dyDescent="0.35">
      <c r="A307" s="45">
        <v>303</v>
      </c>
      <c r="B307" s="2"/>
      <c r="C307" s="2"/>
      <c r="D307" s="2"/>
      <c r="E307" s="3"/>
      <c r="F307" s="3"/>
      <c r="G307" s="2"/>
      <c r="H307" s="2"/>
      <c r="I307" s="46"/>
      <c r="J307" s="12"/>
      <c r="K307" s="2"/>
      <c r="L307" s="59"/>
    </row>
    <row r="308" spans="1:12" x14ac:dyDescent="0.35">
      <c r="A308" s="45">
        <v>304</v>
      </c>
      <c r="B308" s="2"/>
      <c r="C308" s="2"/>
      <c r="D308" s="2"/>
      <c r="E308" s="3"/>
      <c r="F308" s="3"/>
      <c r="G308" s="2"/>
      <c r="H308" s="2"/>
      <c r="I308" s="46"/>
      <c r="J308" s="12"/>
      <c r="K308" s="2"/>
      <c r="L308" s="59"/>
    </row>
    <row r="309" spans="1:12" x14ac:dyDescent="0.35">
      <c r="A309" s="45">
        <v>305</v>
      </c>
      <c r="B309" s="2"/>
      <c r="C309" s="2"/>
      <c r="D309" s="2"/>
      <c r="E309" s="3"/>
      <c r="F309" s="3"/>
      <c r="G309" s="2"/>
      <c r="H309" s="2"/>
      <c r="I309" s="46"/>
      <c r="J309" s="12"/>
      <c r="K309" s="2"/>
      <c r="L309" s="59"/>
    </row>
    <row r="310" spans="1:12" x14ac:dyDescent="0.35">
      <c r="A310" s="45">
        <v>306</v>
      </c>
      <c r="B310" s="2"/>
      <c r="C310" s="2"/>
      <c r="D310" s="2"/>
      <c r="E310" s="3"/>
      <c r="F310" s="3"/>
      <c r="G310" s="2"/>
      <c r="H310" s="2"/>
      <c r="I310" s="46"/>
      <c r="J310" s="12"/>
      <c r="K310" s="2"/>
      <c r="L310" s="59"/>
    </row>
    <row r="311" spans="1:12" x14ac:dyDescent="0.35">
      <c r="A311" s="45">
        <v>307</v>
      </c>
      <c r="B311" s="2"/>
      <c r="C311" s="2"/>
      <c r="D311" s="2"/>
      <c r="E311" s="3"/>
      <c r="F311" s="3"/>
      <c r="G311" s="2"/>
      <c r="H311" s="2"/>
      <c r="I311" s="46"/>
      <c r="J311" s="12"/>
      <c r="K311" s="2"/>
      <c r="L311" s="59"/>
    </row>
    <row r="312" spans="1:12" x14ac:dyDescent="0.35">
      <c r="A312" s="45">
        <v>308</v>
      </c>
      <c r="B312" s="2"/>
      <c r="C312" s="2"/>
      <c r="D312" s="2"/>
      <c r="E312" s="3"/>
      <c r="F312" s="3"/>
      <c r="G312" s="2"/>
      <c r="H312" s="2"/>
      <c r="I312" s="46"/>
      <c r="J312" s="12"/>
      <c r="K312" s="2"/>
      <c r="L312" s="59"/>
    </row>
    <row r="313" spans="1:12" x14ac:dyDescent="0.35">
      <c r="A313" s="45">
        <v>309</v>
      </c>
      <c r="B313" s="2"/>
      <c r="C313" s="2"/>
      <c r="D313" s="2"/>
      <c r="E313" s="3"/>
      <c r="F313" s="3"/>
      <c r="G313" s="2"/>
      <c r="H313" s="2"/>
      <c r="I313" s="46"/>
      <c r="J313" s="12"/>
      <c r="K313" s="2"/>
      <c r="L313" s="59"/>
    </row>
    <row r="314" spans="1:12" x14ac:dyDescent="0.35">
      <c r="A314" s="45">
        <v>310</v>
      </c>
      <c r="B314" s="2"/>
      <c r="C314" s="2"/>
      <c r="D314" s="2"/>
      <c r="E314" s="3"/>
      <c r="F314" s="3"/>
      <c r="G314" s="2"/>
      <c r="H314" s="2"/>
      <c r="I314" s="46"/>
      <c r="J314" s="12"/>
      <c r="K314" s="2"/>
      <c r="L314" s="59"/>
    </row>
    <row r="315" spans="1:12" x14ac:dyDescent="0.35">
      <c r="A315" s="45">
        <v>311</v>
      </c>
      <c r="B315" s="2"/>
      <c r="C315" s="2"/>
      <c r="D315" s="2"/>
      <c r="E315" s="3"/>
      <c r="F315" s="3"/>
      <c r="G315" s="2"/>
      <c r="H315" s="2"/>
      <c r="I315" s="46"/>
      <c r="J315" s="12"/>
      <c r="K315" s="2"/>
      <c r="L315" s="59"/>
    </row>
    <row r="316" spans="1:12" x14ac:dyDescent="0.35">
      <c r="A316" s="45">
        <v>312</v>
      </c>
      <c r="B316" s="2"/>
      <c r="C316" s="2"/>
      <c r="D316" s="2"/>
      <c r="E316" s="3"/>
      <c r="F316" s="3"/>
      <c r="G316" s="2"/>
      <c r="H316" s="2"/>
      <c r="I316" s="46"/>
      <c r="J316" s="12"/>
      <c r="K316" s="2"/>
      <c r="L316" s="59"/>
    </row>
    <row r="317" spans="1:12" x14ac:dyDescent="0.35">
      <c r="A317" s="45">
        <v>313</v>
      </c>
      <c r="B317" s="2"/>
      <c r="C317" s="2"/>
      <c r="D317" s="2"/>
      <c r="E317" s="3"/>
      <c r="F317" s="3"/>
      <c r="G317" s="2"/>
      <c r="H317" s="2"/>
      <c r="I317" s="46"/>
      <c r="J317" s="12"/>
      <c r="K317" s="2"/>
      <c r="L317" s="59"/>
    </row>
    <row r="318" spans="1:12" x14ac:dyDescent="0.35">
      <c r="A318" s="45">
        <v>314</v>
      </c>
      <c r="B318" s="2"/>
      <c r="C318" s="2"/>
      <c r="D318" s="2"/>
      <c r="E318" s="3"/>
      <c r="F318" s="3"/>
      <c r="G318" s="2"/>
      <c r="H318" s="2"/>
      <c r="I318" s="46"/>
      <c r="J318" s="12"/>
      <c r="K318" s="2"/>
      <c r="L318" s="59"/>
    </row>
    <row r="319" spans="1:12" x14ac:dyDescent="0.35">
      <c r="A319" s="45">
        <v>315</v>
      </c>
      <c r="B319" s="2"/>
      <c r="C319" s="2"/>
      <c r="D319" s="2"/>
      <c r="E319" s="3"/>
      <c r="F319" s="3"/>
      <c r="G319" s="2"/>
      <c r="H319" s="2"/>
      <c r="I319" s="46"/>
      <c r="J319" s="12"/>
      <c r="K319" s="2"/>
      <c r="L319" s="59"/>
    </row>
    <row r="320" spans="1:12" x14ac:dyDescent="0.35">
      <c r="A320" s="45">
        <v>316</v>
      </c>
      <c r="B320" s="2"/>
      <c r="C320" s="2"/>
      <c r="D320" s="2"/>
      <c r="E320" s="3"/>
      <c r="F320" s="3"/>
      <c r="G320" s="2"/>
      <c r="H320" s="2"/>
      <c r="I320" s="46"/>
      <c r="J320" s="12"/>
      <c r="K320" s="2"/>
      <c r="L320" s="59"/>
    </row>
    <row r="321" spans="1:12" x14ac:dyDescent="0.35">
      <c r="A321" s="45">
        <v>317</v>
      </c>
      <c r="B321" s="2"/>
      <c r="C321" s="2"/>
      <c r="D321" s="2"/>
      <c r="E321" s="3"/>
      <c r="F321" s="3"/>
      <c r="G321" s="2"/>
      <c r="H321" s="2"/>
      <c r="I321" s="46"/>
      <c r="J321" s="12"/>
      <c r="K321" s="2"/>
      <c r="L321" s="59"/>
    </row>
    <row r="322" spans="1:12" x14ac:dyDescent="0.35">
      <c r="A322" s="45">
        <v>318</v>
      </c>
      <c r="B322" s="2"/>
      <c r="C322" s="2"/>
      <c r="D322" s="2"/>
      <c r="E322" s="3"/>
      <c r="F322" s="3"/>
      <c r="G322" s="2"/>
      <c r="H322" s="2"/>
      <c r="I322" s="46"/>
      <c r="J322" s="12"/>
      <c r="K322" s="2"/>
      <c r="L322" s="59"/>
    </row>
    <row r="323" spans="1:12" x14ac:dyDescent="0.35">
      <c r="A323" s="45">
        <v>319</v>
      </c>
      <c r="B323" s="2"/>
      <c r="C323" s="2"/>
      <c r="D323" s="2"/>
      <c r="E323" s="3"/>
      <c r="F323" s="3"/>
      <c r="G323" s="2"/>
      <c r="H323" s="2"/>
      <c r="I323" s="46"/>
      <c r="J323" s="12"/>
      <c r="K323" s="2"/>
      <c r="L323" s="59"/>
    </row>
    <row r="324" spans="1:12" x14ac:dyDescent="0.35">
      <c r="A324" s="45">
        <v>320</v>
      </c>
      <c r="B324" s="2"/>
      <c r="C324" s="2"/>
      <c r="D324" s="2"/>
      <c r="E324" s="3"/>
      <c r="F324" s="3"/>
      <c r="G324" s="2"/>
      <c r="H324" s="2"/>
      <c r="I324" s="46"/>
      <c r="J324" s="12"/>
      <c r="K324" s="2"/>
      <c r="L324" s="59"/>
    </row>
    <row r="325" spans="1:12" x14ac:dyDescent="0.35">
      <c r="A325" s="45">
        <v>321</v>
      </c>
      <c r="B325" s="2"/>
      <c r="C325" s="2"/>
      <c r="D325" s="2"/>
      <c r="E325" s="3"/>
      <c r="F325" s="3"/>
      <c r="G325" s="2"/>
      <c r="H325" s="2"/>
      <c r="I325" s="46"/>
      <c r="J325" s="12"/>
      <c r="K325" s="2"/>
      <c r="L325" s="59"/>
    </row>
    <row r="326" spans="1:12" x14ac:dyDescent="0.35">
      <c r="A326" s="45">
        <v>322</v>
      </c>
      <c r="B326" s="2"/>
      <c r="C326" s="2"/>
      <c r="D326" s="2"/>
      <c r="E326" s="3"/>
      <c r="F326" s="3"/>
      <c r="G326" s="2"/>
      <c r="H326" s="2"/>
      <c r="I326" s="46"/>
      <c r="J326" s="12"/>
      <c r="K326" s="2"/>
      <c r="L326" s="59"/>
    </row>
    <row r="327" spans="1:12" x14ac:dyDescent="0.35">
      <c r="A327" s="45">
        <v>323</v>
      </c>
      <c r="B327" s="2"/>
      <c r="C327" s="2"/>
      <c r="D327" s="2"/>
      <c r="E327" s="3"/>
      <c r="F327" s="3"/>
      <c r="G327" s="2"/>
      <c r="H327" s="2"/>
      <c r="I327" s="46"/>
      <c r="J327" s="12"/>
      <c r="K327" s="2"/>
      <c r="L327" s="59"/>
    </row>
    <row r="328" spans="1:12" x14ac:dyDescent="0.35">
      <c r="A328" s="45">
        <v>324</v>
      </c>
      <c r="B328" s="2"/>
      <c r="C328" s="2"/>
      <c r="D328" s="2"/>
      <c r="E328" s="3"/>
      <c r="F328" s="3"/>
      <c r="G328" s="2"/>
      <c r="H328" s="2"/>
      <c r="I328" s="46"/>
      <c r="J328" s="12"/>
      <c r="K328" s="2"/>
      <c r="L328" s="59"/>
    </row>
    <row r="329" spans="1:12" x14ac:dyDescent="0.35">
      <c r="A329" s="45">
        <v>325</v>
      </c>
      <c r="B329" s="2"/>
      <c r="C329" s="2"/>
      <c r="D329" s="2"/>
      <c r="E329" s="3"/>
      <c r="F329" s="3"/>
      <c r="G329" s="2"/>
      <c r="H329" s="2"/>
      <c r="I329" s="46"/>
      <c r="J329" s="12"/>
      <c r="K329" s="2"/>
      <c r="L329" s="59"/>
    </row>
    <row r="330" spans="1:12" x14ac:dyDescent="0.35">
      <c r="A330" s="45">
        <v>326</v>
      </c>
      <c r="B330" s="2"/>
      <c r="C330" s="2"/>
      <c r="D330" s="2"/>
      <c r="E330" s="3"/>
      <c r="F330" s="3"/>
      <c r="G330" s="2"/>
      <c r="H330" s="2"/>
      <c r="I330" s="46"/>
      <c r="J330" s="12"/>
      <c r="K330" s="2"/>
      <c r="L330" s="59"/>
    </row>
    <row r="331" spans="1:12" x14ac:dyDescent="0.35">
      <c r="A331" s="45">
        <v>327</v>
      </c>
      <c r="B331" s="2"/>
      <c r="C331" s="2"/>
      <c r="D331" s="2"/>
      <c r="E331" s="3"/>
      <c r="F331" s="3"/>
      <c r="G331" s="2"/>
      <c r="H331" s="2"/>
      <c r="I331" s="46"/>
      <c r="J331" s="12"/>
      <c r="K331" s="2"/>
      <c r="L331" s="59"/>
    </row>
    <row r="332" spans="1:12" x14ac:dyDescent="0.35">
      <c r="A332" s="45">
        <v>328</v>
      </c>
      <c r="B332" s="2"/>
      <c r="C332" s="2"/>
      <c r="D332" s="2"/>
      <c r="E332" s="3"/>
      <c r="F332" s="3"/>
      <c r="G332" s="2"/>
      <c r="H332" s="2"/>
      <c r="I332" s="46"/>
      <c r="J332" s="12"/>
      <c r="K332" s="2"/>
      <c r="L332" s="59"/>
    </row>
    <row r="333" spans="1:12" x14ac:dyDescent="0.35">
      <c r="A333" s="45">
        <v>329</v>
      </c>
      <c r="B333" s="2"/>
      <c r="C333" s="2"/>
      <c r="D333" s="2"/>
      <c r="E333" s="3"/>
      <c r="F333" s="3"/>
      <c r="G333" s="2"/>
      <c r="H333" s="2"/>
      <c r="I333" s="46"/>
      <c r="J333" s="12"/>
      <c r="K333" s="2"/>
      <c r="L333" s="59"/>
    </row>
    <row r="334" spans="1:12" x14ac:dyDescent="0.35">
      <c r="A334" s="45">
        <v>330</v>
      </c>
      <c r="B334" s="2"/>
      <c r="C334" s="2"/>
      <c r="D334" s="2"/>
      <c r="E334" s="3"/>
      <c r="F334" s="3"/>
      <c r="G334" s="2"/>
      <c r="H334" s="2"/>
      <c r="I334" s="46"/>
      <c r="J334" s="12"/>
      <c r="K334" s="2"/>
      <c r="L334" s="59"/>
    </row>
    <row r="335" spans="1:12" x14ac:dyDescent="0.35">
      <c r="A335" s="45">
        <v>331</v>
      </c>
      <c r="B335" s="2"/>
      <c r="C335" s="2"/>
      <c r="D335" s="2"/>
      <c r="E335" s="3"/>
      <c r="F335" s="3"/>
      <c r="G335" s="2"/>
      <c r="H335" s="2"/>
      <c r="I335" s="46"/>
      <c r="J335" s="12"/>
      <c r="K335" s="2"/>
      <c r="L335" s="59"/>
    </row>
    <row r="336" spans="1:12" x14ac:dyDescent="0.35">
      <c r="A336" s="45">
        <v>332</v>
      </c>
      <c r="B336" s="2"/>
      <c r="C336" s="2"/>
      <c r="D336" s="2"/>
      <c r="E336" s="3"/>
      <c r="F336" s="3"/>
      <c r="G336" s="2"/>
      <c r="H336" s="2"/>
      <c r="I336" s="46"/>
      <c r="J336" s="12"/>
      <c r="K336" s="2"/>
      <c r="L336" s="59"/>
    </row>
    <row r="337" spans="1:12" x14ac:dyDescent="0.35">
      <c r="A337" s="45">
        <v>333</v>
      </c>
      <c r="B337" s="2"/>
      <c r="C337" s="2"/>
      <c r="D337" s="2"/>
      <c r="E337" s="3"/>
      <c r="F337" s="3"/>
      <c r="G337" s="2"/>
      <c r="H337" s="2"/>
      <c r="I337" s="46"/>
      <c r="J337" s="12"/>
      <c r="K337" s="2"/>
      <c r="L337" s="59"/>
    </row>
    <row r="338" spans="1:12" x14ac:dyDescent="0.35">
      <c r="A338" s="45">
        <v>334</v>
      </c>
      <c r="B338" s="2"/>
      <c r="C338" s="2"/>
      <c r="D338" s="2"/>
      <c r="E338" s="3"/>
      <c r="F338" s="3"/>
      <c r="G338" s="2"/>
      <c r="H338" s="2"/>
      <c r="I338" s="46"/>
      <c r="J338" s="12"/>
      <c r="K338" s="2"/>
      <c r="L338" s="59"/>
    </row>
    <row r="339" spans="1:12" x14ac:dyDescent="0.35">
      <c r="A339" s="45">
        <v>335</v>
      </c>
      <c r="B339" s="2"/>
      <c r="C339" s="2"/>
      <c r="D339" s="2"/>
      <c r="E339" s="3"/>
      <c r="F339" s="3"/>
      <c r="G339" s="2"/>
      <c r="H339" s="2"/>
      <c r="I339" s="46"/>
      <c r="J339" s="12"/>
      <c r="K339" s="2"/>
      <c r="L339" s="59"/>
    </row>
    <row r="340" spans="1:12" x14ac:dyDescent="0.35">
      <c r="A340" s="45">
        <v>336</v>
      </c>
      <c r="B340" s="2"/>
      <c r="C340" s="2"/>
      <c r="D340" s="2"/>
      <c r="E340" s="3"/>
      <c r="F340" s="3"/>
      <c r="G340" s="2"/>
      <c r="H340" s="2"/>
      <c r="I340" s="46"/>
      <c r="J340" s="12"/>
      <c r="K340" s="2"/>
      <c r="L340" s="59"/>
    </row>
    <row r="341" spans="1:12" x14ac:dyDescent="0.35">
      <c r="A341" s="45">
        <v>337</v>
      </c>
      <c r="B341" s="2"/>
      <c r="C341" s="2"/>
      <c r="D341" s="2"/>
      <c r="E341" s="3"/>
      <c r="F341" s="3"/>
      <c r="G341" s="2"/>
      <c r="H341" s="2"/>
      <c r="I341" s="46"/>
      <c r="J341" s="12"/>
      <c r="K341" s="2"/>
      <c r="L341" s="59"/>
    </row>
    <row r="342" spans="1:12" x14ac:dyDescent="0.35">
      <c r="A342" s="45">
        <v>338</v>
      </c>
      <c r="B342" s="2"/>
      <c r="C342" s="2"/>
      <c r="D342" s="2"/>
      <c r="E342" s="3"/>
      <c r="F342" s="3"/>
      <c r="G342" s="2"/>
      <c r="H342" s="2"/>
      <c r="I342" s="46"/>
      <c r="J342" s="12"/>
      <c r="K342" s="2"/>
      <c r="L342" s="59"/>
    </row>
    <row r="343" spans="1:12" x14ac:dyDescent="0.35">
      <c r="A343" s="45">
        <v>339</v>
      </c>
      <c r="B343" s="2"/>
      <c r="C343" s="2"/>
      <c r="D343" s="2"/>
      <c r="E343" s="3"/>
      <c r="F343" s="3"/>
      <c r="G343" s="2"/>
      <c r="H343" s="2"/>
      <c r="I343" s="46"/>
      <c r="J343" s="12"/>
      <c r="K343" s="2"/>
      <c r="L343" s="59"/>
    </row>
    <row r="344" spans="1:12" x14ac:dyDescent="0.35">
      <c r="A344" s="45">
        <v>340</v>
      </c>
      <c r="B344" s="2"/>
      <c r="C344" s="2"/>
      <c r="D344" s="2"/>
      <c r="E344" s="3"/>
      <c r="F344" s="3"/>
      <c r="G344" s="2"/>
      <c r="H344" s="2"/>
      <c r="I344" s="46"/>
      <c r="J344" s="12"/>
      <c r="K344" s="2"/>
      <c r="L344" s="59"/>
    </row>
    <row r="345" spans="1:12" x14ac:dyDescent="0.35">
      <c r="A345" s="45">
        <v>341</v>
      </c>
      <c r="B345" s="2"/>
      <c r="C345" s="2"/>
      <c r="D345" s="2"/>
      <c r="E345" s="3"/>
      <c r="F345" s="3"/>
      <c r="G345" s="2"/>
      <c r="H345" s="2"/>
      <c r="I345" s="46"/>
      <c r="J345" s="12"/>
      <c r="K345" s="2"/>
      <c r="L345" s="59"/>
    </row>
    <row r="346" spans="1:12" x14ac:dyDescent="0.35">
      <c r="A346" s="45">
        <v>342</v>
      </c>
      <c r="B346" s="2"/>
      <c r="C346" s="2"/>
      <c r="D346" s="2"/>
      <c r="E346" s="3"/>
      <c r="F346" s="3"/>
      <c r="G346" s="2"/>
      <c r="H346" s="2"/>
      <c r="I346" s="46"/>
      <c r="J346" s="12"/>
      <c r="K346" s="2"/>
      <c r="L346" s="59"/>
    </row>
    <row r="347" spans="1:12" x14ac:dyDescent="0.35">
      <c r="A347" s="45">
        <v>343</v>
      </c>
      <c r="B347" s="2"/>
      <c r="C347" s="2"/>
      <c r="D347" s="2"/>
      <c r="E347" s="3"/>
      <c r="F347" s="3"/>
      <c r="G347" s="2"/>
      <c r="H347" s="2"/>
      <c r="I347" s="46"/>
      <c r="J347" s="12"/>
      <c r="K347" s="2"/>
      <c r="L347" s="59"/>
    </row>
    <row r="348" spans="1:12" x14ac:dyDescent="0.35">
      <c r="A348" s="45">
        <v>344</v>
      </c>
      <c r="B348" s="2"/>
      <c r="C348" s="2"/>
      <c r="D348" s="2"/>
      <c r="E348" s="3"/>
      <c r="F348" s="3"/>
      <c r="G348" s="2"/>
      <c r="H348" s="2"/>
      <c r="I348" s="46"/>
      <c r="J348" s="12"/>
      <c r="K348" s="2"/>
      <c r="L348" s="59"/>
    </row>
    <row r="349" spans="1:12" x14ac:dyDescent="0.35">
      <c r="A349" s="45">
        <v>345</v>
      </c>
      <c r="B349" s="2"/>
      <c r="C349" s="2"/>
      <c r="D349" s="2"/>
      <c r="E349" s="3"/>
      <c r="F349" s="3"/>
      <c r="G349" s="2"/>
      <c r="H349" s="2"/>
      <c r="I349" s="46"/>
      <c r="J349" s="12"/>
      <c r="K349" s="2"/>
      <c r="L349" s="59"/>
    </row>
    <row r="350" spans="1:12" x14ac:dyDescent="0.35">
      <c r="A350" s="45">
        <v>346</v>
      </c>
      <c r="B350" s="2"/>
      <c r="C350" s="2"/>
      <c r="D350" s="2"/>
      <c r="E350" s="3"/>
      <c r="F350" s="3"/>
      <c r="G350" s="2"/>
      <c r="H350" s="2"/>
      <c r="I350" s="46"/>
      <c r="J350" s="12"/>
      <c r="K350" s="2"/>
      <c r="L350" s="59"/>
    </row>
    <row r="351" spans="1:12" x14ac:dyDescent="0.35">
      <c r="A351" s="45">
        <v>347</v>
      </c>
      <c r="B351" s="2"/>
      <c r="C351" s="2"/>
      <c r="D351" s="2"/>
      <c r="E351" s="3"/>
      <c r="F351" s="3"/>
      <c r="G351" s="2"/>
      <c r="H351" s="2"/>
      <c r="I351" s="46"/>
      <c r="J351" s="12"/>
      <c r="K351" s="2"/>
      <c r="L351" s="59"/>
    </row>
    <row r="352" spans="1:12" x14ac:dyDescent="0.35">
      <c r="A352" s="45">
        <v>348</v>
      </c>
      <c r="B352" s="2"/>
      <c r="C352" s="2"/>
      <c r="D352" s="2"/>
      <c r="E352" s="3"/>
      <c r="F352" s="3"/>
      <c r="G352" s="2"/>
      <c r="H352" s="2"/>
      <c r="I352" s="46"/>
      <c r="J352" s="12"/>
      <c r="K352" s="2"/>
      <c r="L352" s="59"/>
    </row>
    <row r="353" spans="1:12" x14ac:dyDescent="0.35">
      <c r="A353" s="45">
        <v>349</v>
      </c>
      <c r="B353" s="2"/>
      <c r="C353" s="2"/>
      <c r="D353" s="2"/>
      <c r="E353" s="3"/>
      <c r="F353" s="3"/>
      <c r="G353" s="2"/>
      <c r="H353" s="2"/>
      <c r="I353" s="46"/>
      <c r="J353" s="12"/>
      <c r="K353" s="2"/>
      <c r="L353" s="59"/>
    </row>
    <row r="354" spans="1:12" x14ac:dyDescent="0.35">
      <c r="A354" s="45">
        <v>350</v>
      </c>
      <c r="B354" s="2"/>
      <c r="C354" s="2"/>
      <c r="D354" s="2"/>
      <c r="E354" s="3"/>
      <c r="F354" s="3"/>
      <c r="G354" s="2"/>
      <c r="H354" s="2"/>
      <c r="I354" s="46"/>
      <c r="J354" s="12"/>
      <c r="K354" s="2"/>
      <c r="L354" s="59"/>
    </row>
    <row r="355" spans="1:12" x14ac:dyDescent="0.35">
      <c r="A355" s="45">
        <v>351</v>
      </c>
      <c r="B355" s="2"/>
      <c r="C355" s="2"/>
      <c r="D355" s="2"/>
      <c r="E355" s="3"/>
      <c r="F355" s="3"/>
      <c r="G355" s="2"/>
      <c r="H355" s="2"/>
      <c r="I355" s="46"/>
      <c r="J355" s="12"/>
      <c r="K355" s="2"/>
      <c r="L355" s="59"/>
    </row>
    <row r="356" spans="1:12" x14ac:dyDescent="0.35">
      <c r="A356" s="45">
        <v>352</v>
      </c>
      <c r="B356" s="2"/>
      <c r="C356" s="2"/>
      <c r="D356" s="2"/>
      <c r="E356" s="3"/>
      <c r="F356" s="3"/>
      <c r="G356" s="2"/>
      <c r="H356" s="2"/>
      <c r="I356" s="46"/>
      <c r="J356" s="12"/>
      <c r="K356" s="2"/>
      <c r="L356" s="59"/>
    </row>
    <row r="357" spans="1:12" x14ac:dyDescent="0.35">
      <c r="A357" s="45">
        <v>353</v>
      </c>
      <c r="B357" s="2"/>
      <c r="C357" s="2"/>
      <c r="D357" s="2"/>
      <c r="E357" s="3"/>
      <c r="F357" s="3"/>
      <c r="G357" s="2"/>
      <c r="H357" s="2"/>
      <c r="I357" s="46"/>
      <c r="J357" s="12"/>
      <c r="K357" s="2"/>
      <c r="L357" s="59"/>
    </row>
    <row r="358" spans="1:12" x14ac:dyDescent="0.35">
      <c r="A358" s="45">
        <v>354</v>
      </c>
      <c r="B358" s="2"/>
      <c r="C358" s="2"/>
      <c r="D358" s="2"/>
      <c r="E358" s="3"/>
      <c r="F358" s="3"/>
      <c r="G358" s="2"/>
      <c r="H358" s="2"/>
      <c r="I358" s="46"/>
      <c r="J358" s="12"/>
      <c r="K358" s="2"/>
      <c r="L358" s="59"/>
    </row>
    <row r="359" spans="1:12" x14ac:dyDescent="0.35">
      <c r="A359" s="45">
        <v>355</v>
      </c>
      <c r="B359" s="2"/>
      <c r="C359" s="2"/>
      <c r="D359" s="2"/>
      <c r="E359" s="3"/>
      <c r="F359" s="3"/>
      <c r="G359" s="2"/>
      <c r="H359" s="2"/>
      <c r="I359" s="46"/>
      <c r="J359" s="12"/>
      <c r="K359" s="2"/>
      <c r="L359" s="59"/>
    </row>
    <row r="360" spans="1:12" x14ac:dyDescent="0.35">
      <c r="A360" s="45">
        <v>356</v>
      </c>
      <c r="B360" s="2"/>
      <c r="C360" s="2"/>
      <c r="D360" s="2"/>
      <c r="E360" s="3"/>
      <c r="F360" s="3"/>
      <c r="G360" s="2"/>
      <c r="H360" s="2"/>
      <c r="I360" s="46"/>
      <c r="J360" s="12"/>
      <c r="K360" s="2"/>
      <c r="L360" s="59"/>
    </row>
    <row r="361" spans="1:12" x14ac:dyDescent="0.35">
      <c r="A361" s="45">
        <v>357</v>
      </c>
      <c r="B361" s="2"/>
      <c r="C361" s="2"/>
      <c r="D361" s="2"/>
      <c r="E361" s="3"/>
      <c r="F361" s="3"/>
      <c r="G361" s="2"/>
      <c r="H361" s="2"/>
      <c r="I361" s="46"/>
      <c r="J361" s="12"/>
      <c r="K361" s="2"/>
      <c r="L361" s="59"/>
    </row>
    <row r="362" spans="1:12" x14ac:dyDescent="0.35">
      <c r="A362" s="45">
        <v>358</v>
      </c>
      <c r="B362" s="2"/>
      <c r="C362" s="2"/>
      <c r="D362" s="2"/>
      <c r="E362" s="3"/>
      <c r="F362" s="3"/>
      <c r="G362" s="2"/>
      <c r="H362" s="2"/>
      <c r="I362" s="46"/>
      <c r="J362" s="12"/>
      <c r="K362" s="2"/>
      <c r="L362" s="59"/>
    </row>
    <row r="363" spans="1:12" x14ac:dyDescent="0.35">
      <c r="A363" s="45">
        <v>359</v>
      </c>
      <c r="B363" s="2"/>
      <c r="C363" s="2"/>
      <c r="D363" s="2"/>
      <c r="E363" s="3"/>
      <c r="F363" s="3"/>
      <c r="G363" s="2"/>
      <c r="H363" s="2"/>
      <c r="I363" s="46"/>
      <c r="J363" s="12"/>
      <c r="K363" s="2"/>
      <c r="L363" s="59"/>
    </row>
    <row r="364" spans="1:12" x14ac:dyDescent="0.35">
      <c r="A364" s="45">
        <v>360</v>
      </c>
      <c r="B364" s="2"/>
      <c r="C364" s="2"/>
      <c r="D364" s="2"/>
      <c r="E364" s="3"/>
      <c r="F364" s="3"/>
      <c r="G364" s="2"/>
      <c r="H364" s="2"/>
      <c r="I364" s="46"/>
      <c r="J364" s="12"/>
      <c r="K364" s="2"/>
      <c r="L364" s="59"/>
    </row>
    <row r="365" spans="1:12" x14ac:dyDescent="0.35">
      <c r="A365" s="45">
        <v>361</v>
      </c>
      <c r="B365" s="2"/>
      <c r="C365" s="2"/>
      <c r="D365" s="2"/>
      <c r="E365" s="3"/>
      <c r="F365" s="3"/>
      <c r="G365" s="2"/>
      <c r="H365" s="2"/>
      <c r="I365" s="46"/>
      <c r="J365" s="12"/>
      <c r="K365" s="2"/>
      <c r="L365" s="59"/>
    </row>
    <row r="366" spans="1:12" x14ac:dyDescent="0.35">
      <c r="A366" s="45">
        <v>362</v>
      </c>
      <c r="B366" s="2"/>
      <c r="C366" s="2"/>
      <c r="D366" s="2"/>
      <c r="E366" s="3"/>
      <c r="F366" s="3"/>
      <c r="G366" s="2"/>
      <c r="H366" s="2"/>
      <c r="I366" s="46"/>
      <c r="J366" s="12"/>
      <c r="K366" s="2"/>
      <c r="L366" s="59"/>
    </row>
    <row r="367" spans="1:12" x14ac:dyDescent="0.35">
      <c r="A367" s="45">
        <v>363</v>
      </c>
      <c r="B367" s="2"/>
      <c r="C367" s="2"/>
      <c r="D367" s="2"/>
      <c r="E367" s="3"/>
      <c r="F367" s="3"/>
      <c r="G367" s="2"/>
      <c r="H367" s="2"/>
      <c r="I367" s="46"/>
      <c r="J367" s="12"/>
      <c r="K367" s="2"/>
      <c r="L367" s="59"/>
    </row>
    <row r="368" spans="1:12" x14ac:dyDescent="0.35">
      <c r="A368" s="45">
        <v>364</v>
      </c>
      <c r="B368" s="2"/>
      <c r="C368" s="2"/>
      <c r="D368" s="2"/>
      <c r="E368" s="3"/>
      <c r="F368" s="3"/>
      <c r="G368" s="2"/>
      <c r="H368" s="2"/>
      <c r="I368" s="46"/>
      <c r="J368" s="12"/>
      <c r="K368" s="2"/>
      <c r="L368" s="59"/>
    </row>
    <row r="369" spans="1:12" x14ac:dyDescent="0.35">
      <c r="A369" s="45">
        <v>365</v>
      </c>
      <c r="B369" s="2"/>
      <c r="C369" s="2"/>
      <c r="D369" s="2"/>
      <c r="E369" s="3"/>
      <c r="F369" s="3"/>
      <c r="G369" s="2"/>
      <c r="H369" s="2"/>
      <c r="I369" s="46"/>
      <c r="J369" s="12"/>
      <c r="K369" s="2"/>
      <c r="L369" s="59"/>
    </row>
    <row r="370" spans="1:12" x14ac:dyDescent="0.35">
      <c r="A370" s="45">
        <v>366</v>
      </c>
      <c r="B370" s="2"/>
      <c r="C370" s="2"/>
      <c r="D370" s="2"/>
      <c r="E370" s="3"/>
      <c r="F370" s="3"/>
      <c r="G370" s="2"/>
      <c r="H370" s="2"/>
      <c r="I370" s="46"/>
      <c r="J370" s="12"/>
      <c r="K370" s="2"/>
      <c r="L370" s="59"/>
    </row>
    <row r="371" spans="1:12" x14ac:dyDescent="0.35">
      <c r="A371" s="45">
        <v>367</v>
      </c>
      <c r="B371" s="2"/>
      <c r="C371" s="2"/>
      <c r="D371" s="2"/>
      <c r="E371" s="3"/>
      <c r="F371" s="3"/>
      <c r="G371" s="2"/>
      <c r="H371" s="2"/>
      <c r="I371" s="46"/>
      <c r="J371" s="12"/>
      <c r="K371" s="2"/>
      <c r="L371" s="59"/>
    </row>
    <row r="372" spans="1:12" x14ac:dyDescent="0.35">
      <c r="A372" s="45">
        <v>368</v>
      </c>
      <c r="B372" s="2"/>
      <c r="C372" s="2"/>
      <c r="D372" s="2"/>
      <c r="E372" s="3"/>
      <c r="F372" s="3"/>
      <c r="G372" s="2"/>
      <c r="H372" s="2"/>
      <c r="I372" s="46"/>
      <c r="J372" s="12"/>
      <c r="K372" s="2"/>
      <c r="L372" s="59"/>
    </row>
    <row r="373" spans="1:12" x14ac:dyDescent="0.35">
      <c r="A373" s="45">
        <v>369</v>
      </c>
      <c r="B373" s="2"/>
      <c r="C373" s="2"/>
      <c r="D373" s="2"/>
      <c r="E373" s="3"/>
      <c r="F373" s="3"/>
      <c r="G373" s="2"/>
      <c r="H373" s="2"/>
      <c r="I373" s="46"/>
      <c r="J373" s="12"/>
      <c r="K373" s="2"/>
      <c r="L373" s="59"/>
    </row>
    <row r="374" spans="1:12" x14ac:dyDescent="0.35">
      <c r="A374" s="45">
        <v>370</v>
      </c>
      <c r="B374" s="2"/>
      <c r="C374" s="2"/>
      <c r="D374" s="2"/>
      <c r="E374" s="3"/>
      <c r="F374" s="3"/>
      <c r="G374" s="2"/>
      <c r="H374" s="2"/>
      <c r="I374" s="46"/>
      <c r="J374" s="12"/>
      <c r="K374" s="2"/>
      <c r="L374" s="59"/>
    </row>
    <row r="375" spans="1:12" x14ac:dyDescent="0.35">
      <c r="A375" s="45">
        <v>371</v>
      </c>
      <c r="B375" s="2"/>
      <c r="C375" s="2"/>
      <c r="D375" s="2"/>
      <c r="E375" s="3"/>
      <c r="F375" s="3"/>
      <c r="G375" s="2"/>
      <c r="H375" s="2"/>
      <c r="I375" s="46"/>
      <c r="J375" s="12"/>
      <c r="K375" s="2"/>
      <c r="L375" s="59"/>
    </row>
    <row r="376" spans="1:12" x14ac:dyDescent="0.35">
      <c r="A376" s="45">
        <v>372</v>
      </c>
      <c r="B376" s="2"/>
      <c r="C376" s="2"/>
      <c r="D376" s="2"/>
      <c r="E376" s="3"/>
      <c r="F376" s="3"/>
      <c r="G376" s="2"/>
      <c r="H376" s="2"/>
      <c r="I376" s="46"/>
      <c r="J376" s="12"/>
      <c r="K376" s="2"/>
      <c r="L376" s="59"/>
    </row>
    <row r="377" spans="1:12" x14ac:dyDescent="0.35">
      <c r="A377" s="45">
        <v>373</v>
      </c>
      <c r="B377" s="2"/>
      <c r="C377" s="2"/>
      <c r="D377" s="2"/>
      <c r="E377" s="3"/>
      <c r="F377" s="3"/>
      <c r="G377" s="2"/>
      <c r="H377" s="2"/>
      <c r="I377" s="46"/>
      <c r="J377" s="12"/>
      <c r="K377" s="2"/>
      <c r="L377" s="59"/>
    </row>
    <row r="378" spans="1:12" x14ac:dyDescent="0.35">
      <c r="A378" s="45">
        <v>374</v>
      </c>
      <c r="B378" s="2"/>
      <c r="C378" s="2"/>
      <c r="D378" s="2"/>
      <c r="E378" s="3"/>
      <c r="F378" s="3"/>
      <c r="G378" s="2"/>
      <c r="H378" s="2"/>
      <c r="I378" s="46"/>
      <c r="J378" s="12"/>
      <c r="K378" s="2"/>
      <c r="L378" s="59"/>
    </row>
    <row r="379" spans="1:12" x14ac:dyDescent="0.35">
      <c r="A379" s="45">
        <v>375</v>
      </c>
      <c r="B379" s="2"/>
      <c r="C379" s="2"/>
      <c r="D379" s="2"/>
      <c r="E379" s="3"/>
      <c r="F379" s="3"/>
      <c r="G379" s="2"/>
      <c r="H379" s="2"/>
      <c r="I379" s="46"/>
      <c r="J379" s="12"/>
      <c r="K379" s="2"/>
      <c r="L379" s="59"/>
    </row>
    <row r="380" spans="1:12" x14ac:dyDescent="0.35">
      <c r="A380" s="45">
        <v>376</v>
      </c>
      <c r="B380" s="2"/>
      <c r="C380" s="2"/>
      <c r="D380" s="2"/>
      <c r="E380" s="3"/>
      <c r="F380" s="3"/>
      <c r="G380" s="2"/>
      <c r="H380" s="2"/>
      <c r="I380" s="46"/>
      <c r="J380" s="12"/>
      <c r="K380" s="2"/>
      <c r="L380" s="59"/>
    </row>
    <row r="381" spans="1:12" x14ac:dyDescent="0.35">
      <c r="A381" s="45">
        <v>377</v>
      </c>
      <c r="B381" s="2"/>
      <c r="C381" s="2"/>
      <c r="D381" s="2"/>
      <c r="E381" s="3"/>
      <c r="F381" s="3"/>
      <c r="G381" s="2"/>
      <c r="H381" s="2"/>
      <c r="I381" s="46"/>
      <c r="J381" s="12"/>
      <c r="K381" s="2"/>
      <c r="L381" s="59"/>
    </row>
    <row r="382" spans="1:12" x14ac:dyDescent="0.35">
      <c r="A382" s="45">
        <v>378</v>
      </c>
      <c r="B382" s="2"/>
      <c r="C382" s="2"/>
      <c r="D382" s="2"/>
      <c r="E382" s="3"/>
      <c r="F382" s="3"/>
      <c r="G382" s="2"/>
      <c r="H382" s="2"/>
      <c r="I382" s="46"/>
      <c r="J382" s="12"/>
      <c r="K382" s="2"/>
      <c r="L382" s="59"/>
    </row>
    <row r="383" spans="1:12" x14ac:dyDescent="0.35">
      <c r="A383" s="45">
        <v>379</v>
      </c>
      <c r="B383" s="2"/>
      <c r="C383" s="2"/>
      <c r="D383" s="2"/>
      <c r="E383" s="3"/>
      <c r="F383" s="3"/>
      <c r="G383" s="2"/>
      <c r="H383" s="2"/>
      <c r="I383" s="46"/>
      <c r="J383" s="12"/>
      <c r="K383" s="2"/>
      <c r="L383" s="59"/>
    </row>
    <row r="384" spans="1:12" x14ac:dyDescent="0.35">
      <c r="A384" s="45">
        <v>380</v>
      </c>
      <c r="B384" s="2"/>
      <c r="C384" s="2"/>
      <c r="D384" s="2"/>
      <c r="E384" s="3"/>
      <c r="F384" s="3"/>
      <c r="G384" s="2"/>
      <c r="H384" s="2"/>
      <c r="I384" s="46"/>
      <c r="J384" s="12"/>
      <c r="K384" s="2"/>
      <c r="L384" s="59"/>
    </row>
    <row r="385" spans="1:12" x14ac:dyDescent="0.35">
      <c r="A385" s="45">
        <v>381</v>
      </c>
      <c r="B385" s="2"/>
      <c r="C385" s="2"/>
      <c r="D385" s="2"/>
      <c r="E385" s="3"/>
      <c r="F385" s="3"/>
      <c r="G385" s="2"/>
      <c r="H385" s="2"/>
      <c r="I385" s="46"/>
      <c r="J385" s="12"/>
      <c r="K385" s="2"/>
      <c r="L385" s="59"/>
    </row>
    <row r="386" spans="1:12" x14ac:dyDescent="0.35">
      <c r="A386" s="45">
        <v>382</v>
      </c>
      <c r="B386" s="2"/>
      <c r="C386" s="2"/>
      <c r="D386" s="2"/>
      <c r="E386" s="3"/>
      <c r="F386" s="3"/>
      <c r="G386" s="2"/>
      <c r="H386" s="2"/>
      <c r="I386" s="46"/>
      <c r="J386" s="12"/>
      <c r="K386" s="2"/>
      <c r="L386" s="59"/>
    </row>
    <row r="387" spans="1:12" x14ac:dyDescent="0.35">
      <c r="A387" s="45">
        <v>383</v>
      </c>
      <c r="B387" s="2"/>
      <c r="C387" s="2"/>
      <c r="D387" s="2"/>
      <c r="E387" s="3"/>
      <c r="F387" s="3"/>
      <c r="G387" s="2"/>
      <c r="H387" s="2"/>
      <c r="I387" s="46"/>
      <c r="J387" s="12"/>
      <c r="K387" s="2"/>
      <c r="L387" s="59"/>
    </row>
    <row r="388" spans="1:12" x14ac:dyDescent="0.35">
      <c r="A388" s="45">
        <v>384</v>
      </c>
      <c r="B388" s="2"/>
      <c r="C388" s="2"/>
      <c r="D388" s="2"/>
      <c r="E388" s="3"/>
      <c r="F388" s="3"/>
      <c r="G388" s="2"/>
      <c r="H388" s="2"/>
      <c r="I388" s="46"/>
      <c r="J388" s="12"/>
      <c r="K388" s="2"/>
      <c r="L388" s="59"/>
    </row>
    <row r="389" spans="1:12" x14ac:dyDescent="0.35">
      <c r="A389" s="45">
        <v>385</v>
      </c>
      <c r="B389" s="2"/>
      <c r="C389" s="2"/>
      <c r="D389" s="2"/>
      <c r="E389" s="3"/>
      <c r="F389" s="3"/>
      <c r="G389" s="2"/>
      <c r="H389" s="2"/>
      <c r="I389" s="46"/>
      <c r="J389" s="12"/>
      <c r="K389" s="2"/>
      <c r="L389" s="59"/>
    </row>
    <row r="390" spans="1:12" x14ac:dyDescent="0.35">
      <c r="A390" s="45">
        <v>386</v>
      </c>
      <c r="B390" s="2"/>
      <c r="C390" s="2"/>
      <c r="D390" s="2"/>
      <c r="E390" s="3"/>
      <c r="F390" s="3"/>
      <c r="G390" s="2"/>
      <c r="H390" s="2"/>
      <c r="I390" s="46"/>
      <c r="J390" s="12"/>
      <c r="K390" s="2"/>
      <c r="L390" s="59"/>
    </row>
    <row r="391" spans="1:12" x14ac:dyDescent="0.35">
      <c r="A391" s="45">
        <v>387</v>
      </c>
      <c r="B391" s="2"/>
      <c r="C391" s="2"/>
      <c r="D391" s="2"/>
      <c r="E391" s="3"/>
      <c r="F391" s="3"/>
      <c r="G391" s="2"/>
      <c r="H391" s="2"/>
      <c r="I391" s="46"/>
      <c r="J391" s="12"/>
      <c r="K391" s="2"/>
      <c r="L391" s="59"/>
    </row>
    <row r="392" spans="1:12" x14ac:dyDescent="0.35">
      <c r="A392" s="45">
        <v>388</v>
      </c>
      <c r="B392" s="2"/>
      <c r="C392" s="2"/>
      <c r="D392" s="2"/>
      <c r="E392" s="3"/>
      <c r="F392" s="3"/>
      <c r="G392" s="2"/>
      <c r="H392" s="2"/>
      <c r="I392" s="46"/>
      <c r="J392" s="12"/>
      <c r="K392" s="2"/>
      <c r="L392" s="59"/>
    </row>
    <row r="393" spans="1:12" x14ac:dyDescent="0.35">
      <c r="A393" s="45">
        <v>389</v>
      </c>
      <c r="B393" s="2"/>
      <c r="C393" s="2"/>
      <c r="D393" s="2"/>
      <c r="E393" s="3"/>
      <c r="F393" s="3"/>
      <c r="G393" s="2"/>
      <c r="H393" s="2"/>
      <c r="I393" s="46"/>
      <c r="J393" s="12"/>
      <c r="K393" s="2"/>
      <c r="L393" s="59"/>
    </row>
    <row r="394" spans="1:12" x14ac:dyDescent="0.35">
      <c r="A394" s="45">
        <v>390</v>
      </c>
      <c r="B394" s="2"/>
      <c r="C394" s="2"/>
      <c r="D394" s="2"/>
      <c r="E394" s="3"/>
      <c r="F394" s="3"/>
      <c r="G394" s="2"/>
      <c r="H394" s="2"/>
      <c r="I394" s="46"/>
      <c r="J394" s="12"/>
      <c r="K394" s="2"/>
      <c r="L394" s="59"/>
    </row>
    <row r="395" spans="1:12" x14ac:dyDescent="0.35">
      <c r="A395" s="45">
        <v>391</v>
      </c>
      <c r="B395" s="2"/>
      <c r="C395" s="2"/>
      <c r="D395" s="2"/>
      <c r="E395" s="3"/>
      <c r="F395" s="3"/>
      <c r="G395" s="2"/>
      <c r="H395" s="2"/>
      <c r="I395" s="46"/>
      <c r="J395" s="12"/>
      <c r="K395" s="2"/>
      <c r="L395" s="59"/>
    </row>
    <row r="396" spans="1:12" x14ac:dyDescent="0.35">
      <c r="A396" s="45">
        <v>392</v>
      </c>
      <c r="B396" s="2"/>
      <c r="C396" s="2"/>
      <c r="D396" s="2"/>
      <c r="E396" s="3"/>
      <c r="F396" s="3"/>
      <c r="G396" s="2"/>
      <c r="H396" s="2"/>
      <c r="I396" s="46"/>
      <c r="J396" s="12"/>
      <c r="K396" s="2"/>
      <c r="L396" s="59"/>
    </row>
    <row r="397" spans="1:12" x14ac:dyDescent="0.35">
      <c r="A397" s="45">
        <v>393</v>
      </c>
      <c r="B397" s="2"/>
      <c r="C397" s="2"/>
      <c r="D397" s="2"/>
      <c r="E397" s="3"/>
      <c r="F397" s="3"/>
      <c r="G397" s="2"/>
      <c r="H397" s="2"/>
      <c r="I397" s="46"/>
      <c r="J397" s="12"/>
      <c r="K397" s="2"/>
      <c r="L397" s="59"/>
    </row>
    <row r="398" spans="1:12" x14ac:dyDescent="0.35">
      <c r="A398" s="45">
        <v>394</v>
      </c>
      <c r="B398" s="2"/>
      <c r="C398" s="2"/>
      <c r="D398" s="2"/>
      <c r="E398" s="3"/>
      <c r="F398" s="3"/>
      <c r="G398" s="2"/>
      <c r="H398" s="2"/>
      <c r="I398" s="46"/>
      <c r="J398" s="12"/>
      <c r="K398" s="2"/>
      <c r="L398" s="59"/>
    </row>
    <row r="399" spans="1:12" x14ac:dyDescent="0.35">
      <c r="A399" s="45">
        <v>395</v>
      </c>
      <c r="B399" s="2"/>
      <c r="C399" s="2"/>
      <c r="D399" s="2"/>
      <c r="E399" s="3"/>
      <c r="F399" s="3"/>
      <c r="G399" s="2"/>
      <c r="H399" s="2"/>
      <c r="I399" s="46"/>
      <c r="J399" s="12"/>
      <c r="K399" s="2"/>
      <c r="L399" s="59"/>
    </row>
    <row r="400" spans="1:12" x14ac:dyDescent="0.35">
      <c r="A400" s="45">
        <v>396</v>
      </c>
      <c r="B400" s="2"/>
      <c r="C400" s="2"/>
      <c r="D400" s="2"/>
      <c r="E400" s="3"/>
      <c r="F400" s="3"/>
      <c r="G400" s="2"/>
      <c r="H400" s="2"/>
      <c r="I400" s="46"/>
      <c r="J400" s="12"/>
      <c r="K400" s="2"/>
      <c r="L400" s="59"/>
    </row>
    <row r="401" spans="1:12" x14ac:dyDescent="0.35">
      <c r="A401" s="45">
        <v>397</v>
      </c>
      <c r="B401" s="2"/>
      <c r="C401" s="2"/>
      <c r="D401" s="2"/>
      <c r="E401" s="3"/>
      <c r="F401" s="3"/>
      <c r="G401" s="2"/>
      <c r="H401" s="2"/>
      <c r="I401" s="46"/>
      <c r="J401" s="12"/>
      <c r="K401" s="2"/>
      <c r="L401" s="59"/>
    </row>
    <row r="402" spans="1:12" x14ac:dyDescent="0.35">
      <c r="A402" s="45">
        <v>398</v>
      </c>
      <c r="B402" s="2"/>
      <c r="C402" s="2"/>
      <c r="D402" s="2"/>
      <c r="E402" s="3"/>
      <c r="F402" s="3"/>
      <c r="G402" s="2"/>
      <c r="H402" s="2"/>
      <c r="I402" s="46"/>
      <c r="J402" s="12"/>
      <c r="K402" s="2"/>
      <c r="L402" s="59"/>
    </row>
    <row r="403" spans="1:12" x14ac:dyDescent="0.35">
      <c r="A403" s="45">
        <v>399</v>
      </c>
      <c r="B403" s="2"/>
      <c r="C403" s="2"/>
      <c r="D403" s="2"/>
      <c r="E403" s="3"/>
      <c r="F403" s="3"/>
      <c r="G403" s="2"/>
      <c r="H403" s="2"/>
      <c r="I403" s="46"/>
      <c r="J403" s="12"/>
      <c r="K403" s="2"/>
      <c r="L403" s="59"/>
    </row>
    <row r="404" spans="1:12" x14ac:dyDescent="0.35">
      <c r="A404" s="45">
        <v>400</v>
      </c>
      <c r="B404" s="2"/>
      <c r="C404" s="2"/>
      <c r="D404" s="2"/>
      <c r="E404" s="3"/>
      <c r="F404" s="3"/>
      <c r="G404" s="2"/>
      <c r="H404" s="2"/>
      <c r="I404" s="46"/>
      <c r="J404" s="12"/>
      <c r="K404" s="2"/>
      <c r="L404" s="59"/>
    </row>
    <row r="405" spans="1:12" x14ac:dyDescent="0.35">
      <c r="A405" s="45">
        <v>401</v>
      </c>
      <c r="B405" s="2"/>
      <c r="C405" s="2"/>
      <c r="D405" s="2"/>
      <c r="E405" s="3"/>
      <c r="F405" s="3"/>
      <c r="G405" s="2"/>
      <c r="H405" s="2"/>
      <c r="I405" s="46"/>
      <c r="J405" s="12"/>
      <c r="K405" s="2"/>
      <c r="L405" s="59"/>
    </row>
    <row r="406" spans="1:12" x14ac:dyDescent="0.35">
      <c r="A406" s="45">
        <v>402</v>
      </c>
      <c r="B406" s="2"/>
      <c r="C406" s="2"/>
      <c r="D406" s="2"/>
      <c r="E406" s="3"/>
      <c r="F406" s="3"/>
      <c r="G406" s="2"/>
      <c r="H406" s="2"/>
      <c r="I406" s="46"/>
      <c r="J406" s="12"/>
      <c r="K406" s="2"/>
      <c r="L406" s="59"/>
    </row>
    <row r="407" spans="1:12" x14ac:dyDescent="0.35">
      <c r="A407" s="45">
        <v>403</v>
      </c>
      <c r="B407" s="2"/>
      <c r="C407" s="2"/>
      <c r="D407" s="2"/>
      <c r="E407" s="3"/>
      <c r="F407" s="3"/>
      <c r="G407" s="2"/>
      <c r="H407" s="2"/>
      <c r="I407" s="46"/>
      <c r="J407" s="12"/>
      <c r="K407" s="2"/>
      <c r="L407" s="59"/>
    </row>
    <row r="408" spans="1:12" x14ac:dyDescent="0.35">
      <c r="A408" s="45">
        <v>404</v>
      </c>
      <c r="B408" s="2"/>
      <c r="C408" s="2"/>
      <c r="D408" s="2"/>
      <c r="E408" s="3"/>
      <c r="F408" s="3"/>
      <c r="G408" s="2"/>
      <c r="H408" s="2"/>
      <c r="I408" s="46"/>
      <c r="J408" s="12"/>
      <c r="K408" s="2"/>
      <c r="L408" s="59"/>
    </row>
    <row r="409" spans="1:12" x14ac:dyDescent="0.35">
      <c r="A409" s="45">
        <v>405</v>
      </c>
      <c r="B409" s="2"/>
      <c r="C409" s="2"/>
      <c r="D409" s="2"/>
      <c r="E409" s="3"/>
      <c r="F409" s="3"/>
      <c r="G409" s="2"/>
      <c r="H409" s="2"/>
      <c r="I409" s="46"/>
      <c r="J409" s="12"/>
      <c r="K409" s="2"/>
      <c r="L409" s="59"/>
    </row>
    <row r="410" spans="1:12" x14ac:dyDescent="0.35">
      <c r="A410" s="45">
        <v>406</v>
      </c>
      <c r="B410" s="2"/>
      <c r="C410" s="2"/>
      <c r="D410" s="2"/>
      <c r="E410" s="3"/>
      <c r="F410" s="3"/>
      <c r="G410" s="2"/>
      <c r="H410" s="2"/>
      <c r="I410" s="46"/>
      <c r="J410" s="12"/>
      <c r="K410" s="2"/>
      <c r="L410" s="59"/>
    </row>
    <row r="411" spans="1:12" x14ac:dyDescent="0.35">
      <c r="A411" s="45">
        <v>407</v>
      </c>
      <c r="B411" s="2"/>
      <c r="C411" s="2"/>
      <c r="D411" s="2"/>
      <c r="E411" s="3"/>
      <c r="F411" s="3"/>
      <c r="G411" s="2"/>
      <c r="H411" s="2"/>
      <c r="I411" s="46"/>
      <c r="J411" s="12"/>
      <c r="K411" s="2"/>
      <c r="L411" s="59"/>
    </row>
    <row r="412" spans="1:12" x14ac:dyDescent="0.35">
      <c r="A412" s="45">
        <v>408</v>
      </c>
      <c r="B412" s="2"/>
      <c r="C412" s="2"/>
      <c r="D412" s="2"/>
      <c r="E412" s="3"/>
      <c r="F412" s="3"/>
      <c r="G412" s="2"/>
      <c r="H412" s="2"/>
      <c r="I412" s="46"/>
      <c r="J412" s="12"/>
      <c r="K412" s="2"/>
      <c r="L412" s="59"/>
    </row>
    <row r="413" spans="1:12" x14ac:dyDescent="0.35">
      <c r="A413" s="45">
        <v>409</v>
      </c>
      <c r="B413" s="2"/>
      <c r="C413" s="2"/>
      <c r="D413" s="2"/>
      <c r="E413" s="3"/>
      <c r="F413" s="3"/>
      <c r="G413" s="2"/>
      <c r="H413" s="2"/>
      <c r="I413" s="46"/>
      <c r="J413" s="12"/>
      <c r="K413" s="2"/>
      <c r="L413" s="59"/>
    </row>
    <row r="414" spans="1:12" x14ac:dyDescent="0.35">
      <c r="A414" s="45">
        <v>410</v>
      </c>
      <c r="B414" s="2"/>
      <c r="C414" s="2"/>
      <c r="D414" s="2"/>
      <c r="E414" s="3"/>
      <c r="F414" s="3"/>
      <c r="G414" s="2"/>
      <c r="H414" s="2"/>
      <c r="I414" s="46"/>
      <c r="J414" s="12"/>
      <c r="K414" s="2"/>
      <c r="L414" s="59"/>
    </row>
    <row r="415" spans="1:12" x14ac:dyDescent="0.35">
      <c r="A415" s="45">
        <v>411</v>
      </c>
      <c r="B415" s="2"/>
      <c r="C415" s="2"/>
      <c r="D415" s="2"/>
      <c r="E415" s="3"/>
      <c r="F415" s="3"/>
      <c r="G415" s="2"/>
      <c r="H415" s="2"/>
      <c r="I415" s="46"/>
      <c r="J415" s="12"/>
      <c r="K415" s="2"/>
      <c r="L415" s="59"/>
    </row>
    <row r="416" spans="1:12" x14ac:dyDescent="0.35">
      <c r="A416" s="45">
        <v>412</v>
      </c>
      <c r="B416" s="2"/>
      <c r="C416" s="2"/>
      <c r="D416" s="2"/>
      <c r="E416" s="3"/>
      <c r="F416" s="3"/>
      <c r="G416" s="2"/>
      <c r="H416" s="2"/>
      <c r="I416" s="46"/>
      <c r="J416" s="12"/>
      <c r="K416" s="2"/>
      <c r="L416" s="59"/>
    </row>
    <row r="417" spans="1:12" x14ac:dyDescent="0.35">
      <c r="A417" s="45">
        <v>413</v>
      </c>
      <c r="B417" s="2"/>
      <c r="C417" s="2"/>
      <c r="D417" s="2"/>
      <c r="E417" s="3"/>
      <c r="F417" s="3"/>
      <c r="G417" s="2"/>
      <c r="H417" s="2"/>
      <c r="I417" s="46"/>
      <c r="J417" s="12"/>
      <c r="K417" s="2"/>
      <c r="L417" s="59"/>
    </row>
    <row r="418" spans="1:12" x14ac:dyDescent="0.35">
      <c r="A418" s="45">
        <v>414</v>
      </c>
      <c r="B418" s="2"/>
      <c r="C418" s="2"/>
      <c r="D418" s="2"/>
      <c r="E418" s="3"/>
      <c r="F418" s="3"/>
      <c r="G418" s="2"/>
      <c r="H418" s="2"/>
      <c r="I418" s="46"/>
      <c r="J418" s="12"/>
      <c r="K418" s="2"/>
      <c r="L418" s="59"/>
    </row>
    <row r="419" spans="1:12" x14ac:dyDescent="0.35">
      <c r="A419" s="45">
        <v>415</v>
      </c>
      <c r="B419" s="2"/>
      <c r="C419" s="2"/>
      <c r="D419" s="2"/>
      <c r="E419" s="3"/>
      <c r="F419" s="3"/>
      <c r="G419" s="2"/>
      <c r="H419" s="2"/>
      <c r="I419" s="46"/>
      <c r="J419" s="12"/>
      <c r="K419" s="2"/>
      <c r="L419" s="59"/>
    </row>
    <row r="420" spans="1:12" x14ac:dyDescent="0.35">
      <c r="A420" s="45">
        <v>416</v>
      </c>
      <c r="B420" s="2"/>
      <c r="C420" s="2"/>
      <c r="D420" s="2"/>
      <c r="E420" s="3"/>
      <c r="F420" s="3"/>
      <c r="G420" s="2"/>
      <c r="H420" s="2"/>
      <c r="I420" s="46"/>
      <c r="J420" s="12"/>
      <c r="K420" s="2"/>
      <c r="L420" s="59"/>
    </row>
    <row r="421" spans="1:12" x14ac:dyDescent="0.35">
      <c r="A421" s="45">
        <v>417</v>
      </c>
      <c r="B421" s="2"/>
      <c r="C421" s="2"/>
      <c r="D421" s="2"/>
      <c r="E421" s="3"/>
      <c r="F421" s="3"/>
      <c r="G421" s="2"/>
      <c r="H421" s="2"/>
      <c r="I421" s="46"/>
      <c r="J421" s="12"/>
      <c r="K421" s="2"/>
      <c r="L421" s="59"/>
    </row>
    <row r="422" spans="1:12" x14ac:dyDescent="0.35">
      <c r="A422" s="45">
        <v>418</v>
      </c>
      <c r="B422" s="2"/>
      <c r="C422" s="2"/>
      <c r="D422" s="2"/>
      <c r="E422" s="3"/>
      <c r="F422" s="3"/>
      <c r="G422" s="2"/>
      <c r="H422" s="2"/>
      <c r="I422" s="46"/>
      <c r="J422" s="12"/>
      <c r="K422" s="2"/>
      <c r="L422" s="59"/>
    </row>
    <row r="423" spans="1:12" x14ac:dyDescent="0.35">
      <c r="A423" s="45">
        <v>419</v>
      </c>
      <c r="B423" s="2"/>
      <c r="C423" s="2"/>
      <c r="D423" s="2"/>
      <c r="E423" s="3"/>
      <c r="F423" s="3"/>
      <c r="G423" s="2"/>
      <c r="H423" s="2"/>
      <c r="I423" s="46"/>
      <c r="J423" s="12"/>
      <c r="K423" s="2"/>
      <c r="L423" s="59"/>
    </row>
    <row r="424" spans="1:12" x14ac:dyDescent="0.35">
      <c r="A424" s="45">
        <v>420</v>
      </c>
      <c r="B424" s="2"/>
      <c r="C424" s="2"/>
      <c r="D424" s="2"/>
      <c r="E424" s="3"/>
      <c r="F424" s="3"/>
      <c r="G424" s="2"/>
      <c r="H424" s="2"/>
      <c r="I424" s="46"/>
      <c r="J424" s="12"/>
      <c r="K424" s="2"/>
      <c r="L424" s="59"/>
    </row>
    <row r="425" spans="1:12" x14ac:dyDescent="0.35">
      <c r="A425" s="45">
        <v>421</v>
      </c>
      <c r="B425" s="2"/>
      <c r="C425" s="2"/>
      <c r="D425" s="2"/>
      <c r="E425" s="3"/>
      <c r="F425" s="3"/>
      <c r="G425" s="2"/>
      <c r="H425" s="2"/>
      <c r="I425" s="46"/>
      <c r="J425" s="12"/>
      <c r="K425" s="2"/>
      <c r="L425" s="59"/>
    </row>
    <row r="426" spans="1:12" x14ac:dyDescent="0.35">
      <c r="A426" s="45">
        <v>422</v>
      </c>
      <c r="B426" s="2"/>
      <c r="C426" s="2"/>
      <c r="D426" s="2"/>
      <c r="E426" s="3"/>
      <c r="F426" s="3"/>
      <c r="G426" s="2"/>
      <c r="H426" s="2"/>
      <c r="I426" s="46"/>
      <c r="J426" s="12"/>
      <c r="K426" s="2"/>
      <c r="L426" s="59"/>
    </row>
    <row r="427" spans="1:12" x14ac:dyDescent="0.35">
      <c r="A427" s="45">
        <v>423</v>
      </c>
      <c r="B427" s="2"/>
      <c r="C427" s="2"/>
      <c r="D427" s="2"/>
      <c r="E427" s="3"/>
      <c r="F427" s="3"/>
      <c r="G427" s="2"/>
      <c r="H427" s="2"/>
      <c r="I427" s="46"/>
      <c r="J427" s="12"/>
      <c r="K427" s="2"/>
      <c r="L427" s="59"/>
    </row>
    <row r="428" spans="1:12" x14ac:dyDescent="0.35">
      <c r="A428" s="45">
        <v>424</v>
      </c>
      <c r="B428" s="2"/>
      <c r="C428" s="2"/>
      <c r="D428" s="2"/>
      <c r="E428" s="3"/>
      <c r="F428" s="3"/>
      <c r="G428" s="2"/>
      <c r="H428" s="2"/>
      <c r="I428" s="46"/>
      <c r="J428" s="12"/>
      <c r="K428" s="2"/>
      <c r="L428" s="59"/>
    </row>
    <row r="429" spans="1:12" x14ac:dyDescent="0.35">
      <c r="A429" s="45">
        <v>425</v>
      </c>
      <c r="B429" s="2"/>
      <c r="C429" s="2"/>
      <c r="D429" s="2"/>
      <c r="E429" s="3"/>
      <c r="F429" s="3"/>
      <c r="G429" s="2"/>
      <c r="H429" s="2"/>
      <c r="I429" s="46"/>
      <c r="J429" s="12"/>
      <c r="K429" s="2"/>
      <c r="L429" s="59"/>
    </row>
    <row r="430" spans="1:12" x14ac:dyDescent="0.35">
      <c r="A430" s="45">
        <v>426</v>
      </c>
      <c r="B430" s="2"/>
      <c r="C430" s="2"/>
      <c r="D430" s="2"/>
      <c r="E430" s="3"/>
      <c r="F430" s="3"/>
      <c r="G430" s="2"/>
      <c r="H430" s="2"/>
      <c r="I430" s="46"/>
      <c r="J430" s="12"/>
      <c r="K430" s="2"/>
      <c r="L430" s="59"/>
    </row>
    <row r="431" spans="1:12" x14ac:dyDescent="0.35">
      <c r="A431" s="45">
        <v>427</v>
      </c>
      <c r="B431" s="2"/>
      <c r="C431" s="2"/>
      <c r="D431" s="2"/>
      <c r="E431" s="3"/>
      <c r="F431" s="3"/>
      <c r="G431" s="2"/>
      <c r="H431" s="2"/>
      <c r="I431" s="46"/>
      <c r="J431" s="12"/>
      <c r="K431" s="2"/>
      <c r="L431" s="59"/>
    </row>
    <row r="432" spans="1:12" x14ac:dyDescent="0.35">
      <c r="A432" s="45">
        <v>428</v>
      </c>
      <c r="B432" s="2"/>
      <c r="C432" s="2"/>
      <c r="D432" s="2"/>
      <c r="E432" s="3"/>
      <c r="F432" s="3"/>
      <c r="G432" s="2"/>
      <c r="H432" s="2"/>
      <c r="I432" s="46"/>
      <c r="J432" s="12"/>
      <c r="K432" s="2"/>
      <c r="L432" s="59"/>
    </row>
    <row r="433" spans="1:12" x14ac:dyDescent="0.35">
      <c r="A433" s="45">
        <v>429</v>
      </c>
      <c r="B433" s="2"/>
      <c r="C433" s="2"/>
      <c r="D433" s="2"/>
      <c r="E433" s="3"/>
      <c r="F433" s="3"/>
      <c r="G433" s="2"/>
      <c r="H433" s="2"/>
      <c r="I433" s="46"/>
      <c r="J433" s="12"/>
      <c r="K433" s="2"/>
      <c r="L433" s="59"/>
    </row>
    <row r="434" spans="1:12" x14ac:dyDescent="0.35">
      <c r="A434" s="45">
        <v>430</v>
      </c>
      <c r="B434" s="2"/>
      <c r="C434" s="2"/>
      <c r="D434" s="2"/>
      <c r="E434" s="3"/>
      <c r="F434" s="3"/>
      <c r="G434" s="2"/>
      <c r="H434" s="2"/>
      <c r="I434" s="46"/>
      <c r="J434" s="12"/>
      <c r="K434" s="2"/>
      <c r="L434" s="59"/>
    </row>
    <row r="435" spans="1:12" x14ac:dyDescent="0.35">
      <c r="A435" s="45">
        <v>431</v>
      </c>
      <c r="B435" s="2"/>
      <c r="C435" s="2"/>
      <c r="D435" s="2"/>
      <c r="E435" s="3"/>
      <c r="F435" s="3"/>
      <c r="G435" s="2"/>
      <c r="H435" s="2"/>
      <c r="I435" s="46"/>
      <c r="J435" s="12"/>
      <c r="K435" s="2"/>
      <c r="L435" s="59"/>
    </row>
    <row r="436" spans="1:12" x14ac:dyDescent="0.35">
      <c r="A436" s="45">
        <v>432</v>
      </c>
      <c r="B436" s="2"/>
      <c r="C436" s="2"/>
      <c r="D436" s="2"/>
      <c r="E436" s="3"/>
      <c r="F436" s="3"/>
      <c r="G436" s="2"/>
      <c r="H436" s="2"/>
      <c r="I436" s="46"/>
      <c r="J436" s="12"/>
      <c r="K436" s="2"/>
      <c r="L436" s="59"/>
    </row>
    <row r="437" spans="1:12" x14ac:dyDescent="0.35">
      <c r="A437" s="45">
        <v>433</v>
      </c>
      <c r="B437" s="2"/>
      <c r="C437" s="2"/>
      <c r="D437" s="2"/>
      <c r="E437" s="3"/>
      <c r="F437" s="3"/>
      <c r="G437" s="2"/>
      <c r="H437" s="2"/>
      <c r="I437" s="46"/>
      <c r="J437" s="12"/>
      <c r="K437" s="2"/>
      <c r="L437" s="59"/>
    </row>
    <row r="438" spans="1:12" x14ac:dyDescent="0.35">
      <c r="A438" s="45">
        <v>434</v>
      </c>
      <c r="B438" s="2"/>
      <c r="C438" s="2"/>
      <c r="D438" s="2"/>
      <c r="E438" s="3"/>
      <c r="F438" s="3"/>
      <c r="G438" s="2"/>
      <c r="H438" s="2"/>
      <c r="I438" s="46"/>
      <c r="J438" s="12"/>
      <c r="K438" s="2"/>
      <c r="L438" s="59"/>
    </row>
    <row r="439" spans="1:12" x14ac:dyDescent="0.35">
      <c r="A439" s="45">
        <v>435</v>
      </c>
      <c r="B439" s="2"/>
      <c r="C439" s="2"/>
      <c r="D439" s="2"/>
      <c r="E439" s="3"/>
      <c r="F439" s="3"/>
      <c r="G439" s="2"/>
      <c r="H439" s="2"/>
      <c r="I439" s="46"/>
      <c r="J439" s="12"/>
      <c r="K439" s="2"/>
      <c r="L439" s="59"/>
    </row>
    <row r="440" spans="1:12" x14ac:dyDescent="0.35">
      <c r="A440" s="45">
        <v>436</v>
      </c>
      <c r="B440" s="2"/>
      <c r="C440" s="2"/>
      <c r="D440" s="2"/>
      <c r="E440" s="3"/>
      <c r="F440" s="3"/>
      <c r="G440" s="2"/>
      <c r="H440" s="2"/>
      <c r="I440" s="46"/>
      <c r="J440" s="12"/>
      <c r="K440" s="2"/>
      <c r="L440" s="59"/>
    </row>
    <row r="441" spans="1:12" x14ac:dyDescent="0.35">
      <c r="A441" s="45">
        <v>437</v>
      </c>
      <c r="B441" s="2"/>
      <c r="C441" s="2"/>
      <c r="D441" s="2"/>
      <c r="E441" s="3"/>
      <c r="F441" s="3"/>
      <c r="G441" s="2"/>
      <c r="H441" s="2"/>
      <c r="I441" s="46"/>
      <c r="J441" s="12"/>
      <c r="K441" s="2"/>
      <c r="L441" s="59"/>
    </row>
    <row r="442" spans="1:12" x14ac:dyDescent="0.35">
      <c r="A442" s="45">
        <v>438</v>
      </c>
      <c r="B442" s="2"/>
      <c r="C442" s="2"/>
      <c r="D442" s="2"/>
      <c r="E442" s="3"/>
      <c r="F442" s="3"/>
      <c r="G442" s="2"/>
      <c r="H442" s="2"/>
      <c r="I442" s="46"/>
      <c r="J442" s="12"/>
      <c r="K442" s="2"/>
      <c r="L442" s="59"/>
    </row>
    <row r="443" spans="1:12" x14ac:dyDescent="0.35">
      <c r="A443" s="45">
        <v>439</v>
      </c>
      <c r="B443" s="2"/>
      <c r="C443" s="2"/>
      <c r="D443" s="2"/>
      <c r="E443" s="3"/>
      <c r="F443" s="3"/>
      <c r="G443" s="2"/>
      <c r="H443" s="2"/>
      <c r="I443" s="46"/>
      <c r="J443" s="12"/>
      <c r="K443" s="2"/>
      <c r="L443" s="59"/>
    </row>
    <row r="444" spans="1:12" x14ac:dyDescent="0.35">
      <c r="A444" s="45">
        <v>440</v>
      </c>
      <c r="B444" s="2"/>
      <c r="C444" s="2"/>
      <c r="D444" s="2"/>
      <c r="E444" s="3"/>
      <c r="F444" s="3"/>
      <c r="G444" s="2"/>
      <c r="H444" s="2"/>
      <c r="I444" s="46"/>
      <c r="J444" s="12"/>
      <c r="K444" s="2"/>
      <c r="L444" s="59"/>
    </row>
    <row r="445" spans="1:12" x14ac:dyDescent="0.35">
      <c r="A445" s="45">
        <v>441</v>
      </c>
      <c r="B445" s="2"/>
      <c r="C445" s="2"/>
      <c r="D445" s="2"/>
      <c r="E445" s="3"/>
      <c r="F445" s="3"/>
      <c r="G445" s="2"/>
      <c r="H445" s="2"/>
      <c r="I445" s="46"/>
      <c r="J445" s="12"/>
      <c r="K445" s="2"/>
      <c r="L445" s="59"/>
    </row>
    <row r="446" spans="1:12" x14ac:dyDescent="0.35">
      <c r="A446" s="45">
        <v>442</v>
      </c>
      <c r="B446" s="2"/>
      <c r="C446" s="2"/>
      <c r="D446" s="2"/>
      <c r="E446" s="3"/>
      <c r="F446" s="3"/>
      <c r="G446" s="2"/>
      <c r="H446" s="2"/>
      <c r="I446" s="46"/>
      <c r="J446" s="12"/>
      <c r="K446" s="2"/>
      <c r="L446" s="59"/>
    </row>
    <row r="447" spans="1:12" x14ac:dyDescent="0.35">
      <c r="A447" s="45">
        <v>443</v>
      </c>
      <c r="B447" s="2"/>
      <c r="C447" s="2"/>
      <c r="D447" s="2"/>
      <c r="E447" s="3"/>
      <c r="F447" s="3"/>
      <c r="G447" s="2"/>
      <c r="H447" s="2"/>
      <c r="I447" s="46"/>
      <c r="J447" s="12"/>
      <c r="K447" s="2"/>
      <c r="L447" s="59"/>
    </row>
    <row r="448" spans="1:12" x14ac:dyDescent="0.35">
      <c r="A448" s="45">
        <v>444</v>
      </c>
      <c r="B448" s="2"/>
      <c r="C448" s="2"/>
      <c r="D448" s="2"/>
      <c r="E448" s="3"/>
      <c r="F448" s="3"/>
      <c r="G448" s="2"/>
      <c r="H448" s="2"/>
      <c r="I448" s="46"/>
      <c r="J448" s="12"/>
      <c r="K448" s="2"/>
      <c r="L448" s="59"/>
    </row>
    <row r="449" spans="1:12" x14ac:dyDescent="0.35">
      <c r="A449" s="45">
        <v>445</v>
      </c>
      <c r="B449" s="2"/>
      <c r="C449" s="2"/>
      <c r="D449" s="2"/>
      <c r="E449" s="3"/>
      <c r="F449" s="3"/>
      <c r="G449" s="2"/>
      <c r="H449" s="2"/>
      <c r="I449" s="46"/>
      <c r="J449" s="12"/>
      <c r="K449" s="2"/>
      <c r="L449" s="59"/>
    </row>
    <row r="450" spans="1:12" x14ac:dyDescent="0.35">
      <c r="A450" s="45">
        <v>446</v>
      </c>
      <c r="B450" s="2"/>
      <c r="C450" s="2"/>
      <c r="D450" s="2"/>
      <c r="E450" s="3"/>
      <c r="F450" s="3"/>
      <c r="G450" s="2"/>
      <c r="H450" s="2"/>
      <c r="I450" s="46"/>
      <c r="J450" s="12"/>
      <c r="K450" s="2"/>
      <c r="L450" s="59"/>
    </row>
    <row r="451" spans="1:12" x14ac:dyDescent="0.35">
      <c r="A451" s="45">
        <v>447</v>
      </c>
      <c r="B451" s="2"/>
      <c r="C451" s="2"/>
      <c r="D451" s="2"/>
      <c r="E451" s="3"/>
      <c r="F451" s="3"/>
      <c r="G451" s="2"/>
      <c r="H451" s="2"/>
      <c r="I451" s="46"/>
      <c r="J451" s="12"/>
      <c r="K451" s="2"/>
      <c r="L451" s="59"/>
    </row>
    <row r="452" spans="1:12" x14ac:dyDescent="0.35">
      <c r="A452" s="45">
        <v>448</v>
      </c>
      <c r="B452" s="2"/>
      <c r="C452" s="2"/>
      <c r="D452" s="2"/>
      <c r="E452" s="3"/>
      <c r="F452" s="3"/>
      <c r="G452" s="2"/>
      <c r="H452" s="2"/>
      <c r="I452" s="46"/>
      <c r="J452" s="12"/>
      <c r="K452" s="2"/>
      <c r="L452" s="59"/>
    </row>
    <row r="453" spans="1:12" x14ac:dyDescent="0.35">
      <c r="A453" s="45">
        <v>449</v>
      </c>
      <c r="B453" s="2"/>
      <c r="C453" s="2"/>
      <c r="D453" s="2"/>
      <c r="E453" s="3"/>
      <c r="F453" s="3"/>
      <c r="G453" s="2"/>
      <c r="H453" s="2"/>
      <c r="I453" s="46"/>
      <c r="J453" s="12"/>
      <c r="K453" s="2"/>
      <c r="L453" s="59"/>
    </row>
    <row r="454" spans="1:12" x14ac:dyDescent="0.35">
      <c r="A454" s="45">
        <v>450</v>
      </c>
      <c r="B454" s="2"/>
      <c r="C454" s="2"/>
      <c r="D454" s="2"/>
      <c r="E454" s="3"/>
      <c r="F454" s="3"/>
      <c r="G454" s="2"/>
      <c r="H454" s="2"/>
      <c r="I454" s="46"/>
      <c r="J454" s="12"/>
      <c r="K454" s="2"/>
      <c r="L454" s="59"/>
    </row>
    <row r="455" spans="1:12" x14ac:dyDescent="0.35">
      <c r="A455" s="45">
        <v>451</v>
      </c>
      <c r="B455" s="2"/>
      <c r="C455" s="2"/>
      <c r="D455" s="2"/>
      <c r="E455" s="3"/>
      <c r="F455" s="3"/>
      <c r="G455" s="2"/>
      <c r="H455" s="2"/>
      <c r="I455" s="46"/>
      <c r="J455" s="12"/>
      <c r="K455" s="2"/>
      <c r="L455" s="59"/>
    </row>
    <row r="456" spans="1:12" x14ac:dyDescent="0.35">
      <c r="A456" s="45">
        <v>452</v>
      </c>
      <c r="B456" s="2"/>
      <c r="C456" s="2"/>
      <c r="D456" s="2"/>
      <c r="E456" s="3"/>
      <c r="F456" s="3"/>
      <c r="G456" s="2"/>
      <c r="H456" s="2"/>
      <c r="I456" s="46"/>
      <c r="J456" s="12"/>
      <c r="K456" s="2"/>
      <c r="L456" s="59"/>
    </row>
    <row r="457" spans="1:12" x14ac:dyDescent="0.35">
      <c r="A457" s="45">
        <v>453</v>
      </c>
      <c r="B457" s="2"/>
      <c r="C457" s="2"/>
      <c r="D457" s="2"/>
      <c r="E457" s="3"/>
      <c r="F457" s="3"/>
      <c r="G457" s="2"/>
      <c r="H457" s="2"/>
      <c r="I457" s="46"/>
      <c r="J457" s="12"/>
      <c r="K457" s="2"/>
      <c r="L457" s="59"/>
    </row>
    <row r="458" spans="1:12" x14ac:dyDescent="0.35">
      <c r="A458" s="45">
        <v>454</v>
      </c>
      <c r="B458" s="2"/>
      <c r="C458" s="2"/>
      <c r="D458" s="2"/>
      <c r="E458" s="3"/>
      <c r="F458" s="3"/>
      <c r="G458" s="2"/>
      <c r="H458" s="2"/>
      <c r="I458" s="46"/>
      <c r="J458" s="12"/>
      <c r="K458" s="2"/>
      <c r="L458" s="59"/>
    </row>
    <row r="459" spans="1:12" x14ac:dyDescent="0.35">
      <c r="A459" s="45">
        <v>455</v>
      </c>
      <c r="B459" s="2"/>
      <c r="C459" s="2"/>
      <c r="D459" s="2"/>
      <c r="E459" s="3"/>
      <c r="F459" s="3"/>
      <c r="G459" s="2"/>
      <c r="H459" s="2"/>
      <c r="I459" s="46"/>
      <c r="J459" s="12"/>
      <c r="K459" s="2"/>
      <c r="L459" s="59"/>
    </row>
    <row r="460" spans="1:12" x14ac:dyDescent="0.35">
      <c r="A460" s="45">
        <v>456</v>
      </c>
      <c r="B460" s="2"/>
      <c r="C460" s="2"/>
      <c r="D460" s="2"/>
      <c r="E460" s="3"/>
      <c r="F460" s="3"/>
      <c r="G460" s="2"/>
      <c r="H460" s="2"/>
      <c r="I460" s="46"/>
      <c r="J460" s="12"/>
      <c r="K460" s="2"/>
      <c r="L460" s="59"/>
    </row>
    <row r="461" spans="1:12" x14ac:dyDescent="0.35">
      <c r="A461" s="45">
        <v>457</v>
      </c>
      <c r="B461" s="2"/>
      <c r="C461" s="2"/>
      <c r="D461" s="2"/>
      <c r="E461" s="3"/>
      <c r="F461" s="3"/>
      <c r="G461" s="2"/>
      <c r="H461" s="2"/>
      <c r="I461" s="46"/>
      <c r="J461" s="12"/>
      <c r="K461" s="2"/>
      <c r="L461" s="59"/>
    </row>
    <row r="462" spans="1:12" x14ac:dyDescent="0.35">
      <c r="A462" s="45">
        <v>458</v>
      </c>
      <c r="B462" s="2"/>
      <c r="C462" s="2"/>
      <c r="D462" s="2"/>
      <c r="E462" s="3"/>
      <c r="F462" s="3"/>
      <c r="G462" s="2"/>
      <c r="H462" s="2"/>
      <c r="I462" s="46"/>
      <c r="J462" s="12"/>
      <c r="K462" s="2"/>
      <c r="L462" s="59"/>
    </row>
    <row r="463" spans="1:12" x14ac:dyDescent="0.35">
      <c r="A463" s="45">
        <v>459</v>
      </c>
      <c r="B463" s="2"/>
      <c r="C463" s="2"/>
      <c r="D463" s="2"/>
      <c r="E463" s="3"/>
      <c r="F463" s="3"/>
      <c r="G463" s="2"/>
      <c r="H463" s="2"/>
      <c r="I463" s="46"/>
      <c r="J463" s="12"/>
      <c r="K463" s="2"/>
      <c r="L463" s="59"/>
    </row>
    <row r="464" spans="1:12" x14ac:dyDescent="0.35">
      <c r="A464" s="45">
        <v>460</v>
      </c>
      <c r="B464" s="2"/>
      <c r="C464" s="2"/>
      <c r="D464" s="2"/>
      <c r="E464" s="3"/>
      <c r="F464" s="3"/>
      <c r="G464" s="2"/>
      <c r="H464" s="2"/>
      <c r="I464" s="46"/>
      <c r="J464" s="12"/>
      <c r="K464" s="2"/>
      <c r="L464" s="59"/>
    </row>
    <row r="465" spans="1:12" x14ac:dyDescent="0.35">
      <c r="A465" s="45">
        <v>461</v>
      </c>
      <c r="B465" s="2"/>
      <c r="C465" s="2"/>
      <c r="D465" s="2"/>
      <c r="E465" s="3"/>
      <c r="F465" s="3"/>
      <c r="G465" s="2"/>
      <c r="H465" s="2"/>
      <c r="I465" s="46"/>
      <c r="J465" s="12"/>
      <c r="K465" s="2"/>
      <c r="L465" s="59"/>
    </row>
    <row r="466" spans="1:12" x14ac:dyDescent="0.35">
      <c r="A466" s="45">
        <v>462</v>
      </c>
      <c r="B466" s="2"/>
      <c r="C466" s="2"/>
      <c r="D466" s="2"/>
      <c r="E466" s="3"/>
      <c r="F466" s="3"/>
      <c r="G466" s="2"/>
      <c r="H466" s="2"/>
      <c r="I466" s="46"/>
      <c r="J466" s="12"/>
      <c r="K466" s="2"/>
      <c r="L466" s="59"/>
    </row>
    <row r="467" spans="1:12" x14ac:dyDescent="0.35">
      <c r="A467" s="45">
        <v>463</v>
      </c>
      <c r="B467" s="2"/>
      <c r="C467" s="2"/>
      <c r="D467" s="2"/>
      <c r="E467" s="3"/>
      <c r="F467" s="3"/>
      <c r="G467" s="2"/>
      <c r="H467" s="2"/>
      <c r="I467" s="46"/>
      <c r="J467" s="12"/>
      <c r="K467" s="2"/>
      <c r="L467" s="59"/>
    </row>
    <row r="468" spans="1:12" x14ac:dyDescent="0.35">
      <c r="A468" s="45">
        <v>464</v>
      </c>
      <c r="B468" s="2"/>
      <c r="C468" s="2"/>
      <c r="D468" s="2"/>
      <c r="E468" s="3"/>
      <c r="F468" s="3"/>
      <c r="G468" s="2"/>
      <c r="H468" s="2"/>
      <c r="I468" s="46"/>
      <c r="J468" s="12"/>
      <c r="K468" s="2"/>
      <c r="L468" s="59"/>
    </row>
    <row r="469" spans="1:12" x14ac:dyDescent="0.35">
      <c r="A469" s="45">
        <v>465</v>
      </c>
      <c r="B469" s="2"/>
      <c r="C469" s="2"/>
      <c r="D469" s="2"/>
      <c r="E469" s="3"/>
      <c r="F469" s="3"/>
      <c r="G469" s="2"/>
      <c r="H469" s="2"/>
      <c r="I469" s="46"/>
      <c r="J469" s="12"/>
      <c r="K469" s="2"/>
      <c r="L469" s="59"/>
    </row>
    <row r="470" spans="1:12" x14ac:dyDescent="0.35">
      <c r="A470" s="45">
        <v>466</v>
      </c>
      <c r="B470" s="2"/>
      <c r="C470" s="2"/>
      <c r="D470" s="2"/>
      <c r="E470" s="3"/>
      <c r="F470" s="3"/>
      <c r="G470" s="2"/>
      <c r="H470" s="2"/>
      <c r="I470" s="46"/>
      <c r="J470" s="12"/>
      <c r="K470" s="2"/>
      <c r="L470" s="59"/>
    </row>
    <row r="471" spans="1:12" x14ac:dyDescent="0.35">
      <c r="A471" s="45">
        <v>467</v>
      </c>
      <c r="B471" s="2"/>
      <c r="C471" s="2"/>
      <c r="D471" s="2"/>
      <c r="E471" s="3"/>
      <c r="F471" s="3"/>
      <c r="G471" s="2"/>
      <c r="H471" s="2"/>
      <c r="I471" s="46"/>
      <c r="J471" s="12"/>
      <c r="K471" s="2"/>
      <c r="L471" s="59"/>
    </row>
    <row r="472" spans="1:12" x14ac:dyDescent="0.35">
      <c r="A472" s="45">
        <v>468</v>
      </c>
      <c r="B472" s="2"/>
      <c r="C472" s="2"/>
      <c r="D472" s="2"/>
      <c r="E472" s="3"/>
      <c r="F472" s="3"/>
      <c r="G472" s="2"/>
      <c r="H472" s="2"/>
      <c r="I472" s="46"/>
      <c r="J472" s="12"/>
      <c r="K472" s="2"/>
      <c r="L472" s="59"/>
    </row>
    <row r="473" spans="1:12" x14ac:dyDescent="0.35">
      <c r="A473" s="45">
        <v>469</v>
      </c>
      <c r="B473" s="2"/>
      <c r="C473" s="2"/>
      <c r="D473" s="2"/>
      <c r="E473" s="3"/>
      <c r="F473" s="3"/>
      <c r="G473" s="2"/>
      <c r="H473" s="2"/>
      <c r="I473" s="46"/>
      <c r="J473" s="12"/>
      <c r="K473" s="2"/>
      <c r="L473" s="59"/>
    </row>
    <row r="474" spans="1:12" x14ac:dyDescent="0.35">
      <c r="A474" s="45">
        <v>470</v>
      </c>
      <c r="B474" s="2"/>
      <c r="C474" s="2"/>
      <c r="D474" s="2"/>
      <c r="E474" s="3"/>
      <c r="F474" s="3"/>
      <c r="G474" s="2"/>
      <c r="H474" s="2"/>
      <c r="I474" s="46"/>
      <c r="J474" s="12"/>
      <c r="K474" s="2"/>
      <c r="L474" s="59"/>
    </row>
    <row r="475" spans="1:12" x14ac:dyDescent="0.35">
      <c r="A475" s="45">
        <v>471</v>
      </c>
      <c r="B475" s="2"/>
      <c r="C475" s="2"/>
      <c r="D475" s="2"/>
      <c r="E475" s="3"/>
      <c r="F475" s="3"/>
      <c r="G475" s="2"/>
      <c r="H475" s="2"/>
      <c r="I475" s="46"/>
      <c r="J475" s="12"/>
      <c r="K475" s="2"/>
      <c r="L475" s="59"/>
    </row>
    <row r="476" spans="1:12" x14ac:dyDescent="0.35">
      <c r="A476" s="45">
        <v>472</v>
      </c>
      <c r="B476" s="2"/>
      <c r="C476" s="2"/>
      <c r="D476" s="2"/>
      <c r="E476" s="3"/>
      <c r="F476" s="3"/>
      <c r="G476" s="2"/>
      <c r="H476" s="2"/>
      <c r="I476" s="46"/>
      <c r="J476" s="12"/>
      <c r="K476" s="2"/>
      <c r="L476" s="59"/>
    </row>
    <row r="477" spans="1:12" x14ac:dyDescent="0.35">
      <c r="A477" s="45">
        <v>473</v>
      </c>
      <c r="B477" s="2"/>
      <c r="C477" s="2"/>
      <c r="D477" s="2"/>
      <c r="E477" s="3"/>
      <c r="F477" s="3"/>
      <c r="G477" s="2"/>
      <c r="H477" s="2"/>
      <c r="I477" s="46"/>
      <c r="J477" s="12"/>
      <c r="K477" s="2"/>
      <c r="L477" s="59"/>
    </row>
    <row r="478" spans="1:12" x14ac:dyDescent="0.35">
      <c r="A478" s="45">
        <v>474</v>
      </c>
      <c r="B478" s="2"/>
      <c r="C478" s="2"/>
      <c r="D478" s="2"/>
      <c r="E478" s="3"/>
      <c r="F478" s="3"/>
      <c r="G478" s="2"/>
      <c r="H478" s="2"/>
      <c r="I478" s="46"/>
      <c r="J478" s="12"/>
      <c r="K478" s="2"/>
      <c r="L478" s="59"/>
    </row>
    <row r="479" spans="1:12" x14ac:dyDescent="0.35">
      <c r="A479" s="45">
        <v>475</v>
      </c>
      <c r="B479" s="2"/>
      <c r="C479" s="2"/>
      <c r="D479" s="2"/>
      <c r="E479" s="3"/>
      <c r="F479" s="3"/>
      <c r="G479" s="2"/>
      <c r="H479" s="2"/>
      <c r="I479" s="46"/>
      <c r="J479" s="12"/>
      <c r="K479" s="2"/>
      <c r="L479" s="59"/>
    </row>
    <row r="480" spans="1:12" x14ac:dyDescent="0.35">
      <c r="A480" s="45">
        <v>476</v>
      </c>
      <c r="B480" s="2"/>
      <c r="C480" s="2"/>
      <c r="D480" s="2"/>
      <c r="E480" s="3"/>
      <c r="F480" s="3"/>
      <c r="G480" s="2"/>
      <c r="H480" s="2"/>
      <c r="I480" s="46"/>
      <c r="J480" s="12"/>
      <c r="K480" s="2"/>
      <c r="L480" s="59"/>
    </row>
    <row r="481" spans="1:12" x14ac:dyDescent="0.35">
      <c r="A481" s="45">
        <v>477</v>
      </c>
      <c r="B481" s="2"/>
      <c r="C481" s="2"/>
      <c r="D481" s="2"/>
      <c r="E481" s="3"/>
      <c r="F481" s="3"/>
      <c r="G481" s="2"/>
      <c r="H481" s="2"/>
      <c r="I481" s="46"/>
      <c r="J481" s="12"/>
      <c r="K481" s="2"/>
      <c r="L481" s="59"/>
    </row>
    <row r="482" spans="1:12" x14ac:dyDescent="0.35">
      <c r="A482" s="45">
        <v>478</v>
      </c>
      <c r="B482" s="2"/>
      <c r="C482" s="2"/>
      <c r="D482" s="2"/>
      <c r="E482" s="3"/>
      <c r="F482" s="3"/>
      <c r="G482" s="2"/>
      <c r="H482" s="2"/>
      <c r="I482" s="46"/>
      <c r="J482" s="12"/>
      <c r="K482" s="2"/>
      <c r="L482" s="59"/>
    </row>
    <row r="483" spans="1:12" x14ac:dyDescent="0.35">
      <c r="A483" s="45">
        <v>479</v>
      </c>
      <c r="B483" s="2"/>
      <c r="C483" s="2"/>
      <c r="D483" s="2"/>
      <c r="E483" s="3"/>
      <c r="F483" s="3"/>
      <c r="G483" s="2"/>
      <c r="H483" s="2"/>
      <c r="I483" s="46"/>
      <c r="J483" s="12"/>
      <c r="K483" s="2"/>
      <c r="L483" s="59"/>
    </row>
    <row r="484" spans="1:12" x14ac:dyDescent="0.35">
      <c r="A484" s="45">
        <v>480</v>
      </c>
      <c r="B484" s="2"/>
      <c r="C484" s="2"/>
      <c r="D484" s="2"/>
      <c r="E484" s="3"/>
      <c r="F484" s="3"/>
      <c r="G484" s="2"/>
      <c r="H484" s="2"/>
      <c r="I484" s="46"/>
      <c r="J484" s="12"/>
      <c r="K484" s="2"/>
      <c r="L484" s="59"/>
    </row>
    <row r="485" spans="1:12" x14ac:dyDescent="0.35">
      <c r="A485" s="45">
        <v>481</v>
      </c>
      <c r="B485" s="2"/>
      <c r="C485" s="2"/>
      <c r="D485" s="2"/>
      <c r="E485" s="3"/>
      <c r="F485" s="3"/>
      <c r="G485" s="2"/>
      <c r="H485" s="2"/>
      <c r="I485" s="46"/>
      <c r="J485" s="12"/>
      <c r="K485" s="2"/>
      <c r="L485" s="59"/>
    </row>
    <row r="486" spans="1:12" x14ac:dyDescent="0.35">
      <c r="A486" s="45">
        <v>482</v>
      </c>
      <c r="B486" s="2"/>
      <c r="C486" s="2"/>
      <c r="D486" s="2"/>
      <c r="E486" s="3"/>
      <c r="F486" s="3"/>
      <c r="G486" s="2"/>
      <c r="H486" s="2"/>
      <c r="I486" s="46"/>
      <c r="J486" s="12"/>
      <c r="K486" s="2"/>
      <c r="L486" s="59"/>
    </row>
    <row r="487" spans="1:12" x14ac:dyDescent="0.35">
      <c r="A487" s="45">
        <v>483</v>
      </c>
      <c r="B487" s="2"/>
      <c r="C487" s="2"/>
      <c r="D487" s="2"/>
      <c r="E487" s="3"/>
      <c r="F487" s="3"/>
      <c r="G487" s="2"/>
      <c r="H487" s="2"/>
      <c r="I487" s="46"/>
      <c r="J487" s="12"/>
      <c r="K487" s="2"/>
      <c r="L487" s="59"/>
    </row>
    <row r="488" spans="1:12" x14ac:dyDescent="0.35">
      <c r="A488" s="45">
        <v>484</v>
      </c>
      <c r="B488" s="2"/>
      <c r="C488" s="2"/>
      <c r="D488" s="2"/>
      <c r="E488" s="3"/>
      <c r="F488" s="3"/>
      <c r="G488" s="2"/>
      <c r="H488" s="2"/>
      <c r="I488" s="46"/>
      <c r="J488" s="12"/>
      <c r="K488" s="2"/>
      <c r="L488" s="59"/>
    </row>
    <row r="489" spans="1:12" x14ac:dyDescent="0.35">
      <c r="A489" s="45">
        <v>485</v>
      </c>
      <c r="B489" s="2"/>
      <c r="C489" s="2"/>
      <c r="D489" s="2"/>
      <c r="E489" s="3"/>
      <c r="F489" s="3"/>
      <c r="G489" s="2"/>
      <c r="H489" s="2"/>
      <c r="I489" s="46"/>
      <c r="J489" s="12"/>
      <c r="K489" s="2"/>
      <c r="L489" s="59"/>
    </row>
    <row r="490" spans="1:12" x14ac:dyDescent="0.35">
      <c r="A490" s="45">
        <v>486</v>
      </c>
      <c r="B490" s="2"/>
      <c r="C490" s="2"/>
      <c r="D490" s="2"/>
      <c r="E490" s="3"/>
      <c r="F490" s="3"/>
      <c r="G490" s="2"/>
      <c r="H490" s="2"/>
      <c r="I490" s="46"/>
      <c r="J490" s="12"/>
      <c r="K490" s="2"/>
      <c r="L490" s="59"/>
    </row>
    <row r="491" spans="1:12" x14ac:dyDescent="0.35">
      <c r="A491" s="45">
        <v>487</v>
      </c>
      <c r="B491" s="2"/>
      <c r="C491" s="2"/>
      <c r="D491" s="2"/>
      <c r="E491" s="3"/>
      <c r="F491" s="3"/>
      <c r="G491" s="2"/>
      <c r="H491" s="2"/>
      <c r="I491" s="46"/>
      <c r="J491" s="12"/>
      <c r="K491" s="2"/>
      <c r="L491" s="59"/>
    </row>
    <row r="492" spans="1:12" x14ac:dyDescent="0.35">
      <c r="A492" s="45">
        <v>488</v>
      </c>
      <c r="B492" s="2"/>
      <c r="C492" s="2"/>
      <c r="D492" s="2"/>
      <c r="E492" s="3"/>
      <c r="F492" s="3"/>
      <c r="G492" s="2"/>
      <c r="H492" s="2"/>
      <c r="I492" s="46"/>
      <c r="J492" s="12"/>
      <c r="K492" s="2"/>
      <c r="L492" s="59"/>
    </row>
    <row r="493" spans="1:12" x14ac:dyDescent="0.35">
      <c r="A493" s="45">
        <v>489</v>
      </c>
      <c r="B493" s="2"/>
      <c r="C493" s="2"/>
      <c r="D493" s="2"/>
      <c r="E493" s="3"/>
      <c r="F493" s="3"/>
      <c r="G493" s="2"/>
      <c r="H493" s="2"/>
      <c r="I493" s="46"/>
      <c r="J493" s="12"/>
      <c r="K493" s="2"/>
      <c r="L493" s="59"/>
    </row>
    <row r="494" spans="1:12" x14ac:dyDescent="0.35">
      <c r="A494" s="45">
        <v>490</v>
      </c>
      <c r="B494" s="2"/>
      <c r="C494" s="2"/>
      <c r="D494" s="2"/>
      <c r="E494" s="3"/>
      <c r="F494" s="3"/>
      <c r="G494" s="2"/>
      <c r="H494" s="2"/>
      <c r="I494" s="46"/>
      <c r="J494" s="12"/>
      <c r="K494" s="2"/>
      <c r="L494" s="59"/>
    </row>
    <row r="495" spans="1:12" x14ac:dyDescent="0.35">
      <c r="A495" s="45">
        <v>491</v>
      </c>
      <c r="B495" s="2"/>
      <c r="C495" s="2"/>
      <c r="D495" s="2"/>
      <c r="E495" s="3"/>
      <c r="F495" s="3"/>
      <c r="G495" s="2"/>
      <c r="H495" s="2"/>
      <c r="I495" s="46"/>
      <c r="J495" s="12"/>
      <c r="K495" s="2"/>
      <c r="L495" s="59"/>
    </row>
    <row r="496" spans="1:12" x14ac:dyDescent="0.35">
      <c r="A496" s="45">
        <v>492</v>
      </c>
      <c r="B496" s="2"/>
      <c r="C496" s="2"/>
      <c r="D496" s="2"/>
      <c r="E496" s="3"/>
      <c r="F496" s="3"/>
      <c r="G496" s="2"/>
      <c r="H496" s="2"/>
      <c r="I496" s="46"/>
      <c r="J496" s="12"/>
      <c r="K496" s="2"/>
      <c r="L496" s="59"/>
    </row>
    <row r="497" spans="1:12" x14ac:dyDescent="0.35">
      <c r="A497" s="45">
        <v>493</v>
      </c>
      <c r="B497" s="2"/>
      <c r="C497" s="2"/>
      <c r="D497" s="2"/>
      <c r="E497" s="3"/>
      <c r="F497" s="3"/>
      <c r="G497" s="2"/>
      <c r="H497" s="2"/>
      <c r="I497" s="46"/>
      <c r="J497" s="12"/>
      <c r="K497" s="2"/>
      <c r="L497" s="59"/>
    </row>
    <row r="498" spans="1:12" x14ac:dyDescent="0.35">
      <c r="A498" s="45">
        <v>494</v>
      </c>
      <c r="B498" s="2"/>
      <c r="C498" s="2"/>
      <c r="D498" s="2"/>
      <c r="E498" s="3"/>
      <c r="F498" s="3"/>
      <c r="G498" s="2"/>
      <c r="H498" s="2"/>
      <c r="I498" s="46"/>
      <c r="J498" s="12"/>
      <c r="K498" s="2"/>
      <c r="L498" s="59"/>
    </row>
    <row r="499" spans="1:12" x14ac:dyDescent="0.35">
      <c r="A499" s="45">
        <v>495</v>
      </c>
      <c r="B499" s="2"/>
      <c r="C499" s="2"/>
      <c r="D499" s="2"/>
      <c r="E499" s="3"/>
      <c r="F499" s="3"/>
      <c r="G499" s="2"/>
      <c r="H499" s="2"/>
      <c r="I499" s="46"/>
      <c r="J499" s="12"/>
      <c r="K499" s="2"/>
      <c r="L499" s="59"/>
    </row>
    <row r="500" spans="1:12" x14ac:dyDescent="0.35">
      <c r="A500" s="45">
        <v>496</v>
      </c>
      <c r="B500" s="2"/>
      <c r="C500" s="2"/>
      <c r="D500" s="2"/>
      <c r="E500" s="3"/>
      <c r="F500" s="3"/>
      <c r="G500" s="2"/>
      <c r="H500" s="2"/>
      <c r="I500" s="46"/>
      <c r="J500" s="12"/>
      <c r="K500" s="2"/>
      <c r="L500" s="59"/>
    </row>
    <row r="501" spans="1:12" x14ac:dyDescent="0.35">
      <c r="A501" s="45">
        <v>497</v>
      </c>
      <c r="B501" s="2"/>
      <c r="C501" s="2"/>
      <c r="D501" s="2"/>
      <c r="E501" s="3"/>
      <c r="F501" s="3"/>
      <c r="G501" s="2"/>
      <c r="H501" s="2"/>
      <c r="I501" s="46"/>
      <c r="J501" s="12"/>
      <c r="K501" s="2"/>
      <c r="L501" s="59"/>
    </row>
    <row r="502" spans="1:12" x14ac:dyDescent="0.35">
      <c r="A502" s="45">
        <v>498</v>
      </c>
      <c r="B502" s="2"/>
      <c r="C502" s="2"/>
      <c r="D502" s="2"/>
      <c r="E502" s="3"/>
      <c r="F502" s="3"/>
      <c r="G502" s="2"/>
      <c r="H502" s="2"/>
      <c r="I502" s="46"/>
      <c r="J502" s="12"/>
      <c r="K502" s="2"/>
      <c r="L502" s="59"/>
    </row>
    <row r="503" spans="1:12" x14ac:dyDescent="0.35">
      <c r="A503" s="45">
        <v>499</v>
      </c>
      <c r="B503" s="2"/>
      <c r="C503" s="2"/>
      <c r="D503" s="2"/>
      <c r="E503" s="3"/>
      <c r="F503" s="3"/>
      <c r="G503" s="2"/>
      <c r="H503" s="2"/>
      <c r="I503" s="46"/>
      <c r="J503" s="12"/>
      <c r="K503" s="2"/>
      <c r="L503" s="59"/>
    </row>
    <row r="504" spans="1:12" x14ac:dyDescent="0.35">
      <c r="A504" s="45">
        <v>500</v>
      </c>
      <c r="B504" s="2"/>
      <c r="C504" s="2"/>
      <c r="D504" s="2"/>
      <c r="E504" s="3"/>
      <c r="F504" s="3"/>
      <c r="G504" s="2"/>
      <c r="H504" s="2"/>
      <c r="I504" s="46"/>
      <c r="J504" s="12"/>
      <c r="K504" s="2"/>
      <c r="L504" s="59"/>
    </row>
    <row r="505" spans="1:12" x14ac:dyDescent="0.35">
      <c r="A505" s="45">
        <v>501</v>
      </c>
      <c r="B505" s="2"/>
      <c r="C505" s="2"/>
      <c r="D505" s="2"/>
      <c r="E505" s="3"/>
      <c r="F505" s="3"/>
      <c r="G505" s="2"/>
      <c r="H505" s="2"/>
      <c r="I505" s="46"/>
      <c r="J505" s="12"/>
      <c r="K505" s="2"/>
      <c r="L505" s="59"/>
    </row>
    <row r="506" spans="1:12" x14ac:dyDescent="0.35">
      <c r="A506" s="45">
        <v>502</v>
      </c>
      <c r="B506" s="2"/>
      <c r="C506" s="2"/>
      <c r="D506" s="2"/>
      <c r="E506" s="3"/>
      <c r="F506" s="3"/>
      <c r="G506" s="2"/>
      <c r="H506" s="2"/>
      <c r="I506" s="46"/>
      <c r="J506" s="12"/>
      <c r="K506" s="2"/>
      <c r="L506" s="59"/>
    </row>
    <row r="507" spans="1:12" x14ac:dyDescent="0.35">
      <c r="A507" s="45">
        <v>503</v>
      </c>
      <c r="B507" s="2"/>
      <c r="C507" s="2"/>
      <c r="D507" s="2"/>
      <c r="E507" s="3"/>
      <c r="F507" s="3"/>
      <c r="G507" s="2"/>
      <c r="H507" s="2"/>
      <c r="I507" s="46"/>
      <c r="J507" s="12"/>
      <c r="K507" s="2"/>
      <c r="L507" s="59"/>
    </row>
    <row r="508" spans="1:12" x14ac:dyDescent="0.35">
      <c r="A508" s="45">
        <v>504</v>
      </c>
      <c r="B508" s="2"/>
      <c r="C508" s="2"/>
      <c r="D508" s="2"/>
      <c r="E508" s="3"/>
      <c r="F508" s="3"/>
      <c r="G508" s="2"/>
      <c r="H508" s="2"/>
      <c r="I508" s="46"/>
      <c r="J508" s="12"/>
      <c r="K508" s="2"/>
      <c r="L508" s="59"/>
    </row>
    <row r="509" spans="1:12" x14ac:dyDescent="0.35">
      <c r="A509" s="45">
        <v>505</v>
      </c>
      <c r="B509" s="2"/>
      <c r="C509" s="2"/>
      <c r="D509" s="2"/>
      <c r="E509" s="3"/>
      <c r="F509" s="3"/>
      <c r="G509" s="2"/>
      <c r="H509" s="2"/>
      <c r="I509" s="46"/>
      <c r="J509" s="12"/>
      <c r="K509" s="2"/>
      <c r="L509" s="59"/>
    </row>
    <row r="510" spans="1:12" x14ac:dyDescent="0.35">
      <c r="A510" s="45">
        <v>506</v>
      </c>
      <c r="B510" s="2"/>
      <c r="C510" s="2"/>
      <c r="D510" s="2"/>
      <c r="E510" s="3"/>
      <c r="F510" s="3"/>
      <c r="G510" s="2"/>
      <c r="H510" s="2"/>
      <c r="I510" s="46"/>
      <c r="J510" s="12"/>
      <c r="K510" s="2"/>
      <c r="L510" s="59"/>
    </row>
    <row r="511" spans="1:12" x14ac:dyDescent="0.35">
      <c r="A511" s="45">
        <v>507</v>
      </c>
      <c r="B511" s="2"/>
      <c r="C511" s="2"/>
      <c r="D511" s="2"/>
      <c r="E511" s="3"/>
      <c r="F511" s="3"/>
      <c r="G511" s="2"/>
      <c r="H511" s="2"/>
      <c r="I511" s="46"/>
      <c r="J511" s="12"/>
      <c r="K511" s="2"/>
      <c r="L511" s="59"/>
    </row>
    <row r="512" spans="1:12" x14ac:dyDescent="0.35">
      <c r="A512" s="45">
        <v>508</v>
      </c>
      <c r="B512" s="2"/>
      <c r="C512" s="2"/>
      <c r="D512" s="2"/>
      <c r="E512" s="3"/>
      <c r="F512" s="3"/>
      <c r="G512" s="2"/>
      <c r="H512" s="2"/>
      <c r="I512" s="46"/>
      <c r="J512" s="12"/>
      <c r="K512" s="2"/>
      <c r="L512" s="59"/>
    </row>
    <row r="513" spans="1:12" x14ac:dyDescent="0.35">
      <c r="A513" s="45">
        <v>509</v>
      </c>
      <c r="B513" s="2"/>
      <c r="C513" s="2"/>
      <c r="D513" s="2"/>
      <c r="E513" s="3"/>
      <c r="F513" s="3"/>
      <c r="G513" s="2"/>
      <c r="H513" s="2"/>
      <c r="I513" s="46"/>
      <c r="J513" s="12"/>
      <c r="K513" s="2"/>
      <c r="L513" s="59"/>
    </row>
    <row r="514" spans="1:12" x14ac:dyDescent="0.35">
      <c r="A514" s="45">
        <v>510</v>
      </c>
      <c r="B514" s="2"/>
      <c r="C514" s="2"/>
      <c r="D514" s="2"/>
      <c r="E514" s="3"/>
      <c r="F514" s="3"/>
      <c r="G514" s="2"/>
      <c r="H514" s="2"/>
      <c r="I514" s="46"/>
      <c r="J514" s="12"/>
      <c r="K514" s="2"/>
      <c r="L514" s="59"/>
    </row>
    <row r="515" spans="1:12" x14ac:dyDescent="0.35">
      <c r="A515" s="45">
        <v>511</v>
      </c>
      <c r="B515" s="2"/>
      <c r="C515" s="2"/>
      <c r="D515" s="2"/>
      <c r="E515" s="3"/>
      <c r="F515" s="3"/>
      <c r="G515" s="2"/>
      <c r="H515" s="2"/>
      <c r="I515" s="46"/>
      <c r="J515" s="12"/>
      <c r="K515" s="2"/>
      <c r="L515" s="59"/>
    </row>
    <row r="516" spans="1:12" x14ac:dyDescent="0.35">
      <c r="A516" s="45">
        <v>512</v>
      </c>
      <c r="B516" s="2"/>
      <c r="C516" s="2"/>
      <c r="D516" s="2"/>
      <c r="E516" s="3"/>
      <c r="F516" s="3"/>
      <c r="G516" s="2"/>
      <c r="H516" s="2"/>
      <c r="I516" s="46"/>
      <c r="J516" s="12"/>
      <c r="K516" s="2"/>
      <c r="L516" s="59"/>
    </row>
    <row r="517" spans="1:12" x14ac:dyDescent="0.35">
      <c r="A517" s="45">
        <v>513</v>
      </c>
      <c r="B517" s="2"/>
      <c r="C517" s="2"/>
      <c r="D517" s="2"/>
      <c r="E517" s="3"/>
      <c r="F517" s="3"/>
      <c r="G517" s="2"/>
      <c r="H517" s="2"/>
      <c r="I517" s="46"/>
      <c r="J517" s="12"/>
      <c r="K517" s="2"/>
      <c r="L517" s="59"/>
    </row>
    <row r="518" spans="1:12" x14ac:dyDescent="0.35">
      <c r="A518" s="45">
        <v>514</v>
      </c>
      <c r="B518" s="2"/>
      <c r="C518" s="2"/>
      <c r="D518" s="2"/>
      <c r="E518" s="3"/>
      <c r="F518" s="3"/>
      <c r="G518" s="2"/>
      <c r="H518" s="2"/>
      <c r="I518" s="46"/>
      <c r="J518" s="12"/>
      <c r="K518" s="2"/>
      <c r="L518" s="59"/>
    </row>
    <row r="519" spans="1:12" x14ac:dyDescent="0.35">
      <c r="A519" s="45">
        <v>515</v>
      </c>
      <c r="B519" s="2"/>
      <c r="C519" s="2"/>
      <c r="D519" s="2"/>
      <c r="E519" s="3"/>
      <c r="F519" s="3"/>
      <c r="G519" s="2"/>
      <c r="H519" s="2"/>
      <c r="I519" s="46"/>
      <c r="J519" s="12"/>
      <c r="K519" s="2"/>
      <c r="L519" s="59"/>
    </row>
    <row r="520" spans="1:12" x14ac:dyDescent="0.35">
      <c r="A520" s="45">
        <v>516</v>
      </c>
      <c r="B520" s="2"/>
      <c r="C520" s="2"/>
      <c r="D520" s="2"/>
      <c r="E520" s="3"/>
      <c r="F520" s="3"/>
      <c r="G520" s="2"/>
      <c r="H520" s="2"/>
      <c r="I520" s="46"/>
      <c r="J520" s="12"/>
      <c r="K520" s="2"/>
      <c r="L520" s="59"/>
    </row>
    <row r="521" spans="1:12" x14ac:dyDescent="0.35">
      <c r="A521" s="45">
        <v>517</v>
      </c>
      <c r="B521" s="2"/>
      <c r="C521" s="2"/>
      <c r="D521" s="2"/>
      <c r="E521" s="3"/>
      <c r="F521" s="3"/>
      <c r="G521" s="2"/>
      <c r="H521" s="2"/>
      <c r="I521" s="46"/>
      <c r="J521" s="12"/>
      <c r="K521" s="2"/>
      <c r="L521" s="59"/>
    </row>
    <row r="522" spans="1:12" x14ac:dyDescent="0.35">
      <c r="A522" s="45">
        <v>518</v>
      </c>
      <c r="B522" s="2"/>
      <c r="C522" s="2"/>
      <c r="D522" s="2"/>
      <c r="E522" s="3"/>
      <c r="F522" s="3"/>
      <c r="G522" s="2"/>
      <c r="H522" s="2"/>
      <c r="I522" s="46"/>
      <c r="J522" s="12"/>
      <c r="K522" s="2"/>
      <c r="L522" s="59"/>
    </row>
    <row r="523" spans="1:12" x14ac:dyDescent="0.35">
      <c r="A523" s="45">
        <v>519</v>
      </c>
      <c r="B523" s="2"/>
      <c r="C523" s="2"/>
      <c r="D523" s="2"/>
      <c r="E523" s="3"/>
      <c r="F523" s="3"/>
      <c r="G523" s="2"/>
      <c r="H523" s="2"/>
      <c r="I523" s="46"/>
      <c r="J523" s="12"/>
      <c r="K523" s="2"/>
      <c r="L523" s="59"/>
    </row>
    <row r="524" spans="1:12" x14ac:dyDescent="0.35">
      <c r="A524" s="45">
        <v>520</v>
      </c>
      <c r="B524" s="2"/>
      <c r="C524" s="2"/>
      <c r="D524" s="2"/>
      <c r="E524" s="3"/>
      <c r="F524" s="3"/>
      <c r="G524" s="2"/>
      <c r="H524" s="2"/>
      <c r="I524" s="46"/>
      <c r="J524" s="12"/>
      <c r="K524" s="2"/>
      <c r="L524" s="59"/>
    </row>
    <row r="525" spans="1:12" x14ac:dyDescent="0.35">
      <c r="A525" s="45">
        <v>521</v>
      </c>
      <c r="B525" s="2"/>
      <c r="C525" s="2"/>
      <c r="D525" s="2"/>
      <c r="E525" s="3"/>
      <c r="F525" s="3"/>
      <c r="G525" s="2"/>
      <c r="H525" s="2"/>
      <c r="I525" s="46"/>
      <c r="J525" s="12"/>
      <c r="K525" s="2"/>
      <c r="L525" s="59"/>
    </row>
    <row r="526" spans="1:12" x14ac:dyDescent="0.35">
      <c r="A526" s="45">
        <v>522</v>
      </c>
      <c r="B526" s="2"/>
      <c r="C526" s="2"/>
      <c r="D526" s="2"/>
      <c r="E526" s="3"/>
      <c r="F526" s="3"/>
      <c r="G526" s="2"/>
      <c r="H526" s="2"/>
      <c r="I526" s="46"/>
      <c r="J526" s="12"/>
      <c r="K526" s="2"/>
      <c r="L526" s="59"/>
    </row>
    <row r="527" spans="1:12" x14ac:dyDescent="0.35">
      <c r="A527" s="45">
        <v>523</v>
      </c>
      <c r="B527" s="2"/>
      <c r="C527" s="2"/>
      <c r="D527" s="2"/>
      <c r="E527" s="3"/>
      <c r="F527" s="3"/>
      <c r="G527" s="2"/>
      <c r="H527" s="2"/>
      <c r="I527" s="46"/>
      <c r="J527" s="12"/>
      <c r="K527" s="2"/>
      <c r="L527" s="59"/>
    </row>
    <row r="528" spans="1:12" x14ac:dyDescent="0.35">
      <c r="A528" s="45">
        <v>524</v>
      </c>
      <c r="B528" s="2"/>
      <c r="C528" s="2"/>
      <c r="D528" s="2"/>
      <c r="E528" s="3"/>
      <c r="F528" s="3"/>
      <c r="G528" s="2"/>
      <c r="H528" s="2"/>
      <c r="I528" s="46"/>
      <c r="J528" s="12"/>
      <c r="K528" s="2"/>
      <c r="L528" s="59"/>
    </row>
    <row r="529" spans="1:12" x14ac:dyDescent="0.35">
      <c r="A529" s="45">
        <v>525</v>
      </c>
      <c r="B529" s="2"/>
      <c r="C529" s="2"/>
      <c r="D529" s="2"/>
      <c r="E529" s="3"/>
      <c r="F529" s="3"/>
      <c r="G529" s="2"/>
      <c r="H529" s="2"/>
      <c r="I529" s="46"/>
      <c r="J529" s="12"/>
      <c r="K529" s="2"/>
      <c r="L529" s="59"/>
    </row>
    <row r="530" spans="1:12" x14ac:dyDescent="0.35">
      <c r="A530" s="45">
        <v>526</v>
      </c>
      <c r="B530" s="2"/>
      <c r="C530" s="2"/>
      <c r="D530" s="2"/>
      <c r="E530" s="3"/>
      <c r="F530" s="3"/>
      <c r="G530" s="2"/>
      <c r="H530" s="2"/>
      <c r="I530" s="46"/>
      <c r="J530" s="12"/>
      <c r="K530" s="2"/>
      <c r="L530" s="59"/>
    </row>
    <row r="531" spans="1:12" x14ac:dyDescent="0.35">
      <c r="A531" s="45">
        <v>527</v>
      </c>
      <c r="B531" s="2"/>
      <c r="C531" s="2"/>
      <c r="D531" s="2"/>
      <c r="E531" s="3"/>
      <c r="F531" s="3"/>
      <c r="G531" s="2"/>
      <c r="H531" s="2"/>
      <c r="I531" s="46"/>
      <c r="J531" s="12"/>
      <c r="K531" s="2"/>
      <c r="L531" s="59"/>
    </row>
    <row r="532" spans="1:12" x14ac:dyDescent="0.35">
      <c r="A532" s="45">
        <v>528</v>
      </c>
      <c r="B532" s="2"/>
      <c r="C532" s="2"/>
      <c r="D532" s="2"/>
      <c r="E532" s="3"/>
      <c r="F532" s="3"/>
      <c r="G532" s="2"/>
      <c r="H532" s="2"/>
      <c r="I532" s="46"/>
      <c r="J532" s="12"/>
      <c r="K532" s="2"/>
      <c r="L532" s="59"/>
    </row>
    <row r="533" spans="1:12" x14ac:dyDescent="0.35">
      <c r="A533" s="45">
        <v>529</v>
      </c>
      <c r="B533" s="2"/>
      <c r="C533" s="2"/>
      <c r="D533" s="2"/>
      <c r="E533" s="3"/>
      <c r="F533" s="3"/>
      <c r="G533" s="2"/>
      <c r="H533" s="2"/>
      <c r="I533" s="46"/>
      <c r="J533" s="12"/>
      <c r="K533" s="2"/>
      <c r="L533" s="59"/>
    </row>
    <row r="534" spans="1:12" x14ac:dyDescent="0.35">
      <c r="A534" s="45">
        <v>530</v>
      </c>
      <c r="B534" s="2"/>
      <c r="C534" s="2"/>
      <c r="D534" s="2"/>
      <c r="E534" s="3"/>
      <c r="F534" s="3"/>
      <c r="G534" s="2"/>
      <c r="H534" s="2"/>
      <c r="I534" s="46"/>
      <c r="J534" s="12"/>
      <c r="K534" s="2"/>
      <c r="L534" s="59"/>
    </row>
    <row r="535" spans="1:12" x14ac:dyDescent="0.35">
      <c r="A535" s="45">
        <v>531</v>
      </c>
      <c r="B535" s="2"/>
      <c r="C535" s="2"/>
      <c r="D535" s="2"/>
      <c r="E535" s="3"/>
      <c r="F535" s="3"/>
      <c r="G535" s="2"/>
      <c r="H535" s="2"/>
      <c r="I535" s="46"/>
      <c r="J535" s="12"/>
      <c r="K535" s="2"/>
      <c r="L535" s="59"/>
    </row>
    <row r="536" spans="1:12" x14ac:dyDescent="0.35">
      <c r="A536" s="45">
        <v>532</v>
      </c>
      <c r="B536" s="2"/>
      <c r="C536" s="2"/>
      <c r="D536" s="2"/>
      <c r="E536" s="3"/>
      <c r="F536" s="3"/>
      <c r="G536" s="2"/>
      <c r="H536" s="2"/>
      <c r="I536" s="46"/>
      <c r="J536" s="12"/>
      <c r="K536" s="2"/>
      <c r="L536" s="59"/>
    </row>
    <row r="537" spans="1:12" x14ac:dyDescent="0.35">
      <c r="A537" s="45">
        <v>533</v>
      </c>
      <c r="B537" s="2"/>
      <c r="C537" s="2"/>
      <c r="D537" s="2"/>
      <c r="E537" s="3"/>
      <c r="F537" s="3"/>
      <c r="G537" s="2"/>
      <c r="H537" s="2"/>
      <c r="I537" s="46"/>
      <c r="J537" s="12"/>
      <c r="K537" s="2"/>
      <c r="L537" s="59"/>
    </row>
    <row r="538" spans="1:12" x14ac:dyDescent="0.35">
      <c r="A538" s="45">
        <v>534</v>
      </c>
      <c r="B538" s="2"/>
      <c r="C538" s="2"/>
      <c r="D538" s="2"/>
      <c r="E538" s="3"/>
      <c r="F538" s="3"/>
      <c r="G538" s="2"/>
      <c r="H538" s="2"/>
      <c r="I538" s="46"/>
      <c r="J538" s="12"/>
      <c r="K538" s="2"/>
      <c r="L538" s="59"/>
    </row>
    <row r="539" spans="1:12" x14ac:dyDescent="0.35">
      <c r="A539" s="45">
        <v>535</v>
      </c>
      <c r="B539" s="2"/>
      <c r="C539" s="2"/>
      <c r="D539" s="2"/>
      <c r="E539" s="3"/>
      <c r="F539" s="3"/>
      <c r="G539" s="2"/>
      <c r="H539" s="2"/>
      <c r="I539" s="46"/>
      <c r="J539" s="12"/>
      <c r="K539" s="2"/>
      <c r="L539" s="59"/>
    </row>
    <row r="540" spans="1:12" x14ac:dyDescent="0.35">
      <c r="A540" s="45">
        <v>536</v>
      </c>
      <c r="B540" s="2"/>
      <c r="C540" s="2"/>
      <c r="D540" s="2"/>
      <c r="E540" s="3"/>
      <c r="F540" s="3"/>
      <c r="G540" s="2"/>
      <c r="H540" s="2"/>
      <c r="I540" s="46"/>
      <c r="J540" s="12"/>
      <c r="K540" s="2"/>
      <c r="L540" s="59"/>
    </row>
    <row r="541" spans="1:12" x14ac:dyDescent="0.35">
      <c r="A541" s="45">
        <v>537</v>
      </c>
      <c r="B541" s="2"/>
      <c r="C541" s="2"/>
      <c r="D541" s="2"/>
      <c r="E541" s="3"/>
      <c r="F541" s="3"/>
      <c r="G541" s="2"/>
      <c r="H541" s="2"/>
      <c r="I541" s="46"/>
      <c r="J541" s="12"/>
      <c r="K541" s="2"/>
      <c r="L541" s="59"/>
    </row>
    <row r="542" spans="1:12" x14ac:dyDescent="0.35">
      <c r="A542" s="45">
        <v>538</v>
      </c>
      <c r="B542" s="2"/>
      <c r="C542" s="2"/>
      <c r="D542" s="2"/>
      <c r="E542" s="3"/>
      <c r="F542" s="3"/>
      <c r="G542" s="2"/>
      <c r="H542" s="2"/>
      <c r="I542" s="46"/>
      <c r="J542" s="12"/>
      <c r="K542" s="2"/>
      <c r="L542" s="59"/>
    </row>
    <row r="543" spans="1:12" x14ac:dyDescent="0.35">
      <c r="A543" s="45">
        <v>539</v>
      </c>
      <c r="B543" s="2"/>
      <c r="C543" s="2"/>
      <c r="D543" s="2"/>
      <c r="E543" s="3"/>
      <c r="F543" s="3"/>
      <c r="G543" s="2"/>
      <c r="H543" s="2"/>
      <c r="I543" s="46"/>
      <c r="J543" s="12"/>
      <c r="K543" s="2"/>
      <c r="L543" s="59"/>
    </row>
    <row r="544" spans="1:12" x14ac:dyDescent="0.35">
      <c r="A544" s="45">
        <v>540</v>
      </c>
      <c r="B544" s="2"/>
      <c r="C544" s="2"/>
      <c r="D544" s="2"/>
      <c r="E544" s="3"/>
      <c r="F544" s="3"/>
      <c r="G544" s="2"/>
      <c r="H544" s="2"/>
      <c r="I544" s="46"/>
      <c r="J544" s="12"/>
      <c r="K544" s="2"/>
      <c r="L544" s="59"/>
    </row>
    <row r="545" spans="1:12" x14ac:dyDescent="0.35">
      <c r="A545" s="45">
        <v>541</v>
      </c>
      <c r="B545" s="2"/>
      <c r="C545" s="2"/>
      <c r="D545" s="2"/>
      <c r="E545" s="3"/>
      <c r="F545" s="3"/>
      <c r="G545" s="2"/>
      <c r="H545" s="2"/>
      <c r="I545" s="46"/>
      <c r="J545" s="12"/>
      <c r="K545" s="2"/>
      <c r="L545" s="59"/>
    </row>
    <row r="546" spans="1:12" x14ac:dyDescent="0.35">
      <c r="A546" s="45">
        <v>542</v>
      </c>
      <c r="B546" s="2"/>
      <c r="C546" s="2"/>
      <c r="D546" s="2"/>
      <c r="E546" s="3"/>
      <c r="F546" s="3"/>
      <c r="G546" s="2"/>
      <c r="H546" s="2"/>
      <c r="I546" s="46"/>
      <c r="J546" s="12"/>
      <c r="K546" s="2"/>
      <c r="L546" s="59"/>
    </row>
    <row r="547" spans="1:12" x14ac:dyDescent="0.35">
      <c r="A547" s="45">
        <v>543</v>
      </c>
      <c r="B547" s="2"/>
      <c r="C547" s="2"/>
      <c r="D547" s="2"/>
      <c r="E547" s="3"/>
      <c r="F547" s="3"/>
      <c r="G547" s="2"/>
      <c r="H547" s="2"/>
      <c r="I547" s="46"/>
      <c r="J547" s="12"/>
      <c r="K547" s="2"/>
      <c r="L547" s="59"/>
    </row>
    <row r="548" spans="1:12" x14ac:dyDescent="0.35">
      <c r="A548" s="45">
        <v>544</v>
      </c>
      <c r="B548" s="2"/>
      <c r="C548" s="2"/>
      <c r="D548" s="2"/>
      <c r="E548" s="3"/>
      <c r="F548" s="3"/>
      <c r="G548" s="2"/>
      <c r="H548" s="2"/>
      <c r="I548" s="46"/>
      <c r="J548" s="12"/>
      <c r="K548" s="2"/>
      <c r="L548" s="59"/>
    </row>
    <row r="549" spans="1:12" x14ac:dyDescent="0.35">
      <c r="A549" s="45">
        <v>545</v>
      </c>
      <c r="B549" s="2"/>
      <c r="C549" s="2"/>
      <c r="D549" s="2"/>
      <c r="E549" s="3"/>
      <c r="F549" s="3"/>
      <c r="G549" s="2"/>
      <c r="H549" s="2"/>
      <c r="I549" s="46"/>
      <c r="J549" s="12"/>
      <c r="K549" s="2"/>
      <c r="L549" s="59"/>
    </row>
    <row r="550" spans="1:12" x14ac:dyDescent="0.35">
      <c r="A550" s="45">
        <v>546</v>
      </c>
      <c r="B550" s="2"/>
      <c r="C550" s="2"/>
      <c r="D550" s="2"/>
      <c r="E550" s="3"/>
      <c r="F550" s="3"/>
      <c r="G550" s="2"/>
      <c r="H550" s="2"/>
      <c r="I550" s="46"/>
      <c r="J550" s="12"/>
      <c r="K550" s="2"/>
      <c r="L550" s="59"/>
    </row>
    <row r="551" spans="1:12" x14ac:dyDescent="0.35">
      <c r="A551" s="45">
        <v>547</v>
      </c>
      <c r="B551" s="2"/>
      <c r="C551" s="2"/>
      <c r="D551" s="2"/>
      <c r="E551" s="3"/>
      <c r="F551" s="3"/>
      <c r="G551" s="2"/>
      <c r="H551" s="2"/>
      <c r="I551" s="46"/>
      <c r="J551" s="12"/>
      <c r="K551" s="2"/>
      <c r="L551" s="59"/>
    </row>
    <row r="552" spans="1:12" x14ac:dyDescent="0.35">
      <c r="A552" s="45">
        <v>548</v>
      </c>
      <c r="B552" s="2"/>
      <c r="C552" s="2"/>
      <c r="D552" s="2"/>
      <c r="E552" s="3"/>
      <c r="F552" s="3"/>
      <c r="G552" s="2"/>
      <c r="H552" s="2"/>
      <c r="I552" s="46"/>
      <c r="J552" s="12"/>
      <c r="K552" s="2"/>
      <c r="L552" s="59"/>
    </row>
    <row r="553" spans="1:12" x14ac:dyDescent="0.35">
      <c r="A553" s="45">
        <v>549</v>
      </c>
      <c r="B553" s="2"/>
      <c r="C553" s="2"/>
      <c r="D553" s="2"/>
      <c r="E553" s="3"/>
      <c r="F553" s="3"/>
      <c r="G553" s="2"/>
      <c r="H553" s="2"/>
      <c r="I553" s="46"/>
      <c r="J553" s="12"/>
      <c r="K553" s="2"/>
      <c r="L553" s="59"/>
    </row>
    <row r="554" spans="1:12" x14ac:dyDescent="0.35">
      <c r="A554" s="45">
        <v>550</v>
      </c>
      <c r="B554" s="2"/>
      <c r="C554" s="2"/>
      <c r="D554" s="2"/>
      <c r="E554" s="3"/>
      <c r="F554" s="3"/>
      <c r="G554" s="2"/>
      <c r="H554" s="2"/>
      <c r="I554" s="46"/>
      <c r="J554" s="12"/>
      <c r="K554" s="2"/>
      <c r="L554" s="59"/>
    </row>
    <row r="555" spans="1:12" x14ac:dyDescent="0.35">
      <c r="A555" s="45">
        <v>551</v>
      </c>
      <c r="B555" s="2"/>
      <c r="C555" s="2"/>
      <c r="D555" s="2"/>
      <c r="E555" s="3"/>
      <c r="F555" s="3"/>
      <c r="G555" s="2"/>
      <c r="H555" s="2"/>
      <c r="I555" s="46"/>
      <c r="J555" s="12"/>
      <c r="K555" s="2"/>
      <c r="L555" s="59"/>
    </row>
    <row r="556" spans="1:12" x14ac:dyDescent="0.35">
      <c r="A556" s="45">
        <v>552</v>
      </c>
      <c r="B556" s="2"/>
      <c r="C556" s="2"/>
      <c r="D556" s="2"/>
      <c r="E556" s="3"/>
      <c r="F556" s="3"/>
      <c r="G556" s="2"/>
      <c r="H556" s="2"/>
      <c r="I556" s="46"/>
      <c r="J556" s="12"/>
      <c r="K556" s="2"/>
      <c r="L556" s="59"/>
    </row>
    <row r="557" spans="1:12" x14ac:dyDescent="0.35">
      <c r="A557" s="45">
        <v>553</v>
      </c>
      <c r="B557" s="2"/>
      <c r="C557" s="2"/>
      <c r="D557" s="2"/>
      <c r="E557" s="3"/>
      <c r="F557" s="3"/>
      <c r="G557" s="2"/>
      <c r="H557" s="2"/>
      <c r="I557" s="46"/>
      <c r="J557" s="12"/>
      <c r="K557" s="2"/>
      <c r="L557" s="59"/>
    </row>
    <row r="558" spans="1:12" x14ac:dyDescent="0.35">
      <c r="A558" s="45">
        <v>554</v>
      </c>
      <c r="B558" s="2"/>
      <c r="C558" s="2"/>
      <c r="D558" s="2"/>
      <c r="E558" s="3"/>
      <c r="F558" s="3"/>
      <c r="G558" s="2"/>
      <c r="H558" s="2"/>
      <c r="I558" s="46"/>
      <c r="J558" s="12"/>
      <c r="K558" s="2"/>
      <c r="L558" s="59"/>
    </row>
    <row r="559" spans="1:12" x14ac:dyDescent="0.35">
      <c r="A559" s="45">
        <v>555</v>
      </c>
      <c r="B559" s="2"/>
      <c r="C559" s="2"/>
      <c r="D559" s="2"/>
      <c r="E559" s="3"/>
      <c r="F559" s="3"/>
      <c r="G559" s="2"/>
      <c r="H559" s="2"/>
      <c r="I559" s="46"/>
      <c r="J559" s="12"/>
      <c r="K559" s="2"/>
      <c r="L559" s="59"/>
    </row>
    <row r="560" spans="1:12" x14ac:dyDescent="0.35">
      <c r="A560" s="45">
        <v>556</v>
      </c>
      <c r="B560" s="2"/>
      <c r="C560" s="2"/>
      <c r="D560" s="2"/>
      <c r="E560" s="3"/>
      <c r="F560" s="3"/>
      <c r="G560" s="2"/>
      <c r="H560" s="2"/>
      <c r="I560" s="46"/>
      <c r="J560" s="12"/>
      <c r="K560" s="2"/>
      <c r="L560" s="59"/>
    </row>
    <row r="561" spans="1:12" x14ac:dyDescent="0.35">
      <c r="A561" s="45">
        <v>557</v>
      </c>
      <c r="B561" s="2"/>
      <c r="C561" s="2"/>
      <c r="D561" s="2"/>
      <c r="E561" s="3"/>
      <c r="F561" s="3"/>
      <c r="G561" s="2"/>
      <c r="H561" s="2"/>
      <c r="I561" s="46"/>
      <c r="J561" s="12"/>
      <c r="K561" s="2"/>
      <c r="L561" s="59"/>
    </row>
    <row r="562" spans="1:12" x14ac:dyDescent="0.35">
      <c r="A562" s="45">
        <v>558</v>
      </c>
      <c r="B562" s="2"/>
      <c r="C562" s="2"/>
      <c r="D562" s="2"/>
      <c r="E562" s="3"/>
      <c r="F562" s="3"/>
      <c r="G562" s="2"/>
      <c r="H562" s="2"/>
      <c r="I562" s="46"/>
      <c r="J562" s="12"/>
      <c r="K562" s="2"/>
      <c r="L562" s="59"/>
    </row>
    <row r="563" spans="1:12" x14ac:dyDescent="0.35">
      <c r="A563" s="45">
        <v>559</v>
      </c>
      <c r="B563" s="2"/>
      <c r="C563" s="2"/>
      <c r="D563" s="2"/>
      <c r="E563" s="3"/>
      <c r="F563" s="3"/>
      <c r="G563" s="2"/>
      <c r="H563" s="2"/>
      <c r="I563" s="46"/>
      <c r="J563" s="12"/>
      <c r="K563" s="2"/>
      <c r="L563" s="59"/>
    </row>
    <row r="564" spans="1:12" x14ac:dyDescent="0.35">
      <c r="A564" s="45">
        <v>560</v>
      </c>
      <c r="B564" s="2"/>
      <c r="C564" s="2"/>
      <c r="D564" s="2"/>
      <c r="E564" s="3"/>
      <c r="F564" s="3"/>
      <c r="G564" s="2"/>
      <c r="H564" s="2"/>
      <c r="I564" s="46"/>
      <c r="J564" s="12"/>
      <c r="K564" s="2"/>
      <c r="L564" s="59"/>
    </row>
    <row r="565" spans="1:12" x14ac:dyDescent="0.35">
      <c r="A565" s="45">
        <v>561</v>
      </c>
      <c r="B565" s="2"/>
      <c r="C565" s="2"/>
      <c r="D565" s="2"/>
      <c r="E565" s="3"/>
      <c r="F565" s="3"/>
      <c r="G565" s="2"/>
      <c r="H565" s="2"/>
      <c r="I565" s="46"/>
      <c r="J565" s="12"/>
      <c r="K565" s="2"/>
      <c r="L565" s="59"/>
    </row>
    <row r="566" spans="1:12" x14ac:dyDescent="0.35">
      <c r="A566" s="45">
        <v>562</v>
      </c>
      <c r="B566" s="2"/>
      <c r="C566" s="2"/>
      <c r="D566" s="2"/>
      <c r="E566" s="3"/>
      <c r="F566" s="3"/>
      <c r="G566" s="2"/>
      <c r="H566" s="2"/>
      <c r="I566" s="46"/>
      <c r="J566" s="12"/>
      <c r="K566" s="2"/>
      <c r="L566" s="59"/>
    </row>
    <row r="567" spans="1:12" x14ac:dyDescent="0.35">
      <c r="A567" s="45">
        <v>563</v>
      </c>
      <c r="B567" s="2"/>
      <c r="C567" s="2"/>
      <c r="D567" s="2"/>
      <c r="E567" s="3"/>
      <c r="F567" s="3"/>
      <c r="G567" s="2"/>
      <c r="H567" s="2"/>
      <c r="I567" s="46"/>
      <c r="J567" s="12"/>
      <c r="K567" s="2"/>
      <c r="L567" s="59"/>
    </row>
    <row r="568" spans="1:12" x14ac:dyDescent="0.35">
      <c r="A568" s="45">
        <v>564</v>
      </c>
      <c r="B568" s="2"/>
      <c r="C568" s="2"/>
      <c r="D568" s="2"/>
      <c r="E568" s="3"/>
      <c r="F568" s="3"/>
      <c r="G568" s="2"/>
      <c r="H568" s="2"/>
      <c r="I568" s="46"/>
      <c r="J568" s="12"/>
      <c r="K568" s="2"/>
      <c r="L568" s="59"/>
    </row>
    <row r="569" spans="1:12" x14ac:dyDescent="0.35">
      <c r="A569" s="45">
        <v>565</v>
      </c>
      <c r="B569" s="2"/>
      <c r="C569" s="2"/>
      <c r="D569" s="2"/>
      <c r="E569" s="3"/>
      <c r="F569" s="3"/>
      <c r="G569" s="2"/>
      <c r="H569" s="2"/>
      <c r="I569" s="46"/>
      <c r="J569" s="12"/>
      <c r="K569" s="2"/>
      <c r="L569" s="59"/>
    </row>
    <row r="570" spans="1:12" x14ac:dyDescent="0.35">
      <c r="A570" s="45">
        <v>566</v>
      </c>
      <c r="B570" s="2"/>
      <c r="C570" s="2"/>
      <c r="D570" s="2"/>
      <c r="E570" s="3"/>
      <c r="F570" s="3"/>
      <c r="G570" s="2"/>
      <c r="H570" s="2"/>
      <c r="I570" s="46"/>
      <c r="J570" s="12"/>
      <c r="K570" s="2"/>
      <c r="L570" s="59"/>
    </row>
    <row r="571" spans="1:12" x14ac:dyDescent="0.35">
      <c r="A571" s="45">
        <v>567</v>
      </c>
      <c r="B571" s="2"/>
      <c r="C571" s="2"/>
      <c r="D571" s="2"/>
      <c r="E571" s="3"/>
      <c r="F571" s="3"/>
      <c r="G571" s="2"/>
      <c r="H571" s="2"/>
      <c r="I571" s="46"/>
      <c r="J571" s="12"/>
      <c r="K571" s="2"/>
      <c r="L571" s="59"/>
    </row>
    <row r="572" spans="1:12" x14ac:dyDescent="0.35">
      <c r="A572" s="45">
        <v>568</v>
      </c>
      <c r="B572" s="2"/>
      <c r="C572" s="2"/>
      <c r="D572" s="2"/>
      <c r="E572" s="3"/>
      <c r="F572" s="3"/>
      <c r="G572" s="2"/>
      <c r="H572" s="2"/>
      <c r="I572" s="46"/>
      <c r="J572" s="12"/>
      <c r="K572" s="2"/>
      <c r="L572" s="59"/>
    </row>
    <row r="573" spans="1:12" x14ac:dyDescent="0.35">
      <c r="A573" s="45">
        <v>569</v>
      </c>
      <c r="B573" s="2"/>
      <c r="C573" s="2"/>
      <c r="D573" s="2"/>
      <c r="E573" s="3"/>
      <c r="F573" s="3"/>
      <c r="G573" s="2"/>
      <c r="H573" s="2"/>
      <c r="I573" s="46"/>
      <c r="J573" s="12"/>
      <c r="K573" s="2"/>
      <c r="L573" s="59"/>
    </row>
    <row r="574" spans="1:12" x14ac:dyDescent="0.35">
      <c r="A574" s="45">
        <v>570</v>
      </c>
      <c r="B574" s="2"/>
      <c r="C574" s="2"/>
      <c r="D574" s="2"/>
      <c r="E574" s="3"/>
      <c r="F574" s="3"/>
      <c r="G574" s="2"/>
      <c r="H574" s="2"/>
      <c r="I574" s="46"/>
      <c r="J574" s="12"/>
      <c r="K574" s="2"/>
      <c r="L574" s="59"/>
    </row>
    <row r="575" spans="1:12" x14ac:dyDescent="0.35">
      <c r="A575" s="45">
        <v>571</v>
      </c>
      <c r="B575" s="2"/>
      <c r="C575" s="2"/>
      <c r="D575" s="2"/>
      <c r="E575" s="3"/>
      <c r="F575" s="3"/>
      <c r="G575" s="2"/>
      <c r="H575" s="2"/>
      <c r="I575" s="46"/>
      <c r="J575" s="12"/>
      <c r="K575" s="2"/>
      <c r="L575" s="59"/>
    </row>
    <row r="576" spans="1:12" x14ac:dyDescent="0.35">
      <c r="A576" s="45">
        <v>572</v>
      </c>
      <c r="B576" s="2"/>
      <c r="C576" s="2"/>
      <c r="D576" s="2"/>
      <c r="E576" s="3"/>
      <c r="F576" s="3"/>
      <c r="G576" s="2"/>
      <c r="H576" s="2"/>
      <c r="I576" s="46"/>
      <c r="J576" s="12"/>
      <c r="K576" s="2"/>
      <c r="L576" s="59"/>
    </row>
    <row r="577" spans="1:12" x14ac:dyDescent="0.35">
      <c r="A577" s="45">
        <v>573</v>
      </c>
      <c r="B577" s="2"/>
      <c r="C577" s="2"/>
      <c r="D577" s="2"/>
      <c r="E577" s="3"/>
      <c r="F577" s="3"/>
      <c r="G577" s="2"/>
      <c r="H577" s="2"/>
      <c r="I577" s="46"/>
      <c r="J577" s="12"/>
      <c r="K577" s="2"/>
      <c r="L577" s="59"/>
    </row>
    <row r="578" spans="1:12" x14ac:dyDescent="0.35">
      <c r="A578" s="45">
        <v>574</v>
      </c>
      <c r="B578" s="2"/>
      <c r="C578" s="2"/>
      <c r="D578" s="2"/>
      <c r="E578" s="3"/>
      <c r="F578" s="3"/>
      <c r="G578" s="2"/>
      <c r="H578" s="2"/>
      <c r="I578" s="46"/>
      <c r="J578" s="12"/>
      <c r="K578" s="2"/>
      <c r="L578" s="59"/>
    </row>
    <row r="579" spans="1:12" x14ac:dyDescent="0.35">
      <c r="A579" s="45">
        <v>575</v>
      </c>
      <c r="B579" s="2"/>
      <c r="C579" s="2"/>
      <c r="D579" s="2"/>
      <c r="E579" s="3"/>
      <c r="F579" s="3"/>
      <c r="G579" s="2"/>
      <c r="H579" s="2"/>
      <c r="I579" s="46"/>
      <c r="J579" s="12"/>
      <c r="K579" s="2"/>
      <c r="L579" s="59"/>
    </row>
    <row r="580" spans="1:12" x14ac:dyDescent="0.35">
      <c r="A580" s="45">
        <v>576</v>
      </c>
      <c r="B580" s="2"/>
      <c r="C580" s="2"/>
      <c r="D580" s="2"/>
      <c r="E580" s="3"/>
      <c r="F580" s="3"/>
      <c r="G580" s="2"/>
      <c r="H580" s="2"/>
      <c r="I580" s="46"/>
      <c r="J580" s="12"/>
      <c r="K580" s="2"/>
      <c r="L580" s="59"/>
    </row>
    <row r="581" spans="1:12" x14ac:dyDescent="0.35">
      <c r="A581" s="45">
        <v>577</v>
      </c>
      <c r="B581" s="2"/>
      <c r="C581" s="2"/>
      <c r="D581" s="2"/>
      <c r="E581" s="3"/>
      <c r="F581" s="3"/>
      <c r="G581" s="2"/>
      <c r="H581" s="2"/>
      <c r="I581" s="46"/>
      <c r="J581" s="12"/>
      <c r="K581" s="2"/>
      <c r="L581" s="59"/>
    </row>
    <row r="582" spans="1:12" x14ac:dyDescent="0.35">
      <c r="A582" s="45">
        <v>578</v>
      </c>
      <c r="B582" s="2"/>
      <c r="C582" s="2"/>
      <c r="D582" s="2"/>
      <c r="E582" s="3"/>
      <c r="F582" s="3"/>
      <c r="G582" s="2"/>
      <c r="H582" s="2"/>
      <c r="I582" s="46"/>
      <c r="J582" s="12"/>
      <c r="K582" s="2"/>
      <c r="L582" s="59"/>
    </row>
    <row r="583" spans="1:12" x14ac:dyDescent="0.35">
      <c r="A583" s="45">
        <v>579</v>
      </c>
      <c r="B583" s="2"/>
      <c r="C583" s="2"/>
      <c r="D583" s="2"/>
      <c r="E583" s="3"/>
      <c r="F583" s="3"/>
      <c r="G583" s="2"/>
      <c r="H583" s="2"/>
      <c r="I583" s="46"/>
      <c r="J583" s="12"/>
      <c r="K583" s="2"/>
      <c r="L583" s="59"/>
    </row>
    <row r="584" spans="1:12" x14ac:dyDescent="0.35">
      <c r="A584" s="45">
        <v>580</v>
      </c>
      <c r="B584" s="2"/>
      <c r="C584" s="2"/>
      <c r="D584" s="2"/>
      <c r="E584" s="3"/>
      <c r="F584" s="3"/>
      <c r="G584" s="2"/>
      <c r="H584" s="2"/>
      <c r="I584" s="46"/>
      <c r="J584" s="12"/>
      <c r="K584" s="2"/>
      <c r="L584" s="59"/>
    </row>
    <row r="585" spans="1:12" x14ac:dyDescent="0.35">
      <c r="A585" s="45">
        <v>581</v>
      </c>
      <c r="B585" s="2"/>
      <c r="C585" s="2"/>
      <c r="D585" s="2"/>
      <c r="E585" s="3"/>
      <c r="F585" s="3"/>
      <c r="G585" s="2"/>
      <c r="H585" s="2"/>
      <c r="I585" s="46"/>
      <c r="J585" s="12"/>
      <c r="K585" s="2"/>
      <c r="L585" s="59"/>
    </row>
    <row r="586" spans="1:12" x14ac:dyDescent="0.35">
      <c r="A586" s="45">
        <v>582</v>
      </c>
      <c r="B586" s="2"/>
      <c r="C586" s="2"/>
      <c r="D586" s="2"/>
      <c r="E586" s="3"/>
      <c r="F586" s="3"/>
      <c r="G586" s="2"/>
      <c r="H586" s="2"/>
      <c r="I586" s="46"/>
      <c r="J586" s="12"/>
      <c r="K586" s="2"/>
      <c r="L586" s="59"/>
    </row>
    <row r="587" spans="1:12" x14ac:dyDescent="0.35">
      <c r="A587" s="45">
        <v>583</v>
      </c>
      <c r="B587" s="2"/>
      <c r="C587" s="2"/>
      <c r="D587" s="2"/>
      <c r="E587" s="3"/>
      <c r="F587" s="3"/>
      <c r="G587" s="2"/>
      <c r="H587" s="2"/>
      <c r="I587" s="46"/>
      <c r="J587" s="12"/>
      <c r="K587" s="2"/>
      <c r="L587" s="59"/>
    </row>
    <row r="588" spans="1:12" x14ac:dyDescent="0.35">
      <c r="A588" s="45">
        <v>584</v>
      </c>
      <c r="B588" s="2"/>
      <c r="C588" s="2"/>
      <c r="D588" s="2"/>
      <c r="E588" s="3"/>
      <c r="F588" s="3"/>
      <c r="G588" s="2"/>
      <c r="H588" s="2"/>
      <c r="I588" s="46"/>
      <c r="J588" s="12"/>
      <c r="K588" s="2"/>
      <c r="L588" s="59"/>
    </row>
    <row r="589" spans="1:12" x14ac:dyDescent="0.35">
      <c r="A589" s="45">
        <v>585</v>
      </c>
      <c r="B589" s="2"/>
      <c r="C589" s="2"/>
      <c r="D589" s="2"/>
      <c r="E589" s="3"/>
      <c r="F589" s="3"/>
      <c r="G589" s="2"/>
      <c r="H589" s="2"/>
      <c r="I589" s="46"/>
      <c r="J589" s="12"/>
      <c r="K589" s="2"/>
      <c r="L589" s="59"/>
    </row>
    <row r="590" spans="1:12" x14ac:dyDescent="0.35">
      <c r="A590" s="45">
        <v>586</v>
      </c>
      <c r="B590" s="2"/>
      <c r="C590" s="2"/>
      <c r="D590" s="2"/>
      <c r="E590" s="3"/>
      <c r="F590" s="3"/>
      <c r="G590" s="2"/>
      <c r="H590" s="2"/>
      <c r="I590" s="46"/>
      <c r="J590" s="12"/>
      <c r="K590" s="2"/>
      <c r="L590" s="59"/>
    </row>
    <row r="591" spans="1:12" x14ac:dyDescent="0.35">
      <c r="A591" s="45">
        <v>587</v>
      </c>
      <c r="B591" s="2"/>
      <c r="C591" s="2"/>
      <c r="D591" s="2"/>
      <c r="E591" s="3"/>
      <c r="F591" s="3"/>
      <c r="G591" s="2"/>
      <c r="H591" s="2"/>
      <c r="I591" s="46"/>
      <c r="J591" s="12"/>
      <c r="K591" s="2"/>
      <c r="L591" s="59"/>
    </row>
    <row r="592" spans="1:12" x14ac:dyDescent="0.35">
      <c r="A592" s="45">
        <v>588</v>
      </c>
      <c r="B592" s="2"/>
      <c r="C592" s="2"/>
      <c r="D592" s="2"/>
      <c r="E592" s="3"/>
      <c r="F592" s="3"/>
      <c r="G592" s="2"/>
      <c r="H592" s="2"/>
      <c r="I592" s="46"/>
      <c r="J592" s="12"/>
      <c r="K592" s="2"/>
      <c r="L592" s="59"/>
    </row>
    <row r="593" spans="1:12" x14ac:dyDescent="0.35">
      <c r="A593" s="45">
        <v>589</v>
      </c>
      <c r="B593" s="2"/>
      <c r="C593" s="2"/>
      <c r="D593" s="2"/>
      <c r="E593" s="3"/>
      <c r="F593" s="3"/>
      <c r="G593" s="2"/>
      <c r="H593" s="2"/>
      <c r="I593" s="46"/>
      <c r="J593" s="12"/>
      <c r="K593" s="2"/>
      <c r="L593" s="59"/>
    </row>
    <row r="594" spans="1:12" x14ac:dyDescent="0.35">
      <c r="A594" s="45">
        <v>590</v>
      </c>
      <c r="B594" s="2"/>
      <c r="C594" s="2"/>
      <c r="D594" s="2"/>
      <c r="E594" s="3"/>
      <c r="F594" s="3"/>
      <c r="G594" s="2"/>
      <c r="H594" s="2"/>
      <c r="I594" s="46"/>
      <c r="J594" s="12"/>
      <c r="K594" s="2"/>
      <c r="L594" s="59"/>
    </row>
    <row r="595" spans="1:12" x14ac:dyDescent="0.35">
      <c r="A595" s="45">
        <v>591</v>
      </c>
      <c r="B595" s="2"/>
      <c r="C595" s="2"/>
      <c r="D595" s="2"/>
      <c r="E595" s="3"/>
      <c r="F595" s="3"/>
      <c r="G595" s="2"/>
      <c r="H595" s="2"/>
      <c r="I595" s="46"/>
      <c r="J595" s="12"/>
      <c r="K595" s="2"/>
      <c r="L595" s="59"/>
    </row>
    <row r="596" spans="1:12" x14ac:dyDescent="0.35">
      <c r="A596" s="45">
        <v>592</v>
      </c>
      <c r="B596" s="2"/>
      <c r="C596" s="2"/>
      <c r="D596" s="2"/>
      <c r="E596" s="3"/>
      <c r="F596" s="3"/>
      <c r="G596" s="2"/>
      <c r="H596" s="2"/>
      <c r="I596" s="46"/>
      <c r="J596" s="12"/>
      <c r="K596" s="2"/>
      <c r="L596" s="59"/>
    </row>
    <row r="597" spans="1:12" x14ac:dyDescent="0.35">
      <c r="A597" s="45">
        <v>593</v>
      </c>
      <c r="B597" s="2"/>
      <c r="C597" s="2"/>
      <c r="D597" s="2"/>
      <c r="E597" s="3"/>
      <c r="F597" s="3"/>
      <c r="G597" s="2"/>
      <c r="H597" s="2"/>
      <c r="I597" s="46"/>
      <c r="J597" s="12"/>
      <c r="K597" s="2"/>
      <c r="L597" s="59"/>
    </row>
    <row r="598" spans="1:12" x14ac:dyDescent="0.35">
      <c r="A598" s="45">
        <v>594</v>
      </c>
      <c r="B598" s="2"/>
      <c r="C598" s="2"/>
      <c r="D598" s="2"/>
      <c r="E598" s="3"/>
      <c r="F598" s="3"/>
      <c r="G598" s="2"/>
      <c r="H598" s="2"/>
      <c r="I598" s="46"/>
      <c r="J598" s="12"/>
      <c r="K598" s="2"/>
      <c r="L598" s="59"/>
    </row>
    <row r="599" spans="1:12" x14ac:dyDescent="0.35">
      <c r="A599" s="45">
        <v>595</v>
      </c>
      <c r="B599" s="2"/>
      <c r="C599" s="2"/>
      <c r="D599" s="2"/>
      <c r="E599" s="3"/>
      <c r="F599" s="3"/>
      <c r="G599" s="2"/>
      <c r="H599" s="2"/>
      <c r="I599" s="46"/>
      <c r="J599" s="12"/>
      <c r="K599" s="2"/>
      <c r="L599" s="59"/>
    </row>
    <row r="600" spans="1:12" x14ac:dyDescent="0.35">
      <c r="A600" s="45">
        <v>596</v>
      </c>
      <c r="B600" s="2"/>
      <c r="C600" s="2"/>
      <c r="D600" s="2"/>
      <c r="E600" s="3"/>
      <c r="F600" s="3"/>
      <c r="G600" s="2"/>
      <c r="H600" s="2"/>
      <c r="I600" s="46"/>
      <c r="J600" s="12"/>
      <c r="K600" s="2"/>
      <c r="L600" s="59"/>
    </row>
    <row r="601" spans="1:12" x14ac:dyDescent="0.35">
      <c r="A601" s="45">
        <v>597</v>
      </c>
      <c r="B601" s="2"/>
      <c r="C601" s="2"/>
      <c r="D601" s="2"/>
      <c r="E601" s="3"/>
      <c r="F601" s="3"/>
      <c r="G601" s="2"/>
      <c r="H601" s="2"/>
      <c r="I601" s="46"/>
      <c r="J601" s="12"/>
      <c r="K601" s="2"/>
      <c r="L601" s="59"/>
    </row>
    <row r="602" spans="1:12" x14ac:dyDescent="0.35">
      <c r="A602" s="45">
        <v>598</v>
      </c>
      <c r="B602" s="2"/>
      <c r="C602" s="2"/>
      <c r="D602" s="2"/>
      <c r="E602" s="3"/>
      <c r="F602" s="3"/>
      <c r="G602" s="2"/>
      <c r="H602" s="2"/>
      <c r="I602" s="46"/>
      <c r="J602" s="12"/>
      <c r="K602" s="2"/>
      <c r="L602" s="59"/>
    </row>
    <row r="603" spans="1:12" x14ac:dyDescent="0.35">
      <c r="A603" s="45">
        <v>599</v>
      </c>
      <c r="B603" s="2"/>
      <c r="C603" s="2"/>
      <c r="D603" s="2"/>
      <c r="E603" s="3"/>
      <c r="F603" s="3"/>
      <c r="G603" s="2"/>
      <c r="H603" s="2"/>
      <c r="I603" s="46"/>
      <c r="J603" s="12"/>
      <c r="K603" s="2"/>
      <c r="L603" s="59"/>
    </row>
    <row r="604" spans="1:12" x14ac:dyDescent="0.35">
      <c r="A604" s="45">
        <v>600</v>
      </c>
      <c r="B604" s="2"/>
      <c r="C604" s="2"/>
      <c r="D604" s="2"/>
      <c r="E604" s="3"/>
      <c r="F604" s="3"/>
      <c r="G604" s="2"/>
      <c r="H604" s="2"/>
      <c r="I604" s="46"/>
      <c r="J604" s="12"/>
      <c r="K604" s="2"/>
      <c r="L604" s="59"/>
    </row>
    <row r="605" spans="1:12" x14ac:dyDescent="0.35">
      <c r="A605" s="45">
        <v>601</v>
      </c>
      <c r="B605" s="2"/>
      <c r="C605" s="2"/>
      <c r="D605" s="2"/>
      <c r="E605" s="3"/>
      <c r="F605" s="3"/>
      <c r="G605" s="2"/>
      <c r="H605" s="2"/>
      <c r="I605" s="46"/>
      <c r="J605" s="12"/>
      <c r="K605" s="2"/>
      <c r="L605" s="59"/>
    </row>
    <row r="606" spans="1:12" x14ac:dyDescent="0.35">
      <c r="A606" s="45">
        <v>602</v>
      </c>
      <c r="B606" s="2"/>
      <c r="C606" s="2"/>
      <c r="D606" s="2"/>
      <c r="E606" s="3"/>
      <c r="F606" s="3"/>
      <c r="G606" s="2"/>
      <c r="H606" s="2"/>
      <c r="I606" s="46"/>
      <c r="J606" s="12"/>
      <c r="K606" s="2"/>
      <c r="L606" s="59"/>
    </row>
    <row r="607" spans="1:12" x14ac:dyDescent="0.35">
      <c r="A607" s="45">
        <v>603</v>
      </c>
      <c r="B607" s="2"/>
      <c r="C607" s="2"/>
      <c r="D607" s="2"/>
      <c r="E607" s="3"/>
      <c r="F607" s="3"/>
      <c r="G607" s="2"/>
      <c r="H607" s="2"/>
      <c r="I607" s="46"/>
      <c r="J607" s="12"/>
      <c r="K607" s="2"/>
      <c r="L607" s="59"/>
    </row>
    <row r="608" spans="1:12" x14ac:dyDescent="0.35">
      <c r="A608" s="45">
        <v>604</v>
      </c>
      <c r="B608" s="2"/>
      <c r="C608" s="2"/>
      <c r="D608" s="2"/>
      <c r="E608" s="3"/>
      <c r="F608" s="3"/>
      <c r="G608" s="2"/>
      <c r="H608" s="2"/>
      <c r="I608" s="46"/>
      <c r="J608" s="12"/>
      <c r="K608" s="2"/>
      <c r="L608" s="59"/>
    </row>
    <row r="609" spans="1:12" x14ac:dyDescent="0.35">
      <c r="A609" s="45">
        <v>605</v>
      </c>
      <c r="B609" s="2"/>
      <c r="C609" s="2"/>
      <c r="D609" s="2"/>
      <c r="E609" s="3"/>
      <c r="F609" s="3"/>
      <c r="G609" s="2"/>
      <c r="H609" s="2"/>
      <c r="I609" s="46"/>
      <c r="J609" s="12"/>
      <c r="K609" s="2"/>
      <c r="L609" s="59"/>
    </row>
    <row r="610" spans="1:12" x14ac:dyDescent="0.35">
      <c r="A610" s="45">
        <v>606</v>
      </c>
      <c r="B610" s="2"/>
      <c r="C610" s="2"/>
      <c r="D610" s="2"/>
      <c r="E610" s="3"/>
      <c r="F610" s="3"/>
      <c r="G610" s="2"/>
      <c r="H610" s="2"/>
      <c r="I610" s="46"/>
      <c r="J610" s="12"/>
      <c r="K610" s="2"/>
      <c r="L610" s="59"/>
    </row>
    <row r="611" spans="1:12" x14ac:dyDescent="0.35">
      <c r="A611" s="45">
        <v>607</v>
      </c>
      <c r="B611" s="2"/>
      <c r="C611" s="2"/>
      <c r="D611" s="2"/>
      <c r="E611" s="3"/>
      <c r="F611" s="3"/>
      <c r="G611" s="2"/>
      <c r="H611" s="2"/>
      <c r="I611" s="46"/>
      <c r="J611" s="12"/>
      <c r="K611" s="2"/>
      <c r="L611" s="59"/>
    </row>
    <row r="612" spans="1:12" x14ac:dyDescent="0.35">
      <c r="A612" s="45">
        <v>608</v>
      </c>
      <c r="B612" s="2"/>
      <c r="C612" s="2"/>
      <c r="D612" s="2"/>
      <c r="E612" s="3"/>
      <c r="F612" s="3"/>
      <c r="G612" s="2"/>
      <c r="H612" s="2"/>
      <c r="I612" s="46"/>
      <c r="J612" s="12"/>
      <c r="K612" s="2"/>
      <c r="L612" s="59"/>
    </row>
    <row r="613" spans="1:12" x14ac:dyDescent="0.35">
      <c r="A613" s="45">
        <v>609</v>
      </c>
      <c r="B613" s="2"/>
      <c r="C613" s="2"/>
      <c r="D613" s="2"/>
      <c r="E613" s="3"/>
      <c r="F613" s="3"/>
      <c r="G613" s="2"/>
      <c r="H613" s="2"/>
      <c r="I613" s="46"/>
      <c r="J613" s="12"/>
      <c r="K613" s="2"/>
      <c r="L613" s="59"/>
    </row>
    <row r="614" spans="1:12" x14ac:dyDescent="0.35">
      <c r="A614" s="45">
        <v>610</v>
      </c>
      <c r="B614" s="2"/>
      <c r="C614" s="2"/>
      <c r="D614" s="2"/>
      <c r="E614" s="3"/>
      <c r="F614" s="3"/>
      <c r="G614" s="2"/>
      <c r="H614" s="2"/>
      <c r="I614" s="46"/>
      <c r="J614" s="12"/>
      <c r="K614" s="2"/>
      <c r="L614" s="59"/>
    </row>
    <row r="615" spans="1:12" x14ac:dyDescent="0.35">
      <c r="A615" s="45">
        <v>611</v>
      </c>
      <c r="B615" s="2"/>
      <c r="C615" s="2"/>
      <c r="D615" s="2"/>
      <c r="E615" s="3"/>
      <c r="F615" s="3"/>
      <c r="G615" s="2"/>
      <c r="H615" s="2"/>
      <c r="I615" s="46"/>
      <c r="J615" s="12"/>
      <c r="K615" s="2"/>
      <c r="L615" s="59"/>
    </row>
    <row r="616" spans="1:12" x14ac:dyDescent="0.35">
      <c r="A616" s="45">
        <v>612</v>
      </c>
      <c r="B616" s="2"/>
      <c r="C616" s="2"/>
      <c r="D616" s="2"/>
      <c r="E616" s="3"/>
      <c r="F616" s="3"/>
      <c r="G616" s="2"/>
      <c r="H616" s="2"/>
      <c r="I616" s="46"/>
      <c r="J616" s="12"/>
      <c r="K616" s="2"/>
      <c r="L616" s="59"/>
    </row>
    <row r="617" spans="1:12" x14ac:dyDescent="0.35">
      <c r="A617" s="45">
        <v>613</v>
      </c>
      <c r="B617" s="2"/>
      <c r="C617" s="2"/>
      <c r="D617" s="2"/>
      <c r="E617" s="3"/>
      <c r="F617" s="3"/>
      <c r="G617" s="2"/>
      <c r="H617" s="2"/>
      <c r="I617" s="46"/>
      <c r="J617" s="12"/>
      <c r="K617" s="2"/>
      <c r="L617" s="59"/>
    </row>
    <row r="618" spans="1:12" x14ac:dyDescent="0.35">
      <c r="A618" s="45">
        <v>614</v>
      </c>
      <c r="B618" s="2"/>
      <c r="C618" s="2"/>
      <c r="D618" s="2"/>
      <c r="E618" s="3"/>
      <c r="F618" s="3"/>
      <c r="G618" s="2"/>
      <c r="H618" s="2"/>
      <c r="I618" s="46"/>
      <c r="J618" s="12"/>
      <c r="K618" s="2"/>
      <c r="L618" s="59"/>
    </row>
    <row r="619" spans="1:12" x14ac:dyDescent="0.35">
      <c r="A619" s="45">
        <v>615</v>
      </c>
      <c r="B619" s="2"/>
      <c r="C619" s="2"/>
      <c r="D619" s="2"/>
      <c r="E619" s="3"/>
      <c r="F619" s="3"/>
      <c r="G619" s="2"/>
      <c r="H619" s="2"/>
      <c r="I619" s="46"/>
      <c r="J619" s="12"/>
      <c r="K619" s="2"/>
      <c r="L619" s="59"/>
    </row>
    <row r="620" spans="1:12" x14ac:dyDescent="0.35">
      <c r="A620" s="45">
        <v>616</v>
      </c>
      <c r="B620" s="2"/>
      <c r="C620" s="2"/>
      <c r="D620" s="2"/>
      <c r="E620" s="3"/>
      <c r="F620" s="3"/>
      <c r="G620" s="2"/>
      <c r="H620" s="2"/>
      <c r="I620" s="46"/>
      <c r="J620" s="12"/>
      <c r="K620" s="2"/>
      <c r="L620" s="59"/>
    </row>
    <row r="621" spans="1:12" x14ac:dyDescent="0.35">
      <c r="A621" s="45">
        <v>617</v>
      </c>
      <c r="B621" s="2"/>
      <c r="C621" s="2"/>
      <c r="D621" s="2"/>
      <c r="E621" s="3"/>
      <c r="F621" s="3"/>
      <c r="G621" s="2"/>
      <c r="H621" s="2"/>
      <c r="I621" s="46"/>
      <c r="J621" s="12"/>
      <c r="K621" s="2"/>
      <c r="L621" s="59"/>
    </row>
    <row r="622" spans="1:12" x14ac:dyDescent="0.35">
      <c r="A622" s="45">
        <v>618</v>
      </c>
      <c r="B622" s="2"/>
      <c r="C622" s="2"/>
      <c r="D622" s="2"/>
      <c r="E622" s="3"/>
      <c r="F622" s="3"/>
      <c r="G622" s="2"/>
      <c r="H622" s="2"/>
      <c r="I622" s="46"/>
      <c r="J622" s="12"/>
      <c r="K622" s="2"/>
      <c r="L622" s="59"/>
    </row>
    <row r="623" spans="1:12" x14ac:dyDescent="0.35">
      <c r="A623" s="45">
        <v>619</v>
      </c>
      <c r="B623" s="2"/>
      <c r="C623" s="2"/>
      <c r="D623" s="2"/>
      <c r="E623" s="3"/>
      <c r="F623" s="3"/>
      <c r="G623" s="2"/>
      <c r="H623" s="2"/>
      <c r="I623" s="46"/>
      <c r="J623" s="12"/>
      <c r="K623" s="2"/>
      <c r="L623" s="59"/>
    </row>
    <row r="624" spans="1:12" x14ac:dyDescent="0.35">
      <c r="A624" s="45">
        <v>620</v>
      </c>
      <c r="B624" s="2"/>
      <c r="C624" s="2"/>
      <c r="D624" s="2"/>
      <c r="E624" s="3"/>
      <c r="F624" s="3"/>
      <c r="G624" s="2"/>
      <c r="H624" s="2"/>
      <c r="I624" s="46"/>
      <c r="J624" s="12"/>
      <c r="K624" s="2"/>
      <c r="L624" s="59"/>
    </row>
    <row r="625" spans="1:12" x14ac:dyDescent="0.35">
      <c r="A625" s="45">
        <v>621</v>
      </c>
      <c r="B625" s="2"/>
      <c r="C625" s="2"/>
      <c r="D625" s="2"/>
      <c r="E625" s="3"/>
      <c r="F625" s="3"/>
      <c r="G625" s="2"/>
      <c r="H625" s="2"/>
      <c r="I625" s="46"/>
      <c r="J625" s="12"/>
      <c r="K625" s="2"/>
      <c r="L625" s="59"/>
    </row>
    <row r="626" spans="1:12" x14ac:dyDescent="0.35">
      <c r="A626" s="45">
        <v>622</v>
      </c>
      <c r="B626" s="2"/>
      <c r="C626" s="2"/>
      <c r="D626" s="2"/>
      <c r="E626" s="3"/>
      <c r="F626" s="3"/>
      <c r="G626" s="2"/>
      <c r="H626" s="2"/>
      <c r="I626" s="46"/>
      <c r="J626" s="12"/>
      <c r="K626" s="2"/>
      <c r="L626" s="59"/>
    </row>
    <row r="627" spans="1:12" x14ac:dyDescent="0.35">
      <c r="A627" s="45">
        <v>623</v>
      </c>
      <c r="B627" s="2"/>
      <c r="C627" s="2"/>
      <c r="D627" s="2"/>
      <c r="E627" s="3"/>
      <c r="F627" s="3"/>
      <c r="G627" s="2"/>
      <c r="H627" s="2"/>
      <c r="I627" s="46"/>
      <c r="J627" s="12"/>
      <c r="K627" s="2"/>
      <c r="L627" s="59"/>
    </row>
    <row r="628" spans="1:12" x14ac:dyDescent="0.35">
      <c r="A628" s="45">
        <v>624</v>
      </c>
      <c r="B628" s="2"/>
      <c r="C628" s="2"/>
      <c r="D628" s="2"/>
      <c r="E628" s="3"/>
      <c r="F628" s="3"/>
      <c r="G628" s="2"/>
      <c r="H628" s="2"/>
      <c r="I628" s="46"/>
      <c r="J628" s="12"/>
      <c r="K628" s="2"/>
      <c r="L628" s="59"/>
    </row>
    <row r="629" spans="1:12" x14ac:dyDescent="0.35">
      <c r="A629" s="45">
        <v>625</v>
      </c>
      <c r="B629" s="2"/>
      <c r="C629" s="2"/>
      <c r="D629" s="2"/>
      <c r="E629" s="3"/>
      <c r="F629" s="3"/>
      <c r="G629" s="2"/>
      <c r="H629" s="2"/>
      <c r="I629" s="46"/>
      <c r="J629" s="12"/>
      <c r="K629" s="2"/>
      <c r="L629" s="59"/>
    </row>
    <row r="630" spans="1:12" x14ac:dyDescent="0.35">
      <c r="A630" s="45">
        <v>626</v>
      </c>
      <c r="B630" s="2"/>
      <c r="C630" s="2"/>
      <c r="D630" s="2"/>
      <c r="E630" s="3"/>
      <c r="F630" s="3"/>
      <c r="G630" s="2"/>
      <c r="H630" s="2"/>
      <c r="I630" s="46"/>
      <c r="J630" s="12"/>
      <c r="K630" s="2"/>
      <c r="L630" s="59"/>
    </row>
    <row r="631" spans="1:12" x14ac:dyDescent="0.35">
      <c r="A631" s="45">
        <v>627</v>
      </c>
      <c r="B631" s="2"/>
      <c r="C631" s="2"/>
      <c r="D631" s="2"/>
      <c r="E631" s="3"/>
      <c r="F631" s="3"/>
      <c r="G631" s="2"/>
      <c r="H631" s="2"/>
      <c r="I631" s="46"/>
      <c r="J631" s="12"/>
      <c r="K631" s="2"/>
      <c r="L631" s="59"/>
    </row>
    <row r="632" spans="1:12" x14ac:dyDescent="0.35">
      <c r="A632" s="45">
        <v>628</v>
      </c>
      <c r="B632" s="2"/>
      <c r="C632" s="2"/>
      <c r="D632" s="2"/>
      <c r="E632" s="3"/>
      <c r="F632" s="3"/>
      <c r="G632" s="2"/>
      <c r="H632" s="2"/>
      <c r="I632" s="46"/>
      <c r="J632" s="12"/>
      <c r="K632" s="2"/>
      <c r="L632" s="59"/>
    </row>
    <row r="633" spans="1:12" x14ac:dyDescent="0.35">
      <c r="A633" s="45">
        <v>629</v>
      </c>
      <c r="B633" s="2"/>
      <c r="C633" s="2"/>
      <c r="D633" s="2"/>
      <c r="E633" s="3"/>
      <c r="F633" s="3"/>
      <c r="G633" s="2"/>
      <c r="H633" s="2"/>
      <c r="I633" s="46"/>
      <c r="J633" s="12"/>
      <c r="K633" s="2"/>
      <c r="L633" s="59"/>
    </row>
    <row r="634" spans="1:12" x14ac:dyDescent="0.35">
      <c r="A634" s="45">
        <v>630</v>
      </c>
      <c r="B634" s="2"/>
      <c r="C634" s="2"/>
      <c r="D634" s="2"/>
      <c r="E634" s="3"/>
      <c r="F634" s="3"/>
      <c r="G634" s="2"/>
      <c r="H634" s="2"/>
      <c r="I634" s="46"/>
      <c r="J634" s="12"/>
      <c r="K634" s="2"/>
      <c r="L634" s="59"/>
    </row>
    <row r="635" spans="1:12" x14ac:dyDescent="0.35">
      <c r="A635" s="45">
        <v>631</v>
      </c>
      <c r="B635" s="2"/>
      <c r="C635" s="2"/>
      <c r="D635" s="2"/>
      <c r="E635" s="3"/>
      <c r="F635" s="3"/>
      <c r="G635" s="2"/>
      <c r="H635" s="2"/>
      <c r="I635" s="46"/>
      <c r="J635" s="12"/>
      <c r="K635" s="2"/>
      <c r="L635" s="59"/>
    </row>
    <row r="636" spans="1:12" x14ac:dyDescent="0.35">
      <c r="A636" s="45">
        <v>632</v>
      </c>
      <c r="B636" s="2"/>
      <c r="C636" s="2"/>
      <c r="D636" s="2"/>
      <c r="E636" s="3"/>
      <c r="F636" s="3"/>
      <c r="G636" s="2"/>
      <c r="H636" s="2"/>
      <c r="I636" s="46"/>
      <c r="J636" s="12"/>
      <c r="K636" s="2"/>
      <c r="L636" s="59"/>
    </row>
    <row r="637" spans="1:12" x14ac:dyDescent="0.35">
      <c r="A637" s="45">
        <v>633</v>
      </c>
      <c r="B637" s="2"/>
      <c r="C637" s="2"/>
      <c r="D637" s="2"/>
      <c r="E637" s="3"/>
      <c r="F637" s="3"/>
      <c r="G637" s="2"/>
      <c r="H637" s="2"/>
      <c r="I637" s="46"/>
      <c r="J637" s="12"/>
      <c r="K637" s="2"/>
      <c r="L637" s="59"/>
    </row>
    <row r="638" spans="1:12" x14ac:dyDescent="0.35">
      <c r="A638" s="45">
        <v>634</v>
      </c>
      <c r="B638" s="2"/>
      <c r="C638" s="2"/>
      <c r="D638" s="2"/>
      <c r="E638" s="3"/>
      <c r="F638" s="3"/>
      <c r="G638" s="2"/>
      <c r="H638" s="2"/>
      <c r="I638" s="46"/>
      <c r="J638" s="12"/>
      <c r="K638" s="2"/>
      <c r="L638" s="59"/>
    </row>
    <row r="639" spans="1:12" x14ac:dyDescent="0.35">
      <c r="A639" s="45">
        <v>635</v>
      </c>
      <c r="B639" s="2"/>
      <c r="C639" s="2"/>
      <c r="D639" s="2"/>
      <c r="E639" s="3"/>
      <c r="F639" s="3"/>
      <c r="G639" s="2"/>
      <c r="H639" s="2"/>
      <c r="I639" s="46"/>
      <c r="J639" s="12"/>
      <c r="K639" s="2"/>
      <c r="L639" s="59"/>
    </row>
    <row r="640" spans="1:12" x14ac:dyDescent="0.35">
      <c r="A640" s="45">
        <v>636</v>
      </c>
      <c r="B640" s="2"/>
      <c r="C640" s="2"/>
      <c r="D640" s="2"/>
      <c r="E640" s="3"/>
      <c r="F640" s="3"/>
      <c r="G640" s="2"/>
      <c r="H640" s="2"/>
      <c r="I640" s="46"/>
      <c r="J640" s="12"/>
      <c r="K640" s="2"/>
      <c r="L640" s="59"/>
    </row>
    <row r="641" spans="1:12" x14ac:dyDescent="0.35">
      <c r="A641" s="45">
        <v>637</v>
      </c>
      <c r="B641" s="2"/>
      <c r="C641" s="2"/>
      <c r="D641" s="2"/>
      <c r="E641" s="3"/>
      <c r="F641" s="3"/>
      <c r="G641" s="2"/>
      <c r="H641" s="2"/>
      <c r="I641" s="46"/>
      <c r="J641" s="12"/>
      <c r="K641" s="2"/>
      <c r="L641" s="59"/>
    </row>
    <row r="642" spans="1:12" x14ac:dyDescent="0.35">
      <c r="A642" s="45">
        <v>638</v>
      </c>
      <c r="B642" s="2"/>
      <c r="C642" s="2"/>
      <c r="D642" s="2"/>
      <c r="E642" s="3"/>
      <c r="F642" s="3"/>
      <c r="G642" s="2"/>
      <c r="H642" s="2"/>
      <c r="I642" s="46"/>
      <c r="J642" s="12"/>
      <c r="K642" s="2"/>
      <c r="L642" s="59"/>
    </row>
    <row r="643" spans="1:12" x14ac:dyDescent="0.35">
      <c r="A643" s="45">
        <v>639</v>
      </c>
      <c r="B643" s="2"/>
      <c r="C643" s="2"/>
      <c r="D643" s="2"/>
      <c r="E643" s="3"/>
      <c r="F643" s="3"/>
      <c r="G643" s="2"/>
      <c r="H643" s="2"/>
      <c r="I643" s="46"/>
      <c r="J643" s="12"/>
      <c r="K643" s="2"/>
      <c r="L643" s="59"/>
    </row>
    <row r="644" spans="1:12" x14ac:dyDescent="0.35">
      <c r="A644" s="45">
        <v>640</v>
      </c>
      <c r="B644" s="2"/>
      <c r="C644" s="2"/>
      <c r="D644" s="2"/>
      <c r="E644" s="3"/>
      <c r="F644" s="3"/>
      <c r="G644" s="2"/>
      <c r="H644" s="2"/>
      <c r="I644" s="46"/>
      <c r="J644" s="12"/>
      <c r="K644" s="2"/>
      <c r="L644" s="59"/>
    </row>
    <row r="645" spans="1:12" x14ac:dyDescent="0.35">
      <c r="A645" s="45">
        <v>641</v>
      </c>
      <c r="B645" s="2"/>
      <c r="C645" s="2"/>
      <c r="D645" s="2"/>
      <c r="E645" s="3"/>
      <c r="F645" s="3"/>
      <c r="G645" s="2"/>
      <c r="H645" s="2"/>
      <c r="I645" s="46"/>
      <c r="J645" s="12"/>
      <c r="K645" s="2"/>
      <c r="L645" s="59"/>
    </row>
    <row r="646" spans="1:12" x14ac:dyDescent="0.35">
      <c r="A646" s="45">
        <v>642</v>
      </c>
      <c r="B646" s="2"/>
      <c r="C646" s="2"/>
      <c r="D646" s="2"/>
      <c r="E646" s="3"/>
      <c r="F646" s="3"/>
      <c r="G646" s="2"/>
      <c r="H646" s="2"/>
      <c r="I646" s="46"/>
      <c r="J646" s="12"/>
      <c r="K646" s="2"/>
      <c r="L646" s="59"/>
    </row>
    <row r="647" spans="1:12" x14ac:dyDescent="0.35">
      <c r="A647" s="45">
        <v>643</v>
      </c>
      <c r="B647" s="2"/>
      <c r="C647" s="2"/>
      <c r="D647" s="2"/>
      <c r="E647" s="3"/>
      <c r="F647" s="3"/>
      <c r="G647" s="2"/>
      <c r="H647" s="2"/>
      <c r="I647" s="46"/>
      <c r="J647" s="12"/>
      <c r="K647" s="2"/>
      <c r="L647" s="59"/>
    </row>
    <row r="648" spans="1:12" x14ac:dyDescent="0.35">
      <c r="A648" s="45">
        <v>644</v>
      </c>
      <c r="B648" s="2"/>
      <c r="C648" s="2"/>
      <c r="D648" s="2"/>
      <c r="E648" s="3"/>
      <c r="F648" s="3"/>
      <c r="G648" s="2"/>
      <c r="H648" s="2"/>
      <c r="I648" s="46"/>
      <c r="J648" s="12"/>
      <c r="K648" s="2"/>
      <c r="L648" s="59"/>
    </row>
    <row r="649" spans="1:12" x14ac:dyDescent="0.35">
      <c r="A649" s="45">
        <v>645</v>
      </c>
      <c r="B649" s="2"/>
      <c r="C649" s="2"/>
      <c r="D649" s="2"/>
      <c r="E649" s="3"/>
      <c r="F649" s="3"/>
      <c r="G649" s="2"/>
      <c r="H649" s="2"/>
      <c r="I649" s="46"/>
      <c r="J649" s="12"/>
      <c r="K649" s="2"/>
      <c r="L649" s="59"/>
    </row>
    <row r="650" spans="1:12" x14ac:dyDescent="0.35">
      <c r="A650" s="45">
        <v>646</v>
      </c>
      <c r="B650" s="2"/>
      <c r="C650" s="2"/>
      <c r="D650" s="2"/>
      <c r="E650" s="3"/>
      <c r="F650" s="3"/>
      <c r="G650" s="2"/>
      <c r="H650" s="2"/>
      <c r="I650" s="46"/>
      <c r="J650" s="12"/>
      <c r="K650" s="2"/>
      <c r="L650" s="59"/>
    </row>
    <row r="651" spans="1:12" x14ac:dyDescent="0.35">
      <c r="A651" s="45">
        <v>647</v>
      </c>
      <c r="B651" s="2"/>
      <c r="C651" s="2"/>
      <c r="D651" s="2"/>
      <c r="E651" s="3"/>
      <c r="F651" s="3"/>
      <c r="G651" s="2"/>
      <c r="H651" s="2"/>
      <c r="I651" s="46"/>
      <c r="J651" s="12"/>
      <c r="K651" s="2"/>
      <c r="L651" s="59"/>
    </row>
    <row r="652" spans="1:12" x14ac:dyDescent="0.35">
      <c r="A652" s="45">
        <v>648</v>
      </c>
      <c r="B652" s="2"/>
      <c r="C652" s="2"/>
      <c r="D652" s="2"/>
      <c r="E652" s="3"/>
      <c r="F652" s="3"/>
      <c r="G652" s="2"/>
      <c r="H652" s="2"/>
      <c r="I652" s="46"/>
      <c r="J652" s="12"/>
      <c r="K652" s="2"/>
      <c r="L652" s="59"/>
    </row>
    <row r="653" spans="1:12" x14ac:dyDescent="0.35">
      <c r="A653" s="45">
        <v>649</v>
      </c>
      <c r="B653" s="2"/>
      <c r="C653" s="2"/>
      <c r="D653" s="2"/>
      <c r="E653" s="3"/>
      <c r="F653" s="3"/>
      <c r="G653" s="2"/>
      <c r="H653" s="2"/>
      <c r="I653" s="46"/>
      <c r="J653" s="12"/>
      <c r="K653" s="2"/>
      <c r="L653" s="59"/>
    </row>
    <row r="654" spans="1:12" x14ac:dyDescent="0.35">
      <c r="A654" s="45">
        <v>650</v>
      </c>
      <c r="B654" s="2"/>
      <c r="C654" s="2"/>
      <c r="D654" s="2"/>
      <c r="E654" s="3"/>
      <c r="F654" s="3"/>
      <c r="G654" s="2"/>
      <c r="H654" s="2"/>
      <c r="I654" s="46"/>
      <c r="J654" s="12"/>
      <c r="K654" s="2"/>
      <c r="L654" s="59"/>
    </row>
    <row r="655" spans="1:12" x14ac:dyDescent="0.35">
      <c r="A655" s="45">
        <v>651</v>
      </c>
      <c r="B655" s="2"/>
      <c r="C655" s="2"/>
      <c r="D655" s="2"/>
      <c r="E655" s="3"/>
      <c r="F655" s="3"/>
      <c r="G655" s="2"/>
      <c r="H655" s="2"/>
      <c r="I655" s="46"/>
      <c r="J655" s="12"/>
      <c r="K655" s="2"/>
      <c r="L655" s="59"/>
    </row>
    <row r="656" spans="1:12" x14ac:dyDescent="0.35">
      <c r="A656" s="45">
        <v>652</v>
      </c>
      <c r="B656" s="2"/>
      <c r="C656" s="2"/>
      <c r="D656" s="2"/>
      <c r="E656" s="3"/>
      <c r="F656" s="3"/>
      <c r="G656" s="2"/>
      <c r="H656" s="2"/>
      <c r="I656" s="46"/>
      <c r="J656" s="12"/>
      <c r="K656" s="2"/>
      <c r="L656" s="59"/>
    </row>
    <row r="657" spans="1:12" x14ac:dyDescent="0.35">
      <c r="A657" s="45">
        <v>653</v>
      </c>
      <c r="B657" s="2"/>
      <c r="C657" s="2"/>
      <c r="D657" s="2"/>
      <c r="E657" s="3"/>
      <c r="F657" s="3"/>
      <c r="G657" s="2"/>
      <c r="H657" s="2"/>
      <c r="I657" s="46"/>
      <c r="J657" s="12"/>
      <c r="K657" s="2"/>
      <c r="L657" s="59"/>
    </row>
    <row r="658" spans="1:12" x14ac:dyDescent="0.35">
      <c r="A658" s="45">
        <v>654</v>
      </c>
      <c r="B658" s="2"/>
      <c r="C658" s="2"/>
      <c r="D658" s="2"/>
      <c r="E658" s="3"/>
      <c r="F658" s="3"/>
      <c r="G658" s="2"/>
      <c r="H658" s="2"/>
      <c r="I658" s="46"/>
      <c r="J658" s="12"/>
      <c r="K658" s="2"/>
      <c r="L658" s="59"/>
    </row>
    <row r="659" spans="1:12" x14ac:dyDescent="0.35">
      <c r="A659" s="45">
        <v>655</v>
      </c>
      <c r="B659" s="2"/>
      <c r="C659" s="2"/>
      <c r="D659" s="2"/>
      <c r="E659" s="3"/>
      <c r="F659" s="3"/>
      <c r="G659" s="2"/>
      <c r="H659" s="2"/>
      <c r="I659" s="46"/>
      <c r="J659" s="12"/>
      <c r="K659" s="2"/>
      <c r="L659" s="59"/>
    </row>
    <row r="660" spans="1:12" x14ac:dyDescent="0.35">
      <c r="A660" s="45">
        <v>656</v>
      </c>
      <c r="B660" s="2"/>
      <c r="C660" s="2"/>
      <c r="D660" s="2"/>
      <c r="E660" s="3"/>
      <c r="F660" s="3"/>
      <c r="G660" s="2"/>
      <c r="H660" s="2"/>
      <c r="I660" s="46"/>
      <c r="J660" s="12"/>
      <c r="K660" s="2"/>
      <c r="L660" s="59"/>
    </row>
    <row r="661" spans="1:12" x14ac:dyDescent="0.35">
      <c r="A661" s="45">
        <v>657</v>
      </c>
      <c r="B661" s="2"/>
      <c r="C661" s="2"/>
      <c r="D661" s="2"/>
      <c r="E661" s="3"/>
      <c r="F661" s="3"/>
      <c r="G661" s="2"/>
      <c r="H661" s="2"/>
      <c r="I661" s="46"/>
      <c r="J661" s="12"/>
      <c r="K661" s="2"/>
      <c r="L661" s="59"/>
    </row>
    <row r="662" spans="1:12" x14ac:dyDescent="0.35">
      <c r="A662" s="45">
        <v>658</v>
      </c>
      <c r="B662" s="2"/>
      <c r="C662" s="2"/>
      <c r="D662" s="2"/>
      <c r="E662" s="3"/>
      <c r="F662" s="3"/>
      <c r="G662" s="2"/>
      <c r="H662" s="2"/>
      <c r="I662" s="46"/>
      <c r="J662" s="12"/>
      <c r="K662" s="2"/>
      <c r="L662" s="59"/>
    </row>
    <row r="663" spans="1:12" x14ac:dyDescent="0.35">
      <c r="A663" s="45">
        <v>659</v>
      </c>
      <c r="B663" s="2"/>
      <c r="C663" s="2"/>
      <c r="D663" s="2"/>
      <c r="E663" s="3"/>
      <c r="F663" s="3"/>
      <c r="G663" s="2"/>
      <c r="H663" s="2"/>
      <c r="I663" s="46"/>
      <c r="J663" s="12"/>
      <c r="K663" s="2"/>
      <c r="L663" s="59"/>
    </row>
    <row r="664" spans="1:12" x14ac:dyDescent="0.35">
      <c r="A664" s="45">
        <v>660</v>
      </c>
      <c r="B664" s="2"/>
      <c r="C664" s="2"/>
      <c r="D664" s="2"/>
      <c r="E664" s="3"/>
      <c r="F664" s="3"/>
      <c r="G664" s="2"/>
      <c r="H664" s="2"/>
      <c r="I664" s="46"/>
      <c r="J664" s="12"/>
      <c r="K664" s="2"/>
      <c r="L664" s="59"/>
    </row>
    <row r="665" spans="1:12" x14ac:dyDescent="0.35">
      <c r="A665" s="45">
        <v>661</v>
      </c>
      <c r="B665" s="2"/>
      <c r="C665" s="2"/>
      <c r="D665" s="2"/>
      <c r="E665" s="3"/>
      <c r="F665" s="3"/>
      <c r="G665" s="2"/>
      <c r="H665" s="2"/>
      <c r="I665" s="46"/>
      <c r="J665" s="12"/>
      <c r="K665" s="2"/>
      <c r="L665" s="59"/>
    </row>
    <row r="666" spans="1:12" x14ac:dyDescent="0.35">
      <c r="A666" s="45">
        <v>662</v>
      </c>
      <c r="B666" s="2"/>
      <c r="C666" s="2"/>
      <c r="D666" s="2"/>
      <c r="E666" s="3"/>
      <c r="F666" s="3"/>
      <c r="G666" s="2"/>
      <c r="H666" s="2"/>
      <c r="I666" s="46"/>
      <c r="J666" s="12"/>
      <c r="K666" s="2"/>
      <c r="L666" s="59"/>
    </row>
    <row r="667" spans="1:12" x14ac:dyDescent="0.35">
      <c r="A667" s="45">
        <v>663</v>
      </c>
      <c r="B667" s="2"/>
      <c r="C667" s="2"/>
      <c r="D667" s="2"/>
      <c r="E667" s="3"/>
      <c r="F667" s="3"/>
      <c r="G667" s="2"/>
      <c r="H667" s="2"/>
      <c r="I667" s="46"/>
      <c r="J667" s="12"/>
      <c r="K667" s="2"/>
      <c r="L667" s="59"/>
    </row>
    <row r="668" spans="1:12" x14ac:dyDescent="0.35">
      <c r="A668" s="45">
        <v>664</v>
      </c>
      <c r="B668" s="2"/>
      <c r="C668" s="2"/>
      <c r="D668" s="2"/>
      <c r="E668" s="3"/>
      <c r="F668" s="3"/>
      <c r="G668" s="2"/>
      <c r="H668" s="2"/>
      <c r="I668" s="46"/>
      <c r="J668" s="12"/>
      <c r="K668" s="2"/>
      <c r="L668" s="59"/>
    </row>
    <row r="669" spans="1:12" x14ac:dyDescent="0.35">
      <c r="A669" s="45">
        <v>665</v>
      </c>
      <c r="B669" s="2"/>
      <c r="C669" s="2"/>
      <c r="D669" s="2"/>
      <c r="E669" s="3"/>
      <c r="F669" s="3"/>
      <c r="G669" s="2"/>
      <c r="H669" s="2"/>
      <c r="I669" s="46"/>
      <c r="J669" s="12"/>
      <c r="K669" s="2"/>
      <c r="L669" s="59"/>
    </row>
    <row r="670" spans="1:12" x14ac:dyDescent="0.35">
      <c r="A670" s="45">
        <v>666</v>
      </c>
      <c r="B670" s="2"/>
      <c r="C670" s="2"/>
      <c r="D670" s="2"/>
      <c r="E670" s="3"/>
      <c r="F670" s="3"/>
      <c r="G670" s="2"/>
      <c r="H670" s="2"/>
      <c r="I670" s="46"/>
      <c r="J670" s="12"/>
      <c r="K670" s="2"/>
      <c r="L670" s="59"/>
    </row>
    <row r="671" spans="1:12" x14ac:dyDescent="0.35">
      <c r="A671" s="45">
        <v>667</v>
      </c>
      <c r="B671" s="2"/>
      <c r="C671" s="2"/>
      <c r="D671" s="2"/>
      <c r="E671" s="3"/>
      <c r="F671" s="3"/>
      <c r="G671" s="2"/>
      <c r="H671" s="2"/>
      <c r="I671" s="46"/>
      <c r="J671" s="12"/>
      <c r="K671" s="2"/>
      <c r="L671" s="59"/>
    </row>
    <row r="672" spans="1:12" x14ac:dyDescent="0.35">
      <c r="A672" s="45">
        <v>668</v>
      </c>
      <c r="B672" s="2"/>
      <c r="C672" s="2"/>
      <c r="D672" s="2"/>
      <c r="E672" s="3"/>
      <c r="F672" s="3"/>
      <c r="G672" s="2"/>
      <c r="H672" s="2"/>
      <c r="I672" s="46"/>
      <c r="J672" s="12"/>
      <c r="K672" s="2"/>
      <c r="L672" s="59"/>
    </row>
    <row r="673" spans="1:12" x14ac:dyDescent="0.35">
      <c r="A673" s="45">
        <v>669</v>
      </c>
      <c r="B673" s="2"/>
      <c r="C673" s="2"/>
      <c r="D673" s="2"/>
      <c r="E673" s="3"/>
      <c r="F673" s="3"/>
      <c r="G673" s="2"/>
      <c r="H673" s="2"/>
      <c r="I673" s="46"/>
      <c r="J673" s="12"/>
      <c r="K673" s="2"/>
      <c r="L673" s="59"/>
    </row>
    <row r="674" spans="1:12" x14ac:dyDescent="0.35">
      <c r="A674" s="45">
        <v>670</v>
      </c>
      <c r="B674" s="2"/>
      <c r="C674" s="2"/>
      <c r="D674" s="2"/>
      <c r="E674" s="3"/>
      <c r="F674" s="3"/>
      <c r="G674" s="2"/>
      <c r="H674" s="2"/>
      <c r="I674" s="46"/>
      <c r="J674" s="12"/>
      <c r="K674" s="2"/>
      <c r="L674" s="59"/>
    </row>
    <row r="675" spans="1:12" x14ac:dyDescent="0.35">
      <c r="A675" s="45">
        <v>671</v>
      </c>
      <c r="B675" s="2"/>
      <c r="C675" s="2"/>
      <c r="D675" s="2"/>
      <c r="E675" s="3"/>
      <c r="F675" s="3"/>
      <c r="G675" s="2"/>
      <c r="H675" s="2"/>
      <c r="I675" s="46"/>
      <c r="J675" s="12"/>
      <c r="K675" s="2"/>
      <c r="L675" s="59"/>
    </row>
    <row r="676" spans="1:12" x14ac:dyDescent="0.35">
      <c r="A676" s="45">
        <v>672</v>
      </c>
      <c r="B676" s="2"/>
      <c r="C676" s="2"/>
      <c r="D676" s="2"/>
      <c r="E676" s="3"/>
      <c r="F676" s="3"/>
      <c r="G676" s="2"/>
      <c r="H676" s="2"/>
      <c r="I676" s="46"/>
      <c r="J676" s="12"/>
      <c r="K676" s="2"/>
      <c r="L676" s="59"/>
    </row>
    <row r="677" spans="1:12" x14ac:dyDescent="0.35">
      <c r="A677" s="45">
        <v>673</v>
      </c>
      <c r="B677" s="2"/>
      <c r="C677" s="2"/>
      <c r="D677" s="2"/>
      <c r="E677" s="3"/>
      <c r="F677" s="3"/>
      <c r="G677" s="2"/>
      <c r="H677" s="2"/>
      <c r="I677" s="46"/>
      <c r="J677" s="12"/>
      <c r="K677" s="2"/>
      <c r="L677" s="59"/>
    </row>
    <row r="678" spans="1:12" x14ac:dyDescent="0.35">
      <c r="A678" s="45">
        <v>674</v>
      </c>
      <c r="B678" s="2"/>
      <c r="C678" s="2"/>
      <c r="D678" s="2"/>
      <c r="E678" s="3"/>
      <c r="F678" s="3"/>
      <c r="G678" s="2"/>
      <c r="H678" s="2"/>
      <c r="I678" s="46"/>
      <c r="J678" s="12"/>
      <c r="K678" s="2"/>
      <c r="L678" s="59"/>
    </row>
    <row r="679" spans="1:12" x14ac:dyDescent="0.35">
      <c r="A679" s="45">
        <v>675</v>
      </c>
      <c r="B679" s="2"/>
      <c r="C679" s="2"/>
      <c r="D679" s="2"/>
      <c r="E679" s="3"/>
      <c r="F679" s="3"/>
      <c r="G679" s="2"/>
      <c r="H679" s="2"/>
      <c r="I679" s="46"/>
      <c r="J679" s="12"/>
      <c r="K679" s="2"/>
      <c r="L679" s="59"/>
    </row>
    <row r="680" spans="1:12" x14ac:dyDescent="0.35">
      <c r="A680" s="45">
        <v>676</v>
      </c>
      <c r="B680" s="2"/>
      <c r="C680" s="2"/>
      <c r="D680" s="2"/>
      <c r="E680" s="3"/>
      <c r="F680" s="3"/>
      <c r="G680" s="2"/>
      <c r="H680" s="2"/>
      <c r="I680" s="46"/>
      <c r="J680" s="12"/>
      <c r="K680" s="2"/>
      <c r="L680" s="59"/>
    </row>
    <row r="681" spans="1:12" x14ac:dyDescent="0.35">
      <c r="A681" s="45">
        <v>677</v>
      </c>
      <c r="B681" s="2"/>
      <c r="C681" s="2"/>
      <c r="D681" s="2"/>
      <c r="E681" s="3"/>
      <c r="F681" s="3"/>
      <c r="G681" s="2"/>
      <c r="H681" s="2"/>
      <c r="I681" s="46"/>
      <c r="J681" s="12"/>
      <c r="K681" s="2"/>
      <c r="L681" s="59"/>
    </row>
    <row r="682" spans="1:12" x14ac:dyDescent="0.35">
      <c r="A682" s="45">
        <v>678</v>
      </c>
      <c r="B682" s="2"/>
      <c r="C682" s="2"/>
      <c r="D682" s="2"/>
      <c r="E682" s="3"/>
      <c r="F682" s="3"/>
      <c r="G682" s="2"/>
      <c r="H682" s="2"/>
      <c r="I682" s="46"/>
      <c r="J682" s="12"/>
      <c r="K682" s="2"/>
      <c r="L682" s="59"/>
    </row>
    <row r="683" spans="1:12" x14ac:dyDescent="0.35">
      <c r="A683" s="45">
        <v>679</v>
      </c>
      <c r="B683" s="2"/>
      <c r="C683" s="2"/>
      <c r="D683" s="2"/>
      <c r="E683" s="3"/>
      <c r="F683" s="3"/>
      <c r="G683" s="2"/>
      <c r="H683" s="2"/>
      <c r="I683" s="46"/>
      <c r="J683" s="12"/>
      <c r="K683" s="2"/>
      <c r="L683" s="59"/>
    </row>
    <row r="684" spans="1:12" x14ac:dyDescent="0.35">
      <c r="A684" s="45">
        <v>680</v>
      </c>
      <c r="B684" s="2"/>
      <c r="C684" s="2"/>
      <c r="D684" s="2"/>
      <c r="E684" s="3"/>
      <c r="F684" s="3"/>
      <c r="G684" s="2"/>
      <c r="H684" s="2"/>
      <c r="I684" s="46"/>
      <c r="J684" s="12"/>
      <c r="K684" s="2"/>
      <c r="L684" s="59"/>
    </row>
    <row r="685" spans="1:12" x14ac:dyDescent="0.35">
      <c r="A685" s="45">
        <v>681</v>
      </c>
      <c r="B685" s="2"/>
      <c r="C685" s="2"/>
      <c r="D685" s="2"/>
      <c r="E685" s="3"/>
      <c r="F685" s="3"/>
      <c r="G685" s="2"/>
      <c r="H685" s="2"/>
      <c r="I685" s="46"/>
      <c r="J685" s="12"/>
      <c r="K685" s="2"/>
      <c r="L685" s="59"/>
    </row>
    <row r="686" spans="1:12" x14ac:dyDescent="0.35">
      <c r="A686" s="45">
        <v>682</v>
      </c>
      <c r="B686" s="2"/>
      <c r="C686" s="2"/>
      <c r="D686" s="2"/>
      <c r="E686" s="3"/>
      <c r="F686" s="3"/>
      <c r="G686" s="2"/>
      <c r="H686" s="2"/>
      <c r="I686" s="46"/>
      <c r="J686" s="12"/>
      <c r="K686" s="2"/>
      <c r="L686" s="59"/>
    </row>
    <row r="687" spans="1:12" x14ac:dyDescent="0.35">
      <c r="A687" s="45">
        <v>683</v>
      </c>
      <c r="B687" s="2"/>
      <c r="C687" s="2"/>
      <c r="D687" s="2"/>
      <c r="E687" s="3"/>
      <c r="F687" s="3"/>
      <c r="G687" s="2"/>
      <c r="H687" s="2"/>
      <c r="I687" s="46"/>
      <c r="J687" s="12"/>
      <c r="K687" s="2"/>
      <c r="L687" s="59"/>
    </row>
    <row r="688" spans="1:12" x14ac:dyDescent="0.35">
      <c r="A688" s="45">
        <v>684</v>
      </c>
      <c r="B688" s="2"/>
      <c r="C688" s="2"/>
      <c r="D688" s="2"/>
      <c r="E688" s="3"/>
      <c r="F688" s="3"/>
      <c r="G688" s="2"/>
      <c r="H688" s="2"/>
      <c r="I688" s="46"/>
      <c r="J688" s="12"/>
      <c r="K688" s="2"/>
      <c r="L688" s="59"/>
    </row>
    <row r="689" spans="1:12" x14ac:dyDescent="0.35">
      <c r="A689" s="45">
        <v>685</v>
      </c>
      <c r="B689" s="2"/>
      <c r="C689" s="2"/>
      <c r="D689" s="2"/>
      <c r="E689" s="3"/>
      <c r="F689" s="3"/>
      <c r="G689" s="2"/>
      <c r="H689" s="2"/>
      <c r="I689" s="46"/>
      <c r="J689" s="12"/>
      <c r="K689" s="2"/>
      <c r="L689" s="59"/>
    </row>
    <row r="690" spans="1:12" x14ac:dyDescent="0.35">
      <c r="A690" s="45">
        <v>686</v>
      </c>
      <c r="B690" s="2"/>
      <c r="C690" s="2"/>
      <c r="D690" s="2"/>
      <c r="E690" s="3"/>
      <c r="F690" s="3"/>
      <c r="G690" s="2"/>
      <c r="H690" s="2"/>
      <c r="I690" s="46"/>
      <c r="J690" s="12"/>
      <c r="K690" s="2"/>
      <c r="L690" s="59"/>
    </row>
    <row r="691" spans="1:12" x14ac:dyDescent="0.35">
      <c r="A691" s="45">
        <v>687</v>
      </c>
      <c r="B691" s="2"/>
      <c r="C691" s="2"/>
      <c r="D691" s="2"/>
      <c r="E691" s="3"/>
      <c r="F691" s="3"/>
      <c r="G691" s="2"/>
      <c r="H691" s="2"/>
      <c r="I691" s="46"/>
      <c r="J691" s="12"/>
      <c r="K691" s="2"/>
      <c r="L691" s="59"/>
    </row>
    <row r="692" spans="1:12" x14ac:dyDescent="0.35">
      <c r="A692" s="45">
        <v>688</v>
      </c>
      <c r="B692" s="2"/>
      <c r="C692" s="2"/>
      <c r="D692" s="2"/>
      <c r="E692" s="3"/>
      <c r="F692" s="3"/>
      <c r="G692" s="2"/>
      <c r="H692" s="2"/>
      <c r="I692" s="46"/>
      <c r="J692" s="12"/>
      <c r="K692" s="2"/>
      <c r="L692" s="59"/>
    </row>
    <row r="693" spans="1:12" x14ac:dyDescent="0.35">
      <c r="A693" s="45">
        <v>689</v>
      </c>
      <c r="B693" s="2"/>
      <c r="C693" s="2"/>
      <c r="D693" s="2"/>
      <c r="E693" s="3"/>
      <c r="F693" s="3"/>
      <c r="G693" s="2"/>
      <c r="H693" s="2"/>
      <c r="I693" s="46"/>
      <c r="J693" s="12"/>
      <c r="K693" s="2"/>
      <c r="L693" s="59"/>
    </row>
    <row r="694" spans="1:12" x14ac:dyDescent="0.35">
      <c r="A694" s="45">
        <v>690</v>
      </c>
      <c r="B694" s="2"/>
      <c r="C694" s="2"/>
      <c r="D694" s="2"/>
      <c r="E694" s="3"/>
      <c r="F694" s="3"/>
      <c r="G694" s="2"/>
      <c r="H694" s="2"/>
      <c r="I694" s="46"/>
      <c r="J694" s="12"/>
      <c r="K694" s="2"/>
      <c r="L694" s="59"/>
    </row>
    <row r="695" spans="1:12" x14ac:dyDescent="0.35">
      <c r="A695" s="45">
        <v>691</v>
      </c>
      <c r="B695" s="2"/>
      <c r="C695" s="2"/>
      <c r="D695" s="2"/>
      <c r="E695" s="3"/>
      <c r="F695" s="3"/>
      <c r="G695" s="2"/>
      <c r="H695" s="2"/>
      <c r="I695" s="46"/>
      <c r="J695" s="12"/>
      <c r="K695" s="2"/>
      <c r="L695" s="59"/>
    </row>
    <row r="696" spans="1:12" x14ac:dyDescent="0.35">
      <c r="A696" s="45">
        <v>692</v>
      </c>
      <c r="B696" s="2"/>
      <c r="C696" s="2"/>
      <c r="D696" s="2"/>
      <c r="E696" s="3"/>
      <c r="F696" s="3"/>
      <c r="G696" s="2"/>
      <c r="H696" s="2"/>
      <c r="I696" s="46"/>
      <c r="J696" s="12"/>
      <c r="K696" s="2"/>
      <c r="L696" s="59"/>
    </row>
    <row r="697" spans="1:12" x14ac:dyDescent="0.35">
      <c r="A697" s="45">
        <v>693</v>
      </c>
      <c r="B697" s="2"/>
      <c r="C697" s="2"/>
      <c r="D697" s="2"/>
      <c r="E697" s="3"/>
      <c r="F697" s="3"/>
      <c r="G697" s="2"/>
      <c r="H697" s="2"/>
      <c r="I697" s="46"/>
      <c r="J697" s="12"/>
      <c r="K697" s="2"/>
      <c r="L697" s="59"/>
    </row>
    <row r="698" spans="1:12" x14ac:dyDescent="0.35">
      <c r="A698" s="45">
        <v>694</v>
      </c>
      <c r="B698" s="2"/>
      <c r="C698" s="2"/>
      <c r="D698" s="2"/>
      <c r="E698" s="3"/>
      <c r="F698" s="3"/>
      <c r="G698" s="2"/>
      <c r="H698" s="2"/>
      <c r="I698" s="46"/>
      <c r="J698" s="12"/>
      <c r="K698" s="2"/>
      <c r="L698" s="59"/>
    </row>
    <row r="699" spans="1:12" x14ac:dyDescent="0.35">
      <c r="A699" s="45">
        <v>695</v>
      </c>
      <c r="B699" s="2"/>
      <c r="C699" s="2"/>
      <c r="D699" s="2"/>
      <c r="E699" s="3"/>
      <c r="F699" s="3"/>
      <c r="G699" s="2"/>
      <c r="H699" s="2"/>
      <c r="I699" s="46"/>
      <c r="J699" s="12"/>
      <c r="K699" s="2"/>
      <c r="L699" s="59"/>
    </row>
    <row r="700" spans="1:12" x14ac:dyDescent="0.35">
      <c r="A700" s="45">
        <v>696</v>
      </c>
      <c r="B700" s="2"/>
      <c r="C700" s="2"/>
      <c r="D700" s="2"/>
      <c r="E700" s="3"/>
      <c r="F700" s="3"/>
      <c r="G700" s="2"/>
      <c r="H700" s="2"/>
      <c r="I700" s="46"/>
      <c r="J700" s="12"/>
      <c r="K700" s="2"/>
      <c r="L700" s="59"/>
    </row>
    <row r="701" spans="1:12" x14ac:dyDescent="0.35">
      <c r="A701" s="45">
        <v>697</v>
      </c>
      <c r="B701" s="2"/>
      <c r="C701" s="2"/>
      <c r="D701" s="2"/>
      <c r="E701" s="3"/>
      <c r="F701" s="3"/>
      <c r="G701" s="2"/>
      <c r="H701" s="2"/>
      <c r="I701" s="46"/>
      <c r="J701" s="12"/>
      <c r="K701" s="2"/>
      <c r="L701" s="59"/>
    </row>
    <row r="702" spans="1:12" x14ac:dyDescent="0.35">
      <c r="A702" s="45">
        <v>698</v>
      </c>
      <c r="B702" s="2"/>
      <c r="C702" s="2"/>
      <c r="D702" s="2"/>
      <c r="E702" s="3"/>
      <c r="F702" s="3"/>
      <c r="G702" s="2"/>
      <c r="H702" s="2"/>
      <c r="I702" s="46"/>
      <c r="J702" s="12"/>
      <c r="K702" s="2"/>
      <c r="L702" s="59"/>
    </row>
    <row r="703" spans="1:12" x14ac:dyDescent="0.35">
      <c r="A703" s="45">
        <v>699</v>
      </c>
      <c r="B703" s="2"/>
      <c r="C703" s="2"/>
      <c r="D703" s="2"/>
      <c r="E703" s="3"/>
      <c r="F703" s="3"/>
      <c r="G703" s="2"/>
      <c r="H703" s="2"/>
      <c r="I703" s="46"/>
      <c r="J703" s="12"/>
      <c r="K703" s="2"/>
      <c r="L703" s="59"/>
    </row>
    <row r="704" spans="1:12" x14ac:dyDescent="0.35">
      <c r="A704" s="45">
        <v>700</v>
      </c>
      <c r="B704" s="2"/>
      <c r="C704" s="2"/>
      <c r="D704" s="2"/>
      <c r="E704" s="3"/>
      <c r="F704" s="3"/>
      <c r="G704" s="2"/>
      <c r="H704" s="2"/>
      <c r="I704" s="46"/>
      <c r="J704" s="12"/>
      <c r="K704" s="2"/>
      <c r="L704" s="59"/>
    </row>
    <row r="705" spans="1:12" x14ac:dyDescent="0.35">
      <c r="A705" s="45">
        <v>701</v>
      </c>
      <c r="B705" s="2"/>
      <c r="C705" s="2"/>
      <c r="D705" s="2"/>
      <c r="E705" s="3"/>
      <c r="F705" s="3"/>
      <c r="G705" s="2"/>
      <c r="H705" s="2"/>
      <c r="I705" s="46"/>
      <c r="J705" s="12"/>
      <c r="K705" s="2"/>
      <c r="L705" s="59"/>
    </row>
    <row r="706" spans="1:12" x14ac:dyDescent="0.35">
      <c r="A706" s="45">
        <v>702</v>
      </c>
      <c r="B706" s="2"/>
      <c r="C706" s="2"/>
      <c r="D706" s="2"/>
      <c r="E706" s="3"/>
      <c r="F706" s="3"/>
      <c r="G706" s="2"/>
      <c r="H706" s="2"/>
      <c r="I706" s="46"/>
      <c r="J706" s="12"/>
      <c r="K706" s="2"/>
      <c r="L706" s="59"/>
    </row>
    <row r="707" spans="1:12" x14ac:dyDescent="0.35">
      <c r="A707" s="45">
        <v>703</v>
      </c>
      <c r="B707" s="2"/>
      <c r="C707" s="2"/>
      <c r="D707" s="2"/>
      <c r="E707" s="3"/>
      <c r="F707" s="3"/>
      <c r="G707" s="2"/>
      <c r="H707" s="2"/>
      <c r="I707" s="46"/>
      <c r="J707" s="12"/>
      <c r="K707" s="2"/>
      <c r="L707" s="59"/>
    </row>
    <row r="708" spans="1:12" x14ac:dyDescent="0.35">
      <c r="A708" s="45">
        <v>704</v>
      </c>
      <c r="B708" s="2"/>
      <c r="C708" s="2"/>
      <c r="D708" s="2"/>
      <c r="E708" s="3"/>
      <c r="F708" s="3"/>
      <c r="G708" s="2"/>
      <c r="H708" s="2"/>
      <c r="I708" s="46"/>
      <c r="J708" s="12"/>
      <c r="K708" s="2"/>
      <c r="L708" s="59"/>
    </row>
    <row r="709" spans="1:12" x14ac:dyDescent="0.35">
      <c r="A709" s="45">
        <v>705</v>
      </c>
      <c r="B709" s="2"/>
      <c r="C709" s="2"/>
      <c r="D709" s="2"/>
      <c r="E709" s="3"/>
      <c r="F709" s="3"/>
      <c r="G709" s="2"/>
      <c r="H709" s="2"/>
      <c r="I709" s="46"/>
      <c r="J709" s="12"/>
      <c r="K709" s="2"/>
      <c r="L709" s="59"/>
    </row>
    <row r="710" spans="1:12" x14ac:dyDescent="0.35">
      <c r="A710" s="45">
        <v>706</v>
      </c>
      <c r="B710" s="2"/>
      <c r="C710" s="2"/>
      <c r="D710" s="2"/>
      <c r="E710" s="3"/>
      <c r="F710" s="3"/>
      <c r="G710" s="2"/>
      <c r="H710" s="2"/>
      <c r="I710" s="46"/>
      <c r="J710" s="12"/>
      <c r="K710" s="2"/>
      <c r="L710" s="59"/>
    </row>
    <row r="711" spans="1:12" x14ac:dyDescent="0.35">
      <c r="A711" s="45">
        <v>707</v>
      </c>
      <c r="B711" s="2"/>
      <c r="C711" s="2"/>
      <c r="D711" s="2"/>
      <c r="E711" s="3"/>
      <c r="F711" s="3"/>
      <c r="G711" s="2"/>
      <c r="H711" s="2"/>
      <c r="I711" s="46"/>
      <c r="J711" s="12"/>
      <c r="K711" s="2"/>
      <c r="L711" s="59"/>
    </row>
    <row r="712" spans="1:12" x14ac:dyDescent="0.35">
      <c r="A712" s="45">
        <v>708</v>
      </c>
      <c r="B712" s="2"/>
      <c r="C712" s="2"/>
      <c r="D712" s="2"/>
      <c r="E712" s="3"/>
      <c r="F712" s="3"/>
      <c r="G712" s="2"/>
      <c r="H712" s="2"/>
      <c r="I712" s="46"/>
      <c r="J712" s="12"/>
      <c r="K712" s="2"/>
      <c r="L712" s="59"/>
    </row>
    <row r="713" spans="1:12" x14ac:dyDescent="0.35">
      <c r="A713" s="45">
        <v>709</v>
      </c>
      <c r="B713" s="2"/>
      <c r="C713" s="2"/>
      <c r="D713" s="2"/>
      <c r="E713" s="3"/>
      <c r="F713" s="3"/>
      <c r="G713" s="2"/>
      <c r="H713" s="2"/>
      <c r="I713" s="46"/>
      <c r="J713" s="12"/>
      <c r="K713" s="2"/>
      <c r="L713" s="59"/>
    </row>
    <row r="714" spans="1:12" x14ac:dyDescent="0.35">
      <c r="A714" s="45">
        <v>710</v>
      </c>
      <c r="B714" s="2"/>
      <c r="C714" s="2"/>
      <c r="D714" s="2"/>
      <c r="E714" s="3"/>
      <c r="F714" s="3"/>
      <c r="G714" s="2"/>
      <c r="H714" s="2"/>
      <c r="I714" s="46"/>
      <c r="J714" s="12"/>
      <c r="K714" s="2"/>
      <c r="L714" s="59"/>
    </row>
    <row r="715" spans="1:12" x14ac:dyDescent="0.35">
      <c r="A715" s="45">
        <v>711</v>
      </c>
      <c r="B715" s="2"/>
      <c r="C715" s="2"/>
      <c r="D715" s="2"/>
      <c r="E715" s="3"/>
      <c r="F715" s="3"/>
      <c r="G715" s="2"/>
      <c r="H715" s="2"/>
      <c r="I715" s="46"/>
      <c r="J715" s="12"/>
      <c r="K715" s="2"/>
      <c r="L715" s="59"/>
    </row>
    <row r="716" spans="1:12" x14ac:dyDescent="0.35">
      <c r="A716" s="45">
        <v>712</v>
      </c>
      <c r="B716" s="2"/>
      <c r="C716" s="2"/>
      <c r="D716" s="2"/>
      <c r="E716" s="3"/>
      <c r="F716" s="3"/>
      <c r="G716" s="2"/>
      <c r="H716" s="2"/>
      <c r="I716" s="46"/>
      <c r="J716" s="12"/>
      <c r="K716" s="2"/>
      <c r="L716" s="59"/>
    </row>
    <row r="717" spans="1:12" x14ac:dyDescent="0.35">
      <c r="A717" s="45">
        <v>713</v>
      </c>
      <c r="B717" s="2"/>
      <c r="C717" s="2"/>
      <c r="D717" s="2"/>
      <c r="E717" s="3"/>
      <c r="F717" s="3"/>
      <c r="G717" s="2"/>
      <c r="H717" s="2"/>
      <c r="I717" s="46"/>
      <c r="J717" s="12"/>
      <c r="K717" s="2"/>
      <c r="L717" s="59"/>
    </row>
    <row r="718" spans="1:12" x14ac:dyDescent="0.35">
      <c r="A718" s="45">
        <v>714</v>
      </c>
      <c r="B718" s="2"/>
      <c r="C718" s="2"/>
      <c r="D718" s="2"/>
      <c r="E718" s="3"/>
      <c r="F718" s="3"/>
      <c r="G718" s="2"/>
      <c r="H718" s="2"/>
      <c r="I718" s="46"/>
      <c r="J718" s="12"/>
      <c r="K718" s="2"/>
      <c r="L718" s="59"/>
    </row>
    <row r="719" spans="1:12" x14ac:dyDescent="0.35">
      <c r="A719" s="45">
        <v>715</v>
      </c>
      <c r="B719" s="2"/>
      <c r="C719" s="2"/>
      <c r="D719" s="2"/>
      <c r="E719" s="3"/>
      <c r="F719" s="3"/>
      <c r="G719" s="2"/>
      <c r="H719" s="2"/>
      <c r="I719" s="46"/>
      <c r="J719" s="12"/>
      <c r="K719" s="2"/>
      <c r="L719" s="59"/>
    </row>
    <row r="720" spans="1:12" x14ac:dyDescent="0.35">
      <c r="A720" s="45">
        <v>716</v>
      </c>
      <c r="B720" s="2"/>
      <c r="C720" s="2"/>
      <c r="D720" s="2"/>
      <c r="E720" s="3"/>
      <c r="F720" s="3"/>
      <c r="G720" s="2"/>
      <c r="H720" s="2"/>
      <c r="I720" s="46"/>
      <c r="J720" s="12"/>
      <c r="K720" s="2"/>
      <c r="L720" s="59"/>
    </row>
    <row r="721" spans="1:12" x14ac:dyDescent="0.35">
      <c r="A721" s="45">
        <v>717</v>
      </c>
      <c r="B721" s="2"/>
      <c r="C721" s="2"/>
      <c r="D721" s="2"/>
      <c r="E721" s="3"/>
      <c r="F721" s="3"/>
      <c r="G721" s="2"/>
      <c r="H721" s="2"/>
      <c r="I721" s="46"/>
      <c r="J721" s="12"/>
      <c r="K721" s="2"/>
      <c r="L721" s="59"/>
    </row>
    <row r="722" spans="1:12" x14ac:dyDescent="0.35">
      <c r="A722" s="45">
        <v>718</v>
      </c>
      <c r="B722" s="2"/>
      <c r="C722" s="2"/>
      <c r="D722" s="2"/>
      <c r="E722" s="3"/>
      <c r="F722" s="3"/>
      <c r="G722" s="2"/>
      <c r="H722" s="2"/>
      <c r="I722" s="46"/>
      <c r="J722" s="12"/>
      <c r="K722" s="2"/>
      <c r="L722" s="59"/>
    </row>
    <row r="723" spans="1:12" x14ac:dyDescent="0.35">
      <c r="A723" s="45">
        <v>719</v>
      </c>
      <c r="B723" s="2"/>
      <c r="C723" s="2"/>
      <c r="D723" s="2"/>
      <c r="E723" s="3"/>
      <c r="F723" s="3"/>
      <c r="G723" s="2"/>
      <c r="H723" s="2"/>
      <c r="I723" s="46"/>
      <c r="J723" s="12"/>
      <c r="K723" s="2"/>
      <c r="L723" s="59"/>
    </row>
    <row r="724" spans="1:12" x14ac:dyDescent="0.35">
      <c r="A724" s="45">
        <v>720</v>
      </c>
      <c r="B724" s="2"/>
      <c r="C724" s="2"/>
      <c r="D724" s="2"/>
      <c r="E724" s="3"/>
      <c r="F724" s="3"/>
      <c r="G724" s="2"/>
      <c r="H724" s="2"/>
      <c r="I724" s="46"/>
      <c r="J724" s="12"/>
      <c r="K724" s="2"/>
      <c r="L724" s="59"/>
    </row>
    <row r="725" spans="1:12" x14ac:dyDescent="0.35">
      <c r="A725" s="45">
        <v>721</v>
      </c>
      <c r="B725" s="2"/>
      <c r="C725" s="2"/>
      <c r="D725" s="2"/>
      <c r="E725" s="3"/>
      <c r="F725" s="3"/>
      <c r="G725" s="2"/>
      <c r="H725" s="2"/>
      <c r="I725" s="46"/>
      <c r="J725" s="12"/>
      <c r="K725" s="2"/>
      <c r="L725" s="59"/>
    </row>
    <row r="726" spans="1:12" x14ac:dyDescent="0.35">
      <c r="A726" s="45">
        <v>722</v>
      </c>
      <c r="B726" s="2"/>
      <c r="C726" s="2"/>
      <c r="D726" s="2"/>
      <c r="E726" s="3"/>
      <c r="F726" s="3"/>
      <c r="G726" s="2"/>
      <c r="H726" s="2"/>
      <c r="I726" s="46"/>
      <c r="J726" s="12"/>
      <c r="K726" s="2"/>
      <c r="L726" s="59"/>
    </row>
    <row r="727" spans="1:12" x14ac:dyDescent="0.35">
      <c r="A727" s="45">
        <v>723</v>
      </c>
      <c r="B727" s="2"/>
      <c r="C727" s="2"/>
      <c r="D727" s="2"/>
      <c r="E727" s="3"/>
      <c r="F727" s="3"/>
      <c r="G727" s="2"/>
      <c r="H727" s="2"/>
      <c r="I727" s="46"/>
      <c r="J727" s="12"/>
      <c r="K727" s="2"/>
      <c r="L727" s="59"/>
    </row>
    <row r="728" spans="1:12" x14ac:dyDescent="0.35">
      <c r="A728" s="45">
        <v>724</v>
      </c>
      <c r="B728" s="2"/>
      <c r="C728" s="2"/>
      <c r="D728" s="2"/>
      <c r="E728" s="3"/>
      <c r="F728" s="3"/>
      <c r="G728" s="2"/>
      <c r="H728" s="2"/>
      <c r="I728" s="46"/>
      <c r="J728" s="12"/>
      <c r="K728" s="2"/>
      <c r="L728" s="59"/>
    </row>
    <row r="729" spans="1:12" x14ac:dyDescent="0.35">
      <c r="A729" s="45">
        <v>725</v>
      </c>
      <c r="B729" s="2"/>
      <c r="C729" s="2"/>
      <c r="D729" s="2"/>
      <c r="E729" s="3"/>
      <c r="F729" s="3"/>
      <c r="G729" s="2"/>
      <c r="H729" s="2"/>
      <c r="I729" s="46"/>
      <c r="J729" s="12"/>
      <c r="K729" s="2"/>
      <c r="L729" s="59"/>
    </row>
    <row r="730" spans="1:12" x14ac:dyDescent="0.35">
      <c r="A730" s="45">
        <v>726</v>
      </c>
      <c r="B730" s="2"/>
      <c r="C730" s="2"/>
      <c r="D730" s="2"/>
      <c r="E730" s="3"/>
      <c r="F730" s="3"/>
      <c r="G730" s="2"/>
      <c r="H730" s="2"/>
      <c r="I730" s="46"/>
      <c r="J730" s="12"/>
      <c r="K730" s="2"/>
      <c r="L730" s="59"/>
    </row>
    <row r="731" spans="1:12" x14ac:dyDescent="0.35">
      <c r="A731" s="45">
        <v>727</v>
      </c>
      <c r="B731" s="2"/>
      <c r="C731" s="2"/>
      <c r="D731" s="2"/>
      <c r="E731" s="3"/>
      <c r="F731" s="3"/>
      <c r="G731" s="2"/>
      <c r="H731" s="2"/>
      <c r="I731" s="46"/>
      <c r="J731" s="12"/>
      <c r="K731" s="2"/>
      <c r="L731" s="59"/>
    </row>
    <row r="732" spans="1:12" x14ac:dyDescent="0.35">
      <c r="A732" s="45">
        <v>728</v>
      </c>
      <c r="B732" s="2"/>
      <c r="C732" s="2"/>
      <c r="D732" s="2"/>
      <c r="E732" s="3"/>
      <c r="F732" s="3"/>
      <c r="G732" s="2"/>
      <c r="H732" s="2"/>
      <c r="I732" s="46"/>
      <c r="J732" s="12"/>
      <c r="K732" s="2"/>
      <c r="L732" s="59"/>
    </row>
    <row r="733" spans="1:12" x14ac:dyDescent="0.35">
      <c r="A733" s="45">
        <v>729</v>
      </c>
      <c r="B733" s="2"/>
      <c r="C733" s="2"/>
      <c r="D733" s="2"/>
      <c r="E733" s="3"/>
      <c r="F733" s="3"/>
      <c r="G733" s="2"/>
      <c r="H733" s="2"/>
      <c r="I733" s="46"/>
      <c r="J733" s="12"/>
      <c r="K733" s="2"/>
      <c r="L733" s="59"/>
    </row>
    <row r="734" spans="1:12" x14ac:dyDescent="0.35">
      <c r="A734" s="45">
        <v>730</v>
      </c>
      <c r="B734" s="2"/>
      <c r="C734" s="2"/>
      <c r="D734" s="2"/>
      <c r="E734" s="3"/>
      <c r="F734" s="3"/>
      <c r="G734" s="2"/>
      <c r="H734" s="2"/>
      <c r="I734" s="46"/>
      <c r="J734" s="12"/>
      <c r="K734" s="2"/>
      <c r="L734" s="59"/>
    </row>
    <row r="735" spans="1:12" x14ac:dyDescent="0.35">
      <c r="A735" s="45">
        <v>731</v>
      </c>
      <c r="B735" s="2"/>
      <c r="C735" s="2"/>
      <c r="D735" s="2"/>
      <c r="E735" s="3"/>
      <c r="F735" s="3"/>
      <c r="G735" s="2"/>
      <c r="H735" s="2"/>
      <c r="I735" s="46"/>
      <c r="J735" s="12"/>
      <c r="K735" s="2"/>
      <c r="L735" s="59"/>
    </row>
    <row r="736" spans="1:12" x14ac:dyDescent="0.35">
      <c r="A736" s="45">
        <v>732</v>
      </c>
      <c r="B736" s="2"/>
      <c r="C736" s="2"/>
      <c r="D736" s="2"/>
      <c r="E736" s="3"/>
      <c r="F736" s="3"/>
      <c r="G736" s="2"/>
      <c r="H736" s="2"/>
      <c r="I736" s="46"/>
      <c r="J736" s="12"/>
      <c r="K736" s="2"/>
      <c r="L736" s="59"/>
    </row>
    <row r="737" spans="1:12" x14ac:dyDescent="0.35">
      <c r="A737" s="45">
        <v>733</v>
      </c>
      <c r="B737" s="2"/>
      <c r="C737" s="2"/>
      <c r="D737" s="2"/>
      <c r="E737" s="3"/>
      <c r="F737" s="3"/>
      <c r="G737" s="2"/>
      <c r="H737" s="2"/>
      <c r="I737" s="46"/>
      <c r="J737" s="12"/>
      <c r="K737" s="2"/>
      <c r="L737" s="59"/>
    </row>
    <row r="738" spans="1:12" x14ac:dyDescent="0.35">
      <c r="A738" s="45">
        <v>734</v>
      </c>
      <c r="B738" s="2"/>
      <c r="C738" s="2"/>
      <c r="D738" s="2"/>
      <c r="E738" s="3"/>
      <c r="F738" s="3"/>
      <c r="G738" s="2"/>
      <c r="H738" s="2"/>
      <c r="I738" s="46"/>
      <c r="J738" s="12"/>
      <c r="K738" s="2"/>
      <c r="L738" s="59"/>
    </row>
    <row r="739" spans="1:12" x14ac:dyDescent="0.35">
      <c r="A739" s="45">
        <v>735</v>
      </c>
      <c r="B739" s="2"/>
      <c r="C739" s="2"/>
      <c r="D739" s="2"/>
      <c r="E739" s="3"/>
      <c r="F739" s="3"/>
      <c r="G739" s="2"/>
      <c r="H739" s="2"/>
      <c r="I739" s="46"/>
      <c r="J739" s="12"/>
      <c r="K739" s="2"/>
      <c r="L739" s="59"/>
    </row>
    <row r="740" spans="1:12" x14ac:dyDescent="0.35">
      <c r="A740" s="45">
        <v>736</v>
      </c>
      <c r="B740" s="2"/>
      <c r="C740" s="2"/>
      <c r="D740" s="2"/>
      <c r="E740" s="3"/>
      <c r="F740" s="3"/>
      <c r="G740" s="2"/>
      <c r="H740" s="2"/>
      <c r="I740" s="46"/>
      <c r="J740" s="12"/>
      <c r="K740" s="2"/>
      <c r="L740" s="59"/>
    </row>
    <row r="741" spans="1:12" x14ac:dyDescent="0.35">
      <c r="A741" s="45">
        <v>737</v>
      </c>
      <c r="B741" s="2"/>
      <c r="C741" s="2"/>
      <c r="D741" s="2"/>
      <c r="E741" s="3"/>
      <c r="F741" s="3"/>
      <c r="G741" s="2"/>
      <c r="H741" s="2"/>
      <c r="I741" s="46"/>
      <c r="J741" s="12"/>
      <c r="K741" s="2"/>
      <c r="L741" s="59"/>
    </row>
    <row r="742" spans="1:12" x14ac:dyDescent="0.35">
      <c r="A742" s="45">
        <v>738</v>
      </c>
      <c r="B742" s="2"/>
      <c r="C742" s="2"/>
      <c r="D742" s="2"/>
      <c r="E742" s="3"/>
      <c r="F742" s="3"/>
      <c r="G742" s="2"/>
      <c r="H742" s="2"/>
      <c r="I742" s="46"/>
      <c r="J742" s="12"/>
      <c r="K742" s="2"/>
      <c r="L742" s="59"/>
    </row>
    <row r="743" spans="1:12" x14ac:dyDescent="0.35">
      <c r="A743" s="45">
        <v>739</v>
      </c>
      <c r="B743" s="2"/>
      <c r="C743" s="2"/>
      <c r="D743" s="2"/>
      <c r="E743" s="3"/>
      <c r="F743" s="3"/>
      <c r="G743" s="2"/>
      <c r="H743" s="2"/>
      <c r="I743" s="46"/>
      <c r="J743" s="12"/>
      <c r="K743" s="2"/>
      <c r="L743" s="59"/>
    </row>
    <row r="744" spans="1:12" x14ac:dyDescent="0.35">
      <c r="A744" s="45">
        <v>740</v>
      </c>
      <c r="B744" s="2"/>
      <c r="C744" s="2"/>
      <c r="D744" s="2"/>
      <c r="E744" s="3"/>
      <c r="F744" s="3"/>
      <c r="G744" s="2"/>
      <c r="H744" s="2"/>
      <c r="I744" s="46"/>
      <c r="J744" s="12"/>
      <c r="K744" s="2"/>
      <c r="L744" s="59"/>
    </row>
    <row r="745" spans="1:12" x14ac:dyDescent="0.35">
      <c r="A745" s="45">
        <v>741</v>
      </c>
      <c r="B745" s="2"/>
      <c r="C745" s="2"/>
      <c r="D745" s="2"/>
      <c r="E745" s="3"/>
      <c r="F745" s="3"/>
      <c r="G745" s="2"/>
      <c r="H745" s="2"/>
      <c r="I745" s="46"/>
      <c r="J745" s="12"/>
      <c r="K745" s="2"/>
      <c r="L745" s="59"/>
    </row>
    <row r="746" spans="1:12" x14ac:dyDescent="0.35">
      <c r="A746" s="45">
        <v>742</v>
      </c>
      <c r="B746" s="2"/>
      <c r="C746" s="2"/>
      <c r="D746" s="2"/>
      <c r="E746" s="3"/>
      <c r="F746" s="3"/>
      <c r="G746" s="2"/>
      <c r="H746" s="2"/>
      <c r="I746" s="46"/>
      <c r="J746" s="12"/>
      <c r="K746" s="2"/>
      <c r="L746" s="59"/>
    </row>
    <row r="747" spans="1:12" x14ac:dyDescent="0.35">
      <c r="A747" s="45">
        <v>743</v>
      </c>
      <c r="B747" s="2"/>
      <c r="C747" s="2"/>
      <c r="D747" s="2"/>
      <c r="E747" s="3"/>
      <c r="F747" s="3"/>
      <c r="G747" s="2"/>
      <c r="H747" s="2"/>
      <c r="I747" s="46"/>
      <c r="J747" s="12"/>
      <c r="K747" s="2"/>
      <c r="L747" s="59"/>
    </row>
    <row r="748" spans="1:12" x14ac:dyDescent="0.35">
      <c r="A748" s="45">
        <v>744</v>
      </c>
      <c r="B748" s="2"/>
      <c r="C748" s="2"/>
      <c r="D748" s="2"/>
      <c r="E748" s="3"/>
      <c r="F748" s="3"/>
      <c r="G748" s="2"/>
      <c r="H748" s="2"/>
      <c r="I748" s="46"/>
      <c r="J748" s="12"/>
      <c r="K748" s="2"/>
      <c r="L748" s="59"/>
    </row>
    <row r="749" spans="1:12" x14ac:dyDescent="0.35">
      <c r="A749" s="45">
        <v>745</v>
      </c>
      <c r="B749" s="2"/>
      <c r="C749" s="2"/>
      <c r="D749" s="2"/>
      <c r="E749" s="3"/>
      <c r="F749" s="3"/>
      <c r="G749" s="2"/>
      <c r="H749" s="2"/>
      <c r="I749" s="46"/>
      <c r="J749" s="12"/>
      <c r="K749" s="2"/>
      <c r="L749" s="59"/>
    </row>
    <row r="750" spans="1:12" x14ac:dyDescent="0.35">
      <c r="A750" s="45">
        <v>746</v>
      </c>
      <c r="B750" s="2"/>
      <c r="C750" s="2"/>
      <c r="D750" s="2"/>
      <c r="E750" s="3"/>
      <c r="F750" s="3"/>
      <c r="G750" s="2"/>
      <c r="H750" s="2"/>
      <c r="I750" s="46"/>
      <c r="J750" s="12"/>
      <c r="K750" s="2"/>
      <c r="L750" s="59"/>
    </row>
    <row r="751" spans="1:12" x14ac:dyDescent="0.35">
      <c r="A751" s="45">
        <v>747</v>
      </c>
      <c r="B751" s="2"/>
      <c r="C751" s="2"/>
      <c r="D751" s="2"/>
      <c r="E751" s="3"/>
      <c r="F751" s="3"/>
      <c r="G751" s="2"/>
      <c r="H751" s="2"/>
      <c r="I751" s="46"/>
      <c r="J751" s="12"/>
      <c r="K751" s="2"/>
      <c r="L751" s="59"/>
    </row>
    <row r="752" spans="1:12" x14ac:dyDescent="0.35">
      <c r="A752" s="45">
        <v>748</v>
      </c>
      <c r="B752" s="2"/>
      <c r="C752" s="2"/>
      <c r="D752" s="2"/>
      <c r="E752" s="3"/>
      <c r="F752" s="3"/>
      <c r="G752" s="2"/>
      <c r="H752" s="2"/>
      <c r="I752" s="46"/>
      <c r="J752" s="12"/>
      <c r="K752" s="2"/>
      <c r="L752" s="59"/>
    </row>
    <row r="753" spans="1:12" x14ac:dyDescent="0.35">
      <c r="A753" s="45">
        <v>749</v>
      </c>
      <c r="B753" s="2"/>
      <c r="C753" s="2"/>
      <c r="D753" s="2"/>
      <c r="E753" s="3"/>
      <c r="F753" s="3"/>
      <c r="G753" s="2"/>
      <c r="H753" s="2"/>
      <c r="I753" s="46"/>
      <c r="J753" s="12"/>
      <c r="K753" s="2"/>
      <c r="L753" s="59"/>
    </row>
    <row r="754" spans="1:12" x14ac:dyDescent="0.35">
      <c r="A754" s="45">
        <v>750</v>
      </c>
      <c r="B754" s="2"/>
      <c r="C754" s="2"/>
      <c r="D754" s="2"/>
      <c r="E754" s="3"/>
      <c r="F754" s="3"/>
      <c r="G754" s="2"/>
      <c r="H754" s="2"/>
      <c r="I754" s="46"/>
      <c r="J754" s="12"/>
      <c r="K754" s="2"/>
      <c r="L754" s="59"/>
    </row>
    <row r="755" spans="1:12" x14ac:dyDescent="0.35">
      <c r="A755" s="45">
        <v>751</v>
      </c>
      <c r="B755" s="2"/>
      <c r="C755" s="2"/>
      <c r="D755" s="2"/>
      <c r="E755" s="3"/>
      <c r="F755" s="3"/>
      <c r="G755" s="2"/>
      <c r="H755" s="2"/>
      <c r="I755" s="46"/>
      <c r="J755" s="12"/>
      <c r="K755" s="2"/>
      <c r="L755" s="59"/>
    </row>
    <row r="756" spans="1:12" x14ac:dyDescent="0.35">
      <c r="A756" s="45">
        <v>752</v>
      </c>
      <c r="B756" s="2"/>
      <c r="C756" s="2"/>
      <c r="D756" s="2"/>
      <c r="E756" s="3"/>
      <c r="F756" s="3"/>
      <c r="G756" s="2"/>
      <c r="H756" s="2"/>
      <c r="I756" s="46"/>
      <c r="J756" s="12"/>
      <c r="K756" s="2"/>
      <c r="L756" s="59"/>
    </row>
    <row r="757" spans="1:12" x14ac:dyDescent="0.35">
      <c r="A757" s="45">
        <v>753</v>
      </c>
      <c r="B757" s="2"/>
      <c r="C757" s="2"/>
      <c r="D757" s="2"/>
      <c r="E757" s="3"/>
      <c r="F757" s="3"/>
      <c r="G757" s="2"/>
      <c r="H757" s="2"/>
      <c r="I757" s="46"/>
      <c r="J757" s="12"/>
      <c r="K757" s="2"/>
      <c r="L757" s="59"/>
    </row>
    <row r="758" spans="1:12" x14ac:dyDescent="0.35">
      <c r="A758" s="45">
        <v>754</v>
      </c>
      <c r="B758" s="2"/>
      <c r="C758" s="2"/>
      <c r="D758" s="2"/>
      <c r="E758" s="3"/>
      <c r="F758" s="3"/>
      <c r="G758" s="2"/>
      <c r="H758" s="2"/>
      <c r="I758" s="46"/>
      <c r="J758" s="12"/>
      <c r="K758" s="2"/>
      <c r="L758" s="59"/>
    </row>
    <row r="759" spans="1:12" x14ac:dyDescent="0.35">
      <c r="A759" s="45">
        <v>755</v>
      </c>
      <c r="B759" s="2"/>
      <c r="C759" s="2"/>
      <c r="D759" s="2"/>
      <c r="E759" s="3"/>
      <c r="F759" s="3"/>
      <c r="G759" s="2"/>
      <c r="H759" s="2"/>
      <c r="I759" s="46"/>
      <c r="J759" s="12"/>
      <c r="K759" s="2"/>
      <c r="L759" s="59"/>
    </row>
    <row r="760" spans="1:12" x14ac:dyDescent="0.35">
      <c r="A760" s="45">
        <v>756</v>
      </c>
      <c r="B760" s="2"/>
      <c r="C760" s="2"/>
      <c r="D760" s="2"/>
      <c r="E760" s="3"/>
      <c r="F760" s="3"/>
      <c r="G760" s="2"/>
      <c r="H760" s="2"/>
      <c r="I760" s="46"/>
      <c r="J760" s="12"/>
      <c r="K760" s="2"/>
      <c r="L760" s="59"/>
    </row>
    <row r="761" spans="1:12" x14ac:dyDescent="0.35">
      <c r="A761" s="45">
        <v>757</v>
      </c>
      <c r="B761" s="2"/>
      <c r="C761" s="2"/>
      <c r="D761" s="2"/>
      <c r="E761" s="3"/>
      <c r="F761" s="3"/>
      <c r="G761" s="2"/>
      <c r="H761" s="2"/>
      <c r="I761" s="46"/>
      <c r="J761" s="12"/>
      <c r="K761" s="2"/>
      <c r="L761" s="59"/>
    </row>
    <row r="762" spans="1:12" x14ac:dyDescent="0.35">
      <c r="A762" s="45">
        <v>758</v>
      </c>
      <c r="B762" s="2"/>
      <c r="C762" s="2"/>
      <c r="D762" s="2"/>
      <c r="E762" s="3"/>
      <c r="F762" s="3"/>
      <c r="G762" s="2"/>
      <c r="H762" s="2"/>
      <c r="I762" s="46"/>
      <c r="J762" s="12"/>
      <c r="K762" s="2"/>
      <c r="L762" s="59"/>
    </row>
    <row r="763" spans="1:12" x14ac:dyDescent="0.35">
      <c r="A763" s="45">
        <v>759</v>
      </c>
      <c r="B763" s="2"/>
      <c r="C763" s="2"/>
      <c r="D763" s="2"/>
      <c r="E763" s="3"/>
      <c r="F763" s="3"/>
      <c r="G763" s="2"/>
      <c r="H763" s="2"/>
      <c r="I763" s="46"/>
      <c r="J763" s="12"/>
      <c r="K763" s="2"/>
      <c r="L763" s="59"/>
    </row>
    <row r="764" spans="1:12" x14ac:dyDescent="0.35">
      <c r="A764" s="45">
        <v>760</v>
      </c>
      <c r="B764" s="2"/>
      <c r="C764" s="2"/>
      <c r="D764" s="2"/>
      <c r="E764" s="3"/>
      <c r="F764" s="3"/>
      <c r="G764" s="2"/>
      <c r="H764" s="2"/>
      <c r="I764" s="46"/>
      <c r="J764" s="12"/>
      <c r="K764" s="2"/>
      <c r="L764" s="59"/>
    </row>
    <row r="765" spans="1:12" x14ac:dyDescent="0.35">
      <c r="A765" s="45">
        <v>761</v>
      </c>
      <c r="B765" s="2"/>
      <c r="C765" s="2"/>
      <c r="D765" s="2"/>
      <c r="E765" s="3"/>
      <c r="F765" s="3"/>
      <c r="G765" s="2"/>
      <c r="H765" s="2"/>
      <c r="I765" s="46"/>
      <c r="J765" s="12"/>
      <c r="K765" s="2"/>
      <c r="L765" s="59"/>
    </row>
    <row r="766" spans="1:12" x14ac:dyDescent="0.35">
      <c r="A766" s="45">
        <v>762</v>
      </c>
      <c r="B766" s="2"/>
      <c r="C766" s="2"/>
      <c r="D766" s="2"/>
      <c r="E766" s="3"/>
      <c r="F766" s="3"/>
      <c r="G766" s="2"/>
      <c r="H766" s="2"/>
      <c r="I766" s="46"/>
      <c r="J766" s="12"/>
      <c r="K766" s="2"/>
      <c r="L766" s="59"/>
    </row>
    <row r="767" spans="1:12" x14ac:dyDescent="0.35">
      <c r="A767" s="45">
        <v>763</v>
      </c>
      <c r="B767" s="2"/>
      <c r="C767" s="2"/>
      <c r="D767" s="2"/>
      <c r="E767" s="3"/>
      <c r="F767" s="3"/>
      <c r="G767" s="2"/>
      <c r="H767" s="2"/>
      <c r="I767" s="46"/>
      <c r="J767" s="12"/>
      <c r="K767" s="2"/>
      <c r="L767" s="59"/>
    </row>
    <row r="768" spans="1:12" x14ac:dyDescent="0.35">
      <c r="A768" s="45">
        <v>764</v>
      </c>
      <c r="B768" s="2"/>
      <c r="C768" s="2"/>
      <c r="D768" s="2"/>
      <c r="E768" s="3"/>
      <c r="F768" s="3"/>
      <c r="G768" s="2"/>
      <c r="H768" s="2"/>
      <c r="I768" s="46"/>
      <c r="J768" s="12"/>
      <c r="K768" s="2"/>
      <c r="L768" s="59"/>
    </row>
    <row r="769" spans="1:12" x14ac:dyDescent="0.35">
      <c r="A769" s="45">
        <v>765</v>
      </c>
      <c r="B769" s="2"/>
      <c r="C769" s="2"/>
      <c r="D769" s="2"/>
      <c r="E769" s="3"/>
      <c r="F769" s="3"/>
      <c r="G769" s="2"/>
      <c r="H769" s="2"/>
      <c r="I769" s="46"/>
      <c r="J769" s="12"/>
      <c r="K769" s="2"/>
      <c r="L769" s="59"/>
    </row>
    <row r="770" spans="1:12" x14ac:dyDescent="0.35">
      <c r="A770" s="45">
        <v>766</v>
      </c>
      <c r="B770" s="2"/>
      <c r="C770" s="2"/>
      <c r="D770" s="2"/>
      <c r="E770" s="3"/>
      <c r="F770" s="3"/>
      <c r="G770" s="2"/>
      <c r="H770" s="2"/>
      <c r="I770" s="46"/>
      <c r="J770" s="12"/>
      <c r="K770" s="2"/>
      <c r="L770" s="59"/>
    </row>
    <row r="771" spans="1:12" x14ac:dyDescent="0.35">
      <c r="A771" s="45">
        <v>767</v>
      </c>
      <c r="B771" s="2"/>
      <c r="C771" s="2"/>
      <c r="D771" s="2"/>
      <c r="E771" s="3"/>
      <c r="F771" s="3"/>
      <c r="G771" s="2"/>
      <c r="H771" s="2"/>
      <c r="I771" s="46"/>
      <c r="J771" s="12"/>
      <c r="K771" s="2"/>
      <c r="L771" s="59"/>
    </row>
    <row r="772" spans="1:12" x14ac:dyDescent="0.35">
      <c r="A772" s="45">
        <v>768</v>
      </c>
      <c r="B772" s="2"/>
      <c r="C772" s="2"/>
      <c r="D772" s="2"/>
      <c r="E772" s="3"/>
      <c r="F772" s="3"/>
      <c r="G772" s="2"/>
      <c r="H772" s="2"/>
      <c r="I772" s="46"/>
      <c r="J772" s="12"/>
      <c r="K772" s="2"/>
      <c r="L772" s="59"/>
    </row>
    <row r="773" spans="1:12" x14ac:dyDescent="0.35">
      <c r="A773" s="45">
        <v>769</v>
      </c>
      <c r="B773" s="2"/>
      <c r="C773" s="2"/>
      <c r="D773" s="2"/>
      <c r="E773" s="3"/>
      <c r="F773" s="3"/>
      <c r="G773" s="2"/>
      <c r="H773" s="2"/>
      <c r="I773" s="46"/>
      <c r="J773" s="12"/>
      <c r="K773" s="2"/>
      <c r="L773" s="59"/>
    </row>
    <row r="774" spans="1:12" x14ac:dyDescent="0.35">
      <c r="A774" s="45">
        <v>770</v>
      </c>
      <c r="B774" s="2"/>
      <c r="C774" s="2"/>
      <c r="D774" s="2"/>
      <c r="E774" s="3"/>
      <c r="F774" s="3"/>
      <c r="G774" s="2"/>
      <c r="H774" s="2"/>
      <c r="I774" s="46"/>
      <c r="J774" s="12"/>
      <c r="K774" s="2"/>
      <c r="L774" s="59"/>
    </row>
    <row r="775" spans="1:12" x14ac:dyDescent="0.35">
      <c r="A775" s="45">
        <v>771</v>
      </c>
      <c r="B775" s="2"/>
      <c r="C775" s="2"/>
      <c r="D775" s="2"/>
      <c r="E775" s="3"/>
      <c r="F775" s="3"/>
      <c r="G775" s="2"/>
      <c r="H775" s="2"/>
      <c r="I775" s="46"/>
      <c r="J775" s="12"/>
      <c r="K775" s="2"/>
      <c r="L775" s="59"/>
    </row>
    <row r="776" spans="1:12" x14ac:dyDescent="0.35">
      <c r="A776" s="45">
        <v>772</v>
      </c>
      <c r="B776" s="2"/>
      <c r="C776" s="2"/>
      <c r="D776" s="2"/>
      <c r="E776" s="3"/>
      <c r="F776" s="3"/>
      <c r="G776" s="2"/>
      <c r="H776" s="2"/>
      <c r="I776" s="46"/>
      <c r="J776" s="12"/>
      <c r="K776" s="2"/>
      <c r="L776" s="59"/>
    </row>
    <row r="777" spans="1:12" x14ac:dyDescent="0.35">
      <c r="A777" s="45">
        <v>773</v>
      </c>
      <c r="B777" s="2"/>
      <c r="C777" s="2"/>
      <c r="D777" s="2"/>
      <c r="E777" s="3"/>
      <c r="F777" s="3"/>
      <c r="G777" s="2"/>
      <c r="H777" s="2"/>
      <c r="I777" s="46"/>
      <c r="J777" s="12"/>
      <c r="K777" s="2"/>
      <c r="L777" s="59"/>
    </row>
    <row r="778" spans="1:12" x14ac:dyDescent="0.35">
      <c r="A778" s="45">
        <v>774</v>
      </c>
      <c r="B778" s="2"/>
      <c r="C778" s="2"/>
      <c r="D778" s="2"/>
      <c r="E778" s="3"/>
      <c r="F778" s="3"/>
      <c r="G778" s="2"/>
      <c r="H778" s="2"/>
      <c r="I778" s="46"/>
      <c r="J778" s="12"/>
      <c r="K778" s="2"/>
      <c r="L778" s="59"/>
    </row>
    <row r="779" spans="1:12" x14ac:dyDescent="0.35">
      <c r="A779" s="45">
        <v>775</v>
      </c>
      <c r="B779" s="2"/>
      <c r="C779" s="2"/>
      <c r="D779" s="2"/>
      <c r="E779" s="3"/>
      <c r="F779" s="3"/>
      <c r="G779" s="2"/>
      <c r="H779" s="2"/>
      <c r="I779" s="46"/>
      <c r="J779" s="12"/>
      <c r="K779" s="2"/>
      <c r="L779" s="59"/>
    </row>
    <row r="780" spans="1:12" x14ac:dyDescent="0.35">
      <c r="A780" s="45">
        <v>776</v>
      </c>
      <c r="B780" s="2"/>
      <c r="C780" s="2"/>
      <c r="D780" s="2"/>
      <c r="E780" s="3"/>
      <c r="F780" s="3"/>
      <c r="G780" s="2"/>
      <c r="H780" s="2"/>
      <c r="I780" s="46"/>
      <c r="J780" s="12"/>
      <c r="K780" s="2"/>
      <c r="L780" s="59"/>
    </row>
    <row r="781" spans="1:12" x14ac:dyDescent="0.35">
      <c r="A781" s="45">
        <v>777</v>
      </c>
      <c r="B781" s="2"/>
      <c r="C781" s="2"/>
      <c r="D781" s="2"/>
      <c r="E781" s="3"/>
      <c r="F781" s="3"/>
      <c r="G781" s="2"/>
      <c r="H781" s="2"/>
      <c r="I781" s="46"/>
      <c r="J781" s="12"/>
      <c r="K781" s="2"/>
      <c r="L781" s="59"/>
    </row>
    <row r="782" spans="1:12" x14ac:dyDescent="0.35">
      <c r="A782" s="45">
        <v>778</v>
      </c>
      <c r="B782" s="2"/>
      <c r="C782" s="2"/>
      <c r="D782" s="2"/>
      <c r="E782" s="3"/>
      <c r="F782" s="3"/>
      <c r="G782" s="2"/>
      <c r="H782" s="2"/>
      <c r="I782" s="46"/>
      <c r="J782" s="12"/>
      <c r="K782" s="2"/>
      <c r="L782" s="59"/>
    </row>
    <row r="783" spans="1:12" x14ac:dyDescent="0.35">
      <c r="A783" s="45">
        <v>779</v>
      </c>
      <c r="B783" s="2"/>
      <c r="C783" s="2"/>
      <c r="D783" s="2"/>
      <c r="E783" s="3"/>
      <c r="F783" s="3"/>
      <c r="G783" s="2"/>
      <c r="H783" s="2"/>
      <c r="I783" s="46"/>
      <c r="J783" s="12"/>
      <c r="K783" s="2"/>
      <c r="L783" s="59"/>
    </row>
    <row r="784" spans="1:12" x14ac:dyDescent="0.35">
      <c r="A784" s="45">
        <v>780</v>
      </c>
      <c r="B784" s="2"/>
      <c r="C784" s="2"/>
      <c r="D784" s="2"/>
      <c r="E784" s="3"/>
      <c r="F784" s="3"/>
      <c r="G784" s="2"/>
      <c r="H784" s="2"/>
      <c r="I784" s="46"/>
      <c r="J784" s="12"/>
      <c r="K784" s="2"/>
      <c r="L784" s="59"/>
    </row>
    <row r="785" spans="1:12" x14ac:dyDescent="0.35">
      <c r="A785" s="45">
        <v>781</v>
      </c>
      <c r="B785" s="2"/>
      <c r="C785" s="2"/>
      <c r="D785" s="2"/>
      <c r="E785" s="3"/>
      <c r="F785" s="3"/>
      <c r="G785" s="2"/>
      <c r="H785" s="2"/>
      <c r="I785" s="46"/>
      <c r="J785" s="12"/>
      <c r="K785" s="2"/>
      <c r="L785" s="59"/>
    </row>
    <row r="786" spans="1:12" x14ac:dyDescent="0.35">
      <c r="A786" s="45">
        <v>782</v>
      </c>
      <c r="B786" s="2"/>
      <c r="C786" s="2"/>
      <c r="D786" s="2"/>
      <c r="E786" s="3"/>
      <c r="F786" s="3"/>
      <c r="G786" s="2"/>
      <c r="H786" s="2"/>
      <c r="I786" s="46"/>
      <c r="J786" s="12"/>
      <c r="K786" s="2"/>
      <c r="L786" s="59"/>
    </row>
    <row r="787" spans="1:12" x14ac:dyDescent="0.35">
      <c r="A787" s="45">
        <v>783</v>
      </c>
      <c r="B787" s="2"/>
      <c r="C787" s="2"/>
      <c r="D787" s="2"/>
      <c r="E787" s="3"/>
      <c r="F787" s="3"/>
      <c r="G787" s="2"/>
      <c r="H787" s="2"/>
      <c r="I787" s="46"/>
      <c r="J787" s="12"/>
      <c r="K787" s="2"/>
      <c r="L787" s="59"/>
    </row>
    <row r="788" spans="1:12" x14ac:dyDescent="0.35">
      <c r="A788" s="45">
        <v>784</v>
      </c>
      <c r="B788" s="2"/>
      <c r="C788" s="2"/>
      <c r="D788" s="2"/>
      <c r="E788" s="3"/>
      <c r="F788" s="3"/>
      <c r="G788" s="2"/>
      <c r="H788" s="2"/>
      <c r="I788" s="46"/>
      <c r="J788" s="12"/>
      <c r="K788" s="2"/>
      <c r="L788" s="59"/>
    </row>
    <row r="789" spans="1:12" x14ac:dyDescent="0.35">
      <c r="A789" s="45">
        <v>785</v>
      </c>
      <c r="B789" s="2"/>
      <c r="C789" s="2"/>
      <c r="D789" s="2"/>
      <c r="E789" s="3"/>
      <c r="F789" s="3"/>
      <c r="G789" s="2"/>
      <c r="H789" s="2"/>
      <c r="I789" s="46"/>
      <c r="J789" s="12"/>
      <c r="K789" s="2"/>
      <c r="L789" s="59"/>
    </row>
    <row r="790" spans="1:12" x14ac:dyDescent="0.35">
      <c r="A790" s="45">
        <v>786</v>
      </c>
      <c r="B790" s="2"/>
      <c r="C790" s="2"/>
      <c r="D790" s="2"/>
      <c r="E790" s="3"/>
      <c r="F790" s="3"/>
      <c r="G790" s="2"/>
      <c r="H790" s="2"/>
      <c r="I790" s="46"/>
      <c r="J790" s="12"/>
      <c r="K790" s="2"/>
      <c r="L790" s="59"/>
    </row>
    <row r="791" spans="1:12" x14ac:dyDescent="0.35">
      <c r="A791" s="45">
        <v>787</v>
      </c>
      <c r="B791" s="2"/>
      <c r="C791" s="2"/>
      <c r="D791" s="2"/>
      <c r="E791" s="3"/>
      <c r="F791" s="3"/>
      <c r="G791" s="2"/>
      <c r="H791" s="2"/>
      <c r="I791" s="46"/>
      <c r="J791" s="12"/>
      <c r="K791" s="2"/>
      <c r="L791" s="59"/>
    </row>
    <row r="792" spans="1:12" x14ac:dyDescent="0.35">
      <c r="A792" s="45">
        <v>788</v>
      </c>
      <c r="B792" s="2"/>
      <c r="C792" s="2"/>
      <c r="D792" s="2"/>
      <c r="E792" s="3"/>
      <c r="F792" s="3"/>
      <c r="G792" s="2"/>
      <c r="H792" s="2"/>
      <c r="I792" s="46"/>
      <c r="J792" s="12"/>
      <c r="K792" s="2"/>
      <c r="L792" s="59"/>
    </row>
    <row r="793" spans="1:12" x14ac:dyDescent="0.35">
      <c r="A793" s="45">
        <v>789</v>
      </c>
      <c r="B793" s="2"/>
      <c r="C793" s="2"/>
      <c r="D793" s="2"/>
      <c r="E793" s="3"/>
      <c r="F793" s="3"/>
      <c r="G793" s="2"/>
      <c r="H793" s="2"/>
      <c r="I793" s="46"/>
      <c r="J793" s="12"/>
      <c r="K793" s="2"/>
      <c r="L793" s="59"/>
    </row>
    <row r="794" spans="1:12" x14ac:dyDescent="0.35">
      <c r="A794" s="45">
        <v>790</v>
      </c>
      <c r="B794" s="2"/>
      <c r="C794" s="2"/>
      <c r="D794" s="2"/>
      <c r="E794" s="3"/>
      <c r="F794" s="3"/>
      <c r="G794" s="2"/>
      <c r="H794" s="2"/>
      <c r="I794" s="46"/>
      <c r="J794" s="12"/>
      <c r="K794" s="2"/>
      <c r="L794" s="59"/>
    </row>
    <row r="795" spans="1:12" x14ac:dyDescent="0.35">
      <c r="A795" s="45">
        <v>791</v>
      </c>
      <c r="B795" s="2"/>
      <c r="C795" s="2"/>
      <c r="D795" s="2"/>
      <c r="E795" s="3"/>
      <c r="F795" s="3"/>
      <c r="G795" s="2"/>
      <c r="H795" s="2"/>
      <c r="I795" s="46"/>
      <c r="J795" s="12"/>
      <c r="K795" s="2"/>
      <c r="L795" s="59"/>
    </row>
    <row r="796" spans="1:12" x14ac:dyDescent="0.35">
      <c r="A796" s="45">
        <v>792</v>
      </c>
      <c r="B796" s="2"/>
      <c r="C796" s="2"/>
      <c r="D796" s="2"/>
      <c r="E796" s="3"/>
      <c r="F796" s="3"/>
      <c r="G796" s="2"/>
      <c r="H796" s="2"/>
      <c r="I796" s="46"/>
      <c r="J796" s="12"/>
      <c r="K796" s="2"/>
      <c r="L796" s="59"/>
    </row>
    <row r="797" spans="1:12" x14ac:dyDescent="0.35">
      <c r="A797" s="45">
        <v>793</v>
      </c>
      <c r="B797" s="2"/>
      <c r="C797" s="2"/>
      <c r="D797" s="2"/>
      <c r="E797" s="3"/>
      <c r="F797" s="3"/>
      <c r="G797" s="2"/>
      <c r="H797" s="2"/>
      <c r="I797" s="46"/>
      <c r="J797" s="12"/>
      <c r="K797" s="2"/>
      <c r="L797" s="59"/>
    </row>
    <row r="798" spans="1:12" x14ac:dyDescent="0.35">
      <c r="A798" s="45">
        <v>794</v>
      </c>
      <c r="B798" s="2"/>
      <c r="C798" s="2"/>
      <c r="D798" s="2"/>
      <c r="E798" s="3"/>
      <c r="F798" s="3"/>
      <c r="G798" s="2"/>
      <c r="H798" s="2"/>
      <c r="I798" s="46"/>
      <c r="J798" s="12"/>
      <c r="K798" s="2"/>
      <c r="L798" s="59"/>
    </row>
    <row r="799" spans="1:12" x14ac:dyDescent="0.35">
      <c r="A799" s="45">
        <v>795</v>
      </c>
      <c r="B799" s="2"/>
      <c r="C799" s="2"/>
      <c r="D799" s="2"/>
      <c r="E799" s="3"/>
      <c r="F799" s="3"/>
      <c r="G799" s="2"/>
      <c r="H799" s="2"/>
      <c r="I799" s="46"/>
      <c r="J799" s="12"/>
      <c r="K799" s="2"/>
      <c r="L799" s="59"/>
    </row>
    <row r="800" spans="1:12" x14ac:dyDescent="0.35">
      <c r="A800" s="45">
        <v>796</v>
      </c>
      <c r="B800" s="2"/>
      <c r="C800" s="2"/>
      <c r="D800" s="2"/>
      <c r="E800" s="3"/>
      <c r="F800" s="3"/>
      <c r="G800" s="2"/>
      <c r="H800" s="2"/>
      <c r="I800" s="46"/>
      <c r="J800" s="12"/>
      <c r="K800" s="2"/>
      <c r="L800" s="59"/>
    </row>
    <row r="801" spans="1:12" x14ac:dyDescent="0.35">
      <c r="A801" s="45">
        <v>797</v>
      </c>
      <c r="B801" s="2"/>
      <c r="C801" s="2"/>
      <c r="D801" s="2"/>
      <c r="E801" s="3"/>
      <c r="F801" s="3"/>
      <c r="G801" s="2"/>
      <c r="H801" s="2"/>
      <c r="I801" s="46"/>
      <c r="J801" s="12"/>
      <c r="K801" s="2"/>
      <c r="L801" s="59"/>
    </row>
    <row r="802" spans="1:12" x14ac:dyDescent="0.35">
      <c r="A802" s="45">
        <v>798</v>
      </c>
      <c r="B802" s="2"/>
      <c r="C802" s="2"/>
      <c r="D802" s="2"/>
      <c r="E802" s="3"/>
      <c r="F802" s="3"/>
      <c r="G802" s="2"/>
      <c r="H802" s="2"/>
      <c r="I802" s="46"/>
      <c r="J802" s="12"/>
      <c r="K802" s="2"/>
      <c r="L802" s="59"/>
    </row>
    <row r="803" spans="1:12" x14ac:dyDescent="0.35">
      <c r="A803" s="45">
        <v>799</v>
      </c>
      <c r="B803" s="2"/>
      <c r="C803" s="2"/>
      <c r="D803" s="2"/>
      <c r="E803" s="3"/>
      <c r="F803" s="3"/>
      <c r="G803" s="2"/>
      <c r="H803" s="2"/>
      <c r="I803" s="46"/>
      <c r="J803" s="12"/>
      <c r="K803" s="2"/>
      <c r="L803" s="59"/>
    </row>
    <row r="804" spans="1:12" x14ac:dyDescent="0.35">
      <c r="A804" s="45">
        <v>800</v>
      </c>
      <c r="B804" s="2"/>
      <c r="C804" s="2"/>
      <c r="D804" s="2"/>
      <c r="E804" s="3"/>
      <c r="F804" s="3"/>
      <c r="G804" s="2"/>
      <c r="H804" s="2"/>
      <c r="I804" s="46"/>
      <c r="J804" s="12"/>
      <c r="K804" s="2"/>
      <c r="L804" s="59"/>
    </row>
    <row r="805" spans="1:12" x14ac:dyDescent="0.35">
      <c r="A805" s="45">
        <v>801</v>
      </c>
      <c r="B805" s="2"/>
      <c r="C805" s="2"/>
      <c r="D805" s="2"/>
      <c r="E805" s="3"/>
      <c r="F805" s="3"/>
      <c r="G805" s="2"/>
      <c r="H805" s="2"/>
      <c r="I805" s="46"/>
      <c r="J805" s="12"/>
      <c r="K805" s="2"/>
      <c r="L805" s="59"/>
    </row>
    <row r="806" spans="1:12" x14ac:dyDescent="0.35">
      <c r="A806" s="45">
        <v>802</v>
      </c>
      <c r="B806" s="2"/>
      <c r="C806" s="2"/>
      <c r="D806" s="2"/>
      <c r="E806" s="3"/>
      <c r="F806" s="3"/>
      <c r="G806" s="2"/>
      <c r="H806" s="2"/>
      <c r="I806" s="46"/>
      <c r="J806" s="12"/>
      <c r="K806" s="2"/>
      <c r="L806" s="59"/>
    </row>
    <row r="807" spans="1:12" x14ac:dyDescent="0.35">
      <c r="A807" s="45">
        <v>803</v>
      </c>
      <c r="B807" s="2"/>
      <c r="C807" s="2"/>
      <c r="D807" s="2"/>
      <c r="E807" s="3"/>
      <c r="F807" s="3"/>
      <c r="G807" s="2"/>
      <c r="H807" s="2"/>
      <c r="I807" s="46"/>
      <c r="J807" s="12"/>
      <c r="K807" s="2"/>
      <c r="L807" s="59"/>
    </row>
    <row r="808" spans="1:12" x14ac:dyDescent="0.35">
      <c r="A808" s="45">
        <v>804</v>
      </c>
      <c r="B808" s="2"/>
      <c r="C808" s="2"/>
      <c r="D808" s="2"/>
      <c r="E808" s="3"/>
      <c r="F808" s="3"/>
      <c r="G808" s="2"/>
      <c r="H808" s="2"/>
      <c r="I808" s="46"/>
      <c r="J808" s="12"/>
      <c r="K808" s="2"/>
      <c r="L808" s="59"/>
    </row>
    <row r="809" spans="1:12" x14ac:dyDescent="0.35">
      <c r="A809" s="45">
        <v>805</v>
      </c>
      <c r="B809" s="2"/>
      <c r="C809" s="2"/>
      <c r="D809" s="2"/>
      <c r="E809" s="3"/>
      <c r="F809" s="3"/>
      <c r="G809" s="2"/>
      <c r="H809" s="2"/>
      <c r="I809" s="46"/>
      <c r="J809" s="12"/>
      <c r="K809" s="2"/>
      <c r="L809" s="59"/>
    </row>
    <row r="810" spans="1:12" x14ac:dyDescent="0.35">
      <c r="A810" s="45">
        <v>806</v>
      </c>
      <c r="B810" s="2"/>
      <c r="C810" s="2"/>
      <c r="D810" s="2"/>
      <c r="E810" s="3"/>
      <c r="F810" s="3"/>
      <c r="G810" s="2"/>
      <c r="H810" s="2"/>
      <c r="I810" s="46"/>
      <c r="J810" s="12"/>
      <c r="K810" s="2"/>
      <c r="L810" s="59"/>
    </row>
    <row r="811" spans="1:12" x14ac:dyDescent="0.35">
      <c r="A811" s="45">
        <v>807</v>
      </c>
      <c r="B811" s="2"/>
      <c r="C811" s="2"/>
      <c r="D811" s="2"/>
      <c r="E811" s="3"/>
      <c r="F811" s="3"/>
      <c r="G811" s="2"/>
      <c r="H811" s="2"/>
      <c r="I811" s="46"/>
      <c r="J811" s="12"/>
      <c r="K811" s="2"/>
      <c r="L811" s="59"/>
    </row>
    <row r="812" spans="1:12" x14ac:dyDescent="0.35">
      <c r="A812" s="45">
        <v>808</v>
      </c>
      <c r="B812" s="2"/>
      <c r="C812" s="2"/>
      <c r="D812" s="2"/>
      <c r="E812" s="3"/>
      <c r="F812" s="3"/>
      <c r="G812" s="2"/>
      <c r="H812" s="2"/>
      <c r="I812" s="46"/>
      <c r="J812" s="12"/>
      <c r="K812" s="2"/>
      <c r="L812" s="59"/>
    </row>
    <row r="813" spans="1:12" x14ac:dyDescent="0.35">
      <c r="A813" s="45">
        <v>809</v>
      </c>
      <c r="B813" s="2"/>
      <c r="C813" s="2"/>
      <c r="D813" s="2"/>
      <c r="E813" s="3"/>
      <c r="F813" s="3"/>
      <c r="G813" s="2"/>
      <c r="H813" s="2"/>
      <c r="I813" s="46"/>
      <c r="J813" s="12"/>
      <c r="K813" s="2"/>
      <c r="L813" s="59"/>
    </row>
    <row r="814" spans="1:12" x14ac:dyDescent="0.35">
      <c r="A814" s="45">
        <v>810</v>
      </c>
      <c r="B814" s="2"/>
      <c r="C814" s="2"/>
      <c r="D814" s="2"/>
      <c r="E814" s="3"/>
      <c r="F814" s="3"/>
      <c r="G814" s="2"/>
      <c r="H814" s="2"/>
      <c r="I814" s="46"/>
      <c r="J814" s="12"/>
      <c r="K814" s="2"/>
      <c r="L814" s="59"/>
    </row>
    <row r="815" spans="1:12" x14ac:dyDescent="0.35">
      <c r="A815" s="45">
        <v>811</v>
      </c>
      <c r="B815" s="2"/>
      <c r="C815" s="2"/>
      <c r="D815" s="2"/>
      <c r="E815" s="3"/>
      <c r="F815" s="3"/>
      <c r="G815" s="2"/>
      <c r="H815" s="2"/>
      <c r="I815" s="46"/>
      <c r="J815" s="12"/>
      <c r="K815" s="2"/>
      <c r="L815" s="59"/>
    </row>
    <row r="816" spans="1:12" x14ac:dyDescent="0.35">
      <c r="A816" s="45">
        <v>812</v>
      </c>
      <c r="B816" s="2"/>
      <c r="C816" s="2"/>
      <c r="D816" s="2"/>
      <c r="E816" s="3"/>
      <c r="F816" s="3"/>
      <c r="G816" s="2"/>
      <c r="H816" s="2"/>
      <c r="I816" s="46"/>
      <c r="J816" s="12"/>
      <c r="K816" s="2"/>
      <c r="L816" s="59"/>
    </row>
    <row r="817" spans="1:12" x14ac:dyDescent="0.35">
      <c r="A817" s="45">
        <v>813</v>
      </c>
      <c r="B817" s="2"/>
      <c r="C817" s="2"/>
      <c r="D817" s="2"/>
      <c r="E817" s="3"/>
      <c r="F817" s="3"/>
      <c r="G817" s="2"/>
      <c r="H817" s="2"/>
      <c r="I817" s="46"/>
      <c r="J817" s="12"/>
      <c r="K817" s="2"/>
      <c r="L817" s="59"/>
    </row>
    <row r="818" spans="1:12" x14ac:dyDescent="0.35">
      <c r="A818" s="45">
        <v>814</v>
      </c>
      <c r="B818" s="2"/>
      <c r="C818" s="2"/>
      <c r="D818" s="2"/>
      <c r="E818" s="3"/>
      <c r="F818" s="3"/>
      <c r="G818" s="2"/>
      <c r="H818" s="2"/>
      <c r="I818" s="46"/>
      <c r="J818" s="12"/>
      <c r="K818" s="2"/>
      <c r="L818" s="59"/>
    </row>
    <row r="819" spans="1:12" x14ac:dyDescent="0.35">
      <c r="A819" s="45">
        <v>815</v>
      </c>
      <c r="B819" s="2"/>
      <c r="C819" s="2"/>
      <c r="D819" s="2"/>
      <c r="E819" s="3"/>
      <c r="F819" s="3"/>
      <c r="G819" s="2"/>
      <c r="H819" s="2"/>
      <c r="I819" s="46"/>
      <c r="J819" s="12"/>
      <c r="K819" s="2"/>
      <c r="L819" s="59"/>
    </row>
    <row r="820" spans="1:12" x14ac:dyDescent="0.35">
      <c r="A820" s="45">
        <v>816</v>
      </c>
      <c r="B820" s="2"/>
      <c r="C820" s="2"/>
      <c r="D820" s="2"/>
      <c r="E820" s="3"/>
      <c r="F820" s="3"/>
      <c r="G820" s="2"/>
      <c r="H820" s="2"/>
      <c r="I820" s="46"/>
      <c r="J820" s="12"/>
      <c r="K820" s="2"/>
      <c r="L820" s="59"/>
    </row>
    <row r="821" spans="1:12" x14ac:dyDescent="0.35">
      <c r="A821" s="45">
        <v>817</v>
      </c>
      <c r="B821" s="2"/>
      <c r="C821" s="2"/>
      <c r="D821" s="2"/>
      <c r="E821" s="3"/>
      <c r="F821" s="3"/>
      <c r="G821" s="2"/>
      <c r="H821" s="2"/>
      <c r="I821" s="46"/>
      <c r="J821" s="12"/>
      <c r="K821" s="2"/>
      <c r="L821" s="59"/>
    </row>
    <row r="822" spans="1:12" x14ac:dyDescent="0.35">
      <c r="A822" s="45">
        <v>818</v>
      </c>
      <c r="B822" s="2"/>
      <c r="C822" s="2"/>
      <c r="D822" s="2"/>
      <c r="E822" s="3"/>
      <c r="F822" s="3"/>
      <c r="G822" s="2"/>
      <c r="H822" s="2"/>
      <c r="I822" s="46"/>
      <c r="J822" s="12"/>
      <c r="K822" s="2"/>
      <c r="L822" s="59"/>
    </row>
    <row r="823" spans="1:12" x14ac:dyDescent="0.35">
      <c r="A823" s="45">
        <v>819</v>
      </c>
      <c r="B823" s="2"/>
      <c r="C823" s="2"/>
      <c r="D823" s="2"/>
      <c r="E823" s="3"/>
      <c r="F823" s="3"/>
      <c r="G823" s="2"/>
      <c r="H823" s="2"/>
      <c r="I823" s="46"/>
      <c r="J823" s="12"/>
      <c r="K823" s="2"/>
      <c r="L823" s="59"/>
    </row>
    <row r="824" spans="1:12" x14ac:dyDescent="0.35">
      <c r="A824" s="45">
        <v>820</v>
      </c>
      <c r="B824" s="2"/>
      <c r="C824" s="2"/>
      <c r="D824" s="2"/>
      <c r="E824" s="3"/>
      <c r="F824" s="3"/>
      <c r="G824" s="2"/>
      <c r="H824" s="2"/>
      <c r="I824" s="46"/>
      <c r="J824" s="12"/>
      <c r="K824" s="2"/>
      <c r="L824" s="59"/>
    </row>
    <row r="825" spans="1:12" x14ac:dyDescent="0.35">
      <c r="A825" s="45">
        <v>821</v>
      </c>
      <c r="B825" s="2"/>
      <c r="C825" s="2"/>
      <c r="D825" s="2"/>
      <c r="E825" s="3"/>
      <c r="F825" s="3"/>
      <c r="G825" s="2"/>
      <c r="H825" s="2"/>
      <c r="I825" s="46"/>
      <c r="J825" s="12"/>
      <c r="K825" s="2"/>
      <c r="L825" s="59"/>
    </row>
    <row r="826" spans="1:12" x14ac:dyDescent="0.35">
      <c r="A826" s="45">
        <v>822</v>
      </c>
      <c r="B826" s="2"/>
      <c r="C826" s="2"/>
      <c r="D826" s="2"/>
      <c r="E826" s="3"/>
      <c r="F826" s="3"/>
      <c r="G826" s="2"/>
      <c r="H826" s="2"/>
      <c r="I826" s="46"/>
      <c r="J826" s="12"/>
      <c r="K826" s="2"/>
      <c r="L826" s="59"/>
    </row>
    <row r="827" spans="1:12" x14ac:dyDescent="0.35">
      <c r="A827" s="45">
        <v>823</v>
      </c>
      <c r="B827" s="2"/>
      <c r="C827" s="2"/>
      <c r="D827" s="2"/>
      <c r="E827" s="3"/>
      <c r="F827" s="3"/>
      <c r="G827" s="2"/>
      <c r="H827" s="2"/>
      <c r="I827" s="46"/>
      <c r="J827" s="12"/>
      <c r="K827" s="2"/>
      <c r="L827" s="59"/>
    </row>
    <row r="828" spans="1:12" x14ac:dyDescent="0.35">
      <c r="A828" s="45">
        <v>824</v>
      </c>
      <c r="B828" s="2"/>
      <c r="C828" s="2"/>
      <c r="D828" s="2"/>
      <c r="E828" s="3"/>
      <c r="F828" s="3"/>
      <c r="G828" s="2"/>
      <c r="H828" s="2"/>
      <c r="I828" s="46"/>
      <c r="J828" s="12"/>
      <c r="K828" s="2"/>
      <c r="L828" s="59"/>
    </row>
    <row r="829" spans="1:12" x14ac:dyDescent="0.35">
      <c r="A829" s="45">
        <v>825</v>
      </c>
      <c r="B829" s="2"/>
      <c r="C829" s="2"/>
      <c r="D829" s="2"/>
      <c r="E829" s="3"/>
      <c r="F829" s="3"/>
      <c r="G829" s="2"/>
      <c r="H829" s="2"/>
      <c r="I829" s="46"/>
      <c r="J829" s="12"/>
      <c r="K829" s="2"/>
      <c r="L829" s="59"/>
    </row>
    <row r="830" spans="1:12" x14ac:dyDescent="0.35">
      <c r="A830" s="45">
        <v>826</v>
      </c>
      <c r="B830" s="2"/>
      <c r="C830" s="2"/>
      <c r="D830" s="2"/>
      <c r="E830" s="3"/>
      <c r="F830" s="3"/>
      <c r="G830" s="2"/>
      <c r="H830" s="2"/>
      <c r="I830" s="46"/>
      <c r="J830" s="12"/>
      <c r="K830" s="2"/>
      <c r="L830" s="59"/>
    </row>
    <row r="831" spans="1:12" x14ac:dyDescent="0.35">
      <c r="A831" s="45">
        <v>827</v>
      </c>
      <c r="B831" s="2"/>
      <c r="C831" s="2"/>
      <c r="D831" s="2"/>
      <c r="E831" s="3"/>
      <c r="F831" s="3"/>
      <c r="G831" s="2"/>
      <c r="H831" s="2"/>
      <c r="I831" s="46"/>
      <c r="J831" s="12"/>
      <c r="K831" s="2"/>
      <c r="L831" s="59"/>
    </row>
    <row r="832" spans="1:12" x14ac:dyDescent="0.35">
      <c r="A832" s="45">
        <v>828</v>
      </c>
      <c r="B832" s="2"/>
      <c r="C832" s="2"/>
      <c r="D832" s="2"/>
      <c r="E832" s="3"/>
      <c r="F832" s="3"/>
      <c r="G832" s="2"/>
      <c r="H832" s="2"/>
      <c r="I832" s="46"/>
      <c r="J832" s="12"/>
      <c r="K832" s="2"/>
      <c r="L832" s="59"/>
    </row>
    <row r="833" spans="1:12" x14ac:dyDescent="0.35">
      <c r="A833" s="45">
        <v>829</v>
      </c>
      <c r="B833" s="2"/>
      <c r="C833" s="2"/>
      <c r="D833" s="2"/>
      <c r="E833" s="3"/>
      <c r="F833" s="3"/>
      <c r="G833" s="2"/>
      <c r="H833" s="2"/>
      <c r="I833" s="46"/>
      <c r="J833" s="12"/>
      <c r="K833" s="2"/>
      <c r="L833" s="59"/>
    </row>
    <row r="834" spans="1:12" x14ac:dyDescent="0.35">
      <c r="A834" s="45">
        <v>830</v>
      </c>
      <c r="B834" s="2"/>
      <c r="C834" s="2"/>
      <c r="D834" s="2"/>
      <c r="E834" s="3"/>
      <c r="F834" s="3"/>
      <c r="G834" s="2"/>
      <c r="H834" s="2"/>
      <c r="I834" s="46"/>
      <c r="J834" s="12"/>
      <c r="K834" s="2"/>
      <c r="L834" s="59"/>
    </row>
    <row r="835" spans="1:12" x14ac:dyDescent="0.35">
      <c r="A835" s="45">
        <v>831</v>
      </c>
      <c r="B835" s="2"/>
      <c r="C835" s="2"/>
      <c r="D835" s="2"/>
      <c r="E835" s="3"/>
      <c r="F835" s="3"/>
      <c r="G835" s="2"/>
      <c r="H835" s="2"/>
      <c r="I835" s="46"/>
      <c r="J835" s="12"/>
      <c r="K835" s="2"/>
      <c r="L835" s="59"/>
    </row>
    <row r="836" spans="1:12" x14ac:dyDescent="0.35">
      <c r="A836" s="45">
        <v>832</v>
      </c>
      <c r="B836" s="2"/>
      <c r="C836" s="2"/>
      <c r="D836" s="2"/>
      <c r="E836" s="3"/>
      <c r="F836" s="3"/>
      <c r="G836" s="2"/>
      <c r="H836" s="2"/>
      <c r="I836" s="46"/>
      <c r="J836" s="12"/>
      <c r="K836" s="2"/>
      <c r="L836" s="59"/>
    </row>
    <row r="837" spans="1:12" x14ac:dyDescent="0.35">
      <c r="A837" s="45">
        <v>833</v>
      </c>
      <c r="B837" s="2"/>
      <c r="C837" s="2"/>
      <c r="D837" s="2"/>
      <c r="E837" s="3"/>
      <c r="F837" s="3"/>
      <c r="G837" s="2"/>
      <c r="H837" s="2"/>
      <c r="I837" s="46"/>
      <c r="J837" s="12"/>
      <c r="K837" s="2"/>
      <c r="L837" s="59"/>
    </row>
    <row r="838" spans="1:12" x14ac:dyDescent="0.35">
      <c r="A838" s="45">
        <v>834</v>
      </c>
      <c r="B838" s="2"/>
      <c r="C838" s="2"/>
      <c r="D838" s="2"/>
      <c r="E838" s="3"/>
      <c r="F838" s="3"/>
      <c r="G838" s="2"/>
      <c r="H838" s="2"/>
      <c r="I838" s="46"/>
      <c r="J838" s="12"/>
      <c r="K838" s="2"/>
      <c r="L838" s="59"/>
    </row>
    <row r="839" spans="1:12" x14ac:dyDescent="0.35">
      <c r="A839" s="45">
        <v>835</v>
      </c>
      <c r="B839" s="2"/>
      <c r="C839" s="2"/>
      <c r="D839" s="2"/>
      <c r="E839" s="3"/>
      <c r="F839" s="3"/>
      <c r="G839" s="2"/>
      <c r="H839" s="2"/>
      <c r="I839" s="46"/>
      <c r="J839" s="12"/>
      <c r="K839" s="2"/>
      <c r="L839" s="59"/>
    </row>
    <row r="840" spans="1:12" x14ac:dyDescent="0.35">
      <c r="A840" s="45">
        <v>836</v>
      </c>
      <c r="B840" s="2"/>
      <c r="C840" s="2"/>
      <c r="D840" s="2"/>
      <c r="E840" s="3"/>
      <c r="F840" s="3"/>
      <c r="G840" s="2"/>
      <c r="H840" s="2"/>
      <c r="I840" s="46"/>
      <c r="J840" s="12"/>
      <c r="K840" s="2"/>
      <c r="L840" s="59"/>
    </row>
    <row r="841" spans="1:12" x14ac:dyDescent="0.35">
      <c r="A841" s="45">
        <v>837</v>
      </c>
      <c r="B841" s="2"/>
      <c r="C841" s="2"/>
      <c r="D841" s="2"/>
      <c r="E841" s="3"/>
      <c r="F841" s="3"/>
      <c r="G841" s="2"/>
      <c r="H841" s="2"/>
      <c r="I841" s="46"/>
      <c r="J841" s="12"/>
      <c r="K841" s="2"/>
      <c r="L841" s="59"/>
    </row>
    <row r="842" spans="1:12" x14ac:dyDescent="0.35">
      <c r="A842" s="45">
        <v>838</v>
      </c>
      <c r="B842" s="2"/>
      <c r="C842" s="2"/>
      <c r="D842" s="2"/>
      <c r="E842" s="3"/>
      <c r="F842" s="3"/>
      <c r="G842" s="2"/>
      <c r="H842" s="2"/>
      <c r="I842" s="46"/>
      <c r="J842" s="12"/>
      <c r="K842" s="2"/>
      <c r="L842" s="59"/>
    </row>
    <row r="843" spans="1:12" x14ac:dyDescent="0.35">
      <c r="A843" s="45">
        <v>839</v>
      </c>
      <c r="B843" s="2"/>
      <c r="C843" s="2"/>
      <c r="D843" s="2"/>
      <c r="E843" s="3"/>
      <c r="F843" s="3"/>
      <c r="G843" s="2"/>
      <c r="H843" s="2"/>
      <c r="I843" s="46"/>
      <c r="J843" s="12"/>
      <c r="K843" s="2"/>
      <c r="L843" s="59"/>
    </row>
    <row r="844" spans="1:12" x14ac:dyDescent="0.35">
      <c r="A844" s="45">
        <v>840</v>
      </c>
      <c r="B844" s="2"/>
      <c r="C844" s="2"/>
      <c r="D844" s="2"/>
      <c r="E844" s="3"/>
      <c r="F844" s="3"/>
      <c r="G844" s="2"/>
      <c r="H844" s="2"/>
      <c r="I844" s="46"/>
      <c r="J844" s="12"/>
      <c r="K844" s="2"/>
      <c r="L844" s="59"/>
    </row>
    <row r="845" spans="1:12" x14ac:dyDescent="0.35">
      <c r="A845" s="45">
        <v>841</v>
      </c>
      <c r="B845" s="2"/>
      <c r="C845" s="2"/>
      <c r="D845" s="2"/>
      <c r="E845" s="3"/>
      <c r="F845" s="3"/>
      <c r="G845" s="2"/>
      <c r="H845" s="2"/>
      <c r="I845" s="46"/>
      <c r="J845" s="12"/>
      <c r="K845" s="2"/>
      <c r="L845" s="59"/>
    </row>
    <row r="846" spans="1:12" x14ac:dyDescent="0.35">
      <c r="A846" s="45">
        <v>842</v>
      </c>
      <c r="B846" s="2"/>
      <c r="C846" s="2"/>
      <c r="D846" s="2"/>
      <c r="E846" s="3"/>
      <c r="F846" s="3"/>
      <c r="G846" s="2"/>
      <c r="H846" s="2"/>
      <c r="I846" s="46"/>
      <c r="J846" s="12"/>
      <c r="K846" s="2"/>
      <c r="L846" s="59"/>
    </row>
    <row r="847" spans="1:12" x14ac:dyDescent="0.35">
      <c r="A847" s="45">
        <v>843</v>
      </c>
      <c r="B847" s="2"/>
      <c r="C847" s="2"/>
      <c r="D847" s="2"/>
      <c r="E847" s="3"/>
      <c r="F847" s="3"/>
      <c r="G847" s="2"/>
      <c r="H847" s="2"/>
      <c r="I847" s="46"/>
      <c r="J847" s="12"/>
      <c r="K847" s="2"/>
      <c r="L847" s="59"/>
    </row>
    <row r="848" spans="1:12" x14ac:dyDescent="0.35">
      <c r="A848" s="45">
        <v>844</v>
      </c>
      <c r="B848" s="2"/>
      <c r="C848" s="2"/>
      <c r="D848" s="2"/>
      <c r="E848" s="3"/>
      <c r="F848" s="3"/>
      <c r="G848" s="2"/>
      <c r="H848" s="2"/>
      <c r="I848" s="46"/>
      <c r="J848" s="12"/>
      <c r="K848" s="2"/>
      <c r="L848" s="59"/>
    </row>
    <row r="849" spans="1:12" x14ac:dyDescent="0.35">
      <c r="A849" s="45">
        <v>845</v>
      </c>
      <c r="B849" s="2"/>
      <c r="C849" s="2"/>
      <c r="D849" s="2"/>
      <c r="E849" s="3"/>
      <c r="F849" s="3"/>
      <c r="G849" s="2"/>
      <c r="H849" s="2"/>
      <c r="I849" s="46"/>
      <c r="J849" s="12"/>
      <c r="K849" s="2"/>
      <c r="L849" s="59"/>
    </row>
    <row r="850" spans="1:12" x14ac:dyDescent="0.35">
      <c r="A850" s="45">
        <v>846</v>
      </c>
      <c r="B850" s="2"/>
      <c r="C850" s="2"/>
      <c r="D850" s="2"/>
      <c r="E850" s="3"/>
      <c r="F850" s="3"/>
      <c r="G850" s="2"/>
      <c r="H850" s="2"/>
      <c r="I850" s="46"/>
      <c r="J850" s="12"/>
      <c r="K850" s="2"/>
      <c r="L850" s="59"/>
    </row>
    <row r="851" spans="1:12" x14ac:dyDescent="0.35">
      <c r="A851" s="45">
        <v>847</v>
      </c>
      <c r="B851" s="2"/>
      <c r="C851" s="2"/>
      <c r="D851" s="2"/>
      <c r="E851" s="3"/>
      <c r="F851" s="3"/>
      <c r="G851" s="2"/>
      <c r="H851" s="2"/>
      <c r="I851" s="46"/>
      <c r="J851" s="12"/>
      <c r="K851" s="2"/>
      <c r="L851" s="59"/>
    </row>
    <row r="852" spans="1:12" x14ac:dyDescent="0.35">
      <c r="A852" s="45">
        <v>848</v>
      </c>
      <c r="B852" s="2"/>
      <c r="C852" s="2"/>
      <c r="D852" s="2"/>
      <c r="E852" s="3"/>
      <c r="F852" s="3"/>
      <c r="G852" s="2"/>
      <c r="H852" s="2"/>
      <c r="I852" s="46"/>
      <c r="J852" s="12"/>
      <c r="K852" s="2"/>
      <c r="L852" s="59"/>
    </row>
    <row r="853" spans="1:12" x14ac:dyDescent="0.35">
      <c r="A853" s="45">
        <v>849</v>
      </c>
      <c r="B853" s="2"/>
      <c r="C853" s="2"/>
      <c r="D853" s="2"/>
      <c r="E853" s="3"/>
      <c r="F853" s="3"/>
      <c r="G853" s="2"/>
      <c r="H853" s="2"/>
      <c r="I853" s="46"/>
      <c r="J853" s="12"/>
      <c r="K853" s="2"/>
      <c r="L853" s="59"/>
    </row>
    <row r="854" spans="1:12" x14ac:dyDescent="0.35">
      <c r="A854" s="45">
        <v>850</v>
      </c>
      <c r="B854" s="2"/>
      <c r="C854" s="2"/>
      <c r="D854" s="2"/>
      <c r="E854" s="3"/>
      <c r="F854" s="3"/>
      <c r="G854" s="2"/>
      <c r="H854" s="2"/>
      <c r="I854" s="46"/>
      <c r="J854" s="12"/>
      <c r="K854" s="2"/>
      <c r="L854" s="59"/>
    </row>
    <row r="855" spans="1:12" x14ac:dyDescent="0.35">
      <c r="A855" s="45">
        <v>851</v>
      </c>
      <c r="B855" s="2"/>
      <c r="C855" s="2"/>
      <c r="D855" s="2"/>
      <c r="E855" s="3"/>
      <c r="F855" s="3"/>
      <c r="G855" s="2"/>
      <c r="H855" s="2"/>
      <c r="I855" s="46"/>
      <c r="J855" s="12"/>
      <c r="K855" s="2"/>
      <c r="L855" s="59"/>
    </row>
    <row r="856" spans="1:12" x14ac:dyDescent="0.35">
      <c r="A856" s="45">
        <v>852</v>
      </c>
      <c r="B856" s="2"/>
      <c r="C856" s="2"/>
      <c r="D856" s="2"/>
      <c r="E856" s="3"/>
      <c r="F856" s="3"/>
      <c r="G856" s="2"/>
      <c r="H856" s="2"/>
      <c r="I856" s="46"/>
      <c r="J856" s="12"/>
      <c r="K856" s="2"/>
      <c r="L856" s="59"/>
    </row>
    <row r="857" spans="1:12" x14ac:dyDescent="0.35">
      <c r="A857" s="45">
        <v>853</v>
      </c>
      <c r="B857" s="2"/>
      <c r="C857" s="2"/>
      <c r="D857" s="2"/>
      <c r="E857" s="3"/>
      <c r="F857" s="3"/>
      <c r="G857" s="2"/>
      <c r="H857" s="2"/>
      <c r="I857" s="46"/>
      <c r="J857" s="12"/>
      <c r="K857" s="2"/>
      <c r="L857" s="59"/>
    </row>
    <row r="858" spans="1:12" x14ac:dyDescent="0.35">
      <c r="A858" s="45">
        <v>854</v>
      </c>
      <c r="B858" s="2"/>
      <c r="C858" s="2"/>
      <c r="D858" s="2"/>
      <c r="E858" s="3"/>
      <c r="F858" s="3"/>
      <c r="G858" s="2"/>
      <c r="H858" s="2"/>
      <c r="I858" s="46"/>
      <c r="J858" s="12"/>
      <c r="K858" s="2"/>
      <c r="L858" s="59"/>
    </row>
    <row r="859" spans="1:12" x14ac:dyDescent="0.35">
      <c r="A859" s="45">
        <v>855</v>
      </c>
      <c r="B859" s="2"/>
      <c r="C859" s="2"/>
      <c r="D859" s="2"/>
      <c r="E859" s="3"/>
      <c r="F859" s="3"/>
      <c r="G859" s="2"/>
      <c r="H859" s="2"/>
      <c r="I859" s="46"/>
      <c r="J859" s="12"/>
      <c r="K859" s="2"/>
      <c r="L859" s="59"/>
    </row>
    <row r="860" spans="1:12" x14ac:dyDescent="0.35">
      <c r="A860" s="45">
        <v>856</v>
      </c>
      <c r="B860" s="2"/>
      <c r="C860" s="2"/>
      <c r="D860" s="2"/>
      <c r="E860" s="3"/>
      <c r="F860" s="3"/>
      <c r="G860" s="2"/>
      <c r="H860" s="2"/>
      <c r="I860" s="46"/>
      <c r="J860" s="12"/>
      <c r="K860" s="2"/>
      <c r="L860" s="59"/>
    </row>
    <row r="861" spans="1:12" x14ac:dyDescent="0.35">
      <c r="A861" s="45">
        <v>857</v>
      </c>
      <c r="B861" s="2"/>
      <c r="C861" s="2"/>
      <c r="D861" s="2"/>
      <c r="E861" s="3"/>
      <c r="F861" s="3"/>
      <c r="G861" s="2"/>
      <c r="H861" s="2"/>
      <c r="I861" s="46"/>
      <c r="J861" s="12"/>
      <c r="K861" s="2"/>
      <c r="L861" s="59"/>
    </row>
    <row r="862" spans="1:12" x14ac:dyDescent="0.35">
      <c r="A862" s="45">
        <v>858</v>
      </c>
      <c r="B862" s="2"/>
      <c r="C862" s="2"/>
      <c r="D862" s="2"/>
      <c r="E862" s="3"/>
      <c r="F862" s="3"/>
      <c r="G862" s="2"/>
      <c r="H862" s="2"/>
      <c r="I862" s="46"/>
      <c r="J862" s="12"/>
      <c r="K862" s="2"/>
      <c r="L862" s="59"/>
    </row>
    <row r="863" spans="1:12" x14ac:dyDescent="0.35">
      <c r="A863" s="45">
        <v>859</v>
      </c>
      <c r="B863" s="2"/>
      <c r="C863" s="2"/>
      <c r="D863" s="2"/>
      <c r="E863" s="3"/>
      <c r="F863" s="3"/>
      <c r="G863" s="2"/>
      <c r="H863" s="2"/>
      <c r="I863" s="46"/>
      <c r="J863" s="12"/>
      <c r="K863" s="2"/>
      <c r="L863" s="59"/>
    </row>
    <row r="864" spans="1:12" x14ac:dyDescent="0.35">
      <c r="A864" s="45">
        <v>860</v>
      </c>
      <c r="B864" s="2"/>
      <c r="C864" s="2"/>
      <c r="D864" s="2"/>
      <c r="E864" s="3"/>
      <c r="F864" s="3"/>
      <c r="G864" s="2"/>
      <c r="H864" s="2"/>
      <c r="I864" s="46"/>
      <c r="J864" s="12"/>
      <c r="K864" s="2"/>
      <c r="L864" s="59"/>
    </row>
    <row r="865" spans="1:12" x14ac:dyDescent="0.35">
      <c r="A865" s="45">
        <v>861</v>
      </c>
      <c r="B865" s="2"/>
      <c r="C865" s="2"/>
      <c r="D865" s="2"/>
      <c r="E865" s="3"/>
      <c r="F865" s="3"/>
      <c r="G865" s="2"/>
      <c r="H865" s="2"/>
      <c r="I865" s="46"/>
      <c r="J865" s="12"/>
      <c r="K865" s="2"/>
      <c r="L865" s="59"/>
    </row>
    <row r="866" spans="1:12" x14ac:dyDescent="0.35">
      <c r="A866" s="45">
        <v>862</v>
      </c>
      <c r="B866" s="2"/>
      <c r="C866" s="2"/>
      <c r="D866" s="2"/>
      <c r="E866" s="3"/>
      <c r="F866" s="3"/>
      <c r="G866" s="2"/>
      <c r="H866" s="2"/>
      <c r="I866" s="46"/>
      <c r="J866" s="12"/>
      <c r="K866" s="2"/>
      <c r="L866" s="59"/>
    </row>
    <row r="867" spans="1:12" x14ac:dyDescent="0.35">
      <c r="A867" s="45">
        <v>863</v>
      </c>
      <c r="B867" s="2"/>
      <c r="C867" s="2"/>
      <c r="D867" s="2"/>
      <c r="E867" s="3"/>
      <c r="F867" s="3"/>
      <c r="G867" s="2"/>
      <c r="H867" s="2"/>
      <c r="I867" s="46"/>
      <c r="J867" s="12"/>
      <c r="K867" s="2"/>
      <c r="L867" s="59"/>
    </row>
    <row r="868" spans="1:12" x14ac:dyDescent="0.35">
      <c r="A868" s="45">
        <v>864</v>
      </c>
      <c r="B868" s="2"/>
      <c r="C868" s="2"/>
      <c r="D868" s="2"/>
      <c r="E868" s="3"/>
      <c r="F868" s="3"/>
      <c r="G868" s="2"/>
      <c r="H868" s="2"/>
      <c r="I868" s="46"/>
      <c r="J868" s="12"/>
      <c r="K868" s="2"/>
      <c r="L868" s="59"/>
    </row>
    <row r="869" spans="1:12" x14ac:dyDescent="0.35">
      <c r="A869" s="45">
        <v>865</v>
      </c>
      <c r="B869" s="2"/>
      <c r="C869" s="2"/>
      <c r="D869" s="2"/>
      <c r="E869" s="3"/>
      <c r="F869" s="3"/>
      <c r="G869" s="2"/>
      <c r="H869" s="2"/>
      <c r="I869" s="46"/>
      <c r="J869" s="12"/>
      <c r="K869" s="2"/>
      <c r="L869" s="59"/>
    </row>
    <row r="870" spans="1:12" x14ac:dyDescent="0.35">
      <c r="A870" s="45">
        <v>866</v>
      </c>
      <c r="B870" s="2"/>
      <c r="C870" s="2"/>
      <c r="D870" s="2"/>
      <c r="E870" s="3"/>
      <c r="F870" s="3"/>
      <c r="G870" s="2"/>
      <c r="H870" s="2"/>
      <c r="I870" s="46"/>
      <c r="J870" s="12"/>
      <c r="K870" s="2"/>
      <c r="L870" s="59"/>
    </row>
    <row r="871" spans="1:12" x14ac:dyDescent="0.35">
      <c r="A871" s="45">
        <v>867</v>
      </c>
      <c r="B871" s="2"/>
      <c r="C871" s="2"/>
      <c r="D871" s="2"/>
      <c r="E871" s="3"/>
      <c r="F871" s="3"/>
      <c r="G871" s="2"/>
      <c r="H871" s="2"/>
      <c r="I871" s="46"/>
      <c r="J871" s="12"/>
      <c r="K871" s="2"/>
      <c r="L871" s="59"/>
    </row>
    <row r="872" spans="1:12" x14ac:dyDescent="0.35">
      <c r="A872" s="45">
        <v>868</v>
      </c>
      <c r="B872" s="2"/>
      <c r="C872" s="2"/>
      <c r="D872" s="2"/>
      <c r="E872" s="3"/>
      <c r="F872" s="3"/>
      <c r="G872" s="2"/>
      <c r="H872" s="2"/>
      <c r="I872" s="46"/>
      <c r="J872" s="12"/>
      <c r="K872" s="2"/>
      <c r="L872" s="59"/>
    </row>
    <row r="873" spans="1:12" x14ac:dyDescent="0.35">
      <c r="A873" s="45">
        <v>869</v>
      </c>
      <c r="B873" s="2"/>
      <c r="C873" s="2"/>
      <c r="D873" s="2"/>
      <c r="E873" s="3"/>
      <c r="F873" s="3"/>
      <c r="G873" s="2"/>
      <c r="H873" s="2"/>
      <c r="I873" s="46"/>
      <c r="J873" s="12"/>
      <c r="K873" s="2"/>
      <c r="L873" s="59"/>
    </row>
    <row r="874" spans="1:12" x14ac:dyDescent="0.35">
      <c r="A874" s="45">
        <v>870</v>
      </c>
      <c r="B874" s="2"/>
      <c r="C874" s="2"/>
      <c r="D874" s="2"/>
      <c r="E874" s="3"/>
      <c r="F874" s="3"/>
      <c r="G874" s="2"/>
      <c r="H874" s="2"/>
      <c r="I874" s="46"/>
      <c r="J874" s="12"/>
      <c r="K874" s="2"/>
      <c r="L874" s="59"/>
    </row>
    <row r="875" spans="1:12" x14ac:dyDescent="0.35">
      <c r="A875" s="45">
        <v>871</v>
      </c>
      <c r="B875" s="2"/>
      <c r="C875" s="2"/>
      <c r="D875" s="2"/>
      <c r="E875" s="3"/>
      <c r="F875" s="3"/>
      <c r="G875" s="2"/>
      <c r="H875" s="2"/>
      <c r="I875" s="46"/>
      <c r="J875" s="12"/>
      <c r="K875" s="2"/>
      <c r="L875" s="59"/>
    </row>
    <row r="876" spans="1:12" x14ac:dyDescent="0.35">
      <c r="A876" s="45">
        <v>872</v>
      </c>
      <c r="B876" s="2"/>
      <c r="C876" s="2"/>
      <c r="D876" s="2"/>
      <c r="E876" s="3"/>
      <c r="F876" s="3"/>
      <c r="G876" s="2"/>
      <c r="H876" s="2"/>
      <c r="I876" s="46"/>
      <c r="J876" s="12"/>
      <c r="K876" s="2"/>
      <c r="L876" s="59"/>
    </row>
    <row r="877" spans="1:12" x14ac:dyDescent="0.35">
      <c r="A877" s="45">
        <v>873</v>
      </c>
      <c r="B877" s="2"/>
      <c r="C877" s="2"/>
      <c r="D877" s="2"/>
      <c r="E877" s="3"/>
      <c r="F877" s="3"/>
      <c r="G877" s="2"/>
      <c r="H877" s="2"/>
      <c r="I877" s="46"/>
      <c r="J877" s="12"/>
      <c r="K877" s="2"/>
      <c r="L877" s="59"/>
    </row>
    <row r="878" spans="1:12" x14ac:dyDescent="0.35">
      <c r="A878" s="45">
        <v>874</v>
      </c>
      <c r="B878" s="2"/>
      <c r="C878" s="2"/>
      <c r="D878" s="2"/>
      <c r="E878" s="3"/>
      <c r="F878" s="3"/>
      <c r="G878" s="2"/>
      <c r="H878" s="2"/>
      <c r="I878" s="46"/>
      <c r="J878" s="12"/>
      <c r="K878" s="2"/>
      <c r="L878" s="59"/>
    </row>
    <row r="879" spans="1:12" x14ac:dyDescent="0.35">
      <c r="A879" s="45">
        <v>875</v>
      </c>
      <c r="B879" s="2"/>
      <c r="C879" s="2"/>
      <c r="D879" s="2"/>
      <c r="E879" s="3"/>
      <c r="F879" s="3"/>
      <c r="G879" s="2"/>
      <c r="H879" s="2"/>
      <c r="I879" s="46"/>
      <c r="J879" s="12"/>
      <c r="K879" s="2"/>
      <c r="L879" s="59"/>
    </row>
    <row r="880" spans="1:12" x14ac:dyDescent="0.35">
      <c r="A880" s="45">
        <v>876</v>
      </c>
      <c r="B880" s="2"/>
      <c r="C880" s="2"/>
      <c r="D880" s="2"/>
      <c r="E880" s="3"/>
      <c r="F880" s="3"/>
      <c r="G880" s="2"/>
      <c r="H880" s="2"/>
      <c r="I880" s="46"/>
      <c r="J880" s="12"/>
      <c r="K880" s="2"/>
      <c r="L880" s="59"/>
    </row>
    <row r="881" spans="1:12" x14ac:dyDescent="0.35">
      <c r="A881" s="45">
        <v>877</v>
      </c>
      <c r="B881" s="2"/>
      <c r="C881" s="2"/>
      <c r="D881" s="2"/>
      <c r="E881" s="3"/>
      <c r="F881" s="3"/>
      <c r="G881" s="2"/>
      <c r="H881" s="2"/>
      <c r="I881" s="46"/>
      <c r="J881" s="12"/>
      <c r="K881" s="2"/>
      <c r="L881" s="59"/>
    </row>
    <row r="882" spans="1:12" x14ac:dyDescent="0.35">
      <c r="A882" s="45">
        <v>878</v>
      </c>
      <c r="B882" s="2"/>
      <c r="C882" s="2"/>
      <c r="D882" s="2"/>
      <c r="E882" s="3"/>
      <c r="F882" s="3"/>
      <c r="G882" s="2"/>
      <c r="H882" s="2"/>
      <c r="I882" s="46"/>
      <c r="J882" s="12"/>
      <c r="K882" s="2"/>
      <c r="L882" s="59"/>
    </row>
    <row r="883" spans="1:12" x14ac:dyDescent="0.35">
      <c r="A883" s="45">
        <v>879</v>
      </c>
      <c r="B883" s="2"/>
      <c r="C883" s="2"/>
      <c r="D883" s="2"/>
      <c r="E883" s="3"/>
      <c r="F883" s="3"/>
      <c r="G883" s="2"/>
      <c r="H883" s="2"/>
      <c r="I883" s="46"/>
      <c r="J883" s="12"/>
      <c r="K883" s="2"/>
      <c r="L883" s="59"/>
    </row>
    <row r="884" spans="1:12" x14ac:dyDescent="0.35">
      <c r="A884" s="45">
        <v>880</v>
      </c>
      <c r="B884" s="2"/>
      <c r="C884" s="2"/>
      <c r="D884" s="2"/>
      <c r="E884" s="3"/>
      <c r="F884" s="3"/>
      <c r="G884" s="2"/>
      <c r="H884" s="2"/>
      <c r="I884" s="46"/>
      <c r="J884" s="12"/>
      <c r="K884" s="2"/>
      <c r="L884" s="59"/>
    </row>
    <row r="885" spans="1:12" x14ac:dyDescent="0.35">
      <c r="A885" s="45">
        <v>881</v>
      </c>
      <c r="B885" s="2"/>
      <c r="C885" s="2"/>
      <c r="D885" s="2"/>
      <c r="E885" s="3"/>
      <c r="F885" s="3"/>
      <c r="G885" s="2"/>
      <c r="H885" s="2"/>
      <c r="I885" s="46"/>
      <c r="J885" s="12"/>
      <c r="K885" s="2"/>
      <c r="L885" s="59"/>
    </row>
    <row r="886" spans="1:12" x14ac:dyDescent="0.35">
      <c r="A886" s="45">
        <v>882</v>
      </c>
      <c r="B886" s="2"/>
      <c r="C886" s="2"/>
      <c r="D886" s="2"/>
      <c r="E886" s="3"/>
      <c r="F886" s="3"/>
      <c r="G886" s="2"/>
      <c r="H886" s="2"/>
      <c r="I886" s="46"/>
      <c r="J886" s="12"/>
      <c r="K886" s="2"/>
      <c r="L886" s="59"/>
    </row>
    <row r="887" spans="1:12" x14ac:dyDescent="0.35">
      <c r="A887" s="45">
        <v>883</v>
      </c>
      <c r="B887" s="2"/>
      <c r="C887" s="2"/>
      <c r="D887" s="2"/>
      <c r="E887" s="3"/>
      <c r="F887" s="3"/>
      <c r="G887" s="2"/>
      <c r="H887" s="2"/>
      <c r="I887" s="46"/>
      <c r="J887" s="12"/>
      <c r="K887" s="2"/>
      <c r="L887" s="59"/>
    </row>
    <row r="888" spans="1:12" x14ac:dyDescent="0.35">
      <c r="A888" s="45">
        <v>884</v>
      </c>
      <c r="B888" s="2"/>
      <c r="C888" s="2"/>
      <c r="D888" s="2"/>
      <c r="E888" s="3"/>
      <c r="F888" s="3"/>
      <c r="G888" s="2"/>
      <c r="H888" s="2"/>
      <c r="I888" s="46"/>
      <c r="J888" s="12"/>
      <c r="K888" s="2"/>
      <c r="L888" s="59"/>
    </row>
    <row r="889" spans="1:12" x14ac:dyDescent="0.35">
      <c r="A889" s="45">
        <v>885</v>
      </c>
      <c r="B889" s="2"/>
      <c r="C889" s="2"/>
      <c r="D889" s="2"/>
      <c r="E889" s="3"/>
      <c r="F889" s="3"/>
      <c r="G889" s="2"/>
      <c r="H889" s="2"/>
      <c r="I889" s="46"/>
      <c r="J889" s="12"/>
      <c r="K889" s="2"/>
      <c r="L889" s="59"/>
    </row>
    <row r="890" spans="1:12" x14ac:dyDescent="0.35">
      <c r="A890" s="45">
        <v>886</v>
      </c>
      <c r="B890" s="2"/>
      <c r="C890" s="2"/>
      <c r="D890" s="2"/>
      <c r="E890" s="3"/>
      <c r="F890" s="3"/>
      <c r="G890" s="2"/>
      <c r="H890" s="2"/>
      <c r="I890" s="46"/>
      <c r="J890" s="12"/>
      <c r="K890" s="2"/>
      <c r="L890" s="59"/>
    </row>
    <row r="891" spans="1:12" x14ac:dyDescent="0.35">
      <c r="A891" s="45">
        <v>887</v>
      </c>
      <c r="B891" s="2"/>
      <c r="C891" s="2"/>
      <c r="D891" s="2"/>
      <c r="E891" s="3"/>
      <c r="F891" s="3"/>
      <c r="G891" s="2"/>
      <c r="H891" s="2"/>
      <c r="I891" s="46"/>
      <c r="J891" s="12"/>
      <c r="K891" s="2"/>
      <c r="L891" s="59"/>
    </row>
    <row r="892" spans="1:12" x14ac:dyDescent="0.35">
      <c r="A892" s="45">
        <v>888</v>
      </c>
      <c r="B892" s="2"/>
      <c r="C892" s="2"/>
      <c r="D892" s="2"/>
      <c r="E892" s="3"/>
      <c r="F892" s="3"/>
      <c r="G892" s="2"/>
      <c r="H892" s="2"/>
      <c r="I892" s="46"/>
      <c r="J892" s="12"/>
      <c r="K892" s="2"/>
      <c r="L892" s="59"/>
    </row>
    <row r="893" spans="1:12" x14ac:dyDescent="0.35">
      <c r="A893" s="45">
        <v>889</v>
      </c>
      <c r="B893" s="2"/>
      <c r="C893" s="2"/>
      <c r="D893" s="2"/>
      <c r="E893" s="3"/>
      <c r="F893" s="3"/>
      <c r="G893" s="2"/>
      <c r="H893" s="2"/>
      <c r="I893" s="46"/>
      <c r="J893" s="12"/>
      <c r="K893" s="2"/>
      <c r="L893" s="59"/>
    </row>
    <row r="894" spans="1:12" x14ac:dyDescent="0.35">
      <c r="A894" s="45">
        <v>890</v>
      </c>
      <c r="B894" s="2"/>
      <c r="C894" s="2"/>
      <c r="D894" s="2"/>
      <c r="E894" s="3"/>
      <c r="F894" s="3"/>
      <c r="G894" s="2"/>
      <c r="H894" s="2"/>
      <c r="I894" s="46"/>
      <c r="J894" s="12"/>
      <c r="K894" s="2"/>
      <c r="L894" s="59"/>
    </row>
    <row r="895" spans="1:12" x14ac:dyDescent="0.35">
      <c r="A895" s="45">
        <v>891</v>
      </c>
      <c r="B895" s="2"/>
      <c r="C895" s="2"/>
      <c r="D895" s="2"/>
      <c r="E895" s="3"/>
      <c r="F895" s="3"/>
      <c r="G895" s="2"/>
      <c r="H895" s="2"/>
      <c r="I895" s="46"/>
      <c r="J895" s="12"/>
      <c r="K895" s="2"/>
      <c r="L895" s="59"/>
    </row>
    <row r="896" spans="1:12" x14ac:dyDescent="0.35">
      <c r="A896" s="45">
        <v>892</v>
      </c>
      <c r="B896" s="2"/>
      <c r="C896" s="2"/>
      <c r="D896" s="2"/>
      <c r="E896" s="3"/>
      <c r="F896" s="3"/>
      <c r="G896" s="2"/>
      <c r="H896" s="2"/>
      <c r="I896" s="46"/>
      <c r="J896" s="12"/>
      <c r="K896" s="2"/>
      <c r="L896" s="59"/>
    </row>
    <row r="897" spans="1:12" x14ac:dyDescent="0.35">
      <c r="A897" s="45">
        <v>893</v>
      </c>
      <c r="B897" s="2"/>
      <c r="C897" s="2"/>
      <c r="D897" s="2"/>
      <c r="E897" s="3"/>
      <c r="F897" s="3"/>
      <c r="G897" s="2"/>
      <c r="H897" s="2"/>
      <c r="I897" s="46"/>
      <c r="J897" s="12"/>
      <c r="K897" s="2"/>
      <c r="L897" s="59"/>
    </row>
    <row r="898" spans="1:12" x14ac:dyDescent="0.35">
      <c r="A898" s="45">
        <v>894</v>
      </c>
      <c r="B898" s="2"/>
      <c r="C898" s="2"/>
      <c r="D898" s="2"/>
      <c r="E898" s="3"/>
      <c r="F898" s="3"/>
      <c r="G898" s="2"/>
      <c r="H898" s="2"/>
      <c r="I898" s="46"/>
      <c r="J898" s="12"/>
      <c r="K898" s="2"/>
      <c r="L898" s="59"/>
    </row>
    <row r="899" spans="1:12" x14ac:dyDescent="0.35">
      <c r="A899" s="45">
        <v>895</v>
      </c>
      <c r="B899" s="2"/>
      <c r="C899" s="2"/>
      <c r="D899" s="2"/>
      <c r="E899" s="3"/>
      <c r="F899" s="3"/>
      <c r="G899" s="2"/>
      <c r="H899" s="2"/>
      <c r="I899" s="46"/>
      <c r="J899" s="12"/>
      <c r="K899" s="2"/>
      <c r="L899" s="59"/>
    </row>
    <row r="900" spans="1:12" x14ac:dyDescent="0.35">
      <c r="A900" s="45">
        <v>896</v>
      </c>
      <c r="B900" s="2"/>
      <c r="C900" s="2"/>
      <c r="D900" s="2"/>
      <c r="E900" s="3"/>
      <c r="F900" s="3"/>
      <c r="G900" s="2"/>
      <c r="H900" s="2"/>
      <c r="I900" s="46"/>
      <c r="J900" s="12"/>
      <c r="K900" s="2"/>
      <c r="L900" s="59"/>
    </row>
    <row r="901" spans="1:12" x14ac:dyDescent="0.35">
      <c r="A901" s="45">
        <v>897</v>
      </c>
      <c r="B901" s="2"/>
      <c r="C901" s="2"/>
      <c r="D901" s="2"/>
      <c r="E901" s="3"/>
      <c r="F901" s="3"/>
      <c r="G901" s="2"/>
      <c r="H901" s="2"/>
      <c r="I901" s="46"/>
      <c r="J901" s="12"/>
      <c r="K901" s="2"/>
      <c r="L901" s="59"/>
    </row>
    <row r="902" spans="1:12" x14ac:dyDescent="0.35">
      <c r="A902" s="45">
        <v>898</v>
      </c>
      <c r="B902" s="2"/>
      <c r="C902" s="2"/>
      <c r="D902" s="2"/>
      <c r="E902" s="3"/>
      <c r="F902" s="3"/>
      <c r="G902" s="2"/>
      <c r="H902" s="2"/>
      <c r="I902" s="46"/>
      <c r="J902" s="12"/>
      <c r="K902" s="2"/>
      <c r="L902" s="59"/>
    </row>
    <row r="903" spans="1:12" x14ac:dyDescent="0.35">
      <c r="A903" s="45">
        <v>899</v>
      </c>
      <c r="B903" s="2"/>
      <c r="C903" s="2"/>
      <c r="D903" s="2"/>
      <c r="E903" s="3"/>
      <c r="F903" s="3"/>
      <c r="G903" s="2"/>
      <c r="H903" s="2"/>
      <c r="I903" s="46"/>
      <c r="J903" s="12"/>
      <c r="K903" s="2"/>
      <c r="L903" s="59"/>
    </row>
    <row r="904" spans="1:12" x14ac:dyDescent="0.35">
      <c r="A904" s="45">
        <v>900</v>
      </c>
      <c r="B904" s="2"/>
      <c r="C904" s="2"/>
      <c r="D904" s="2"/>
      <c r="E904" s="3"/>
      <c r="F904" s="3"/>
      <c r="G904" s="2"/>
      <c r="H904" s="2"/>
      <c r="I904" s="46"/>
      <c r="J904" s="12"/>
      <c r="K904" s="2"/>
      <c r="L904" s="59"/>
    </row>
    <row r="905" spans="1:12" x14ac:dyDescent="0.35">
      <c r="A905" s="45">
        <v>901</v>
      </c>
      <c r="B905" s="2"/>
      <c r="C905" s="2"/>
      <c r="D905" s="2"/>
      <c r="E905" s="3"/>
      <c r="F905" s="3"/>
      <c r="G905" s="2"/>
      <c r="H905" s="2"/>
      <c r="I905" s="46"/>
      <c r="J905" s="12"/>
      <c r="K905" s="2"/>
      <c r="L905" s="59"/>
    </row>
    <row r="906" spans="1:12" x14ac:dyDescent="0.35">
      <c r="A906" s="45">
        <v>902</v>
      </c>
      <c r="B906" s="2"/>
      <c r="C906" s="2"/>
      <c r="D906" s="2"/>
      <c r="E906" s="3"/>
      <c r="F906" s="3"/>
      <c r="G906" s="2"/>
      <c r="H906" s="2"/>
      <c r="I906" s="46"/>
      <c r="J906" s="12"/>
      <c r="K906" s="2"/>
      <c r="L906" s="59"/>
    </row>
    <row r="907" spans="1:12" x14ac:dyDescent="0.35">
      <c r="A907" s="45">
        <v>903</v>
      </c>
      <c r="B907" s="2"/>
      <c r="C907" s="2"/>
      <c r="D907" s="2"/>
      <c r="E907" s="3"/>
      <c r="F907" s="3"/>
      <c r="G907" s="2"/>
      <c r="H907" s="2"/>
      <c r="I907" s="46"/>
      <c r="J907" s="12"/>
      <c r="K907" s="2"/>
      <c r="L907" s="59"/>
    </row>
    <row r="908" spans="1:12" x14ac:dyDescent="0.35">
      <c r="A908" s="45">
        <v>904</v>
      </c>
      <c r="B908" s="2"/>
      <c r="C908" s="2"/>
      <c r="D908" s="2"/>
      <c r="E908" s="3"/>
      <c r="F908" s="3"/>
      <c r="G908" s="2"/>
      <c r="H908" s="2"/>
      <c r="I908" s="46"/>
      <c r="J908" s="12"/>
      <c r="K908" s="2"/>
      <c r="L908" s="59"/>
    </row>
    <row r="909" spans="1:12" x14ac:dyDescent="0.35">
      <c r="A909" s="45">
        <v>905</v>
      </c>
      <c r="B909" s="2"/>
      <c r="C909" s="2"/>
      <c r="D909" s="2"/>
      <c r="E909" s="3"/>
      <c r="F909" s="3"/>
      <c r="G909" s="2"/>
      <c r="H909" s="2"/>
      <c r="I909" s="46"/>
      <c r="J909" s="12"/>
      <c r="K909" s="2"/>
      <c r="L909" s="59"/>
    </row>
    <row r="910" spans="1:12" x14ac:dyDescent="0.35">
      <c r="A910" s="45">
        <v>906</v>
      </c>
      <c r="B910" s="2"/>
      <c r="C910" s="2"/>
      <c r="D910" s="2"/>
      <c r="E910" s="3"/>
      <c r="F910" s="3"/>
      <c r="G910" s="2"/>
      <c r="H910" s="2"/>
      <c r="I910" s="46"/>
      <c r="J910" s="12"/>
      <c r="K910" s="2"/>
      <c r="L910" s="59"/>
    </row>
    <row r="911" spans="1:12" x14ac:dyDescent="0.35">
      <c r="A911" s="45">
        <v>907</v>
      </c>
      <c r="B911" s="2"/>
      <c r="C911" s="2"/>
      <c r="D911" s="2"/>
      <c r="E911" s="3"/>
      <c r="F911" s="3"/>
      <c r="G911" s="2"/>
      <c r="H911" s="2"/>
      <c r="I911" s="46"/>
      <c r="J911" s="12"/>
      <c r="K911" s="2"/>
      <c r="L911" s="59"/>
    </row>
    <row r="912" spans="1:12" x14ac:dyDescent="0.35">
      <c r="A912" s="45">
        <v>908</v>
      </c>
      <c r="B912" s="2"/>
      <c r="C912" s="2"/>
      <c r="D912" s="2"/>
      <c r="E912" s="3"/>
      <c r="F912" s="3"/>
      <c r="G912" s="2"/>
      <c r="H912" s="2"/>
      <c r="I912" s="46"/>
      <c r="J912" s="12"/>
      <c r="K912" s="2"/>
      <c r="L912" s="59"/>
    </row>
    <row r="913" spans="1:12" x14ac:dyDescent="0.35">
      <c r="A913" s="45">
        <v>909</v>
      </c>
      <c r="B913" s="2"/>
      <c r="C913" s="2"/>
      <c r="D913" s="2"/>
      <c r="E913" s="3"/>
      <c r="F913" s="3"/>
      <c r="G913" s="2"/>
      <c r="H913" s="2"/>
      <c r="I913" s="46"/>
      <c r="J913" s="12"/>
      <c r="K913" s="2"/>
      <c r="L913" s="59"/>
    </row>
    <row r="914" spans="1:12" x14ac:dyDescent="0.35">
      <c r="A914" s="45">
        <v>910</v>
      </c>
      <c r="B914" s="2"/>
      <c r="C914" s="2"/>
      <c r="D914" s="2"/>
      <c r="E914" s="3"/>
      <c r="F914" s="3"/>
      <c r="G914" s="2"/>
      <c r="H914" s="2"/>
      <c r="I914" s="46"/>
      <c r="J914" s="12"/>
      <c r="K914" s="2"/>
      <c r="L914" s="59"/>
    </row>
    <row r="915" spans="1:12" x14ac:dyDescent="0.35">
      <c r="A915" s="45">
        <v>911</v>
      </c>
      <c r="B915" s="2"/>
      <c r="C915" s="2"/>
      <c r="D915" s="2"/>
      <c r="E915" s="3"/>
      <c r="F915" s="3"/>
      <c r="G915" s="2"/>
      <c r="H915" s="2"/>
      <c r="I915" s="46"/>
      <c r="J915" s="12"/>
      <c r="K915" s="2"/>
      <c r="L915" s="59"/>
    </row>
    <row r="916" spans="1:12" x14ac:dyDescent="0.35">
      <c r="A916" s="45">
        <v>912</v>
      </c>
      <c r="B916" s="2"/>
      <c r="C916" s="2"/>
      <c r="D916" s="2"/>
      <c r="E916" s="3"/>
      <c r="F916" s="3"/>
      <c r="G916" s="2"/>
      <c r="H916" s="2"/>
      <c r="I916" s="46"/>
      <c r="J916" s="12"/>
      <c r="K916" s="2"/>
      <c r="L916" s="59"/>
    </row>
    <row r="917" spans="1:12" x14ac:dyDescent="0.35">
      <c r="A917" s="45">
        <v>913</v>
      </c>
      <c r="B917" s="2"/>
      <c r="C917" s="2"/>
      <c r="D917" s="2"/>
      <c r="E917" s="3"/>
      <c r="F917" s="3"/>
      <c r="G917" s="2"/>
      <c r="H917" s="2"/>
      <c r="I917" s="46"/>
      <c r="J917" s="12"/>
      <c r="K917" s="2"/>
      <c r="L917" s="59"/>
    </row>
    <row r="918" spans="1:12" x14ac:dyDescent="0.35">
      <c r="A918" s="45">
        <v>914</v>
      </c>
      <c r="B918" s="2"/>
      <c r="C918" s="2"/>
      <c r="D918" s="2"/>
      <c r="E918" s="3"/>
      <c r="F918" s="3"/>
      <c r="G918" s="2"/>
      <c r="H918" s="2"/>
      <c r="I918" s="46"/>
      <c r="J918" s="12"/>
      <c r="K918" s="2"/>
      <c r="L918" s="59"/>
    </row>
    <row r="919" spans="1:12" x14ac:dyDescent="0.35">
      <c r="A919" s="45">
        <v>915</v>
      </c>
      <c r="B919" s="2"/>
      <c r="C919" s="2"/>
      <c r="D919" s="2"/>
      <c r="E919" s="3"/>
      <c r="F919" s="3"/>
      <c r="G919" s="2"/>
      <c r="H919" s="2"/>
      <c r="I919" s="46"/>
      <c r="J919" s="12"/>
      <c r="K919" s="2"/>
      <c r="L919" s="59"/>
    </row>
    <row r="920" spans="1:12" x14ac:dyDescent="0.35">
      <c r="A920" s="45">
        <v>916</v>
      </c>
      <c r="B920" s="2"/>
      <c r="C920" s="2"/>
      <c r="D920" s="2"/>
      <c r="E920" s="3"/>
      <c r="F920" s="3"/>
      <c r="G920" s="2"/>
      <c r="H920" s="2"/>
      <c r="I920" s="46"/>
      <c r="J920" s="12"/>
      <c r="K920" s="2"/>
      <c r="L920" s="59"/>
    </row>
    <row r="921" spans="1:12" x14ac:dyDescent="0.35">
      <c r="A921" s="45">
        <v>917</v>
      </c>
      <c r="B921" s="2"/>
      <c r="C921" s="2"/>
      <c r="D921" s="2"/>
      <c r="E921" s="3"/>
      <c r="F921" s="3"/>
      <c r="G921" s="2"/>
      <c r="H921" s="2"/>
      <c r="I921" s="46"/>
      <c r="J921" s="12"/>
      <c r="K921" s="2"/>
      <c r="L921" s="59"/>
    </row>
    <row r="922" spans="1:12" x14ac:dyDescent="0.35">
      <c r="A922" s="45">
        <v>918</v>
      </c>
      <c r="B922" s="2"/>
      <c r="C922" s="2"/>
      <c r="D922" s="2"/>
      <c r="E922" s="3"/>
      <c r="F922" s="3"/>
      <c r="G922" s="2"/>
      <c r="H922" s="2"/>
      <c r="I922" s="46"/>
      <c r="J922" s="12"/>
      <c r="K922" s="2"/>
      <c r="L922" s="59"/>
    </row>
    <row r="923" spans="1:12" x14ac:dyDescent="0.35">
      <c r="A923" s="45">
        <v>919</v>
      </c>
      <c r="B923" s="2"/>
      <c r="C923" s="2"/>
      <c r="D923" s="2"/>
      <c r="E923" s="3"/>
      <c r="F923" s="3"/>
      <c r="G923" s="2"/>
      <c r="H923" s="2"/>
      <c r="I923" s="46"/>
      <c r="J923" s="12"/>
      <c r="K923" s="2"/>
      <c r="L923" s="59"/>
    </row>
    <row r="924" spans="1:12" x14ac:dyDescent="0.35">
      <c r="A924" s="45">
        <v>920</v>
      </c>
      <c r="B924" s="2"/>
      <c r="C924" s="2"/>
      <c r="D924" s="2"/>
      <c r="E924" s="3"/>
      <c r="F924" s="3"/>
      <c r="G924" s="2"/>
      <c r="H924" s="2"/>
      <c r="I924" s="46"/>
      <c r="J924" s="12"/>
      <c r="K924" s="2"/>
      <c r="L924" s="59"/>
    </row>
    <row r="925" spans="1:12" x14ac:dyDescent="0.35">
      <c r="A925" s="45">
        <v>921</v>
      </c>
      <c r="B925" s="2"/>
      <c r="C925" s="2"/>
      <c r="D925" s="2"/>
      <c r="E925" s="3"/>
      <c r="F925" s="3"/>
      <c r="G925" s="2"/>
      <c r="H925" s="2"/>
      <c r="I925" s="46"/>
      <c r="J925" s="12"/>
      <c r="K925" s="2"/>
      <c r="L925" s="59"/>
    </row>
    <row r="926" spans="1:12" x14ac:dyDescent="0.35">
      <c r="A926" s="45">
        <v>922</v>
      </c>
      <c r="B926" s="2"/>
      <c r="C926" s="2"/>
      <c r="D926" s="2"/>
      <c r="E926" s="3"/>
      <c r="F926" s="3"/>
      <c r="G926" s="2"/>
      <c r="H926" s="2"/>
      <c r="I926" s="46"/>
      <c r="J926" s="12"/>
      <c r="K926" s="2"/>
      <c r="L926" s="59"/>
    </row>
    <row r="927" spans="1:12" x14ac:dyDescent="0.35">
      <c r="A927" s="45">
        <v>923</v>
      </c>
      <c r="B927" s="2"/>
      <c r="C927" s="2"/>
      <c r="D927" s="2"/>
      <c r="E927" s="3"/>
      <c r="F927" s="3"/>
      <c r="G927" s="2"/>
      <c r="H927" s="2"/>
      <c r="I927" s="46"/>
      <c r="J927" s="12"/>
      <c r="K927" s="2"/>
      <c r="L927" s="59"/>
    </row>
    <row r="928" spans="1:12" x14ac:dyDescent="0.35">
      <c r="A928" s="45">
        <v>924</v>
      </c>
      <c r="B928" s="2"/>
      <c r="C928" s="2"/>
      <c r="D928" s="2"/>
      <c r="E928" s="3"/>
      <c r="F928" s="3"/>
      <c r="G928" s="2"/>
      <c r="H928" s="2"/>
      <c r="I928" s="46"/>
      <c r="J928" s="12"/>
      <c r="K928" s="2"/>
      <c r="L928" s="59"/>
    </row>
    <row r="929" spans="1:12" x14ac:dyDescent="0.35">
      <c r="A929" s="45">
        <v>925</v>
      </c>
      <c r="B929" s="2"/>
      <c r="C929" s="2"/>
      <c r="D929" s="2"/>
      <c r="E929" s="3"/>
      <c r="F929" s="3"/>
      <c r="G929" s="2"/>
      <c r="H929" s="2"/>
      <c r="I929" s="46"/>
      <c r="J929" s="12"/>
      <c r="K929" s="2"/>
      <c r="L929" s="59"/>
    </row>
    <row r="930" spans="1:12" x14ac:dyDescent="0.35">
      <c r="A930" s="45">
        <v>926</v>
      </c>
      <c r="B930" s="2"/>
      <c r="C930" s="2"/>
      <c r="D930" s="2"/>
      <c r="E930" s="3"/>
      <c r="F930" s="3"/>
      <c r="G930" s="2"/>
      <c r="H930" s="2"/>
      <c r="I930" s="46"/>
      <c r="J930" s="12"/>
      <c r="K930" s="2"/>
      <c r="L930" s="59"/>
    </row>
    <row r="931" spans="1:12" x14ac:dyDescent="0.35">
      <c r="A931" s="45">
        <v>927</v>
      </c>
      <c r="B931" s="2"/>
      <c r="C931" s="2"/>
      <c r="D931" s="2"/>
      <c r="E931" s="3"/>
      <c r="F931" s="3"/>
      <c r="G931" s="2"/>
      <c r="H931" s="2"/>
      <c r="I931" s="46"/>
      <c r="J931" s="12"/>
      <c r="K931" s="2"/>
      <c r="L931" s="59"/>
    </row>
    <row r="932" spans="1:12" x14ac:dyDescent="0.35">
      <c r="A932" s="45">
        <v>928</v>
      </c>
      <c r="B932" s="2"/>
      <c r="C932" s="2"/>
      <c r="D932" s="2"/>
      <c r="E932" s="3"/>
      <c r="F932" s="3"/>
      <c r="G932" s="2"/>
      <c r="H932" s="2"/>
      <c r="I932" s="46"/>
      <c r="J932" s="12"/>
      <c r="K932" s="2"/>
      <c r="L932" s="59"/>
    </row>
    <row r="933" spans="1:12" x14ac:dyDescent="0.35">
      <c r="A933" s="45">
        <v>929</v>
      </c>
      <c r="B933" s="2"/>
      <c r="C933" s="2"/>
      <c r="D933" s="2"/>
      <c r="E933" s="3"/>
      <c r="F933" s="3"/>
      <c r="G933" s="2"/>
      <c r="H933" s="2"/>
      <c r="I933" s="46"/>
      <c r="J933" s="12"/>
      <c r="K933" s="2"/>
      <c r="L933" s="59"/>
    </row>
    <row r="934" spans="1:12" x14ac:dyDescent="0.35">
      <c r="A934" s="45">
        <v>930</v>
      </c>
      <c r="B934" s="2"/>
      <c r="C934" s="2"/>
      <c r="D934" s="2"/>
      <c r="E934" s="3"/>
      <c r="F934" s="3"/>
      <c r="G934" s="2"/>
      <c r="H934" s="2"/>
      <c r="I934" s="46"/>
      <c r="J934" s="12"/>
      <c r="K934" s="2"/>
      <c r="L934" s="59"/>
    </row>
    <row r="935" spans="1:12" x14ac:dyDescent="0.35">
      <c r="A935" s="45">
        <v>931</v>
      </c>
      <c r="B935" s="2"/>
      <c r="C935" s="2"/>
      <c r="D935" s="2"/>
      <c r="E935" s="3"/>
      <c r="F935" s="3"/>
      <c r="G935" s="2"/>
      <c r="H935" s="2"/>
      <c r="I935" s="46"/>
      <c r="J935" s="12"/>
      <c r="K935" s="2"/>
      <c r="L935" s="59"/>
    </row>
    <row r="936" spans="1:12" x14ac:dyDescent="0.35">
      <c r="A936" s="45">
        <v>932</v>
      </c>
      <c r="B936" s="2"/>
      <c r="C936" s="2"/>
      <c r="D936" s="2"/>
      <c r="E936" s="3"/>
      <c r="F936" s="3"/>
      <c r="G936" s="2"/>
      <c r="H936" s="2"/>
      <c r="I936" s="46"/>
      <c r="J936" s="12"/>
      <c r="K936" s="2"/>
      <c r="L936" s="59"/>
    </row>
    <row r="937" spans="1:12" x14ac:dyDescent="0.35">
      <c r="A937" s="45">
        <v>933</v>
      </c>
      <c r="B937" s="2"/>
      <c r="C937" s="2"/>
      <c r="D937" s="2"/>
      <c r="E937" s="3"/>
      <c r="F937" s="3"/>
      <c r="G937" s="2"/>
      <c r="H937" s="2"/>
      <c r="I937" s="46"/>
      <c r="J937" s="12"/>
      <c r="K937" s="2"/>
      <c r="L937" s="59"/>
    </row>
    <row r="938" spans="1:12" x14ac:dyDescent="0.35">
      <c r="A938" s="45">
        <v>934</v>
      </c>
      <c r="B938" s="2"/>
      <c r="C938" s="2"/>
      <c r="D938" s="2"/>
      <c r="E938" s="3"/>
      <c r="F938" s="3"/>
      <c r="G938" s="2"/>
      <c r="H938" s="2"/>
      <c r="I938" s="46"/>
      <c r="J938" s="12"/>
      <c r="K938" s="2"/>
      <c r="L938" s="59"/>
    </row>
    <row r="939" spans="1:12" x14ac:dyDescent="0.35">
      <c r="A939" s="45">
        <v>935</v>
      </c>
      <c r="B939" s="2"/>
      <c r="C939" s="2"/>
      <c r="D939" s="2"/>
      <c r="E939" s="3"/>
      <c r="F939" s="3"/>
      <c r="G939" s="2"/>
      <c r="H939" s="2"/>
      <c r="I939" s="46"/>
      <c r="J939" s="12"/>
      <c r="K939" s="2"/>
      <c r="L939" s="59"/>
    </row>
    <row r="940" spans="1:12" x14ac:dyDescent="0.35">
      <c r="A940" s="45">
        <v>936</v>
      </c>
      <c r="B940" s="2"/>
      <c r="C940" s="2"/>
      <c r="D940" s="2"/>
      <c r="E940" s="3"/>
      <c r="F940" s="3"/>
      <c r="G940" s="2"/>
      <c r="H940" s="2"/>
      <c r="I940" s="46"/>
      <c r="J940" s="12"/>
      <c r="K940" s="2"/>
      <c r="L940" s="59"/>
    </row>
    <row r="941" spans="1:12" x14ac:dyDescent="0.35">
      <c r="A941" s="45">
        <v>937</v>
      </c>
      <c r="B941" s="2"/>
      <c r="C941" s="2"/>
      <c r="D941" s="2"/>
      <c r="E941" s="3"/>
      <c r="F941" s="3"/>
      <c r="G941" s="2"/>
      <c r="H941" s="2"/>
      <c r="I941" s="46"/>
      <c r="J941" s="12"/>
      <c r="K941" s="2"/>
      <c r="L941" s="59"/>
    </row>
    <row r="942" spans="1:12" x14ac:dyDescent="0.35">
      <c r="A942" s="45">
        <v>938</v>
      </c>
      <c r="B942" s="2"/>
      <c r="C942" s="2"/>
      <c r="D942" s="2"/>
      <c r="E942" s="3"/>
      <c r="F942" s="3"/>
      <c r="G942" s="2"/>
      <c r="H942" s="2"/>
      <c r="I942" s="46"/>
      <c r="J942" s="12"/>
      <c r="K942" s="2"/>
      <c r="L942" s="59"/>
    </row>
    <row r="943" spans="1:12" x14ac:dyDescent="0.35">
      <c r="A943" s="45">
        <v>939</v>
      </c>
      <c r="B943" s="2"/>
      <c r="C943" s="2"/>
      <c r="D943" s="2"/>
      <c r="E943" s="3"/>
      <c r="F943" s="3"/>
      <c r="G943" s="2"/>
      <c r="H943" s="2"/>
      <c r="I943" s="46"/>
      <c r="J943" s="12"/>
      <c r="K943" s="2"/>
      <c r="L943" s="59"/>
    </row>
    <row r="944" spans="1:12" x14ac:dyDescent="0.35">
      <c r="A944" s="45">
        <v>940</v>
      </c>
      <c r="B944" s="2"/>
      <c r="C944" s="2"/>
      <c r="D944" s="2"/>
      <c r="E944" s="3"/>
      <c r="F944" s="3"/>
      <c r="G944" s="2"/>
      <c r="H944" s="2"/>
      <c r="I944" s="46"/>
      <c r="J944" s="12"/>
      <c r="K944" s="2"/>
      <c r="L944" s="59"/>
    </row>
    <row r="945" spans="1:12" x14ac:dyDescent="0.35">
      <c r="A945" s="45">
        <v>941</v>
      </c>
      <c r="B945" s="2"/>
      <c r="C945" s="2"/>
      <c r="D945" s="2"/>
      <c r="E945" s="3"/>
      <c r="F945" s="3"/>
      <c r="G945" s="2"/>
      <c r="H945" s="2"/>
      <c r="I945" s="46"/>
      <c r="J945" s="12"/>
      <c r="K945" s="2"/>
      <c r="L945" s="59"/>
    </row>
    <row r="946" spans="1:12" x14ac:dyDescent="0.35">
      <c r="A946" s="45">
        <v>942</v>
      </c>
      <c r="B946" s="2"/>
      <c r="C946" s="2"/>
      <c r="D946" s="2"/>
      <c r="E946" s="3"/>
      <c r="F946" s="3"/>
      <c r="G946" s="2"/>
      <c r="H946" s="2"/>
      <c r="I946" s="46"/>
      <c r="J946" s="12"/>
      <c r="K946" s="2"/>
      <c r="L946" s="59"/>
    </row>
    <row r="947" spans="1:12" x14ac:dyDescent="0.35">
      <c r="A947" s="45">
        <v>943</v>
      </c>
      <c r="B947" s="2"/>
      <c r="C947" s="2"/>
      <c r="D947" s="2"/>
      <c r="E947" s="3"/>
      <c r="F947" s="3"/>
      <c r="G947" s="2"/>
      <c r="H947" s="2"/>
      <c r="I947" s="46"/>
      <c r="J947" s="12"/>
      <c r="K947" s="2"/>
      <c r="L947" s="59"/>
    </row>
    <row r="948" spans="1:12" x14ac:dyDescent="0.35">
      <c r="A948" s="45">
        <v>944</v>
      </c>
      <c r="B948" s="2"/>
      <c r="C948" s="2"/>
      <c r="D948" s="2"/>
      <c r="E948" s="3"/>
      <c r="F948" s="3"/>
      <c r="G948" s="2"/>
      <c r="H948" s="2"/>
      <c r="I948" s="46"/>
      <c r="J948" s="12"/>
      <c r="K948" s="2"/>
      <c r="L948" s="59"/>
    </row>
    <row r="949" spans="1:12" x14ac:dyDescent="0.35">
      <c r="A949" s="45">
        <v>945</v>
      </c>
      <c r="B949" s="2"/>
      <c r="C949" s="2"/>
      <c r="D949" s="2"/>
      <c r="E949" s="3"/>
      <c r="F949" s="3"/>
      <c r="G949" s="2"/>
      <c r="H949" s="2"/>
      <c r="I949" s="46"/>
      <c r="J949" s="12"/>
      <c r="K949" s="2"/>
      <c r="L949" s="59"/>
    </row>
    <row r="950" spans="1:12" x14ac:dyDescent="0.35">
      <c r="A950" s="45">
        <v>946</v>
      </c>
      <c r="B950" s="2"/>
      <c r="C950" s="2"/>
      <c r="D950" s="2"/>
      <c r="E950" s="3"/>
      <c r="F950" s="3"/>
      <c r="G950" s="2"/>
      <c r="H950" s="2"/>
      <c r="I950" s="46"/>
      <c r="J950" s="12"/>
      <c r="K950" s="2"/>
      <c r="L950" s="59"/>
    </row>
    <row r="951" spans="1:12" x14ac:dyDescent="0.35">
      <c r="A951" s="45">
        <v>947</v>
      </c>
      <c r="B951" s="2"/>
      <c r="C951" s="2"/>
      <c r="D951" s="2"/>
      <c r="E951" s="3"/>
      <c r="F951" s="3"/>
      <c r="G951" s="2"/>
      <c r="H951" s="2"/>
      <c r="I951" s="46"/>
      <c r="J951" s="12"/>
      <c r="K951" s="2"/>
      <c r="L951" s="59"/>
    </row>
    <row r="952" spans="1:12" x14ac:dyDescent="0.35">
      <c r="A952" s="45">
        <v>948</v>
      </c>
      <c r="B952" s="2"/>
      <c r="C952" s="2"/>
      <c r="D952" s="2"/>
      <c r="E952" s="3"/>
      <c r="F952" s="3"/>
      <c r="G952" s="2"/>
      <c r="H952" s="2"/>
      <c r="I952" s="46"/>
      <c r="J952" s="12"/>
      <c r="K952" s="2"/>
      <c r="L952" s="59"/>
    </row>
    <row r="953" spans="1:12" x14ac:dyDescent="0.35">
      <c r="A953" s="45">
        <v>949</v>
      </c>
      <c r="B953" s="2"/>
      <c r="C953" s="2"/>
      <c r="D953" s="2"/>
      <c r="E953" s="3"/>
      <c r="F953" s="3"/>
      <c r="G953" s="2"/>
      <c r="H953" s="2"/>
      <c r="I953" s="46"/>
      <c r="J953" s="12"/>
      <c r="K953" s="2"/>
      <c r="L953" s="59"/>
    </row>
    <row r="954" spans="1:12" x14ac:dyDescent="0.35">
      <c r="A954" s="45">
        <v>950</v>
      </c>
      <c r="B954" s="2"/>
      <c r="C954" s="2"/>
      <c r="D954" s="2"/>
      <c r="E954" s="3"/>
      <c r="F954" s="3"/>
      <c r="G954" s="2"/>
      <c r="H954" s="2"/>
      <c r="I954" s="46"/>
      <c r="J954" s="12"/>
      <c r="K954" s="2"/>
      <c r="L954" s="59"/>
    </row>
    <row r="955" spans="1:12" x14ac:dyDescent="0.35">
      <c r="A955" s="45">
        <v>951</v>
      </c>
      <c r="B955" s="2"/>
      <c r="C955" s="2"/>
      <c r="D955" s="2"/>
      <c r="E955" s="3"/>
      <c r="F955" s="3"/>
      <c r="G955" s="2"/>
      <c r="H955" s="2"/>
      <c r="I955" s="46"/>
      <c r="J955" s="12"/>
      <c r="K955" s="2"/>
      <c r="L955" s="59"/>
    </row>
    <row r="956" spans="1:12" x14ac:dyDescent="0.35">
      <c r="A956" s="45">
        <v>952</v>
      </c>
      <c r="B956" s="2"/>
      <c r="C956" s="2"/>
      <c r="D956" s="2"/>
      <c r="E956" s="3"/>
      <c r="F956" s="3"/>
      <c r="G956" s="2"/>
      <c r="H956" s="2"/>
      <c r="I956" s="46"/>
      <c r="J956" s="12"/>
      <c r="K956" s="2"/>
      <c r="L956" s="59"/>
    </row>
    <row r="957" spans="1:12" x14ac:dyDescent="0.35">
      <c r="A957" s="45">
        <v>953</v>
      </c>
      <c r="B957" s="2"/>
      <c r="C957" s="2"/>
      <c r="D957" s="2"/>
      <c r="E957" s="3"/>
      <c r="F957" s="3"/>
      <c r="G957" s="2"/>
      <c r="H957" s="2"/>
      <c r="I957" s="46"/>
      <c r="J957" s="12"/>
      <c r="K957" s="2"/>
      <c r="L957" s="59"/>
    </row>
    <row r="958" spans="1:12" x14ac:dyDescent="0.35">
      <c r="A958" s="45">
        <v>954</v>
      </c>
      <c r="B958" s="2"/>
      <c r="C958" s="2"/>
      <c r="D958" s="2"/>
      <c r="E958" s="3"/>
      <c r="F958" s="3"/>
      <c r="G958" s="2"/>
      <c r="H958" s="2"/>
      <c r="I958" s="46"/>
      <c r="J958" s="12"/>
      <c r="K958" s="2"/>
      <c r="L958" s="59"/>
    </row>
    <row r="959" spans="1:12" x14ac:dyDescent="0.35">
      <c r="A959" s="45">
        <v>955</v>
      </c>
      <c r="B959" s="2"/>
      <c r="C959" s="2"/>
      <c r="D959" s="2"/>
      <c r="E959" s="3"/>
      <c r="F959" s="3"/>
      <c r="G959" s="2"/>
      <c r="H959" s="2"/>
      <c r="I959" s="46"/>
      <c r="J959" s="12"/>
      <c r="K959" s="2"/>
      <c r="L959" s="59"/>
    </row>
    <row r="960" spans="1:12" x14ac:dyDescent="0.35">
      <c r="A960" s="45">
        <v>956</v>
      </c>
      <c r="B960" s="2"/>
      <c r="C960" s="2"/>
      <c r="D960" s="2"/>
      <c r="E960" s="3"/>
      <c r="F960" s="3"/>
      <c r="G960" s="2"/>
      <c r="H960" s="2"/>
      <c r="I960" s="46"/>
      <c r="J960" s="12"/>
      <c r="K960" s="2"/>
      <c r="L960" s="59"/>
    </row>
    <row r="961" spans="1:12" x14ac:dyDescent="0.35">
      <c r="A961" s="45">
        <v>957</v>
      </c>
      <c r="B961" s="2"/>
      <c r="C961" s="2"/>
      <c r="D961" s="2"/>
      <c r="E961" s="3"/>
      <c r="F961" s="3"/>
      <c r="G961" s="2"/>
      <c r="H961" s="2"/>
      <c r="I961" s="46"/>
      <c r="J961" s="12"/>
      <c r="K961" s="2"/>
      <c r="L961" s="59"/>
    </row>
    <row r="962" spans="1:12" x14ac:dyDescent="0.35">
      <c r="A962" s="45">
        <v>958</v>
      </c>
      <c r="B962" s="2"/>
      <c r="C962" s="2"/>
      <c r="D962" s="2"/>
      <c r="E962" s="3"/>
      <c r="F962" s="3"/>
      <c r="G962" s="2"/>
      <c r="H962" s="2"/>
      <c r="I962" s="46"/>
      <c r="J962" s="12"/>
      <c r="K962" s="2"/>
      <c r="L962" s="59"/>
    </row>
    <row r="963" spans="1:12" x14ac:dyDescent="0.35">
      <c r="A963" s="45">
        <v>959</v>
      </c>
      <c r="B963" s="2"/>
      <c r="C963" s="2"/>
      <c r="D963" s="2"/>
      <c r="E963" s="3"/>
      <c r="F963" s="3"/>
      <c r="G963" s="2"/>
      <c r="H963" s="2"/>
      <c r="I963" s="46"/>
      <c r="J963" s="12"/>
      <c r="K963" s="2"/>
      <c r="L963" s="59"/>
    </row>
    <row r="964" spans="1:12" x14ac:dyDescent="0.35">
      <c r="A964" s="45">
        <v>960</v>
      </c>
      <c r="B964" s="2"/>
      <c r="C964" s="2"/>
      <c r="D964" s="2"/>
      <c r="E964" s="3"/>
      <c r="F964" s="3"/>
      <c r="G964" s="2"/>
      <c r="H964" s="2"/>
      <c r="I964" s="46"/>
      <c r="J964" s="12"/>
      <c r="K964" s="2"/>
      <c r="L964" s="59"/>
    </row>
    <row r="965" spans="1:12" x14ac:dyDescent="0.35">
      <c r="A965" s="45">
        <v>961</v>
      </c>
      <c r="B965" s="2"/>
      <c r="C965" s="2"/>
      <c r="D965" s="2"/>
      <c r="E965" s="3"/>
      <c r="F965" s="3"/>
      <c r="G965" s="2"/>
      <c r="H965" s="2"/>
      <c r="I965" s="46"/>
      <c r="J965" s="12"/>
      <c r="K965" s="2"/>
      <c r="L965" s="59"/>
    </row>
    <row r="966" spans="1:12" x14ac:dyDescent="0.35">
      <c r="A966" s="45">
        <v>962</v>
      </c>
      <c r="B966" s="2"/>
      <c r="C966" s="2"/>
      <c r="D966" s="2"/>
      <c r="E966" s="3"/>
      <c r="F966" s="3"/>
      <c r="G966" s="2"/>
      <c r="H966" s="2"/>
      <c r="I966" s="46"/>
      <c r="J966" s="12"/>
      <c r="K966" s="2"/>
      <c r="L966" s="59"/>
    </row>
    <row r="967" spans="1:12" x14ac:dyDescent="0.35">
      <c r="A967" s="45">
        <v>963</v>
      </c>
      <c r="B967" s="2"/>
      <c r="C967" s="2"/>
      <c r="D967" s="2"/>
      <c r="E967" s="3"/>
      <c r="F967" s="3"/>
      <c r="G967" s="2"/>
      <c r="H967" s="2"/>
      <c r="I967" s="46"/>
      <c r="J967" s="12"/>
      <c r="K967" s="2"/>
      <c r="L967" s="59"/>
    </row>
    <row r="968" spans="1:12" x14ac:dyDescent="0.35">
      <c r="A968" s="45">
        <v>964</v>
      </c>
      <c r="B968" s="2"/>
      <c r="C968" s="2"/>
      <c r="D968" s="2"/>
      <c r="E968" s="3"/>
      <c r="F968" s="3"/>
      <c r="G968" s="2"/>
      <c r="H968" s="2"/>
      <c r="I968" s="46"/>
      <c r="J968" s="12"/>
      <c r="K968" s="2"/>
      <c r="L968" s="59"/>
    </row>
    <row r="969" spans="1:12" x14ac:dyDescent="0.35">
      <c r="A969" s="45">
        <v>965</v>
      </c>
      <c r="B969" s="2"/>
      <c r="C969" s="2"/>
      <c r="D969" s="2"/>
      <c r="E969" s="3"/>
      <c r="F969" s="3"/>
      <c r="G969" s="2"/>
      <c r="H969" s="2"/>
      <c r="I969" s="46"/>
      <c r="J969" s="12"/>
      <c r="K969" s="2"/>
      <c r="L969" s="59"/>
    </row>
    <row r="970" spans="1:12" x14ac:dyDescent="0.35">
      <c r="A970" s="45">
        <v>966</v>
      </c>
      <c r="B970" s="2"/>
      <c r="C970" s="2"/>
      <c r="D970" s="2"/>
      <c r="E970" s="3"/>
      <c r="F970" s="3"/>
      <c r="G970" s="2"/>
      <c r="H970" s="2"/>
      <c r="I970" s="46"/>
      <c r="J970" s="12"/>
      <c r="K970" s="2"/>
      <c r="L970" s="59"/>
    </row>
    <row r="971" spans="1:12" x14ac:dyDescent="0.35">
      <c r="A971" s="45">
        <v>967</v>
      </c>
      <c r="B971" s="2"/>
      <c r="C971" s="2"/>
      <c r="D971" s="2"/>
      <c r="E971" s="3"/>
      <c r="F971" s="3"/>
      <c r="G971" s="2"/>
      <c r="H971" s="2"/>
      <c r="I971" s="46"/>
      <c r="J971" s="12"/>
      <c r="K971" s="2"/>
      <c r="L971" s="59"/>
    </row>
    <row r="972" spans="1:12" x14ac:dyDescent="0.35">
      <c r="A972" s="45">
        <v>968</v>
      </c>
      <c r="B972" s="2"/>
      <c r="C972" s="2"/>
      <c r="D972" s="2"/>
      <c r="E972" s="3"/>
      <c r="F972" s="3"/>
      <c r="G972" s="2"/>
      <c r="H972" s="2"/>
      <c r="I972" s="46"/>
      <c r="J972" s="12"/>
      <c r="K972" s="2"/>
      <c r="L972" s="59"/>
    </row>
    <row r="973" spans="1:12" x14ac:dyDescent="0.35">
      <c r="A973" s="45">
        <v>969</v>
      </c>
      <c r="B973" s="2"/>
      <c r="C973" s="2"/>
      <c r="D973" s="2"/>
      <c r="E973" s="3"/>
      <c r="F973" s="3"/>
      <c r="G973" s="2"/>
      <c r="H973" s="2"/>
      <c r="I973" s="46"/>
      <c r="J973" s="12"/>
      <c r="K973" s="2"/>
      <c r="L973" s="59"/>
    </row>
    <row r="974" spans="1:12" x14ac:dyDescent="0.35">
      <c r="A974" s="45">
        <v>970</v>
      </c>
      <c r="B974" s="2"/>
      <c r="C974" s="2"/>
      <c r="D974" s="2"/>
      <c r="E974" s="3"/>
      <c r="F974" s="3"/>
      <c r="G974" s="2"/>
      <c r="H974" s="2"/>
      <c r="I974" s="46"/>
      <c r="J974" s="12"/>
      <c r="K974" s="2"/>
      <c r="L974" s="59"/>
    </row>
    <row r="975" spans="1:12" x14ac:dyDescent="0.35">
      <c r="A975" s="45">
        <v>971</v>
      </c>
      <c r="B975" s="2"/>
      <c r="C975" s="2"/>
      <c r="D975" s="2"/>
      <c r="E975" s="3"/>
      <c r="F975" s="3"/>
      <c r="G975" s="2"/>
      <c r="H975" s="2"/>
      <c r="I975" s="46"/>
      <c r="J975" s="12"/>
      <c r="K975" s="2"/>
      <c r="L975" s="59"/>
    </row>
    <row r="976" spans="1:12" x14ac:dyDescent="0.35">
      <c r="A976" s="45">
        <v>972</v>
      </c>
      <c r="B976" s="2"/>
      <c r="C976" s="2"/>
      <c r="D976" s="2"/>
      <c r="E976" s="3"/>
      <c r="F976" s="3"/>
      <c r="G976" s="2"/>
      <c r="H976" s="2"/>
      <c r="I976" s="46"/>
      <c r="J976" s="12"/>
      <c r="K976" s="2"/>
      <c r="L976" s="59"/>
    </row>
    <row r="977" spans="1:12" x14ac:dyDescent="0.35">
      <c r="A977" s="45">
        <v>973</v>
      </c>
      <c r="B977" s="2"/>
      <c r="C977" s="2"/>
      <c r="D977" s="2"/>
      <c r="E977" s="3"/>
      <c r="F977" s="3"/>
      <c r="G977" s="2"/>
      <c r="H977" s="2"/>
      <c r="I977" s="46"/>
      <c r="J977" s="12"/>
      <c r="K977" s="2"/>
      <c r="L977" s="59"/>
    </row>
    <row r="978" spans="1:12" x14ac:dyDescent="0.35">
      <c r="A978" s="45">
        <v>974</v>
      </c>
      <c r="B978" s="2"/>
      <c r="C978" s="2"/>
      <c r="D978" s="2"/>
      <c r="E978" s="3"/>
      <c r="F978" s="3"/>
      <c r="G978" s="2"/>
      <c r="H978" s="2"/>
      <c r="I978" s="46"/>
      <c r="J978" s="12"/>
      <c r="K978" s="2"/>
      <c r="L978" s="59"/>
    </row>
    <row r="979" spans="1:12" x14ac:dyDescent="0.35">
      <c r="A979" s="45">
        <v>975</v>
      </c>
      <c r="B979" s="2"/>
      <c r="C979" s="2"/>
      <c r="D979" s="2"/>
      <c r="E979" s="3"/>
      <c r="F979" s="3"/>
      <c r="G979" s="2"/>
      <c r="H979" s="2"/>
      <c r="I979" s="46"/>
      <c r="J979" s="12"/>
      <c r="K979" s="2"/>
      <c r="L979" s="59"/>
    </row>
    <row r="980" spans="1:12" x14ac:dyDescent="0.35">
      <c r="A980" s="45">
        <v>976</v>
      </c>
      <c r="B980" s="2"/>
      <c r="C980" s="2"/>
      <c r="D980" s="2"/>
      <c r="E980" s="3"/>
      <c r="F980" s="3"/>
      <c r="G980" s="2"/>
      <c r="H980" s="2"/>
      <c r="I980" s="46"/>
      <c r="J980" s="12"/>
      <c r="K980" s="2"/>
      <c r="L980" s="59"/>
    </row>
    <row r="981" spans="1:12" x14ac:dyDescent="0.35">
      <c r="A981" s="45">
        <v>977</v>
      </c>
      <c r="B981" s="2"/>
      <c r="C981" s="2"/>
      <c r="D981" s="2"/>
      <c r="E981" s="3"/>
      <c r="F981" s="3"/>
      <c r="G981" s="2"/>
      <c r="H981" s="2"/>
      <c r="I981" s="46"/>
      <c r="J981" s="12"/>
      <c r="K981" s="2"/>
      <c r="L981" s="59"/>
    </row>
    <row r="982" spans="1:12" x14ac:dyDescent="0.35">
      <c r="A982" s="45">
        <v>978</v>
      </c>
      <c r="B982" s="2"/>
      <c r="C982" s="2"/>
      <c r="D982" s="2"/>
      <c r="E982" s="3"/>
      <c r="F982" s="3"/>
      <c r="G982" s="2"/>
      <c r="H982" s="2"/>
      <c r="I982" s="46"/>
      <c r="J982" s="12"/>
      <c r="K982" s="2"/>
      <c r="L982" s="59"/>
    </row>
    <row r="983" spans="1:12" x14ac:dyDescent="0.35">
      <c r="A983" s="45">
        <v>979</v>
      </c>
      <c r="B983" s="2"/>
      <c r="C983" s="2"/>
      <c r="D983" s="2"/>
      <c r="E983" s="3"/>
      <c r="F983" s="3"/>
      <c r="G983" s="2"/>
      <c r="H983" s="2"/>
      <c r="I983" s="46"/>
      <c r="J983" s="12"/>
      <c r="K983" s="2"/>
      <c r="L983" s="59"/>
    </row>
    <row r="984" spans="1:12" x14ac:dyDescent="0.35">
      <c r="A984" s="45">
        <v>980</v>
      </c>
      <c r="B984" s="2"/>
      <c r="C984" s="2"/>
      <c r="D984" s="2"/>
      <c r="E984" s="3"/>
      <c r="F984" s="3"/>
      <c r="G984" s="2"/>
      <c r="H984" s="2"/>
      <c r="I984" s="46"/>
      <c r="J984" s="12"/>
      <c r="K984" s="2"/>
      <c r="L984" s="59"/>
    </row>
    <row r="985" spans="1:12" x14ac:dyDescent="0.35">
      <c r="A985" s="45">
        <v>981</v>
      </c>
      <c r="B985" s="2"/>
      <c r="C985" s="2"/>
      <c r="D985" s="2"/>
      <c r="E985" s="3"/>
      <c r="F985" s="3"/>
      <c r="G985" s="2"/>
      <c r="H985" s="2"/>
      <c r="I985" s="46"/>
      <c r="J985" s="12"/>
      <c r="K985" s="2"/>
      <c r="L985" s="59"/>
    </row>
    <row r="986" spans="1:12" x14ac:dyDescent="0.35">
      <c r="A986" s="45">
        <v>982</v>
      </c>
      <c r="B986" s="2"/>
      <c r="C986" s="2"/>
      <c r="D986" s="2"/>
      <c r="E986" s="3"/>
      <c r="F986" s="3"/>
      <c r="G986" s="2"/>
      <c r="H986" s="2"/>
      <c r="I986" s="46"/>
      <c r="J986" s="12"/>
      <c r="K986" s="2"/>
      <c r="L986" s="59"/>
    </row>
    <row r="987" spans="1:12" x14ac:dyDescent="0.35">
      <c r="A987" s="45">
        <v>983</v>
      </c>
      <c r="B987" s="2"/>
      <c r="C987" s="2"/>
      <c r="D987" s="2"/>
      <c r="E987" s="3"/>
      <c r="F987" s="3"/>
      <c r="G987" s="2"/>
      <c r="H987" s="2"/>
      <c r="I987" s="46"/>
      <c r="J987" s="12"/>
      <c r="K987" s="2"/>
      <c r="L987" s="59"/>
    </row>
    <row r="988" spans="1:12" x14ac:dyDescent="0.35">
      <c r="A988" s="45">
        <v>984</v>
      </c>
      <c r="B988" s="2"/>
      <c r="C988" s="2"/>
      <c r="D988" s="2"/>
      <c r="E988" s="3"/>
      <c r="F988" s="3"/>
      <c r="G988" s="2"/>
      <c r="H988" s="2"/>
      <c r="I988" s="46"/>
      <c r="J988" s="12"/>
      <c r="K988" s="2"/>
      <c r="L988" s="59"/>
    </row>
    <row r="989" spans="1:12" x14ac:dyDescent="0.35">
      <c r="A989" s="45">
        <v>985</v>
      </c>
      <c r="B989" s="2"/>
      <c r="C989" s="2"/>
      <c r="D989" s="2"/>
      <c r="E989" s="3"/>
      <c r="F989" s="3"/>
      <c r="G989" s="2"/>
      <c r="H989" s="2"/>
      <c r="I989" s="46"/>
      <c r="J989" s="12"/>
      <c r="K989" s="2"/>
      <c r="L989" s="59"/>
    </row>
    <row r="990" spans="1:12" x14ac:dyDescent="0.35">
      <c r="A990" s="45">
        <v>986</v>
      </c>
      <c r="B990" s="2"/>
      <c r="C990" s="2"/>
      <c r="D990" s="2"/>
      <c r="E990" s="3"/>
      <c r="F990" s="3"/>
      <c r="G990" s="2"/>
      <c r="H990" s="2"/>
      <c r="I990" s="46"/>
      <c r="J990" s="12"/>
      <c r="K990" s="2"/>
      <c r="L990" s="59"/>
    </row>
    <row r="991" spans="1:12" x14ac:dyDescent="0.35">
      <c r="A991" s="45">
        <v>987</v>
      </c>
      <c r="B991" s="2"/>
      <c r="C991" s="2"/>
      <c r="D991" s="2"/>
      <c r="E991" s="3"/>
      <c r="F991" s="3"/>
      <c r="G991" s="2"/>
      <c r="H991" s="2"/>
      <c r="I991" s="46"/>
      <c r="J991" s="12"/>
      <c r="K991" s="2"/>
      <c r="L991" s="59"/>
    </row>
    <row r="992" spans="1:12" x14ac:dyDescent="0.35">
      <c r="A992" s="45">
        <v>988</v>
      </c>
      <c r="B992" s="2"/>
      <c r="C992" s="2"/>
      <c r="D992" s="2"/>
      <c r="E992" s="3"/>
      <c r="F992" s="3"/>
      <c r="G992" s="2"/>
      <c r="H992" s="2"/>
      <c r="I992" s="46"/>
      <c r="J992" s="12"/>
      <c r="K992" s="2"/>
      <c r="L992" s="59"/>
    </row>
    <row r="993" spans="1:12" x14ac:dyDescent="0.35">
      <c r="A993" s="45">
        <v>989</v>
      </c>
      <c r="B993" s="2"/>
      <c r="C993" s="2"/>
      <c r="D993" s="2"/>
      <c r="E993" s="3"/>
      <c r="F993" s="3"/>
      <c r="G993" s="2"/>
      <c r="H993" s="2"/>
      <c r="I993" s="46"/>
      <c r="J993" s="12"/>
      <c r="K993" s="2"/>
      <c r="L993" s="59"/>
    </row>
    <row r="994" spans="1:12" x14ac:dyDescent="0.35">
      <c r="A994" s="45">
        <v>990</v>
      </c>
      <c r="B994" s="2"/>
      <c r="C994" s="2"/>
      <c r="D994" s="2"/>
      <c r="E994" s="3"/>
      <c r="F994" s="3"/>
      <c r="G994" s="2"/>
      <c r="H994" s="2"/>
      <c r="I994" s="46"/>
      <c r="J994" s="12"/>
      <c r="K994" s="2"/>
      <c r="L994" s="59"/>
    </row>
    <row r="995" spans="1:12" x14ac:dyDescent="0.35">
      <c r="A995" s="45">
        <v>991</v>
      </c>
      <c r="B995" s="2"/>
      <c r="C995" s="2"/>
      <c r="D995" s="2"/>
      <c r="E995" s="3"/>
      <c r="F995" s="3"/>
      <c r="G995" s="2"/>
      <c r="H995" s="2"/>
      <c r="I995" s="46"/>
      <c r="J995" s="12"/>
      <c r="K995" s="2"/>
      <c r="L995" s="59"/>
    </row>
    <row r="996" spans="1:12" x14ac:dyDescent="0.35">
      <c r="A996" s="45">
        <v>992</v>
      </c>
      <c r="B996" s="2"/>
      <c r="C996" s="2"/>
      <c r="D996" s="2"/>
      <c r="E996" s="3"/>
      <c r="F996" s="3"/>
      <c r="G996" s="2"/>
      <c r="H996" s="2"/>
      <c r="I996" s="46"/>
      <c r="J996" s="12"/>
      <c r="K996" s="2"/>
      <c r="L996" s="59"/>
    </row>
    <row r="997" spans="1:12" x14ac:dyDescent="0.35">
      <c r="A997" s="45">
        <v>993</v>
      </c>
      <c r="B997" s="2"/>
      <c r="C997" s="2"/>
      <c r="D997" s="2"/>
      <c r="E997" s="3"/>
      <c r="F997" s="3"/>
      <c r="G997" s="2"/>
      <c r="H997" s="2"/>
      <c r="I997" s="46"/>
      <c r="J997" s="12"/>
      <c r="K997" s="2"/>
      <c r="L997" s="59"/>
    </row>
    <row r="998" spans="1:12" x14ac:dyDescent="0.35">
      <c r="A998" s="45">
        <v>994</v>
      </c>
      <c r="B998" s="2"/>
      <c r="C998" s="2"/>
      <c r="D998" s="2"/>
      <c r="E998" s="3"/>
      <c r="F998" s="3"/>
      <c r="G998" s="2"/>
      <c r="H998" s="2"/>
      <c r="I998" s="46"/>
      <c r="J998" s="12"/>
      <c r="K998" s="2"/>
      <c r="L998" s="59"/>
    </row>
    <row r="999" spans="1:12" x14ac:dyDescent="0.35">
      <c r="A999" s="45">
        <v>995</v>
      </c>
      <c r="B999" s="2"/>
      <c r="C999" s="2"/>
      <c r="D999" s="2"/>
      <c r="E999" s="3"/>
      <c r="F999" s="3"/>
      <c r="G999" s="2"/>
      <c r="H999" s="2"/>
      <c r="I999" s="46"/>
      <c r="J999" s="12"/>
      <c r="K999" s="2"/>
      <c r="L999" s="59"/>
    </row>
    <row r="1000" spans="1:12" x14ac:dyDescent="0.35">
      <c r="A1000" s="45">
        <v>996</v>
      </c>
      <c r="B1000" s="2"/>
      <c r="C1000" s="2"/>
      <c r="D1000" s="2"/>
      <c r="E1000" s="3"/>
      <c r="F1000" s="3"/>
      <c r="G1000" s="2"/>
      <c r="H1000" s="2"/>
      <c r="I1000" s="46"/>
      <c r="J1000" s="12"/>
      <c r="K1000" s="2"/>
      <c r="L1000" s="59"/>
    </row>
    <row r="1001" spans="1:12" x14ac:dyDescent="0.35">
      <c r="A1001" s="45">
        <v>997</v>
      </c>
      <c r="B1001" s="2"/>
      <c r="C1001" s="2"/>
      <c r="D1001" s="2"/>
      <c r="E1001" s="3"/>
      <c r="F1001" s="3"/>
      <c r="G1001" s="2"/>
      <c r="H1001" s="2"/>
      <c r="I1001" s="46"/>
      <c r="J1001" s="12"/>
      <c r="K1001" s="2"/>
      <c r="L1001" s="59"/>
    </row>
    <row r="1002" spans="1:12" x14ac:dyDescent="0.35">
      <c r="A1002" s="45">
        <v>998</v>
      </c>
      <c r="B1002" s="2"/>
      <c r="C1002" s="2"/>
      <c r="D1002" s="2"/>
      <c r="E1002" s="3"/>
      <c r="F1002" s="3"/>
      <c r="G1002" s="2"/>
      <c r="H1002" s="2"/>
      <c r="I1002" s="46"/>
      <c r="J1002" s="12"/>
      <c r="K1002" s="2"/>
      <c r="L1002" s="59"/>
    </row>
    <row r="1003" spans="1:12" x14ac:dyDescent="0.35">
      <c r="A1003" s="45">
        <v>999</v>
      </c>
      <c r="B1003" s="2"/>
      <c r="C1003" s="2"/>
      <c r="D1003" s="2"/>
      <c r="E1003" s="3"/>
      <c r="F1003" s="3"/>
      <c r="G1003" s="2"/>
      <c r="H1003" s="2"/>
      <c r="I1003" s="46"/>
      <c r="J1003" s="12"/>
      <c r="K1003" s="2"/>
      <c r="L1003" s="59"/>
    </row>
    <row r="1004" spans="1:12" x14ac:dyDescent="0.35">
      <c r="A1004" s="45">
        <v>1000</v>
      </c>
      <c r="B1004" s="2"/>
      <c r="C1004" s="2"/>
      <c r="D1004" s="2"/>
      <c r="E1004" s="3"/>
      <c r="F1004" s="3"/>
      <c r="G1004" s="2"/>
      <c r="H1004" s="2"/>
      <c r="I1004" s="46"/>
      <c r="J1004" s="12"/>
      <c r="K1004" s="2"/>
      <c r="L1004" s="59"/>
    </row>
    <row r="1005" spans="1:12" x14ac:dyDescent="0.35">
      <c r="A1005" s="45">
        <v>1001</v>
      </c>
      <c r="B1005" s="2"/>
      <c r="C1005" s="2"/>
      <c r="D1005" s="2"/>
      <c r="E1005" s="3"/>
      <c r="F1005" s="3"/>
      <c r="G1005" s="2"/>
      <c r="H1005" s="2"/>
      <c r="I1005" s="46"/>
      <c r="J1005" s="12"/>
      <c r="K1005" s="2"/>
      <c r="L1005" s="59"/>
    </row>
    <row r="1006" spans="1:12" x14ac:dyDescent="0.35">
      <c r="A1006" s="45">
        <v>1002</v>
      </c>
      <c r="B1006" s="2"/>
      <c r="C1006" s="2"/>
      <c r="D1006" s="2"/>
      <c r="E1006" s="3"/>
      <c r="F1006" s="3"/>
      <c r="G1006" s="2"/>
      <c r="H1006" s="2"/>
      <c r="I1006" s="46"/>
      <c r="J1006" s="12"/>
      <c r="K1006" s="2"/>
      <c r="L1006" s="59"/>
    </row>
    <row r="1007" spans="1:12" x14ac:dyDescent="0.35">
      <c r="A1007" s="45">
        <v>1003</v>
      </c>
      <c r="B1007" s="2"/>
      <c r="C1007" s="2"/>
      <c r="D1007" s="2"/>
      <c r="E1007" s="3"/>
      <c r="F1007" s="3"/>
      <c r="G1007" s="2"/>
      <c r="H1007" s="2"/>
      <c r="I1007" s="46"/>
      <c r="J1007" s="12"/>
      <c r="K1007" s="2"/>
      <c r="L1007" s="59"/>
    </row>
    <row r="1008" spans="1:12" x14ac:dyDescent="0.35">
      <c r="A1008" s="45">
        <v>1004</v>
      </c>
      <c r="B1008" s="2"/>
      <c r="C1008" s="2"/>
      <c r="D1008" s="2"/>
      <c r="E1008" s="3"/>
      <c r="F1008" s="3"/>
      <c r="G1008" s="2"/>
      <c r="H1008" s="2"/>
      <c r="I1008" s="46"/>
      <c r="J1008" s="12"/>
      <c r="K1008" s="2"/>
      <c r="L1008" s="59"/>
    </row>
    <row r="1009" spans="1:12" x14ac:dyDescent="0.35">
      <c r="A1009" s="45">
        <v>1005</v>
      </c>
      <c r="B1009" s="2"/>
      <c r="C1009" s="2"/>
      <c r="D1009" s="2"/>
      <c r="E1009" s="3"/>
      <c r="F1009" s="3"/>
      <c r="G1009" s="2"/>
      <c r="H1009" s="2"/>
      <c r="I1009" s="46"/>
      <c r="J1009" s="12"/>
      <c r="K1009" s="2"/>
      <c r="L1009" s="59"/>
    </row>
    <row r="1010" spans="1:12" x14ac:dyDescent="0.35">
      <c r="A1010" s="45">
        <v>1006</v>
      </c>
      <c r="B1010" s="2"/>
      <c r="C1010" s="2"/>
      <c r="D1010" s="2"/>
      <c r="E1010" s="3"/>
      <c r="F1010" s="3"/>
      <c r="G1010" s="2"/>
      <c r="H1010" s="2"/>
      <c r="I1010" s="46"/>
      <c r="J1010" s="12"/>
      <c r="K1010" s="2"/>
      <c r="L1010" s="59"/>
    </row>
    <row r="1011" spans="1:12" x14ac:dyDescent="0.35">
      <c r="A1011" s="45">
        <v>1007</v>
      </c>
      <c r="B1011" s="2"/>
      <c r="C1011" s="2"/>
      <c r="D1011" s="2"/>
      <c r="E1011" s="3"/>
      <c r="F1011" s="3"/>
      <c r="G1011" s="2"/>
      <c r="H1011" s="2"/>
      <c r="I1011" s="46"/>
      <c r="J1011" s="12"/>
      <c r="K1011" s="2"/>
      <c r="L1011" s="59"/>
    </row>
    <row r="1012" spans="1:12" x14ac:dyDescent="0.35">
      <c r="A1012" s="45">
        <v>1008</v>
      </c>
      <c r="B1012" s="2"/>
      <c r="C1012" s="2"/>
      <c r="D1012" s="2"/>
      <c r="E1012" s="3"/>
      <c r="F1012" s="3"/>
      <c r="G1012" s="2"/>
      <c r="H1012" s="2"/>
      <c r="I1012" s="46"/>
      <c r="J1012" s="12"/>
      <c r="K1012" s="2"/>
      <c r="L1012" s="59"/>
    </row>
    <row r="1013" spans="1:12" x14ac:dyDescent="0.35">
      <c r="A1013" s="45">
        <v>1009</v>
      </c>
      <c r="B1013" s="2"/>
      <c r="C1013" s="2"/>
      <c r="D1013" s="2"/>
      <c r="E1013" s="3"/>
      <c r="F1013" s="3"/>
      <c r="G1013" s="2"/>
      <c r="H1013" s="2"/>
      <c r="I1013" s="46"/>
      <c r="J1013" s="12"/>
      <c r="K1013" s="2"/>
      <c r="L1013" s="59"/>
    </row>
    <row r="1014" spans="1:12" x14ac:dyDescent="0.35">
      <c r="A1014" s="45">
        <v>1010</v>
      </c>
      <c r="B1014" s="2"/>
      <c r="C1014" s="2"/>
      <c r="D1014" s="2"/>
      <c r="E1014" s="3"/>
      <c r="F1014" s="3"/>
      <c r="G1014" s="2"/>
      <c r="H1014" s="2"/>
      <c r="I1014" s="46"/>
      <c r="J1014" s="12"/>
      <c r="K1014" s="2"/>
      <c r="L1014" s="59"/>
    </row>
    <row r="1015" spans="1:12" x14ac:dyDescent="0.35">
      <c r="A1015" s="45">
        <v>1011</v>
      </c>
      <c r="B1015" s="2"/>
      <c r="C1015" s="2"/>
      <c r="D1015" s="2"/>
      <c r="E1015" s="3"/>
      <c r="F1015" s="3"/>
      <c r="G1015" s="2"/>
      <c r="H1015" s="2"/>
      <c r="I1015" s="46"/>
      <c r="J1015" s="12"/>
      <c r="K1015" s="2"/>
      <c r="L1015" s="59"/>
    </row>
    <row r="1016" spans="1:12" x14ac:dyDescent="0.35">
      <c r="A1016" s="45">
        <v>1012</v>
      </c>
      <c r="B1016" s="2"/>
      <c r="C1016" s="2"/>
      <c r="D1016" s="2"/>
      <c r="E1016" s="3"/>
      <c r="F1016" s="3"/>
      <c r="G1016" s="2"/>
      <c r="H1016" s="2"/>
      <c r="I1016" s="46"/>
      <c r="J1016" s="12"/>
      <c r="K1016" s="2"/>
      <c r="L1016" s="59"/>
    </row>
    <row r="1017" spans="1:12" x14ac:dyDescent="0.35">
      <c r="A1017" s="45">
        <v>1013</v>
      </c>
      <c r="B1017" s="2"/>
      <c r="C1017" s="2"/>
      <c r="D1017" s="2"/>
      <c r="E1017" s="3"/>
      <c r="F1017" s="3"/>
      <c r="G1017" s="2"/>
      <c r="H1017" s="2"/>
      <c r="I1017" s="46"/>
      <c r="J1017" s="12"/>
      <c r="K1017" s="2"/>
      <c r="L1017" s="59"/>
    </row>
    <row r="1018" spans="1:12" x14ac:dyDescent="0.35">
      <c r="A1018" s="45">
        <v>1014</v>
      </c>
      <c r="B1018" s="2"/>
      <c r="C1018" s="2"/>
      <c r="D1018" s="2"/>
      <c r="E1018" s="3"/>
      <c r="F1018" s="3"/>
      <c r="G1018" s="2"/>
      <c r="H1018" s="2"/>
      <c r="I1018" s="46"/>
      <c r="J1018" s="12"/>
      <c r="K1018" s="2"/>
      <c r="L1018" s="59"/>
    </row>
    <row r="1019" spans="1:12" x14ac:dyDescent="0.35">
      <c r="A1019" s="45">
        <v>1015</v>
      </c>
      <c r="B1019" s="2"/>
      <c r="C1019" s="2"/>
      <c r="D1019" s="2"/>
      <c r="E1019" s="3"/>
      <c r="F1019" s="3"/>
      <c r="G1019" s="2"/>
      <c r="H1019" s="2"/>
      <c r="I1019" s="46"/>
      <c r="J1019" s="12"/>
      <c r="K1019" s="2"/>
      <c r="L1019" s="59"/>
    </row>
    <row r="1020" spans="1:12" x14ac:dyDescent="0.35">
      <c r="A1020" s="45">
        <v>1016</v>
      </c>
      <c r="B1020" s="2"/>
      <c r="C1020" s="2"/>
      <c r="D1020" s="2"/>
      <c r="E1020" s="3"/>
      <c r="F1020" s="3"/>
      <c r="G1020" s="2"/>
      <c r="H1020" s="2"/>
      <c r="I1020" s="46"/>
      <c r="J1020" s="12"/>
      <c r="K1020" s="2"/>
      <c r="L1020" s="59"/>
    </row>
    <row r="1021" spans="1:12" x14ac:dyDescent="0.35">
      <c r="A1021" s="45">
        <v>1017</v>
      </c>
      <c r="B1021" s="2"/>
      <c r="C1021" s="2"/>
      <c r="D1021" s="2"/>
      <c r="E1021" s="3"/>
      <c r="F1021" s="3"/>
      <c r="G1021" s="2"/>
      <c r="H1021" s="2"/>
      <c r="I1021" s="46"/>
      <c r="J1021" s="12"/>
      <c r="K1021" s="2"/>
      <c r="L1021" s="59"/>
    </row>
    <row r="1022" spans="1:12" x14ac:dyDescent="0.35">
      <c r="A1022" s="45">
        <v>1018</v>
      </c>
      <c r="B1022" s="2"/>
      <c r="C1022" s="2"/>
      <c r="D1022" s="2"/>
      <c r="E1022" s="3"/>
      <c r="F1022" s="3"/>
      <c r="G1022" s="2"/>
      <c r="H1022" s="2"/>
      <c r="I1022" s="46"/>
      <c r="J1022" s="12"/>
      <c r="K1022" s="2"/>
      <c r="L1022" s="59"/>
    </row>
    <row r="1023" spans="1:12" x14ac:dyDescent="0.35">
      <c r="A1023" s="45">
        <v>1019</v>
      </c>
      <c r="B1023" s="2"/>
      <c r="C1023" s="2"/>
      <c r="D1023" s="2"/>
      <c r="E1023" s="3"/>
      <c r="F1023" s="3"/>
      <c r="G1023" s="2"/>
      <c r="H1023" s="2"/>
      <c r="I1023" s="46"/>
      <c r="J1023" s="12"/>
      <c r="K1023" s="2"/>
      <c r="L1023" s="59"/>
    </row>
    <row r="1024" spans="1:12" x14ac:dyDescent="0.35">
      <c r="A1024" s="45">
        <v>1020</v>
      </c>
      <c r="B1024" s="2"/>
      <c r="C1024" s="2"/>
      <c r="D1024" s="2"/>
      <c r="E1024" s="3"/>
      <c r="F1024" s="3"/>
      <c r="G1024" s="2"/>
      <c r="H1024" s="2"/>
      <c r="I1024" s="46"/>
      <c r="J1024" s="12"/>
      <c r="K1024" s="2"/>
      <c r="L1024" s="59"/>
    </row>
    <row r="1025" spans="1:12" x14ac:dyDescent="0.35">
      <c r="A1025" s="45">
        <v>1021</v>
      </c>
      <c r="B1025" s="2"/>
      <c r="C1025" s="2"/>
      <c r="D1025" s="2"/>
      <c r="E1025" s="3"/>
      <c r="F1025" s="3"/>
      <c r="G1025" s="2"/>
      <c r="H1025" s="2"/>
      <c r="I1025" s="46"/>
      <c r="J1025" s="12"/>
      <c r="K1025" s="2"/>
      <c r="L1025" s="59"/>
    </row>
    <row r="1026" spans="1:12" x14ac:dyDescent="0.35">
      <c r="A1026" s="45">
        <v>1022</v>
      </c>
      <c r="B1026" s="2"/>
      <c r="C1026" s="2"/>
      <c r="D1026" s="2"/>
      <c r="E1026" s="3"/>
      <c r="F1026" s="3"/>
      <c r="G1026" s="2"/>
      <c r="H1026" s="2"/>
      <c r="I1026" s="46"/>
      <c r="J1026" s="12"/>
      <c r="K1026" s="2"/>
      <c r="L1026" s="59"/>
    </row>
    <row r="1027" spans="1:12" x14ac:dyDescent="0.35">
      <c r="A1027" s="45">
        <v>1023</v>
      </c>
      <c r="B1027" s="2"/>
      <c r="C1027" s="2"/>
      <c r="D1027" s="2"/>
      <c r="E1027" s="3"/>
      <c r="F1027" s="3"/>
      <c r="G1027" s="2"/>
      <c r="H1027" s="2"/>
      <c r="I1027" s="46"/>
      <c r="J1027" s="12"/>
      <c r="K1027" s="2"/>
      <c r="L1027" s="59"/>
    </row>
    <row r="1028" spans="1:12" x14ac:dyDescent="0.35">
      <c r="A1028" s="45">
        <v>1024</v>
      </c>
      <c r="B1028" s="2"/>
      <c r="C1028" s="2"/>
      <c r="D1028" s="2"/>
      <c r="E1028" s="3"/>
      <c r="F1028" s="3"/>
      <c r="G1028" s="2"/>
      <c r="H1028" s="2"/>
      <c r="I1028" s="46"/>
      <c r="J1028" s="12"/>
      <c r="K1028" s="2"/>
      <c r="L1028" s="59"/>
    </row>
    <row r="1029" spans="1:12" x14ac:dyDescent="0.35">
      <c r="A1029" s="45">
        <v>1025</v>
      </c>
      <c r="B1029" s="2"/>
      <c r="C1029" s="2"/>
      <c r="D1029" s="2"/>
      <c r="E1029" s="3"/>
      <c r="F1029" s="3"/>
      <c r="G1029" s="2"/>
      <c r="H1029" s="2"/>
      <c r="I1029" s="46"/>
      <c r="J1029" s="12"/>
      <c r="K1029" s="2"/>
      <c r="L1029" s="59"/>
    </row>
    <row r="1030" spans="1:12" x14ac:dyDescent="0.35">
      <c r="A1030" s="45">
        <v>1026</v>
      </c>
      <c r="B1030" s="2"/>
      <c r="C1030" s="2"/>
      <c r="D1030" s="2"/>
      <c r="E1030" s="3"/>
      <c r="F1030" s="3"/>
      <c r="G1030" s="2"/>
      <c r="H1030" s="2"/>
      <c r="I1030" s="46"/>
      <c r="J1030" s="12"/>
      <c r="K1030" s="2"/>
      <c r="L1030" s="59"/>
    </row>
    <row r="1031" spans="1:12" x14ac:dyDescent="0.35">
      <c r="A1031" s="45">
        <v>1027</v>
      </c>
      <c r="B1031" s="2"/>
      <c r="C1031" s="2"/>
      <c r="D1031" s="2"/>
      <c r="E1031" s="3"/>
      <c r="F1031" s="3"/>
      <c r="G1031" s="2"/>
      <c r="H1031" s="2"/>
      <c r="I1031" s="46"/>
      <c r="J1031" s="12"/>
      <c r="K1031" s="2"/>
      <c r="L1031" s="59"/>
    </row>
    <row r="1032" spans="1:12" x14ac:dyDescent="0.35">
      <c r="A1032" s="45">
        <v>1028</v>
      </c>
      <c r="B1032" s="2"/>
      <c r="C1032" s="2"/>
      <c r="D1032" s="2"/>
      <c r="E1032" s="3"/>
      <c r="F1032" s="3"/>
      <c r="G1032" s="2"/>
      <c r="H1032" s="2"/>
      <c r="I1032" s="46"/>
      <c r="J1032" s="12"/>
      <c r="K1032" s="2"/>
      <c r="L1032" s="59"/>
    </row>
    <row r="1033" spans="1:12" x14ac:dyDescent="0.35">
      <c r="A1033" s="45">
        <v>1029</v>
      </c>
      <c r="B1033" s="2"/>
      <c r="C1033" s="2"/>
      <c r="D1033" s="2"/>
      <c r="E1033" s="3"/>
      <c r="F1033" s="3"/>
      <c r="G1033" s="2"/>
      <c r="H1033" s="2"/>
      <c r="I1033" s="46"/>
      <c r="J1033" s="12"/>
      <c r="K1033" s="2"/>
      <c r="L1033" s="59"/>
    </row>
    <row r="1034" spans="1:12" x14ac:dyDescent="0.35">
      <c r="A1034" s="45">
        <v>1030</v>
      </c>
      <c r="B1034" s="2"/>
      <c r="C1034" s="2"/>
      <c r="D1034" s="2"/>
      <c r="E1034" s="3"/>
      <c r="F1034" s="3"/>
      <c r="G1034" s="2"/>
      <c r="H1034" s="2"/>
      <c r="I1034" s="46"/>
      <c r="J1034" s="12"/>
      <c r="K1034" s="2"/>
      <c r="L1034" s="59"/>
    </row>
    <row r="1035" spans="1:12" x14ac:dyDescent="0.35">
      <c r="A1035" s="45">
        <v>1031</v>
      </c>
      <c r="B1035" s="2"/>
      <c r="C1035" s="2"/>
      <c r="D1035" s="2"/>
      <c r="E1035" s="3"/>
      <c r="F1035" s="3"/>
      <c r="G1035" s="2"/>
      <c r="H1035" s="2"/>
      <c r="I1035" s="46"/>
      <c r="J1035" s="12"/>
      <c r="K1035" s="2"/>
      <c r="L1035" s="59"/>
    </row>
    <row r="1036" spans="1:12" x14ac:dyDescent="0.35">
      <c r="A1036" s="45">
        <v>1032</v>
      </c>
      <c r="B1036" s="2"/>
      <c r="C1036" s="2"/>
      <c r="D1036" s="2"/>
      <c r="E1036" s="3"/>
      <c r="F1036" s="3"/>
      <c r="G1036" s="2"/>
      <c r="H1036" s="2"/>
      <c r="I1036" s="46"/>
      <c r="J1036" s="12"/>
      <c r="K1036" s="2"/>
      <c r="L1036" s="59"/>
    </row>
    <row r="1037" spans="1:12" x14ac:dyDescent="0.35">
      <c r="A1037" s="45">
        <v>1033</v>
      </c>
      <c r="B1037" s="2"/>
      <c r="C1037" s="2"/>
      <c r="D1037" s="2"/>
      <c r="E1037" s="3"/>
      <c r="F1037" s="3"/>
      <c r="G1037" s="2"/>
      <c r="H1037" s="2"/>
      <c r="I1037" s="46"/>
      <c r="J1037" s="12"/>
      <c r="K1037" s="2"/>
      <c r="L1037" s="59"/>
    </row>
    <row r="1038" spans="1:12" x14ac:dyDescent="0.35">
      <c r="A1038" s="45">
        <v>1034</v>
      </c>
      <c r="B1038" s="2"/>
      <c r="C1038" s="2"/>
      <c r="D1038" s="2"/>
      <c r="E1038" s="3"/>
      <c r="F1038" s="3"/>
      <c r="G1038" s="2"/>
      <c r="H1038" s="2"/>
      <c r="I1038" s="46"/>
      <c r="J1038" s="12"/>
      <c r="K1038" s="2"/>
      <c r="L1038" s="59"/>
    </row>
    <row r="1039" spans="1:12" x14ac:dyDescent="0.35">
      <c r="A1039" s="45">
        <v>1035</v>
      </c>
      <c r="B1039" s="2"/>
      <c r="C1039" s="2"/>
      <c r="D1039" s="2"/>
      <c r="E1039" s="3"/>
      <c r="F1039" s="3"/>
      <c r="G1039" s="2"/>
      <c r="H1039" s="2"/>
      <c r="I1039" s="46"/>
      <c r="J1039" s="12"/>
      <c r="K1039" s="2"/>
      <c r="L1039" s="59"/>
    </row>
    <row r="1040" spans="1:12" x14ac:dyDescent="0.35">
      <c r="A1040" s="45">
        <v>1036</v>
      </c>
      <c r="B1040" s="2"/>
      <c r="C1040" s="2"/>
      <c r="D1040" s="2"/>
      <c r="E1040" s="3"/>
      <c r="F1040" s="3"/>
      <c r="G1040" s="2"/>
      <c r="H1040" s="2"/>
      <c r="I1040" s="46"/>
      <c r="J1040" s="12"/>
      <c r="K1040" s="2"/>
      <c r="L1040" s="59"/>
    </row>
    <row r="1041" spans="1:12" x14ac:dyDescent="0.35">
      <c r="A1041" s="45">
        <v>1037</v>
      </c>
      <c r="B1041" s="2"/>
      <c r="C1041" s="2"/>
      <c r="D1041" s="2"/>
      <c r="E1041" s="3"/>
      <c r="F1041" s="3"/>
      <c r="G1041" s="2"/>
      <c r="H1041" s="2"/>
      <c r="I1041" s="46"/>
      <c r="J1041" s="12"/>
      <c r="K1041" s="2"/>
      <c r="L1041" s="59"/>
    </row>
    <row r="1042" spans="1:12" x14ac:dyDescent="0.35">
      <c r="A1042" s="45">
        <v>1038</v>
      </c>
      <c r="B1042" s="2"/>
      <c r="C1042" s="2"/>
      <c r="D1042" s="2"/>
      <c r="E1042" s="3"/>
      <c r="F1042" s="3"/>
      <c r="G1042" s="2"/>
      <c r="H1042" s="2"/>
      <c r="I1042" s="46"/>
      <c r="J1042" s="12"/>
      <c r="K1042" s="2"/>
      <c r="L1042" s="59"/>
    </row>
    <row r="1043" spans="1:12" x14ac:dyDescent="0.35">
      <c r="A1043" s="45">
        <v>1039</v>
      </c>
      <c r="B1043" s="2"/>
      <c r="C1043" s="2"/>
      <c r="D1043" s="2"/>
      <c r="E1043" s="3"/>
      <c r="F1043" s="3"/>
      <c r="G1043" s="2"/>
      <c r="H1043" s="2"/>
      <c r="I1043" s="46"/>
      <c r="J1043" s="12"/>
      <c r="K1043" s="2"/>
      <c r="L1043" s="59"/>
    </row>
    <row r="1044" spans="1:12" x14ac:dyDescent="0.35">
      <c r="A1044" s="45">
        <v>1040</v>
      </c>
      <c r="B1044" s="2"/>
      <c r="C1044" s="2"/>
      <c r="D1044" s="2"/>
      <c r="E1044" s="3"/>
      <c r="F1044" s="3"/>
      <c r="G1044" s="2"/>
      <c r="H1044" s="2"/>
      <c r="I1044" s="46"/>
      <c r="J1044" s="12"/>
      <c r="K1044" s="2"/>
      <c r="L1044" s="59"/>
    </row>
    <row r="1045" spans="1:12" x14ac:dyDescent="0.35">
      <c r="A1045" s="45">
        <v>1041</v>
      </c>
      <c r="B1045" s="2"/>
      <c r="C1045" s="2"/>
      <c r="D1045" s="2"/>
      <c r="E1045" s="3"/>
      <c r="F1045" s="3"/>
      <c r="G1045" s="2"/>
      <c r="H1045" s="2"/>
      <c r="I1045" s="46"/>
      <c r="J1045" s="12"/>
      <c r="K1045" s="2"/>
      <c r="L1045" s="59"/>
    </row>
    <row r="1046" spans="1:12" x14ac:dyDescent="0.35">
      <c r="A1046" s="45">
        <v>1042</v>
      </c>
      <c r="B1046" s="2"/>
      <c r="C1046" s="2"/>
      <c r="D1046" s="2"/>
      <c r="E1046" s="3"/>
      <c r="F1046" s="3"/>
      <c r="G1046" s="2"/>
      <c r="H1046" s="2"/>
      <c r="I1046" s="46"/>
      <c r="J1046" s="12"/>
      <c r="K1046" s="2"/>
      <c r="L1046" s="59"/>
    </row>
    <row r="1047" spans="1:12" x14ac:dyDescent="0.35">
      <c r="A1047" s="45">
        <v>1043</v>
      </c>
      <c r="B1047" s="2"/>
      <c r="C1047" s="2"/>
      <c r="D1047" s="2"/>
      <c r="E1047" s="3"/>
      <c r="F1047" s="3"/>
      <c r="G1047" s="2"/>
      <c r="H1047" s="2"/>
      <c r="I1047" s="46"/>
      <c r="J1047" s="12"/>
      <c r="K1047" s="2"/>
      <c r="L1047" s="59"/>
    </row>
    <row r="1048" spans="1:12" x14ac:dyDescent="0.35">
      <c r="A1048" s="45">
        <v>1044</v>
      </c>
      <c r="B1048" s="2"/>
      <c r="C1048" s="2"/>
      <c r="D1048" s="2"/>
      <c r="E1048" s="3"/>
      <c r="F1048" s="3"/>
      <c r="G1048" s="2"/>
      <c r="H1048" s="2"/>
      <c r="I1048" s="46"/>
      <c r="J1048" s="12"/>
      <c r="K1048" s="2"/>
      <c r="L1048" s="59"/>
    </row>
    <row r="1049" spans="1:12" x14ac:dyDescent="0.35">
      <c r="A1049" s="45">
        <v>1045</v>
      </c>
      <c r="B1049" s="2"/>
      <c r="C1049" s="2"/>
      <c r="D1049" s="2"/>
      <c r="E1049" s="3"/>
      <c r="F1049" s="3"/>
      <c r="G1049" s="2"/>
      <c r="H1049" s="2"/>
      <c r="I1049" s="46"/>
      <c r="J1049" s="12"/>
      <c r="K1049" s="2"/>
      <c r="L1049" s="59"/>
    </row>
    <row r="1050" spans="1:12" x14ac:dyDescent="0.35">
      <c r="A1050" s="45">
        <v>1046</v>
      </c>
      <c r="B1050" s="2"/>
      <c r="C1050" s="2"/>
      <c r="D1050" s="2"/>
      <c r="E1050" s="3"/>
      <c r="F1050" s="3"/>
      <c r="G1050" s="2"/>
      <c r="H1050" s="2"/>
      <c r="I1050" s="46"/>
      <c r="J1050" s="12"/>
      <c r="K1050" s="2"/>
      <c r="L1050" s="59"/>
    </row>
    <row r="1051" spans="1:12" x14ac:dyDescent="0.35">
      <c r="A1051" s="45">
        <v>1047</v>
      </c>
      <c r="B1051" s="2"/>
      <c r="C1051" s="2"/>
      <c r="D1051" s="2"/>
      <c r="E1051" s="3"/>
      <c r="F1051" s="3"/>
      <c r="G1051" s="2"/>
      <c r="H1051" s="2"/>
      <c r="I1051" s="46"/>
      <c r="J1051" s="12"/>
      <c r="K1051" s="2"/>
      <c r="L1051" s="59"/>
    </row>
    <row r="1052" spans="1:12" x14ac:dyDescent="0.35">
      <c r="A1052" s="45">
        <v>1048</v>
      </c>
      <c r="B1052" s="2"/>
      <c r="C1052" s="2"/>
      <c r="D1052" s="2"/>
      <c r="E1052" s="3"/>
      <c r="F1052" s="3"/>
      <c r="G1052" s="2"/>
      <c r="H1052" s="2"/>
      <c r="I1052" s="46"/>
      <c r="J1052" s="12"/>
      <c r="K1052" s="2"/>
      <c r="L1052" s="59"/>
    </row>
    <row r="1053" spans="1:12" x14ac:dyDescent="0.35">
      <c r="A1053" s="45">
        <v>1049</v>
      </c>
      <c r="B1053" s="2"/>
      <c r="C1053" s="2"/>
      <c r="D1053" s="2"/>
      <c r="E1053" s="3"/>
      <c r="F1053" s="3"/>
      <c r="G1053" s="2"/>
      <c r="H1053" s="2"/>
      <c r="I1053" s="46"/>
      <c r="J1053" s="12"/>
      <c r="K1053" s="2"/>
      <c r="L1053" s="59"/>
    </row>
    <row r="1054" spans="1:12" x14ac:dyDescent="0.35">
      <c r="A1054" s="45">
        <v>1050</v>
      </c>
      <c r="B1054" s="2"/>
      <c r="C1054" s="2"/>
      <c r="D1054" s="2"/>
      <c r="E1054" s="3"/>
      <c r="F1054" s="3"/>
      <c r="G1054" s="2"/>
      <c r="H1054" s="2"/>
      <c r="I1054" s="46"/>
      <c r="J1054" s="12"/>
      <c r="K1054" s="2"/>
      <c r="L1054" s="59"/>
    </row>
    <row r="1055" spans="1:12" x14ac:dyDescent="0.35">
      <c r="A1055" s="45">
        <v>1051</v>
      </c>
      <c r="B1055" s="2"/>
      <c r="C1055" s="2"/>
      <c r="D1055" s="2"/>
      <c r="E1055" s="3"/>
      <c r="F1055" s="3"/>
      <c r="G1055" s="2"/>
      <c r="H1055" s="2"/>
      <c r="I1055" s="46"/>
      <c r="J1055" s="12"/>
      <c r="K1055" s="2"/>
      <c r="L1055" s="59"/>
    </row>
    <row r="1056" spans="1:12" x14ac:dyDescent="0.35">
      <c r="A1056" s="45">
        <v>1052</v>
      </c>
      <c r="B1056" s="2"/>
      <c r="C1056" s="2"/>
      <c r="D1056" s="2"/>
      <c r="E1056" s="3"/>
      <c r="F1056" s="3"/>
      <c r="G1056" s="2"/>
      <c r="H1056" s="2"/>
      <c r="I1056" s="46"/>
      <c r="J1056" s="12"/>
      <c r="K1056" s="2"/>
      <c r="L1056" s="59"/>
    </row>
    <row r="1057" spans="1:12" x14ac:dyDescent="0.35">
      <c r="A1057" s="45">
        <v>1053</v>
      </c>
      <c r="B1057" s="2"/>
      <c r="C1057" s="2"/>
      <c r="D1057" s="2"/>
      <c r="E1057" s="3"/>
      <c r="F1057" s="3"/>
      <c r="G1057" s="2"/>
      <c r="H1057" s="2"/>
      <c r="I1057" s="46"/>
      <c r="J1057" s="12"/>
      <c r="K1057" s="2"/>
      <c r="L1057" s="59"/>
    </row>
    <row r="1058" spans="1:12" x14ac:dyDescent="0.35">
      <c r="A1058" s="45">
        <v>1054</v>
      </c>
      <c r="B1058" s="2"/>
      <c r="C1058" s="2"/>
      <c r="D1058" s="2"/>
      <c r="E1058" s="3"/>
      <c r="F1058" s="3"/>
      <c r="G1058" s="2"/>
      <c r="H1058" s="2"/>
      <c r="I1058" s="46"/>
      <c r="J1058" s="12"/>
      <c r="K1058" s="2"/>
      <c r="L1058" s="59"/>
    </row>
    <row r="1059" spans="1:12" x14ac:dyDescent="0.35">
      <c r="A1059" s="45">
        <v>1055</v>
      </c>
      <c r="B1059" s="2"/>
      <c r="C1059" s="2"/>
      <c r="D1059" s="2"/>
      <c r="E1059" s="3"/>
      <c r="F1059" s="3"/>
      <c r="G1059" s="2"/>
      <c r="H1059" s="2"/>
      <c r="I1059" s="46"/>
      <c r="J1059" s="12"/>
      <c r="K1059" s="2"/>
      <c r="L1059" s="59"/>
    </row>
    <row r="1060" spans="1:12" x14ac:dyDescent="0.35">
      <c r="A1060" s="45">
        <v>1056</v>
      </c>
      <c r="B1060" s="2"/>
      <c r="C1060" s="2"/>
      <c r="D1060" s="2"/>
      <c r="E1060" s="3"/>
      <c r="F1060" s="3"/>
      <c r="G1060" s="2"/>
      <c r="H1060" s="2"/>
      <c r="I1060" s="46"/>
      <c r="J1060" s="12"/>
      <c r="K1060" s="2"/>
      <c r="L1060" s="59"/>
    </row>
    <row r="1061" spans="1:12" x14ac:dyDescent="0.35">
      <c r="A1061" s="45">
        <v>1057</v>
      </c>
      <c r="B1061" s="2"/>
      <c r="C1061" s="2"/>
      <c r="D1061" s="2"/>
      <c r="E1061" s="3"/>
      <c r="F1061" s="3"/>
      <c r="G1061" s="2"/>
      <c r="H1061" s="2"/>
      <c r="I1061" s="46"/>
      <c r="J1061" s="12"/>
      <c r="K1061" s="2"/>
      <c r="L1061" s="59"/>
    </row>
    <row r="1062" spans="1:12" x14ac:dyDescent="0.35">
      <c r="A1062" s="45">
        <v>1058</v>
      </c>
      <c r="B1062" s="2"/>
      <c r="C1062" s="2"/>
      <c r="D1062" s="2"/>
      <c r="E1062" s="3"/>
      <c r="F1062" s="3"/>
      <c r="G1062" s="2"/>
      <c r="H1062" s="2"/>
      <c r="I1062" s="46"/>
      <c r="J1062" s="12"/>
      <c r="K1062" s="2"/>
      <c r="L1062" s="59"/>
    </row>
    <row r="1063" spans="1:12" x14ac:dyDescent="0.35">
      <c r="A1063" s="45">
        <v>1059</v>
      </c>
      <c r="B1063" s="2"/>
      <c r="C1063" s="2"/>
      <c r="D1063" s="2"/>
      <c r="E1063" s="3"/>
      <c r="F1063" s="3"/>
      <c r="G1063" s="2"/>
      <c r="H1063" s="2"/>
      <c r="I1063" s="46"/>
      <c r="J1063" s="12"/>
      <c r="K1063" s="2"/>
      <c r="L1063" s="59"/>
    </row>
    <row r="1064" spans="1:12" x14ac:dyDescent="0.35">
      <c r="A1064" s="45">
        <v>1060</v>
      </c>
      <c r="B1064" s="2"/>
      <c r="C1064" s="2"/>
      <c r="D1064" s="2"/>
      <c r="E1064" s="3"/>
      <c r="F1064" s="3"/>
      <c r="G1064" s="2"/>
      <c r="H1064" s="2"/>
      <c r="I1064" s="46"/>
      <c r="J1064" s="12"/>
      <c r="K1064" s="2"/>
      <c r="L1064" s="59"/>
    </row>
    <row r="1065" spans="1:12" x14ac:dyDescent="0.35">
      <c r="A1065" s="45">
        <v>1061</v>
      </c>
      <c r="B1065" s="2"/>
      <c r="C1065" s="2"/>
      <c r="D1065" s="2"/>
      <c r="E1065" s="3"/>
      <c r="F1065" s="3"/>
      <c r="G1065" s="2"/>
      <c r="H1065" s="2"/>
      <c r="I1065" s="46"/>
      <c r="J1065" s="12"/>
      <c r="K1065" s="2"/>
      <c r="L1065" s="59"/>
    </row>
    <row r="1066" spans="1:12" x14ac:dyDescent="0.35">
      <c r="A1066" s="45">
        <v>1062</v>
      </c>
      <c r="B1066" s="2"/>
      <c r="C1066" s="2"/>
      <c r="D1066" s="2"/>
      <c r="E1066" s="3"/>
      <c r="F1066" s="3"/>
      <c r="G1066" s="2"/>
      <c r="H1066" s="2"/>
      <c r="I1066" s="46"/>
      <c r="J1066" s="12"/>
      <c r="K1066" s="2"/>
      <c r="L1066" s="59"/>
    </row>
    <row r="1067" spans="1:12" x14ac:dyDescent="0.35">
      <c r="A1067" s="45">
        <v>1063</v>
      </c>
      <c r="B1067" s="2"/>
      <c r="C1067" s="2"/>
      <c r="D1067" s="2"/>
      <c r="E1067" s="3"/>
      <c r="F1067" s="3"/>
      <c r="G1067" s="2"/>
      <c r="H1067" s="2"/>
      <c r="I1067" s="46"/>
      <c r="J1067" s="12"/>
      <c r="K1067" s="2"/>
      <c r="L1067" s="59"/>
    </row>
    <row r="1068" spans="1:12" x14ac:dyDescent="0.35">
      <c r="A1068" s="45">
        <v>1064</v>
      </c>
      <c r="B1068" s="2"/>
      <c r="C1068" s="2"/>
      <c r="D1068" s="2"/>
      <c r="E1068" s="3"/>
      <c r="F1068" s="3"/>
      <c r="G1068" s="2"/>
      <c r="H1068" s="2"/>
      <c r="I1068" s="46"/>
      <c r="J1068" s="12"/>
      <c r="K1068" s="2"/>
      <c r="L1068" s="59"/>
    </row>
    <row r="1069" spans="1:12" x14ac:dyDescent="0.35">
      <c r="A1069" s="45">
        <v>1065</v>
      </c>
      <c r="B1069" s="2"/>
      <c r="C1069" s="2"/>
      <c r="D1069" s="2"/>
      <c r="E1069" s="3"/>
      <c r="F1069" s="3"/>
      <c r="G1069" s="2"/>
      <c r="H1069" s="2"/>
      <c r="I1069" s="46"/>
      <c r="J1069" s="12"/>
      <c r="K1069" s="2"/>
      <c r="L1069" s="59"/>
    </row>
    <row r="1070" spans="1:12" x14ac:dyDescent="0.35">
      <c r="A1070" s="45">
        <v>1066</v>
      </c>
      <c r="B1070" s="2"/>
      <c r="C1070" s="2"/>
      <c r="D1070" s="2"/>
      <c r="E1070" s="3"/>
      <c r="F1070" s="3"/>
      <c r="G1070" s="2"/>
      <c r="H1070" s="2"/>
      <c r="I1070" s="46"/>
      <c r="J1070" s="12"/>
      <c r="K1070" s="2"/>
      <c r="L1070" s="59"/>
    </row>
    <row r="1071" spans="1:12" x14ac:dyDescent="0.35">
      <c r="A1071" s="45">
        <v>1067</v>
      </c>
      <c r="B1071" s="2"/>
      <c r="C1071" s="2"/>
      <c r="D1071" s="2"/>
      <c r="E1071" s="3"/>
      <c r="F1071" s="3"/>
      <c r="G1071" s="2"/>
      <c r="H1071" s="2"/>
      <c r="I1071" s="46"/>
      <c r="J1071" s="12"/>
      <c r="K1071" s="2"/>
      <c r="L1071" s="59"/>
    </row>
    <row r="1072" spans="1:12" x14ac:dyDescent="0.35">
      <c r="A1072" s="45">
        <v>1068</v>
      </c>
      <c r="B1072" s="2"/>
      <c r="C1072" s="2"/>
      <c r="D1072" s="2"/>
      <c r="E1072" s="3"/>
      <c r="F1072" s="3"/>
      <c r="G1072" s="2"/>
      <c r="H1072" s="2"/>
      <c r="I1072" s="46"/>
      <c r="J1072" s="12"/>
      <c r="K1072" s="2"/>
      <c r="L1072" s="59"/>
    </row>
    <row r="1073" spans="1:12" x14ac:dyDescent="0.35">
      <c r="A1073" s="45">
        <v>1069</v>
      </c>
      <c r="B1073" s="2"/>
      <c r="C1073" s="2"/>
      <c r="D1073" s="2"/>
      <c r="E1073" s="3"/>
      <c r="F1073" s="3"/>
      <c r="G1073" s="2"/>
      <c r="H1073" s="2"/>
      <c r="I1073" s="46"/>
      <c r="J1073" s="12"/>
      <c r="K1073" s="2"/>
      <c r="L1073" s="59"/>
    </row>
    <row r="1074" spans="1:12" x14ac:dyDescent="0.35">
      <c r="A1074" s="45">
        <v>1070</v>
      </c>
      <c r="B1074" s="2"/>
      <c r="C1074" s="2"/>
      <c r="D1074" s="2"/>
      <c r="E1074" s="3"/>
      <c r="F1074" s="3"/>
      <c r="G1074" s="2"/>
      <c r="H1074" s="2"/>
      <c r="I1074" s="46"/>
      <c r="J1074" s="12"/>
      <c r="K1074" s="2"/>
      <c r="L1074" s="59"/>
    </row>
    <row r="1075" spans="1:12" x14ac:dyDescent="0.35">
      <c r="A1075" s="45">
        <v>1071</v>
      </c>
      <c r="B1075" s="2"/>
      <c r="C1075" s="2"/>
      <c r="D1075" s="2"/>
      <c r="E1075" s="3"/>
      <c r="F1075" s="3"/>
      <c r="G1075" s="2"/>
      <c r="H1075" s="2"/>
      <c r="I1075" s="46"/>
      <c r="J1075" s="12"/>
      <c r="K1075" s="2"/>
      <c r="L1075" s="59"/>
    </row>
    <row r="1076" spans="1:12" x14ac:dyDescent="0.35">
      <c r="A1076" s="45">
        <v>1072</v>
      </c>
      <c r="B1076" s="2"/>
      <c r="C1076" s="2"/>
      <c r="D1076" s="2"/>
      <c r="E1076" s="3"/>
      <c r="F1076" s="3"/>
      <c r="G1076" s="2"/>
      <c r="H1076" s="2"/>
      <c r="I1076" s="46"/>
      <c r="J1076" s="12"/>
      <c r="K1076" s="2"/>
      <c r="L1076" s="59"/>
    </row>
    <row r="1077" spans="1:12" x14ac:dyDescent="0.35">
      <c r="A1077" s="45">
        <v>1073</v>
      </c>
      <c r="B1077" s="2"/>
      <c r="C1077" s="2"/>
      <c r="D1077" s="2"/>
      <c r="E1077" s="3"/>
      <c r="F1077" s="3"/>
      <c r="G1077" s="2"/>
      <c r="H1077" s="2"/>
      <c r="I1077" s="46"/>
      <c r="J1077" s="12"/>
      <c r="K1077" s="2"/>
      <c r="L1077" s="59"/>
    </row>
    <row r="1078" spans="1:12" x14ac:dyDescent="0.35">
      <c r="A1078" s="45">
        <v>1074</v>
      </c>
      <c r="B1078" s="2"/>
      <c r="C1078" s="2"/>
      <c r="D1078" s="2"/>
      <c r="E1078" s="3"/>
      <c r="F1078" s="3"/>
      <c r="G1078" s="2"/>
      <c r="H1078" s="2"/>
      <c r="I1078" s="46"/>
      <c r="J1078" s="12"/>
      <c r="K1078" s="2"/>
      <c r="L1078" s="59"/>
    </row>
    <row r="1079" spans="1:12" x14ac:dyDescent="0.35">
      <c r="A1079" s="45">
        <v>1075</v>
      </c>
      <c r="B1079" s="2"/>
      <c r="C1079" s="2"/>
      <c r="D1079" s="2"/>
      <c r="E1079" s="3"/>
      <c r="F1079" s="3"/>
      <c r="G1079" s="2"/>
      <c r="H1079" s="2"/>
      <c r="I1079" s="46"/>
      <c r="J1079" s="12"/>
      <c r="K1079" s="2"/>
      <c r="L1079" s="59"/>
    </row>
    <row r="1080" spans="1:12" x14ac:dyDescent="0.35">
      <c r="A1080" s="45">
        <v>1076</v>
      </c>
      <c r="B1080" s="2"/>
      <c r="C1080" s="2"/>
      <c r="D1080" s="2"/>
      <c r="E1080" s="3"/>
      <c r="F1080" s="3"/>
      <c r="G1080" s="2"/>
      <c r="H1080" s="2"/>
      <c r="I1080" s="46"/>
      <c r="J1080" s="12"/>
      <c r="K1080" s="2"/>
      <c r="L1080" s="59"/>
    </row>
    <row r="1081" spans="1:12" x14ac:dyDescent="0.35">
      <c r="A1081" s="45">
        <v>1077</v>
      </c>
      <c r="B1081" s="2"/>
      <c r="C1081" s="2"/>
      <c r="D1081" s="2"/>
      <c r="E1081" s="3"/>
      <c r="F1081" s="3"/>
      <c r="G1081" s="2"/>
      <c r="H1081" s="2"/>
      <c r="I1081" s="46"/>
      <c r="J1081" s="12"/>
      <c r="K1081" s="2"/>
      <c r="L1081" s="59"/>
    </row>
    <row r="1082" spans="1:12" x14ac:dyDescent="0.35">
      <c r="A1082" s="45">
        <v>1078</v>
      </c>
      <c r="B1082" s="2"/>
      <c r="C1082" s="2"/>
      <c r="D1082" s="2"/>
      <c r="E1082" s="3"/>
      <c r="F1082" s="3"/>
      <c r="G1082" s="2"/>
      <c r="H1082" s="2"/>
      <c r="I1082" s="46"/>
      <c r="J1082" s="12"/>
      <c r="K1082" s="2"/>
      <c r="L1082" s="59"/>
    </row>
    <row r="1083" spans="1:12" x14ac:dyDescent="0.35">
      <c r="A1083" s="45">
        <v>1079</v>
      </c>
      <c r="B1083" s="2"/>
      <c r="C1083" s="2"/>
      <c r="D1083" s="2"/>
      <c r="E1083" s="3"/>
      <c r="F1083" s="3"/>
      <c r="G1083" s="2"/>
      <c r="H1083" s="2"/>
      <c r="I1083" s="46"/>
      <c r="J1083" s="12"/>
      <c r="K1083" s="2"/>
      <c r="L1083" s="59"/>
    </row>
    <row r="1084" spans="1:12" x14ac:dyDescent="0.35">
      <c r="A1084" s="45">
        <v>1080</v>
      </c>
      <c r="B1084" s="2"/>
      <c r="C1084" s="2"/>
      <c r="D1084" s="2"/>
      <c r="E1084" s="3"/>
      <c r="F1084" s="3"/>
      <c r="G1084" s="2"/>
      <c r="H1084" s="2"/>
      <c r="I1084" s="46"/>
      <c r="J1084" s="12"/>
      <c r="K1084" s="2"/>
      <c r="L1084" s="59"/>
    </row>
    <row r="1085" spans="1:12" x14ac:dyDescent="0.35">
      <c r="A1085" s="45">
        <v>1081</v>
      </c>
      <c r="B1085" s="2"/>
      <c r="C1085" s="2"/>
      <c r="D1085" s="2"/>
      <c r="E1085" s="3"/>
      <c r="F1085" s="3"/>
      <c r="G1085" s="2"/>
      <c r="H1085" s="2"/>
      <c r="I1085" s="46"/>
      <c r="J1085" s="12"/>
      <c r="K1085" s="2"/>
      <c r="L1085" s="59"/>
    </row>
    <row r="1086" spans="1:12" x14ac:dyDescent="0.35">
      <c r="A1086" s="45">
        <v>1082</v>
      </c>
      <c r="B1086" s="2"/>
      <c r="C1086" s="2"/>
      <c r="D1086" s="2"/>
      <c r="E1086" s="3"/>
      <c r="F1086" s="3"/>
      <c r="G1086" s="2"/>
      <c r="H1086" s="2"/>
      <c r="I1086" s="46"/>
      <c r="J1086" s="12"/>
      <c r="K1086" s="2"/>
      <c r="L1086" s="59"/>
    </row>
    <row r="1087" spans="1:12" x14ac:dyDescent="0.35">
      <c r="A1087" s="45">
        <v>1083</v>
      </c>
      <c r="B1087" s="2"/>
      <c r="C1087" s="2"/>
      <c r="D1087" s="2"/>
      <c r="E1087" s="3"/>
      <c r="F1087" s="3"/>
      <c r="G1087" s="2"/>
      <c r="H1087" s="2"/>
      <c r="I1087" s="46"/>
      <c r="J1087" s="12"/>
      <c r="K1087" s="2"/>
      <c r="L1087" s="59"/>
    </row>
    <row r="1088" spans="1:12" x14ac:dyDescent="0.35">
      <c r="A1088" s="45">
        <v>1084</v>
      </c>
      <c r="B1088" s="2"/>
      <c r="C1088" s="2"/>
      <c r="D1088" s="2"/>
      <c r="E1088" s="3"/>
      <c r="F1088" s="3"/>
      <c r="G1088" s="2"/>
      <c r="H1088" s="2"/>
      <c r="I1088" s="46"/>
      <c r="J1088" s="12"/>
      <c r="K1088" s="2"/>
      <c r="L1088" s="59"/>
    </row>
    <row r="1089" spans="1:12" x14ac:dyDescent="0.35">
      <c r="A1089" s="45">
        <v>1085</v>
      </c>
      <c r="B1089" s="2"/>
      <c r="C1089" s="2"/>
      <c r="D1089" s="2"/>
      <c r="E1089" s="3"/>
      <c r="F1089" s="3"/>
      <c r="G1089" s="2"/>
      <c r="H1089" s="2"/>
      <c r="I1089" s="46"/>
      <c r="J1089" s="12"/>
      <c r="K1089" s="2"/>
      <c r="L1089" s="59"/>
    </row>
    <row r="1090" spans="1:12" x14ac:dyDescent="0.35">
      <c r="A1090" s="45">
        <v>1086</v>
      </c>
      <c r="B1090" s="2"/>
      <c r="C1090" s="2"/>
      <c r="D1090" s="2"/>
      <c r="E1090" s="3"/>
      <c r="F1090" s="3"/>
      <c r="G1090" s="2"/>
      <c r="H1090" s="2"/>
      <c r="I1090" s="46"/>
      <c r="J1090" s="12"/>
      <c r="K1090" s="2"/>
      <c r="L1090" s="59"/>
    </row>
    <row r="1091" spans="1:12" x14ac:dyDescent="0.35">
      <c r="A1091" s="45">
        <v>1087</v>
      </c>
      <c r="B1091" s="2"/>
      <c r="C1091" s="2"/>
      <c r="D1091" s="2"/>
      <c r="E1091" s="3"/>
      <c r="F1091" s="3"/>
      <c r="G1091" s="2"/>
      <c r="H1091" s="2"/>
      <c r="I1091" s="46"/>
      <c r="J1091" s="12"/>
      <c r="K1091" s="2"/>
      <c r="L1091" s="59"/>
    </row>
    <row r="1092" spans="1:12" x14ac:dyDescent="0.35">
      <c r="A1092" s="45">
        <v>1088</v>
      </c>
      <c r="B1092" s="2"/>
      <c r="C1092" s="2"/>
      <c r="D1092" s="2"/>
      <c r="E1092" s="3"/>
      <c r="F1092" s="3"/>
      <c r="G1092" s="2"/>
      <c r="H1092" s="2"/>
      <c r="I1092" s="46"/>
      <c r="J1092" s="12"/>
      <c r="K1092" s="2"/>
      <c r="L1092" s="59"/>
    </row>
    <row r="1093" spans="1:12" x14ac:dyDescent="0.35">
      <c r="A1093" s="45">
        <v>1089</v>
      </c>
      <c r="B1093" s="2"/>
      <c r="C1093" s="2"/>
      <c r="D1093" s="2"/>
      <c r="E1093" s="3"/>
      <c r="F1093" s="3"/>
      <c r="G1093" s="2"/>
      <c r="H1093" s="2"/>
      <c r="I1093" s="46"/>
      <c r="J1093" s="12"/>
      <c r="K1093" s="2"/>
      <c r="L1093" s="59"/>
    </row>
    <row r="1094" spans="1:12" x14ac:dyDescent="0.35">
      <c r="A1094" s="45">
        <v>1090</v>
      </c>
      <c r="B1094" s="2"/>
      <c r="C1094" s="2"/>
      <c r="D1094" s="2"/>
      <c r="E1094" s="3"/>
      <c r="F1094" s="3"/>
      <c r="G1094" s="2"/>
      <c r="H1094" s="2"/>
      <c r="I1094" s="46"/>
      <c r="J1094" s="12"/>
      <c r="K1094" s="2"/>
      <c r="L1094" s="59"/>
    </row>
    <row r="1095" spans="1:12" x14ac:dyDescent="0.35">
      <c r="A1095" s="45">
        <v>1091</v>
      </c>
      <c r="B1095" s="2"/>
      <c r="C1095" s="2"/>
      <c r="D1095" s="2"/>
      <c r="E1095" s="3"/>
      <c r="F1095" s="3"/>
      <c r="G1095" s="2"/>
      <c r="H1095" s="2"/>
      <c r="I1095" s="46"/>
      <c r="J1095" s="12"/>
      <c r="K1095" s="2"/>
      <c r="L1095" s="59"/>
    </row>
    <row r="1096" spans="1:12" x14ac:dyDescent="0.35">
      <c r="A1096" s="45">
        <v>1092</v>
      </c>
      <c r="B1096" s="2"/>
      <c r="C1096" s="2"/>
      <c r="D1096" s="2"/>
      <c r="E1096" s="3"/>
      <c r="F1096" s="3"/>
      <c r="G1096" s="2"/>
      <c r="H1096" s="2"/>
      <c r="I1096" s="46"/>
      <c r="J1096" s="12"/>
      <c r="K1096" s="2"/>
      <c r="L1096" s="59"/>
    </row>
    <row r="1097" spans="1:12" x14ac:dyDescent="0.35">
      <c r="A1097" s="45">
        <v>1093</v>
      </c>
      <c r="B1097" s="2"/>
      <c r="C1097" s="2"/>
      <c r="D1097" s="2"/>
      <c r="E1097" s="3"/>
      <c r="F1097" s="3"/>
      <c r="G1097" s="2"/>
      <c r="H1097" s="2"/>
      <c r="I1097" s="46"/>
      <c r="J1097" s="12"/>
      <c r="K1097" s="2"/>
      <c r="L1097" s="59"/>
    </row>
    <row r="1098" spans="1:12" x14ac:dyDescent="0.35">
      <c r="A1098" s="45">
        <v>1094</v>
      </c>
      <c r="B1098" s="2"/>
      <c r="C1098" s="2"/>
      <c r="D1098" s="2"/>
      <c r="E1098" s="3"/>
      <c r="F1098" s="3"/>
      <c r="G1098" s="2"/>
      <c r="H1098" s="2"/>
      <c r="I1098" s="46"/>
      <c r="J1098" s="12"/>
      <c r="K1098" s="2"/>
      <c r="L1098" s="59"/>
    </row>
    <row r="1099" spans="1:12" x14ac:dyDescent="0.35">
      <c r="A1099" s="45">
        <v>1095</v>
      </c>
      <c r="B1099" s="2"/>
      <c r="C1099" s="2"/>
      <c r="D1099" s="2"/>
      <c r="E1099" s="3"/>
      <c r="F1099" s="3"/>
      <c r="G1099" s="2"/>
      <c r="H1099" s="2"/>
      <c r="I1099" s="46"/>
      <c r="J1099" s="12"/>
      <c r="K1099" s="2"/>
      <c r="L1099" s="59"/>
    </row>
    <row r="1100" spans="1:12" x14ac:dyDescent="0.35">
      <c r="A1100" s="45">
        <v>1096</v>
      </c>
      <c r="B1100" s="2"/>
      <c r="C1100" s="2"/>
      <c r="D1100" s="2"/>
      <c r="E1100" s="3"/>
      <c r="F1100" s="3"/>
      <c r="G1100" s="2"/>
      <c r="H1100" s="2"/>
      <c r="I1100" s="46"/>
      <c r="J1100" s="12"/>
      <c r="K1100" s="2"/>
      <c r="L1100" s="59"/>
    </row>
    <row r="1101" spans="1:12" x14ac:dyDescent="0.35">
      <c r="A1101" s="45">
        <v>1097</v>
      </c>
      <c r="B1101" s="2"/>
      <c r="C1101" s="2"/>
      <c r="D1101" s="2"/>
      <c r="E1101" s="3"/>
      <c r="F1101" s="3"/>
      <c r="G1101" s="2"/>
      <c r="H1101" s="2"/>
      <c r="I1101" s="46"/>
      <c r="J1101" s="12"/>
      <c r="K1101" s="2"/>
      <c r="L1101" s="59"/>
    </row>
    <row r="1102" spans="1:12" x14ac:dyDescent="0.35">
      <c r="A1102" s="45">
        <v>1098</v>
      </c>
      <c r="B1102" s="2"/>
      <c r="C1102" s="2"/>
      <c r="D1102" s="2"/>
      <c r="E1102" s="3"/>
      <c r="F1102" s="3"/>
      <c r="G1102" s="2"/>
      <c r="H1102" s="2"/>
      <c r="I1102" s="46"/>
      <c r="J1102" s="12"/>
      <c r="K1102" s="2"/>
      <c r="L1102" s="59"/>
    </row>
    <row r="1103" spans="1:12" x14ac:dyDescent="0.35">
      <c r="A1103" s="45">
        <v>1099</v>
      </c>
      <c r="B1103" s="2"/>
      <c r="C1103" s="2"/>
      <c r="D1103" s="2"/>
      <c r="E1103" s="3"/>
      <c r="F1103" s="3"/>
      <c r="G1103" s="2"/>
      <c r="H1103" s="2"/>
      <c r="I1103" s="46"/>
      <c r="J1103" s="12"/>
      <c r="K1103" s="2"/>
      <c r="L1103" s="59"/>
    </row>
    <row r="1104" spans="1:12" x14ac:dyDescent="0.35">
      <c r="A1104" s="45">
        <v>1100</v>
      </c>
      <c r="B1104" s="2"/>
      <c r="C1104" s="2"/>
      <c r="D1104" s="2"/>
      <c r="E1104" s="3"/>
      <c r="F1104" s="3"/>
      <c r="G1104" s="2"/>
      <c r="H1104" s="2"/>
      <c r="I1104" s="46"/>
      <c r="J1104" s="12"/>
      <c r="K1104" s="2"/>
      <c r="L1104" s="59"/>
    </row>
    <row r="1105" spans="1:12" x14ac:dyDescent="0.35">
      <c r="A1105" s="45">
        <v>1101</v>
      </c>
      <c r="B1105" s="2"/>
      <c r="C1105" s="2"/>
      <c r="D1105" s="2"/>
      <c r="E1105" s="3"/>
      <c r="F1105" s="3"/>
      <c r="G1105" s="2"/>
      <c r="H1105" s="2"/>
      <c r="I1105" s="46"/>
      <c r="J1105" s="12"/>
      <c r="K1105" s="2"/>
      <c r="L1105" s="59"/>
    </row>
    <row r="1106" spans="1:12" x14ac:dyDescent="0.35">
      <c r="A1106" s="45">
        <v>1102</v>
      </c>
      <c r="B1106" s="2"/>
      <c r="C1106" s="2"/>
      <c r="D1106" s="2"/>
      <c r="E1106" s="3"/>
      <c r="F1106" s="3"/>
      <c r="G1106" s="2"/>
      <c r="H1106" s="2"/>
      <c r="I1106" s="46"/>
      <c r="J1106" s="12"/>
      <c r="K1106" s="2"/>
      <c r="L1106" s="59"/>
    </row>
    <row r="1107" spans="1:12" x14ac:dyDescent="0.35">
      <c r="A1107" s="45">
        <v>1103</v>
      </c>
      <c r="B1107" s="2"/>
      <c r="C1107" s="2"/>
      <c r="D1107" s="2"/>
      <c r="E1107" s="3"/>
      <c r="F1107" s="3"/>
      <c r="G1107" s="2"/>
      <c r="H1107" s="2"/>
      <c r="I1107" s="46"/>
      <c r="J1107" s="12"/>
      <c r="K1107" s="2"/>
      <c r="L1107" s="59"/>
    </row>
    <row r="1108" spans="1:12" x14ac:dyDescent="0.35">
      <c r="A1108" s="45">
        <v>1104</v>
      </c>
      <c r="B1108" s="2"/>
      <c r="C1108" s="2"/>
      <c r="D1108" s="2"/>
      <c r="E1108" s="3"/>
      <c r="F1108" s="3"/>
      <c r="G1108" s="2"/>
      <c r="H1108" s="2"/>
      <c r="I1108" s="46"/>
      <c r="J1108" s="12"/>
      <c r="K1108" s="2"/>
      <c r="L1108" s="59"/>
    </row>
    <row r="1109" spans="1:12" x14ac:dyDescent="0.35">
      <c r="A1109" s="45">
        <v>1105</v>
      </c>
      <c r="B1109" s="2"/>
      <c r="C1109" s="2"/>
      <c r="D1109" s="2"/>
      <c r="E1109" s="3"/>
      <c r="F1109" s="3"/>
      <c r="G1109" s="2"/>
      <c r="H1109" s="2"/>
      <c r="I1109" s="46"/>
      <c r="J1109" s="12"/>
      <c r="K1109" s="2"/>
      <c r="L1109" s="59"/>
    </row>
    <row r="1110" spans="1:12" x14ac:dyDescent="0.35">
      <c r="A1110" s="45">
        <v>1106</v>
      </c>
      <c r="B1110" s="2"/>
      <c r="C1110" s="2"/>
      <c r="D1110" s="2"/>
      <c r="E1110" s="3"/>
      <c r="F1110" s="3"/>
      <c r="G1110" s="2"/>
      <c r="H1110" s="2"/>
      <c r="I1110" s="46"/>
      <c r="J1110" s="12"/>
      <c r="K1110" s="2"/>
      <c r="L1110" s="59"/>
    </row>
    <row r="1111" spans="1:12" x14ac:dyDescent="0.35">
      <c r="A1111" s="45">
        <v>1107</v>
      </c>
      <c r="B1111" s="2"/>
      <c r="C1111" s="2"/>
      <c r="D1111" s="2"/>
      <c r="E1111" s="3"/>
      <c r="F1111" s="3"/>
      <c r="G1111" s="2"/>
      <c r="H1111" s="2"/>
      <c r="I1111" s="46"/>
      <c r="J1111" s="12"/>
      <c r="K1111" s="2"/>
      <c r="L1111" s="59"/>
    </row>
    <row r="1112" spans="1:12" x14ac:dyDescent="0.35">
      <c r="A1112" s="45">
        <v>1108</v>
      </c>
      <c r="B1112" s="2"/>
      <c r="C1112" s="2"/>
      <c r="D1112" s="2"/>
      <c r="E1112" s="3"/>
      <c r="F1112" s="3"/>
      <c r="G1112" s="2"/>
      <c r="H1112" s="2"/>
      <c r="I1112" s="46"/>
      <c r="J1112" s="12"/>
      <c r="K1112" s="2"/>
      <c r="L1112" s="59"/>
    </row>
    <row r="1113" spans="1:12" x14ac:dyDescent="0.35">
      <c r="A1113" s="45">
        <v>1109</v>
      </c>
      <c r="B1113" s="2"/>
      <c r="C1113" s="2"/>
      <c r="D1113" s="2"/>
      <c r="E1113" s="3"/>
      <c r="F1113" s="3"/>
      <c r="G1113" s="2"/>
      <c r="H1113" s="2"/>
      <c r="I1113" s="46"/>
      <c r="J1113" s="12"/>
      <c r="K1113" s="2"/>
      <c r="L1113" s="59"/>
    </row>
    <row r="1114" spans="1:12" x14ac:dyDescent="0.35">
      <c r="A1114" s="45">
        <v>1110</v>
      </c>
      <c r="B1114" s="2"/>
      <c r="C1114" s="2"/>
      <c r="D1114" s="2"/>
      <c r="E1114" s="3"/>
      <c r="F1114" s="3"/>
      <c r="G1114" s="2"/>
      <c r="H1114" s="2"/>
      <c r="I1114" s="46"/>
      <c r="J1114" s="12"/>
      <c r="K1114" s="2"/>
      <c r="L1114" s="59"/>
    </row>
    <row r="1115" spans="1:12" x14ac:dyDescent="0.35">
      <c r="A1115" s="45">
        <v>1111</v>
      </c>
      <c r="B1115" s="2"/>
      <c r="C1115" s="2"/>
      <c r="D1115" s="2"/>
      <c r="E1115" s="3"/>
      <c r="F1115" s="3"/>
      <c r="G1115" s="2"/>
      <c r="H1115" s="2"/>
      <c r="I1115" s="46"/>
      <c r="J1115" s="12"/>
      <c r="K1115" s="2"/>
      <c r="L1115" s="59"/>
    </row>
    <row r="1116" spans="1:12" x14ac:dyDescent="0.35">
      <c r="A1116" s="45">
        <v>1112</v>
      </c>
      <c r="B1116" s="2"/>
      <c r="C1116" s="2"/>
      <c r="D1116" s="2"/>
      <c r="E1116" s="3"/>
      <c r="F1116" s="3"/>
      <c r="G1116" s="2"/>
      <c r="H1116" s="2"/>
      <c r="I1116" s="46"/>
      <c r="J1116" s="12"/>
      <c r="K1116" s="2"/>
      <c r="L1116" s="59"/>
    </row>
    <row r="1117" spans="1:12" x14ac:dyDescent="0.35">
      <c r="A1117" s="45">
        <v>1113</v>
      </c>
      <c r="B1117" s="2"/>
      <c r="C1117" s="2"/>
      <c r="D1117" s="2"/>
      <c r="E1117" s="3"/>
      <c r="F1117" s="3"/>
      <c r="G1117" s="2"/>
      <c r="H1117" s="2"/>
      <c r="I1117" s="46"/>
      <c r="J1117" s="12"/>
      <c r="K1117" s="2"/>
      <c r="L1117" s="59"/>
    </row>
    <row r="1118" spans="1:12" x14ac:dyDescent="0.35">
      <c r="A1118" s="45">
        <v>1114</v>
      </c>
      <c r="B1118" s="2"/>
      <c r="C1118" s="2"/>
      <c r="D1118" s="2"/>
      <c r="E1118" s="3"/>
      <c r="F1118" s="3"/>
      <c r="G1118" s="2"/>
      <c r="H1118" s="2"/>
      <c r="I1118" s="46"/>
      <c r="J1118" s="12"/>
      <c r="K1118" s="2"/>
      <c r="L1118" s="59"/>
    </row>
    <row r="1119" spans="1:12" x14ac:dyDescent="0.35">
      <c r="A1119" s="45">
        <v>1115</v>
      </c>
      <c r="B1119" s="2"/>
      <c r="C1119" s="2"/>
      <c r="D1119" s="2"/>
      <c r="E1119" s="3"/>
      <c r="F1119" s="3"/>
      <c r="G1119" s="2"/>
      <c r="H1119" s="2"/>
      <c r="I1119" s="46"/>
      <c r="J1119" s="12"/>
      <c r="K1119" s="2"/>
      <c r="L1119" s="59"/>
    </row>
    <row r="1120" spans="1:12" x14ac:dyDescent="0.35">
      <c r="A1120" s="45">
        <v>1116</v>
      </c>
      <c r="B1120" s="2"/>
      <c r="C1120" s="2"/>
      <c r="D1120" s="2"/>
      <c r="E1120" s="3"/>
      <c r="F1120" s="3"/>
      <c r="G1120" s="2"/>
      <c r="H1120" s="2"/>
      <c r="I1120" s="46"/>
      <c r="J1120" s="12"/>
      <c r="K1120" s="2"/>
      <c r="L1120" s="59"/>
    </row>
    <row r="1121" spans="1:12" x14ac:dyDescent="0.35">
      <c r="A1121" s="45">
        <v>1117</v>
      </c>
      <c r="B1121" s="2"/>
      <c r="C1121" s="2"/>
      <c r="D1121" s="2"/>
      <c r="E1121" s="3"/>
      <c r="F1121" s="3"/>
      <c r="G1121" s="2"/>
      <c r="H1121" s="2"/>
      <c r="I1121" s="46"/>
      <c r="J1121" s="12"/>
      <c r="K1121" s="2"/>
      <c r="L1121" s="59"/>
    </row>
    <row r="1122" spans="1:12" x14ac:dyDescent="0.35">
      <c r="A1122" s="45">
        <v>1118</v>
      </c>
      <c r="B1122" s="2"/>
      <c r="C1122" s="2"/>
      <c r="D1122" s="2"/>
      <c r="E1122" s="3"/>
      <c r="F1122" s="3"/>
      <c r="G1122" s="2"/>
      <c r="H1122" s="2"/>
      <c r="I1122" s="46"/>
      <c r="J1122" s="12"/>
      <c r="K1122" s="2"/>
      <c r="L1122" s="59"/>
    </row>
    <row r="1123" spans="1:12" x14ac:dyDescent="0.35">
      <c r="A1123" s="45">
        <v>1119</v>
      </c>
      <c r="B1123" s="2"/>
      <c r="C1123" s="2"/>
      <c r="D1123" s="2"/>
      <c r="E1123" s="3"/>
      <c r="F1123" s="3"/>
      <c r="G1123" s="2"/>
      <c r="H1123" s="2"/>
      <c r="I1123" s="46"/>
      <c r="J1123" s="12"/>
      <c r="K1123" s="2"/>
      <c r="L1123" s="59"/>
    </row>
    <row r="1124" spans="1:12" x14ac:dyDescent="0.35">
      <c r="A1124" s="45">
        <v>1120</v>
      </c>
      <c r="B1124" s="2"/>
      <c r="C1124" s="2"/>
      <c r="D1124" s="2"/>
      <c r="E1124" s="3"/>
      <c r="F1124" s="3"/>
      <c r="G1124" s="2"/>
      <c r="H1124" s="2"/>
      <c r="I1124" s="46"/>
      <c r="J1124" s="12"/>
      <c r="K1124" s="2"/>
      <c r="L1124" s="59"/>
    </row>
    <row r="1125" spans="1:12" x14ac:dyDescent="0.35">
      <c r="A1125" s="45">
        <v>1121</v>
      </c>
      <c r="B1125" s="2"/>
      <c r="C1125" s="2"/>
      <c r="D1125" s="2"/>
      <c r="E1125" s="3"/>
      <c r="F1125" s="3"/>
      <c r="G1125" s="2"/>
      <c r="H1125" s="2"/>
      <c r="I1125" s="46"/>
      <c r="J1125" s="12"/>
      <c r="K1125" s="2"/>
      <c r="L1125" s="59"/>
    </row>
    <row r="1126" spans="1:12" x14ac:dyDescent="0.35">
      <c r="A1126" s="45">
        <v>1122</v>
      </c>
      <c r="B1126" s="2"/>
      <c r="C1126" s="2"/>
      <c r="D1126" s="2"/>
      <c r="E1126" s="3"/>
      <c r="F1126" s="3"/>
      <c r="G1126" s="2"/>
      <c r="H1126" s="2"/>
      <c r="I1126" s="46"/>
      <c r="J1126" s="12"/>
      <c r="K1126" s="2"/>
      <c r="L1126" s="59"/>
    </row>
    <row r="1127" spans="1:12" x14ac:dyDescent="0.35">
      <c r="A1127" s="45">
        <v>1123</v>
      </c>
      <c r="B1127" s="2"/>
      <c r="C1127" s="2"/>
      <c r="D1127" s="2"/>
      <c r="E1127" s="3"/>
      <c r="F1127" s="3"/>
      <c r="G1127" s="2"/>
      <c r="H1127" s="2"/>
      <c r="I1127" s="46"/>
      <c r="J1127" s="12"/>
      <c r="K1127" s="2"/>
      <c r="L1127" s="59"/>
    </row>
    <row r="1128" spans="1:12" x14ac:dyDescent="0.35">
      <c r="A1128" s="45">
        <v>1124</v>
      </c>
      <c r="B1128" s="2"/>
      <c r="C1128" s="2"/>
      <c r="D1128" s="2"/>
      <c r="E1128" s="3"/>
      <c r="F1128" s="3"/>
      <c r="G1128" s="2"/>
      <c r="H1128" s="2"/>
      <c r="I1128" s="46"/>
      <c r="J1128" s="12"/>
      <c r="K1128" s="2"/>
      <c r="L1128" s="59"/>
    </row>
    <row r="1129" spans="1:12" x14ac:dyDescent="0.35">
      <c r="A1129" s="45">
        <v>1125</v>
      </c>
      <c r="B1129" s="2"/>
      <c r="C1129" s="2"/>
      <c r="D1129" s="2"/>
      <c r="E1129" s="3"/>
      <c r="F1129" s="3"/>
      <c r="G1129" s="2"/>
      <c r="H1129" s="2"/>
      <c r="I1129" s="46"/>
      <c r="J1129" s="12"/>
      <c r="K1129" s="2"/>
      <c r="L1129" s="59"/>
    </row>
    <row r="1130" spans="1:12" x14ac:dyDescent="0.35">
      <c r="A1130" s="45">
        <v>1126</v>
      </c>
      <c r="B1130" s="2"/>
      <c r="C1130" s="2"/>
      <c r="D1130" s="2"/>
      <c r="E1130" s="3"/>
      <c r="F1130" s="3"/>
      <c r="G1130" s="2"/>
      <c r="H1130" s="2"/>
      <c r="I1130" s="46"/>
      <c r="J1130" s="12"/>
      <c r="K1130" s="2"/>
      <c r="L1130" s="59"/>
    </row>
    <row r="1131" spans="1:12" x14ac:dyDescent="0.35">
      <c r="A1131" s="45">
        <v>1127</v>
      </c>
      <c r="B1131" s="2"/>
      <c r="C1131" s="2"/>
      <c r="D1131" s="2"/>
      <c r="E1131" s="3"/>
      <c r="F1131" s="3"/>
      <c r="G1131" s="2"/>
      <c r="H1131" s="2"/>
      <c r="I1131" s="46"/>
      <c r="J1131" s="12"/>
      <c r="K1131" s="2"/>
      <c r="L1131" s="59"/>
    </row>
    <row r="1132" spans="1:12" x14ac:dyDescent="0.35">
      <c r="A1132" s="45">
        <v>1128</v>
      </c>
      <c r="B1132" s="2"/>
      <c r="C1132" s="2"/>
      <c r="D1132" s="2"/>
      <c r="E1132" s="3"/>
      <c r="F1132" s="3"/>
      <c r="G1132" s="2"/>
      <c r="H1132" s="2"/>
      <c r="I1132" s="46"/>
      <c r="J1132" s="12"/>
      <c r="K1132" s="2"/>
      <c r="L1132" s="59"/>
    </row>
    <row r="1133" spans="1:12" x14ac:dyDescent="0.35">
      <c r="A1133" s="45">
        <v>1129</v>
      </c>
      <c r="B1133" s="2"/>
      <c r="C1133" s="2"/>
      <c r="D1133" s="2"/>
      <c r="E1133" s="3"/>
      <c r="F1133" s="3"/>
      <c r="G1133" s="2"/>
      <c r="H1133" s="2"/>
      <c r="I1133" s="46"/>
      <c r="J1133" s="12"/>
      <c r="K1133" s="2"/>
      <c r="L1133" s="59"/>
    </row>
    <row r="1134" spans="1:12" x14ac:dyDescent="0.35">
      <c r="A1134" s="45">
        <v>1130</v>
      </c>
      <c r="B1134" s="2"/>
      <c r="C1134" s="2"/>
      <c r="D1134" s="2"/>
      <c r="E1134" s="3"/>
      <c r="F1134" s="3"/>
      <c r="G1134" s="2"/>
      <c r="H1134" s="2"/>
      <c r="I1134" s="46"/>
      <c r="J1134" s="12"/>
      <c r="K1134" s="2"/>
      <c r="L1134" s="59"/>
    </row>
    <row r="1135" spans="1:12" x14ac:dyDescent="0.35">
      <c r="A1135" s="45">
        <v>1131</v>
      </c>
      <c r="B1135" s="2"/>
      <c r="C1135" s="2"/>
      <c r="D1135" s="2"/>
      <c r="E1135" s="3"/>
      <c r="F1135" s="3"/>
      <c r="G1135" s="2"/>
      <c r="H1135" s="2"/>
      <c r="I1135" s="46"/>
      <c r="J1135" s="12"/>
      <c r="K1135" s="2"/>
      <c r="L1135" s="59"/>
    </row>
    <row r="1136" spans="1:12" x14ac:dyDescent="0.35">
      <c r="A1136" s="45">
        <v>1132</v>
      </c>
      <c r="B1136" s="2"/>
      <c r="C1136" s="2"/>
      <c r="D1136" s="2"/>
      <c r="E1136" s="3"/>
      <c r="F1136" s="3"/>
      <c r="G1136" s="2"/>
      <c r="H1136" s="2"/>
      <c r="I1136" s="46"/>
      <c r="J1136" s="12"/>
      <c r="K1136" s="2"/>
      <c r="L1136" s="59"/>
    </row>
    <row r="1137" spans="1:12" x14ac:dyDescent="0.35">
      <c r="A1137" s="45">
        <v>1133</v>
      </c>
      <c r="B1137" s="2"/>
      <c r="C1137" s="2"/>
      <c r="D1137" s="2"/>
      <c r="E1137" s="3"/>
      <c r="F1137" s="3"/>
      <c r="G1137" s="2"/>
      <c r="H1137" s="2"/>
      <c r="I1137" s="46"/>
      <c r="J1137" s="12"/>
      <c r="K1137" s="2"/>
      <c r="L1137" s="59"/>
    </row>
    <row r="1138" spans="1:12" x14ac:dyDescent="0.35">
      <c r="A1138" s="45">
        <v>1134</v>
      </c>
      <c r="B1138" s="2"/>
      <c r="C1138" s="2"/>
      <c r="D1138" s="2"/>
      <c r="E1138" s="3"/>
      <c r="F1138" s="3"/>
      <c r="G1138" s="2"/>
      <c r="H1138" s="2"/>
      <c r="I1138" s="46"/>
      <c r="J1138" s="12"/>
      <c r="K1138" s="2"/>
      <c r="L1138" s="59"/>
    </row>
    <row r="1139" spans="1:12" x14ac:dyDescent="0.35">
      <c r="A1139" s="45">
        <v>1135</v>
      </c>
      <c r="B1139" s="2"/>
      <c r="C1139" s="2"/>
      <c r="D1139" s="2"/>
      <c r="E1139" s="3"/>
      <c r="F1139" s="3"/>
      <c r="G1139" s="2"/>
      <c r="H1139" s="2"/>
      <c r="I1139" s="46"/>
      <c r="J1139" s="12"/>
      <c r="K1139" s="2"/>
      <c r="L1139" s="59"/>
    </row>
    <row r="1140" spans="1:12" x14ac:dyDescent="0.35">
      <c r="A1140" s="45">
        <v>1136</v>
      </c>
      <c r="B1140" s="2"/>
      <c r="C1140" s="2"/>
      <c r="D1140" s="2"/>
      <c r="E1140" s="3"/>
      <c r="F1140" s="3"/>
      <c r="G1140" s="2"/>
      <c r="H1140" s="2"/>
      <c r="I1140" s="46"/>
      <c r="J1140" s="12"/>
      <c r="K1140" s="2"/>
      <c r="L1140" s="59"/>
    </row>
    <row r="1141" spans="1:12" x14ac:dyDescent="0.35">
      <c r="A1141" s="45">
        <v>1137</v>
      </c>
      <c r="B1141" s="2"/>
      <c r="C1141" s="2"/>
      <c r="D1141" s="2"/>
      <c r="E1141" s="3"/>
      <c r="F1141" s="3"/>
      <c r="G1141" s="2"/>
      <c r="H1141" s="2"/>
      <c r="I1141" s="46"/>
      <c r="J1141" s="12"/>
      <c r="K1141" s="2"/>
      <c r="L1141" s="59"/>
    </row>
    <row r="1142" spans="1:12" x14ac:dyDescent="0.35">
      <c r="A1142" s="45">
        <v>1138</v>
      </c>
      <c r="B1142" s="2"/>
      <c r="C1142" s="2"/>
      <c r="D1142" s="2"/>
      <c r="E1142" s="3"/>
      <c r="F1142" s="3"/>
      <c r="G1142" s="2"/>
      <c r="H1142" s="2"/>
      <c r="I1142" s="46"/>
      <c r="J1142" s="12"/>
      <c r="K1142" s="2"/>
      <c r="L1142" s="59"/>
    </row>
    <row r="1143" spans="1:12" x14ac:dyDescent="0.35">
      <c r="A1143" s="45">
        <v>1139</v>
      </c>
      <c r="B1143" s="2"/>
      <c r="C1143" s="2"/>
      <c r="D1143" s="2"/>
      <c r="E1143" s="3"/>
      <c r="F1143" s="3"/>
      <c r="G1143" s="2"/>
      <c r="H1143" s="2"/>
      <c r="I1143" s="46"/>
      <c r="J1143" s="12"/>
      <c r="K1143" s="2"/>
      <c r="L1143" s="59"/>
    </row>
    <row r="1144" spans="1:12" x14ac:dyDescent="0.35">
      <c r="A1144" s="45">
        <v>1140</v>
      </c>
      <c r="B1144" s="2"/>
      <c r="C1144" s="2"/>
      <c r="D1144" s="2"/>
      <c r="E1144" s="3"/>
      <c r="F1144" s="3"/>
      <c r="G1144" s="2"/>
      <c r="H1144" s="2"/>
      <c r="I1144" s="46"/>
      <c r="J1144" s="12"/>
      <c r="K1144" s="2"/>
      <c r="L1144" s="59"/>
    </row>
    <row r="1145" spans="1:12" x14ac:dyDescent="0.35">
      <c r="A1145" s="45">
        <v>1141</v>
      </c>
      <c r="B1145" s="2"/>
      <c r="C1145" s="2"/>
      <c r="D1145" s="2"/>
      <c r="E1145" s="3"/>
      <c r="F1145" s="3"/>
      <c r="G1145" s="2"/>
      <c r="H1145" s="2"/>
      <c r="I1145" s="46"/>
      <c r="J1145" s="12"/>
      <c r="K1145" s="2"/>
      <c r="L1145" s="59"/>
    </row>
    <row r="1146" spans="1:12" x14ac:dyDescent="0.35">
      <c r="A1146" s="45">
        <v>1142</v>
      </c>
      <c r="B1146" s="2"/>
      <c r="C1146" s="2"/>
      <c r="D1146" s="2"/>
      <c r="E1146" s="3"/>
      <c r="F1146" s="3"/>
      <c r="G1146" s="2"/>
      <c r="H1146" s="2"/>
      <c r="I1146" s="46"/>
      <c r="J1146" s="12"/>
      <c r="K1146" s="2"/>
      <c r="L1146" s="59"/>
    </row>
    <row r="1147" spans="1:12" x14ac:dyDescent="0.35">
      <c r="A1147" s="45">
        <v>1143</v>
      </c>
      <c r="B1147" s="2"/>
      <c r="C1147" s="2"/>
      <c r="D1147" s="2"/>
      <c r="E1147" s="3"/>
      <c r="F1147" s="3"/>
      <c r="G1147" s="2"/>
      <c r="H1147" s="2"/>
      <c r="I1147" s="46"/>
      <c r="J1147" s="12"/>
      <c r="K1147" s="2"/>
      <c r="L1147" s="59"/>
    </row>
    <row r="1148" spans="1:12" x14ac:dyDescent="0.35">
      <c r="A1148" s="45">
        <v>1144</v>
      </c>
      <c r="B1148" s="2"/>
      <c r="C1148" s="2"/>
      <c r="D1148" s="2"/>
      <c r="E1148" s="3"/>
      <c r="F1148" s="3"/>
      <c r="G1148" s="2"/>
      <c r="H1148" s="2"/>
      <c r="I1148" s="46"/>
      <c r="J1148" s="12"/>
      <c r="K1148" s="2"/>
      <c r="L1148" s="59"/>
    </row>
    <row r="1149" spans="1:12" x14ac:dyDescent="0.35">
      <c r="A1149" s="45">
        <v>1145</v>
      </c>
      <c r="B1149" s="2"/>
      <c r="C1149" s="2"/>
      <c r="D1149" s="2"/>
      <c r="E1149" s="3"/>
      <c r="F1149" s="3"/>
      <c r="G1149" s="2"/>
      <c r="H1149" s="2"/>
      <c r="I1149" s="46"/>
      <c r="J1149" s="12"/>
      <c r="K1149" s="2"/>
      <c r="L1149" s="59"/>
    </row>
    <row r="1150" spans="1:12" x14ac:dyDescent="0.35">
      <c r="A1150" s="45">
        <v>1146</v>
      </c>
      <c r="B1150" s="2"/>
      <c r="C1150" s="2"/>
      <c r="D1150" s="2"/>
      <c r="E1150" s="3"/>
      <c r="F1150" s="3"/>
      <c r="G1150" s="2"/>
      <c r="H1150" s="2"/>
      <c r="I1150" s="46"/>
      <c r="J1150" s="12"/>
      <c r="K1150" s="2"/>
      <c r="L1150" s="59"/>
    </row>
    <row r="1151" spans="1:12" x14ac:dyDescent="0.35">
      <c r="A1151" s="45">
        <v>1147</v>
      </c>
      <c r="B1151" s="2"/>
      <c r="C1151" s="2"/>
      <c r="D1151" s="2"/>
      <c r="E1151" s="3"/>
      <c r="F1151" s="3"/>
      <c r="G1151" s="2"/>
      <c r="H1151" s="2"/>
      <c r="I1151" s="46"/>
      <c r="J1151" s="12"/>
      <c r="K1151" s="2"/>
      <c r="L1151" s="59"/>
    </row>
    <row r="1152" spans="1:12" x14ac:dyDescent="0.35">
      <c r="A1152" s="45">
        <v>1148</v>
      </c>
      <c r="B1152" s="2"/>
      <c r="C1152" s="2"/>
      <c r="D1152" s="2"/>
      <c r="E1152" s="3"/>
      <c r="F1152" s="3"/>
      <c r="G1152" s="2"/>
      <c r="H1152" s="2"/>
      <c r="I1152" s="46"/>
      <c r="J1152" s="12"/>
      <c r="K1152" s="2"/>
      <c r="L1152" s="59"/>
    </row>
    <row r="1153" spans="1:12" x14ac:dyDescent="0.35">
      <c r="A1153" s="45">
        <v>1149</v>
      </c>
      <c r="B1153" s="2"/>
      <c r="C1153" s="2"/>
      <c r="D1153" s="2"/>
      <c r="E1153" s="3"/>
      <c r="F1153" s="3"/>
      <c r="G1153" s="2"/>
      <c r="H1153" s="2"/>
      <c r="I1153" s="46"/>
      <c r="J1153" s="12"/>
      <c r="K1153" s="2"/>
      <c r="L1153" s="59"/>
    </row>
    <row r="1154" spans="1:12" x14ac:dyDescent="0.35">
      <c r="A1154" s="45">
        <v>1150</v>
      </c>
      <c r="B1154" s="2"/>
      <c r="C1154" s="2"/>
      <c r="D1154" s="2"/>
      <c r="E1154" s="3"/>
      <c r="F1154" s="3"/>
      <c r="G1154" s="2"/>
      <c r="H1154" s="2"/>
      <c r="I1154" s="46"/>
      <c r="J1154" s="12"/>
      <c r="K1154" s="2"/>
      <c r="L1154" s="59"/>
    </row>
    <row r="1155" spans="1:12" x14ac:dyDescent="0.35">
      <c r="A1155" s="45">
        <v>1151</v>
      </c>
      <c r="B1155" s="2"/>
      <c r="C1155" s="2"/>
      <c r="D1155" s="2"/>
      <c r="E1155" s="3"/>
      <c r="F1155" s="3"/>
      <c r="G1155" s="2"/>
      <c r="H1155" s="2"/>
      <c r="I1155" s="46"/>
      <c r="J1155" s="12"/>
      <c r="K1155" s="2"/>
      <c r="L1155" s="59"/>
    </row>
    <row r="1156" spans="1:12" x14ac:dyDescent="0.35">
      <c r="A1156" s="45">
        <v>1152</v>
      </c>
      <c r="B1156" s="2"/>
      <c r="C1156" s="2"/>
      <c r="D1156" s="2"/>
      <c r="E1156" s="3"/>
      <c r="F1156" s="3"/>
      <c r="G1156" s="2"/>
      <c r="H1156" s="2"/>
      <c r="I1156" s="46"/>
      <c r="J1156" s="12"/>
      <c r="K1156" s="2"/>
      <c r="L1156" s="59"/>
    </row>
    <row r="1157" spans="1:12" x14ac:dyDescent="0.35">
      <c r="A1157" s="45">
        <v>1153</v>
      </c>
      <c r="B1157" s="2"/>
      <c r="C1157" s="2"/>
      <c r="D1157" s="2"/>
      <c r="E1157" s="3"/>
      <c r="F1157" s="3"/>
      <c r="G1157" s="2"/>
      <c r="H1157" s="2"/>
      <c r="I1157" s="46"/>
      <c r="J1157" s="12"/>
      <c r="K1157" s="2"/>
      <c r="L1157" s="59"/>
    </row>
    <row r="1158" spans="1:12" x14ac:dyDescent="0.35">
      <c r="A1158" s="45">
        <v>1154</v>
      </c>
      <c r="B1158" s="2"/>
      <c r="C1158" s="2"/>
      <c r="D1158" s="2"/>
      <c r="E1158" s="3"/>
      <c r="F1158" s="3"/>
      <c r="G1158" s="2"/>
      <c r="H1158" s="2"/>
      <c r="I1158" s="46"/>
      <c r="J1158" s="12"/>
      <c r="K1158" s="2"/>
      <c r="L1158" s="59"/>
    </row>
    <row r="1159" spans="1:12" x14ac:dyDescent="0.35">
      <c r="A1159" s="45">
        <v>1155</v>
      </c>
      <c r="B1159" s="2"/>
      <c r="C1159" s="2"/>
      <c r="D1159" s="2"/>
      <c r="E1159" s="3"/>
      <c r="F1159" s="3"/>
      <c r="G1159" s="2"/>
      <c r="H1159" s="2"/>
      <c r="I1159" s="46"/>
      <c r="J1159" s="12"/>
      <c r="K1159" s="2"/>
      <c r="L1159" s="59"/>
    </row>
    <row r="1160" spans="1:12" x14ac:dyDescent="0.35">
      <c r="A1160" s="45">
        <v>1156</v>
      </c>
      <c r="B1160" s="2"/>
      <c r="C1160" s="2"/>
      <c r="D1160" s="2"/>
      <c r="E1160" s="3"/>
      <c r="F1160" s="3"/>
      <c r="G1160" s="2"/>
      <c r="H1160" s="2"/>
      <c r="I1160" s="46"/>
      <c r="J1160" s="12"/>
      <c r="K1160" s="2"/>
      <c r="L1160" s="59"/>
    </row>
    <row r="1161" spans="1:12" x14ac:dyDescent="0.35">
      <c r="A1161" s="45">
        <v>1157</v>
      </c>
      <c r="B1161" s="2"/>
      <c r="C1161" s="2"/>
      <c r="D1161" s="2"/>
      <c r="E1161" s="3"/>
      <c r="F1161" s="3"/>
      <c r="G1161" s="2"/>
      <c r="H1161" s="2"/>
      <c r="I1161" s="46"/>
      <c r="J1161" s="12"/>
      <c r="K1161" s="2"/>
      <c r="L1161" s="59"/>
    </row>
    <row r="1162" spans="1:12" x14ac:dyDescent="0.35">
      <c r="A1162" s="45">
        <v>1158</v>
      </c>
      <c r="B1162" s="2"/>
      <c r="C1162" s="2"/>
      <c r="D1162" s="2"/>
      <c r="E1162" s="3"/>
      <c r="F1162" s="3"/>
      <c r="G1162" s="2"/>
      <c r="H1162" s="2"/>
      <c r="I1162" s="46"/>
      <c r="J1162" s="12"/>
      <c r="K1162" s="2"/>
      <c r="L1162" s="59"/>
    </row>
    <row r="1163" spans="1:12" x14ac:dyDescent="0.35">
      <c r="A1163" s="45">
        <v>1159</v>
      </c>
      <c r="B1163" s="2"/>
      <c r="C1163" s="2"/>
      <c r="D1163" s="2"/>
      <c r="E1163" s="3"/>
      <c r="F1163" s="3"/>
      <c r="G1163" s="2"/>
      <c r="H1163" s="2"/>
      <c r="I1163" s="46"/>
      <c r="J1163" s="12"/>
      <c r="K1163" s="2"/>
      <c r="L1163" s="59"/>
    </row>
    <row r="1164" spans="1:12" x14ac:dyDescent="0.35">
      <c r="A1164" s="45">
        <v>1160</v>
      </c>
      <c r="B1164" s="2"/>
      <c r="C1164" s="2"/>
      <c r="D1164" s="2"/>
      <c r="E1164" s="3"/>
      <c r="F1164" s="3"/>
      <c r="G1164" s="2"/>
      <c r="H1164" s="2"/>
      <c r="I1164" s="46"/>
      <c r="J1164" s="12"/>
      <c r="K1164" s="2"/>
      <c r="L1164" s="59"/>
    </row>
    <row r="1165" spans="1:12" x14ac:dyDescent="0.35">
      <c r="A1165" s="45">
        <v>1161</v>
      </c>
      <c r="B1165" s="2"/>
      <c r="C1165" s="2"/>
      <c r="D1165" s="2"/>
      <c r="E1165" s="3"/>
      <c r="F1165" s="3"/>
      <c r="G1165" s="2"/>
      <c r="H1165" s="2"/>
      <c r="I1165" s="46"/>
      <c r="J1165" s="12"/>
      <c r="K1165" s="2"/>
      <c r="L1165" s="59"/>
    </row>
    <row r="1166" spans="1:12" x14ac:dyDescent="0.35">
      <c r="A1166" s="45">
        <v>1162</v>
      </c>
      <c r="B1166" s="2"/>
      <c r="C1166" s="2"/>
      <c r="D1166" s="2"/>
      <c r="E1166" s="3"/>
      <c r="F1166" s="3"/>
      <c r="G1166" s="2"/>
      <c r="H1166" s="2"/>
      <c r="I1166" s="46"/>
      <c r="J1166" s="12"/>
      <c r="K1166" s="2"/>
      <c r="L1166" s="59"/>
    </row>
    <row r="1167" spans="1:12" x14ac:dyDescent="0.35">
      <c r="A1167" s="45">
        <v>1163</v>
      </c>
      <c r="B1167" s="2"/>
      <c r="C1167" s="2"/>
      <c r="D1167" s="2"/>
      <c r="E1167" s="3"/>
      <c r="F1167" s="3"/>
      <c r="G1167" s="2"/>
      <c r="H1167" s="2"/>
      <c r="I1167" s="46"/>
      <c r="J1167" s="12"/>
      <c r="K1167" s="2"/>
      <c r="L1167" s="59"/>
    </row>
    <row r="1168" spans="1:12" x14ac:dyDescent="0.35">
      <c r="A1168" s="45">
        <v>1164</v>
      </c>
      <c r="B1168" s="2"/>
      <c r="C1168" s="2"/>
      <c r="D1168" s="2"/>
      <c r="E1168" s="3"/>
      <c r="F1168" s="3"/>
      <c r="G1168" s="2"/>
      <c r="H1168" s="2"/>
      <c r="I1168" s="46"/>
      <c r="J1168" s="12"/>
      <c r="K1168" s="2"/>
      <c r="L1168" s="59"/>
    </row>
    <row r="1169" spans="1:12" x14ac:dyDescent="0.35">
      <c r="A1169" s="45">
        <v>1165</v>
      </c>
      <c r="B1169" s="2"/>
      <c r="C1169" s="2"/>
      <c r="D1169" s="2"/>
      <c r="E1169" s="3"/>
      <c r="F1169" s="3"/>
      <c r="G1169" s="2"/>
      <c r="H1169" s="2"/>
      <c r="I1169" s="46"/>
      <c r="J1169" s="12"/>
      <c r="K1169" s="2"/>
      <c r="L1169" s="59"/>
    </row>
    <row r="1170" spans="1:12" x14ac:dyDescent="0.35">
      <c r="A1170" s="45">
        <v>1166</v>
      </c>
      <c r="B1170" s="2"/>
      <c r="C1170" s="2"/>
      <c r="D1170" s="2"/>
      <c r="E1170" s="3"/>
      <c r="F1170" s="3"/>
      <c r="G1170" s="2"/>
      <c r="H1170" s="2"/>
      <c r="I1170" s="46"/>
      <c r="J1170" s="12"/>
      <c r="K1170" s="2"/>
      <c r="L1170" s="59"/>
    </row>
    <row r="1171" spans="1:12" x14ac:dyDescent="0.35">
      <c r="A1171" s="45">
        <v>1167</v>
      </c>
      <c r="B1171" s="2"/>
      <c r="C1171" s="2"/>
      <c r="D1171" s="2"/>
      <c r="E1171" s="3"/>
      <c r="F1171" s="3"/>
      <c r="G1171" s="2"/>
      <c r="H1171" s="2"/>
      <c r="I1171" s="46"/>
      <c r="J1171" s="12"/>
      <c r="K1171" s="2"/>
      <c r="L1171" s="59"/>
    </row>
    <row r="1172" spans="1:12" x14ac:dyDescent="0.35">
      <c r="A1172" s="45">
        <v>1168</v>
      </c>
      <c r="B1172" s="2"/>
      <c r="C1172" s="2"/>
      <c r="D1172" s="2"/>
      <c r="E1172" s="3"/>
      <c r="F1172" s="3"/>
      <c r="G1172" s="2"/>
      <c r="H1172" s="2"/>
      <c r="I1172" s="46"/>
      <c r="J1172" s="12"/>
      <c r="K1172" s="2"/>
      <c r="L1172" s="59"/>
    </row>
    <row r="1173" spans="1:12" x14ac:dyDescent="0.35">
      <c r="A1173" s="45">
        <v>1169</v>
      </c>
      <c r="B1173" s="2"/>
      <c r="C1173" s="2"/>
      <c r="D1173" s="2"/>
      <c r="E1173" s="3"/>
      <c r="F1173" s="3"/>
      <c r="G1173" s="2"/>
      <c r="H1173" s="2"/>
      <c r="I1173" s="46"/>
      <c r="J1173" s="12"/>
      <c r="K1173" s="2"/>
      <c r="L1173" s="59"/>
    </row>
    <row r="1174" spans="1:12" x14ac:dyDescent="0.35">
      <c r="A1174" s="45">
        <v>1170</v>
      </c>
      <c r="B1174" s="2"/>
      <c r="C1174" s="2"/>
      <c r="D1174" s="2"/>
      <c r="E1174" s="3"/>
      <c r="F1174" s="3"/>
      <c r="G1174" s="2"/>
      <c r="H1174" s="2"/>
      <c r="I1174" s="46"/>
      <c r="J1174" s="12"/>
      <c r="K1174" s="2"/>
      <c r="L1174" s="59"/>
    </row>
    <row r="1175" spans="1:12" x14ac:dyDescent="0.35">
      <c r="A1175" s="45">
        <v>1171</v>
      </c>
      <c r="B1175" s="2"/>
      <c r="C1175" s="2"/>
      <c r="D1175" s="2"/>
      <c r="E1175" s="3"/>
      <c r="F1175" s="3"/>
      <c r="G1175" s="2"/>
      <c r="H1175" s="2"/>
      <c r="I1175" s="46"/>
      <c r="J1175" s="12"/>
      <c r="K1175" s="2"/>
      <c r="L1175" s="59"/>
    </row>
    <row r="1176" spans="1:12" x14ac:dyDescent="0.35">
      <c r="A1176" s="45">
        <v>1172</v>
      </c>
      <c r="B1176" s="2"/>
      <c r="C1176" s="2"/>
      <c r="D1176" s="2"/>
      <c r="E1176" s="3"/>
      <c r="F1176" s="3"/>
      <c r="G1176" s="2"/>
      <c r="H1176" s="2"/>
      <c r="I1176" s="46"/>
      <c r="J1176" s="12"/>
      <c r="K1176" s="2"/>
      <c r="L1176" s="59"/>
    </row>
    <row r="1177" spans="1:12" x14ac:dyDescent="0.35">
      <c r="A1177" s="45">
        <v>1173</v>
      </c>
      <c r="B1177" s="2"/>
      <c r="C1177" s="2"/>
      <c r="D1177" s="2"/>
      <c r="E1177" s="3"/>
      <c r="F1177" s="3"/>
      <c r="G1177" s="2"/>
      <c r="H1177" s="2"/>
      <c r="I1177" s="46"/>
      <c r="J1177" s="12"/>
      <c r="K1177" s="2"/>
      <c r="L1177" s="59"/>
    </row>
    <row r="1178" spans="1:12" x14ac:dyDescent="0.35">
      <c r="A1178" s="45">
        <v>1174</v>
      </c>
      <c r="B1178" s="2"/>
      <c r="C1178" s="2"/>
      <c r="D1178" s="2"/>
      <c r="E1178" s="3"/>
      <c r="F1178" s="3"/>
      <c r="G1178" s="2"/>
      <c r="H1178" s="2"/>
      <c r="I1178" s="46"/>
      <c r="J1178" s="12"/>
      <c r="K1178" s="2"/>
      <c r="L1178" s="59"/>
    </row>
    <row r="1179" spans="1:12" x14ac:dyDescent="0.35">
      <c r="A1179" s="45">
        <v>1175</v>
      </c>
      <c r="B1179" s="2"/>
      <c r="C1179" s="2"/>
      <c r="D1179" s="2"/>
      <c r="E1179" s="3"/>
      <c r="F1179" s="3"/>
      <c r="G1179" s="2"/>
      <c r="H1179" s="2"/>
      <c r="I1179" s="46"/>
      <c r="J1179" s="12"/>
      <c r="K1179" s="2"/>
      <c r="L1179" s="59"/>
    </row>
    <row r="1180" spans="1:12" x14ac:dyDescent="0.35">
      <c r="A1180" s="45">
        <v>1176</v>
      </c>
      <c r="B1180" s="2"/>
      <c r="C1180" s="2"/>
      <c r="D1180" s="2"/>
      <c r="E1180" s="3"/>
      <c r="F1180" s="3"/>
      <c r="G1180" s="2"/>
      <c r="H1180" s="2"/>
      <c r="I1180" s="46"/>
      <c r="J1180" s="12"/>
      <c r="K1180" s="2"/>
      <c r="L1180" s="59"/>
    </row>
    <row r="1181" spans="1:12" x14ac:dyDescent="0.35">
      <c r="A1181" s="45">
        <v>1177</v>
      </c>
      <c r="B1181" s="2"/>
      <c r="C1181" s="2"/>
      <c r="D1181" s="2"/>
      <c r="E1181" s="3"/>
      <c r="F1181" s="3"/>
      <c r="G1181" s="2"/>
      <c r="H1181" s="2"/>
      <c r="I1181" s="46"/>
      <c r="J1181" s="12"/>
      <c r="K1181" s="2"/>
      <c r="L1181" s="59"/>
    </row>
    <row r="1182" spans="1:12" x14ac:dyDescent="0.35">
      <c r="A1182" s="45">
        <v>1178</v>
      </c>
      <c r="B1182" s="2"/>
      <c r="C1182" s="2"/>
      <c r="D1182" s="2"/>
      <c r="E1182" s="3"/>
      <c r="F1182" s="3"/>
      <c r="G1182" s="2"/>
      <c r="H1182" s="2"/>
      <c r="I1182" s="46"/>
      <c r="J1182" s="12"/>
      <c r="K1182" s="2"/>
      <c r="L1182" s="59"/>
    </row>
    <row r="1183" spans="1:12" x14ac:dyDescent="0.35">
      <c r="A1183" s="45">
        <v>1179</v>
      </c>
      <c r="B1183" s="2"/>
      <c r="C1183" s="2"/>
      <c r="D1183" s="2"/>
      <c r="E1183" s="3"/>
      <c r="F1183" s="3"/>
      <c r="G1183" s="2"/>
      <c r="H1183" s="2"/>
      <c r="I1183" s="46"/>
      <c r="J1183" s="12"/>
      <c r="K1183" s="2"/>
      <c r="L1183" s="59"/>
    </row>
    <row r="1184" spans="1:12" x14ac:dyDescent="0.35">
      <c r="A1184" s="45">
        <v>1180</v>
      </c>
      <c r="B1184" s="2"/>
      <c r="C1184" s="2"/>
      <c r="D1184" s="2"/>
      <c r="E1184" s="3"/>
      <c r="F1184" s="3"/>
      <c r="G1184" s="2"/>
      <c r="H1184" s="2"/>
      <c r="I1184" s="46"/>
      <c r="J1184" s="12"/>
      <c r="K1184" s="2"/>
      <c r="L1184" s="59"/>
    </row>
    <row r="1185" spans="1:12" x14ac:dyDescent="0.35">
      <c r="A1185" s="45">
        <v>1181</v>
      </c>
      <c r="B1185" s="2"/>
      <c r="C1185" s="2"/>
      <c r="D1185" s="2"/>
      <c r="E1185" s="3"/>
      <c r="F1185" s="3"/>
      <c r="G1185" s="2"/>
      <c r="H1185" s="2"/>
      <c r="I1185" s="46"/>
      <c r="J1185" s="12"/>
      <c r="K1185" s="2"/>
      <c r="L1185" s="59"/>
    </row>
    <row r="1186" spans="1:12" x14ac:dyDescent="0.35">
      <c r="A1186" s="45">
        <v>1182</v>
      </c>
      <c r="B1186" s="2"/>
      <c r="C1186" s="2"/>
      <c r="D1186" s="2"/>
      <c r="E1186" s="3"/>
      <c r="F1186" s="3"/>
      <c r="G1186" s="2"/>
      <c r="H1186" s="2"/>
      <c r="I1186" s="46"/>
      <c r="J1186" s="12"/>
      <c r="K1186" s="2"/>
      <c r="L1186" s="59"/>
    </row>
    <row r="1187" spans="1:12" x14ac:dyDescent="0.35">
      <c r="A1187" s="45">
        <v>1183</v>
      </c>
      <c r="B1187" s="2"/>
      <c r="C1187" s="2"/>
      <c r="D1187" s="2"/>
      <c r="E1187" s="3"/>
      <c r="F1187" s="3"/>
      <c r="G1187" s="2"/>
      <c r="H1187" s="2"/>
      <c r="I1187" s="46"/>
      <c r="J1187" s="12"/>
      <c r="K1187" s="2"/>
      <c r="L1187" s="59"/>
    </row>
    <row r="1188" spans="1:12" x14ac:dyDescent="0.35">
      <c r="A1188" s="45">
        <v>1184</v>
      </c>
      <c r="B1188" s="2"/>
      <c r="C1188" s="2"/>
      <c r="D1188" s="2"/>
      <c r="E1188" s="3"/>
      <c r="F1188" s="3"/>
      <c r="G1188" s="2"/>
      <c r="H1188" s="2"/>
      <c r="I1188" s="46"/>
      <c r="J1188" s="12"/>
      <c r="K1188" s="2"/>
      <c r="L1188" s="59"/>
    </row>
    <row r="1189" spans="1:12" x14ac:dyDescent="0.35">
      <c r="A1189" s="45">
        <v>1185</v>
      </c>
      <c r="B1189" s="2"/>
      <c r="C1189" s="2"/>
      <c r="D1189" s="2"/>
      <c r="E1189" s="3"/>
      <c r="F1189" s="3"/>
      <c r="G1189" s="2"/>
      <c r="H1189" s="2"/>
      <c r="I1189" s="46"/>
      <c r="J1189" s="12"/>
      <c r="K1189" s="2"/>
      <c r="L1189" s="59"/>
    </row>
    <row r="1190" spans="1:12" x14ac:dyDescent="0.35">
      <c r="A1190" s="45">
        <v>1186</v>
      </c>
      <c r="B1190" s="2"/>
      <c r="C1190" s="2"/>
      <c r="D1190" s="2"/>
      <c r="E1190" s="3"/>
      <c r="F1190" s="3"/>
      <c r="G1190" s="2"/>
      <c r="H1190" s="2"/>
      <c r="I1190" s="46"/>
      <c r="J1190" s="12"/>
      <c r="K1190" s="2"/>
      <c r="L1190" s="59"/>
    </row>
    <row r="1191" spans="1:12" x14ac:dyDescent="0.35">
      <c r="A1191" s="45">
        <v>1187</v>
      </c>
      <c r="B1191" s="2"/>
      <c r="C1191" s="2"/>
      <c r="D1191" s="2"/>
      <c r="E1191" s="3"/>
      <c r="F1191" s="3"/>
      <c r="G1191" s="2"/>
      <c r="H1191" s="2"/>
      <c r="I1191" s="46"/>
      <c r="J1191" s="12"/>
      <c r="K1191" s="2"/>
      <c r="L1191" s="59"/>
    </row>
    <row r="1192" spans="1:12" x14ac:dyDescent="0.35">
      <c r="A1192" s="45">
        <v>1188</v>
      </c>
      <c r="B1192" s="2"/>
      <c r="C1192" s="2"/>
      <c r="D1192" s="2"/>
      <c r="E1192" s="3"/>
      <c r="F1192" s="3"/>
      <c r="G1192" s="2"/>
      <c r="H1192" s="2"/>
      <c r="I1192" s="46"/>
      <c r="J1192" s="12"/>
      <c r="K1192" s="2"/>
      <c r="L1192" s="59"/>
    </row>
    <row r="1193" spans="1:12" x14ac:dyDescent="0.35">
      <c r="A1193" s="45">
        <v>1189</v>
      </c>
      <c r="B1193" s="2"/>
      <c r="C1193" s="2"/>
      <c r="D1193" s="2"/>
      <c r="E1193" s="3"/>
      <c r="F1193" s="3"/>
      <c r="G1193" s="2"/>
      <c r="H1193" s="2"/>
      <c r="I1193" s="46"/>
      <c r="J1193" s="12"/>
      <c r="K1193" s="2"/>
      <c r="L1193" s="59"/>
    </row>
    <row r="1194" spans="1:12" x14ac:dyDescent="0.35">
      <c r="A1194" s="45">
        <v>1190</v>
      </c>
      <c r="B1194" s="2"/>
      <c r="C1194" s="2"/>
      <c r="D1194" s="2"/>
      <c r="E1194" s="3"/>
      <c r="F1194" s="3"/>
      <c r="G1194" s="2"/>
      <c r="H1194" s="2"/>
      <c r="I1194" s="46"/>
      <c r="J1194" s="12"/>
      <c r="K1194" s="2"/>
      <c r="L1194" s="59"/>
    </row>
    <row r="1195" spans="1:12" x14ac:dyDescent="0.35">
      <c r="A1195" s="45">
        <v>1191</v>
      </c>
      <c r="B1195" s="2"/>
      <c r="C1195" s="2"/>
      <c r="D1195" s="2"/>
      <c r="E1195" s="3"/>
      <c r="F1195" s="3"/>
      <c r="G1195" s="2"/>
      <c r="H1195" s="2"/>
      <c r="I1195" s="46"/>
      <c r="J1195" s="12"/>
      <c r="K1195" s="2"/>
      <c r="L1195" s="59"/>
    </row>
    <row r="1196" spans="1:12" x14ac:dyDescent="0.35">
      <c r="A1196" s="45">
        <v>1192</v>
      </c>
      <c r="B1196" s="2"/>
      <c r="C1196" s="2"/>
      <c r="D1196" s="2"/>
      <c r="E1196" s="3"/>
      <c r="F1196" s="3"/>
      <c r="G1196" s="2"/>
      <c r="H1196" s="2"/>
      <c r="I1196" s="46"/>
      <c r="J1196" s="12"/>
      <c r="K1196" s="2"/>
      <c r="L1196" s="59"/>
    </row>
    <row r="1197" spans="1:12" x14ac:dyDescent="0.35">
      <c r="A1197" s="45">
        <v>1193</v>
      </c>
      <c r="B1197" s="2"/>
      <c r="C1197" s="2"/>
      <c r="D1197" s="2"/>
      <c r="E1197" s="3"/>
      <c r="F1197" s="3"/>
      <c r="G1197" s="2"/>
      <c r="H1197" s="2"/>
      <c r="I1197" s="46"/>
      <c r="J1197" s="12"/>
      <c r="K1197" s="2"/>
      <c r="L1197" s="59"/>
    </row>
    <row r="1198" spans="1:12" x14ac:dyDescent="0.35">
      <c r="A1198" s="45">
        <v>1194</v>
      </c>
      <c r="B1198" s="2"/>
      <c r="C1198" s="2"/>
      <c r="D1198" s="2"/>
      <c r="E1198" s="3"/>
      <c r="F1198" s="3"/>
      <c r="G1198" s="2"/>
      <c r="H1198" s="2"/>
      <c r="I1198" s="46"/>
      <c r="J1198" s="12"/>
      <c r="K1198" s="2"/>
      <c r="L1198" s="59"/>
    </row>
    <row r="1199" spans="1:12" x14ac:dyDescent="0.35">
      <c r="A1199" s="45">
        <v>1195</v>
      </c>
      <c r="B1199" s="2"/>
      <c r="C1199" s="2"/>
      <c r="D1199" s="2"/>
      <c r="E1199" s="3"/>
      <c r="F1199" s="3"/>
      <c r="G1199" s="2"/>
      <c r="H1199" s="2"/>
      <c r="I1199" s="46"/>
      <c r="J1199" s="12"/>
      <c r="K1199" s="2"/>
      <c r="L1199" s="59"/>
    </row>
    <row r="1200" spans="1:12" x14ac:dyDescent="0.35">
      <c r="A1200" s="45">
        <v>1196</v>
      </c>
      <c r="B1200" s="2"/>
      <c r="C1200" s="2"/>
      <c r="D1200" s="2"/>
      <c r="E1200" s="3"/>
      <c r="F1200" s="3"/>
      <c r="G1200" s="2"/>
      <c r="H1200" s="2"/>
      <c r="I1200" s="46"/>
      <c r="J1200" s="12"/>
      <c r="K1200" s="2"/>
      <c r="L1200" s="59"/>
    </row>
    <row r="1201" spans="1:12" x14ac:dyDescent="0.35">
      <c r="A1201" s="45">
        <v>1197</v>
      </c>
      <c r="B1201" s="2"/>
      <c r="C1201" s="2"/>
      <c r="D1201" s="2"/>
      <c r="E1201" s="3"/>
      <c r="F1201" s="3"/>
      <c r="G1201" s="2"/>
      <c r="H1201" s="2"/>
      <c r="I1201" s="46"/>
      <c r="J1201" s="12"/>
      <c r="K1201" s="2"/>
      <c r="L1201" s="59"/>
    </row>
    <row r="1202" spans="1:12" x14ac:dyDescent="0.35">
      <c r="A1202" s="45">
        <v>1198</v>
      </c>
      <c r="B1202" s="2"/>
      <c r="C1202" s="2"/>
      <c r="D1202" s="2"/>
      <c r="E1202" s="3"/>
      <c r="F1202" s="3"/>
      <c r="G1202" s="2"/>
      <c r="H1202" s="2"/>
      <c r="I1202" s="46"/>
      <c r="J1202" s="12"/>
      <c r="K1202" s="2"/>
      <c r="L1202" s="59"/>
    </row>
    <row r="1203" spans="1:12" x14ac:dyDescent="0.35">
      <c r="A1203" s="45">
        <v>1199</v>
      </c>
      <c r="B1203" s="2"/>
      <c r="C1203" s="2"/>
      <c r="D1203" s="2"/>
      <c r="E1203" s="3"/>
      <c r="F1203" s="3"/>
      <c r="G1203" s="2"/>
      <c r="H1203" s="2"/>
      <c r="I1203" s="46"/>
      <c r="J1203" s="12"/>
      <c r="K1203" s="2"/>
      <c r="L1203" s="59"/>
    </row>
    <row r="1204" spans="1:12" x14ac:dyDescent="0.35">
      <c r="A1204" s="45">
        <v>1200</v>
      </c>
      <c r="B1204" s="2"/>
      <c r="C1204" s="2"/>
      <c r="D1204" s="2"/>
      <c r="E1204" s="3"/>
      <c r="F1204" s="3"/>
      <c r="G1204" s="2"/>
      <c r="H1204" s="2"/>
      <c r="I1204" s="46"/>
      <c r="J1204" s="12"/>
      <c r="K1204" s="2"/>
      <c r="L1204" s="59"/>
    </row>
    <row r="1205" spans="1:12" x14ac:dyDescent="0.35">
      <c r="A1205" s="45">
        <v>1201</v>
      </c>
      <c r="B1205" s="2"/>
      <c r="C1205" s="2"/>
      <c r="D1205" s="2"/>
      <c r="E1205" s="3"/>
      <c r="F1205" s="3"/>
      <c r="G1205" s="2"/>
      <c r="H1205" s="2"/>
      <c r="I1205" s="46"/>
      <c r="J1205" s="12"/>
      <c r="K1205" s="2"/>
      <c r="L1205" s="59"/>
    </row>
    <row r="1206" spans="1:12" x14ac:dyDescent="0.35">
      <c r="A1206" s="45">
        <v>1202</v>
      </c>
      <c r="B1206" s="2"/>
      <c r="C1206" s="2"/>
      <c r="D1206" s="2"/>
      <c r="E1206" s="3"/>
      <c r="F1206" s="3"/>
      <c r="G1206" s="2"/>
      <c r="H1206" s="2"/>
      <c r="I1206" s="46"/>
      <c r="J1206" s="12"/>
      <c r="K1206" s="2"/>
      <c r="L1206" s="59"/>
    </row>
    <row r="1207" spans="1:12" x14ac:dyDescent="0.35">
      <c r="A1207" s="45">
        <v>1203</v>
      </c>
      <c r="B1207" s="2"/>
      <c r="C1207" s="2"/>
      <c r="D1207" s="2"/>
      <c r="E1207" s="3"/>
      <c r="F1207" s="3"/>
      <c r="G1207" s="2"/>
      <c r="H1207" s="2"/>
      <c r="I1207" s="46"/>
      <c r="J1207" s="12"/>
      <c r="K1207" s="2"/>
      <c r="L1207" s="59"/>
    </row>
    <row r="1208" spans="1:12" x14ac:dyDescent="0.35">
      <c r="A1208" s="45">
        <v>1204</v>
      </c>
      <c r="B1208" s="2"/>
      <c r="C1208" s="2"/>
      <c r="D1208" s="2"/>
      <c r="E1208" s="3"/>
      <c r="F1208" s="3"/>
      <c r="G1208" s="2"/>
      <c r="H1208" s="2"/>
      <c r="I1208" s="46"/>
      <c r="J1208" s="12"/>
      <c r="K1208" s="2"/>
      <c r="L1208" s="59"/>
    </row>
    <row r="1209" spans="1:12" x14ac:dyDescent="0.35">
      <c r="A1209" s="45">
        <v>1205</v>
      </c>
      <c r="B1209" s="2"/>
      <c r="C1209" s="2"/>
      <c r="D1209" s="2"/>
      <c r="E1209" s="3"/>
      <c r="F1209" s="3"/>
      <c r="G1209" s="2"/>
      <c r="H1209" s="2"/>
      <c r="I1209" s="46"/>
      <c r="J1209" s="12"/>
      <c r="K1209" s="2"/>
      <c r="L1209" s="59"/>
    </row>
    <row r="1210" spans="1:12" x14ac:dyDescent="0.35">
      <c r="A1210" s="45">
        <v>1206</v>
      </c>
      <c r="B1210" s="2"/>
      <c r="C1210" s="2"/>
      <c r="D1210" s="2"/>
      <c r="E1210" s="3"/>
      <c r="F1210" s="3"/>
      <c r="G1210" s="2"/>
      <c r="H1210" s="2"/>
      <c r="I1210" s="46"/>
      <c r="J1210" s="12"/>
      <c r="K1210" s="2"/>
      <c r="L1210" s="59"/>
    </row>
    <row r="1211" spans="1:12" x14ac:dyDescent="0.35">
      <c r="A1211" s="45">
        <v>1207</v>
      </c>
      <c r="B1211" s="2"/>
      <c r="C1211" s="2"/>
      <c r="D1211" s="2"/>
      <c r="E1211" s="3"/>
      <c r="F1211" s="3"/>
      <c r="G1211" s="2"/>
      <c r="H1211" s="2"/>
      <c r="I1211" s="46"/>
      <c r="J1211" s="12"/>
      <c r="K1211" s="2"/>
      <c r="L1211" s="59"/>
    </row>
    <row r="1212" spans="1:12" x14ac:dyDescent="0.35">
      <c r="A1212" s="45">
        <v>1208</v>
      </c>
      <c r="B1212" s="2"/>
      <c r="C1212" s="2"/>
      <c r="D1212" s="2"/>
      <c r="E1212" s="3"/>
      <c r="F1212" s="3"/>
      <c r="G1212" s="2"/>
      <c r="H1212" s="2"/>
      <c r="I1212" s="46"/>
      <c r="J1212" s="12"/>
      <c r="K1212" s="2"/>
      <c r="L1212" s="59"/>
    </row>
    <row r="1213" spans="1:12" x14ac:dyDescent="0.35">
      <c r="A1213" s="45">
        <v>1209</v>
      </c>
      <c r="B1213" s="2"/>
      <c r="C1213" s="2"/>
      <c r="D1213" s="2"/>
      <c r="E1213" s="3"/>
      <c r="F1213" s="3"/>
      <c r="G1213" s="2"/>
      <c r="H1213" s="2"/>
      <c r="I1213" s="46"/>
      <c r="J1213" s="12"/>
      <c r="K1213" s="2"/>
      <c r="L1213" s="59"/>
    </row>
    <row r="1214" spans="1:12" x14ac:dyDescent="0.35">
      <c r="A1214" s="45">
        <v>1210</v>
      </c>
      <c r="B1214" s="2"/>
      <c r="C1214" s="2"/>
      <c r="D1214" s="2"/>
      <c r="E1214" s="3"/>
      <c r="F1214" s="3"/>
      <c r="G1214" s="2"/>
      <c r="H1214" s="2"/>
      <c r="I1214" s="46"/>
      <c r="J1214" s="12"/>
      <c r="K1214" s="2"/>
      <c r="L1214" s="59"/>
    </row>
    <row r="1215" spans="1:12" x14ac:dyDescent="0.35">
      <c r="A1215" s="45">
        <v>1211</v>
      </c>
      <c r="B1215" s="2"/>
      <c r="C1215" s="2"/>
      <c r="D1215" s="2"/>
      <c r="E1215" s="3"/>
      <c r="F1215" s="3"/>
      <c r="G1215" s="2"/>
      <c r="H1215" s="2"/>
      <c r="I1215" s="46"/>
      <c r="J1215" s="12"/>
      <c r="K1215" s="2"/>
      <c r="L1215" s="59"/>
    </row>
    <row r="1216" spans="1:12" x14ac:dyDescent="0.35">
      <c r="A1216" s="45">
        <v>1212</v>
      </c>
      <c r="B1216" s="2"/>
      <c r="C1216" s="2"/>
      <c r="D1216" s="2"/>
      <c r="E1216" s="3"/>
      <c r="F1216" s="3"/>
      <c r="G1216" s="2"/>
      <c r="H1216" s="2"/>
      <c r="I1216" s="46"/>
      <c r="J1216" s="12"/>
      <c r="K1216" s="2"/>
      <c r="L1216" s="59"/>
    </row>
    <row r="1217" spans="1:12" x14ac:dyDescent="0.35">
      <c r="A1217" s="45">
        <v>1213</v>
      </c>
      <c r="B1217" s="2"/>
      <c r="C1217" s="2"/>
      <c r="D1217" s="2"/>
      <c r="E1217" s="3"/>
      <c r="F1217" s="3"/>
      <c r="G1217" s="2"/>
      <c r="H1217" s="2"/>
      <c r="I1217" s="46"/>
      <c r="J1217" s="12"/>
      <c r="K1217" s="2"/>
      <c r="L1217" s="59"/>
    </row>
    <row r="1218" spans="1:12" x14ac:dyDescent="0.35">
      <c r="A1218" s="45">
        <v>1214</v>
      </c>
      <c r="B1218" s="2"/>
      <c r="C1218" s="2"/>
      <c r="D1218" s="2"/>
      <c r="E1218" s="3"/>
      <c r="F1218" s="3"/>
      <c r="G1218" s="2"/>
      <c r="H1218" s="2"/>
      <c r="I1218" s="46"/>
      <c r="J1218" s="12"/>
      <c r="K1218" s="2"/>
      <c r="L1218" s="59"/>
    </row>
    <row r="1219" spans="1:12" x14ac:dyDescent="0.35">
      <c r="A1219" s="45">
        <v>1215</v>
      </c>
      <c r="B1219" s="2"/>
      <c r="C1219" s="2"/>
      <c r="D1219" s="2"/>
      <c r="E1219" s="3"/>
      <c r="F1219" s="3"/>
      <c r="G1219" s="2"/>
      <c r="H1219" s="2"/>
      <c r="I1219" s="46"/>
      <c r="J1219" s="12"/>
      <c r="K1219" s="2"/>
      <c r="L1219" s="59"/>
    </row>
    <row r="1220" spans="1:12" x14ac:dyDescent="0.35">
      <c r="A1220" s="45">
        <v>1216</v>
      </c>
      <c r="B1220" s="2"/>
      <c r="C1220" s="2"/>
      <c r="D1220" s="2"/>
      <c r="E1220" s="3"/>
      <c r="F1220" s="3"/>
      <c r="G1220" s="2"/>
      <c r="H1220" s="2"/>
      <c r="I1220" s="46"/>
      <c r="J1220" s="12"/>
      <c r="K1220" s="2"/>
      <c r="L1220" s="59"/>
    </row>
    <row r="1221" spans="1:12" x14ac:dyDescent="0.35">
      <c r="A1221" s="45">
        <v>1217</v>
      </c>
      <c r="B1221" s="2"/>
      <c r="C1221" s="2"/>
      <c r="D1221" s="2"/>
      <c r="E1221" s="3"/>
      <c r="F1221" s="3"/>
      <c r="G1221" s="2"/>
      <c r="H1221" s="2"/>
      <c r="I1221" s="46"/>
      <c r="J1221" s="12"/>
      <c r="K1221" s="2"/>
      <c r="L1221" s="59"/>
    </row>
    <row r="1222" spans="1:12" x14ac:dyDescent="0.35">
      <c r="A1222" s="45">
        <v>1218</v>
      </c>
      <c r="B1222" s="2"/>
      <c r="C1222" s="2"/>
      <c r="D1222" s="2"/>
      <c r="E1222" s="3"/>
      <c r="F1222" s="3"/>
      <c r="G1222" s="2"/>
      <c r="H1222" s="2"/>
      <c r="I1222" s="46"/>
      <c r="J1222" s="12"/>
      <c r="K1222" s="2"/>
      <c r="L1222" s="59"/>
    </row>
    <row r="1223" spans="1:12" x14ac:dyDescent="0.35">
      <c r="A1223" s="45">
        <v>1219</v>
      </c>
      <c r="B1223" s="2"/>
      <c r="C1223" s="2"/>
      <c r="D1223" s="2"/>
      <c r="E1223" s="3"/>
      <c r="F1223" s="3"/>
      <c r="G1223" s="2"/>
      <c r="H1223" s="2"/>
      <c r="I1223" s="46"/>
      <c r="J1223" s="12"/>
      <c r="K1223" s="2"/>
      <c r="L1223" s="59"/>
    </row>
    <row r="1224" spans="1:12" x14ac:dyDescent="0.35">
      <c r="A1224" s="45">
        <v>1220</v>
      </c>
      <c r="B1224" s="2"/>
      <c r="C1224" s="2"/>
      <c r="D1224" s="2"/>
      <c r="E1224" s="3"/>
      <c r="F1224" s="3"/>
      <c r="G1224" s="2"/>
      <c r="H1224" s="2"/>
      <c r="I1224" s="46"/>
      <c r="J1224" s="12"/>
      <c r="K1224" s="2"/>
      <c r="L1224" s="59"/>
    </row>
    <row r="1225" spans="1:12" x14ac:dyDescent="0.35">
      <c r="A1225" s="45">
        <v>1221</v>
      </c>
      <c r="B1225" s="2"/>
      <c r="C1225" s="2"/>
      <c r="D1225" s="2"/>
      <c r="E1225" s="3"/>
      <c r="F1225" s="3"/>
      <c r="G1225" s="2"/>
      <c r="H1225" s="2"/>
      <c r="I1225" s="46"/>
      <c r="J1225" s="12"/>
      <c r="K1225" s="2"/>
      <c r="L1225" s="59"/>
    </row>
    <row r="1226" spans="1:12" x14ac:dyDescent="0.35">
      <c r="A1226" s="45">
        <v>1222</v>
      </c>
      <c r="B1226" s="2"/>
      <c r="C1226" s="2"/>
      <c r="D1226" s="2"/>
      <c r="E1226" s="3"/>
      <c r="F1226" s="3"/>
      <c r="G1226" s="2"/>
      <c r="H1226" s="2"/>
      <c r="I1226" s="46"/>
      <c r="J1226" s="12"/>
      <c r="K1226" s="2"/>
      <c r="L1226" s="59"/>
    </row>
    <row r="1227" spans="1:12" x14ac:dyDescent="0.35">
      <c r="A1227" s="45">
        <v>1223</v>
      </c>
      <c r="B1227" s="2"/>
      <c r="C1227" s="2"/>
      <c r="D1227" s="2"/>
      <c r="E1227" s="3"/>
      <c r="F1227" s="3"/>
      <c r="G1227" s="2"/>
      <c r="H1227" s="2"/>
      <c r="I1227" s="46"/>
      <c r="J1227" s="12"/>
      <c r="K1227" s="2"/>
      <c r="L1227" s="59"/>
    </row>
    <row r="1228" spans="1:12" x14ac:dyDescent="0.35">
      <c r="A1228" s="45">
        <v>1224</v>
      </c>
      <c r="B1228" s="2"/>
      <c r="C1228" s="2"/>
      <c r="D1228" s="2"/>
      <c r="E1228" s="3"/>
      <c r="F1228" s="3"/>
      <c r="G1228" s="2"/>
      <c r="H1228" s="2"/>
      <c r="I1228" s="46"/>
      <c r="J1228" s="12"/>
      <c r="K1228" s="2"/>
      <c r="L1228" s="59"/>
    </row>
    <row r="1229" spans="1:12" x14ac:dyDescent="0.35">
      <c r="A1229" s="45">
        <v>1225</v>
      </c>
      <c r="B1229" s="2"/>
      <c r="C1229" s="2"/>
      <c r="D1229" s="2"/>
      <c r="E1229" s="3"/>
      <c r="F1229" s="3"/>
      <c r="G1229" s="2"/>
      <c r="H1229" s="2"/>
      <c r="I1229" s="46"/>
      <c r="J1229" s="12"/>
      <c r="K1229" s="2"/>
      <c r="L1229" s="59"/>
    </row>
    <row r="1230" spans="1:12" x14ac:dyDescent="0.35">
      <c r="A1230" s="45">
        <v>1226</v>
      </c>
      <c r="B1230" s="2"/>
      <c r="C1230" s="2"/>
      <c r="D1230" s="2"/>
      <c r="E1230" s="3"/>
      <c r="F1230" s="3"/>
      <c r="G1230" s="2"/>
      <c r="H1230" s="2"/>
      <c r="I1230" s="46"/>
      <c r="J1230" s="12"/>
      <c r="K1230" s="2"/>
      <c r="L1230" s="59"/>
    </row>
    <row r="1231" spans="1:12" x14ac:dyDescent="0.35">
      <c r="A1231" s="45">
        <v>1227</v>
      </c>
      <c r="B1231" s="2"/>
      <c r="C1231" s="2"/>
      <c r="D1231" s="2"/>
      <c r="E1231" s="3"/>
      <c r="F1231" s="3"/>
      <c r="G1231" s="2"/>
      <c r="H1231" s="2"/>
      <c r="I1231" s="46"/>
      <c r="J1231" s="12"/>
      <c r="K1231" s="2"/>
      <c r="L1231" s="59"/>
    </row>
    <row r="1232" spans="1:12" x14ac:dyDescent="0.35">
      <c r="A1232" s="45">
        <v>1228</v>
      </c>
      <c r="B1232" s="2"/>
      <c r="C1232" s="2"/>
      <c r="D1232" s="2"/>
      <c r="E1232" s="3"/>
      <c r="F1232" s="3"/>
      <c r="G1232" s="2"/>
      <c r="H1232" s="2"/>
      <c r="I1232" s="46"/>
      <c r="J1232" s="12"/>
      <c r="K1232" s="2"/>
      <c r="L1232" s="59"/>
    </row>
    <row r="1233" spans="1:12" x14ac:dyDescent="0.35">
      <c r="A1233" s="45">
        <v>1229</v>
      </c>
      <c r="B1233" s="2"/>
      <c r="C1233" s="2"/>
      <c r="D1233" s="2"/>
      <c r="E1233" s="3"/>
      <c r="F1233" s="3"/>
      <c r="G1233" s="2"/>
      <c r="H1233" s="2"/>
      <c r="I1233" s="46"/>
      <c r="J1233" s="12"/>
      <c r="K1233" s="2"/>
      <c r="L1233" s="59"/>
    </row>
    <row r="1234" spans="1:12" x14ac:dyDescent="0.35">
      <c r="A1234" s="45">
        <v>1230</v>
      </c>
      <c r="B1234" s="2"/>
      <c r="C1234" s="2"/>
      <c r="D1234" s="2"/>
      <c r="E1234" s="3"/>
      <c r="F1234" s="3"/>
      <c r="G1234" s="2"/>
      <c r="H1234" s="2"/>
      <c r="I1234" s="46"/>
      <c r="J1234" s="12"/>
      <c r="K1234" s="2"/>
      <c r="L1234" s="59"/>
    </row>
    <row r="1235" spans="1:12" x14ac:dyDescent="0.35">
      <c r="A1235" s="45">
        <v>1231</v>
      </c>
      <c r="B1235" s="2"/>
      <c r="C1235" s="2"/>
      <c r="D1235" s="2"/>
      <c r="E1235" s="3"/>
      <c r="F1235" s="3"/>
      <c r="G1235" s="2"/>
      <c r="H1235" s="2"/>
      <c r="I1235" s="46"/>
      <c r="J1235" s="12"/>
      <c r="K1235" s="2"/>
      <c r="L1235" s="59"/>
    </row>
    <row r="1236" spans="1:12" x14ac:dyDescent="0.35">
      <c r="A1236" s="45">
        <v>1232</v>
      </c>
      <c r="B1236" s="2"/>
      <c r="C1236" s="2"/>
      <c r="D1236" s="2"/>
      <c r="E1236" s="3"/>
      <c r="F1236" s="3"/>
      <c r="G1236" s="2"/>
      <c r="H1236" s="2"/>
      <c r="I1236" s="46"/>
      <c r="J1236" s="12"/>
      <c r="K1236" s="2"/>
      <c r="L1236" s="59"/>
    </row>
    <row r="1237" spans="1:12" x14ac:dyDescent="0.35">
      <c r="A1237" s="45">
        <v>1233</v>
      </c>
      <c r="B1237" s="2"/>
      <c r="C1237" s="2"/>
      <c r="D1237" s="2"/>
      <c r="E1237" s="3"/>
      <c r="F1237" s="3"/>
      <c r="G1237" s="2"/>
      <c r="H1237" s="2"/>
      <c r="I1237" s="46"/>
      <c r="J1237" s="12"/>
      <c r="K1237" s="2"/>
      <c r="L1237" s="59"/>
    </row>
    <row r="1238" spans="1:12" x14ac:dyDescent="0.35">
      <c r="A1238" s="45">
        <v>1234</v>
      </c>
      <c r="B1238" s="2"/>
      <c r="C1238" s="2"/>
      <c r="D1238" s="2"/>
      <c r="E1238" s="3"/>
      <c r="F1238" s="3"/>
      <c r="G1238" s="2"/>
      <c r="H1238" s="2"/>
      <c r="I1238" s="46"/>
      <c r="J1238" s="12"/>
      <c r="K1238" s="2"/>
      <c r="L1238" s="59"/>
    </row>
    <row r="1239" spans="1:12" x14ac:dyDescent="0.35">
      <c r="A1239" s="45">
        <v>1235</v>
      </c>
      <c r="B1239" s="2"/>
      <c r="C1239" s="2"/>
      <c r="D1239" s="2"/>
      <c r="E1239" s="3"/>
      <c r="F1239" s="3"/>
      <c r="G1239" s="2"/>
      <c r="H1239" s="2"/>
      <c r="I1239" s="46"/>
      <c r="J1239" s="12"/>
      <c r="K1239" s="2"/>
      <c r="L1239" s="59"/>
    </row>
    <row r="1240" spans="1:12" x14ac:dyDescent="0.35">
      <c r="A1240" s="45">
        <v>1236</v>
      </c>
      <c r="B1240" s="2"/>
      <c r="C1240" s="2"/>
      <c r="D1240" s="2"/>
      <c r="E1240" s="3"/>
      <c r="F1240" s="3"/>
      <c r="G1240" s="2"/>
      <c r="H1240" s="2"/>
      <c r="I1240" s="46"/>
      <c r="J1240" s="12"/>
      <c r="K1240" s="2"/>
      <c r="L1240" s="59"/>
    </row>
    <row r="1241" spans="1:12" x14ac:dyDescent="0.35">
      <c r="A1241" s="45">
        <v>1237</v>
      </c>
      <c r="B1241" s="2"/>
      <c r="C1241" s="2"/>
      <c r="D1241" s="2"/>
      <c r="E1241" s="3"/>
      <c r="F1241" s="3"/>
      <c r="G1241" s="2"/>
      <c r="H1241" s="2"/>
      <c r="I1241" s="46"/>
      <c r="J1241" s="12"/>
      <c r="K1241" s="2"/>
      <c r="L1241" s="59"/>
    </row>
    <row r="1242" spans="1:12" x14ac:dyDescent="0.35">
      <c r="A1242" s="45">
        <v>1238</v>
      </c>
      <c r="B1242" s="2"/>
      <c r="C1242" s="2"/>
      <c r="D1242" s="2"/>
      <c r="E1242" s="3"/>
      <c r="F1242" s="3"/>
      <c r="G1242" s="2"/>
      <c r="H1242" s="2"/>
      <c r="I1242" s="46"/>
      <c r="J1242" s="12"/>
      <c r="K1242" s="2"/>
      <c r="L1242" s="59"/>
    </row>
    <row r="1243" spans="1:12" x14ac:dyDescent="0.35">
      <c r="A1243" s="45">
        <v>1239</v>
      </c>
      <c r="B1243" s="2"/>
      <c r="C1243" s="2"/>
      <c r="D1243" s="2"/>
      <c r="E1243" s="3"/>
      <c r="F1243" s="3"/>
      <c r="G1243" s="2"/>
      <c r="H1243" s="2"/>
      <c r="I1243" s="46"/>
      <c r="J1243" s="12"/>
      <c r="K1243" s="2"/>
      <c r="L1243" s="59"/>
    </row>
    <row r="1244" spans="1:12" x14ac:dyDescent="0.35">
      <c r="A1244" s="45">
        <v>1240</v>
      </c>
      <c r="B1244" s="2"/>
      <c r="C1244" s="2"/>
      <c r="D1244" s="2"/>
      <c r="E1244" s="3"/>
      <c r="F1244" s="3"/>
      <c r="G1244" s="2"/>
      <c r="H1244" s="2"/>
      <c r="I1244" s="46"/>
      <c r="J1244" s="12"/>
      <c r="K1244" s="2"/>
      <c r="L1244" s="59"/>
    </row>
    <row r="1245" spans="1:12" x14ac:dyDescent="0.35">
      <c r="A1245" s="45">
        <v>1241</v>
      </c>
      <c r="B1245" s="2"/>
      <c r="C1245" s="2"/>
      <c r="D1245" s="2"/>
      <c r="E1245" s="3"/>
      <c r="F1245" s="3"/>
      <c r="G1245" s="2"/>
      <c r="H1245" s="2"/>
      <c r="I1245" s="46"/>
      <c r="J1245" s="12"/>
      <c r="K1245" s="2"/>
      <c r="L1245" s="59"/>
    </row>
    <row r="1246" spans="1:12" x14ac:dyDescent="0.35">
      <c r="A1246" s="45">
        <v>1242</v>
      </c>
      <c r="B1246" s="2"/>
      <c r="C1246" s="2"/>
      <c r="D1246" s="2"/>
      <c r="E1246" s="3"/>
      <c r="F1246" s="3"/>
      <c r="G1246" s="2"/>
      <c r="H1246" s="2"/>
      <c r="I1246" s="46"/>
      <c r="J1246" s="12"/>
      <c r="K1246" s="2"/>
      <c r="L1246" s="59"/>
    </row>
    <row r="1247" spans="1:12" x14ac:dyDescent="0.35">
      <c r="A1247" s="45">
        <v>1243</v>
      </c>
      <c r="B1247" s="2"/>
      <c r="C1247" s="2"/>
      <c r="D1247" s="2"/>
      <c r="E1247" s="3"/>
      <c r="F1247" s="3"/>
      <c r="G1247" s="2"/>
      <c r="H1247" s="2"/>
      <c r="I1247" s="46"/>
      <c r="J1247" s="12"/>
      <c r="K1247" s="2"/>
      <c r="L1247" s="59"/>
    </row>
    <row r="1248" spans="1:12" x14ac:dyDescent="0.35">
      <c r="A1248" s="45">
        <v>1244</v>
      </c>
      <c r="B1248" s="2"/>
      <c r="C1248" s="2"/>
      <c r="D1248" s="2"/>
      <c r="E1248" s="3"/>
      <c r="F1248" s="3"/>
      <c r="G1248" s="2"/>
      <c r="H1248" s="2"/>
      <c r="I1248" s="46"/>
      <c r="J1248" s="12"/>
      <c r="K1248" s="2"/>
      <c r="L1248" s="59"/>
    </row>
    <row r="1249" spans="1:12" x14ac:dyDescent="0.35">
      <c r="A1249" s="45">
        <v>1245</v>
      </c>
      <c r="B1249" s="2"/>
      <c r="C1249" s="2"/>
      <c r="D1249" s="2"/>
      <c r="E1249" s="3"/>
      <c r="F1249" s="3"/>
      <c r="G1249" s="2"/>
      <c r="H1249" s="2"/>
      <c r="I1249" s="46"/>
      <c r="J1249" s="12"/>
      <c r="K1249" s="2"/>
      <c r="L1249" s="59"/>
    </row>
    <row r="1250" spans="1:12" x14ac:dyDescent="0.35">
      <c r="A1250" s="45">
        <v>1246</v>
      </c>
      <c r="B1250" s="2"/>
      <c r="C1250" s="2"/>
      <c r="D1250" s="2"/>
      <c r="E1250" s="3"/>
      <c r="F1250" s="3"/>
      <c r="G1250" s="2"/>
      <c r="H1250" s="2"/>
      <c r="I1250" s="46"/>
      <c r="J1250" s="12"/>
      <c r="K1250" s="2"/>
      <c r="L1250" s="59"/>
    </row>
    <row r="1251" spans="1:12" x14ac:dyDescent="0.35">
      <c r="A1251" s="45">
        <v>1247</v>
      </c>
      <c r="B1251" s="2"/>
      <c r="C1251" s="2"/>
      <c r="D1251" s="2"/>
      <c r="E1251" s="3"/>
      <c r="F1251" s="3"/>
      <c r="G1251" s="2"/>
      <c r="H1251" s="2"/>
      <c r="I1251" s="46"/>
      <c r="J1251" s="12"/>
      <c r="K1251" s="2"/>
      <c r="L1251" s="59"/>
    </row>
    <row r="1252" spans="1:12" x14ac:dyDescent="0.35">
      <c r="A1252" s="45">
        <v>1248</v>
      </c>
      <c r="B1252" s="2"/>
      <c r="C1252" s="2"/>
      <c r="D1252" s="2"/>
      <c r="E1252" s="3"/>
      <c r="F1252" s="3"/>
      <c r="G1252" s="2"/>
      <c r="H1252" s="2"/>
      <c r="I1252" s="46"/>
      <c r="J1252" s="12"/>
      <c r="K1252" s="2"/>
      <c r="L1252" s="59"/>
    </row>
    <row r="1253" spans="1:12" x14ac:dyDescent="0.35">
      <c r="A1253" s="45">
        <v>1249</v>
      </c>
      <c r="B1253" s="2"/>
      <c r="C1253" s="2"/>
      <c r="D1253" s="2"/>
      <c r="E1253" s="3"/>
      <c r="F1253" s="3"/>
      <c r="G1253" s="2"/>
      <c r="H1253" s="2"/>
      <c r="I1253" s="46"/>
      <c r="J1253" s="12"/>
      <c r="K1253" s="2"/>
      <c r="L1253" s="59"/>
    </row>
    <row r="1254" spans="1:12" x14ac:dyDescent="0.35">
      <c r="A1254" s="45">
        <v>1250</v>
      </c>
      <c r="B1254" s="2"/>
      <c r="C1254" s="2"/>
      <c r="D1254" s="2"/>
      <c r="E1254" s="3"/>
      <c r="F1254" s="3"/>
      <c r="G1254" s="2"/>
      <c r="H1254" s="2"/>
      <c r="I1254" s="46"/>
      <c r="J1254" s="12"/>
      <c r="K1254" s="2"/>
      <c r="L1254" s="59"/>
    </row>
    <row r="1255" spans="1:12" x14ac:dyDescent="0.35">
      <c r="A1255" s="45">
        <v>1251</v>
      </c>
      <c r="B1255" s="2"/>
      <c r="C1255" s="2"/>
      <c r="D1255" s="2"/>
      <c r="E1255" s="3"/>
      <c r="F1255" s="3"/>
      <c r="G1255" s="2"/>
      <c r="H1255" s="2"/>
      <c r="I1255" s="46"/>
      <c r="J1255" s="12"/>
      <c r="K1255" s="2"/>
      <c r="L1255" s="59"/>
    </row>
    <row r="1256" spans="1:12" x14ac:dyDescent="0.35">
      <c r="A1256" s="45">
        <v>1252</v>
      </c>
      <c r="B1256" s="2"/>
      <c r="C1256" s="2"/>
      <c r="D1256" s="2"/>
      <c r="E1256" s="3"/>
      <c r="F1256" s="3"/>
      <c r="G1256" s="2"/>
      <c r="H1256" s="2"/>
      <c r="I1256" s="46"/>
      <c r="J1256" s="12"/>
      <c r="K1256" s="2"/>
      <c r="L1256" s="59"/>
    </row>
    <row r="1257" spans="1:12" x14ac:dyDescent="0.35">
      <c r="A1257" s="45">
        <v>1253</v>
      </c>
      <c r="B1257" s="2"/>
      <c r="C1257" s="2"/>
      <c r="D1257" s="2"/>
      <c r="E1257" s="3"/>
      <c r="F1257" s="3"/>
      <c r="G1257" s="2"/>
      <c r="H1257" s="2"/>
      <c r="I1257" s="46"/>
      <c r="J1257" s="12"/>
      <c r="K1257" s="2"/>
      <c r="L1257" s="59"/>
    </row>
    <row r="1258" spans="1:12" x14ac:dyDescent="0.35">
      <c r="A1258" s="45">
        <v>1254</v>
      </c>
      <c r="B1258" s="2"/>
      <c r="C1258" s="2"/>
      <c r="D1258" s="2"/>
      <c r="E1258" s="3"/>
      <c r="F1258" s="3"/>
      <c r="G1258" s="2"/>
      <c r="H1258" s="2"/>
      <c r="I1258" s="46"/>
      <c r="J1258" s="12"/>
      <c r="K1258" s="2"/>
      <c r="L1258" s="59"/>
    </row>
    <row r="1259" spans="1:12" x14ac:dyDescent="0.35">
      <c r="A1259" s="45">
        <v>1255</v>
      </c>
      <c r="B1259" s="2"/>
      <c r="C1259" s="2"/>
      <c r="D1259" s="2"/>
      <c r="E1259" s="3"/>
      <c r="F1259" s="3"/>
      <c r="G1259" s="2"/>
      <c r="H1259" s="2"/>
      <c r="I1259" s="46"/>
      <c r="J1259" s="12"/>
      <c r="K1259" s="2"/>
      <c r="L1259" s="59"/>
    </row>
    <row r="1260" spans="1:12" x14ac:dyDescent="0.35">
      <c r="A1260" s="45">
        <v>1256</v>
      </c>
      <c r="B1260" s="2"/>
      <c r="C1260" s="2"/>
      <c r="D1260" s="2"/>
      <c r="E1260" s="3"/>
      <c r="F1260" s="3"/>
      <c r="G1260" s="2"/>
      <c r="H1260" s="2"/>
      <c r="I1260" s="46"/>
      <c r="J1260" s="12"/>
      <c r="K1260" s="2"/>
      <c r="L1260" s="59"/>
    </row>
    <row r="1261" spans="1:12" x14ac:dyDescent="0.35">
      <c r="A1261" s="45">
        <v>1257</v>
      </c>
      <c r="B1261" s="2"/>
      <c r="C1261" s="2"/>
      <c r="D1261" s="2"/>
      <c r="E1261" s="3"/>
      <c r="F1261" s="3"/>
      <c r="G1261" s="2"/>
      <c r="H1261" s="2"/>
      <c r="I1261" s="46"/>
      <c r="J1261" s="12"/>
      <c r="K1261" s="2"/>
      <c r="L1261" s="59"/>
    </row>
    <row r="1262" spans="1:12" x14ac:dyDescent="0.35">
      <c r="A1262" s="45">
        <v>1258</v>
      </c>
      <c r="B1262" s="2"/>
      <c r="C1262" s="2"/>
      <c r="D1262" s="2"/>
      <c r="E1262" s="3"/>
      <c r="F1262" s="3"/>
      <c r="G1262" s="2"/>
      <c r="H1262" s="2"/>
      <c r="I1262" s="46"/>
      <c r="J1262" s="12"/>
      <c r="K1262" s="2"/>
      <c r="L1262" s="59"/>
    </row>
    <row r="1263" spans="1:12" x14ac:dyDescent="0.35">
      <c r="A1263" s="45">
        <v>1259</v>
      </c>
      <c r="B1263" s="2"/>
      <c r="C1263" s="2"/>
      <c r="D1263" s="2"/>
      <c r="E1263" s="3"/>
      <c r="F1263" s="3"/>
      <c r="G1263" s="2"/>
      <c r="H1263" s="2"/>
      <c r="I1263" s="46"/>
      <c r="J1263" s="12"/>
      <c r="K1263" s="2"/>
      <c r="L1263" s="59"/>
    </row>
    <row r="1264" spans="1:12" x14ac:dyDescent="0.35">
      <c r="A1264" s="45">
        <v>1260</v>
      </c>
      <c r="B1264" s="2"/>
      <c r="C1264" s="2"/>
      <c r="D1264" s="2"/>
      <c r="E1264" s="3"/>
      <c r="F1264" s="3"/>
      <c r="G1264" s="2"/>
      <c r="H1264" s="2"/>
      <c r="I1264" s="46"/>
      <c r="J1264" s="12"/>
      <c r="K1264" s="2"/>
      <c r="L1264" s="59"/>
    </row>
    <row r="1265" spans="1:12" x14ac:dyDescent="0.35">
      <c r="A1265" s="45">
        <v>1261</v>
      </c>
      <c r="B1265" s="2"/>
      <c r="C1265" s="2"/>
      <c r="D1265" s="2"/>
      <c r="E1265" s="3"/>
      <c r="F1265" s="3"/>
      <c r="G1265" s="2"/>
      <c r="H1265" s="2"/>
      <c r="I1265" s="46"/>
      <c r="J1265" s="12"/>
      <c r="K1265" s="2"/>
      <c r="L1265" s="59"/>
    </row>
    <row r="1266" spans="1:12" x14ac:dyDescent="0.35">
      <c r="A1266" s="45">
        <v>1262</v>
      </c>
      <c r="B1266" s="2"/>
      <c r="C1266" s="2"/>
      <c r="D1266" s="2"/>
      <c r="E1266" s="3"/>
      <c r="F1266" s="3"/>
      <c r="G1266" s="2"/>
      <c r="H1266" s="2"/>
      <c r="I1266" s="46"/>
      <c r="J1266" s="12"/>
      <c r="K1266" s="2"/>
      <c r="L1266" s="59"/>
    </row>
    <row r="1267" spans="1:12" x14ac:dyDescent="0.35">
      <c r="A1267" s="45">
        <v>1263</v>
      </c>
      <c r="B1267" s="2"/>
      <c r="C1267" s="2"/>
      <c r="D1267" s="2"/>
      <c r="E1267" s="3"/>
      <c r="F1267" s="3"/>
      <c r="G1267" s="2"/>
      <c r="H1267" s="2"/>
      <c r="I1267" s="46"/>
      <c r="J1267" s="12"/>
      <c r="K1267" s="2"/>
      <c r="L1267" s="59"/>
    </row>
    <row r="1268" spans="1:12" x14ac:dyDescent="0.35">
      <c r="A1268" s="45">
        <v>1264</v>
      </c>
      <c r="B1268" s="2"/>
      <c r="C1268" s="2"/>
      <c r="D1268" s="2"/>
      <c r="E1268" s="3"/>
      <c r="F1268" s="3"/>
      <c r="G1268" s="2"/>
      <c r="H1268" s="2"/>
      <c r="I1268" s="46"/>
      <c r="J1268" s="12"/>
      <c r="K1268" s="2"/>
      <c r="L1268" s="59"/>
    </row>
    <row r="1269" spans="1:12" x14ac:dyDescent="0.35">
      <c r="A1269" s="45">
        <v>1265</v>
      </c>
      <c r="B1269" s="2"/>
      <c r="C1269" s="2"/>
      <c r="D1269" s="2"/>
      <c r="E1269" s="3"/>
      <c r="F1269" s="3"/>
      <c r="G1269" s="2"/>
      <c r="H1269" s="2"/>
      <c r="I1269" s="46"/>
      <c r="J1269" s="12"/>
      <c r="K1269" s="2"/>
      <c r="L1269" s="59"/>
    </row>
    <row r="1270" spans="1:12" x14ac:dyDescent="0.35">
      <c r="A1270" s="45">
        <v>1266</v>
      </c>
      <c r="B1270" s="2"/>
      <c r="C1270" s="2"/>
      <c r="D1270" s="2"/>
      <c r="E1270" s="3"/>
      <c r="F1270" s="3"/>
      <c r="G1270" s="2"/>
      <c r="H1270" s="2"/>
      <c r="I1270" s="46"/>
      <c r="J1270" s="12"/>
      <c r="K1270" s="2"/>
      <c r="L1270" s="59"/>
    </row>
    <row r="1271" spans="1:12" x14ac:dyDescent="0.35">
      <c r="A1271" s="45">
        <v>1267</v>
      </c>
      <c r="B1271" s="2"/>
      <c r="C1271" s="2"/>
      <c r="D1271" s="2"/>
      <c r="E1271" s="3"/>
      <c r="F1271" s="3"/>
      <c r="G1271" s="2"/>
      <c r="H1271" s="2"/>
      <c r="I1271" s="46"/>
      <c r="J1271" s="12"/>
      <c r="K1271" s="2"/>
      <c r="L1271" s="59"/>
    </row>
    <row r="1272" spans="1:12" x14ac:dyDescent="0.35">
      <c r="A1272" s="45">
        <v>1268</v>
      </c>
      <c r="B1272" s="2"/>
      <c r="C1272" s="2"/>
      <c r="D1272" s="2"/>
      <c r="E1272" s="3"/>
      <c r="F1272" s="3"/>
      <c r="G1272" s="2"/>
      <c r="H1272" s="2"/>
      <c r="I1272" s="46"/>
      <c r="J1272" s="12"/>
      <c r="K1272" s="2"/>
      <c r="L1272" s="59"/>
    </row>
    <row r="1273" spans="1:12" x14ac:dyDescent="0.35">
      <c r="A1273" s="45">
        <v>1269</v>
      </c>
      <c r="B1273" s="2"/>
      <c r="C1273" s="2"/>
      <c r="D1273" s="2"/>
      <c r="E1273" s="3"/>
      <c r="F1273" s="3"/>
      <c r="G1273" s="2"/>
      <c r="H1273" s="2"/>
      <c r="I1273" s="46"/>
      <c r="J1273" s="12"/>
      <c r="K1273" s="2"/>
      <c r="L1273" s="59"/>
    </row>
    <row r="1274" spans="1:12" x14ac:dyDescent="0.35">
      <c r="A1274" s="45">
        <v>1270</v>
      </c>
      <c r="B1274" s="2"/>
      <c r="C1274" s="2"/>
      <c r="D1274" s="2"/>
      <c r="E1274" s="3"/>
      <c r="F1274" s="3"/>
      <c r="G1274" s="2"/>
      <c r="H1274" s="2"/>
      <c r="I1274" s="46"/>
      <c r="J1274" s="12"/>
      <c r="K1274" s="2"/>
      <c r="L1274" s="59"/>
    </row>
    <row r="1275" spans="1:12" x14ac:dyDescent="0.35">
      <c r="A1275" s="45">
        <v>1271</v>
      </c>
      <c r="B1275" s="2"/>
      <c r="C1275" s="2"/>
      <c r="D1275" s="2"/>
      <c r="E1275" s="3"/>
      <c r="F1275" s="3"/>
      <c r="G1275" s="2"/>
      <c r="H1275" s="2"/>
      <c r="I1275" s="46"/>
      <c r="J1275" s="12"/>
      <c r="K1275" s="2"/>
      <c r="L1275" s="59"/>
    </row>
    <row r="1276" spans="1:12" x14ac:dyDescent="0.35">
      <c r="A1276" s="45">
        <v>1272</v>
      </c>
      <c r="B1276" s="2"/>
      <c r="C1276" s="2"/>
      <c r="D1276" s="2"/>
      <c r="E1276" s="3"/>
      <c r="F1276" s="3"/>
      <c r="G1276" s="2"/>
      <c r="H1276" s="2"/>
      <c r="I1276" s="46"/>
      <c r="J1276" s="12"/>
      <c r="K1276" s="2"/>
      <c r="L1276" s="59"/>
    </row>
    <row r="1277" spans="1:12" x14ac:dyDescent="0.35">
      <c r="A1277" s="45">
        <v>1273</v>
      </c>
      <c r="B1277" s="2"/>
      <c r="C1277" s="2"/>
      <c r="D1277" s="2"/>
      <c r="E1277" s="3"/>
      <c r="F1277" s="3"/>
      <c r="G1277" s="2"/>
      <c r="H1277" s="2"/>
      <c r="I1277" s="46"/>
      <c r="J1277" s="12"/>
      <c r="K1277" s="2"/>
      <c r="L1277" s="59"/>
    </row>
    <row r="1278" spans="1:12" x14ac:dyDescent="0.35">
      <c r="A1278" s="45">
        <v>1274</v>
      </c>
      <c r="B1278" s="2"/>
      <c r="C1278" s="2"/>
      <c r="D1278" s="2"/>
      <c r="E1278" s="3"/>
      <c r="F1278" s="3"/>
      <c r="G1278" s="2"/>
      <c r="H1278" s="2"/>
      <c r="I1278" s="46"/>
      <c r="J1278" s="12"/>
      <c r="K1278" s="2"/>
      <c r="L1278" s="59"/>
    </row>
    <row r="1279" spans="1:12" x14ac:dyDescent="0.35">
      <c r="A1279" s="45">
        <v>1275</v>
      </c>
      <c r="B1279" s="2"/>
      <c r="C1279" s="2"/>
      <c r="D1279" s="2"/>
      <c r="E1279" s="3"/>
      <c r="F1279" s="3"/>
      <c r="G1279" s="2"/>
      <c r="H1279" s="2"/>
      <c r="I1279" s="46"/>
      <c r="J1279" s="12"/>
      <c r="K1279" s="2"/>
      <c r="L1279" s="59"/>
    </row>
    <row r="1280" spans="1:12" x14ac:dyDescent="0.35">
      <c r="A1280" s="45">
        <v>1276</v>
      </c>
      <c r="B1280" s="2"/>
      <c r="C1280" s="2"/>
      <c r="D1280" s="2"/>
      <c r="E1280" s="3"/>
      <c r="F1280" s="3"/>
      <c r="G1280" s="2"/>
      <c r="H1280" s="2"/>
      <c r="I1280" s="46"/>
      <c r="J1280" s="12"/>
      <c r="K1280" s="2"/>
      <c r="L1280" s="59"/>
    </row>
    <row r="1281" spans="1:12" x14ac:dyDescent="0.35">
      <c r="A1281" s="45">
        <v>1277</v>
      </c>
      <c r="B1281" s="2"/>
      <c r="C1281" s="2"/>
      <c r="D1281" s="2"/>
      <c r="E1281" s="3"/>
      <c r="F1281" s="3"/>
      <c r="G1281" s="2"/>
      <c r="H1281" s="2"/>
      <c r="I1281" s="46"/>
      <c r="J1281" s="12"/>
      <c r="K1281" s="2"/>
      <c r="L1281" s="59"/>
    </row>
    <row r="1282" spans="1:12" x14ac:dyDescent="0.35">
      <c r="A1282" s="45">
        <v>1278</v>
      </c>
      <c r="B1282" s="2"/>
      <c r="C1282" s="2"/>
      <c r="D1282" s="2"/>
      <c r="E1282" s="3"/>
      <c r="F1282" s="3"/>
      <c r="G1282" s="2"/>
      <c r="H1282" s="2"/>
      <c r="I1282" s="46"/>
      <c r="J1282" s="12"/>
      <c r="K1282" s="2"/>
      <c r="L1282" s="59"/>
    </row>
    <row r="1283" spans="1:12" x14ac:dyDescent="0.35">
      <c r="A1283" s="45">
        <v>1279</v>
      </c>
      <c r="B1283" s="2"/>
      <c r="C1283" s="2"/>
      <c r="D1283" s="2"/>
      <c r="E1283" s="3"/>
      <c r="F1283" s="3"/>
      <c r="G1283" s="2"/>
      <c r="H1283" s="2"/>
      <c r="I1283" s="46"/>
      <c r="J1283" s="12"/>
      <c r="K1283" s="2"/>
      <c r="L1283" s="59"/>
    </row>
    <row r="1284" spans="1:12" x14ac:dyDescent="0.35">
      <c r="A1284" s="45">
        <v>1280</v>
      </c>
      <c r="B1284" s="2"/>
      <c r="C1284" s="2"/>
      <c r="D1284" s="2"/>
      <c r="E1284" s="3"/>
      <c r="F1284" s="3"/>
      <c r="G1284" s="2"/>
      <c r="H1284" s="2"/>
      <c r="I1284" s="46"/>
      <c r="J1284" s="12"/>
      <c r="K1284" s="2"/>
      <c r="L1284" s="59"/>
    </row>
    <row r="1285" spans="1:12" x14ac:dyDescent="0.35">
      <c r="A1285" s="45">
        <v>1281</v>
      </c>
      <c r="B1285" s="2"/>
      <c r="C1285" s="2"/>
      <c r="D1285" s="2"/>
      <c r="E1285" s="3"/>
      <c r="F1285" s="3"/>
      <c r="G1285" s="2"/>
      <c r="H1285" s="2"/>
      <c r="I1285" s="46"/>
      <c r="J1285" s="12"/>
      <c r="K1285" s="2"/>
      <c r="L1285" s="59"/>
    </row>
    <row r="1286" spans="1:12" x14ac:dyDescent="0.35">
      <c r="A1286" s="45">
        <v>1282</v>
      </c>
      <c r="B1286" s="2"/>
      <c r="C1286" s="2"/>
      <c r="D1286" s="2"/>
      <c r="E1286" s="3"/>
      <c r="F1286" s="3"/>
      <c r="G1286" s="2"/>
      <c r="H1286" s="2"/>
      <c r="I1286" s="46"/>
      <c r="J1286" s="12"/>
      <c r="K1286" s="2"/>
      <c r="L1286" s="59"/>
    </row>
    <row r="1287" spans="1:12" x14ac:dyDescent="0.35">
      <c r="A1287" s="45">
        <v>1283</v>
      </c>
      <c r="B1287" s="2"/>
      <c r="C1287" s="2"/>
      <c r="D1287" s="2"/>
      <c r="E1287" s="3"/>
      <c r="F1287" s="3"/>
      <c r="G1287" s="2"/>
      <c r="H1287" s="2"/>
      <c r="I1287" s="46"/>
      <c r="J1287" s="12"/>
      <c r="K1287" s="2"/>
      <c r="L1287" s="59"/>
    </row>
    <row r="1288" spans="1:12" x14ac:dyDescent="0.35">
      <c r="A1288" s="45">
        <v>1284</v>
      </c>
      <c r="B1288" s="2"/>
      <c r="C1288" s="2"/>
      <c r="D1288" s="2"/>
      <c r="E1288" s="3"/>
      <c r="F1288" s="3"/>
      <c r="G1288" s="2"/>
      <c r="H1288" s="2"/>
      <c r="I1288" s="46"/>
      <c r="J1288" s="12"/>
      <c r="K1288" s="2"/>
      <c r="L1288" s="59"/>
    </row>
    <row r="1289" spans="1:12" x14ac:dyDescent="0.35">
      <c r="A1289" s="45">
        <v>1285</v>
      </c>
      <c r="B1289" s="2"/>
      <c r="C1289" s="2"/>
      <c r="D1289" s="2"/>
      <c r="E1289" s="3"/>
      <c r="F1289" s="3"/>
      <c r="G1289" s="2"/>
      <c r="H1289" s="2"/>
      <c r="I1289" s="46"/>
      <c r="J1289" s="12"/>
      <c r="K1289" s="2"/>
      <c r="L1289" s="59"/>
    </row>
    <row r="1290" spans="1:12" x14ac:dyDescent="0.35">
      <c r="A1290" s="45">
        <v>1286</v>
      </c>
      <c r="B1290" s="2"/>
      <c r="C1290" s="2"/>
      <c r="D1290" s="2"/>
      <c r="E1290" s="3"/>
      <c r="F1290" s="3"/>
      <c r="G1290" s="2"/>
      <c r="H1290" s="2"/>
      <c r="I1290" s="46"/>
      <c r="J1290" s="12"/>
      <c r="K1290" s="2"/>
      <c r="L1290" s="59"/>
    </row>
    <row r="1291" spans="1:12" x14ac:dyDescent="0.35">
      <c r="A1291" s="45">
        <v>1287</v>
      </c>
      <c r="B1291" s="2"/>
      <c r="C1291" s="2"/>
      <c r="D1291" s="2"/>
      <c r="E1291" s="3"/>
      <c r="F1291" s="3"/>
      <c r="G1291" s="2"/>
      <c r="H1291" s="2"/>
      <c r="I1291" s="46"/>
      <c r="J1291" s="12"/>
      <c r="K1291" s="2"/>
      <c r="L1291" s="59"/>
    </row>
    <row r="1292" spans="1:12" x14ac:dyDescent="0.35">
      <c r="A1292" s="45">
        <v>1288</v>
      </c>
      <c r="B1292" s="2"/>
      <c r="C1292" s="2"/>
      <c r="D1292" s="2"/>
      <c r="E1292" s="3"/>
      <c r="F1292" s="3"/>
      <c r="G1292" s="2"/>
      <c r="H1292" s="2"/>
      <c r="I1292" s="46"/>
      <c r="J1292" s="12"/>
      <c r="K1292" s="2"/>
      <c r="L1292" s="59"/>
    </row>
    <row r="1293" spans="1:12" x14ac:dyDescent="0.35">
      <c r="A1293" s="45">
        <v>1289</v>
      </c>
      <c r="B1293" s="2"/>
      <c r="C1293" s="2"/>
      <c r="D1293" s="2"/>
      <c r="E1293" s="3"/>
      <c r="F1293" s="3"/>
      <c r="G1293" s="2"/>
      <c r="H1293" s="2"/>
      <c r="I1293" s="46"/>
      <c r="J1293" s="12"/>
      <c r="K1293" s="2"/>
      <c r="L1293" s="59"/>
    </row>
    <row r="1294" spans="1:12" x14ac:dyDescent="0.35">
      <c r="A1294" s="45">
        <v>1290</v>
      </c>
      <c r="B1294" s="2"/>
      <c r="C1294" s="2"/>
      <c r="D1294" s="2"/>
      <c r="E1294" s="3"/>
      <c r="F1294" s="3"/>
      <c r="G1294" s="2"/>
      <c r="H1294" s="2"/>
      <c r="I1294" s="46"/>
      <c r="J1294" s="12"/>
      <c r="K1294" s="2"/>
      <c r="L1294" s="59"/>
    </row>
    <row r="1295" spans="1:12" x14ac:dyDescent="0.35">
      <c r="A1295" s="45">
        <v>1291</v>
      </c>
      <c r="B1295" s="2"/>
      <c r="C1295" s="2"/>
      <c r="D1295" s="2"/>
      <c r="E1295" s="3"/>
      <c r="F1295" s="3"/>
      <c r="G1295" s="2"/>
      <c r="H1295" s="2"/>
      <c r="I1295" s="46"/>
      <c r="J1295" s="12"/>
      <c r="K1295" s="2"/>
      <c r="L1295" s="59"/>
    </row>
    <row r="1296" spans="1:12" x14ac:dyDescent="0.35">
      <c r="A1296" s="45">
        <v>1292</v>
      </c>
      <c r="B1296" s="2"/>
      <c r="C1296" s="2"/>
      <c r="D1296" s="2"/>
      <c r="E1296" s="3"/>
      <c r="F1296" s="3"/>
      <c r="G1296" s="2"/>
      <c r="H1296" s="2"/>
      <c r="I1296" s="46"/>
      <c r="J1296" s="12"/>
      <c r="K1296" s="2"/>
      <c r="L1296" s="59"/>
    </row>
    <row r="1297" spans="1:12" x14ac:dyDescent="0.35">
      <c r="A1297" s="45">
        <v>1293</v>
      </c>
      <c r="B1297" s="2"/>
      <c r="C1297" s="2"/>
      <c r="D1297" s="2"/>
      <c r="E1297" s="3"/>
      <c r="F1297" s="3"/>
      <c r="G1297" s="2"/>
      <c r="H1297" s="2"/>
      <c r="I1297" s="46"/>
      <c r="J1297" s="12"/>
      <c r="K1297" s="2"/>
      <c r="L1297" s="59"/>
    </row>
    <row r="1298" spans="1:12" x14ac:dyDescent="0.35">
      <c r="A1298" s="45">
        <v>1294</v>
      </c>
      <c r="B1298" s="2"/>
      <c r="C1298" s="2"/>
      <c r="D1298" s="2"/>
      <c r="E1298" s="3"/>
      <c r="F1298" s="3"/>
      <c r="G1298" s="2"/>
      <c r="H1298" s="2"/>
      <c r="I1298" s="46"/>
      <c r="J1298" s="12"/>
      <c r="K1298" s="2"/>
      <c r="L1298" s="59"/>
    </row>
    <row r="1299" spans="1:12" x14ac:dyDescent="0.35">
      <c r="A1299" s="45">
        <v>1295</v>
      </c>
      <c r="B1299" s="2"/>
      <c r="C1299" s="2"/>
      <c r="D1299" s="2"/>
      <c r="E1299" s="3"/>
      <c r="F1299" s="3"/>
      <c r="G1299" s="2"/>
      <c r="H1299" s="2"/>
      <c r="I1299" s="46"/>
      <c r="J1299" s="12"/>
      <c r="K1299" s="2"/>
      <c r="L1299" s="59"/>
    </row>
    <row r="1300" spans="1:12" x14ac:dyDescent="0.35">
      <c r="A1300" s="45">
        <v>1296</v>
      </c>
      <c r="B1300" s="2"/>
      <c r="C1300" s="2"/>
      <c r="D1300" s="2"/>
      <c r="E1300" s="3"/>
      <c r="F1300" s="3"/>
      <c r="G1300" s="2"/>
      <c r="H1300" s="2"/>
      <c r="I1300" s="46"/>
      <c r="J1300" s="12"/>
      <c r="K1300" s="2"/>
      <c r="L1300" s="59"/>
    </row>
    <row r="1301" spans="1:12" x14ac:dyDescent="0.35">
      <c r="A1301" s="45">
        <v>1297</v>
      </c>
      <c r="B1301" s="2"/>
      <c r="C1301" s="2"/>
      <c r="D1301" s="2"/>
      <c r="E1301" s="3"/>
      <c r="F1301" s="3"/>
      <c r="G1301" s="2"/>
      <c r="H1301" s="2"/>
      <c r="I1301" s="46"/>
      <c r="J1301" s="12"/>
      <c r="K1301" s="2"/>
      <c r="L1301" s="59"/>
    </row>
    <row r="1302" spans="1:12" x14ac:dyDescent="0.35">
      <c r="A1302" s="45">
        <v>1298</v>
      </c>
      <c r="B1302" s="2"/>
      <c r="C1302" s="2"/>
      <c r="D1302" s="2"/>
      <c r="E1302" s="3"/>
      <c r="F1302" s="3"/>
      <c r="G1302" s="2"/>
      <c r="H1302" s="2"/>
      <c r="I1302" s="46"/>
      <c r="J1302" s="12"/>
      <c r="K1302" s="2"/>
      <c r="L1302" s="59"/>
    </row>
    <row r="1303" spans="1:12" x14ac:dyDescent="0.35">
      <c r="A1303" s="45">
        <v>1299</v>
      </c>
      <c r="B1303" s="2"/>
      <c r="C1303" s="2"/>
      <c r="D1303" s="2"/>
      <c r="E1303" s="3"/>
      <c r="F1303" s="3"/>
      <c r="G1303" s="2"/>
      <c r="H1303" s="2"/>
      <c r="I1303" s="46"/>
      <c r="J1303" s="12"/>
      <c r="K1303" s="2"/>
      <c r="L1303" s="59"/>
    </row>
    <row r="1304" spans="1:12" x14ac:dyDescent="0.35">
      <c r="A1304" s="45">
        <v>1300</v>
      </c>
      <c r="B1304" s="2"/>
      <c r="C1304" s="2"/>
      <c r="D1304" s="2"/>
      <c r="E1304" s="3"/>
      <c r="F1304" s="3"/>
      <c r="G1304" s="2"/>
      <c r="H1304" s="2"/>
      <c r="I1304" s="46"/>
      <c r="J1304" s="12"/>
      <c r="K1304" s="2"/>
      <c r="L1304" s="59"/>
    </row>
    <row r="1305" spans="1:12" x14ac:dyDescent="0.35">
      <c r="A1305" s="45">
        <v>1301</v>
      </c>
      <c r="B1305" s="2"/>
      <c r="C1305" s="2"/>
      <c r="D1305" s="2"/>
      <c r="E1305" s="3"/>
      <c r="F1305" s="3"/>
      <c r="G1305" s="2"/>
      <c r="H1305" s="2"/>
      <c r="I1305" s="46"/>
      <c r="J1305" s="12"/>
      <c r="K1305" s="2"/>
      <c r="L1305" s="59"/>
    </row>
    <row r="1306" spans="1:12" x14ac:dyDescent="0.35">
      <c r="A1306" s="45">
        <v>1302</v>
      </c>
      <c r="B1306" s="2"/>
      <c r="C1306" s="2"/>
      <c r="D1306" s="2"/>
      <c r="E1306" s="3"/>
      <c r="F1306" s="3"/>
      <c r="G1306" s="2"/>
      <c r="H1306" s="2"/>
      <c r="I1306" s="46"/>
      <c r="J1306" s="12"/>
      <c r="K1306" s="2"/>
      <c r="L1306" s="59"/>
    </row>
    <row r="1307" spans="1:12" x14ac:dyDescent="0.35">
      <c r="A1307" s="45">
        <v>1303</v>
      </c>
      <c r="B1307" s="2"/>
      <c r="C1307" s="2"/>
      <c r="D1307" s="2"/>
      <c r="E1307" s="3"/>
      <c r="F1307" s="3"/>
      <c r="G1307" s="2"/>
      <c r="H1307" s="2"/>
      <c r="I1307" s="46"/>
      <c r="J1307" s="12"/>
      <c r="K1307" s="2"/>
      <c r="L1307" s="59"/>
    </row>
    <row r="1308" spans="1:12" x14ac:dyDescent="0.35">
      <c r="A1308" s="45">
        <v>1304</v>
      </c>
      <c r="B1308" s="2"/>
      <c r="C1308" s="2"/>
      <c r="D1308" s="2"/>
      <c r="E1308" s="3"/>
      <c r="F1308" s="3"/>
      <c r="G1308" s="2"/>
      <c r="H1308" s="2"/>
      <c r="I1308" s="46"/>
      <c r="J1308" s="12"/>
      <c r="K1308" s="2"/>
      <c r="L1308" s="59"/>
    </row>
    <row r="1309" spans="1:12" x14ac:dyDescent="0.35">
      <c r="A1309" s="45">
        <v>1305</v>
      </c>
      <c r="B1309" s="2"/>
      <c r="C1309" s="2"/>
      <c r="D1309" s="2"/>
      <c r="E1309" s="3"/>
      <c r="F1309" s="3"/>
      <c r="G1309" s="2"/>
      <c r="H1309" s="2"/>
      <c r="I1309" s="46"/>
      <c r="J1309" s="12"/>
      <c r="K1309" s="2"/>
      <c r="L1309" s="59"/>
    </row>
    <row r="1310" spans="1:12" x14ac:dyDescent="0.35">
      <c r="A1310" s="45">
        <v>1306</v>
      </c>
      <c r="B1310" s="2"/>
      <c r="C1310" s="2"/>
      <c r="D1310" s="2"/>
      <c r="E1310" s="3"/>
      <c r="F1310" s="3"/>
      <c r="G1310" s="2"/>
      <c r="H1310" s="2"/>
      <c r="I1310" s="46"/>
      <c r="J1310" s="12"/>
      <c r="K1310" s="2"/>
      <c r="L1310" s="59"/>
    </row>
    <row r="1311" spans="1:12" x14ac:dyDescent="0.35">
      <c r="A1311" s="45">
        <v>1307</v>
      </c>
      <c r="B1311" s="2"/>
      <c r="C1311" s="2"/>
      <c r="D1311" s="2"/>
      <c r="E1311" s="3"/>
      <c r="F1311" s="3"/>
      <c r="G1311" s="2"/>
      <c r="H1311" s="2"/>
      <c r="I1311" s="46"/>
      <c r="J1311" s="12"/>
      <c r="K1311" s="2"/>
      <c r="L1311" s="59"/>
    </row>
    <row r="1312" spans="1:12" x14ac:dyDescent="0.35">
      <c r="A1312" s="45">
        <v>1308</v>
      </c>
      <c r="B1312" s="2"/>
      <c r="C1312" s="2"/>
      <c r="D1312" s="2"/>
      <c r="E1312" s="3"/>
      <c r="F1312" s="3"/>
      <c r="G1312" s="2"/>
      <c r="H1312" s="2"/>
      <c r="I1312" s="46"/>
      <c r="J1312" s="12"/>
      <c r="K1312" s="2"/>
      <c r="L1312" s="59"/>
    </row>
    <row r="1313" spans="1:12" x14ac:dyDescent="0.35">
      <c r="A1313" s="45">
        <v>1309</v>
      </c>
      <c r="B1313" s="2"/>
      <c r="C1313" s="2"/>
      <c r="D1313" s="2"/>
      <c r="E1313" s="3"/>
      <c r="F1313" s="3"/>
      <c r="G1313" s="2"/>
      <c r="H1313" s="2"/>
      <c r="I1313" s="46"/>
      <c r="J1313" s="12"/>
      <c r="K1313" s="2"/>
      <c r="L1313" s="59"/>
    </row>
    <row r="1314" spans="1:12" x14ac:dyDescent="0.35">
      <c r="A1314" s="45">
        <v>1310</v>
      </c>
      <c r="B1314" s="2"/>
      <c r="C1314" s="2"/>
      <c r="D1314" s="2"/>
      <c r="E1314" s="3"/>
      <c r="F1314" s="3"/>
      <c r="G1314" s="2"/>
      <c r="H1314" s="2"/>
      <c r="I1314" s="46"/>
      <c r="J1314" s="12"/>
      <c r="K1314" s="2"/>
      <c r="L1314" s="59"/>
    </row>
    <row r="1315" spans="1:12" x14ac:dyDescent="0.35">
      <c r="A1315" s="45">
        <v>1311</v>
      </c>
      <c r="B1315" s="2"/>
      <c r="C1315" s="2"/>
      <c r="D1315" s="2"/>
      <c r="E1315" s="3"/>
      <c r="F1315" s="3"/>
      <c r="G1315" s="2"/>
      <c r="H1315" s="2"/>
      <c r="I1315" s="46"/>
      <c r="J1315" s="12"/>
      <c r="K1315" s="2"/>
      <c r="L1315" s="59"/>
    </row>
    <row r="1316" spans="1:12" x14ac:dyDescent="0.35">
      <c r="A1316" s="45">
        <v>1312</v>
      </c>
      <c r="B1316" s="2"/>
      <c r="C1316" s="2"/>
      <c r="D1316" s="2"/>
      <c r="E1316" s="3"/>
      <c r="F1316" s="3"/>
      <c r="G1316" s="2"/>
      <c r="H1316" s="2"/>
      <c r="I1316" s="46"/>
      <c r="J1316" s="12"/>
      <c r="K1316" s="2"/>
      <c r="L1316" s="59"/>
    </row>
    <row r="1317" spans="1:12" x14ac:dyDescent="0.35">
      <c r="A1317" s="45">
        <v>1313</v>
      </c>
      <c r="B1317" s="2"/>
      <c r="C1317" s="2"/>
      <c r="D1317" s="2"/>
      <c r="E1317" s="3"/>
      <c r="F1317" s="3"/>
      <c r="G1317" s="2"/>
      <c r="H1317" s="2"/>
      <c r="I1317" s="46"/>
      <c r="J1317" s="12"/>
      <c r="K1317" s="2"/>
      <c r="L1317" s="59"/>
    </row>
    <row r="1318" spans="1:12" x14ac:dyDescent="0.35">
      <c r="A1318" s="45">
        <v>1314</v>
      </c>
      <c r="B1318" s="2"/>
      <c r="C1318" s="2"/>
      <c r="D1318" s="2"/>
      <c r="E1318" s="3"/>
      <c r="F1318" s="3"/>
      <c r="G1318" s="2"/>
      <c r="H1318" s="2"/>
      <c r="I1318" s="46"/>
      <c r="J1318" s="12"/>
      <c r="K1318" s="2"/>
      <c r="L1318" s="59"/>
    </row>
    <row r="1319" spans="1:12" x14ac:dyDescent="0.35">
      <c r="A1319" s="45">
        <v>1315</v>
      </c>
      <c r="B1319" s="2"/>
      <c r="C1319" s="2"/>
      <c r="D1319" s="2"/>
      <c r="E1319" s="3"/>
      <c r="F1319" s="3"/>
      <c r="G1319" s="2"/>
      <c r="H1319" s="2"/>
      <c r="I1319" s="46"/>
      <c r="J1319" s="12"/>
      <c r="K1319" s="2"/>
      <c r="L1319" s="59"/>
    </row>
    <row r="1320" spans="1:12" x14ac:dyDescent="0.35">
      <c r="A1320" s="45">
        <v>1316</v>
      </c>
      <c r="B1320" s="2"/>
      <c r="C1320" s="2"/>
      <c r="D1320" s="2"/>
      <c r="E1320" s="3"/>
      <c r="F1320" s="3"/>
      <c r="G1320" s="2"/>
      <c r="H1320" s="2"/>
      <c r="I1320" s="46"/>
      <c r="J1320" s="12"/>
      <c r="K1320" s="2"/>
      <c r="L1320" s="59"/>
    </row>
    <row r="1321" spans="1:12" x14ac:dyDescent="0.35">
      <c r="A1321" s="45">
        <v>1317</v>
      </c>
      <c r="B1321" s="2"/>
      <c r="C1321" s="2"/>
      <c r="D1321" s="2"/>
      <c r="E1321" s="3"/>
      <c r="F1321" s="3"/>
      <c r="G1321" s="2"/>
      <c r="H1321" s="2"/>
      <c r="I1321" s="46"/>
      <c r="J1321" s="12"/>
      <c r="K1321" s="2"/>
      <c r="L1321" s="59"/>
    </row>
    <row r="1322" spans="1:12" x14ac:dyDescent="0.35">
      <c r="A1322" s="45">
        <v>1318</v>
      </c>
      <c r="B1322" s="2"/>
      <c r="C1322" s="2"/>
      <c r="D1322" s="2"/>
      <c r="E1322" s="3"/>
      <c r="F1322" s="3"/>
      <c r="G1322" s="2"/>
      <c r="H1322" s="2"/>
      <c r="I1322" s="46"/>
      <c r="J1322" s="12"/>
      <c r="K1322" s="2"/>
      <c r="L1322" s="59"/>
    </row>
    <row r="1323" spans="1:12" x14ac:dyDescent="0.35">
      <c r="A1323" s="45">
        <v>1319</v>
      </c>
      <c r="B1323" s="2"/>
      <c r="C1323" s="2"/>
      <c r="D1323" s="2"/>
      <c r="E1323" s="3"/>
      <c r="F1323" s="3"/>
      <c r="G1323" s="2"/>
      <c r="H1323" s="2"/>
      <c r="I1323" s="46"/>
      <c r="J1323" s="12"/>
      <c r="K1323" s="2"/>
      <c r="L1323" s="59"/>
    </row>
    <row r="1324" spans="1:12" x14ac:dyDescent="0.35">
      <c r="A1324" s="45">
        <v>1320</v>
      </c>
      <c r="B1324" s="2"/>
      <c r="C1324" s="2"/>
      <c r="D1324" s="2"/>
      <c r="E1324" s="3"/>
      <c r="F1324" s="3"/>
      <c r="G1324" s="2"/>
      <c r="H1324" s="2"/>
      <c r="I1324" s="46"/>
      <c r="J1324" s="12"/>
      <c r="K1324" s="2"/>
      <c r="L1324" s="59"/>
    </row>
    <row r="1325" spans="1:12" x14ac:dyDescent="0.35">
      <c r="A1325" s="45">
        <v>1321</v>
      </c>
      <c r="B1325" s="2"/>
      <c r="C1325" s="2"/>
      <c r="D1325" s="2"/>
      <c r="E1325" s="3"/>
      <c r="F1325" s="3"/>
      <c r="G1325" s="2"/>
      <c r="H1325" s="2"/>
      <c r="I1325" s="46"/>
      <c r="J1325" s="12"/>
      <c r="K1325" s="2"/>
      <c r="L1325" s="59"/>
    </row>
    <row r="1326" spans="1:12" x14ac:dyDescent="0.35">
      <c r="A1326" s="45">
        <v>1322</v>
      </c>
      <c r="B1326" s="2"/>
      <c r="C1326" s="2"/>
      <c r="D1326" s="2"/>
      <c r="E1326" s="3"/>
      <c r="F1326" s="3"/>
      <c r="G1326" s="2"/>
      <c r="H1326" s="2"/>
      <c r="I1326" s="46"/>
      <c r="J1326" s="12"/>
      <c r="K1326" s="2"/>
      <c r="L1326" s="59"/>
    </row>
    <row r="1327" spans="1:12" x14ac:dyDescent="0.35">
      <c r="A1327" s="45">
        <v>1323</v>
      </c>
      <c r="B1327" s="2"/>
      <c r="C1327" s="2"/>
      <c r="D1327" s="2"/>
      <c r="E1327" s="3"/>
      <c r="F1327" s="3"/>
      <c r="G1327" s="2"/>
      <c r="H1327" s="2"/>
      <c r="I1327" s="46"/>
      <c r="J1327" s="12"/>
      <c r="K1327" s="2"/>
      <c r="L1327" s="59"/>
    </row>
    <row r="1328" spans="1:12" x14ac:dyDescent="0.35">
      <c r="A1328" s="45">
        <v>1324</v>
      </c>
      <c r="B1328" s="2"/>
      <c r="C1328" s="2"/>
      <c r="D1328" s="2"/>
      <c r="E1328" s="3"/>
      <c r="F1328" s="3"/>
      <c r="G1328" s="2"/>
      <c r="H1328" s="2"/>
      <c r="I1328" s="46"/>
      <c r="J1328" s="12"/>
      <c r="K1328" s="2"/>
      <c r="L1328" s="59"/>
    </row>
    <row r="1329" spans="1:12" x14ac:dyDescent="0.35">
      <c r="A1329" s="45">
        <v>1325</v>
      </c>
      <c r="B1329" s="2"/>
      <c r="C1329" s="2"/>
      <c r="D1329" s="2"/>
      <c r="E1329" s="3"/>
      <c r="F1329" s="3"/>
      <c r="G1329" s="2"/>
      <c r="H1329" s="2"/>
      <c r="I1329" s="46"/>
      <c r="J1329" s="12"/>
      <c r="K1329" s="2"/>
      <c r="L1329" s="59"/>
    </row>
    <row r="1330" spans="1:12" x14ac:dyDescent="0.35">
      <c r="A1330" s="45">
        <v>1326</v>
      </c>
      <c r="B1330" s="2"/>
      <c r="C1330" s="2"/>
      <c r="D1330" s="2"/>
      <c r="E1330" s="3"/>
      <c r="F1330" s="3"/>
      <c r="G1330" s="2"/>
      <c r="H1330" s="2"/>
      <c r="I1330" s="46"/>
      <c r="J1330" s="12"/>
      <c r="K1330" s="2"/>
      <c r="L1330" s="59"/>
    </row>
    <row r="1331" spans="1:12" x14ac:dyDescent="0.35">
      <c r="A1331" s="45">
        <v>1327</v>
      </c>
      <c r="B1331" s="2"/>
      <c r="C1331" s="2"/>
      <c r="D1331" s="2"/>
      <c r="E1331" s="3"/>
      <c r="F1331" s="3"/>
      <c r="G1331" s="2"/>
      <c r="H1331" s="2"/>
      <c r="I1331" s="46"/>
      <c r="J1331" s="12"/>
      <c r="K1331" s="2"/>
      <c r="L1331" s="59"/>
    </row>
    <row r="1332" spans="1:12" x14ac:dyDescent="0.35">
      <c r="A1332" s="45">
        <v>1328</v>
      </c>
      <c r="B1332" s="2"/>
      <c r="C1332" s="2"/>
      <c r="D1332" s="2"/>
      <c r="E1332" s="3"/>
      <c r="F1332" s="3"/>
      <c r="G1332" s="2"/>
      <c r="H1332" s="2"/>
      <c r="I1332" s="46"/>
      <c r="J1332" s="12"/>
      <c r="K1332" s="2"/>
      <c r="L1332" s="59"/>
    </row>
    <row r="1333" spans="1:12" x14ac:dyDescent="0.35">
      <c r="A1333" s="45">
        <v>1329</v>
      </c>
      <c r="B1333" s="2"/>
      <c r="C1333" s="2"/>
      <c r="D1333" s="2"/>
      <c r="E1333" s="3"/>
      <c r="F1333" s="3"/>
      <c r="G1333" s="2"/>
      <c r="H1333" s="2"/>
      <c r="I1333" s="46"/>
      <c r="J1333" s="12"/>
      <c r="K1333" s="2"/>
      <c r="L1333" s="59"/>
    </row>
    <row r="1334" spans="1:12" x14ac:dyDescent="0.35">
      <c r="A1334" s="45">
        <v>1330</v>
      </c>
      <c r="B1334" s="2"/>
      <c r="C1334" s="2"/>
      <c r="D1334" s="2"/>
      <c r="E1334" s="3"/>
      <c r="F1334" s="3"/>
      <c r="G1334" s="2"/>
      <c r="H1334" s="2"/>
      <c r="I1334" s="46"/>
      <c r="J1334" s="12"/>
      <c r="K1334" s="2"/>
      <c r="L1334" s="59"/>
    </row>
    <row r="1335" spans="1:12" x14ac:dyDescent="0.35">
      <c r="A1335" s="45">
        <v>1331</v>
      </c>
      <c r="B1335" s="2"/>
      <c r="C1335" s="2"/>
      <c r="D1335" s="2"/>
      <c r="E1335" s="3"/>
      <c r="F1335" s="3"/>
      <c r="G1335" s="2"/>
      <c r="H1335" s="2"/>
      <c r="I1335" s="46"/>
      <c r="J1335" s="12"/>
      <c r="K1335" s="2"/>
      <c r="L1335" s="59"/>
    </row>
    <row r="1336" spans="1:12" x14ac:dyDescent="0.35">
      <c r="A1336" s="45">
        <v>1332</v>
      </c>
      <c r="B1336" s="2"/>
      <c r="C1336" s="2"/>
      <c r="D1336" s="2"/>
      <c r="E1336" s="3"/>
      <c r="F1336" s="3"/>
      <c r="G1336" s="2"/>
      <c r="H1336" s="2"/>
      <c r="I1336" s="46"/>
      <c r="J1336" s="12"/>
      <c r="K1336" s="2"/>
      <c r="L1336" s="59"/>
    </row>
    <row r="1337" spans="1:12" x14ac:dyDescent="0.35">
      <c r="A1337" s="45">
        <v>1333</v>
      </c>
      <c r="B1337" s="2"/>
      <c r="C1337" s="2"/>
      <c r="D1337" s="2"/>
      <c r="E1337" s="3"/>
      <c r="F1337" s="3"/>
      <c r="G1337" s="2"/>
      <c r="H1337" s="2"/>
      <c r="I1337" s="46"/>
      <c r="J1337" s="12"/>
      <c r="K1337" s="2"/>
      <c r="L1337" s="59"/>
    </row>
    <row r="1338" spans="1:12" x14ac:dyDescent="0.35">
      <c r="A1338" s="45">
        <v>1334</v>
      </c>
      <c r="B1338" s="2"/>
      <c r="C1338" s="2"/>
      <c r="D1338" s="2"/>
      <c r="E1338" s="3"/>
      <c r="F1338" s="3"/>
      <c r="G1338" s="2"/>
      <c r="H1338" s="2"/>
      <c r="I1338" s="46"/>
      <c r="J1338" s="12"/>
      <c r="K1338" s="2"/>
      <c r="L1338" s="59"/>
    </row>
    <row r="1339" spans="1:12" x14ac:dyDescent="0.35">
      <c r="A1339" s="45">
        <v>1335</v>
      </c>
      <c r="B1339" s="2"/>
      <c r="C1339" s="2"/>
      <c r="D1339" s="2"/>
      <c r="E1339" s="3"/>
      <c r="F1339" s="3"/>
      <c r="G1339" s="2"/>
      <c r="H1339" s="2"/>
      <c r="I1339" s="46"/>
      <c r="J1339" s="12"/>
      <c r="K1339" s="2"/>
      <c r="L1339" s="59"/>
    </row>
    <row r="1340" spans="1:12" x14ac:dyDescent="0.35">
      <c r="A1340" s="45">
        <v>1336</v>
      </c>
      <c r="B1340" s="2"/>
      <c r="C1340" s="2"/>
      <c r="D1340" s="2"/>
      <c r="E1340" s="3"/>
      <c r="F1340" s="3"/>
      <c r="G1340" s="2"/>
      <c r="H1340" s="2"/>
      <c r="I1340" s="46"/>
      <c r="J1340" s="12"/>
      <c r="K1340" s="2"/>
      <c r="L1340" s="59"/>
    </row>
    <row r="1341" spans="1:12" x14ac:dyDescent="0.35">
      <c r="A1341" s="45">
        <v>1337</v>
      </c>
      <c r="B1341" s="2"/>
      <c r="C1341" s="2"/>
      <c r="D1341" s="2"/>
      <c r="E1341" s="3"/>
      <c r="F1341" s="3"/>
      <c r="G1341" s="2"/>
      <c r="H1341" s="2"/>
      <c r="I1341" s="46"/>
      <c r="J1341" s="12"/>
      <c r="K1341" s="2"/>
      <c r="L1341" s="59"/>
    </row>
    <row r="1342" spans="1:12" x14ac:dyDescent="0.35">
      <c r="A1342" s="45">
        <v>1338</v>
      </c>
      <c r="B1342" s="2"/>
      <c r="C1342" s="2"/>
      <c r="D1342" s="2"/>
      <c r="E1342" s="3"/>
      <c r="F1342" s="3"/>
      <c r="G1342" s="2"/>
      <c r="H1342" s="2"/>
      <c r="I1342" s="46"/>
      <c r="J1342" s="12"/>
      <c r="K1342" s="2"/>
      <c r="L1342" s="59"/>
    </row>
    <row r="1343" spans="1:12" x14ac:dyDescent="0.35">
      <c r="A1343" s="45">
        <v>1339</v>
      </c>
      <c r="B1343" s="2"/>
      <c r="C1343" s="2"/>
      <c r="D1343" s="2"/>
      <c r="E1343" s="3"/>
      <c r="F1343" s="3"/>
      <c r="G1343" s="2"/>
      <c r="H1343" s="2"/>
      <c r="I1343" s="46"/>
      <c r="J1343" s="12"/>
      <c r="K1343" s="2"/>
      <c r="L1343" s="59"/>
    </row>
    <row r="1344" spans="1:12" x14ac:dyDescent="0.35">
      <c r="A1344" s="45">
        <v>1340</v>
      </c>
      <c r="B1344" s="2"/>
      <c r="C1344" s="2"/>
      <c r="D1344" s="2"/>
      <c r="E1344" s="3"/>
      <c r="F1344" s="3"/>
      <c r="G1344" s="2"/>
      <c r="H1344" s="2"/>
      <c r="I1344" s="46"/>
      <c r="J1344" s="12"/>
      <c r="K1344" s="2"/>
      <c r="L1344" s="59"/>
    </row>
    <row r="1345" spans="1:12" x14ac:dyDescent="0.35">
      <c r="A1345" s="45">
        <v>1341</v>
      </c>
      <c r="B1345" s="2"/>
      <c r="C1345" s="2"/>
      <c r="D1345" s="2"/>
      <c r="E1345" s="3"/>
      <c r="F1345" s="3"/>
      <c r="G1345" s="2"/>
      <c r="H1345" s="2"/>
      <c r="I1345" s="46"/>
      <c r="J1345" s="12"/>
      <c r="K1345" s="2"/>
      <c r="L1345" s="59"/>
    </row>
    <row r="1346" spans="1:12" x14ac:dyDescent="0.35">
      <c r="A1346" s="45">
        <v>1342</v>
      </c>
      <c r="B1346" s="2"/>
      <c r="C1346" s="2"/>
      <c r="D1346" s="2"/>
      <c r="E1346" s="3"/>
      <c r="F1346" s="3"/>
      <c r="G1346" s="2"/>
      <c r="H1346" s="2"/>
      <c r="I1346" s="46"/>
      <c r="J1346" s="12"/>
      <c r="K1346" s="2"/>
      <c r="L1346" s="59"/>
    </row>
    <row r="1347" spans="1:12" x14ac:dyDescent="0.35">
      <c r="A1347" s="45">
        <v>1343</v>
      </c>
      <c r="B1347" s="2"/>
      <c r="C1347" s="2"/>
      <c r="D1347" s="2"/>
      <c r="E1347" s="3"/>
      <c r="F1347" s="3"/>
      <c r="G1347" s="2"/>
      <c r="H1347" s="2"/>
      <c r="I1347" s="46"/>
      <c r="J1347" s="12"/>
      <c r="K1347" s="2"/>
      <c r="L1347" s="59"/>
    </row>
    <row r="1348" spans="1:12" x14ac:dyDescent="0.35">
      <c r="A1348" s="45">
        <v>1344</v>
      </c>
      <c r="B1348" s="2"/>
      <c r="C1348" s="2"/>
      <c r="D1348" s="2"/>
      <c r="E1348" s="3"/>
      <c r="F1348" s="3"/>
      <c r="G1348" s="2"/>
      <c r="H1348" s="2"/>
      <c r="I1348" s="46"/>
      <c r="J1348" s="12"/>
      <c r="K1348" s="2"/>
      <c r="L1348" s="59"/>
    </row>
    <row r="1349" spans="1:12" x14ac:dyDescent="0.35">
      <c r="A1349" s="45">
        <v>1345</v>
      </c>
      <c r="B1349" s="2"/>
      <c r="C1349" s="2"/>
      <c r="D1349" s="2"/>
      <c r="E1349" s="3"/>
      <c r="F1349" s="3"/>
      <c r="G1349" s="2"/>
      <c r="H1349" s="2"/>
      <c r="I1349" s="46"/>
      <c r="J1349" s="12"/>
      <c r="K1349" s="2"/>
      <c r="L1349" s="59"/>
    </row>
    <row r="1350" spans="1:12" x14ac:dyDescent="0.35">
      <c r="A1350" s="45">
        <v>1346</v>
      </c>
      <c r="B1350" s="2"/>
      <c r="C1350" s="2"/>
      <c r="D1350" s="2"/>
      <c r="E1350" s="3"/>
      <c r="F1350" s="3"/>
      <c r="G1350" s="2"/>
      <c r="H1350" s="2"/>
      <c r="I1350" s="46"/>
      <c r="J1350" s="12"/>
      <c r="K1350" s="2"/>
      <c r="L1350" s="59"/>
    </row>
    <row r="1351" spans="1:12" x14ac:dyDescent="0.35">
      <c r="A1351" s="45">
        <v>1347</v>
      </c>
      <c r="B1351" s="2"/>
      <c r="C1351" s="2"/>
      <c r="D1351" s="2"/>
      <c r="E1351" s="3"/>
      <c r="F1351" s="3"/>
      <c r="G1351" s="2"/>
      <c r="H1351" s="2"/>
      <c r="I1351" s="46"/>
      <c r="J1351" s="12"/>
      <c r="K1351" s="2"/>
      <c r="L1351" s="59"/>
    </row>
    <row r="1352" spans="1:12" x14ac:dyDescent="0.35">
      <c r="A1352" s="45">
        <v>1348</v>
      </c>
      <c r="B1352" s="2"/>
      <c r="C1352" s="2"/>
      <c r="D1352" s="2"/>
      <c r="E1352" s="3"/>
      <c r="F1352" s="3"/>
      <c r="G1352" s="2"/>
      <c r="H1352" s="2"/>
      <c r="I1352" s="46"/>
      <c r="J1352" s="12"/>
      <c r="K1352" s="2"/>
      <c r="L1352" s="59"/>
    </row>
    <row r="1353" spans="1:12" x14ac:dyDescent="0.35">
      <c r="A1353" s="45">
        <v>1349</v>
      </c>
      <c r="B1353" s="2"/>
      <c r="C1353" s="2"/>
      <c r="D1353" s="2"/>
      <c r="E1353" s="3"/>
      <c r="F1353" s="3"/>
      <c r="G1353" s="2"/>
      <c r="H1353" s="2"/>
      <c r="I1353" s="46"/>
      <c r="J1353" s="12"/>
      <c r="K1353" s="2"/>
      <c r="L1353" s="59"/>
    </row>
    <row r="1354" spans="1:12" x14ac:dyDescent="0.35">
      <c r="A1354" s="45">
        <v>1350</v>
      </c>
      <c r="B1354" s="2"/>
      <c r="C1354" s="2"/>
      <c r="D1354" s="2"/>
      <c r="E1354" s="3"/>
      <c r="F1354" s="3"/>
      <c r="G1354" s="2"/>
      <c r="H1354" s="2"/>
      <c r="I1354" s="46"/>
      <c r="J1354" s="12"/>
      <c r="K1354" s="2"/>
      <c r="L1354" s="59"/>
    </row>
    <row r="1355" spans="1:12" x14ac:dyDescent="0.35">
      <c r="A1355" s="45">
        <v>1351</v>
      </c>
      <c r="B1355" s="2"/>
      <c r="C1355" s="2"/>
      <c r="D1355" s="2"/>
      <c r="E1355" s="3"/>
      <c r="F1355" s="3"/>
      <c r="G1355" s="2"/>
      <c r="H1355" s="2"/>
      <c r="I1355" s="46"/>
      <c r="J1355" s="12"/>
      <c r="K1355" s="2"/>
      <c r="L1355" s="59"/>
    </row>
    <row r="1356" spans="1:12" x14ac:dyDescent="0.35">
      <c r="A1356" s="45">
        <v>1352</v>
      </c>
      <c r="B1356" s="2"/>
      <c r="C1356" s="2"/>
      <c r="D1356" s="2"/>
      <c r="E1356" s="3"/>
      <c r="F1356" s="3"/>
      <c r="G1356" s="2"/>
      <c r="H1356" s="2"/>
      <c r="I1356" s="46"/>
      <c r="J1356" s="12"/>
      <c r="K1356" s="2"/>
      <c r="L1356" s="59"/>
    </row>
    <row r="1357" spans="1:12" x14ac:dyDescent="0.35">
      <c r="A1357" s="45">
        <v>1353</v>
      </c>
      <c r="B1357" s="2"/>
      <c r="C1357" s="2"/>
      <c r="D1357" s="2"/>
      <c r="E1357" s="3"/>
      <c r="F1357" s="3"/>
      <c r="G1357" s="2"/>
      <c r="H1357" s="2"/>
      <c r="I1357" s="46"/>
      <c r="J1357" s="12"/>
      <c r="K1357" s="2"/>
      <c r="L1357" s="59"/>
    </row>
    <row r="1358" spans="1:12" x14ac:dyDescent="0.35">
      <c r="A1358" s="45">
        <v>1354</v>
      </c>
      <c r="B1358" s="2"/>
      <c r="C1358" s="2"/>
      <c r="D1358" s="2"/>
      <c r="E1358" s="3"/>
      <c r="F1358" s="3"/>
      <c r="G1358" s="2"/>
      <c r="H1358" s="2"/>
      <c r="I1358" s="46"/>
      <c r="J1358" s="12"/>
      <c r="K1358" s="2"/>
      <c r="L1358" s="59"/>
    </row>
    <row r="1359" spans="1:12" x14ac:dyDescent="0.35">
      <c r="A1359" s="45">
        <v>1355</v>
      </c>
      <c r="B1359" s="2"/>
      <c r="C1359" s="2"/>
      <c r="D1359" s="2"/>
      <c r="E1359" s="3"/>
      <c r="F1359" s="3"/>
      <c r="G1359" s="2"/>
      <c r="H1359" s="2"/>
      <c r="I1359" s="46"/>
      <c r="J1359" s="12"/>
      <c r="K1359" s="2"/>
      <c r="L1359" s="59"/>
    </row>
    <row r="1360" spans="1:12" x14ac:dyDescent="0.35">
      <c r="A1360" s="45">
        <v>1356</v>
      </c>
      <c r="B1360" s="2"/>
      <c r="C1360" s="2"/>
      <c r="D1360" s="2"/>
      <c r="E1360" s="3"/>
      <c r="F1360" s="3"/>
      <c r="G1360" s="2"/>
      <c r="H1360" s="2"/>
      <c r="I1360" s="46"/>
      <c r="J1360" s="12"/>
      <c r="K1360" s="2"/>
      <c r="L1360" s="59"/>
    </row>
    <row r="1361" spans="1:12" x14ac:dyDescent="0.35">
      <c r="A1361" s="45">
        <v>1357</v>
      </c>
      <c r="B1361" s="2"/>
      <c r="C1361" s="2"/>
      <c r="D1361" s="2"/>
      <c r="E1361" s="3"/>
      <c r="F1361" s="3"/>
      <c r="G1361" s="2"/>
      <c r="H1361" s="2"/>
      <c r="I1361" s="46"/>
      <c r="J1361" s="12"/>
      <c r="K1361" s="2"/>
      <c r="L1361" s="59"/>
    </row>
    <row r="1362" spans="1:12" x14ac:dyDescent="0.35">
      <c r="A1362" s="45">
        <v>1358</v>
      </c>
      <c r="B1362" s="2"/>
      <c r="C1362" s="2"/>
      <c r="D1362" s="2"/>
      <c r="E1362" s="3"/>
      <c r="F1362" s="3"/>
      <c r="G1362" s="2"/>
      <c r="H1362" s="2"/>
      <c r="I1362" s="46"/>
      <c r="J1362" s="12"/>
      <c r="K1362" s="2"/>
      <c r="L1362" s="59"/>
    </row>
    <row r="1363" spans="1:12" x14ac:dyDescent="0.35">
      <c r="A1363" s="45">
        <v>1359</v>
      </c>
      <c r="B1363" s="2"/>
      <c r="C1363" s="2"/>
      <c r="D1363" s="2"/>
      <c r="E1363" s="3"/>
      <c r="F1363" s="3"/>
      <c r="G1363" s="2"/>
      <c r="H1363" s="2"/>
      <c r="I1363" s="46"/>
      <c r="J1363" s="12"/>
      <c r="K1363" s="2"/>
      <c r="L1363" s="59"/>
    </row>
    <row r="1364" spans="1:12" x14ac:dyDescent="0.35">
      <c r="A1364" s="45">
        <v>1360</v>
      </c>
      <c r="B1364" s="2"/>
      <c r="C1364" s="2"/>
      <c r="D1364" s="2"/>
      <c r="E1364" s="3"/>
      <c r="F1364" s="3"/>
      <c r="G1364" s="2"/>
      <c r="H1364" s="2"/>
      <c r="I1364" s="46"/>
      <c r="J1364" s="12"/>
      <c r="K1364" s="2"/>
      <c r="L1364" s="59"/>
    </row>
    <row r="1365" spans="1:12" x14ac:dyDescent="0.35">
      <c r="A1365" s="45">
        <v>1361</v>
      </c>
      <c r="B1365" s="2"/>
      <c r="C1365" s="2"/>
      <c r="D1365" s="2"/>
      <c r="E1365" s="3"/>
      <c r="F1365" s="3"/>
      <c r="G1365" s="2"/>
      <c r="H1365" s="2"/>
      <c r="I1365" s="46"/>
      <c r="J1365" s="12"/>
      <c r="K1365" s="2"/>
      <c r="L1365" s="59"/>
    </row>
    <row r="1366" spans="1:12" x14ac:dyDescent="0.35">
      <c r="A1366" s="45">
        <v>1362</v>
      </c>
      <c r="B1366" s="2"/>
      <c r="C1366" s="2"/>
      <c r="D1366" s="2"/>
      <c r="E1366" s="3"/>
      <c r="F1366" s="3"/>
      <c r="G1366" s="2"/>
      <c r="H1366" s="2"/>
      <c r="I1366" s="46"/>
      <c r="J1366" s="12"/>
      <c r="K1366" s="2"/>
      <c r="L1366" s="59"/>
    </row>
    <row r="1367" spans="1:12" x14ac:dyDescent="0.35">
      <c r="A1367" s="45">
        <v>1363</v>
      </c>
      <c r="B1367" s="2"/>
      <c r="C1367" s="2"/>
      <c r="D1367" s="2"/>
      <c r="E1367" s="3"/>
      <c r="F1367" s="3"/>
      <c r="G1367" s="2"/>
      <c r="H1367" s="2"/>
      <c r="I1367" s="46"/>
      <c r="J1367" s="12"/>
      <c r="K1367" s="2"/>
      <c r="L1367" s="59"/>
    </row>
    <row r="1368" spans="1:12" x14ac:dyDescent="0.35">
      <c r="A1368" s="45">
        <v>1364</v>
      </c>
      <c r="B1368" s="2"/>
      <c r="C1368" s="2"/>
      <c r="D1368" s="2"/>
      <c r="E1368" s="3"/>
      <c r="F1368" s="3"/>
      <c r="G1368" s="2"/>
      <c r="H1368" s="2"/>
      <c r="I1368" s="46"/>
      <c r="J1368" s="12"/>
      <c r="K1368" s="2"/>
      <c r="L1368" s="59"/>
    </row>
    <row r="1369" spans="1:12" x14ac:dyDescent="0.35">
      <c r="A1369" s="45">
        <v>1365</v>
      </c>
      <c r="B1369" s="2"/>
      <c r="C1369" s="2"/>
      <c r="D1369" s="2"/>
      <c r="E1369" s="3"/>
      <c r="F1369" s="3"/>
      <c r="G1369" s="2"/>
      <c r="H1369" s="2"/>
      <c r="I1369" s="46"/>
      <c r="J1369" s="12"/>
      <c r="K1369" s="2"/>
      <c r="L1369" s="59"/>
    </row>
    <row r="1370" spans="1:12" x14ac:dyDescent="0.35">
      <c r="A1370" s="45">
        <v>1366</v>
      </c>
      <c r="B1370" s="2"/>
      <c r="C1370" s="2"/>
      <c r="D1370" s="2"/>
      <c r="E1370" s="3"/>
      <c r="F1370" s="3"/>
      <c r="G1370" s="2"/>
      <c r="H1370" s="2"/>
      <c r="I1370" s="46"/>
      <c r="J1370" s="12"/>
      <c r="K1370" s="2"/>
      <c r="L1370" s="59"/>
    </row>
    <row r="1371" spans="1:12" x14ac:dyDescent="0.35">
      <c r="A1371" s="45">
        <v>1367</v>
      </c>
      <c r="B1371" s="2"/>
      <c r="C1371" s="2"/>
      <c r="D1371" s="2"/>
      <c r="E1371" s="3"/>
      <c r="F1371" s="3"/>
      <c r="G1371" s="2"/>
      <c r="H1371" s="2"/>
      <c r="I1371" s="46"/>
      <c r="J1371" s="12"/>
      <c r="K1371" s="2"/>
      <c r="L1371" s="59"/>
    </row>
    <row r="1372" spans="1:12" x14ac:dyDescent="0.35">
      <c r="A1372" s="45">
        <v>1368</v>
      </c>
      <c r="B1372" s="2"/>
      <c r="C1372" s="2"/>
      <c r="D1372" s="2"/>
      <c r="E1372" s="3"/>
      <c r="F1372" s="3"/>
      <c r="G1372" s="2"/>
      <c r="H1372" s="2"/>
      <c r="I1372" s="46"/>
      <c r="J1372" s="12"/>
      <c r="K1372" s="2"/>
      <c r="L1372" s="59"/>
    </row>
    <row r="1373" spans="1:12" x14ac:dyDescent="0.35">
      <c r="A1373" s="45">
        <v>1369</v>
      </c>
      <c r="B1373" s="2"/>
      <c r="C1373" s="2"/>
      <c r="D1373" s="2"/>
      <c r="E1373" s="3"/>
      <c r="F1373" s="3"/>
      <c r="G1373" s="2"/>
      <c r="H1373" s="2"/>
      <c r="I1373" s="46"/>
      <c r="J1373" s="12"/>
      <c r="K1373" s="2"/>
      <c r="L1373" s="59"/>
    </row>
    <row r="1374" spans="1:12" x14ac:dyDescent="0.35">
      <c r="A1374" s="45">
        <v>1370</v>
      </c>
      <c r="B1374" s="2"/>
      <c r="C1374" s="2"/>
      <c r="D1374" s="2"/>
      <c r="E1374" s="3"/>
      <c r="F1374" s="3"/>
      <c r="G1374" s="2"/>
      <c r="H1374" s="2"/>
      <c r="I1374" s="46"/>
      <c r="J1374" s="12"/>
      <c r="K1374" s="2"/>
      <c r="L1374" s="59"/>
    </row>
    <row r="1375" spans="1:12" x14ac:dyDescent="0.35">
      <c r="A1375" s="45">
        <v>1371</v>
      </c>
      <c r="B1375" s="2"/>
      <c r="C1375" s="2"/>
      <c r="D1375" s="2"/>
      <c r="E1375" s="3"/>
      <c r="F1375" s="3"/>
      <c r="G1375" s="2"/>
      <c r="H1375" s="2"/>
      <c r="I1375" s="46"/>
      <c r="J1375" s="12"/>
      <c r="K1375" s="2"/>
      <c r="L1375" s="59"/>
    </row>
    <row r="1376" spans="1:12" x14ac:dyDescent="0.35">
      <c r="A1376" s="45">
        <v>1372</v>
      </c>
      <c r="B1376" s="2"/>
      <c r="C1376" s="2"/>
      <c r="D1376" s="2"/>
      <c r="E1376" s="3"/>
      <c r="F1376" s="3"/>
      <c r="G1376" s="2"/>
      <c r="H1376" s="2"/>
      <c r="I1376" s="46"/>
      <c r="J1376" s="12"/>
      <c r="K1376" s="2"/>
      <c r="L1376" s="59"/>
    </row>
    <row r="1377" spans="1:12" x14ac:dyDescent="0.35">
      <c r="A1377" s="45">
        <v>1373</v>
      </c>
      <c r="B1377" s="2"/>
      <c r="C1377" s="2"/>
      <c r="D1377" s="2"/>
      <c r="E1377" s="3"/>
      <c r="F1377" s="3"/>
      <c r="G1377" s="2"/>
      <c r="H1377" s="2"/>
      <c r="I1377" s="46"/>
      <c r="J1377" s="12"/>
      <c r="K1377" s="2"/>
      <c r="L1377" s="59"/>
    </row>
    <row r="1378" spans="1:12" x14ac:dyDescent="0.35">
      <c r="A1378" s="45">
        <v>1374</v>
      </c>
      <c r="B1378" s="2"/>
      <c r="C1378" s="2"/>
      <c r="D1378" s="2"/>
      <c r="E1378" s="3"/>
      <c r="F1378" s="3"/>
      <c r="G1378" s="2"/>
      <c r="H1378" s="2"/>
      <c r="I1378" s="46"/>
      <c r="J1378" s="12"/>
      <c r="K1378" s="2"/>
      <c r="L1378" s="59"/>
    </row>
    <row r="1379" spans="1:12" x14ac:dyDescent="0.35">
      <c r="A1379" s="45">
        <v>1375</v>
      </c>
      <c r="B1379" s="2"/>
      <c r="C1379" s="2"/>
      <c r="D1379" s="2"/>
      <c r="E1379" s="3"/>
      <c r="F1379" s="3"/>
      <c r="G1379" s="2"/>
      <c r="H1379" s="2"/>
      <c r="I1379" s="46"/>
      <c r="J1379" s="12"/>
      <c r="K1379" s="2"/>
      <c r="L1379" s="59"/>
    </row>
    <row r="1380" spans="1:12" x14ac:dyDescent="0.35">
      <c r="A1380" s="45">
        <v>1376</v>
      </c>
      <c r="B1380" s="2"/>
      <c r="C1380" s="2"/>
      <c r="D1380" s="2"/>
      <c r="E1380" s="3"/>
      <c r="F1380" s="3"/>
      <c r="G1380" s="2"/>
      <c r="H1380" s="2"/>
      <c r="I1380" s="46"/>
      <c r="J1380" s="12"/>
      <c r="K1380" s="2"/>
      <c r="L1380" s="59"/>
    </row>
    <row r="1381" spans="1:12" x14ac:dyDescent="0.35">
      <c r="A1381" s="45">
        <v>1377</v>
      </c>
      <c r="B1381" s="2"/>
      <c r="C1381" s="2"/>
      <c r="D1381" s="2"/>
      <c r="E1381" s="3"/>
      <c r="F1381" s="3"/>
      <c r="G1381" s="2"/>
      <c r="H1381" s="2"/>
      <c r="I1381" s="46"/>
      <c r="J1381" s="12"/>
      <c r="K1381" s="2"/>
      <c r="L1381" s="59"/>
    </row>
    <row r="1382" spans="1:12" x14ac:dyDescent="0.35">
      <c r="A1382" s="45">
        <v>1378</v>
      </c>
      <c r="B1382" s="2"/>
      <c r="C1382" s="2"/>
      <c r="D1382" s="2"/>
      <c r="E1382" s="3"/>
      <c r="F1382" s="3"/>
      <c r="G1382" s="2"/>
      <c r="H1382" s="2"/>
      <c r="I1382" s="46"/>
      <c r="J1382" s="12"/>
      <c r="K1382" s="2"/>
      <c r="L1382" s="59"/>
    </row>
    <row r="1383" spans="1:12" x14ac:dyDescent="0.35">
      <c r="A1383" s="45">
        <v>1379</v>
      </c>
      <c r="B1383" s="2"/>
      <c r="C1383" s="2"/>
      <c r="D1383" s="2"/>
      <c r="E1383" s="3"/>
      <c r="F1383" s="3"/>
      <c r="G1383" s="2"/>
      <c r="H1383" s="2"/>
      <c r="I1383" s="46"/>
      <c r="J1383" s="12"/>
      <c r="K1383" s="2"/>
      <c r="L1383" s="59"/>
    </row>
    <row r="1384" spans="1:12" x14ac:dyDescent="0.35">
      <c r="A1384" s="45">
        <v>1380</v>
      </c>
      <c r="B1384" s="2"/>
      <c r="C1384" s="2"/>
      <c r="D1384" s="2"/>
      <c r="E1384" s="3"/>
      <c r="F1384" s="3"/>
      <c r="G1384" s="2"/>
      <c r="H1384" s="2"/>
      <c r="I1384" s="46"/>
      <c r="J1384" s="12"/>
      <c r="K1384" s="2"/>
      <c r="L1384" s="59"/>
    </row>
    <row r="1385" spans="1:12" x14ac:dyDescent="0.35">
      <c r="A1385" s="45">
        <v>1381</v>
      </c>
      <c r="B1385" s="2"/>
      <c r="C1385" s="2"/>
      <c r="D1385" s="2"/>
      <c r="E1385" s="3"/>
      <c r="F1385" s="3"/>
      <c r="G1385" s="2"/>
      <c r="H1385" s="2"/>
      <c r="I1385" s="46"/>
      <c r="J1385" s="12"/>
      <c r="K1385" s="2"/>
      <c r="L1385" s="59"/>
    </row>
    <row r="1386" spans="1:12" x14ac:dyDescent="0.35">
      <c r="A1386" s="45">
        <v>1382</v>
      </c>
      <c r="B1386" s="2"/>
      <c r="C1386" s="2"/>
      <c r="D1386" s="2"/>
      <c r="E1386" s="3"/>
      <c r="F1386" s="3"/>
      <c r="G1386" s="2"/>
      <c r="H1386" s="2"/>
      <c r="I1386" s="46"/>
      <c r="J1386" s="12"/>
      <c r="K1386" s="2"/>
      <c r="L1386" s="59"/>
    </row>
    <row r="1387" spans="1:12" x14ac:dyDescent="0.35">
      <c r="A1387" s="45">
        <v>1383</v>
      </c>
      <c r="B1387" s="2"/>
      <c r="C1387" s="2"/>
      <c r="D1387" s="2"/>
      <c r="E1387" s="3"/>
      <c r="F1387" s="3"/>
      <c r="G1387" s="2"/>
      <c r="H1387" s="2"/>
      <c r="I1387" s="46"/>
      <c r="J1387" s="12"/>
      <c r="K1387" s="2"/>
      <c r="L1387" s="59"/>
    </row>
    <row r="1388" spans="1:12" x14ac:dyDescent="0.35">
      <c r="A1388" s="45">
        <v>1384</v>
      </c>
      <c r="B1388" s="2"/>
      <c r="C1388" s="2"/>
      <c r="D1388" s="2"/>
      <c r="E1388" s="3"/>
      <c r="F1388" s="3"/>
      <c r="G1388" s="2"/>
      <c r="H1388" s="2"/>
      <c r="I1388" s="46"/>
      <c r="J1388" s="12"/>
      <c r="K1388" s="2"/>
      <c r="L1388" s="59"/>
    </row>
    <row r="1389" spans="1:12" x14ac:dyDescent="0.35">
      <c r="A1389" s="45">
        <v>1385</v>
      </c>
      <c r="B1389" s="2"/>
      <c r="C1389" s="2"/>
      <c r="D1389" s="2"/>
      <c r="E1389" s="3"/>
      <c r="F1389" s="3"/>
      <c r="G1389" s="2"/>
      <c r="H1389" s="2"/>
      <c r="I1389" s="46"/>
      <c r="J1389" s="12"/>
      <c r="K1389" s="2"/>
      <c r="L1389" s="59"/>
    </row>
    <row r="1390" spans="1:12" x14ac:dyDescent="0.35">
      <c r="A1390" s="45">
        <v>1386</v>
      </c>
      <c r="B1390" s="2"/>
      <c r="C1390" s="2"/>
      <c r="D1390" s="2"/>
      <c r="E1390" s="3"/>
      <c r="F1390" s="3"/>
      <c r="G1390" s="2"/>
      <c r="H1390" s="2"/>
      <c r="I1390" s="46"/>
      <c r="J1390" s="12"/>
      <c r="K1390" s="2"/>
      <c r="L1390" s="59"/>
    </row>
    <row r="1391" spans="1:12" x14ac:dyDescent="0.35">
      <c r="A1391" s="45">
        <v>1387</v>
      </c>
      <c r="B1391" s="2"/>
      <c r="C1391" s="2"/>
      <c r="D1391" s="2"/>
      <c r="E1391" s="3"/>
      <c r="F1391" s="3"/>
      <c r="G1391" s="2"/>
      <c r="H1391" s="2"/>
      <c r="I1391" s="46"/>
      <c r="J1391" s="12"/>
      <c r="K1391" s="2"/>
      <c r="L1391" s="59"/>
    </row>
    <row r="1392" spans="1:12" x14ac:dyDescent="0.35">
      <c r="A1392" s="45">
        <v>1388</v>
      </c>
      <c r="B1392" s="2"/>
      <c r="C1392" s="2"/>
      <c r="D1392" s="2"/>
      <c r="E1392" s="3"/>
      <c r="F1392" s="3"/>
      <c r="G1392" s="2"/>
      <c r="H1392" s="2"/>
      <c r="I1392" s="46"/>
      <c r="J1392" s="12"/>
      <c r="K1392" s="2"/>
      <c r="L1392" s="59"/>
    </row>
    <row r="1393" spans="1:12" x14ac:dyDescent="0.35">
      <c r="A1393" s="45">
        <v>1389</v>
      </c>
      <c r="B1393" s="2"/>
      <c r="C1393" s="2"/>
      <c r="D1393" s="2"/>
      <c r="E1393" s="3"/>
      <c r="F1393" s="3"/>
      <c r="G1393" s="2"/>
      <c r="H1393" s="2"/>
      <c r="I1393" s="46"/>
      <c r="J1393" s="12"/>
      <c r="K1393" s="2"/>
      <c r="L1393" s="59"/>
    </row>
    <row r="1394" spans="1:12" x14ac:dyDescent="0.35">
      <c r="A1394" s="45">
        <v>1390</v>
      </c>
      <c r="B1394" s="2"/>
      <c r="C1394" s="2"/>
      <c r="D1394" s="2"/>
      <c r="E1394" s="3"/>
      <c r="F1394" s="3"/>
      <c r="G1394" s="2"/>
      <c r="H1394" s="2"/>
      <c r="I1394" s="46"/>
      <c r="J1394" s="12"/>
      <c r="K1394" s="2"/>
      <c r="L1394" s="59"/>
    </row>
    <row r="1395" spans="1:12" x14ac:dyDescent="0.35">
      <c r="A1395" s="45">
        <v>1391</v>
      </c>
      <c r="B1395" s="2"/>
      <c r="C1395" s="2"/>
      <c r="D1395" s="2"/>
      <c r="E1395" s="3"/>
      <c r="F1395" s="3"/>
      <c r="G1395" s="2"/>
      <c r="H1395" s="2"/>
      <c r="I1395" s="46"/>
      <c r="J1395" s="12"/>
      <c r="K1395" s="2"/>
      <c r="L1395" s="59"/>
    </row>
    <row r="1396" spans="1:12" x14ac:dyDescent="0.35">
      <c r="A1396" s="45">
        <v>1392</v>
      </c>
      <c r="B1396" s="2"/>
      <c r="C1396" s="2"/>
      <c r="D1396" s="2"/>
      <c r="E1396" s="3"/>
      <c r="F1396" s="3"/>
      <c r="G1396" s="2"/>
      <c r="H1396" s="2"/>
      <c r="I1396" s="46"/>
      <c r="J1396" s="12"/>
      <c r="K1396" s="2"/>
      <c r="L1396" s="59"/>
    </row>
    <row r="1397" spans="1:12" x14ac:dyDescent="0.35">
      <c r="A1397" s="45">
        <v>1393</v>
      </c>
      <c r="B1397" s="2"/>
      <c r="C1397" s="2"/>
      <c r="D1397" s="2"/>
      <c r="E1397" s="3"/>
      <c r="F1397" s="3"/>
      <c r="G1397" s="2"/>
      <c r="H1397" s="2"/>
      <c r="I1397" s="46"/>
      <c r="J1397" s="12"/>
      <c r="K1397" s="2"/>
      <c r="L1397" s="59"/>
    </row>
    <row r="1398" spans="1:12" x14ac:dyDescent="0.35">
      <c r="A1398" s="45">
        <v>1394</v>
      </c>
      <c r="B1398" s="2"/>
      <c r="C1398" s="2"/>
      <c r="D1398" s="2"/>
      <c r="E1398" s="3"/>
      <c r="F1398" s="3"/>
      <c r="G1398" s="2"/>
      <c r="H1398" s="2"/>
      <c r="I1398" s="46"/>
      <c r="J1398" s="12"/>
      <c r="K1398" s="2"/>
      <c r="L1398" s="59"/>
    </row>
    <row r="1399" spans="1:12" x14ac:dyDescent="0.35">
      <c r="A1399" s="45">
        <v>1395</v>
      </c>
      <c r="B1399" s="2"/>
      <c r="C1399" s="2"/>
      <c r="D1399" s="2"/>
      <c r="E1399" s="3"/>
      <c r="F1399" s="3"/>
      <c r="G1399" s="2"/>
      <c r="H1399" s="2"/>
      <c r="I1399" s="46"/>
      <c r="J1399" s="12"/>
      <c r="K1399" s="2"/>
      <c r="L1399" s="59"/>
    </row>
    <row r="1400" spans="1:12" x14ac:dyDescent="0.35">
      <c r="A1400" s="45">
        <v>1396</v>
      </c>
      <c r="B1400" s="2"/>
      <c r="C1400" s="2"/>
      <c r="D1400" s="2"/>
      <c r="E1400" s="3"/>
      <c r="F1400" s="3"/>
      <c r="G1400" s="2"/>
      <c r="H1400" s="2"/>
      <c r="I1400" s="46"/>
      <c r="J1400" s="12"/>
      <c r="K1400" s="2"/>
      <c r="L1400" s="59"/>
    </row>
    <row r="1401" spans="1:12" x14ac:dyDescent="0.35">
      <c r="A1401" s="45">
        <v>1397</v>
      </c>
      <c r="B1401" s="2"/>
      <c r="C1401" s="2"/>
      <c r="D1401" s="2"/>
      <c r="E1401" s="3"/>
      <c r="F1401" s="3"/>
      <c r="G1401" s="2"/>
      <c r="H1401" s="2"/>
      <c r="I1401" s="46"/>
      <c r="J1401" s="12"/>
      <c r="K1401" s="2"/>
      <c r="L1401" s="59"/>
    </row>
    <row r="1402" spans="1:12" x14ac:dyDescent="0.35">
      <c r="A1402" s="45">
        <v>1398</v>
      </c>
      <c r="B1402" s="2"/>
      <c r="C1402" s="2"/>
      <c r="D1402" s="2"/>
      <c r="E1402" s="3"/>
      <c r="F1402" s="3"/>
      <c r="G1402" s="2"/>
      <c r="H1402" s="2"/>
      <c r="I1402" s="46"/>
      <c r="J1402" s="12"/>
      <c r="K1402" s="2"/>
      <c r="L1402" s="59"/>
    </row>
    <row r="1403" spans="1:12" x14ac:dyDescent="0.35">
      <c r="A1403" s="45">
        <v>1399</v>
      </c>
      <c r="B1403" s="2"/>
      <c r="C1403" s="2"/>
      <c r="D1403" s="2"/>
      <c r="E1403" s="3"/>
      <c r="F1403" s="3"/>
      <c r="G1403" s="2"/>
      <c r="H1403" s="2"/>
      <c r="I1403" s="46"/>
      <c r="J1403" s="12"/>
      <c r="K1403" s="2"/>
      <c r="L1403" s="59"/>
    </row>
    <row r="1404" spans="1:12" x14ac:dyDescent="0.35">
      <c r="A1404" s="45">
        <v>1400</v>
      </c>
      <c r="B1404" s="2"/>
      <c r="C1404" s="2"/>
      <c r="D1404" s="2"/>
      <c r="E1404" s="3"/>
      <c r="F1404" s="3"/>
      <c r="G1404" s="2"/>
      <c r="H1404" s="2"/>
      <c r="I1404" s="46"/>
      <c r="J1404" s="12"/>
      <c r="K1404" s="2"/>
      <c r="L1404" s="59"/>
    </row>
    <row r="1405" spans="1:12" x14ac:dyDescent="0.35">
      <c r="A1405" s="45">
        <v>1401</v>
      </c>
      <c r="B1405" s="2"/>
      <c r="C1405" s="2"/>
      <c r="D1405" s="2"/>
      <c r="E1405" s="3"/>
      <c r="F1405" s="3"/>
      <c r="G1405" s="2"/>
      <c r="H1405" s="2"/>
      <c r="I1405" s="46"/>
      <c r="J1405" s="12"/>
      <c r="K1405" s="2"/>
      <c r="L1405" s="59"/>
    </row>
    <row r="1406" spans="1:12" x14ac:dyDescent="0.35">
      <c r="A1406" s="45">
        <v>1402</v>
      </c>
      <c r="B1406" s="2"/>
      <c r="C1406" s="2"/>
      <c r="D1406" s="2"/>
      <c r="E1406" s="3"/>
      <c r="F1406" s="3"/>
      <c r="G1406" s="2"/>
      <c r="H1406" s="2"/>
      <c r="I1406" s="46"/>
      <c r="J1406" s="12"/>
      <c r="K1406" s="2"/>
      <c r="L1406" s="59"/>
    </row>
    <row r="1407" spans="1:12" x14ac:dyDescent="0.35">
      <c r="A1407" s="45">
        <v>1403</v>
      </c>
      <c r="B1407" s="2"/>
      <c r="C1407" s="2"/>
      <c r="D1407" s="2"/>
      <c r="E1407" s="3"/>
      <c r="F1407" s="3"/>
      <c r="G1407" s="2"/>
      <c r="H1407" s="2"/>
      <c r="I1407" s="46"/>
      <c r="J1407" s="12"/>
      <c r="K1407" s="2"/>
      <c r="L1407" s="59"/>
    </row>
    <row r="1408" spans="1:12" x14ac:dyDescent="0.35">
      <c r="A1408" s="45">
        <v>1404</v>
      </c>
      <c r="B1408" s="2"/>
      <c r="C1408" s="2"/>
      <c r="D1408" s="2"/>
      <c r="E1408" s="3"/>
      <c r="F1408" s="3"/>
      <c r="G1408" s="2"/>
      <c r="H1408" s="2"/>
      <c r="I1408" s="46"/>
      <c r="J1408" s="12"/>
      <c r="K1408" s="2"/>
      <c r="L1408" s="59"/>
    </row>
    <row r="1409" spans="1:12" x14ac:dyDescent="0.35">
      <c r="A1409" s="45">
        <v>1405</v>
      </c>
      <c r="B1409" s="2"/>
      <c r="C1409" s="2"/>
      <c r="D1409" s="2"/>
      <c r="E1409" s="3"/>
      <c r="F1409" s="3"/>
      <c r="G1409" s="2"/>
      <c r="H1409" s="2"/>
      <c r="I1409" s="46"/>
      <c r="J1409" s="12"/>
      <c r="K1409" s="2"/>
      <c r="L1409" s="59"/>
    </row>
    <row r="1410" spans="1:12" x14ac:dyDescent="0.35">
      <c r="A1410" s="45">
        <v>1406</v>
      </c>
      <c r="B1410" s="2"/>
      <c r="C1410" s="2"/>
      <c r="D1410" s="2"/>
      <c r="E1410" s="3"/>
      <c r="F1410" s="3"/>
      <c r="G1410" s="2"/>
      <c r="H1410" s="2"/>
      <c r="I1410" s="46"/>
      <c r="J1410" s="12"/>
      <c r="K1410" s="2"/>
      <c r="L1410" s="59"/>
    </row>
    <row r="1411" spans="1:12" x14ac:dyDescent="0.35">
      <c r="A1411" s="45">
        <v>1407</v>
      </c>
      <c r="B1411" s="2"/>
      <c r="C1411" s="2"/>
      <c r="D1411" s="2"/>
      <c r="E1411" s="3"/>
      <c r="F1411" s="3"/>
      <c r="G1411" s="2"/>
      <c r="H1411" s="2"/>
      <c r="I1411" s="46"/>
      <c r="J1411" s="12"/>
      <c r="K1411" s="2"/>
      <c r="L1411" s="59"/>
    </row>
    <row r="1412" spans="1:12" x14ac:dyDescent="0.35">
      <c r="A1412" s="45">
        <v>1408</v>
      </c>
      <c r="B1412" s="2"/>
      <c r="C1412" s="2"/>
      <c r="D1412" s="2"/>
      <c r="E1412" s="3"/>
      <c r="F1412" s="3"/>
      <c r="G1412" s="2"/>
      <c r="H1412" s="2"/>
      <c r="I1412" s="46"/>
      <c r="J1412" s="12"/>
      <c r="K1412" s="2"/>
      <c r="L1412" s="59"/>
    </row>
    <row r="1413" spans="1:12" x14ac:dyDescent="0.35">
      <c r="A1413" s="45">
        <v>1409</v>
      </c>
      <c r="B1413" s="2"/>
      <c r="C1413" s="2"/>
      <c r="D1413" s="2"/>
      <c r="E1413" s="3"/>
      <c r="F1413" s="3"/>
      <c r="G1413" s="2"/>
      <c r="H1413" s="2"/>
      <c r="I1413" s="46"/>
      <c r="J1413" s="12"/>
      <c r="K1413" s="2"/>
      <c r="L1413" s="59"/>
    </row>
    <row r="1414" spans="1:12" x14ac:dyDescent="0.35">
      <c r="A1414" s="45">
        <v>1410</v>
      </c>
      <c r="B1414" s="2"/>
      <c r="C1414" s="2"/>
      <c r="D1414" s="2"/>
      <c r="E1414" s="3"/>
      <c r="F1414" s="3"/>
      <c r="G1414" s="2"/>
      <c r="H1414" s="2"/>
      <c r="I1414" s="46"/>
      <c r="J1414" s="12"/>
      <c r="K1414" s="2"/>
      <c r="L1414" s="59"/>
    </row>
    <row r="1415" spans="1:12" x14ac:dyDescent="0.35">
      <c r="A1415" s="45">
        <v>1411</v>
      </c>
      <c r="B1415" s="2"/>
      <c r="C1415" s="2"/>
      <c r="D1415" s="2"/>
      <c r="E1415" s="3"/>
      <c r="F1415" s="3"/>
      <c r="G1415" s="2"/>
      <c r="H1415" s="2"/>
      <c r="I1415" s="46"/>
      <c r="J1415" s="12"/>
      <c r="K1415" s="2"/>
      <c r="L1415" s="59"/>
    </row>
    <row r="1416" spans="1:12" x14ac:dyDescent="0.35">
      <c r="A1416" s="45">
        <v>1412</v>
      </c>
      <c r="B1416" s="2"/>
      <c r="C1416" s="2"/>
      <c r="D1416" s="2"/>
      <c r="E1416" s="3"/>
      <c r="F1416" s="3"/>
      <c r="G1416" s="2"/>
      <c r="H1416" s="2"/>
      <c r="I1416" s="46"/>
      <c r="J1416" s="12"/>
      <c r="K1416" s="2"/>
      <c r="L1416" s="59"/>
    </row>
    <row r="1417" spans="1:12" x14ac:dyDescent="0.35">
      <c r="A1417" s="45">
        <v>1413</v>
      </c>
      <c r="B1417" s="2"/>
      <c r="C1417" s="2"/>
      <c r="D1417" s="2"/>
      <c r="E1417" s="3"/>
      <c r="F1417" s="3"/>
      <c r="G1417" s="2"/>
      <c r="H1417" s="2"/>
      <c r="I1417" s="46"/>
      <c r="J1417" s="12"/>
      <c r="K1417" s="2"/>
      <c r="L1417" s="59"/>
    </row>
    <row r="1418" spans="1:12" x14ac:dyDescent="0.35">
      <c r="A1418" s="45">
        <v>1414</v>
      </c>
      <c r="B1418" s="2"/>
      <c r="C1418" s="2"/>
      <c r="D1418" s="2"/>
      <c r="E1418" s="3"/>
      <c r="F1418" s="3"/>
      <c r="G1418" s="2"/>
      <c r="H1418" s="2"/>
      <c r="I1418" s="46"/>
      <c r="J1418" s="12"/>
      <c r="K1418" s="2"/>
      <c r="L1418" s="59"/>
    </row>
    <row r="1419" spans="1:12" x14ac:dyDescent="0.35">
      <c r="A1419" s="45">
        <v>1415</v>
      </c>
      <c r="B1419" s="2"/>
      <c r="C1419" s="2"/>
      <c r="D1419" s="2"/>
      <c r="E1419" s="3"/>
      <c r="F1419" s="3"/>
      <c r="G1419" s="2"/>
      <c r="H1419" s="2"/>
      <c r="I1419" s="46"/>
      <c r="J1419" s="12"/>
      <c r="K1419" s="2"/>
      <c r="L1419" s="59"/>
    </row>
    <row r="1420" spans="1:12" x14ac:dyDescent="0.35">
      <c r="A1420" s="45">
        <v>1416</v>
      </c>
      <c r="B1420" s="2"/>
      <c r="C1420" s="2"/>
      <c r="D1420" s="2"/>
      <c r="E1420" s="3"/>
      <c r="F1420" s="3"/>
      <c r="G1420" s="2"/>
      <c r="H1420" s="2"/>
      <c r="I1420" s="46"/>
      <c r="J1420" s="12"/>
      <c r="K1420" s="2"/>
      <c r="L1420" s="59"/>
    </row>
    <row r="1421" spans="1:12" x14ac:dyDescent="0.35">
      <c r="A1421" s="45">
        <v>1417</v>
      </c>
      <c r="B1421" s="2"/>
      <c r="C1421" s="2"/>
      <c r="D1421" s="2"/>
      <c r="E1421" s="3"/>
      <c r="F1421" s="3"/>
      <c r="G1421" s="2"/>
      <c r="H1421" s="2"/>
      <c r="I1421" s="46"/>
      <c r="J1421" s="12"/>
      <c r="K1421" s="2"/>
      <c r="L1421" s="59"/>
    </row>
    <row r="1422" spans="1:12" x14ac:dyDescent="0.35">
      <c r="A1422" s="45">
        <v>1418</v>
      </c>
      <c r="B1422" s="2"/>
      <c r="C1422" s="2"/>
      <c r="D1422" s="2"/>
      <c r="E1422" s="3"/>
      <c r="F1422" s="3"/>
      <c r="G1422" s="2"/>
      <c r="H1422" s="2"/>
      <c r="I1422" s="46"/>
      <c r="J1422" s="12"/>
      <c r="K1422" s="2"/>
      <c r="L1422" s="59"/>
    </row>
    <row r="1423" spans="1:12" x14ac:dyDescent="0.35">
      <c r="A1423" s="45">
        <v>1419</v>
      </c>
      <c r="B1423" s="2"/>
      <c r="C1423" s="2"/>
      <c r="D1423" s="2"/>
      <c r="E1423" s="3"/>
      <c r="F1423" s="3"/>
      <c r="G1423" s="2"/>
      <c r="H1423" s="2"/>
      <c r="I1423" s="46"/>
      <c r="J1423" s="12"/>
      <c r="K1423" s="2"/>
      <c r="L1423" s="59"/>
    </row>
    <row r="1424" spans="1:12" x14ac:dyDescent="0.35">
      <c r="A1424" s="45">
        <v>1420</v>
      </c>
      <c r="B1424" s="2"/>
      <c r="C1424" s="2"/>
      <c r="D1424" s="2"/>
      <c r="E1424" s="3"/>
      <c r="F1424" s="3"/>
      <c r="G1424" s="2"/>
      <c r="H1424" s="2"/>
      <c r="I1424" s="46"/>
      <c r="J1424" s="12"/>
      <c r="K1424" s="2"/>
      <c r="L1424" s="59"/>
    </row>
    <row r="1425" spans="1:12" x14ac:dyDescent="0.35">
      <c r="A1425" s="45">
        <v>1421</v>
      </c>
      <c r="B1425" s="2"/>
      <c r="C1425" s="2"/>
      <c r="D1425" s="2"/>
      <c r="E1425" s="3"/>
      <c r="F1425" s="3"/>
      <c r="G1425" s="2"/>
      <c r="H1425" s="2"/>
      <c r="I1425" s="46"/>
      <c r="J1425" s="12"/>
      <c r="K1425" s="2"/>
      <c r="L1425" s="59"/>
    </row>
    <row r="1426" spans="1:12" x14ac:dyDescent="0.35">
      <c r="A1426" s="45">
        <v>1422</v>
      </c>
      <c r="B1426" s="2"/>
      <c r="C1426" s="2"/>
      <c r="D1426" s="2"/>
      <c r="E1426" s="3"/>
      <c r="F1426" s="3"/>
      <c r="G1426" s="2"/>
      <c r="H1426" s="2"/>
      <c r="I1426" s="46"/>
      <c r="J1426" s="12"/>
      <c r="K1426" s="2"/>
      <c r="L1426" s="59"/>
    </row>
    <row r="1427" spans="1:12" x14ac:dyDescent="0.35">
      <c r="A1427" s="45">
        <v>1423</v>
      </c>
      <c r="B1427" s="2"/>
      <c r="C1427" s="2"/>
      <c r="D1427" s="2"/>
      <c r="E1427" s="3"/>
      <c r="F1427" s="3"/>
      <c r="G1427" s="2"/>
      <c r="H1427" s="2"/>
      <c r="I1427" s="46"/>
      <c r="J1427" s="12"/>
      <c r="K1427" s="2"/>
      <c r="L1427" s="59"/>
    </row>
    <row r="1428" spans="1:12" x14ac:dyDescent="0.35">
      <c r="A1428" s="45">
        <v>1424</v>
      </c>
      <c r="B1428" s="2"/>
      <c r="C1428" s="2"/>
      <c r="D1428" s="2"/>
      <c r="E1428" s="3"/>
      <c r="F1428" s="3"/>
      <c r="G1428" s="2"/>
      <c r="H1428" s="2"/>
      <c r="I1428" s="46"/>
      <c r="J1428" s="12"/>
      <c r="K1428" s="2"/>
      <c r="L1428" s="59"/>
    </row>
    <row r="1429" spans="1:12" x14ac:dyDescent="0.35">
      <c r="A1429" s="45">
        <v>1425</v>
      </c>
      <c r="B1429" s="2"/>
      <c r="C1429" s="2"/>
      <c r="D1429" s="2"/>
      <c r="E1429" s="3"/>
      <c r="F1429" s="3"/>
      <c r="G1429" s="2"/>
      <c r="H1429" s="2"/>
      <c r="I1429" s="46"/>
      <c r="J1429" s="12"/>
      <c r="K1429" s="2"/>
      <c r="L1429" s="59"/>
    </row>
    <row r="1430" spans="1:12" x14ac:dyDescent="0.35">
      <c r="A1430" s="45">
        <v>1426</v>
      </c>
      <c r="B1430" s="2"/>
      <c r="C1430" s="2"/>
      <c r="D1430" s="2"/>
      <c r="E1430" s="3"/>
      <c r="F1430" s="3"/>
      <c r="G1430" s="2"/>
      <c r="H1430" s="2"/>
      <c r="I1430" s="46"/>
      <c r="J1430" s="12"/>
      <c r="K1430" s="2"/>
      <c r="L1430" s="59"/>
    </row>
    <row r="1431" spans="1:12" x14ac:dyDescent="0.35">
      <c r="A1431" s="45">
        <v>1427</v>
      </c>
      <c r="B1431" s="2"/>
      <c r="C1431" s="2"/>
      <c r="D1431" s="2"/>
      <c r="E1431" s="3"/>
      <c r="F1431" s="3"/>
      <c r="G1431" s="2"/>
      <c r="H1431" s="2"/>
      <c r="I1431" s="46"/>
      <c r="J1431" s="12"/>
      <c r="K1431" s="2"/>
      <c r="L1431" s="59"/>
    </row>
    <row r="1432" spans="1:12" x14ac:dyDescent="0.35">
      <c r="A1432" s="45">
        <v>1428</v>
      </c>
      <c r="B1432" s="2"/>
      <c r="C1432" s="2"/>
      <c r="D1432" s="2"/>
      <c r="E1432" s="3"/>
      <c r="F1432" s="3"/>
      <c r="G1432" s="2"/>
      <c r="H1432" s="2"/>
      <c r="I1432" s="46"/>
      <c r="J1432" s="12"/>
      <c r="K1432" s="2"/>
      <c r="L1432" s="59"/>
    </row>
    <row r="1433" spans="1:12" x14ac:dyDescent="0.35">
      <c r="A1433" s="45">
        <v>1429</v>
      </c>
      <c r="B1433" s="2"/>
      <c r="C1433" s="2"/>
      <c r="D1433" s="2"/>
      <c r="E1433" s="3"/>
      <c r="F1433" s="3"/>
      <c r="G1433" s="2"/>
      <c r="H1433" s="2"/>
      <c r="I1433" s="46"/>
      <c r="J1433" s="12"/>
      <c r="K1433" s="2"/>
      <c r="L1433" s="59"/>
    </row>
    <row r="1434" spans="1:12" x14ac:dyDescent="0.35">
      <c r="A1434" s="45">
        <v>1430</v>
      </c>
      <c r="B1434" s="2"/>
      <c r="C1434" s="2"/>
      <c r="D1434" s="2"/>
      <c r="E1434" s="3"/>
      <c r="F1434" s="3"/>
      <c r="G1434" s="2"/>
      <c r="H1434" s="2"/>
      <c r="I1434" s="46"/>
      <c r="J1434" s="12"/>
      <c r="K1434" s="2"/>
      <c r="L1434" s="59"/>
    </row>
    <row r="1435" spans="1:12" x14ac:dyDescent="0.35">
      <c r="A1435" s="45">
        <v>1431</v>
      </c>
      <c r="B1435" s="2"/>
      <c r="C1435" s="2"/>
      <c r="D1435" s="2"/>
      <c r="E1435" s="3"/>
      <c r="F1435" s="3"/>
      <c r="G1435" s="2"/>
      <c r="H1435" s="2"/>
      <c r="I1435" s="46"/>
      <c r="J1435" s="12"/>
      <c r="K1435" s="2"/>
      <c r="L1435" s="59"/>
    </row>
    <row r="1436" spans="1:12" x14ac:dyDescent="0.35">
      <c r="A1436" s="45">
        <v>1432</v>
      </c>
      <c r="B1436" s="2"/>
      <c r="C1436" s="2"/>
      <c r="D1436" s="2"/>
      <c r="E1436" s="3"/>
      <c r="F1436" s="3"/>
      <c r="G1436" s="2"/>
      <c r="H1436" s="2"/>
      <c r="I1436" s="46"/>
      <c r="J1436" s="12"/>
      <c r="K1436" s="2"/>
      <c r="L1436" s="59"/>
    </row>
    <row r="1437" spans="1:12" x14ac:dyDescent="0.35">
      <c r="A1437" s="45">
        <v>1433</v>
      </c>
      <c r="B1437" s="2"/>
      <c r="C1437" s="2"/>
      <c r="D1437" s="2"/>
      <c r="E1437" s="3"/>
      <c r="F1437" s="3"/>
      <c r="G1437" s="2"/>
      <c r="H1437" s="2"/>
      <c r="I1437" s="46"/>
      <c r="J1437" s="12"/>
      <c r="K1437" s="2"/>
      <c r="L1437" s="59"/>
    </row>
    <row r="1438" spans="1:12" x14ac:dyDescent="0.35">
      <c r="A1438" s="45">
        <v>1434</v>
      </c>
      <c r="B1438" s="2"/>
      <c r="C1438" s="2"/>
      <c r="D1438" s="2"/>
      <c r="E1438" s="3"/>
      <c r="F1438" s="3"/>
      <c r="G1438" s="2"/>
      <c r="H1438" s="2"/>
      <c r="I1438" s="46"/>
      <c r="J1438" s="12"/>
      <c r="K1438" s="2"/>
      <c r="L1438" s="59"/>
    </row>
    <row r="1439" spans="1:12" x14ac:dyDescent="0.35">
      <c r="A1439" s="45">
        <v>1435</v>
      </c>
      <c r="B1439" s="2"/>
      <c r="C1439" s="2"/>
      <c r="D1439" s="2"/>
      <c r="E1439" s="3"/>
      <c r="F1439" s="3"/>
      <c r="G1439" s="2"/>
      <c r="H1439" s="2"/>
      <c r="I1439" s="46"/>
      <c r="J1439" s="12"/>
      <c r="K1439" s="2"/>
      <c r="L1439" s="59"/>
    </row>
    <row r="1440" spans="1:12" x14ac:dyDescent="0.35">
      <c r="A1440" s="45">
        <v>1436</v>
      </c>
      <c r="B1440" s="2"/>
      <c r="C1440" s="2"/>
      <c r="D1440" s="2"/>
      <c r="E1440" s="3"/>
      <c r="F1440" s="3"/>
      <c r="G1440" s="2"/>
      <c r="H1440" s="2"/>
      <c r="I1440" s="46"/>
      <c r="J1440" s="12"/>
      <c r="K1440" s="2"/>
      <c r="L1440" s="59"/>
    </row>
    <row r="1441" spans="1:12" x14ac:dyDescent="0.35">
      <c r="A1441" s="45">
        <v>1437</v>
      </c>
      <c r="B1441" s="2"/>
      <c r="C1441" s="2"/>
      <c r="D1441" s="2"/>
      <c r="E1441" s="3"/>
      <c r="F1441" s="3"/>
      <c r="G1441" s="2"/>
      <c r="H1441" s="2"/>
      <c r="I1441" s="46"/>
      <c r="J1441" s="12"/>
      <c r="K1441" s="2"/>
      <c r="L1441" s="59"/>
    </row>
    <row r="1442" spans="1:12" x14ac:dyDescent="0.35">
      <c r="A1442" s="45">
        <v>1438</v>
      </c>
      <c r="B1442" s="2"/>
      <c r="C1442" s="2"/>
      <c r="D1442" s="2"/>
      <c r="E1442" s="3"/>
      <c r="F1442" s="3"/>
      <c r="G1442" s="2"/>
      <c r="H1442" s="2"/>
      <c r="I1442" s="46"/>
      <c r="J1442" s="12"/>
      <c r="K1442" s="2"/>
      <c r="L1442" s="59"/>
    </row>
    <row r="1443" spans="1:12" x14ac:dyDescent="0.35">
      <c r="A1443" s="45">
        <v>1439</v>
      </c>
      <c r="B1443" s="2"/>
      <c r="C1443" s="2"/>
      <c r="D1443" s="2"/>
      <c r="E1443" s="3"/>
      <c r="F1443" s="3"/>
      <c r="G1443" s="2"/>
      <c r="H1443" s="2"/>
      <c r="I1443" s="46"/>
      <c r="J1443" s="12"/>
      <c r="K1443" s="2"/>
      <c r="L1443" s="59"/>
    </row>
    <row r="1444" spans="1:12" x14ac:dyDescent="0.35">
      <c r="A1444" s="45">
        <v>1440</v>
      </c>
      <c r="B1444" s="2"/>
      <c r="C1444" s="2"/>
      <c r="D1444" s="2"/>
      <c r="E1444" s="3"/>
      <c r="F1444" s="3"/>
      <c r="G1444" s="2"/>
      <c r="H1444" s="2"/>
      <c r="I1444" s="46"/>
      <c r="J1444" s="12"/>
      <c r="K1444" s="2"/>
      <c r="L1444" s="59"/>
    </row>
    <row r="1445" spans="1:12" x14ac:dyDescent="0.35">
      <c r="A1445" s="45">
        <v>1441</v>
      </c>
      <c r="B1445" s="2"/>
      <c r="C1445" s="2"/>
      <c r="D1445" s="2"/>
      <c r="E1445" s="3"/>
      <c r="F1445" s="3"/>
      <c r="G1445" s="2"/>
      <c r="H1445" s="2"/>
      <c r="I1445" s="46"/>
      <c r="J1445" s="12"/>
      <c r="K1445" s="2"/>
      <c r="L1445" s="59"/>
    </row>
    <row r="1446" spans="1:12" x14ac:dyDescent="0.35">
      <c r="A1446" s="45">
        <v>1442</v>
      </c>
      <c r="B1446" s="2"/>
      <c r="C1446" s="2"/>
      <c r="D1446" s="2"/>
      <c r="E1446" s="3"/>
      <c r="F1446" s="3"/>
      <c r="G1446" s="2"/>
      <c r="H1446" s="2"/>
      <c r="I1446" s="46"/>
      <c r="J1446" s="12"/>
      <c r="K1446" s="2"/>
      <c r="L1446" s="59"/>
    </row>
    <row r="1447" spans="1:12" x14ac:dyDescent="0.35">
      <c r="A1447" s="45">
        <v>1443</v>
      </c>
      <c r="B1447" s="2"/>
      <c r="C1447" s="2"/>
      <c r="D1447" s="2"/>
      <c r="E1447" s="3"/>
      <c r="F1447" s="3"/>
      <c r="G1447" s="2"/>
      <c r="H1447" s="2"/>
      <c r="I1447" s="46"/>
      <c r="J1447" s="12"/>
      <c r="K1447" s="2"/>
      <c r="L1447" s="59"/>
    </row>
    <row r="1448" spans="1:12" x14ac:dyDescent="0.35">
      <c r="A1448" s="45">
        <v>1444</v>
      </c>
      <c r="B1448" s="2"/>
      <c r="C1448" s="2"/>
      <c r="D1448" s="2"/>
      <c r="E1448" s="3"/>
      <c r="F1448" s="3"/>
      <c r="G1448" s="2"/>
      <c r="H1448" s="2"/>
      <c r="I1448" s="46"/>
      <c r="J1448" s="12"/>
      <c r="K1448" s="2"/>
      <c r="L1448" s="59"/>
    </row>
    <row r="1449" spans="1:12" x14ac:dyDescent="0.35">
      <c r="A1449" s="45">
        <v>1445</v>
      </c>
      <c r="B1449" s="2"/>
      <c r="C1449" s="2"/>
      <c r="D1449" s="2"/>
      <c r="E1449" s="3"/>
      <c r="F1449" s="3"/>
      <c r="G1449" s="2"/>
      <c r="H1449" s="2"/>
      <c r="I1449" s="46"/>
      <c r="J1449" s="12"/>
      <c r="K1449" s="2"/>
      <c r="L1449" s="59"/>
    </row>
    <row r="1450" spans="1:12" x14ac:dyDescent="0.35">
      <c r="A1450" s="45">
        <v>1446</v>
      </c>
      <c r="B1450" s="2"/>
      <c r="C1450" s="2"/>
      <c r="D1450" s="2"/>
      <c r="E1450" s="3"/>
      <c r="F1450" s="3"/>
      <c r="G1450" s="2"/>
      <c r="H1450" s="2"/>
      <c r="I1450" s="46"/>
      <c r="J1450" s="12"/>
      <c r="K1450" s="2"/>
      <c r="L1450" s="59"/>
    </row>
    <row r="1451" spans="1:12" x14ac:dyDescent="0.35">
      <c r="A1451" s="45">
        <v>1447</v>
      </c>
      <c r="B1451" s="2"/>
      <c r="C1451" s="2"/>
      <c r="D1451" s="2"/>
      <c r="E1451" s="3"/>
      <c r="F1451" s="3"/>
      <c r="G1451" s="2"/>
      <c r="H1451" s="2"/>
      <c r="I1451" s="46"/>
      <c r="J1451" s="12"/>
      <c r="K1451" s="2"/>
      <c r="L1451" s="59"/>
    </row>
    <row r="1452" spans="1:12" x14ac:dyDescent="0.35">
      <c r="A1452" s="45">
        <v>1448</v>
      </c>
      <c r="B1452" s="2"/>
      <c r="C1452" s="2"/>
      <c r="D1452" s="2"/>
      <c r="E1452" s="3"/>
      <c r="F1452" s="3"/>
      <c r="G1452" s="2"/>
      <c r="H1452" s="2"/>
      <c r="I1452" s="46"/>
      <c r="J1452" s="12"/>
      <c r="K1452" s="2"/>
      <c r="L1452" s="59"/>
    </row>
    <row r="1453" spans="1:12" x14ac:dyDescent="0.35">
      <c r="A1453" s="45">
        <v>1449</v>
      </c>
      <c r="B1453" s="2"/>
      <c r="C1453" s="2"/>
      <c r="D1453" s="2"/>
      <c r="E1453" s="3"/>
      <c r="F1453" s="3"/>
      <c r="G1453" s="2"/>
      <c r="H1453" s="2"/>
      <c r="I1453" s="46"/>
      <c r="J1453" s="12"/>
      <c r="K1453" s="2"/>
      <c r="L1453" s="59"/>
    </row>
    <row r="1454" spans="1:12" x14ac:dyDescent="0.35">
      <c r="A1454" s="45">
        <v>1450</v>
      </c>
      <c r="B1454" s="2"/>
      <c r="C1454" s="2"/>
      <c r="D1454" s="2"/>
      <c r="E1454" s="3"/>
      <c r="F1454" s="3"/>
      <c r="G1454" s="2"/>
      <c r="H1454" s="2"/>
      <c r="I1454" s="46"/>
      <c r="J1454" s="12"/>
      <c r="K1454" s="2"/>
      <c r="L1454" s="59"/>
    </row>
    <row r="1455" spans="1:12" x14ac:dyDescent="0.35">
      <c r="A1455" s="45">
        <v>1451</v>
      </c>
      <c r="B1455" s="2"/>
      <c r="C1455" s="2"/>
      <c r="D1455" s="2"/>
      <c r="E1455" s="3"/>
      <c r="F1455" s="3"/>
      <c r="G1455" s="2"/>
      <c r="H1455" s="2"/>
      <c r="I1455" s="46"/>
      <c r="J1455" s="12"/>
      <c r="K1455" s="2"/>
      <c r="L1455" s="59"/>
    </row>
    <row r="1456" spans="1:12" x14ac:dyDescent="0.35">
      <c r="A1456" s="45">
        <v>1452</v>
      </c>
      <c r="B1456" s="2"/>
      <c r="C1456" s="2"/>
      <c r="D1456" s="2"/>
      <c r="E1456" s="3"/>
      <c r="F1456" s="3"/>
      <c r="G1456" s="2"/>
      <c r="H1456" s="2"/>
      <c r="I1456" s="46"/>
      <c r="J1456" s="12"/>
      <c r="K1456" s="2"/>
      <c r="L1456" s="59"/>
    </row>
    <row r="1457" spans="1:12" x14ac:dyDescent="0.35">
      <c r="A1457" s="45">
        <v>1453</v>
      </c>
      <c r="B1457" s="2"/>
      <c r="C1457" s="2"/>
      <c r="D1457" s="2"/>
      <c r="E1457" s="3"/>
      <c r="F1457" s="3"/>
      <c r="G1457" s="2"/>
      <c r="H1457" s="2"/>
      <c r="I1457" s="46"/>
      <c r="J1457" s="12"/>
      <c r="K1457" s="2"/>
      <c r="L1457" s="59"/>
    </row>
    <row r="1458" spans="1:12" x14ac:dyDescent="0.35">
      <c r="A1458" s="45">
        <v>1454</v>
      </c>
      <c r="B1458" s="2"/>
      <c r="C1458" s="2"/>
      <c r="D1458" s="2"/>
      <c r="E1458" s="3"/>
      <c r="F1458" s="3"/>
      <c r="G1458" s="2"/>
      <c r="H1458" s="2"/>
      <c r="I1458" s="46"/>
      <c r="J1458" s="12"/>
      <c r="K1458" s="2"/>
      <c r="L1458" s="59"/>
    </row>
    <row r="1459" spans="1:12" x14ac:dyDescent="0.35">
      <c r="A1459" s="45">
        <v>1455</v>
      </c>
      <c r="B1459" s="2"/>
      <c r="C1459" s="2"/>
      <c r="D1459" s="2"/>
      <c r="E1459" s="3"/>
      <c r="F1459" s="3"/>
      <c r="G1459" s="2"/>
      <c r="H1459" s="2"/>
      <c r="I1459" s="46"/>
      <c r="J1459" s="12"/>
      <c r="K1459" s="2"/>
      <c r="L1459" s="59"/>
    </row>
    <row r="1460" spans="1:12" x14ac:dyDescent="0.35">
      <c r="A1460" s="45">
        <v>1456</v>
      </c>
      <c r="B1460" s="2"/>
      <c r="C1460" s="2"/>
      <c r="D1460" s="2"/>
      <c r="E1460" s="3"/>
      <c r="F1460" s="3"/>
      <c r="G1460" s="2"/>
      <c r="H1460" s="2"/>
      <c r="I1460" s="46"/>
      <c r="J1460" s="12"/>
      <c r="K1460" s="2"/>
      <c r="L1460" s="59"/>
    </row>
    <row r="1461" spans="1:12" x14ac:dyDescent="0.35">
      <c r="A1461" s="45">
        <v>1457</v>
      </c>
      <c r="B1461" s="2"/>
      <c r="C1461" s="2"/>
      <c r="D1461" s="2"/>
      <c r="E1461" s="3"/>
      <c r="F1461" s="3"/>
      <c r="G1461" s="2"/>
      <c r="H1461" s="2"/>
      <c r="I1461" s="46"/>
      <c r="J1461" s="12"/>
      <c r="K1461" s="2"/>
      <c r="L1461" s="59"/>
    </row>
    <row r="1462" spans="1:12" x14ac:dyDescent="0.35">
      <c r="A1462" s="45">
        <v>1458</v>
      </c>
      <c r="B1462" s="2"/>
      <c r="C1462" s="2"/>
      <c r="D1462" s="2"/>
      <c r="E1462" s="3"/>
      <c r="F1462" s="3"/>
      <c r="G1462" s="2"/>
      <c r="H1462" s="2"/>
      <c r="I1462" s="46"/>
      <c r="J1462" s="12"/>
      <c r="K1462" s="2"/>
      <c r="L1462" s="59"/>
    </row>
    <row r="1463" spans="1:12" x14ac:dyDescent="0.35">
      <c r="A1463" s="45">
        <v>1459</v>
      </c>
      <c r="B1463" s="2"/>
      <c r="C1463" s="2"/>
      <c r="D1463" s="2"/>
      <c r="E1463" s="3"/>
      <c r="F1463" s="3"/>
      <c r="G1463" s="2"/>
      <c r="H1463" s="2"/>
      <c r="I1463" s="46"/>
      <c r="J1463" s="12"/>
      <c r="K1463" s="2"/>
      <c r="L1463" s="59"/>
    </row>
    <row r="1464" spans="1:12" x14ac:dyDescent="0.35">
      <c r="A1464" s="45">
        <v>1460</v>
      </c>
      <c r="B1464" s="2"/>
      <c r="C1464" s="2"/>
      <c r="D1464" s="2"/>
      <c r="E1464" s="3"/>
      <c r="F1464" s="3"/>
      <c r="G1464" s="2"/>
      <c r="H1464" s="2"/>
      <c r="I1464" s="46"/>
      <c r="J1464" s="12"/>
      <c r="K1464" s="2"/>
      <c r="L1464" s="59"/>
    </row>
    <row r="1465" spans="1:12" x14ac:dyDescent="0.35">
      <c r="A1465" s="45">
        <v>1461</v>
      </c>
      <c r="B1465" s="2"/>
      <c r="C1465" s="2"/>
      <c r="D1465" s="2"/>
      <c r="E1465" s="3"/>
      <c r="F1465" s="3"/>
      <c r="G1465" s="2"/>
      <c r="H1465" s="2"/>
      <c r="I1465" s="46"/>
      <c r="J1465" s="12"/>
      <c r="K1465" s="2"/>
      <c r="L1465" s="59"/>
    </row>
    <row r="1466" spans="1:12" x14ac:dyDescent="0.35">
      <c r="A1466" s="45">
        <v>1462</v>
      </c>
      <c r="B1466" s="2"/>
      <c r="C1466" s="2"/>
      <c r="D1466" s="2"/>
      <c r="E1466" s="3"/>
      <c r="F1466" s="3"/>
      <c r="G1466" s="2"/>
      <c r="H1466" s="2"/>
      <c r="I1466" s="46"/>
      <c r="J1466" s="12"/>
      <c r="K1466" s="2"/>
      <c r="L1466" s="59"/>
    </row>
    <row r="1467" spans="1:12" x14ac:dyDescent="0.35">
      <c r="A1467" s="45">
        <v>1463</v>
      </c>
      <c r="B1467" s="2"/>
      <c r="C1467" s="2"/>
      <c r="D1467" s="2"/>
      <c r="E1467" s="3"/>
      <c r="F1467" s="3"/>
      <c r="G1467" s="2"/>
      <c r="H1467" s="2"/>
      <c r="I1467" s="46"/>
      <c r="J1467" s="12"/>
      <c r="K1467" s="2"/>
      <c r="L1467" s="59"/>
    </row>
    <row r="1468" spans="1:12" x14ac:dyDescent="0.35">
      <c r="A1468" s="45">
        <v>1464</v>
      </c>
      <c r="B1468" s="2"/>
      <c r="C1468" s="2"/>
      <c r="D1468" s="2"/>
      <c r="E1468" s="3"/>
      <c r="F1468" s="3"/>
      <c r="G1468" s="2"/>
      <c r="H1468" s="2"/>
      <c r="I1468" s="46"/>
      <c r="J1468" s="12"/>
      <c r="K1468" s="2"/>
      <c r="L1468" s="59"/>
    </row>
    <row r="1469" spans="1:12" x14ac:dyDescent="0.35">
      <c r="A1469" s="45">
        <v>1465</v>
      </c>
      <c r="B1469" s="2"/>
      <c r="C1469" s="2"/>
      <c r="D1469" s="2"/>
      <c r="E1469" s="3"/>
      <c r="F1469" s="3"/>
      <c r="G1469" s="2"/>
      <c r="H1469" s="2"/>
      <c r="I1469" s="46"/>
      <c r="J1469" s="12"/>
      <c r="K1469" s="2"/>
      <c r="L1469" s="59"/>
    </row>
    <row r="1470" spans="1:12" x14ac:dyDescent="0.35">
      <c r="A1470" s="45">
        <v>1466</v>
      </c>
      <c r="B1470" s="2"/>
      <c r="C1470" s="2"/>
      <c r="D1470" s="2"/>
      <c r="E1470" s="3"/>
      <c r="F1470" s="3"/>
      <c r="G1470" s="2"/>
      <c r="H1470" s="2"/>
      <c r="I1470" s="46"/>
      <c r="J1470" s="12"/>
      <c r="K1470" s="2"/>
      <c r="L1470" s="59"/>
    </row>
    <row r="1471" spans="1:12" x14ac:dyDescent="0.35">
      <c r="A1471" s="45">
        <v>1467</v>
      </c>
      <c r="B1471" s="2"/>
      <c r="C1471" s="2"/>
      <c r="D1471" s="2"/>
      <c r="E1471" s="3"/>
      <c r="F1471" s="3"/>
      <c r="G1471" s="2"/>
      <c r="H1471" s="2"/>
      <c r="I1471" s="46"/>
      <c r="J1471" s="12"/>
      <c r="K1471" s="2"/>
      <c r="L1471" s="59"/>
    </row>
    <row r="1472" spans="1:12" x14ac:dyDescent="0.35">
      <c r="A1472" s="45">
        <v>1468</v>
      </c>
      <c r="B1472" s="2"/>
      <c r="C1472" s="2"/>
      <c r="D1472" s="2"/>
      <c r="E1472" s="3"/>
      <c r="F1472" s="3"/>
      <c r="G1472" s="2"/>
      <c r="H1472" s="2"/>
      <c r="I1472" s="46"/>
      <c r="J1472" s="12"/>
      <c r="K1472" s="2"/>
      <c r="L1472" s="59"/>
    </row>
    <row r="1473" spans="1:12" x14ac:dyDescent="0.35">
      <c r="A1473" s="45">
        <v>1469</v>
      </c>
      <c r="B1473" s="2"/>
      <c r="C1473" s="2"/>
      <c r="D1473" s="2"/>
      <c r="E1473" s="3"/>
      <c r="F1473" s="3"/>
      <c r="G1473" s="2"/>
      <c r="H1473" s="2"/>
      <c r="I1473" s="46"/>
      <c r="J1473" s="12"/>
      <c r="K1473" s="2"/>
      <c r="L1473" s="59"/>
    </row>
    <row r="1474" spans="1:12" x14ac:dyDescent="0.35">
      <c r="A1474" s="45">
        <v>1470</v>
      </c>
      <c r="B1474" s="2"/>
      <c r="C1474" s="2"/>
      <c r="D1474" s="2"/>
      <c r="E1474" s="3"/>
      <c r="F1474" s="3"/>
      <c r="G1474" s="2"/>
      <c r="H1474" s="2"/>
      <c r="I1474" s="46"/>
      <c r="J1474" s="12"/>
      <c r="K1474" s="2"/>
      <c r="L1474" s="59"/>
    </row>
    <row r="1475" spans="1:12" x14ac:dyDescent="0.35">
      <c r="A1475" s="45">
        <v>1471</v>
      </c>
      <c r="B1475" s="2"/>
      <c r="C1475" s="2"/>
      <c r="D1475" s="2"/>
      <c r="E1475" s="3"/>
      <c r="F1475" s="3"/>
      <c r="G1475" s="2"/>
      <c r="H1475" s="2"/>
      <c r="I1475" s="46"/>
      <c r="J1475" s="12"/>
      <c r="K1475" s="2"/>
      <c r="L1475" s="59"/>
    </row>
    <row r="1476" spans="1:12" x14ac:dyDescent="0.35">
      <c r="A1476" s="45">
        <v>1472</v>
      </c>
      <c r="B1476" s="2"/>
      <c r="C1476" s="2"/>
      <c r="D1476" s="2"/>
      <c r="E1476" s="3"/>
      <c r="F1476" s="3"/>
      <c r="G1476" s="2"/>
      <c r="H1476" s="2"/>
      <c r="I1476" s="46"/>
      <c r="J1476" s="12"/>
      <c r="K1476" s="2"/>
      <c r="L1476" s="59"/>
    </row>
    <row r="1477" spans="1:12" x14ac:dyDescent="0.35">
      <c r="A1477" s="45">
        <v>1473</v>
      </c>
      <c r="B1477" s="2"/>
      <c r="C1477" s="2"/>
      <c r="D1477" s="2"/>
      <c r="E1477" s="3"/>
      <c r="F1477" s="3"/>
      <c r="G1477" s="2"/>
      <c r="H1477" s="2"/>
      <c r="I1477" s="46"/>
      <c r="J1477" s="12"/>
      <c r="K1477" s="2"/>
      <c r="L1477" s="59"/>
    </row>
    <row r="1478" spans="1:12" x14ac:dyDescent="0.35">
      <c r="A1478" s="45">
        <v>1474</v>
      </c>
      <c r="B1478" s="2"/>
      <c r="C1478" s="2"/>
      <c r="D1478" s="2"/>
      <c r="E1478" s="3"/>
      <c r="F1478" s="3"/>
      <c r="G1478" s="2"/>
      <c r="H1478" s="2"/>
      <c r="I1478" s="46"/>
      <c r="J1478" s="12"/>
      <c r="K1478" s="2"/>
      <c r="L1478" s="59"/>
    </row>
    <row r="1479" spans="1:12" x14ac:dyDescent="0.35">
      <c r="A1479" s="45">
        <v>1475</v>
      </c>
      <c r="B1479" s="2"/>
      <c r="C1479" s="2"/>
      <c r="D1479" s="2"/>
      <c r="E1479" s="3"/>
      <c r="F1479" s="3"/>
      <c r="G1479" s="2"/>
      <c r="H1479" s="2"/>
      <c r="I1479" s="46"/>
      <c r="J1479" s="12"/>
      <c r="K1479" s="2"/>
      <c r="L1479" s="59"/>
    </row>
    <row r="1480" spans="1:12" x14ac:dyDescent="0.35">
      <c r="A1480" s="45">
        <v>1476</v>
      </c>
      <c r="B1480" s="2"/>
      <c r="C1480" s="2"/>
      <c r="D1480" s="2"/>
      <c r="E1480" s="3"/>
      <c r="F1480" s="3"/>
      <c r="G1480" s="2"/>
      <c r="H1480" s="2"/>
      <c r="I1480" s="46"/>
      <c r="J1480" s="12"/>
      <c r="K1480" s="2"/>
      <c r="L1480" s="59"/>
    </row>
    <row r="1481" spans="1:12" x14ac:dyDescent="0.35">
      <c r="A1481" s="45">
        <v>1477</v>
      </c>
      <c r="B1481" s="2"/>
      <c r="C1481" s="2"/>
      <c r="D1481" s="2"/>
      <c r="E1481" s="3"/>
      <c r="F1481" s="3"/>
      <c r="G1481" s="2"/>
      <c r="H1481" s="2"/>
      <c r="I1481" s="46"/>
      <c r="J1481" s="12"/>
      <c r="K1481" s="2"/>
      <c r="L1481" s="59"/>
    </row>
    <row r="1482" spans="1:12" x14ac:dyDescent="0.35">
      <c r="A1482" s="45">
        <v>1478</v>
      </c>
      <c r="B1482" s="2"/>
      <c r="C1482" s="2"/>
      <c r="D1482" s="2"/>
      <c r="E1482" s="3"/>
      <c r="F1482" s="3"/>
      <c r="G1482" s="2"/>
      <c r="H1482" s="2"/>
      <c r="I1482" s="46"/>
      <c r="J1482" s="12"/>
      <c r="K1482" s="2"/>
      <c r="L1482" s="59"/>
    </row>
    <row r="1483" spans="1:12" x14ac:dyDescent="0.35">
      <c r="A1483" s="45">
        <v>1479</v>
      </c>
      <c r="B1483" s="2"/>
      <c r="C1483" s="2"/>
      <c r="D1483" s="2"/>
      <c r="E1483" s="3"/>
      <c r="F1483" s="3"/>
      <c r="G1483" s="2"/>
      <c r="H1483" s="2"/>
      <c r="I1483" s="46"/>
      <c r="J1483" s="12"/>
      <c r="K1483" s="2"/>
      <c r="L1483" s="59"/>
    </row>
    <row r="1484" spans="1:12" x14ac:dyDescent="0.35">
      <c r="A1484" s="45">
        <v>1480</v>
      </c>
      <c r="B1484" s="2"/>
      <c r="C1484" s="2"/>
      <c r="D1484" s="2"/>
      <c r="E1484" s="3"/>
      <c r="F1484" s="3"/>
      <c r="G1484" s="2"/>
      <c r="H1484" s="2"/>
      <c r="I1484" s="46"/>
      <c r="J1484" s="12"/>
      <c r="K1484" s="2"/>
      <c r="L1484" s="59"/>
    </row>
    <row r="1485" spans="1:12" x14ac:dyDescent="0.35">
      <c r="A1485" s="45">
        <v>1481</v>
      </c>
      <c r="B1485" s="2"/>
      <c r="C1485" s="2"/>
      <c r="D1485" s="2"/>
      <c r="E1485" s="3"/>
      <c r="F1485" s="3"/>
      <c r="G1485" s="2"/>
      <c r="H1485" s="2"/>
      <c r="I1485" s="46"/>
      <c r="J1485" s="12"/>
      <c r="K1485" s="2"/>
      <c r="L1485" s="59"/>
    </row>
    <row r="1486" spans="1:12" x14ac:dyDescent="0.35">
      <c r="A1486" s="45">
        <v>1482</v>
      </c>
      <c r="B1486" s="2"/>
      <c r="C1486" s="2"/>
      <c r="D1486" s="2"/>
      <c r="E1486" s="3"/>
      <c r="F1486" s="3"/>
      <c r="G1486" s="2"/>
      <c r="H1486" s="2"/>
      <c r="I1486" s="46"/>
      <c r="J1486" s="12"/>
      <c r="K1486" s="2"/>
      <c r="L1486" s="59"/>
    </row>
    <row r="1487" spans="1:12" x14ac:dyDescent="0.35">
      <c r="A1487" s="45">
        <v>1483</v>
      </c>
      <c r="B1487" s="2"/>
      <c r="C1487" s="2"/>
      <c r="D1487" s="2"/>
      <c r="E1487" s="3"/>
      <c r="F1487" s="3"/>
      <c r="G1487" s="2"/>
      <c r="H1487" s="2"/>
      <c r="I1487" s="46"/>
      <c r="J1487" s="12"/>
      <c r="K1487" s="2"/>
      <c r="L1487" s="59"/>
    </row>
    <row r="1488" spans="1:12" x14ac:dyDescent="0.35">
      <c r="A1488" s="45">
        <v>1484</v>
      </c>
      <c r="B1488" s="2"/>
      <c r="C1488" s="2"/>
      <c r="D1488" s="2"/>
      <c r="E1488" s="3"/>
      <c r="F1488" s="3"/>
      <c r="G1488" s="2"/>
      <c r="H1488" s="2"/>
      <c r="I1488" s="46"/>
      <c r="J1488" s="12"/>
      <c r="K1488" s="2"/>
      <c r="L1488" s="59"/>
    </row>
    <row r="1489" spans="1:12" x14ac:dyDescent="0.35">
      <c r="A1489" s="45">
        <v>1485</v>
      </c>
      <c r="B1489" s="2"/>
      <c r="C1489" s="2"/>
      <c r="D1489" s="2"/>
      <c r="E1489" s="3"/>
      <c r="F1489" s="3"/>
      <c r="G1489" s="2"/>
      <c r="H1489" s="2"/>
      <c r="I1489" s="46"/>
      <c r="J1489" s="12"/>
      <c r="K1489" s="2"/>
      <c r="L1489" s="59"/>
    </row>
    <row r="1490" spans="1:12" x14ac:dyDescent="0.35">
      <c r="A1490" s="45">
        <v>1486</v>
      </c>
      <c r="B1490" s="2"/>
      <c r="C1490" s="2"/>
      <c r="D1490" s="2"/>
      <c r="E1490" s="3"/>
      <c r="F1490" s="3"/>
      <c r="G1490" s="2"/>
      <c r="H1490" s="2"/>
      <c r="I1490" s="46"/>
      <c r="J1490" s="12"/>
      <c r="K1490" s="2"/>
      <c r="L1490" s="59"/>
    </row>
    <row r="1491" spans="1:12" x14ac:dyDescent="0.35">
      <c r="A1491" s="45">
        <v>1487</v>
      </c>
      <c r="B1491" s="2"/>
      <c r="C1491" s="2"/>
      <c r="D1491" s="2"/>
      <c r="E1491" s="3"/>
      <c r="F1491" s="3"/>
      <c r="G1491" s="2"/>
      <c r="H1491" s="2"/>
      <c r="I1491" s="46"/>
      <c r="J1491" s="12"/>
      <c r="K1491" s="2"/>
      <c r="L1491" s="59"/>
    </row>
    <row r="1492" spans="1:12" x14ac:dyDescent="0.35">
      <c r="A1492" s="45">
        <v>1488</v>
      </c>
      <c r="B1492" s="2"/>
      <c r="C1492" s="2"/>
      <c r="D1492" s="2"/>
      <c r="E1492" s="3"/>
      <c r="F1492" s="3"/>
      <c r="G1492" s="2"/>
      <c r="H1492" s="2"/>
      <c r="I1492" s="46"/>
      <c r="J1492" s="12"/>
      <c r="K1492" s="2"/>
      <c r="L1492" s="59"/>
    </row>
    <row r="1493" spans="1:12" x14ac:dyDescent="0.35">
      <c r="A1493" s="45">
        <v>1489</v>
      </c>
      <c r="B1493" s="2"/>
      <c r="C1493" s="2"/>
      <c r="D1493" s="2"/>
      <c r="E1493" s="3"/>
      <c r="F1493" s="3"/>
      <c r="G1493" s="2"/>
      <c r="H1493" s="2"/>
      <c r="I1493" s="46"/>
      <c r="J1493" s="12"/>
      <c r="K1493" s="2"/>
      <c r="L1493" s="59"/>
    </row>
    <row r="1494" spans="1:12" x14ac:dyDescent="0.35">
      <c r="A1494" s="45">
        <v>1490</v>
      </c>
      <c r="B1494" s="2"/>
      <c r="C1494" s="2"/>
      <c r="D1494" s="2"/>
      <c r="E1494" s="3"/>
      <c r="F1494" s="3"/>
      <c r="G1494" s="2"/>
      <c r="H1494" s="2"/>
      <c r="I1494" s="46"/>
      <c r="J1494" s="12"/>
      <c r="K1494" s="2"/>
      <c r="L1494" s="59"/>
    </row>
    <row r="1495" spans="1:12" x14ac:dyDescent="0.35">
      <c r="A1495" s="45">
        <v>1491</v>
      </c>
      <c r="B1495" s="2"/>
      <c r="C1495" s="2"/>
      <c r="D1495" s="2"/>
      <c r="E1495" s="3"/>
      <c r="F1495" s="3"/>
      <c r="G1495" s="2"/>
      <c r="H1495" s="2"/>
      <c r="I1495" s="46"/>
      <c r="J1495" s="12"/>
      <c r="K1495" s="2"/>
      <c r="L1495" s="59"/>
    </row>
    <row r="1496" spans="1:12" x14ac:dyDescent="0.35">
      <c r="A1496" s="45">
        <v>1492</v>
      </c>
      <c r="B1496" s="2"/>
      <c r="C1496" s="2"/>
      <c r="D1496" s="2"/>
      <c r="E1496" s="3"/>
      <c r="F1496" s="3"/>
      <c r="G1496" s="2"/>
      <c r="H1496" s="2"/>
      <c r="I1496" s="46"/>
      <c r="J1496" s="12"/>
      <c r="K1496" s="2"/>
      <c r="L1496" s="59"/>
    </row>
    <row r="1497" spans="1:12" x14ac:dyDescent="0.35">
      <c r="A1497" s="45">
        <v>1493</v>
      </c>
      <c r="B1497" s="2"/>
      <c r="C1497" s="2"/>
      <c r="D1497" s="2"/>
      <c r="E1497" s="3"/>
      <c r="F1497" s="3"/>
      <c r="G1497" s="2"/>
      <c r="H1497" s="2"/>
      <c r="I1497" s="46"/>
      <c r="J1497" s="12"/>
      <c r="K1497" s="2"/>
      <c r="L1497" s="59"/>
    </row>
    <row r="1498" spans="1:12" x14ac:dyDescent="0.35">
      <c r="A1498" s="45">
        <v>1494</v>
      </c>
      <c r="B1498" s="2"/>
      <c r="C1498" s="2"/>
      <c r="D1498" s="2"/>
      <c r="E1498" s="3"/>
      <c r="F1498" s="3"/>
      <c r="G1498" s="2"/>
      <c r="H1498" s="2"/>
      <c r="I1498" s="46"/>
      <c r="J1498" s="12"/>
      <c r="K1498" s="2"/>
      <c r="L1498" s="59"/>
    </row>
    <row r="1499" spans="1:12" x14ac:dyDescent="0.35">
      <c r="A1499" s="45">
        <v>1495</v>
      </c>
      <c r="B1499" s="2"/>
      <c r="C1499" s="2"/>
      <c r="D1499" s="2"/>
      <c r="E1499" s="3"/>
      <c r="F1499" s="3"/>
      <c r="G1499" s="2"/>
      <c r="H1499" s="2"/>
      <c r="I1499" s="46"/>
      <c r="J1499" s="12"/>
      <c r="K1499" s="2"/>
      <c r="L1499" s="59"/>
    </row>
    <row r="1500" spans="1:12" x14ac:dyDescent="0.35">
      <c r="A1500" s="45">
        <v>1496</v>
      </c>
      <c r="B1500" s="2"/>
      <c r="C1500" s="2"/>
      <c r="D1500" s="2"/>
      <c r="E1500" s="3"/>
      <c r="F1500" s="3"/>
      <c r="G1500" s="2"/>
      <c r="H1500" s="2"/>
      <c r="I1500" s="46"/>
      <c r="J1500" s="12"/>
      <c r="K1500" s="2"/>
      <c r="L1500" s="59"/>
    </row>
    <row r="1501" spans="1:12" x14ac:dyDescent="0.35">
      <c r="A1501" s="45">
        <v>1497</v>
      </c>
      <c r="B1501" s="2"/>
      <c r="C1501" s="2"/>
      <c r="D1501" s="2"/>
      <c r="E1501" s="3"/>
      <c r="F1501" s="3"/>
      <c r="G1501" s="2"/>
      <c r="H1501" s="2"/>
      <c r="I1501" s="46"/>
      <c r="J1501" s="12"/>
      <c r="K1501" s="2"/>
      <c r="L1501" s="59"/>
    </row>
    <row r="1502" spans="1:12" x14ac:dyDescent="0.35">
      <c r="A1502" s="45">
        <v>1498</v>
      </c>
      <c r="B1502" s="2"/>
      <c r="C1502" s="2"/>
      <c r="D1502" s="2"/>
      <c r="E1502" s="3"/>
      <c r="F1502" s="3"/>
      <c r="G1502" s="2"/>
      <c r="H1502" s="2"/>
      <c r="I1502" s="46"/>
      <c r="J1502" s="12"/>
      <c r="K1502" s="2"/>
      <c r="L1502" s="59"/>
    </row>
    <row r="1503" spans="1:12" x14ac:dyDescent="0.35">
      <c r="A1503" s="45">
        <v>1499</v>
      </c>
      <c r="B1503" s="2"/>
      <c r="C1503" s="2"/>
      <c r="D1503" s="2"/>
      <c r="E1503" s="3"/>
      <c r="F1503" s="3"/>
      <c r="G1503" s="2"/>
      <c r="H1503" s="2"/>
      <c r="I1503" s="46"/>
      <c r="J1503" s="12"/>
      <c r="K1503" s="2"/>
      <c r="L1503" s="59"/>
    </row>
    <row r="1504" spans="1:12" x14ac:dyDescent="0.35">
      <c r="A1504" s="45">
        <v>1500</v>
      </c>
      <c r="B1504" s="2"/>
      <c r="C1504" s="2"/>
      <c r="D1504" s="2"/>
      <c r="E1504" s="3"/>
      <c r="F1504" s="3"/>
      <c r="G1504" s="2"/>
      <c r="H1504" s="2"/>
      <c r="I1504" s="46"/>
      <c r="J1504" s="12"/>
      <c r="K1504" s="2"/>
      <c r="L1504" s="59"/>
    </row>
    <row r="1505" spans="1:12" x14ac:dyDescent="0.35">
      <c r="A1505" s="45">
        <v>1501</v>
      </c>
      <c r="B1505" s="2"/>
      <c r="C1505" s="2"/>
      <c r="D1505" s="2"/>
      <c r="E1505" s="3"/>
      <c r="F1505" s="3"/>
      <c r="G1505" s="2"/>
      <c r="H1505" s="2"/>
      <c r="I1505" s="46"/>
      <c r="J1505" s="12"/>
      <c r="K1505" s="2"/>
      <c r="L1505" s="59"/>
    </row>
    <row r="1506" spans="1:12" x14ac:dyDescent="0.35">
      <c r="A1506" s="45">
        <v>1502</v>
      </c>
      <c r="B1506" s="2"/>
      <c r="C1506" s="2"/>
      <c r="D1506" s="2"/>
      <c r="E1506" s="3"/>
      <c r="F1506" s="3"/>
      <c r="G1506" s="2"/>
      <c r="H1506" s="2"/>
      <c r="I1506" s="46"/>
      <c r="J1506" s="12"/>
      <c r="K1506" s="2"/>
      <c r="L1506" s="59"/>
    </row>
    <row r="1507" spans="1:12" x14ac:dyDescent="0.35">
      <c r="A1507" s="45">
        <v>1503</v>
      </c>
      <c r="B1507" s="2"/>
      <c r="C1507" s="2"/>
      <c r="D1507" s="2"/>
      <c r="E1507" s="3"/>
      <c r="F1507" s="3"/>
      <c r="G1507" s="2"/>
      <c r="H1507" s="2"/>
      <c r="I1507" s="46"/>
      <c r="J1507" s="12"/>
      <c r="K1507" s="2"/>
      <c r="L1507" s="59"/>
    </row>
    <row r="1508" spans="1:12" x14ac:dyDescent="0.35">
      <c r="A1508" s="45">
        <v>1504</v>
      </c>
      <c r="B1508" s="2"/>
      <c r="C1508" s="2"/>
      <c r="D1508" s="2"/>
      <c r="E1508" s="3"/>
      <c r="F1508" s="3"/>
      <c r="G1508" s="2"/>
      <c r="H1508" s="2"/>
      <c r="I1508" s="46"/>
      <c r="J1508" s="12"/>
      <c r="K1508" s="2"/>
      <c r="L1508" s="59"/>
    </row>
    <row r="1509" spans="1:12" x14ac:dyDescent="0.35">
      <c r="A1509" s="45">
        <v>1505</v>
      </c>
      <c r="B1509" s="2"/>
      <c r="C1509" s="2"/>
      <c r="D1509" s="2"/>
      <c r="E1509" s="3"/>
      <c r="F1509" s="3"/>
      <c r="G1509" s="2"/>
      <c r="H1509" s="2"/>
      <c r="I1509" s="46"/>
      <c r="J1509" s="12"/>
      <c r="K1509" s="2"/>
      <c r="L1509" s="59"/>
    </row>
    <row r="1510" spans="1:12" x14ac:dyDescent="0.35">
      <c r="A1510" s="45">
        <v>1506</v>
      </c>
      <c r="B1510" s="2"/>
      <c r="C1510" s="2"/>
      <c r="D1510" s="2"/>
      <c r="E1510" s="3"/>
      <c r="F1510" s="3"/>
      <c r="G1510" s="2"/>
      <c r="H1510" s="2"/>
      <c r="I1510" s="46"/>
      <c r="J1510" s="12"/>
      <c r="K1510" s="2"/>
      <c r="L1510" s="59"/>
    </row>
    <row r="1511" spans="1:12" x14ac:dyDescent="0.35">
      <c r="A1511" s="45">
        <v>1507</v>
      </c>
      <c r="B1511" s="2"/>
      <c r="C1511" s="2"/>
      <c r="D1511" s="2"/>
      <c r="E1511" s="3"/>
      <c r="F1511" s="3"/>
      <c r="G1511" s="2"/>
      <c r="H1511" s="2"/>
      <c r="I1511" s="46"/>
      <c r="J1511" s="12"/>
      <c r="K1511" s="2"/>
      <c r="L1511" s="59"/>
    </row>
    <row r="1512" spans="1:12" x14ac:dyDescent="0.35">
      <c r="A1512" s="45">
        <v>1508</v>
      </c>
      <c r="B1512" s="2"/>
      <c r="C1512" s="2"/>
      <c r="D1512" s="2"/>
      <c r="E1512" s="3"/>
      <c r="F1512" s="3"/>
      <c r="G1512" s="2"/>
      <c r="H1512" s="2"/>
      <c r="I1512" s="46"/>
      <c r="J1512" s="12"/>
      <c r="K1512" s="2"/>
      <c r="L1512" s="59"/>
    </row>
    <row r="1513" spans="1:12" x14ac:dyDescent="0.35">
      <c r="A1513" s="45">
        <v>1509</v>
      </c>
      <c r="B1513" s="2"/>
      <c r="C1513" s="2"/>
      <c r="D1513" s="2"/>
      <c r="E1513" s="3"/>
      <c r="F1513" s="3"/>
      <c r="G1513" s="2"/>
      <c r="H1513" s="2"/>
      <c r="I1513" s="46"/>
      <c r="J1513" s="12"/>
      <c r="K1513" s="2"/>
      <c r="L1513" s="59"/>
    </row>
    <row r="1514" spans="1:12" x14ac:dyDescent="0.35">
      <c r="A1514" s="45">
        <v>1510</v>
      </c>
      <c r="B1514" s="2"/>
      <c r="C1514" s="2"/>
      <c r="D1514" s="2"/>
      <c r="E1514" s="3"/>
      <c r="F1514" s="3"/>
      <c r="G1514" s="2"/>
      <c r="H1514" s="2"/>
      <c r="I1514" s="46"/>
      <c r="J1514" s="12"/>
      <c r="K1514" s="2"/>
      <c r="L1514" s="59"/>
    </row>
    <row r="1515" spans="1:12" x14ac:dyDescent="0.35">
      <c r="A1515" s="45">
        <v>1511</v>
      </c>
      <c r="B1515" s="2"/>
      <c r="C1515" s="2"/>
      <c r="D1515" s="2"/>
      <c r="E1515" s="3"/>
      <c r="F1515" s="3"/>
      <c r="G1515" s="2"/>
      <c r="H1515" s="2"/>
      <c r="I1515" s="46"/>
      <c r="J1515" s="12"/>
      <c r="K1515" s="2"/>
      <c r="L1515" s="59"/>
    </row>
    <row r="1516" spans="1:12" x14ac:dyDescent="0.35">
      <c r="A1516" s="45">
        <v>1512</v>
      </c>
      <c r="B1516" s="2"/>
      <c r="C1516" s="2"/>
      <c r="D1516" s="2"/>
      <c r="E1516" s="3"/>
      <c r="F1516" s="3"/>
      <c r="G1516" s="2"/>
      <c r="H1516" s="2"/>
      <c r="I1516" s="46"/>
      <c r="J1516" s="12"/>
      <c r="K1516" s="2"/>
      <c r="L1516" s="59"/>
    </row>
    <row r="1517" spans="1:12" x14ac:dyDescent="0.35">
      <c r="A1517" s="45">
        <v>1513</v>
      </c>
      <c r="B1517" s="2"/>
      <c r="C1517" s="2"/>
      <c r="D1517" s="2"/>
      <c r="E1517" s="3"/>
      <c r="F1517" s="3"/>
      <c r="G1517" s="2"/>
      <c r="H1517" s="2"/>
      <c r="I1517" s="46"/>
      <c r="J1517" s="12"/>
      <c r="K1517" s="2"/>
      <c r="L1517" s="59"/>
    </row>
    <row r="1518" spans="1:12" x14ac:dyDescent="0.35">
      <c r="A1518" s="45">
        <v>1514</v>
      </c>
      <c r="B1518" s="2"/>
      <c r="C1518" s="2"/>
      <c r="D1518" s="2"/>
      <c r="E1518" s="3"/>
      <c r="F1518" s="3"/>
      <c r="G1518" s="2"/>
      <c r="H1518" s="2"/>
      <c r="I1518" s="46"/>
      <c r="J1518" s="12"/>
      <c r="K1518" s="2"/>
      <c r="L1518" s="59"/>
    </row>
    <row r="1519" spans="1:12" x14ac:dyDescent="0.35">
      <c r="A1519" s="45">
        <v>1515</v>
      </c>
      <c r="B1519" s="2"/>
      <c r="C1519" s="2"/>
      <c r="D1519" s="2"/>
      <c r="E1519" s="3"/>
      <c r="F1519" s="3"/>
      <c r="G1519" s="2"/>
      <c r="H1519" s="2"/>
      <c r="I1519" s="46"/>
      <c r="J1519" s="12"/>
      <c r="K1519" s="2"/>
      <c r="L1519" s="59"/>
    </row>
    <row r="1520" spans="1:12" x14ac:dyDescent="0.35">
      <c r="A1520" s="45">
        <v>1516</v>
      </c>
      <c r="B1520" s="2"/>
      <c r="C1520" s="2"/>
      <c r="D1520" s="2"/>
      <c r="E1520" s="3"/>
      <c r="F1520" s="3"/>
      <c r="G1520" s="2"/>
      <c r="H1520" s="2"/>
      <c r="I1520" s="46"/>
      <c r="J1520" s="12"/>
      <c r="K1520" s="2"/>
      <c r="L1520" s="59"/>
    </row>
    <row r="1521" spans="1:12" x14ac:dyDescent="0.35">
      <c r="A1521" s="45">
        <v>1517</v>
      </c>
      <c r="B1521" s="2"/>
      <c r="C1521" s="2"/>
      <c r="D1521" s="2"/>
      <c r="E1521" s="3"/>
      <c r="F1521" s="3"/>
      <c r="G1521" s="2"/>
      <c r="H1521" s="2"/>
      <c r="I1521" s="46"/>
      <c r="J1521" s="12"/>
      <c r="K1521" s="2"/>
      <c r="L1521" s="59"/>
    </row>
    <row r="1522" spans="1:12" x14ac:dyDescent="0.35">
      <c r="A1522" s="45">
        <v>1518</v>
      </c>
      <c r="B1522" s="2"/>
      <c r="C1522" s="2"/>
      <c r="D1522" s="2"/>
      <c r="E1522" s="3"/>
      <c r="F1522" s="3"/>
      <c r="G1522" s="2"/>
      <c r="H1522" s="2"/>
      <c r="I1522" s="46"/>
      <c r="J1522" s="12"/>
      <c r="K1522" s="2"/>
      <c r="L1522" s="59"/>
    </row>
    <row r="1523" spans="1:12" x14ac:dyDescent="0.35">
      <c r="A1523" s="45">
        <v>1519</v>
      </c>
      <c r="B1523" s="2"/>
      <c r="C1523" s="2"/>
      <c r="D1523" s="2"/>
      <c r="E1523" s="3"/>
      <c r="F1523" s="3"/>
      <c r="G1523" s="2"/>
      <c r="H1523" s="2"/>
      <c r="I1523" s="46"/>
      <c r="J1523" s="12"/>
      <c r="K1523" s="2"/>
      <c r="L1523" s="59"/>
    </row>
    <row r="1524" spans="1:12" x14ac:dyDescent="0.35">
      <c r="A1524" s="45">
        <v>1520</v>
      </c>
      <c r="B1524" s="2"/>
      <c r="C1524" s="2"/>
      <c r="D1524" s="2"/>
      <c r="E1524" s="3"/>
      <c r="F1524" s="3"/>
      <c r="G1524" s="2"/>
      <c r="H1524" s="2"/>
      <c r="I1524" s="46"/>
      <c r="J1524" s="12"/>
      <c r="K1524" s="2"/>
      <c r="L1524" s="59"/>
    </row>
    <row r="1525" spans="1:12" x14ac:dyDescent="0.35">
      <c r="A1525" s="45">
        <v>1521</v>
      </c>
      <c r="B1525" s="2"/>
      <c r="C1525" s="2"/>
      <c r="D1525" s="2"/>
      <c r="E1525" s="3"/>
      <c r="F1525" s="3"/>
      <c r="G1525" s="2"/>
      <c r="H1525" s="2"/>
      <c r="I1525" s="46"/>
      <c r="J1525" s="12"/>
      <c r="K1525" s="2"/>
      <c r="L1525" s="59"/>
    </row>
    <row r="1526" spans="1:12" x14ac:dyDescent="0.35">
      <c r="A1526" s="45">
        <v>1522</v>
      </c>
      <c r="B1526" s="2"/>
      <c r="C1526" s="2"/>
      <c r="D1526" s="2"/>
      <c r="E1526" s="3"/>
      <c r="F1526" s="3"/>
      <c r="G1526" s="2"/>
      <c r="H1526" s="2"/>
      <c r="I1526" s="46"/>
      <c r="J1526" s="12"/>
      <c r="K1526" s="2"/>
      <c r="L1526" s="59"/>
    </row>
    <row r="1527" spans="1:12" x14ac:dyDescent="0.35">
      <c r="A1527" s="45">
        <v>1523</v>
      </c>
      <c r="B1527" s="2"/>
      <c r="C1527" s="2"/>
      <c r="D1527" s="2"/>
      <c r="E1527" s="3"/>
      <c r="F1527" s="3"/>
      <c r="G1527" s="2"/>
      <c r="H1527" s="2"/>
      <c r="I1527" s="46"/>
      <c r="J1527" s="12"/>
      <c r="K1527" s="2"/>
      <c r="L1527" s="59"/>
    </row>
    <row r="1528" spans="1:12" x14ac:dyDescent="0.35">
      <c r="A1528" s="45">
        <v>1524</v>
      </c>
      <c r="B1528" s="2"/>
      <c r="C1528" s="2"/>
      <c r="D1528" s="2"/>
      <c r="E1528" s="3"/>
      <c r="F1528" s="3"/>
      <c r="G1528" s="2"/>
      <c r="H1528" s="2"/>
      <c r="I1528" s="46"/>
      <c r="J1528" s="12"/>
      <c r="K1528" s="2"/>
      <c r="L1528" s="59"/>
    </row>
    <row r="1529" spans="1:12" x14ac:dyDescent="0.35">
      <c r="A1529" s="45">
        <v>1525</v>
      </c>
      <c r="B1529" s="2"/>
      <c r="C1529" s="2"/>
      <c r="D1529" s="2"/>
      <c r="E1529" s="3"/>
      <c r="F1529" s="3"/>
      <c r="G1529" s="2"/>
      <c r="H1529" s="2"/>
      <c r="I1529" s="46"/>
      <c r="J1529" s="12"/>
      <c r="K1529" s="2"/>
      <c r="L1529" s="59"/>
    </row>
    <row r="1530" spans="1:12" x14ac:dyDescent="0.35">
      <c r="A1530" s="45">
        <v>1526</v>
      </c>
      <c r="B1530" s="2"/>
      <c r="C1530" s="2"/>
      <c r="D1530" s="2"/>
      <c r="E1530" s="3"/>
      <c r="F1530" s="3"/>
      <c r="G1530" s="2"/>
      <c r="H1530" s="2"/>
      <c r="I1530" s="46"/>
      <c r="J1530" s="12"/>
      <c r="K1530" s="2"/>
      <c r="L1530" s="59"/>
    </row>
    <row r="1531" spans="1:12" x14ac:dyDescent="0.35">
      <c r="A1531" s="45">
        <v>1527</v>
      </c>
      <c r="B1531" s="2"/>
      <c r="C1531" s="2"/>
      <c r="D1531" s="2"/>
      <c r="E1531" s="3"/>
      <c r="F1531" s="3"/>
      <c r="G1531" s="2"/>
      <c r="H1531" s="2"/>
      <c r="I1531" s="46"/>
      <c r="J1531" s="12"/>
      <c r="K1531" s="2"/>
      <c r="L1531" s="59"/>
    </row>
    <row r="1532" spans="1:12" x14ac:dyDescent="0.35">
      <c r="A1532" s="45">
        <v>1528</v>
      </c>
      <c r="B1532" s="2"/>
      <c r="C1532" s="2"/>
      <c r="D1532" s="2"/>
      <c r="E1532" s="3"/>
      <c r="F1532" s="3"/>
      <c r="G1532" s="2"/>
      <c r="H1532" s="2"/>
      <c r="I1532" s="46"/>
      <c r="J1532" s="12"/>
      <c r="K1532" s="2"/>
      <c r="L1532" s="59"/>
    </row>
    <row r="1533" spans="1:12" x14ac:dyDescent="0.35">
      <c r="A1533" s="45">
        <v>1529</v>
      </c>
      <c r="B1533" s="2"/>
      <c r="C1533" s="2"/>
      <c r="D1533" s="2"/>
      <c r="E1533" s="3"/>
      <c r="F1533" s="3"/>
      <c r="G1533" s="2"/>
      <c r="H1533" s="2"/>
      <c r="I1533" s="46"/>
      <c r="J1533" s="12"/>
      <c r="K1533" s="2"/>
      <c r="L1533" s="59"/>
    </row>
    <row r="1534" spans="1:12" x14ac:dyDescent="0.35">
      <c r="A1534" s="45">
        <v>1530</v>
      </c>
      <c r="B1534" s="2"/>
      <c r="C1534" s="2"/>
      <c r="D1534" s="2"/>
      <c r="E1534" s="3"/>
      <c r="F1534" s="3"/>
      <c r="G1534" s="2"/>
      <c r="H1534" s="2"/>
      <c r="I1534" s="46"/>
      <c r="J1534" s="12"/>
      <c r="K1534" s="2"/>
      <c r="L1534" s="59"/>
    </row>
    <row r="1535" spans="1:12" x14ac:dyDescent="0.35">
      <c r="A1535" s="45">
        <v>1531</v>
      </c>
      <c r="B1535" s="2"/>
      <c r="C1535" s="2"/>
      <c r="D1535" s="2"/>
      <c r="E1535" s="3"/>
      <c r="F1535" s="3"/>
      <c r="G1535" s="2"/>
      <c r="H1535" s="2"/>
      <c r="I1535" s="46"/>
      <c r="J1535" s="12"/>
      <c r="K1535" s="2"/>
      <c r="L1535" s="59"/>
    </row>
    <row r="1536" spans="1:12" x14ac:dyDescent="0.35">
      <c r="A1536" s="45">
        <v>1532</v>
      </c>
      <c r="B1536" s="2"/>
      <c r="C1536" s="2"/>
      <c r="D1536" s="2"/>
      <c r="E1536" s="3"/>
      <c r="F1536" s="3"/>
      <c r="G1536" s="2"/>
      <c r="H1536" s="2"/>
      <c r="I1536" s="46"/>
      <c r="J1536" s="12"/>
      <c r="K1536" s="2"/>
      <c r="L1536" s="59"/>
    </row>
    <row r="1537" spans="1:12" x14ac:dyDescent="0.35">
      <c r="A1537" s="45">
        <v>1533</v>
      </c>
      <c r="B1537" s="2"/>
      <c r="C1537" s="2"/>
      <c r="D1537" s="2"/>
      <c r="E1537" s="3"/>
      <c r="F1537" s="3"/>
      <c r="G1537" s="2"/>
      <c r="H1537" s="2"/>
      <c r="I1537" s="46"/>
      <c r="J1537" s="12"/>
      <c r="K1537" s="2"/>
      <c r="L1537" s="59"/>
    </row>
    <row r="1538" spans="1:12" x14ac:dyDescent="0.35">
      <c r="A1538" s="45">
        <v>1534</v>
      </c>
      <c r="B1538" s="2"/>
      <c r="C1538" s="2"/>
      <c r="D1538" s="2"/>
      <c r="E1538" s="3"/>
      <c r="F1538" s="3"/>
      <c r="G1538" s="2"/>
      <c r="H1538" s="2"/>
      <c r="I1538" s="46"/>
      <c r="J1538" s="12"/>
      <c r="K1538" s="2"/>
      <c r="L1538" s="59"/>
    </row>
    <row r="1539" spans="1:12" x14ac:dyDescent="0.35">
      <c r="A1539" s="45">
        <v>1535</v>
      </c>
      <c r="B1539" s="2"/>
      <c r="C1539" s="2"/>
      <c r="D1539" s="2"/>
      <c r="E1539" s="3"/>
      <c r="F1539" s="3"/>
      <c r="G1539" s="2"/>
      <c r="H1539" s="2"/>
      <c r="I1539" s="46"/>
      <c r="J1539" s="12"/>
      <c r="K1539" s="2"/>
      <c r="L1539" s="59"/>
    </row>
    <row r="1540" spans="1:12" x14ac:dyDescent="0.35">
      <c r="A1540" s="45">
        <v>1536</v>
      </c>
      <c r="B1540" s="2"/>
      <c r="C1540" s="2"/>
      <c r="D1540" s="2"/>
      <c r="E1540" s="3"/>
      <c r="F1540" s="3"/>
      <c r="G1540" s="2"/>
      <c r="H1540" s="2"/>
      <c r="I1540" s="46"/>
      <c r="J1540" s="12"/>
      <c r="K1540" s="2"/>
      <c r="L1540" s="59"/>
    </row>
    <row r="1541" spans="1:12" x14ac:dyDescent="0.35">
      <c r="A1541" s="45">
        <v>1537</v>
      </c>
      <c r="B1541" s="2"/>
      <c r="C1541" s="2"/>
      <c r="D1541" s="2"/>
      <c r="E1541" s="3"/>
      <c r="F1541" s="3"/>
      <c r="G1541" s="2"/>
      <c r="H1541" s="2"/>
      <c r="I1541" s="46"/>
      <c r="J1541" s="12"/>
      <c r="K1541" s="2"/>
      <c r="L1541" s="59"/>
    </row>
    <row r="1542" spans="1:12" x14ac:dyDescent="0.35">
      <c r="A1542" s="45">
        <v>1538</v>
      </c>
      <c r="B1542" s="2"/>
      <c r="C1542" s="2"/>
      <c r="D1542" s="2"/>
      <c r="E1542" s="3"/>
      <c r="F1542" s="3"/>
      <c r="G1542" s="2"/>
      <c r="H1542" s="2"/>
      <c r="I1542" s="46"/>
      <c r="J1542" s="12"/>
      <c r="K1542" s="2"/>
      <c r="L1542" s="59"/>
    </row>
    <row r="1543" spans="1:12" x14ac:dyDescent="0.35">
      <c r="A1543" s="45">
        <v>1539</v>
      </c>
      <c r="B1543" s="2"/>
      <c r="C1543" s="2"/>
      <c r="D1543" s="2"/>
      <c r="E1543" s="3"/>
      <c r="F1543" s="3"/>
      <c r="G1543" s="2"/>
      <c r="H1543" s="2"/>
      <c r="I1543" s="46"/>
      <c r="J1543" s="12"/>
      <c r="K1543" s="2"/>
      <c r="L1543" s="59"/>
    </row>
    <row r="1544" spans="1:12" x14ac:dyDescent="0.35">
      <c r="A1544" s="45">
        <v>1540</v>
      </c>
      <c r="B1544" s="2"/>
      <c r="C1544" s="2"/>
      <c r="D1544" s="2"/>
      <c r="E1544" s="3"/>
      <c r="F1544" s="3"/>
      <c r="G1544" s="2"/>
      <c r="H1544" s="2"/>
      <c r="I1544" s="46"/>
      <c r="J1544" s="12"/>
      <c r="K1544" s="2"/>
      <c r="L1544" s="59"/>
    </row>
    <row r="1545" spans="1:12" x14ac:dyDescent="0.35">
      <c r="A1545" s="45">
        <v>1541</v>
      </c>
      <c r="B1545" s="2"/>
      <c r="C1545" s="2"/>
      <c r="D1545" s="2"/>
      <c r="E1545" s="3"/>
      <c r="F1545" s="3"/>
      <c r="G1545" s="2"/>
      <c r="H1545" s="2"/>
      <c r="I1545" s="46"/>
      <c r="J1545" s="12"/>
      <c r="K1545" s="2"/>
      <c r="L1545" s="59"/>
    </row>
    <row r="1546" spans="1:12" x14ac:dyDescent="0.35">
      <c r="A1546" s="45">
        <v>1542</v>
      </c>
      <c r="B1546" s="2"/>
      <c r="C1546" s="2"/>
      <c r="D1546" s="2"/>
      <c r="E1546" s="3"/>
      <c r="F1546" s="3"/>
      <c r="G1546" s="2"/>
      <c r="H1546" s="2"/>
      <c r="I1546" s="46"/>
      <c r="J1546" s="12"/>
      <c r="K1546" s="2"/>
      <c r="L1546" s="59"/>
    </row>
    <row r="1547" spans="1:12" x14ac:dyDescent="0.35">
      <c r="A1547" s="45">
        <v>1543</v>
      </c>
      <c r="B1547" s="2"/>
      <c r="C1547" s="2"/>
      <c r="D1547" s="2"/>
      <c r="E1547" s="3"/>
      <c r="F1547" s="3"/>
      <c r="G1547" s="2"/>
      <c r="H1547" s="2"/>
      <c r="I1547" s="46"/>
      <c r="J1547" s="12"/>
      <c r="K1547" s="2"/>
      <c r="L1547" s="59"/>
    </row>
    <row r="1548" spans="1:12" x14ac:dyDescent="0.35">
      <c r="A1548" s="45">
        <v>1544</v>
      </c>
      <c r="B1548" s="2"/>
      <c r="C1548" s="2"/>
      <c r="D1548" s="2"/>
      <c r="E1548" s="3"/>
      <c r="F1548" s="3"/>
      <c r="G1548" s="2"/>
      <c r="H1548" s="2"/>
      <c r="I1548" s="46"/>
      <c r="J1548" s="12"/>
      <c r="K1548" s="2"/>
      <c r="L1548" s="59"/>
    </row>
    <row r="1549" spans="1:12" x14ac:dyDescent="0.35">
      <c r="A1549" s="45">
        <v>1545</v>
      </c>
      <c r="B1549" s="2"/>
      <c r="C1549" s="2"/>
      <c r="D1549" s="2"/>
      <c r="E1549" s="3"/>
      <c r="F1549" s="3"/>
      <c r="G1549" s="2"/>
      <c r="H1549" s="2"/>
      <c r="I1549" s="46"/>
      <c r="J1549" s="12"/>
      <c r="K1549" s="2"/>
      <c r="L1549" s="59"/>
    </row>
    <row r="1550" spans="1:12" x14ac:dyDescent="0.35">
      <c r="A1550" s="45">
        <v>1546</v>
      </c>
      <c r="B1550" s="2"/>
      <c r="C1550" s="2"/>
      <c r="D1550" s="2"/>
      <c r="E1550" s="3"/>
      <c r="F1550" s="3"/>
      <c r="G1550" s="2"/>
      <c r="H1550" s="2"/>
      <c r="I1550" s="46"/>
      <c r="J1550" s="12"/>
      <c r="K1550" s="2"/>
      <c r="L1550" s="59"/>
    </row>
    <row r="1551" spans="1:12" x14ac:dyDescent="0.35">
      <c r="A1551" s="45">
        <v>1547</v>
      </c>
      <c r="B1551" s="2"/>
      <c r="C1551" s="2"/>
      <c r="D1551" s="2"/>
      <c r="E1551" s="3"/>
      <c r="F1551" s="3"/>
      <c r="G1551" s="2"/>
      <c r="H1551" s="2"/>
      <c r="I1551" s="46"/>
      <c r="J1551" s="12"/>
      <c r="K1551" s="2"/>
      <c r="L1551" s="59"/>
    </row>
    <row r="1552" spans="1:12" x14ac:dyDescent="0.35">
      <c r="A1552" s="45">
        <v>1548</v>
      </c>
      <c r="B1552" s="2"/>
      <c r="C1552" s="2"/>
      <c r="D1552" s="2"/>
      <c r="E1552" s="3"/>
      <c r="F1552" s="3"/>
      <c r="G1552" s="2"/>
      <c r="H1552" s="2"/>
      <c r="I1552" s="46"/>
      <c r="J1552" s="12"/>
      <c r="K1552" s="2"/>
      <c r="L1552" s="59"/>
    </row>
    <row r="1553" spans="1:12" x14ac:dyDescent="0.35">
      <c r="A1553" s="45">
        <v>1549</v>
      </c>
      <c r="B1553" s="2"/>
      <c r="C1553" s="2"/>
      <c r="D1553" s="2"/>
      <c r="E1553" s="3"/>
      <c r="F1553" s="3"/>
      <c r="G1553" s="2"/>
      <c r="H1553" s="2"/>
      <c r="I1553" s="46"/>
      <c r="J1553" s="12"/>
      <c r="K1553" s="2"/>
      <c r="L1553" s="59"/>
    </row>
    <row r="1554" spans="1:12" x14ac:dyDescent="0.35">
      <c r="A1554" s="45">
        <v>1550</v>
      </c>
      <c r="B1554" s="2"/>
      <c r="C1554" s="2"/>
      <c r="D1554" s="2"/>
      <c r="E1554" s="3"/>
      <c r="F1554" s="3"/>
      <c r="G1554" s="2"/>
      <c r="H1554" s="2"/>
      <c r="I1554" s="46"/>
      <c r="J1554" s="12"/>
      <c r="K1554" s="2"/>
      <c r="L1554" s="59"/>
    </row>
    <row r="1555" spans="1:12" x14ac:dyDescent="0.35">
      <c r="A1555" s="45">
        <v>1551</v>
      </c>
      <c r="B1555" s="2"/>
      <c r="C1555" s="2"/>
      <c r="D1555" s="2"/>
      <c r="E1555" s="3"/>
      <c r="F1555" s="3"/>
      <c r="G1555" s="2"/>
      <c r="H1555" s="2"/>
      <c r="I1555" s="46"/>
      <c r="J1555" s="12"/>
      <c r="K1555" s="2"/>
      <c r="L1555" s="59"/>
    </row>
    <row r="1556" spans="1:12" x14ac:dyDescent="0.35">
      <c r="A1556" s="45">
        <v>1552</v>
      </c>
      <c r="B1556" s="2"/>
      <c r="C1556" s="2"/>
      <c r="D1556" s="2"/>
      <c r="E1556" s="3"/>
      <c r="F1556" s="3"/>
      <c r="G1556" s="2"/>
      <c r="H1556" s="2"/>
      <c r="I1556" s="46"/>
      <c r="J1556" s="12"/>
      <c r="K1556" s="2"/>
      <c r="L1556" s="59"/>
    </row>
    <row r="1557" spans="1:12" x14ac:dyDescent="0.35">
      <c r="A1557" s="45">
        <v>1553</v>
      </c>
      <c r="B1557" s="2"/>
      <c r="C1557" s="2"/>
      <c r="D1557" s="2"/>
      <c r="E1557" s="3"/>
      <c r="F1557" s="3"/>
      <c r="G1557" s="2"/>
      <c r="H1557" s="2"/>
      <c r="I1557" s="46"/>
      <c r="J1557" s="12"/>
      <c r="K1557" s="2"/>
      <c r="L1557" s="59"/>
    </row>
    <row r="1558" spans="1:12" x14ac:dyDescent="0.35">
      <c r="A1558" s="45">
        <v>1554</v>
      </c>
      <c r="B1558" s="2"/>
      <c r="C1558" s="2"/>
      <c r="D1558" s="2"/>
      <c r="E1558" s="3"/>
      <c r="F1558" s="3"/>
      <c r="G1558" s="2"/>
      <c r="H1558" s="2"/>
      <c r="I1558" s="46"/>
      <c r="J1558" s="12"/>
      <c r="K1558" s="2"/>
      <c r="L1558" s="59"/>
    </row>
    <row r="1559" spans="1:12" x14ac:dyDescent="0.35">
      <c r="A1559" s="45">
        <v>1555</v>
      </c>
      <c r="B1559" s="2"/>
      <c r="C1559" s="2"/>
      <c r="D1559" s="2"/>
      <c r="E1559" s="3"/>
      <c r="F1559" s="3"/>
      <c r="G1559" s="2"/>
      <c r="H1559" s="2"/>
      <c r="I1559" s="46"/>
      <c r="J1559" s="12"/>
      <c r="K1559" s="2"/>
      <c r="L1559" s="59"/>
    </row>
    <row r="1560" spans="1:12" x14ac:dyDescent="0.35">
      <c r="A1560" s="45">
        <v>1556</v>
      </c>
      <c r="B1560" s="2"/>
      <c r="C1560" s="2"/>
      <c r="D1560" s="2"/>
      <c r="E1560" s="3"/>
      <c r="F1560" s="3"/>
      <c r="G1560" s="2"/>
      <c r="H1560" s="2"/>
      <c r="I1560" s="46"/>
      <c r="J1560" s="12"/>
      <c r="K1560" s="2"/>
      <c r="L1560" s="59"/>
    </row>
    <row r="1561" spans="1:12" x14ac:dyDescent="0.35">
      <c r="A1561" s="45">
        <v>1557</v>
      </c>
      <c r="B1561" s="2"/>
      <c r="C1561" s="2"/>
      <c r="D1561" s="2"/>
      <c r="E1561" s="3"/>
      <c r="F1561" s="3"/>
      <c r="G1561" s="2"/>
      <c r="H1561" s="2"/>
      <c r="I1561" s="46"/>
      <c r="J1561" s="12"/>
      <c r="K1561" s="2"/>
      <c r="L1561" s="59"/>
    </row>
    <row r="1562" spans="1:12" x14ac:dyDescent="0.35">
      <c r="A1562" s="45">
        <v>1558</v>
      </c>
      <c r="B1562" s="2"/>
      <c r="C1562" s="2"/>
      <c r="D1562" s="2"/>
      <c r="E1562" s="3"/>
      <c r="F1562" s="3"/>
      <c r="G1562" s="2"/>
      <c r="H1562" s="2"/>
      <c r="I1562" s="46"/>
      <c r="J1562" s="12"/>
      <c r="K1562" s="2"/>
      <c r="L1562" s="59"/>
    </row>
    <row r="1563" spans="1:12" x14ac:dyDescent="0.35">
      <c r="A1563" s="45">
        <v>1559</v>
      </c>
      <c r="B1563" s="2"/>
      <c r="C1563" s="2"/>
      <c r="D1563" s="2"/>
      <c r="E1563" s="3"/>
      <c r="F1563" s="3"/>
      <c r="G1563" s="2"/>
      <c r="H1563" s="2"/>
      <c r="I1563" s="46"/>
      <c r="J1563" s="12"/>
      <c r="K1563" s="2"/>
      <c r="L1563" s="59"/>
    </row>
    <row r="1564" spans="1:12" x14ac:dyDescent="0.35">
      <c r="A1564" s="45">
        <v>1560</v>
      </c>
      <c r="B1564" s="2"/>
      <c r="C1564" s="2"/>
      <c r="D1564" s="2"/>
      <c r="E1564" s="3"/>
      <c r="F1564" s="3"/>
      <c r="G1564" s="2"/>
      <c r="H1564" s="2"/>
      <c r="I1564" s="46"/>
      <c r="J1564" s="12"/>
      <c r="K1564" s="2"/>
      <c r="L1564" s="59"/>
    </row>
    <row r="1565" spans="1:12" x14ac:dyDescent="0.35">
      <c r="A1565" s="45">
        <v>1561</v>
      </c>
      <c r="B1565" s="2"/>
      <c r="C1565" s="2"/>
      <c r="D1565" s="2"/>
      <c r="E1565" s="3"/>
      <c r="F1565" s="3"/>
      <c r="G1565" s="2"/>
      <c r="H1565" s="2"/>
      <c r="I1565" s="46"/>
      <c r="J1565" s="12"/>
      <c r="K1565" s="2"/>
      <c r="L1565" s="59"/>
    </row>
    <row r="1566" spans="1:12" x14ac:dyDescent="0.35">
      <c r="A1566" s="45">
        <v>1562</v>
      </c>
      <c r="B1566" s="2"/>
      <c r="C1566" s="2"/>
      <c r="D1566" s="2"/>
      <c r="E1566" s="3"/>
      <c r="F1566" s="3"/>
      <c r="G1566" s="2"/>
      <c r="H1566" s="2"/>
      <c r="I1566" s="46"/>
      <c r="J1566" s="12"/>
      <c r="K1566" s="2"/>
      <c r="L1566" s="59"/>
    </row>
    <row r="1567" spans="1:12" x14ac:dyDescent="0.35">
      <c r="A1567" s="45">
        <v>1563</v>
      </c>
      <c r="B1567" s="2"/>
      <c r="C1567" s="2"/>
      <c r="D1567" s="2"/>
      <c r="E1567" s="3"/>
      <c r="F1567" s="3"/>
      <c r="G1567" s="2"/>
      <c r="H1567" s="2"/>
      <c r="I1567" s="46"/>
      <c r="J1567" s="12"/>
      <c r="K1567" s="2"/>
      <c r="L1567" s="59"/>
    </row>
    <row r="1568" spans="1:12" x14ac:dyDescent="0.35">
      <c r="A1568" s="45">
        <v>1564</v>
      </c>
      <c r="B1568" s="2"/>
      <c r="C1568" s="2"/>
      <c r="D1568" s="2"/>
      <c r="E1568" s="3"/>
      <c r="F1568" s="3"/>
      <c r="G1568" s="2"/>
      <c r="H1568" s="2"/>
      <c r="I1568" s="46"/>
      <c r="J1568" s="12"/>
      <c r="K1568" s="2"/>
      <c r="L1568" s="59"/>
    </row>
    <row r="1569" spans="1:12" x14ac:dyDescent="0.35">
      <c r="A1569" s="45">
        <v>1565</v>
      </c>
      <c r="B1569" s="2"/>
      <c r="C1569" s="2"/>
      <c r="D1569" s="2"/>
      <c r="E1569" s="3"/>
      <c r="F1569" s="3"/>
      <c r="G1569" s="2"/>
      <c r="H1569" s="2"/>
      <c r="I1569" s="46"/>
      <c r="J1569" s="12"/>
      <c r="K1569" s="2"/>
      <c r="L1569" s="59"/>
    </row>
    <row r="1570" spans="1:12" x14ac:dyDescent="0.35">
      <c r="A1570" s="45">
        <v>1566</v>
      </c>
      <c r="B1570" s="2"/>
      <c r="C1570" s="2"/>
      <c r="D1570" s="2"/>
      <c r="E1570" s="3"/>
      <c r="F1570" s="3"/>
      <c r="G1570" s="2"/>
      <c r="H1570" s="2"/>
      <c r="I1570" s="46"/>
      <c r="J1570" s="12"/>
      <c r="K1570" s="2"/>
      <c r="L1570" s="59"/>
    </row>
    <row r="1571" spans="1:12" x14ac:dyDescent="0.35">
      <c r="A1571" s="45">
        <v>1567</v>
      </c>
      <c r="B1571" s="2"/>
      <c r="C1571" s="2"/>
      <c r="D1571" s="2"/>
      <c r="E1571" s="3"/>
      <c r="F1571" s="3"/>
      <c r="G1571" s="2"/>
      <c r="H1571" s="2"/>
      <c r="I1571" s="46"/>
      <c r="J1571" s="12"/>
      <c r="K1571" s="2"/>
      <c r="L1571" s="59"/>
    </row>
    <row r="1572" spans="1:12" x14ac:dyDescent="0.35">
      <c r="A1572" s="45">
        <v>1568</v>
      </c>
      <c r="B1572" s="2"/>
      <c r="C1572" s="2"/>
      <c r="D1572" s="2"/>
      <c r="E1572" s="3"/>
      <c r="F1572" s="3"/>
      <c r="G1572" s="2"/>
      <c r="H1572" s="2"/>
      <c r="I1572" s="46"/>
      <c r="J1572" s="12"/>
      <c r="K1572" s="2"/>
      <c r="L1572" s="59"/>
    </row>
    <row r="1573" spans="1:12" x14ac:dyDescent="0.35">
      <c r="A1573" s="45">
        <v>1569</v>
      </c>
      <c r="B1573" s="2"/>
      <c r="C1573" s="2"/>
      <c r="D1573" s="2"/>
      <c r="E1573" s="3"/>
      <c r="F1573" s="3"/>
      <c r="G1573" s="2"/>
      <c r="H1573" s="2"/>
      <c r="I1573" s="46"/>
      <c r="J1573" s="12"/>
      <c r="K1573" s="2"/>
      <c r="L1573" s="59"/>
    </row>
    <row r="1574" spans="1:12" x14ac:dyDescent="0.35">
      <c r="A1574" s="45">
        <v>1570</v>
      </c>
      <c r="B1574" s="2"/>
      <c r="C1574" s="2"/>
      <c r="D1574" s="2"/>
      <c r="E1574" s="3"/>
      <c r="F1574" s="3"/>
      <c r="G1574" s="2"/>
      <c r="H1574" s="2"/>
      <c r="I1574" s="46"/>
      <c r="J1574" s="12"/>
      <c r="K1574" s="2"/>
      <c r="L1574" s="59"/>
    </row>
    <row r="1575" spans="1:12" x14ac:dyDescent="0.35">
      <c r="A1575" s="45">
        <v>1571</v>
      </c>
      <c r="B1575" s="2"/>
      <c r="C1575" s="2"/>
      <c r="D1575" s="2"/>
      <c r="E1575" s="3"/>
      <c r="F1575" s="3"/>
      <c r="G1575" s="2"/>
      <c r="H1575" s="2"/>
      <c r="I1575" s="46"/>
      <c r="J1575" s="12"/>
      <c r="K1575" s="2"/>
      <c r="L1575" s="59"/>
    </row>
    <row r="1576" spans="1:12" x14ac:dyDescent="0.35">
      <c r="A1576" s="45">
        <v>1572</v>
      </c>
      <c r="B1576" s="2"/>
      <c r="C1576" s="2"/>
      <c r="D1576" s="2"/>
      <c r="E1576" s="3"/>
      <c r="F1576" s="3"/>
      <c r="G1576" s="2"/>
      <c r="H1576" s="2"/>
      <c r="I1576" s="46"/>
      <c r="J1576" s="12"/>
      <c r="K1576" s="2"/>
      <c r="L1576" s="59"/>
    </row>
    <row r="1577" spans="1:12" x14ac:dyDescent="0.35">
      <c r="A1577" s="45">
        <v>1573</v>
      </c>
      <c r="B1577" s="2"/>
      <c r="C1577" s="2"/>
      <c r="D1577" s="2"/>
      <c r="E1577" s="3"/>
      <c r="F1577" s="3"/>
      <c r="G1577" s="2"/>
      <c r="H1577" s="2"/>
      <c r="I1577" s="46"/>
      <c r="J1577" s="12"/>
      <c r="K1577" s="2"/>
      <c r="L1577" s="59"/>
    </row>
    <row r="1578" spans="1:12" x14ac:dyDescent="0.35">
      <c r="A1578" s="45">
        <v>1574</v>
      </c>
      <c r="B1578" s="2"/>
      <c r="C1578" s="2"/>
      <c r="D1578" s="2"/>
      <c r="E1578" s="3"/>
      <c r="F1578" s="3"/>
      <c r="G1578" s="2"/>
      <c r="H1578" s="2"/>
      <c r="I1578" s="46"/>
      <c r="J1578" s="12"/>
      <c r="K1578" s="2"/>
      <c r="L1578" s="59"/>
    </row>
    <row r="1579" spans="1:12" x14ac:dyDescent="0.35">
      <c r="A1579" s="45">
        <v>1575</v>
      </c>
      <c r="B1579" s="2"/>
      <c r="C1579" s="2"/>
      <c r="D1579" s="2"/>
      <c r="E1579" s="3"/>
      <c r="F1579" s="3"/>
      <c r="G1579" s="2"/>
      <c r="H1579" s="2"/>
      <c r="I1579" s="46"/>
      <c r="J1579" s="12"/>
      <c r="K1579" s="2"/>
      <c r="L1579" s="59"/>
    </row>
    <row r="1580" spans="1:12" x14ac:dyDescent="0.35">
      <c r="A1580" s="45">
        <v>1576</v>
      </c>
      <c r="B1580" s="2"/>
      <c r="C1580" s="2"/>
      <c r="D1580" s="2"/>
      <c r="E1580" s="3"/>
      <c r="F1580" s="3"/>
      <c r="G1580" s="2"/>
      <c r="H1580" s="2"/>
      <c r="I1580" s="46"/>
      <c r="J1580" s="12"/>
      <c r="K1580" s="2"/>
      <c r="L1580" s="59"/>
    </row>
    <row r="1581" spans="1:12" x14ac:dyDescent="0.35">
      <c r="A1581" s="45">
        <v>1577</v>
      </c>
      <c r="B1581" s="2"/>
      <c r="C1581" s="2"/>
      <c r="D1581" s="2"/>
      <c r="E1581" s="3"/>
      <c r="F1581" s="3"/>
      <c r="G1581" s="2"/>
      <c r="H1581" s="2"/>
      <c r="I1581" s="46"/>
      <c r="J1581" s="12"/>
      <c r="K1581" s="2"/>
      <c r="L1581" s="59"/>
    </row>
    <row r="1582" spans="1:12" x14ac:dyDescent="0.35">
      <c r="A1582" s="45">
        <v>1578</v>
      </c>
      <c r="B1582" s="2"/>
      <c r="C1582" s="2"/>
      <c r="D1582" s="2"/>
      <c r="E1582" s="3"/>
      <c r="F1582" s="3"/>
      <c r="G1582" s="2"/>
      <c r="H1582" s="2"/>
      <c r="I1582" s="46"/>
      <c r="J1582" s="12"/>
      <c r="K1582" s="2"/>
      <c r="L1582" s="59"/>
    </row>
    <row r="1583" spans="1:12" x14ac:dyDescent="0.35">
      <c r="A1583" s="45">
        <v>1579</v>
      </c>
      <c r="B1583" s="2"/>
      <c r="C1583" s="2"/>
      <c r="D1583" s="2"/>
      <c r="E1583" s="3"/>
      <c r="F1583" s="3"/>
      <c r="G1583" s="2"/>
      <c r="H1583" s="2"/>
      <c r="I1583" s="46"/>
      <c r="J1583" s="12"/>
      <c r="K1583" s="2"/>
      <c r="L1583" s="59"/>
    </row>
    <row r="1584" spans="1:12" x14ac:dyDescent="0.35">
      <c r="A1584" s="45">
        <v>1580</v>
      </c>
      <c r="B1584" s="2"/>
      <c r="C1584" s="2"/>
      <c r="D1584" s="2"/>
      <c r="E1584" s="3"/>
      <c r="F1584" s="3"/>
      <c r="G1584" s="2"/>
      <c r="H1584" s="2"/>
      <c r="I1584" s="46"/>
      <c r="J1584" s="12"/>
      <c r="K1584" s="2"/>
      <c r="L1584" s="59"/>
    </row>
    <row r="1585" spans="1:12" x14ac:dyDescent="0.35">
      <c r="A1585" s="45">
        <v>1581</v>
      </c>
      <c r="B1585" s="2"/>
      <c r="C1585" s="2"/>
      <c r="D1585" s="2"/>
      <c r="E1585" s="3"/>
      <c r="F1585" s="3"/>
      <c r="G1585" s="2"/>
      <c r="H1585" s="2"/>
      <c r="I1585" s="46"/>
      <c r="J1585" s="12"/>
      <c r="K1585" s="2"/>
      <c r="L1585" s="59"/>
    </row>
    <row r="1586" spans="1:12" x14ac:dyDescent="0.35">
      <c r="A1586" s="45">
        <v>1582</v>
      </c>
      <c r="B1586" s="2"/>
      <c r="C1586" s="2"/>
      <c r="D1586" s="2"/>
      <c r="E1586" s="3"/>
      <c r="F1586" s="3"/>
      <c r="G1586" s="2"/>
      <c r="H1586" s="2"/>
      <c r="I1586" s="46"/>
      <c r="J1586" s="12"/>
      <c r="K1586" s="2"/>
      <c r="L1586" s="59"/>
    </row>
    <row r="1587" spans="1:12" x14ac:dyDescent="0.35">
      <c r="A1587" s="45">
        <v>1583</v>
      </c>
      <c r="B1587" s="2"/>
      <c r="C1587" s="2"/>
      <c r="D1587" s="2"/>
      <c r="E1587" s="3"/>
      <c r="F1587" s="3"/>
      <c r="G1587" s="2"/>
      <c r="H1587" s="2"/>
      <c r="I1587" s="46"/>
      <c r="J1587" s="12"/>
      <c r="K1587" s="2"/>
      <c r="L1587" s="59"/>
    </row>
    <row r="1588" spans="1:12" x14ac:dyDescent="0.35">
      <c r="A1588" s="45">
        <v>1584</v>
      </c>
      <c r="B1588" s="2"/>
      <c r="C1588" s="2"/>
      <c r="D1588" s="2"/>
      <c r="E1588" s="3"/>
      <c r="F1588" s="3"/>
      <c r="G1588" s="2"/>
      <c r="H1588" s="2"/>
      <c r="I1588" s="46"/>
      <c r="J1588" s="12"/>
      <c r="K1588" s="2"/>
      <c r="L1588" s="59"/>
    </row>
    <row r="1589" spans="1:12" x14ac:dyDescent="0.35">
      <c r="A1589" s="45">
        <v>1585</v>
      </c>
      <c r="B1589" s="2"/>
      <c r="C1589" s="2"/>
      <c r="D1589" s="2"/>
      <c r="E1589" s="3"/>
      <c r="F1589" s="3"/>
      <c r="G1589" s="2"/>
      <c r="H1589" s="2"/>
      <c r="I1589" s="46"/>
      <c r="J1589" s="12"/>
      <c r="K1589" s="2"/>
      <c r="L1589" s="59"/>
    </row>
    <row r="1590" spans="1:12" x14ac:dyDescent="0.35">
      <c r="A1590" s="45">
        <v>1586</v>
      </c>
      <c r="B1590" s="2"/>
      <c r="C1590" s="2"/>
      <c r="D1590" s="2"/>
      <c r="E1590" s="3"/>
      <c r="F1590" s="3"/>
      <c r="G1590" s="2"/>
      <c r="H1590" s="2"/>
      <c r="I1590" s="46"/>
      <c r="J1590" s="12"/>
      <c r="K1590" s="2"/>
      <c r="L1590" s="59"/>
    </row>
    <row r="1591" spans="1:12" x14ac:dyDescent="0.35">
      <c r="A1591" s="45">
        <v>1587</v>
      </c>
      <c r="B1591" s="2"/>
      <c r="C1591" s="2"/>
      <c r="D1591" s="2"/>
      <c r="E1591" s="3"/>
      <c r="F1591" s="3"/>
      <c r="G1591" s="2"/>
      <c r="H1591" s="2"/>
      <c r="I1591" s="46"/>
      <c r="J1591" s="12"/>
      <c r="K1591" s="2"/>
      <c r="L1591" s="59"/>
    </row>
    <row r="1592" spans="1:12" x14ac:dyDescent="0.35">
      <c r="A1592" s="45">
        <v>1588</v>
      </c>
      <c r="B1592" s="2"/>
      <c r="C1592" s="2"/>
      <c r="D1592" s="2"/>
      <c r="E1592" s="3"/>
      <c r="F1592" s="3"/>
      <c r="G1592" s="2"/>
      <c r="H1592" s="2"/>
      <c r="I1592" s="46"/>
      <c r="J1592" s="12"/>
      <c r="K1592" s="2"/>
      <c r="L1592" s="59"/>
    </row>
    <row r="1593" spans="1:12" x14ac:dyDescent="0.35">
      <c r="A1593" s="45">
        <v>1589</v>
      </c>
      <c r="B1593" s="2"/>
      <c r="C1593" s="2"/>
      <c r="D1593" s="2"/>
      <c r="E1593" s="3"/>
      <c r="F1593" s="3"/>
      <c r="G1593" s="2"/>
      <c r="H1593" s="2"/>
      <c r="I1593" s="46"/>
      <c r="J1593" s="12"/>
      <c r="K1593" s="2"/>
      <c r="L1593" s="59"/>
    </row>
    <row r="1594" spans="1:12" x14ac:dyDescent="0.35">
      <c r="A1594" s="45">
        <v>1590</v>
      </c>
      <c r="B1594" s="2"/>
      <c r="C1594" s="2"/>
      <c r="D1594" s="2"/>
      <c r="E1594" s="3"/>
      <c r="F1594" s="3"/>
      <c r="G1594" s="2"/>
      <c r="H1594" s="2"/>
      <c r="I1594" s="46"/>
      <c r="J1594" s="12"/>
      <c r="K1594" s="2"/>
      <c r="L1594" s="59"/>
    </row>
    <row r="1595" spans="1:12" x14ac:dyDescent="0.35">
      <c r="A1595" s="45">
        <v>1591</v>
      </c>
      <c r="B1595" s="2"/>
      <c r="C1595" s="2"/>
      <c r="D1595" s="2"/>
      <c r="E1595" s="3"/>
      <c r="F1595" s="3"/>
      <c r="G1595" s="2"/>
      <c r="H1595" s="2"/>
      <c r="I1595" s="46"/>
      <c r="J1595" s="12"/>
      <c r="K1595" s="2"/>
      <c r="L1595" s="59"/>
    </row>
    <row r="1596" spans="1:12" x14ac:dyDescent="0.35">
      <c r="A1596" s="45">
        <v>1592</v>
      </c>
      <c r="B1596" s="2"/>
      <c r="C1596" s="2"/>
      <c r="D1596" s="2"/>
      <c r="E1596" s="3"/>
      <c r="F1596" s="3"/>
      <c r="G1596" s="2"/>
      <c r="H1596" s="2"/>
      <c r="I1596" s="46"/>
      <c r="J1596" s="12"/>
      <c r="K1596" s="2"/>
      <c r="L1596" s="59"/>
    </row>
    <row r="1597" spans="1:12" x14ac:dyDescent="0.35">
      <c r="A1597" s="45">
        <v>1593</v>
      </c>
      <c r="B1597" s="2"/>
      <c r="C1597" s="2"/>
      <c r="D1597" s="2"/>
      <c r="E1597" s="3"/>
      <c r="F1597" s="3"/>
      <c r="G1597" s="2"/>
      <c r="H1597" s="2"/>
      <c r="I1597" s="46"/>
      <c r="J1597" s="12"/>
      <c r="K1597" s="2"/>
      <c r="L1597" s="59"/>
    </row>
    <row r="1598" spans="1:12" x14ac:dyDescent="0.35">
      <c r="A1598" s="45">
        <v>1594</v>
      </c>
      <c r="B1598" s="2"/>
      <c r="C1598" s="2"/>
      <c r="D1598" s="2"/>
      <c r="E1598" s="3"/>
      <c r="F1598" s="3"/>
      <c r="G1598" s="2"/>
      <c r="H1598" s="2"/>
      <c r="I1598" s="46"/>
      <c r="J1598" s="12"/>
      <c r="K1598" s="2"/>
      <c r="L1598" s="59"/>
    </row>
    <row r="1599" spans="1:12" x14ac:dyDescent="0.35">
      <c r="A1599" s="45">
        <v>1595</v>
      </c>
      <c r="B1599" s="2"/>
      <c r="C1599" s="2"/>
      <c r="D1599" s="2"/>
      <c r="E1599" s="3"/>
      <c r="F1599" s="3"/>
      <c r="G1599" s="2"/>
      <c r="H1599" s="2"/>
      <c r="I1599" s="46"/>
      <c r="J1599" s="12"/>
      <c r="K1599" s="2"/>
      <c r="L1599" s="59"/>
    </row>
    <row r="1600" spans="1:12" x14ac:dyDescent="0.35">
      <c r="A1600" s="45">
        <v>1596</v>
      </c>
      <c r="B1600" s="2"/>
      <c r="C1600" s="2"/>
      <c r="D1600" s="2"/>
      <c r="E1600" s="3"/>
      <c r="F1600" s="3"/>
      <c r="G1600" s="2"/>
      <c r="H1600" s="2"/>
      <c r="I1600" s="46"/>
      <c r="J1600" s="12"/>
      <c r="K1600" s="2"/>
      <c r="L1600" s="59"/>
    </row>
    <row r="1601" spans="1:12" x14ac:dyDescent="0.35">
      <c r="A1601" s="45">
        <v>1597</v>
      </c>
      <c r="B1601" s="2"/>
      <c r="C1601" s="2"/>
      <c r="D1601" s="2"/>
      <c r="E1601" s="3"/>
      <c r="F1601" s="3"/>
      <c r="G1601" s="2"/>
      <c r="H1601" s="2"/>
      <c r="I1601" s="46"/>
      <c r="J1601" s="12"/>
      <c r="K1601" s="2"/>
      <c r="L1601" s="59"/>
    </row>
    <row r="1602" spans="1:12" x14ac:dyDescent="0.35">
      <c r="A1602" s="45">
        <v>1598</v>
      </c>
      <c r="B1602" s="2"/>
      <c r="C1602" s="2"/>
      <c r="D1602" s="2"/>
      <c r="E1602" s="3"/>
      <c r="F1602" s="3"/>
      <c r="G1602" s="2"/>
      <c r="H1602" s="2"/>
      <c r="I1602" s="46"/>
      <c r="J1602" s="12"/>
      <c r="K1602" s="2"/>
      <c r="L1602" s="59"/>
    </row>
    <row r="1603" spans="1:12" x14ac:dyDescent="0.35">
      <c r="A1603" s="45">
        <v>1599</v>
      </c>
      <c r="B1603" s="2"/>
      <c r="C1603" s="2"/>
      <c r="D1603" s="2"/>
      <c r="E1603" s="3"/>
      <c r="F1603" s="3"/>
      <c r="G1603" s="2"/>
      <c r="H1603" s="2"/>
      <c r="I1603" s="46"/>
      <c r="J1603" s="12"/>
      <c r="K1603" s="2"/>
      <c r="L1603" s="59"/>
    </row>
    <row r="1604" spans="1:12" x14ac:dyDescent="0.35">
      <c r="A1604" s="45">
        <v>1600</v>
      </c>
      <c r="B1604" s="2"/>
      <c r="C1604" s="2"/>
      <c r="D1604" s="2"/>
      <c r="E1604" s="3"/>
      <c r="F1604" s="3"/>
      <c r="G1604" s="2"/>
      <c r="H1604" s="2"/>
      <c r="I1604" s="46"/>
      <c r="J1604" s="12"/>
      <c r="K1604" s="2"/>
      <c r="L1604" s="59"/>
    </row>
    <row r="1605" spans="1:12" x14ac:dyDescent="0.35">
      <c r="A1605" s="45">
        <v>1601</v>
      </c>
      <c r="B1605" s="2"/>
      <c r="C1605" s="2"/>
      <c r="D1605" s="2"/>
      <c r="E1605" s="3"/>
      <c r="F1605" s="3"/>
      <c r="G1605" s="2"/>
      <c r="H1605" s="2"/>
      <c r="I1605" s="46"/>
      <c r="J1605" s="12"/>
      <c r="K1605" s="2"/>
      <c r="L1605" s="59"/>
    </row>
    <row r="1606" spans="1:12" x14ac:dyDescent="0.35">
      <c r="A1606" s="45">
        <v>1602</v>
      </c>
      <c r="B1606" s="2"/>
      <c r="C1606" s="2"/>
      <c r="D1606" s="2"/>
      <c r="E1606" s="3"/>
      <c r="F1606" s="3"/>
      <c r="G1606" s="2"/>
      <c r="H1606" s="2"/>
      <c r="I1606" s="46"/>
      <c r="J1606" s="12"/>
      <c r="K1606" s="2"/>
      <c r="L1606" s="59"/>
    </row>
    <row r="1607" spans="1:12" x14ac:dyDescent="0.35">
      <c r="A1607" s="45">
        <v>1603</v>
      </c>
      <c r="B1607" s="2"/>
      <c r="C1607" s="2"/>
      <c r="D1607" s="2"/>
      <c r="E1607" s="3"/>
      <c r="F1607" s="3"/>
      <c r="G1607" s="2"/>
      <c r="H1607" s="2"/>
      <c r="I1607" s="46"/>
      <c r="J1607" s="12"/>
      <c r="K1607" s="2"/>
      <c r="L1607" s="59"/>
    </row>
    <row r="1608" spans="1:12" x14ac:dyDescent="0.35">
      <c r="A1608" s="45">
        <v>1604</v>
      </c>
      <c r="B1608" s="2"/>
      <c r="C1608" s="2"/>
      <c r="D1608" s="2"/>
      <c r="E1608" s="3"/>
      <c r="F1608" s="3"/>
      <c r="G1608" s="2"/>
      <c r="H1608" s="2"/>
      <c r="I1608" s="46"/>
      <c r="J1608" s="12"/>
      <c r="K1608" s="2"/>
      <c r="L1608" s="59"/>
    </row>
    <row r="1609" spans="1:12" x14ac:dyDescent="0.35">
      <c r="A1609" s="45">
        <v>1605</v>
      </c>
      <c r="B1609" s="2"/>
      <c r="C1609" s="2"/>
      <c r="D1609" s="2"/>
      <c r="E1609" s="3"/>
      <c r="F1609" s="3"/>
      <c r="G1609" s="2"/>
      <c r="H1609" s="2"/>
      <c r="I1609" s="46"/>
      <c r="J1609" s="12"/>
      <c r="K1609" s="2"/>
      <c r="L1609" s="59"/>
    </row>
    <row r="1610" spans="1:12" x14ac:dyDescent="0.35">
      <c r="A1610" s="45">
        <v>1606</v>
      </c>
      <c r="B1610" s="2"/>
      <c r="C1610" s="2"/>
      <c r="D1610" s="2"/>
      <c r="E1610" s="3"/>
      <c r="F1610" s="3"/>
      <c r="G1610" s="2"/>
      <c r="H1610" s="2"/>
      <c r="I1610" s="46"/>
      <c r="J1610" s="12"/>
      <c r="K1610" s="2"/>
      <c r="L1610" s="59"/>
    </row>
    <row r="1611" spans="1:12" x14ac:dyDescent="0.35">
      <c r="A1611" s="45">
        <v>1607</v>
      </c>
      <c r="B1611" s="2"/>
      <c r="C1611" s="2"/>
      <c r="D1611" s="2"/>
      <c r="E1611" s="3"/>
      <c r="F1611" s="3"/>
      <c r="G1611" s="2"/>
      <c r="H1611" s="2"/>
      <c r="I1611" s="46"/>
      <c r="J1611" s="12"/>
      <c r="K1611" s="2"/>
      <c r="L1611" s="59"/>
    </row>
    <row r="1612" spans="1:12" x14ac:dyDescent="0.35">
      <c r="A1612" s="45">
        <v>1608</v>
      </c>
      <c r="B1612" s="2"/>
      <c r="C1612" s="2"/>
      <c r="D1612" s="2"/>
      <c r="E1612" s="3"/>
      <c r="F1612" s="3"/>
      <c r="G1612" s="2"/>
      <c r="H1612" s="2"/>
      <c r="I1612" s="46"/>
      <c r="J1612" s="12"/>
      <c r="K1612" s="2"/>
      <c r="L1612" s="59"/>
    </row>
    <row r="1613" spans="1:12" x14ac:dyDescent="0.35">
      <c r="A1613" s="45">
        <v>1609</v>
      </c>
      <c r="B1613" s="2"/>
      <c r="C1613" s="2"/>
      <c r="D1613" s="2"/>
      <c r="E1613" s="3"/>
      <c r="F1613" s="3"/>
      <c r="G1613" s="2"/>
      <c r="H1613" s="2"/>
      <c r="I1613" s="46"/>
      <c r="J1613" s="12"/>
      <c r="K1613" s="2"/>
      <c r="L1613" s="59"/>
    </row>
    <row r="1614" spans="1:12" x14ac:dyDescent="0.35">
      <c r="A1614" s="45">
        <v>1610</v>
      </c>
      <c r="B1614" s="2"/>
      <c r="C1614" s="2"/>
      <c r="D1614" s="2"/>
      <c r="E1614" s="3"/>
      <c r="F1614" s="3"/>
      <c r="G1614" s="2"/>
      <c r="H1614" s="2"/>
      <c r="I1614" s="46"/>
      <c r="J1614" s="12"/>
      <c r="K1614" s="2"/>
      <c r="L1614" s="59"/>
    </row>
    <row r="1615" spans="1:12" x14ac:dyDescent="0.35">
      <c r="A1615" s="45">
        <v>1611</v>
      </c>
      <c r="B1615" s="2"/>
      <c r="C1615" s="2"/>
      <c r="D1615" s="2"/>
      <c r="E1615" s="3"/>
      <c r="F1615" s="3"/>
      <c r="G1615" s="2"/>
      <c r="H1615" s="2"/>
      <c r="I1615" s="46"/>
      <c r="J1615" s="12"/>
      <c r="K1615" s="2"/>
      <c r="L1615" s="59"/>
    </row>
    <row r="1616" spans="1:12" x14ac:dyDescent="0.35">
      <c r="A1616" s="45">
        <v>1612</v>
      </c>
      <c r="B1616" s="2"/>
      <c r="C1616" s="2"/>
      <c r="D1616" s="2"/>
      <c r="E1616" s="3"/>
      <c r="F1616" s="3"/>
      <c r="G1616" s="2"/>
      <c r="H1616" s="2"/>
      <c r="I1616" s="46"/>
      <c r="J1616" s="12"/>
      <c r="K1616" s="2"/>
      <c r="L1616" s="59"/>
    </row>
    <row r="1617" spans="1:12" x14ac:dyDescent="0.35">
      <c r="A1617" s="45">
        <v>1613</v>
      </c>
      <c r="B1617" s="2"/>
      <c r="C1617" s="2"/>
      <c r="D1617" s="2"/>
      <c r="E1617" s="3"/>
      <c r="F1617" s="3"/>
      <c r="G1617" s="2"/>
      <c r="H1617" s="2"/>
      <c r="I1617" s="46"/>
      <c r="J1617" s="12"/>
      <c r="K1617" s="2"/>
      <c r="L1617" s="59"/>
    </row>
    <row r="1618" spans="1:12" x14ac:dyDescent="0.35">
      <c r="A1618" s="45">
        <v>1614</v>
      </c>
      <c r="B1618" s="2"/>
      <c r="C1618" s="2"/>
      <c r="D1618" s="2"/>
      <c r="E1618" s="3"/>
      <c r="F1618" s="3"/>
      <c r="G1618" s="2"/>
      <c r="H1618" s="2"/>
      <c r="I1618" s="46"/>
      <c r="J1618" s="12"/>
      <c r="K1618" s="2"/>
      <c r="L1618" s="59"/>
    </row>
    <row r="1619" spans="1:12" x14ac:dyDescent="0.35">
      <c r="A1619" s="45">
        <v>1615</v>
      </c>
      <c r="B1619" s="2"/>
      <c r="C1619" s="2"/>
      <c r="D1619" s="2"/>
      <c r="E1619" s="3"/>
      <c r="F1619" s="3"/>
      <c r="G1619" s="2"/>
      <c r="H1619" s="2"/>
      <c r="I1619" s="46"/>
      <c r="J1619" s="12"/>
      <c r="K1619" s="2"/>
      <c r="L1619" s="59"/>
    </row>
    <row r="1620" spans="1:12" x14ac:dyDescent="0.35">
      <c r="A1620" s="45">
        <v>1616</v>
      </c>
      <c r="B1620" s="2"/>
      <c r="C1620" s="2"/>
      <c r="D1620" s="2"/>
      <c r="E1620" s="3"/>
      <c r="F1620" s="3"/>
      <c r="G1620" s="2"/>
      <c r="H1620" s="2"/>
      <c r="I1620" s="46"/>
      <c r="J1620" s="12"/>
      <c r="K1620" s="2"/>
      <c r="L1620" s="59"/>
    </row>
    <row r="1621" spans="1:12" x14ac:dyDescent="0.35">
      <c r="A1621" s="45">
        <v>1617</v>
      </c>
      <c r="B1621" s="2"/>
      <c r="C1621" s="2"/>
      <c r="D1621" s="2"/>
      <c r="E1621" s="3"/>
      <c r="F1621" s="3"/>
      <c r="G1621" s="2"/>
      <c r="H1621" s="2"/>
      <c r="I1621" s="46"/>
      <c r="J1621" s="12"/>
      <c r="K1621" s="2"/>
      <c r="L1621" s="59"/>
    </row>
    <row r="1622" spans="1:12" x14ac:dyDescent="0.35">
      <c r="A1622" s="45">
        <v>1618</v>
      </c>
      <c r="B1622" s="2"/>
      <c r="C1622" s="2"/>
      <c r="D1622" s="2"/>
      <c r="E1622" s="3"/>
      <c r="F1622" s="3"/>
      <c r="G1622" s="2"/>
      <c r="H1622" s="2"/>
      <c r="I1622" s="46"/>
      <c r="J1622" s="12"/>
      <c r="K1622" s="2"/>
      <c r="L1622" s="59"/>
    </row>
    <row r="1623" spans="1:12" x14ac:dyDescent="0.35">
      <c r="A1623" s="45">
        <v>1619</v>
      </c>
      <c r="B1623" s="2"/>
      <c r="C1623" s="2"/>
      <c r="D1623" s="2"/>
      <c r="E1623" s="3"/>
      <c r="F1623" s="3"/>
      <c r="G1623" s="2"/>
      <c r="H1623" s="2"/>
      <c r="I1623" s="46"/>
      <c r="J1623" s="12"/>
      <c r="K1623" s="2"/>
      <c r="L1623" s="59"/>
    </row>
    <row r="1624" spans="1:12" x14ac:dyDescent="0.35">
      <c r="A1624" s="45">
        <v>1620</v>
      </c>
      <c r="B1624" s="2"/>
      <c r="C1624" s="2"/>
      <c r="D1624" s="2"/>
      <c r="E1624" s="3"/>
      <c r="F1624" s="3"/>
      <c r="G1624" s="2"/>
      <c r="H1624" s="2"/>
      <c r="I1624" s="46"/>
      <c r="J1624" s="12"/>
      <c r="K1624" s="2"/>
      <c r="L1624" s="59"/>
    </row>
    <row r="1625" spans="1:12" x14ac:dyDescent="0.35">
      <c r="A1625" s="45">
        <v>1621</v>
      </c>
      <c r="B1625" s="2"/>
      <c r="C1625" s="2"/>
      <c r="D1625" s="2"/>
      <c r="E1625" s="3"/>
      <c r="F1625" s="3"/>
      <c r="G1625" s="2"/>
      <c r="H1625" s="2"/>
      <c r="I1625" s="46"/>
      <c r="J1625" s="12"/>
      <c r="K1625" s="2"/>
      <c r="L1625" s="59"/>
    </row>
    <row r="1626" spans="1:12" x14ac:dyDescent="0.35">
      <c r="A1626" s="45">
        <v>1622</v>
      </c>
      <c r="B1626" s="2"/>
      <c r="C1626" s="2"/>
      <c r="D1626" s="2"/>
      <c r="E1626" s="3"/>
      <c r="F1626" s="3"/>
      <c r="G1626" s="2"/>
      <c r="H1626" s="2"/>
      <c r="I1626" s="46"/>
      <c r="J1626" s="12"/>
      <c r="K1626" s="2"/>
      <c r="L1626" s="59"/>
    </row>
    <row r="1627" spans="1:12" x14ac:dyDescent="0.35">
      <c r="A1627" s="45">
        <v>1623</v>
      </c>
      <c r="B1627" s="2"/>
      <c r="C1627" s="2"/>
      <c r="D1627" s="2"/>
      <c r="E1627" s="3"/>
      <c r="F1627" s="3"/>
      <c r="G1627" s="2"/>
      <c r="H1627" s="2"/>
      <c r="I1627" s="46"/>
      <c r="J1627" s="12"/>
      <c r="K1627" s="2"/>
      <c r="L1627" s="59"/>
    </row>
    <row r="1628" spans="1:12" x14ac:dyDescent="0.35">
      <c r="A1628" s="45">
        <v>1624</v>
      </c>
      <c r="B1628" s="2"/>
      <c r="C1628" s="2"/>
      <c r="D1628" s="2"/>
      <c r="E1628" s="3"/>
      <c r="F1628" s="3"/>
      <c r="G1628" s="2"/>
      <c r="H1628" s="2"/>
      <c r="I1628" s="46"/>
      <c r="J1628" s="12"/>
      <c r="K1628" s="2"/>
      <c r="L1628" s="59"/>
    </row>
    <row r="1629" spans="1:12" x14ac:dyDescent="0.35">
      <c r="A1629" s="45">
        <v>1625</v>
      </c>
      <c r="B1629" s="2"/>
      <c r="C1629" s="2"/>
      <c r="D1629" s="2"/>
      <c r="E1629" s="3"/>
      <c r="F1629" s="3"/>
      <c r="G1629" s="2"/>
      <c r="H1629" s="2"/>
      <c r="I1629" s="46"/>
      <c r="J1629" s="12"/>
      <c r="K1629" s="2"/>
      <c r="L1629" s="59"/>
    </row>
    <row r="1630" spans="1:12" x14ac:dyDescent="0.35">
      <c r="A1630" s="45">
        <v>1626</v>
      </c>
      <c r="B1630" s="2"/>
      <c r="C1630" s="2"/>
      <c r="D1630" s="2"/>
      <c r="E1630" s="3"/>
      <c r="F1630" s="3"/>
      <c r="G1630" s="2"/>
      <c r="H1630" s="2"/>
      <c r="I1630" s="46"/>
      <c r="J1630" s="12"/>
      <c r="K1630" s="2"/>
      <c r="L1630" s="59"/>
    </row>
    <row r="1631" spans="1:12" x14ac:dyDescent="0.35">
      <c r="A1631" s="45">
        <v>1627</v>
      </c>
      <c r="B1631" s="2"/>
      <c r="C1631" s="2"/>
      <c r="D1631" s="2"/>
      <c r="E1631" s="3"/>
      <c r="F1631" s="3"/>
      <c r="G1631" s="2"/>
      <c r="H1631" s="2"/>
      <c r="I1631" s="46"/>
      <c r="J1631" s="12"/>
      <c r="K1631" s="2"/>
      <c r="L1631" s="59"/>
    </row>
    <row r="1632" spans="1:12" x14ac:dyDescent="0.35">
      <c r="A1632" s="45">
        <v>1628</v>
      </c>
      <c r="B1632" s="2"/>
      <c r="C1632" s="2"/>
      <c r="D1632" s="2"/>
      <c r="E1632" s="3"/>
      <c r="F1632" s="3"/>
      <c r="G1632" s="2"/>
      <c r="H1632" s="2"/>
      <c r="I1632" s="46"/>
      <c r="J1632" s="12"/>
      <c r="K1632" s="2"/>
      <c r="L1632" s="59"/>
    </row>
    <row r="1633" spans="1:12" x14ac:dyDescent="0.35">
      <c r="A1633" s="45">
        <v>1629</v>
      </c>
      <c r="B1633" s="2"/>
      <c r="C1633" s="2"/>
      <c r="D1633" s="2"/>
      <c r="E1633" s="3"/>
      <c r="F1633" s="3"/>
      <c r="G1633" s="2"/>
      <c r="H1633" s="2"/>
      <c r="I1633" s="46"/>
      <c r="J1633" s="12"/>
      <c r="K1633" s="2"/>
      <c r="L1633" s="59"/>
    </row>
    <row r="1634" spans="1:12" x14ac:dyDescent="0.35">
      <c r="A1634" s="45">
        <v>1630</v>
      </c>
      <c r="B1634" s="2"/>
      <c r="C1634" s="2"/>
      <c r="D1634" s="2"/>
      <c r="E1634" s="3"/>
      <c r="F1634" s="3"/>
      <c r="G1634" s="2"/>
      <c r="H1634" s="2"/>
      <c r="I1634" s="46"/>
      <c r="J1634" s="12"/>
      <c r="K1634" s="2"/>
      <c r="L1634" s="59"/>
    </row>
    <row r="1635" spans="1:12" x14ac:dyDescent="0.35">
      <c r="A1635" s="45">
        <v>1631</v>
      </c>
      <c r="B1635" s="2"/>
      <c r="C1635" s="2"/>
      <c r="D1635" s="2"/>
      <c r="E1635" s="3"/>
      <c r="F1635" s="3"/>
      <c r="G1635" s="2"/>
      <c r="H1635" s="2"/>
      <c r="I1635" s="46"/>
      <c r="J1635" s="12"/>
      <c r="K1635" s="2"/>
      <c r="L1635" s="59"/>
    </row>
    <row r="1636" spans="1:12" x14ac:dyDescent="0.35">
      <c r="A1636" s="45">
        <v>1632</v>
      </c>
      <c r="B1636" s="2"/>
      <c r="C1636" s="2"/>
      <c r="D1636" s="2"/>
      <c r="E1636" s="3"/>
      <c r="F1636" s="3"/>
      <c r="G1636" s="2"/>
      <c r="H1636" s="2"/>
      <c r="I1636" s="46"/>
      <c r="J1636" s="12"/>
      <c r="K1636" s="2"/>
      <c r="L1636" s="59"/>
    </row>
    <row r="1637" spans="1:12" x14ac:dyDescent="0.35">
      <c r="A1637" s="45">
        <v>1633</v>
      </c>
      <c r="B1637" s="2"/>
      <c r="C1637" s="2"/>
      <c r="D1637" s="2"/>
      <c r="E1637" s="3"/>
      <c r="F1637" s="3"/>
      <c r="G1637" s="2"/>
      <c r="H1637" s="2"/>
      <c r="I1637" s="46"/>
      <c r="J1637" s="12"/>
      <c r="K1637" s="2"/>
      <c r="L1637" s="59"/>
    </row>
    <row r="1638" spans="1:12" x14ac:dyDescent="0.35">
      <c r="A1638" s="45">
        <v>1634</v>
      </c>
      <c r="B1638" s="2"/>
      <c r="C1638" s="2"/>
      <c r="D1638" s="2"/>
      <c r="E1638" s="3"/>
      <c r="F1638" s="3"/>
      <c r="G1638" s="2"/>
      <c r="H1638" s="2"/>
      <c r="I1638" s="46"/>
      <c r="J1638" s="12"/>
      <c r="K1638" s="2"/>
      <c r="L1638" s="59"/>
    </row>
    <row r="1639" spans="1:12" x14ac:dyDescent="0.35">
      <c r="A1639" s="45">
        <v>1635</v>
      </c>
      <c r="B1639" s="2"/>
      <c r="C1639" s="2"/>
      <c r="D1639" s="2"/>
      <c r="E1639" s="3"/>
      <c r="F1639" s="3"/>
      <c r="G1639" s="2"/>
      <c r="H1639" s="2"/>
      <c r="I1639" s="46"/>
      <c r="J1639" s="12"/>
      <c r="K1639" s="2"/>
      <c r="L1639" s="59"/>
    </row>
    <row r="1640" spans="1:12" x14ac:dyDescent="0.35">
      <c r="A1640" s="45">
        <v>1636</v>
      </c>
      <c r="B1640" s="2"/>
      <c r="C1640" s="2"/>
      <c r="D1640" s="2"/>
      <c r="E1640" s="3"/>
      <c r="F1640" s="3"/>
      <c r="G1640" s="2"/>
      <c r="H1640" s="2"/>
      <c r="I1640" s="46"/>
      <c r="J1640" s="12"/>
      <c r="K1640" s="2"/>
      <c r="L1640" s="59"/>
    </row>
    <row r="1641" spans="1:12" x14ac:dyDescent="0.35">
      <c r="A1641" s="45">
        <v>1637</v>
      </c>
      <c r="B1641" s="2"/>
      <c r="C1641" s="2"/>
      <c r="D1641" s="2"/>
      <c r="E1641" s="3"/>
      <c r="F1641" s="3"/>
      <c r="G1641" s="2"/>
      <c r="H1641" s="2"/>
      <c r="I1641" s="46"/>
      <c r="J1641" s="12"/>
      <c r="K1641" s="2"/>
      <c r="L1641" s="59"/>
    </row>
    <row r="1642" spans="1:12" x14ac:dyDescent="0.35">
      <c r="A1642" s="45">
        <v>1638</v>
      </c>
      <c r="B1642" s="2"/>
      <c r="C1642" s="2"/>
      <c r="D1642" s="2"/>
      <c r="E1642" s="3"/>
      <c r="F1642" s="3"/>
      <c r="G1642" s="2"/>
      <c r="H1642" s="2"/>
      <c r="I1642" s="46"/>
      <c r="J1642" s="12"/>
      <c r="K1642" s="2"/>
      <c r="L1642" s="59"/>
    </row>
    <row r="1643" spans="1:12" x14ac:dyDescent="0.35">
      <c r="A1643" s="45">
        <v>1639</v>
      </c>
      <c r="B1643" s="2"/>
      <c r="C1643" s="2"/>
      <c r="D1643" s="2"/>
      <c r="E1643" s="3"/>
      <c r="F1643" s="3"/>
      <c r="G1643" s="2"/>
      <c r="H1643" s="2"/>
      <c r="I1643" s="46"/>
      <c r="J1643" s="12"/>
      <c r="K1643" s="2"/>
      <c r="L1643" s="59"/>
    </row>
    <row r="1644" spans="1:12" x14ac:dyDescent="0.35">
      <c r="A1644" s="45">
        <v>1640</v>
      </c>
      <c r="B1644" s="2"/>
      <c r="C1644" s="2"/>
      <c r="D1644" s="2"/>
      <c r="E1644" s="3"/>
      <c r="F1644" s="3"/>
      <c r="G1644" s="2"/>
      <c r="H1644" s="2"/>
      <c r="I1644" s="46"/>
      <c r="J1644" s="12"/>
      <c r="K1644" s="2"/>
      <c r="L1644" s="59"/>
    </row>
    <row r="1645" spans="1:12" x14ac:dyDescent="0.35">
      <c r="A1645" s="45">
        <v>1641</v>
      </c>
      <c r="B1645" s="2"/>
      <c r="C1645" s="2"/>
      <c r="D1645" s="2"/>
      <c r="E1645" s="3"/>
      <c r="F1645" s="3"/>
      <c r="G1645" s="2"/>
      <c r="H1645" s="2"/>
      <c r="I1645" s="46"/>
      <c r="J1645" s="12"/>
      <c r="K1645" s="2"/>
      <c r="L1645" s="59"/>
    </row>
    <row r="1646" spans="1:12" x14ac:dyDescent="0.35">
      <c r="A1646" s="45">
        <v>1642</v>
      </c>
      <c r="B1646" s="2"/>
      <c r="C1646" s="2"/>
      <c r="D1646" s="2"/>
      <c r="E1646" s="3"/>
      <c r="F1646" s="3"/>
      <c r="G1646" s="2"/>
      <c r="H1646" s="2"/>
      <c r="I1646" s="46"/>
      <c r="J1646" s="12"/>
      <c r="K1646" s="2"/>
      <c r="L1646" s="59"/>
    </row>
    <row r="1647" spans="1:12" x14ac:dyDescent="0.35">
      <c r="A1647" s="45">
        <v>1643</v>
      </c>
      <c r="B1647" s="2"/>
      <c r="C1647" s="2"/>
      <c r="D1647" s="2"/>
      <c r="E1647" s="3"/>
      <c r="F1647" s="3"/>
      <c r="G1647" s="2"/>
      <c r="H1647" s="2"/>
      <c r="I1647" s="46"/>
      <c r="J1647" s="12"/>
      <c r="K1647" s="2"/>
      <c r="L1647" s="59"/>
    </row>
    <row r="1648" spans="1:12" x14ac:dyDescent="0.35">
      <c r="A1648" s="45">
        <v>1644</v>
      </c>
      <c r="B1648" s="2"/>
      <c r="C1648" s="2"/>
      <c r="D1648" s="2"/>
      <c r="E1648" s="3"/>
      <c r="F1648" s="3"/>
      <c r="G1648" s="2"/>
      <c r="H1648" s="2"/>
      <c r="I1648" s="46"/>
      <c r="J1648" s="12"/>
      <c r="K1648" s="2"/>
      <c r="L1648" s="59"/>
    </row>
    <row r="1649" spans="1:12" x14ac:dyDescent="0.35">
      <c r="A1649" s="45">
        <v>1645</v>
      </c>
      <c r="B1649" s="2"/>
      <c r="C1649" s="2"/>
      <c r="D1649" s="2"/>
      <c r="E1649" s="3"/>
      <c r="F1649" s="3"/>
      <c r="G1649" s="2"/>
      <c r="H1649" s="2"/>
      <c r="I1649" s="46"/>
      <c r="J1649" s="12"/>
      <c r="K1649" s="2"/>
      <c r="L1649" s="59"/>
    </row>
    <row r="1650" spans="1:12" x14ac:dyDescent="0.35">
      <c r="A1650" s="45">
        <v>1646</v>
      </c>
      <c r="B1650" s="2"/>
      <c r="C1650" s="2"/>
      <c r="D1650" s="2"/>
      <c r="E1650" s="3"/>
      <c r="F1650" s="3"/>
      <c r="G1650" s="2"/>
      <c r="H1650" s="2"/>
      <c r="I1650" s="46"/>
      <c r="J1650" s="12"/>
      <c r="K1650" s="2"/>
      <c r="L1650" s="59"/>
    </row>
    <row r="1651" spans="1:12" x14ac:dyDescent="0.35">
      <c r="A1651" s="45">
        <v>1647</v>
      </c>
      <c r="B1651" s="2"/>
      <c r="C1651" s="2"/>
      <c r="D1651" s="2"/>
      <c r="E1651" s="3"/>
      <c r="F1651" s="3"/>
      <c r="G1651" s="2"/>
      <c r="H1651" s="2"/>
      <c r="I1651" s="46"/>
      <c r="J1651" s="12"/>
      <c r="K1651" s="2"/>
      <c r="L1651" s="59"/>
    </row>
    <row r="1652" spans="1:12" x14ac:dyDescent="0.35">
      <c r="A1652" s="45">
        <v>1648</v>
      </c>
      <c r="B1652" s="2"/>
      <c r="C1652" s="2"/>
      <c r="D1652" s="2"/>
      <c r="E1652" s="3"/>
      <c r="F1652" s="3"/>
      <c r="G1652" s="2"/>
      <c r="H1652" s="2"/>
      <c r="I1652" s="46"/>
      <c r="J1652" s="12"/>
      <c r="K1652" s="2"/>
      <c r="L1652" s="59"/>
    </row>
    <row r="1653" spans="1:12" x14ac:dyDescent="0.35">
      <c r="A1653" s="45">
        <v>1649</v>
      </c>
      <c r="B1653" s="2"/>
      <c r="C1653" s="2"/>
      <c r="D1653" s="2"/>
      <c r="E1653" s="3"/>
      <c r="F1653" s="3"/>
      <c r="G1653" s="2"/>
      <c r="H1653" s="2"/>
      <c r="I1653" s="46"/>
      <c r="J1653" s="12"/>
      <c r="K1653" s="2"/>
      <c r="L1653" s="59"/>
    </row>
    <row r="1654" spans="1:12" x14ac:dyDescent="0.35">
      <c r="A1654" s="45">
        <v>1650</v>
      </c>
      <c r="B1654" s="2"/>
      <c r="C1654" s="2"/>
      <c r="D1654" s="2"/>
      <c r="E1654" s="3"/>
      <c r="F1654" s="3"/>
      <c r="G1654" s="2"/>
      <c r="H1654" s="2"/>
      <c r="I1654" s="46"/>
      <c r="J1654" s="12"/>
      <c r="K1654" s="2"/>
      <c r="L1654" s="59"/>
    </row>
    <row r="1655" spans="1:12" x14ac:dyDescent="0.35">
      <c r="A1655" s="45">
        <v>1651</v>
      </c>
      <c r="B1655" s="2"/>
      <c r="C1655" s="2"/>
      <c r="D1655" s="2"/>
      <c r="E1655" s="3"/>
      <c r="F1655" s="3"/>
      <c r="G1655" s="2"/>
      <c r="H1655" s="2"/>
      <c r="I1655" s="46"/>
      <c r="J1655" s="12"/>
      <c r="K1655" s="2"/>
      <c r="L1655" s="59"/>
    </row>
    <row r="1656" spans="1:12" x14ac:dyDescent="0.35">
      <c r="A1656" s="45">
        <v>1652</v>
      </c>
      <c r="B1656" s="2"/>
      <c r="C1656" s="2"/>
      <c r="D1656" s="2"/>
      <c r="E1656" s="3"/>
      <c r="F1656" s="3"/>
      <c r="G1656" s="2"/>
      <c r="H1656" s="2"/>
      <c r="I1656" s="46"/>
      <c r="J1656" s="12"/>
      <c r="K1656" s="2"/>
      <c r="L1656" s="59"/>
    </row>
    <row r="1657" spans="1:12" x14ac:dyDescent="0.35">
      <c r="A1657" s="45">
        <v>1653</v>
      </c>
      <c r="B1657" s="2"/>
      <c r="C1657" s="2"/>
      <c r="D1657" s="2"/>
      <c r="E1657" s="3"/>
      <c r="F1657" s="3"/>
      <c r="G1657" s="2"/>
      <c r="H1657" s="2"/>
      <c r="I1657" s="46"/>
      <c r="J1657" s="12"/>
      <c r="K1657" s="2"/>
      <c r="L1657" s="59"/>
    </row>
    <row r="1658" spans="1:12" x14ac:dyDescent="0.35">
      <c r="A1658" s="45">
        <v>1654</v>
      </c>
      <c r="B1658" s="2"/>
      <c r="C1658" s="2"/>
      <c r="D1658" s="2"/>
      <c r="E1658" s="3"/>
      <c r="F1658" s="3"/>
      <c r="G1658" s="2"/>
      <c r="H1658" s="2"/>
      <c r="I1658" s="46"/>
      <c r="J1658" s="12"/>
      <c r="K1658" s="2"/>
      <c r="L1658" s="59"/>
    </row>
    <row r="1659" spans="1:12" x14ac:dyDescent="0.35">
      <c r="A1659" s="45">
        <v>1655</v>
      </c>
      <c r="B1659" s="2"/>
      <c r="C1659" s="2"/>
      <c r="D1659" s="2"/>
      <c r="E1659" s="3"/>
      <c r="F1659" s="3"/>
      <c r="G1659" s="2"/>
      <c r="H1659" s="2"/>
      <c r="I1659" s="46"/>
      <c r="J1659" s="12"/>
      <c r="K1659" s="2"/>
      <c r="L1659" s="59"/>
    </row>
    <row r="1660" spans="1:12" x14ac:dyDescent="0.35">
      <c r="A1660" s="45">
        <v>1656</v>
      </c>
      <c r="B1660" s="2"/>
      <c r="C1660" s="2"/>
      <c r="D1660" s="2"/>
      <c r="E1660" s="3"/>
      <c r="F1660" s="3"/>
      <c r="G1660" s="2"/>
      <c r="H1660" s="2"/>
      <c r="I1660" s="46"/>
      <c r="J1660" s="12"/>
      <c r="K1660" s="2"/>
      <c r="L1660" s="59"/>
    </row>
    <row r="1661" spans="1:12" x14ac:dyDescent="0.35">
      <c r="A1661" s="45">
        <v>1657</v>
      </c>
      <c r="B1661" s="2"/>
      <c r="C1661" s="2"/>
      <c r="D1661" s="2"/>
      <c r="E1661" s="3"/>
      <c r="F1661" s="3"/>
      <c r="G1661" s="2"/>
      <c r="H1661" s="2"/>
      <c r="I1661" s="46"/>
      <c r="J1661" s="12"/>
      <c r="K1661" s="2"/>
      <c r="L1661" s="59"/>
    </row>
    <row r="1662" spans="1:12" x14ac:dyDescent="0.35">
      <c r="A1662" s="45">
        <v>1658</v>
      </c>
      <c r="B1662" s="2"/>
      <c r="C1662" s="2"/>
      <c r="D1662" s="2"/>
      <c r="E1662" s="3"/>
      <c r="F1662" s="3"/>
      <c r="G1662" s="2"/>
      <c r="H1662" s="2"/>
      <c r="I1662" s="46"/>
      <c r="J1662" s="12"/>
      <c r="K1662" s="2"/>
      <c r="L1662" s="59"/>
    </row>
    <row r="1663" spans="1:12" x14ac:dyDescent="0.35">
      <c r="A1663" s="45">
        <v>1659</v>
      </c>
      <c r="B1663" s="2"/>
      <c r="C1663" s="2"/>
      <c r="D1663" s="2"/>
      <c r="E1663" s="3"/>
      <c r="F1663" s="3"/>
      <c r="G1663" s="2"/>
      <c r="H1663" s="2"/>
      <c r="I1663" s="46"/>
      <c r="J1663" s="12"/>
      <c r="K1663" s="2"/>
      <c r="L1663" s="59"/>
    </row>
    <row r="1664" spans="1:12" x14ac:dyDescent="0.35">
      <c r="A1664" s="45">
        <v>1660</v>
      </c>
      <c r="B1664" s="2"/>
      <c r="C1664" s="2"/>
      <c r="D1664" s="2"/>
      <c r="E1664" s="3"/>
      <c r="F1664" s="3"/>
      <c r="G1664" s="2"/>
      <c r="H1664" s="2"/>
      <c r="I1664" s="46"/>
      <c r="J1664" s="12"/>
      <c r="K1664" s="2"/>
      <c r="L1664" s="59"/>
    </row>
    <row r="1665" spans="1:12" x14ac:dyDescent="0.35">
      <c r="A1665" s="45">
        <v>1661</v>
      </c>
      <c r="B1665" s="2"/>
      <c r="C1665" s="2"/>
      <c r="D1665" s="2"/>
      <c r="E1665" s="3"/>
      <c r="F1665" s="3"/>
      <c r="G1665" s="2"/>
      <c r="H1665" s="2"/>
      <c r="I1665" s="46"/>
      <c r="J1665" s="12"/>
      <c r="K1665" s="2"/>
      <c r="L1665" s="59"/>
    </row>
    <row r="1666" spans="1:12" x14ac:dyDescent="0.35">
      <c r="A1666" s="45">
        <v>1662</v>
      </c>
      <c r="B1666" s="2"/>
      <c r="C1666" s="2"/>
      <c r="D1666" s="2"/>
      <c r="E1666" s="3"/>
      <c r="F1666" s="3"/>
      <c r="G1666" s="2"/>
      <c r="H1666" s="2"/>
      <c r="I1666" s="46"/>
      <c r="J1666" s="12"/>
      <c r="K1666" s="2"/>
      <c r="L1666" s="59"/>
    </row>
    <row r="1667" spans="1:12" x14ac:dyDescent="0.35">
      <c r="A1667" s="45">
        <v>1663</v>
      </c>
      <c r="B1667" s="2"/>
      <c r="C1667" s="2"/>
      <c r="D1667" s="2"/>
      <c r="E1667" s="3"/>
      <c r="F1667" s="3"/>
      <c r="G1667" s="2"/>
      <c r="H1667" s="2"/>
      <c r="I1667" s="46"/>
      <c r="J1667" s="12"/>
      <c r="K1667" s="2"/>
      <c r="L1667" s="59"/>
    </row>
    <row r="1668" spans="1:12" x14ac:dyDescent="0.35">
      <c r="A1668" s="45">
        <v>1664</v>
      </c>
      <c r="B1668" s="2"/>
      <c r="C1668" s="2"/>
      <c r="D1668" s="2"/>
      <c r="E1668" s="3"/>
      <c r="F1668" s="3"/>
      <c r="G1668" s="2"/>
      <c r="H1668" s="2"/>
      <c r="I1668" s="46"/>
      <c r="J1668" s="12"/>
      <c r="K1668" s="2"/>
      <c r="L1668" s="59"/>
    </row>
    <row r="1669" spans="1:12" x14ac:dyDescent="0.35">
      <c r="A1669" s="45">
        <v>1665</v>
      </c>
      <c r="B1669" s="2"/>
      <c r="C1669" s="2"/>
      <c r="D1669" s="2"/>
      <c r="E1669" s="3"/>
      <c r="F1669" s="3"/>
      <c r="G1669" s="2"/>
      <c r="H1669" s="2"/>
      <c r="I1669" s="46"/>
      <c r="J1669" s="12"/>
      <c r="K1669" s="2"/>
      <c r="L1669" s="59"/>
    </row>
    <row r="1670" spans="1:12" x14ac:dyDescent="0.35">
      <c r="A1670" s="45">
        <v>1666</v>
      </c>
      <c r="B1670" s="2"/>
      <c r="C1670" s="2"/>
      <c r="D1670" s="2"/>
      <c r="E1670" s="3"/>
      <c r="F1670" s="3"/>
      <c r="G1670" s="2"/>
      <c r="H1670" s="2"/>
      <c r="I1670" s="46"/>
      <c r="J1670" s="12"/>
      <c r="K1670" s="2"/>
      <c r="L1670" s="59"/>
    </row>
    <row r="1671" spans="1:12" x14ac:dyDescent="0.35">
      <c r="A1671" s="45">
        <v>1667</v>
      </c>
      <c r="B1671" s="2"/>
      <c r="C1671" s="2"/>
      <c r="D1671" s="2"/>
      <c r="E1671" s="3"/>
      <c r="F1671" s="3"/>
      <c r="G1671" s="2"/>
      <c r="H1671" s="2"/>
      <c r="I1671" s="46"/>
      <c r="J1671" s="12"/>
      <c r="K1671" s="2"/>
      <c r="L1671" s="59"/>
    </row>
    <row r="1672" spans="1:12" x14ac:dyDescent="0.35">
      <c r="A1672" s="45">
        <v>1668</v>
      </c>
      <c r="B1672" s="2"/>
      <c r="C1672" s="2"/>
      <c r="D1672" s="2"/>
      <c r="E1672" s="3"/>
      <c r="F1672" s="3"/>
      <c r="G1672" s="2"/>
      <c r="H1672" s="2"/>
      <c r="I1672" s="46"/>
      <c r="J1672" s="12"/>
      <c r="K1672" s="2"/>
      <c r="L1672" s="59"/>
    </row>
    <row r="1673" spans="1:12" x14ac:dyDescent="0.35">
      <c r="A1673" s="45">
        <v>1669</v>
      </c>
      <c r="B1673" s="2"/>
      <c r="C1673" s="2"/>
      <c r="D1673" s="2"/>
      <c r="E1673" s="3"/>
      <c r="F1673" s="3"/>
      <c r="G1673" s="2"/>
      <c r="H1673" s="2"/>
      <c r="I1673" s="46"/>
      <c r="J1673" s="12"/>
      <c r="K1673" s="2"/>
      <c r="L1673" s="59"/>
    </row>
    <row r="1674" spans="1:12" x14ac:dyDescent="0.35">
      <c r="A1674" s="45">
        <v>1670</v>
      </c>
      <c r="B1674" s="2"/>
      <c r="C1674" s="2"/>
      <c r="D1674" s="2"/>
      <c r="E1674" s="3"/>
      <c r="F1674" s="3"/>
      <c r="G1674" s="2"/>
      <c r="H1674" s="2"/>
      <c r="I1674" s="46"/>
      <c r="J1674" s="12"/>
      <c r="K1674" s="2"/>
      <c r="L1674" s="59"/>
    </row>
    <row r="1675" spans="1:12" x14ac:dyDescent="0.35">
      <c r="A1675" s="45">
        <v>1671</v>
      </c>
      <c r="B1675" s="2"/>
      <c r="C1675" s="2"/>
      <c r="D1675" s="2"/>
      <c r="E1675" s="3"/>
      <c r="F1675" s="3"/>
      <c r="G1675" s="2"/>
      <c r="H1675" s="2"/>
      <c r="I1675" s="46"/>
      <c r="J1675" s="12"/>
      <c r="K1675" s="2"/>
      <c r="L1675" s="59"/>
    </row>
    <row r="1676" spans="1:12" x14ac:dyDescent="0.35">
      <c r="A1676" s="45">
        <v>1672</v>
      </c>
      <c r="B1676" s="2"/>
      <c r="C1676" s="2"/>
      <c r="D1676" s="2"/>
      <c r="E1676" s="3"/>
      <c r="F1676" s="3"/>
      <c r="G1676" s="2"/>
      <c r="H1676" s="2"/>
      <c r="I1676" s="46"/>
      <c r="J1676" s="12"/>
      <c r="K1676" s="2"/>
      <c r="L1676" s="59"/>
    </row>
    <row r="1677" spans="1:12" x14ac:dyDescent="0.35">
      <c r="A1677" s="45">
        <v>1673</v>
      </c>
      <c r="B1677" s="2"/>
      <c r="C1677" s="2"/>
      <c r="D1677" s="2"/>
      <c r="E1677" s="3"/>
      <c r="F1677" s="3"/>
      <c r="G1677" s="2"/>
      <c r="H1677" s="2"/>
      <c r="I1677" s="46"/>
      <c r="J1677" s="12"/>
      <c r="K1677" s="2"/>
      <c r="L1677" s="59"/>
    </row>
    <row r="1678" spans="1:12" x14ac:dyDescent="0.35">
      <c r="A1678" s="45">
        <v>1674</v>
      </c>
      <c r="B1678" s="2"/>
      <c r="C1678" s="2"/>
      <c r="D1678" s="2"/>
      <c r="E1678" s="3"/>
      <c r="F1678" s="3"/>
      <c r="G1678" s="2"/>
      <c r="H1678" s="2"/>
      <c r="I1678" s="46"/>
      <c r="J1678" s="12"/>
      <c r="K1678" s="2"/>
      <c r="L1678" s="59"/>
    </row>
    <row r="1679" spans="1:12" x14ac:dyDescent="0.35">
      <c r="A1679" s="45">
        <v>1675</v>
      </c>
      <c r="B1679" s="2"/>
      <c r="C1679" s="2"/>
      <c r="D1679" s="2"/>
      <c r="E1679" s="3"/>
      <c r="F1679" s="3"/>
      <c r="G1679" s="2"/>
      <c r="H1679" s="2"/>
      <c r="I1679" s="46"/>
      <c r="J1679" s="12"/>
      <c r="K1679" s="2"/>
      <c r="L1679" s="59"/>
    </row>
    <row r="1680" spans="1:12" x14ac:dyDescent="0.35">
      <c r="A1680" s="45">
        <v>1676</v>
      </c>
      <c r="B1680" s="2"/>
      <c r="C1680" s="2"/>
      <c r="D1680" s="2"/>
      <c r="E1680" s="3"/>
      <c r="F1680" s="3"/>
      <c r="G1680" s="2"/>
      <c r="H1680" s="2"/>
      <c r="I1680" s="46"/>
      <c r="J1680" s="12"/>
      <c r="K1680" s="2"/>
      <c r="L1680" s="59"/>
    </row>
    <row r="1681" spans="1:12" x14ac:dyDescent="0.35">
      <c r="A1681" s="45">
        <v>1677</v>
      </c>
      <c r="B1681" s="2"/>
      <c r="C1681" s="2"/>
      <c r="D1681" s="2"/>
      <c r="E1681" s="3"/>
      <c r="F1681" s="3"/>
      <c r="G1681" s="2"/>
      <c r="H1681" s="2"/>
      <c r="I1681" s="46"/>
      <c r="J1681" s="12"/>
      <c r="K1681" s="2"/>
      <c r="L1681" s="59"/>
    </row>
    <row r="1682" spans="1:12" x14ac:dyDescent="0.35">
      <c r="A1682" s="45">
        <v>1678</v>
      </c>
      <c r="B1682" s="2"/>
      <c r="C1682" s="2"/>
      <c r="D1682" s="2"/>
      <c r="E1682" s="3"/>
      <c r="F1682" s="3"/>
      <c r="G1682" s="2"/>
      <c r="H1682" s="2"/>
      <c r="I1682" s="46"/>
      <c r="J1682" s="12"/>
      <c r="K1682" s="2"/>
      <c r="L1682" s="59"/>
    </row>
    <row r="1683" spans="1:12" x14ac:dyDescent="0.35">
      <c r="A1683" s="45">
        <v>1679</v>
      </c>
      <c r="B1683" s="2"/>
      <c r="C1683" s="2"/>
      <c r="D1683" s="2"/>
      <c r="E1683" s="3"/>
      <c r="F1683" s="3"/>
      <c r="G1683" s="2"/>
      <c r="H1683" s="2"/>
      <c r="I1683" s="46"/>
      <c r="J1683" s="12"/>
      <c r="K1683" s="2"/>
      <c r="L1683" s="59"/>
    </row>
    <row r="1684" spans="1:12" x14ac:dyDescent="0.35">
      <c r="A1684" s="45">
        <v>1680</v>
      </c>
      <c r="B1684" s="2"/>
      <c r="C1684" s="2"/>
      <c r="D1684" s="2"/>
      <c r="E1684" s="3"/>
      <c r="F1684" s="3"/>
      <c r="G1684" s="2"/>
      <c r="H1684" s="2"/>
      <c r="I1684" s="46"/>
      <c r="J1684" s="12"/>
      <c r="K1684" s="2"/>
      <c r="L1684" s="59"/>
    </row>
    <row r="1685" spans="1:12" x14ac:dyDescent="0.35">
      <c r="A1685" s="45">
        <v>1681</v>
      </c>
      <c r="B1685" s="2"/>
      <c r="C1685" s="2"/>
      <c r="D1685" s="2"/>
      <c r="E1685" s="3"/>
      <c r="F1685" s="3"/>
      <c r="G1685" s="2"/>
      <c r="H1685" s="2"/>
      <c r="I1685" s="46"/>
      <c r="J1685" s="12"/>
      <c r="K1685" s="2"/>
      <c r="L1685" s="59"/>
    </row>
    <row r="1686" spans="1:12" x14ac:dyDescent="0.35">
      <c r="A1686" s="45">
        <v>1682</v>
      </c>
      <c r="B1686" s="2"/>
      <c r="C1686" s="2"/>
      <c r="D1686" s="2"/>
      <c r="E1686" s="3"/>
      <c r="F1686" s="3"/>
      <c r="G1686" s="2"/>
      <c r="H1686" s="2"/>
      <c r="I1686" s="46"/>
      <c r="J1686" s="12"/>
      <c r="K1686" s="2"/>
      <c r="L1686" s="59"/>
    </row>
    <row r="1687" spans="1:12" x14ac:dyDescent="0.35">
      <c r="A1687" s="45">
        <v>1683</v>
      </c>
      <c r="B1687" s="2"/>
      <c r="C1687" s="2"/>
      <c r="D1687" s="2"/>
      <c r="E1687" s="3"/>
      <c r="F1687" s="3"/>
      <c r="G1687" s="2"/>
      <c r="H1687" s="2"/>
      <c r="I1687" s="46"/>
      <c r="J1687" s="12"/>
      <c r="K1687" s="2"/>
      <c r="L1687" s="59"/>
    </row>
    <row r="1688" spans="1:12" x14ac:dyDescent="0.35">
      <c r="A1688" s="45">
        <v>1684</v>
      </c>
      <c r="B1688" s="2"/>
      <c r="C1688" s="2"/>
      <c r="D1688" s="2"/>
      <c r="E1688" s="3"/>
      <c r="F1688" s="3"/>
      <c r="G1688" s="2"/>
      <c r="H1688" s="2"/>
      <c r="I1688" s="46"/>
      <c r="J1688" s="12"/>
      <c r="K1688" s="2"/>
      <c r="L1688" s="59"/>
    </row>
    <row r="1689" spans="1:12" x14ac:dyDescent="0.35">
      <c r="A1689" s="45">
        <v>1685</v>
      </c>
      <c r="B1689" s="2"/>
      <c r="C1689" s="2"/>
      <c r="D1689" s="2"/>
      <c r="E1689" s="3"/>
      <c r="F1689" s="3"/>
      <c r="G1689" s="2"/>
      <c r="H1689" s="2"/>
      <c r="I1689" s="46"/>
      <c r="J1689" s="12"/>
      <c r="K1689" s="2"/>
      <c r="L1689" s="59"/>
    </row>
    <row r="1690" spans="1:12" x14ac:dyDescent="0.35">
      <c r="A1690" s="45">
        <v>1686</v>
      </c>
      <c r="B1690" s="2"/>
      <c r="C1690" s="2"/>
      <c r="D1690" s="2"/>
      <c r="E1690" s="3"/>
      <c r="F1690" s="3"/>
      <c r="G1690" s="2"/>
      <c r="H1690" s="2"/>
      <c r="I1690" s="46"/>
      <c r="J1690" s="12"/>
      <c r="K1690" s="2"/>
      <c r="L1690" s="59"/>
    </row>
    <row r="1691" spans="1:12" x14ac:dyDescent="0.35">
      <c r="A1691" s="45">
        <v>1687</v>
      </c>
      <c r="B1691" s="2"/>
      <c r="C1691" s="2"/>
      <c r="D1691" s="2"/>
      <c r="E1691" s="3"/>
      <c r="F1691" s="3"/>
      <c r="G1691" s="2"/>
      <c r="H1691" s="2"/>
      <c r="I1691" s="46"/>
      <c r="J1691" s="12"/>
      <c r="K1691" s="2"/>
      <c r="L1691" s="59"/>
    </row>
    <row r="1692" spans="1:12" x14ac:dyDescent="0.35">
      <c r="A1692" s="45">
        <v>1688</v>
      </c>
      <c r="B1692" s="2"/>
      <c r="C1692" s="2"/>
      <c r="D1692" s="2"/>
      <c r="E1692" s="3"/>
      <c r="F1692" s="3"/>
      <c r="G1692" s="2"/>
      <c r="H1692" s="2"/>
      <c r="I1692" s="46"/>
      <c r="J1692" s="12"/>
      <c r="K1692" s="2"/>
      <c r="L1692" s="59"/>
    </row>
    <row r="1693" spans="1:12" x14ac:dyDescent="0.35">
      <c r="A1693" s="45">
        <v>1689</v>
      </c>
      <c r="B1693" s="2"/>
      <c r="C1693" s="2"/>
      <c r="D1693" s="2"/>
      <c r="E1693" s="3"/>
      <c r="F1693" s="3"/>
      <c r="G1693" s="2"/>
      <c r="H1693" s="2"/>
      <c r="I1693" s="46"/>
      <c r="J1693" s="12"/>
      <c r="K1693" s="2"/>
      <c r="L1693" s="59"/>
    </row>
    <row r="1694" spans="1:12" x14ac:dyDescent="0.35">
      <c r="A1694" s="45">
        <v>1690</v>
      </c>
      <c r="B1694" s="2"/>
      <c r="C1694" s="2"/>
      <c r="D1694" s="2"/>
      <c r="E1694" s="3"/>
      <c r="F1694" s="3"/>
      <c r="G1694" s="2"/>
      <c r="H1694" s="2"/>
      <c r="I1694" s="46"/>
      <c r="J1694" s="12"/>
      <c r="K1694" s="2"/>
      <c r="L1694" s="59"/>
    </row>
    <row r="1695" spans="1:12" x14ac:dyDescent="0.35">
      <c r="A1695" s="45">
        <v>1691</v>
      </c>
      <c r="B1695" s="2"/>
      <c r="C1695" s="2"/>
      <c r="D1695" s="2"/>
      <c r="E1695" s="3"/>
      <c r="F1695" s="3"/>
      <c r="G1695" s="2"/>
      <c r="H1695" s="2"/>
      <c r="I1695" s="46"/>
      <c r="J1695" s="12"/>
      <c r="K1695" s="2"/>
      <c r="L1695" s="59"/>
    </row>
    <row r="1696" spans="1:12" x14ac:dyDescent="0.35">
      <c r="A1696" s="45">
        <v>1692</v>
      </c>
      <c r="B1696" s="2"/>
      <c r="C1696" s="2"/>
      <c r="D1696" s="2"/>
      <c r="E1696" s="3"/>
      <c r="F1696" s="3"/>
      <c r="G1696" s="2"/>
      <c r="H1696" s="2"/>
      <c r="I1696" s="46"/>
      <c r="J1696" s="12"/>
      <c r="K1696" s="2"/>
      <c r="L1696" s="59"/>
    </row>
    <row r="1697" spans="1:12" x14ac:dyDescent="0.35">
      <c r="A1697" s="45">
        <v>1693</v>
      </c>
      <c r="B1697" s="2"/>
      <c r="C1697" s="2"/>
      <c r="D1697" s="2"/>
      <c r="E1697" s="3"/>
      <c r="F1697" s="3"/>
      <c r="G1697" s="2"/>
      <c r="H1697" s="2"/>
      <c r="I1697" s="46"/>
      <c r="J1697" s="12"/>
      <c r="K1697" s="2"/>
      <c r="L1697" s="59"/>
    </row>
    <row r="1698" spans="1:12" x14ac:dyDescent="0.35">
      <c r="A1698" s="45">
        <v>1694</v>
      </c>
      <c r="B1698" s="2"/>
      <c r="C1698" s="2"/>
      <c r="D1698" s="2"/>
      <c r="E1698" s="3"/>
      <c r="F1698" s="3"/>
      <c r="G1698" s="2"/>
      <c r="H1698" s="2"/>
      <c r="I1698" s="46"/>
      <c r="J1698" s="12"/>
      <c r="K1698" s="2"/>
      <c r="L1698" s="59"/>
    </row>
    <row r="1699" spans="1:12" x14ac:dyDescent="0.35">
      <c r="A1699" s="45">
        <v>1695</v>
      </c>
      <c r="B1699" s="2"/>
      <c r="C1699" s="2"/>
      <c r="D1699" s="2"/>
      <c r="E1699" s="3"/>
      <c r="F1699" s="3"/>
      <c r="G1699" s="2"/>
      <c r="H1699" s="2"/>
      <c r="I1699" s="46"/>
      <c r="J1699" s="12"/>
      <c r="K1699" s="2"/>
      <c r="L1699" s="59"/>
    </row>
    <row r="1700" spans="1:12" x14ac:dyDescent="0.35">
      <c r="A1700" s="45">
        <v>1696</v>
      </c>
      <c r="B1700" s="2"/>
      <c r="C1700" s="2"/>
      <c r="D1700" s="2"/>
      <c r="E1700" s="3"/>
      <c r="F1700" s="3"/>
      <c r="G1700" s="2"/>
      <c r="H1700" s="2"/>
      <c r="I1700" s="46"/>
      <c r="J1700" s="12"/>
      <c r="K1700" s="2"/>
      <c r="L1700" s="59"/>
    </row>
    <row r="1701" spans="1:12" x14ac:dyDescent="0.35">
      <c r="A1701" s="45">
        <v>1697</v>
      </c>
      <c r="B1701" s="2"/>
      <c r="C1701" s="2"/>
      <c r="D1701" s="2"/>
      <c r="E1701" s="3"/>
      <c r="F1701" s="3"/>
      <c r="G1701" s="2"/>
      <c r="H1701" s="2"/>
      <c r="I1701" s="46"/>
      <c r="J1701" s="12"/>
      <c r="K1701" s="2"/>
      <c r="L1701" s="59"/>
    </row>
    <row r="1702" spans="1:12" x14ac:dyDescent="0.35">
      <c r="A1702" s="45">
        <v>1698</v>
      </c>
      <c r="B1702" s="2"/>
      <c r="C1702" s="2"/>
      <c r="D1702" s="2"/>
      <c r="E1702" s="3"/>
      <c r="F1702" s="3"/>
      <c r="G1702" s="2"/>
      <c r="H1702" s="2"/>
      <c r="I1702" s="46"/>
      <c r="J1702" s="12"/>
      <c r="K1702" s="2"/>
      <c r="L1702" s="59"/>
    </row>
    <row r="1703" spans="1:12" x14ac:dyDescent="0.35">
      <c r="A1703" s="45">
        <v>1699</v>
      </c>
      <c r="B1703" s="2"/>
      <c r="C1703" s="2"/>
      <c r="D1703" s="2"/>
      <c r="E1703" s="3"/>
      <c r="F1703" s="3"/>
      <c r="G1703" s="2"/>
      <c r="H1703" s="2"/>
      <c r="I1703" s="46"/>
      <c r="J1703" s="12"/>
      <c r="K1703" s="2"/>
      <c r="L1703" s="59"/>
    </row>
    <row r="1704" spans="1:12" x14ac:dyDescent="0.35">
      <c r="A1704" s="45">
        <v>1700</v>
      </c>
      <c r="B1704" s="2"/>
      <c r="C1704" s="2"/>
      <c r="D1704" s="2"/>
      <c r="E1704" s="3"/>
      <c r="F1704" s="3"/>
      <c r="G1704" s="2"/>
      <c r="H1704" s="2"/>
      <c r="I1704" s="46"/>
      <c r="J1704" s="12"/>
      <c r="K1704" s="2"/>
      <c r="L1704" s="59"/>
    </row>
    <row r="1705" spans="1:12" x14ac:dyDescent="0.35">
      <c r="A1705" s="45">
        <v>1701</v>
      </c>
      <c r="B1705" s="2"/>
      <c r="C1705" s="2"/>
      <c r="D1705" s="2"/>
      <c r="E1705" s="3"/>
      <c r="F1705" s="3"/>
      <c r="G1705" s="2"/>
      <c r="H1705" s="2"/>
      <c r="I1705" s="46"/>
      <c r="J1705" s="12"/>
      <c r="K1705" s="2"/>
      <c r="L1705" s="59"/>
    </row>
    <row r="1706" spans="1:12" x14ac:dyDescent="0.35">
      <c r="A1706" s="45">
        <v>1702</v>
      </c>
      <c r="B1706" s="2"/>
      <c r="C1706" s="2"/>
      <c r="D1706" s="2"/>
      <c r="E1706" s="3"/>
      <c r="F1706" s="3"/>
      <c r="G1706" s="2"/>
      <c r="H1706" s="2"/>
      <c r="I1706" s="46"/>
      <c r="J1706" s="12"/>
      <c r="K1706" s="2"/>
      <c r="L1706" s="59"/>
    </row>
    <row r="1707" spans="1:12" x14ac:dyDescent="0.35">
      <c r="A1707" s="45">
        <v>1703</v>
      </c>
      <c r="B1707" s="2"/>
      <c r="C1707" s="2"/>
      <c r="D1707" s="2"/>
      <c r="E1707" s="3"/>
      <c r="F1707" s="3"/>
      <c r="G1707" s="2"/>
      <c r="H1707" s="2"/>
      <c r="I1707" s="46"/>
      <c r="J1707" s="12"/>
      <c r="K1707" s="2"/>
      <c r="L1707" s="59"/>
    </row>
    <row r="1708" spans="1:12" x14ac:dyDescent="0.35">
      <c r="A1708" s="45">
        <v>1704</v>
      </c>
      <c r="B1708" s="2"/>
      <c r="C1708" s="2"/>
      <c r="D1708" s="2"/>
      <c r="E1708" s="3"/>
      <c r="F1708" s="3"/>
      <c r="G1708" s="2"/>
      <c r="H1708" s="2"/>
      <c r="I1708" s="46"/>
      <c r="J1708" s="12"/>
      <c r="K1708" s="2"/>
      <c r="L1708" s="59"/>
    </row>
    <row r="1709" spans="1:12" x14ac:dyDescent="0.35">
      <c r="A1709" s="45">
        <v>1705</v>
      </c>
      <c r="B1709" s="2"/>
      <c r="C1709" s="2"/>
      <c r="D1709" s="2"/>
      <c r="E1709" s="3"/>
      <c r="F1709" s="3"/>
      <c r="G1709" s="2"/>
      <c r="H1709" s="2"/>
      <c r="I1709" s="46"/>
      <c r="J1709" s="12"/>
      <c r="K1709" s="2"/>
      <c r="L1709" s="59"/>
    </row>
    <row r="1710" spans="1:12" x14ac:dyDescent="0.35">
      <c r="A1710" s="45">
        <v>1706</v>
      </c>
      <c r="B1710" s="2"/>
      <c r="C1710" s="2"/>
      <c r="D1710" s="2"/>
      <c r="E1710" s="3"/>
      <c r="F1710" s="3"/>
      <c r="G1710" s="2"/>
      <c r="H1710" s="2"/>
      <c r="I1710" s="46"/>
      <c r="J1710" s="12"/>
      <c r="K1710" s="2"/>
      <c r="L1710" s="59"/>
    </row>
    <row r="1711" spans="1:12" x14ac:dyDescent="0.35">
      <c r="A1711" s="45">
        <v>1707</v>
      </c>
      <c r="B1711" s="2"/>
      <c r="C1711" s="2"/>
      <c r="D1711" s="2"/>
      <c r="E1711" s="3"/>
      <c r="F1711" s="3"/>
      <c r="G1711" s="2"/>
      <c r="H1711" s="2"/>
      <c r="I1711" s="46"/>
      <c r="J1711" s="12"/>
      <c r="K1711" s="2"/>
      <c r="L1711" s="59"/>
    </row>
    <row r="1712" spans="1:12" x14ac:dyDescent="0.35">
      <c r="A1712" s="45">
        <v>1708</v>
      </c>
      <c r="B1712" s="2"/>
      <c r="C1712" s="2"/>
      <c r="D1712" s="2"/>
      <c r="E1712" s="3"/>
      <c r="F1712" s="3"/>
      <c r="G1712" s="2"/>
      <c r="H1712" s="2"/>
      <c r="I1712" s="46"/>
      <c r="J1712" s="12"/>
      <c r="K1712" s="2"/>
      <c r="L1712" s="59"/>
    </row>
    <row r="1713" spans="1:12" x14ac:dyDescent="0.35">
      <c r="A1713" s="45">
        <v>1709</v>
      </c>
      <c r="B1713" s="2"/>
      <c r="C1713" s="2"/>
      <c r="D1713" s="2"/>
      <c r="E1713" s="3"/>
      <c r="F1713" s="3"/>
      <c r="G1713" s="2"/>
      <c r="H1713" s="2"/>
      <c r="I1713" s="46"/>
      <c r="J1713" s="12"/>
      <c r="K1713" s="2"/>
      <c r="L1713" s="59"/>
    </row>
    <row r="1714" spans="1:12" x14ac:dyDescent="0.35">
      <c r="A1714" s="45">
        <v>1710</v>
      </c>
      <c r="B1714" s="2"/>
      <c r="C1714" s="2"/>
      <c r="D1714" s="2"/>
      <c r="E1714" s="3"/>
      <c r="F1714" s="3"/>
      <c r="G1714" s="2"/>
      <c r="H1714" s="2"/>
      <c r="I1714" s="46"/>
      <c r="J1714" s="12"/>
      <c r="K1714" s="2"/>
      <c r="L1714" s="59"/>
    </row>
    <row r="1715" spans="1:12" x14ac:dyDescent="0.35">
      <c r="A1715" s="45">
        <v>1711</v>
      </c>
      <c r="B1715" s="2"/>
      <c r="C1715" s="2"/>
      <c r="D1715" s="2"/>
      <c r="E1715" s="3"/>
      <c r="F1715" s="3"/>
      <c r="G1715" s="2"/>
      <c r="H1715" s="2"/>
      <c r="I1715" s="46"/>
      <c r="J1715" s="12"/>
      <c r="K1715" s="2"/>
      <c r="L1715" s="59"/>
    </row>
    <row r="1716" spans="1:12" x14ac:dyDescent="0.35">
      <c r="A1716" s="45">
        <v>1712</v>
      </c>
      <c r="B1716" s="2"/>
      <c r="C1716" s="2"/>
      <c r="D1716" s="2"/>
      <c r="E1716" s="3"/>
      <c r="F1716" s="3"/>
      <c r="G1716" s="2"/>
      <c r="H1716" s="2"/>
      <c r="I1716" s="46"/>
      <c r="J1716" s="12"/>
      <c r="K1716" s="2"/>
      <c r="L1716" s="59"/>
    </row>
    <row r="1717" spans="1:12" x14ac:dyDescent="0.35">
      <c r="A1717" s="45">
        <v>1713</v>
      </c>
      <c r="B1717" s="2"/>
      <c r="C1717" s="2"/>
      <c r="D1717" s="2"/>
      <c r="E1717" s="3"/>
      <c r="F1717" s="3"/>
      <c r="G1717" s="2"/>
      <c r="H1717" s="2"/>
      <c r="I1717" s="46"/>
      <c r="J1717" s="12"/>
      <c r="K1717" s="2"/>
      <c r="L1717" s="59"/>
    </row>
    <row r="1718" spans="1:12" x14ac:dyDescent="0.35">
      <c r="A1718" s="45">
        <v>1714</v>
      </c>
      <c r="B1718" s="2"/>
      <c r="C1718" s="2"/>
      <c r="D1718" s="2"/>
      <c r="E1718" s="3"/>
      <c r="F1718" s="3"/>
      <c r="G1718" s="2"/>
      <c r="H1718" s="2"/>
      <c r="I1718" s="46"/>
      <c r="J1718" s="12"/>
      <c r="K1718" s="2"/>
      <c r="L1718" s="59"/>
    </row>
    <row r="1719" spans="1:12" x14ac:dyDescent="0.35">
      <c r="A1719" s="45">
        <v>1715</v>
      </c>
      <c r="B1719" s="2"/>
      <c r="C1719" s="2"/>
      <c r="D1719" s="2"/>
      <c r="E1719" s="3"/>
      <c r="F1719" s="3"/>
      <c r="G1719" s="2"/>
      <c r="H1719" s="2"/>
      <c r="I1719" s="46"/>
      <c r="J1719" s="12"/>
      <c r="K1719" s="2"/>
      <c r="L1719" s="59"/>
    </row>
    <row r="1720" spans="1:12" x14ac:dyDescent="0.35">
      <c r="A1720" s="45">
        <v>1716</v>
      </c>
      <c r="B1720" s="2"/>
      <c r="C1720" s="2"/>
      <c r="D1720" s="2"/>
      <c r="E1720" s="3"/>
      <c r="F1720" s="3"/>
      <c r="G1720" s="2"/>
      <c r="H1720" s="2"/>
      <c r="I1720" s="46"/>
      <c r="J1720" s="12"/>
      <c r="K1720" s="2"/>
      <c r="L1720" s="59"/>
    </row>
    <row r="1721" spans="1:12" x14ac:dyDescent="0.35">
      <c r="A1721" s="45">
        <v>1717</v>
      </c>
      <c r="B1721" s="2"/>
      <c r="C1721" s="2"/>
      <c r="D1721" s="2"/>
      <c r="E1721" s="3"/>
      <c r="F1721" s="3"/>
      <c r="G1721" s="2"/>
      <c r="H1721" s="2"/>
      <c r="I1721" s="46"/>
      <c r="J1721" s="12"/>
      <c r="K1721" s="2"/>
      <c r="L1721" s="59"/>
    </row>
    <row r="1722" spans="1:12" x14ac:dyDescent="0.35">
      <c r="A1722" s="45">
        <v>1718</v>
      </c>
      <c r="B1722" s="2"/>
      <c r="C1722" s="2"/>
      <c r="D1722" s="2"/>
      <c r="E1722" s="3"/>
      <c r="F1722" s="3"/>
      <c r="G1722" s="2"/>
      <c r="H1722" s="2"/>
      <c r="I1722" s="46"/>
      <c r="J1722" s="12"/>
      <c r="K1722" s="2"/>
      <c r="L1722" s="59"/>
    </row>
    <row r="1723" spans="1:12" x14ac:dyDescent="0.35">
      <c r="A1723" s="45">
        <v>1719</v>
      </c>
      <c r="B1723" s="2"/>
      <c r="C1723" s="2"/>
      <c r="D1723" s="2"/>
      <c r="E1723" s="3"/>
      <c r="F1723" s="3"/>
      <c r="G1723" s="2"/>
      <c r="H1723" s="2"/>
      <c r="I1723" s="46"/>
      <c r="J1723" s="12"/>
      <c r="K1723" s="2"/>
      <c r="L1723" s="59"/>
    </row>
    <row r="1724" spans="1:12" x14ac:dyDescent="0.35">
      <c r="A1724" s="45">
        <v>1720</v>
      </c>
      <c r="B1724" s="2"/>
      <c r="C1724" s="2"/>
      <c r="D1724" s="2"/>
      <c r="E1724" s="3"/>
      <c r="F1724" s="3"/>
      <c r="G1724" s="2"/>
      <c r="H1724" s="2"/>
      <c r="I1724" s="46"/>
      <c r="J1724" s="12"/>
      <c r="K1724" s="2"/>
      <c r="L1724" s="59"/>
    </row>
    <row r="1725" spans="1:12" x14ac:dyDescent="0.35">
      <c r="A1725" s="45">
        <v>1721</v>
      </c>
      <c r="B1725" s="2"/>
      <c r="C1725" s="2"/>
      <c r="D1725" s="2"/>
      <c r="E1725" s="3"/>
      <c r="F1725" s="3"/>
      <c r="G1725" s="2"/>
      <c r="H1725" s="2"/>
      <c r="I1725" s="46"/>
      <c r="J1725" s="12"/>
      <c r="K1725" s="2"/>
      <c r="L1725" s="59"/>
    </row>
    <row r="1726" spans="1:12" x14ac:dyDescent="0.35">
      <c r="A1726" s="45">
        <v>1722</v>
      </c>
      <c r="B1726" s="2"/>
      <c r="C1726" s="2"/>
      <c r="D1726" s="2"/>
      <c r="E1726" s="3"/>
      <c r="F1726" s="3"/>
      <c r="G1726" s="2"/>
      <c r="H1726" s="2"/>
      <c r="I1726" s="46"/>
      <c r="J1726" s="12"/>
      <c r="K1726" s="2"/>
      <c r="L1726" s="59"/>
    </row>
    <row r="1727" spans="1:12" x14ac:dyDescent="0.35">
      <c r="A1727" s="45">
        <v>1723</v>
      </c>
      <c r="B1727" s="2"/>
      <c r="C1727" s="2"/>
      <c r="D1727" s="2"/>
      <c r="E1727" s="3"/>
      <c r="F1727" s="3"/>
      <c r="G1727" s="2"/>
      <c r="H1727" s="2"/>
      <c r="I1727" s="46"/>
      <c r="J1727" s="12"/>
      <c r="K1727" s="2"/>
      <c r="L1727" s="59"/>
    </row>
    <row r="1728" spans="1:12" x14ac:dyDescent="0.35">
      <c r="A1728" s="45">
        <v>1724</v>
      </c>
      <c r="B1728" s="2"/>
      <c r="C1728" s="2"/>
      <c r="D1728" s="2"/>
      <c r="E1728" s="3"/>
      <c r="F1728" s="3"/>
      <c r="G1728" s="2"/>
      <c r="H1728" s="2"/>
      <c r="I1728" s="46"/>
      <c r="J1728" s="12"/>
      <c r="K1728" s="2"/>
      <c r="L1728" s="59"/>
    </row>
    <row r="1729" spans="1:12" x14ac:dyDescent="0.35">
      <c r="A1729" s="45">
        <v>1725</v>
      </c>
      <c r="B1729" s="2"/>
      <c r="C1729" s="2"/>
      <c r="D1729" s="2"/>
      <c r="E1729" s="3"/>
      <c r="F1729" s="3"/>
      <c r="G1729" s="2"/>
      <c r="H1729" s="2"/>
      <c r="I1729" s="46"/>
      <c r="J1729" s="12"/>
      <c r="K1729" s="2"/>
      <c r="L1729" s="59"/>
    </row>
    <row r="1730" spans="1:12" x14ac:dyDescent="0.35">
      <c r="A1730" s="45">
        <v>1726</v>
      </c>
      <c r="B1730" s="2"/>
      <c r="C1730" s="2"/>
      <c r="D1730" s="2"/>
      <c r="E1730" s="3"/>
      <c r="F1730" s="3"/>
      <c r="G1730" s="2"/>
      <c r="H1730" s="2"/>
      <c r="I1730" s="46"/>
      <c r="J1730" s="12"/>
      <c r="K1730" s="2"/>
      <c r="L1730" s="59"/>
    </row>
    <row r="1731" spans="1:12" x14ac:dyDescent="0.35">
      <c r="A1731" s="45">
        <v>1727</v>
      </c>
      <c r="B1731" s="2"/>
      <c r="C1731" s="2"/>
      <c r="D1731" s="2"/>
      <c r="E1731" s="3"/>
      <c r="F1731" s="3"/>
      <c r="G1731" s="2"/>
      <c r="H1731" s="2"/>
      <c r="I1731" s="46"/>
      <c r="J1731" s="12"/>
      <c r="K1731" s="2"/>
      <c r="L1731" s="59"/>
    </row>
    <row r="1732" spans="1:12" x14ac:dyDescent="0.35">
      <c r="A1732" s="45">
        <v>1728</v>
      </c>
      <c r="B1732" s="2"/>
      <c r="C1732" s="2"/>
      <c r="D1732" s="2"/>
      <c r="E1732" s="3"/>
      <c r="F1732" s="3"/>
      <c r="G1732" s="2"/>
      <c r="H1732" s="2"/>
      <c r="I1732" s="46"/>
      <c r="J1732" s="12"/>
      <c r="K1732" s="2"/>
      <c r="L1732" s="59"/>
    </row>
    <row r="1733" spans="1:12" x14ac:dyDescent="0.35">
      <c r="A1733" s="45">
        <v>1729</v>
      </c>
      <c r="B1733" s="2"/>
      <c r="C1733" s="2"/>
      <c r="D1733" s="2"/>
      <c r="E1733" s="3"/>
      <c r="F1733" s="3"/>
      <c r="G1733" s="2"/>
      <c r="H1733" s="2"/>
      <c r="I1733" s="46"/>
      <c r="J1733" s="12"/>
      <c r="K1733" s="2"/>
      <c r="L1733" s="59"/>
    </row>
    <row r="1734" spans="1:12" x14ac:dyDescent="0.35">
      <c r="A1734" s="45">
        <v>1730</v>
      </c>
      <c r="B1734" s="2"/>
      <c r="C1734" s="2"/>
      <c r="D1734" s="2"/>
      <c r="E1734" s="3"/>
      <c r="F1734" s="3"/>
      <c r="G1734" s="2"/>
      <c r="H1734" s="2"/>
      <c r="I1734" s="46"/>
      <c r="J1734" s="12"/>
      <c r="K1734" s="2"/>
      <c r="L1734" s="59"/>
    </row>
    <row r="1735" spans="1:12" x14ac:dyDescent="0.35">
      <c r="A1735" s="45">
        <v>1731</v>
      </c>
      <c r="B1735" s="2"/>
      <c r="C1735" s="2"/>
      <c r="D1735" s="2"/>
      <c r="E1735" s="3"/>
      <c r="F1735" s="3"/>
      <c r="G1735" s="2"/>
      <c r="H1735" s="2"/>
      <c r="I1735" s="46"/>
      <c r="J1735" s="12"/>
      <c r="K1735" s="2"/>
      <c r="L1735" s="59"/>
    </row>
    <row r="1736" spans="1:12" x14ac:dyDescent="0.35">
      <c r="A1736" s="45">
        <v>1732</v>
      </c>
      <c r="B1736" s="2"/>
      <c r="C1736" s="2"/>
      <c r="D1736" s="2"/>
      <c r="E1736" s="3"/>
      <c r="F1736" s="3"/>
      <c r="G1736" s="2"/>
      <c r="H1736" s="2"/>
      <c r="I1736" s="46"/>
      <c r="J1736" s="12"/>
      <c r="K1736" s="2"/>
      <c r="L1736" s="59"/>
    </row>
    <row r="1737" spans="1:12" x14ac:dyDescent="0.35">
      <c r="A1737" s="45">
        <v>1733</v>
      </c>
      <c r="B1737" s="2"/>
      <c r="C1737" s="2"/>
      <c r="D1737" s="2"/>
      <c r="E1737" s="3"/>
      <c r="F1737" s="3"/>
      <c r="G1737" s="2"/>
      <c r="H1737" s="2"/>
      <c r="I1737" s="46"/>
      <c r="J1737" s="12"/>
      <c r="K1737" s="2"/>
      <c r="L1737" s="59"/>
    </row>
    <row r="1738" spans="1:12" x14ac:dyDescent="0.35">
      <c r="A1738" s="45">
        <v>1734</v>
      </c>
      <c r="B1738" s="2"/>
      <c r="C1738" s="2"/>
      <c r="D1738" s="2"/>
      <c r="E1738" s="3"/>
      <c r="F1738" s="3"/>
      <c r="G1738" s="2"/>
      <c r="H1738" s="2"/>
      <c r="I1738" s="46"/>
      <c r="J1738" s="12"/>
      <c r="K1738" s="2"/>
      <c r="L1738" s="59"/>
    </row>
    <row r="1739" spans="1:12" x14ac:dyDescent="0.35">
      <c r="A1739" s="45">
        <v>1735</v>
      </c>
      <c r="B1739" s="2"/>
      <c r="C1739" s="2"/>
      <c r="D1739" s="2"/>
      <c r="E1739" s="3"/>
      <c r="F1739" s="3"/>
      <c r="G1739" s="2"/>
      <c r="H1739" s="2"/>
      <c r="I1739" s="46"/>
      <c r="J1739" s="12"/>
      <c r="K1739" s="2"/>
      <c r="L1739" s="59"/>
    </row>
    <row r="1740" spans="1:12" x14ac:dyDescent="0.35">
      <c r="A1740" s="45">
        <v>1736</v>
      </c>
      <c r="B1740" s="2"/>
      <c r="C1740" s="2"/>
      <c r="D1740" s="2"/>
      <c r="E1740" s="3"/>
      <c r="F1740" s="3"/>
      <c r="G1740" s="2"/>
      <c r="H1740" s="2"/>
      <c r="I1740" s="46"/>
      <c r="J1740" s="12"/>
      <c r="K1740" s="2"/>
      <c r="L1740" s="59"/>
    </row>
    <row r="1741" spans="1:12" x14ac:dyDescent="0.35">
      <c r="A1741" s="45">
        <v>1737</v>
      </c>
      <c r="B1741" s="2"/>
      <c r="C1741" s="2"/>
      <c r="D1741" s="2"/>
      <c r="E1741" s="3"/>
      <c r="F1741" s="3"/>
      <c r="G1741" s="2"/>
      <c r="H1741" s="2"/>
      <c r="I1741" s="46"/>
      <c r="J1741" s="12"/>
      <c r="K1741" s="2"/>
      <c r="L1741" s="59"/>
    </row>
    <row r="1742" spans="1:12" x14ac:dyDescent="0.35">
      <c r="A1742" s="45">
        <v>1738</v>
      </c>
      <c r="B1742" s="2"/>
      <c r="C1742" s="2"/>
      <c r="D1742" s="2"/>
      <c r="E1742" s="3"/>
      <c r="F1742" s="3"/>
      <c r="G1742" s="2"/>
      <c r="H1742" s="2"/>
      <c r="I1742" s="46"/>
      <c r="J1742" s="12"/>
      <c r="K1742" s="2"/>
      <c r="L1742" s="59"/>
    </row>
    <row r="1743" spans="1:12" x14ac:dyDescent="0.35">
      <c r="A1743" s="45">
        <v>1739</v>
      </c>
      <c r="B1743" s="2"/>
      <c r="C1743" s="2"/>
      <c r="D1743" s="2"/>
      <c r="E1743" s="3"/>
      <c r="F1743" s="3"/>
      <c r="G1743" s="2"/>
      <c r="H1743" s="2"/>
      <c r="I1743" s="46"/>
      <c r="J1743" s="12"/>
      <c r="K1743" s="2"/>
      <c r="L1743" s="59"/>
    </row>
    <row r="1744" spans="1:12" x14ac:dyDescent="0.35">
      <c r="A1744" s="45">
        <v>1740</v>
      </c>
      <c r="B1744" s="2"/>
      <c r="C1744" s="2"/>
      <c r="D1744" s="2"/>
      <c r="E1744" s="3"/>
      <c r="F1744" s="3"/>
      <c r="G1744" s="2"/>
      <c r="H1744" s="2"/>
      <c r="I1744" s="46"/>
      <c r="J1744" s="12"/>
      <c r="K1744" s="2"/>
      <c r="L1744" s="59"/>
    </row>
    <row r="1745" spans="1:12" x14ac:dyDescent="0.35">
      <c r="A1745" s="45">
        <v>1741</v>
      </c>
      <c r="B1745" s="2"/>
      <c r="C1745" s="2"/>
      <c r="D1745" s="2"/>
      <c r="E1745" s="3"/>
      <c r="F1745" s="3"/>
      <c r="G1745" s="2"/>
      <c r="H1745" s="2"/>
      <c r="I1745" s="46"/>
      <c r="J1745" s="12"/>
      <c r="K1745" s="2"/>
      <c r="L1745" s="59"/>
    </row>
    <row r="1746" spans="1:12" x14ac:dyDescent="0.35">
      <c r="A1746" s="45">
        <v>1742</v>
      </c>
      <c r="B1746" s="2"/>
      <c r="C1746" s="2"/>
      <c r="D1746" s="2"/>
      <c r="E1746" s="3"/>
      <c r="F1746" s="3"/>
      <c r="G1746" s="2"/>
      <c r="H1746" s="2"/>
      <c r="I1746" s="46"/>
      <c r="J1746" s="12"/>
      <c r="K1746" s="2"/>
      <c r="L1746" s="59"/>
    </row>
    <row r="1747" spans="1:12" x14ac:dyDescent="0.35">
      <c r="A1747" s="45">
        <v>1743</v>
      </c>
      <c r="B1747" s="2"/>
      <c r="C1747" s="2"/>
      <c r="D1747" s="2"/>
      <c r="E1747" s="3"/>
      <c r="F1747" s="3"/>
      <c r="G1747" s="2"/>
      <c r="H1747" s="2"/>
      <c r="I1747" s="46"/>
      <c r="J1747" s="12"/>
      <c r="K1747" s="2"/>
      <c r="L1747" s="59"/>
    </row>
    <row r="1748" spans="1:12" x14ac:dyDescent="0.35">
      <c r="A1748" s="45">
        <v>1744</v>
      </c>
      <c r="B1748" s="2"/>
      <c r="C1748" s="2"/>
      <c r="D1748" s="2"/>
      <c r="E1748" s="3"/>
      <c r="F1748" s="3"/>
      <c r="G1748" s="2"/>
      <c r="H1748" s="2"/>
      <c r="I1748" s="46"/>
      <c r="J1748" s="12"/>
      <c r="K1748" s="2"/>
      <c r="L1748" s="59"/>
    </row>
    <row r="1749" spans="1:12" x14ac:dyDescent="0.35">
      <c r="A1749" s="45">
        <v>1745</v>
      </c>
      <c r="B1749" s="2"/>
      <c r="C1749" s="2"/>
      <c r="D1749" s="2"/>
      <c r="E1749" s="3"/>
      <c r="F1749" s="3"/>
      <c r="G1749" s="2"/>
      <c r="H1749" s="2"/>
      <c r="I1749" s="46"/>
      <c r="J1749" s="12"/>
      <c r="K1749" s="2"/>
      <c r="L1749" s="59"/>
    </row>
    <row r="1750" spans="1:12" x14ac:dyDescent="0.35">
      <c r="A1750" s="45">
        <v>1746</v>
      </c>
      <c r="B1750" s="2"/>
      <c r="C1750" s="2"/>
      <c r="D1750" s="2"/>
      <c r="E1750" s="3"/>
      <c r="F1750" s="3"/>
      <c r="G1750" s="2"/>
      <c r="H1750" s="2"/>
      <c r="I1750" s="46"/>
      <c r="J1750" s="12"/>
      <c r="K1750" s="2"/>
      <c r="L1750" s="59"/>
    </row>
    <row r="1751" spans="1:12" x14ac:dyDescent="0.35">
      <c r="A1751" s="45">
        <v>1747</v>
      </c>
      <c r="B1751" s="2"/>
      <c r="C1751" s="2"/>
      <c r="D1751" s="2"/>
      <c r="E1751" s="3"/>
      <c r="F1751" s="3"/>
      <c r="G1751" s="2"/>
      <c r="H1751" s="2"/>
      <c r="I1751" s="46"/>
      <c r="J1751" s="12"/>
      <c r="K1751" s="2"/>
      <c r="L1751" s="59"/>
    </row>
    <row r="1752" spans="1:12" x14ac:dyDescent="0.35">
      <c r="A1752" s="45">
        <v>1748</v>
      </c>
      <c r="B1752" s="2"/>
      <c r="C1752" s="2"/>
      <c r="D1752" s="2"/>
      <c r="E1752" s="3"/>
      <c r="F1752" s="3"/>
      <c r="G1752" s="2"/>
      <c r="H1752" s="2"/>
      <c r="I1752" s="46"/>
      <c r="J1752" s="12"/>
      <c r="K1752" s="2"/>
      <c r="L1752" s="59"/>
    </row>
    <row r="1753" spans="1:12" x14ac:dyDescent="0.35">
      <c r="A1753" s="45">
        <v>1749</v>
      </c>
      <c r="B1753" s="2"/>
      <c r="C1753" s="2"/>
      <c r="D1753" s="2"/>
      <c r="E1753" s="3"/>
      <c r="F1753" s="3"/>
      <c r="G1753" s="2"/>
      <c r="H1753" s="2"/>
      <c r="I1753" s="46"/>
      <c r="J1753" s="12"/>
      <c r="K1753" s="2"/>
      <c r="L1753" s="59"/>
    </row>
    <row r="1754" spans="1:12" x14ac:dyDescent="0.35">
      <c r="A1754" s="45">
        <v>1750</v>
      </c>
      <c r="B1754" s="2"/>
      <c r="C1754" s="2"/>
      <c r="D1754" s="2"/>
      <c r="E1754" s="3"/>
      <c r="F1754" s="3"/>
      <c r="G1754" s="2"/>
      <c r="H1754" s="2"/>
      <c r="I1754" s="46"/>
      <c r="J1754" s="12"/>
      <c r="K1754" s="2"/>
      <c r="L1754" s="59"/>
    </row>
    <row r="1755" spans="1:12" x14ac:dyDescent="0.35">
      <c r="A1755" s="45">
        <v>1751</v>
      </c>
      <c r="B1755" s="2"/>
      <c r="C1755" s="2"/>
      <c r="D1755" s="2"/>
      <c r="E1755" s="3"/>
      <c r="F1755" s="3"/>
      <c r="G1755" s="2"/>
      <c r="H1755" s="2"/>
      <c r="I1755" s="46"/>
      <c r="J1755" s="12"/>
      <c r="K1755" s="2"/>
      <c r="L1755" s="59"/>
    </row>
    <row r="1756" spans="1:12" x14ac:dyDescent="0.35">
      <c r="A1756" s="45">
        <v>1752</v>
      </c>
      <c r="B1756" s="2"/>
      <c r="C1756" s="2"/>
      <c r="D1756" s="2"/>
      <c r="E1756" s="3"/>
      <c r="F1756" s="3"/>
      <c r="G1756" s="2"/>
      <c r="H1756" s="2"/>
      <c r="I1756" s="46"/>
      <c r="J1756" s="12"/>
      <c r="K1756" s="2"/>
      <c r="L1756" s="59"/>
    </row>
    <row r="1757" spans="1:12" x14ac:dyDescent="0.35">
      <c r="A1757" s="45">
        <v>1753</v>
      </c>
      <c r="B1757" s="2"/>
      <c r="C1757" s="2"/>
      <c r="D1757" s="2"/>
      <c r="E1757" s="3"/>
      <c r="F1757" s="3"/>
      <c r="G1757" s="2"/>
      <c r="H1757" s="2"/>
      <c r="I1757" s="46"/>
      <c r="J1757" s="12"/>
      <c r="K1757" s="2"/>
      <c r="L1757" s="59"/>
    </row>
    <row r="1758" spans="1:12" x14ac:dyDescent="0.35">
      <c r="A1758" s="45">
        <v>1754</v>
      </c>
      <c r="B1758" s="2"/>
      <c r="C1758" s="2"/>
      <c r="D1758" s="2"/>
      <c r="E1758" s="3"/>
      <c r="F1758" s="3"/>
      <c r="G1758" s="2"/>
      <c r="H1758" s="2"/>
      <c r="I1758" s="46"/>
      <c r="J1758" s="12"/>
      <c r="K1758" s="2"/>
      <c r="L1758" s="59"/>
    </row>
    <row r="1759" spans="1:12" x14ac:dyDescent="0.35">
      <c r="A1759" s="45">
        <v>1755</v>
      </c>
      <c r="B1759" s="2"/>
      <c r="C1759" s="2"/>
      <c r="D1759" s="2"/>
      <c r="E1759" s="3"/>
      <c r="F1759" s="3"/>
      <c r="G1759" s="2"/>
      <c r="H1759" s="2"/>
      <c r="I1759" s="46"/>
      <c r="J1759" s="12"/>
      <c r="K1759" s="2"/>
      <c r="L1759" s="59"/>
    </row>
    <row r="1760" spans="1:12" x14ac:dyDescent="0.35">
      <c r="A1760" s="45">
        <v>1756</v>
      </c>
      <c r="B1760" s="2"/>
      <c r="C1760" s="2"/>
      <c r="D1760" s="2"/>
      <c r="E1760" s="3"/>
      <c r="F1760" s="3"/>
      <c r="G1760" s="2"/>
      <c r="H1760" s="2"/>
      <c r="I1760" s="46"/>
      <c r="J1760" s="12"/>
      <c r="K1760" s="2"/>
      <c r="L1760" s="59"/>
    </row>
    <row r="1761" spans="1:12" x14ac:dyDescent="0.35">
      <c r="A1761" s="45">
        <v>1757</v>
      </c>
      <c r="B1761" s="2"/>
      <c r="C1761" s="2"/>
      <c r="D1761" s="2"/>
      <c r="E1761" s="3"/>
      <c r="F1761" s="3"/>
      <c r="G1761" s="2"/>
      <c r="H1761" s="2"/>
      <c r="I1761" s="46"/>
      <c r="J1761" s="12"/>
      <c r="K1761" s="2"/>
      <c r="L1761" s="59"/>
    </row>
    <row r="1762" spans="1:12" x14ac:dyDescent="0.35">
      <c r="A1762" s="45">
        <v>1758</v>
      </c>
      <c r="B1762" s="2"/>
      <c r="C1762" s="2"/>
      <c r="D1762" s="2"/>
      <c r="E1762" s="3"/>
      <c r="F1762" s="3"/>
      <c r="G1762" s="2"/>
      <c r="H1762" s="2"/>
      <c r="I1762" s="46"/>
      <c r="J1762" s="12"/>
      <c r="K1762" s="2"/>
      <c r="L1762" s="59"/>
    </row>
    <row r="1763" spans="1:12" x14ac:dyDescent="0.35">
      <c r="A1763" s="45">
        <v>1759</v>
      </c>
      <c r="B1763" s="2"/>
      <c r="C1763" s="2"/>
      <c r="D1763" s="2"/>
      <c r="E1763" s="3"/>
      <c r="F1763" s="3"/>
      <c r="G1763" s="2"/>
      <c r="H1763" s="2"/>
      <c r="I1763" s="46"/>
      <c r="J1763" s="12"/>
      <c r="K1763" s="2"/>
      <c r="L1763" s="59"/>
    </row>
    <row r="1764" spans="1:12" x14ac:dyDescent="0.35">
      <c r="A1764" s="45">
        <v>1760</v>
      </c>
      <c r="B1764" s="2"/>
      <c r="C1764" s="2"/>
      <c r="D1764" s="2"/>
      <c r="E1764" s="3"/>
      <c r="F1764" s="3"/>
      <c r="G1764" s="2"/>
      <c r="H1764" s="2"/>
      <c r="I1764" s="46"/>
      <c r="J1764" s="12"/>
      <c r="K1764" s="2"/>
      <c r="L1764" s="59"/>
    </row>
    <row r="1765" spans="1:12" x14ac:dyDescent="0.35">
      <c r="A1765" s="45">
        <v>1761</v>
      </c>
      <c r="B1765" s="2"/>
      <c r="C1765" s="2"/>
      <c r="D1765" s="2"/>
      <c r="E1765" s="3"/>
      <c r="F1765" s="3"/>
      <c r="G1765" s="2"/>
      <c r="H1765" s="2"/>
      <c r="I1765" s="46"/>
      <c r="J1765" s="12"/>
      <c r="K1765" s="2"/>
      <c r="L1765" s="59"/>
    </row>
    <row r="1766" spans="1:12" x14ac:dyDescent="0.35">
      <c r="A1766" s="45">
        <v>1762</v>
      </c>
      <c r="B1766" s="2"/>
      <c r="C1766" s="2"/>
      <c r="D1766" s="2"/>
      <c r="E1766" s="3"/>
      <c r="F1766" s="3"/>
      <c r="G1766" s="2"/>
      <c r="H1766" s="2"/>
      <c r="I1766" s="46"/>
      <c r="J1766" s="12"/>
      <c r="K1766" s="2"/>
      <c r="L1766" s="59"/>
    </row>
    <row r="1767" spans="1:12" x14ac:dyDescent="0.35">
      <c r="A1767" s="45">
        <v>1763</v>
      </c>
      <c r="B1767" s="2"/>
      <c r="C1767" s="2"/>
      <c r="D1767" s="2"/>
      <c r="E1767" s="3"/>
      <c r="F1767" s="3"/>
      <c r="G1767" s="2"/>
      <c r="H1767" s="2"/>
      <c r="I1767" s="46"/>
      <c r="J1767" s="12"/>
      <c r="K1767" s="2"/>
      <c r="L1767" s="59"/>
    </row>
    <row r="1768" spans="1:12" x14ac:dyDescent="0.35">
      <c r="A1768" s="45">
        <v>1764</v>
      </c>
      <c r="B1768" s="2"/>
      <c r="C1768" s="2"/>
      <c r="D1768" s="2"/>
      <c r="E1768" s="3"/>
      <c r="F1768" s="3"/>
      <c r="G1768" s="2"/>
      <c r="H1768" s="2"/>
      <c r="I1768" s="46"/>
      <c r="J1768" s="12"/>
      <c r="K1768" s="2"/>
      <c r="L1768" s="59"/>
    </row>
    <row r="1769" spans="1:12" x14ac:dyDescent="0.35">
      <c r="A1769" s="45">
        <v>1765</v>
      </c>
      <c r="B1769" s="2"/>
      <c r="C1769" s="2"/>
      <c r="D1769" s="2"/>
      <c r="E1769" s="3"/>
      <c r="F1769" s="3"/>
      <c r="G1769" s="2"/>
      <c r="H1769" s="2"/>
      <c r="I1769" s="46"/>
      <c r="J1769" s="12"/>
      <c r="K1769" s="2"/>
      <c r="L1769" s="59"/>
    </row>
    <row r="1770" spans="1:12" x14ac:dyDescent="0.35">
      <c r="A1770" s="45">
        <v>1766</v>
      </c>
      <c r="B1770" s="2"/>
      <c r="C1770" s="2"/>
      <c r="D1770" s="2"/>
      <c r="E1770" s="3"/>
      <c r="F1770" s="3"/>
      <c r="G1770" s="2"/>
      <c r="H1770" s="2"/>
      <c r="I1770" s="46"/>
      <c r="J1770" s="12"/>
      <c r="K1770" s="2"/>
      <c r="L1770" s="59"/>
    </row>
    <row r="1771" spans="1:12" x14ac:dyDescent="0.35">
      <c r="A1771" s="45">
        <v>1767</v>
      </c>
      <c r="B1771" s="2"/>
      <c r="C1771" s="2"/>
      <c r="D1771" s="2"/>
      <c r="E1771" s="3"/>
      <c r="F1771" s="3"/>
      <c r="G1771" s="2"/>
      <c r="H1771" s="2"/>
      <c r="I1771" s="46"/>
      <c r="J1771" s="12"/>
      <c r="K1771" s="2"/>
      <c r="L1771" s="59"/>
    </row>
    <row r="1772" spans="1:12" x14ac:dyDescent="0.35">
      <c r="A1772" s="45">
        <v>1768</v>
      </c>
      <c r="B1772" s="2"/>
      <c r="C1772" s="2"/>
      <c r="D1772" s="2"/>
      <c r="E1772" s="3"/>
      <c r="F1772" s="3"/>
      <c r="G1772" s="2"/>
      <c r="H1772" s="2"/>
      <c r="I1772" s="46"/>
      <c r="J1772" s="12"/>
      <c r="K1772" s="2"/>
      <c r="L1772" s="59"/>
    </row>
    <row r="1773" spans="1:12" x14ac:dyDescent="0.35">
      <c r="A1773" s="45">
        <v>1769</v>
      </c>
      <c r="B1773" s="2"/>
      <c r="C1773" s="2"/>
      <c r="D1773" s="2"/>
      <c r="E1773" s="3"/>
      <c r="F1773" s="3"/>
      <c r="G1773" s="2"/>
      <c r="H1773" s="2"/>
      <c r="I1773" s="46"/>
      <c r="J1773" s="12"/>
      <c r="K1773" s="2"/>
      <c r="L1773" s="59"/>
    </row>
    <row r="1774" spans="1:12" x14ac:dyDescent="0.35">
      <c r="A1774" s="45">
        <v>1770</v>
      </c>
      <c r="B1774" s="2"/>
      <c r="C1774" s="2"/>
      <c r="D1774" s="2"/>
      <c r="E1774" s="3"/>
      <c r="F1774" s="3"/>
      <c r="G1774" s="2"/>
      <c r="H1774" s="2"/>
      <c r="I1774" s="46"/>
      <c r="J1774" s="12"/>
      <c r="K1774" s="2"/>
      <c r="L1774" s="59"/>
    </row>
    <row r="1775" spans="1:12" x14ac:dyDescent="0.35">
      <c r="A1775" s="45">
        <v>1771</v>
      </c>
      <c r="B1775" s="2"/>
      <c r="C1775" s="2"/>
      <c r="D1775" s="2"/>
      <c r="E1775" s="3"/>
      <c r="F1775" s="3"/>
      <c r="G1775" s="2"/>
      <c r="H1775" s="2"/>
      <c r="I1775" s="46"/>
      <c r="J1775" s="12"/>
      <c r="K1775" s="2"/>
      <c r="L1775" s="59"/>
    </row>
    <row r="1776" spans="1:12" x14ac:dyDescent="0.35">
      <c r="A1776" s="45">
        <v>1772</v>
      </c>
      <c r="B1776" s="2"/>
      <c r="C1776" s="2"/>
      <c r="D1776" s="2"/>
      <c r="E1776" s="3"/>
      <c r="F1776" s="3"/>
      <c r="G1776" s="2"/>
      <c r="H1776" s="2"/>
      <c r="I1776" s="46"/>
      <c r="J1776" s="12"/>
      <c r="K1776" s="2"/>
      <c r="L1776" s="59"/>
    </row>
    <row r="1777" spans="1:12" x14ac:dyDescent="0.35">
      <c r="A1777" s="45">
        <v>1773</v>
      </c>
      <c r="B1777" s="2"/>
      <c r="C1777" s="2"/>
      <c r="D1777" s="2"/>
      <c r="E1777" s="3"/>
      <c r="F1777" s="3"/>
      <c r="G1777" s="2"/>
      <c r="H1777" s="2"/>
      <c r="I1777" s="46"/>
      <c r="J1777" s="12"/>
      <c r="K1777" s="2"/>
      <c r="L1777" s="59"/>
    </row>
    <row r="1778" spans="1:12" x14ac:dyDescent="0.35">
      <c r="A1778" s="45">
        <v>1774</v>
      </c>
      <c r="B1778" s="2"/>
      <c r="C1778" s="2"/>
      <c r="D1778" s="2"/>
      <c r="E1778" s="3"/>
      <c r="F1778" s="3"/>
      <c r="G1778" s="2"/>
      <c r="H1778" s="2"/>
      <c r="I1778" s="46"/>
      <c r="J1778" s="12"/>
      <c r="K1778" s="2"/>
      <c r="L1778" s="59"/>
    </row>
    <row r="1779" spans="1:12" x14ac:dyDescent="0.35">
      <c r="A1779" s="45">
        <v>1775</v>
      </c>
      <c r="B1779" s="2"/>
      <c r="C1779" s="2"/>
      <c r="D1779" s="2"/>
      <c r="E1779" s="3"/>
      <c r="F1779" s="3"/>
      <c r="G1779" s="2"/>
      <c r="H1779" s="2"/>
      <c r="I1779" s="46"/>
      <c r="J1779" s="12"/>
      <c r="K1779" s="2"/>
      <c r="L1779" s="59"/>
    </row>
    <row r="1780" spans="1:12" x14ac:dyDescent="0.35">
      <c r="A1780" s="45">
        <v>1776</v>
      </c>
      <c r="B1780" s="2"/>
      <c r="C1780" s="2"/>
      <c r="D1780" s="2"/>
      <c r="E1780" s="3"/>
      <c r="F1780" s="3"/>
      <c r="G1780" s="2"/>
      <c r="H1780" s="2"/>
      <c r="I1780" s="46"/>
      <c r="J1780" s="12"/>
      <c r="K1780" s="2"/>
      <c r="L1780" s="59"/>
    </row>
    <row r="1781" spans="1:12" x14ac:dyDescent="0.35">
      <c r="A1781" s="45">
        <v>1777</v>
      </c>
      <c r="B1781" s="2"/>
      <c r="C1781" s="2"/>
      <c r="D1781" s="2"/>
      <c r="E1781" s="3"/>
      <c r="F1781" s="3"/>
      <c r="G1781" s="2"/>
      <c r="H1781" s="2"/>
      <c r="I1781" s="46"/>
      <c r="J1781" s="12"/>
      <c r="K1781" s="2"/>
      <c r="L1781" s="59"/>
    </row>
    <row r="1782" spans="1:12" x14ac:dyDescent="0.35">
      <c r="A1782" s="45">
        <v>1778</v>
      </c>
      <c r="B1782" s="2"/>
      <c r="C1782" s="2"/>
      <c r="D1782" s="2"/>
      <c r="E1782" s="3"/>
      <c r="F1782" s="3"/>
      <c r="G1782" s="2"/>
      <c r="H1782" s="2"/>
      <c r="I1782" s="46"/>
      <c r="J1782" s="12"/>
      <c r="K1782" s="2"/>
      <c r="L1782" s="59"/>
    </row>
    <row r="1783" spans="1:12" x14ac:dyDescent="0.35">
      <c r="A1783" s="45">
        <v>1779</v>
      </c>
      <c r="B1783" s="2"/>
      <c r="C1783" s="2"/>
      <c r="D1783" s="2"/>
      <c r="E1783" s="3"/>
      <c r="F1783" s="3"/>
      <c r="G1783" s="2"/>
      <c r="H1783" s="2"/>
      <c r="I1783" s="46"/>
      <c r="J1783" s="12"/>
      <c r="K1783" s="2"/>
      <c r="L1783" s="59"/>
    </row>
    <row r="1784" spans="1:12" x14ac:dyDescent="0.35">
      <c r="A1784" s="45">
        <v>1780</v>
      </c>
      <c r="B1784" s="2"/>
      <c r="C1784" s="2"/>
      <c r="D1784" s="2"/>
      <c r="E1784" s="3"/>
      <c r="F1784" s="3"/>
      <c r="G1784" s="2"/>
      <c r="H1784" s="2"/>
      <c r="I1784" s="46"/>
      <c r="J1784" s="12"/>
      <c r="K1784" s="2"/>
      <c r="L1784" s="59"/>
    </row>
    <row r="1785" spans="1:12" x14ac:dyDescent="0.35">
      <c r="A1785" s="45">
        <v>1781</v>
      </c>
      <c r="B1785" s="2"/>
      <c r="C1785" s="2"/>
      <c r="D1785" s="2"/>
      <c r="E1785" s="3"/>
      <c r="F1785" s="3"/>
      <c r="G1785" s="2"/>
      <c r="H1785" s="2"/>
      <c r="I1785" s="46"/>
      <c r="J1785" s="12"/>
      <c r="K1785" s="2"/>
      <c r="L1785" s="59"/>
    </row>
    <row r="1786" spans="1:12" x14ac:dyDescent="0.35">
      <c r="A1786" s="45">
        <v>1782</v>
      </c>
      <c r="B1786" s="2"/>
      <c r="C1786" s="2"/>
      <c r="D1786" s="2"/>
      <c r="E1786" s="3"/>
      <c r="F1786" s="3"/>
      <c r="G1786" s="2"/>
      <c r="H1786" s="2"/>
      <c r="I1786" s="46"/>
      <c r="J1786" s="12"/>
      <c r="K1786" s="2"/>
      <c r="L1786" s="59"/>
    </row>
    <row r="1787" spans="1:12" x14ac:dyDescent="0.35">
      <c r="A1787" s="45">
        <v>1783</v>
      </c>
      <c r="B1787" s="2"/>
      <c r="C1787" s="2"/>
      <c r="D1787" s="2"/>
      <c r="E1787" s="3"/>
      <c r="F1787" s="3"/>
      <c r="G1787" s="2"/>
      <c r="H1787" s="2"/>
      <c r="I1787" s="46"/>
      <c r="J1787" s="12"/>
      <c r="K1787" s="2"/>
      <c r="L1787" s="59"/>
    </row>
    <row r="1788" spans="1:12" x14ac:dyDescent="0.35">
      <c r="A1788" s="45">
        <v>1784</v>
      </c>
      <c r="B1788" s="2"/>
      <c r="C1788" s="2"/>
      <c r="D1788" s="2"/>
      <c r="E1788" s="3"/>
      <c r="F1788" s="3"/>
      <c r="G1788" s="2"/>
      <c r="H1788" s="2"/>
      <c r="I1788" s="46"/>
      <c r="J1788" s="12"/>
      <c r="K1788" s="2"/>
      <c r="L1788" s="59"/>
    </row>
    <row r="1789" spans="1:12" x14ac:dyDescent="0.35">
      <c r="A1789" s="45">
        <v>1785</v>
      </c>
      <c r="B1789" s="2"/>
      <c r="C1789" s="2"/>
      <c r="D1789" s="2"/>
      <c r="E1789" s="3"/>
      <c r="F1789" s="3"/>
      <c r="G1789" s="2"/>
      <c r="H1789" s="2"/>
      <c r="I1789" s="46"/>
      <c r="J1789" s="12"/>
      <c r="K1789" s="2"/>
      <c r="L1789" s="59"/>
    </row>
    <row r="1790" spans="1:12" x14ac:dyDescent="0.35">
      <c r="A1790" s="45">
        <v>1786</v>
      </c>
      <c r="B1790" s="2"/>
      <c r="C1790" s="2"/>
      <c r="D1790" s="2"/>
      <c r="E1790" s="3"/>
      <c r="F1790" s="3"/>
      <c r="G1790" s="2"/>
      <c r="H1790" s="2"/>
      <c r="I1790" s="46"/>
      <c r="J1790" s="12"/>
      <c r="K1790" s="2"/>
      <c r="L1790" s="59"/>
    </row>
    <row r="1791" spans="1:12" x14ac:dyDescent="0.35">
      <c r="A1791" s="45">
        <v>1787</v>
      </c>
      <c r="B1791" s="2"/>
      <c r="C1791" s="2"/>
      <c r="D1791" s="2"/>
      <c r="E1791" s="3"/>
      <c r="F1791" s="3"/>
      <c r="G1791" s="2"/>
      <c r="H1791" s="2"/>
      <c r="I1791" s="46"/>
      <c r="J1791" s="12"/>
      <c r="K1791" s="2"/>
      <c r="L1791" s="59"/>
    </row>
    <row r="1792" spans="1:12" x14ac:dyDescent="0.35">
      <c r="A1792" s="45">
        <v>1788</v>
      </c>
      <c r="B1792" s="2"/>
      <c r="C1792" s="2"/>
      <c r="D1792" s="2"/>
      <c r="E1792" s="3"/>
      <c r="F1792" s="3"/>
      <c r="G1792" s="2"/>
      <c r="H1792" s="2"/>
      <c r="I1792" s="46"/>
      <c r="J1792" s="12"/>
      <c r="K1792" s="2"/>
      <c r="L1792" s="59"/>
    </row>
    <row r="1793" spans="1:12" x14ac:dyDescent="0.35">
      <c r="A1793" s="45">
        <v>1789</v>
      </c>
      <c r="B1793" s="2"/>
      <c r="C1793" s="2"/>
      <c r="D1793" s="2"/>
      <c r="E1793" s="3"/>
      <c r="F1793" s="3"/>
      <c r="G1793" s="2"/>
      <c r="H1793" s="2"/>
      <c r="I1793" s="46"/>
      <c r="J1793" s="12"/>
      <c r="K1793" s="2"/>
      <c r="L1793" s="59"/>
    </row>
    <row r="1794" spans="1:12" x14ac:dyDescent="0.35">
      <c r="A1794" s="45">
        <v>1790</v>
      </c>
      <c r="B1794" s="2"/>
      <c r="C1794" s="2"/>
      <c r="D1794" s="2"/>
      <c r="E1794" s="3"/>
      <c r="F1794" s="3"/>
      <c r="G1794" s="2"/>
      <c r="H1794" s="2"/>
      <c r="I1794" s="46"/>
      <c r="J1794" s="12"/>
      <c r="K1794" s="2"/>
      <c r="L1794" s="59"/>
    </row>
    <row r="1795" spans="1:12" x14ac:dyDescent="0.35">
      <c r="A1795" s="45">
        <v>1791</v>
      </c>
      <c r="B1795" s="2"/>
      <c r="C1795" s="2"/>
      <c r="D1795" s="2"/>
      <c r="E1795" s="3"/>
      <c r="F1795" s="3"/>
      <c r="G1795" s="2"/>
      <c r="H1795" s="2"/>
      <c r="I1795" s="46"/>
      <c r="J1795" s="12"/>
      <c r="K1795" s="2"/>
      <c r="L1795" s="59"/>
    </row>
    <row r="1796" spans="1:12" x14ac:dyDescent="0.35">
      <c r="A1796" s="45">
        <v>1792</v>
      </c>
      <c r="B1796" s="2"/>
      <c r="C1796" s="2"/>
      <c r="D1796" s="2"/>
      <c r="E1796" s="3"/>
      <c r="F1796" s="3"/>
      <c r="G1796" s="2"/>
      <c r="H1796" s="2"/>
      <c r="I1796" s="46"/>
      <c r="J1796" s="12"/>
      <c r="K1796" s="2"/>
      <c r="L1796" s="59"/>
    </row>
    <row r="1797" spans="1:12" x14ac:dyDescent="0.35">
      <c r="A1797" s="45">
        <v>1793</v>
      </c>
      <c r="B1797" s="2"/>
      <c r="C1797" s="2"/>
      <c r="D1797" s="2"/>
      <c r="E1797" s="3"/>
      <c r="F1797" s="3"/>
      <c r="G1797" s="2"/>
      <c r="H1797" s="2"/>
      <c r="I1797" s="46"/>
      <c r="J1797" s="12"/>
      <c r="K1797" s="2"/>
      <c r="L1797" s="59"/>
    </row>
    <row r="1798" spans="1:12" x14ac:dyDescent="0.35">
      <c r="A1798" s="45">
        <v>1794</v>
      </c>
      <c r="B1798" s="2"/>
      <c r="C1798" s="2"/>
      <c r="D1798" s="2"/>
      <c r="E1798" s="3"/>
      <c r="F1798" s="3"/>
      <c r="G1798" s="2"/>
      <c r="H1798" s="2"/>
      <c r="I1798" s="46"/>
      <c r="J1798" s="12"/>
      <c r="K1798" s="2"/>
      <c r="L1798" s="59"/>
    </row>
    <row r="1799" spans="1:12" x14ac:dyDescent="0.35">
      <c r="A1799" s="45">
        <v>1795</v>
      </c>
      <c r="B1799" s="2"/>
      <c r="C1799" s="2"/>
      <c r="D1799" s="2"/>
      <c r="E1799" s="3"/>
      <c r="F1799" s="3"/>
      <c r="G1799" s="2"/>
      <c r="H1799" s="2"/>
      <c r="I1799" s="46"/>
      <c r="J1799" s="12"/>
      <c r="K1799" s="2"/>
      <c r="L1799" s="59"/>
    </row>
    <row r="1800" spans="1:12" x14ac:dyDescent="0.35">
      <c r="A1800" s="45">
        <v>1796</v>
      </c>
      <c r="B1800" s="2"/>
      <c r="C1800" s="2"/>
      <c r="D1800" s="2"/>
      <c r="E1800" s="3"/>
      <c r="F1800" s="3"/>
      <c r="G1800" s="2"/>
      <c r="H1800" s="2"/>
      <c r="I1800" s="46"/>
      <c r="J1800" s="12"/>
      <c r="K1800" s="2"/>
      <c r="L1800" s="59"/>
    </row>
    <row r="1801" spans="1:12" x14ac:dyDescent="0.35">
      <c r="A1801" s="45">
        <v>1797</v>
      </c>
      <c r="B1801" s="2"/>
      <c r="C1801" s="2"/>
      <c r="D1801" s="2"/>
      <c r="E1801" s="3"/>
      <c r="F1801" s="3"/>
      <c r="G1801" s="2"/>
      <c r="H1801" s="2"/>
      <c r="I1801" s="46"/>
      <c r="J1801" s="12"/>
      <c r="K1801" s="2"/>
      <c r="L1801" s="59"/>
    </row>
    <row r="1802" spans="1:12" x14ac:dyDescent="0.35">
      <c r="A1802" s="45">
        <v>1798</v>
      </c>
      <c r="B1802" s="2"/>
      <c r="C1802" s="2"/>
      <c r="D1802" s="2"/>
      <c r="E1802" s="3"/>
      <c r="F1802" s="3"/>
      <c r="G1802" s="2"/>
      <c r="H1802" s="2"/>
      <c r="I1802" s="46"/>
      <c r="J1802" s="12"/>
      <c r="K1802" s="2"/>
      <c r="L1802" s="59"/>
    </row>
    <row r="1803" spans="1:12" x14ac:dyDescent="0.35">
      <c r="A1803" s="45">
        <v>1799</v>
      </c>
      <c r="B1803" s="2"/>
      <c r="C1803" s="2"/>
      <c r="D1803" s="2"/>
      <c r="E1803" s="3"/>
      <c r="F1803" s="3"/>
      <c r="G1803" s="2"/>
      <c r="H1803" s="2"/>
      <c r="I1803" s="46"/>
      <c r="J1803" s="12"/>
      <c r="K1803" s="2"/>
      <c r="L1803" s="59"/>
    </row>
    <row r="1804" spans="1:12" x14ac:dyDescent="0.35">
      <c r="A1804" s="45">
        <v>1800</v>
      </c>
      <c r="B1804" s="2"/>
      <c r="C1804" s="2"/>
      <c r="D1804" s="2"/>
      <c r="E1804" s="3"/>
      <c r="F1804" s="3"/>
      <c r="G1804" s="2"/>
      <c r="H1804" s="2"/>
      <c r="I1804" s="46"/>
      <c r="J1804" s="12"/>
      <c r="K1804" s="2"/>
      <c r="L1804" s="59"/>
    </row>
    <row r="1805" spans="1:12" x14ac:dyDescent="0.35">
      <c r="A1805" s="45">
        <v>1801</v>
      </c>
      <c r="B1805" s="2"/>
      <c r="C1805" s="2"/>
      <c r="D1805" s="2"/>
      <c r="E1805" s="3"/>
      <c r="F1805" s="3"/>
      <c r="G1805" s="2"/>
      <c r="H1805" s="2"/>
      <c r="I1805" s="46"/>
      <c r="J1805" s="12"/>
      <c r="K1805" s="2"/>
      <c r="L1805" s="59"/>
    </row>
    <row r="1806" spans="1:12" x14ac:dyDescent="0.35">
      <c r="A1806" s="45">
        <v>1802</v>
      </c>
      <c r="B1806" s="2"/>
      <c r="C1806" s="2"/>
      <c r="D1806" s="2"/>
      <c r="E1806" s="3"/>
      <c r="F1806" s="3"/>
      <c r="G1806" s="2"/>
      <c r="H1806" s="2"/>
      <c r="I1806" s="46"/>
      <c r="J1806" s="12"/>
      <c r="K1806" s="2"/>
      <c r="L1806" s="59"/>
    </row>
    <row r="1807" spans="1:12" x14ac:dyDescent="0.35">
      <c r="A1807" s="45">
        <v>1803</v>
      </c>
      <c r="B1807" s="2"/>
      <c r="C1807" s="2"/>
      <c r="D1807" s="2"/>
      <c r="E1807" s="3"/>
      <c r="F1807" s="3"/>
      <c r="G1807" s="2"/>
      <c r="H1807" s="2"/>
      <c r="I1807" s="46"/>
      <c r="J1807" s="12"/>
      <c r="K1807" s="2"/>
      <c r="L1807" s="59"/>
    </row>
    <row r="1808" spans="1:12" x14ac:dyDescent="0.35">
      <c r="A1808" s="45">
        <v>1804</v>
      </c>
      <c r="B1808" s="2"/>
      <c r="C1808" s="2"/>
      <c r="D1808" s="2"/>
      <c r="E1808" s="3"/>
      <c r="F1808" s="3"/>
      <c r="G1808" s="2"/>
      <c r="H1808" s="2"/>
      <c r="I1808" s="46"/>
      <c r="J1808" s="12"/>
      <c r="K1808" s="2"/>
      <c r="L1808" s="59"/>
    </row>
    <row r="1809" spans="1:12" x14ac:dyDescent="0.35">
      <c r="A1809" s="45">
        <v>1805</v>
      </c>
      <c r="B1809" s="2"/>
      <c r="C1809" s="2"/>
      <c r="D1809" s="2"/>
      <c r="E1809" s="3"/>
      <c r="F1809" s="3"/>
      <c r="G1809" s="2"/>
      <c r="H1809" s="2"/>
      <c r="I1809" s="46"/>
      <c r="J1809" s="12"/>
      <c r="K1809" s="2"/>
      <c r="L1809" s="59"/>
    </row>
    <row r="1810" spans="1:12" x14ac:dyDescent="0.35">
      <c r="A1810" s="45">
        <v>1806</v>
      </c>
      <c r="B1810" s="2"/>
      <c r="C1810" s="2"/>
      <c r="D1810" s="2"/>
      <c r="E1810" s="3"/>
      <c r="F1810" s="3"/>
      <c r="G1810" s="2"/>
      <c r="H1810" s="2"/>
      <c r="I1810" s="46"/>
      <c r="J1810" s="12"/>
      <c r="K1810" s="2"/>
      <c r="L1810" s="59"/>
    </row>
    <row r="1811" spans="1:12" x14ac:dyDescent="0.35">
      <c r="A1811" s="45">
        <v>1807</v>
      </c>
      <c r="B1811" s="2"/>
      <c r="C1811" s="2"/>
      <c r="D1811" s="2"/>
      <c r="E1811" s="3"/>
      <c r="F1811" s="3"/>
      <c r="G1811" s="2"/>
      <c r="H1811" s="2"/>
      <c r="I1811" s="46"/>
      <c r="J1811" s="12"/>
      <c r="K1811" s="2"/>
      <c r="L1811" s="59"/>
    </row>
    <row r="1812" spans="1:12" x14ac:dyDescent="0.35">
      <c r="A1812" s="45">
        <v>1808</v>
      </c>
      <c r="B1812" s="2"/>
      <c r="C1812" s="2"/>
      <c r="D1812" s="2"/>
      <c r="E1812" s="3"/>
      <c r="F1812" s="3"/>
      <c r="G1812" s="2"/>
      <c r="H1812" s="2"/>
      <c r="I1812" s="46"/>
      <c r="J1812" s="12"/>
      <c r="K1812" s="2"/>
      <c r="L1812" s="59"/>
    </row>
    <row r="1813" spans="1:12" x14ac:dyDescent="0.35">
      <c r="A1813" s="45">
        <v>1809</v>
      </c>
      <c r="B1813" s="2"/>
      <c r="C1813" s="2"/>
      <c r="D1813" s="2"/>
      <c r="E1813" s="3"/>
      <c r="F1813" s="3"/>
      <c r="G1813" s="2"/>
      <c r="H1813" s="2"/>
      <c r="I1813" s="46"/>
      <c r="J1813" s="12"/>
      <c r="K1813" s="2"/>
      <c r="L1813" s="59"/>
    </row>
    <row r="1814" spans="1:12" x14ac:dyDescent="0.35">
      <c r="A1814" s="45">
        <v>1810</v>
      </c>
      <c r="B1814" s="2"/>
      <c r="C1814" s="2"/>
      <c r="D1814" s="2"/>
      <c r="E1814" s="3"/>
      <c r="F1814" s="3"/>
      <c r="G1814" s="2"/>
      <c r="H1814" s="2"/>
      <c r="I1814" s="46"/>
      <c r="J1814" s="12"/>
      <c r="K1814" s="2"/>
      <c r="L1814" s="59"/>
    </row>
    <row r="1815" spans="1:12" x14ac:dyDescent="0.35">
      <c r="A1815" s="45">
        <v>1811</v>
      </c>
      <c r="B1815" s="2"/>
      <c r="C1815" s="2"/>
      <c r="D1815" s="2"/>
      <c r="E1815" s="3"/>
      <c r="F1815" s="3"/>
      <c r="G1815" s="2"/>
      <c r="H1815" s="2"/>
      <c r="I1815" s="46"/>
      <c r="J1815" s="12"/>
      <c r="K1815" s="2"/>
      <c r="L1815" s="59"/>
    </row>
    <row r="1816" spans="1:12" x14ac:dyDescent="0.35">
      <c r="A1816" s="45">
        <v>1812</v>
      </c>
      <c r="B1816" s="2"/>
      <c r="C1816" s="2"/>
      <c r="D1816" s="2"/>
      <c r="E1816" s="3"/>
      <c r="F1816" s="3"/>
      <c r="G1816" s="2"/>
      <c r="H1816" s="2"/>
      <c r="I1816" s="46"/>
      <c r="J1816" s="12"/>
      <c r="K1816" s="2"/>
      <c r="L1816" s="59"/>
    </row>
    <row r="1817" spans="1:12" x14ac:dyDescent="0.35">
      <c r="A1817" s="45">
        <v>1813</v>
      </c>
      <c r="B1817" s="2"/>
      <c r="C1817" s="2"/>
      <c r="D1817" s="2"/>
      <c r="E1817" s="3"/>
      <c r="F1817" s="3"/>
      <c r="G1817" s="2"/>
      <c r="H1817" s="2"/>
      <c r="I1817" s="46"/>
      <c r="J1817" s="12"/>
      <c r="K1817" s="2"/>
      <c r="L1817" s="59"/>
    </row>
    <row r="1818" spans="1:12" x14ac:dyDescent="0.35">
      <c r="A1818" s="45">
        <v>1814</v>
      </c>
      <c r="B1818" s="2"/>
      <c r="C1818" s="2"/>
      <c r="D1818" s="2"/>
      <c r="E1818" s="3"/>
      <c r="F1818" s="3"/>
      <c r="G1818" s="2"/>
      <c r="H1818" s="2"/>
      <c r="I1818" s="46"/>
      <c r="J1818" s="12"/>
      <c r="K1818" s="2"/>
      <c r="L1818" s="59"/>
    </row>
    <row r="1819" spans="1:12" x14ac:dyDescent="0.35">
      <c r="A1819" s="45">
        <v>1815</v>
      </c>
      <c r="B1819" s="2"/>
      <c r="C1819" s="2"/>
      <c r="D1819" s="2"/>
      <c r="E1819" s="3"/>
      <c r="F1819" s="3"/>
      <c r="G1819" s="2"/>
      <c r="H1819" s="2"/>
      <c r="I1819" s="46"/>
      <c r="J1819" s="12"/>
      <c r="K1819" s="2"/>
      <c r="L1819" s="59"/>
    </row>
    <row r="1820" spans="1:12" x14ac:dyDescent="0.35">
      <c r="A1820" s="45">
        <v>1816</v>
      </c>
      <c r="B1820" s="2"/>
      <c r="C1820" s="2"/>
      <c r="D1820" s="2"/>
      <c r="E1820" s="3"/>
      <c r="F1820" s="3"/>
      <c r="G1820" s="2"/>
      <c r="H1820" s="2"/>
      <c r="I1820" s="46"/>
      <c r="J1820" s="12"/>
      <c r="K1820" s="2"/>
      <c r="L1820" s="59"/>
    </row>
    <row r="1821" spans="1:12" x14ac:dyDescent="0.35">
      <c r="A1821" s="45">
        <v>1817</v>
      </c>
      <c r="B1821" s="2"/>
      <c r="C1821" s="2"/>
      <c r="D1821" s="2"/>
      <c r="E1821" s="3"/>
      <c r="F1821" s="3"/>
      <c r="G1821" s="2"/>
      <c r="H1821" s="2"/>
      <c r="I1821" s="46"/>
      <c r="J1821" s="12"/>
      <c r="K1821" s="2"/>
      <c r="L1821" s="59"/>
    </row>
    <row r="1822" spans="1:12" x14ac:dyDescent="0.35">
      <c r="A1822" s="45">
        <v>1818</v>
      </c>
      <c r="B1822" s="2"/>
      <c r="C1822" s="2"/>
      <c r="D1822" s="2"/>
      <c r="E1822" s="3"/>
      <c r="F1822" s="3"/>
      <c r="G1822" s="2"/>
      <c r="H1822" s="2"/>
      <c r="I1822" s="46"/>
      <c r="J1822" s="12"/>
      <c r="K1822" s="2"/>
      <c r="L1822" s="59"/>
    </row>
    <row r="1823" spans="1:12" x14ac:dyDescent="0.35">
      <c r="A1823" s="45">
        <v>1819</v>
      </c>
      <c r="B1823" s="2"/>
      <c r="C1823" s="2"/>
      <c r="D1823" s="2"/>
      <c r="E1823" s="3"/>
      <c r="F1823" s="3"/>
      <c r="G1823" s="2"/>
      <c r="H1823" s="2"/>
      <c r="I1823" s="46"/>
      <c r="J1823" s="12"/>
      <c r="K1823" s="2"/>
      <c r="L1823" s="59"/>
    </row>
    <row r="1824" spans="1:12" x14ac:dyDescent="0.35">
      <c r="A1824" s="45">
        <v>1820</v>
      </c>
      <c r="B1824" s="2"/>
      <c r="C1824" s="2"/>
      <c r="D1824" s="2"/>
      <c r="E1824" s="3"/>
      <c r="F1824" s="3"/>
      <c r="G1824" s="2"/>
      <c r="H1824" s="2"/>
      <c r="I1824" s="46"/>
      <c r="J1824" s="12"/>
      <c r="K1824" s="2"/>
      <c r="L1824" s="59"/>
    </row>
    <row r="1825" spans="1:12" x14ac:dyDescent="0.35">
      <c r="A1825" s="45">
        <v>1821</v>
      </c>
      <c r="B1825" s="2"/>
      <c r="C1825" s="2"/>
      <c r="D1825" s="2"/>
      <c r="E1825" s="3"/>
      <c r="F1825" s="3"/>
      <c r="G1825" s="2"/>
      <c r="H1825" s="2"/>
      <c r="I1825" s="46"/>
      <c r="J1825" s="12"/>
      <c r="K1825" s="2"/>
      <c r="L1825" s="59"/>
    </row>
    <row r="1826" spans="1:12" x14ac:dyDescent="0.35">
      <c r="A1826" s="45">
        <v>1822</v>
      </c>
      <c r="B1826" s="2"/>
      <c r="C1826" s="2"/>
      <c r="D1826" s="2"/>
      <c r="E1826" s="3"/>
      <c r="F1826" s="3"/>
      <c r="G1826" s="2"/>
      <c r="H1826" s="2"/>
      <c r="I1826" s="46"/>
      <c r="J1826" s="12"/>
      <c r="K1826" s="2"/>
      <c r="L1826" s="59"/>
    </row>
    <row r="1827" spans="1:12" x14ac:dyDescent="0.35">
      <c r="A1827" s="45">
        <v>1823</v>
      </c>
      <c r="B1827" s="2"/>
      <c r="C1827" s="2"/>
      <c r="D1827" s="2"/>
      <c r="E1827" s="3"/>
      <c r="F1827" s="3"/>
      <c r="G1827" s="2"/>
      <c r="H1827" s="2"/>
      <c r="I1827" s="46"/>
      <c r="J1827" s="12"/>
      <c r="K1827" s="2"/>
      <c r="L1827" s="59"/>
    </row>
    <row r="1828" spans="1:12" x14ac:dyDescent="0.35">
      <c r="A1828" s="45">
        <v>1824</v>
      </c>
      <c r="B1828" s="2"/>
      <c r="C1828" s="2"/>
      <c r="D1828" s="2"/>
      <c r="E1828" s="3"/>
      <c r="F1828" s="3"/>
      <c r="G1828" s="2"/>
      <c r="H1828" s="2"/>
      <c r="I1828" s="46"/>
      <c r="J1828" s="12"/>
      <c r="K1828" s="2"/>
      <c r="L1828" s="59"/>
    </row>
    <row r="1829" spans="1:12" x14ac:dyDescent="0.35">
      <c r="A1829" s="45">
        <v>1825</v>
      </c>
      <c r="B1829" s="2"/>
      <c r="C1829" s="2"/>
      <c r="D1829" s="2"/>
      <c r="E1829" s="3"/>
      <c r="F1829" s="3"/>
      <c r="G1829" s="2"/>
      <c r="H1829" s="2"/>
      <c r="I1829" s="46"/>
      <c r="J1829" s="12"/>
      <c r="K1829" s="2"/>
      <c r="L1829" s="59"/>
    </row>
    <row r="1830" spans="1:12" x14ac:dyDescent="0.35">
      <c r="A1830" s="45">
        <v>1826</v>
      </c>
      <c r="B1830" s="2"/>
      <c r="C1830" s="2"/>
      <c r="D1830" s="2"/>
      <c r="E1830" s="3"/>
      <c r="F1830" s="3"/>
      <c r="G1830" s="2"/>
      <c r="H1830" s="2"/>
      <c r="I1830" s="46"/>
      <c r="J1830" s="12"/>
      <c r="K1830" s="2"/>
      <c r="L1830" s="59"/>
    </row>
    <row r="1831" spans="1:12" x14ac:dyDescent="0.35">
      <c r="A1831" s="45">
        <v>1827</v>
      </c>
      <c r="B1831" s="2"/>
      <c r="C1831" s="2"/>
      <c r="D1831" s="2"/>
      <c r="E1831" s="3"/>
      <c r="F1831" s="3"/>
      <c r="G1831" s="2"/>
      <c r="H1831" s="2"/>
      <c r="I1831" s="46"/>
      <c r="J1831" s="12"/>
      <c r="K1831" s="2"/>
      <c r="L1831" s="59"/>
    </row>
    <row r="1832" spans="1:12" x14ac:dyDescent="0.35">
      <c r="A1832" s="45">
        <v>1828</v>
      </c>
      <c r="B1832" s="2"/>
      <c r="C1832" s="2"/>
      <c r="D1832" s="2"/>
      <c r="E1832" s="3"/>
      <c r="F1832" s="3"/>
      <c r="G1832" s="2"/>
      <c r="H1832" s="2"/>
      <c r="I1832" s="46"/>
      <c r="J1832" s="12"/>
      <c r="K1832" s="2"/>
      <c r="L1832" s="59"/>
    </row>
    <row r="1833" spans="1:12" x14ac:dyDescent="0.35">
      <c r="A1833" s="45">
        <v>1829</v>
      </c>
      <c r="B1833" s="2"/>
      <c r="C1833" s="2"/>
      <c r="D1833" s="2"/>
      <c r="E1833" s="3"/>
      <c r="F1833" s="3"/>
      <c r="G1833" s="2"/>
      <c r="H1833" s="2"/>
      <c r="I1833" s="46"/>
      <c r="J1833" s="12"/>
      <c r="K1833" s="2"/>
      <c r="L1833" s="59"/>
    </row>
    <row r="1834" spans="1:12" x14ac:dyDescent="0.35">
      <c r="A1834" s="45">
        <v>1830</v>
      </c>
      <c r="B1834" s="2"/>
      <c r="C1834" s="2"/>
      <c r="D1834" s="2"/>
      <c r="E1834" s="3"/>
      <c r="F1834" s="3"/>
      <c r="G1834" s="2"/>
      <c r="H1834" s="2"/>
      <c r="I1834" s="46"/>
      <c r="J1834" s="12"/>
      <c r="K1834" s="2"/>
      <c r="L1834" s="59"/>
    </row>
    <row r="1835" spans="1:12" x14ac:dyDescent="0.35">
      <c r="A1835" s="45">
        <v>1831</v>
      </c>
      <c r="B1835" s="2"/>
      <c r="C1835" s="2"/>
      <c r="D1835" s="2"/>
      <c r="E1835" s="3"/>
      <c r="F1835" s="3"/>
      <c r="G1835" s="2"/>
      <c r="H1835" s="2"/>
      <c r="I1835" s="46"/>
      <c r="J1835" s="12"/>
      <c r="K1835" s="2"/>
      <c r="L1835" s="59"/>
    </row>
    <row r="1836" spans="1:12" x14ac:dyDescent="0.35">
      <c r="A1836" s="45">
        <v>1832</v>
      </c>
      <c r="B1836" s="2"/>
      <c r="C1836" s="2"/>
      <c r="D1836" s="2"/>
      <c r="E1836" s="3"/>
      <c r="F1836" s="3"/>
      <c r="G1836" s="2"/>
      <c r="H1836" s="2"/>
      <c r="I1836" s="46"/>
      <c r="J1836" s="12"/>
      <c r="K1836" s="2"/>
      <c r="L1836" s="59"/>
    </row>
    <row r="1837" spans="1:12" x14ac:dyDescent="0.35">
      <c r="A1837" s="45">
        <v>1833</v>
      </c>
      <c r="B1837" s="2"/>
      <c r="C1837" s="2"/>
      <c r="D1837" s="2"/>
      <c r="E1837" s="3"/>
      <c r="F1837" s="3"/>
      <c r="G1837" s="2"/>
      <c r="H1837" s="2"/>
      <c r="I1837" s="46"/>
      <c r="J1837" s="12"/>
      <c r="K1837" s="2"/>
      <c r="L1837" s="59"/>
    </row>
    <row r="1838" spans="1:12" x14ac:dyDescent="0.35">
      <c r="A1838" s="45">
        <v>1834</v>
      </c>
      <c r="B1838" s="2"/>
      <c r="C1838" s="2"/>
      <c r="D1838" s="2"/>
      <c r="E1838" s="3"/>
      <c r="F1838" s="3"/>
      <c r="G1838" s="2"/>
      <c r="H1838" s="2"/>
      <c r="I1838" s="46"/>
      <c r="J1838" s="12"/>
      <c r="K1838" s="2"/>
      <c r="L1838" s="59"/>
    </row>
    <row r="1839" spans="1:12" x14ac:dyDescent="0.35">
      <c r="A1839" s="45">
        <v>1835</v>
      </c>
      <c r="B1839" s="2"/>
      <c r="C1839" s="2"/>
      <c r="D1839" s="2"/>
      <c r="E1839" s="3"/>
      <c r="F1839" s="3"/>
      <c r="G1839" s="2"/>
      <c r="H1839" s="2"/>
      <c r="I1839" s="46"/>
      <c r="J1839" s="12"/>
      <c r="K1839" s="2"/>
      <c r="L1839" s="59"/>
    </row>
    <row r="1840" spans="1:12" x14ac:dyDescent="0.35">
      <c r="A1840" s="45">
        <v>1836</v>
      </c>
      <c r="B1840" s="2"/>
      <c r="C1840" s="2"/>
      <c r="D1840" s="2"/>
      <c r="E1840" s="3"/>
      <c r="F1840" s="3"/>
      <c r="G1840" s="2"/>
      <c r="H1840" s="2"/>
      <c r="I1840" s="46"/>
      <c r="J1840" s="12"/>
      <c r="K1840" s="2"/>
      <c r="L1840" s="59"/>
    </row>
    <row r="1841" spans="1:12" x14ac:dyDescent="0.35">
      <c r="A1841" s="45">
        <v>1837</v>
      </c>
      <c r="B1841" s="2"/>
      <c r="C1841" s="2"/>
      <c r="D1841" s="2"/>
      <c r="E1841" s="3"/>
      <c r="F1841" s="3"/>
      <c r="G1841" s="2"/>
      <c r="H1841" s="2"/>
      <c r="I1841" s="46"/>
      <c r="J1841" s="12"/>
      <c r="K1841" s="2"/>
      <c r="L1841" s="59"/>
    </row>
    <row r="1842" spans="1:12" x14ac:dyDescent="0.35">
      <c r="A1842" s="45">
        <v>1838</v>
      </c>
      <c r="B1842" s="2"/>
      <c r="C1842" s="2"/>
      <c r="D1842" s="2"/>
      <c r="E1842" s="3"/>
      <c r="F1842" s="3"/>
      <c r="G1842" s="2"/>
      <c r="H1842" s="2"/>
      <c r="I1842" s="46"/>
      <c r="J1842" s="12"/>
      <c r="K1842" s="2"/>
      <c r="L1842" s="59"/>
    </row>
    <row r="1843" spans="1:12" x14ac:dyDescent="0.35">
      <c r="A1843" s="45">
        <v>1839</v>
      </c>
      <c r="B1843" s="2"/>
      <c r="C1843" s="2"/>
      <c r="D1843" s="2"/>
      <c r="E1843" s="3"/>
      <c r="F1843" s="3"/>
      <c r="G1843" s="2"/>
      <c r="H1843" s="2"/>
      <c r="I1843" s="46"/>
      <c r="J1843" s="12"/>
      <c r="K1843" s="2"/>
      <c r="L1843" s="59"/>
    </row>
    <row r="1844" spans="1:12" x14ac:dyDescent="0.35">
      <c r="A1844" s="45">
        <v>1840</v>
      </c>
      <c r="B1844" s="2"/>
      <c r="C1844" s="2"/>
      <c r="D1844" s="2"/>
      <c r="E1844" s="3"/>
      <c r="F1844" s="3"/>
      <c r="G1844" s="2"/>
      <c r="H1844" s="2"/>
      <c r="I1844" s="46"/>
      <c r="J1844" s="12"/>
      <c r="K1844" s="2"/>
      <c r="L1844" s="59"/>
    </row>
    <row r="1845" spans="1:12" x14ac:dyDescent="0.35">
      <c r="A1845" s="45">
        <v>1841</v>
      </c>
      <c r="B1845" s="2"/>
      <c r="C1845" s="2"/>
      <c r="D1845" s="2"/>
      <c r="E1845" s="3"/>
      <c r="F1845" s="3"/>
      <c r="G1845" s="2"/>
      <c r="H1845" s="2"/>
      <c r="I1845" s="46"/>
      <c r="J1845" s="12"/>
      <c r="K1845" s="2"/>
      <c r="L1845" s="59"/>
    </row>
    <row r="1846" spans="1:12" x14ac:dyDescent="0.35">
      <c r="A1846" s="45">
        <v>1842</v>
      </c>
      <c r="B1846" s="2"/>
      <c r="C1846" s="2"/>
      <c r="D1846" s="2"/>
      <c r="E1846" s="3"/>
      <c r="F1846" s="3"/>
      <c r="G1846" s="2"/>
      <c r="H1846" s="2"/>
      <c r="I1846" s="46"/>
      <c r="J1846" s="12"/>
      <c r="K1846" s="2"/>
      <c r="L1846" s="59"/>
    </row>
    <row r="1847" spans="1:12" x14ac:dyDescent="0.35">
      <c r="A1847" s="45">
        <v>1843</v>
      </c>
      <c r="B1847" s="2"/>
      <c r="C1847" s="2"/>
      <c r="D1847" s="2"/>
      <c r="E1847" s="3"/>
      <c r="F1847" s="3"/>
      <c r="G1847" s="2"/>
      <c r="H1847" s="2"/>
      <c r="I1847" s="46"/>
      <c r="J1847" s="12"/>
      <c r="K1847" s="2"/>
      <c r="L1847" s="59"/>
    </row>
    <row r="1848" spans="1:12" x14ac:dyDescent="0.35">
      <c r="A1848" s="45">
        <v>1844</v>
      </c>
      <c r="B1848" s="2"/>
      <c r="C1848" s="2"/>
      <c r="D1848" s="2"/>
      <c r="E1848" s="3"/>
      <c r="F1848" s="3"/>
      <c r="G1848" s="2"/>
      <c r="H1848" s="2"/>
      <c r="I1848" s="46"/>
      <c r="J1848" s="12"/>
      <c r="K1848" s="2"/>
      <c r="L1848" s="59"/>
    </row>
    <row r="1849" spans="1:12" x14ac:dyDescent="0.35">
      <c r="A1849" s="45">
        <v>1845</v>
      </c>
      <c r="B1849" s="2"/>
      <c r="C1849" s="2"/>
      <c r="D1849" s="2"/>
      <c r="E1849" s="3"/>
      <c r="F1849" s="3"/>
      <c r="G1849" s="2"/>
      <c r="H1849" s="2"/>
      <c r="I1849" s="46"/>
      <c r="J1849" s="12"/>
      <c r="K1849" s="2"/>
      <c r="L1849" s="59"/>
    </row>
    <row r="1850" spans="1:12" x14ac:dyDescent="0.35">
      <c r="A1850" s="45">
        <v>1846</v>
      </c>
      <c r="B1850" s="2"/>
      <c r="C1850" s="2"/>
      <c r="D1850" s="2"/>
      <c r="E1850" s="3"/>
      <c r="F1850" s="3"/>
      <c r="G1850" s="2"/>
      <c r="H1850" s="2"/>
      <c r="I1850" s="46"/>
      <c r="J1850" s="12"/>
      <c r="K1850" s="2"/>
      <c r="L1850" s="59"/>
    </row>
    <row r="1851" spans="1:12" x14ac:dyDescent="0.35">
      <c r="A1851" s="45">
        <v>1847</v>
      </c>
      <c r="B1851" s="2"/>
      <c r="C1851" s="2"/>
      <c r="D1851" s="2"/>
      <c r="E1851" s="3"/>
      <c r="F1851" s="3"/>
      <c r="G1851" s="2"/>
      <c r="H1851" s="2"/>
      <c r="I1851" s="46"/>
      <c r="J1851" s="12"/>
      <c r="K1851" s="2"/>
      <c r="L1851" s="59"/>
    </row>
    <row r="1852" spans="1:12" x14ac:dyDescent="0.35">
      <c r="A1852" s="45">
        <v>1848</v>
      </c>
      <c r="B1852" s="2"/>
      <c r="C1852" s="2"/>
      <c r="D1852" s="2"/>
      <c r="E1852" s="3"/>
      <c r="F1852" s="3"/>
      <c r="G1852" s="2"/>
      <c r="H1852" s="2"/>
      <c r="I1852" s="46"/>
      <c r="J1852" s="12"/>
      <c r="K1852" s="2"/>
      <c r="L1852" s="59"/>
    </row>
    <row r="1853" spans="1:12" x14ac:dyDescent="0.35">
      <c r="A1853" s="45">
        <v>1849</v>
      </c>
      <c r="B1853" s="2"/>
      <c r="C1853" s="2"/>
      <c r="D1853" s="2"/>
      <c r="E1853" s="3"/>
      <c r="F1853" s="3"/>
      <c r="G1853" s="2"/>
      <c r="H1853" s="2"/>
      <c r="I1853" s="46"/>
      <c r="J1853" s="12"/>
      <c r="K1853" s="2"/>
      <c r="L1853" s="59"/>
    </row>
    <row r="1854" spans="1:12" x14ac:dyDescent="0.35">
      <c r="A1854" s="45">
        <v>1850</v>
      </c>
      <c r="B1854" s="2"/>
      <c r="C1854" s="2"/>
      <c r="D1854" s="2"/>
      <c r="E1854" s="3"/>
      <c r="F1854" s="3"/>
      <c r="G1854" s="2"/>
      <c r="H1854" s="2"/>
      <c r="I1854" s="46"/>
      <c r="J1854" s="12"/>
      <c r="K1854" s="2"/>
      <c r="L1854" s="59"/>
    </row>
    <row r="1855" spans="1:12" x14ac:dyDescent="0.35">
      <c r="A1855" s="45">
        <v>1851</v>
      </c>
      <c r="B1855" s="2"/>
      <c r="C1855" s="2"/>
      <c r="D1855" s="2"/>
      <c r="E1855" s="3"/>
      <c r="F1855" s="3"/>
      <c r="G1855" s="2"/>
      <c r="H1855" s="2"/>
      <c r="I1855" s="46"/>
      <c r="J1855" s="12"/>
      <c r="K1855" s="2"/>
      <c r="L1855" s="59"/>
    </row>
    <row r="1856" spans="1:12" x14ac:dyDescent="0.35">
      <c r="A1856" s="45">
        <v>1852</v>
      </c>
      <c r="B1856" s="2"/>
      <c r="C1856" s="2"/>
      <c r="D1856" s="2"/>
      <c r="E1856" s="3"/>
      <c r="F1856" s="3"/>
      <c r="G1856" s="2"/>
      <c r="H1856" s="2"/>
      <c r="I1856" s="46"/>
      <c r="J1856" s="12"/>
      <c r="K1856" s="2"/>
      <c r="L1856" s="59"/>
    </row>
    <row r="1857" spans="1:12" x14ac:dyDescent="0.35">
      <c r="A1857" s="45">
        <v>1853</v>
      </c>
      <c r="B1857" s="2"/>
      <c r="C1857" s="2"/>
      <c r="D1857" s="2"/>
      <c r="E1857" s="3"/>
      <c r="F1857" s="3"/>
      <c r="G1857" s="2"/>
      <c r="H1857" s="2"/>
      <c r="I1857" s="46"/>
      <c r="J1857" s="12"/>
      <c r="K1857" s="2"/>
      <c r="L1857" s="59"/>
    </row>
    <row r="1858" spans="1:12" x14ac:dyDescent="0.35">
      <c r="A1858" s="45">
        <v>1854</v>
      </c>
      <c r="B1858" s="2"/>
      <c r="C1858" s="2"/>
      <c r="D1858" s="2"/>
      <c r="E1858" s="3"/>
      <c r="F1858" s="3"/>
      <c r="G1858" s="2"/>
      <c r="H1858" s="2"/>
      <c r="I1858" s="46"/>
      <c r="J1858" s="12"/>
      <c r="K1858" s="2"/>
      <c r="L1858" s="59"/>
    </row>
    <row r="1859" spans="1:12" x14ac:dyDescent="0.35">
      <c r="A1859" s="45">
        <v>1855</v>
      </c>
      <c r="B1859" s="2"/>
      <c r="C1859" s="2"/>
      <c r="D1859" s="2"/>
      <c r="E1859" s="3"/>
      <c r="F1859" s="3"/>
      <c r="G1859" s="2"/>
      <c r="H1859" s="2"/>
      <c r="I1859" s="46"/>
      <c r="J1859" s="12"/>
      <c r="K1859" s="2"/>
      <c r="L1859" s="59"/>
    </row>
    <row r="1860" spans="1:12" x14ac:dyDescent="0.35">
      <c r="A1860" s="45">
        <v>1856</v>
      </c>
      <c r="B1860" s="2"/>
      <c r="C1860" s="2"/>
      <c r="D1860" s="2"/>
      <c r="E1860" s="3"/>
      <c r="F1860" s="3"/>
      <c r="G1860" s="2"/>
      <c r="H1860" s="2"/>
      <c r="I1860" s="46"/>
      <c r="J1860" s="12"/>
      <c r="K1860" s="2"/>
      <c r="L1860" s="59"/>
    </row>
    <row r="1861" spans="1:12" x14ac:dyDescent="0.35">
      <c r="A1861" s="45">
        <v>1857</v>
      </c>
      <c r="B1861" s="2"/>
      <c r="C1861" s="2"/>
      <c r="D1861" s="2"/>
      <c r="E1861" s="3"/>
      <c r="F1861" s="3"/>
      <c r="G1861" s="2"/>
      <c r="H1861" s="2"/>
      <c r="I1861" s="46"/>
      <c r="J1861" s="12"/>
      <c r="K1861" s="2"/>
      <c r="L1861" s="59"/>
    </row>
    <row r="1862" spans="1:12" x14ac:dyDescent="0.35">
      <c r="A1862" s="45">
        <v>1858</v>
      </c>
      <c r="B1862" s="2"/>
      <c r="C1862" s="2"/>
      <c r="D1862" s="2"/>
      <c r="E1862" s="3"/>
      <c r="F1862" s="3"/>
      <c r="G1862" s="2"/>
      <c r="H1862" s="2"/>
      <c r="I1862" s="46"/>
      <c r="J1862" s="12"/>
      <c r="K1862" s="2"/>
      <c r="L1862" s="59"/>
    </row>
    <row r="1863" spans="1:12" x14ac:dyDescent="0.35">
      <c r="A1863" s="45">
        <v>1859</v>
      </c>
      <c r="B1863" s="2"/>
      <c r="C1863" s="2"/>
      <c r="D1863" s="2"/>
      <c r="E1863" s="3"/>
      <c r="F1863" s="3"/>
      <c r="G1863" s="2"/>
      <c r="H1863" s="2"/>
      <c r="I1863" s="46"/>
      <c r="J1863" s="12"/>
      <c r="K1863" s="2"/>
      <c r="L1863" s="59"/>
    </row>
    <row r="1864" spans="1:12" x14ac:dyDescent="0.35">
      <c r="A1864" s="45">
        <v>1860</v>
      </c>
      <c r="B1864" s="2"/>
      <c r="C1864" s="2"/>
      <c r="D1864" s="2"/>
      <c r="E1864" s="3"/>
      <c r="F1864" s="3"/>
      <c r="G1864" s="2"/>
      <c r="H1864" s="2"/>
      <c r="I1864" s="46"/>
      <c r="J1864" s="12"/>
      <c r="K1864" s="2"/>
      <c r="L1864" s="59"/>
    </row>
    <row r="1865" spans="1:12" x14ac:dyDescent="0.35">
      <c r="A1865" s="45">
        <v>1861</v>
      </c>
      <c r="B1865" s="2"/>
      <c r="C1865" s="2"/>
      <c r="D1865" s="2"/>
      <c r="E1865" s="3"/>
      <c r="F1865" s="3"/>
      <c r="G1865" s="2"/>
      <c r="H1865" s="2"/>
      <c r="I1865" s="46"/>
      <c r="J1865" s="12"/>
      <c r="K1865" s="2"/>
      <c r="L1865" s="59"/>
    </row>
    <row r="1866" spans="1:12" x14ac:dyDescent="0.35">
      <c r="A1866" s="45">
        <v>1862</v>
      </c>
      <c r="B1866" s="2"/>
      <c r="C1866" s="2"/>
      <c r="D1866" s="2"/>
      <c r="E1866" s="3"/>
      <c r="F1866" s="3"/>
      <c r="G1866" s="2"/>
      <c r="H1866" s="2"/>
      <c r="I1866" s="46"/>
      <c r="J1866" s="12"/>
      <c r="K1866" s="2"/>
      <c r="L1866" s="59"/>
    </row>
    <row r="1867" spans="1:12" x14ac:dyDescent="0.35">
      <c r="A1867" s="45">
        <v>1863</v>
      </c>
      <c r="B1867" s="2"/>
      <c r="C1867" s="2"/>
      <c r="D1867" s="2"/>
      <c r="E1867" s="3"/>
      <c r="F1867" s="3"/>
      <c r="G1867" s="2"/>
      <c r="H1867" s="2"/>
      <c r="I1867" s="46"/>
      <c r="J1867" s="12"/>
      <c r="K1867" s="2"/>
      <c r="L1867" s="59"/>
    </row>
    <row r="1868" spans="1:12" x14ac:dyDescent="0.35">
      <c r="A1868" s="45">
        <v>1864</v>
      </c>
      <c r="B1868" s="2"/>
      <c r="C1868" s="2"/>
      <c r="D1868" s="2"/>
      <c r="E1868" s="3"/>
      <c r="F1868" s="3"/>
      <c r="G1868" s="2"/>
      <c r="H1868" s="2"/>
      <c r="I1868" s="46"/>
      <c r="J1868" s="12"/>
      <c r="K1868" s="2"/>
      <c r="L1868" s="59"/>
    </row>
    <row r="1869" spans="1:12" x14ac:dyDescent="0.35">
      <c r="A1869" s="45">
        <v>1865</v>
      </c>
      <c r="B1869" s="2"/>
      <c r="C1869" s="2"/>
      <c r="D1869" s="2"/>
      <c r="E1869" s="3"/>
      <c r="F1869" s="3"/>
      <c r="G1869" s="2"/>
      <c r="H1869" s="2"/>
      <c r="I1869" s="46"/>
      <c r="J1869" s="12"/>
      <c r="K1869" s="2"/>
      <c r="L1869" s="59"/>
    </row>
    <row r="1870" spans="1:12" x14ac:dyDescent="0.35">
      <c r="A1870" s="45">
        <v>1866</v>
      </c>
      <c r="B1870" s="2"/>
      <c r="C1870" s="2"/>
      <c r="D1870" s="2"/>
      <c r="E1870" s="3"/>
      <c r="F1870" s="3"/>
      <c r="G1870" s="2"/>
      <c r="H1870" s="2"/>
      <c r="I1870" s="46"/>
      <c r="J1870" s="12"/>
      <c r="K1870" s="2"/>
      <c r="L1870" s="59"/>
    </row>
    <row r="1871" spans="1:12" x14ac:dyDescent="0.35">
      <c r="A1871" s="45">
        <v>1867</v>
      </c>
      <c r="B1871" s="2"/>
      <c r="C1871" s="2"/>
      <c r="D1871" s="2"/>
      <c r="E1871" s="3"/>
      <c r="F1871" s="3"/>
      <c r="G1871" s="2"/>
      <c r="H1871" s="2"/>
      <c r="I1871" s="46"/>
      <c r="J1871" s="12"/>
      <c r="K1871" s="2"/>
      <c r="L1871" s="59"/>
    </row>
    <row r="1872" spans="1:12" x14ac:dyDescent="0.35">
      <c r="A1872" s="45">
        <v>1868</v>
      </c>
      <c r="B1872" s="2"/>
      <c r="C1872" s="2"/>
      <c r="D1872" s="2"/>
      <c r="E1872" s="3"/>
      <c r="F1872" s="3"/>
      <c r="G1872" s="2"/>
      <c r="H1872" s="2"/>
      <c r="I1872" s="46"/>
      <c r="J1872" s="12"/>
      <c r="K1872" s="2"/>
      <c r="L1872" s="59"/>
    </row>
    <row r="1873" spans="1:12" x14ac:dyDescent="0.35">
      <c r="A1873" s="45">
        <v>1869</v>
      </c>
      <c r="B1873" s="2"/>
      <c r="C1873" s="2"/>
      <c r="D1873" s="2"/>
      <c r="E1873" s="3"/>
      <c r="F1873" s="3"/>
      <c r="G1873" s="2"/>
      <c r="H1873" s="2"/>
      <c r="I1873" s="46"/>
      <c r="J1873" s="12"/>
      <c r="K1873" s="2"/>
      <c r="L1873" s="59"/>
    </row>
    <row r="1874" spans="1:12" x14ac:dyDescent="0.35">
      <c r="A1874" s="45">
        <v>1870</v>
      </c>
      <c r="B1874" s="2"/>
      <c r="C1874" s="2"/>
      <c r="D1874" s="2"/>
      <c r="E1874" s="3"/>
      <c r="F1874" s="3"/>
      <c r="G1874" s="2"/>
      <c r="H1874" s="2"/>
      <c r="I1874" s="46"/>
      <c r="J1874" s="12"/>
      <c r="K1874" s="2"/>
      <c r="L1874" s="59"/>
    </row>
    <row r="1875" spans="1:12" x14ac:dyDescent="0.35">
      <c r="A1875" s="45">
        <v>1871</v>
      </c>
      <c r="B1875" s="2"/>
      <c r="C1875" s="2"/>
      <c r="D1875" s="2"/>
      <c r="E1875" s="3"/>
      <c r="F1875" s="3"/>
      <c r="G1875" s="2"/>
      <c r="H1875" s="2"/>
      <c r="I1875" s="46"/>
      <c r="J1875" s="12"/>
      <c r="K1875" s="2"/>
      <c r="L1875" s="59"/>
    </row>
    <row r="1876" spans="1:12" x14ac:dyDescent="0.35">
      <c r="A1876" s="45">
        <v>1872</v>
      </c>
      <c r="B1876" s="2"/>
      <c r="C1876" s="2"/>
      <c r="D1876" s="2"/>
      <c r="E1876" s="3"/>
      <c r="F1876" s="3"/>
      <c r="G1876" s="2"/>
      <c r="H1876" s="2"/>
      <c r="I1876" s="46"/>
      <c r="J1876" s="12"/>
      <c r="K1876" s="2"/>
      <c r="L1876" s="59"/>
    </row>
    <row r="1877" spans="1:12" x14ac:dyDescent="0.35">
      <c r="A1877" s="45">
        <v>1873</v>
      </c>
      <c r="B1877" s="2"/>
      <c r="C1877" s="2"/>
      <c r="D1877" s="2"/>
      <c r="E1877" s="3"/>
      <c r="F1877" s="3"/>
      <c r="G1877" s="2"/>
      <c r="H1877" s="2"/>
      <c r="I1877" s="46"/>
      <c r="J1877" s="12"/>
      <c r="K1877" s="2"/>
      <c r="L1877" s="59"/>
    </row>
    <row r="1878" spans="1:12" x14ac:dyDescent="0.35">
      <c r="A1878" s="45">
        <v>1874</v>
      </c>
      <c r="B1878" s="2"/>
      <c r="C1878" s="2"/>
      <c r="D1878" s="2"/>
      <c r="E1878" s="3"/>
      <c r="F1878" s="3"/>
      <c r="G1878" s="2"/>
      <c r="H1878" s="2"/>
      <c r="I1878" s="46"/>
      <c r="J1878" s="12"/>
      <c r="K1878" s="2"/>
      <c r="L1878" s="59"/>
    </row>
    <row r="1879" spans="1:12" x14ac:dyDescent="0.35">
      <c r="A1879" s="45">
        <v>1875</v>
      </c>
      <c r="B1879" s="2"/>
      <c r="C1879" s="2"/>
      <c r="D1879" s="2"/>
      <c r="E1879" s="3"/>
      <c r="F1879" s="3"/>
      <c r="G1879" s="2"/>
      <c r="H1879" s="2"/>
      <c r="I1879" s="46"/>
      <c r="J1879" s="12"/>
      <c r="K1879" s="2"/>
      <c r="L1879" s="59"/>
    </row>
    <row r="1880" spans="1:12" x14ac:dyDescent="0.35">
      <c r="A1880" s="45">
        <v>1876</v>
      </c>
      <c r="B1880" s="2"/>
      <c r="C1880" s="2"/>
      <c r="D1880" s="2"/>
      <c r="E1880" s="3"/>
      <c r="F1880" s="3"/>
      <c r="G1880" s="2"/>
      <c r="H1880" s="2"/>
      <c r="I1880" s="46"/>
      <c r="J1880" s="12"/>
      <c r="K1880" s="2"/>
      <c r="L1880" s="59"/>
    </row>
    <row r="1881" spans="1:12" x14ac:dyDescent="0.35">
      <c r="A1881" s="45">
        <v>1877</v>
      </c>
      <c r="B1881" s="2"/>
      <c r="C1881" s="2"/>
      <c r="D1881" s="2"/>
      <c r="E1881" s="3"/>
      <c r="F1881" s="3"/>
      <c r="G1881" s="2"/>
      <c r="H1881" s="2"/>
      <c r="I1881" s="46"/>
      <c r="J1881" s="12"/>
      <c r="K1881" s="2"/>
      <c r="L1881" s="59"/>
    </row>
    <row r="1882" spans="1:12" x14ac:dyDescent="0.35">
      <c r="A1882" s="45">
        <v>1878</v>
      </c>
      <c r="B1882" s="2"/>
      <c r="C1882" s="2"/>
      <c r="D1882" s="2"/>
      <c r="E1882" s="3"/>
      <c r="F1882" s="3"/>
      <c r="G1882" s="2"/>
      <c r="H1882" s="2"/>
      <c r="I1882" s="46"/>
      <c r="J1882" s="12"/>
      <c r="K1882" s="2"/>
      <c r="L1882" s="59"/>
    </row>
    <row r="1883" spans="1:12" x14ac:dyDescent="0.35">
      <c r="A1883" s="45">
        <v>1879</v>
      </c>
      <c r="B1883" s="2"/>
      <c r="C1883" s="2"/>
      <c r="D1883" s="2"/>
      <c r="E1883" s="3"/>
      <c r="F1883" s="3"/>
      <c r="G1883" s="2"/>
      <c r="H1883" s="2"/>
      <c r="I1883" s="46"/>
      <c r="J1883" s="12"/>
      <c r="K1883" s="2"/>
      <c r="L1883" s="59"/>
    </row>
    <row r="1884" spans="1:12" x14ac:dyDescent="0.35">
      <c r="A1884" s="45">
        <v>1880</v>
      </c>
      <c r="B1884" s="2"/>
      <c r="C1884" s="2"/>
      <c r="D1884" s="2"/>
      <c r="E1884" s="3"/>
      <c r="F1884" s="3"/>
      <c r="G1884" s="2"/>
      <c r="H1884" s="2"/>
      <c r="I1884" s="46"/>
      <c r="J1884" s="12"/>
      <c r="K1884" s="2"/>
      <c r="L1884" s="59"/>
    </row>
    <row r="1885" spans="1:12" x14ac:dyDescent="0.35">
      <c r="A1885" s="45">
        <v>1881</v>
      </c>
      <c r="B1885" s="2"/>
      <c r="C1885" s="2"/>
      <c r="D1885" s="2"/>
      <c r="E1885" s="3"/>
      <c r="F1885" s="3"/>
      <c r="G1885" s="2"/>
      <c r="H1885" s="2"/>
      <c r="I1885" s="46"/>
      <c r="J1885" s="12"/>
      <c r="K1885" s="2"/>
      <c r="L1885" s="59"/>
    </row>
    <row r="1886" spans="1:12" x14ac:dyDescent="0.35">
      <c r="A1886" s="45">
        <v>1882</v>
      </c>
      <c r="B1886" s="2"/>
      <c r="C1886" s="2"/>
      <c r="D1886" s="2"/>
      <c r="E1886" s="3"/>
      <c r="F1886" s="3"/>
      <c r="G1886" s="2"/>
      <c r="H1886" s="2"/>
      <c r="I1886" s="46"/>
      <c r="J1886" s="12"/>
      <c r="K1886" s="2"/>
      <c r="L1886" s="59"/>
    </row>
    <row r="1887" spans="1:12" x14ac:dyDescent="0.35">
      <c r="A1887" s="45">
        <v>1883</v>
      </c>
      <c r="B1887" s="2"/>
      <c r="C1887" s="2"/>
      <c r="D1887" s="2"/>
      <c r="E1887" s="3"/>
      <c r="F1887" s="3"/>
      <c r="G1887" s="2"/>
      <c r="H1887" s="2"/>
      <c r="I1887" s="46"/>
      <c r="J1887" s="12"/>
      <c r="K1887" s="2"/>
      <c r="L1887" s="59"/>
    </row>
    <row r="1888" spans="1:12" x14ac:dyDescent="0.35">
      <c r="A1888" s="45">
        <v>1884</v>
      </c>
      <c r="B1888" s="2"/>
      <c r="C1888" s="2"/>
      <c r="D1888" s="2"/>
      <c r="E1888" s="3"/>
      <c r="F1888" s="3"/>
      <c r="G1888" s="2"/>
      <c r="H1888" s="2"/>
      <c r="I1888" s="46"/>
      <c r="J1888" s="12"/>
      <c r="K1888" s="2"/>
      <c r="L1888" s="59"/>
    </row>
    <row r="1889" spans="1:12" x14ac:dyDescent="0.35">
      <c r="A1889" s="45">
        <v>1885</v>
      </c>
      <c r="B1889" s="2"/>
      <c r="C1889" s="2"/>
      <c r="D1889" s="2"/>
      <c r="E1889" s="3"/>
      <c r="F1889" s="3"/>
      <c r="G1889" s="2"/>
      <c r="H1889" s="2"/>
      <c r="I1889" s="46"/>
      <c r="J1889" s="12"/>
      <c r="K1889" s="2"/>
      <c r="L1889" s="59"/>
    </row>
    <row r="1890" spans="1:12" x14ac:dyDescent="0.35">
      <c r="A1890" s="45">
        <v>1886</v>
      </c>
      <c r="B1890" s="2"/>
      <c r="C1890" s="2"/>
      <c r="D1890" s="2"/>
      <c r="E1890" s="3"/>
      <c r="F1890" s="3"/>
      <c r="G1890" s="2"/>
      <c r="H1890" s="2"/>
      <c r="I1890" s="46"/>
      <c r="J1890" s="12"/>
      <c r="K1890" s="2"/>
      <c r="L1890" s="59"/>
    </row>
    <row r="1891" spans="1:12" x14ac:dyDescent="0.35">
      <c r="A1891" s="45">
        <v>1887</v>
      </c>
      <c r="B1891" s="2"/>
      <c r="C1891" s="2"/>
      <c r="D1891" s="2"/>
      <c r="E1891" s="3"/>
      <c r="F1891" s="3"/>
      <c r="G1891" s="2"/>
      <c r="H1891" s="2"/>
      <c r="I1891" s="46"/>
      <c r="J1891" s="12"/>
      <c r="K1891" s="2"/>
      <c r="L1891" s="59"/>
    </row>
    <row r="1892" spans="1:12" x14ac:dyDescent="0.35">
      <c r="A1892" s="45">
        <v>1888</v>
      </c>
      <c r="B1892" s="2"/>
      <c r="C1892" s="2"/>
      <c r="D1892" s="2"/>
      <c r="E1892" s="3"/>
      <c r="F1892" s="3"/>
      <c r="G1892" s="2"/>
      <c r="H1892" s="2"/>
      <c r="I1892" s="46"/>
      <c r="J1892" s="12"/>
      <c r="K1892" s="2"/>
      <c r="L1892" s="59"/>
    </row>
    <row r="1893" spans="1:12" x14ac:dyDescent="0.35">
      <c r="A1893" s="45">
        <v>1889</v>
      </c>
      <c r="B1893" s="2"/>
      <c r="C1893" s="2"/>
      <c r="D1893" s="2"/>
      <c r="E1893" s="3"/>
      <c r="F1893" s="3"/>
      <c r="G1893" s="2"/>
      <c r="H1893" s="2"/>
      <c r="I1893" s="46"/>
      <c r="J1893" s="12"/>
      <c r="K1893" s="2"/>
      <c r="L1893" s="59"/>
    </row>
    <row r="1894" spans="1:12" x14ac:dyDescent="0.35">
      <c r="A1894" s="45">
        <v>1890</v>
      </c>
      <c r="B1894" s="2"/>
      <c r="C1894" s="2"/>
      <c r="D1894" s="2"/>
      <c r="E1894" s="3"/>
      <c r="F1894" s="3"/>
      <c r="G1894" s="2"/>
      <c r="H1894" s="2"/>
      <c r="I1894" s="46"/>
      <c r="J1894" s="12"/>
      <c r="K1894" s="2"/>
      <c r="L1894" s="59"/>
    </row>
    <row r="1895" spans="1:12" x14ac:dyDescent="0.35">
      <c r="A1895" s="45">
        <v>1891</v>
      </c>
      <c r="B1895" s="2"/>
      <c r="C1895" s="2"/>
      <c r="D1895" s="2"/>
      <c r="E1895" s="3"/>
      <c r="F1895" s="3"/>
      <c r="G1895" s="2"/>
      <c r="H1895" s="2"/>
      <c r="I1895" s="46"/>
      <c r="J1895" s="12"/>
      <c r="K1895" s="2"/>
      <c r="L1895" s="59"/>
    </row>
    <row r="1896" spans="1:12" x14ac:dyDescent="0.35">
      <c r="A1896" s="45">
        <v>1892</v>
      </c>
      <c r="B1896" s="2"/>
      <c r="C1896" s="2"/>
      <c r="D1896" s="2"/>
      <c r="E1896" s="3"/>
      <c r="F1896" s="3"/>
      <c r="G1896" s="2"/>
      <c r="H1896" s="2"/>
      <c r="I1896" s="46"/>
      <c r="J1896" s="12"/>
      <c r="K1896" s="2"/>
      <c r="L1896" s="59"/>
    </row>
    <row r="1897" spans="1:12" x14ac:dyDescent="0.35">
      <c r="A1897" s="45">
        <v>1893</v>
      </c>
      <c r="B1897" s="2"/>
      <c r="C1897" s="2"/>
      <c r="D1897" s="2"/>
      <c r="E1897" s="3"/>
      <c r="F1897" s="3"/>
      <c r="G1897" s="2"/>
      <c r="H1897" s="2"/>
      <c r="I1897" s="46"/>
      <c r="J1897" s="12"/>
      <c r="K1897" s="2"/>
      <c r="L1897" s="59"/>
    </row>
    <row r="1898" spans="1:12" x14ac:dyDescent="0.35">
      <c r="A1898" s="45">
        <v>1894</v>
      </c>
      <c r="B1898" s="2"/>
      <c r="C1898" s="2"/>
      <c r="D1898" s="2"/>
      <c r="E1898" s="3"/>
      <c r="F1898" s="3"/>
      <c r="G1898" s="2"/>
      <c r="H1898" s="2"/>
      <c r="I1898" s="46"/>
      <c r="J1898" s="12"/>
      <c r="K1898" s="2"/>
      <c r="L1898" s="59"/>
    </row>
    <row r="1899" spans="1:12" x14ac:dyDescent="0.35">
      <c r="A1899" s="45">
        <v>1895</v>
      </c>
      <c r="B1899" s="2"/>
      <c r="C1899" s="2"/>
      <c r="D1899" s="2"/>
      <c r="E1899" s="3"/>
      <c r="F1899" s="3"/>
      <c r="G1899" s="2"/>
      <c r="H1899" s="2"/>
      <c r="I1899" s="46"/>
      <c r="J1899" s="12"/>
      <c r="K1899" s="2"/>
      <c r="L1899" s="59"/>
    </row>
    <row r="1900" spans="1:12" x14ac:dyDescent="0.35">
      <c r="A1900" s="45">
        <v>1896</v>
      </c>
      <c r="B1900" s="2"/>
      <c r="C1900" s="2"/>
      <c r="D1900" s="2"/>
      <c r="E1900" s="3"/>
      <c r="F1900" s="3"/>
      <c r="G1900" s="2"/>
      <c r="H1900" s="2"/>
      <c r="I1900" s="46"/>
      <c r="J1900" s="12"/>
      <c r="K1900" s="2"/>
      <c r="L1900" s="59"/>
    </row>
    <row r="1901" spans="1:12" x14ac:dyDescent="0.35">
      <c r="A1901" s="45">
        <v>1897</v>
      </c>
      <c r="B1901" s="2"/>
      <c r="C1901" s="2"/>
      <c r="D1901" s="2"/>
      <c r="E1901" s="3"/>
      <c r="F1901" s="3"/>
      <c r="G1901" s="2"/>
      <c r="H1901" s="2"/>
      <c r="I1901" s="46"/>
      <c r="J1901" s="12"/>
      <c r="K1901" s="2"/>
      <c r="L1901" s="59"/>
    </row>
    <row r="1902" spans="1:12" x14ac:dyDescent="0.35">
      <c r="A1902" s="45">
        <v>1898</v>
      </c>
      <c r="B1902" s="2"/>
      <c r="C1902" s="2"/>
      <c r="D1902" s="2"/>
      <c r="E1902" s="3"/>
      <c r="F1902" s="3"/>
      <c r="G1902" s="2"/>
      <c r="H1902" s="2"/>
      <c r="I1902" s="46"/>
      <c r="J1902" s="12"/>
      <c r="K1902" s="2"/>
      <c r="L1902" s="59"/>
    </row>
    <row r="1903" spans="1:12" x14ac:dyDescent="0.35">
      <c r="A1903" s="45">
        <v>1899</v>
      </c>
      <c r="B1903" s="2"/>
      <c r="C1903" s="2"/>
      <c r="D1903" s="2"/>
      <c r="E1903" s="3"/>
      <c r="F1903" s="3"/>
      <c r="G1903" s="2"/>
      <c r="H1903" s="2"/>
      <c r="I1903" s="46"/>
      <c r="J1903" s="12"/>
      <c r="K1903" s="2"/>
      <c r="L1903" s="59"/>
    </row>
    <row r="1904" spans="1:12" x14ac:dyDescent="0.35">
      <c r="A1904" s="45">
        <v>1900</v>
      </c>
      <c r="B1904" s="2"/>
      <c r="C1904" s="2"/>
      <c r="D1904" s="2"/>
      <c r="E1904" s="3"/>
      <c r="F1904" s="3"/>
      <c r="G1904" s="2"/>
      <c r="H1904" s="2"/>
      <c r="I1904" s="46"/>
      <c r="J1904" s="12"/>
      <c r="K1904" s="2"/>
      <c r="L1904" s="59"/>
    </row>
    <row r="1905" spans="1:12" x14ac:dyDescent="0.35">
      <c r="A1905" s="45">
        <v>1901</v>
      </c>
      <c r="B1905" s="2"/>
      <c r="C1905" s="2"/>
      <c r="D1905" s="2"/>
      <c r="E1905" s="3"/>
      <c r="F1905" s="3"/>
      <c r="G1905" s="2"/>
      <c r="H1905" s="2"/>
      <c r="I1905" s="46"/>
      <c r="J1905" s="12"/>
      <c r="K1905" s="2"/>
      <c r="L1905" s="59"/>
    </row>
    <row r="1906" spans="1:12" x14ac:dyDescent="0.35">
      <c r="A1906" s="45">
        <v>1902</v>
      </c>
      <c r="B1906" s="2"/>
      <c r="C1906" s="2"/>
      <c r="D1906" s="2"/>
      <c r="E1906" s="3"/>
      <c r="F1906" s="3"/>
      <c r="G1906" s="2"/>
      <c r="H1906" s="2"/>
      <c r="I1906" s="46"/>
      <c r="J1906" s="12"/>
      <c r="K1906" s="2"/>
      <c r="L1906" s="59"/>
    </row>
    <row r="1907" spans="1:12" x14ac:dyDescent="0.35">
      <c r="A1907" s="45">
        <v>1903</v>
      </c>
      <c r="B1907" s="2"/>
      <c r="C1907" s="2"/>
      <c r="D1907" s="2"/>
      <c r="E1907" s="3"/>
      <c r="F1907" s="3"/>
      <c r="G1907" s="2"/>
      <c r="H1907" s="2"/>
      <c r="I1907" s="46"/>
      <c r="J1907" s="12"/>
      <c r="K1907" s="2"/>
      <c r="L1907" s="59"/>
    </row>
    <row r="1908" spans="1:12" x14ac:dyDescent="0.35">
      <c r="A1908" s="45">
        <v>1904</v>
      </c>
      <c r="B1908" s="2"/>
      <c r="C1908" s="2"/>
      <c r="D1908" s="2"/>
      <c r="E1908" s="3"/>
      <c r="F1908" s="3"/>
      <c r="G1908" s="2"/>
      <c r="H1908" s="2"/>
      <c r="I1908" s="46"/>
      <c r="J1908" s="12"/>
      <c r="K1908" s="2"/>
      <c r="L1908" s="59"/>
    </row>
    <row r="1909" spans="1:12" x14ac:dyDescent="0.35">
      <c r="A1909" s="45">
        <v>1905</v>
      </c>
      <c r="B1909" s="2"/>
      <c r="C1909" s="2"/>
      <c r="D1909" s="2"/>
      <c r="E1909" s="3"/>
      <c r="F1909" s="3"/>
      <c r="G1909" s="2"/>
      <c r="H1909" s="2"/>
      <c r="I1909" s="46"/>
      <c r="J1909" s="12"/>
      <c r="K1909" s="2"/>
      <c r="L1909" s="59"/>
    </row>
    <row r="1910" spans="1:12" x14ac:dyDescent="0.35">
      <c r="A1910" s="45">
        <v>1906</v>
      </c>
      <c r="B1910" s="2"/>
      <c r="C1910" s="2"/>
      <c r="D1910" s="2"/>
      <c r="E1910" s="3"/>
      <c r="F1910" s="3"/>
      <c r="G1910" s="2"/>
      <c r="H1910" s="2"/>
      <c r="I1910" s="46"/>
      <c r="J1910" s="12"/>
      <c r="K1910" s="2"/>
      <c r="L1910" s="59"/>
    </row>
    <row r="1911" spans="1:12" x14ac:dyDescent="0.35">
      <c r="A1911" s="45">
        <v>1907</v>
      </c>
      <c r="B1911" s="2"/>
      <c r="C1911" s="2"/>
      <c r="D1911" s="2"/>
      <c r="E1911" s="3"/>
      <c r="F1911" s="3"/>
      <c r="G1911" s="2"/>
      <c r="H1911" s="2"/>
      <c r="I1911" s="46"/>
      <c r="J1911" s="12"/>
      <c r="K1911" s="2"/>
      <c r="L1911" s="59"/>
    </row>
    <row r="1912" spans="1:12" x14ac:dyDescent="0.35">
      <c r="A1912" s="45">
        <v>1908</v>
      </c>
      <c r="B1912" s="2"/>
      <c r="C1912" s="2"/>
      <c r="D1912" s="2"/>
      <c r="E1912" s="3"/>
      <c r="F1912" s="3"/>
      <c r="G1912" s="2"/>
      <c r="H1912" s="2"/>
      <c r="I1912" s="46"/>
      <c r="J1912" s="12"/>
      <c r="K1912" s="2"/>
      <c r="L1912" s="59"/>
    </row>
    <row r="1913" spans="1:12" x14ac:dyDescent="0.35">
      <c r="A1913" s="45">
        <v>1909</v>
      </c>
      <c r="B1913" s="2"/>
      <c r="C1913" s="2"/>
      <c r="D1913" s="2"/>
      <c r="E1913" s="3"/>
      <c r="F1913" s="3"/>
      <c r="G1913" s="2"/>
      <c r="H1913" s="2"/>
      <c r="I1913" s="46"/>
      <c r="J1913" s="12"/>
      <c r="K1913" s="2"/>
      <c r="L1913" s="59"/>
    </row>
    <row r="1914" spans="1:12" x14ac:dyDescent="0.35">
      <c r="A1914" s="45">
        <v>1910</v>
      </c>
      <c r="B1914" s="2"/>
      <c r="C1914" s="2"/>
      <c r="D1914" s="2"/>
      <c r="E1914" s="3"/>
      <c r="F1914" s="3"/>
      <c r="G1914" s="2"/>
      <c r="H1914" s="2"/>
      <c r="I1914" s="46"/>
      <c r="J1914" s="12"/>
      <c r="K1914" s="2"/>
      <c r="L1914" s="59"/>
    </row>
    <row r="1915" spans="1:12" x14ac:dyDescent="0.35">
      <c r="A1915" s="45">
        <v>1911</v>
      </c>
      <c r="B1915" s="2"/>
      <c r="C1915" s="2"/>
      <c r="D1915" s="2"/>
      <c r="E1915" s="3"/>
      <c r="F1915" s="3"/>
      <c r="G1915" s="2"/>
      <c r="H1915" s="2"/>
      <c r="I1915" s="46"/>
      <c r="J1915" s="12"/>
      <c r="K1915" s="2"/>
      <c r="L1915" s="59"/>
    </row>
    <row r="1916" spans="1:12" x14ac:dyDescent="0.35">
      <c r="A1916" s="45">
        <v>1912</v>
      </c>
      <c r="B1916" s="2"/>
      <c r="C1916" s="2"/>
      <c r="D1916" s="2"/>
      <c r="E1916" s="3"/>
      <c r="F1916" s="3"/>
      <c r="G1916" s="2"/>
      <c r="H1916" s="2"/>
      <c r="I1916" s="46"/>
      <c r="J1916" s="12"/>
      <c r="K1916" s="2"/>
      <c r="L1916" s="59"/>
    </row>
    <row r="1917" spans="1:12" x14ac:dyDescent="0.35">
      <c r="A1917" s="45">
        <v>1913</v>
      </c>
      <c r="B1917" s="2"/>
      <c r="C1917" s="2"/>
      <c r="D1917" s="2"/>
      <c r="E1917" s="3"/>
      <c r="F1917" s="3"/>
      <c r="G1917" s="2"/>
      <c r="H1917" s="2"/>
      <c r="I1917" s="46"/>
      <c r="J1917" s="12"/>
      <c r="K1917" s="2"/>
      <c r="L1917" s="59"/>
    </row>
    <row r="1918" spans="1:12" x14ac:dyDescent="0.35">
      <c r="A1918" s="45">
        <v>1914</v>
      </c>
      <c r="B1918" s="2"/>
      <c r="C1918" s="2"/>
      <c r="D1918" s="2"/>
      <c r="E1918" s="3"/>
      <c r="F1918" s="3"/>
      <c r="G1918" s="2"/>
      <c r="H1918" s="2"/>
      <c r="I1918" s="46"/>
      <c r="J1918" s="12"/>
      <c r="K1918" s="2"/>
      <c r="L1918" s="59"/>
    </row>
    <row r="1919" spans="1:12" x14ac:dyDescent="0.35">
      <c r="A1919" s="45">
        <v>1915</v>
      </c>
      <c r="B1919" s="2"/>
      <c r="C1919" s="2"/>
      <c r="D1919" s="2"/>
      <c r="E1919" s="3"/>
      <c r="F1919" s="3"/>
      <c r="G1919" s="2"/>
      <c r="H1919" s="2"/>
      <c r="I1919" s="46"/>
      <c r="J1919" s="12"/>
      <c r="K1919" s="2"/>
      <c r="L1919" s="59"/>
    </row>
    <row r="1920" spans="1:12" x14ac:dyDescent="0.35">
      <c r="A1920" s="45">
        <v>1916</v>
      </c>
      <c r="B1920" s="2"/>
      <c r="C1920" s="2"/>
      <c r="D1920" s="2"/>
      <c r="E1920" s="3"/>
      <c r="F1920" s="3"/>
      <c r="G1920" s="2"/>
      <c r="H1920" s="2"/>
      <c r="I1920" s="46"/>
      <c r="J1920" s="12"/>
      <c r="K1920" s="2"/>
      <c r="L1920" s="59"/>
    </row>
    <row r="1921" spans="1:12" x14ac:dyDescent="0.35">
      <c r="A1921" s="45">
        <v>1917</v>
      </c>
      <c r="B1921" s="2"/>
      <c r="C1921" s="2"/>
      <c r="D1921" s="2"/>
      <c r="E1921" s="3"/>
      <c r="F1921" s="3"/>
      <c r="G1921" s="2"/>
      <c r="H1921" s="2"/>
      <c r="I1921" s="46"/>
      <c r="J1921" s="12"/>
      <c r="K1921" s="2"/>
      <c r="L1921" s="59"/>
    </row>
    <row r="1922" spans="1:12" x14ac:dyDescent="0.35">
      <c r="A1922" s="45">
        <v>1918</v>
      </c>
      <c r="B1922" s="2"/>
      <c r="C1922" s="2"/>
      <c r="D1922" s="2"/>
      <c r="E1922" s="3"/>
      <c r="F1922" s="3"/>
      <c r="G1922" s="2"/>
      <c r="H1922" s="2"/>
      <c r="I1922" s="46"/>
      <c r="J1922" s="12"/>
      <c r="K1922" s="2"/>
      <c r="L1922" s="59"/>
    </row>
    <row r="1923" spans="1:12" x14ac:dyDescent="0.35">
      <c r="A1923" s="45">
        <v>1919</v>
      </c>
      <c r="B1923" s="2"/>
      <c r="C1923" s="2"/>
      <c r="D1923" s="2"/>
      <c r="E1923" s="3"/>
      <c r="F1923" s="3"/>
      <c r="G1923" s="2"/>
      <c r="H1923" s="2"/>
      <c r="I1923" s="46"/>
      <c r="J1923" s="12"/>
      <c r="K1923" s="2"/>
      <c r="L1923" s="59"/>
    </row>
    <row r="1924" spans="1:12" x14ac:dyDescent="0.35">
      <c r="A1924" s="45">
        <v>1920</v>
      </c>
      <c r="B1924" s="2"/>
      <c r="C1924" s="2"/>
      <c r="D1924" s="2"/>
      <c r="E1924" s="3"/>
      <c r="F1924" s="3"/>
      <c r="G1924" s="2"/>
      <c r="H1924" s="2"/>
      <c r="I1924" s="46"/>
      <c r="J1924" s="12"/>
      <c r="K1924" s="2"/>
      <c r="L1924" s="59"/>
    </row>
    <row r="1925" spans="1:12" x14ac:dyDescent="0.35">
      <c r="A1925" s="45">
        <v>1921</v>
      </c>
      <c r="B1925" s="2"/>
      <c r="C1925" s="2"/>
      <c r="D1925" s="2"/>
      <c r="E1925" s="3"/>
      <c r="F1925" s="3"/>
      <c r="G1925" s="2"/>
      <c r="H1925" s="2"/>
      <c r="I1925" s="46"/>
      <c r="J1925" s="12"/>
      <c r="K1925" s="2"/>
      <c r="L1925" s="59"/>
    </row>
    <row r="1926" spans="1:12" x14ac:dyDescent="0.35">
      <c r="A1926" s="45">
        <v>1922</v>
      </c>
      <c r="B1926" s="2"/>
      <c r="C1926" s="2"/>
      <c r="D1926" s="2"/>
      <c r="E1926" s="3"/>
      <c r="F1926" s="3"/>
      <c r="G1926" s="2"/>
      <c r="H1926" s="2"/>
      <c r="I1926" s="46"/>
      <c r="J1926" s="12"/>
      <c r="K1926" s="2"/>
      <c r="L1926" s="59"/>
    </row>
    <row r="1927" spans="1:12" x14ac:dyDescent="0.35">
      <c r="A1927" s="45">
        <v>1923</v>
      </c>
      <c r="B1927" s="2"/>
      <c r="C1927" s="2"/>
      <c r="D1927" s="2"/>
      <c r="E1927" s="3"/>
      <c r="F1927" s="3"/>
      <c r="G1927" s="2"/>
      <c r="H1927" s="2"/>
      <c r="I1927" s="46"/>
      <c r="J1927" s="12"/>
      <c r="K1927" s="2"/>
      <c r="L1927" s="59"/>
    </row>
    <row r="1928" spans="1:12" x14ac:dyDescent="0.35">
      <c r="A1928" s="45">
        <v>1924</v>
      </c>
      <c r="B1928" s="2"/>
      <c r="C1928" s="2"/>
      <c r="D1928" s="2"/>
      <c r="E1928" s="3"/>
      <c r="F1928" s="3"/>
      <c r="G1928" s="2"/>
      <c r="H1928" s="2"/>
      <c r="I1928" s="46"/>
      <c r="J1928" s="12"/>
      <c r="K1928" s="2"/>
      <c r="L1928" s="59"/>
    </row>
    <row r="1929" spans="1:12" x14ac:dyDescent="0.35">
      <c r="A1929" s="45">
        <v>1925</v>
      </c>
      <c r="B1929" s="2"/>
      <c r="C1929" s="2"/>
      <c r="D1929" s="2"/>
      <c r="E1929" s="3"/>
      <c r="F1929" s="3"/>
      <c r="G1929" s="2"/>
      <c r="H1929" s="2"/>
      <c r="I1929" s="46"/>
      <c r="J1929" s="12"/>
      <c r="K1929" s="2"/>
      <c r="L1929" s="59"/>
    </row>
    <row r="1930" spans="1:12" x14ac:dyDescent="0.35">
      <c r="A1930" s="45">
        <v>1926</v>
      </c>
      <c r="B1930" s="2"/>
      <c r="C1930" s="2"/>
      <c r="D1930" s="2"/>
      <c r="E1930" s="3"/>
      <c r="F1930" s="3"/>
      <c r="G1930" s="2"/>
      <c r="H1930" s="2"/>
      <c r="I1930" s="46"/>
      <c r="J1930" s="12"/>
      <c r="K1930" s="2"/>
      <c r="L1930" s="59"/>
    </row>
    <row r="1931" spans="1:12" x14ac:dyDescent="0.35">
      <c r="A1931" s="45">
        <v>1927</v>
      </c>
      <c r="B1931" s="2"/>
      <c r="C1931" s="2"/>
      <c r="D1931" s="2"/>
      <c r="E1931" s="3"/>
      <c r="F1931" s="3"/>
      <c r="G1931" s="2"/>
      <c r="H1931" s="2"/>
      <c r="I1931" s="46"/>
      <c r="J1931" s="12"/>
      <c r="K1931" s="2"/>
      <c r="L1931" s="59"/>
    </row>
    <row r="1932" spans="1:12" x14ac:dyDescent="0.35">
      <c r="A1932" s="45">
        <v>1928</v>
      </c>
      <c r="B1932" s="2"/>
      <c r="C1932" s="2"/>
      <c r="D1932" s="2"/>
      <c r="E1932" s="3"/>
      <c r="F1932" s="3"/>
      <c r="G1932" s="2"/>
      <c r="H1932" s="2"/>
      <c r="I1932" s="46"/>
      <c r="J1932" s="12"/>
      <c r="K1932" s="2"/>
      <c r="L1932" s="59"/>
    </row>
    <row r="1933" spans="1:12" x14ac:dyDescent="0.35">
      <c r="A1933" s="45">
        <v>1929</v>
      </c>
      <c r="B1933" s="2"/>
      <c r="C1933" s="2"/>
      <c r="D1933" s="2"/>
      <c r="E1933" s="3"/>
      <c r="F1933" s="3"/>
      <c r="G1933" s="2"/>
      <c r="H1933" s="2"/>
      <c r="I1933" s="46"/>
      <c r="J1933" s="12"/>
      <c r="K1933" s="2"/>
      <c r="L1933" s="59"/>
    </row>
    <row r="1934" spans="1:12" x14ac:dyDescent="0.35">
      <c r="A1934" s="45">
        <v>1930</v>
      </c>
      <c r="B1934" s="2"/>
      <c r="C1934" s="2"/>
      <c r="D1934" s="2"/>
      <c r="E1934" s="3"/>
      <c r="F1934" s="3"/>
      <c r="G1934" s="2"/>
      <c r="H1934" s="2"/>
      <c r="I1934" s="46"/>
      <c r="J1934" s="12"/>
      <c r="K1934" s="2"/>
      <c r="L1934" s="59"/>
    </row>
    <row r="1935" spans="1:12" x14ac:dyDescent="0.35">
      <c r="A1935" s="45">
        <v>1931</v>
      </c>
      <c r="B1935" s="2"/>
      <c r="C1935" s="2"/>
      <c r="D1935" s="2"/>
      <c r="E1935" s="3"/>
      <c r="F1935" s="3"/>
      <c r="G1935" s="2"/>
      <c r="H1935" s="2"/>
      <c r="I1935" s="46"/>
      <c r="J1935" s="12"/>
      <c r="K1935" s="2"/>
      <c r="L1935" s="59"/>
    </row>
    <row r="1936" spans="1:12" x14ac:dyDescent="0.35">
      <c r="A1936" s="45">
        <v>1932</v>
      </c>
      <c r="B1936" s="2"/>
      <c r="C1936" s="2"/>
      <c r="D1936" s="2"/>
      <c r="E1936" s="3"/>
      <c r="F1936" s="3"/>
      <c r="G1936" s="2"/>
      <c r="H1936" s="2"/>
      <c r="I1936" s="46"/>
      <c r="J1936" s="12"/>
      <c r="K1936" s="2"/>
      <c r="L1936" s="59"/>
    </row>
    <row r="1937" spans="1:12" x14ac:dyDescent="0.35">
      <c r="A1937" s="45">
        <v>1933</v>
      </c>
      <c r="B1937" s="2"/>
      <c r="C1937" s="2"/>
      <c r="D1937" s="2"/>
      <c r="E1937" s="3"/>
      <c r="F1937" s="3"/>
      <c r="G1937" s="2"/>
      <c r="H1937" s="2"/>
      <c r="I1937" s="46"/>
      <c r="J1937" s="12"/>
      <c r="K1937" s="2"/>
      <c r="L1937" s="59"/>
    </row>
    <row r="1938" spans="1:12" x14ac:dyDescent="0.35">
      <c r="A1938" s="45">
        <v>1934</v>
      </c>
      <c r="B1938" s="2"/>
      <c r="C1938" s="2"/>
      <c r="D1938" s="2"/>
      <c r="E1938" s="3"/>
      <c r="F1938" s="3"/>
      <c r="G1938" s="2"/>
      <c r="H1938" s="2"/>
      <c r="I1938" s="46"/>
      <c r="J1938" s="12"/>
      <c r="K1938" s="2"/>
      <c r="L1938" s="59"/>
    </row>
    <row r="1939" spans="1:12" x14ac:dyDescent="0.35">
      <c r="A1939" s="45">
        <v>1935</v>
      </c>
      <c r="B1939" s="2"/>
      <c r="C1939" s="2"/>
      <c r="D1939" s="2"/>
      <c r="E1939" s="3"/>
      <c r="F1939" s="3"/>
      <c r="G1939" s="2"/>
      <c r="H1939" s="2"/>
      <c r="I1939" s="46"/>
      <c r="J1939" s="12"/>
      <c r="K1939" s="2"/>
      <c r="L1939" s="59"/>
    </row>
    <row r="1940" spans="1:12" x14ac:dyDescent="0.35">
      <c r="A1940" s="45">
        <v>1936</v>
      </c>
      <c r="B1940" s="2"/>
      <c r="C1940" s="2"/>
      <c r="D1940" s="2"/>
      <c r="E1940" s="3"/>
      <c r="F1940" s="3"/>
      <c r="G1940" s="2"/>
      <c r="H1940" s="2"/>
      <c r="I1940" s="46"/>
      <c r="J1940" s="12"/>
      <c r="K1940" s="2"/>
      <c r="L1940" s="59"/>
    </row>
    <row r="1941" spans="1:12" x14ac:dyDescent="0.35">
      <c r="A1941" s="45">
        <v>1937</v>
      </c>
      <c r="B1941" s="2"/>
      <c r="C1941" s="2"/>
      <c r="D1941" s="2"/>
      <c r="E1941" s="3"/>
      <c r="F1941" s="3"/>
      <c r="G1941" s="2"/>
      <c r="H1941" s="2"/>
      <c r="I1941" s="46"/>
      <c r="J1941" s="12"/>
      <c r="K1941" s="2"/>
      <c r="L1941" s="59"/>
    </row>
    <row r="1942" spans="1:12" x14ac:dyDescent="0.35">
      <c r="A1942" s="45">
        <v>1938</v>
      </c>
      <c r="B1942" s="2"/>
      <c r="C1942" s="2"/>
      <c r="D1942" s="2"/>
      <c r="E1942" s="3"/>
      <c r="F1942" s="3"/>
      <c r="G1942" s="2"/>
      <c r="H1942" s="2"/>
      <c r="I1942" s="46"/>
      <c r="J1942" s="12"/>
      <c r="K1942" s="2"/>
      <c r="L1942" s="59"/>
    </row>
    <row r="1943" spans="1:12" x14ac:dyDescent="0.35">
      <c r="A1943" s="45">
        <v>1939</v>
      </c>
      <c r="B1943" s="2"/>
      <c r="C1943" s="2"/>
      <c r="D1943" s="2"/>
      <c r="E1943" s="3"/>
      <c r="F1943" s="3"/>
      <c r="G1943" s="2"/>
      <c r="H1943" s="2"/>
      <c r="I1943" s="46"/>
      <c r="J1943" s="12"/>
      <c r="K1943" s="2"/>
      <c r="L1943" s="59"/>
    </row>
    <row r="1944" spans="1:12" x14ac:dyDescent="0.35">
      <c r="A1944" s="45">
        <v>1940</v>
      </c>
      <c r="B1944" s="2"/>
      <c r="C1944" s="2"/>
      <c r="D1944" s="2"/>
      <c r="E1944" s="3"/>
      <c r="F1944" s="3"/>
      <c r="G1944" s="2"/>
      <c r="H1944" s="2"/>
      <c r="I1944" s="46"/>
      <c r="J1944" s="12"/>
      <c r="K1944" s="2"/>
      <c r="L1944" s="59"/>
    </row>
    <row r="1945" spans="1:12" x14ac:dyDescent="0.35">
      <c r="A1945" s="45">
        <v>1941</v>
      </c>
      <c r="B1945" s="2"/>
      <c r="C1945" s="2"/>
      <c r="D1945" s="2"/>
      <c r="E1945" s="3"/>
      <c r="F1945" s="3"/>
      <c r="G1945" s="2"/>
      <c r="H1945" s="2"/>
      <c r="I1945" s="46"/>
      <c r="J1945" s="12"/>
      <c r="K1945" s="2"/>
      <c r="L1945" s="59"/>
    </row>
    <row r="1946" spans="1:12" x14ac:dyDescent="0.35">
      <c r="A1946" s="45">
        <v>1942</v>
      </c>
      <c r="B1946" s="2"/>
      <c r="C1946" s="2"/>
      <c r="D1946" s="2"/>
      <c r="E1946" s="3"/>
      <c r="F1946" s="3"/>
      <c r="G1946" s="2"/>
      <c r="H1946" s="2"/>
      <c r="I1946" s="46"/>
      <c r="J1946" s="12"/>
      <c r="K1946" s="2"/>
      <c r="L1946" s="59"/>
    </row>
    <row r="1947" spans="1:12" x14ac:dyDescent="0.35">
      <c r="A1947" s="45">
        <v>1943</v>
      </c>
      <c r="B1947" s="2"/>
      <c r="C1947" s="2"/>
      <c r="D1947" s="2"/>
      <c r="E1947" s="3"/>
      <c r="F1947" s="3"/>
      <c r="G1947" s="2"/>
      <c r="H1947" s="2"/>
      <c r="I1947" s="46"/>
      <c r="J1947" s="12"/>
      <c r="K1947" s="2"/>
      <c r="L1947" s="59"/>
    </row>
    <row r="1948" spans="1:12" x14ac:dyDescent="0.35">
      <c r="A1948" s="45">
        <v>1944</v>
      </c>
      <c r="B1948" s="2"/>
      <c r="C1948" s="2"/>
      <c r="D1948" s="2"/>
      <c r="E1948" s="3"/>
      <c r="F1948" s="3"/>
      <c r="G1948" s="2"/>
      <c r="H1948" s="2"/>
      <c r="I1948" s="46"/>
      <c r="J1948" s="12"/>
      <c r="K1948" s="2"/>
      <c r="L1948" s="59"/>
    </row>
    <row r="1949" spans="1:12" x14ac:dyDescent="0.35">
      <c r="A1949" s="45">
        <v>1945</v>
      </c>
      <c r="B1949" s="2"/>
      <c r="C1949" s="2"/>
      <c r="D1949" s="2"/>
      <c r="E1949" s="3"/>
      <c r="F1949" s="3"/>
      <c r="G1949" s="2"/>
      <c r="H1949" s="2"/>
      <c r="I1949" s="46"/>
      <c r="J1949" s="12"/>
      <c r="K1949" s="2"/>
      <c r="L1949" s="59"/>
    </row>
    <row r="1950" spans="1:12" x14ac:dyDescent="0.35">
      <c r="A1950" s="45">
        <v>1946</v>
      </c>
      <c r="B1950" s="2"/>
      <c r="C1950" s="2"/>
      <c r="D1950" s="2"/>
      <c r="E1950" s="3"/>
      <c r="F1950" s="3"/>
      <c r="G1950" s="2"/>
      <c r="H1950" s="2"/>
      <c r="I1950" s="46"/>
      <c r="J1950" s="12"/>
      <c r="K1950" s="2"/>
      <c r="L1950" s="59"/>
    </row>
    <row r="1951" spans="1:12" x14ac:dyDescent="0.35">
      <c r="A1951" s="45">
        <v>1947</v>
      </c>
      <c r="B1951" s="2"/>
      <c r="C1951" s="2"/>
      <c r="D1951" s="2"/>
      <c r="E1951" s="3"/>
      <c r="F1951" s="3"/>
      <c r="G1951" s="2"/>
      <c r="H1951" s="2"/>
      <c r="I1951" s="46"/>
      <c r="J1951" s="12"/>
      <c r="K1951" s="2"/>
      <c r="L1951" s="59"/>
    </row>
    <row r="1952" spans="1:12" x14ac:dyDescent="0.35">
      <c r="A1952" s="45">
        <v>1948</v>
      </c>
      <c r="B1952" s="2"/>
      <c r="C1952" s="2"/>
      <c r="D1952" s="2"/>
      <c r="E1952" s="3"/>
      <c r="F1952" s="3"/>
      <c r="G1952" s="2"/>
      <c r="H1952" s="2"/>
      <c r="I1952" s="46"/>
      <c r="J1952" s="12"/>
      <c r="K1952" s="2"/>
      <c r="L1952" s="59"/>
    </row>
    <row r="1953" spans="1:12" x14ac:dyDescent="0.35">
      <c r="A1953" s="45">
        <v>1949</v>
      </c>
      <c r="B1953" s="2"/>
      <c r="C1953" s="2"/>
      <c r="D1953" s="2"/>
      <c r="E1953" s="3"/>
      <c r="F1953" s="3"/>
      <c r="G1953" s="2"/>
      <c r="H1953" s="2"/>
      <c r="I1953" s="46"/>
      <c r="J1953" s="12"/>
      <c r="K1953" s="2"/>
      <c r="L1953" s="59"/>
    </row>
    <row r="1954" spans="1:12" x14ac:dyDescent="0.35">
      <c r="A1954" s="45">
        <v>1950</v>
      </c>
      <c r="B1954" s="2"/>
      <c r="C1954" s="2"/>
      <c r="D1954" s="2"/>
      <c r="E1954" s="3"/>
      <c r="F1954" s="3"/>
      <c r="G1954" s="2"/>
      <c r="H1954" s="2"/>
      <c r="I1954" s="46"/>
      <c r="J1954" s="12"/>
      <c r="K1954" s="2"/>
      <c r="L1954" s="59"/>
    </row>
    <row r="1955" spans="1:12" x14ac:dyDescent="0.35">
      <c r="A1955" s="45">
        <v>1951</v>
      </c>
      <c r="B1955" s="2"/>
      <c r="C1955" s="2"/>
      <c r="D1955" s="2"/>
      <c r="E1955" s="3"/>
      <c r="F1955" s="3"/>
      <c r="G1955" s="2"/>
      <c r="H1955" s="2"/>
      <c r="I1955" s="46"/>
      <c r="J1955" s="12"/>
      <c r="K1955" s="2"/>
      <c r="L1955" s="59"/>
    </row>
    <row r="1956" spans="1:12" x14ac:dyDescent="0.35">
      <c r="A1956" s="45">
        <v>1952</v>
      </c>
      <c r="B1956" s="2"/>
      <c r="C1956" s="2"/>
      <c r="D1956" s="2"/>
      <c r="E1956" s="3"/>
      <c r="F1956" s="3"/>
      <c r="G1956" s="2"/>
      <c r="H1956" s="2"/>
      <c r="I1956" s="46"/>
      <c r="J1956" s="12"/>
      <c r="K1956" s="2"/>
      <c r="L1956" s="59"/>
    </row>
    <row r="1957" spans="1:12" x14ac:dyDescent="0.35">
      <c r="A1957" s="45">
        <v>1953</v>
      </c>
      <c r="B1957" s="2"/>
      <c r="C1957" s="2"/>
      <c r="D1957" s="2"/>
      <c r="E1957" s="3"/>
      <c r="F1957" s="3"/>
      <c r="G1957" s="2"/>
      <c r="H1957" s="2"/>
      <c r="I1957" s="46"/>
      <c r="J1957" s="12"/>
      <c r="K1957" s="2"/>
      <c r="L1957" s="59"/>
    </row>
    <row r="1958" spans="1:12" x14ac:dyDescent="0.35">
      <c r="A1958" s="45">
        <v>1954</v>
      </c>
      <c r="B1958" s="2"/>
      <c r="C1958" s="2"/>
      <c r="D1958" s="2"/>
      <c r="E1958" s="3"/>
      <c r="F1958" s="3"/>
      <c r="G1958" s="2"/>
      <c r="H1958" s="2"/>
      <c r="I1958" s="46"/>
      <c r="J1958" s="12"/>
      <c r="K1958" s="2"/>
      <c r="L1958" s="59"/>
    </row>
    <row r="1959" spans="1:12" x14ac:dyDescent="0.35">
      <c r="A1959" s="45">
        <v>1955</v>
      </c>
      <c r="B1959" s="2"/>
      <c r="C1959" s="2"/>
      <c r="D1959" s="2"/>
      <c r="E1959" s="3"/>
      <c r="F1959" s="3"/>
      <c r="G1959" s="2"/>
      <c r="H1959" s="2"/>
      <c r="I1959" s="46"/>
      <c r="J1959" s="12"/>
      <c r="K1959" s="2"/>
      <c r="L1959" s="59"/>
    </row>
    <row r="1960" spans="1:12" x14ac:dyDescent="0.35">
      <c r="A1960" s="45">
        <v>1956</v>
      </c>
      <c r="B1960" s="2"/>
      <c r="C1960" s="2"/>
      <c r="D1960" s="2"/>
      <c r="E1960" s="3"/>
      <c r="F1960" s="3"/>
      <c r="G1960" s="2"/>
      <c r="H1960" s="2"/>
      <c r="I1960" s="46"/>
      <c r="J1960" s="12"/>
      <c r="K1960" s="2"/>
      <c r="L1960" s="59"/>
    </row>
    <row r="1961" spans="1:12" x14ac:dyDescent="0.35">
      <c r="A1961" s="45">
        <v>1957</v>
      </c>
      <c r="B1961" s="2"/>
      <c r="C1961" s="2"/>
      <c r="D1961" s="2"/>
      <c r="E1961" s="3"/>
      <c r="F1961" s="3"/>
      <c r="G1961" s="2"/>
      <c r="H1961" s="2"/>
      <c r="I1961" s="46"/>
      <c r="J1961" s="12"/>
      <c r="K1961" s="2"/>
      <c r="L1961" s="59"/>
    </row>
    <row r="1962" spans="1:12" x14ac:dyDescent="0.35">
      <c r="A1962" s="45">
        <v>1958</v>
      </c>
      <c r="B1962" s="2"/>
      <c r="C1962" s="2"/>
      <c r="D1962" s="2"/>
      <c r="E1962" s="3"/>
      <c r="F1962" s="3"/>
      <c r="G1962" s="2"/>
      <c r="H1962" s="2"/>
      <c r="I1962" s="46"/>
      <c r="J1962" s="12"/>
      <c r="K1962" s="2"/>
      <c r="L1962" s="59"/>
    </row>
    <row r="1963" spans="1:12" x14ac:dyDescent="0.35">
      <c r="A1963" s="45">
        <v>1959</v>
      </c>
      <c r="B1963" s="2"/>
      <c r="C1963" s="2"/>
      <c r="D1963" s="2"/>
      <c r="E1963" s="3"/>
      <c r="F1963" s="3"/>
      <c r="G1963" s="2"/>
      <c r="H1963" s="2"/>
      <c r="I1963" s="46"/>
      <c r="J1963" s="12"/>
      <c r="K1963" s="2"/>
      <c r="L1963" s="59"/>
    </row>
    <row r="1964" spans="1:12" x14ac:dyDescent="0.35">
      <c r="A1964" s="45">
        <v>1960</v>
      </c>
      <c r="B1964" s="2"/>
      <c r="C1964" s="2"/>
      <c r="D1964" s="2"/>
      <c r="E1964" s="3"/>
      <c r="F1964" s="3"/>
      <c r="G1964" s="2"/>
      <c r="H1964" s="2"/>
      <c r="I1964" s="46"/>
      <c r="J1964" s="12"/>
      <c r="K1964" s="2"/>
      <c r="L1964" s="59"/>
    </row>
    <row r="1965" spans="1:12" x14ac:dyDescent="0.35">
      <c r="A1965" s="45">
        <v>1961</v>
      </c>
      <c r="B1965" s="2"/>
      <c r="C1965" s="2"/>
      <c r="D1965" s="2"/>
      <c r="E1965" s="3"/>
      <c r="F1965" s="3"/>
      <c r="G1965" s="2"/>
      <c r="H1965" s="2"/>
      <c r="I1965" s="46"/>
      <c r="J1965" s="12"/>
      <c r="K1965" s="2"/>
      <c r="L1965" s="59"/>
    </row>
    <row r="1966" spans="1:12" x14ac:dyDescent="0.35">
      <c r="A1966" s="45">
        <v>1962</v>
      </c>
      <c r="B1966" s="2"/>
      <c r="C1966" s="2"/>
      <c r="D1966" s="2"/>
      <c r="E1966" s="3"/>
      <c r="F1966" s="3"/>
      <c r="G1966" s="2"/>
      <c r="H1966" s="2"/>
      <c r="I1966" s="46"/>
      <c r="J1966" s="12"/>
      <c r="K1966" s="2"/>
      <c r="L1966" s="59"/>
    </row>
    <row r="1967" spans="1:12" x14ac:dyDescent="0.35">
      <c r="A1967" s="45">
        <v>1963</v>
      </c>
      <c r="B1967" s="2"/>
      <c r="C1967" s="2"/>
      <c r="D1967" s="2"/>
      <c r="E1967" s="3"/>
      <c r="F1967" s="3"/>
      <c r="G1967" s="2"/>
      <c r="H1967" s="2"/>
      <c r="I1967" s="46"/>
      <c r="J1967" s="12"/>
      <c r="K1967" s="2"/>
      <c r="L1967" s="59"/>
    </row>
    <row r="1968" spans="1:12" x14ac:dyDescent="0.35">
      <c r="A1968" s="45">
        <v>1964</v>
      </c>
      <c r="B1968" s="2"/>
      <c r="C1968" s="2"/>
      <c r="D1968" s="2"/>
      <c r="E1968" s="3"/>
      <c r="F1968" s="3"/>
      <c r="G1968" s="2"/>
      <c r="H1968" s="2"/>
      <c r="I1968" s="46"/>
      <c r="J1968" s="12"/>
      <c r="K1968" s="2"/>
      <c r="L1968" s="59"/>
    </row>
    <row r="1969" spans="1:12" x14ac:dyDescent="0.35">
      <c r="A1969" s="45">
        <v>1965</v>
      </c>
      <c r="B1969" s="2"/>
      <c r="C1969" s="2"/>
      <c r="D1969" s="2"/>
      <c r="E1969" s="3"/>
      <c r="F1969" s="3"/>
      <c r="G1969" s="2"/>
      <c r="H1969" s="2"/>
      <c r="I1969" s="46"/>
      <c r="J1969" s="12"/>
      <c r="K1969" s="2"/>
      <c r="L1969" s="59"/>
    </row>
    <row r="1970" spans="1:12" x14ac:dyDescent="0.35">
      <c r="A1970" s="45">
        <v>1966</v>
      </c>
      <c r="B1970" s="2"/>
      <c r="C1970" s="2"/>
      <c r="D1970" s="2"/>
      <c r="E1970" s="3"/>
      <c r="F1970" s="3"/>
      <c r="G1970" s="2"/>
      <c r="H1970" s="2"/>
      <c r="I1970" s="46"/>
      <c r="J1970" s="12"/>
      <c r="K1970" s="2"/>
      <c r="L1970" s="59"/>
    </row>
    <row r="1971" spans="1:12" x14ac:dyDescent="0.35">
      <c r="A1971" s="45">
        <v>1967</v>
      </c>
      <c r="B1971" s="2"/>
      <c r="C1971" s="2"/>
      <c r="D1971" s="2"/>
      <c r="E1971" s="3"/>
      <c r="F1971" s="3"/>
      <c r="G1971" s="2"/>
      <c r="H1971" s="2"/>
      <c r="I1971" s="46"/>
      <c r="J1971" s="12"/>
      <c r="K1971" s="2"/>
      <c r="L1971" s="59"/>
    </row>
    <row r="1972" spans="1:12" x14ac:dyDescent="0.35">
      <c r="A1972" s="45">
        <v>1968</v>
      </c>
      <c r="B1972" s="2"/>
      <c r="C1972" s="2"/>
      <c r="D1972" s="2"/>
      <c r="E1972" s="3"/>
      <c r="F1972" s="3"/>
      <c r="G1972" s="2"/>
      <c r="H1972" s="2"/>
      <c r="I1972" s="46"/>
      <c r="J1972" s="12"/>
      <c r="K1972" s="2"/>
      <c r="L1972" s="59"/>
    </row>
    <row r="1973" spans="1:12" x14ac:dyDescent="0.35">
      <c r="A1973" s="45">
        <v>1969</v>
      </c>
      <c r="B1973" s="2"/>
      <c r="C1973" s="2"/>
      <c r="D1973" s="2"/>
      <c r="E1973" s="3"/>
      <c r="F1973" s="3"/>
      <c r="G1973" s="2"/>
      <c r="H1973" s="2"/>
      <c r="I1973" s="46"/>
      <c r="J1973" s="12"/>
      <c r="K1973" s="2"/>
      <c r="L1973" s="59"/>
    </row>
    <row r="1974" spans="1:12" x14ac:dyDescent="0.35">
      <c r="A1974" s="45">
        <v>1970</v>
      </c>
      <c r="B1974" s="2"/>
      <c r="C1974" s="2"/>
      <c r="D1974" s="2"/>
      <c r="E1974" s="3"/>
      <c r="F1974" s="3"/>
      <c r="G1974" s="2"/>
      <c r="H1974" s="2"/>
      <c r="I1974" s="46"/>
      <c r="J1974" s="12"/>
      <c r="K1974" s="2"/>
      <c r="L1974" s="59"/>
    </row>
    <row r="1975" spans="1:12" x14ac:dyDescent="0.35">
      <c r="A1975" s="45">
        <v>1971</v>
      </c>
      <c r="B1975" s="2"/>
      <c r="C1975" s="2"/>
      <c r="D1975" s="2"/>
      <c r="E1975" s="3"/>
      <c r="F1975" s="3"/>
      <c r="G1975" s="2"/>
      <c r="H1975" s="2"/>
      <c r="I1975" s="46"/>
      <c r="J1975" s="12"/>
      <c r="K1975" s="2"/>
      <c r="L1975" s="59"/>
    </row>
    <row r="1976" spans="1:12" x14ac:dyDescent="0.35">
      <c r="A1976" s="45">
        <v>1972</v>
      </c>
      <c r="B1976" s="2"/>
      <c r="C1976" s="2"/>
      <c r="D1976" s="2"/>
      <c r="E1976" s="3"/>
      <c r="F1976" s="3"/>
      <c r="G1976" s="2"/>
      <c r="H1976" s="2"/>
      <c r="I1976" s="46"/>
      <c r="J1976" s="12"/>
      <c r="K1976" s="2"/>
      <c r="L1976" s="59"/>
    </row>
    <row r="1977" spans="1:12" x14ac:dyDescent="0.35">
      <c r="A1977" s="45">
        <v>1973</v>
      </c>
      <c r="B1977" s="2"/>
      <c r="C1977" s="2"/>
      <c r="D1977" s="2"/>
      <c r="E1977" s="3"/>
      <c r="F1977" s="3"/>
      <c r="G1977" s="2"/>
      <c r="H1977" s="2"/>
      <c r="I1977" s="46"/>
      <c r="J1977" s="12"/>
      <c r="K1977" s="2"/>
      <c r="L1977" s="59"/>
    </row>
    <row r="1978" spans="1:12" x14ac:dyDescent="0.35">
      <c r="A1978" s="45">
        <v>1974</v>
      </c>
      <c r="B1978" s="2"/>
      <c r="C1978" s="2"/>
      <c r="D1978" s="2"/>
      <c r="E1978" s="3"/>
      <c r="F1978" s="3"/>
      <c r="G1978" s="2"/>
      <c r="H1978" s="2"/>
      <c r="I1978" s="46"/>
      <c r="J1978" s="12"/>
      <c r="K1978" s="2"/>
      <c r="L1978" s="59"/>
    </row>
    <row r="1979" spans="1:12" x14ac:dyDescent="0.35">
      <c r="A1979" s="45">
        <v>1975</v>
      </c>
      <c r="B1979" s="2"/>
      <c r="C1979" s="2"/>
      <c r="D1979" s="2"/>
      <c r="E1979" s="3"/>
      <c r="F1979" s="3"/>
      <c r="G1979" s="2"/>
      <c r="H1979" s="2"/>
      <c r="I1979" s="46"/>
      <c r="J1979" s="12"/>
      <c r="K1979" s="2"/>
      <c r="L1979" s="59"/>
    </row>
    <row r="1980" spans="1:12" x14ac:dyDescent="0.35">
      <c r="A1980" s="45">
        <v>1976</v>
      </c>
      <c r="B1980" s="2"/>
      <c r="C1980" s="2"/>
      <c r="D1980" s="2"/>
      <c r="E1980" s="3"/>
      <c r="F1980" s="3"/>
      <c r="G1980" s="2"/>
      <c r="H1980" s="2"/>
      <c r="I1980" s="46"/>
      <c r="J1980" s="12"/>
      <c r="K1980" s="2"/>
      <c r="L1980" s="59"/>
    </row>
    <row r="1981" spans="1:12" x14ac:dyDescent="0.35">
      <c r="A1981" s="45">
        <v>1977</v>
      </c>
      <c r="B1981" s="2"/>
      <c r="C1981" s="2"/>
      <c r="D1981" s="2"/>
      <c r="E1981" s="3"/>
      <c r="F1981" s="3"/>
      <c r="G1981" s="2"/>
      <c r="H1981" s="2"/>
      <c r="I1981" s="46"/>
      <c r="J1981" s="12"/>
      <c r="K1981" s="2"/>
      <c r="L1981" s="59"/>
    </row>
    <row r="1982" spans="1:12" x14ac:dyDescent="0.35">
      <c r="A1982" s="45">
        <v>1978</v>
      </c>
      <c r="B1982" s="2"/>
      <c r="C1982" s="2"/>
      <c r="D1982" s="2"/>
      <c r="E1982" s="3"/>
      <c r="F1982" s="3"/>
      <c r="G1982" s="2"/>
      <c r="H1982" s="2"/>
      <c r="I1982" s="46"/>
      <c r="J1982" s="12"/>
      <c r="K1982" s="2"/>
      <c r="L1982" s="59"/>
    </row>
    <row r="1983" spans="1:12" x14ac:dyDescent="0.35">
      <c r="A1983" s="45">
        <v>1979</v>
      </c>
      <c r="B1983" s="2"/>
      <c r="C1983" s="2"/>
      <c r="D1983" s="2"/>
      <c r="E1983" s="3"/>
      <c r="F1983" s="3"/>
      <c r="G1983" s="2"/>
      <c r="H1983" s="2"/>
      <c r="I1983" s="46"/>
      <c r="J1983" s="12"/>
      <c r="K1983" s="2"/>
      <c r="L1983" s="59"/>
    </row>
    <row r="1984" spans="1:12" x14ac:dyDescent="0.35">
      <c r="A1984" s="45">
        <v>1980</v>
      </c>
      <c r="B1984" s="2"/>
      <c r="C1984" s="2"/>
      <c r="D1984" s="2"/>
      <c r="E1984" s="3"/>
      <c r="F1984" s="3"/>
      <c r="G1984" s="2"/>
      <c r="H1984" s="2"/>
      <c r="I1984" s="46"/>
      <c r="J1984" s="12"/>
      <c r="K1984" s="2"/>
      <c r="L1984" s="59"/>
    </row>
    <row r="1985" spans="1:12" x14ac:dyDescent="0.35">
      <c r="A1985" s="45">
        <v>1981</v>
      </c>
      <c r="B1985" s="2"/>
      <c r="C1985" s="2"/>
      <c r="D1985" s="2"/>
      <c r="E1985" s="3"/>
      <c r="F1985" s="3"/>
      <c r="G1985" s="2"/>
      <c r="H1985" s="2"/>
      <c r="I1985" s="46"/>
      <c r="J1985" s="12"/>
      <c r="K1985" s="2"/>
      <c r="L1985" s="59"/>
    </row>
    <row r="1986" spans="1:12" x14ac:dyDescent="0.35">
      <c r="A1986" s="45">
        <v>1982</v>
      </c>
      <c r="B1986" s="2"/>
      <c r="C1986" s="2"/>
      <c r="D1986" s="2"/>
      <c r="E1986" s="3"/>
      <c r="F1986" s="3"/>
      <c r="G1986" s="2"/>
      <c r="H1986" s="2"/>
      <c r="I1986" s="46"/>
      <c r="J1986" s="12"/>
      <c r="K1986" s="2"/>
      <c r="L1986" s="59"/>
    </row>
    <row r="1987" spans="1:12" x14ac:dyDescent="0.35">
      <c r="A1987" s="45">
        <v>1983</v>
      </c>
      <c r="B1987" s="2"/>
      <c r="C1987" s="2"/>
      <c r="D1987" s="2"/>
      <c r="E1987" s="3"/>
      <c r="F1987" s="3"/>
      <c r="G1987" s="2"/>
      <c r="H1987" s="2"/>
      <c r="I1987" s="46"/>
      <c r="J1987" s="12"/>
      <c r="K1987" s="2"/>
      <c r="L1987" s="59"/>
    </row>
    <row r="1988" spans="1:12" x14ac:dyDescent="0.35">
      <c r="A1988" s="45">
        <v>1984</v>
      </c>
      <c r="B1988" s="2"/>
      <c r="C1988" s="2"/>
      <c r="D1988" s="2"/>
      <c r="E1988" s="3"/>
      <c r="F1988" s="3"/>
      <c r="G1988" s="2"/>
      <c r="H1988" s="2"/>
      <c r="I1988" s="46"/>
      <c r="J1988" s="12"/>
      <c r="K1988" s="2"/>
      <c r="L1988" s="59"/>
    </row>
    <row r="1989" spans="1:12" x14ac:dyDescent="0.35">
      <c r="A1989" s="45">
        <v>1985</v>
      </c>
      <c r="B1989" s="2"/>
      <c r="C1989" s="2"/>
      <c r="D1989" s="2"/>
      <c r="E1989" s="3"/>
      <c r="F1989" s="3"/>
      <c r="G1989" s="2"/>
      <c r="H1989" s="2"/>
      <c r="I1989" s="46"/>
      <c r="J1989" s="12"/>
      <c r="K1989" s="2"/>
      <c r="L1989" s="59"/>
    </row>
    <row r="1990" spans="1:12" x14ac:dyDescent="0.35">
      <c r="A1990" s="45">
        <v>1986</v>
      </c>
      <c r="B1990" s="2"/>
      <c r="C1990" s="2"/>
      <c r="D1990" s="2"/>
      <c r="E1990" s="3"/>
      <c r="F1990" s="3"/>
      <c r="G1990" s="2"/>
      <c r="H1990" s="2"/>
      <c r="I1990" s="46"/>
      <c r="J1990" s="12"/>
      <c r="K1990" s="2"/>
      <c r="L1990" s="59"/>
    </row>
    <row r="1991" spans="1:12" x14ac:dyDescent="0.35">
      <c r="A1991" s="45">
        <v>1987</v>
      </c>
      <c r="B1991" s="2"/>
      <c r="C1991" s="2"/>
      <c r="D1991" s="2"/>
      <c r="E1991" s="3"/>
      <c r="F1991" s="3"/>
      <c r="G1991" s="2"/>
      <c r="H1991" s="2"/>
      <c r="I1991" s="46"/>
      <c r="J1991" s="12"/>
      <c r="K1991" s="2"/>
      <c r="L1991" s="59"/>
    </row>
    <row r="1992" spans="1:12" x14ac:dyDescent="0.35">
      <c r="A1992" s="45">
        <v>1988</v>
      </c>
      <c r="B1992" s="2"/>
      <c r="C1992" s="2"/>
      <c r="D1992" s="2"/>
      <c r="E1992" s="3"/>
      <c r="F1992" s="3"/>
      <c r="G1992" s="2"/>
      <c r="H1992" s="2"/>
      <c r="I1992" s="46"/>
      <c r="J1992" s="12"/>
      <c r="K1992" s="2"/>
      <c r="L1992" s="59"/>
    </row>
    <row r="1993" spans="1:12" x14ac:dyDescent="0.35">
      <c r="A1993" s="45">
        <v>1989</v>
      </c>
      <c r="B1993" s="2"/>
      <c r="C1993" s="2"/>
      <c r="D1993" s="2"/>
      <c r="E1993" s="3"/>
      <c r="F1993" s="3"/>
      <c r="G1993" s="2"/>
      <c r="H1993" s="2"/>
      <c r="I1993" s="46"/>
      <c r="J1993" s="12"/>
      <c r="K1993" s="2"/>
      <c r="L1993" s="59"/>
    </row>
    <row r="1994" spans="1:12" x14ac:dyDescent="0.35">
      <c r="A1994" s="45">
        <v>1990</v>
      </c>
      <c r="B1994" s="2"/>
      <c r="C1994" s="2"/>
      <c r="D1994" s="2"/>
      <c r="E1994" s="3"/>
      <c r="F1994" s="3"/>
      <c r="G1994" s="2"/>
      <c r="H1994" s="2"/>
      <c r="I1994" s="46"/>
      <c r="J1994" s="12"/>
      <c r="K1994" s="2"/>
      <c r="L1994" s="59"/>
    </row>
    <row r="1995" spans="1:12" x14ac:dyDescent="0.35">
      <c r="A1995" s="45">
        <v>1991</v>
      </c>
      <c r="B1995" s="2"/>
      <c r="C1995" s="2"/>
      <c r="D1995" s="2"/>
      <c r="E1995" s="3"/>
      <c r="F1995" s="3"/>
      <c r="G1995" s="2"/>
      <c r="H1995" s="2"/>
      <c r="I1995" s="46"/>
      <c r="J1995" s="12"/>
      <c r="K1995" s="2"/>
      <c r="L1995" s="59"/>
    </row>
    <row r="1996" spans="1:12" x14ac:dyDescent="0.35">
      <c r="A1996" s="45">
        <v>1992</v>
      </c>
      <c r="B1996" s="2"/>
      <c r="C1996" s="2"/>
      <c r="D1996" s="2"/>
      <c r="E1996" s="3"/>
      <c r="F1996" s="3"/>
      <c r="G1996" s="2"/>
      <c r="H1996" s="2"/>
      <c r="I1996" s="46"/>
      <c r="J1996" s="12"/>
      <c r="K1996" s="2"/>
      <c r="L1996" s="59"/>
    </row>
    <row r="1997" spans="1:12" x14ac:dyDescent="0.35">
      <c r="A1997" s="45">
        <v>1993</v>
      </c>
      <c r="B1997" s="2"/>
      <c r="C1997" s="2"/>
      <c r="D1997" s="2"/>
      <c r="E1997" s="3"/>
      <c r="F1997" s="3"/>
      <c r="G1997" s="2"/>
      <c r="H1997" s="2"/>
      <c r="I1997" s="46"/>
      <c r="J1997" s="12"/>
      <c r="K1997" s="2"/>
      <c r="L1997" s="59"/>
    </row>
    <row r="1998" spans="1:12" x14ac:dyDescent="0.35">
      <c r="A1998" s="45">
        <v>1994</v>
      </c>
      <c r="B1998" s="2"/>
      <c r="C1998" s="2"/>
      <c r="D1998" s="2"/>
      <c r="E1998" s="3"/>
      <c r="F1998" s="3"/>
      <c r="G1998" s="2"/>
      <c r="H1998" s="2"/>
      <c r="I1998" s="46"/>
      <c r="J1998" s="12"/>
      <c r="K1998" s="2"/>
      <c r="L1998" s="59"/>
    </row>
    <row r="1999" spans="1:12" x14ac:dyDescent="0.35">
      <c r="A1999" s="45">
        <v>1995</v>
      </c>
      <c r="B1999" s="2"/>
      <c r="C1999" s="2"/>
      <c r="D1999" s="2"/>
      <c r="E1999" s="3"/>
      <c r="F1999" s="3"/>
      <c r="G1999" s="2"/>
      <c r="H1999" s="2"/>
      <c r="I1999" s="46"/>
      <c r="J1999" s="12"/>
      <c r="K1999" s="2"/>
      <c r="L1999" s="59"/>
    </row>
    <row r="2000" spans="1:12" x14ac:dyDescent="0.35">
      <c r="A2000" s="45">
        <v>1996</v>
      </c>
      <c r="B2000" s="2"/>
      <c r="C2000" s="2"/>
      <c r="D2000" s="2"/>
      <c r="E2000" s="3"/>
      <c r="F2000" s="3"/>
      <c r="G2000" s="2"/>
      <c r="H2000" s="2"/>
      <c r="I2000" s="46"/>
      <c r="J2000" s="12"/>
      <c r="K2000" s="2"/>
      <c r="L2000" s="59"/>
    </row>
    <row r="2001" spans="1:12" x14ac:dyDescent="0.35">
      <c r="A2001" s="45">
        <v>1997</v>
      </c>
      <c r="B2001" s="2"/>
      <c r="C2001" s="2"/>
      <c r="D2001" s="2"/>
      <c r="E2001" s="3"/>
      <c r="F2001" s="3"/>
      <c r="G2001" s="2"/>
      <c r="H2001" s="2"/>
      <c r="I2001" s="46"/>
      <c r="J2001" s="12"/>
      <c r="K2001" s="2"/>
      <c r="L2001" s="59"/>
    </row>
    <row r="2002" spans="1:12" x14ac:dyDescent="0.35">
      <c r="A2002" s="45">
        <v>1998</v>
      </c>
      <c r="B2002" s="2"/>
      <c r="C2002" s="2"/>
      <c r="D2002" s="2"/>
      <c r="E2002" s="3"/>
      <c r="F2002" s="3"/>
      <c r="G2002" s="2"/>
      <c r="H2002" s="2"/>
      <c r="I2002" s="46"/>
      <c r="J2002" s="12"/>
      <c r="K2002" s="2"/>
      <c r="L2002" s="59"/>
    </row>
    <row r="2003" spans="1:12" x14ac:dyDescent="0.35">
      <c r="A2003" s="45">
        <v>1999</v>
      </c>
      <c r="B2003" s="2"/>
      <c r="C2003" s="2"/>
      <c r="D2003" s="2"/>
      <c r="E2003" s="3"/>
      <c r="F2003" s="3"/>
      <c r="G2003" s="2"/>
      <c r="H2003" s="2"/>
      <c r="I2003" s="46"/>
      <c r="J2003" s="12"/>
      <c r="K2003" s="2"/>
      <c r="L2003" s="59"/>
    </row>
    <row r="2004" spans="1:12" ht="15" customHeight="1" thickBot="1" x14ac:dyDescent="0.4">
      <c r="A2004" s="48">
        <v>2000</v>
      </c>
      <c r="B2004" s="20"/>
      <c r="C2004" s="20"/>
      <c r="D2004" s="20"/>
      <c r="E2004" s="21"/>
      <c r="F2004" s="21"/>
      <c r="G2004" s="20"/>
      <c r="H2004" s="20"/>
      <c r="I2004" s="49"/>
      <c r="J2004" s="27"/>
      <c r="K2004" s="20"/>
      <c r="L2004" s="60"/>
    </row>
  </sheetData>
  <mergeCells count="10">
    <mergeCell ref="A2:L2"/>
    <mergeCell ref="C3:C4"/>
    <mergeCell ref="B3:B4"/>
    <mergeCell ref="A1:L1"/>
    <mergeCell ref="A3:A4"/>
    <mergeCell ref="G3:G4"/>
    <mergeCell ref="L3:L4"/>
    <mergeCell ref="D3:D4"/>
    <mergeCell ref="I3:K3"/>
    <mergeCell ref="E3:F3"/>
  </mergeCells>
  <dataValidations count="1">
    <dataValidation type="list" allowBlank="1" showInputMessage="1" showErrorMessage="1" sqref="I5:I2004" xr:uid="{00000000-0002-0000-0100-000000000000}">
      <formula1>"Company,Customer"</formula1>
    </dataValidation>
  </dataValidations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2505"/>
  <sheetViews>
    <sheetView zoomScaleNormal="100" workbookViewId="0">
      <selection activeCell="J4" sqref="J4"/>
    </sheetView>
  </sheetViews>
  <sheetFormatPr defaultRowHeight="14.5" x14ac:dyDescent="0.35"/>
  <cols>
    <col min="1" max="1" width="5.6328125" customWidth="1"/>
    <col min="2" max="2" width="10.6328125" style="15" customWidth="1"/>
    <col min="3" max="3" width="15.6328125" style="15" customWidth="1"/>
    <col min="4" max="4" width="16.6328125" style="15" customWidth="1"/>
    <col min="5" max="5" width="12.6328125" style="42" customWidth="1"/>
    <col min="6" max="10" width="12.6328125" style="15" customWidth="1"/>
    <col min="11" max="11" width="12.6328125" style="41" customWidth="1"/>
    <col min="12" max="13" width="7.6328125" style="15" customWidth="1"/>
    <col min="14" max="14" width="15.6328125" style="41" customWidth="1"/>
  </cols>
  <sheetData>
    <row r="1" spans="1:15" s="5" customFormat="1" ht="75" customHeight="1" x14ac:dyDescent="1.05">
      <c r="A1" s="93" t="s">
        <v>48</v>
      </c>
      <c r="B1" s="73"/>
      <c r="C1" s="73"/>
      <c r="D1" s="73"/>
      <c r="E1" s="73"/>
      <c r="F1" s="73"/>
      <c r="G1" s="73"/>
      <c r="H1" s="73"/>
      <c r="I1" s="73"/>
      <c r="J1" s="73"/>
      <c r="K1" s="73"/>
      <c r="L1" s="73"/>
      <c r="M1" s="73"/>
      <c r="N1" s="87"/>
    </row>
    <row r="2" spans="1:15" ht="8" customHeight="1" thickBot="1" x14ac:dyDescent="0.4">
      <c r="A2" s="88"/>
      <c r="B2" s="84"/>
      <c r="C2" s="84"/>
      <c r="D2" s="84"/>
      <c r="E2" s="84"/>
      <c r="F2" s="84"/>
      <c r="G2" s="84"/>
      <c r="H2" s="84"/>
      <c r="I2" s="84"/>
      <c r="J2" s="84"/>
      <c r="K2" s="84"/>
      <c r="L2" s="84"/>
      <c r="M2" s="84"/>
      <c r="N2" s="89"/>
    </row>
    <row r="3" spans="1:15" s="6" customFormat="1" ht="25" customHeight="1" thickBot="1" x14ac:dyDescent="0.5">
      <c r="A3" s="79" t="s">
        <v>1</v>
      </c>
      <c r="B3" s="77" t="s">
        <v>16</v>
      </c>
      <c r="C3" s="75" t="s">
        <v>3</v>
      </c>
      <c r="D3" s="77" t="s">
        <v>4</v>
      </c>
      <c r="E3" s="92" t="s">
        <v>5</v>
      </c>
      <c r="F3" s="87"/>
      <c r="G3" s="77" t="s">
        <v>49</v>
      </c>
      <c r="H3" s="73"/>
      <c r="I3" s="73"/>
      <c r="J3" s="73"/>
      <c r="K3" s="87"/>
      <c r="L3" s="86" t="s">
        <v>50</v>
      </c>
      <c r="M3" s="77" t="s">
        <v>51</v>
      </c>
      <c r="N3" s="90" t="s">
        <v>52</v>
      </c>
    </row>
    <row r="4" spans="1:15" s="6" customFormat="1" ht="50" customHeight="1" thickBot="1" x14ac:dyDescent="0.5">
      <c r="A4" s="80"/>
      <c r="B4" s="78"/>
      <c r="C4" s="76"/>
      <c r="D4" s="78"/>
      <c r="E4" s="56" t="s">
        <v>53</v>
      </c>
      <c r="F4" s="69" t="s">
        <v>54</v>
      </c>
      <c r="G4" s="56" t="s">
        <v>55</v>
      </c>
      <c r="H4" s="56" t="s">
        <v>56</v>
      </c>
      <c r="I4" s="56" t="s">
        <v>57</v>
      </c>
      <c r="J4" s="56" t="s">
        <v>58</v>
      </c>
      <c r="K4" s="56" t="s">
        <v>59</v>
      </c>
      <c r="L4" s="78"/>
      <c r="M4" s="78"/>
      <c r="N4" s="91"/>
      <c r="O4" s="7"/>
    </row>
    <row r="5" spans="1:15" x14ac:dyDescent="0.35">
      <c r="A5" s="65">
        <v>1</v>
      </c>
      <c r="B5" s="50" t="s">
        <v>37</v>
      </c>
      <c r="C5" s="50" t="s">
        <v>38</v>
      </c>
      <c r="D5" s="50" t="s">
        <v>60</v>
      </c>
      <c r="E5" s="63">
        <v>46175</v>
      </c>
      <c r="F5" s="63">
        <v>46176</v>
      </c>
      <c r="G5" s="50">
        <v>9.9999999999999992E+22</v>
      </c>
      <c r="H5" s="50">
        <v>20000</v>
      </c>
      <c r="I5" s="50">
        <v>3500</v>
      </c>
      <c r="J5" s="50">
        <v>200</v>
      </c>
      <c r="K5" s="64">
        <v>77</v>
      </c>
      <c r="L5" s="50">
        <v>5</v>
      </c>
      <c r="M5" s="50">
        <v>10</v>
      </c>
      <c r="N5" s="66">
        <v>2000</v>
      </c>
    </row>
    <row r="6" spans="1:15" x14ac:dyDescent="0.35">
      <c r="A6" s="61">
        <v>2</v>
      </c>
      <c r="B6" s="2" t="s">
        <v>40</v>
      </c>
      <c r="C6" s="2" t="s">
        <v>41</v>
      </c>
      <c r="D6" s="2" t="s">
        <v>61</v>
      </c>
      <c r="E6" s="10">
        <v>46182</v>
      </c>
      <c r="F6" s="10">
        <v>46202</v>
      </c>
      <c r="G6" s="2">
        <v>5000</v>
      </c>
      <c r="H6" s="2">
        <v>10000</v>
      </c>
      <c r="I6" s="2">
        <v>3000</v>
      </c>
      <c r="J6" s="2">
        <v>200</v>
      </c>
      <c r="K6" s="12">
        <v>69.900000000000006</v>
      </c>
      <c r="L6" s="2">
        <v>5</v>
      </c>
      <c r="M6" s="2">
        <v>10</v>
      </c>
      <c r="N6" s="67">
        <v>0</v>
      </c>
    </row>
    <row r="7" spans="1:15" x14ac:dyDescent="0.35">
      <c r="A7" s="61">
        <v>3</v>
      </c>
      <c r="B7" s="2" t="s">
        <v>40</v>
      </c>
      <c r="C7" s="2" t="s">
        <v>41</v>
      </c>
      <c r="D7" s="2" t="s">
        <v>62</v>
      </c>
      <c r="E7" s="10">
        <v>46176</v>
      </c>
      <c r="F7" s="10"/>
      <c r="G7" s="2">
        <v>0</v>
      </c>
      <c r="H7" s="2">
        <v>10000</v>
      </c>
      <c r="I7" s="2">
        <v>3000</v>
      </c>
      <c r="J7" s="2">
        <v>0</v>
      </c>
      <c r="K7" s="12">
        <v>80</v>
      </c>
      <c r="L7" s="2">
        <v>5</v>
      </c>
      <c r="M7" s="2">
        <v>0.1</v>
      </c>
      <c r="N7" s="67">
        <v>0</v>
      </c>
    </row>
    <row r="8" spans="1:15" x14ac:dyDescent="0.35">
      <c r="A8" s="61">
        <v>4</v>
      </c>
      <c r="B8" s="2"/>
      <c r="C8" s="2"/>
      <c r="D8" s="2"/>
      <c r="E8" s="10"/>
      <c r="F8" s="10"/>
      <c r="G8" s="2"/>
      <c r="H8" s="2"/>
      <c r="I8" s="2"/>
      <c r="J8" s="2"/>
      <c r="K8" s="12"/>
      <c r="L8" s="2"/>
      <c r="M8" s="2"/>
      <c r="N8" s="67"/>
    </row>
    <row r="9" spans="1:15" x14ac:dyDescent="0.35">
      <c r="A9" s="61">
        <v>5</v>
      </c>
      <c r="B9" s="2"/>
      <c r="C9" s="2"/>
      <c r="D9" s="2"/>
      <c r="E9" s="10"/>
      <c r="F9" s="10"/>
      <c r="G9" s="2"/>
      <c r="H9" s="2"/>
      <c r="I9" s="2"/>
      <c r="J9" s="2"/>
      <c r="K9" s="12"/>
      <c r="L9" s="2"/>
      <c r="M9" s="2"/>
      <c r="N9" s="67"/>
    </row>
    <row r="10" spans="1:15" x14ac:dyDescent="0.35">
      <c r="A10" s="61">
        <v>6</v>
      </c>
      <c r="B10" s="2"/>
      <c r="C10" s="2"/>
      <c r="D10" s="2"/>
      <c r="E10" s="10"/>
      <c r="F10" s="10"/>
      <c r="G10" s="2"/>
      <c r="H10" s="2"/>
      <c r="I10" s="2"/>
      <c r="J10" s="2"/>
      <c r="K10" s="12"/>
      <c r="L10" s="2"/>
      <c r="M10" s="2"/>
      <c r="N10" s="67"/>
    </row>
    <row r="11" spans="1:15" x14ac:dyDescent="0.35">
      <c r="A11" s="61">
        <v>7</v>
      </c>
      <c r="B11" s="2"/>
      <c r="C11" s="2"/>
      <c r="D11" s="2"/>
      <c r="E11" s="10"/>
      <c r="F11" s="10"/>
      <c r="G11" s="2"/>
      <c r="H11" s="2"/>
      <c r="I11" s="2"/>
      <c r="J11" s="2"/>
      <c r="K11" s="12"/>
      <c r="L11" s="2"/>
      <c r="M11" s="2"/>
      <c r="N11" s="67"/>
    </row>
    <row r="12" spans="1:15" x14ac:dyDescent="0.35">
      <c r="A12" s="61">
        <v>8</v>
      </c>
      <c r="B12" s="2"/>
      <c r="C12" s="2"/>
      <c r="D12" s="2"/>
      <c r="E12" s="10"/>
      <c r="F12" s="10"/>
      <c r="G12" s="2"/>
      <c r="H12" s="2"/>
      <c r="I12" s="2"/>
      <c r="J12" s="2"/>
      <c r="K12" s="12"/>
      <c r="L12" s="2"/>
      <c r="M12" s="2"/>
      <c r="N12" s="67"/>
    </row>
    <row r="13" spans="1:15" x14ac:dyDescent="0.35">
      <c r="A13" s="61">
        <v>9</v>
      </c>
      <c r="B13" s="2"/>
      <c r="C13" s="2"/>
      <c r="D13" s="2"/>
      <c r="E13" s="10"/>
      <c r="F13" s="10"/>
      <c r="G13" s="2"/>
      <c r="H13" s="2"/>
      <c r="I13" s="2"/>
      <c r="J13" s="2"/>
      <c r="K13" s="12"/>
      <c r="L13" s="2"/>
      <c r="M13" s="2"/>
      <c r="N13" s="67"/>
    </row>
    <row r="14" spans="1:15" x14ac:dyDescent="0.35">
      <c r="A14" s="61">
        <v>10</v>
      </c>
      <c r="B14" s="2"/>
      <c r="C14" s="2"/>
      <c r="D14" s="2"/>
      <c r="E14" s="10"/>
      <c r="F14" s="10"/>
      <c r="G14" s="2"/>
      <c r="H14" s="2"/>
      <c r="I14" s="2"/>
      <c r="J14" s="2"/>
      <c r="K14" s="12"/>
      <c r="L14" s="2"/>
      <c r="M14" s="2"/>
      <c r="N14" s="67"/>
    </row>
    <row r="15" spans="1:15" x14ac:dyDescent="0.35">
      <c r="A15" s="61">
        <v>11</v>
      </c>
      <c r="B15" s="2"/>
      <c r="C15" s="2"/>
      <c r="D15" s="2"/>
      <c r="E15" s="10"/>
      <c r="F15" s="10"/>
      <c r="G15" s="2"/>
      <c r="H15" s="2"/>
      <c r="I15" s="2"/>
      <c r="J15" s="2"/>
      <c r="K15" s="12"/>
      <c r="L15" s="2"/>
      <c r="M15" s="2"/>
      <c r="N15" s="67"/>
    </row>
    <row r="16" spans="1:15" x14ac:dyDescent="0.35">
      <c r="A16" s="61">
        <v>12</v>
      </c>
      <c r="B16" s="2"/>
      <c r="C16" s="2"/>
      <c r="D16" s="2"/>
      <c r="E16" s="10"/>
      <c r="F16" s="10"/>
      <c r="G16" s="2"/>
      <c r="H16" s="2"/>
      <c r="I16" s="2"/>
      <c r="J16" s="43"/>
      <c r="K16" s="12"/>
      <c r="L16" s="2"/>
      <c r="M16" s="2"/>
      <c r="N16" s="67"/>
    </row>
    <row r="17" spans="1:14" x14ac:dyDescent="0.35">
      <c r="A17" s="61">
        <v>13</v>
      </c>
      <c r="B17" s="2"/>
      <c r="C17" s="2"/>
      <c r="D17" s="2"/>
      <c r="E17" s="10"/>
      <c r="F17" s="10"/>
      <c r="G17" s="2"/>
      <c r="H17" s="2"/>
      <c r="I17" s="2"/>
      <c r="J17" s="2"/>
      <c r="K17" s="12"/>
      <c r="L17" s="2"/>
      <c r="M17" s="2"/>
      <c r="N17" s="67"/>
    </row>
    <row r="18" spans="1:14" x14ac:dyDescent="0.35">
      <c r="A18" s="61">
        <v>14</v>
      </c>
      <c r="B18" s="2"/>
      <c r="C18" s="2"/>
      <c r="D18" s="2"/>
      <c r="E18" s="10"/>
      <c r="F18" s="10"/>
      <c r="G18" s="2"/>
      <c r="H18" s="2"/>
      <c r="I18" s="2"/>
      <c r="J18" s="2"/>
      <c r="K18" s="12"/>
      <c r="L18" s="2"/>
      <c r="M18" s="2"/>
      <c r="N18" s="67"/>
    </row>
    <row r="19" spans="1:14" x14ac:dyDescent="0.35">
      <c r="A19" s="61">
        <v>15</v>
      </c>
      <c r="B19" s="2"/>
      <c r="C19" s="2"/>
      <c r="D19" s="2"/>
      <c r="E19" s="10"/>
      <c r="F19" s="10"/>
      <c r="G19" s="2"/>
      <c r="H19" s="2"/>
      <c r="I19" s="2"/>
      <c r="J19" s="2"/>
      <c r="K19" s="12"/>
      <c r="L19" s="2"/>
      <c r="M19" s="2"/>
      <c r="N19" s="67"/>
    </row>
    <row r="20" spans="1:14" x14ac:dyDescent="0.35">
      <c r="A20" s="61">
        <v>16</v>
      </c>
      <c r="B20" s="2"/>
      <c r="C20" s="2"/>
      <c r="D20" s="2"/>
      <c r="E20" s="10"/>
      <c r="F20" s="10"/>
      <c r="G20" s="2"/>
      <c r="H20" s="2"/>
      <c r="I20" s="2"/>
      <c r="J20" s="2"/>
      <c r="K20" s="12"/>
      <c r="L20" s="2"/>
      <c r="M20" s="2"/>
      <c r="N20" s="67"/>
    </row>
    <row r="21" spans="1:14" x14ac:dyDescent="0.35">
      <c r="A21" s="61">
        <v>17</v>
      </c>
      <c r="B21" s="2"/>
      <c r="C21" s="2"/>
      <c r="D21" s="2"/>
      <c r="E21" s="10"/>
      <c r="F21" s="10"/>
      <c r="G21" s="2"/>
      <c r="H21" s="2"/>
      <c r="I21" s="2"/>
      <c r="J21" s="2"/>
      <c r="K21" s="12"/>
      <c r="L21" s="2"/>
      <c r="M21" s="2"/>
      <c r="N21" s="67"/>
    </row>
    <row r="22" spans="1:14" x14ac:dyDescent="0.35">
      <c r="A22" s="61">
        <v>18</v>
      </c>
      <c r="B22" s="2"/>
      <c r="C22" s="2"/>
      <c r="D22" s="2"/>
      <c r="E22" s="10"/>
      <c r="F22" s="10"/>
      <c r="G22" s="2"/>
      <c r="H22" s="2"/>
      <c r="I22" s="2"/>
      <c r="J22" s="2"/>
      <c r="K22" s="12"/>
      <c r="L22" s="2"/>
      <c r="M22" s="2"/>
      <c r="N22" s="67"/>
    </row>
    <row r="23" spans="1:14" x14ac:dyDescent="0.35">
      <c r="A23" s="61">
        <v>19</v>
      </c>
      <c r="B23" s="2"/>
      <c r="C23" s="2"/>
      <c r="D23" s="2"/>
      <c r="E23" s="10"/>
      <c r="F23" s="10"/>
      <c r="G23" s="2"/>
      <c r="H23" s="2"/>
      <c r="I23" s="2"/>
      <c r="J23" s="2"/>
      <c r="K23" s="12"/>
      <c r="L23" s="2"/>
      <c r="M23" s="2"/>
      <c r="N23" s="67"/>
    </row>
    <row r="24" spans="1:14" x14ac:dyDescent="0.35">
      <c r="A24" s="61">
        <v>20</v>
      </c>
      <c r="B24" s="2"/>
      <c r="C24" s="2"/>
      <c r="D24" s="2"/>
      <c r="E24" s="10"/>
      <c r="F24" s="10"/>
      <c r="G24" s="2"/>
      <c r="H24" s="2"/>
      <c r="I24" s="2"/>
      <c r="J24" s="2"/>
      <c r="K24" s="12"/>
      <c r="L24" s="2"/>
      <c r="M24" s="2"/>
      <c r="N24" s="67"/>
    </row>
    <row r="25" spans="1:14" x14ac:dyDescent="0.35">
      <c r="A25" s="61">
        <v>21</v>
      </c>
      <c r="B25" s="2"/>
      <c r="C25" s="2"/>
      <c r="D25" s="2"/>
      <c r="E25" s="10"/>
      <c r="F25" s="10"/>
      <c r="G25" s="2"/>
      <c r="H25" s="2"/>
      <c r="I25" s="2"/>
      <c r="J25" s="2"/>
      <c r="K25" s="12"/>
      <c r="L25" s="2"/>
      <c r="M25" s="2"/>
      <c r="N25" s="67"/>
    </row>
    <row r="26" spans="1:14" x14ac:dyDescent="0.35">
      <c r="A26" s="61">
        <v>22</v>
      </c>
      <c r="B26" s="2"/>
      <c r="C26" s="2"/>
      <c r="D26" s="2"/>
      <c r="E26" s="10"/>
      <c r="F26" s="10"/>
      <c r="G26" s="2"/>
      <c r="H26" s="2"/>
      <c r="I26" s="2"/>
      <c r="J26" s="2"/>
      <c r="K26" s="12"/>
      <c r="L26" s="2"/>
      <c r="M26" s="2"/>
      <c r="N26" s="67"/>
    </row>
    <row r="27" spans="1:14" x14ac:dyDescent="0.35">
      <c r="A27" s="61">
        <v>23</v>
      </c>
      <c r="B27" s="2"/>
      <c r="C27" s="2"/>
      <c r="D27" s="2"/>
      <c r="E27" s="10"/>
      <c r="F27" s="10"/>
      <c r="G27" s="2"/>
      <c r="H27" s="2"/>
      <c r="I27" s="2"/>
      <c r="J27" s="2"/>
      <c r="K27" s="12"/>
      <c r="L27" s="2"/>
      <c r="M27" s="2"/>
      <c r="N27" s="67"/>
    </row>
    <row r="28" spans="1:14" x14ac:dyDescent="0.35">
      <c r="A28" s="61">
        <v>24</v>
      </c>
      <c r="B28" s="2"/>
      <c r="C28" s="2"/>
      <c r="D28" s="2"/>
      <c r="E28" s="10"/>
      <c r="F28" s="10"/>
      <c r="G28" s="2"/>
      <c r="H28" s="2"/>
      <c r="I28" s="2"/>
      <c r="J28" s="2"/>
      <c r="K28" s="12"/>
      <c r="L28" s="2"/>
      <c r="M28" s="2"/>
      <c r="N28" s="67"/>
    </row>
    <row r="29" spans="1:14" x14ac:dyDescent="0.35">
      <c r="A29" s="61">
        <v>25</v>
      </c>
      <c r="B29" s="2"/>
      <c r="C29" s="2"/>
      <c r="D29" s="2"/>
      <c r="E29" s="10"/>
      <c r="F29" s="10"/>
      <c r="G29" s="2"/>
      <c r="H29" s="2"/>
      <c r="I29" s="2"/>
      <c r="J29" s="43"/>
      <c r="K29" s="12"/>
      <c r="L29" s="2"/>
      <c r="M29" s="2"/>
      <c r="N29" s="67"/>
    </row>
    <row r="30" spans="1:14" x14ac:dyDescent="0.35">
      <c r="A30" s="61">
        <v>26</v>
      </c>
      <c r="B30" s="2"/>
      <c r="C30" s="2"/>
      <c r="D30" s="2"/>
      <c r="E30" s="10"/>
      <c r="F30" s="10"/>
      <c r="G30" s="2"/>
      <c r="H30" s="2"/>
      <c r="I30" s="2"/>
      <c r="J30" s="2"/>
      <c r="K30" s="12"/>
      <c r="L30" s="2"/>
      <c r="M30" s="2"/>
      <c r="N30" s="67"/>
    </row>
    <row r="31" spans="1:14" x14ac:dyDescent="0.35">
      <c r="A31" s="61">
        <v>27</v>
      </c>
      <c r="B31" s="2"/>
      <c r="C31" s="2"/>
      <c r="D31" s="2"/>
      <c r="E31" s="10"/>
      <c r="F31" s="10"/>
      <c r="G31" s="2"/>
      <c r="H31" s="2"/>
      <c r="I31" s="2"/>
      <c r="J31" s="2"/>
      <c r="K31" s="12"/>
      <c r="L31" s="2"/>
      <c r="M31" s="2"/>
      <c r="N31" s="67"/>
    </row>
    <row r="32" spans="1:14" x14ac:dyDescent="0.35">
      <c r="A32" s="61">
        <v>28</v>
      </c>
      <c r="B32" s="2"/>
      <c r="C32" s="2"/>
      <c r="D32" s="2"/>
      <c r="E32" s="10"/>
      <c r="F32" s="10"/>
      <c r="G32" s="2"/>
      <c r="H32" s="2"/>
      <c r="I32" s="2"/>
      <c r="J32" s="2"/>
      <c r="K32" s="12"/>
      <c r="L32" s="2"/>
      <c r="M32" s="2"/>
      <c r="N32" s="67"/>
    </row>
    <row r="33" spans="1:14" x14ac:dyDescent="0.35">
      <c r="A33" s="61">
        <v>29</v>
      </c>
      <c r="B33" s="2"/>
      <c r="C33" s="2"/>
      <c r="D33" s="2"/>
      <c r="E33" s="10"/>
      <c r="F33" s="10"/>
      <c r="G33" s="2"/>
      <c r="H33" s="2"/>
      <c r="I33" s="2"/>
      <c r="J33" s="2"/>
      <c r="K33" s="12"/>
      <c r="L33" s="2"/>
      <c r="M33" s="2"/>
      <c r="N33" s="67"/>
    </row>
    <row r="34" spans="1:14" x14ac:dyDescent="0.35">
      <c r="A34" s="61">
        <v>30</v>
      </c>
      <c r="B34" s="2"/>
      <c r="C34" s="2"/>
      <c r="D34" s="2"/>
      <c r="E34" s="10"/>
      <c r="F34" s="10"/>
      <c r="G34" s="2"/>
      <c r="H34" s="2"/>
      <c r="I34" s="2"/>
      <c r="J34" s="2"/>
      <c r="K34" s="12"/>
      <c r="L34" s="2"/>
      <c r="M34" s="2"/>
      <c r="N34" s="67"/>
    </row>
    <row r="35" spans="1:14" x14ac:dyDescent="0.35">
      <c r="A35" s="61">
        <v>31</v>
      </c>
      <c r="B35" s="2"/>
      <c r="C35" s="2"/>
      <c r="D35" s="2"/>
      <c r="E35" s="10"/>
      <c r="F35" s="10"/>
      <c r="G35" s="2"/>
      <c r="H35" s="2"/>
      <c r="I35" s="2"/>
      <c r="J35" s="2"/>
      <c r="K35" s="12"/>
      <c r="L35" s="2"/>
      <c r="M35" s="2"/>
      <c r="N35" s="67"/>
    </row>
    <row r="36" spans="1:14" x14ac:dyDescent="0.35">
      <c r="A36" s="61">
        <v>32</v>
      </c>
      <c r="B36" s="2"/>
      <c r="C36" s="2"/>
      <c r="D36" s="2"/>
      <c r="E36" s="10"/>
      <c r="F36" s="10"/>
      <c r="G36" s="2"/>
      <c r="H36" s="2"/>
      <c r="I36" s="2"/>
      <c r="J36" s="2"/>
      <c r="K36" s="12"/>
      <c r="L36" s="2"/>
      <c r="M36" s="2"/>
      <c r="N36" s="67"/>
    </row>
    <row r="37" spans="1:14" x14ac:dyDescent="0.35">
      <c r="A37" s="61">
        <v>33</v>
      </c>
      <c r="B37" s="2"/>
      <c r="C37" s="2"/>
      <c r="D37" s="2"/>
      <c r="E37" s="10"/>
      <c r="F37" s="10"/>
      <c r="G37" s="2"/>
      <c r="H37" s="2"/>
      <c r="I37" s="2"/>
      <c r="J37" s="2"/>
      <c r="K37" s="12"/>
      <c r="L37" s="2"/>
      <c r="M37" s="2"/>
      <c r="N37" s="67"/>
    </row>
    <row r="38" spans="1:14" x14ac:dyDescent="0.35">
      <c r="A38" s="61">
        <v>33</v>
      </c>
      <c r="B38" s="2"/>
      <c r="C38" s="2"/>
      <c r="D38" s="2"/>
      <c r="E38" s="10"/>
      <c r="F38" s="10"/>
      <c r="G38" s="2"/>
      <c r="H38" s="2"/>
      <c r="I38" s="2"/>
      <c r="J38" s="2"/>
      <c r="K38" s="12"/>
      <c r="L38" s="2"/>
      <c r="M38" s="2"/>
      <c r="N38" s="67"/>
    </row>
    <row r="39" spans="1:14" x14ac:dyDescent="0.35">
      <c r="A39" s="61">
        <v>33</v>
      </c>
      <c r="B39" s="2"/>
      <c r="C39" s="2"/>
      <c r="D39" s="2"/>
      <c r="E39" s="10"/>
      <c r="F39" s="10"/>
      <c r="G39" s="2"/>
      <c r="H39" s="2"/>
      <c r="I39" s="2"/>
      <c r="J39" s="2"/>
      <c r="K39" s="12"/>
      <c r="L39" s="2"/>
      <c r="M39" s="2"/>
      <c r="N39" s="67"/>
    </row>
    <row r="40" spans="1:14" x14ac:dyDescent="0.35">
      <c r="A40" s="61">
        <v>33</v>
      </c>
      <c r="B40" s="2"/>
      <c r="C40" s="2"/>
      <c r="D40" s="2"/>
      <c r="E40" s="10"/>
      <c r="F40" s="10"/>
      <c r="G40" s="2"/>
      <c r="H40" s="2"/>
      <c r="I40" s="2"/>
      <c r="J40" s="2"/>
      <c r="K40" s="12"/>
      <c r="L40" s="2"/>
      <c r="M40" s="2"/>
      <c r="N40" s="67"/>
    </row>
    <row r="41" spans="1:14" x14ac:dyDescent="0.35">
      <c r="A41" s="61">
        <v>33</v>
      </c>
      <c r="B41" s="2"/>
      <c r="C41" s="2"/>
      <c r="D41" s="2"/>
      <c r="E41" s="10"/>
      <c r="F41" s="10"/>
      <c r="G41" s="2"/>
      <c r="H41" s="2"/>
      <c r="I41" s="2"/>
      <c r="J41" s="2"/>
      <c r="K41" s="12"/>
      <c r="L41" s="2"/>
      <c r="M41" s="2"/>
      <c r="N41" s="67"/>
    </row>
    <row r="42" spans="1:14" x14ac:dyDescent="0.35">
      <c r="A42" s="61">
        <v>33</v>
      </c>
      <c r="B42" s="2"/>
      <c r="C42" s="2"/>
      <c r="D42" s="2"/>
      <c r="E42" s="10"/>
      <c r="F42" s="10"/>
      <c r="G42" s="2"/>
      <c r="H42" s="2"/>
      <c r="I42" s="2"/>
      <c r="J42" s="2"/>
      <c r="K42" s="12"/>
      <c r="L42" s="2"/>
      <c r="M42" s="2"/>
      <c r="N42" s="67"/>
    </row>
    <row r="43" spans="1:14" x14ac:dyDescent="0.35">
      <c r="A43" s="61">
        <v>33</v>
      </c>
      <c r="B43" s="2"/>
      <c r="C43" s="2"/>
      <c r="D43" s="2"/>
      <c r="E43" s="10"/>
      <c r="F43" s="10"/>
      <c r="G43" s="2"/>
      <c r="H43" s="2"/>
      <c r="I43" s="2"/>
      <c r="J43" s="2"/>
      <c r="K43" s="12"/>
      <c r="L43" s="2"/>
      <c r="M43" s="2"/>
      <c r="N43" s="67"/>
    </row>
    <row r="44" spans="1:14" x14ac:dyDescent="0.35">
      <c r="A44" s="61">
        <v>33</v>
      </c>
      <c r="B44" s="2"/>
      <c r="C44" s="2"/>
      <c r="D44" s="2"/>
      <c r="E44" s="10"/>
      <c r="F44" s="10"/>
      <c r="G44" s="2"/>
      <c r="H44" s="2"/>
      <c r="I44" s="2"/>
      <c r="J44" s="2"/>
      <c r="K44" s="12"/>
      <c r="L44" s="2"/>
      <c r="M44" s="2"/>
      <c r="N44" s="67"/>
    </row>
    <row r="45" spans="1:14" x14ac:dyDescent="0.35">
      <c r="A45" s="61">
        <v>41</v>
      </c>
      <c r="B45" s="2"/>
      <c r="C45" s="2"/>
      <c r="D45" s="2"/>
      <c r="E45" s="10"/>
      <c r="F45" s="11"/>
      <c r="G45" s="2"/>
      <c r="H45" s="2"/>
      <c r="I45" s="2"/>
      <c r="J45" s="2"/>
      <c r="K45" s="12"/>
      <c r="L45" s="2"/>
      <c r="M45" s="2"/>
      <c r="N45" s="67"/>
    </row>
    <row r="46" spans="1:14" x14ac:dyDescent="0.35">
      <c r="A46" s="61">
        <v>42</v>
      </c>
      <c r="B46" s="2"/>
      <c r="C46" s="2"/>
      <c r="D46" s="2"/>
      <c r="E46" s="10"/>
      <c r="F46" s="11"/>
      <c r="G46" s="2"/>
      <c r="H46" s="2"/>
      <c r="I46" s="2"/>
      <c r="J46" s="2"/>
      <c r="K46" s="12"/>
      <c r="L46" s="2"/>
      <c r="M46" s="2"/>
      <c r="N46" s="67"/>
    </row>
    <row r="47" spans="1:14" x14ac:dyDescent="0.35">
      <c r="A47" s="61">
        <v>43</v>
      </c>
      <c r="B47" s="2"/>
      <c r="C47" s="2"/>
      <c r="D47" s="2"/>
      <c r="E47" s="10"/>
      <c r="F47" s="11"/>
      <c r="G47" s="2"/>
      <c r="H47" s="2"/>
      <c r="I47" s="2"/>
      <c r="J47" s="2"/>
      <c r="K47" s="12"/>
      <c r="L47" s="2"/>
      <c r="M47" s="2"/>
      <c r="N47" s="67"/>
    </row>
    <row r="48" spans="1:14" x14ac:dyDescent="0.35">
      <c r="A48" s="61">
        <v>44</v>
      </c>
      <c r="B48" s="2"/>
      <c r="C48" s="2"/>
      <c r="D48" s="2"/>
      <c r="E48" s="10"/>
      <c r="F48" s="11"/>
      <c r="G48" s="2"/>
      <c r="H48" s="2"/>
      <c r="I48" s="2"/>
      <c r="J48" s="2"/>
      <c r="K48" s="12"/>
      <c r="L48" s="2"/>
      <c r="M48" s="2"/>
      <c r="N48" s="67"/>
    </row>
    <row r="49" spans="1:14" x14ac:dyDescent="0.35">
      <c r="A49" s="61">
        <v>45</v>
      </c>
      <c r="B49" s="2"/>
      <c r="C49" s="2"/>
      <c r="D49" s="2"/>
      <c r="E49" s="10"/>
      <c r="F49" s="11"/>
      <c r="G49" s="2"/>
      <c r="H49" s="2"/>
      <c r="I49" s="2"/>
      <c r="J49" s="2"/>
      <c r="K49" s="12"/>
      <c r="L49" s="2"/>
      <c r="M49" s="2"/>
      <c r="N49" s="67"/>
    </row>
    <row r="50" spans="1:14" x14ac:dyDescent="0.35">
      <c r="A50" s="61">
        <v>46</v>
      </c>
      <c r="B50" s="2"/>
      <c r="C50" s="2"/>
      <c r="D50" s="2"/>
      <c r="E50" s="10"/>
      <c r="F50" s="11"/>
      <c r="G50" s="2"/>
      <c r="H50" s="2"/>
      <c r="I50" s="2"/>
      <c r="J50" s="2"/>
      <c r="K50" s="12"/>
      <c r="L50" s="2"/>
      <c r="M50" s="2"/>
      <c r="N50" s="67"/>
    </row>
    <row r="51" spans="1:14" x14ac:dyDescent="0.35">
      <c r="A51" s="61">
        <v>47</v>
      </c>
      <c r="B51" s="2"/>
      <c r="C51" s="2"/>
      <c r="D51" s="2"/>
      <c r="E51" s="10"/>
      <c r="F51" s="11"/>
      <c r="G51" s="2"/>
      <c r="H51" s="2"/>
      <c r="I51" s="2"/>
      <c r="J51" s="2"/>
      <c r="K51" s="12"/>
      <c r="L51" s="2"/>
      <c r="M51" s="2"/>
      <c r="N51" s="67"/>
    </row>
    <row r="52" spans="1:14" x14ac:dyDescent="0.35">
      <c r="A52" s="61">
        <v>48</v>
      </c>
      <c r="B52" s="2"/>
      <c r="C52" s="2"/>
      <c r="D52" s="2"/>
      <c r="E52" s="10"/>
      <c r="F52" s="11"/>
      <c r="G52" s="2"/>
      <c r="H52" s="2"/>
      <c r="I52" s="2"/>
      <c r="J52" s="2"/>
      <c r="K52" s="12"/>
      <c r="L52" s="2"/>
      <c r="M52" s="2"/>
      <c r="N52" s="67"/>
    </row>
    <row r="53" spans="1:14" x14ac:dyDescent="0.35">
      <c r="A53" s="61">
        <v>49</v>
      </c>
      <c r="B53" s="2"/>
      <c r="C53" s="2"/>
      <c r="D53" s="2"/>
      <c r="E53" s="10"/>
      <c r="F53" s="11"/>
      <c r="G53" s="2"/>
      <c r="H53" s="2"/>
      <c r="I53" s="2"/>
      <c r="J53" s="2"/>
      <c r="K53" s="12"/>
      <c r="L53" s="2"/>
      <c r="M53" s="2"/>
      <c r="N53" s="67"/>
    </row>
    <row r="54" spans="1:14" x14ac:dyDescent="0.35">
      <c r="A54" s="61">
        <v>50</v>
      </c>
      <c r="B54" s="2"/>
      <c r="C54" s="2"/>
      <c r="D54" s="2"/>
      <c r="E54" s="10"/>
      <c r="F54" s="11"/>
      <c r="G54" s="2"/>
      <c r="H54" s="2"/>
      <c r="I54" s="2"/>
      <c r="J54" s="2"/>
      <c r="K54" s="12"/>
      <c r="L54" s="2"/>
      <c r="M54" s="2"/>
      <c r="N54" s="67"/>
    </row>
    <row r="55" spans="1:14" x14ac:dyDescent="0.35">
      <c r="A55" s="61">
        <v>51</v>
      </c>
      <c r="B55" s="2"/>
      <c r="C55" s="2"/>
      <c r="D55" s="2"/>
      <c r="E55" s="10"/>
      <c r="F55" s="11"/>
      <c r="G55" s="2"/>
      <c r="H55" s="2"/>
      <c r="I55" s="2"/>
      <c r="J55" s="2"/>
      <c r="K55" s="12"/>
      <c r="L55" s="2"/>
      <c r="M55" s="2"/>
      <c r="N55" s="67"/>
    </row>
    <row r="56" spans="1:14" x14ac:dyDescent="0.35">
      <c r="A56" s="61">
        <v>52</v>
      </c>
      <c r="B56" s="2"/>
      <c r="C56" s="2"/>
      <c r="D56" s="2"/>
      <c r="E56" s="10"/>
      <c r="F56" s="11"/>
      <c r="G56" s="2"/>
      <c r="H56" s="2"/>
      <c r="I56" s="2"/>
      <c r="J56" s="2"/>
      <c r="K56" s="12"/>
      <c r="L56" s="2"/>
      <c r="M56" s="2"/>
      <c r="N56" s="67"/>
    </row>
    <row r="57" spans="1:14" x14ac:dyDescent="0.35">
      <c r="A57" s="61">
        <v>53</v>
      </c>
      <c r="B57" s="2"/>
      <c r="C57" s="2"/>
      <c r="D57" s="2"/>
      <c r="E57" s="10"/>
      <c r="F57" s="11"/>
      <c r="G57" s="2"/>
      <c r="H57" s="2"/>
      <c r="I57" s="2"/>
      <c r="J57" s="2"/>
      <c r="K57" s="12"/>
      <c r="L57" s="2"/>
      <c r="M57" s="2"/>
      <c r="N57" s="67"/>
    </row>
    <row r="58" spans="1:14" x14ac:dyDescent="0.35">
      <c r="A58" s="61">
        <v>54</v>
      </c>
      <c r="B58" s="2"/>
      <c r="C58" s="2"/>
      <c r="D58" s="2"/>
      <c r="E58" s="10"/>
      <c r="F58" s="11"/>
      <c r="G58" s="2"/>
      <c r="H58" s="2"/>
      <c r="I58" s="2"/>
      <c r="J58" s="2"/>
      <c r="K58" s="12"/>
      <c r="L58" s="2"/>
      <c r="M58" s="2"/>
      <c r="N58" s="67"/>
    </row>
    <row r="59" spans="1:14" x14ac:dyDescent="0.35">
      <c r="A59" s="61">
        <v>55</v>
      </c>
      <c r="B59" s="2"/>
      <c r="C59" s="2"/>
      <c r="D59" s="2"/>
      <c r="E59" s="10"/>
      <c r="F59" s="11"/>
      <c r="G59" s="2"/>
      <c r="H59" s="2"/>
      <c r="I59" s="2"/>
      <c r="J59" s="2"/>
      <c r="K59" s="12"/>
      <c r="L59" s="2"/>
      <c r="M59" s="2"/>
      <c r="N59" s="67"/>
    </row>
    <row r="60" spans="1:14" x14ac:dyDescent="0.35">
      <c r="A60" s="61">
        <v>56</v>
      </c>
      <c r="B60" s="2"/>
      <c r="C60" s="2"/>
      <c r="D60" s="2"/>
      <c r="E60" s="10"/>
      <c r="F60" s="11"/>
      <c r="G60" s="2"/>
      <c r="H60" s="2"/>
      <c r="I60" s="2"/>
      <c r="J60" s="2"/>
      <c r="K60" s="12"/>
      <c r="L60" s="2"/>
      <c r="M60" s="2"/>
      <c r="N60" s="67"/>
    </row>
    <row r="61" spans="1:14" x14ac:dyDescent="0.35">
      <c r="A61" s="61">
        <v>57</v>
      </c>
      <c r="B61" s="2"/>
      <c r="C61" s="2"/>
      <c r="D61" s="2"/>
      <c r="E61" s="10"/>
      <c r="F61" s="11"/>
      <c r="G61" s="2"/>
      <c r="H61" s="2"/>
      <c r="I61" s="2"/>
      <c r="J61" s="2"/>
      <c r="K61" s="12"/>
      <c r="L61" s="2"/>
      <c r="M61" s="2"/>
      <c r="N61" s="67"/>
    </row>
    <row r="62" spans="1:14" x14ac:dyDescent="0.35">
      <c r="A62" s="61">
        <v>58</v>
      </c>
      <c r="B62" s="2"/>
      <c r="C62" s="2"/>
      <c r="D62" s="2"/>
      <c r="E62" s="10"/>
      <c r="F62" s="11"/>
      <c r="G62" s="2"/>
      <c r="H62" s="2"/>
      <c r="I62" s="2"/>
      <c r="J62" s="2"/>
      <c r="K62" s="12"/>
      <c r="L62" s="2"/>
      <c r="M62" s="2"/>
      <c r="N62" s="67"/>
    </row>
    <row r="63" spans="1:14" x14ac:dyDescent="0.35">
      <c r="A63" s="61">
        <v>59</v>
      </c>
      <c r="B63" s="2"/>
      <c r="C63" s="2"/>
      <c r="D63" s="2"/>
      <c r="E63" s="10"/>
      <c r="F63" s="11"/>
      <c r="G63" s="2"/>
      <c r="H63" s="2"/>
      <c r="I63" s="2"/>
      <c r="J63" s="2"/>
      <c r="K63" s="12"/>
      <c r="L63" s="2"/>
      <c r="M63" s="2"/>
      <c r="N63" s="67"/>
    </row>
    <row r="64" spans="1:14" x14ac:dyDescent="0.35">
      <c r="A64" s="61">
        <v>60</v>
      </c>
      <c r="B64" s="2"/>
      <c r="C64" s="2"/>
      <c r="D64" s="2"/>
      <c r="E64" s="10"/>
      <c r="F64" s="11"/>
      <c r="G64" s="2"/>
      <c r="H64" s="2"/>
      <c r="I64" s="2"/>
      <c r="J64" s="2"/>
      <c r="K64" s="12"/>
      <c r="L64" s="2"/>
      <c r="M64" s="2"/>
      <c r="N64" s="67"/>
    </row>
    <row r="65" spans="1:14" x14ac:dyDescent="0.35">
      <c r="A65" s="61">
        <v>61</v>
      </c>
      <c r="B65" s="2"/>
      <c r="C65" s="2"/>
      <c r="D65" s="2"/>
      <c r="E65" s="10"/>
      <c r="F65" s="11"/>
      <c r="G65" s="2"/>
      <c r="H65" s="2"/>
      <c r="I65" s="2"/>
      <c r="J65" s="2"/>
      <c r="K65" s="12"/>
      <c r="L65" s="2"/>
      <c r="M65" s="2"/>
      <c r="N65" s="67"/>
    </row>
    <row r="66" spans="1:14" x14ac:dyDescent="0.35">
      <c r="A66" s="61">
        <v>62</v>
      </c>
      <c r="B66" s="2"/>
      <c r="C66" s="2"/>
      <c r="D66" s="2"/>
      <c r="E66" s="10"/>
      <c r="F66" s="11"/>
      <c r="G66" s="2"/>
      <c r="H66" s="2"/>
      <c r="I66" s="2"/>
      <c r="J66" s="2"/>
      <c r="K66" s="12"/>
      <c r="L66" s="2"/>
      <c r="M66" s="2"/>
      <c r="N66" s="67"/>
    </row>
    <row r="67" spans="1:14" x14ac:dyDescent="0.35">
      <c r="A67" s="61">
        <v>63</v>
      </c>
      <c r="B67" s="2"/>
      <c r="C67" s="2"/>
      <c r="D67" s="2"/>
      <c r="E67" s="10"/>
      <c r="F67" s="11"/>
      <c r="G67" s="2"/>
      <c r="H67" s="2"/>
      <c r="I67" s="2"/>
      <c r="J67" s="2"/>
      <c r="K67" s="12"/>
      <c r="L67" s="2"/>
      <c r="M67" s="2"/>
      <c r="N67" s="67"/>
    </row>
    <row r="68" spans="1:14" x14ac:dyDescent="0.35">
      <c r="A68" s="61">
        <v>64</v>
      </c>
      <c r="B68" s="2"/>
      <c r="C68" s="2"/>
      <c r="D68" s="2"/>
      <c r="E68" s="10"/>
      <c r="F68" s="11"/>
      <c r="G68" s="2"/>
      <c r="H68" s="2"/>
      <c r="I68" s="2"/>
      <c r="J68" s="2"/>
      <c r="K68" s="12"/>
      <c r="L68" s="2"/>
      <c r="M68" s="2"/>
      <c r="N68" s="67"/>
    </row>
    <row r="69" spans="1:14" x14ac:dyDescent="0.35">
      <c r="A69" s="61">
        <v>65</v>
      </c>
      <c r="B69" s="2"/>
      <c r="C69" s="2"/>
      <c r="D69" s="2"/>
      <c r="E69" s="10"/>
      <c r="F69" s="11"/>
      <c r="G69" s="2"/>
      <c r="H69" s="2"/>
      <c r="I69" s="2"/>
      <c r="J69" s="2"/>
      <c r="K69" s="12"/>
      <c r="L69" s="2"/>
      <c r="M69" s="2"/>
      <c r="N69" s="67"/>
    </row>
    <row r="70" spans="1:14" x14ac:dyDescent="0.35">
      <c r="A70" s="61">
        <v>66</v>
      </c>
      <c r="B70" s="2"/>
      <c r="C70" s="2"/>
      <c r="D70" s="2"/>
      <c r="E70" s="10"/>
      <c r="F70" s="11"/>
      <c r="G70" s="2"/>
      <c r="H70" s="2"/>
      <c r="I70" s="2"/>
      <c r="J70" s="2"/>
      <c r="K70" s="12"/>
      <c r="L70" s="2"/>
      <c r="M70" s="2"/>
      <c r="N70" s="67"/>
    </row>
    <row r="71" spans="1:14" x14ac:dyDescent="0.35">
      <c r="A71" s="61">
        <v>67</v>
      </c>
      <c r="B71" s="2"/>
      <c r="C71" s="2"/>
      <c r="D71" s="2"/>
      <c r="E71" s="10"/>
      <c r="F71" s="11"/>
      <c r="G71" s="2"/>
      <c r="H71" s="2"/>
      <c r="I71" s="2"/>
      <c r="J71" s="2"/>
      <c r="K71" s="12"/>
      <c r="L71" s="2"/>
      <c r="M71" s="2"/>
      <c r="N71" s="67"/>
    </row>
    <row r="72" spans="1:14" x14ac:dyDescent="0.35">
      <c r="A72" s="61">
        <v>68</v>
      </c>
      <c r="B72" s="2"/>
      <c r="C72" s="2"/>
      <c r="D72" s="2"/>
      <c r="E72" s="10"/>
      <c r="F72" s="11"/>
      <c r="G72" s="2"/>
      <c r="H72" s="2"/>
      <c r="I72" s="2"/>
      <c r="J72" s="2"/>
      <c r="K72" s="12"/>
      <c r="L72" s="2"/>
      <c r="M72" s="2"/>
      <c r="N72" s="67"/>
    </row>
    <row r="73" spans="1:14" x14ac:dyDescent="0.35">
      <c r="A73" s="61">
        <v>69</v>
      </c>
      <c r="B73" s="2"/>
      <c r="C73" s="2"/>
      <c r="D73" s="2"/>
      <c r="E73" s="10"/>
      <c r="F73" s="11"/>
      <c r="G73" s="2"/>
      <c r="H73" s="2"/>
      <c r="I73" s="2"/>
      <c r="J73" s="2"/>
      <c r="K73" s="12"/>
      <c r="L73" s="2"/>
      <c r="M73" s="2"/>
      <c r="N73" s="67"/>
    </row>
    <row r="74" spans="1:14" x14ac:dyDescent="0.35">
      <c r="A74" s="61">
        <v>70</v>
      </c>
      <c r="B74" s="2"/>
      <c r="C74" s="2"/>
      <c r="D74" s="2"/>
      <c r="E74" s="10"/>
      <c r="F74" s="11"/>
      <c r="G74" s="2"/>
      <c r="H74" s="2"/>
      <c r="I74" s="2"/>
      <c r="J74" s="2"/>
      <c r="K74" s="12"/>
      <c r="L74" s="2"/>
      <c r="M74" s="2"/>
      <c r="N74" s="67"/>
    </row>
    <row r="75" spans="1:14" x14ac:dyDescent="0.35">
      <c r="A75" s="61">
        <v>71</v>
      </c>
      <c r="B75" s="2"/>
      <c r="C75" s="2"/>
      <c r="D75" s="2"/>
      <c r="E75" s="10"/>
      <c r="F75" s="11"/>
      <c r="G75" s="2"/>
      <c r="H75" s="2"/>
      <c r="I75" s="2"/>
      <c r="J75" s="2"/>
      <c r="K75" s="12"/>
      <c r="L75" s="2"/>
      <c r="M75" s="2"/>
      <c r="N75" s="67"/>
    </row>
    <row r="76" spans="1:14" x14ac:dyDescent="0.35">
      <c r="A76" s="61">
        <v>72</v>
      </c>
      <c r="B76" s="2"/>
      <c r="C76" s="2"/>
      <c r="D76" s="2"/>
      <c r="E76" s="10"/>
      <c r="F76" s="11"/>
      <c r="G76" s="2"/>
      <c r="H76" s="2"/>
      <c r="I76" s="2"/>
      <c r="J76" s="2"/>
      <c r="K76" s="12"/>
      <c r="L76" s="2"/>
      <c r="M76" s="2"/>
      <c r="N76" s="67"/>
    </row>
    <row r="77" spans="1:14" x14ac:dyDescent="0.35">
      <c r="A77" s="61">
        <v>73</v>
      </c>
      <c r="B77" s="2"/>
      <c r="C77" s="2"/>
      <c r="D77" s="2"/>
      <c r="E77" s="10"/>
      <c r="F77" s="11"/>
      <c r="G77" s="2"/>
      <c r="H77" s="2"/>
      <c r="I77" s="2"/>
      <c r="J77" s="2"/>
      <c r="K77" s="12"/>
      <c r="L77" s="2"/>
      <c r="M77" s="2"/>
      <c r="N77" s="67"/>
    </row>
    <row r="78" spans="1:14" x14ac:dyDescent="0.35">
      <c r="A78" s="61">
        <v>74</v>
      </c>
      <c r="B78" s="2"/>
      <c r="C78" s="2"/>
      <c r="D78" s="2"/>
      <c r="E78" s="10"/>
      <c r="F78" s="11"/>
      <c r="G78" s="2"/>
      <c r="H78" s="2"/>
      <c r="I78" s="2"/>
      <c r="J78" s="2"/>
      <c r="K78" s="12"/>
      <c r="L78" s="2"/>
      <c r="M78" s="2"/>
      <c r="N78" s="67"/>
    </row>
    <row r="79" spans="1:14" x14ac:dyDescent="0.35">
      <c r="A79" s="61">
        <v>75</v>
      </c>
      <c r="B79" s="2"/>
      <c r="C79" s="2"/>
      <c r="D79" s="2"/>
      <c r="E79" s="10"/>
      <c r="F79" s="11"/>
      <c r="G79" s="2"/>
      <c r="H79" s="2"/>
      <c r="I79" s="2"/>
      <c r="J79" s="2"/>
      <c r="K79" s="12"/>
      <c r="L79" s="2"/>
      <c r="M79" s="2"/>
      <c r="N79" s="67"/>
    </row>
    <row r="80" spans="1:14" x14ac:dyDescent="0.35">
      <c r="A80" s="61">
        <v>76</v>
      </c>
      <c r="B80" s="2"/>
      <c r="C80" s="2"/>
      <c r="D80" s="2"/>
      <c r="E80" s="10"/>
      <c r="F80" s="11"/>
      <c r="G80" s="2"/>
      <c r="H80" s="2"/>
      <c r="I80" s="2"/>
      <c r="J80" s="2"/>
      <c r="K80" s="12"/>
      <c r="L80" s="2"/>
      <c r="M80" s="2"/>
      <c r="N80" s="67"/>
    </row>
    <row r="81" spans="1:14" x14ac:dyDescent="0.35">
      <c r="A81" s="61">
        <v>77</v>
      </c>
      <c r="B81" s="2"/>
      <c r="C81" s="2"/>
      <c r="D81" s="2"/>
      <c r="E81" s="10"/>
      <c r="F81" s="11"/>
      <c r="G81" s="2"/>
      <c r="H81" s="2"/>
      <c r="I81" s="2"/>
      <c r="J81" s="2"/>
      <c r="K81" s="12"/>
      <c r="L81" s="2"/>
      <c r="M81" s="2"/>
      <c r="N81" s="67"/>
    </row>
    <row r="82" spans="1:14" x14ac:dyDescent="0.35">
      <c r="A82" s="61">
        <v>78</v>
      </c>
      <c r="B82" s="2"/>
      <c r="C82" s="2"/>
      <c r="D82" s="2"/>
      <c r="E82" s="10"/>
      <c r="F82" s="11"/>
      <c r="G82" s="2"/>
      <c r="H82" s="2"/>
      <c r="I82" s="2"/>
      <c r="J82" s="2"/>
      <c r="K82" s="12"/>
      <c r="L82" s="2"/>
      <c r="M82" s="2"/>
      <c r="N82" s="67"/>
    </row>
    <row r="83" spans="1:14" x14ac:dyDescent="0.35">
      <c r="A83" s="61">
        <v>79</v>
      </c>
      <c r="B83" s="2"/>
      <c r="C83" s="2"/>
      <c r="D83" s="2"/>
      <c r="E83" s="10"/>
      <c r="F83" s="11"/>
      <c r="G83" s="2"/>
      <c r="H83" s="2"/>
      <c r="I83" s="2"/>
      <c r="J83" s="2"/>
      <c r="K83" s="12"/>
      <c r="L83" s="2"/>
      <c r="M83" s="2"/>
      <c r="N83" s="67"/>
    </row>
    <row r="84" spans="1:14" x14ac:dyDescent="0.35">
      <c r="A84" s="61">
        <v>80</v>
      </c>
      <c r="B84" s="2"/>
      <c r="C84" s="2"/>
      <c r="D84" s="2"/>
      <c r="E84" s="10"/>
      <c r="F84" s="11"/>
      <c r="G84" s="2"/>
      <c r="H84" s="2"/>
      <c r="I84" s="2"/>
      <c r="J84" s="2"/>
      <c r="K84" s="12"/>
      <c r="L84" s="2"/>
      <c r="M84" s="2"/>
      <c r="N84" s="67"/>
    </row>
    <row r="85" spans="1:14" x14ac:dyDescent="0.35">
      <c r="A85" s="61">
        <v>81</v>
      </c>
      <c r="B85" s="2"/>
      <c r="C85" s="2"/>
      <c r="D85" s="2"/>
      <c r="E85" s="10"/>
      <c r="F85" s="11"/>
      <c r="G85" s="2"/>
      <c r="H85" s="2"/>
      <c r="I85" s="2"/>
      <c r="J85" s="2"/>
      <c r="K85" s="12"/>
      <c r="L85" s="2"/>
      <c r="M85" s="2"/>
      <c r="N85" s="67"/>
    </row>
    <row r="86" spans="1:14" x14ac:dyDescent="0.35">
      <c r="A86" s="61">
        <v>82</v>
      </c>
      <c r="B86" s="2"/>
      <c r="C86" s="2"/>
      <c r="D86" s="2"/>
      <c r="E86" s="10"/>
      <c r="F86" s="11"/>
      <c r="G86" s="2"/>
      <c r="H86" s="2"/>
      <c r="I86" s="2"/>
      <c r="J86" s="2"/>
      <c r="K86" s="12"/>
      <c r="L86" s="2"/>
      <c r="M86" s="2"/>
      <c r="N86" s="67"/>
    </row>
    <row r="87" spans="1:14" x14ac:dyDescent="0.35">
      <c r="A87" s="61">
        <v>83</v>
      </c>
      <c r="B87" s="2"/>
      <c r="C87" s="2"/>
      <c r="D87" s="2"/>
      <c r="E87" s="10"/>
      <c r="F87" s="11"/>
      <c r="G87" s="2"/>
      <c r="H87" s="2"/>
      <c r="I87" s="2"/>
      <c r="J87" s="2"/>
      <c r="K87" s="12"/>
      <c r="L87" s="2"/>
      <c r="M87" s="2"/>
      <c r="N87" s="67"/>
    </row>
    <row r="88" spans="1:14" x14ac:dyDescent="0.35">
      <c r="A88" s="61">
        <v>84</v>
      </c>
      <c r="B88" s="2"/>
      <c r="C88" s="2"/>
      <c r="D88" s="2"/>
      <c r="E88" s="10"/>
      <c r="F88" s="11"/>
      <c r="G88" s="2"/>
      <c r="H88" s="2"/>
      <c r="I88" s="2"/>
      <c r="J88" s="2"/>
      <c r="K88" s="12"/>
      <c r="L88" s="2"/>
      <c r="M88" s="2"/>
      <c r="N88" s="67"/>
    </row>
    <row r="89" spans="1:14" x14ac:dyDescent="0.35">
      <c r="A89" s="61">
        <v>85</v>
      </c>
      <c r="B89" s="2"/>
      <c r="C89" s="2"/>
      <c r="D89" s="2"/>
      <c r="E89" s="10"/>
      <c r="F89" s="11"/>
      <c r="G89" s="2"/>
      <c r="H89" s="2"/>
      <c r="I89" s="2"/>
      <c r="J89" s="2"/>
      <c r="K89" s="12"/>
      <c r="L89" s="2"/>
      <c r="M89" s="2"/>
      <c r="N89" s="67"/>
    </row>
    <row r="90" spans="1:14" x14ac:dyDescent="0.35">
      <c r="A90" s="61">
        <v>86</v>
      </c>
      <c r="B90" s="2"/>
      <c r="C90" s="2"/>
      <c r="D90" s="2"/>
      <c r="E90" s="10"/>
      <c r="F90" s="11"/>
      <c r="G90" s="2"/>
      <c r="H90" s="2"/>
      <c r="I90" s="2"/>
      <c r="J90" s="2"/>
      <c r="K90" s="12"/>
      <c r="L90" s="2"/>
      <c r="M90" s="2"/>
      <c r="N90" s="67"/>
    </row>
    <row r="91" spans="1:14" x14ac:dyDescent="0.35">
      <c r="A91" s="61">
        <v>87</v>
      </c>
      <c r="B91" s="2"/>
      <c r="C91" s="2"/>
      <c r="D91" s="2"/>
      <c r="E91" s="10"/>
      <c r="F91" s="11"/>
      <c r="G91" s="2"/>
      <c r="H91" s="2"/>
      <c r="I91" s="2"/>
      <c r="J91" s="2"/>
      <c r="K91" s="12"/>
      <c r="L91" s="2"/>
      <c r="M91" s="2"/>
      <c r="N91" s="67"/>
    </row>
    <row r="92" spans="1:14" x14ac:dyDescent="0.35">
      <c r="A92" s="61">
        <v>88</v>
      </c>
      <c r="B92" s="2"/>
      <c r="C92" s="2"/>
      <c r="D92" s="2"/>
      <c r="E92" s="10"/>
      <c r="F92" s="11"/>
      <c r="G92" s="2"/>
      <c r="H92" s="2"/>
      <c r="I92" s="2"/>
      <c r="J92" s="2"/>
      <c r="K92" s="12"/>
      <c r="L92" s="2"/>
      <c r="M92" s="2"/>
      <c r="N92" s="67"/>
    </row>
    <row r="93" spans="1:14" x14ac:dyDescent="0.35">
      <c r="A93" s="61">
        <v>89</v>
      </c>
      <c r="B93" s="2"/>
      <c r="C93" s="2"/>
      <c r="D93" s="2"/>
      <c r="E93" s="10"/>
      <c r="F93" s="11"/>
      <c r="G93" s="2"/>
      <c r="H93" s="2"/>
      <c r="I93" s="2"/>
      <c r="J93" s="2"/>
      <c r="K93" s="12"/>
      <c r="L93" s="2"/>
      <c r="M93" s="2"/>
      <c r="N93" s="67"/>
    </row>
    <row r="94" spans="1:14" x14ac:dyDescent="0.35">
      <c r="A94" s="61">
        <v>90</v>
      </c>
      <c r="B94" s="2"/>
      <c r="C94" s="2"/>
      <c r="D94" s="2"/>
      <c r="E94" s="10"/>
      <c r="F94" s="11"/>
      <c r="G94" s="2"/>
      <c r="H94" s="2"/>
      <c r="I94" s="2"/>
      <c r="J94" s="2"/>
      <c r="K94" s="12"/>
      <c r="L94" s="2"/>
      <c r="M94" s="2"/>
      <c r="N94" s="67"/>
    </row>
    <row r="95" spans="1:14" x14ac:dyDescent="0.35">
      <c r="A95" s="61">
        <v>91</v>
      </c>
      <c r="B95" s="2"/>
      <c r="C95" s="2"/>
      <c r="D95" s="2"/>
      <c r="E95" s="10"/>
      <c r="F95" s="11"/>
      <c r="G95" s="2"/>
      <c r="H95" s="2"/>
      <c r="I95" s="2"/>
      <c r="J95" s="2"/>
      <c r="K95" s="12"/>
      <c r="L95" s="2"/>
      <c r="M95" s="2"/>
      <c r="N95" s="67"/>
    </row>
    <row r="96" spans="1:14" x14ac:dyDescent="0.35">
      <c r="A96" s="61">
        <v>92</v>
      </c>
      <c r="B96" s="2"/>
      <c r="C96" s="2"/>
      <c r="D96" s="2"/>
      <c r="E96" s="10"/>
      <c r="F96" s="11"/>
      <c r="G96" s="2"/>
      <c r="H96" s="2"/>
      <c r="I96" s="2"/>
      <c r="J96" s="2"/>
      <c r="K96" s="12"/>
      <c r="L96" s="2"/>
      <c r="M96" s="2"/>
      <c r="N96" s="67"/>
    </row>
    <row r="97" spans="1:14" x14ac:dyDescent="0.35">
      <c r="A97" s="61">
        <v>93</v>
      </c>
      <c r="B97" s="2"/>
      <c r="C97" s="2"/>
      <c r="D97" s="2"/>
      <c r="E97" s="10"/>
      <c r="F97" s="11"/>
      <c r="G97" s="2"/>
      <c r="H97" s="2"/>
      <c r="I97" s="2"/>
      <c r="J97" s="2"/>
      <c r="K97" s="12"/>
      <c r="L97" s="2"/>
      <c r="M97" s="2"/>
      <c r="N97" s="67"/>
    </row>
    <row r="98" spans="1:14" x14ac:dyDescent="0.35">
      <c r="A98" s="61">
        <v>94</v>
      </c>
      <c r="B98" s="2"/>
      <c r="C98" s="2"/>
      <c r="D98" s="2"/>
      <c r="E98" s="10"/>
      <c r="F98" s="11"/>
      <c r="G98" s="2"/>
      <c r="H98" s="2"/>
      <c r="I98" s="2"/>
      <c r="J98" s="2"/>
      <c r="K98" s="12"/>
      <c r="L98" s="2"/>
      <c r="M98" s="2"/>
      <c r="N98" s="67"/>
    </row>
    <row r="99" spans="1:14" x14ac:dyDescent="0.35">
      <c r="A99" s="61">
        <v>95</v>
      </c>
      <c r="B99" s="2"/>
      <c r="C99" s="2"/>
      <c r="D99" s="2"/>
      <c r="E99" s="10"/>
      <c r="F99" s="11"/>
      <c r="G99" s="2"/>
      <c r="H99" s="2"/>
      <c r="I99" s="2"/>
      <c r="J99" s="2"/>
      <c r="K99" s="12"/>
      <c r="L99" s="2"/>
      <c r="M99" s="2"/>
      <c r="N99" s="67"/>
    </row>
    <row r="100" spans="1:14" x14ac:dyDescent="0.35">
      <c r="A100" s="61">
        <v>96</v>
      </c>
      <c r="B100" s="2"/>
      <c r="C100" s="2"/>
      <c r="D100" s="2"/>
      <c r="E100" s="10"/>
      <c r="F100" s="11"/>
      <c r="G100" s="2"/>
      <c r="H100" s="2"/>
      <c r="I100" s="2"/>
      <c r="J100" s="2"/>
      <c r="K100" s="12"/>
      <c r="L100" s="2"/>
      <c r="M100" s="2"/>
      <c r="N100" s="67"/>
    </row>
    <row r="101" spans="1:14" x14ac:dyDescent="0.35">
      <c r="A101" s="61">
        <v>97</v>
      </c>
      <c r="B101" s="2"/>
      <c r="C101" s="2"/>
      <c r="D101" s="2"/>
      <c r="E101" s="10"/>
      <c r="F101" s="11"/>
      <c r="G101" s="2"/>
      <c r="H101" s="2"/>
      <c r="I101" s="2"/>
      <c r="J101" s="2"/>
      <c r="K101" s="12"/>
      <c r="L101" s="2"/>
      <c r="M101" s="2"/>
      <c r="N101" s="67"/>
    </row>
    <row r="102" spans="1:14" x14ac:dyDescent="0.35">
      <c r="A102" s="61">
        <v>98</v>
      </c>
      <c r="B102" s="2"/>
      <c r="C102" s="2"/>
      <c r="D102" s="2"/>
      <c r="E102" s="10"/>
      <c r="F102" s="11"/>
      <c r="G102" s="2"/>
      <c r="H102" s="2"/>
      <c r="I102" s="2"/>
      <c r="J102" s="2"/>
      <c r="K102" s="12"/>
      <c r="L102" s="2"/>
      <c r="M102" s="2"/>
      <c r="N102" s="67"/>
    </row>
    <row r="103" spans="1:14" x14ac:dyDescent="0.35">
      <c r="A103" s="61">
        <v>99</v>
      </c>
      <c r="B103" s="2"/>
      <c r="C103" s="2"/>
      <c r="D103" s="2"/>
      <c r="E103" s="10"/>
      <c r="F103" s="11"/>
      <c r="G103" s="2"/>
      <c r="H103" s="2"/>
      <c r="I103" s="2"/>
      <c r="J103" s="2"/>
      <c r="K103" s="12"/>
      <c r="L103" s="2"/>
      <c r="M103" s="2"/>
      <c r="N103" s="67"/>
    </row>
    <row r="104" spans="1:14" x14ac:dyDescent="0.35">
      <c r="A104" s="61">
        <v>100</v>
      </c>
      <c r="B104" s="2"/>
      <c r="C104" s="2"/>
      <c r="D104" s="2"/>
      <c r="E104" s="10"/>
      <c r="F104" s="11"/>
      <c r="G104" s="2"/>
      <c r="H104" s="2"/>
      <c r="I104" s="2"/>
      <c r="J104" s="2"/>
      <c r="K104" s="12"/>
      <c r="L104" s="2"/>
      <c r="M104" s="2"/>
      <c r="N104" s="67"/>
    </row>
    <row r="105" spans="1:14" x14ac:dyDescent="0.35">
      <c r="A105" s="61">
        <v>101</v>
      </c>
      <c r="B105" s="2"/>
      <c r="C105" s="2"/>
      <c r="D105" s="2"/>
      <c r="E105" s="10"/>
      <c r="F105" s="11"/>
      <c r="G105" s="2"/>
      <c r="H105" s="2"/>
      <c r="I105" s="2"/>
      <c r="J105" s="2"/>
      <c r="K105" s="12"/>
      <c r="L105" s="2"/>
      <c r="M105" s="2"/>
      <c r="N105" s="67"/>
    </row>
    <row r="106" spans="1:14" x14ac:dyDescent="0.35">
      <c r="A106" s="61">
        <v>102</v>
      </c>
      <c r="B106" s="2"/>
      <c r="C106" s="2"/>
      <c r="D106" s="2"/>
      <c r="E106" s="10"/>
      <c r="F106" s="11"/>
      <c r="G106" s="2"/>
      <c r="H106" s="2"/>
      <c r="I106" s="2"/>
      <c r="J106" s="2"/>
      <c r="K106" s="12"/>
      <c r="L106" s="2"/>
      <c r="M106" s="2"/>
      <c r="N106" s="67"/>
    </row>
    <row r="107" spans="1:14" x14ac:dyDescent="0.35">
      <c r="A107" s="61">
        <v>103</v>
      </c>
      <c r="B107" s="2"/>
      <c r="C107" s="2"/>
      <c r="D107" s="2"/>
      <c r="E107" s="10"/>
      <c r="F107" s="11"/>
      <c r="G107" s="2"/>
      <c r="H107" s="2"/>
      <c r="I107" s="2"/>
      <c r="J107" s="2"/>
      <c r="K107" s="12"/>
      <c r="L107" s="2"/>
      <c r="M107" s="2"/>
      <c r="N107" s="67"/>
    </row>
    <row r="108" spans="1:14" x14ac:dyDescent="0.35">
      <c r="A108" s="61">
        <v>104</v>
      </c>
      <c r="B108" s="2"/>
      <c r="C108" s="2"/>
      <c r="D108" s="2"/>
      <c r="E108" s="10"/>
      <c r="F108" s="11"/>
      <c r="G108" s="2"/>
      <c r="H108" s="2"/>
      <c r="I108" s="2"/>
      <c r="J108" s="2"/>
      <c r="K108" s="12"/>
      <c r="L108" s="2"/>
      <c r="M108" s="2"/>
      <c r="N108" s="67"/>
    </row>
    <row r="109" spans="1:14" x14ac:dyDescent="0.35">
      <c r="A109" s="61">
        <v>105</v>
      </c>
      <c r="B109" s="2"/>
      <c r="C109" s="2"/>
      <c r="D109" s="2"/>
      <c r="E109" s="10"/>
      <c r="F109" s="11"/>
      <c r="G109" s="2"/>
      <c r="H109" s="2"/>
      <c r="I109" s="2"/>
      <c r="J109" s="2"/>
      <c r="K109" s="12"/>
      <c r="L109" s="2"/>
      <c r="M109" s="2"/>
      <c r="N109" s="67"/>
    </row>
    <row r="110" spans="1:14" x14ac:dyDescent="0.35">
      <c r="A110" s="61">
        <v>106</v>
      </c>
      <c r="B110" s="2"/>
      <c r="C110" s="2"/>
      <c r="D110" s="2"/>
      <c r="E110" s="10"/>
      <c r="F110" s="11"/>
      <c r="G110" s="2"/>
      <c r="H110" s="2"/>
      <c r="I110" s="2"/>
      <c r="J110" s="2"/>
      <c r="K110" s="12"/>
      <c r="L110" s="2"/>
      <c r="M110" s="2"/>
      <c r="N110" s="67"/>
    </row>
    <row r="111" spans="1:14" x14ac:dyDescent="0.35">
      <c r="A111" s="61">
        <v>107</v>
      </c>
      <c r="B111" s="2"/>
      <c r="C111" s="2"/>
      <c r="D111" s="2"/>
      <c r="E111" s="10"/>
      <c r="F111" s="11"/>
      <c r="G111" s="2"/>
      <c r="H111" s="2"/>
      <c r="I111" s="2"/>
      <c r="J111" s="2"/>
      <c r="K111" s="12"/>
      <c r="L111" s="2"/>
      <c r="M111" s="2"/>
      <c r="N111" s="67"/>
    </row>
    <row r="112" spans="1:14" x14ac:dyDescent="0.35">
      <c r="A112" s="61">
        <v>108</v>
      </c>
      <c r="B112" s="2"/>
      <c r="C112" s="2"/>
      <c r="D112" s="2"/>
      <c r="E112" s="10"/>
      <c r="F112" s="11"/>
      <c r="G112" s="2"/>
      <c r="H112" s="2"/>
      <c r="I112" s="2"/>
      <c r="J112" s="2"/>
      <c r="K112" s="12"/>
      <c r="L112" s="2"/>
      <c r="M112" s="2"/>
      <c r="N112" s="67"/>
    </row>
    <row r="113" spans="1:14" x14ac:dyDescent="0.35">
      <c r="A113" s="61">
        <v>109</v>
      </c>
      <c r="B113" s="2"/>
      <c r="C113" s="2"/>
      <c r="D113" s="2"/>
      <c r="E113" s="10"/>
      <c r="F113" s="11"/>
      <c r="G113" s="2"/>
      <c r="H113" s="2"/>
      <c r="I113" s="2"/>
      <c r="J113" s="2"/>
      <c r="K113" s="12"/>
      <c r="L113" s="2"/>
      <c r="M113" s="2"/>
      <c r="N113" s="67"/>
    </row>
    <row r="114" spans="1:14" x14ac:dyDescent="0.35">
      <c r="A114" s="61">
        <v>110</v>
      </c>
      <c r="B114" s="2"/>
      <c r="C114" s="2"/>
      <c r="D114" s="2"/>
      <c r="E114" s="10"/>
      <c r="F114" s="11"/>
      <c r="G114" s="2"/>
      <c r="H114" s="2"/>
      <c r="I114" s="2"/>
      <c r="J114" s="2"/>
      <c r="K114" s="12"/>
      <c r="L114" s="2"/>
      <c r="M114" s="2"/>
      <c r="N114" s="67"/>
    </row>
    <row r="115" spans="1:14" x14ac:dyDescent="0.35">
      <c r="A115" s="61">
        <v>111</v>
      </c>
      <c r="B115" s="2"/>
      <c r="C115" s="2"/>
      <c r="D115" s="2"/>
      <c r="E115" s="10"/>
      <c r="F115" s="11"/>
      <c r="G115" s="2"/>
      <c r="H115" s="2"/>
      <c r="I115" s="2"/>
      <c r="J115" s="2"/>
      <c r="K115" s="12"/>
      <c r="L115" s="2"/>
      <c r="M115" s="2"/>
      <c r="N115" s="67"/>
    </row>
    <row r="116" spans="1:14" x14ac:dyDescent="0.35">
      <c r="A116" s="61">
        <v>112</v>
      </c>
      <c r="B116" s="2"/>
      <c r="C116" s="2"/>
      <c r="D116" s="2"/>
      <c r="E116" s="10"/>
      <c r="F116" s="11"/>
      <c r="G116" s="2"/>
      <c r="H116" s="2"/>
      <c r="I116" s="2"/>
      <c r="J116" s="2"/>
      <c r="K116" s="12"/>
      <c r="L116" s="2"/>
      <c r="M116" s="2"/>
      <c r="N116" s="67"/>
    </row>
    <row r="117" spans="1:14" x14ac:dyDescent="0.35">
      <c r="A117" s="61">
        <v>113</v>
      </c>
      <c r="B117" s="2"/>
      <c r="C117" s="2"/>
      <c r="D117" s="2"/>
      <c r="E117" s="10"/>
      <c r="F117" s="11"/>
      <c r="G117" s="2"/>
      <c r="H117" s="2"/>
      <c r="I117" s="2"/>
      <c r="J117" s="2"/>
      <c r="K117" s="12"/>
      <c r="L117" s="2"/>
      <c r="M117" s="2"/>
      <c r="N117" s="67"/>
    </row>
    <row r="118" spans="1:14" x14ac:dyDescent="0.35">
      <c r="A118" s="61">
        <v>114</v>
      </c>
      <c r="B118" s="2"/>
      <c r="C118" s="2"/>
      <c r="D118" s="2"/>
      <c r="E118" s="10"/>
      <c r="F118" s="11"/>
      <c r="G118" s="2"/>
      <c r="H118" s="2"/>
      <c r="I118" s="2"/>
      <c r="J118" s="2"/>
      <c r="K118" s="12"/>
      <c r="L118" s="2"/>
      <c r="M118" s="2"/>
      <c r="N118" s="67"/>
    </row>
    <row r="119" spans="1:14" x14ac:dyDescent="0.35">
      <c r="A119" s="61">
        <v>115</v>
      </c>
      <c r="B119" s="2"/>
      <c r="C119" s="2"/>
      <c r="D119" s="2"/>
      <c r="E119" s="10"/>
      <c r="F119" s="11"/>
      <c r="G119" s="2"/>
      <c r="H119" s="2"/>
      <c r="I119" s="2"/>
      <c r="J119" s="2"/>
      <c r="K119" s="12"/>
      <c r="L119" s="2"/>
      <c r="M119" s="2"/>
      <c r="N119" s="67"/>
    </row>
    <row r="120" spans="1:14" x14ac:dyDescent="0.35">
      <c r="A120" s="61">
        <v>116</v>
      </c>
      <c r="B120" s="2"/>
      <c r="C120" s="2"/>
      <c r="D120" s="2"/>
      <c r="E120" s="10"/>
      <c r="F120" s="11"/>
      <c r="G120" s="2"/>
      <c r="H120" s="2"/>
      <c r="I120" s="2"/>
      <c r="J120" s="2"/>
      <c r="K120" s="12"/>
      <c r="L120" s="2"/>
      <c r="M120" s="2"/>
      <c r="N120" s="67"/>
    </row>
    <row r="121" spans="1:14" x14ac:dyDescent="0.35">
      <c r="A121" s="61">
        <v>117</v>
      </c>
      <c r="B121" s="2"/>
      <c r="C121" s="2"/>
      <c r="D121" s="2"/>
      <c r="E121" s="10"/>
      <c r="F121" s="11"/>
      <c r="G121" s="2"/>
      <c r="H121" s="2"/>
      <c r="I121" s="2"/>
      <c r="J121" s="2"/>
      <c r="K121" s="12"/>
      <c r="L121" s="2"/>
      <c r="M121" s="2"/>
      <c r="N121" s="67"/>
    </row>
    <row r="122" spans="1:14" x14ac:dyDescent="0.35">
      <c r="A122" s="61">
        <v>118</v>
      </c>
      <c r="B122" s="2"/>
      <c r="C122" s="2"/>
      <c r="D122" s="2"/>
      <c r="E122" s="10"/>
      <c r="F122" s="11"/>
      <c r="G122" s="2"/>
      <c r="H122" s="2"/>
      <c r="I122" s="2"/>
      <c r="J122" s="2"/>
      <c r="K122" s="12"/>
      <c r="L122" s="2"/>
      <c r="M122" s="2"/>
      <c r="N122" s="67"/>
    </row>
    <row r="123" spans="1:14" x14ac:dyDescent="0.35">
      <c r="A123" s="61">
        <v>119</v>
      </c>
      <c r="B123" s="2"/>
      <c r="C123" s="2"/>
      <c r="D123" s="2"/>
      <c r="E123" s="10"/>
      <c r="F123" s="11"/>
      <c r="G123" s="2"/>
      <c r="H123" s="2"/>
      <c r="I123" s="2"/>
      <c r="J123" s="2"/>
      <c r="K123" s="12"/>
      <c r="L123" s="2"/>
      <c r="M123" s="2"/>
      <c r="N123" s="67"/>
    </row>
    <row r="124" spans="1:14" x14ac:dyDescent="0.35">
      <c r="A124" s="61">
        <v>120</v>
      </c>
      <c r="B124" s="2"/>
      <c r="C124" s="2"/>
      <c r="D124" s="2"/>
      <c r="E124" s="10"/>
      <c r="F124" s="11"/>
      <c r="G124" s="2"/>
      <c r="H124" s="2"/>
      <c r="I124" s="2"/>
      <c r="J124" s="2"/>
      <c r="K124" s="12"/>
      <c r="L124" s="2"/>
      <c r="M124" s="2"/>
      <c r="N124" s="67"/>
    </row>
    <row r="125" spans="1:14" x14ac:dyDescent="0.35">
      <c r="A125" s="61">
        <v>121</v>
      </c>
      <c r="B125" s="2"/>
      <c r="C125" s="2"/>
      <c r="D125" s="2"/>
      <c r="E125" s="10"/>
      <c r="F125" s="11"/>
      <c r="G125" s="2"/>
      <c r="H125" s="2"/>
      <c r="I125" s="2"/>
      <c r="J125" s="2"/>
      <c r="K125" s="12"/>
      <c r="L125" s="2"/>
      <c r="M125" s="2"/>
      <c r="N125" s="67"/>
    </row>
    <row r="126" spans="1:14" x14ac:dyDescent="0.35">
      <c r="A126" s="61">
        <v>122</v>
      </c>
      <c r="B126" s="2"/>
      <c r="C126" s="2"/>
      <c r="D126" s="2"/>
      <c r="E126" s="10"/>
      <c r="F126" s="11"/>
      <c r="G126" s="2"/>
      <c r="H126" s="2"/>
      <c r="I126" s="2"/>
      <c r="J126" s="2"/>
      <c r="K126" s="12"/>
      <c r="L126" s="2"/>
      <c r="M126" s="2"/>
      <c r="N126" s="67"/>
    </row>
    <row r="127" spans="1:14" x14ac:dyDescent="0.35">
      <c r="A127" s="61">
        <v>123</v>
      </c>
      <c r="B127" s="2"/>
      <c r="C127" s="2"/>
      <c r="D127" s="2"/>
      <c r="E127" s="10"/>
      <c r="F127" s="11"/>
      <c r="G127" s="2"/>
      <c r="H127" s="2"/>
      <c r="I127" s="2"/>
      <c r="J127" s="2"/>
      <c r="K127" s="12"/>
      <c r="L127" s="2"/>
      <c r="M127" s="2"/>
      <c r="N127" s="67"/>
    </row>
    <row r="128" spans="1:14" x14ac:dyDescent="0.35">
      <c r="A128" s="61">
        <v>124</v>
      </c>
      <c r="B128" s="2"/>
      <c r="C128" s="2"/>
      <c r="D128" s="2"/>
      <c r="E128" s="10"/>
      <c r="F128" s="11"/>
      <c r="G128" s="2"/>
      <c r="H128" s="2"/>
      <c r="I128" s="2"/>
      <c r="J128" s="2"/>
      <c r="K128" s="12"/>
      <c r="L128" s="2"/>
      <c r="M128" s="2"/>
      <c r="N128" s="67"/>
    </row>
    <row r="129" spans="1:14" x14ac:dyDescent="0.35">
      <c r="A129" s="61">
        <v>125</v>
      </c>
      <c r="B129" s="2"/>
      <c r="C129" s="2"/>
      <c r="D129" s="2"/>
      <c r="E129" s="10"/>
      <c r="F129" s="11"/>
      <c r="G129" s="2"/>
      <c r="H129" s="2"/>
      <c r="I129" s="2"/>
      <c r="J129" s="2"/>
      <c r="K129" s="12"/>
      <c r="L129" s="2"/>
      <c r="M129" s="2"/>
      <c r="N129" s="67"/>
    </row>
    <row r="130" spans="1:14" x14ac:dyDescent="0.35">
      <c r="A130" s="61">
        <v>126</v>
      </c>
      <c r="B130" s="2"/>
      <c r="C130" s="2"/>
      <c r="D130" s="2"/>
      <c r="E130" s="10"/>
      <c r="F130" s="11"/>
      <c r="G130" s="2"/>
      <c r="H130" s="2"/>
      <c r="I130" s="2"/>
      <c r="J130" s="2"/>
      <c r="K130" s="12"/>
      <c r="L130" s="2"/>
      <c r="M130" s="2"/>
      <c r="N130" s="67"/>
    </row>
    <row r="131" spans="1:14" x14ac:dyDescent="0.35">
      <c r="A131" s="61">
        <v>127</v>
      </c>
      <c r="B131" s="2"/>
      <c r="C131" s="2"/>
      <c r="D131" s="2"/>
      <c r="E131" s="10"/>
      <c r="F131" s="11"/>
      <c r="G131" s="2"/>
      <c r="H131" s="2"/>
      <c r="I131" s="2"/>
      <c r="J131" s="2"/>
      <c r="K131" s="12"/>
      <c r="L131" s="2"/>
      <c r="M131" s="2"/>
      <c r="N131" s="67"/>
    </row>
    <row r="132" spans="1:14" x14ac:dyDescent="0.35">
      <c r="A132" s="61">
        <v>128</v>
      </c>
      <c r="B132" s="2"/>
      <c r="C132" s="2"/>
      <c r="D132" s="2"/>
      <c r="E132" s="10"/>
      <c r="F132" s="11"/>
      <c r="G132" s="2"/>
      <c r="H132" s="2"/>
      <c r="I132" s="2"/>
      <c r="J132" s="2"/>
      <c r="K132" s="12"/>
      <c r="L132" s="2"/>
      <c r="M132" s="2"/>
      <c r="N132" s="67"/>
    </row>
    <row r="133" spans="1:14" x14ac:dyDescent="0.35">
      <c r="A133" s="61">
        <v>129</v>
      </c>
      <c r="B133" s="2"/>
      <c r="C133" s="2"/>
      <c r="D133" s="2"/>
      <c r="E133" s="10"/>
      <c r="F133" s="11"/>
      <c r="G133" s="2"/>
      <c r="H133" s="2"/>
      <c r="I133" s="2"/>
      <c r="J133" s="2"/>
      <c r="K133" s="12"/>
      <c r="L133" s="2"/>
      <c r="M133" s="2"/>
      <c r="N133" s="67"/>
    </row>
    <row r="134" spans="1:14" x14ac:dyDescent="0.35">
      <c r="A134" s="61">
        <v>130</v>
      </c>
      <c r="B134" s="2"/>
      <c r="C134" s="2"/>
      <c r="D134" s="2"/>
      <c r="E134" s="10"/>
      <c r="F134" s="11"/>
      <c r="G134" s="2"/>
      <c r="H134" s="2"/>
      <c r="I134" s="2"/>
      <c r="J134" s="2"/>
      <c r="K134" s="12"/>
      <c r="L134" s="2"/>
      <c r="M134" s="2"/>
      <c r="N134" s="67"/>
    </row>
    <row r="135" spans="1:14" x14ac:dyDescent="0.35">
      <c r="A135" s="61">
        <v>131</v>
      </c>
      <c r="B135" s="2"/>
      <c r="C135" s="2"/>
      <c r="D135" s="2"/>
      <c r="E135" s="10"/>
      <c r="F135" s="11"/>
      <c r="G135" s="2"/>
      <c r="H135" s="2"/>
      <c r="I135" s="2"/>
      <c r="J135" s="2"/>
      <c r="K135" s="12"/>
      <c r="L135" s="2"/>
      <c r="M135" s="2"/>
      <c r="N135" s="67"/>
    </row>
    <row r="136" spans="1:14" x14ac:dyDescent="0.35">
      <c r="A136" s="61">
        <v>132</v>
      </c>
      <c r="B136" s="2"/>
      <c r="C136" s="2"/>
      <c r="D136" s="2"/>
      <c r="E136" s="10"/>
      <c r="F136" s="11"/>
      <c r="G136" s="2"/>
      <c r="H136" s="2"/>
      <c r="I136" s="2"/>
      <c r="J136" s="2"/>
      <c r="K136" s="12"/>
      <c r="L136" s="2"/>
      <c r="M136" s="2"/>
      <c r="N136" s="67"/>
    </row>
    <row r="137" spans="1:14" x14ac:dyDescent="0.35">
      <c r="A137" s="61">
        <v>133</v>
      </c>
      <c r="B137" s="2"/>
      <c r="C137" s="2"/>
      <c r="D137" s="2"/>
      <c r="E137" s="10"/>
      <c r="F137" s="11"/>
      <c r="G137" s="2"/>
      <c r="H137" s="2"/>
      <c r="I137" s="2"/>
      <c r="J137" s="2"/>
      <c r="K137" s="12"/>
      <c r="L137" s="2"/>
      <c r="M137" s="2"/>
      <c r="N137" s="67"/>
    </row>
    <row r="138" spans="1:14" x14ac:dyDescent="0.35">
      <c r="A138" s="61">
        <v>134</v>
      </c>
      <c r="B138" s="2"/>
      <c r="C138" s="2"/>
      <c r="D138" s="2"/>
      <c r="E138" s="10"/>
      <c r="F138" s="11"/>
      <c r="G138" s="2"/>
      <c r="H138" s="2"/>
      <c r="I138" s="2"/>
      <c r="J138" s="2"/>
      <c r="K138" s="12"/>
      <c r="L138" s="2"/>
      <c r="M138" s="2"/>
      <c r="N138" s="67"/>
    </row>
    <row r="139" spans="1:14" x14ac:dyDescent="0.35">
      <c r="A139" s="61">
        <v>135</v>
      </c>
      <c r="B139" s="2"/>
      <c r="C139" s="2"/>
      <c r="D139" s="2"/>
      <c r="E139" s="10"/>
      <c r="F139" s="11"/>
      <c r="G139" s="2"/>
      <c r="H139" s="2"/>
      <c r="I139" s="2"/>
      <c r="J139" s="2"/>
      <c r="K139" s="12"/>
      <c r="L139" s="2"/>
      <c r="M139" s="2"/>
      <c r="N139" s="67"/>
    </row>
    <row r="140" spans="1:14" x14ac:dyDescent="0.35">
      <c r="A140" s="61">
        <v>136</v>
      </c>
      <c r="B140" s="2"/>
      <c r="C140" s="2"/>
      <c r="D140" s="2"/>
      <c r="E140" s="10"/>
      <c r="F140" s="11"/>
      <c r="G140" s="2"/>
      <c r="H140" s="2"/>
      <c r="I140" s="2"/>
      <c r="J140" s="2"/>
      <c r="K140" s="12"/>
      <c r="L140" s="2"/>
      <c r="M140" s="2"/>
      <c r="N140" s="67"/>
    </row>
    <row r="141" spans="1:14" x14ac:dyDescent="0.35">
      <c r="A141" s="61">
        <v>137</v>
      </c>
      <c r="B141" s="2"/>
      <c r="C141" s="2"/>
      <c r="D141" s="2"/>
      <c r="E141" s="10"/>
      <c r="F141" s="11"/>
      <c r="G141" s="2"/>
      <c r="H141" s="2"/>
      <c r="I141" s="2"/>
      <c r="J141" s="2"/>
      <c r="K141" s="12"/>
      <c r="L141" s="2"/>
      <c r="M141" s="2"/>
      <c r="N141" s="67"/>
    </row>
    <row r="142" spans="1:14" x14ac:dyDescent="0.35">
      <c r="A142" s="61">
        <v>138</v>
      </c>
      <c r="B142" s="2"/>
      <c r="C142" s="2"/>
      <c r="D142" s="2"/>
      <c r="E142" s="10"/>
      <c r="F142" s="11"/>
      <c r="G142" s="2"/>
      <c r="H142" s="2"/>
      <c r="I142" s="2"/>
      <c r="J142" s="2"/>
      <c r="K142" s="12"/>
      <c r="L142" s="2"/>
      <c r="M142" s="2"/>
      <c r="N142" s="67"/>
    </row>
    <row r="143" spans="1:14" x14ac:dyDescent="0.35">
      <c r="A143" s="61">
        <v>139</v>
      </c>
      <c r="B143" s="2"/>
      <c r="C143" s="2"/>
      <c r="D143" s="2"/>
      <c r="E143" s="10"/>
      <c r="F143" s="11"/>
      <c r="G143" s="2"/>
      <c r="H143" s="2"/>
      <c r="I143" s="2"/>
      <c r="J143" s="2"/>
      <c r="K143" s="12"/>
      <c r="L143" s="2"/>
      <c r="M143" s="2"/>
      <c r="N143" s="67"/>
    </row>
    <row r="144" spans="1:14" x14ac:dyDescent="0.35">
      <c r="A144" s="61">
        <v>140</v>
      </c>
      <c r="B144" s="2"/>
      <c r="C144" s="2"/>
      <c r="D144" s="2"/>
      <c r="E144" s="10"/>
      <c r="F144" s="11"/>
      <c r="G144" s="2"/>
      <c r="H144" s="2"/>
      <c r="I144" s="2"/>
      <c r="J144" s="2"/>
      <c r="K144" s="12"/>
      <c r="L144" s="2"/>
      <c r="M144" s="2"/>
      <c r="N144" s="67"/>
    </row>
    <row r="145" spans="1:14" x14ac:dyDescent="0.35">
      <c r="A145" s="61">
        <v>141</v>
      </c>
      <c r="B145" s="2"/>
      <c r="C145" s="2"/>
      <c r="D145" s="2"/>
      <c r="E145" s="10"/>
      <c r="F145" s="11"/>
      <c r="G145" s="2"/>
      <c r="H145" s="2"/>
      <c r="I145" s="2"/>
      <c r="J145" s="2"/>
      <c r="K145" s="12"/>
      <c r="L145" s="2"/>
      <c r="M145" s="2"/>
      <c r="N145" s="67"/>
    </row>
    <row r="146" spans="1:14" x14ac:dyDescent="0.35">
      <c r="A146" s="61">
        <v>142</v>
      </c>
      <c r="B146" s="2"/>
      <c r="C146" s="2"/>
      <c r="D146" s="2"/>
      <c r="E146" s="10"/>
      <c r="F146" s="11"/>
      <c r="G146" s="2"/>
      <c r="H146" s="2"/>
      <c r="I146" s="2"/>
      <c r="J146" s="2"/>
      <c r="K146" s="12"/>
      <c r="L146" s="2"/>
      <c r="M146" s="2"/>
      <c r="N146" s="67"/>
    </row>
    <row r="147" spans="1:14" x14ac:dyDescent="0.35">
      <c r="A147" s="61">
        <v>143</v>
      </c>
      <c r="B147" s="2"/>
      <c r="C147" s="2"/>
      <c r="D147" s="2"/>
      <c r="E147" s="10"/>
      <c r="F147" s="11"/>
      <c r="G147" s="2"/>
      <c r="H147" s="2"/>
      <c r="I147" s="2"/>
      <c r="J147" s="2"/>
      <c r="K147" s="12"/>
      <c r="L147" s="2"/>
      <c r="M147" s="2"/>
      <c r="N147" s="67"/>
    </row>
    <row r="148" spans="1:14" x14ac:dyDescent="0.35">
      <c r="A148" s="61">
        <v>144</v>
      </c>
      <c r="B148" s="2"/>
      <c r="C148" s="2"/>
      <c r="D148" s="2"/>
      <c r="E148" s="10"/>
      <c r="F148" s="11"/>
      <c r="G148" s="2"/>
      <c r="H148" s="2"/>
      <c r="I148" s="2"/>
      <c r="J148" s="2"/>
      <c r="K148" s="12"/>
      <c r="L148" s="2"/>
      <c r="M148" s="2"/>
      <c r="N148" s="67"/>
    </row>
    <row r="149" spans="1:14" x14ac:dyDescent="0.35">
      <c r="A149" s="61">
        <v>145</v>
      </c>
      <c r="B149" s="2"/>
      <c r="C149" s="2"/>
      <c r="D149" s="2"/>
      <c r="E149" s="10"/>
      <c r="F149" s="11"/>
      <c r="G149" s="2"/>
      <c r="H149" s="2"/>
      <c r="I149" s="2"/>
      <c r="J149" s="2"/>
      <c r="K149" s="12"/>
      <c r="L149" s="2"/>
      <c r="M149" s="2"/>
      <c r="N149" s="67"/>
    </row>
    <row r="150" spans="1:14" x14ac:dyDescent="0.35">
      <c r="A150" s="61">
        <v>146</v>
      </c>
      <c r="B150" s="2"/>
      <c r="C150" s="2"/>
      <c r="D150" s="2"/>
      <c r="E150" s="10"/>
      <c r="F150" s="11"/>
      <c r="G150" s="2"/>
      <c r="H150" s="2"/>
      <c r="I150" s="2"/>
      <c r="J150" s="2"/>
      <c r="K150" s="12"/>
      <c r="L150" s="2"/>
      <c r="M150" s="2"/>
      <c r="N150" s="67"/>
    </row>
    <row r="151" spans="1:14" x14ac:dyDescent="0.35">
      <c r="A151" s="61">
        <v>147</v>
      </c>
      <c r="B151" s="2"/>
      <c r="C151" s="2"/>
      <c r="D151" s="2"/>
      <c r="E151" s="10"/>
      <c r="F151" s="11"/>
      <c r="G151" s="2"/>
      <c r="H151" s="2"/>
      <c r="I151" s="2"/>
      <c r="J151" s="2"/>
      <c r="K151" s="12"/>
      <c r="L151" s="2"/>
      <c r="M151" s="2"/>
      <c r="N151" s="67"/>
    </row>
    <row r="152" spans="1:14" x14ac:dyDescent="0.35">
      <c r="A152" s="61">
        <v>148</v>
      </c>
      <c r="B152" s="2"/>
      <c r="C152" s="2"/>
      <c r="D152" s="2"/>
      <c r="E152" s="10"/>
      <c r="F152" s="11"/>
      <c r="G152" s="2"/>
      <c r="H152" s="2"/>
      <c r="I152" s="2"/>
      <c r="J152" s="2"/>
      <c r="K152" s="12"/>
      <c r="L152" s="2"/>
      <c r="M152" s="2"/>
      <c r="N152" s="67"/>
    </row>
    <row r="153" spans="1:14" x14ac:dyDescent="0.35">
      <c r="A153" s="61">
        <v>149</v>
      </c>
      <c r="B153" s="2"/>
      <c r="C153" s="2"/>
      <c r="D153" s="2"/>
      <c r="E153" s="10"/>
      <c r="F153" s="11"/>
      <c r="G153" s="2"/>
      <c r="H153" s="2"/>
      <c r="I153" s="2"/>
      <c r="J153" s="2"/>
      <c r="K153" s="12"/>
      <c r="L153" s="2"/>
      <c r="M153" s="2"/>
      <c r="N153" s="67"/>
    </row>
    <row r="154" spans="1:14" x14ac:dyDescent="0.35">
      <c r="A154" s="61">
        <v>150</v>
      </c>
      <c r="B154" s="2"/>
      <c r="C154" s="2"/>
      <c r="D154" s="2"/>
      <c r="E154" s="10"/>
      <c r="F154" s="11"/>
      <c r="G154" s="2"/>
      <c r="H154" s="2"/>
      <c r="I154" s="2"/>
      <c r="J154" s="2"/>
      <c r="K154" s="12"/>
      <c r="L154" s="2"/>
      <c r="M154" s="2"/>
      <c r="N154" s="67"/>
    </row>
    <row r="155" spans="1:14" x14ac:dyDescent="0.35">
      <c r="A155" s="61">
        <v>151</v>
      </c>
      <c r="B155" s="2"/>
      <c r="C155" s="2"/>
      <c r="D155" s="2"/>
      <c r="E155" s="10"/>
      <c r="F155" s="11"/>
      <c r="G155" s="2"/>
      <c r="H155" s="2"/>
      <c r="I155" s="2"/>
      <c r="J155" s="2"/>
      <c r="K155" s="12"/>
      <c r="L155" s="2"/>
      <c r="M155" s="2"/>
      <c r="N155" s="67"/>
    </row>
    <row r="156" spans="1:14" x14ac:dyDescent="0.35">
      <c r="A156" s="61">
        <v>152</v>
      </c>
      <c r="B156" s="2"/>
      <c r="C156" s="2"/>
      <c r="D156" s="2"/>
      <c r="E156" s="10"/>
      <c r="F156" s="11"/>
      <c r="G156" s="2"/>
      <c r="H156" s="2"/>
      <c r="I156" s="2"/>
      <c r="J156" s="2"/>
      <c r="K156" s="12"/>
      <c r="L156" s="2"/>
      <c r="M156" s="2"/>
      <c r="N156" s="67"/>
    </row>
    <row r="157" spans="1:14" x14ac:dyDescent="0.35">
      <c r="A157" s="61">
        <v>153</v>
      </c>
      <c r="B157" s="2"/>
      <c r="C157" s="2"/>
      <c r="D157" s="2"/>
      <c r="E157" s="10"/>
      <c r="F157" s="11"/>
      <c r="G157" s="2"/>
      <c r="H157" s="2"/>
      <c r="I157" s="2"/>
      <c r="J157" s="2"/>
      <c r="K157" s="12"/>
      <c r="L157" s="2"/>
      <c r="M157" s="2"/>
      <c r="N157" s="67"/>
    </row>
    <row r="158" spans="1:14" x14ac:dyDescent="0.35">
      <c r="A158" s="61">
        <v>154</v>
      </c>
      <c r="B158" s="2"/>
      <c r="C158" s="2"/>
      <c r="D158" s="2"/>
      <c r="E158" s="10"/>
      <c r="F158" s="11"/>
      <c r="G158" s="2"/>
      <c r="H158" s="2"/>
      <c r="I158" s="2"/>
      <c r="J158" s="2"/>
      <c r="K158" s="12"/>
      <c r="L158" s="2"/>
      <c r="M158" s="2"/>
      <c r="N158" s="67"/>
    </row>
    <row r="159" spans="1:14" x14ac:dyDescent="0.35">
      <c r="A159" s="61">
        <v>155</v>
      </c>
      <c r="B159" s="2"/>
      <c r="C159" s="2"/>
      <c r="D159" s="2"/>
      <c r="E159" s="10"/>
      <c r="F159" s="11"/>
      <c r="G159" s="2"/>
      <c r="H159" s="2"/>
      <c r="I159" s="2"/>
      <c r="J159" s="2"/>
      <c r="K159" s="12"/>
      <c r="L159" s="2"/>
      <c r="M159" s="2"/>
      <c r="N159" s="67"/>
    </row>
    <row r="160" spans="1:14" x14ac:dyDescent="0.35">
      <c r="A160" s="61">
        <v>156</v>
      </c>
      <c r="B160" s="2"/>
      <c r="C160" s="2"/>
      <c r="D160" s="2"/>
      <c r="E160" s="10"/>
      <c r="F160" s="11"/>
      <c r="G160" s="2"/>
      <c r="H160" s="2"/>
      <c r="I160" s="2"/>
      <c r="J160" s="2"/>
      <c r="K160" s="12"/>
      <c r="L160" s="2"/>
      <c r="M160" s="2"/>
      <c r="N160" s="67"/>
    </row>
    <row r="161" spans="1:14" x14ac:dyDescent="0.35">
      <c r="A161" s="61">
        <v>157</v>
      </c>
      <c r="B161" s="2"/>
      <c r="C161" s="2"/>
      <c r="D161" s="2"/>
      <c r="E161" s="10"/>
      <c r="F161" s="11"/>
      <c r="G161" s="2"/>
      <c r="H161" s="2"/>
      <c r="I161" s="2"/>
      <c r="J161" s="2"/>
      <c r="K161" s="12"/>
      <c r="L161" s="2"/>
      <c r="M161" s="2"/>
      <c r="N161" s="67"/>
    </row>
    <row r="162" spans="1:14" x14ac:dyDescent="0.35">
      <c r="A162" s="61">
        <v>158</v>
      </c>
      <c r="B162" s="2"/>
      <c r="C162" s="2"/>
      <c r="D162" s="2"/>
      <c r="E162" s="10"/>
      <c r="F162" s="11"/>
      <c r="G162" s="2"/>
      <c r="H162" s="2"/>
      <c r="I162" s="2"/>
      <c r="J162" s="2"/>
      <c r="K162" s="12"/>
      <c r="L162" s="2"/>
      <c r="M162" s="2"/>
      <c r="N162" s="67"/>
    </row>
    <row r="163" spans="1:14" x14ac:dyDescent="0.35">
      <c r="A163" s="61">
        <v>159</v>
      </c>
      <c r="B163" s="2"/>
      <c r="C163" s="2"/>
      <c r="D163" s="2"/>
      <c r="E163" s="10"/>
      <c r="F163" s="11"/>
      <c r="G163" s="2"/>
      <c r="H163" s="2"/>
      <c r="I163" s="2"/>
      <c r="J163" s="2"/>
      <c r="K163" s="12"/>
      <c r="L163" s="2"/>
      <c r="M163" s="2"/>
      <c r="N163" s="67"/>
    </row>
    <row r="164" spans="1:14" x14ac:dyDescent="0.35">
      <c r="A164" s="61">
        <v>160</v>
      </c>
      <c r="B164" s="2"/>
      <c r="C164" s="2"/>
      <c r="D164" s="2"/>
      <c r="E164" s="10"/>
      <c r="F164" s="11"/>
      <c r="G164" s="2"/>
      <c r="H164" s="2"/>
      <c r="I164" s="2"/>
      <c r="J164" s="2"/>
      <c r="K164" s="12"/>
      <c r="L164" s="2"/>
      <c r="M164" s="2"/>
      <c r="N164" s="67"/>
    </row>
    <row r="165" spans="1:14" x14ac:dyDescent="0.35">
      <c r="A165" s="61">
        <v>161</v>
      </c>
      <c r="B165" s="2"/>
      <c r="C165" s="2"/>
      <c r="D165" s="2"/>
      <c r="E165" s="10"/>
      <c r="F165" s="11"/>
      <c r="G165" s="2"/>
      <c r="H165" s="2"/>
      <c r="I165" s="2"/>
      <c r="J165" s="2"/>
      <c r="K165" s="12"/>
      <c r="L165" s="2"/>
      <c r="M165" s="2"/>
      <c r="N165" s="67"/>
    </row>
    <row r="166" spans="1:14" x14ac:dyDescent="0.35">
      <c r="A166" s="61">
        <v>162</v>
      </c>
      <c r="B166" s="2"/>
      <c r="C166" s="2"/>
      <c r="D166" s="2"/>
      <c r="E166" s="10"/>
      <c r="F166" s="11"/>
      <c r="G166" s="2"/>
      <c r="H166" s="2"/>
      <c r="I166" s="2"/>
      <c r="J166" s="2"/>
      <c r="K166" s="12"/>
      <c r="L166" s="2"/>
      <c r="M166" s="2"/>
      <c r="N166" s="67"/>
    </row>
    <row r="167" spans="1:14" x14ac:dyDescent="0.35">
      <c r="A167" s="61">
        <v>163</v>
      </c>
      <c r="B167" s="2"/>
      <c r="C167" s="2"/>
      <c r="D167" s="2"/>
      <c r="E167" s="10"/>
      <c r="F167" s="11"/>
      <c r="G167" s="2"/>
      <c r="H167" s="2"/>
      <c r="I167" s="2"/>
      <c r="J167" s="2"/>
      <c r="K167" s="12"/>
      <c r="L167" s="2"/>
      <c r="M167" s="2"/>
      <c r="N167" s="67"/>
    </row>
    <row r="168" spans="1:14" x14ac:dyDescent="0.35">
      <c r="A168" s="61">
        <v>164</v>
      </c>
      <c r="B168" s="2"/>
      <c r="C168" s="2"/>
      <c r="D168" s="2"/>
      <c r="E168" s="10"/>
      <c r="F168" s="11"/>
      <c r="G168" s="2"/>
      <c r="H168" s="2"/>
      <c r="I168" s="2"/>
      <c r="J168" s="2"/>
      <c r="K168" s="12"/>
      <c r="L168" s="2"/>
      <c r="M168" s="2"/>
      <c r="N168" s="67"/>
    </row>
    <row r="169" spans="1:14" x14ac:dyDescent="0.35">
      <c r="A169" s="61">
        <v>165</v>
      </c>
      <c r="B169" s="2"/>
      <c r="C169" s="2"/>
      <c r="D169" s="2"/>
      <c r="E169" s="10"/>
      <c r="F169" s="11"/>
      <c r="G169" s="2"/>
      <c r="H169" s="2"/>
      <c r="I169" s="2"/>
      <c r="J169" s="2"/>
      <c r="K169" s="12"/>
      <c r="L169" s="2"/>
      <c r="M169" s="2"/>
      <c r="N169" s="67"/>
    </row>
    <row r="170" spans="1:14" x14ac:dyDescent="0.35">
      <c r="A170" s="61">
        <v>166</v>
      </c>
      <c r="B170" s="2"/>
      <c r="C170" s="2"/>
      <c r="D170" s="2"/>
      <c r="E170" s="10"/>
      <c r="F170" s="11"/>
      <c r="G170" s="2"/>
      <c r="H170" s="2"/>
      <c r="I170" s="2"/>
      <c r="J170" s="2"/>
      <c r="K170" s="12"/>
      <c r="L170" s="2"/>
      <c r="M170" s="2"/>
      <c r="N170" s="67"/>
    </row>
    <row r="171" spans="1:14" x14ac:dyDescent="0.35">
      <c r="A171" s="61">
        <v>167</v>
      </c>
      <c r="B171" s="2"/>
      <c r="C171" s="2"/>
      <c r="D171" s="2"/>
      <c r="E171" s="10"/>
      <c r="F171" s="11"/>
      <c r="G171" s="2"/>
      <c r="H171" s="2"/>
      <c r="I171" s="2"/>
      <c r="J171" s="2"/>
      <c r="K171" s="12"/>
      <c r="L171" s="2"/>
      <c r="M171" s="2"/>
      <c r="N171" s="67"/>
    </row>
    <row r="172" spans="1:14" x14ac:dyDescent="0.35">
      <c r="A172" s="61">
        <v>168</v>
      </c>
      <c r="B172" s="2"/>
      <c r="C172" s="2"/>
      <c r="D172" s="2"/>
      <c r="E172" s="10"/>
      <c r="F172" s="11"/>
      <c r="G172" s="2"/>
      <c r="H172" s="2"/>
      <c r="I172" s="2"/>
      <c r="J172" s="2"/>
      <c r="K172" s="12"/>
      <c r="L172" s="2"/>
      <c r="M172" s="2"/>
      <c r="N172" s="67"/>
    </row>
    <row r="173" spans="1:14" x14ac:dyDescent="0.35">
      <c r="A173" s="61">
        <v>169</v>
      </c>
      <c r="B173" s="2"/>
      <c r="C173" s="2"/>
      <c r="D173" s="2"/>
      <c r="E173" s="10"/>
      <c r="F173" s="11"/>
      <c r="G173" s="2"/>
      <c r="H173" s="2"/>
      <c r="I173" s="2"/>
      <c r="J173" s="2"/>
      <c r="K173" s="12"/>
      <c r="L173" s="2"/>
      <c r="M173" s="2"/>
      <c r="N173" s="67"/>
    </row>
    <row r="174" spans="1:14" x14ac:dyDescent="0.35">
      <c r="A174" s="61">
        <v>170</v>
      </c>
      <c r="B174" s="2"/>
      <c r="C174" s="2"/>
      <c r="D174" s="2"/>
      <c r="E174" s="10"/>
      <c r="F174" s="11"/>
      <c r="G174" s="2"/>
      <c r="H174" s="2"/>
      <c r="I174" s="2"/>
      <c r="J174" s="2"/>
      <c r="K174" s="12"/>
      <c r="L174" s="2"/>
      <c r="M174" s="2"/>
      <c r="N174" s="67"/>
    </row>
    <row r="175" spans="1:14" x14ac:dyDescent="0.35">
      <c r="A175" s="61">
        <v>171</v>
      </c>
      <c r="B175" s="2"/>
      <c r="C175" s="2"/>
      <c r="D175" s="2"/>
      <c r="E175" s="10"/>
      <c r="F175" s="11"/>
      <c r="G175" s="2"/>
      <c r="H175" s="2"/>
      <c r="I175" s="2"/>
      <c r="J175" s="2"/>
      <c r="K175" s="12"/>
      <c r="L175" s="2"/>
      <c r="M175" s="2"/>
      <c r="N175" s="67"/>
    </row>
    <row r="176" spans="1:14" x14ac:dyDescent="0.35">
      <c r="A176" s="61">
        <v>172</v>
      </c>
      <c r="B176" s="2"/>
      <c r="C176" s="2"/>
      <c r="D176" s="2"/>
      <c r="E176" s="10"/>
      <c r="F176" s="11"/>
      <c r="G176" s="2"/>
      <c r="H176" s="2"/>
      <c r="I176" s="2"/>
      <c r="J176" s="2"/>
      <c r="K176" s="12"/>
      <c r="L176" s="2"/>
      <c r="M176" s="2"/>
      <c r="N176" s="67"/>
    </row>
    <row r="177" spans="1:14" x14ac:dyDescent="0.35">
      <c r="A177" s="61">
        <v>173</v>
      </c>
      <c r="B177" s="2"/>
      <c r="C177" s="2"/>
      <c r="D177" s="2"/>
      <c r="E177" s="10"/>
      <c r="F177" s="11"/>
      <c r="G177" s="2"/>
      <c r="H177" s="2"/>
      <c r="I177" s="2"/>
      <c r="J177" s="2"/>
      <c r="K177" s="12"/>
      <c r="L177" s="2"/>
      <c r="M177" s="2"/>
      <c r="N177" s="67"/>
    </row>
    <row r="178" spans="1:14" x14ac:dyDescent="0.35">
      <c r="A178" s="61">
        <v>174</v>
      </c>
      <c r="B178" s="2"/>
      <c r="C178" s="2"/>
      <c r="D178" s="2"/>
      <c r="E178" s="10"/>
      <c r="F178" s="11"/>
      <c r="G178" s="2"/>
      <c r="H178" s="2"/>
      <c r="I178" s="2"/>
      <c r="J178" s="2"/>
      <c r="K178" s="12"/>
      <c r="L178" s="2"/>
      <c r="M178" s="2"/>
      <c r="N178" s="67"/>
    </row>
    <row r="179" spans="1:14" x14ac:dyDescent="0.35">
      <c r="A179" s="61">
        <v>175</v>
      </c>
      <c r="B179" s="2"/>
      <c r="C179" s="2"/>
      <c r="D179" s="2"/>
      <c r="E179" s="10"/>
      <c r="F179" s="11"/>
      <c r="G179" s="2"/>
      <c r="H179" s="2"/>
      <c r="I179" s="2"/>
      <c r="J179" s="2"/>
      <c r="K179" s="12"/>
      <c r="L179" s="2"/>
      <c r="M179" s="2"/>
      <c r="N179" s="67"/>
    </row>
    <row r="180" spans="1:14" x14ac:dyDescent="0.35">
      <c r="A180" s="61">
        <v>176</v>
      </c>
      <c r="B180" s="2"/>
      <c r="C180" s="2"/>
      <c r="D180" s="2"/>
      <c r="E180" s="10"/>
      <c r="F180" s="11"/>
      <c r="G180" s="2"/>
      <c r="H180" s="2"/>
      <c r="I180" s="2"/>
      <c r="J180" s="2"/>
      <c r="K180" s="12"/>
      <c r="L180" s="2"/>
      <c r="M180" s="2"/>
      <c r="N180" s="67"/>
    </row>
    <row r="181" spans="1:14" x14ac:dyDescent="0.35">
      <c r="A181" s="61">
        <v>177</v>
      </c>
      <c r="B181" s="2"/>
      <c r="C181" s="2"/>
      <c r="D181" s="2"/>
      <c r="E181" s="10"/>
      <c r="F181" s="11"/>
      <c r="G181" s="2"/>
      <c r="H181" s="2"/>
      <c r="I181" s="2"/>
      <c r="J181" s="2"/>
      <c r="K181" s="12"/>
      <c r="L181" s="2"/>
      <c r="M181" s="2"/>
      <c r="N181" s="67"/>
    </row>
    <row r="182" spans="1:14" x14ac:dyDescent="0.35">
      <c r="A182" s="61">
        <v>178</v>
      </c>
      <c r="B182" s="2"/>
      <c r="C182" s="2"/>
      <c r="D182" s="2"/>
      <c r="E182" s="10"/>
      <c r="F182" s="11"/>
      <c r="G182" s="2"/>
      <c r="H182" s="2"/>
      <c r="I182" s="2"/>
      <c r="J182" s="2"/>
      <c r="K182" s="12"/>
      <c r="L182" s="2"/>
      <c r="M182" s="2"/>
      <c r="N182" s="67"/>
    </row>
    <row r="183" spans="1:14" x14ac:dyDescent="0.35">
      <c r="A183" s="61">
        <v>179</v>
      </c>
      <c r="B183" s="2"/>
      <c r="C183" s="2"/>
      <c r="D183" s="2"/>
      <c r="E183" s="10"/>
      <c r="F183" s="11"/>
      <c r="G183" s="2"/>
      <c r="H183" s="2"/>
      <c r="I183" s="2"/>
      <c r="J183" s="2"/>
      <c r="K183" s="12"/>
      <c r="L183" s="2"/>
      <c r="M183" s="2"/>
      <c r="N183" s="67"/>
    </row>
    <row r="184" spans="1:14" x14ac:dyDescent="0.35">
      <c r="A184" s="61">
        <v>180</v>
      </c>
      <c r="B184" s="2"/>
      <c r="C184" s="2"/>
      <c r="D184" s="2"/>
      <c r="E184" s="10"/>
      <c r="F184" s="11"/>
      <c r="G184" s="2"/>
      <c r="H184" s="2"/>
      <c r="I184" s="2"/>
      <c r="J184" s="2"/>
      <c r="K184" s="12"/>
      <c r="L184" s="2"/>
      <c r="M184" s="2"/>
      <c r="N184" s="67"/>
    </row>
    <row r="185" spans="1:14" x14ac:dyDescent="0.35">
      <c r="A185" s="61">
        <v>181</v>
      </c>
      <c r="B185" s="2"/>
      <c r="C185" s="2"/>
      <c r="D185" s="2"/>
      <c r="E185" s="10"/>
      <c r="F185" s="11"/>
      <c r="G185" s="2"/>
      <c r="H185" s="2"/>
      <c r="I185" s="2"/>
      <c r="J185" s="2"/>
      <c r="K185" s="12"/>
      <c r="L185" s="2"/>
      <c r="M185" s="2"/>
      <c r="N185" s="67"/>
    </row>
    <row r="186" spans="1:14" x14ac:dyDescent="0.35">
      <c r="A186" s="61">
        <v>182</v>
      </c>
      <c r="B186" s="2"/>
      <c r="C186" s="2"/>
      <c r="D186" s="2"/>
      <c r="E186" s="10"/>
      <c r="F186" s="11"/>
      <c r="G186" s="2"/>
      <c r="H186" s="2"/>
      <c r="I186" s="2"/>
      <c r="J186" s="2"/>
      <c r="K186" s="12"/>
      <c r="L186" s="2"/>
      <c r="M186" s="2"/>
      <c r="N186" s="67"/>
    </row>
    <row r="187" spans="1:14" x14ac:dyDescent="0.35">
      <c r="A187" s="61">
        <v>183</v>
      </c>
      <c r="B187" s="2"/>
      <c r="C187" s="2"/>
      <c r="D187" s="2"/>
      <c r="E187" s="10"/>
      <c r="F187" s="11"/>
      <c r="G187" s="2"/>
      <c r="H187" s="2"/>
      <c r="I187" s="2"/>
      <c r="J187" s="2"/>
      <c r="K187" s="12"/>
      <c r="L187" s="2"/>
      <c r="M187" s="2"/>
      <c r="N187" s="67"/>
    </row>
    <row r="188" spans="1:14" x14ac:dyDescent="0.35">
      <c r="A188" s="61">
        <v>184</v>
      </c>
      <c r="B188" s="2"/>
      <c r="C188" s="2"/>
      <c r="D188" s="2"/>
      <c r="E188" s="10"/>
      <c r="F188" s="11"/>
      <c r="G188" s="2"/>
      <c r="H188" s="2"/>
      <c r="I188" s="2"/>
      <c r="J188" s="2"/>
      <c r="K188" s="12"/>
      <c r="L188" s="2"/>
      <c r="M188" s="2"/>
      <c r="N188" s="67"/>
    </row>
    <row r="189" spans="1:14" x14ac:dyDescent="0.35">
      <c r="A189" s="61">
        <v>185</v>
      </c>
      <c r="B189" s="2"/>
      <c r="C189" s="2"/>
      <c r="D189" s="2"/>
      <c r="E189" s="10"/>
      <c r="F189" s="11"/>
      <c r="G189" s="2"/>
      <c r="H189" s="2"/>
      <c r="I189" s="2"/>
      <c r="J189" s="2"/>
      <c r="K189" s="12"/>
      <c r="L189" s="2"/>
      <c r="M189" s="2"/>
      <c r="N189" s="67"/>
    </row>
    <row r="190" spans="1:14" x14ac:dyDescent="0.35">
      <c r="A190" s="61">
        <v>186</v>
      </c>
      <c r="B190" s="2"/>
      <c r="C190" s="2"/>
      <c r="D190" s="2"/>
      <c r="E190" s="10"/>
      <c r="F190" s="11"/>
      <c r="G190" s="2"/>
      <c r="H190" s="2"/>
      <c r="I190" s="2"/>
      <c r="J190" s="2"/>
      <c r="K190" s="12"/>
      <c r="L190" s="2"/>
      <c r="M190" s="2"/>
      <c r="N190" s="67"/>
    </row>
    <row r="191" spans="1:14" x14ac:dyDescent="0.35">
      <c r="A191" s="61">
        <v>187</v>
      </c>
      <c r="B191" s="2"/>
      <c r="C191" s="2"/>
      <c r="D191" s="2"/>
      <c r="E191" s="10"/>
      <c r="F191" s="11"/>
      <c r="G191" s="2"/>
      <c r="H191" s="2"/>
      <c r="I191" s="2"/>
      <c r="J191" s="2"/>
      <c r="K191" s="12"/>
      <c r="L191" s="2"/>
      <c r="M191" s="2"/>
      <c r="N191" s="67"/>
    </row>
    <row r="192" spans="1:14" x14ac:dyDescent="0.35">
      <c r="A192" s="61">
        <v>188</v>
      </c>
      <c r="B192" s="2"/>
      <c r="C192" s="2"/>
      <c r="D192" s="2"/>
      <c r="E192" s="10"/>
      <c r="F192" s="11"/>
      <c r="G192" s="2"/>
      <c r="H192" s="2"/>
      <c r="I192" s="2"/>
      <c r="J192" s="2"/>
      <c r="K192" s="12"/>
      <c r="L192" s="2"/>
      <c r="M192" s="2"/>
      <c r="N192" s="67"/>
    </row>
    <row r="193" spans="1:14" x14ac:dyDescent="0.35">
      <c r="A193" s="61">
        <v>189</v>
      </c>
      <c r="B193" s="2"/>
      <c r="C193" s="2"/>
      <c r="D193" s="2"/>
      <c r="E193" s="10"/>
      <c r="F193" s="11"/>
      <c r="G193" s="2"/>
      <c r="H193" s="2"/>
      <c r="I193" s="2"/>
      <c r="J193" s="2"/>
      <c r="K193" s="12"/>
      <c r="L193" s="2"/>
      <c r="M193" s="2"/>
      <c r="N193" s="67"/>
    </row>
    <row r="194" spans="1:14" x14ac:dyDescent="0.35">
      <c r="A194" s="61">
        <v>190</v>
      </c>
      <c r="B194" s="2"/>
      <c r="C194" s="2"/>
      <c r="D194" s="2"/>
      <c r="E194" s="10"/>
      <c r="F194" s="11"/>
      <c r="G194" s="2"/>
      <c r="H194" s="2"/>
      <c r="I194" s="2"/>
      <c r="J194" s="2"/>
      <c r="K194" s="12"/>
      <c r="L194" s="2"/>
      <c r="M194" s="2"/>
      <c r="N194" s="67"/>
    </row>
    <row r="195" spans="1:14" x14ac:dyDescent="0.35">
      <c r="A195" s="61">
        <v>191</v>
      </c>
      <c r="B195" s="2"/>
      <c r="C195" s="2"/>
      <c r="D195" s="2"/>
      <c r="E195" s="10"/>
      <c r="F195" s="11"/>
      <c r="G195" s="2"/>
      <c r="H195" s="2"/>
      <c r="I195" s="2"/>
      <c r="J195" s="2"/>
      <c r="K195" s="12"/>
      <c r="L195" s="2"/>
      <c r="M195" s="2"/>
      <c r="N195" s="67"/>
    </row>
    <row r="196" spans="1:14" x14ac:dyDescent="0.35">
      <c r="A196" s="61">
        <v>192</v>
      </c>
      <c r="B196" s="2"/>
      <c r="C196" s="2"/>
      <c r="D196" s="2"/>
      <c r="E196" s="10"/>
      <c r="F196" s="11"/>
      <c r="G196" s="2"/>
      <c r="H196" s="2"/>
      <c r="I196" s="2"/>
      <c r="J196" s="2"/>
      <c r="K196" s="12"/>
      <c r="L196" s="2"/>
      <c r="M196" s="2"/>
      <c r="N196" s="67"/>
    </row>
    <row r="197" spans="1:14" x14ac:dyDescent="0.35">
      <c r="A197" s="61">
        <v>193</v>
      </c>
      <c r="B197" s="2"/>
      <c r="C197" s="2"/>
      <c r="D197" s="2"/>
      <c r="E197" s="10"/>
      <c r="F197" s="11"/>
      <c r="G197" s="2"/>
      <c r="H197" s="2"/>
      <c r="I197" s="2"/>
      <c r="J197" s="2"/>
      <c r="K197" s="12"/>
      <c r="L197" s="2"/>
      <c r="M197" s="2"/>
      <c r="N197" s="67"/>
    </row>
    <row r="198" spans="1:14" x14ac:dyDescent="0.35">
      <c r="A198" s="61">
        <v>194</v>
      </c>
      <c r="B198" s="2"/>
      <c r="C198" s="2"/>
      <c r="D198" s="2"/>
      <c r="E198" s="10"/>
      <c r="F198" s="11"/>
      <c r="G198" s="2"/>
      <c r="H198" s="2"/>
      <c r="I198" s="2"/>
      <c r="J198" s="2"/>
      <c r="K198" s="12"/>
      <c r="L198" s="2"/>
      <c r="M198" s="2"/>
      <c r="N198" s="67"/>
    </row>
    <row r="199" spans="1:14" x14ac:dyDescent="0.35">
      <c r="A199" s="61">
        <v>195</v>
      </c>
      <c r="B199" s="2"/>
      <c r="C199" s="2"/>
      <c r="D199" s="2"/>
      <c r="E199" s="10"/>
      <c r="F199" s="11"/>
      <c r="G199" s="2"/>
      <c r="H199" s="2"/>
      <c r="I199" s="2"/>
      <c r="J199" s="2"/>
      <c r="K199" s="12"/>
      <c r="L199" s="2"/>
      <c r="M199" s="2"/>
      <c r="N199" s="67"/>
    </row>
    <row r="200" spans="1:14" x14ac:dyDescent="0.35">
      <c r="A200" s="61">
        <v>196</v>
      </c>
      <c r="B200" s="2"/>
      <c r="C200" s="2"/>
      <c r="D200" s="2"/>
      <c r="E200" s="10"/>
      <c r="F200" s="11"/>
      <c r="G200" s="2"/>
      <c r="H200" s="2"/>
      <c r="I200" s="2"/>
      <c r="J200" s="2"/>
      <c r="K200" s="12"/>
      <c r="L200" s="2"/>
      <c r="M200" s="2"/>
      <c r="N200" s="67"/>
    </row>
    <row r="201" spans="1:14" x14ac:dyDescent="0.35">
      <c r="A201" s="61">
        <v>197</v>
      </c>
      <c r="B201" s="2"/>
      <c r="C201" s="2"/>
      <c r="D201" s="2"/>
      <c r="E201" s="10"/>
      <c r="F201" s="11"/>
      <c r="G201" s="2"/>
      <c r="H201" s="2"/>
      <c r="I201" s="2"/>
      <c r="J201" s="2"/>
      <c r="K201" s="12"/>
      <c r="L201" s="2"/>
      <c r="M201" s="2"/>
      <c r="N201" s="67"/>
    </row>
    <row r="202" spans="1:14" x14ac:dyDescent="0.35">
      <c r="A202" s="61">
        <v>198</v>
      </c>
      <c r="B202" s="2"/>
      <c r="C202" s="2"/>
      <c r="D202" s="2"/>
      <c r="E202" s="10"/>
      <c r="F202" s="11"/>
      <c r="G202" s="2"/>
      <c r="H202" s="2"/>
      <c r="I202" s="2"/>
      <c r="J202" s="2"/>
      <c r="K202" s="12"/>
      <c r="L202" s="2"/>
      <c r="M202" s="2"/>
      <c r="N202" s="67"/>
    </row>
    <row r="203" spans="1:14" x14ac:dyDescent="0.35">
      <c r="A203" s="61">
        <v>199</v>
      </c>
      <c r="B203" s="2"/>
      <c r="C203" s="2"/>
      <c r="D203" s="2"/>
      <c r="E203" s="10"/>
      <c r="F203" s="11"/>
      <c r="G203" s="2"/>
      <c r="H203" s="2"/>
      <c r="I203" s="2"/>
      <c r="J203" s="2"/>
      <c r="K203" s="12"/>
      <c r="L203" s="2"/>
      <c r="M203" s="2"/>
      <c r="N203" s="67"/>
    </row>
    <row r="204" spans="1:14" x14ac:dyDescent="0.35">
      <c r="A204" s="61">
        <v>200</v>
      </c>
      <c r="B204" s="2"/>
      <c r="C204" s="2"/>
      <c r="D204" s="2"/>
      <c r="E204" s="10"/>
      <c r="F204" s="11"/>
      <c r="G204" s="2"/>
      <c r="H204" s="2"/>
      <c r="I204" s="2"/>
      <c r="J204" s="2"/>
      <c r="K204" s="12"/>
      <c r="L204" s="2"/>
      <c r="M204" s="2"/>
      <c r="N204" s="67"/>
    </row>
    <row r="205" spans="1:14" x14ac:dyDescent="0.35">
      <c r="A205" s="61">
        <v>201</v>
      </c>
      <c r="B205" s="2"/>
      <c r="C205" s="2"/>
      <c r="D205" s="2"/>
      <c r="E205" s="10"/>
      <c r="F205" s="11"/>
      <c r="G205" s="2"/>
      <c r="H205" s="2"/>
      <c r="I205" s="2"/>
      <c r="J205" s="2"/>
      <c r="K205" s="12"/>
      <c r="L205" s="2"/>
      <c r="M205" s="2"/>
      <c r="N205" s="67"/>
    </row>
    <row r="206" spans="1:14" x14ac:dyDescent="0.35">
      <c r="A206" s="61">
        <v>202</v>
      </c>
      <c r="B206" s="2"/>
      <c r="C206" s="2"/>
      <c r="D206" s="2"/>
      <c r="E206" s="10"/>
      <c r="F206" s="11"/>
      <c r="G206" s="2"/>
      <c r="H206" s="2"/>
      <c r="I206" s="2"/>
      <c r="J206" s="2"/>
      <c r="K206" s="12"/>
      <c r="L206" s="2"/>
      <c r="M206" s="2"/>
      <c r="N206" s="67"/>
    </row>
    <row r="207" spans="1:14" x14ac:dyDescent="0.35">
      <c r="A207" s="61">
        <v>203</v>
      </c>
      <c r="B207" s="2"/>
      <c r="C207" s="2"/>
      <c r="D207" s="2"/>
      <c r="E207" s="10"/>
      <c r="F207" s="11"/>
      <c r="G207" s="2"/>
      <c r="H207" s="2"/>
      <c r="I207" s="2"/>
      <c r="J207" s="2"/>
      <c r="K207" s="12"/>
      <c r="L207" s="2"/>
      <c r="M207" s="2"/>
      <c r="N207" s="67"/>
    </row>
    <row r="208" spans="1:14" x14ac:dyDescent="0.35">
      <c r="A208" s="61">
        <v>204</v>
      </c>
      <c r="B208" s="2"/>
      <c r="C208" s="2"/>
      <c r="D208" s="2"/>
      <c r="E208" s="10"/>
      <c r="F208" s="11"/>
      <c r="G208" s="2"/>
      <c r="H208" s="2"/>
      <c r="I208" s="2"/>
      <c r="J208" s="2"/>
      <c r="K208" s="12"/>
      <c r="L208" s="2"/>
      <c r="M208" s="2"/>
      <c r="N208" s="67"/>
    </row>
    <row r="209" spans="1:14" x14ac:dyDescent="0.35">
      <c r="A209" s="61">
        <v>205</v>
      </c>
      <c r="B209" s="2"/>
      <c r="C209" s="2"/>
      <c r="D209" s="2"/>
      <c r="E209" s="10"/>
      <c r="F209" s="11"/>
      <c r="G209" s="2"/>
      <c r="H209" s="2"/>
      <c r="I209" s="2"/>
      <c r="J209" s="2"/>
      <c r="K209" s="12"/>
      <c r="L209" s="2"/>
      <c r="M209" s="2"/>
      <c r="N209" s="67"/>
    </row>
    <row r="210" spans="1:14" x14ac:dyDescent="0.35">
      <c r="A210" s="61">
        <v>206</v>
      </c>
      <c r="B210" s="2"/>
      <c r="C210" s="2"/>
      <c r="D210" s="2"/>
      <c r="E210" s="10"/>
      <c r="F210" s="11"/>
      <c r="G210" s="2"/>
      <c r="H210" s="2"/>
      <c r="I210" s="2"/>
      <c r="J210" s="2"/>
      <c r="K210" s="12"/>
      <c r="L210" s="2"/>
      <c r="M210" s="2"/>
      <c r="N210" s="67"/>
    </row>
    <row r="211" spans="1:14" x14ac:dyDescent="0.35">
      <c r="A211" s="61">
        <v>207</v>
      </c>
      <c r="B211" s="2"/>
      <c r="C211" s="2"/>
      <c r="D211" s="2"/>
      <c r="E211" s="10"/>
      <c r="F211" s="11"/>
      <c r="G211" s="2"/>
      <c r="H211" s="2"/>
      <c r="I211" s="2"/>
      <c r="J211" s="2"/>
      <c r="K211" s="12"/>
      <c r="L211" s="2"/>
      <c r="M211" s="2"/>
      <c r="N211" s="67"/>
    </row>
    <row r="212" spans="1:14" x14ac:dyDescent="0.35">
      <c r="A212" s="61">
        <v>208</v>
      </c>
      <c r="B212" s="2"/>
      <c r="C212" s="2"/>
      <c r="D212" s="2"/>
      <c r="E212" s="10"/>
      <c r="F212" s="11"/>
      <c r="G212" s="2"/>
      <c r="H212" s="2"/>
      <c r="I212" s="2"/>
      <c r="J212" s="2"/>
      <c r="K212" s="12"/>
      <c r="L212" s="2"/>
      <c r="M212" s="2"/>
      <c r="N212" s="67"/>
    </row>
    <row r="213" spans="1:14" x14ac:dyDescent="0.35">
      <c r="A213" s="61">
        <v>209</v>
      </c>
      <c r="B213" s="2"/>
      <c r="C213" s="2"/>
      <c r="D213" s="2"/>
      <c r="E213" s="10"/>
      <c r="F213" s="11"/>
      <c r="G213" s="2"/>
      <c r="H213" s="2"/>
      <c r="I213" s="2"/>
      <c r="J213" s="2"/>
      <c r="K213" s="12"/>
      <c r="L213" s="2"/>
      <c r="M213" s="2"/>
      <c r="N213" s="67"/>
    </row>
    <row r="214" spans="1:14" x14ac:dyDescent="0.35">
      <c r="A214" s="61">
        <v>210</v>
      </c>
      <c r="B214" s="2"/>
      <c r="C214" s="2"/>
      <c r="D214" s="2"/>
      <c r="E214" s="10"/>
      <c r="F214" s="11"/>
      <c r="G214" s="2"/>
      <c r="H214" s="2"/>
      <c r="I214" s="2"/>
      <c r="J214" s="2"/>
      <c r="K214" s="12"/>
      <c r="L214" s="2"/>
      <c r="M214" s="2"/>
      <c r="N214" s="67"/>
    </row>
    <row r="215" spans="1:14" x14ac:dyDescent="0.35">
      <c r="A215" s="61">
        <v>211</v>
      </c>
      <c r="B215" s="2"/>
      <c r="C215" s="2"/>
      <c r="D215" s="2"/>
      <c r="E215" s="10"/>
      <c r="F215" s="11"/>
      <c r="G215" s="2"/>
      <c r="H215" s="2"/>
      <c r="I215" s="2"/>
      <c r="J215" s="2"/>
      <c r="K215" s="12"/>
      <c r="L215" s="2"/>
      <c r="M215" s="2"/>
      <c r="N215" s="67"/>
    </row>
    <row r="216" spans="1:14" x14ac:dyDescent="0.35">
      <c r="A216" s="61">
        <v>212</v>
      </c>
      <c r="B216" s="2"/>
      <c r="C216" s="2"/>
      <c r="D216" s="2"/>
      <c r="E216" s="10"/>
      <c r="F216" s="11"/>
      <c r="G216" s="2"/>
      <c r="H216" s="2"/>
      <c r="I216" s="2"/>
      <c r="J216" s="2"/>
      <c r="K216" s="12"/>
      <c r="L216" s="2"/>
      <c r="M216" s="2"/>
      <c r="N216" s="67"/>
    </row>
    <row r="217" spans="1:14" x14ac:dyDescent="0.35">
      <c r="A217" s="61">
        <v>213</v>
      </c>
      <c r="B217" s="2"/>
      <c r="C217" s="2"/>
      <c r="D217" s="2"/>
      <c r="E217" s="10"/>
      <c r="F217" s="11"/>
      <c r="G217" s="2"/>
      <c r="H217" s="2"/>
      <c r="I217" s="2"/>
      <c r="J217" s="2"/>
      <c r="K217" s="12"/>
      <c r="L217" s="2"/>
      <c r="M217" s="2"/>
      <c r="N217" s="67"/>
    </row>
    <row r="218" spans="1:14" x14ac:dyDescent="0.35">
      <c r="A218" s="61">
        <v>214</v>
      </c>
      <c r="B218" s="2"/>
      <c r="C218" s="2"/>
      <c r="D218" s="2"/>
      <c r="E218" s="10"/>
      <c r="F218" s="11"/>
      <c r="G218" s="2"/>
      <c r="H218" s="2"/>
      <c r="I218" s="2"/>
      <c r="J218" s="2"/>
      <c r="K218" s="12"/>
      <c r="L218" s="2"/>
      <c r="M218" s="2"/>
      <c r="N218" s="67"/>
    </row>
    <row r="219" spans="1:14" x14ac:dyDescent="0.35">
      <c r="A219" s="61">
        <v>215</v>
      </c>
      <c r="B219" s="2"/>
      <c r="C219" s="2"/>
      <c r="D219" s="2"/>
      <c r="E219" s="10"/>
      <c r="F219" s="11"/>
      <c r="G219" s="2"/>
      <c r="H219" s="2"/>
      <c r="I219" s="2"/>
      <c r="J219" s="2"/>
      <c r="K219" s="12"/>
      <c r="L219" s="2"/>
      <c r="M219" s="2"/>
      <c r="N219" s="67"/>
    </row>
    <row r="220" spans="1:14" x14ac:dyDescent="0.35">
      <c r="A220" s="61">
        <v>216</v>
      </c>
      <c r="B220" s="2"/>
      <c r="C220" s="2"/>
      <c r="D220" s="2"/>
      <c r="E220" s="10"/>
      <c r="F220" s="11"/>
      <c r="G220" s="2"/>
      <c r="H220" s="2"/>
      <c r="I220" s="2"/>
      <c r="J220" s="2"/>
      <c r="K220" s="12"/>
      <c r="L220" s="2"/>
      <c r="M220" s="2"/>
      <c r="N220" s="67"/>
    </row>
    <row r="221" spans="1:14" x14ac:dyDescent="0.35">
      <c r="A221" s="61">
        <v>217</v>
      </c>
      <c r="B221" s="2"/>
      <c r="C221" s="2"/>
      <c r="D221" s="2"/>
      <c r="E221" s="10"/>
      <c r="F221" s="11"/>
      <c r="G221" s="2"/>
      <c r="H221" s="2"/>
      <c r="I221" s="2"/>
      <c r="J221" s="2"/>
      <c r="K221" s="12"/>
      <c r="L221" s="2"/>
      <c r="M221" s="2"/>
      <c r="N221" s="67"/>
    </row>
    <row r="222" spans="1:14" x14ac:dyDescent="0.35">
      <c r="A222" s="61">
        <v>218</v>
      </c>
      <c r="B222" s="2"/>
      <c r="C222" s="2"/>
      <c r="D222" s="2"/>
      <c r="E222" s="10"/>
      <c r="F222" s="11"/>
      <c r="G222" s="2"/>
      <c r="H222" s="2"/>
      <c r="I222" s="2"/>
      <c r="J222" s="2"/>
      <c r="K222" s="12"/>
      <c r="L222" s="2"/>
      <c r="M222" s="2"/>
      <c r="N222" s="67"/>
    </row>
    <row r="223" spans="1:14" x14ac:dyDescent="0.35">
      <c r="A223" s="61">
        <v>219</v>
      </c>
      <c r="B223" s="2"/>
      <c r="C223" s="2"/>
      <c r="D223" s="2"/>
      <c r="E223" s="10"/>
      <c r="F223" s="11"/>
      <c r="G223" s="2"/>
      <c r="H223" s="2"/>
      <c r="I223" s="2"/>
      <c r="J223" s="2"/>
      <c r="K223" s="12"/>
      <c r="L223" s="2"/>
      <c r="M223" s="2"/>
      <c r="N223" s="67"/>
    </row>
    <row r="224" spans="1:14" x14ac:dyDescent="0.35">
      <c r="A224" s="61">
        <v>220</v>
      </c>
      <c r="B224" s="2"/>
      <c r="C224" s="2"/>
      <c r="D224" s="2"/>
      <c r="E224" s="10"/>
      <c r="F224" s="11"/>
      <c r="G224" s="2"/>
      <c r="H224" s="2"/>
      <c r="I224" s="2"/>
      <c r="J224" s="2"/>
      <c r="K224" s="12"/>
      <c r="L224" s="2"/>
      <c r="M224" s="2"/>
      <c r="N224" s="67"/>
    </row>
    <row r="225" spans="1:14" x14ac:dyDescent="0.35">
      <c r="A225" s="61">
        <v>221</v>
      </c>
      <c r="B225" s="2"/>
      <c r="C225" s="2"/>
      <c r="D225" s="2"/>
      <c r="E225" s="10"/>
      <c r="F225" s="11"/>
      <c r="G225" s="2"/>
      <c r="H225" s="2"/>
      <c r="I225" s="2"/>
      <c r="J225" s="2"/>
      <c r="K225" s="12"/>
      <c r="L225" s="2"/>
      <c r="M225" s="2"/>
      <c r="N225" s="67"/>
    </row>
    <row r="226" spans="1:14" x14ac:dyDescent="0.35">
      <c r="A226" s="61">
        <v>222</v>
      </c>
      <c r="B226" s="2"/>
      <c r="C226" s="2"/>
      <c r="D226" s="2"/>
      <c r="E226" s="10"/>
      <c r="F226" s="11"/>
      <c r="G226" s="2"/>
      <c r="H226" s="2"/>
      <c r="I226" s="2"/>
      <c r="J226" s="2"/>
      <c r="K226" s="12"/>
      <c r="L226" s="2"/>
      <c r="M226" s="2"/>
      <c r="N226" s="67"/>
    </row>
    <row r="227" spans="1:14" x14ac:dyDescent="0.35">
      <c r="A227" s="61">
        <v>223</v>
      </c>
      <c r="B227" s="2"/>
      <c r="C227" s="2"/>
      <c r="D227" s="2"/>
      <c r="E227" s="10"/>
      <c r="F227" s="11"/>
      <c r="G227" s="2"/>
      <c r="H227" s="2"/>
      <c r="I227" s="2"/>
      <c r="J227" s="2"/>
      <c r="K227" s="12"/>
      <c r="L227" s="2"/>
      <c r="M227" s="2"/>
      <c r="N227" s="67"/>
    </row>
    <row r="228" spans="1:14" x14ac:dyDescent="0.35">
      <c r="A228" s="61">
        <v>224</v>
      </c>
      <c r="B228" s="2"/>
      <c r="C228" s="2"/>
      <c r="D228" s="2"/>
      <c r="E228" s="10"/>
      <c r="F228" s="11"/>
      <c r="G228" s="2"/>
      <c r="H228" s="2"/>
      <c r="I228" s="2"/>
      <c r="J228" s="2"/>
      <c r="K228" s="12"/>
      <c r="L228" s="2"/>
      <c r="M228" s="2"/>
      <c r="N228" s="67"/>
    </row>
    <row r="229" spans="1:14" x14ac:dyDescent="0.35">
      <c r="A229" s="61">
        <v>225</v>
      </c>
      <c r="B229" s="2"/>
      <c r="C229" s="2"/>
      <c r="D229" s="2"/>
      <c r="E229" s="10"/>
      <c r="F229" s="11"/>
      <c r="G229" s="2"/>
      <c r="H229" s="2"/>
      <c r="I229" s="2"/>
      <c r="J229" s="2"/>
      <c r="K229" s="12"/>
      <c r="L229" s="2"/>
      <c r="M229" s="2"/>
      <c r="N229" s="67"/>
    </row>
    <row r="230" spans="1:14" x14ac:dyDescent="0.35">
      <c r="A230" s="61">
        <v>226</v>
      </c>
      <c r="B230" s="2"/>
      <c r="C230" s="2"/>
      <c r="D230" s="2"/>
      <c r="E230" s="10"/>
      <c r="F230" s="11"/>
      <c r="G230" s="2"/>
      <c r="H230" s="2"/>
      <c r="I230" s="2"/>
      <c r="J230" s="2"/>
      <c r="K230" s="12"/>
      <c r="L230" s="2"/>
      <c r="M230" s="2"/>
      <c r="N230" s="67"/>
    </row>
    <row r="231" spans="1:14" x14ac:dyDescent="0.35">
      <c r="A231" s="61">
        <v>227</v>
      </c>
      <c r="B231" s="2"/>
      <c r="C231" s="2"/>
      <c r="D231" s="2"/>
      <c r="E231" s="10"/>
      <c r="F231" s="11"/>
      <c r="G231" s="2"/>
      <c r="H231" s="2"/>
      <c r="I231" s="2"/>
      <c r="J231" s="2"/>
      <c r="K231" s="12"/>
      <c r="L231" s="2"/>
      <c r="M231" s="2"/>
      <c r="N231" s="67"/>
    </row>
    <row r="232" spans="1:14" x14ac:dyDescent="0.35">
      <c r="A232" s="61">
        <v>228</v>
      </c>
      <c r="B232" s="2"/>
      <c r="C232" s="2"/>
      <c r="D232" s="2"/>
      <c r="E232" s="10"/>
      <c r="F232" s="11"/>
      <c r="G232" s="2"/>
      <c r="H232" s="2"/>
      <c r="I232" s="2"/>
      <c r="J232" s="2"/>
      <c r="K232" s="12"/>
      <c r="L232" s="2"/>
      <c r="M232" s="2"/>
      <c r="N232" s="67"/>
    </row>
    <row r="233" spans="1:14" x14ac:dyDescent="0.35">
      <c r="A233" s="61">
        <v>229</v>
      </c>
      <c r="B233" s="2"/>
      <c r="C233" s="2"/>
      <c r="D233" s="2"/>
      <c r="E233" s="10"/>
      <c r="F233" s="11"/>
      <c r="G233" s="2"/>
      <c r="H233" s="2"/>
      <c r="I233" s="2"/>
      <c r="J233" s="2"/>
      <c r="K233" s="12"/>
      <c r="L233" s="2"/>
      <c r="M233" s="2"/>
      <c r="N233" s="67"/>
    </row>
    <row r="234" spans="1:14" x14ac:dyDescent="0.35">
      <c r="A234" s="61">
        <v>230</v>
      </c>
      <c r="B234" s="2"/>
      <c r="C234" s="2"/>
      <c r="D234" s="2"/>
      <c r="E234" s="10"/>
      <c r="F234" s="11"/>
      <c r="G234" s="2"/>
      <c r="H234" s="2"/>
      <c r="I234" s="2"/>
      <c r="J234" s="2"/>
      <c r="K234" s="12"/>
      <c r="L234" s="2"/>
      <c r="M234" s="2"/>
      <c r="N234" s="67"/>
    </row>
    <row r="235" spans="1:14" x14ac:dyDescent="0.35">
      <c r="A235" s="61">
        <v>231</v>
      </c>
      <c r="B235" s="2"/>
      <c r="C235" s="2"/>
      <c r="D235" s="2"/>
      <c r="E235" s="10"/>
      <c r="F235" s="11"/>
      <c r="G235" s="2"/>
      <c r="H235" s="2"/>
      <c r="I235" s="2"/>
      <c r="J235" s="2"/>
      <c r="K235" s="12"/>
      <c r="L235" s="2"/>
      <c r="M235" s="2"/>
      <c r="N235" s="67"/>
    </row>
    <row r="236" spans="1:14" x14ac:dyDescent="0.35">
      <c r="A236" s="61">
        <v>232</v>
      </c>
      <c r="B236" s="2"/>
      <c r="C236" s="2"/>
      <c r="D236" s="2"/>
      <c r="E236" s="10"/>
      <c r="F236" s="11"/>
      <c r="G236" s="2"/>
      <c r="H236" s="2"/>
      <c r="I236" s="2"/>
      <c r="J236" s="2"/>
      <c r="K236" s="12"/>
      <c r="L236" s="2"/>
      <c r="M236" s="2"/>
      <c r="N236" s="67"/>
    </row>
    <row r="237" spans="1:14" x14ac:dyDescent="0.35">
      <c r="A237" s="61">
        <v>233</v>
      </c>
      <c r="B237" s="2"/>
      <c r="C237" s="2"/>
      <c r="D237" s="2"/>
      <c r="E237" s="10"/>
      <c r="F237" s="11"/>
      <c r="G237" s="2"/>
      <c r="H237" s="2"/>
      <c r="I237" s="2"/>
      <c r="J237" s="2"/>
      <c r="K237" s="12"/>
      <c r="L237" s="2"/>
      <c r="M237" s="2"/>
      <c r="N237" s="67"/>
    </row>
    <row r="238" spans="1:14" x14ac:dyDescent="0.35">
      <c r="A238" s="61">
        <v>234</v>
      </c>
      <c r="B238" s="2"/>
      <c r="C238" s="2"/>
      <c r="D238" s="2"/>
      <c r="E238" s="10"/>
      <c r="F238" s="11"/>
      <c r="G238" s="2"/>
      <c r="H238" s="2"/>
      <c r="I238" s="2"/>
      <c r="J238" s="2"/>
      <c r="K238" s="12"/>
      <c r="L238" s="2"/>
      <c r="M238" s="2"/>
      <c r="N238" s="67"/>
    </row>
    <row r="239" spans="1:14" x14ac:dyDescent="0.35">
      <c r="A239" s="61">
        <v>235</v>
      </c>
      <c r="B239" s="2"/>
      <c r="C239" s="2"/>
      <c r="D239" s="2"/>
      <c r="E239" s="10"/>
      <c r="F239" s="11"/>
      <c r="G239" s="2"/>
      <c r="H239" s="2"/>
      <c r="I239" s="2"/>
      <c r="J239" s="2"/>
      <c r="K239" s="12"/>
      <c r="L239" s="2"/>
      <c r="M239" s="2"/>
      <c r="N239" s="67"/>
    </row>
    <row r="240" spans="1:14" x14ac:dyDescent="0.35">
      <c r="A240" s="61">
        <v>236</v>
      </c>
      <c r="B240" s="2"/>
      <c r="C240" s="2"/>
      <c r="D240" s="2"/>
      <c r="E240" s="10"/>
      <c r="F240" s="11"/>
      <c r="G240" s="2"/>
      <c r="H240" s="2"/>
      <c r="I240" s="2"/>
      <c r="J240" s="2"/>
      <c r="K240" s="12"/>
      <c r="L240" s="2"/>
      <c r="M240" s="2"/>
      <c r="N240" s="67"/>
    </row>
    <row r="241" spans="1:14" x14ac:dyDescent="0.35">
      <c r="A241" s="61">
        <v>237</v>
      </c>
      <c r="B241" s="2"/>
      <c r="C241" s="2"/>
      <c r="D241" s="2"/>
      <c r="E241" s="10"/>
      <c r="F241" s="11"/>
      <c r="G241" s="2"/>
      <c r="H241" s="2"/>
      <c r="I241" s="2"/>
      <c r="J241" s="2"/>
      <c r="K241" s="12"/>
      <c r="L241" s="2"/>
      <c r="M241" s="2"/>
      <c r="N241" s="67"/>
    </row>
    <row r="242" spans="1:14" x14ac:dyDescent="0.35">
      <c r="A242" s="61">
        <v>238</v>
      </c>
      <c r="B242" s="2"/>
      <c r="C242" s="2"/>
      <c r="D242" s="2"/>
      <c r="E242" s="10"/>
      <c r="F242" s="11"/>
      <c r="G242" s="2"/>
      <c r="H242" s="2"/>
      <c r="I242" s="2"/>
      <c r="J242" s="2"/>
      <c r="K242" s="12"/>
      <c r="L242" s="2"/>
      <c r="M242" s="2"/>
      <c r="N242" s="67"/>
    </row>
    <row r="243" spans="1:14" x14ac:dyDescent="0.35">
      <c r="A243" s="61">
        <v>239</v>
      </c>
      <c r="B243" s="2"/>
      <c r="C243" s="2"/>
      <c r="D243" s="2"/>
      <c r="E243" s="10"/>
      <c r="F243" s="11"/>
      <c r="G243" s="2"/>
      <c r="H243" s="2"/>
      <c r="I243" s="2"/>
      <c r="J243" s="2"/>
      <c r="K243" s="12"/>
      <c r="L243" s="2"/>
      <c r="M243" s="2"/>
      <c r="N243" s="67"/>
    </row>
    <row r="244" spans="1:14" x14ac:dyDescent="0.35">
      <c r="A244" s="61">
        <v>240</v>
      </c>
      <c r="B244" s="2"/>
      <c r="C244" s="2"/>
      <c r="D244" s="2"/>
      <c r="E244" s="10"/>
      <c r="F244" s="11"/>
      <c r="G244" s="2"/>
      <c r="H244" s="2"/>
      <c r="I244" s="2"/>
      <c r="J244" s="2"/>
      <c r="K244" s="12"/>
      <c r="L244" s="2"/>
      <c r="M244" s="2"/>
      <c r="N244" s="67"/>
    </row>
    <row r="245" spans="1:14" x14ac:dyDescent="0.35">
      <c r="A245" s="61">
        <v>241</v>
      </c>
      <c r="B245" s="2"/>
      <c r="C245" s="2"/>
      <c r="D245" s="2"/>
      <c r="E245" s="10"/>
      <c r="F245" s="11"/>
      <c r="G245" s="2"/>
      <c r="H245" s="2"/>
      <c r="I245" s="2"/>
      <c r="J245" s="2"/>
      <c r="K245" s="12"/>
      <c r="L245" s="2"/>
      <c r="M245" s="2"/>
      <c r="N245" s="67"/>
    </row>
    <row r="246" spans="1:14" x14ac:dyDescent="0.35">
      <c r="A246" s="61">
        <v>242</v>
      </c>
      <c r="B246" s="2"/>
      <c r="C246" s="2"/>
      <c r="D246" s="2"/>
      <c r="E246" s="10"/>
      <c r="F246" s="11"/>
      <c r="G246" s="2"/>
      <c r="H246" s="2"/>
      <c r="I246" s="2"/>
      <c r="J246" s="2"/>
      <c r="K246" s="12"/>
      <c r="L246" s="2"/>
      <c r="M246" s="2"/>
      <c r="N246" s="67"/>
    </row>
    <row r="247" spans="1:14" x14ac:dyDescent="0.35">
      <c r="A247" s="61">
        <v>243</v>
      </c>
      <c r="B247" s="2"/>
      <c r="C247" s="2"/>
      <c r="D247" s="2"/>
      <c r="E247" s="10"/>
      <c r="F247" s="11"/>
      <c r="G247" s="2"/>
      <c r="H247" s="2"/>
      <c r="I247" s="2"/>
      <c r="J247" s="2"/>
      <c r="K247" s="12"/>
      <c r="L247" s="2"/>
      <c r="M247" s="2"/>
      <c r="N247" s="67"/>
    </row>
    <row r="248" spans="1:14" x14ac:dyDescent="0.35">
      <c r="A248" s="61">
        <v>244</v>
      </c>
      <c r="B248" s="2"/>
      <c r="C248" s="2"/>
      <c r="D248" s="2"/>
      <c r="E248" s="10"/>
      <c r="F248" s="11"/>
      <c r="G248" s="2"/>
      <c r="H248" s="2"/>
      <c r="I248" s="2"/>
      <c r="J248" s="2"/>
      <c r="K248" s="12"/>
      <c r="L248" s="2"/>
      <c r="M248" s="2"/>
      <c r="N248" s="67"/>
    </row>
    <row r="249" spans="1:14" x14ac:dyDescent="0.35">
      <c r="A249" s="61">
        <v>245</v>
      </c>
      <c r="B249" s="2"/>
      <c r="C249" s="2"/>
      <c r="D249" s="2"/>
      <c r="E249" s="10"/>
      <c r="F249" s="11"/>
      <c r="G249" s="2"/>
      <c r="H249" s="2"/>
      <c r="I249" s="2"/>
      <c r="J249" s="2"/>
      <c r="K249" s="12"/>
      <c r="L249" s="2"/>
      <c r="M249" s="2"/>
      <c r="N249" s="67"/>
    </row>
    <row r="250" spans="1:14" x14ac:dyDescent="0.35">
      <c r="A250" s="61">
        <v>246</v>
      </c>
      <c r="B250" s="2"/>
      <c r="C250" s="2"/>
      <c r="D250" s="2"/>
      <c r="E250" s="10"/>
      <c r="F250" s="11"/>
      <c r="G250" s="2"/>
      <c r="H250" s="2"/>
      <c r="I250" s="2"/>
      <c r="J250" s="2"/>
      <c r="K250" s="12"/>
      <c r="L250" s="2"/>
      <c r="M250" s="2"/>
      <c r="N250" s="67"/>
    </row>
    <row r="251" spans="1:14" x14ac:dyDescent="0.35">
      <c r="A251" s="61">
        <v>247</v>
      </c>
      <c r="B251" s="2"/>
      <c r="C251" s="2"/>
      <c r="D251" s="2"/>
      <c r="E251" s="10"/>
      <c r="F251" s="11"/>
      <c r="G251" s="2"/>
      <c r="H251" s="2"/>
      <c r="I251" s="2"/>
      <c r="J251" s="2"/>
      <c r="K251" s="12"/>
      <c r="L251" s="2"/>
      <c r="M251" s="2"/>
      <c r="N251" s="67"/>
    </row>
    <row r="252" spans="1:14" x14ac:dyDescent="0.35">
      <c r="A252" s="61">
        <v>248</v>
      </c>
      <c r="B252" s="2"/>
      <c r="C252" s="2"/>
      <c r="D252" s="2"/>
      <c r="E252" s="10"/>
      <c r="F252" s="11"/>
      <c r="G252" s="2"/>
      <c r="H252" s="2"/>
      <c r="I252" s="2"/>
      <c r="J252" s="2"/>
      <c r="K252" s="12"/>
      <c r="L252" s="2"/>
      <c r="M252" s="2"/>
      <c r="N252" s="67"/>
    </row>
    <row r="253" spans="1:14" x14ac:dyDescent="0.35">
      <c r="A253" s="61">
        <v>249</v>
      </c>
      <c r="B253" s="2"/>
      <c r="C253" s="2"/>
      <c r="D253" s="2"/>
      <c r="E253" s="10"/>
      <c r="F253" s="11"/>
      <c r="G253" s="2"/>
      <c r="H253" s="2"/>
      <c r="I253" s="2"/>
      <c r="J253" s="2"/>
      <c r="K253" s="12"/>
      <c r="L253" s="2"/>
      <c r="M253" s="2"/>
      <c r="N253" s="67"/>
    </row>
    <row r="254" spans="1:14" x14ac:dyDescent="0.35">
      <c r="A254" s="61">
        <v>250</v>
      </c>
      <c r="B254" s="2"/>
      <c r="C254" s="2"/>
      <c r="D254" s="2"/>
      <c r="E254" s="10"/>
      <c r="F254" s="11"/>
      <c r="G254" s="2"/>
      <c r="H254" s="2"/>
      <c r="I254" s="2"/>
      <c r="J254" s="2"/>
      <c r="K254" s="12"/>
      <c r="L254" s="2"/>
      <c r="M254" s="2"/>
      <c r="N254" s="67"/>
    </row>
    <row r="255" spans="1:14" x14ac:dyDescent="0.35">
      <c r="A255" s="61">
        <v>251</v>
      </c>
      <c r="B255" s="2"/>
      <c r="C255" s="2"/>
      <c r="D255" s="2"/>
      <c r="E255" s="10"/>
      <c r="F255" s="11"/>
      <c r="G255" s="2"/>
      <c r="H255" s="2"/>
      <c r="I255" s="2"/>
      <c r="J255" s="2"/>
      <c r="K255" s="12"/>
      <c r="L255" s="2"/>
      <c r="M255" s="2"/>
      <c r="N255" s="67"/>
    </row>
    <row r="256" spans="1:14" x14ac:dyDescent="0.35">
      <c r="A256" s="61">
        <v>252</v>
      </c>
      <c r="B256" s="2"/>
      <c r="C256" s="2"/>
      <c r="D256" s="2"/>
      <c r="E256" s="10"/>
      <c r="F256" s="11"/>
      <c r="G256" s="2"/>
      <c r="H256" s="2"/>
      <c r="I256" s="2"/>
      <c r="J256" s="2"/>
      <c r="K256" s="12"/>
      <c r="L256" s="2"/>
      <c r="M256" s="2"/>
      <c r="N256" s="67"/>
    </row>
    <row r="257" spans="1:14" x14ac:dyDescent="0.35">
      <c r="A257" s="61">
        <v>253</v>
      </c>
      <c r="B257" s="2"/>
      <c r="C257" s="2"/>
      <c r="D257" s="2"/>
      <c r="E257" s="10"/>
      <c r="F257" s="11"/>
      <c r="G257" s="2"/>
      <c r="H257" s="2"/>
      <c r="I257" s="2"/>
      <c r="J257" s="2"/>
      <c r="K257" s="12"/>
      <c r="L257" s="2"/>
      <c r="M257" s="2"/>
      <c r="N257" s="67"/>
    </row>
    <row r="258" spans="1:14" x14ac:dyDescent="0.35">
      <c r="A258" s="61">
        <v>254</v>
      </c>
      <c r="B258" s="2"/>
      <c r="C258" s="2"/>
      <c r="D258" s="2"/>
      <c r="E258" s="10"/>
      <c r="F258" s="11"/>
      <c r="G258" s="2"/>
      <c r="H258" s="2"/>
      <c r="I258" s="2"/>
      <c r="J258" s="2"/>
      <c r="K258" s="12"/>
      <c r="L258" s="2"/>
      <c r="M258" s="2"/>
      <c r="N258" s="67"/>
    </row>
    <row r="259" spans="1:14" x14ac:dyDescent="0.35">
      <c r="A259" s="61">
        <v>255</v>
      </c>
      <c r="B259" s="2"/>
      <c r="C259" s="2"/>
      <c r="D259" s="2"/>
      <c r="E259" s="10"/>
      <c r="F259" s="11"/>
      <c r="G259" s="2"/>
      <c r="H259" s="2"/>
      <c r="I259" s="2"/>
      <c r="J259" s="2"/>
      <c r="K259" s="12"/>
      <c r="L259" s="2"/>
      <c r="M259" s="2"/>
      <c r="N259" s="67"/>
    </row>
    <row r="260" spans="1:14" x14ac:dyDescent="0.35">
      <c r="A260" s="61">
        <v>256</v>
      </c>
      <c r="B260" s="2"/>
      <c r="C260" s="2"/>
      <c r="D260" s="2"/>
      <c r="E260" s="10"/>
      <c r="F260" s="11"/>
      <c r="G260" s="2"/>
      <c r="H260" s="2"/>
      <c r="I260" s="2"/>
      <c r="J260" s="2"/>
      <c r="K260" s="12"/>
      <c r="L260" s="2"/>
      <c r="M260" s="2"/>
      <c r="N260" s="67"/>
    </row>
    <row r="261" spans="1:14" x14ac:dyDescent="0.35">
      <c r="A261" s="61">
        <v>257</v>
      </c>
      <c r="B261" s="2"/>
      <c r="C261" s="2"/>
      <c r="D261" s="2"/>
      <c r="E261" s="10"/>
      <c r="F261" s="11"/>
      <c r="G261" s="2"/>
      <c r="H261" s="2"/>
      <c r="I261" s="2"/>
      <c r="J261" s="2"/>
      <c r="K261" s="12"/>
      <c r="L261" s="2"/>
      <c r="M261" s="2"/>
      <c r="N261" s="67"/>
    </row>
    <row r="262" spans="1:14" x14ac:dyDescent="0.35">
      <c r="A262" s="61">
        <v>258</v>
      </c>
      <c r="B262" s="2"/>
      <c r="C262" s="2"/>
      <c r="D262" s="2"/>
      <c r="E262" s="10"/>
      <c r="F262" s="11"/>
      <c r="G262" s="2"/>
      <c r="H262" s="2"/>
      <c r="I262" s="2"/>
      <c r="J262" s="2"/>
      <c r="K262" s="12"/>
      <c r="L262" s="2"/>
      <c r="M262" s="2"/>
      <c r="N262" s="67"/>
    </row>
    <row r="263" spans="1:14" x14ac:dyDescent="0.35">
      <c r="A263" s="61">
        <v>259</v>
      </c>
      <c r="B263" s="2"/>
      <c r="C263" s="2"/>
      <c r="D263" s="2"/>
      <c r="E263" s="10"/>
      <c r="F263" s="11"/>
      <c r="G263" s="2"/>
      <c r="H263" s="2"/>
      <c r="I263" s="2"/>
      <c r="J263" s="2"/>
      <c r="K263" s="12"/>
      <c r="L263" s="2"/>
      <c r="M263" s="2"/>
      <c r="N263" s="67"/>
    </row>
    <row r="264" spans="1:14" x14ac:dyDescent="0.35">
      <c r="A264" s="61">
        <v>260</v>
      </c>
      <c r="B264" s="2"/>
      <c r="C264" s="2"/>
      <c r="D264" s="2"/>
      <c r="E264" s="10"/>
      <c r="F264" s="11"/>
      <c r="G264" s="2"/>
      <c r="H264" s="2"/>
      <c r="I264" s="2"/>
      <c r="J264" s="2"/>
      <c r="K264" s="12"/>
      <c r="L264" s="2"/>
      <c r="M264" s="2"/>
      <c r="N264" s="67"/>
    </row>
    <row r="265" spans="1:14" x14ac:dyDescent="0.35">
      <c r="A265" s="61">
        <v>261</v>
      </c>
      <c r="B265" s="2"/>
      <c r="C265" s="2"/>
      <c r="D265" s="2"/>
      <c r="E265" s="10"/>
      <c r="F265" s="11"/>
      <c r="G265" s="2"/>
      <c r="H265" s="2"/>
      <c r="I265" s="2"/>
      <c r="J265" s="2"/>
      <c r="K265" s="12"/>
      <c r="L265" s="2"/>
      <c r="M265" s="2"/>
      <c r="N265" s="67"/>
    </row>
    <row r="266" spans="1:14" x14ac:dyDescent="0.35">
      <c r="A266" s="61">
        <v>262</v>
      </c>
      <c r="B266" s="2"/>
      <c r="C266" s="2"/>
      <c r="D266" s="2"/>
      <c r="E266" s="10"/>
      <c r="F266" s="11"/>
      <c r="G266" s="2"/>
      <c r="H266" s="2"/>
      <c r="I266" s="2"/>
      <c r="J266" s="2"/>
      <c r="K266" s="12"/>
      <c r="L266" s="2"/>
      <c r="M266" s="2"/>
      <c r="N266" s="67"/>
    </row>
    <row r="267" spans="1:14" x14ac:dyDescent="0.35">
      <c r="A267" s="61">
        <v>263</v>
      </c>
      <c r="B267" s="2"/>
      <c r="C267" s="2"/>
      <c r="D267" s="2"/>
      <c r="E267" s="10"/>
      <c r="F267" s="11"/>
      <c r="G267" s="2"/>
      <c r="H267" s="2"/>
      <c r="I267" s="2"/>
      <c r="J267" s="2"/>
      <c r="K267" s="12"/>
      <c r="L267" s="2"/>
      <c r="M267" s="2"/>
      <c r="N267" s="67"/>
    </row>
    <row r="268" spans="1:14" x14ac:dyDescent="0.35">
      <c r="A268" s="61">
        <v>264</v>
      </c>
      <c r="B268" s="2"/>
      <c r="C268" s="2"/>
      <c r="D268" s="2"/>
      <c r="E268" s="10"/>
      <c r="F268" s="11"/>
      <c r="G268" s="2"/>
      <c r="H268" s="2"/>
      <c r="I268" s="2"/>
      <c r="J268" s="2"/>
      <c r="K268" s="12"/>
      <c r="L268" s="2"/>
      <c r="M268" s="2"/>
      <c r="N268" s="67"/>
    </row>
    <row r="269" spans="1:14" x14ac:dyDescent="0.35">
      <c r="A269" s="61">
        <v>265</v>
      </c>
      <c r="B269" s="2"/>
      <c r="C269" s="2"/>
      <c r="D269" s="2"/>
      <c r="E269" s="10"/>
      <c r="F269" s="11"/>
      <c r="G269" s="2"/>
      <c r="H269" s="2"/>
      <c r="I269" s="2"/>
      <c r="J269" s="2"/>
      <c r="K269" s="12"/>
      <c r="L269" s="2"/>
      <c r="M269" s="2"/>
      <c r="N269" s="67"/>
    </row>
    <row r="270" spans="1:14" x14ac:dyDescent="0.35">
      <c r="A270" s="61">
        <v>266</v>
      </c>
      <c r="B270" s="2"/>
      <c r="C270" s="2"/>
      <c r="D270" s="2"/>
      <c r="E270" s="10"/>
      <c r="F270" s="11"/>
      <c r="G270" s="2"/>
      <c r="H270" s="2"/>
      <c r="I270" s="2"/>
      <c r="J270" s="2"/>
      <c r="K270" s="12"/>
      <c r="L270" s="2"/>
      <c r="M270" s="2"/>
      <c r="N270" s="67"/>
    </row>
    <row r="271" spans="1:14" x14ac:dyDescent="0.35">
      <c r="A271" s="61">
        <v>267</v>
      </c>
      <c r="B271" s="2"/>
      <c r="C271" s="2"/>
      <c r="D271" s="2"/>
      <c r="E271" s="10"/>
      <c r="F271" s="11"/>
      <c r="G271" s="2"/>
      <c r="H271" s="2"/>
      <c r="I271" s="2"/>
      <c r="J271" s="2"/>
      <c r="K271" s="12"/>
      <c r="L271" s="2"/>
      <c r="M271" s="2"/>
      <c r="N271" s="67"/>
    </row>
    <row r="272" spans="1:14" x14ac:dyDescent="0.35">
      <c r="A272" s="61">
        <v>268</v>
      </c>
      <c r="B272" s="2"/>
      <c r="C272" s="2"/>
      <c r="D272" s="2"/>
      <c r="E272" s="10"/>
      <c r="F272" s="11"/>
      <c r="G272" s="2"/>
      <c r="H272" s="2"/>
      <c r="I272" s="2"/>
      <c r="J272" s="2"/>
      <c r="K272" s="12"/>
      <c r="L272" s="2"/>
      <c r="M272" s="2"/>
      <c r="N272" s="67"/>
    </row>
    <row r="273" spans="1:14" x14ac:dyDescent="0.35">
      <c r="A273" s="61">
        <v>269</v>
      </c>
      <c r="B273" s="2"/>
      <c r="C273" s="2"/>
      <c r="D273" s="2"/>
      <c r="E273" s="10"/>
      <c r="F273" s="11"/>
      <c r="G273" s="2"/>
      <c r="H273" s="2"/>
      <c r="I273" s="2"/>
      <c r="J273" s="2"/>
      <c r="K273" s="12"/>
      <c r="L273" s="2"/>
      <c r="M273" s="2"/>
      <c r="N273" s="67"/>
    </row>
    <row r="274" spans="1:14" x14ac:dyDescent="0.35">
      <c r="A274" s="61">
        <v>270</v>
      </c>
      <c r="B274" s="2"/>
      <c r="C274" s="2"/>
      <c r="D274" s="2"/>
      <c r="E274" s="10"/>
      <c r="F274" s="11"/>
      <c r="G274" s="2"/>
      <c r="H274" s="2"/>
      <c r="I274" s="2"/>
      <c r="J274" s="2"/>
      <c r="K274" s="12"/>
      <c r="L274" s="2"/>
      <c r="M274" s="2"/>
      <c r="N274" s="67"/>
    </row>
    <row r="275" spans="1:14" x14ac:dyDescent="0.35">
      <c r="A275" s="61">
        <v>271</v>
      </c>
      <c r="B275" s="2"/>
      <c r="C275" s="2"/>
      <c r="D275" s="2"/>
      <c r="E275" s="10"/>
      <c r="F275" s="11"/>
      <c r="G275" s="2"/>
      <c r="H275" s="2"/>
      <c r="I275" s="2"/>
      <c r="J275" s="2"/>
      <c r="K275" s="12"/>
      <c r="L275" s="2"/>
      <c r="M275" s="2"/>
      <c r="N275" s="67"/>
    </row>
    <row r="276" spans="1:14" x14ac:dyDescent="0.35">
      <c r="A276" s="61">
        <v>272</v>
      </c>
      <c r="B276" s="2"/>
      <c r="C276" s="2"/>
      <c r="D276" s="2"/>
      <c r="E276" s="10"/>
      <c r="F276" s="11"/>
      <c r="G276" s="2"/>
      <c r="H276" s="2"/>
      <c r="I276" s="2"/>
      <c r="J276" s="2"/>
      <c r="K276" s="12"/>
      <c r="L276" s="2"/>
      <c r="M276" s="2"/>
      <c r="N276" s="67"/>
    </row>
    <row r="277" spans="1:14" x14ac:dyDescent="0.35">
      <c r="A277" s="61">
        <v>273</v>
      </c>
      <c r="B277" s="2"/>
      <c r="C277" s="2"/>
      <c r="D277" s="2"/>
      <c r="E277" s="10"/>
      <c r="F277" s="11"/>
      <c r="G277" s="2"/>
      <c r="H277" s="2"/>
      <c r="I277" s="2"/>
      <c r="J277" s="2"/>
      <c r="K277" s="12"/>
      <c r="L277" s="2"/>
      <c r="M277" s="2"/>
      <c r="N277" s="67"/>
    </row>
    <row r="278" spans="1:14" x14ac:dyDescent="0.35">
      <c r="A278" s="61">
        <v>274</v>
      </c>
      <c r="B278" s="2"/>
      <c r="C278" s="2"/>
      <c r="D278" s="2"/>
      <c r="E278" s="10"/>
      <c r="F278" s="11"/>
      <c r="G278" s="2"/>
      <c r="H278" s="2"/>
      <c r="I278" s="2"/>
      <c r="J278" s="2"/>
      <c r="K278" s="12"/>
      <c r="L278" s="2"/>
      <c r="M278" s="2"/>
      <c r="N278" s="67"/>
    </row>
    <row r="279" spans="1:14" x14ac:dyDescent="0.35">
      <c r="A279" s="61">
        <v>275</v>
      </c>
      <c r="B279" s="2"/>
      <c r="C279" s="2"/>
      <c r="D279" s="2"/>
      <c r="E279" s="10"/>
      <c r="F279" s="11"/>
      <c r="G279" s="2"/>
      <c r="H279" s="2"/>
      <c r="I279" s="2"/>
      <c r="J279" s="2"/>
      <c r="K279" s="12"/>
      <c r="L279" s="2"/>
      <c r="M279" s="2"/>
      <c r="N279" s="67"/>
    </row>
    <row r="280" spans="1:14" x14ac:dyDescent="0.35">
      <c r="A280" s="61">
        <v>276</v>
      </c>
      <c r="B280" s="2"/>
      <c r="C280" s="2"/>
      <c r="D280" s="2"/>
      <c r="E280" s="10"/>
      <c r="F280" s="11"/>
      <c r="G280" s="2"/>
      <c r="H280" s="2"/>
      <c r="I280" s="2"/>
      <c r="J280" s="2"/>
      <c r="K280" s="12"/>
      <c r="L280" s="2"/>
      <c r="M280" s="2"/>
      <c r="N280" s="67"/>
    </row>
    <row r="281" spans="1:14" x14ac:dyDescent="0.35">
      <c r="A281" s="61">
        <v>277</v>
      </c>
      <c r="B281" s="2"/>
      <c r="C281" s="2"/>
      <c r="D281" s="2"/>
      <c r="E281" s="10"/>
      <c r="F281" s="11"/>
      <c r="G281" s="2"/>
      <c r="H281" s="2"/>
      <c r="I281" s="2"/>
      <c r="J281" s="2"/>
      <c r="K281" s="12"/>
      <c r="L281" s="2"/>
      <c r="M281" s="2"/>
      <c r="N281" s="67"/>
    </row>
    <row r="282" spans="1:14" x14ac:dyDescent="0.35">
      <c r="A282" s="61">
        <v>278</v>
      </c>
      <c r="B282" s="2"/>
      <c r="C282" s="2"/>
      <c r="D282" s="2"/>
      <c r="E282" s="10"/>
      <c r="F282" s="11"/>
      <c r="G282" s="2"/>
      <c r="H282" s="2"/>
      <c r="I282" s="2"/>
      <c r="J282" s="2"/>
      <c r="K282" s="12"/>
      <c r="L282" s="2"/>
      <c r="M282" s="2"/>
      <c r="N282" s="67"/>
    </row>
    <row r="283" spans="1:14" x14ac:dyDescent="0.35">
      <c r="A283" s="61">
        <v>279</v>
      </c>
      <c r="B283" s="2"/>
      <c r="C283" s="2"/>
      <c r="D283" s="2"/>
      <c r="E283" s="10"/>
      <c r="F283" s="11"/>
      <c r="G283" s="2"/>
      <c r="H283" s="2"/>
      <c r="I283" s="2"/>
      <c r="J283" s="2"/>
      <c r="K283" s="12"/>
      <c r="L283" s="2"/>
      <c r="M283" s="2"/>
      <c r="N283" s="67"/>
    </row>
    <row r="284" spans="1:14" x14ac:dyDescent="0.35">
      <c r="A284" s="61">
        <v>280</v>
      </c>
      <c r="B284" s="2"/>
      <c r="C284" s="2"/>
      <c r="D284" s="2"/>
      <c r="E284" s="10"/>
      <c r="F284" s="11"/>
      <c r="G284" s="2"/>
      <c r="H284" s="2"/>
      <c r="I284" s="2"/>
      <c r="J284" s="2"/>
      <c r="K284" s="12"/>
      <c r="L284" s="2"/>
      <c r="M284" s="2"/>
      <c r="N284" s="67"/>
    </row>
    <row r="285" spans="1:14" x14ac:dyDescent="0.35">
      <c r="A285" s="61">
        <v>281</v>
      </c>
      <c r="B285" s="2"/>
      <c r="C285" s="2"/>
      <c r="D285" s="2"/>
      <c r="E285" s="10"/>
      <c r="F285" s="11"/>
      <c r="G285" s="2"/>
      <c r="H285" s="2"/>
      <c r="I285" s="2"/>
      <c r="J285" s="2"/>
      <c r="K285" s="12"/>
      <c r="L285" s="2"/>
      <c r="M285" s="2"/>
      <c r="N285" s="67"/>
    </row>
    <row r="286" spans="1:14" x14ac:dyDescent="0.35">
      <c r="A286" s="61">
        <v>282</v>
      </c>
      <c r="B286" s="2"/>
      <c r="C286" s="2"/>
      <c r="D286" s="2"/>
      <c r="E286" s="10"/>
      <c r="F286" s="11"/>
      <c r="G286" s="2"/>
      <c r="H286" s="2"/>
      <c r="I286" s="2"/>
      <c r="J286" s="2"/>
      <c r="K286" s="12"/>
      <c r="L286" s="2"/>
      <c r="M286" s="2"/>
      <c r="N286" s="67"/>
    </row>
    <row r="287" spans="1:14" x14ac:dyDescent="0.35">
      <c r="A287" s="61">
        <v>283</v>
      </c>
      <c r="B287" s="2"/>
      <c r="C287" s="2"/>
      <c r="D287" s="2"/>
      <c r="E287" s="10"/>
      <c r="F287" s="11"/>
      <c r="G287" s="2"/>
      <c r="H287" s="2"/>
      <c r="I287" s="2"/>
      <c r="J287" s="2"/>
      <c r="K287" s="12"/>
      <c r="L287" s="2"/>
      <c r="M287" s="2"/>
      <c r="N287" s="67"/>
    </row>
    <row r="288" spans="1:14" x14ac:dyDescent="0.35">
      <c r="A288" s="61">
        <v>284</v>
      </c>
      <c r="B288" s="2"/>
      <c r="C288" s="2"/>
      <c r="D288" s="2"/>
      <c r="E288" s="10"/>
      <c r="F288" s="11"/>
      <c r="G288" s="2"/>
      <c r="H288" s="2"/>
      <c r="I288" s="2"/>
      <c r="J288" s="2"/>
      <c r="K288" s="12"/>
      <c r="L288" s="2"/>
      <c r="M288" s="2"/>
      <c r="N288" s="67"/>
    </row>
    <row r="289" spans="1:14" x14ac:dyDescent="0.35">
      <c r="A289" s="61">
        <v>285</v>
      </c>
      <c r="B289" s="2"/>
      <c r="C289" s="2"/>
      <c r="D289" s="2"/>
      <c r="E289" s="10"/>
      <c r="F289" s="11"/>
      <c r="G289" s="2"/>
      <c r="H289" s="2"/>
      <c r="I289" s="2"/>
      <c r="J289" s="2"/>
      <c r="K289" s="12"/>
      <c r="L289" s="2"/>
      <c r="M289" s="2"/>
      <c r="N289" s="67"/>
    </row>
    <row r="290" spans="1:14" x14ac:dyDescent="0.35">
      <c r="A290" s="61">
        <v>286</v>
      </c>
      <c r="B290" s="2"/>
      <c r="C290" s="2"/>
      <c r="D290" s="2"/>
      <c r="E290" s="10"/>
      <c r="F290" s="11"/>
      <c r="G290" s="2"/>
      <c r="H290" s="2"/>
      <c r="I290" s="2"/>
      <c r="J290" s="2"/>
      <c r="K290" s="12"/>
      <c r="L290" s="2"/>
      <c r="M290" s="2"/>
      <c r="N290" s="67"/>
    </row>
    <row r="291" spans="1:14" x14ac:dyDescent="0.35">
      <c r="A291" s="61">
        <v>287</v>
      </c>
      <c r="B291" s="2"/>
      <c r="C291" s="2"/>
      <c r="D291" s="2"/>
      <c r="E291" s="10"/>
      <c r="F291" s="11"/>
      <c r="G291" s="2"/>
      <c r="H291" s="2"/>
      <c r="I291" s="2"/>
      <c r="J291" s="2"/>
      <c r="K291" s="12"/>
      <c r="L291" s="2"/>
      <c r="M291" s="2"/>
      <c r="N291" s="67"/>
    </row>
    <row r="292" spans="1:14" x14ac:dyDescent="0.35">
      <c r="A292" s="61">
        <v>288</v>
      </c>
      <c r="B292" s="2"/>
      <c r="C292" s="2"/>
      <c r="D292" s="2"/>
      <c r="E292" s="10"/>
      <c r="F292" s="11"/>
      <c r="G292" s="2"/>
      <c r="H292" s="2"/>
      <c r="I292" s="2"/>
      <c r="J292" s="2"/>
      <c r="K292" s="12"/>
      <c r="L292" s="2"/>
      <c r="M292" s="2"/>
      <c r="N292" s="67"/>
    </row>
    <row r="293" spans="1:14" x14ac:dyDescent="0.35">
      <c r="A293" s="61">
        <v>289</v>
      </c>
      <c r="B293" s="2"/>
      <c r="C293" s="2"/>
      <c r="D293" s="2"/>
      <c r="E293" s="10"/>
      <c r="F293" s="11"/>
      <c r="G293" s="2"/>
      <c r="H293" s="2"/>
      <c r="I293" s="2"/>
      <c r="J293" s="2"/>
      <c r="K293" s="12"/>
      <c r="L293" s="2"/>
      <c r="M293" s="2"/>
      <c r="N293" s="67"/>
    </row>
    <row r="294" spans="1:14" x14ac:dyDescent="0.35">
      <c r="A294" s="61">
        <v>290</v>
      </c>
      <c r="B294" s="2"/>
      <c r="C294" s="2"/>
      <c r="D294" s="2"/>
      <c r="E294" s="10"/>
      <c r="F294" s="11"/>
      <c r="G294" s="2"/>
      <c r="H294" s="2"/>
      <c r="I294" s="2"/>
      <c r="J294" s="2"/>
      <c r="K294" s="12"/>
      <c r="L294" s="2"/>
      <c r="M294" s="2"/>
      <c r="N294" s="67"/>
    </row>
    <row r="295" spans="1:14" x14ac:dyDescent="0.35">
      <c r="A295" s="61">
        <v>291</v>
      </c>
      <c r="B295" s="2"/>
      <c r="C295" s="2"/>
      <c r="D295" s="2"/>
      <c r="E295" s="10"/>
      <c r="F295" s="11"/>
      <c r="G295" s="2"/>
      <c r="H295" s="2"/>
      <c r="I295" s="2"/>
      <c r="J295" s="2"/>
      <c r="K295" s="12"/>
      <c r="L295" s="2"/>
      <c r="M295" s="2"/>
      <c r="N295" s="67"/>
    </row>
    <row r="296" spans="1:14" x14ac:dyDescent="0.35">
      <c r="A296" s="61">
        <v>292</v>
      </c>
      <c r="B296" s="2"/>
      <c r="C296" s="2"/>
      <c r="D296" s="2"/>
      <c r="E296" s="10"/>
      <c r="F296" s="11"/>
      <c r="G296" s="2"/>
      <c r="H296" s="2"/>
      <c r="I296" s="2"/>
      <c r="J296" s="2"/>
      <c r="K296" s="12"/>
      <c r="L296" s="2"/>
      <c r="M296" s="2"/>
      <c r="N296" s="67"/>
    </row>
    <row r="297" spans="1:14" x14ac:dyDescent="0.35">
      <c r="A297" s="61">
        <v>293</v>
      </c>
      <c r="B297" s="2"/>
      <c r="C297" s="2"/>
      <c r="D297" s="2"/>
      <c r="E297" s="10"/>
      <c r="F297" s="11"/>
      <c r="G297" s="2"/>
      <c r="H297" s="2"/>
      <c r="I297" s="2"/>
      <c r="J297" s="2"/>
      <c r="K297" s="12"/>
      <c r="L297" s="2"/>
      <c r="M297" s="2"/>
      <c r="N297" s="67"/>
    </row>
    <row r="298" spans="1:14" x14ac:dyDescent="0.35">
      <c r="A298" s="61">
        <v>294</v>
      </c>
      <c r="B298" s="2"/>
      <c r="C298" s="2"/>
      <c r="D298" s="2"/>
      <c r="E298" s="10"/>
      <c r="F298" s="11"/>
      <c r="G298" s="2"/>
      <c r="H298" s="2"/>
      <c r="I298" s="2"/>
      <c r="J298" s="2"/>
      <c r="K298" s="12"/>
      <c r="L298" s="2"/>
      <c r="M298" s="2"/>
      <c r="N298" s="67"/>
    </row>
    <row r="299" spans="1:14" x14ac:dyDescent="0.35">
      <c r="A299" s="61">
        <v>295</v>
      </c>
      <c r="B299" s="2"/>
      <c r="C299" s="2"/>
      <c r="D299" s="2"/>
      <c r="E299" s="10"/>
      <c r="F299" s="11"/>
      <c r="G299" s="2"/>
      <c r="H299" s="2"/>
      <c r="I299" s="2"/>
      <c r="J299" s="2"/>
      <c r="K299" s="12"/>
      <c r="L299" s="2"/>
      <c r="M299" s="2"/>
      <c r="N299" s="67"/>
    </row>
    <row r="300" spans="1:14" x14ac:dyDescent="0.35">
      <c r="A300" s="61">
        <v>296</v>
      </c>
      <c r="B300" s="2"/>
      <c r="C300" s="2"/>
      <c r="D300" s="2"/>
      <c r="E300" s="10"/>
      <c r="F300" s="11"/>
      <c r="G300" s="2"/>
      <c r="H300" s="2"/>
      <c r="I300" s="2"/>
      <c r="J300" s="2"/>
      <c r="K300" s="12"/>
      <c r="L300" s="2"/>
      <c r="M300" s="2"/>
      <c r="N300" s="67"/>
    </row>
    <row r="301" spans="1:14" x14ac:dyDescent="0.35">
      <c r="A301" s="61">
        <v>297</v>
      </c>
      <c r="B301" s="2"/>
      <c r="C301" s="2"/>
      <c r="D301" s="2"/>
      <c r="E301" s="10"/>
      <c r="F301" s="11"/>
      <c r="G301" s="2"/>
      <c r="H301" s="2"/>
      <c r="I301" s="2"/>
      <c r="J301" s="2"/>
      <c r="K301" s="12"/>
      <c r="L301" s="2"/>
      <c r="M301" s="2"/>
      <c r="N301" s="67"/>
    </row>
    <row r="302" spans="1:14" x14ac:dyDescent="0.35">
      <c r="A302" s="61">
        <v>298</v>
      </c>
      <c r="B302" s="2"/>
      <c r="C302" s="2"/>
      <c r="D302" s="2"/>
      <c r="E302" s="10"/>
      <c r="F302" s="11"/>
      <c r="G302" s="2"/>
      <c r="H302" s="2"/>
      <c r="I302" s="2"/>
      <c r="J302" s="2"/>
      <c r="K302" s="12"/>
      <c r="L302" s="2"/>
      <c r="M302" s="2"/>
      <c r="N302" s="67"/>
    </row>
    <row r="303" spans="1:14" x14ac:dyDescent="0.35">
      <c r="A303" s="61">
        <v>299</v>
      </c>
      <c r="B303" s="2"/>
      <c r="C303" s="2"/>
      <c r="D303" s="2"/>
      <c r="E303" s="10"/>
      <c r="F303" s="11"/>
      <c r="G303" s="2"/>
      <c r="H303" s="2"/>
      <c r="I303" s="2"/>
      <c r="J303" s="2"/>
      <c r="K303" s="12"/>
      <c r="L303" s="2"/>
      <c r="M303" s="2"/>
      <c r="N303" s="67"/>
    </row>
    <row r="304" spans="1:14" x14ac:dyDescent="0.35">
      <c r="A304" s="61">
        <v>300</v>
      </c>
      <c r="B304" s="2"/>
      <c r="C304" s="2"/>
      <c r="D304" s="2"/>
      <c r="E304" s="10"/>
      <c r="F304" s="11"/>
      <c r="G304" s="2"/>
      <c r="H304" s="2"/>
      <c r="I304" s="2"/>
      <c r="J304" s="2"/>
      <c r="K304" s="12"/>
      <c r="L304" s="2"/>
      <c r="M304" s="2"/>
      <c r="N304" s="67"/>
    </row>
    <row r="305" spans="1:14" x14ac:dyDescent="0.35">
      <c r="A305" s="61">
        <v>301</v>
      </c>
      <c r="B305" s="2"/>
      <c r="C305" s="2"/>
      <c r="D305" s="2"/>
      <c r="E305" s="10"/>
      <c r="F305" s="11"/>
      <c r="G305" s="2"/>
      <c r="H305" s="2"/>
      <c r="I305" s="2"/>
      <c r="J305" s="2"/>
      <c r="K305" s="12"/>
      <c r="L305" s="2"/>
      <c r="M305" s="2"/>
      <c r="N305" s="67"/>
    </row>
    <row r="306" spans="1:14" x14ac:dyDescent="0.35">
      <c r="A306" s="61">
        <v>302</v>
      </c>
      <c r="B306" s="2"/>
      <c r="C306" s="2"/>
      <c r="D306" s="2"/>
      <c r="E306" s="10"/>
      <c r="F306" s="11"/>
      <c r="G306" s="2"/>
      <c r="H306" s="2"/>
      <c r="I306" s="2"/>
      <c r="J306" s="2"/>
      <c r="K306" s="12"/>
      <c r="L306" s="2"/>
      <c r="M306" s="2"/>
      <c r="N306" s="67"/>
    </row>
    <row r="307" spans="1:14" x14ac:dyDescent="0.35">
      <c r="A307" s="61">
        <v>303</v>
      </c>
      <c r="B307" s="2"/>
      <c r="C307" s="2"/>
      <c r="D307" s="2"/>
      <c r="E307" s="10"/>
      <c r="F307" s="11"/>
      <c r="G307" s="2"/>
      <c r="H307" s="2"/>
      <c r="I307" s="2"/>
      <c r="J307" s="2"/>
      <c r="K307" s="12"/>
      <c r="L307" s="2"/>
      <c r="M307" s="2"/>
      <c r="N307" s="67"/>
    </row>
    <row r="308" spans="1:14" x14ac:dyDescent="0.35">
      <c r="A308" s="61">
        <v>304</v>
      </c>
      <c r="B308" s="2"/>
      <c r="C308" s="2"/>
      <c r="D308" s="2"/>
      <c r="E308" s="10"/>
      <c r="F308" s="11"/>
      <c r="G308" s="2"/>
      <c r="H308" s="2"/>
      <c r="I308" s="2"/>
      <c r="J308" s="2"/>
      <c r="K308" s="12"/>
      <c r="L308" s="2"/>
      <c r="M308" s="2"/>
      <c r="N308" s="67"/>
    </row>
    <row r="309" spans="1:14" x14ac:dyDescent="0.35">
      <c r="A309" s="61">
        <v>305</v>
      </c>
      <c r="B309" s="2"/>
      <c r="C309" s="2"/>
      <c r="D309" s="2"/>
      <c r="E309" s="10"/>
      <c r="F309" s="11"/>
      <c r="G309" s="2"/>
      <c r="H309" s="2"/>
      <c r="I309" s="2"/>
      <c r="J309" s="2"/>
      <c r="K309" s="12"/>
      <c r="L309" s="2"/>
      <c r="M309" s="2"/>
      <c r="N309" s="67"/>
    </row>
    <row r="310" spans="1:14" x14ac:dyDescent="0.35">
      <c r="A310" s="61">
        <v>306</v>
      </c>
      <c r="B310" s="2"/>
      <c r="C310" s="2"/>
      <c r="D310" s="2"/>
      <c r="E310" s="10"/>
      <c r="F310" s="11"/>
      <c r="G310" s="2"/>
      <c r="H310" s="2"/>
      <c r="I310" s="2"/>
      <c r="J310" s="2"/>
      <c r="K310" s="12"/>
      <c r="L310" s="2"/>
      <c r="M310" s="2"/>
      <c r="N310" s="67"/>
    </row>
    <row r="311" spans="1:14" x14ac:dyDescent="0.35">
      <c r="A311" s="61">
        <v>307</v>
      </c>
      <c r="B311" s="2"/>
      <c r="C311" s="2"/>
      <c r="D311" s="2"/>
      <c r="E311" s="10"/>
      <c r="F311" s="11"/>
      <c r="G311" s="2"/>
      <c r="H311" s="2"/>
      <c r="I311" s="2"/>
      <c r="J311" s="2"/>
      <c r="K311" s="12"/>
      <c r="L311" s="2"/>
      <c r="M311" s="2"/>
      <c r="N311" s="67"/>
    </row>
    <row r="312" spans="1:14" x14ac:dyDescent="0.35">
      <c r="A312" s="61">
        <v>308</v>
      </c>
      <c r="B312" s="2"/>
      <c r="C312" s="2"/>
      <c r="D312" s="2"/>
      <c r="E312" s="10"/>
      <c r="F312" s="11"/>
      <c r="G312" s="2"/>
      <c r="H312" s="2"/>
      <c r="I312" s="2"/>
      <c r="J312" s="2"/>
      <c r="K312" s="12"/>
      <c r="L312" s="2"/>
      <c r="M312" s="2"/>
      <c r="N312" s="67"/>
    </row>
    <row r="313" spans="1:14" x14ac:dyDescent="0.35">
      <c r="A313" s="61">
        <v>309</v>
      </c>
      <c r="B313" s="2"/>
      <c r="C313" s="2"/>
      <c r="D313" s="2"/>
      <c r="E313" s="10"/>
      <c r="F313" s="11"/>
      <c r="G313" s="2"/>
      <c r="H313" s="2"/>
      <c r="I313" s="2"/>
      <c r="J313" s="2"/>
      <c r="K313" s="12"/>
      <c r="L313" s="2"/>
      <c r="M313" s="2"/>
      <c r="N313" s="67"/>
    </row>
    <row r="314" spans="1:14" x14ac:dyDescent="0.35">
      <c r="A314" s="61">
        <v>310</v>
      </c>
      <c r="B314" s="2"/>
      <c r="C314" s="2"/>
      <c r="D314" s="2"/>
      <c r="E314" s="10"/>
      <c r="F314" s="11"/>
      <c r="G314" s="2"/>
      <c r="H314" s="2"/>
      <c r="I314" s="2"/>
      <c r="J314" s="2"/>
      <c r="K314" s="12"/>
      <c r="L314" s="2"/>
      <c r="M314" s="2"/>
      <c r="N314" s="67"/>
    </row>
    <row r="315" spans="1:14" x14ac:dyDescent="0.35">
      <c r="A315" s="61">
        <v>311</v>
      </c>
      <c r="B315" s="2"/>
      <c r="C315" s="2"/>
      <c r="D315" s="2"/>
      <c r="E315" s="10"/>
      <c r="F315" s="11"/>
      <c r="G315" s="2"/>
      <c r="H315" s="2"/>
      <c r="I315" s="2"/>
      <c r="J315" s="2"/>
      <c r="K315" s="12"/>
      <c r="L315" s="2"/>
      <c r="M315" s="2"/>
      <c r="N315" s="67"/>
    </row>
    <row r="316" spans="1:14" x14ac:dyDescent="0.35">
      <c r="A316" s="61">
        <v>312</v>
      </c>
      <c r="B316" s="2"/>
      <c r="C316" s="2"/>
      <c r="D316" s="2"/>
      <c r="E316" s="10"/>
      <c r="F316" s="11"/>
      <c r="G316" s="2"/>
      <c r="H316" s="2"/>
      <c r="I316" s="2"/>
      <c r="J316" s="2"/>
      <c r="K316" s="12"/>
      <c r="L316" s="2"/>
      <c r="M316" s="2"/>
      <c r="N316" s="67"/>
    </row>
    <row r="317" spans="1:14" x14ac:dyDescent="0.35">
      <c r="A317" s="61">
        <v>313</v>
      </c>
      <c r="B317" s="2"/>
      <c r="C317" s="2"/>
      <c r="D317" s="2"/>
      <c r="E317" s="10"/>
      <c r="F317" s="11"/>
      <c r="G317" s="2"/>
      <c r="H317" s="2"/>
      <c r="I317" s="2"/>
      <c r="J317" s="2"/>
      <c r="K317" s="12"/>
      <c r="L317" s="2"/>
      <c r="M317" s="2"/>
      <c r="N317" s="67"/>
    </row>
    <row r="318" spans="1:14" x14ac:dyDescent="0.35">
      <c r="A318" s="61">
        <v>314</v>
      </c>
      <c r="B318" s="2"/>
      <c r="C318" s="2"/>
      <c r="D318" s="2"/>
      <c r="E318" s="10"/>
      <c r="F318" s="11"/>
      <c r="G318" s="2"/>
      <c r="H318" s="2"/>
      <c r="I318" s="2"/>
      <c r="J318" s="2"/>
      <c r="K318" s="12"/>
      <c r="L318" s="2"/>
      <c r="M318" s="2"/>
      <c r="N318" s="67"/>
    </row>
    <row r="319" spans="1:14" x14ac:dyDescent="0.35">
      <c r="A319" s="61">
        <v>315</v>
      </c>
      <c r="B319" s="2"/>
      <c r="C319" s="2"/>
      <c r="D319" s="2"/>
      <c r="E319" s="10"/>
      <c r="F319" s="11"/>
      <c r="G319" s="2"/>
      <c r="H319" s="2"/>
      <c r="I319" s="2"/>
      <c r="J319" s="2"/>
      <c r="K319" s="12"/>
      <c r="L319" s="2"/>
      <c r="M319" s="2"/>
      <c r="N319" s="67"/>
    </row>
    <row r="320" spans="1:14" x14ac:dyDescent="0.35">
      <c r="A320" s="61">
        <v>316</v>
      </c>
      <c r="B320" s="2"/>
      <c r="C320" s="2"/>
      <c r="D320" s="2"/>
      <c r="E320" s="10"/>
      <c r="F320" s="11"/>
      <c r="G320" s="2"/>
      <c r="H320" s="2"/>
      <c r="I320" s="2"/>
      <c r="J320" s="2"/>
      <c r="K320" s="12"/>
      <c r="L320" s="2"/>
      <c r="M320" s="2"/>
      <c r="N320" s="67"/>
    </row>
    <row r="321" spans="1:14" x14ac:dyDescent="0.35">
      <c r="A321" s="61">
        <v>317</v>
      </c>
      <c r="B321" s="2"/>
      <c r="C321" s="2"/>
      <c r="D321" s="2"/>
      <c r="E321" s="10"/>
      <c r="F321" s="11"/>
      <c r="G321" s="2"/>
      <c r="H321" s="2"/>
      <c r="I321" s="2"/>
      <c r="J321" s="2"/>
      <c r="K321" s="12"/>
      <c r="L321" s="2"/>
      <c r="M321" s="2"/>
      <c r="N321" s="67"/>
    </row>
    <row r="322" spans="1:14" x14ac:dyDescent="0.35">
      <c r="A322" s="61">
        <v>318</v>
      </c>
      <c r="B322" s="2"/>
      <c r="C322" s="2"/>
      <c r="D322" s="2"/>
      <c r="E322" s="10"/>
      <c r="F322" s="11"/>
      <c r="G322" s="2"/>
      <c r="H322" s="2"/>
      <c r="I322" s="2"/>
      <c r="J322" s="2"/>
      <c r="K322" s="12"/>
      <c r="L322" s="2"/>
      <c r="M322" s="2"/>
      <c r="N322" s="67"/>
    </row>
    <row r="323" spans="1:14" x14ac:dyDescent="0.35">
      <c r="A323" s="61">
        <v>319</v>
      </c>
      <c r="B323" s="2"/>
      <c r="C323" s="2"/>
      <c r="D323" s="2"/>
      <c r="E323" s="10"/>
      <c r="F323" s="11"/>
      <c r="G323" s="2"/>
      <c r="H323" s="2"/>
      <c r="I323" s="2"/>
      <c r="J323" s="2"/>
      <c r="K323" s="12"/>
      <c r="L323" s="2"/>
      <c r="M323" s="2"/>
      <c r="N323" s="67"/>
    </row>
    <row r="324" spans="1:14" x14ac:dyDescent="0.35">
      <c r="A324" s="61">
        <v>320</v>
      </c>
      <c r="B324" s="2"/>
      <c r="C324" s="2"/>
      <c r="D324" s="2"/>
      <c r="E324" s="10"/>
      <c r="F324" s="11"/>
      <c r="G324" s="2"/>
      <c r="H324" s="2"/>
      <c r="I324" s="2"/>
      <c r="J324" s="2"/>
      <c r="K324" s="12"/>
      <c r="L324" s="2"/>
      <c r="M324" s="2"/>
      <c r="N324" s="67"/>
    </row>
    <row r="325" spans="1:14" x14ac:dyDescent="0.35">
      <c r="A325" s="61">
        <v>321</v>
      </c>
      <c r="B325" s="2"/>
      <c r="C325" s="2"/>
      <c r="D325" s="2"/>
      <c r="E325" s="10"/>
      <c r="F325" s="11"/>
      <c r="G325" s="2"/>
      <c r="H325" s="2"/>
      <c r="I325" s="2"/>
      <c r="J325" s="2"/>
      <c r="K325" s="12"/>
      <c r="L325" s="2"/>
      <c r="M325" s="2"/>
      <c r="N325" s="67"/>
    </row>
    <row r="326" spans="1:14" x14ac:dyDescent="0.35">
      <c r="A326" s="61">
        <v>322</v>
      </c>
      <c r="B326" s="2"/>
      <c r="C326" s="2"/>
      <c r="D326" s="2"/>
      <c r="E326" s="10"/>
      <c r="F326" s="11"/>
      <c r="G326" s="2"/>
      <c r="H326" s="2"/>
      <c r="I326" s="2"/>
      <c r="J326" s="2"/>
      <c r="K326" s="12"/>
      <c r="L326" s="2"/>
      <c r="M326" s="2"/>
      <c r="N326" s="67"/>
    </row>
    <row r="327" spans="1:14" x14ac:dyDescent="0.35">
      <c r="A327" s="61">
        <v>323</v>
      </c>
      <c r="B327" s="2"/>
      <c r="C327" s="2"/>
      <c r="D327" s="2"/>
      <c r="E327" s="10"/>
      <c r="F327" s="11"/>
      <c r="G327" s="2"/>
      <c r="H327" s="2"/>
      <c r="I327" s="2"/>
      <c r="J327" s="2"/>
      <c r="K327" s="12"/>
      <c r="L327" s="2"/>
      <c r="M327" s="2"/>
      <c r="N327" s="67"/>
    </row>
    <row r="328" spans="1:14" x14ac:dyDescent="0.35">
      <c r="A328" s="61">
        <v>324</v>
      </c>
      <c r="B328" s="2"/>
      <c r="C328" s="2"/>
      <c r="D328" s="2"/>
      <c r="E328" s="10"/>
      <c r="F328" s="11"/>
      <c r="G328" s="2"/>
      <c r="H328" s="2"/>
      <c r="I328" s="2"/>
      <c r="J328" s="2"/>
      <c r="K328" s="12"/>
      <c r="L328" s="2"/>
      <c r="M328" s="2"/>
      <c r="N328" s="67"/>
    </row>
    <row r="329" spans="1:14" x14ac:dyDescent="0.35">
      <c r="A329" s="61">
        <v>325</v>
      </c>
      <c r="B329" s="2"/>
      <c r="C329" s="2"/>
      <c r="D329" s="2"/>
      <c r="E329" s="10"/>
      <c r="F329" s="11"/>
      <c r="G329" s="2"/>
      <c r="H329" s="2"/>
      <c r="I329" s="2"/>
      <c r="J329" s="2"/>
      <c r="K329" s="12"/>
      <c r="L329" s="2"/>
      <c r="M329" s="2"/>
      <c r="N329" s="67"/>
    </row>
    <row r="330" spans="1:14" x14ac:dyDescent="0.35">
      <c r="A330" s="61">
        <v>326</v>
      </c>
      <c r="B330" s="2"/>
      <c r="C330" s="2"/>
      <c r="D330" s="2"/>
      <c r="E330" s="10"/>
      <c r="F330" s="11"/>
      <c r="G330" s="2"/>
      <c r="H330" s="2"/>
      <c r="I330" s="2"/>
      <c r="J330" s="2"/>
      <c r="K330" s="12"/>
      <c r="L330" s="2"/>
      <c r="M330" s="2"/>
      <c r="N330" s="67"/>
    </row>
    <row r="331" spans="1:14" x14ac:dyDescent="0.35">
      <c r="A331" s="61">
        <v>327</v>
      </c>
      <c r="B331" s="2"/>
      <c r="C331" s="2"/>
      <c r="D331" s="2"/>
      <c r="E331" s="10"/>
      <c r="F331" s="11"/>
      <c r="G331" s="2"/>
      <c r="H331" s="2"/>
      <c r="I331" s="2"/>
      <c r="J331" s="2"/>
      <c r="K331" s="12"/>
      <c r="L331" s="2"/>
      <c r="M331" s="2"/>
      <c r="N331" s="67"/>
    </row>
    <row r="332" spans="1:14" x14ac:dyDescent="0.35">
      <c r="A332" s="61">
        <v>328</v>
      </c>
      <c r="B332" s="2"/>
      <c r="C332" s="2"/>
      <c r="D332" s="2"/>
      <c r="E332" s="10"/>
      <c r="F332" s="11"/>
      <c r="G332" s="2"/>
      <c r="H332" s="2"/>
      <c r="I332" s="2"/>
      <c r="J332" s="2"/>
      <c r="K332" s="12"/>
      <c r="L332" s="2"/>
      <c r="M332" s="2"/>
      <c r="N332" s="67"/>
    </row>
    <row r="333" spans="1:14" x14ac:dyDescent="0.35">
      <c r="A333" s="61">
        <v>329</v>
      </c>
      <c r="B333" s="2"/>
      <c r="C333" s="2"/>
      <c r="D333" s="2"/>
      <c r="E333" s="10"/>
      <c r="F333" s="11"/>
      <c r="G333" s="2"/>
      <c r="H333" s="2"/>
      <c r="I333" s="2"/>
      <c r="J333" s="2"/>
      <c r="K333" s="12"/>
      <c r="L333" s="2"/>
      <c r="M333" s="2"/>
      <c r="N333" s="67"/>
    </row>
    <row r="334" spans="1:14" x14ac:dyDescent="0.35">
      <c r="A334" s="61">
        <v>330</v>
      </c>
      <c r="B334" s="2"/>
      <c r="C334" s="2"/>
      <c r="D334" s="2"/>
      <c r="E334" s="10"/>
      <c r="F334" s="11"/>
      <c r="G334" s="2"/>
      <c r="H334" s="2"/>
      <c r="I334" s="2"/>
      <c r="J334" s="2"/>
      <c r="K334" s="12"/>
      <c r="L334" s="2"/>
      <c r="M334" s="2"/>
      <c r="N334" s="67"/>
    </row>
    <row r="335" spans="1:14" x14ac:dyDescent="0.35">
      <c r="A335" s="61">
        <v>331</v>
      </c>
      <c r="B335" s="2"/>
      <c r="C335" s="2"/>
      <c r="D335" s="2"/>
      <c r="E335" s="10"/>
      <c r="F335" s="11"/>
      <c r="G335" s="2"/>
      <c r="H335" s="2"/>
      <c r="I335" s="2"/>
      <c r="J335" s="2"/>
      <c r="K335" s="12"/>
      <c r="L335" s="2"/>
      <c r="M335" s="2"/>
      <c r="N335" s="67"/>
    </row>
    <row r="336" spans="1:14" x14ac:dyDescent="0.35">
      <c r="A336" s="61">
        <v>332</v>
      </c>
      <c r="B336" s="2"/>
      <c r="C336" s="2"/>
      <c r="D336" s="2"/>
      <c r="E336" s="10"/>
      <c r="F336" s="11"/>
      <c r="G336" s="2"/>
      <c r="H336" s="2"/>
      <c r="I336" s="2"/>
      <c r="J336" s="2"/>
      <c r="K336" s="12"/>
      <c r="L336" s="2"/>
      <c r="M336" s="2"/>
      <c r="N336" s="67"/>
    </row>
    <row r="337" spans="1:14" x14ac:dyDescent="0.35">
      <c r="A337" s="61">
        <v>333</v>
      </c>
      <c r="B337" s="2"/>
      <c r="C337" s="2"/>
      <c r="D337" s="2"/>
      <c r="E337" s="10"/>
      <c r="F337" s="11"/>
      <c r="G337" s="2"/>
      <c r="H337" s="2"/>
      <c r="I337" s="2"/>
      <c r="J337" s="2"/>
      <c r="K337" s="12"/>
      <c r="L337" s="2"/>
      <c r="M337" s="2"/>
      <c r="N337" s="67"/>
    </row>
    <row r="338" spans="1:14" x14ac:dyDescent="0.35">
      <c r="A338" s="61">
        <v>334</v>
      </c>
      <c r="B338" s="2"/>
      <c r="C338" s="2"/>
      <c r="D338" s="2"/>
      <c r="E338" s="10"/>
      <c r="F338" s="11"/>
      <c r="G338" s="2"/>
      <c r="H338" s="2"/>
      <c r="I338" s="2"/>
      <c r="J338" s="2"/>
      <c r="K338" s="12"/>
      <c r="L338" s="2"/>
      <c r="M338" s="2"/>
      <c r="N338" s="67"/>
    </row>
    <row r="339" spans="1:14" x14ac:dyDescent="0.35">
      <c r="A339" s="61">
        <v>335</v>
      </c>
      <c r="B339" s="2"/>
      <c r="C339" s="2"/>
      <c r="D339" s="2"/>
      <c r="E339" s="10"/>
      <c r="F339" s="11"/>
      <c r="G339" s="2"/>
      <c r="H339" s="2"/>
      <c r="I339" s="2"/>
      <c r="J339" s="2"/>
      <c r="K339" s="12"/>
      <c r="L339" s="2"/>
      <c r="M339" s="2"/>
      <c r="N339" s="67"/>
    </row>
    <row r="340" spans="1:14" x14ac:dyDescent="0.35">
      <c r="A340" s="61">
        <v>336</v>
      </c>
      <c r="B340" s="2"/>
      <c r="C340" s="2"/>
      <c r="D340" s="2"/>
      <c r="E340" s="10"/>
      <c r="F340" s="11"/>
      <c r="G340" s="2"/>
      <c r="H340" s="2"/>
      <c r="I340" s="2"/>
      <c r="J340" s="2"/>
      <c r="K340" s="12"/>
      <c r="L340" s="2"/>
      <c r="M340" s="2"/>
      <c r="N340" s="67"/>
    </row>
    <row r="341" spans="1:14" x14ac:dyDescent="0.35">
      <c r="A341" s="61">
        <v>337</v>
      </c>
      <c r="B341" s="2"/>
      <c r="C341" s="2"/>
      <c r="D341" s="2"/>
      <c r="E341" s="10"/>
      <c r="F341" s="11"/>
      <c r="G341" s="2"/>
      <c r="H341" s="2"/>
      <c r="I341" s="2"/>
      <c r="J341" s="2"/>
      <c r="K341" s="12"/>
      <c r="L341" s="2"/>
      <c r="M341" s="2"/>
      <c r="N341" s="67"/>
    </row>
    <row r="342" spans="1:14" x14ac:dyDescent="0.35">
      <c r="A342" s="61">
        <v>338</v>
      </c>
      <c r="B342" s="2"/>
      <c r="C342" s="2"/>
      <c r="D342" s="2"/>
      <c r="E342" s="10"/>
      <c r="F342" s="11"/>
      <c r="G342" s="2"/>
      <c r="H342" s="2"/>
      <c r="I342" s="2"/>
      <c r="J342" s="2"/>
      <c r="K342" s="12"/>
      <c r="L342" s="2"/>
      <c r="M342" s="2"/>
      <c r="N342" s="67"/>
    </row>
    <row r="343" spans="1:14" x14ac:dyDescent="0.35">
      <c r="A343" s="61">
        <v>339</v>
      </c>
      <c r="B343" s="2"/>
      <c r="C343" s="2"/>
      <c r="D343" s="2"/>
      <c r="E343" s="10"/>
      <c r="F343" s="11"/>
      <c r="G343" s="2"/>
      <c r="H343" s="2"/>
      <c r="I343" s="2"/>
      <c r="J343" s="2"/>
      <c r="K343" s="12"/>
      <c r="L343" s="2"/>
      <c r="M343" s="2"/>
      <c r="N343" s="67"/>
    </row>
    <row r="344" spans="1:14" x14ac:dyDescent="0.35">
      <c r="A344" s="61">
        <v>340</v>
      </c>
      <c r="B344" s="2"/>
      <c r="C344" s="2"/>
      <c r="D344" s="2"/>
      <c r="E344" s="10"/>
      <c r="F344" s="11"/>
      <c r="G344" s="2"/>
      <c r="H344" s="2"/>
      <c r="I344" s="2"/>
      <c r="J344" s="2"/>
      <c r="K344" s="12"/>
      <c r="L344" s="2"/>
      <c r="M344" s="2"/>
      <c r="N344" s="67"/>
    </row>
    <row r="345" spans="1:14" x14ac:dyDescent="0.35">
      <c r="A345" s="61">
        <v>341</v>
      </c>
      <c r="B345" s="2"/>
      <c r="C345" s="2"/>
      <c r="D345" s="2"/>
      <c r="E345" s="10"/>
      <c r="F345" s="11"/>
      <c r="G345" s="2"/>
      <c r="H345" s="2"/>
      <c r="I345" s="2"/>
      <c r="J345" s="2"/>
      <c r="K345" s="12"/>
      <c r="L345" s="2"/>
      <c r="M345" s="2"/>
      <c r="N345" s="67"/>
    </row>
    <row r="346" spans="1:14" x14ac:dyDescent="0.35">
      <c r="A346" s="61">
        <v>342</v>
      </c>
      <c r="B346" s="2"/>
      <c r="C346" s="2"/>
      <c r="D346" s="2"/>
      <c r="E346" s="10"/>
      <c r="F346" s="11"/>
      <c r="G346" s="2"/>
      <c r="H346" s="2"/>
      <c r="I346" s="2"/>
      <c r="J346" s="2"/>
      <c r="K346" s="12"/>
      <c r="L346" s="2"/>
      <c r="M346" s="2"/>
      <c r="N346" s="67"/>
    </row>
    <row r="347" spans="1:14" x14ac:dyDescent="0.35">
      <c r="A347" s="61">
        <v>343</v>
      </c>
      <c r="B347" s="2"/>
      <c r="C347" s="2"/>
      <c r="D347" s="2"/>
      <c r="E347" s="10"/>
      <c r="F347" s="11"/>
      <c r="G347" s="2"/>
      <c r="H347" s="2"/>
      <c r="I347" s="2"/>
      <c r="J347" s="2"/>
      <c r="K347" s="12"/>
      <c r="L347" s="2"/>
      <c r="M347" s="2"/>
      <c r="N347" s="67"/>
    </row>
    <row r="348" spans="1:14" x14ac:dyDescent="0.35">
      <c r="A348" s="61">
        <v>344</v>
      </c>
      <c r="B348" s="2"/>
      <c r="C348" s="2"/>
      <c r="D348" s="2"/>
      <c r="E348" s="10"/>
      <c r="F348" s="11"/>
      <c r="G348" s="2"/>
      <c r="H348" s="2"/>
      <c r="I348" s="2"/>
      <c r="J348" s="2"/>
      <c r="K348" s="12"/>
      <c r="L348" s="2"/>
      <c r="M348" s="2"/>
      <c r="N348" s="67"/>
    </row>
    <row r="349" spans="1:14" x14ac:dyDescent="0.35">
      <c r="A349" s="61">
        <v>345</v>
      </c>
      <c r="B349" s="2"/>
      <c r="C349" s="2"/>
      <c r="D349" s="2"/>
      <c r="E349" s="10"/>
      <c r="F349" s="11"/>
      <c r="G349" s="2"/>
      <c r="H349" s="2"/>
      <c r="I349" s="2"/>
      <c r="J349" s="2"/>
      <c r="K349" s="12"/>
      <c r="L349" s="2"/>
      <c r="M349" s="2"/>
      <c r="N349" s="67"/>
    </row>
    <row r="350" spans="1:14" x14ac:dyDescent="0.35">
      <c r="A350" s="61">
        <v>346</v>
      </c>
      <c r="B350" s="2"/>
      <c r="C350" s="2"/>
      <c r="D350" s="2"/>
      <c r="E350" s="10"/>
      <c r="F350" s="11"/>
      <c r="G350" s="2"/>
      <c r="H350" s="2"/>
      <c r="I350" s="2"/>
      <c r="J350" s="2"/>
      <c r="K350" s="12"/>
      <c r="L350" s="2"/>
      <c r="M350" s="2"/>
      <c r="N350" s="67"/>
    </row>
    <row r="351" spans="1:14" x14ac:dyDescent="0.35">
      <c r="A351" s="61">
        <v>347</v>
      </c>
      <c r="B351" s="2"/>
      <c r="C351" s="2"/>
      <c r="D351" s="2"/>
      <c r="E351" s="10"/>
      <c r="F351" s="11"/>
      <c r="G351" s="2"/>
      <c r="H351" s="2"/>
      <c r="I351" s="2"/>
      <c r="J351" s="2"/>
      <c r="K351" s="12"/>
      <c r="L351" s="2"/>
      <c r="M351" s="2"/>
      <c r="N351" s="67"/>
    </row>
    <row r="352" spans="1:14" x14ac:dyDescent="0.35">
      <c r="A352" s="61">
        <v>348</v>
      </c>
      <c r="B352" s="2"/>
      <c r="C352" s="2"/>
      <c r="D352" s="2"/>
      <c r="E352" s="10"/>
      <c r="F352" s="11"/>
      <c r="G352" s="2"/>
      <c r="H352" s="2"/>
      <c r="I352" s="2"/>
      <c r="J352" s="2"/>
      <c r="K352" s="12"/>
      <c r="L352" s="2"/>
      <c r="M352" s="2"/>
      <c r="N352" s="67"/>
    </row>
    <row r="353" spans="1:14" x14ac:dyDescent="0.35">
      <c r="A353" s="61">
        <v>349</v>
      </c>
      <c r="B353" s="2"/>
      <c r="C353" s="2"/>
      <c r="D353" s="2"/>
      <c r="E353" s="10"/>
      <c r="F353" s="11"/>
      <c r="G353" s="2"/>
      <c r="H353" s="2"/>
      <c r="I353" s="2"/>
      <c r="J353" s="2"/>
      <c r="K353" s="12"/>
      <c r="L353" s="2"/>
      <c r="M353" s="2"/>
      <c r="N353" s="67"/>
    </row>
    <row r="354" spans="1:14" x14ac:dyDescent="0.35">
      <c r="A354" s="61">
        <v>350</v>
      </c>
      <c r="B354" s="2"/>
      <c r="C354" s="2"/>
      <c r="D354" s="2"/>
      <c r="E354" s="10"/>
      <c r="F354" s="11"/>
      <c r="G354" s="2"/>
      <c r="H354" s="2"/>
      <c r="I354" s="2"/>
      <c r="J354" s="2"/>
      <c r="K354" s="12"/>
      <c r="L354" s="2"/>
      <c r="M354" s="2"/>
      <c r="N354" s="67"/>
    </row>
    <row r="355" spans="1:14" x14ac:dyDescent="0.35">
      <c r="A355" s="61">
        <v>351</v>
      </c>
      <c r="B355" s="2"/>
      <c r="C355" s="2"/>
      <c r="D355" s="2"/>
      <c r="E355" s="10"/>
      <c r="F355" s="11"/>
      <c r="G355" s="2"/>
      <c r="H355" s="2"/>
      <c r="I355" s="2"/>
      <c r="J355" s="2"/>
      <c r="K355" s="12"/>
      <c r="L355" s="2"/>
      <c r="M355" s="2"/>
      <c r="N355" s="67"/>
    </row>
    <row r="356" spans="1:14" x14ac:dyDescent="0.35">
      <c r="A356" s="61">
        <v>352</v>
      </c>
      <c r="B356" s="2"/>
      <c r="C356" s="2"/>
      <c r="D356" s="2"/>
      <c r="E356" s="10"/>
      <c r="F356" s="11"/>
      <c r="G356" s="2"/>
      <c r="H356" s="2"/>
      <c r="I356" s="2"/>
      <c r="J356" s="2"/>
      <c r="K356" s="12"/>
      <c r="L356" s="2"/>
      <c r="M356" s="2"/>
      <c r="N356" s="67"/>
    </row>
    <row r="357" spans="1:14" x14ac:dyDescent="0.35">
      <c r="A357" s="61">
        <v>353</v>
      </c>
      <c r="B357" s="2"/>
      <c r="C357" s="2"/>
      <c r="D357" s="2"/>
      <c r="E357" s="10"/>
      <c r="F357" s="11"/>
      <c r="G357" s="2"/>
      <c r="H357" s="2"/>
      <c r="I357" s="2"/>
      <c r="J357" s="2"/>
      <c r="K357" s="12"/>
      <c r="L357" s="2"/>
      <c r="M357" s="2"/>
      <c r="N357" s="67"/>
    </row>
    <row r="358" spans="1:14" x14ac:dyDescent="0.35">
      <c r="A358" s="61">
        <v>354</v>
      </c>
      <c r="B358" s="2"/>
      <c r="C358" s="2"/>
      <c r="D358" s="2"/>
      <c r="E358" s="10"/>
      <c r="F358" s="11"/>
      <c r="G358" s="2"/>
      <c r="H358" s="2"/>
      <c r="I358" s="2"/>
      <c r="J358" s="2"/>
      <c r="K358" s="12"/>
      <c r="L358" s="2"/>
      <c r="M358" s="2"/>
      <c r="N358" s="67"/>
    </row>
    <row r="359" spans="1:14" x14ac:dyDescent="0.35">
      <c r="A359" s="61">
        <v>355</v>
      </c>
      <c r="B359" s="2"/>
      <c r="C359" s="2"/>
      <c r="D359" s="2"/>
      <c r="E359" s="10"/>
      <c r="F359" s="11"/>
      <c r="G359" s="2"/>
      <c r="H359" s="2"/>
      <c r="I359" s="2"/>
      <c r="J359" s="2"/>
      <c r="K359" s="12"/>
      <c r="L359" s="2"/>
      <c r="M359" s="2"/>
      <c r="N359" s="67"/>
    </row>
    <row r="360" spans="1:14" x14ac:dyDescent="0.35">
      <c r="A360" s="61">
        <v>356</v>
      </c>
      <c r="B360" s="2"/>
      <c r="C360" s="2"/>
      <c r="D360" s="2"/>
      <c r="E360" s="10"/>
      <c r="F360" s="11"/>
      <c r="G360" s="2"/>
      <c r="H360" s="2"/>
      <c r="I360" s="2"/>
      <c r="J360" s="2"/>
      <c r="K360" s="12"/>
      <c r="L360" s="2"/>
      <c r="M360" s="2"/>
      <c r="N360" s="67"/>
    </row>
    <row r="361" spans="1:14" x14ac:dyDescent="0.35">
      <c r="A361" s="61">
        <v>357</v>
      </c>
      <c r="B361" s="2"/>
      <c r="C361" s="2"/>
      <c r="D361" s="2"/>
      <c r="E361" s="10"/>
      <c r="F361" s="11"/>
      <c r="G361" s="2"/>
      <c r="H361" s="2"/>
      <c r="I361" s="2"/>
      <c r="J361" s="2"/>
      <c r="K361" s="12"/>
      <c r="L361" s="2"/>
      <c r="M361" s="2"/>
      <c r="N361" s="67"/>
    </row>
    <row r="362" spans="1:14" x14ac:dyDescent="0.35">
      <c r="A362" s="61">
        <v>358</v>
      </c>
      <c r="B362" s="2"/>
      <c r="C362" s="2"/>
      <c r="D362" s="2"/>
      <c r="E362" s="10"/>
      <c r="F362" s="11"/>
      <c r="G362" s="2"/>
      <c r="H362" s="2"/>
      <c r="I362" s="2"/>
      <c r="J362" s="2"/>
      <c r="K362" s="12"/>
      <c r="L362" s="2"/>
      <c r="M362" s="2"/>
      <c r="N362" s="67"/>
    </row>
    <row r="363" spans="1:14" x14ac:dyDescent="0.35">
      <c r="A363" s="61">
        <v>359</v>
      </c>
      <c r="B363" s="2"/>
      <c r="C363" s="2"/>
      <c r="D363" s="2"/>
      <c r="E363" s="10"/>
      <c r="F363" s="11"/>
      <c r="G363" s="2"/>
      <c r="H363" s="2"/>
      <c r="I363" s="2"/>
      <c r="J363" s="2"/>
      <c r="K363" s="12"/>
      <c r="L363" s="2"/>
      <c r="M363" s="2"/>
      <c r="N363" s="67"/>
    </row>
    <row r="364" spans="1:14" x14ac:dyDescent="0.35">
      <c r="A364" s="61">
        <v>360</v>
      </c>
      <c r="B364" s="2"/>
      <c r="C364" s="2"/>
      <c r="D364" s="2"/>
      <c r="E364" s="10"/>
      <c r="F364" s="11"/>
      <c r="G364" s="2"/>
      <c r="H364" s="2"/>
      <c r="I364" s="2"/>
      <c r="J364" s="2"/>
      <c r="K364" s="12"/>
      <c r="L364" s="2"/>
      <c r="M364" s="2"/>
      <c r="N364" s="67"/>
    </row>
    <row r="365" spans="1:14" x14ac:dyDescent="0.35">
      <c r="A365" s="61">
        <v>361</v>
      </c>
      <c r="B365" s="2"/>
      <c r="C365" s="2"/>
      <c r="D365" s="2"/>
      <c r="E365" s="10"/>
      <c r="F365" s="11"/>
      <c r="G365" s="2"/>
      <c r="H365" s="2"/>
      <c r="I365" s="2"/>
      <c r="J365" s="2"/>
      <c r="K365" s="12"/>
      <c r="L365" s="2"/>
      <c r="M365" s="2"/>
      <c r="N365" s="67"/>
    </row>
    <row r="366" spans="1:14" x14ac:dyDescent="0.35">
      <c r="A366" s="61">
        <v>362</v>
      </c>
      <c r="B366" s="2"/>
      <c r="C366" s="2"/>
      <c r="D366" s="2"/>
      <c r="E366" s="10"/>
      <c r="F366" s="11"/>
      <c r="G366" s="2"/>
      <c r="H366" s="2"/>
      <c r="I366" s="2"/>
      <c r="J366" s="2"/>
      <c r="K366" s="12"/>
      <c r="L366" s="2"/>
      <c r="M366" s="2"/>
      <c r="N366" s="67"/>
    </row>
    <row r="367" spans="1:14" x14ac:dyDescent="0.35">
      <c r="A367" s="61">
        <v>363</v>
      </c>
      <c r="B367" s="2"/>
      <c r="C367" s="2"/>
      <c r="D367" s="2"/>
      <c r="E367" s="10"/>
      <c r="F367" s="11"/>
      <c r="G367" s="2"/>
      <c r="H367" s="2"/>
      <c r="I367" s="2"/>
      <c r="J367" s="2"/>
      <c r="K367" s="12"/>
      <c r="L367" s="2"/>
      <c r="M367" s="2"/>
      <c r="N367" s="67"/>
    </row>
    <row r="368" spans="1:14" x14ac:dyDescent="0.35">
      <c r="A368" s="61">
        <v>364</v>
      </c>
      <c r="B368" s="2"/>
      <c r="C368" s="2"/>
      <c r="D368" s="2"/>
      <c r="E368" s="10"/>
      <c r="F368" s="11"/>
      <c r="G368" s="2"/>
      <c r="H368" s="2"/>
      <c r="I368" s="2"/>
      <c r="J368" s="2"/>
      <c r="K368" s="12"/>
      <c r="L368" s="2"/>
      <c r="M368" s="2"/>
      <c r="N368" s="67"/>
    </row>
    <row r="369" spans="1:14" x14ac:dyDescent="0.35">
      <c r="A369" s="61">
        <v>365</v>
      </c>
      <c r="B369" s="2"/>
      <c r="C369" s="2"/>
      <c r="D369" s="2"/>
      <c r="E369" s="10"/>
      <c r="F369" s="11"/>
      <c r="G369" s="2"/>
      <c r="H369" s="2"/>
      <c r="I369" s="2"/>
      <c r="J369" s="2"/>
      <c r="K369" s="12"/>
      <c r="L369" s="2"/>
      <c r="M369" s="2"/>
      <c r="N369" s="67"/>
    </row>
    <row r="370" spans="1:14" x14ac:dyDescent="0.35">
      <c r="A370" s="61">
        <v>366</v>
      </c>
      <c r="B370" s="2"/>
      <c r="C370" s="2"/>
      <c r="D370" s="2"/>
      <c r="E370" s="10"/>
      <c r="F370" s="11"/>
      <c r="G370" s="2"/>
      <c r="H370" s="2"/>
      <c r="I370" s="2"/>
      <c r="J370" s="2"/>
      <c r="K370" s="12"/>
      <c r="L370" s="2"/>
      <c r="M370" s="2"/>
      <c r="N370" s="67"/>
    </row>
    <row r="371" spans="1:14" x14ac:dyDescent="0.35">
      <c r="A371" s="61">
        <v>367</v>
      </c>
      <c r="B371" s="2"/>
      <c r="C371" s="2"/>
      <c r="D371" s="2"/>
      <c r="E371" s="10"/>
      <c r="F371" s="11"/>
      <c r="G371" s="2"/>
      <c r="H371" s="2"/>
      <c r="I371" s="2"/>
      <c r="J371" s="2"/>
      <c r="K371" s="12"/>
      <c r="L371" s="2"/>
      <c r="M371" s="2"/>
      <c r="N371" s="67"/>
    </row>
    <row r="372" spans="1:14" x14ac:dyDescent="0.35">
      <c r="A372" s="61">
        <v>368</v>
      </c>
      <c r="B372" s="2"/>
      <c r="C372" s="2"/>
      <c r="D372" s="2"/>
      <c r="E372" s="10"/>
      <c r="F372" s="11"/>
      <c r="G372" s="2"/>
      <c r="H372" s="2"/>
      <c r="I372" s="2"/>
      <c r="J372" s="2"/>
      <c r="K372" s="12"/>
      <c r="L372" s="2"/>
      <c r="M372" s="2"/>
      <c r="N372" s="67"/>
    </row>
    <row r="373" spans="1:14" x14ac:dyDescent="0.35">
      <c r="A373" s="61">
        <v>369</v>
      </c>
      <c r="B373" s="2"/>
      <c r="C373" s="2"/>
      <c r="D373" s="2"/>
      <c r="E373" s="10"/>
      <c r="F373" s="11"/>
      <c r="G373" s="2"/>
      <c r="H373" s="2"/>
      <c r="I373" s="2"/>
      <c r="J373" s="2"/>
      <c r="K373" s="12"/>
      <c r="L373" s="2"/>
      <c r="M373" s="2"/>
      <c r="N373" s="67"/>
    </row>
    <row r="374" spans="1:14" x14ac:dyDescent="0.35">
      <c r="A374" s="61">
        <v>370</v>
      </c>
      <c r="B374" s="2"/>
      <c r="C374" s="2"/>
      <c r="D374" s="2"/>
      <c r="E374" s="10"/>
      <c r="F374" s="11"/>
      <c r="G374" s="2"/>
      <c r="H374" s="2"/>
      <c r="I374" s="2"/>
      <c r="J374" s="2"/>
      <c r="K374" s="12"/>
      <c r="L374" s="2"/>
      <c r="M374" s="2"/>
      <c r="N374" s="67"/>
    </row>
    <row r="375" spans="1:14" x14ac:dyDescent="0.35">
      <c r="A375" s="61">
        <v>371</v>
      </c>
      <c r="B375" s="2"/>
      <c r="C375" s="2"/>
      <c r="D375" s="2"/>
      <c r="E375" s="10"/>
      <c r="F375" s="11"/>
      <c r="G375" s="2"/>
      <c r="H375" s="2"/>
      <c r="I375" s="2"/>
      <c r="J375" s="2"/>
      <c r="K375" s="12"/>
      <c r="L375" s="2"/>
      <c r="M375" s="2"/>
      <c r="N375" s="67"/>
    </row>
    <row r="376" spans="1:14" x14ac:dyDescent="0.35">
      <c r="A376" s="61">
        <v>372</v>
      </c>
      <c r="B376" s="2"/>
      <c r="C376" s="2"/>
      <c r="D376" s="2"/>
      <c r="E376" s="10"/>
      <c r="F376" s="11"/>
      <c r="G376" s="2"/>
      <c r="H376" s="2"/>
      <c r="I376" s="2"/>
      <c r="J376" s="2"/>
      <c r="K376" s="12"/>
      <c r="L376" s="2"/>
      <c r="M376" s="2"/>
      <c r="N376" s="67"/>
    </row>
    <row r="377" spans="1:14" x14ac:dyDescent="0.35">
      <c r="A377" s="61">
        <v>373</v>
      </c>
      <c r="B377" s="2"/>
      <c r="C377" s="2"/>
      <c r="D377" s="2"/>
      <c r="E377" s="10"/>
      <c r="F377" s="11"/>
      <c r="G377" s="2"/>
      <c r="H377" s="2"/>
      <c r="I377" s="2"/>
      <c r="J377" s="2"/>
      <c r="K377" s="12"/>
      <c r="L377" s="2"/>
      <c r="M377" s="2"/>
      <c r="N377" s="67"/>
    </row>
    <row r="378" spans="1:14" x14ac:dyDescent="0.35">
      <c r="A378" s="61">
        <v>374</v>
      </c>
      <c r="B378" s="2"/>
      <c r="C378" s="2"/>
      <c r="D378" s="2"/>
      <c r="E378" s="10"/>
      <c r="F378" s="11"/>
      <c r="G378" s="2"/>
      <c r="H378" s="2"/>
      <c r="I378" s="2"/>
      <c r="J378" s="2"/>
      <c r="K378" s="12"/>
      <c r="L378" s="2"/>
      <c r="M378" s="2"/>
      <c r="N378" s="67"/>
    </row>
    <row r="379" spans="1:14" x14ac:dyDescent="0.35">
      <c r="A379" s="61">
        <v>375</v>
      </c>
      <c r="B379" s="2"/>
      <c r="C379" s="2"/>
      <c r="D379" s="2"/>
      <c r="E379" s="10"/>
      <c r="F379" s="11"/>
      <c r="G379" s="2"/>
      <c r="H379" s="2"/>
      <c r="I379" s="2"/>
      <c r="J379" s="2"/>
      <c r="K379" s="12"/>
      <c r="L379" s="2"/>
      <c r="M379" s="2"/>
      <c r="N379" s="67"/>
    </row>
    <row r="380" spans="1:14" x14ac:dyDescent="0.35">
      <c r="A380" s="61">
        <v>376</v>
      </c>
      <c r="B380" s="2"/>
      <c r="C380" s="2"/>
      <c r="D380" s="2"/>
      <c r="E380" s="10"/>
      <c r="F380" s="11"/>
      <c r="G380" s="2"/>
      <c r="H380" s="2"/>
      <c r="I380" s="2"/>
      <c r="J380" s="2"/>
      <c r="K380" s="12"/>
      <c r="L380" s="2"/>
      <c r="M380" s="2"/>
      <c r="N380" s="67"/>
    </row>
    <row r="381" spans="1:14" x14ac:dyDescent="0.35">
      <c r="A381" s="61">
        <v>377</v>
      </c>
      <c r="B381" s="2"/>
      <c r="C381" s="2"/>
      <c r="D381" s="2"/>
      <c r="E381" s="10"/>
      <c r="F381" s="11"/>
      <c r="G381" s="2"/>
      <c r="H381" s="2"/>
      <c r="I381" s="2"/>
      <c r="J381" s="2"/>
      <c r="K381" s="12"/>
      <c r="L381" s="2"/>
      <c r="M381" s="2"/>
      <c r="N381" s="67"/>
    </row>
    <row r="382" spans="1:14" x14ac:dyDescent="0.35">
      <c r="A382" s="61">
        <v>378</v>
      </c>
      <c r="B382" s="2"/>
      <c r="C382" s="2"/>
      <c r="D382" s="2"/>
      <c r="E382" s="10"/>
      <c r="F382" s="11"/>
      <c r="G382" s="2"/>
      <c r="H382" s="2"/>
      <c r="I382" s="2"/>
      <c r="J382" s="2"/>
      <c r="K382" s="12"/>
      <c r="L382" s="2"/>
      <c r="M382" s="2"/>
      <c r="N382" s="67"/>
    </row>
    <row r="383" spans="1:14" x14ac:dyDescent="0.35">
      <c r="A383" s="61">
        <v>379</v>
      </c>
      <c r="B383" s="2"/>
      <c r="C383" s="2"/>
      <c r="D383" s="2"/>
      <c r="E383" s="10"/>
      <c r="F383" s="11"/>
      <c r="G383" s="2"/>
      <c r="H383" s="2"/>
      <c r="I383" s="2"/>
      <c r="J383" s="2"/>
      <c r="K383" s="12"/>
      <c r="L383" s="2"/>
      <c r="M383" s="2"/>
      <c r="N383" s="67"/>
    </row>
    <row r="384" spans="1:14" x14ac:dyDescent="0.35">
      <c r="A384" s="61">
        <v>380</v>
      </c>
      <c r="B384" s="2"/>
      <c r="C384" s="2"/>
      <c r="D384" s="2"/>
      <c r="E384" s="10"/>
      <c r="F384" s="11"/>
      <c r="G384" s="2"/>
      <c r="H384" s="2"/>
      <c r="I384" s="2"/>
      <c r="J384" s="2"/>
      <c r="K384" s="12"/>
      <c r="L384" s="2"/>
      <c r="M384" s="2"/>
      <c r="N384" s="67"/>
    </row>
    <row r="385" spans="1:14" x14ac:dyDescent="0.35">
      <c r="A385" s="61">
        <v>381</v>
      </c>
      <c r="B385" s="2"/>
      <c r="C385" s="2"/>
      <c r="D385" s="2"/>
      <c r="E385" s="10"/>
      <c r="F385" s="11"/>
      <c r="G385" s="2"/>
      <c r="H385" s="2"/>
      <c r="I385" s="2"/>
      <c r="J385" s="2"/>
      <c r="K385" s="12"/>
      <c r="L385" s="2"/>
      <c r="M385" s="2"/>
      <c r="N385" s="67"/>
    </row>
    <row r="386" spans="1:14" x14ac:dyDescent="0.35">
      <c r="A386" s="61">
        <v>382</v>
      </c>
      <c r="B386" s="2"/>
      <c r="C386" s="2"/>
      <c r="D386" s="2"/>
      <c r="E386" s="10"/>
      <c r="F386" s="11"/>
      <c r="G386" s="2"/>
      <c r="H386" s="2"/>
      <c r="I386" s="2"/>
      <c r="J386" s="2"/>
      <c r="K386" s="12"/>
      <c r="L386" s="2"/>
      <c r="M386" s="2"/>
      <c r="N386" s="67"/>
    </row>
    <row r="387" spans="1:14" x14ac:dyDescent="0.35">
      <c r="A387" s="61">
        <v>383</v>
      </c>
      <c r="B387" s="2"/>
      <c r="C387" s="2"/>
      <c r="D387" s="2"/>
      <c r="E387" s="10"/>
      <c r="F387" s="11"/>
      <c r="G387" s="2"/>
      <c r="H387" s="2"/>
      <c r="I387" s="2"/>
      <c r="J387" s="2"/>
      <c r="K387" s="12"/>
      <c r="L387" s="2"/>
      <c r="M387" s="2"/>
      <c r="N387" s="67"/>
    </row>
    <row r="388" spans="1:14" x14ac:dyDescent="0.35">
      <c r="A388" s="61">
        <v>384</v>
      </c>
      <c r="B388" s="2"/>
      <c r="C388" s="2"/>
      <c r="D388" s="2"/>
      <c r="E388" s="10"/>
      <c r="F388" s="11"/>
      <c r="G388" s="2"/>
      <c r="H388" s="2"/>
      <c r="I388" s="2"/>
      <c r="J388" s="2"/>
      <c r="K388" s="12"/>
      <c r="L388" s="2"/>
      <c r="M388" s="2"/>
      <c r="N388" s="67"/>
    </row>
    <row r="389" spans="1:14" x14ac:dyDescent="0.35">
      <c r="A389" s="61">
        <v>385</v>
      </c>
      <c r="B389" s="2"/>
      <c r="C389" s="2"/>
      <c r="D389" s="2"/>
      <c r="E389" s="10"/>
      <c r="F389" s="11"/>
      <c r="G389" s="2"/>
      <c r="H389" s="2"/>
      <c r="I389" s="2"/>
      <c r="J389" s="2"/>
      <c r="K389" s="12"/>
      <c r="L389" s="2"/>
      <c r="M389" s="2"/>
      <c r="N389" s="67"/>
    </row>
    <row r="390" spans="1:14" x14ac:dyDescent="0.35">
      <c r="A390" s="61">
        <v>386</v>
      </c>
      <c r="B390" s="2"/>
      <c r="C390" s="2"/>
      <c r="D390" s="2"/>
      <c r="E390" s="10"/>
      <c r="F390" s="11"/>
      <c r="G390" s="2"/>
      <c r="H390" s="2"/>
      <c r="I390" s="2"/>
      <c r="J390" s="2"/>
      <c r="K390" s="12"/>
      <c r="L390" s="2"/>
      <c r="M390" s="2"/>
      <c r="N390" s="67"/>
    </row>
    <row r="391" spans="1:14" x14ac:dyDescent="0.35">
      <c r="A391" s="61">
        <v>387</v>
      </c>
      <c r="B391" s="2"/>
      <c r="C391" s="2"/>
      <c r="D391" s="2"/>
      <c r="E391" s="10"/>
      <c r="F391" s="11"/>
      <c r="G391" s="2"/>
      <c r="H391" s="2"/>
      <c r="I391" s="2"/>
      <c r="J391" s="2"/>
      <c r="K391" s="12"/>
      <c r="L391" s="2"/>
      <c r="M391" s="2"/>
      <c r="N391" s="67"/>
    </row>
    <row r="392" spans="1:14" x14ac:dyDescent="0.35">
      <c r="A392" s="61">
        <v>388</v>
      </c>
      <c r="B392" s="2"/>
      <c r="C392" s="2"/>
      <c r="D392" s="2"/>
      <c r="E392" s="10"/>
      <c r="F392" s="11"/>
      <c r="G392" s="2"/>
      <c r="H392" s="2"/>
      <c r="I392" s="2"/>
      <c r="J392" s="2"/>
      <c r="K392" s="12"/>
      <c r="L392" s="2"/>
      <c r="M392" s="2"/>
      <c r="N392" s="67"/>
    </row>
    <row r="393" spans="1:14" x14ac:dyDescent="0.35">
      <c r="A393" s="61">
        <v>389</v>
      </c>
      <c r="B393" s="2"/>
      <c r="C393" s="2"/>
      <c r="D393" s="2"/>
      <c r="E393" s="10"/>
      <c r="F393" s="11"/>
      <c r="G393" s="2"/>
      <c r="H393" s="2"/>
      <c r="I393" s="2"/>
      <c r="J393" s="2"/>
      <c r="K393" s="12"/>
      <c r="L393" s="2"/>
      <c r="M393" s="2"/>
      <c r="N393" s="67"/>
    </row>
    <row r="394" spans="1:14" x14ac:dyDescent="0.35">
      <c r="A394" s="61">
        <v>390</v>
      </c>
      <c r="B394" s="2"/>
      <c r="C394" s="2"/>
      <c r="D394" s="2"/>
      <c r="E394" s="10"/>
      <c r="F394" s="11"/>
      <c r="G394" s="2"/>
      <c r="H394" s="2"/>
      <c r="I394" s="2"/>
      <c r="J394" s="2"/>
      <c r="K394" s="12"/>
      <c r="L394" s="2"/>
      <c r="M394" s="2"/>
      <c r="N394" s="67"/>
    </row>
    <row r="395" spans="1:14" x14ac:dyDescent="0.35">
      <c r="A395" s="61">
        <v>391</v>
      </c>
      <c r="B395" s="2"/>
      <c r="C395" s="2"/>
      <c r="D395" s="2"/>
      <c r="E395" s="10"/>
      <c r="F395" s="11"/>
      <c r="G395" s="2"/>
      <c r="H395" s="2"/>
      <c r="I395" s="2"/>
      <c r="J395" s="2"/>
      <c r="K395" s="12"/>
      <c r="L395" s="2"/>
      <c r="M395" s="2"/>
      <c r="N395" s="67"/>
    </row>
    <row r="396" spans="1:14" x14ac:dyDescent="0.35">
      <c r="A396" s="61">
        <v>392</v>
      </c>
      <c r="B396" s="2"/>
      <c r="C396" s="2"/>
      <c r="D396" s="2"/>
      <c r="E396" s="10"/>
      <c r="F396" s="11"/>
      <c r="G396" s="2"/>
      <c r="H396" s="2"/>
      <c r="I396" s="2"/>
      <c r="J396" s="2"/>
      <c r="K396" s="12"/>
      <c r="L396" s="2"/>
      <c r="M396" s="2"/>
      <c r="N396" s="67"/>
    </row>
    <row r="397" spans="1:14" x14ac:dyDescent="0.35">
      <c r="A397" s="61">
        <v>393</v>
      </c>
      <c r="B397" s="2"/>
      <c r="C397" s="2"/>
      <c r="D397" s="2"/>
      <c r="E397" s="10"/>
      <c r="F397" s="11"/>
      <c r="G397" s="2"/>
      <c r="H397" s="2"/>
      <c r="I397" s="2"/>
      <c r="J397" s="2"/>
      <c r="K397" s="12"/>
      <c r="L397" s="2"/>
      <c r="M397" s="2"/>
      <c r="N397" s="67"/>
    </row>
    <row r="398" spans="1:14" x14ac:dyDescent="0.35">
      <c r="A398" s="61">
        <v>394</v>
      </c>
      <c r="B398" s="2"/>
      <c r="C398" s="2"/>
      <c r="D398" s="2"/>
      <c r="E398" s="10"/>
      <c r="F398" s="11"/>
      <c r="G398" s="2"/>
      <c r="H398" s="2"/>
      <c r="I398" s="2"/>
      <c r="J398" s="2"/>
      <c r="K398" s="12"/>
      <c r="L398" s="2"/>
      <c r="M398" s="2"/>
      <c r="N398" s="67"/>
    </row>
    <row r="399" spans="1:14" x14ac:dyDescent="0.35">
      <c r="A399" s="61">
        <v>395</v>
      </c>
      <c r="B399" s="2"/>
      <c r="C399" s="2"/>
      <c r="D399" s="2"/>
      <c r="E399" s="10"/>
      <c r="F399" s="11"/>
      <c r="G399" s="2"/>
      <c r="H399" s="2"/>
      <c r="I399" s="2"/>
      <c r="J399" s="2"/>
      <c r="K399" s="12"/>
      <c r="L399" s="2"/>
      <c r="M399" s="2"/>
      <c r="N399" s="67"/>
    </row>
    <row r="400" spans="1:14" x14ac:dyDescent="0.35">
      <c r="A400" s="61">
        <v>396</v>
      </c>
      <c r="B400" s="2"/>
      <c r="C400" s="2"/>
      <c r="D400" s="2"/>
      <c r="E400" s="10"/>
      <c r="F400" s="11"/>
      <c r="G400" s="2"/>
      <c r="H400" s="2"/>
      <c r="I400" s="2"/>
      <c r="J400" s="2"/>
      <c r="K400" s="12"/>
      <c r="L400" s="2"/>
      <c r="M400" s="2"/>
      <c r="N400" s="67"/>
    </row>
    <row r="401" spans="1:14" x14ac:dyDescent="0.35">
      <c r="A401" s="61">
        <v>397</v>
      </c>
      <c r="B401" s="2"/>
      <c r="C401" s="2"/>
      <c r="D401" s="2"/>
      <c r="E401" s="10"/>
      <c r="F401" s="11"/>
      <c r="G401" s="2"/>
      <c r="H401" s="2"/>
      <c r="I401" s="2"/>
      <c r="J401" s="2"/>
      <c r="K401" s="12"/>
      <c r="L401" s="2"/>
      <c r="M401" s="2"/>
      <c r="N401" s="67"/>
    </row>
    <row r="402" spans="1:14" x14ac:dyDescent="0.35">
      <c r="A402" s="61">
        <v>398</v>
      </c>
      <c r="B402" s="2"/>
      <c r="C402" s="2"/>
      <c r="D402" s="2"/>
      <c r="E402" s="10"/>
      <c r="F402" s="11"/>
      <c r="G402" s="2"/>
      <c r="H402" s="2"/>
      <c r="I402" s="2"/>
      <c r="J402" s="2"/>
      <c r="K402" s="12"/>
      <c r="L402" s="2"/>
      <c r="M402" s="2"/>
      <c r="N402" s="67"/>
    </row>
    <row r="403" spans="1:14" x14ac:dyDescent="0.35">
      <c r="A403" s="61">
        <v>399</v>
      </c>
      <c r="B403" s="2"/>
      <c r="C403" s="2"/>
      <c r="D403" s="2"/>
      <c r="E403" s="10"/>
      <c r="F403" s="11"/>
      <c r="G403" s="2"/>
      <c r="H403" s="2"/>
      <c r="I403" s="2"/>
      <c r="J403" s="2"/>
      <c r="K403" s="12"/>
      <c r="L403" s="2"/>
      <c r="M403" s="2"/>
      <c r="N403" s="67"/>
    </row>
    <row r="404" spans="1:14" x14ac:dyDescent="0.35">
      <c r="A404" s="61">
        <v>400</v>
      </c>
      <c r="B404" s="2"/>
      <c r="C404" s="2"/>
      <c r="D404" s="2"/>
      <c r="E404" s="10"/>
      <c r="F404" s="11"/>
      <c r="G404" s="2"/>
      <c r="H404" s="2"/>
      <c r="I404" s="2"/>
      <c r="J404" s="2"/>
      <c r="K404" s="12"/>
      <c r="L404" s="2"/>
      <c r="M404" s="2"/>
      <c r="N404" s="67"/>
    </row>
    <row r="405" spans="1:14" x14ac:dyDescent="0.35">
      <c r="A405" s="61">
        <v>401</v>
      </c>
      <c r="B405" s="2"/>
      <c r="C405" s="2"/>
      <c r="D405" s="2"/>
      <c r="E405" s="10"/>
      <c r="F405" s="11"/>
      <c r="G405" s="2"/>
      <c r="H405" s="2"/>
      <c r="I405" s="2"/>
      <c r="J405" s="2"/>
      <c r="K405" s="12"/>
      <c r="L405" s="2"/>
      <c r="M405" s="2"/>
      <c r="N405" s="67"/>
    </row>
    <row r="406" spans="1:14" x14ac:dyDescent="0.35">
      <c r="A406" s="61">
        <v>402</v>
      </c>
      <c r="B406" s="2"/>
      <c r="C406" s="2"/>
      <c r="D406" s="2"/>
      <c r="E406" s="10"/>
      <c r="F406" s="11"/>
      <c r="G406" s="2"/>
      <c r="H406" s="2"/>
      <c r="I406" s="2"/>
      <c r="J406" s="2"/>
      <c r="K406" s="12"/>
      <c r="L406" s="2"/>
      <c r="M406" s="2"/>
      <c r="N406" s="67"/>
    </row>
    <row r="407" spans="1:14" x14ac:dyDescent="0.35">
      <c r="A407" s="61">
        <v>403</v>
      </c>
      <c r="B407" s="2"/>
      <c r="C407" s="2"/>
      <c r="D407" s="2"/>
      <c r="E407" s="10"/>
      <c r="F407" s="11"/>
      <c r="G407" s="2"/>
      <c r="H407" s="2"/>
      <c r="I407" s="2"/>
      <c r="J407" s="2"/>
      <c r="K407" s="12"/>
      <c r="L407" s="2"/>
      <c r="M407" s="2"/>
      <c r="N407" s="67"/>
    </row>
    <row r="408" spans="1:14" x14ac:dyDescent="0.35">
      <c r="A408" s="61">
        <v>404</v>
      </c>
      <c r="B408" s="2"/>
      <c r="C408" s="2"/>
      <c r="D408" s="2"/>
      <c r="E408" s="10"/>
      <c r="F408" s="11"/>
      <c r="G408" s="2"/>
      <c r="H408" s="2"/>
      <c r="I408" s="2"/>
      <c r="J408" s="2"/>
      <c r="K408" s="12"/>
      <c r="L408" s="2"/>
      <c r="M408" s="2"/>
      <c r="N408" s="67"/>
    </row>
    <row r="409" spans="1:14" x14ac:dyDescent="0.35">
      <c r="A409" s="61">
        <v>405</v>
      </c>
      <c r="B409" s="2"/>
      <c r="C409" s="2"/>
      <c r="D409" s="2"/>
      <c r="E409" s="10"/>
      <c r="F409" s="11"/>
      <c r="G409" s="2"/>
      <c r="H409" s="2"/>
      <c r="I409" s="2"/>
      <c r="J409" s="2"/>
      <c r="K409" s="12"/>
      <c r="L409" s="2"/>
      <c r="M409" s="2"/>
      <c r="N409" s="67"/>
    </row>
    <row r="410" spans="1:14" x14ac:dyDescent="0.35">
      <c r="A410" s="61">
        <v>406</v>
      </c>
      <c r="B410" s="2"/>
      <c r="C410" s="2"/>
      <c r="D410" s="2"/>
      <c r="E410" s="10"/>
      <c r="F410" s="11"/>
      <c r="G410" s="2"/>
      <c r="H410" s="2"/>
      <c r="I410" s="2"/>
      <c r="J410" s="2"/>
      <c r="K410" s="12"/>
      <c r="L410" s="2"/>
      <c r="M410" s="2"/>
      <c r="N410" s="67"/>
    </row>
    <row r="411" spans="1:14" x14ac:dyDescent="0.35">
      <c r="A411" s="61">
        <v>407</v>
      </c>
      <c r="B411" s="2"/>
      <c r="C411" s="2"/>
      <c r="D411" s="2"/>
      <c r="E411" s="10"/>
      <c r="F411" s="11"/>
      <c r="G411" s="2"/>
      <c r="H411" s="2"/>
      <c r="I411" s="2"/>
      <c r="J411" s="2"/>
      <c r="K411" s="12"/>
      <c r="L411" s="2"/>
      <c r="M411" s="2"/>
      <c r="N411" s="67"/>
    </row>
    <row r="412" spans="1:14" x14ac:dyDescent="0.35">
      <c r="A412" s="61">
        <v>408</v>
      </c>
      <c r="B412" s="2"/>
      <c r="C412" s="2"/>
      <c r="D412" s="2"/>
      <c r="E412" s="10"/>
      <c r="F412" s="11"/>
      <c r="G412" s="2"/>
      <c r="H412" s="2"/>
      <c r="I412" s="2"/>
      <c r="J412" s="2"/>
      <c r="K412" s="12"/>
      <c r="L412" s="2"/>
      <c r="M412" s="2"/>
      <c r="N412" s="67"/>
    </row>
    <row r="413" spans="1:14" x14ac:dyDescent="0.35">
      <c r="A413" s="61">
        <v>409</v>
      </c>
      <c r="B413" s="2"/>
      <c r="C413" s="2"/>
      <c r="D413" s="2"/>
      <c r="E413" s="10"/>
      <c r="F413" s="11"/>
      <c r="G413" s="2"/>
      <c r="H413" s="2"/>
      <c r="I413" s="2"/>
      <c r="J413" s="2"/>
      <c r="K413" s="12"/>
      <c r="L413" s="2"/>
      <c r="M413" s="2"/>
      <c r="N413" s="67"/>
    </row>
    <row r="414" spans="1:14" x14ac:dyDescent="0.35">
      <c r="A414" s="61">
        <v>410</v>
      </c>
      <c r="B414" s="2"/>
      <c r="C414" s="2"/>
      <c r="D414" s="2"/>
      <c r="E414" s="10"/>
      <c r="F414" s="11"/>
      <c r="G414" s="2"/>
      <c r="H414" s="2"/>
      <c r="I414" s="2"/>
      <c r="J414" s="2"/>
      <c r="K414" s="12"/>
      <c r="L414" s="2"/>
      <c r="M414" s="2"/>
      <c r="N414" s="67"/>
    </row>
    <row r="415" spans="1:14" x14ac:dyDescent="0.35">
      <c r="A415" s="61">
        <v>411</v>
      </c>
      <c r="B415" s="2"/>
      <c r="C415" s="2"/>
      <c r="D415" s="2"/>
      <c r="E415" s="10"/>
      <c r="F415" s="11"/>
      <c r="G415" s="2"/>
      <c r="H415" s="2"/>
      <c r="I415" s="2"/>
      <c r="J415" s="2"/>
      <c r="K415" s="12"/>
      <c r="L415" s="2"/>
      <c r="M415" s="2"/>
      <c r="N415" s="67"/>
    </row>
    <row r="416" spans="1:14" x14ac:dyDescent="0.35">
      <c r="A416" s="61">
        <v>412</v>
      </c>
      <c r="B416" s="2"/>
      <c r="C416" s="2"/>
      <c r="D416" s="2"/>
      <c r="E416" s="10"/>
      <c r="F416" s="11"/>
      <c r="G416" s="2"/>
      <c r="H416" s="2"/>
      <c r="I416" s="2"/>
      <c r="J416" s="2"/>
      <c r="K416" s="12"/>
      <c r="L416" s="2"/>
      <c r="M416" s="2"/>
      <c r="N416" s="67"/>
    </row>
    <row r="417" spans="1:14" x14ac:dyDescent="0.35">
      <c r="A417" s="61">
        <v>413</v>
      </c>
      <c r="B417" s="2"/>
      <c r="C417" s="2"/>
      <c r="D417" s="2"/>
      <c r="E417" s="10"/>
      <c r="F417" s="11"/>
      <c r="G417" s="2"/>
      <c r="H417" s="2"/>
      <c r="I417" s="2"/>
      <c r="J417" s="2"/>
      <c r="K417" s="12"/>
      <c r="L417" s="2"/>
      <c r="M417" s="2"/>
      <c r="N417" s="67"/>
    </row>
    <row r="418" spans="1:14" x14ac:dyDescent="0.35">
      <c r="A418" s="61">
        <v>414</v>
      </c>
      <c r="B418" s="2"/>
      <c r="C418" s="2"/>
      <c r="D418" s="2"/>
      <c r="E418" s="10"/>
      <c r="F418" s="11"/>
      <c r="G418" s="2"/>
      <c r="H418" s="2"/>
      <c r="I418" s="2"/>
      <c r="J418" s="2"/>
      <c r="K418" s="12"/>
      <c r="L418" s="2"/>
      <c r="M418" s="2"/>
      <c r="N418" s="67"/>
    </row>
    <row r="419" spans="1:14" x14ac:dyDescent="0.35">
      <c r="A419" s="61">
        <v>415</v>
      </c>
      <c r="B419" s="2"/>
      <c r="C419" s="2"/>
      <c r="D419" s="2"/>
      <c r="E419" s="10"/>
      <c r="F419" s="11"/>
      <c r="G419" s="2"/>
      <c r="H419" s="2"/>
      <c r="I419" s="2"/>
      <c r="J419" s="2"/>
      <c r="K419" s="12"/>
      <c r="L419" s="2"/>
      <c r="M419" s="2"/>
      <c r="N419" s="67"/>
    </row>
    <row r="420" spans="1:14" x14ac:dyDescent="0.35">
      <c r="A420" s="61">
        <v>416</v>
      </c>
      <c r="B420" s="2"/>
      <c r="C420" s="2"/>
      <c r="D420" s="2"/>
      <c r="E420" s="10"/>
      <c r="F420" s="11"/>
      <c r="G420" s="2"/>
      <c r="H420" s="2"/>
      <c r="I420" s="2"/>
      <c r="J420" s="2"/>
      <c r="K420" s="12"/>
      <c r="L420" s="2"/>
      <c r="M420" s="2"/>
      <c r="N420" s="67"/>
    </row>
    <row r="421" spans="1:14" x14ac:dyDescent="0.35">
      <c r="A421" s="61">
        <v>417</v>
      </c>
      <c r="B421" s="2"/>
      <c r="C421" s="2"/>
      <c r="D421" s="2"/>
      <c r="E421" s="10"/>
      <c r="F421" s="11"/>
      <c r="G421" s="2"/>
      <c r="H421" s="2"/>
      <c r="I421" s="2"/>
      <c r="J421" s="2"/>
      <c r="K421" s="12"/>
      <c r="L421" s="2"/>
      <c r="M421" s="2"/>
      <c r="N421" s="67"/>
    </row>
    <row r="422" spans="1:14" x14ac:dyDescent="0.35">
      <c r="A422" s="61">
        <v>418</v>
      </c>
      <c r="B422" s="2"/>
      <c r="C422" s="2"/>
      <c r="D422" s="2"/>
      <c r="E422" s="10"/>
      <c r="F422" s="11"/>
      <c r="G422" s="2"/>
      <c r="H422" s="2"/>
      <c r="I422" s="2"/>
      <c r="J422" s="2"/>
      <c r="K422" s="12"/>
      <c r="L422" s="2"/>
      <c r="M422" s="2"/>
      <c r="N422" s="67"/>
    </row>
    <row r="423" spans="1:14" x14ac:dyDescent="0.35">
      <c r="A423" s="61">
        <v>419</v>
      </c>
      <c r="B423" s="2"/>
      <c r="C423" s="2"/>
      <c r="D423" s="2"/>
      <c r="E423" s="10"/>
      <c r="F423" s="11"/>
      <c r="G423" s="2"/>
      <c r="H423" s="2"/>
      <c r="I423" s="2"/>
      <c r="J423" s="2"/>
      <c r="K423" s="12"/>
      <c r="L423" s="2"/>
      <c r="M423" s="2"/>
      <c r="N423" s="67"/>
    </row>
    <row r="424" spans="1:14" x14ac:dyDescent="0.35">
      <c r="A424" s="61">
        <v>420</v>
      </c>
      <c r="B424" s="2"/>
      <c r="C424" s="2"/>
      <c r="D424" s="2"/>
      <c r="E424" s="10"/>
      <c r="F424" s="11"/>
      <c r="G424" s="2"/>
      <c r="H424" s="2"/>
      <c r="I424" s="2"/>
      <c r="J424" s="2"/>
      <c r="K424" s="12"/>
      <c r="L424" s="2"/>
      <c r="M424" s="2"/>
      <c r="N424" s="67"/>
    </row>
    <row r="425" spans="1:14" x14ac:dyDescent="0.35">
      <c r="A425" s="61">
        <v>421</v>
      </c>
      <c r="B425" s="2"/>
      <c r="C425" s="2"/>
      <c r="D425" s="2"/>
      <c r="E425" s="10"/>
      <c r="F425" s="11"/>
      <c r="G425" s="2"/>
      <c r="H425" s="2"/>
      <c r="I425" s="2"/>
      <c r="J425" s="2"/>
      <c r="K425" s="12"/>
      <c r="L425" s="2"/>
      <c r="M425" s="2"/>
      <c r="N425" s="67"/>
    </row>
    <row r="426" spans="1:14" x14ac:dyDescent="0.35">
      <c r="A426" s="61">
        <v>422</v>
      </c>
      <c r="B426" s="2"/>
      <c r="C426" s="2"/>
      <c r="D426" s="2"/>
      <c r="E426" s="10"/>
      <c r="F426" s="11"/>
      <c r="G426" s="2"/>
      <c r="H426" s="2"/>
      <c r="I426" s="2"/>
      <c r="J426" s="2"/>
      <c r="K426" s="12"/>
      <c r="L426" s="2"/>
      <c r="M426" s="2"/>
      <c r="N426" s="67"/>
    </row>
    <row r="427" spans="1:14" x14ac:dyDescent="0.35">
      <c r="A427" s="61">
        <v>423</v>
      </c>
      <c r="B427" s="2"/>
      <c r="C427" s="2"/>
      <c r="D427" s="2"/>
      <c r="E427" s="10"/>
      <c r="F427" s="11"/>
      <c r="G427" s="2"/>
      <c r="H427" s="2"/>
      <c r="I427" s="2"/>
      <c r="J427" s="2"/>
      <c r="K427" s="12"/>
      <c r="L427" s="2"/>
      <c r="M427" s="2"/>
      <c r="N427" s="67"/>
    </row>
    <row r="428" spans="1:14" x14ac:dyDescent="0.35">
      <c r="A428" s="61">
        <v>424</v>
      </c>
      <c r="B428" s="2"/>
      <c r="C428" s="2"/>
      <c r="D428" s="2"/>
      <c r="E428" s="10"/>
      <c r="F428" s="11"/>
      <c r="G428" s="2"/>
      <c r="H428" s="2"/>
      <c r="I428" s="2"/>
      <c r="J428" s="2"/>
      <c r="K428" s="12"/>
      <c r="L428" s="2"/>
      <c r="M428" s="2"/>
      <c r="N428" s="67"/>
    </row>
    <row r="429" spans="1:14" x14ac:dyDescent="0.35">
      <c r="A429" s="61">
        <v>425</v>
      </c>
      <c r="B429" s="2"/>
      <c r="C429" s="2"/>
      <c r="D429" s="2"/>
      <c r="E429" s="10"/>
      <c r="F429" s="11"/>
      <c r="G429" s="2"/>
      <c r="H429" s="2"/>
      <c r="I429" s="2"/>
      <c r="J429" s="2"/>
      <c r="K429" s="12"/>
      <c r="L429" s="2"/>
      <c r="M429" s="2"/>
      <c r="N429" s="67"/>
    </row>
    <row r="430" spans="1:14" x14ac:dyDescent="0.35">
      <c r="A430" s="61">
        <v>426</v>
      </c>
      <c r="B430" s="2"/>
      <c r="C430" s="2"/>
      <c r="D430" s="2"/>
      <c r="E430" s="10"/>
      <c r="F430" s="11"/>
      <c r="G430" s="2"/>
      <c r="H430" s="2"/>
      <c r="I430" s="2"/>
      <c r="J430" s="2"/>
      <c r="K430" s="12"/>
      <c r="L430" s="2"/>
      <c r="M430" s="2"/>
      <c r="N430" s="67"/>
    </row>
    <row r="431" spans="1:14" x14ac:dyDescent="0.35">
      <c r="A431" s="61">
        <v>427</v>
      </c>
      <c r="B431" s="2"/>
      <c r="C431" s="2"/>
      <c r="D431" s="2"/>
      <c r="E431" s="10"/>
      <c r="F431" s="11"/>
      <c r="G431" s="2"/>
      <c r="H431" s="2"/>
      <c r="I431" s="2"/>
      <c r="J431" s="2"/>
      <c r="K431" s="12"/>
      <c r="L431" s="2"/>
      <c r="M431" s="2"/>
      <c r="N431" s="67"/>
    </row>
    <row r="432" spans="1:14" x14ac:dyDescent="0.35">
      <c r="A432" s="61">
        <v>428</v>
      </c>
      <c r="B432" s="2"/>
      <c r="C432" s="2"/>
      <c r="D432" s="2"/>
      <c r="E432" s="10"/>
      <c r="F432" s="11"/>
      <c r="G432" s="2"/>
      <c r="H432" s="2"/>
      <c r="I432" s="2"/>
      <c r="J432" s="2"/>
      <c r="K432" s="12"/>
      <c r="L432" s="2"/>
      <c r="M432" s="2"/>
      <c r="N432" s="67"/>
    </row>
    <row r="433" spans="1:14" x14ac:dyDescent="0.35">
      <c r="A433" s="61">
        <v>429</v>
      </c>
      <c r="B433" s="2"/>
      <c r="C433" s="2"/>
      <c r="D433" s="2"/>
      <c r="E433" s="10"/>
      <c r="F433" s="11"/>
      <c r="G433" s="2"/>
      <c r="H433" s="2"/>
      <c r="I433" s="2"/>
      <c r="J433" s="2"/>
      <c r="K433" s="12"/>
      <c r="L433" s="2"/>
      <c r="M433" s="2"/>
      <c r="N433" s="67"/>
    </row>
    <row r="434" spans="1:14" x14ac:dyDescent="0.35">
      <c r="A434" s="61">
        <v>430</v>
      </c>
      <c r="B434" s="2"/>
      <c r="C434" s="2"/>
      <c r="D434" s="2"/>
      <c r="E434" s="10"/>
      <c r="F434" s="11"/>
      <c r="G434" s="2"/>
      <c r="H434" s="2"/>
      <c r="I434" s="2"/>
      <c r="J434" s="2"/>
      <c r="K434" s="12"/>
      <c r="L434" s="2"/>
      <c r="M434" s="2"/>
      <c r="N434" s="67"/>
    </row>
    <row r="435" spans="1:14" x14ac:dyDescent="0.35">
      <c r="A435" s="61">
        <v>431</v>
      </c>
      <c r="B435" s="2"/>
      <c r="C435" s="2"/>
      <c r="D435" s="2"/>
      <c r="E435" s="10"/>
      <c r="F435" s="11"/>
      <c r="G435" s="2"/>
      <c r="H435" s="2"/>
      <c r="I435" s="2"/>
      <c r="J435" s="2"/>
      <c r="K435" s="12"/>
      <c r="L435" s="2"/>
      <c r="M435" s="2"/>
      <c r="N435" s="67"/>
    </row>
    <row r="436" spans="1:14" x14ac:dyDescent="0.35">
      <c r="A436" s="61">
        <v>432</v>
      </c>
      <c r="B436" s="2"/>
      <c r="C436" s="2"/>
      <c r="D436" s="2"/>
      <c r="E436" s="10"/>
      <c r="F436" s="11"/>
      <c r="G436" s="2"/>
      <c r="H436" s="2"/>
      <c r="I436" s="2"/>
      <c r="J436" s="2"/>
      <c r="K436" s="12"/>
      <c r="L436" s="2"/>
      <c r="M436" s="2"/>
      <c r="N436" s="67"/>
    </row>
    <row r="437" spans="1:14" x14ac:dyDescent="0.35">
      <c r="A437" s="61">
        <v>433</v>
      </c>
      <c r="B437" s="2"/>
      <c r="C437" s="2"/>
      <c r="D437" s="2"/>
      <c r="E437" s="10"/>
      <c r="F437" s="11"/>
      <c r="G437" s="2"/>
      <c r="H437" s="2"/>
      <c r="I437" s="2"/>
      <c r="J437" s="2"/>
      <c r="K437" s="12"/>
      <c r="L437" s="2"/>
      <c r="M437" s="2"/>
      <c r="N437" s="67"/>
    </row>
    <row r="438" spans="1:14" x14ac:dyDescent="0.35">
      <c r="A438" s="61">
        <v>434</v>
      </c>
      <c r="B438" s="2"/>
      <c r="C438" s="2"/>
      <c r="D438" s="2"/>
      <c r="E438" s="10"/>
      <c r="F438" s="11"/>
      <c r="G438" s="2"/>
      <c r="H438" s="2"/>
      <c r="I438" s="2"/>
      <c r="J438" s="2"/>
      <c r="K438" s="12"/>
      <c r="L438" s="2"/>
      <c r="M438" s="2"/>
      <c r="N438" s="67"/>
    </row>
    <row r="439" spans="1:14" x14ac:dyDescent="0.35">
      <c r="A439" s="61">
        <v>435</v>
      </c>
      <c r="B439" s="2"/>
      <c r="C439" s="2"/>
      <c r="D439" s="2"/>
      <c r="E439" s="10"/>
      <c r="F439" s="11"/>
      <c r="G439" s="2"/>
      <c r="H439" s="2"/>
      <c r="I439" s="2"/>
      <c r="J439" s="2"/>
      <c r="K439" s="12"/>
      <c r="L439" s="2"/>
      <c r="M439" s="2"/>
      <c r="N439" s="67"/>
    </row>
    <row r="440" spans="1:14" x14ac:dyDescent="0.35">
      <c r="A440" s="61">
        <v>436</v>
      </c>
      <c r="B440" s="2"/>
      <c r="C440" s="2"/>
      <c r="D440" s="2"/>
      <c r="E440" s="10"/>
      <c r="F440" s="11"/>
      <c r="G440" s="2"/>
      <c r="H440" s="2"/>
      <c r="I440" s="2"/>
      <c r="J440" s="2"/>
      <c r="K440" s="12"/>
      <c r="L440" s="2"/>
      <c r="M440" s="2"/>
      <c r="N440" s="67"/>
    </row>
    <row r="441" spans="1:14" x14ac:dyDescent="0.35">
      <c r="A441" s="61">
        <v>437</v>
      </c>
      <c r="B441" s="2"/>
      <c r="C441" s="2"/>
      <c r="D441" s="2"/>
      <c r="E441" s="10"/>
      <c r="F441" s="11"/>
      <c r="G441" s="2"/>
      <c r="H441" s="2"/>
      <c r="I441" s="2"/>
      <c r="J441" s="2"/>
      <c r="K441" s="12"/>
      <c r="L441" s="2"/>
      <c r="M441" s="2"/>
      <c r="N441" s="67"/>
    </row>
    <row r="442" spans="1:14" x14ac:dyDescent="0.35">
      <c r="A442" s="61">
        <v>438</v>
      </c>
      <c r="B442" s="2"/>
      <c r="C442" s="2"/>
      <c r="D442" s="2"/>
      <c r="E442" s="10"/>
      <c r="F442" s="11"/>
      <c r="G442" s="2"/>
      <c r="H442" s="2"/>
      <c r="I442" s="2"/>
      <c r="J442" s="2"/>
      <c r="K442" s="12"/>
      <c r="L442" s="2"/>
      <c r="M442" s="2"/>
      <c r="N442" s="67"/>
    </row>
    <row r="443" spans="1:14" x14ac:dyDescent="0.35">
      <c r="A443" s="61">
        <v>439</v>
      </c>
      <c r="B443" s="2"/>
      <c r="C443" s="2"/>
      <c r="D443" s="2"/>
      <c r="E443" s="10"/>
      <c r="F443" s="11"/>
      <c r="G443" s="2"/>
      <c r="H443" s="2"/>
      <c r="I443" s="2"/>
      <c r="J443" s="2"/>
      <c r="K443" s="12"/>
      <c r="L443" s="2"/>
      <c r="M443" s="2"/>
      <c r="N443" s="67"/>
    </row>
    <row r="444" spans="1:14" x14ac:dyDescent="0.35">
      <c r="A444" s="61">
        <v>440</v>
      </c>
      <c r="B444" s="2"/>
      <c r="C444" s="2"/>
      <c r="D444" s="2"/>
      <c r="E444" s="10"/>
      <c r="F444" s="11"/>
      <c r="G444" s="2"/>
      <c r="H444" s="2"/>
      <c r="I444" s="2"/>
      <c r="J444" s="2"/>
      <c r="K444" s="12"/>
      <c r="L444" s="2"/>
      <c r="M444" s="2"/>
      <c r="N444" s="67"/>
    </row>
    <row r="445" spans="1:14" x14ac:dyDescent="0.35">
      <c r="A445" s="61">
        <v>441</v>
      </c>
      <c r="B445" s="2"/>
      <c r="C445" s="2"/>
      <c r="D445" s="2"/>
      <c r="E445" s="10"/>
      <c r="F445" s="11"/>
      <c r="G445" s="2"/>
      <c r="H445" s="2"/>
      <c r="I445" s="2"/>
      <c r="J445" s="2"/>
      <c r="K445" s="12"/>
      <c r="L445" s="2"/>
      <c r="M445" s="2"/>
      <c r="N445" s="67"/>
    </row>
    <row r="446" spans="1:14" x14ac:dyDescent="0.35">
      <c r="A446" s="61">
        <v>442</v>
      </c>
      <c r="B446" s="2"/>
      <c r="C446" s="2"/>
      <c r="D446" s="2"/>
      <c r="E446" s="10"/>
      <c r="F446" s="11"/>
      <c r="G446" s="2"/>
      <c r="H446" s="2"/>
      <c r="I446" s="2"/>
      <c r="J446" s="2"/>
      <c r="K446" s="12"/>
      <c r="L446" s="2"/>
      <c r="M446" s="2"/>
      <c r="N446" s="67"/>
    </row>
    <row r="447" spans="1:14" x14ac:dyDescent="0.35">
      <c r="A447" s="61">
        <v>443</v>
      </c>
      <c r="B447" s="2"/>
      <c r="C447" s="2"/>
      <c r="D447" s="2"/>
      <c r="E447" s="10"/>
      <c r="F447" s="11"/>
      <c r="G447" s="2"/>
      <c r="H447" s="2"/>
      <c r="I447" s="2"/>
      <c r="J447" s="2"/>
      <c r="K447" s="12"/>
      <c r="L447" s="2"/>
      <c r="M447" s="2"/>
      <c r="N447" s="67"/>
    </row>
    <row r="448" spans="1:14" x14ac:dyDescent="0.35">
      <c r="A448" s="61">
        <v>444</v>
      </c>
      <c r="B448" s="2"/>
      <c r="C448" s="2"/>
      <c r="D448" s="2"/>
      <c r="E448" s="10"/>
      <c r="F448" s="11"/>
      <c r="G448" s="2"/>
      <c r="H448" s="2"/>
      <c r="I448" s="2"/>
      <c r="J448" s="2"/>
      <c r="K448" s="12"/>
      <c r="L448" s="2"/>
      <c r="M448" s="2"/>
      <c r="N448" s="67"/>
    </row>
    <row r="449" spans="1:14" x14ac:dyDescent="0.35">
      <c r="A449" s="61">
        <v>445</v>
      </c>
      <c r="B449" s="2"/>
      <c r="C449" s="2"/>
      <c r="D449" s="2"/>
      <c r="E449" s="10"/>
      <c r="F449" s="11"/>
      <c r="G449" s="2"/>
      <c r="H449" s="2"/>
      <c r="I449" s="2"/>
      <c r="J449" s="2"/>
      <c r="K449" s="12"/>
      <c r="L449" s="2"/>
      <c r="M449" s="2"/>
      <c r="N449" s="67"/>
    </row>
    <row r="450" spans="1:14" x14ac:dyDescent="0.35">
      <c r="A450" s="61">
        <v>446</v>
      </c>
      <c r="B450" s="2"/>
      <c r="C450" s="2"/>
      <c r="D450" s="2"/>
      <c r="E450" s="10"/>
      <c r="F450" s="11"/>
      <c r="G450" s="2"/>
      <c r="H450" s="2"/>
      <c r="I450" s="2"/>
      <c r="J450" s="2"/>
      <c r="K450" s="12"/>
      <c r="L450" s="2"/>
      <c r="M450" s="2"/>
      <c r="N450" s="67"/>
    </row>
    <row r="451" spans="1:14" x14ac:dyDescent="0.35">
      <c r="A451" s="61">
        <v>447</v>
      </c>
      <c r="B451" s="2"/>
      <c r="C451" s="2"/>
      <c r="D451" s="2"/>
      <c r="E451" s="10"/>
      <c r="F451" s="11"/>
      <c r="G451" s="2"/>
      <c r="H451" s="2"/>
      <c r="I451" s="2"/>
      <c r="J451" s="2"/>
      <c r="K451" s="12"/>
      <c r="L451" s="2"/>
      <c r="M451" s="2"/>
      <c r="N451" s="67"/>
    </row>
    <row r="452" spans="1:14" x14ac:dyDescent="0.35">
      <c r="A452" s="61">
        <v>448</v>
      </c>
      <c r="B452" s="2"/>
      <c r="C452" s="2"/>
      <c r="D452" s="2"/>
      <c r="E452" s="10"/>
      <c r="F452" s="11"/>
      <c r="G452" s="2"/>
      <c r="H452" s="2"/>
      <c r="I452" s="2"/>
      <c r="J452" s="2"/>
      <c r="K452" s="12"/>
      <c r="L452" s="2"/>
      <c r="M452" s="2"/>
      <c r="N452" s="67"/>
    </row>
    <row r="453" spans="1:14" x14ac:dyDescent="0.35">
      <c r="A453" s="61">
        <v>449</v>
      </c>
      <c r="B453" s="2"/>
      <c r="C453" s="2"/>
      <c r="D453" s="2"/>
      <c r="E453" s="10"/>
      <c r="F453" s="11"/>
      <c r="G453" s="2"/>
      <c r="H453" s="2"/>
      <c r="I453" s="2"/>
      <c r="J453" s="2"/>
      <c r="K453" s="12"/>
      <c r="L453" s="2"/>
      <c r="M453" s="2"/>
      <c r="N453" s="67"/>
    </row>
    <row r="454" spans="1:14" x14ac:dyDescent="0.35">
      <c r="A454" s="61">
        <v>450</v>
      </c>
      <c r="B454" s="2"/>
      <c r="C454" s="2"/>
      <c r="D454" s="2"/>
      <c r="E454" s="10"/>
      <c r="F454" s="11"/>
      <c r="G454" s="2"/>
      <c r="H454" s="2"/>
      <c r="I454" s="2"/>
      <c r="J454" s="2"/>
      <c r="K454" s="12"/>
      <c r="L454" s="2"/>
      <c r="M454" s="2"/>
      <c r="N454" s="67"/>
    </row>
    <row r="455" spans="1:14" x14ac:dyDescent="0.35">
      <c r="A455" s="61">
        <v>451</v>
      </c>
      <c r="B455" s="2"/>
      <c r="C455" s="2"/>
      <c r="D455" s="2"/>
      <c r="E455" s="10"/>
      <c r="F455" s="11"/>
      <c r="G455" s="2"/>
      <c r="H455" s="2"/>
      <c r="I455" s="2"/>
      <c r="J455" s="2"/>
      <c r="K455" s="12"/>
      <c r="L455" s="2"/>
      <c r="M455" s="2"/>
      <c r="N455" s="67"/>
    </row>
    <row r="456" spans="1:14" x14ac:dyDescent="0.35">
      <c r="A456" s="61">
        <v>452</v>
      </c>
      <c r="B456" s="2"/>
      <c r="C456" s="2"/>
      <c r="D456" s="2"/>
      <c r="E456" s="10"/>
      <c r="F456" s="11"/>
      <c r="G456" s="2"/>
      <c r="H456" s="2"/>
      <c r="I456" s="2"/>
      <c r="J456" s="2"/>
      <c r="K456" s="12"/>
      <c r="L456" s="2"/>
      <c r="M456" s="2"/>
      <c r="N456" s="67"/>
    </row>
    <row r="457" spans="1:14" x14ac:dyDescent="0.35">
      <c r="A457" s="61">
        <v>453</v>
      </c>
      <c r="B457" s="2"/>
      <c r="C457" s="2"/>
      <c r="D457" s="2"/>
      <c r="E457" s="10"/>
      <c r="F457" s="11"/>
      <c r="G457" s="2"/>
      <c r="H457" s="2"/>
      <c r="I457" s="2"/>
      <c r="J457" s="2"/>
      <c r="K457" s="12"/>
      <c r="L457" s="2"/>
      <c r="M457" s="2"/>
      <c r="N457" s="67"/>
    </row>
    <row r="458" spans="1:14" x14ac:dyDescent="0.35">
      <c r="A458" s="61">
        <v>454</v>
      </c>
      <c r="B458" s="2"/>
      <c r="C458" s="2"/>
      <c r="D458" s="2"/>
      <c r="E458" s="10"/>
      <c r="F458" s="11"/>
      <c r="G458" s="2"/>
      <c r="H458" s="2"/>
      <c r="I458" s="2"/>
      <c r="J458" s="2"/>
      <c r="K458" s="12"/>
      <c r="L458" s="2"/>
      <c r="M458" s="2"/>
      <c r="N458" s="67"/>
    </row>
    <row r="459" spans="1:14" x14ac:dyDescent="0.35">
      <c r="A459" s="61">
        <v>455</v>
      </c>
      <c r="B459" s="2"/>
      <c r="C459" s="2"/>
      <c r="D459" s="2"/>
      <c r="E459" s="10"/>
      <c r="F459" s="11"/>
      <c r="G459" s="2"/>
      <c r="H459" s="2"/>
      <c r="I459" s="2"/>
      <c r="J459" s="2"/>
      <c r="K459" s="12"/>
      <c r="L459" s="2"/>
      <c r="M459" s="2"/>
      <c r="N459" s="67"/>
    </row>
    <row r="460" spans="1:14" x14ac:dyDescent="0.35">
      <c r="A460" s="61">
        <v>456</v>
      </c>
      <c r="B460" s="2"/>
      <c r="C460" s="2"/>
      <c r="D460" s="2"/>
      <c r="E460" s="10"/>
      <c r="F460" s="11"/>
      <c r="G460" s="2"/>
      <c r="H460" s="2"/>
      <c r="I460" s="2"/>
      <c r="J460" s="2"/>
      <c r="K460" s="12"/>
      <c r="L460" s="2"/>
      <c r="M460" s="2"/>
      <c r="N460" s="67"/>
    </row>
    <row r="461" spans="1:14" x14ac:dyDescent="0.35">
      <c r="A461" s="61">
        <v>457</v>
      </c>
      <c r="B461" s="2"/>
      <c r="C461" s="2"/>
      <c r="D461" s="2"/>
      <c r="E461" s="10"/>
      <c r="F461" s="11"/>
      <c r="G461" s="2"/>
      <c r="H461" s="2"/>
      <c r="I461" s="2"/>
      <c r="J461" s="2"/>
      <c r="K461" s="12"/>
      <c r="L461" s="2"/>
      <c r="M461" s="2"/>
      <c r="N461" s="67"/>
    </row>
    <row r="462" spans="1:14" x14ac:dyDescent="0.35">
      <c r="A462" s="61">
        <v>458</v>
      </c>
      <c r="B462" s="2"/>
      <c r="C462" s="2"/>
      <c r="D462" s="2"/>
      <c r="E462" s="10"/>
      <c r="F462" s="11"/>
      <c r="G462" s="2"/>
      <c r="H462" s="2"/>
      <c r="I462" s="2"/>
      <c r="J462" s="2"/>
      <c r="K462" s="12"/>
      <c r="L462" s="2"/>
      <c r="M462" s="2"/>
      <c r="N462" s="67"/>
    </row>
    <row r="463" spans="1:14" x14ac:dyDescent="0.35">
      <c r="A463" s="61">
        <v>459</v>
      </c>
      <c r="B463" s="2"/>
      <c r="C463" s="2"/>
      <c r="D463" s="2"/>
      <c r="E463" s="10"/>
      <c r="F463" s="11"/>
      <c r="G463" s="2"/>
      <c r="H463" s="2"/>
      <c r="I463" s="2"/>
      <c r="J463" s="2"/>
      <c r="K463" s="12"/>
      <c r="L463" s="2"/>
      <c r="M463" s="2"/>
      <c r="N463" s="67"/>
    </row>
    <row r="464" spans="1:14" x14ac:dyDescent="0.35">
      <c r="A464" s="61">
        <v>460</v>
      </c>
      <c r="B464" s="2"/>
      <c r="C464" s="2"/>
      <c r="D464" s="2"/>
      <c r="E464" s="10"/>
      <c r="F464" s="11"/>
      <c r="G464" s="2"/>
      <c r="H464" s="2"/>
      <c r="I464" s="2"/>
      <c r="J464" s="2"/>
      <c r="K464" s="12"/>
      <c r="L464" s="2"/>
      <c r="M464" s="2"/>
      <c r="N464" s="67"/>
    </row>
    <row r="465" spans="1:14" x14ac:dyDescent="0.35">
      <c r="A465" s="61">
        <v>461</v>
      </c>
      <c r="B465" s="2"/>
      <c r="C465" s="2"/>
      <c r="D465" s="2"/>
      <c r="E465" s="10"/>
      <c r="F465" s="11"/>
      <c r="G465" s="2"/>
      <c r="H465" s="2"/>
      <c r="I465" s="2"/>
      <c r="J465" s="2"/>
      <c r="K465" s="12"/>
      <c r="L465" s="2"/>
      <c r="M465" s="2"/>
      <c r="N465" s="67"/>
    </row>
    <row r="466" spans="1:14" x14ac:dyDescent="0.35">
      <c r="A466" s="61">
        <v>462</v>
      </c>
      <c r="B466" s="2"/>
      <c r="C466" s="2"/>
      <c r="D466" s="2"/>
      <c r="E466" s="10"/>
      <c r="F466" s="11"/>
      <c r="G466" s="2"/>
      <c r="H466" s="2"/>
      <c r="I466" s="2"/>
      <c r="J466" s="2"/>
      <c r="K466" s="12"/>
      <c r="L466" s="2"/>
      <c r="M466" s="2"/>
      <c r="N466" s="67"/>
    </row>
    <row r="467" spans="1:14" x14ac:dyDescent="0.35">
      <c r="A467" s="61">
        <v>463</v>
      </c>
      <c r="B467" s="2"/>
      <c r="C467" s="2"/>
      <c r="D467" s="2"/>
      <c r="E467" s="10"/>
      <c r="F467" s="11"/>
      <c r="G467" s="2"/>
      <c r="H467" s="2"/>
      <c r="I467" s="2"/>
      <c r="J467" s="2"/>
      <c r="K467" s="12"/>
      <c r="L467" s="2"/>
      <c r="M467" s="2"/>
      <c r="N467" s="67"/>
    </row>
    <row r="468" spans="1:14" x14ac:dyDescent="0.35">
      <c r="A468" s="61">
        <v>464</v>
      </c>
      <c r="B468" s="2"/>
      <c r="C468" s="2"/>
      <c r="D468" s="2"/>
      <c r="E468" s="10"/>
      <c r="F468" s="11"/>
      <c r="G468" s="2"/>
      <c r="H468" s="2"/>
      <c r="I468" s="2"/>
      <c r="J468" s="2"/>
      <c r="K468" s="12"/>
      <c r="L468" s="2"/>
      <c r="M468" s="2"/>
      <c r="N468" s="67"/>
    </row>
    <row r="469" spans="1:14" x14ac:dyDescent="0.35">
      <c r="A469" s="61">
        <v>465</v>
      </c>
      <c r="B469" s="2"/>
      <c r="C469" s="2"/>
      <c r="D469" s="2"/>
      <c r="E469" s="10"/>
      <c r="F469" s="11"/>
      <c r="G469" s="2"/>
      <c r="H469" s="2"/>
      <c r="I469" s="2"/>
      <c r="J469" s="2"/>
      <c r="K469" s="12"/>
      <c r="L469" s="2"/>
      <c r="M469" s="2"/>
      <c r="N469" s="67"/>
    </row>
    <row r="470" spans="1:14" x14ac:dyDescent="0.35">
      <c r="A470" s="61">
        <v>466</v>
      </c>
      <c r="B470" s="2"/>
      <c r="C470" s="2"/>
      <c r="D470" s="2"/>
      <c r="E470" s="10"/>
      <c r="F470" s="11"/>
      <c r="G470" s="2"/>
      <c r="H470" s="2"/>
      <c r="I470" s="2"/>
      <c r="J470" s="2"/>
      <c r="K470" s="12"/>
      <c r="L470" s="2"/>
      <c r="M470" s="2"/>
      <c r="N470" s="67"/>
    </row>
    <row r="471" spans="1:14" x14ac:dyDescent="0.35">
      <c r="A471" s="61">
        <v>467</v>
      </c>
      <c r="B471" s="2"/>
      <c r="C471" s="2"/>
      <c r="D471" s="2"/>
      <c r="E471" s="10"/>
      <c r="F471" s="11"/>
      <c r="G471" s="2"/>
      <c r="H471" s="2"/>
      <c r="I471" s="2"/>
      <c r="J471" s="2"/>
      <c r="K471" s="12"/>
      <c r="L471" s="2"/>
      <c r="M471" s="2"/>
      <c r="N471" s="67"/>
    </row>
    <row r="472" spans="1:14" x14ac:dyDescent="0.35">
      <c r="A472" s="61">
        <v>468</v>
      </c>
      <c r="B472" s="2"/>
      <c r="C472" s="2"/>
      <c r="D472" s="2"/>
      <c r="E472" s="10"/>
      <c r="F472" s="11"/>
      <c r="G472" s="2"/>
      <c r="H472" s="2"/>
      <c r="I472" s="2"/>
      <c r="J472" s="2"/>
      <c r="K472" s="12"/>
      <c r="L472" s="2"/>
      <c r="M472" s="2"/>
      <c r="N472" s="67"/>
    </row>
    <row r="473" spans="1:14" x14ac:dyDescent="0.35">
      <c r="A473" s="61">
        <v>469</v>
      </c>
      <c r="B473" s="2"/>
      <c r="C473" s="2"/>
      <c r="D473" s="2"/>
      <c r="E473" s="10"/>
      <c r="F473" s="11"/>
      <c r="G473" s="2"/>
      <c r="H473" s="2"/>
      <c r="I473" s="2"/>
      <c r="J473" s="2"/>
      <c r="K473" s="12"/>
      <c r="L473" s="2"/>
      <c r="M473" s="2"/>
      <c r="N473" s="67"/>
    </row>
    <row r="474" spans="1:14" x14ac:dyDescent="0.35">
      <c r="A474" s="61">
        <v>470</v>
      </c>
      <c r="B474" s="2"/>
      <c r="C474" s="2"/>
      <c r="D474" s="2"/>
      <c r="E474" s="10"/>
      <c r="F474" s="11"/>
      <c r="G474" s="2"/>
      <c r="H474" s="2"/>
      <c r="I474" s="2"/>
      <c r="J474" s="2"/>
      <c r="K474" s="12"/>
      <c r="L474" s="2"/>
      <c r="M474" s="2"/>
      <c r="N474" s="67"/>
    </row>
    <row r="475" spans="1:14" x14ac:dyDescent="0.35">
      <c r="A475" s="61">
        <v>471</v>
      </c>
      <c r="B475" s="2"/>
      <c r="C475" s="2"/>
      <c r="D475" s="2"/>
      <c r="E475" s="10"/>
      <c r="F475" s="11"/>
      <c r="G475" s="2"/>
      <c r="H475" s="2"/>
      <c r="I475" s="2"/>
      <c r="J475" s="2"/>
      <c r="K475" s="12"/>
      <c r="L475" s="2"/>
      <c r="M475" s="2"/>
      <c r="N475" s="67"/>
    </row>
    <row r="476" spans="1:14" x14ac:dyDescent="0.35">
      <c r="A476" s="61">
        <v>472</v>
      </c>
      <c r="B476" s="2"/>
      <c r="C476" s="2"/>
      <c r="D476" s="2"/>
      <c r="E476" s="10"/>
      <c r="F476" s="11"/>
      <c r="G476" s="2"/>
      <c r="H476" s="2"/>
      <c r="I476" s="2"/>
      <c r="J476" s="2"/>
      <c r="K476" s="12"/>
      <c r="L476" s="2"/>
      <c r="M476" s="2"/>
      <c r="N476" s="67"/>
    </row>
    <row r="477" spans="1:14" x14ac:dyDescent="0.35">
      <c r="A477" s="61">
        <v>473</v>
      </c>
      <c r="B477" s="2"/>
      <c r="C477" s="2"/>
      <c r="D477" s="2"/>
      <c r="E477" s="10"/>
      <c r="F477" s="11"/>
      <c r="G477" s="2"/>
      <c r="H477" s="2"/>
      <c r="I477" s="2"/>
      <c r="J477" s="2"/>
      <c r="K477" s="12"/>
      <c r="L477" s="2"/>
      <c r="M477" s="2"/>
      <c r="N477" s="67"/>
    </row>
    <row r="478" spans="1:14" x14ac:dyDescent="0.35">
      <c r="A478" s="61">
        <v>474</v>
      </c>
      <c r="B478" s="2"/>
      <c r="C478" s="2"/>
      <c r="D478" s="2"/>
      <c r="E478" s="10"/>
      <c r="F478" s="11"/>
      <c r="G478" s="2"/>
      <c r="H478" s="2"/>
      <c r="I478" s="2"/>
      <c r="J478" s="2"/>
      <c r="K478" s="12"/>
      <c r="L478" s="2"/>
      <c r="M478" s="2"/>
      <c r="N478" s="67"/>
    </row>
    <row r="479" spans="1:14" x14ac:dyDescent="0.35">
      <c r="A479" s="61">
        <v>475</v>
      </c>
      <c r="B479" s="2"/>
      <c r="C479" s="2"/>
      <c r="D479" s="2"/>
      <c r="E479" s="10"/>
      <c r="F479" s="11"/>
      <c r="G479" s="2"/>
      <c r="H479" s="2"/>
      <c r="I479" s="2"/>
      <c r="J479" s="2"/>
      <c r="K479" s="12"/>
      <c r="L479" s="2"/>
      <c r="M479" s="2"/>
      <c r="N479" s="67"/>
    </row>
    <row r="480" spans="1:14" x14ac:dyDescent="0.35">
      <c r="A480" s="61">
        <v>476</v>
      </c>
      <c r="B480" s="2"/>
      <c r="C480" s="2"/>
      <c r="D480" s="2"/>
      <c r="E480" s="10"/>
      <c r="F480" s="11"/>
      <c r="G480" s="2"/>
      <c r="H480" s="2"/>
      <c r="I480" s="2"/>
      <c r="J480" s="2"/>
      <c r="K480" s="12"/>
      <c r="L480" s="2"/>
      <c r="M480" s="2"/>
      <c r="N480" s="67"/>
    </row>
    <row r="481" spans="1:14" x14ac:dyDescent="0.35">
      <c r="A481" s="61">
        <v>477</v>
      </c>
      <c r="B481" s="2"/>
      <c r="C481" s="2"/>
      <c r="D481" s="2"/>
      <c r="E481" s="10"/>
      <c r="F481" s="11"/>
      <c r="G481" s="2"/>
      <c r="H481" s="2"/>
      <c r="I481" s="2"/>
      <c r="J481" s="2"/>
      <c r="K481" s="12"/>
      <c r="L481" s="2"/>
      <c r="M481" s="2"/>
      <c r="N481" s="67"/>
    </row>
    <row r="482" spans="1:14" x14ac:dyDescent="0.35">
      <c r="A482" s="61">
        <v>478</v>
      </c>
      <c r="B482" s="2"/>
      <c r="C482" s="2"/>
      <c r="D482" s="2"/>
      <c r="E482" s="10"/>
      <c r="F482" s="11"/>
      <c r="G482" s="2"/>
      <c r="H482" s="2"/>
      <c r="I482" s="2"/>
      <c r="J482" s="2"/>
      <c r="K482" s="12"/>
      <c r="L482" s="2"/>
      <c r="M482" s="2"/>
      <c r="N482" s="67"/>
    </row>
    <row r="483" spans="1:14" x14ac:dyDescent="0.35">
      <c r="A483" s="61">
        <v>479</v>
      </c>
      <c r="B483" s="2"/>
      <c r="C483" s="2"/>
      <c r="D483" s="2"/>
      <c r="E483" s="10"/>
      <c r="F483" s="11"/>
      <c r="G483" s="2"/>
      <c r="H483" s="2"/>
      <c r="I483" s="2"/>
      <c r="J483" s="2"/>
      <c r="K483" s="12"/>
      <c r="L483" s="2"/>
      <c r="M483" s="2"/>
      <c r="N483" s="67"/>
    </row>
    <row r="484" spans="1:14" x14ac:dyDescent="0.35">
      <c r="A484" s="61">
        <v>480</v>
      </c>
      <c r="B484" s="2"/>
      <c r="C484" s="2"/>
      <c r="D484" s="2"/>
      <c r="E484" s="10"/>
      <c r="F484" s="11"/>
      <c r="G484" s="2"/>
      <c r="H484" s="2"/>
      <c r="I484" s="2"/>
      <c r="J484" s="2"/>
      <c r="K484" s="12"/>
      <c r="L484" s="2"/>
      <c r="M484" s="2"/>
      <c r="N484" s="67"/>
    </row>
    <row r="485" spans="1:14" x14ac:dyDescent="0.35">
      <c r="A485" s="61">
        <v>481</v>
      </c>
      <c r="B485" s="2"/>
      <c r="C485" s="2"/>
      <c r="D485" s="2"/>
      <c r="E485" s="10"/>
      <c r="F485" s="11"/>
      <c r="G485" s="2"/>
      <c r="H485" s="2"/>
      <c r="I485" s="2"/>
      <c r="J485" s="2"/>
      <c r="K485" s="12"/>
      <c r="L485" s="2"/>
      <c r="M485" s="2"/>
      <c r="N485" s="67"/>
    </row>
    <row r="486" spans="1:14" x14ac:dyDescent="0.35">
      <c r="A486" s="61">
        <v>482</v>
      </c>
      <c r="B486" s="2"/>
      <c r="C486" s="2"/>
      <c r="D486" s="2"/>
      <c r="E486" s="10"/>
      <c r="F486" s="11"/>
      <c r="G486" s="2"/>
      <c r="H486" s="2"/>
      <c r="I486" s="2"/>
      <c r="J486" s="2"/>
      <c r="K486" s="12"/>
      <c r="L486" s="2"/>
      <c r="M486" s="2"/>
      <c r="N486" s="67"/>
    </row>
    <row r="487" spans="1:14" x14ac:dyDescent="0.35">
      <c r="A487" s="61">
        <v>483</v>
      </c>
      <c r="B487" s="2"/>
      <c r="C487" s="2"/>
      <c r="D487" s="2"/>
      <c r="E487" s="10"/>
      <c r="F487" s="11"/>
      <c r="G487" s="2"/>
      <c r="H487" s="2"/>
      <c r="I487" s="2"/>
      <c r="J487" s="2"/>
      <c r="K487" s="12"/>
      <c r="L487" s="2"/>
      <c r="M487" s="2"/>
      <c r="N487" s="67"/>
    </row>
    <row r="488" spans="1:14" x14ac:dyDescent="0.35">
      <c r="A488" s="61">
        <v>484</v>
      </c>
      <c r="B488" s="2"/>
      <c r="C488" s="2"/>
      <c r="D488" s="2"/>
      <c r="E488" s="10"/>
      <c r="F488" s="11"/>
      <c r="G488" s="2"/>
      <c r="H488" s="2"/>
      <c r="I488" s="2"/>
      <c r="J488" s="2"/>
      <c r="K488" s="12"/>
      <c r="L488" s="2"/>
      <c r="M488" s="2"/>
      <c r="N488" s="67"/>
    </row>
    <row r="489" spans="1:14" x14ac:dyDescent="0.35">
      <c r="A489" s="61">
        <v>485</v>
      </c>
      <c r="B489" s="2"/>
      <c r="C489" s="2"/>
      <c r="D489" s="2"/>
      <c r="E489" s="10"/>
      <c r="F489" s="11"/>
      <c r="G489" s="2"/>
      <c r="H489" s="2"/>
      <c r="I489" s="2"/>
      <c r="J489" s="2"/>
      <c r="K489" s="12"/>
      <c r="L489" s="2"/>
      <c r="M489" s="2"/>
      <c r="N489" s="67"/>
    </row>
    <row r="490" spans="1:14" x14ac:dyDescent="0.35">
      <c r="A490" s="61">
        <v>486</v>
      </c>
      <c r="B490" s="2"/>
      <c r="C490" s="2"/>
      <c r="D490" s="2"/>
      <c r="E490" s="10"/>
      <c r="F490" s="11"/>
      <c r="G490" s="2"/>
      <c r="H490" s="2"/>
      <c r="I490" s="2"/>
      <c r="J490" s="2"/>
      <c r="K490" s="12"/>
      <c r="L490" s="2"/>
      <c r="M490" s="2"/>
      <c r="N490" s="67"/>
    </row>
    <row r="491" spans="1:14" x14ac:dyDescent="0.35">
      <c r="A491" s="61">
        <v>487</v>
      </c>
      <c r="B491" s="2"/>
      <c r="C491" s="2"/>
      <c r="D491" s="2"/>
      <c r="E491" s="10"/>
      <c r="F491" s="11"/>
      <c r="G491" s="2"/>
      <c r="H491" s="2"/>
      <c r="I491" s="2"/>
      <c r="J491" s="2"/>
      <c r="K491" s="12"/>
      <c r="L491" s="2"/>
      <c r="M491" s="2"/>
      <c r="N491" s="67"/>
    </row>
    <row r="492" spans="1:14" x14ac:dyDescent="0.35">
      <c r="A492" s="61">
        <v>488</v>
      </c>
      <c r="B492" s="2"/>
      <c r="C492" s="2"/>
      <c r="D492" s="2"/>
      <c r="E492" s="10"/>
      <c r="F492" s="11"/>
      <c r="G492" s="2"/>
      <c r="H492" s="2"/>
      <c r="I492" s="2"/>
      <c r="J492" s="2"/>
      <c r="K492" s="12"/>
      <c r="L492" s="2"/>
      <c r="M492" s="2"/>
      <c r="N492" s="67"/>
    </row>
    <row r="493" spans="1:14" x14ac:dyDescent="0.35">
      <c r="A493" s="61">
        <v>489</v>
      </c>
      <c r="B493" s="2"/>
      <c r="C493" s="2"/>
      <c r="D493" s="2"/>
      <c r="E493" s="10"/>
      <c r="F493" s="11"/>
      <c r="G493" s="2"/>
      <c r="H493" s="2"/>
      <c r="I493" s="2"/>
      <c r="J493" s="2"/>
      <c r="K493" s="12"/>
      <c r="L493" s="2"/>
      <c r="M493" s="2"/>
      <c r="N493" s="67"/>
    </row>
    <row r="494" spans="1:14" x14ac:dyDescent="0.35">
      <c r="A494" s="61">
        <v>490</v>
      </c>
      <c r="B494" s="2"/>
      <c r="C494" s="2"/>
      <c r="D494" s="2"/>
      <c r="E494" s="10"/>
      <c r="F494" s="11"/>
      <c r="G494" s="2"/>
      <c r="H494" s="2"/>
      <c r="I494" s="2"/>
      <c r="J494" s="2"/>
      <c r="K494" s="12"/>
      <c r="L494" s="2"/>
      <c r="M494" s="2"/>
      <c r="N494" s="67"/>
    </row>
    <row r="495" spans="1:14" x14ac:dyDescent="0.35">
      <c r="A495" s="61">
        <v>491</v>
      </c>
      <c r="B495" s="2"/>
      <c r="C495" s="2"/>
      <c r="D495" s="2"/>
      <c r="E495" s="10"/>
      <c r="F495" s="11"/>
      <c r="G495" s="2"/>
      <c r="H495" s="2"/>
      <c r="I495" s="2"/>
      <c r="J495" s="2"/>
      <c r="K495" s="12"/>
      <c r="L495" s="2"/>
      <c r="M495" s="2"/>
      <c r="N495" s="67"/>
    </row>
    <row r="496" spans="1:14" x14ac:dyDescent="0.35">
      <c r="A496" s="61">
        <v>492</v>
      </c>
      <c r="B496" s="2"/>
      <c r="C496" s="2"/>
      <c r="D496" s="2"/>
      <c r="E496" s="10"/>
      <c r="F496" s="11"/>
      <c r="G496" s="2"/>
      <c r="H496" s="2"/>
      <c r="I496" s="2"/>
      <c r="J496" s="2"/>
      <c r="K496" s="12"/>
      <c r="L496" s="2"/>
      <c r="M496" s="2"/>
      <c r="N496" s="67"/>
    </row>
    <row r="497" spans="1:14" x14ac:dyDescent="0.35">
      <c r="A497" s="61">
        <v>493</v>
      </c>
      <c r="B497" s="2"/>
      <c r="C497" s="2"/>
      <c r="D497" s="2"/>
      <c r="E497" s="10"/>
      <c r="F497" s="11"/>
      <c r="G497" s="2"/>
      <c r="H497" s="2"/>
      <c r="I497" s="2"/>
      <c r="J497" s="2"/>
      <c r="K497" s="12"/>
      <c r="L497" s="2"/>
      <c r="M497" s="2"/>
      <c r="N497" s="67"/>
    </row>
    <row r="498" spans="1:14" x14ac:dyDescent="0.35">
      <c r="A498" s="61">
        <v>494</v>
      </c>
      <c r="B498" s="2"/>
      <c r="C498" s="2"/>
      <c r="D498" s="2"/>
      <c r="E498" s="10"/>
      <c r="F498" s="11"/>
      <c r="G498" s="2"/>
      <c r="H498" s="2"/>
      <c r="I498" s="2"/>
      <c r="J498" s="2"/>
      <c r="K498" s="12"/>
      <c r="L498" s="2"/>
      <c r="M498" s="2"/>
      <c r="N498" s="67"/>
    </row>
    <row r="499" spans="1:14" x14ac:dyDescent="0.35">
      <c r="A499" s="61">
        <v>495</v>
      </c>
      <c r="B499" s="2"/>
      <c r="C499" s="2"/>
      <c r="D499" s="2"/>
      <c r="E499" s="10"/>
      <c r="F499" s="11"/>
      <c r="G499" s="2"/>
      <c r="H499" s="2"/>
      <c r="I499" s="2"/>
      <c r="J499" s="2"/>
      <c r="K499" s="12"/>
      <c r="L499" s="2"/>
      <c r="M499" s="2"/>
      <c r="N499" s="67"/>
    </row>
    <row r="500" spans="1:14" x14ac:dyDescent="0.35">
      <c r="A500" s="61">
        <v>496</v>
      </c>
      <c r="B500" s="2"/>
      <c r="C500" s="2"/>
      <c r="D500" s="2"/>
      <c r="E500" s="10"/>
      <c r="F500" s="11"/>
      <c r="G500" s="2"/>
      <c r="H500" s="2"/>
      <c r="I500" s="2"/>
      <c r="J500" s="2"/>
      <c r="K500" s="12"/>
      <c r="L500" s="2"/>
      <c r="M500" s="2"/>
      <c r="N500" s="67"/>
    </row>
    <row r="501" spans="1:14" x14ac:dyDescent="0.35">
      <c r="A501" s="61">
        <v>497</v>
      </c>
      <c r="B501" s="2"/>
      <c r="C501" s="2"/>
      <c r="D501" s="2"/>
      <c r="E501" s="10"/>
      <c r="F501" s="11"/>
      <c r="G501" s="2"/>
      <c r="H501" s="2"/>
      <c r="I501" s="2"/>
      <c r="J501" s="2"/>
      <c r="K501" s="12"/>
      <c r="L501" s="2"/>
      <c r="M501" s="2"/>
      <c r="N501" s="67"/>
    </row>
    <row r="502" spans="1:14" x14ac:dyDescent="0.35">
      <c r="A502" s="61">
        <v>498</v>
      </c>
      <c r="B502" s="2"/>
      <c r="C502" s="2"/>
      <c r="D502" s="2"/>
      <c r="E502" s="10"/>
      <c r="F502" s="11"/>
      <c r="G502" s="2"/>
      <c r="H502" s="2"/>
      <c r="I502" s="2"/>
      <c r="J502" s="2"/>
      <c r="K502" s="12"/>
      <c r="L502" s="2"/>
      <c r="M502" s="2"/>
      <c r="N502" s="67"/>
    </row>
    <row r="503" spans="1:14" x14ac:dyDescent="0.35">
      <c r="A503" s="61">
        <v>499</v>
      </c>
      <c r="B503" s="2"/>
      <c r="C503" s="2"/>
      <c r="D503" s="2"/>
      <c r="E503" s="10"/>
      <c r="F503" s="11"/>
      <c r="G503" s="2"/>
      <c r="H503" s="2"/>
      <c r="I503" s="2"/>
      <c r="J503" s="2"/>
      <c r="K503" s="12"/>
      <c r="L503" s="2"/>
      <c r="M503" s="2"/>
      <c r="N503" s="67"/>
    </row>
    <row r="504" spans="1:14" x14ac:dyDescent="0.35">
      <c r="A504" s="61">
        <v>500</v>
      </c>
      <c r="B504" s="2"/>
      <c r="C504" s="2"/>
      <c r="D504" s="2"/>
      <c r="E504" s="10"/>
      <c r="F504" s="11"/>
      <c r="G504" s="2"/>
      <c r="H504" s="2"/>
      <c r="I504" s="2"/>
      <c r="J504" s="2"/>
      <c r="K504" s="12"/>
      <c r="L504" s="2"/>
      <c r="M504" s="2"/>
      <c r="N504" s="67"/>
    </row>
    <row r="505" spans="1:14" x14ac:dyDescent="0.35">
      <c r="A505" s="61">
        <v>501</v>
      </c>
      <c r="B505" s="2"/>
      <c r="C505" s="2"/>
      <c r="D505" s="2"/>
      <c r="E505" s="10"/>
      <c r="F505" s="11"/>
      <c r="G505" s="2"/>
      <c r="H505" s="2"/>
      <c r="I505" s="2"/>
      <c r="J505" s="2"/>
      <c r="K505" s="12"/>
      <c r="L505" s="2"/>
      <c r="M505" s="2"/>
      <c r="N505" s="67"/>
    </row>
    <row r="506" spans="1:14" x14ac:dyDescent="0.35">
      <c r="A506" s="61">
        <v>502</v>
      </c>
      <c r="B506" s="2"/>
      <c r="C506" s="2"/>
      <c r="D506" s="2"/>
      <c r="E506" s="10"/>
      <c r="F506" s="11"/>
      <c r="G506" s="2"/>
      <c r="H506" s="2"/>
      <c r="I506" s="2"/>
      <c r="J506" s="2"/>
      <c r="K506" s="12"/>
      <c r="L506" s="2"/>
      <c r="M506" s="2"/>
      <c r="N506" s="67"/>
    </row>
    <row r="507" spans="1:14" x14ac:dyDescent="0.35">
      <c r="A507" s="61">
        <v>503</v>
      </c>
      <c r="B507" s="2"/>
      <c r="C507" s="2"/>
      <c r="D507" s="2"/>
      <c r="E507" s="10"/>
      <c r="F507" s="11"/>
      <c r="G507" s="2"/>
      <c r="H507" s="2"/>
      <c r="I507" s="2"/>
      <c r="J507" s="2"/>
      <c r="K507" s="12"/>
      <c r="L507" s="2"/>
      <c r="M507" s="2"/>
      <c r="N507" s="67"/>
    </row>
    <row r="508" spans="1:14" x14ac:dyDescent="0.35">
      <c r="A508" s="61">
        <v>504</v>
      </c>
      <c r="B508" s="2"/>
      <c r="C508" s="2"/>
      <c r="D508" s="2"/>
      <c r="E508" s="10"/>
      <c r="F508" s="11"/>
      <c r="G508" s="2"/>
      <c r="H508" s="2"/>
      <c r="I508" s="2"/>
      <c r="J508" s="2"/>
      <c r="K508" s="12"/>
      <c r="L508" s="2"/>
      <c r="M508" s="2"/>
      <c r="N508" s="67"/>
    </row>
    <row r="509" spans="1:14" x14ac:dyDescent="0.35">
      <c r="A509" s="61">
        <v>505</v>
      </c>
      <c r="B509" s="2"/>
      <c r="C509" s="2"/>
      <c r="D509" s="2"/>
      <c r="E509" s="10"/>
      <c r="F509" s="11"/>
      <c r="G509" s="2"/>
      <c r="H509" s="2"/>
      <c r="I509" s="2"/>
      <c r="J509" s="2"/>
      <c r="K509" s="12"/>
      <c r="L509" s="2"/>
      <c r="M509" s="2"/>
      <c r="N509" s="67"/>
    </row>
    <row r="510" spans="1:14" x14ac:dyDescent="0.35">
      <c r="A510" s="61">
        <v>506</v>
      </c>
      <c r="B510" s="2"/>
      <c r="C510" s="2"/>
      <c r="D510" s="2"/>
      <c r="E510" s="10"/>
      <c r="F510" s="11"/>
      <c r="G510" s="2"/>
      <c r="H510" s="2"/>
      <c r="I510" s="2"/>
      <c r="J510" s="2"/>
      <c r="K510" s="12"/>
      <c r="L510" s="2"/>
      <c r="M510" s="2"/>
      <c r="N510" s="67"/>
    </row>
    <row r="511" spans="1:14" x14ac:dyDescent="0.35">
      <c r="A511" s="61">
        <v>507</v>
      </c>
      <c r="B511" s="2"/>
      <c r="C511" s="2"/>
      <c r="D511" s="2"/>
      <c r="E511" s="10"/>
      <c r="F511" s="11"/>
      <c r="G511" s="2"/>
      <c r="H511" s="2"/>
      <c r="I511" s="2"/>
      <c r="J511" s="2"/>
      <c r="K511" s="12"/>
      <c r="L511" s="2"/>
      <c r="M511" s="2"/>
      <c r="N511" s="67"/>
    </row>
    <row r="512" spans="1:14" x14ac:dyDescent="0.35">
      <c r="A512" s="61">
        <v>508</v>
      </c>
      <c r="B512" s="2"/>
      <c r="C512" s="2"/>
      <c r="D512" s="2"/>
      <c r="E512" s="10"/>
      <c r="F512" s="11"/>
      <c r="G512" s="2"/>
      <c r="H512" s="2"/>
      <c r="I512" s="2"/>
      <c r="J512" s="2"/>
      <c r="K512" s="12"/>
      <c r="L512" s="2"/>
      <c r="M512" s="2"/>
      <c r="N512" s="67"/>
    </row>
    <row r="513" spans="1:14" x14ac:dyDescent="0.35">
      <c r="A513" s="61">
        <v>509</v>
      </c>
      <c r="B513" s="2"/>
      <c r="C513" s="2"/>
      <c r="D513" s="2"/>
      <c r="E513" s="10"/>
      <c r="F513" s="11"/>
      <c r="G513" s="2"/>
      <c r="H513" s="2"/>
      <c r="I513" s="2"/>
      <c r="J513" s="2"/>
      <c r="K513" s="12"/>
      <c r="L513" s="2"/>
      <c r="M513" s="2"/>
      <c r="N513" s="67"/>
    </row>
    <row r="514" spans="1:14" x14ac:dyDescent="0.35">
      <c r="A514" s="61">
        <v>510</v>
      </c>
      <c r="B514" s="2"/>
      <c r="C514" s="2"/>
      <c r="D514" s="2"/>
      <c r="E514" s="10"/>
      <c r="F514" s="11"/>
      <c r="G514" s="2"/>
      <c r="H514" s="2"/>
      <c r="I514" s="2"/>
      <c r="J514" s="2"/>
      <c r="K514" s="12"/>
      <c r="L514" s="2"/>
      <c r="M514" s="2"/>
      <c r="N514" s="67"/>
    </row>
    <row r="515" spans="1:14" x14ac:dyDescent="0.35">
      <c r="A515" s="61">
        <v>511</v>
      </c>
      <c r="B515" s="2"/>
      <c r="C515" s="2"/>
      <c r="D515" s="2"/>
      <c r="E515" s="10"/>
      <c r="F515" s="11"/>
      <c r="G515" s="2"/>
      <c r="H515" s="2"/>
      <c r="I515" s="2"/>
      <c r="J515" s="2"/>
      <c r="K515" s="12"/>
      <c r="L515" s="2"/>
      <c r="M515" s="2"/>
      <c r="N515" s="67"/>
    </row>
    <row r="516" spans="1:14" x14ac:dyDescent="0.35">
      <c r="A516" s="61">
        <v>512</v>
      </c>
      <c r="B516" s="2"/>
      <c r="C516" s="2"/>
      <c r="D516" s="2"/>
      <c r="E516" s="10"/>
      <c r="F516" s="11"/>
      <c r="G516" s="2"/>
      <c r="H516" s="2"/>
      <c r="I516" s="2"/>
      <c r="J516" s="2"/>
      <c r="K516" s="12"/>
      <c r="L516" s="2"/>
      <c r="M516" s="2"/>
      <c r="N516" s="67"/>
    </row>
    <row r="517" spans="1:14" x14ac:dyDescent="0.35">
      <c r="A517" s="61">
        <v>513</v>
      </c>
      <c r="B517" s="2"/>
      <c r="C517" s="2"/>
      <c r="D517" s="2"/>
      <c r="E517" s="10"/>
      <c r="F517" s="11"/>
      <c r="G517" s="2"/>
      <c r="H517" s="2"/>
      <c r="I517" s="2"/>
      <c r="J517" s="2"/>
      <c r="K517" s="12"/>
      <c r="L517" s="2"/>
      <c r="M517" s="2"/>
      <c r="N517" s="67"/>
    </row>
    <row r="518" spans="1:14" x14ac:dyDescent="0.35">
      <c r="A518" s="61">
        <v>514</v>
      </c>
      <c r="B518" s="2"/>
      <c r="C518" s="2"/>
      <c r="D518" s="2"/>
      <c r="E518" s="10"/>
      <c r="F518" s="11"/>
      <c r="G518" s="2"/>
      <c r="H518" s="2"/>
      <c r="I518" s="2"/>
      <c r="J518" s="2"/>
      <c r="K518" s="12"/>
      <c r="L518" s="2"/>
      <c r="M518" s="2"/>
      <c r="N518" s="67"/>
    </row>
    <row r="519" spans="1:14" x14ac:dyDescent="0.35">
      <c r="A519" s="61">
        <v>515</v>
      </c>
      <c r="B519" s="2"/>
      <c r="C519" s="2"/>
      <c r="D519" s="2"/>
      <c r="E519" s="10"/>
      <c r="F519" s="11"/>
      <c r="G519" s="2"/>
      <c r="H519" s="2"/>
      <c r="I519" s="2"/>
      <c r="J519" s="2"/>
      <c r="K519" s="12"/>
      <c r="L519" s="2"/>
      <c r="M519" s="2"/>
      <c r="N519" s="67"/>
    </row>
    <row r="520" spans="1:14" x14ac:dyDescent="0.35">
      <c r="A520" s="61">
        <v>516</v>
      </c>
      <c r="B520" s="2"/>
      <c r="C520" s="2"/>
      <c r="D520" s="2"/>
      <c r="E520" s="10"/>
      <c r="F520" s="11"/>
      <c r="G520" s="2"/>
      <c r="H520" s="2"/>
      <c r="I520" s="2"/>
      <c r="J520" s="2"/>
      <c r="K520" s="12"/>
      <c r="L520" s="2"/>
      <c r="M520" s="2"/>
      <c r="N520" s="67"/>
    </row>
    <row r="521" spans="1:14" x14ac:dyDescent="0.35">
      <c r="A521" s="61">
        <v>517</v>
      </c>
      <c r="B521" s="2"/>
      <c r="C521" s="2"/>
      <c r="D521" s="2"/>
      <c r="E521" s="10"/>
      <c r="F521" s="11"/>
      <c r="G521" s="2"/>
      <c r="H521" s="2"/>
      <c r="I521" s="2"/>
      <c r="J521" s="2"/>
      <c r="K521" s="12"/>
      <c r="L521" s="2"/>
      <c r="M521" s="2"/>
      <c r="N521" s="67"/>
    </row>
    <row r="522" spans="1:14" x14ac:dyDescent="0.35">
      <c r="A522" s="61">
        <v>518</v>
      </c>
      <c r="B522" s="2"/>
      <c r="C522" s="2"/>
      <c r="D522" s="2"/>
      <c r="E522" s="10"/>
      <c r="F522" s="11"/>
      <c r="G522" s="2"/>
      <c r="H522" s="2"/>
      <c r="I522" s="2"/>
      <c r="J522" s="2"/>
      <c r="K522" s="12"/>
      <c r="L522" s="2"/>
      <c r="M522" s="2"/>
      <c r="N522" s="67"/>
    </row>
    <row r="523" spans="1:14" x14ac:dyDescent="0.35">
      <c r="A523" s="61">
        <v>519</v>
      </c>
      <c r="B523" s="2"/>
      <c r="C523" s="2"/>
      <c r="D523" s="2"/>
      <c r="E523" s="10"/>
      <c r="F523" s="11"/>
      <c r="G523" s="2"/>
      <c r="H523" s="2"/>
      <c r="I523" s="2"/>
      <c r="J523" s="2"/>
      <c r="K523" s="12"/>
      <c r="L523" s="2"/>
      <c r="M523" s="2"/>
      <c r="N523" s="67"/>
    </row>
    <row r="524" spans="1:14" x14ac:dyDescent="0.35">
      <c r="A524" s="61">
        <v>520</v>
      </c>
      <c r="B524" s="2"/>
      <c r="C524" s="2"/>
      <c r="D524" s="2"/>
      <c r="E524" s="10"/>
      <c r="F524" s="11"/>
      <c r="G524" s="2"/>
      <c r="H524" s="2"/>
      <c r="I524" s="2"/>
      <c r="J524" s="2"/>
      <c r="K524" s="12"/>
      <c r="L524" s="2"/>
      <c r="M524" s="2"/>
      <c r="N524" s="67"/>
    </row>
    <row r="525" spans="1:14" x14ac:dyDescent="0.35">
      <c r="A525" s="61">
        <v>521</v>
      </c>
      <c r="B525" s="2"/>
      <c r="C525" s="2"/>
      <c r="D525" s="2"/>
      <c r="E525" s="10"/>
      <c r="F525" s="11"/>
      <c r="G525" s="2"/>
      <c r="H525" s="2"/>
      <c r="I525" s="2"/>
      <c r="J525" s="2"/>
      <c r="K525" s="12"/>
      <c r="L525" s="2"/>
      <c r="M525" s="2"/>
      <c r="N525" s="67"/>
    </row>
    <row r="526" spans="1:14" x14ac:dyDescent="0.35">
      <c r="A526" s="61">
        <v>522</v>
      </c>
      <c r="B526" s="2"/>
      <c r="C526" s="2"/>
      <c r="D526" s="2"/>
      <c r="E526" s="10"/>
      <c r="F526" s="11"/>
      <c r="G526" s="2"/>
      <c r="H526" s="2"/>
      <c r="I526" s="2"/>
      <c r="J526" s="2"/>
      <c r="K526" s="12"/>
      <c r="L526" s="2"/>
      <c r="M526" s="2"/>
      <c r="N526" s="67"/>
    </row>
    <row r="527" spans="1:14" x14ac:dyDescent="0.35">
      <c r="A527" s="61">
        <v>523</v>
      </c>
      <c r="B527" s="2"/>
      <c r="C527" s="2"/>
      <c r="D527" s="2"/>
      <c r="E527" s="10"/>
      <c r="F527" s="11"/>
      <c r="G527" s="2"/>
      <c r="H527" s="2"/>
      <c r="I527" s="2"/>
      <c r="J527" s="2"/>
      <c r="K527" s="12"/>
      <c r="L527" s="2"/>
      <c r="M527" s="2"/>
      <c r="N527" s="67"/>
    </row>
    <row r="528" spans="1:14" x14ac:dyDescent="0.35">
      <c r="A528" s="61">
        <v>524</v>
      </c>
      <c r="B528" s="2"/>
      <c r="C528" s="2"/>
      <c r="D528" s="2"/>
      <c r="E528" s="10"/>
      <c r="F528" s="11"/>
      <c r="G528" s="2"/>
      <c r="H528" s="2"/>
      <c r="I528" s="2"/>
      <c r="J528" s="2"/>
      <c r="K528" s="12"/>
      <c r="L528" s="2"/>
      <c r="M528" s="2"/>
      <c r="N528" s="67"/>
    </row>
    <row r="529" spans="1:14" x14ac:dyDescent="0.35">
      <c r="A529" s="61">
        <v>525</v>
      </c>
      <c r="B529" s="2"/>
      <c r="C529" s="2"/>
      <c r="D529" s="2"/>
      <c r="E529" s="10"/>
      <c r="F529" s="11"/>
      <c r="G529" s="2"/>
      <c r="H529" s="2"/>
      <c r="I529" s="2"/>
      <c r="J529" s="2"/>
      <c r="K529" s="12"/>
      <c r="L529" s="2"/>
      <c r="M529" s="2"/>
      <c r="N529" s="67"/>
    </row>
    <row r="530" spans="1:14" x14ac:dyDescent="0.35">
      <c r="A530" s="61">
        <v>526</v>
      </c>
      <c r="B530" s="2"/>
      <c r="C530" s="2"/>
      <c r="D530" s="2"/>
      <c r="E530" s="10"/>
      <c r="F530" s="11"/>
      <c r="G530" s="2"/>
      <c r="H530" s="2"/>
      <c r="I530" s="2"/>
      <c r="J530" s="2"/>
      <c r="K530" s="12"/>
      <c r="L530" s="2"/>
      <c r="M530" s="2"/>
      <c r="N530" s="67"/>
    </row>
    <row r="531" spans="1:14" x14ac:dyDescent="0.35">
      <c r="A531" s="61">
        <v>527</v>
      </c>
      <c r="B531" s="2"/>
      <c r="C531" s="2"/>
      <c r="D531" s="2"/>
      <c r="E531" s="10"/>
      <c r="F531" s="11"/>
      <c r="G531" s="2"/>
      <c r="H531" s="2"/>
      <c r="I531" s="2"/>
      <c r="J531" s="2"/>
      <c r="K531" s="12"/>
      <c r="L531" s="2"/>
      <c r="M531" s="2"/>
      <c r="N531" s="67"/>
    </row>
    <row r="532" spans="1:14" x14ac:dyDescent="0.35">
      <c r="A532" s="61">
        <v>528</v>
      </c>
      <c r="B532" s="2"/>
      <c r="C532" s="2"/>
      <c r="D532" s="2"/>
      <c r="E532" s="10"/>
      <c r="F532" s="11"/>
      <c r="G532" s="2"/>
      <c r="H532" s="2"/>
      <c r="I532" s="2"/>
      <c r="J532" s="2"/>
      <c r="K532" s="12"/>
      <c r="L532" s="2"/>
      <c r="M532" s="2"/>
      <c r="N532" s="67"/>
    </row>
    <row r="533" spans="1:14" x14ac:dyDescent="0.35">
      <c r="A533" s="61">
        <v>529</v>
      </c>
      <c r="B533" s="2"/>
      <c r="C533" s="2"/>
      <c r="D533" s="2"/>
      <c r="E533" s="10"/>
      <c r="F533" s="11"/>
      <c r="G533" s="2"/>
      <c r="H533" s="2"/>
      <c r="I533" s="2"/>
      <c r="J533" s="2"/>
      <c r="K533" s="12"/>
      <c r="L533" s="2"/>
      <c r="M533" s="2"/>
      <c r="N533" s="67"/>
    </row>
    <row r="534" spans="1:14" x14ac:dyDescent="0.35">
      <c r="A534" s="61">
        <v>530</v>
      </c>
      <c r="B534" s="2"/>
      <c r="C534" s="2"/>
      <c r="D534" s="2"/>
      <c r="E534" s="10"/>
      <c r="F534" s="11"/>
      <c r="G534" s="2"/>
      <c r="H534" s="2"/>
      <c r="I534" s="2"/>
      <c r="J534" s="2"/>
      <c r="K534" s="12"/>
      <c r="L534" s="2"/>
      <c r="M534" s="2"/>
      <c r="N534" s="67"/>
    </row>
    <row r="535" spans="1:14" x14ac:dyDescent="0.35">
      <c r="A535" s="61">
        <v>531</v>
      </c>
      <c r="B535" s="2"/>
      <c r="C535" s="2"/>
      <c r="D535" s="2"/>
      <c r="E535" s="10"/>
      <c r="F535" s="11"/>
      <c r="G535" s="2"/>
      <c r="H535" s="2"/>
      <c r="I535" s="2"/>
      <c r="J535" s="2"/>
      <c r="K535" s="12"/>
      <c r="L535" s="2"/>
      <c r="M535" s="2"/>
      <c r="N535" s="67"/>
    </row>
    <row r="536" spans="1:14" x14ac:dyDescent="0.35">
      <c r="A536" s="61">
        <v>532</v>
      </c>
      <c r="B536" s="2"/>
      <c r="C536" s="2"/>
      <c r="D536" s="2"/>
      <c r="E536" s="10"/>
      <c r="F536" s="11"/>
      <c r="G536" s="2"/>
      <c r="H536" s="2"/>
      <c r="I536" s="2"/>
      <c r="J536" s="2"/>
      <c r="K536" s="12"/>
      <c r="L536" s="2"/>
      <c r="M536" s="2"/>
      <c r="N536" s="67"/>
    </row>
    <row r="537" spans="1:14" x14ac:dyDescent="0.35">
      <c r="A537" s="61">
        <v>533</v>
      </c>
      <c r="B537" s="2"/>
      <c r="C537" s="2"/>
      <c r="D537" s="2"/>
      <c r="E537" s="10"/>
      <c r="F537" s="11"/>
      <c r="G537" s="2"/>
      <c r="H537" s="2"/>
      <c r="I537" s="2"/>
      <c r="J537" s="2"/>
      <c r="K537" s="12"/>
      <c r="L537" s="2"/>
      <c r="M537" s="2"/>
      <c r="N537" s="67"/>
    </row>
    <row r="538" spans="1:14" x14ac:dyDescent="0.35">
      <c r="A538" s="61">
        <v>534</v>
      </c>
      <c r="B538" s="2"/>
      <c r="C538" s="2"/>
      <c r="D538" s="2"/>
      <c r="E538" s="10"/>
      <c r="F538" s="11"/>
      <c r="G538" s="2"/>
      <c r="H538" s="2"/>
      <c r="I538" s="2"/>
      <c r="J538" s="2"/>
      <c r="K538" s="12"/>
      <c r="L538" s="2"/>
      <c r="M538" s="2"/>
      <c r="N538" s="67"/>
    </row>
    <row r="539" spans="1:14" x14ac:dyDescent="0.35">
      <c r="A539" s="61">
        <v>535</v>
      </c>
      <c r="B539" s="2"/>
      <c r="C539" s="2"/>
      <c r="D539" s="2"/>
      <c r="E539" s="10"/>
      <c r="F539" s="11"/>
      <c r="G539" s="2"/>
      <c r="H539" s="2"/>
      <c r="I539" s="2"/>
      <c r="J539" s="2"/>
      <c r="K539" s="12"/>
      <c r="L539" s="2"/>
      <c r="M539" s="2"/>
      <c r="N539" s="67"/>
    </row>
    <row r="540" spans="1:14" x14ac:dyDescent="0.35">
      <c r="A540" s="61">
        <v>536</v>
      </c>
      <c r="B540" s="2"/>
      <c r="C540" s="2"/>
      <c r="D540" s="2"/>
      <c r="E540" s="10"/>
      <c r="F540" s="11"/>
      <c r="G540" s="2"/>
      <c r="H540" s="2"/>
      <c r="I540" s="2"/>
      <c r="J540" s="2"/>
      <c r="K540" s="12"/>
      <c r="L540" s="2"/>
      <c r="M540" s="2"/>
      <c r="N540" s="67"/>
    </row>
    <row r="541" spans="1:14" x14ac:dyDescent="0.35">
      <c r="A541" s="61">
        <v>537</v>
      </c>
      <c r="B541" s="2"/>
      <c r="C541" s="2"/>
      <c r="D541" s="2"/>
      <c r="E541" s="10"/>
      <c r="F541" s="11"/>
      <c r="G541" s="2"/>
      <c r="H541" s="2"/>
      <c r="I541" s="2"/>
      <c r="J541" s="2"/>
      <c r="K541" s="12"/>
      <c r="L541" s="2"/>
      <c r="M541" s="2"/>
      <c r="N541" s="67"/>
    </row>
    <row r="542" spans="1:14" x14ac:dyDescent="0.35">
      <c r="A542" s="61">
        <v>538</v>
      </c>
      <c r="B542" s="2"/>
      <c r="C542" s="2"/>
      <c r="D542" s="2"/>
      <c r="E542" s="10"/>
      <c r="F542" s="11"/>
      <c r="G542" s="2"/>
      <c r="H542" s="2"/>
      <c r="I542" s="2"/>
      <c r="J542" s="2"/>
      <c r="K542" s="12"/>
      <c r="L542" s="2"/>
      <c r="M542" s="2"/>
      <c r="N542" s="67"/>
    </row>
    <row r="543" spans="1:14" x14ac:dyDescent="0.35">
      <c r="A543" s="61">
        <v>539</v>
      </c>
      <c r="B543" s="2"/>
      <c r="C543" s="2"/>
      <c r="D543" s="2"/>
      <c r="E543" s="10"/>
      <c r="F543" s="11"/>
      <c r="G543" s="2"/>
      <c r="H543" s="2"/>
      <c r="I543" s="2"/>
      <c r="J543" s="2"/>
      <c r="K543" s="12"/>
      <c r="L543" s="2"/>
      <c r="M543" s="2"/>
      <c r="N543" s="67"/>
    </row>
    <row r="544" spans="1:14" x14ac:dyDescent="0.35">
      <c r="A544" s="61">
        <v>540</v>
      </c>
      <c r="B544" s="2"/>
      <c r="C544" s="2"/>
      <c r="D544" s="2"/>
      <c r="E544" s="10"/>
      <c r="F544" s="11"/>
      <c r="G544" s="2"/>
      <c r="H544" s="2"/>
      <c r="I544" s="2"/>
      <c r="J544" s="2"/>
      <c r="K544" s="12"/>
      <c r="L544" s="2"/>
      <c r="M544" s="2"/>
      <c r="N544" s="67"/>
    </row>
    <row r="545" spans="1:14" x14ac:dyDescent="0.35">
      <c r="A545" s="61">
        <v>541</v>
      </c>
      <c r="B545" s="2"/>
      <c r="C545" s="2"/>
      <c r="D545" s="2"/>
      <c r="E545" s="10"/>
      <c r="F545" s="11"/>
      <c r="G545" s="2"/>
      <c r="H545" s="2"/>
      <c r="I545" s="2"/>
      <c r="J545" s="2"/>
      <c r="K545" s="12"/>
      <c r="L545" s="2"/>
      <c r="M545" s="2"/>
      <c r="N545" s="67"/>
    </row>
    <row r="546" spans="1:14" x14ac:dyDescent="0.35">
      <c r="A546" s="61">
        <v>542</v>
      </c>
      <c r="B546" s="2"/>
      <c r="C546" s="2"/>
      <c r="D546" s="2"/>
      <c r="E546" s="10"/>
      <c r="F546" s="11"/>
      <c r="G546" s="2"/>
      <c r="H546" s="2"/>
      <c r="I546" s="2"/>
      <c r="J546" s="2"/>
      <c r="K546" s="12"/>
      <c r="L546" s="2"/>
      <c r="M546" s="2"/>
      <c r="N546" s="67"/>
    </row>
    <row r="547" spans="1:14" x14ac:dyDescent="0.35">
      <c r="A547" s="61">
        <v>543</v>
      </c>
      <c r="B547" s="2"/>
      <c r="C547" s="2"/>
      <c r="D547" s="2"/>
      <c r="E547" s="10"/>
      <c r="F547" s="11"/>
      <c r="G547" s="2"/>
      <c r="H547" s="2"/>
      <c r="I547" s="2"/>
      <c r="J547" s="2"/>
      <c r="K547" s="12"/>
      <c r="L547" s="2"/>
      <c r="M547" s="2"/>
      <c r="N547" s="67"/>
    </row>
    <row r="548" spans="1:14" x14ac:dyDescent="0.35">
      <c r="A548" s="61">
        <v>544</v>
      </c>
      <c r="B548" s="2"/>
      <c r="C548" s="2"/>
      <c r="D548" s="2"/>
      <c r="E548" s="10"/>
      <c r="F548" s="11"/>
      <c r="G548" s="2"/>
      <c r="H548" s="2"/>
      <c r="I548" s="2"/>
      <c r="J548" s="2"/>
      <c r="K548" s="12"/>
      <c r="L548" s="2"/>
      <c r="M548" s="2"/>
      <c r="N548" s="67"/>
    </row>
    <row r="549" spans="1:14" x14ac:dyDescent="0.35">
      <c r="A549" s="61">
        <v>545</v>
      </c>
      <c r="B549" s="2"/>
      <c r="C549" s="2"/>
      <c r="D549" s="2"/>
      <c r="E549" s="10"/>
      <c r="F549" s="11"/>
      <c r="G549" s="2"/>
      <c r="H549" s="2"/>
      <c r="I549" s="2"/>
      <c r="J549" s="2"/>
      <c r="K549" s="12"/>
      <c r="L549" s="2"/>
      <c r="M549" s="2"/>
      <c r="N549" s="67"/>
    </row>
    <row r="550" spans="1:14" x14ac:dyDescent="0.35">
      <c r="A550" s="61">
        <v>546</v>
      </c>
      <c r="B550" s="2"/>
      <c r="C550" s="2"/>
      <c r="D550" s="2"/>
      <c r="E550" s="10"/>
      <c r="F550" s="11"/>
      <c r="G550" s="2"/>
      <c r="H550" s="2"/>
      <c r="I550" s="2"/>
      <c r="J550" s="2"/>
      <c r="K550" s="12"/>
      <c r="L550" s="2"/>
      <c r="M550" s="2"/>
      <c r="N550" s="67"/>
    </row>
    <row r="551" spans="1:14" x14ac:dyDescent="0.35">
      <c r="A551" s="61">
        <v>547</v>
      </c>
      <c r="B551" s="2"/>
      <c r="C551" s="2"/>
      <c r="D551" s="2"/>
      <c r="E551" s="10"/>
      <c r="F551" s="11"/>
      <c r="G551" s="2"/>
      <c r="H551" s="2"/>
      <c r="I551" s="2"/>
      <c r="J551" s="2"/>
      <c r="K551" s="12"/>
      <c r="L551" s="2"/>
      <c r="M551" s="2"/>
      <c r="N551" s="67"/>
    </row>
    <row r="552" spans="1:14" x14ac:dyDescent="0.35">
      <c r="A552" s="61">
        <v>548</v>
      </c>
      <c r="B552" s="2"/>
      <c r="C552" s="2"/>
      <c r="D552" s="2"/>
      <c r="E552" s="10"/>
      <c r="F552" s="11"/>
      <c r="G552" s="2"/>
      <c r="H552" s="2"/>
      <c r="I552" s="2"/>
      <c r="J552" s="2"/>
      <c r="K552" s="12"/>
      <c r="L552" s="2"/>
      <c r="M552" s="2"/>
      <c r="N552" s="67"/>
    </row>
    <row r="553" spans="1:14" x14ac:dyDescent="0.35">
      <c r="A553" s="61">
        <v>549</v>
      </c>
      <c r="B553" s="2"/>
      <c r="C553" s="2"/>
      <c r="D553" s="2"/>
      <c r="E553" s="10"/>
      <c r="F553" s="11"/>
      <c r="G553" s="2"/>
      <c r="H553" s="2"/>
      <c r="I553" s="2"/>
      <c r="J553" s="2"/>
      <c r="K553" s="12"/>
      <c r="L553" s="2"/>
      <c r="M553" s="2"/>
      <c r="N553" s="67"/>
    </row>
    <row r="554" spans="1:14" x14ac:dyDescent="0.35">
      <c r="A554" s="61">
        <v>550</v>
      </c>
      <c r="B554" s="2"/>
      <c r="C554" s="2"/>
      <c r="D554" s="2"/>
      <c r="E554" s="10"/>
      <c r="F554" s="11"/>
      <c r="G554" s="2"/>
      <c r="H554" s="2"/>
      <c r="I554" s="2"/>
      <c r="J554" s="2"/>
      <c r="K554" s="12"/>
      <c r="L554" s="2"/>
      <c r="M554" s="2"/>
      <c r="N554" s="67"/>
    </row>
    <row r="555" spans="1:14" x14ac:dyDescent="0.35">
      <c r="A555" s="61">
        <v>551</v>
      </c>
      <c r="B555" s="2"/>
      <c r="C555" s="2"/>
      <c r="D555" s="2"/>
      <c r="E555" s="10"/>
      <c r="F555" s="11"/>
      <c r="G555" s="2"/>
      <c r="H555" s="2"/>
      <c r="I555" s="2"/>
      <c r="J555" s="2"/>
      <c r="K555" s="12"/>
      <c r="L555" s="2"/>
      <c r="M555" s="2"/>
      <c r="N555" s="67"/>
    </row>
    <row r="556" spans="1:14" x14ac:dyDescent="0.35">
      <c r="A556" s="61">
        <v>552</v>
      </c>
      <c r="B556" s="2"/>
      <c r="C556" s="2"/>
      <c r="D556" s="2"/>
      <c r="E556" s="10"/>
      <c r="F556" s="11"/>
      <c r="G556" s="2"/>
      <c r="H556" s="2"/>
      <c r="I556" s="2"/>
      <c r="J556" s="2"/>
      <c r="K556" s="12"/>
      <c r="L556" s="2"/>
      <c r="M556" s="2"/>
      <c r="N556" s="67"/>
    </row>
    <row r="557" spans="1:14" x14ac:dyDescent="0.35">
      <c r="A557" s="61">
        <v>553</v>
      </c>
      <c r="B557" s="2"/>
      <c r="C557" s="2"/>
      <c r="D557" s="2"/>
      <c r="E557" s="10"/>
      <c r="F557" s="11"/>
      <c r="G557" s="2"/>
      <c r="H557" s="2"/>
      <c r="I557" s="2"/>
      <c r="J557" s="2"/>
      <c r="K557" s="12"/>
      <c r="L557" s="2"/>
      <c r="M557" s="2"/>
      <c r="N557" s="67"/>
    </row>
    <row r="558" spans="1:14" x14ac:dyDescent="0.35">
      <c r="A558" s="61">
        <v>554</v>
      </c>
      <c r="B558" s="2"/>
      <c r="C558" s="2"/>
      <c r="D558" s="2"/>
      <c r="E558" s="10"/>
      <c r="F558" s="11"/>
      <c r="G558" s="2"/>
      <c r="H558" s="2"/>
      <c r="I558" s="2"/>
      <c r="J558" s="2"/>
      <c r="K558" s="12"/>
      <c r="L558" s="2"/>
      <c r="M558" s="2"/>
      <c r="N558" s="67"/>
    </row>
    <row r="559" spans="1:14" x14ac:dyDescent="0.35">
      <c r="A559" s="61">
        <v>555</v>
      </c>
      <c r="B559" s="2"/>
      <c r="C559" s="2"/>
      <c r="D559" s="2"/>
      <c r="E559" s="10"/>
      <c r="F559" s="11"/>
      <c r="G559" s="2"/>
      <c r="H559" s="2"/>
      <c r="I559" s="2"/>
      <c r="J559" s="2"/>
      <c r="K559" s="12"/>
      <c r="L559" s="2"/>
      <c r="M559" s="2"/>
      <c r="N559" s="67"/>
    </row>
    <row r="560" spans="1:14" x14ac:dyDescent="0.35">
      <c r="A560" s="61">
        <v>556</v>
      </c>
      <c r="B560" s="2"/>
      <c r="C560" s="2"/>
      <c r="D560" s="2"/>
      <c r="E560" s="10"/>
      <c r="F560" s="11"/>
      <c r="G560" s="2"/>
      <c r="H560" s="2"/>
      <c r="I560" s="2"/>
      <c r="J560" s="2"/>
      <c r="K560" s="12"/>
      <c r="L560" s="2"/>
      <c r="M560" s="2"/>
      <c r="N560" s="67"/>
    </row>
    <row r="561" spans="1:14" x14ac:dyDescent="0.35">
      <c r="A561" s="61">
        <v>557</v>
      </c>
      <c r="B561" s="2"/>
      <c r="C561" s="2"/>
      <c r="D561" s="2"/>
      <c r="E561" s="10"/>
      <c r="F561" s="11"/>
      <c r="G561" s="2"/>
      <c r="H561" s="2"/>
      <c r="I561" s="2"/>
      <c r="J561" s="2"/>
      <c r="K561" s="12"/>
      <c r="L561" s="2"/>
      <c r="M561" s="2"/>
      <c r="N561" s="67"/>
    </row>
    <row r="562" spans="1:14" x14ac:dyDescent="0.35">
      <c r="A562" s="61">
        <v>558</v>
      </c>
      <c r="B562" s="2"/>
      <c r="C562" s="2"/>
      <c r="D562" s="2"/>
      <c r="E562" s="10"/>
      <c r="F562" s="11"/>
      <c r="G562" s="2"/>
      <c r="H562" s="2"/>
      <c r="I562" s="2"/>
      <c r="J562" s="2"/>
      <c r="K562" s="12"/>
      <c r="L562" s="2"/>
      <c r="M562" s="2"/>
      <c r="N562" s="67"/>
    </row>
    <row r="563" spans="1:14" x14ac:dyDescent="0.35">
      <c r="A563" s="61">
        <v>559</v>
      </c>
      <c r="B563" s="2"/>
      <c r="C563" s="2"/>
      <c r="D563" s="2"/>
      <c r="E563" s="10"/>
      <c r="F563" s="11"/>
      <c r="G563" s="2"/>
      <c r="H563" s="2"/>
      <c r="I563" s="2"/>
      <c r="J563" s="2"/>
      <c r="K563" s="12"/>
      <c r="L563" s="2"/>
      <c r="M563" s="2"/>
      <c r="N563" s="67"/>
    </row>
    <row r="564" spans="1:14" x14ac:dyDescent="0.35">
      <c r="A564" s="61">
        <v>560</v>
      </c>
      <c r="B564" s="2"/>
      <c r="C564" s="2"/>
      <c r="D564" s="2"/>
      <c r="E564" s="10"/>
      <c r="F564" s="11"/>
      <c r="G564" s="2"/>
      <c r="H564" s="2"/>
      <c r="I564" s="2"/>
      <c r="J564" s="2"/>
      <c r="K564" s="12"/>
      <c r="L564" s="2"/>
      <c r="M564" s="2"/>
      <c r="N564" s="67"/>
    </row>
    <row r="565" spans="1:14" x14ac:dyDescent="0.35">
      <c r="A565" s="61">
        <v>561</v>
      </c>
      <c r="B565" s="2"/>
      <c r="C565" s="2"/>
      <c r="D565" s="2"/>
      <c r="E565" s="10"/>
      <c r="F565" s="11"/>
      <c r="G565" s="2"/>
      <c r="H565" s="2"/>
      <c r="I565" s="2"/>
      <c r="J565" s="2"/>
      <c r="K565" s="12"/>
      <c r="L565" s="2"/>
      <c r="M565" s="2"/>
      <c r="N565" s="67"/>
    </row>
    <row r="566" spans="1:14" x14ac:dyDescent="0.35">
      <c r="A566" s="61">
        <v>562</v>
      </c>
      <c r="B566" s="2"/>
      <c r="C566" s="2"/>
      <c r="D566" s="2"/>
      <c r="E566" s="10"/>
      <c r="F566" s="11"/>
      <c r="G566" s="2"/>
      <c r="H566" s="2"/>
      <c r="I566" s="2"/>
      <c r="J566" s="2"/>
      <c r="K566" s="12"/>
      <c r="L566" s="2"/>
      <c r="M566" s="2"/>
      <c r="N566" s="67"/>
    </row>
    <row r="567" spans="1:14" x14ac:dyDescent="0.35">
      <c r="A567" s="61">
        <v>563</v>
      </c>
      <c r="B567" s="2"/>
      <c r="C567" s="2"/>
      <c r="D567" s="2"/>
      <c r="E567" s="10"/>
      <c r="F567" s="11"/>
      <c r="G567" s="2"/>
      <c r="H567" s="2"/>
      <c r="I567" s="2"/>
      <c r="J567" s="2"/>
      <c r="K567" s="12"/>
      <c r="L567" s="2"/>
      <c r="M567" s="2"/>
      <c r="N567" s="67"/>
    </row>
    <row r="568" spans="1:14" x14ac:dyDescent="0.35">
      <c r="A568" s="61">
        <v>564</v>
      </c>
      <c r="B568" s="2"/>
      <c r="C568" s="2"/>
      <c r="D568" s="2"/>
      <c r="E568" s="10"/>
      <c r="F568" s="11"/>
      <c r="G568" s="2"/>
      <c r="H568" s="2"/>
      <c r="I568" s="2"/>
      <c r="J568" s="2"/>
      <c r="K568" s="12"/>
      <c r="L568" s="2"/>
      <c r="M568" s="2"/>
      <c r="N568" s="67"/>
    </row>
    <row r="569" spans="1:14" x14ac:dyDescent="0.35">
      <c r="A569" s="61">
        <v>565</v>
      </c>
      <c r="B569" s="2"/>
      <c r="C569" s="2"/>
      <c r="D569" s="2"/>
      <c r="E569" s="10"/>
      <c r="F569" s="11"/>
      <c r="G569" s="2"/>
      <c r="H569" s="2"/>
      <c r="I569" s="2"/>
      <c r="J569" s="2"/>
      <c r="K569" s="12"/>
      <c r="L569" s="2"/>
      <c r="M569" s="2"/>
      <c r="N569" s="67"/>
    </row>
    <row r="570" spans="1:14" x14ac:dyDescent="0.35">
      <c r="A570" s="61">
        <v>566</v>
      </c>
      <c r="B570" s="2"/>
      <c r="C570" s="2"/>
      <c r="D570" s="2"/>
      <c r="E570" s="10"/>
      <c r="F570" s="11"/>
      <c r="G570" s="2"/>
      <c r="H570" s="2"/>
      <c r="I570" s="2"/>
      <c r="J570" s="2"/>
      <c r="K570" s="12"/>
      <c r="L570" s="2"/>
      <c r="M570" s="2"/>
      <c r="N570" s="67"/>
    </row>
    <row r="571" spans="1:14" x14ac:dyDescent="0.35">
      <c r="A571" s="61">
        <v>567</v>
      </c>
      <c r="B571" s="2"/>
      <c r="C571" s="2"/>
      <c r="D571" s="2"/>
      <c r="E571" s="10"/>
      <c r="F571" s="11"/>
      <c r="G571" s="2"/>
      <c r="H571" s="2"/>
      <c r="I571" s="2"/>
      <c r="J571" s="2"/>
      <c r="K571" s="12"/>
      <c r="L571" s="2"/>
      <c r="M571" s="2"/>
      <c r="N571" s="67"/>
    </row>
    <row r="572" spans="1:14" x14ac:dyDescent="0.35">
      <c r="A572" s="61">
        <v>568</v>
      </c>
      <c r="B572" s="2"/>
      <c r="C572" s="2"/>
      <c r="D572" s="2"/>
      <c r="E572" s="10"/>
      <c r="F572" s="11"/>
      <c r="G572" s="2"/>
      <c r="H572" s="2"/>
      <c r="I572" s="2"/>
      <c r="J572" s="2"/>
      <c r="K572" s="12"/>
      <c r="L572" s="2"/>
      <c r="M572" s="2"/>
      <c r="N572" s="67"/>
    </row>
    <row r="573" spans="1:14" x14ac:dyDescent="0.35">
      <c r="A573" s="61">
        <v>569</v>
      </c>
      <c r="B573" s="2"/>
      <c r="C573" s="2"/>
      <c r="D573" s="2"/>
      <c r="E573" s="10"/>
      <c r="F573" s="11"/>
      <c r="G573" s="2"/>
      <c r="H573" s="2"/>
      <c r="I573" s="2"/>
      <c r="J573" s="2"/>
      <c r="K573" s="12"/>
      <c r="L573" s="2"/>
      <c r="M573" s="2"/>
      <c r="N573" s="67"/>
    </row>
    <row r="574" spans="1:14" x14ac:dyDescent="0.35">
      <c r="A574" s="61">
        <v>570</v>
      </c>
      <c r="B574" s="2"/>
      <c r="C574" s="2"/>
      <c r="D574" s="2"/>
      <c r="E574" s="10"/>
      <c r="F574" s="11"/>
      <c r="G574" s="2"/>
      <c r="H574" s="2"/>
      <c r="I574" s="2"/>
      <c r="J574" s="2"/>
      <c r="K574" s="12"/>
      <c r="L574" s="2"/>
      <c r="M574" s="2"/>
      <c r="N574" s="67"/>
    </row>
    <row r="575" spans="1:14" x14ac:dyDescent="0.35">
      <c r="A575" s="61">
        <v>571</v>
      </c>
      <c r="B575" s="2"/>
      <c r="C575" s="2"/>
      <c r="D575" s="2"/>
      <c r="E575" s="10"/>
      <c r="F575" s="11"/>
      <c r="G575" s="2"/>
      <c r="H575" s="2"/>
      <c r="I575" s="2"/>
      <c r="J575" s="2"/>
      <c r="K575" s="12"/>
      <c r="L575" s="2"/>
      <c r="M575" s="2"/>
      <c r="N575" s="67"/>
    </row>
    <row r="576" spans="1:14" x14ac:dyDescent="0.35">
      <c r="A576" s="61">
        <v>572</v>
      </c>
      <c r="B576" s="2"/>
      <c r="C576" s="2"/>
      <c r="D576" s="2"/>
      <c r="E576" s="10"/>
      <c r="F576" s="11"/>
      <c r="G576" s="2"/>
      <c r="H576" s="2"/>
      <c r="I576" s="2"/>
      <c r="J576" s="2"/>
      <c r="K576" s="12"/>
      <c r="L576" s="2"/>
      <c r="M576" s="2"/>
      <c r="N576" s="67"/>
    </row>
    <row r="577" spans="1:14" x14ac:dyDescent="0.35">
      <c r="A577" s="61">
        <v>573</v>
      </c>
      <c r="B577" s="2"/>
      <c r="C577" s="2"/>
      <c r="D577" s="2"/>
      <c r="E577" s="10"/>
      <c r="F577" s="11"/>
      <c r="G577" s="2"/>
      <c r="H577" s="2"/>
      <c r="I577" s="2"/>
      <c r="J577" s="2"/>
      <c r="K577" s="12"/>
      <c r="L577" s="2"/>
      <c r="M577" s="2"/>
      <c r="N577" s="67"/>
    </row>
    <row r="578" spans="1:14" x14ac:dyDescent="0.35">
      <c r="A578" s="61">
        <v>574</v>
      </c>
      <c r="B578" s="2"/>
      <c r="C578" s="2"/>
      <c r="D578" s="2"/>
      <c r="E578" s="10"/>
      <c r="F578" s="11"/>
      <c r="G578" s="2"/>
      <c r="H578" s="2"/>
      <c r="I578" s="2"/>
      <c r="J578" s="2"/>
      <c r="K578" s="12"/>
      <c r="L578" s="2"/>
      <c r="M578" s="2"/>
      <c r="N578" s="67"/>
    </row>
    <row r="579" spans="1:14" x14ac:dyDescent="0.35">
      <c r="A579" s="61">
        <v>575</v>
      </c>
      <c r="B579" s="2"/>
      <c r="C579" s="2"/>
      <c r="D579" s="2"/>
      <c r="E579" s="10"/>
      <c r="F579" s="11"/>
      <c r="G579" s="2"/>
      <c r="H579" s="2"/>
      <c r="I579" s="2"/>
      <c r="J579" s="2"/>
      <c r="K579" s="12"/>
      <c r="L579" s="2"/>
      <c r="M579" s="2"/>
      <c r="N579" s="67"/>
    </row>
    <row r="580" spans="1:14" x14ac:dyDescent="0.35">
      <c r="A580" s="61">
        <v>576</v>
      </c>
      <c r="B580" s="2"/>
      <c r="C580" s="2"/>
      <c r="D580" s="2"/>
      <c r="E580" s="10"/>
      <c r="F580" s="11"/>
      <c r="G580" s="2"/>
      <c r="H580" s="2"/>
      <c r="I580" s="2"/>
      <c r="J580" s="2"/>
      <c r="K580" s="12"/>
      <c r="L580" s="2"/>
      <c r="M580" s="2"/>
      <c r="N580" s="67"/>
    </row>
    <row r="581" spans="1:14" x14ac:dyDescent="0.35">
      <c r="A581" s="61">
        <v>577</v>
      </c>
      <c r="B581" s="2"/>
      <c r="C581" s="2"/>
      <c r="D581" s="2"/>
      <c r="E581" s="10"/>
      <c r="F581" s="11"/>
      <c r="G581" s="2"/>
      <c r="H581" s="2"/>
      <c r="I581" s="2"/>
      <c r="J581" s="2"/>
      <c r="K581" s="12"/>
      <c r="L581" s="2"/>
      <c r="M581" s="2"/>
      <c r="N581" s="67"/>
    </row>
    <row r="582" spans="1:14" x14ac:dyDescent="0.35">
      <c r="A582" s="61">
        <v>578</v>
      </c>
      <c r="B582" s="2"/>
      <c r="C582" s="2"/>
      <c r="D582" s="2"/>
      <c r="E582" s="10"/>
      <c r="F582" s="11"/>
      <c r="G582" s="2"/>
      <c r="H582" s="2"/>
      <c r="I582" s="2"/>
      <c r="J582" s="2"/>
      <c r="K582" s="12"/>
      <c r="L582" s="2"/>
      <c r="M582" s="2"/>
      <c r="N582" s="67"/>
    </row>
    <row r="583" spans="1:14" x14ac:dyDescent="0.35">
      <c r="A583" s="61">
        <v>579</v>
      </c>
      <c r="B583" s="2"/>
      <c r="C583" s="2"/>
      <c r="D583" s="2"/>
      <c r="E583" s="10"/>
      <c r="F583" s="11"/>
      <c r="G583" s="2"/>
      <c r="H583" s="2"/>
      <c r="I583" s="2"/>
      <c r="J583" s="2"/>
      <c r="K583" s="12"/>
      <c r="L583" s="2"/>
      <c r="M583" s="2"/>
      <c r="N583" s="67"/>
    </row>
    <row r="584" spans="1:14" x14ac:dyDescent="0.35">
      <c r="A584" s="61">
        <v>580</v>
      </c>
      <c r="B584" s="2"/>
      <c r="C584" s="2"/>
      <c r="D584" s="2"/>
      <c r="E584" s="10"/>
      <c r="F584" s="11"/>
      <c r="G584" s="2"/>
      <c r="H584" s="2"/>
      <c r="I584" s="2"/>
      <c r="J584" s="2"/>
      <c r="K584" s="12"/>
      <c r="L584" s="2"/>
      <c r="M584" s="2"/>
      <c r="N584" s="67"/>
    </row>
    <row r="585" spans="1:14" x14ac:dyDescent="0.35">
      <c r="A585" s="61">
        <v>581</v>
      </c>
      <c r="B585" s="2"/>
      <c r="C585" s="2"/>
      <c r="D585" s="2"/>
      <c r="E585" s="10"/>
      <c r="F585" s="11"/>
      <c r="G585" s="2"/>
      <c r="H585" s="2"/>
      <c r="I585" s="2"/>
      <c r="J585" s="2"/>
      <c r="K585" s="12"/>
      <c r="L585" s="2"/>
      <c r="M585" s="2"/>
      <c r="N585" s="67"/>
    </row>
    <row r="586" spans="1:14" x14ac:dyDescent="0.35">
      <c r="A586" s="61">
        <v>582</v>
      </c>
      <c r="B586" s="2"/>
      <c r="C586" s="2"/>
      <c r="D586" s="2"/>
      <c r="E586" s="10"/>
      <c r="F586" s="11"/>
      <c r="G586" s="2"/>
      <c r="H586" s="2"/>
      <c r="I586" s="2"/>
      <c r="J586" s="2"/>
      <c r="K586" s="12"/>
      <c r="L586" s="2"/>
      <c r="M586" s="2"/>
      <c r="N586" s="67"/>
    </row>
    <row r="587" spans="1:14" x14ac:dyDescent="0.35">
      <c r="A587" s="61">
        <v>583</v>
      </c>
      <c r="B587" s="2"/>
      <c r="C587" s="2"/>
      <c r="D587" s="2"/>
      <c r="E587" s="10"/>
      <c r="F587" s="11"/>
      <c r="G587" s="2"/>
      <c r="H587" s="2"/>
      <c r="I587" s="2"/>
      <c r="J587" s="2"/>
      <c r="K587" s="12"/>
      <c r="L587" s="2"/>
      <c r="M587" s="2"/>
      <c r="N587" s="67"/>
    </row>
    <row r="588" spans="1:14" x14ac:dyDescent="0.35">
      <c r="A588" s="61">
        <v>584</v>
      </c>
      <c r="B588" s="2"/>
      <c r="C588" s="2"/>
      <c r="D588" s="2"/>
      <c r="E588" s="10"/>
      <c r="F588" s="11"/>
      <c r="G588" s="2"/>
      <c r="H588" s="2"/>
      <c r="I588" s="2"/>
      <c r="J588" s="2"/>
      <c r="K588" s="12"/>
      <c r="L588" s="2"/>
      <c r="M588" s="2"/>
      <c r="N588" s="67"/>
    </row>
    <row r="589" spans="1:14" x14ac:dyDescent="0.35">
      <c r="A589" s="61">
        <v>585</v>
      </c>
      <c r="B589" s="2"/>
      <c r="C589" s="2"/>
      <c r="D589" s="2"/>
      <c r="E589" s="10"/>
      <c r="F589" s="11"/>
      <c r="G589" s="2"/>
      <c r="H589" s="2"/>
      <c r="I589" s="2"/>
      <c r="J589" s="2"/>
      <c r="K589" s="12"/>
      <c r="L589" s="2"/>
      <c r="M589" s="2"/>
      <c r="N589" s="67"/>
    </row>
    <row r="590" spans="1:14" x14ac:dyDescent="0.35">
      <c r="A590" s="61">
        <v>586</v>
      </c>
      <c r="B590" s="2"/>
      <c r="C590" s="2"/>
      <c r="D590" s="2"/>
      <c r="E590" s="10"/>
      <c r="F590" s="11"/>
      <c r="G590" s="2"/>
      <c r="H590" s="2"/>
      <c r="I590" s="2"/>
      <c r="J590" s="2"/>
      <c r="K590" s="12"/>
      <c r="L590" s="2"/>
      <c r="M590" s="2"/>
      <c r="N590" s="67"/>
    </row>
    <row r="591" spans="1:14" x14ac:dyDescent="0.35">
      <c r="A591" s="61">
        <v>587</v>
      </c>
      <c r="B591" s="2"/>
      <c r="C591" s="2"/>
      <c r="D591" s="2"/>
      <c r="E591" s="10"/>
      <c r="F591" s="11"/>
      <c r="G591" s="2"/>
      <c r="H591" s="2"/>
      <c r="I591" s="2"/>
      <c r="J591" s="2"/>
      <c r="K591" s="12"/>
      <c r="L591" s="2"/>
      <c r="M591" s="2"/>
      <c r="N591" s="67"/>
    </row>
    <row r="592" spans="1:14" x14ac:dyDescent="0.35">
      <c r="A592" s="61">
        <v>588</v>
      </c>
      <c r="B592" s="2"/>
      <c r="C592" s="2"/>
      <c r="D592" s="2"/>
      <c r="E592" s="10"/>
      <c r="F592" s="11"/>
      <c r="G592" s="2"/>
      <c r="H592" s="2"/>
      <c r="I592" s="2"/>
      <c r="J592" s="2"/>
      <c r="K592" s="12"/>
      <c r="L592" s="2"/>
      <c r="M592" s="2"/>
      <c r="N592" s="67"/>
    </row>
    <row r="593" spans="1:14" x14ac:dyDescent="0.35">
      <c r="A593" s="61">
        <v>589</v>
      </c>
      <c r="B593" s="2"/>
      <c r="C593" s="2"/>
      <c r="D593" s="2"/>
      <c r="E593" s="10"/>
      <c r="F593" s="11"/>
      <c r="G593" s="2"/>
      <c r="H593" s="2"/>
      <c r="I593" s="2"/>
      <c r="J593" s="2"/>
      <c r="K593" s="12"/>
      <c r="L593" s="2"/>
      <c r="M593" s="2"/>
      <c r="N593" s="67"/>
    </row>
    <row r="594" spans="1:14" x14ac:dyDescent="0.35">
      <c r="A594" s="61">
        <v>590</v>
      </c>
      <c r="B594" s="2"/>
      <c r="C594" s="2"/>
      <c r="D594" s="2"/>
      <c r="E594" s="10"/>
      <c r="F594" s="11"/>
      <c r="G594" s="2"/>
      <c r="H594" s="2"/>
      <c r="I594" s="2"/>
      <c r="J594" s="2"/>
      <c r="K594" s="12"/>
      <c r="L594" s="2"/>
      <c r="M594" s="2"/>
      <c r="N594" s="67"/>
    </row>
    <row r="595" spans="1:14" x14ac:dyDescent="0.35">
      <c r="A595" s="61">
        <v>591</v>
      </c>
      <c r="B595" s="2"/>
      <c r="C595" s="2"/>
      <c r="D595" s="2"/>
      <c r="E595" s="10"/>
      <c r="F595" s="11"/>
      <c r="G595" s="2"/>
      <c r="H595" s="2"/>
      <c r="I595" s="2"/>
      <c r="J595" s="2"/>
      <c r="K595" s="12"/>
      <c r="L595" s="2"/>
      <c r="M595" s="2"/>
      <c r="N595" s="67"/>
    </row>
    <row r="596" spans="1:14" x14ac:dyDescent="0.35">
      <c r="A596" s="61">
        <v>592</v>
      </c>
      <c r="B596" s="2"/>
      <c r="C596" s="2"/>
      <c r="D596" s="2"/>
      <c r="E596" s="10"/>
      <c r="F596" s="11"/>
      <c r="G596" s="2"/>
      <c r="H596" s="2"/>
      <c r="I596" s="2"/>
      <c r="J596" s="2"/>
      <c r="K596" s="12"/>
      <c r="L596" s="2"/>
      <c r="M596" s="2"/>
      <c r="N596" s="67"/>
    </row>
    <row r="597" spans="1:14" x14ac:dyDescent="0.35">
      <c r="A597" s="61">
        <v>593</v>
      </c>
      <c r="B597" s="2"/>
      <c r="C597" s="2"/>
      <c r="D597" s="2"/>
      <c r="E597" s="10"/>
      <c r="F597" s="11"/>
      <c r="G597" s="2"/>
      <c r="H597" s="2"/>
      <c r="I597" s="2"/>
      <c r="J597" s="2"/>
      <c r="K597" s="12"/>
      <c r="L597" s="2"/>
      <c r="M597" s="2"/>
      <c r="N597" s="67"/>
    </row>
    <row r="598" spans="1:14" x14ac:dyDescent="0.35">
      <c r="A598" s="61">
        <v>594</v>
      </c>
      <c r="B598" s="2"/>
      <c r="C598" s="2"/>
      <c r="D598" s="2"/>
      <c r="E598" s="10"/>
      <c r="F598" s="11"/>
      <c r="G598" s="2"/>
      <c r="H598" s="2"/>
      <c r="I598" s="2"/>
      <c r="J598" s="2"/>
      <c r="K598" s="12"/>
      <c r="L598" s="2"/>
      <c r="M598" s="2"/>
      <c r="N598" s="67"/>
    </row>
    <row r="599" spans="1:14" x14ac:dyDescent="0.35">
      <c r="A599" s="61">
        <v>595</v>
      </c>
      <c r="B599" s="2"/>
      <c r="C599" s="2"/>
      <c r="D599" s="2"/>
      <c r="E599" s="10"/>
      <c r="F599" s="11"/>
      <c r="G599" s="2"/>
      <c r="H599" s="2"/>
      <c r="I599" s="2"/>
      <c r="J599" s="2"/>
      <c r="K599" s="12"/>
      <c r="L599" s="2"/>
      <c r="M599" s="2"/>
      <c r="N599" s="67"/>
    </row>
    <row r="600" spans="1:14" x14ac:dyDescent="0.35">
      <c r="A600" s="61">
        <v>596</v>
      </c>
      <c r="B600" s="2"/>
      <c r="C600" s="2"/>
      <c r="D600" s="2"/>
      <c r="E600" s="10"/>
      <c r="F600" s="11"/>
      <c r="G600" s="2"/>
      <c r="H600" s="2"/>
      <c r="I600" s="2"/>
      <c r="J600" s="2"/>
      <c r="K600" s="12"/>
      <c r="L600" s="2"/>
      <c r="M600" s="2"/>
      <c r="N600" s="67"/>
    </row>
    <row r="601" spans="1:14" x14ac:dyDescent="0.35">
      <c r="A601" s="61">
        <v>597</v>
      </c>
      <c r="B601" s="2"/>
      <c r="C601" s="2"/>
      <c r="D601" s="2"/>
      <c r="E601" s="10"/>
      <c r="F601" s="11"/>
      <c r="G601" s="2"/>
      <c r="H601" s="2"/>
      <c r="I601" s="2"/>
      <c r="J601" s="2"/>
      <c r="K601" s="12"/>
      <c r="L601" s="2"/>
      <c r="M601" s="2"/>
      <c r="N601" s="67"/>
    </row>
    <row r="602" spans="1:14" x14ac:dyDescent="0.35">
      <c r="A602" s="61">
        <v>598</v>
      </c>
      <c r="B602" s="2"/>
      <c r="C602" s="2"/>
      <c r="D602" s="2"/>
      <c r="E602" s="10"/>
      <c r="F602" s="11"/>
      <c r="G602" s="2"/>
      <c r="H602" s="2"/>
      <c r="I602" s="2"/>
      <c r="J602" s="2"/>
      <c r="K602" s="12"/>
      <c r="L602" s="2"/>
      <c r="M602" s="2"/>
      <c r="N602" s="67"/>
    </row>
    <row r="603" spans="1:14" x14ac:dyDescent="0.35">
      <c r="A603" s="61">
        <v>599</v>
      </c>
      <c r="B603" s="2"/>
      <c r="C603" s="2"/>
      <c r="D603" s="2"/>
      <c r="E603" s="10"/>
      <c r="F603" s="11"/>
      <c r="G603" s="2"/>
      <c r="H603" s="2"/>
      <c r="I603" s="2"/>
      <c r="J603" s="2"/>
      <c r="K603" s="12"/>
      <c r="L603" s="2"/>
      <c r="M603" s="2"/>
      <c r="N603" s="67"/>
    </row>
    <row r="604" spans="1:14" x14ac:dyDescent="0.35">
      <c r="A604" s="61">
        <v>600</v>
      </c>
      <c r="B604" s="2"/>
      <c r="C604" s="2"/>
      <c r="D604" s="2"/>
      <c r="E604" s="10"/>
      <c r="F604" s="11"/>
      <c r="G604" s="2"/>
      <c r="H604" s="2"/>
      <c r="I604" s="2"/>
      <c r="J604" s="2"/>
      <c r="K604" s="12"/>
      <c r="L604" s="2"/>
      <c r="M604" s="2"/>
      <c r="N604" s="67"/>
    </row>
    <row r="605" spans="1:14" x14ac:dyDescent="0.35">
      <c r="A605" s="61">
        <v>601</v>
      </c>
      <c r="B605" s="2"/>
      <c r="C605" s="2"/>
      <c r="D605" s="2"/>
      <c r="E605" s="10"/>
      <c r="F605" s="11"/>
      <c r="G605" s="2"/>
      <c r="H605" s="2"/>
      <c r="I605" s="2"/>
      <c r="J605" s="2"/>
      <c r="K605" s="12"/>
      <c r="L605" s="2"/>
      <c r="M605" s="2"/>
      <c r="N605" s="67"/>
    </row>
    <row r="606" spans="1:14" x14ac:dyDescent="0.35">
      <c r="A606" s="61">
        <v>602</v>
      </c>
      <c r="B606" s="2"/>
      <c r="C606" s="2"/>
      <c r="D606" s="2"/>
      <c r="E606" s="10"/>
      <c r="F606" s="11"/>
      <c r="G606" s="2"/>
      <c r="H606" s="2"/>
      <c r="I606" s="2"/>
      <c r="J606" s="2"/>
      <c r="K606" s="12"/>
      <c r="L606" s="2"/>
      <c r="M606" s="2"/>
      <c r="N606" s="67"/>
    </row>
    <row r="607" spans="1:14" x14ac:dyDescent="0.35">
      <c r="A607" s="61">
        <v>603</v>
      </c>
      <c r="B607" s="2"/>
      <c r="C607" s="2"/>
      <c r="D607" s="2"/>
      <c r="E607" s="10"/>
      <c r="F607" s="11"/>
      <c r="G607" s="2"/>
      <c r="H607" s="2"/>
      <c r="I607" s="2"/>
      <c r="J607" s="2"/>
      <c r="K607" s="12"/>
      <c r="L607" s="2"/>
      <c r="M607" s="2"/>
      <c r="N607" s="67"/>
    </row>
    <row r="608" spans="1:14" x14ac:dyDescent="0.35">
      <c r="A608" s="61">
        <v>604</v>
      </c>
      <c r="B608" s="2"/>
      <c r="C608" s="2"/>
      <c r="D608" s="2"/>
      <c r="E608" s="10"/>
      <c r="F608" s="11"/>
      <c r="G608" s="2"/>
      <c r="H608" s="2"/>
      <c r="I608" s="2"/>
      <c r="J608" s="2"/>
      <c r="K608" s="12"/>
      <c r="L608" s="2"/>
      <c r="M608" s="2"/>
      <c r="N608" s="67"/>
    </row>
    <row r="609" spans="1:14" x14ac:dyDescent="0.35">
      <c r="A609" s="61">
        <v>605</v>
      </c>
      <c r="B609" s="2"/>
      <c r="C609" s="2"/>
      <c r="D609" s="2"/>
      <c r="E609" s="10"/>
      <c r="F609" s="11"/>
      <c r="G609" s="2"/>
      <c r="H609" s="2"/>
      <c r="I609" s="2"/>
      <c r="J609" s="2"/>
      <c r="K609" s="12"/>
      <c r="L609" s="2"/>
      <c r="M609" s="2"/>
      <c r="N609" s="67"/>
    </row>
    <row r="610" spans="1:14" x14ac:dyDescent="0.35">
      <c r="A610" s="61">
        <v>606</v>
      </c>
      <c r="B610" s="2"/>
      <c r="C610" s="2"/>
      <c r="D610" s="2"/>
      <c r="E610" s="10"/>
      <c r="F610" s="11"/>
      <c r="G610" s="2"/>
      <c r="H610" s="2"/>
      <c r="I610" s="2"/>
      <c r="J610" s="2"/>
      <c r="K610" s="12"/>
      <c r="L610" s="2"/>
      <c r="M610" s="2"/>
      <c r="N610" s="67"/>
    </row>
    <row r="611" spans="1:14" x14ac:dyDescent="0.35">
      <c r="A611" s="61">
        <v>607</v>
      </c>
      <c r="B611" s="2"/>
      <c r="C611" s="2"/>
      <c r="D611" s="2"/>
      <c r="E611" s="10"/>
      <c r="F611" s="11"/>
      <c r="G611" s="2"/>
      <c r="H611" s="2"/>
      <c r="I611" s="2"/>
      <c r="J611" s="2"/>
      <c r="K611" s="12"/>
      <c r="L611" s="2"/>
      <c r="M611" s="2"/>
      <c r="N611" s="67"/>
    </row>
    <row r="612" spans="1:14" x14ac:dyDescent="0.35">
      <c r="A612" s="61">
        <v>608</v>
      </c>
      <c r="B612" s="2"/>
      <c r="C612" s="2"/>
      <c r="D612" s="2"/>
      <c r="E612" s="10"/>
      <c r="F612" s="11"/>
      <c r="G612" s="2"/>
      <c r="H612" s="2"/>
      <c r="I612" s="2"/>
      <c r="J612" s="2"/>
      <c r="K612" s="12"/>
      <c r="L612" s="2"/>
      <c r="M612" s="2"/>
      <c r="N612" s="67"/>
    </row>
    <row r="613" spans="1:14" x14ac:dyDescent="0.35">
      <c r="A613" s="61">
        <v>609</v>
      </c>
      <c r="B613" s="2"/>
      <c r="C613" s="2"/>
      <c r="D613" s="2"/>
      <c r="E613" s="10"/>
      <c r="F613" s="11"/>
      <c r="G613" s="2"/>
      <c r="H613" s="2"/>
      <c r="I613" s="2"/>
      <c r="J613" s="2"/>
      <c r="K613" s="12"/>
      <c r="L613" s="2"/>
      <c r="M613" s="2"/>
      <c r="N613" s="67"/>
    </row>
    <row r="614" spans="1:14" x14ac:dyDescent="0.35">
      <c r="A614" s="61">
        <v>610</v>
      </c>
      <c r="B614" s="2"/>
      <c r="C614" s="2"/>
      <c r="D614" s="2"/>
      <c r="E614" s="10"/>
      <c r="F614" s="11"/>
      <c r="G614" s="2"/>
      <c r="H614" s="2"/>
      <c r="I614" s="2"/>
      <c r="J614" s="2"/>
      <c r="K614" s="12"/>
      <c r="L614" s="2"/>
      <c r="M614" s="2"/>
      <c r="N614" s="67"/>
    </row>
    <row r="615" spans="1:14" x14ac:dyDescent="0.35">
      <c r="A615" s="61">
        <v>611</v>
      </c>
      <c r="B615" s="2"/>
      <c r="C615" s="2"/>
      <c r="D615" s="2"/>
      <c r="E615" s="10"/>
      <c r="F615" s="11"/>
      <c r="G615" s="2"/>
      <c r="H615" s="2"/>
      <c r="I615" s="2"/>
      <c r="J615" s="2"/>
      <c r="K615" s="12"/>
      <c r="L615" s="2"/>
      <c r="M615" s="2"/>
      <c r="N615" s="67"/>
    </row>
    <row r="616" spans="1:14" x14ac:dyDescent="0.35">
      <c r="A616" s="61">
        <v>612</v>
      </c>
      <c r="B616" s="2"/>
      <c r="C616" s="2"/>
      <c r="D616" s="2"/>
      <c r="E616" s="10"/>
      <c r="F616" s="11"/>
      <c r="G616" s="2"/>
      <c r="H616" s="2"/>
      <c r="I616" s="2"/>
      <c r="J616" s="2"/>
      <c r="K616" s="12"/>
      <c r="L616" s="2"/>
      <c r="M616" s="2"/>
      <c r="N616" s="67"/>
    </row>
    <row r="617" spans="1:14" x14ac:dyDescent="0.35">
      <c r="A617" s="61">
        <v>613</v>
      </c>
      <c r="B617" s="2"/>
      <c r="C617" s="2"/>
      <c r="D617" s="2"/>
      <c r="E617" s="10"/>
      <c r="F617" s="11"/>
      <c r="G617" s="2"/>
      <c r="H617" s="2"/>
      <c r="I617" s="2"/>
      <c r="J617" s="2"/>
      <c r="K617" s="12"/>
      <c r="L617" s="2"/>
      <c r="M617" s="2"/>
      <c r="N617" s="67"/>
    </row>
    <row r="618" spans="1:14" x14ac:dyDescent="0.35">
      <c r="A618" s="61">
        <v>614</v>
      </c>
      <c r="B618" s="2"/>
      <c r="C618" s="2"/>
      <c r="D618" s="2"/>
      <c r="E618" s="10"/>
      <c r="F618" s="11"/>
      <c r="G618" s="2"/>
      <c r="H618" s="2"/>
      <c r="I618" s="2"/>
      <c r="J618" s="2"/>
      <c r="K618" s="12"/>
      <c r="L618" s="2"/>
      <c r="M618" s="2"/>
      <c r="N618" s="67"/>
    </row>
    <row r="619" spans="1:14" x14ac:dyDescent="0.35">
      <c r="A619" s="61">
        <v>615</v>
      </c>
      <c r="B619" s="2"/>
      <c r="C619" s="2"/>
      <c r="D619" s="2"/>
      <c r="E619" s="10"/>
      <c r="F619" s="11"/>
      <c r="G619" s="2"/>
      <c r="H619" s="2"/>
      <c r="I619" s="2"/>
      <c r="J619" s="2"/>
      <c r="K619" s="12"/>
      <c r="L619" s="2"/>
      <c r="M619" s="2"/>
      <c r="N619" s="67"/>
    </row>
    <row r="620" spans="1:14" x14ac:dyDescent="0.35">
      <c r="A620" s="61">
        <v>616</v>
      </c>
      <c r="B620" s="2"/>
      <c r="C620" s="2"/>
      <c r="D620" s="2"/>
      <c r="E620" s="10"/>
      <c r="F620" s="11"/>
      <c r="G620" s="2"/>
      <c r="H620" s="2"/>
      <c r="I620" s="2"/>
      <c r="J620" s="2"/>
      <c r="K620" s="12"/>
      <c r="L620" s="2"/>
      <c r="M620" s="2"/>
      <c r="N620" s="67"/>
    </row>
    <row r="621" spans="1:14" x14ac:dyDescent="0.35">
      <c r="A621" s="61">
        <v>617</v>
      </c>
      <c r="B621" s="2"/>
      <c r="C621" s="2"/>
      <c r="D621" s="2"/>
      <c r="E621" s="10"/>
      <c r="F621" s="11"/>
      <c r="G621" s="2"/>
      <c r="H621" s="2"/>
      <c r="I621" s="2"/>
      <c r="J621" s="2"/>
      <c r="K621" s="12"/>
      <c r="L621" s="2"/>
      <c r="M621" s="2"/>
      <c r="N621" s="67"/>
    </row>
    <row r="622" spans="1:14" x14ac:dyDescent="0.35">
      <c r="A622" s="61">
        <v>618</v>
      </c>
      <c r="B622" s="2"/>
      <c r="C622" s="2"/>
      <c r="D622" s="2"/>
      <c r="E622" s="10"/>
      <c r="F622" s="11"/>
      <c r="G622" s="2"/>
      <c r="H622" s="2"/>
      <c r="I622" s="2"/>
      <c r="J622" s="2"/>
      <c r="K622" s="12"/>
      <c r="L622" s="2"/>
      <c r="M622" s="2"/>
      <c r="N622" s="67"/>
    </row>
    <row r="623" spans="1:14" x14ac:dyDescent="0.35">
      <c r="A623" s="61">
        <v>619</v>
      </c>
      <c r="B623" s="2"/>
      <c r="C623" s="2"/>
      <c r="D623" s="2"/>
      <c r="E623" s="10"/>
      <c r="F623" s="11"/>
      <c r="G623" s="2"/>
      <c r="H623" s="2"/>
      <c r="I623" s="2"/>
      <c r="J623" s="2"/>
      <c r="K623" s="12"/>
      <c r="L623" s="2"/>
      <c r="M623" s="2"/>
      <c r="N623" s="67"/>
    </row>
    <row r="624" spans="1:14" x14ac:dyDescent="0.35">
      <c r="A624" s="61">
        <v>620</v>
      </c>
      <c r="B624" s="2"/>
      <c r="C624" s="2"/>
      <c r="D624" s="2"/>
      <c r="E624" s="10"/>
      <c r="F624" s="11"/>
      <c r="G624" s="2"/>
      <c r="H624" s="2"/>
      <c r="I624" s="2"/>
      <c r="J624" s="2"/>
      <c r="K624" s="12"/>
      <c r="L624" s="2"/>
      <c r="M624" s="2"/>
      <c r="N624" s="67"/>
    </row>
    <row r="625" spans="1:14" x14ac:dyDescent="0.35">
      <c r="A625" s="61">
        <v>621</v>
      </c>
      <c r="B625" s="2"/>
      <c r="C625" s="2"/>
      <c r="D625" s="2"/>
      <c r="E625" s="10"/>
      <c r="F625" s="11"/>
      <c r="G625" s="2"/>
      <c r="H625" s="2"/>
      <c r="I625" s="2"/>
      <c r="J625" s="2"/>
      <c r="K625" s="12"/>
      <c r="L625" s="2"/>
      <c r="M625" s="2"/>
      <c r="N625" s="67"/>
    </row>
    <row r="626" spans="1:14" x14ac:dyDescent="0.35">
      <c r="A626" s="61">
        <v>622</v>
      </c>
      <c r="B626" s="2"/>
      <c r="C626" s="2"/>
      <c r="D626" s="2"/>
      <c r="E626" s="10"/>
      <c r="F626" s="11"/>
      <c r="G626" s="2"/>
      <c r="H626" s="2"/>
      <c r="I626" s="2"/>
      <c r="J626" s="2"/>
      <c r="K626" s="12"/>
      <c r="L626" s="2"/>
      <c r="M626" s="2"/>
      <c r="N626" s="67"/>
    </row>
    <row r="627" spans="1:14" x14ac:dyDescent="0.35">
      <c r="A627" s="61">
        <v>623</v>
      </c>
      <c r="B627" s="2"/>
      <c r="C627" s="2"/>
      <c r="D627" s="2"/>
      <c r="E627" s="10"/>
      <c r="F627" s="11"/>
      <c r="G627" s="2"/>
      <c r="H627" s="2"/>
      <c r="I627" s="2"/>
      <c r="J627" s="2"/>
      <c r="K627" s="12"/>
      <c r="L627" s="2"/>
      <c r="M627" s="2"/>
      <c r="N627" s="67"/>
    </row>
    <row r="628" spans="1:14" x14ac:dyDescent="0.35">
      <c r="A628" s="61">
        <v>624</v>
      </c>
      <c r="B628" s="2"/>
      <c r="C628" s="2"/>
      <c r="D628" s="2"/>
      <c r="E628" s="10"/>
      <c r="F628" s="11"/>
      <c r="G628" s="2"/>
      <c r="H628" s="2"/>
      <c r="I628" s="2"/>
      <c r="J628" s="2"/>
      <c r="K628" s="12"/>
      <c r="L628" s="2"/>
      <c r="M628" s="2"/>
      <c r="N628" s="67"/>
    </row>
    <row r="629" spans="1:14" x14ac:dyDescent="0.35">
      <c r="A629" s="61">
        <v>625</v>
      </c>
      <c r="B629" s="2"/>
      <c r="C629" s="2"/>
      <c r="D629" s="2"/>
      <c r="E629" s="10"/>
      <c r="F629" s="11"/>
      <c r="G629" s="2"/>
      <c r="H629" s="2"/>
      <c r="I629" s="2"/>
      <c r="J629" s="2"/>
      <c r="K629" s="12"/>
      <c r="L629" s="2"/>
      <c r="M629" s="2"/>
      <c r="N629" s="67"/>
    </row>
    <row r="630" spans="1:14" x14ac:dyDescent="0.35">
      <c r="A630" s="61">
        <v>626</v>
      </c>
      <c r="B630" s="2"/>
      <c r="C630" s="2"/>
      <c r="D630" s="2"/>
      <c r="E630" s="10"/>
      <c r="F630" s="11"/>
      <c r="G630" s="2"/>
      <c r="H630" s="2"/>
      <c r="I630" s="2"/>
      <c r="J630" s="2"/>
      <c r="K630" s="12"/>
      <c r="L630" s="2"/>
      <c r="M630" s="2"/>
      <c r="N630" s="67"/>
    </row>
    <row r="631" spans="1:14" x14ac:dyDescent="0.35">
      <c r="A631" s="61">
        <v>627</v>
      </c>
      <c r="B631" s="2"/>
      <c r="C631" s="2"/>
      <c r="D631" s="2"/>
      <c r="E631" s="10"/>
      <c r="F631" s="11"/>
      <c r="G631" s="2"/>
      <c r="H631" s="2"/>
      <c r="I631" s="2"/>
      <c r="J631" s="2"/>
      <c r="K631" s="12"/>
      <c r="L631" s="2"/>
      <c r="M631" s="2"/>
      <c r="N631" s="67"/>
    </row>
    <row r="632" spans="1:14" x14ac:dyDescent="0.35">
      <c r="A632" s="61">
        <v>628</v>
      </c>
      <c r="B632" s="2"/>
      <c r="C632" s="2"/>
      <c r="D632" s="2"/>
      <c r="E632" s="10"/>
      <c r="F632" s="11"/>
      <c r="G632" s="2"/>
      <c r="H632" s="2"/>
      <c r="I632" s="2"/>
      <c r="J632" s="2"/>
      <c r="K632" s="12"/>
      <c r="L632" s="2"/>
      <c r="M632" s="2"/>
      <c r="N632" s="67"/>
    </row>
    <row r="633" spans="1:14" x14ac:dyDescent="0.35">
      <c r="A633" s="61">
        <v>629</v>
      </c>
      <c r="B633" s="2"/>
      <c r="C633" s="2"/>
      <c r="D633" s="2"/>
      <c r="E633" s="10"/>
      <c r="F633" s="11"/>
      <c r="G633" s="2"/>
      <c r="H633" s="2"/>
      <c r="I633" s="2"/>
      <c r="J633" s="2"/>
      <c r="K633" s="12"/>
      <c r="L633" s="2"/>
      <c r="M633" s="2"/>
      <c r="N633" s="67"/>
    </row>
    <row r="634" spans="1:14" x14ac:dyDescent="0.35">
      <c r="A634" s="61">
        <v>630</v>
      </c>
      <c r="B634" s="2"/>
      <c r="C634" s="2"/>
      <c r="D634" s="2"/>
      <c r="E634" s="10"/>
      <c r="F634" s="11"/>
      <c r="G634" s="2"/>
      <c r="H634" s="2"/>
      <c r="I634" s="2"/>
      <c r="J634" s="2"/>
      <c r="K634" s="12"/>
      <c r="L634" s="2"/>
      <c r="M634" s="2"/>
      <c r="N634" s="67"/>
    </row>
    <row r="635" spans="1:14" x14ac:dyDescent="0.35">
      <c r="A635" s="61">
        <v>631</v>
      </c>
      <c r="B635" s="2"/>
      <c r="C635" s="2"/>
      <c r="D635" s="2"/>
      <c r="E635" s="10"/>
      <c r="F635" s="11"/>
      <c r="G635" s="2"/>
      <c r="H635" s="2"/>
      <c r="I635" s="2"/>
      <c r="J635" s="2"/>
      <c r="K635" s="12"/>
      <c r="L635" s="2"/>
      <c r="M635" s="2"/>
      <c r="N635" s="67"/>
    </row>
    <row r="636" spans="1:14" x14ac:dyDescent="0.35">
      <c r="A636" s="61">
        <v>632</v>
      </c>
      <c r="B636" s="2"/>
      <c r="C636" s="2"/>
      <c r="D636" s="2"/>
      <c r="E636" s="10"/>
      <c r="F636" s="11"/>
      <c r="G636" s="2"/>
      <c r="H636" s="2"/>
      <c r="I636" s="2"/>
      <c r="J636" s="2"/>
      <c r="K636" s="12"/>
      <c r="L636" s="2"/>
      <c r="M636" s="2"/>
      <c r="N636" s="67"/>
    </row>
    <row r="637" spans="1:14" x14ac:dyDescent="0.35">
      <c r="A637" s="61">
        <v>633</v>
      </c>
      <c r="B637" s="2"/>
      <c r="C637" s="2"/>
      <c r="D637" s="2"/>
      <c r="E637" s="10"/>
      <c r="F637" s="11"/>
      <c r="G637" s="2"/>
      <c r="H637" s="2"/>
      <c r="I637" s="2"/>
      <c r="J637" s="2"/>
      <c r="K637" s="12"/>
      <c r="L637" s="2"/>
      <c r="M637" s="2"/>
      <c r="N637" s="67"/>
    </row>
    <row r="638" spans="1:14" x14ac:dyDescent="0.35">
      <c r="A638" s="61">
        <v>634</v>
      </c>
      <c r="B638" s="2"/>
      <c r="C638" s="2"/>
      <c r="D638" s="2"/>
      <c r="E638" s="10"/>
      <c r="F638" s="11"/>
      <c r="G638" s="2"/>
      <c r="H638" s="2"/>
      <c r="I638" s="2"/>
      <c r="J638" s="2"/>
      <c r="K638" s="12"/>
      <c r="L638" s="2"/>
      <c r="M638" s="2"/>
      <c r="N638" s="67"/>
    </row>
    <row r="639" spans="1:14" x14ac:dyDescent="0.35">
      <c r="A639" s="61">
        <v>635</v>
      </c>
      <c r="B639" s="2"/>
      <c r="C639" s="2"/>
      <c r="D639" s="2"/>
      <c r="E639" s="10"/>
      <c r="F639" s="11"/>
      <c r="G639" s="2"/>
      <c r="H639" s="2"/>
      <c r="I639" s="2"/>
      <c r="J639" s="2"/>
      <c r="K639" s="12"/>
      <c r="L639" s="2"/>
      <c r="M639" s="2"/>
      <c r="N639" s="67"/>
    </row>
    <row r="640" spans="1:14" x14ac:dyDescent="0.35">
      <c r="A640" s="61">
        <v>636</v>
      </c>
      <c r="B640" s="2"/>
      <c r="C640" s="2"/>
      <c r="D640" s="2"/>
      <c r="E640" s="10"/>
      <c r="F640" s="11"/>
      <c r="G640" s="2"/>
      <c r="H640" s="2"/>
      <c r="I640" s="2"/>
      <c r="J640" s="2"/>
      <c r="K640" s="12"/>
      <c r="L640" s="2"/>
      <c r="M640" s="2"/>
      <c r="N640" s="67"/>
    </row>
    <row r="641" spans="1:14" x14ac:dyDescent="0.35">
      <c r="A641" s="61">
        <v>637</v>
      </c>
      <c r="B641" s="2"/>
      <c r="C641" s="2"/>
      <c r="D641" s="2"/>
      <c r="E641" s="10"/>
      <c r="F641" s="11"/>
      <c r="G641" s="2"/>
      <c r="H641" s="2"/>
      <c r="I641" s="2"/>
      <c r="J641" s="2"/>
      <c r="K641" s="12"/>
      <c r="L641" s="2"/>
      <c r="M641" s="2"/>
      <c r="N641" s="67"/>
    </row>
    <row r="642" spans="1:14" x14ac:dyDescent="0.35">
      <c r="A642" s="61">
        <v>638</v>
      </c>
      <c r="B642" s="2"/>
      <c r="C642" s="2"/>
      <c r="D642" s="2"/>
      <c r="E642" s="10"/>
      <c r="F642" s="11"/>
      <c r="G642" s="2"/>
      <c r="H642" s="2"/>
      <c r="I642" s="2"/>
      <c r="J642" s="2"/>
      <c r="K642" s="12"/>
      <c r="L642" s="2"/>
      <c r="M642" s="2"/>
      <c r="N642" s="67"/>
    </row>
    <row r="643" spans="1:14" x14ac:dyDescent="0.35">
      <c r="A643" s="61">
        <v>639</v>
      </c>
      <c r="B643" s="2"/>
      <c r="C643" s="2"/>
      <c r="D643" s="2"/>
      <c r="E643" s="10"/>
      <c r="F643" s="11"/>
      <c r="G643" s="2"/>
      <c r="H643" s="2"/>
      <c r="I643" s="2"/>
      <c r="J643" s="2"/>
      <c r="K643" s="12"/>
      <c r="L643" s="2"/>
      <c r="M643" s="2"/>
      <c r="N643" s="67"/>
    </row>
    <row r="644" spans="1:14" x14ac:dyDescent="0.35">
      <c r="A644" s="61">
        <v>640</v>
      </c>
      <c r="B644" s="2"/>
      <c r="C644" s="2"/>
      <c r="D644" s="2"/>
      <c r="E644" s="10"/>
      <c r="F644" s="11"/>
      <c r="G644" s="2"/>
      <c r="H644" s="2"/>
      <c r="I644" s="2"/>
      <c r="J644" s="2"/>
      <c r="K644" s="12"/>
      <c r="L644" s="2"/>
      <c r="M644" s="2"/>
      <c r="N644" s="67"/>
    </row>
    <row r="645" spans="1:14" x14ac:dyDescent="0.35">
      <c r="A645" s="61">
        <v>641</v>
      </c>
      <c r="B645" s="2"/>
      <c r="C645" s="2"/>
      <c r="D645" s="2"/>
      <c r="E645" s="10"/>
      <c r="F645" s="11"/>
      <c r="G645" s="2"/>
      <c r="H645" s="2"/>
      <c r="I645" s="2"/>
      <c r="J645" s="2"/>
      <c r="K645" s="12"/>
      <c r="L645" s="2"/>
      <c r="M645" s="2"/>
      <c r="N645" s="67"/>
    </row>
    <row r="646" spans="1:14" x14ac:dyDescent="0.35">
      <c r="A646" s="61">
        <v>642</v>
      </c>
      <c r="B646" s="2"/>
      <c r="C646" s="2"/>
      <c r="D646" s="2"/>
      <c r="E646" s="10"/>
      <c r="F646" s="11"/>
      <c r="G646" s="2"/>
      <c r="H646" s="2"/>
      <c r="I646" s="2"/>
      <c r="J646" s="2"/>
      <c r="K646" s="12"/>
      <c r="L646" s="2"/>
      <c r="M646" s="2"/>
      <c r="N646" s="67"/>
    </row>
    <row r="647" spans="1:14" x14ac:dyDescent="0.35">
      <c r="A647" s="61">
        <v>643</v>
      </c>
      <c r="B647" s="2"/>
      <c r="C647" s="2"/>
      <c r="D647" s="2"/>
      <c r="E647" s="10"/>
      <c r="F647" s="11"/>
      <c r="G647" s="2"/>
      <c r="H647" s="2"/>
      <c r="I647" s="2"/>
      <c r="J647" s="2"/>
      <c r="K647" s="12"/>
      <c r="L647" s="2"/>
      <c r="M647" s="2"/>
      <c r="N647" s="67"/>
    </row>
    <row r="648" spans="1:14" x14ac:dyDescent="0.35">
      <c r="A648" s="61">
        <v>644</v>
      </c>
      <c r="B648" s="2"/>
      <c r="C648" s="2"/>
      <c r="D648" s="2"/>
      <c r="E648" s="10"/>
      <c r="F648" s="11"/>
      <c r="G648" s="2"/>
      <c r="H648" s="2"/>
      <c r="I648" s="2"/>
      <c r="J648" s="2"/>
      <c r="K648" s="12"/>
      <c r="L648" s="2"/>
      <c r="M648" s="2"/>
      <c r="N648" s="67"/>
    </row>
    <row r="649" spans="1:14" x14ac:dyDescent="0.35">
      <c r="A649" s="61">
        <v>645</v>
      </c>
      <c r="B649" s="2"/>
      <c r="C649" s="2"/>
      <c r="D649" s="2"/>
      <c r="E649" s="10"/>
      <c r="F649" s="11"/>
      <c r="G649" s="2"/>
      <c r="H649" s="2"/>
      <c r="I649" s="2"/>
      <c r="J649" s="2"/>
      <c r="K649" s="12"/>
      <c r="L649" s="2"/>
      <c r="M649" s="2"/>
      <c r="N649" s="67"/>
    </row>
    <row r="650" spans="1:14" x14ac:dyDescent="0.35">
      <c r="A650" s="61">
        <v>646</v>
      </c>
      <c r="B650" s="2"/>
      <c r="C650" s="2"/>
      <c r="D650" s="2"/>
      <c r="E650" s="10"/>
      <c r="F650" s="11"/>
      <c r="G650" s="2"/>
      <c r="H650" s="2"/>
      <c r="I650" s="2"/>
      <c r="J650" s="2"/>
      <c r="K650" s="12"/>
      <c r="L650" s="2"/>
      <c r="M650" s="2"/>
      <c r="N650" s="67"/>
    </row>
    <row r="651" spans="1:14" x14ac:dyDescent="0.35">
      <c r="A651" s="61">
        <v>647</v>
      </c>
      <c r="B651" s="2"/>
      <c r="C651" s="2"/>
      <c r="D651" s="2"/>
      <c r="E651" s="10"/>
      <c r="F651" s="11"/>
      <c r="G651" s="2"/>
      <c r="H651" s="2"/>
      <c r="I651" s="2"/>
      <c r="J651" s="2"/>
      <c r="K651" s="12"/>
      <c r="L651" s="2"/>
      <c r="M651" s="2"/>
      <c r="N651" s="67"/>
    </row>
    <row r="652" spans="1:14" x14ac:dyDescent="0.35">
      <c r="A652" s="61">
        <v>648</v>
      </c>
      <c r="B652" s="2"/>
      <c r="C652" s="2"/>
      <c r="D652" s="2"/>
      <c r="E652" s="10"/>
      <c r="F652" s="11"/>
      <c r="G652" s="2"/>
      <c r="H652" s="2"/>
      <c r="I652" s="2"/>
      <c r="J652" s="2"/>
      <c r="K652" s="12"/>
      <c r="L652" s="2"/>
      <c r="M652" s="2"/>
      <c r="N652" s="67"/>
    </row>
    <row r="653" spans="1:14" x14ac:dyDescent="0.35">
      <c r="A653" s="61">
        <v>649</v>
      </c>
      <c r="B653" s="2"/>
      <c r="C653" s="2"/>
      <c r="D653" s="2"/>
      <c r="E653" s="10"/>
      <c r="F653" s="11"/>
      <c r="G653" s="2"/>
      <c r="H653" s="2"/>
      <c r="I653" s="2"/>
      <c r="J653" s="2"/>
      <c r="K653" s="12"/>
      <c r="L653" s="2"/>
      <c r="M653" s="2"/>
      <c r="N653" s="67"/>
    </row>
    <row r="654" spans="1:14" x14ac:dyDescent="0.35">
      <c r="A654" s="61">
        <v>650</v>
      </c>
      <c r="B654" s="2"/>
      <c r="C654" s="2"/>
      <c r="D654" s="2"/>
      <c r="E654" s="10"/>
      <c r="F654" s="11"/>
      <c r="G654" s="2"/>
      <c r="H654" s="2"/>
      <c r="I654" s="2"/>
      <c r="J654" s="2"/>
      <c r="K654" s="12"/>
      <c r="L654" s="2"/>
      <c r="M654" s="2"/>
      <c r="N654" s="67"/>
    </row>
    <row r="655" spans="1:14" x14ac:dyDescent="0.35">
      <c r="A655" s="61">
        <v>651</v>
      </c>
      <c r="B655" s="2"/>
      <c r="C655" s="2"/>
      <c r="D655" s="2"/>
      <c r="E655" s="10"/>
      <c r="F655" s="11"/>
      <c r="G655" s="2"/>
      <c r="H655" s="2"/>
      <c r="I655" s="2"/>
      <c r="J655" s="2"/>
      <c r="K655" s="12"/>
      <c r="L655" s="2"/>
      <c r="M655" s="2"/>
      <c r="N655" s="67"/>
    </row>
    <row r="656" spans="1:14" x14ac:dyDescent="0.35">
      <c r="A656" s="61">
        <v>652</v>
      </c>
      <c r="B656" s="2"/>
      <c r="C656" s="2"/>
      <c r="D656" s="2"/>
      <c r="E656" s="10"/>
      <c r="F656" s="11"/>
      <c r="G656" s="2"/>
      <c r="H656" s="2"/>
      <c r="I656" s="2"/>
      <c r="J656" s="2"/>
      <c r="K656" s="12"/>
      <c r="L656" s="2"/>
      <c r="M656" s="2"/>
      <c r="N656" s="67"/>
    </row>
    <row r="657" spans="1:14" x14ac:dyDescent="0.35">
      <c r="A657" s="61">
        <v>653</v>
      </c>
      <c r="B657" s="2"/>
      <c r="C657" s="2"/>
      <c r="D657" s="2"/>
      <c r="E657" s="10"/>
      <c r="F657" s="11"/>
      <c r="G657" s="2"/>
      <c r="H657" s="2"/>
      <c r="I657" s="2"/>
      <c r="J657" s="2"/>
      <c r="K657" s="12"/>
      <c r="L657" s="2"/>
      <c r="M657" s="2"/>
      <c r="N657" s="67"/>
    </row>
    <row r="658" spans="1:14" x14ac:dyDescent="0.35">
      <c r="A658" s="61">
        <v>654</v>
      </c>
      <c r="B658" s="2"/>
      <c r="C658" s="2"/>
      <c r="D658" s="2"/>
      <c r="E658" s="10"/>
      <c r="F658" s="11"/>
      <c r="G658" s="2"/>
      <c r="H658" s="2"/>
      <c r="I658" s="2"/>
      <c r="J658" s="2"/>
      <c r="K658" s="12"/>
      <c r="L658" s="2"/>
      <c r="M658" s="2"/>
      <c r="N658" s="67"/>
    </row>
    <row r="659" spans="1:14" x14ac:dyDescent="0.35">
      <c r="A659" s="61">
        <v>655</v>
      </c>
      <c r="B659" s="2"/>
      <c r="C659" s="2"/>
      <c r="D659" s="2"/>
      <c r="E659" s="10"/>
      <c r="F659" s="11"/>
      <c r="G659" s="2"/>
      <c r="H659" s="2"/>
      <c r="I659" s="2"/>
      <c r="J659" s="2"/>
      <c r="K659" s="12"/>
      <c r="L659" s="2"/>
      <c r="M659" s="2"/>
      <c r="N659" s="67"/>
    </row>
    <row r="660" spans="1:14" x14ac:dyDescent="0.35">
      <c r="A660" s="61">
        <v>656</v>
      </c>
      <c r="B660" s="2"/>
      <c r="C660" s="2"/>
      <c r="D660" s="2"/>
      <c r="E660" s="10"/>
      <c r="F660" s="11"/>
      <c r="G660" s="2"/>
      <c r="H660" s="2"/>
      <c r="I660" s="2"/>
      <c r="J660" s="2"/>
      <c r="K660" s="12"/>
      <c r="L660" s="2"/>
      <c r="M660" s="2"/>
      <c r="N660" s="67"/>
    </row>
    <row r="661" spans="1:14" x14ac:dyDescent="0.35">
      <c r="A661" s="61">
        <v>657</v>
      </c>
      <c r="B661" s="2"/>
      <c r="C661" s="2"/>
      <c r="D661" s="2"/>
      <c r="E661" s="10"/>
      <c r="F661" s="11"/>
      <c r="G661" s="2"/>
      <c r="H661" s="2"/>
      <c r="I661" s="2"/>
      <c r="J661" s="2"/>
      <c r="K661" s="12"/>
      <c r="L661" s="2"/>
      <c r="M661" s="2"/>
      <c r="N661" s="67"/>
    </row>
    <row r="662" spans="1:14" x14ac:dyDescent="0.35">
      <c r="A662" s="61">
        <v>658</v>
      </c>
      <c r="B662" s="2"/>
      <c r="C662" s="2"/>
      <c r="D662" s="2"/>
      <c r="E662" s="10"/>
      <c r="F662" s="11"/>
      <c r="G662" s="2"/>
      <c r="H662" s="2"/>
      <c r="I662" s="2"/>
      <c r="J662" s="2"/>
      <c r="K662" s="12"/>
      <c r="L662" s="2"/>
      <c r="M662" s="2"/>
      <c r="N662" s="67"/>
    </row>
    <row r="663" spans="1:14" x14ac:dyDescent="0.35">
      <c r="A663" s="61">
        <v>659</v>
      </c>
      <c r="B663" s="2"/>
      <c r="C663" s="2"/>
      <c r="D663" s="2"/>
      <c r="E663" s="10"/>
      <c r="F663" s="11"/>
      <c r="G663" s="2"/>
      <c r="H663" s="2"/>
      <c r="I663" s="2"/>
      <c r="J663" s="2"/>
      <c r="K663" s="12"/>
      <c r="L663" s="2"/>
      <c r="M663" s="2"/>
      <c r="N663" s="67"/>
    </row>
    <row r="664" spans="1:14" x14ac:dyDescent="0.35">
      <c r="A664" s="61">
        <v>660</v>
      </c>
      <c r="B664" s="2"/>
      <c r="C664" s="2"/>
      <c r="D664" s="2"/>
      <c r="E664" s="10"/>
      <c r="F664" s="11"/>
      <c r="G664" s="2"/>
      <c r="H664" s="2"/>
      <c r="I664" s="2"/>
      <c r="J664" s="2"/>
      <c r="K664" s="12"/>
      <c r="L664" s="2"/>
      <c r="M664" s="2"/>
      <c r="N664" s="67"/>
    </row>
    <row r="665" spans="1:14" x14ac:dyDescent="0.35">
      <c r="A665" s="61">
        <v>661</v>
      </c>
      <c r="B665" s="2"/>
      <c r="C665" s="2"/>
      <c r="D665" s="2"/>
      <c r="E665" s="10"/>
      <c r="F665" s="11"/>
      <c r="G665" s="2"/>
      <c r="H665" s="2"/>
      <c r="I665" s="2"/>
      <c r="J665" s="2"/>
      <c r="K665" s="12"/>
      <c r="L665" s="2"/>
      <c r="M665" s="2"/>
      <c r="N665" s="67"/>
    </row>
    <row r="666" spans="1:14" x14ac:dyDescent="0.35">
      <c r="A666" s="61">
        <v>662</v>
      </c>
      <c r="B666" s="2"/>
      <c r="C666" s="2"/>
      <c r="D666" s="2"/>
      <c r="E666" s="10"/>
      <c r="F666" s="11"/>
      <c r="G666" s="2"/>
      <c r="H666" s="2"/>
      <c r="I666" s="2"/>
      <c r="J666" s="2"/>
      <c r="K666" s="12"/>
      <c r="L666" s="2"/>
      <c r="M666" s="2"/>
      <c r="N666" s="67"/>
    </row>
    <row r="667" spans="1:14" x14ac:dyDescent="0.35">
      <c r="A667" s="61">
        <v>663</v>
      </c>
      <c r="B667" s="2"/>
      <c r="C667" s="2"/>
      <c r="D667" s="2"/>
      <c r="E667" s="10"/>
      <c r="F667" s="11"/>
      <c r="G667" s="2"/>
      <c r="H667" s="2"/>
      <c r="I667" s="2"/>
      <c r="J667" s="2"/>
      <c r="K667" s="12"/>
      <c r="L667" s="2"/>
      <c r="M667" s="2"/>
      <c r="N667" s="67"/>
    </row>
    <row r="668" spans="1:14" x14ac:dyDescent="0.35">
      <c r="A668" s="61">
        <v>664</v>
      </c>
      <c r="B668" s="2"/>
      <c r="C668" s="2"/>
      <c r="D668" s="2"/>
      <c r="E668" s="10"/>
      <c r="F668" s="11"/>
      <c r="G668" s="2"/>
      <c r="H668" s="2"/>
      <c r="I668" s="2"/>
      <c r="J668" s="2"/>
      <c r="K668" s="12"/>
      <c r="L668" s="2"/>
      <c r="M668" s="2"/>
      <c r="N668" s="67"/>
    </row>
    <row r="669" spans="1:14" x14ac:dyDescent="0.35">
      <c r="A669" s="61">
        <v>665</v>
      </c>
      <c r="B669" s="2"/>
      <c r="C669" s="2"/>
      <c r="D669" s="2"/>
      <c r="E669" s="10"/>
      <c r="F669" s="11"/>
      <c r="G669" s="2"/>
      <c r="H669" s="2"/>
      <c r="I669" s="2"/>
      <c r="J669" s="2"/>
      <c r="K669" s="12"/>
      <c r="L669" s="2"/>
      <c r="M669" s="2"/>
      <c r="N669" s="67"/>
    </row>
    <row r="670" spans="1:14" x14ac:dyDescent="0.35">
      <c r="A670" s="61">
        <v>666</v>
      </c>
      <c r="B670" s="2"/>
      <c r="C670" s="2"/>
      <c r="D670" s="2"/>
      <c r="E670" s="10"/>
      <c r="F670" s="11"/>
      <c r="G670" s="2"/>
      <c r="H670" s="2"/>
      <c r="I670" s="2"/>
      <c r="J670" s="2"/>
      <c r="K670" s="12"/>
      <c r="L670" s="2"/>
      <c r="M670" s="2"/>
      <c r="N670" s="67"/>
    </row>
    <row r="671" spans="1:14" x14ac:dyDescent="0.35">
      <c r="A671" s="61">
        <v>667</v>
      </c>
      <c r="B671" s="2"/>
      <c r="C671" s="2"/>
      <c r="D671" s="2"/>
      <c r="E671" s="10"/>
      <c r="F671" s="11"/>
      <c r="G671" s="2"/>
      <c r="H671" s="2"/>
      <c r="I671" s="2"/>
      <c r="J671" s="2"/>
      <c r="K671" s="12"/>
      <c r="L671" s="2"/>
      <c r="M671" s="2"/>
      <c r="N671" s="67"/>
    </row>
    <row r="672" spans="1:14" x14ac:dyDescent="0.35">
      <c r="A672" s="61">
        <v>668</v>
      </c>
      <c r="B672" s="2"/>
      <c r="C672" s="2"/>
      <c r="D672" s="2"/>
      <c r="E672" s="10"/>
      <c r="F672" s="11"/>
      <c r="G672" s="2"/>
      <c r="H672" s="2"/>
      <c r="I672" s="2"/>
      <c r="J672" s="2"/>
      <c r="K672" s="12"/>
      <c r="L672" s="2"/>
      <c r="M672" s="2"/>
      <c r="N672" s="67"/>
    </row>
    <row r="673" spans="1:14" x14ac:dyDescent="0.35">
      <c r="A673" s="61">
        <v>669</v>
      </c>
      <c r="B673" s="2"/>
      <c r="C673" s="2"/>
      <c r="D673" s="2"/>
      <c r="E673" s="10"/>
      <c r="F673" s="11"/>
      <c r="G673" s="2"/>
      <c r="H673" s="2"/>
      <c r="I673" s="2"/>
      <c r="J673" s="2"/>
      <c r="K673" s="12"/>
      <c r="L673" s="2"/>
      <c r="M673" s="2"/>
      <c r="N673" s="67"/>
    </row>
    <row r="674" spans="1:14" x14ac:dyDescent="0.35">
      <c r="A674" s="61">
        <v>670</v>
      </c>
      <c r="B674" s="2"/>
      <c r="C674" s="2"/>
      <c r="D674" s="2"/>
      <c r="E674" s="10"/>
      <c r="F674" s="11"/>
      <c r="G674" s="2"/>
      <c r="H674" s="2"/>
      <c r="I674" s="2"/>
      <c r="J674" s="2"/>
      <c r="K674" s="12"/>
      <c r="L674" s="2"/>
      <c r="M674" s="2"/>
      <c r="N674" s="67"/>
    </row>
    <row r="675" spans="1:14" x14ac:dyDescent="0.35">
      <c r="A675" s="61">
        <v>671</v>
      </c>
      <c r="B675" s="2"/>
      <c r="C675" s="2"/>
      <c r="D675" s="2"/>
      <c r="E675" s="10"/>
      <c r="F675" s="11"/>
      <c r="G675" s="2"/>
      <c r="H675" s="2"/>
      <c r="I675" s="2"/>
      <c r="J675" s="2"/>
      <c r="K675" s="12"/>
      <c r="L675" s="2"/>
      <c r="M675" s="2"/>
      <c r="N675" s="67"/>
    </row>
    <row r="676" spans="1:14" x14ac:dyDescent="0.35">
      <c r="A676" s="61">
        <v>672</v>
      </c>
      <c r="B676" s="2"/>
      <c r="C676" s="2"/>
      <c r="D676" s="2"/>
      <c r="E676" s="10"/>
      <c r="F676" s="11"/>
      <c r="G676" s="2"/>
      <c r="H676" s="2"/>
      <c r="I676" s="2"/>
      <c r="J676" s="2"/>
      <c r="K676" s="12"/>
      <c r="L676" s="2"/>
      <c r="M676" s="2"/>
      <c r="N676" s="67"/>
    </row>
    <row r="677" spans="1:14" x14ac:dyDescent="0.35">
      <c r="A677" s="61">
        <v>673</v>
      </c>
      <c r="B677" s="2"/>
      <c r="C677" s="2"/>
      <c r="D677" s="2"/>
      <c r="E677" s="10"/>
      <c r="F677" s="11"/>
      <c r="G677" s="2"/>
      <c r="H677" s="2"/>
      <c r="I677" s="2"/>
      <c r="J677" s="2"/>
      <c r="K677" s="12"/>
      <c r="L677" s="2"/>
      <c r="M677" s="2"/>
      <c r="N677" s="67"/>
    </row>
    <row r="678" spans="1:14" x14ac:dyDescent="0.35">
      <c r="A678" s="61">
        <v>674</v>
      </c>
      <c r="B678" s="2"/>
      <c r="C678" s="2"/>
      <c r="D678" s="2"/>
      <c r="E678" s="10"/>
      <c r="F678" s="11"/>
      <c r="G678" s="2"/>
      <c r="H678" s="2"/>
      <c r="I678" s="2"/>
      <c r="J678" s="2"/>
      <c r="K678" s="12"/>
      <c r="L678" s="2"/>
      <c r="M678" s="2"/>
      <c r="N678" s="67"/>
    </row>
    <row r="679" spans="1:14" x14ac:dyDescent="0.35">
      <c r="A679" s="61">
        <v>675</v>
      </c>
      <c r="B679" s="2"/>
      <c r="C679" s="2"/>
      <c r="D679" s="2"/>
      <c r="E679" s="10"/>
      <c r="F679" s="11"/>
      <c r="G679" s="2"/>
      <c r="H679" s="2"/>
      <c r="I679" s="2"/>
      <c r="J679" s="2"/>
      <c r="K679" s="12"/>
      <c r="L679" s="2"/>
      <c r="M679" s="2"/>
      <c r="N679" s="67"/>
    </row>
    <row r="680" spans="1:14" x14ac:dyDescent="0.35">
      <c r="A680" s="61">
        <v>676</v>
      </c>
      <c r="B680" s="2"/>
      <c r="C680" s="2"/>
      <c r="D680" s="2"/>
      <c r="E680" s="10"/>
      <c r="F680" s="11"/>
      <c r="G680" s="2"/>
      <c r="H680" s="2"/>
      <c r="I680" s="2"/>
      <c r="J680" s="2"/>
      <c r="K680" s="12"/>
      <c r="L680" s="2"/>
      <c r="M680" s="2"/>
      <c r="N680" s="67"/>
    </row>
    <row r="681" spans="1:14" x14ac:dyDescent="0.35">
      <c r="A681" s="61">
        <v>677</v>
      </c>
      <c r="B681" s="2"/>
      <c r="C681" s="2"/>
      <c r="D681" s="2"/>
      <c r="E681" s="10"/>
      <c r="F681" s="11"/>
      <c r="G681" s="2"/>
      <c r="H681" s="2"/>
      <c r="I681" s="2"/>
      <c r="J681" s="2"/>
      <c r="K681" s="12"/>
      <c r="L681" s="2"/>
      <c r="M681" s="2"/>
      <c r="N681" s="67"/>
    </row>
    <row r="682" spans="1:14" x14ac:dyDescent="0.35">
      <c r="A682" s="61">
        <v>678</v>
      </c>
      <c r="B682" s="2"/>
      <c r="C682" s="2"/>
      <c r="D682" s="2"/>
      <c r="E682" s="10"/>
      <c r="F682" s="11"/>
      <c r="G682" s="2"/>
      <c r="H682" s="2"/>
      <c r="I682" s="2"/>
      <c r="J682" s="2"/>
      <c r="K682" s="12"/>
      <c r="L682" s="2"/>
      <c r="M682" s="2"/>
      <c r="N682" s="67"/>
    </row>
    <row r="683" spans="1:14" x14ac:dyDescent="0.35">
      <c r="A683" s="61">
        <v>679</v>
      </c>
      <c r="B683" s="2"/>
      <c r="C683" s="2"/>
      <c r="D683" s="2"/>
      <c r="E683" s="10"/>
      <c r="F683" s="11"/>
      <c r="G683" s="2"/>
      <c r="H683" s="2"/>
      <c r="I683" s="2"/>
      <c r="J683" s="2"/>
      <c r="K683" s="12"/>
      <c r="L683" s="2"/>
      <c r="M683" s="2"/>
      <c r="N683" s="67"/>
    </row>
    <row r="684" spans="1:14" x14ac:dyDescent="0.35">
      <c r="A684" s="61">
        <v>680</v>
      </c>
      <c r="B684" s="2"/>
      <c r="C684" s="2"/>
      <c r="D684" s="2"/>
      <c r="E684" s="10"/>
      <c r="F684" s="11"/>
      <c r="G684" s="2"/>
      <c r="H684" s="2"/>
      <c r="I684" s="2"/>
      <c r="J684" s="2"/>
      <c r="K684" s="12"/>
      <c r="L684" s="2"/>
      <c r="M684" s="2"/>
      <c r="N684" s="67"/>
    </row>
    <row r="685" spans="1:14" x14ac:dyDescent="0.35">
      <c r="A685" s="61">
        <v>681</v>
      </c>
      <c r="B685" s="2"/>
      <c r="C685" s="2"/>
      <c r="D685" s="2"/>
      <c r="E685" s="10"/>
      <c r="F685" s="11"/>
      <c r="G685" s="2"/>
      <c r="H685" s="2"/>
      <c r="I685" s="2"/>
      <c r="J685" s="2"/>
      <c r="K685" s="12"/>
      <c r="L685" s="2"/>
      <c r="M685" s="2"/>
      <c r="N685" s="67"/>
    </row>
    <row r="686" spans="1:14" x14ac:dyDescent="0.35">
      <c r="A686" s="61">
        <v>682</v>
      </c>
      <c r="B686" s="2"/>
      <c r="C686" s="2"/>
      <c r="D686" s="2"/>
      <c r="E686" s="10"/>
      <c r="F686" s="11"/>
      <c r="G686" s="2"/>
      <c r="H686" s="2"/>
      <c r="I686" s="2"/>
      <c r="J686" s="2"/>
      <c r="K686" s="12"/>
      <c r="L686" s="2"/>
      <c r="M686" s="2"/>
      <c r="N686" s="67"/>
    </row>
    <row r="687" spans="1:14" x14ac:dyDescent="0.35">
      <c r="A687" s="61">
        <v>683</v>
      </c>
      <c r="B687" s="2"/>
      <c r="C687" s="2"/>
      <c r="D687" s="2"/>
      <c r="E687" s="10"/>
      <c r="F687" s="11"/>
      <c r="G687" s="2"/>
      <c r="H687" s="2"/>
      <c r="I687" s="2"/>
      <c r="J687" s="2"/>
      <c r="K687" s="12"/>
      <c r="L687" s="2"/>
      <c r="M687" s="2"/>
      <c r="N687" s="67"/>
    </row>
    <row r="688" spans="1:14" x14ac:dyDescent="0.35">
      <c r="A688" s="61">
        <v>684</v>
      </c>
      <c r="B688" s="2"/>
      <c r="C688" s="2"/>
      <c r="D688" s="2"/>
      <c r="E688" s="10"/>
      <c r="F688" s="11"/>
      <c r="G688" s="2"/>
      <c r="H688" s="2"/>
      <c r="I688" s="2"/>
      <c r="J688" s="2"/>
      <c r="K688" s="12"/>
      <c r="L688" s="2"/>
      <c r="M688" s="2"/>
      <c r="N688" s="67"/>
    </row>
    <row r="689" spans="1:14" x14ac:dyDescent="0.35">
      <c r="A689" s="61">
        <v>685</v>
      </c>
      <c r="B689" s="2"/>
      <c r="C689" s="2"/>
      <c r="D689" s="2"/>
      <c r="E689" s="10"/>
      <c r="F689" s="11"/>
      <c r="G689" s="2"/>
      <c r="H689" s="2"/>
      <c r="I689" s="2"/>
      <c r="J689" s="2"/>
      <c r="K689" s="12"/>
      <c r="L689" s="2"/>
      <c r="M689" s="2"/>
      <c r="N689" s="67"/>
    </row>
    <row r="690" spans="1:14" x14ac:dyDescent="0.35">
      <c r="A690" s="61">
        <v>686</v>
      </c>
      <c r="B690" s="2"/>
      <c r="C690" s="2"/>
      <c r="D690" s="2"/>
      <c r="E690" s="10"/>
      <c r="F690" s="11"/>
      <c r="G690" s="2"/>
      <c r="H690" s="2"/>
      <c r="I690" s="2"/>
      <c r="J690" s="2"/>
      <c r="K690" s="12"/>
      <c r="L690" s="2"/>
      <c r="M690" s="2"/>
      <c r="N690" s="67"/>
    </row>
    <row r="691" spans="1:14" x14ac:dyDescent="0.35">
      <c r="A691" s="61">
        <v>687</v>
      </c>
      <c r="B691" s="2"/>
      <c r="C691" s="2"/>
      <c r="D691" s="2"/>
      <c r="E691" s="10"/>
      <c r="F691" s="11"/>
      <c r="G691" s="2"/>
      <c r="H691" s="2"/>
      <c r="I691" s="2"/>
      <c r="J691" s="2"/>
      <c r="K691" s="12"/>
      <c r="L691" s="2"/>
      <c r="M691" s="2"/>
      <c r="N691" s="67"/>
    </row>
    <row r="692" spans="1:14" x14ac:dyDescent="0.35">
      <c r="A692" s="61">
        <v>688</v>
      </c>
      <c r="B692" s="2"/>
      <c r="C692" s="2"/>
      <c r="D692" s="2"/>
      <c r="E692" s="10"/>
      <c r="F692" s="11"/>
      <c r="G692" s="2"/>
      <c r="H692" s="2"/>
      <c r="I692" s="2"/>
      <c r="J692" s="2"/>
      <c r="K692" s="12"/>
      <c r="L692" s="2"/>
      <c r="M692" s="2"/>
      <c r="N692" s="67"/>
    </row>
    <row r="693" spans="1:14" x14ac:dyDescent="0.35">
      <c r="A693" s="61">
        <v>689</v>
      </c>
      <c r="B693" s="2"/>
      <c r="C693" s="2"/>
      <c r="D693" s="2"/>
      <c r="E693" s="10"/>
      <c r="F693" s="11"/>
      <c r="G693" s="2"/>
      <c r="H693" s="2"/>
      <c r="I693" s="2"/>
      <c r="J693" s="2"/>
      <c r="K693" s="12"/>
      <c r="L693" s="2"/>
      <c r="M693" s="2"/>
      <c r="N693" s="67"/>
    </row>
    <row r="694" spans="1:14" x14ac:dyDescent="0.35">
      <c r="A694" s="61">
        <v>690</v>
      </c>
      <c r="B694" s="2"/>
      <c r="C694" s="2"/>
      <c r="D694" s="2"/>
      <c r="E694" s="10"/>
      <c r="F694" s="11"/>
      <c r="G694" s="2"/>
      <c r="H694" s="2"/>
      <c r="I694" s="2"/>
      <c r="J694" s="2"/>
      <c r="K694" s="12"/>
      <c r="L694" s="2"/>
      <c r="M694" s="2"/>
      <c r="N694" s="67"/>
    </row>
    <row r="695" spans="1:14" x14ac:dyDescent="0.35">
      <c r="A695" s="61">
        <v>691</v>
      </c>
      <c r="B695" s="2"/>
      <c r="C695" s="2"/>
      <c r="D695" s="2"/>
      <c r="E695" s="10"/>
      <c r="F695" s="11"/>
      <c r="G695" s="2"/>
      <c r="H695" s="2"/>
      <c r="I695" s="2"/>
      <c r="J695" s="2"/>
      <c r="K695" s="12"/>
      <c r="L695" s="2"/>
      <c r="M695" s="2"/>
      <c r="N695" s="67"/>
    </row>
    <row r="696" spans="1:14" x14ac:dyDescent="0.35">
      <c r="A696" s="61">
        <v>692</v>
      </c>
      <c r="B696" s="2"/>
      <c r="C696" s="2"/>
      <c r="D696" s="2"/>
      <c r="E696" s="10"/>
      <c r="F696" s="11"/>
      <c r="G696" s="2"/>
      <c r="H696" s="2"/>
      <c r="I696" s="2"/>
      <c r="J696" s="2"/>
      <c r="K696" s="12"/>
      <c r="L696" s="2"/>
      <c r="M696" s="2"/>
      <c r="N696" s="67"/>
    </row>
    <row r="697" spans="1:14" x14ac:dyDescent="0.35">
      <c r="A697" s="61">
        <v>693</v>
      </c>
      <c r="B697" s="2"/>
      <c r="C697" s="2"/>
      <c r="D697" s="2"/>
      <c r="E697" s="10"/>
      <c r="F697" s="11"/>
      <c r="G697" s="2"/>
      <c r="H697" s="2"/>
      <c r="I697" s="2"/>
      <c r="J697" s="2"/>
      <c r="K697" s="12"/>
      <c r="L697" s="2"/>
      <c r="M697" s="2"/>
      <c r="N697" s="67"/>
    </row>
    <row r="698" spans="1:14" x14ac:dyDescent="0.35">
      <c r="A698" s="61">
        <v>694</v>
      </c>
      <c r="B698" s="2"/>
      <c r="C698" s="2"/>
      <c r="D698" s="2"/>
      <c r="E698" s="10"/>
      <c r="F698" s="11"/>
      <c r="G698" s="2"/>
      <c r="H698" s="2"/>
      <c r="I698" s="2"/>
      <c r="J698" s="2"/>
      <c r="K698" s="12"/>
      <c r="L698" s="2"/>
      <c r="M698" s="2"/>
      <c r="N698" s="67"/>
    </row>
    <row r="699" spans="1:14" x14ac:dyDescent="0.35">
      <c r="A699" s="61">
        <v>695</v>
      </c>
      <c r="B699" s="2"/>
      <c r="C699" s="2"/>
      <c r="D699" s="2"/>
      <c r="E699" s="10"/>
      <c r="F699" s="11"/>
      <c r="G699" s="2"/>
      <c r="H699" s="2"/>
      <c r="I699" s="2"/>
      <c r="J699" s="2"/>
      <c r="K699" s="12"/>
      <c r="L699" s="2"/>
      <c r="M699" s="2"/>
      <c r="N699" s="67"/>
    </row>
    <row r="700" spans="1:14" x14ac:dyDescent="0.35">
      <c r="A700" s="61">
        <v>696</v>
      </c>
      <c r="B700" s="2"/>
      <c r="C700" s="2"/>
      <c r="D700" s="2"/>
      <c r="E700" s="10"/>
      <c r="F700" s="11"/>
      <c r="G700" s="2"/>
      <c r="H700" s="2"/>
      <c r="I700" s="2"/>
      <c r="J700" s="2"/>
      <c r="K700" s="12"/>
      <c r="L700" s="2"/>
      <c r="M700" s="2"/>
      <c r="N700" s="67"/>
    </row>
    <row r="701" spans="1:14" x14ac:dyDescent="0.35">
      <c r="A701" s="61">
        <v>697</v>
      </c>
      <c r="B701" s="2"/>
      <c r="C701" s="2"/>
      <c r="D701" s="2"/>
      <c r="E701" s="10"/>
      <c r="F701" s="11"/>
      <c r="G701" s="2"/>
      <c r="H701" s="2"/>
      <c r="I701" s="2"/>
      <c r="J701" s="2"/>
      <c r="K701" s="12"/>
      <c r="L701" s="2"/>
      <c r="M701" s="2"/>
      <c r="N701" s="67"/>
    </row>
    <row r="702" spans="1:14" x14ac:dyDescent="0.35">
      <c r="A702" s="61">
        <v>698</v>
      </c>
      <c r="B702" s="2"/>
      <c r="C702" s="2"/>
      <c r="D702" s="2"/>
      <c r="E702" s="10"/>
      <c r="F702" s="11"/>
      <c r="G702" s="2"/>
      <c r="H702" s="2"/>
      <c r="I702" s="2"/>
      <c r="J702" s="2"/>
      <c r="K702" s="12"/>
      <c r="L702" s="2"/>
      <c r="M702" s="2"/>
      <c r="N702" s="67"/>
    </row>
    <row r="703" spans="1:14" x14ac:dyDescent="0.35">
      <c r="A703" s="61">
        <v>699</v>
      </c>
      <c r="B703" s="2"/>
      <c r="C703" s="2"/>
      <c r="D703" s="2"/>
      <c r="E703" s="10"/>
      <c r="F703" s="11"/>
      <c r="G703" s="2"/>
      <c r="H703" s="2"/>
      <c r="I703" s="2"/>
      <c r="J703" s="2"/>
      <c r="K703" s="12"/>
      <c r="L703" s="2"/>
      <c r="M703" s="2"/>
      <c r="N703" s="67"/>
    </row>
    <row r="704" spans="1:14" x14ac:dyDescent="0.35">
      <c r="A704" s="61">
        <v>700</v>
      </c>
      <c r="B704" s="2"/>
      <c r="C704" s="2"/>
      <c r="D704" s="2"/>
      <c r="E704" s="10"/>
      <c r="F704" s="11"/>
      <c r="G704" s="2"/>
      <c r="H704" s="2"/>
      <c r="I704" s="2"/>
      <c r="J704" s="2"/>
      <c r="K704" s="12"/>
      <c r="L704" s="2"/>
      <c r="M704" s="2"/>
      <c r="N704" s="67"/>
    </row>
    <row r="705" spans="1:14" x14ac:dyDescent="0.35">
      <c r="A705" s="61">
        <v>701</v>
      </c>
      <c r="B705" s="2"/>
      <c r="C705" s="2"/>
      <c r="D705" s="2"/>
      <c r="E705" s="10"/>
      <c r="F705" s="11"/>
      <c r="G705" s="2"/>
      <c r="H705" s="2"/>
      <c r="I705" s="2"/>
      <c r="J705" s="2"/>
      <c r="K705" s="12"/>
      <c r="L705" s="2"/>
      <c r="M705" s="2"/>
      <c r="N705" s="67"/>
    </row>
    <row r="706" spans="1:14" x14ac:dyDescent="0.35">
      <c r="A706" s="61">
        <v>702</v>
      </c>
      <c r="B706" s="2"/>
      <c r="C706" s="2"/>
      <c r="D706" s="2"/>
      <c r="E706" s="10"/>
      <c r="F706" s="11"/>
      <c r="G706" s="2"/>
      <c r="H706" s="2"/>
      <c r="I706" s="2"/>
      <c r="J706" s="2"/>
      <c r="K706" s="12"/>
      <c r="L706" s="2"/>
      <c r="M706" s="2"/>
      <c r="N706" s="67"/>
    </row>
    <row r="707" spans="1:14" x14ac:dyDescent="0.35">
      <c r="A707" s="61">
        <v>703</v>
      </c>
      <c r="B707" s="2"/>
      <c r="C707" s="2"/>
      <c r="D707" s="2"/>
      <c r="E707" s="10"/>
      <c r="F707" s="11"/>
      <c r="G707" s="2"/>
      <c r="H707" s="2"/>
      <c r="I707" s="2"/>
      <c r="J707" s="2"/>
      <c r="K707" s="12"/>
      <c r="L707" s="2"/>
      <c r="M707" s="2"/>
      <c r="N707" s="67"/>
    </row>
    <row r="708" spans="1:14" x14ac:dyDescent="0.35">
      <c r="A708" s="61">
        <v>704</v>
      </c>
      <c r="B708" s="2"/>
      <c r="C708" s="2"/>
      <c r="D708" s="2"/>
      <c r="E708" s="10"/>
      <c r="F708" s="11"/>
      <c r="G708" s="2"/>
      <c r="H708" s="2"/>
      <c r="I708" s="2"/>
      <c r="J708" s="2"/>
      <c r="K708" s="12"/>
      <c r="L708" s="2"/>
      <c r="M708" s="2"/>
      <c r="N708" s="67"/>
    </row>
    <row r="709" spans="1:14" x14ac:dyDescent="0.35">
      <c r="A709" s="61">
        <v>705</v>
      </c>
      <c r="B709" s="2"/>
      <c r="C709" s="2"/>
      <c r="D709" s="2"/>
      <c r="E709" s="10"/>
      <c r="F709" s="11"/>
      <c r="G709" s="2"/>
      <c r="H709" s="2"/>
      <c r="I709" s="2"/>
      <c r="J709" s="2"/>
      <c r="K709" s="12"/>
      <c r="L709" s="2"/>
      <c r="M709" s="2"/>
      <c r="N709" s="67"/>
    </row>
    <row r="710" spans="1:14" x14ac:dyDescent="0.35">
      <c r="A710" s="61">
        <v>706</v>
      </c>
      <c r="B710" s="2"/>
      <c r="C710" s="2"/>
      <c r="D710" s="2"/>
      <c r="E710" s="10"/>
      <c r="F710" s="11"/>
      <c r="G710" s="2"/>
      <c r="H710" s="2"/>
      <c r="I710" s="2"/>
      <c r="J710" s="2"/>
      <c r="K710" s="12"/>
      <c r="L710" s="2"/>
      <c r="M710" s="2"/>
      <c r="N710" s="67"/>
    </row>
    <row r="711" spans="1:14" x14ac:dyDescent="0.35">
      <c r="A711" s="61">
        <v>707</v>
      </c>
      <c r="B711" s="2"/>
      <c r="C711" s="2"/>
      <c r="D711" s="2"/>
      <c r="E711" s="10"/>
      <c r="F711" s="11"/>
      <c r="G711" s="2"/>
      <c r="H711" s="2"/>
      <c r="I711" s="2"/>
      <c r="J711" s="2"/>
      <c r="K711" s="12"/>
      <c r="L711" s="2"/>
      <c r="M711" s="2"/>
      <c r="N711" s="67"/>
    </row>
    <row r="712" spans="1:14" x14ac:dyDescent="0.35">
      <c r="A712" s="61">
        <v>708</v>
      </c>
      <c r="B712" s="2"/>
      <c r="C712" s="2"/>
      <c r="D712" s="2"/>
      <c r="E712" s="10"/>
      <c r="F712" s="11"/>
      <c r="G712" s="2"/>
      <c r="H712" s="2"/>
      <c r="I712" s="2"/>
      <c r="J712" s="2"/>
      <c r="K712" s="12"/>
      <c r="L712" s="2"/>
      <c r="M712" s="2"/>
      <c r="N712" s="67"/>
    </row>
    <row r="713" spans="1:14" x14ac:dyDescent="0.35">
      <c r="A713" s="61">
        <v>709</v>
      </c>
      <c r="B713" s="2"/>
      <c r="C713" s="2"/>
      <c r="D713" s="2"/>
      <c r="E713" s="10"/>
      <c r="F713" s="11"/>
      <c r="G713" s="2"/>
      <c r="H713" s="2"/>
      <c r="I713" s="2"/>
      <c r="J713" s="2"/>
      <c r="K713" s="12"/>
      <c r="L713" s="2"/>
      <c r="M713" s="2"/>
      <c r="N713" s="67"/>
    </row>
    <row r="714" spans="1:14" x14ac:dyDescent="0.35">
      <c r="A714" s="61">
        <v>710</v>
      </c>
      <c r="B714" s="2"/>
      <c r="C714" s="2"/>
      <c r="D714" s="2"/>
      <c r="E714" s="10"/>
      <c r="F714" s="11"/>
      <c r="G714" s="2"/>
      <c r="H714" s="2"/>
      <c r="I714" s="2"/>
      <c r="J714" s="2"/>
      <c r="K714" s="12"/>
      <c r="L714" s="2"/>
      <c r="M714" s="2"/>
      <c r="N714" s="67"/>
    </row>
    <row r="715" spans="1:14" x14ac:dyDescent="0.35">
      <c r="A715" s="61">
        <v>711</v>
      </c>
      <c r="B715" s="2"/>
      <c r="C715" s="2"/>
      <c r="D715" s="2"/>
      <c r="E715" s="10"/>
      <c r="F715" s="11"/>
      <c r="G715" s="2"/>
      <c r="H715" s="2"/>
      <c r="I715" s="2"/>
      <c r="J715" s="2"/>
      <c r="K715" s="12"/>
      <c r="L715" s="2"/>
      <c r="M715" s="2"/>
      <c r="N715" s="67"/>
    </row>
    <row r="716" spans="1:14" x14ac:dyDescent="0.35">
      <c r="A716" s="61">
        <v>712</v>
      </c>
      <c r="B716" s="2"/>
      <c r="C716" s="2"/>
      <c r="D716" s="2"/>
      <c r="E716" s="10"/>
      <c r="F716" s="11"/>
      <c r="G716" s="2"/>
      <c r="H716" s="2"/>
      <c r="I716" s="2"/>
      <c r="J716" s="2"/>
      <c r="K716" s="12"/>
      <c r="L716" s="2"/>
      <c r="M716" s="2"/>
      <c r="N716" s="67"/>
    </row>
    <row r="717" spans="1:14" x14ac:dyDescent="0.35">
      <c r="A717" s="61">
        <v>713</v>
      </c>
      <c r="B717" s="2"/>
      <c r="C717" s="2"/>
      <c r="D717" s="2"/>
      <c r="E717" s="10"/>
      <c r="F717" s="11"/>
      <c r="G717" s="2"/>
      <c r="H717" s="2"/>
      <c r="I717" s="2"/>
      <c r="J717" s="2"/>
      <c r="K717" s="12"/>
      <c r="L717" s="2"/>
      <c r="M717" s="2"/>
      <c r="N717" s="67"/>
    </row>
    <row r="718" spans="1:14" x14ac:dyDescent="0.35">
      <c r="A718" s="61">
        <v>714</v>
      </c>
      <c r="B718" s="2"/>
      <c r="C718" s="2"/>
      <c r="D718" s="2"/>
      <c r="E718" s="10"/>
      <c r="F718" s="11"/>
      <c r="G718" s="2"/>
      <c r="H718" s="2"/>
      <c r="I718" s="2"/>
      <c r="J718" s="2"/>
      <c r="K718" s="12"/>
      <c r="L718" s="2"/>
      <c r="M718" s="2"/>
      <c r="N718" s="67"/>
    </row>
    <row r="719" spans="1:14" x14ac:dyDescent="0.35">
      <c r="A719" s="61">
        <v>715</v>
      </c>
      <c r="B719" s="2"/>
      <c r="C719" s="2"/>
      <c r="D719" s="2"/>
      <c r="E719" s="10"/>
      <c r="F719" s="11"/>
      <c r="G719" s="2"/>
      <c r="H719" s="2"/>
      <c r="I719" s="2"/>
      <c r="J719" s="2"/>
      <c r="K719" s="12"/>
      <c r="L719" s="2"/>
      <c r="M719" s="2"/>
      <c r="N719" s="67"/>
    </row>
    <row r="720" spans="1:14" x14ac:dyDescent="0.35">
      <c r="A720" s="61">
        <v>716</v>
      </c>
      <c r="B720" s="2"/>
      <c r="C720" s="2"/>
      <c r="D720" s="2"/>
      <c r="E720" s="10"/>
      <c r="F720" s="11"/>
      <c r="G720" s="2"/>
      <c r="H720" s="2"/>
      <c r="I720" s="2"/>
      <c r="J720" s="2"/>
      <c r="K720" s="12"/>
      <c r="L720" s="2"/>
      <c r="M720" s="2"/>
      <c r="N720" s="67"/>
    </row>
    <row r="721" spans="1:14" x14ac:dyDescent="0.35">
      <c r="A721" s="61">
        <v>717</v>
      </c>
      <c r="B721" s="2"/>
      <c r="C721" s="2"/>
      <c r="D721" s="2"/>
      <c r="E721" s="10"/>
      <c r="F721" s="11"/>
      <c r="G721" s="2"/>
      <c r="H721" s="2"/>
      <c r="I721" s="2"/>
      <c r="J721" s="2"/>
      <c r="K721" s="12"/>
      <c r="L721" s="2"/>
      <c r="M721" s="2"/>
      <c r="N721" s="67"/>
    </row>
    <row r="722" spans="1:14" x14ac:dyDescent="0.35">
      <c r="A722" s="61">
        <v>718</v>
      </c>
      <c r="B722" s="2"/>
      <c r="C722" s="2"/>
      <c r="D722" s="2"/>
      <c r="E722" s="10"/>
      <c r="F722" s="11"/>
      <c r="G722" s="2"/>
      <c r="H722" s="2"/>
      <c r="I722" s="2"/>
      <c r="J722" s="2"/>
      <c r="K722" s="12"/>
      <c r="L722" s="2"/>
      <c r="M722" s="2"/>
      <c r="N722" s="67"/>
    </row>
    <row r="723" spans="1:14" x14ac:dyDescent="0.35">
      <c r="A723" s="61">
        <v>719</v>
      </c>
      <c r="B723" s="2"/>
      <c r="C723" s="2"/>
      <c r="D723" s="2"/>
      <c r="E723" s="10"/>
      <c r="F723" s="11"/>
      <c r="G723" s="2"/>
      <c r="H723" s="2"/>
      <c r="I723" s="2"/>
      <c r="J723" s="2"/>
      <c r="K723" s="12"/>
      <c r="L723" s="2"/>
      <c r="M723" s="2"/>
      <c r="N723" s="67"/>
    </row>
    <row r="724" spans="1:14" x14ac:dyDescent="0.35">
      <c r="A724" s="61">
        <v>720</v>
      </c>
      <c r="B724" s="2"/>
      <c r="C724" s="2"/>
      <c r="D724" s="2"/>
      <c r="E724" s="10"/>
      <c r="F724" s="11"/>
      <c r="G724" s="2"/>
      <c r="H724" s="2"/>
      <c r="I724" s="2"/>
      <c r="J724" s="2"/>
      <c r="K724" s="12"/>
      <c r="L724" s="2"/>
      <c r="M724" s="2"/>
      <c r="N724" s="67"/>
    </row>
    <row r="725" spans="1:14" x14ac:dyDescent="0.35">
      <c r="A725" s="61">
        <v>721</v>
      </c>
      <c r="B725" s="2"/>
      <c r="C725" s="2"/>
      <c r="D725" s="2"/>
      <c r="E725" s="10"/>
      <c r="F725" s="11"/>
      <c r="G725" s="2"/>
      <c r="H725" s="2"/>
      <c r="I725" s="2"/>
      <c r="J725" s="2"/>
      <c r="K725" s="12"/>
      <c r="L725" s="2"/>
      <c r="M725" s="2"/>
      <c r="N725" s="67"/>
    </row>
    <row r="726" spans="1:14" x14ac:dyDescent="0.35">
      <c r="A726" s="61">
        <v>722</v>
      </c>
      <c r="B726" s="2"/>
      <c r="C726" s="2"/>
      <c r="D726" s="2"/>
      <c r="E726" s="10"/>
      <c r="F726" s="11"/>
      <c r="G726" s="2"/>
      <c r="H726" s="2"/>
      <c r="I726" s="2"/>
      <c r="J726" s="2"/>
      <c r="K726" s="12"/>
      <c r="L726" s="2"/>
      <c r="M726" s="2"/>
      <c r="N726" s="67"/>
    </row>
    <row r="727" spans="1:14" x14ac:dyDescent="0.35">
      <c r="A727" s="61">
        <v>723</v>
      </c>
      <c r="B727" s="2"/>
      <c r="C727" s="2"/>
      <c r="D727" s="2"/>
      <c r="E727" s="10"/>
      <c r="F727" s="11"/>
      <c r="G727" s="2"/>
      <c r="H727" s="2"/>
      <c r="I727" s="2"/>
      <c r="J727" s="2"/>
      <c r="K727" s="12"/>
      <c r="L727" s="2"/>
      <c r="M727" s="2"/>
      <c r="N727" s="67"/>
    </row>
    <row r="728" spans="1:14" x14ac:dyDescent="0.35">
      <c r="A728" s="61">
        <v>724</v>
      </c>
      <c r="B728" s="2"/>
      <c r="C728" s="2"/>
      <c r="D728" s="2"/>
      <c r="E728" s="10"/>
      <c r="F728" s="11"/>
      <c r="G728" s="2"/>
      <c r="H728" s="2"/>
      <c r="I728" s="2"/>
      <c r="J728" s="2"/>
      <c r="K728" s="12"/>
      <c r="L728" s="2"/>
      <c r="M728" s="2"/>
      <c r="N728" s="67"/>
    </row>
    <row r="729" spans="1:14" x14ac:dyDescent="0.35">
      <c r="A729" s="61">
        <v>725</v>
      </c>
      <c r="B729" s="2"/>
      <c r="C729" s="2"/>
      <c r="D729" s="2"/>
      <c r="E729" s="10"/>
      <c r="F729" s="11"/>
      <c r="G729" s="2"/>
      <c r="H729" s="2"/>
      <c r="I729" s="2"/>
      <c r="J729" s="2"/>
      <c r="K729" s="12"/>
      <c r="L729" s="2"/>
      <c r="M729" s="2"/>
      <c r="N729" s="67"/>
    </row>
    <row r="730" spans="1:14" x14ac:dyDescent="0.35">
      <c r="A730" s="61">
        <v>726</v>
      </c>
      <c r="B730" s="2"/>
      <c r="C730" s="2"/>
      <c r="D730" s="2"/>
      <c r="E730" s="10"/>
      <c r="F730" s="11"/>
      <c r="G730" s="2"/>
      <c r="H730" s="2"/>
      <c r="I730" s="2"/>
      <c r="J730" s="2"/>
      <c r="K730" s="12"/>
      <c r="L730" s="2"/>
      <c r="M730" s="2"/>
      <c r="N730" s="67"/>
    </row>
    <row r="731" spans="1:14" x14ac:dyDescent="0.35">
      <c r="A731" s="61">
        <v>727</v>
      </c>
      <c r="B731" s="2"/>
      <c r="C731" s="2"/>
      <c r="D731" s="2"/>
      <c r="E731" s="10"/>
      <c r="F731" s="11"/>
      <c r="G731" s="2"/>
      <c r="H731" s="2"/>
      <c r="I731" s="2"/>
      <c r="J731" s="2"/>
      <c r="K731" s="12"/>
      <c r="L731" s="2"/>
      <c r="M731" s="2"/>
      <c r="N731" s="67"/>
    </row>
    <row r="732" spans="1:14" x14ac:dyDescent="0.35">
      <c r="A732" s="61">
        <v>728</v>
      </c>
      <c r="B732" s="2"/>
      <c r="C732" s="2"/>
      <c r="D732" s="2"/>
      <c r="E732" s="10"/>
      <c r="F732" s="11"/>
      <c r="G732" s="2"/>
      <c r="H732" s="2"/>
      <c r="I732" s="2"/>
      <c r="J732" s="2"/>
      <c r="K732" s="12"/>
      <c r="L732" s="2"/>
      <c r="M732" s="2"/>
      <c r="N732" s="67"/>
    </row>
    <row r="733" spans="1:14" x14ac:dyDescent="0.35">
      <c r="A733" s="61">
        <v>729</v>
      </c>
      <c r="B733" s="2"/>
      <c r="C733" s="2"/>
      <c r="D733" s="2"/>
      <c r="E733" s="10"/>
      <c r="F733" s="11"/>
      <c r="G733" s="2"/>
      <c r="H733" s="2"/>
      <c r="I733" s="2"/>
      <c r="J733" s="2"/>
      <c r="K733" s="12"/>
      <c r="L733" s="2"/>
      <c r="M733" s="2"/>
      <c r="N733" s="67"/>
    </row>
    <row r="734" spans="1:14" x14ac:dyDescent="0.35">
      <c r="A734" s="61">
        <v>730</v>
      </c>
      <c r="B734" s="2"/>
      <c r="C734" s="2"/>
      <c r="D734" s="2"/>
      <c r="E734" s="10"/>
      <c r="F734" s="11"/>
      <c r="G734" s="2"/>
      <c r="H734" s="2"/>
      <c r="I734" s="2"/>
      <c r="J734" s="2"/>
      <c r="K734" s="12"/>
      <c r="L734" s="2"/>
      <c r="M734" s="2"/>
      <c r="N734" s="67"/>
    </row>
    <row r="735" spans="1:14" x14ac:dyDescent="0.35">
      <c r="A735" s="61">
        <v>731</v>
      </c>
      <c r="B735" s="2"/>
      <c r="C735" s="2"/>
      <c r="D735" s="2"/>
      <c r="E735" s="10"/>
      <c r="F735" s="11"/>
      <c r="G735" s="2"/>
      <c r="H735" s="2"/>
      <c r="I735" s="2"/>
      <c r="J735" s="2"/>
      <c r="K735" s="12"/>
      <c r="L735" s="2"/>
      <c r="M735" s="2"/>
      <c r="N735" s="67"/>
    </row>
    <row r="736" spans="1:14" x14ac:dyDescent="0.35">
      <c r="A736" s="61">
        <v>732</v>
      </c>
      <c r="B736" s="2"/>
      <c r="C736" s="2"/>
      <c r="D736" s="2"/>
      <c r="E736" s="10"/>
      <c r="F736" s="11"/>
      <c r="G736" s="2"/>
      <c r="H736" s="2"/>
      <c r="I736" s="2"/>
      <c r="J736" s="2"/>
      <c r="K736" s="12"/>
      <c r="L736" s="2"/>
      <c r="M736" s="2"/>
      <c r="N736" s="67"/>
    </row>
    <row r="737" spans="1:14" x14ac:dyDescent="0.35">
      <c r="A737" s="61">
        <v>733</v>
      </c>
      <c r="B737" s="2"/>
      <c r="C737" s="2"/>
      <c r="D737" s="2"/>
      <c r="E737" s="10"/>
      <c r="F737" s="11"/>
      <c r="G737" s="2"/>
      <c r="H737" s="2"/>
      <c r="I737" s="2"/>
      <c r="J737" s="2"/>
      <c r="K737" s="12"/>
      <c r="L737" s="2"/>
      <c r="M737" s="2"/>
      <c r="N737" s="67"/>
    </row>
    <row r="738" spans="1:14" x14ac:dyDescent="0.35">
      <c r="A738" s="61">
        <v>734</v>
      </c>
      <c r="B738" s="2"/>
      <c r="C738" s="2"/>
      <c r="D738" s="2"/>
      <c r="E738" s="10"/>
      <c r="F738" s="11"/>
      <c r="G738" s="2"/>
      <c r="H738" s="2"/>
      <c r="I738" s="2"/>
      <c r="J738" s="2"/>
      <c r="K738" s="12"/>
      <c r="L738" s="2"/>
      <c r="M738" s="2"/>
      <c r="N738" s="67"/>
    </row>
    <row r="739" spans="1:14" x14ac:dyDescent="0.35">
      <c r="A739" s="61">
        <v>735</v>
      </c>
      <c r="B739" s="2"/>
      <c r="C739" s="2"/>
      <c r="D739" s="2"/>
      <c r="E739" s="10"/>
      <c r="F739" s="11"/>
      <c r="G739" s="2"/>
      <c r="H739" s="2"/>
      <c r="I739" s="2"/>
      <c r="J739" s="2"/>
      <c r="K739" s="12"/>
      <c r="L739" s="2"/>
      <c r="M739" s="2"/>
      <c r="N739" s="67"/>
    </row>
    <row r="740" spans="1:14" x14ac:dyDescent="0.35">
      <c r="A740" s="61">
        <v>736</v>
      </c>
      <c r="B740" s="2"/>
      <c r="C740" s="2"/>
      <c r="D740" s="2"/>
      <c r="E740" s="10"/>
      <c r="F740" s="11"/>
      <c r="G740" s="2"/>
      <c r="H740" s="2"/>
      <c r="I740" s="2"/>
      <c r="J740" s="2"/>
      <c r="K740" s="12"/>
      <c r="L740" s="2"/>
      <c r="M740" s="2"/>
      <c r="N740" s="67"/>
    </row>
    <row r="741" spans="1:14" x14ac:dyDescent="0.35">
      <c r="A741" s="61">
        <v>737</v>
      </c>
      <c r="B741" s="2"/>
      <c r="C741" s="2"/>
      <c r="D741" s="2"/>
      <c r="E741" s="10"/>
      <c r="F741" s="11"/>
      <c r="G741" s="2"/>
      <c r="H741" s="2"/>
      <c r="I741" s="2"/>
      <c r="J741" s="2"/>
      <c r="K741" s="12"/>
      <c r="L741" s="2"/>
      <c r="M741" s="2"/>
      <c r="N741" s="67"/>
    </row>
    <row r="742" spans="1:14" x14ac:dyDescent="0.35">
      <c r="A742" s="61">
        <v>738</v>
      </c>
      <c r="B742" s="2"/>
      <c r="C742" s="2"/>
      <c r="D742" s="2"/>
      <c r="E742" s="10"/>
      <c r="F742" s="11"/>
      <c r="G742" s="2"/>
      <c r="H742" s="2"/>
      <c r="I742" s="2"/>
      <c r="J742" s="2"/>
      <c r="K742" s="12"/>
      <c r="L742" s="2"/>
      <c r="M742" s="2"/>
      <c r="N742" s="67"/>
    </row>
    <row r="743" spans="1:14" x14ac:dyDescent="0.35">
      <c r="A743" s="61">
        <v>739</v>
      </c>
      <c r="B743" s="2"/>
      <c r="C743" s="2"/>
      <c r="D743" s="2"/>
      <c r="E743" s="10"/>
      <c r="F743" s="11"/>
      <c r="G743" s="2"/>
      <c r="H743" s="2"/>
      <c r="I743" s="2"/>
      <c r="J743" s="2"/>
      <c r="K743" s="12"/>
      <c r="L743" s="2"/>
      <c r="M743" s="2"/>
      <c r="N743" s="67"/>
    </row>
    <row r="744" spans="1:14" x14ac:dyDescent="0.35">
      <c r="A744" s="61">
        <v>740</v>
      </c>
      <c r="B744" s="2"/>
      <c r="C744" s="2"/>
      <c r="D744" s="2"/>
      <c r="E744" s="10"/>
      <c r="F744" s="11"/>
      <c r="G744" s="2"/>
      <c r="H744" s="2"/>
      <c r="I744" s="2"/>
      <c r="J744" s="2"/>
      <c r="K744" s="12"/>
      <c r="L744" s="2"/>
      <c r="M744" s="2"/>
      <c r="N744" s="67"/>
    </row>
    <row r="745" spans="1:14" x14ac:dyDescent="0.35">
      <c r="A745" s="61">
        <v>741</v>
      </c>
      <c r="B745" s="2"/>
      <c r="C745" s="2"/>
      <c r="D745" s="2"/>
      <c r="E745" s="10"/>
      <c r="F745" s="11"/>
      <c r="G745" s="2"/>
      <c r="H745" s="2"/>
      <c r="I745" s="2"/>
      <c r="J745" s="2"/>
      <c r="K745" s="12"/>
      <c r="L745" s="2"/>
      <c r="M745" s="2"/>
      <c r="N745" s="67"/>
    </row>
    <row r="746" spans="1:14" x14ac:dyDescent="0.35">
      <c r="A746" s="61">
        <v>742</v>
      </c>
      <c r="B746" s="2"/>
      <c r="C746" s="2"/>
      <c r="D746" s="2"/>
      <c r="E746" s="10"/>
      <c r="F746" s="11"/>
      <c r="G746" s="2"/>
      <c r="H746" s="2"/>
      <c r="I746" s="2"/>
      <c r="J746" s="2"/>
      <c r="K746" s="12"/>
      <c r="L746" s="2"/>
      <c r="M746" s="2"/>
      <c r="N746" s="67"/>
    </row>
    <row r="747" spans="1:14" x14ac:dyDescent="0.35">
      <c r="A747" s="61">
        <v>743</v>
      </c>
      <c r="B747" s="2"/>
      <c r="C747" s="2"/>
      <c r="D747" s="2"/>
      <c r="E747" s="10"/>
      <c r="F747" s="11"/>
      <c r="G747" s="2"/>
      <c r="H747" s="2"/>
      <c r="I747" s="2"/>
      <c r="J747" s="2"/>
      <c r="K747" s="12"/>
      <c r="L747" s="2"/>
      <c r="M747" s="2"/>
      <c r="N747" s="67"/>
    </row>
    <row r="748" spans="1:14" x14ac:dyDescent="0.35">
      <c r="A748" s="61">
        <v>744</v>
      </c>
      <c r="B748" s="2"/>
      <c r="C748" s="2"/>
      <c r="D748" s="2"/>
      <c r="E748" s="10"/>
      <c r="F748" s="11"/>
      <c r="G748" s="2"/>
      <c r="H748" s="2"/>
      <c r="I748" s="2"/>
      <c r="J748" s="2"/>
      <c r="K748" s="12"/>
      <c r="L748" s="2"/>
      <c r="M748" s="2"/>
      <c r="N748" s="67"/>
    </row>
    <row r="749" spans="1:14" x14ac:dyDescent="0.35">
      <c r="A749" s="61">
        <v>745</v>
      </c>
      <c r="B749" s="2"/>
      <c r="C749" s="2"/>
      <c r="D749" s="2"/>
      <c r="E749" s="10"/>
      <c r="F749" s="11"/>
      <c r="G749" s="2"/>
      <c r="H749" s="2"/>
      <c r="I749" s="2"/>
      <c r="J749" s="2"/>
      <c r="K749" s="12"/>
      <c r="L749" s="2"/>
      <c r="M749" s="2"/>
      <c r="N749" s="67"/>
    </row>
    <row r="750" spans="1:14" x14ac:dyDescent="0.35">
      <c r="A750" s="61">
        <v>746</v>
      </c>
      <c r="B750" s="2"/>
      <c r="C750" s="2"/>
      <c r="D750" s="2"/>
      <c r="E750" s="10"/>
      <c r="F750" s="11"/>
      <c r="G750" s="2"/>
      <c r="H750" s="2"/>
      <c r="I750" s="2"/>
      <c r="J750" s="2"/>
      <c r="K750" s="12"/>
      <c r="L750" s="2"/>
      <c r="M750" s="2"/>
      <c r="N750" s="67"/>
    </row>
    <row r="751" spans="1:14" x14ac:dyDescent="0.35">
      <c r="A751" s="61">
        <v>747</v>
      </c>
      <c r="B751" s="2"/>
      <c r="C751" s="2"/>
      <c r="D751" s="2"/>
      <c r="E751" s="10"/>
      <c r="F751" s="11"/>
      <c r="G751" s="2"/>
      <c r="H751" s="2"/>
      <c r="I751" s="2"/>
      <c r="J751" s="2"/>
      <c r="K751" s="12"/>
      <c r="L751" s="2"/>
      <c r="M751" s="2"/>
      <c r="N751" s="67"/>
    </row>
    <row r="752" spans="1:14" x14ac:dyDescent="0.35">
      <c r="A752" s="61">
        <v>748</v>
      </c>
      <c r="B752" s="2"/>
      <c r="C752" s="2"/>
      <c r="D752" s="2"/>
      <c r="E752" s="10"/>
      <c r="F752" s="11"/>
      <c r="G752" s="2"/>
      <c r="H752" s="2"/>
      <c r="I752" s="2"/>
      <c r="J752" s="2"/>
      <c r="K752" s="12"/>
      <c r="L752" s="2"/>
      <c r="M752" s="2"/>
      <c r="N752" s="67"/>
    </row>
    <row r="753" spans="1:14" x14ac:dyDescent="0.35">
      <c r="A753" s="61">
        <v>749</v>
      </c>
      <c r="B753" s="2"/>
      <c r="C753" s="2"/>
      <c r="D753" s="2"/>
      <c r="E753" s="10"/>
      <c r="F753" s="11"/>
      <c r="G753" s="2"/>
      <c r="H753" s="2"/>
      <c r="I753" s="2"/>
      <c r="J753" s="2"/>
      <c r="K753" s="12"/>
      <c r="L753" s="2"/>
      <c r="M753" s="2"/>
      <c r="N753" s="67"/>
    </row>
    <row r="754" spans="1:14" x14ac:dyDescent="0.35">
      <c r="A754" s="61">
        <v>750</v>
      </c>
      <c r="B754" s="2"/>
      <c r="C754" s="2"/>
      <c r="D754" s="2"/>
      <c r="E754" s="10"/>
      <c r="F754" s="11"/>
      <c r="G754" s="2"/>
      <c r="H754" s="2"/>
      <c r="I754" s="2"/>
      <c r="J754" s="2"/>
      <c r="K754" s="12"/>
      <c r="L754" s="2"/>
      <c r="M754" s="2"/>
      <c r="N754" s="67"/>
    </row>
    <row r="755" spans="1:14" x14ac:dyDescent="0.35">
      <c r="A755" s="61">
        <v>751</v>
      </c>
      <c r="B755" s="2"/>
      <c r="C755" s="2"/>
      <c r="D755" s="2"/>
      <c r="E755" s="10"/>
      <c r="F755" s="11"/>
      <c r="G755" s="2"/>
      <c r="H755" s="2"/>
      <c r="I755" s="2"/>
      <c r="J755" s="2"/>
      <c r="K755" s="12"/>
      <c r="L755" s="2"/>
      <c r="M755" s="2"/>
      <c r="N755" s="67"/>
    </row>
    <row r="756" spans="1:14" x14ac:dyDescent="0.35">
      <c r="A756" s="61">
        <v>752</v>
      </c>
      <c r="B756" s="2"/>
      <c r="C756" s="2"/>
      <c r="D756" s="2"/>
      <c r="E756" s="10"/>
      <c r="F756" s="11"/>
      <c r="G756" s="2"/>
      <c r="H756" s="2"/>
      <c r="I756" s="2"/>
      <c r="J756" s="2"/>
      <c r="K756" s="12"/>
      <c r="L756" s="2"/>
      <c r="M756" s="2"/>
      <c r="N756" s="67"/>
    </row>
    <row r="757" spans="1:14" x14ac:dyDescent="0.35">
      <c r="A757" s="61">
        <v>753</v>
      </c>
      <c r="B757" s="2"/>
      <c r="C757" s="2"/>
      <c r="D757" s="2"/>
      <c r="E757" s="10"/>
      <c r="F757" s="11"/>
      <c r="G757" s="2"/>
      <c r="H757" s="2"/>
      <c r="I757" s="2"/>
      <c r="J757" s="2"/>
      <c r="K757" s="12"/>
      <c r="L757" s="2"/>
      <c r="M757" s="2"/>
      <c r="N757" s="67"/>
    </row>
    <row r="758" spans="1:14" x14ac:dyDescent="0.35">
      <c r="A758" s="61">
        <v>754</v>
      </c>
      <c r="B758" s="2"/>
      <c r="C758" s="2"/>
      <c r="D758" s="2"/>
      <c r="E758" s="10"/>
      <c r="F758" s="11"/>
      <c r="G758" s="2"/>
      <c r="H758" s="2"/>
      <c r="I758" s="2"/>
      <c r="J758" s="2"/>
      <c r="K758" s="12"/>
      <c r="L758" s="2"/>
      <c r="M758" s="2"/>
      <c r="N758" s="67"/>
    </row>
    <row r="759" spans="1:14" x14ac:dyDescent="0.35">
      <c r="A759" s="61">
        <v>755</v>
      </c>
      <c r="B759" s="2"/>
      <c r="C759" s="2"/>
      <c r="D759" s="2"/>
      <c r="E759" s="10"/>
      <c r="F759" s="11"/>
      <c r="G759" s="2"/>
      <c r="H759" s="2"/>
      <c r="I759" s="2"/>
      <c r="J759" s="2"/>
      <c r="K759" s="12"/>
      <c r="L759" s="2"/>
      <c r="M759" s="2"/>
      <c r="N759" s="67"/>
    </row>
    <row r="760" spans="1:14" x14ac:dyDescent="0.35">
      <c r="A760" s="61">
        <v>756</v>
      </c>
      <c r="B760" s="2"/>
      <c r="C760" s="2"/>
      <c r="D760" s="2"/>
      <c r="E760" s="10"/>
      <c r="F760" s="11"/>
      <c r="G760" s="2"/>
      <c r="H760" s="2"/>
      <c r="I760" s="2"/>
      <c r="J760" s="2"/>
      <c r="K760" s="12"/>
      <c r="L760" s="2"/>
      <c r="M760" s="2"/>
      <c r="N760" s="67"/>
    </row>
    <row r="761" spans="1:14" x14ac:dyDescent="0.35">
      <c r="A761" s="61">
        <v>757</v>
      </c>
      <c r="B761" s="2"/>
      <c r="C761" s="2"/>
      <c r="D761" s="2"/>
      <c r="E761" s="10"/>
      <c r="F761" s="11"/>
      <c r="G761" s="2"/>
      <c r="H761" s="2"/>
      <c r="I761" s="2"/>
      <c r="J761" s="2"/>
      <c r="K761" s="12"/>
      <c r="L761" s="2"/>
      <c r="M761" s="2"/>
      <c r="N761" s="67"/>
    </row>
    <row r="762" spans="1:14" x14ac:dyDescent="0.35">
      <c r="A762" s="61">
        <v>758</v>
      </c>
      <c r="B762" s="2"/>
      <c r="C762" s="2"/>
      <c r="D762" s="2"/>
      <c r="E762" s="10"/>
      <c r="F762" s="11"/>
      <c r="G762" s="2"/>
      <c r="H762" s="2"/>
      <c r="I762" s="2"/>
      <c r="J762" s="2"/>
      <c r="K762" s="12"/>
      <c r="L762" s="2"/>
      <c r="M762" s="2"/>
      <c r="N762" s="67"/>
    </row>
    <row r="763" spans="1:14" x14ac:dyDescent="0.35">
      <c r="A763" s="61">
        <v>759</v>
      </c>
      <c r="B763" s="2"/>
      <c r="C763" s="2"/>
      <c r="D763" s="2"/>
      <c r="E763" s="10"/>
      <c r="F763" s="11"/>
      <c r="G763" s="2"/>
      <c r="H763" s="2"/>
      <c r="I763" s="2"/>
      <c r="J763" s="2"/>
      <c r="K763" s="12"/>
      <c r="L763" s="2"/>
      <c r="M763" s="2"/>
      <c r="N763" s="67"/>
    </row>
    <row r="764" spans="1:14" x14ac:dyDescent="0.35">
      <c r="A764" s="61">
        <v>760</v>
      </c>
      <c r="B764" s="2"/>
      <c r="C764" s="2"/>
      <c r="D764" s="2"/>
      <c r="E764" s="10"/>
      <c r="F764" s="11"/>
      <c r="G764" s="2"/>
      <c r="H764" s="2"/>
      <c r="I764" s="2"/>
      <c r="J764" s="2"/>
      <c r="K764" s="12"/>
      <c r="L764" s="2"/>
      <c r="M764" s="2"/>
      <c r="N764" s="67"/>
    </row>
    <row r="765" spans="1:14" x14ac:dyDescent="0.35">
      <c r="A765" s="61">
        <v>761</v>
      </c>
      <c r="B765" s="2"/>
      <c r="C765" s="2"/>
      <c r="D765" s="2"/>
      <c r="E765" s="10"/>
      <c r="F765" s="11"/>
      <c r="G765" s="2"/>
      <c r="H765" s="2"/>
      <c r="I765" s="2"/>
      <c r="J765" s="2"/>
      <c r="K765" s="12"/>
      <c r="L765" s="2"/>
      <c r="M765" s="2"/>
      <c r="N765" s="67"/>
    </row>
    <row r="766" spans="1:14" x14ac:dyDescent="0.35">
      <c r="A766" s="61">
        <v>762</v>
      </c>
      <c r="B766" s="2"/>
      <c r="C766" s="2"/>
      <c r="D766" s="2"/>
      <c r="E766" s="10"/>
      <c r="F766" s="11"/>
      <c r="G766" s="2"/>
      <c r="H766" s="2"/>
      <c r="I766" s="2"/>
      <c r="J766" s="2"/>
      <c r="K766" s="12"/>
      <c r="L766" s="2"/>
      <c r="M766" s="2"/>
      <c r="N766" s="67"/>
    </row>
    <row r="767" spans="1:14" x14ac:dyDescent="0.35">
      <c r="A767" s="61">
        <v>763</v>
      </c>
      <c r="B767" s="2"/>
      <c r="C767" s="2"/>
      <c r="D767" s="2"/>
      <c r="E767" s="10"/>
      <c r="F767" s="11"/>
      <c r="G767" s="2"/>
      <c r="H767" s="2"/>
      <c r="I767" s="2"/>
      <c r="J767" s="2"/>
      <c r="K767" s="12"/>
      <c r="L767" s="2"/>
      <c r="M767" s="2"/>
      <c r="N767" s="67"/>
    </row>
    <row r="768" spans="1:14" x14ac:dyDescent="0.35">
      <c r="A768" s="61">
        <v>764</v>
      </c>
      <c r="B768" s="2"/>
      <c r="C768" s="2"/>
      <c r="D768" s="2"/>
      <c r="E768" s="10"/>
      <c r="F768" s="11"/>
      <c r="G768" s="2"/>
      <c r="H768" s="2"/>
      <c r="I768" s="2"/>
      <c r="J768" s="2"/>
      <c r="K768" s="12"/>
      <c r="L768" s="2"/>
      <c r="M768" s="2"/>
      <c r="N768" s="67"/>
    </row>
    <row r="769" spans="1:14" x14ac:dyDescent="0.35">
      <c r="A769" s="61">
        <v>765</v>
      </c>
      <c r="B769" s="2"/>
      <c r="C769" s="2"/>
      <c r="D769" s="2"/>
      <c r="E769" s="10"/>
      <c r="F769" s="11"/>
      <c r="G769" s="2"/>
      <c r="H769" s="2"/>
      <c r="I769" s="2"/>
      <c r="J769" s="2"/>
      <c r="K769" s="12"/>
      <c r="L769" s="2"/>
      <c r="M769" s="2"/>
      <c r="N769" s="67"/>
    </row>
    <row r="770" spans="1:14" x14ac:dyDescent="0.35">
      <c r="A770" s="61">
        <v>766</v>
      </c>
      <c r="B770" s="2"/>
      <c r="C770" s="2"/>
      <c r="D770" s="2"/>
      <c r="E770" s="10"/>
      <c r="F770" s="11"/>
      <c r="G770" s="2"/>
      <c r="H770" s="2"/>
      <c r="I770" s="2"/>
      <c r="J770" s="2"/>
      <c r="K770" s="12"/>
      <c r="L770" s="2"/>
      <c r="M770" s="2"/>
      <c r="N770" s="67"/>
    </row>
    <row r="771" spans="1:14" x14ac:dyDescent="0.35">
      <c r="A771" s="61">
        <v>767</v>
      </c>
      <c r="B771" s="2"/>
      <c r="C771" s="2"/>
      <c r="D771" s="2"/>
      <c r="E771" s="10"/>
      <c r="F771" s="11"/>
      <c r="G771" s="2"/>
      <c r="H771" s="2"/>
      <c r="I771" s="2"/>
      <c r="J771" s="2"/>
      <c r="K771" s="12"/>
      <c r="L771" s="2"/>
      <c r="M771" s="2"/>
      <c r="N771" s="67"/>
    </row>
    <row r="772" spans="1:14" x14ac:dyDescent="0.35">
      <c r="A772" s="61">
        <v>768</v>
      </c>
      <c r="B772" s="2"/>
      <c r="C772" s="2"/>
      <c r="D772" s="2"/>
      <c r="E772" s="10"/>
      <c r="F772" s="11"/>
      <c r="G772" s="2"/>
      <c r="H772" s="2"/>
      <c r="I772" s="2"/>
      <c r="J772" s="2"/>
      <c r="K772" s="12"/>
      <c r="L772" s="2"/>
      <c r="M772" s="2"/>
      <c r="N772" s="67"/>
    </row>
    <row r="773" spans="1:14" x14ac:dyDescent="0.35">
      <c r="A773" s="61">
        <v>769</v>
      </c>
      <c r="B773" s="2"/>
      <c r="C773" s="2"/>
      <c r="D773" s="2"/>
      <c r="E773" s="10"/>
      <c r="F773" s="11"/>
      <c r="G773" s="2"/>
      <c r="H773" s="2"/>
      <c r="I773" s="2"/>
      <c r="J773" s="2"/>
      <c r="K773" s="12"/>
      <c r="L773" s="2"/>
      <c r="M773" s="2"/>
      <c r="N773" s="67"/>
    </row>
    <row r="774" spans="1:14" x14ac:dyDescent="0.35">
      <c r="A774" s="61">
        <v>770</v>
      </c>
      <c r="B774" s="2"/>
      <c r="C774" s="2"/>
      <c r="D774" s="2"/>
      <c r="E774" s="10"/>
      <c r="F774" s="11"/>
      <c r="G774" s="2"/>
      <c r="H774" s="2"/>
      <c r="I774" s="2"/>
      <c r="J774" s="2"/>
      <c r="K774" s="12"/>
      <c r="L774" s="2"/>
      <c r="M774" s="2"/>
      <c r="N774" s="67"/>
    </row>
    <row r="775" spans="1:14" x14ac:dyDescent="0.35">
      <c r="A775" s="61">
        <v>771</v>
      </c>
      <c r="B775" s="2"/>
      <c r="C775" s="2"/>
      <c r="D775" s="2"/>
      <c r="E775" s="10"/>
      <c r="F775" s="11"/>
      <c r="G775" s="2"/>
      <c r="H775" s="2"/>
      <c r="I775" s="2"/>
      <c r="J775" s="2"/>
      <c r="K775" s="12"/>
      <c r="L775" s="2"/>
      <c r="M775" s="2"/>
      <c r="N775" s="67"/>
    </row>
    <row r="776" spans="1:14" x14ac:dyDescent="0.35">
      <c r="A776" s="61">
        <v>772</v>
      </c>
      <c r="B776" s="2"/>
      <c r="C776" s="2"/>
      <c r="D776" s="2"/>
      <c r="E776" s="10"/>
      <c r="F776" s="11"/>
      <c r="G776" s="2"/>
      <c r="H776" s="2"/>
      <c r="I776" s="2"/>
      <c r="J776" s="2"/>
      <c r="K776" s="12"/>
      <c r="L776" s="2"/>
      <c r="M776" s="2"/>
      <c r="N776" s="67"/>
    </row>
    <row r="777" spans="1:14" x14ac:dyDescent="0.35">
      <c r="A777" s="61">
        <v>773</v>
      </c>
      <c r="B777" s="2"/>
      <c r="C777" s="2"/>
      <c r="D777" s="2"/>
      <c r="E777" s="10"/>
      <c r="F777" s="11"/>
      <c r="G777" s="2"/>
      <c r="H777" s="2"/>
      <c r="I777" s="2"/>
      <c r="J777" s="2"/>
      <c r="K777" s="12"/>
      <c r="L777" s="2"/>
      <c r="M777" s="2"/>
      <c r="N777" s="67"/>
    </row>
    <row r="778" spans="1:14" x14ac:dyDescent="0.35">
      <c r="A778" s="61">
        <v>774</v>
      </c>
      <c r="B778" s="2"/>
      <c r="C778" s="2"/>
      <c r="D778" s="2"/>
      <c r="E778" s="10"/>
      <c r="F778" s="11"/>
      <c r="G778" s="2"/>
      <c r="H778" s="2"/>
      <c r="I778" s="2"/>
      <c r="J778" s="2"/>
      <c r="K778" s="12"/>
      <c r="L778" s="2"/>
      <c r="M778" s="2"/>
      <c r="N778" s="67"/>
    </row>
    <row r="779" spans="1:14" x14ac:dyDescent="0.35">
      <c r="A779" s="61">
        <v>775</v>
      </c>
      <c r="B779" s="2"/>
      <c r="C779" s="2"/>
      <c r="D779" s="2"/>
      <c r="E779" s="10"/>
      <c r="F779" s="11"/>
      <c r="G779" s="2"/>
      <c r="H779" s="2"/>
      <c r="I779" s="2"/>
      <c r="J779" s="2"/>
      <c r="K779" s="12"/>
      <c r="L779" s="2"/>
      <c r="M779" s="2"/>
      <c r="N779" s="67"/>
    </row>
    <row r="780" spans="1:14" x14ac:dyDescent="0.35">
      <c r="A780" s="61">
        <v>776</v>
      </c>
      <c r="B780" s="2"/>
      <c r="C780" s="2"/>
      <c r="D780" s="2"/>
      <c r="E780" s="10"/>
      <c r="F780" s="11"/>
      <c r="G780" s="2"/>
      <c r="H780" s="2"/>
      <c r="I780" s="2"/>
      <c r="J780" s="2"/>
      <c r="K780" s="12"/>
      <c r="L780" s="2"/>
      <c r="M780" s="2"/>
      <c r="N780" s="67"/>
    </row>
    <row r="781" spans="1:14" x14ac:dyDescent="0.35">
      <c r="A781" s="61">
        <v>777</v>
      </c>
      <c r="B781" s="2"/>
      <c r="C781" s="2"/>
      <c r="D781" s="2"/>
      <c r="E781" s="10"/>
      <c r="F781" s="11"/>
      <c r="G781" s="2"/>
      <c r="H781" s="2"/>
      <c r="I781" s="2"/>
      <c r="J781" s="2"/>
      <c r="K781" s="12"/>
      <c r="L781" s="2"/>
      <c r="M781" s="2"/>
      <c r="N781" s="67"/>
    </row>
    <row r="782" spans="1:14" x14ac:dyDescent="0.35">
      <c r="A782" s="61">
        <v>778</v>
      </c>
      <c r="B782" s="2"/>
      <c r="C782" s="2"/>
      <c r="D782" s="2"/>
      <c r="E782" s="10"/>
      <c r="F782" s="11"/>
      <c r="G782" s="2"/>
      <c r="H782" s="2"/>
      <c r="I782" s="2"/>
      <c r="J782" s="2"/>
      <c r="K782" s="12"/>
      <c r="L782" s="2"/>
      <c r="M782" s="2"/>
      <c r="N782" s="67"/>
    </row>
    <row r="783" spans="1:14" x14ac:dyDescent="0.35">
      <c r="A783" s="61">
        <v>779</v>
      </c>
      <c r="B783" s="2"/>
      <c r="C783" s="2"/>
      <c r="D783" s="2"/>
      <c r="E783" s="10"/>
      <c r="F783" s="11"/>
      <c r="G783" s="2"/>
      <c r="H783" s="2"/>
      <c r="I783" s="2"/>
      <c r="J783" s="2"/>
      <c r="K783" s="12"/>
      <c r="L783" s="2"/>
      <c r="M783" s="2"/>
      <c r="N783" s="67"/>
    </row>
    <row r="784" spans="1:14" x14ac:dyDescent="0.35">
      <c r="A784" s="61">
        <v>780</v>
      </c>
      <c r="B784" s="2"/>
      <c r="C784" s="2"/>
      <c r="D784" s="2"/>
      <c r="E784" s="10"/>
      <c r="F784" s="11"/>
      <c r="G784" s="2"/>
      <c r="H784" s="2"/>
      <c r="I784" s="2"/>
      <c r="J784" s="2"/>
      <c r="K784" s="12"/>
      <c r="L784" s="2"/>
      <c r="M784" s="2"/>
      <c r="N784" s="67"/>
    </row>
    <row r="785" spans="1:14" x14ac:dyDescent="0.35">
      <c r="A785" s="61">
        <v>781</v>
      </c>
      <c r="B785" s="2"/>
      <c r="C785" s="2"/>
      <c r="D785" s="2"/>
      <c r="E785" s="10"/>
      <c r="F785" s="11"/>
      <c r="G785" s="2"/>
      <c r="H785" s="2"/>
      <c r="I785" s="2"/>
      <c r="J785" s="2"/>
      <c r="K785" s="12"/>
      <c r="L785" s="2"/>
      <c r="M785" s="2"/>
      <c r="N785" s="67"/>
    </row>
    <row r="786" spans="1:14" x14ac:dyDescent="0.35">
      <c r="A786" s="61">
        <v>782</v>
      </c>
      <c r="B786" s="2"/>
      <c r="C786" s="2"/>
      <c r="D786" s="2"/>
      <c r="E786" s="10"/>
      <c r="F786" s="11"/>
      <c r="G786" s="2"/>
      <c r="H786" s="2"/>
      <c r="I786" s="2"/>
      <c r="J786" s="2"/>
      <c r="K786" s="12"/>
      <c r="L786" s="2"/>
      <c r="M786" s="2"/>
      <c r="N786" s="67"/>
    </row>
    <row r="787" spans="1:14" x14ac:dyDescent="0.35">
      <c r="A787" s="61">
        <v>783</v>
      </c>
      <c r="B787" s="2"/>
      <c r="C787" s="2"/>
      <c r="D787" s="2"/>
      <c r="E787" s="10"/>
      <c r="F787" s="11"/>
      <c r="G787" s="2"/>
      <c r="H787" s="2"/>
      <c r="I787" s="2"/>
      <c r="J787" s="2"/>
      <c r="K787" s="12"/>
      <c r="L787" s="2"/>
      <c r="M787" s="2"/>
      <c r="N787" s="67"/>
    </row>
    <row r="788" spans="1:14" x14ac:dyDescent="0.35">
      <c r="A788" s="61">
        <v>784</v>
      </c>
      <c r="B788" s="2"/>
      <c r="C788" s="2"/>
      <c r="D788" s="2"/>
      <c r="E788" s="10"/>
      <c r="F788" s="11"/>
      <c r="G788" s="2"/>
      <c r="H788" s="2"/>
      <c r="I788" s="2"/>
      <c r="J788" s="2"/>
      <c r="K788" s="12"/>
      <c r="L788" s="2"/>
      <c r="M788" s="2"/>
      <c r="N788" s="67"/>
    </row>
    <row r="789" spans="1:14" x14ac:dyDescent="0.35">
      <c r="A789" s="61">
        <v>785</v>
      </c>
      <c r="B789" s="2"/>
      <c r="C789" s="2"/>
      <c r="D789" s="2"/>
      <c r="E789" s="10"/>
      <c r="F789" s="11"/>
      <c r="G789" s="2"/>
      <c r="H789" s="2"/>
      <c r="I789" s="2"/>
      <c r="J789" s="2"/>
      <c r="K789" s="12"/>
      <c r="L789" s="2"/>
      <c r="M789" s="2"/>
      <c r="N789" s="67"/>
    </row>
    <row r="790" spans="1:14" x14ac:dyDescent="0.35">
      <c r="A790" s="61">
        <v>786</v>
      </c>
      <c r="B790" s="2"/>
      <c r="C790" s="2"/>
      <c r="D790" s="2"/>
      <c r="E790" s="10"/>
      <c r="F790" s="11"/>
      <c r="G790" s="2"/>
      <c r="H790" s="2"/>
      <c r="I790" s="2"/>
      <c r="J790" s="2"/>
      <c r="K790" s="12"/>
      <c r="L790" s="2"/>
      <c r="M790" s="2"/>
      <c r="N790" s="67"/>
    </row>
    <row r="791" spans="1:14" x14ac:dyDescent="0.35">
      <c r="A791" s="61">
        <v>787</v>
      </c>
      <c r="B791" s="2"/>
      <c r="C791" s="2"/>
      <c r="D791" s="2"/>
      <c r="E791" s="10"/>
      <c r="F791" s="11"/>
      <c r="G791" s="2"/>
      <c r="H791" s="2"/>
      <c r="I791" s="2"/>
      <c r="J791" s="2"/>
      <c r="K791" s="12"/>
      <c r="L791" s="2"/>
      <c r="M791" s="2"/>
      <c r="N791" s="67"/>
    </row>
    <row r="792" spans="1:14" x14ac:dyDescent="0.35">
      <c r="A792" s="61">
        <v>788</v>
      </c>
      <c r="B792" s="2"/>
      <c r="C792" s="2"/>
      <c r="D792" s="2"/>
      <c r="E792" s="10"/>
      <c r="F792" s="11"/>
      <c r="G792" s="2"/>
      <c r="H792" s="2"/>
      <c r="I792" s="2"/>
      <c r="J792" s="2"/>
      <c r="K792" s="12"/>
      <c r="L792" s="2"/>
      <c r="M792" s="2"/>
      <c r="N792" s="67"/>
    </row>
    <row r="793" spans="1:14" x14ac:dyDescent="0.35">
      <c r="A793" s="61">
        <v>789</v>
      </c>
      <c r="B793" s="2"/>
      <c r="C793" s="2"/>
      <c r="D793" s="2"/>
      <c r="E793" s="10"/>
      <c r="F793" s="11"/>
      <c r="G793" s="2"/>
      <c r="H793" s="2"/>
      <c r="I793" s="2"/>
      <c r="J793" s="2"/>
      <c r="K793" s="12"/>
      <c r="L793" s="2"/>
      <c r="M793" s="2"/>
      <c r="N793" s="67"/>
    </row>
    <row r="794" spans="1:14" x14ac:dyDescent="0.35">
      <c r="A794" s="61">
        <v>790</v>
      </c>
      <c r="B794" s="2"/>
      <c r="C794" s="2"/>
      <c r="D794" s="2"/>
      <c r="E794" s="10"/>
      <c r="F794" s="11"/>
      <c r="G794" s="2"/>
      <c r="H794" s="2"/>
      <c r="I794" s="2"/>
      <c r="J794" s="2"/>
      <c r="K794" s="12"/>
      <c r="L794" s="2"/>
      <c r="M794" s="2"/>
      <c r="N794" s="67"/>
    </row>
    <row r="795" spans="1:14" x14ac:dyDescent="0.35">
      <c r="A795" s="61">
        <v>791</v>
      </c>
      <c r="B795" s="2"/>
      <c r="C795" s="2"/>
      <c r="D795" s="2"/>
      <c r="E795" s="10"/>
      <c r="F795" s="11"/>
      <c r="G795" s="2"/>
      <c r="H795" s="2"/>
      <c r="I795" s="2"/>
      <c r="J795" s="2"/>
      <c r="K795" s="12"/>
      <c r="L795" s="2"/>
      <c r="M795" s="2"/>
      <c r="N795" s="67"/>
    </row>
    <row r="796" spans="1:14" x14ac:dyDescent="0.35">
      <c r="A796" s="61">
        <v>792</v>
      </c>
      <c r="B796" s="2"/>
      <c r="C796" s="2"/>
      <c r="D796" s="2"/>
      <c r="E796" s="10"/>
      <c r="F796" s="11"/>
      <c r="G796" s="2"/>
      <c r="H796" s="2"/>
      <c r="I796" s="2"/>
      <c r="J796" s="2"/>
      <c r="K796" s="12"/>
      <c r="L796" s="2"/>
      <c r="M796" s="2"/>
      <c r="N796" s="67"/>
    </row>
    <row r="797" spans="1:14" x14ac:dyDescent="0.35">
      <c r="A797" s="61">
        <v>793</v>
      </c>
      <c r="B797" s="2"/>
      <c r="C797" s="2"/>
      <c r="D797" s="2"/>
      <c r="E797" s="10"/>
      <c r="F797" s="11"/>
      <c r="G797" s="2"/>
      <c r="H797" s="2"/>
      <c r="I797" s="2"/>
      <c r="J797" s="2"/>
      <c r="K797" s="12"/>
      <c r="L797" s="2"/>
      <c r="M797" s="2"/>
      <c r="N797" s="67"/>
    </row>
    <row r="798" spans="1:14" x14ac:dyDescent="0.35">
      <c r="A798" s="61">
        <v>794</v>
      </c>
      <c r="B798" s="2"/>
      <c r="C798" s="2"/>
      <c r="D798" s="2"/>
      <c r="E798" s="10"/>
      <c r="F798" s="11"/>
      <c r="G798" s="2"/>
      <c r="H798" s="2"/>
      <c r="I798" s="2"/>
      <c r="J798" s="2"/>
      <c r="K798" s="12"/>
      <c r="L798" s="2"/>
      <c r="M798" s="2"/>
      <c r="N798" s="67"/>
    </row>
    <row r="799" spans="1:14" x14ac:dyDescent="0.35">
      <c r="A799" s="61">
        <v>795</v>
      </c>
      <c r="B799" s="2"/>
      <c r="C799" s="2"/>
      <c r="D799" s="2"/>
      <c r="E799" s="10"/>
      <c r="F799" s="11"/>
      <c r="G799" s="2"/>
      <c r="H799" s="2"/>
      <c r="I799" s="2"/>
      <c r="J799" s="2"/>
      <c r="K799" s="12"/>
      <c r="L799" s="2"/>
      <c r="M799" s="2"/>
      <c r="N799" s="67"/>
    </row>
    <row r="800" spans="1:14" x14ac:dyDescent="0.35">
      <c r="A800" s="61">
        <v>796</v>
      </c>
      <c r="B800" s="2"/>
      <c r="C800" s="2"/>
      <c r="D800" s="2"/>
      <c r="E800" s="10"/>
      <c r="F800" s="11"/>
      <c r="G800" s="2"/>
      <c r="H800" s="2"/>
      <c r="I800" s="2"/>
      <c r="J800" s="2"/>
      <c r="K800" s="12"/>
      <c r="L800" s="2"/>
      <c r="M800" s="2"/>
      <c r="N800" s="67"/>
    </row>
    <row r="801" spans="1:14" x14ac:dyDescent="0.35">
      <c r="A801" s="61">
        <v>797</v>
      </c>
      <c r="B801" s="2"/>
      <c r="C801" s="2"/>
      <c r="D801" s="2"/>
      <c r="E801" s="10"/>
      <c r="F801" s="11"/>
      <c r="G801" s="2"/>
      <c r="H801" s="2"/>
      <c r="I801" s="2"/>
      <c r="J801" s="2"/>
      <c r="K801" s="12"/>
      <c r="L801" s="2"/>
      <c r="M801" s="2"/>
      <c r="N801" s="67"/>
    </row>
    <row r="802" spans="1:14" x14ac:dyDescent="0.35">
      <c r="A802" s="61">
        <v>798</v>
      </c>
      <c r="B802" s="2"/>
      <c r="C802" s="2"/>
      <c r="D802" s="2"/>
      <c r="E802" s="10"/>
      <c r="F802" s="11"/>
      <c r="G802" s="2"/>
      <c r="H802" s="2"/>
      <c r="I802" s="2"/>
      <c r="J802" s="2"/>
      <c r="K802" s="12"/>
      <c r="L802" s="2"/>
      <c r="M802" s="2"/>
      <c r="N802" s="67"/>
    </row>
    <row r="803" spans="1:14" x14ac:dyDescent="0.35">
      <c r="A803" s="61">
        <v>799</v>
      </c>
      <c r="B803" s="2"/>
      <c r="C803" s="2"/>
      <c r="D803" s="2"/>
      <c r="E803" s="10"/>
      <c r="F803" s="11"/>
      <c r="G803" s="2"/>
      <c r="H803" s="2"/>
      <c r="I803" s="2"/>
      <c r="J803" s="2"/>
      <c r="K803" s="12"/>
      <c r="L803" s="2"/>
      <c r="M803" s="2"/>
      <c r="N803" s="67"/>
    </row>
    <row r="804" spans="1:14" x14ac:dyDescent="0.35">
      <c r="A804" s="61">
        <v>800</v>
      </c>
      <c r="B804" s="2"/>
      <c r="C804" s="2"/>
      <c r="D804" s="2"/>
      <c r="E804" s="10"/>
      <c r="F804" s="11"/>
      <c r="G804" s="2"/>
      <c r="H804" s="2"/>
      <c r="I804" s="2"/>
      <c r="J804" s="2"/>
      <c r="K804" s="12"/>
      <c r="L804" s="2"/>
      <c r="M804" s="2"/>
      <c r="N804" s="67"/>
    </row>
    <row r="805" spans="1:14" x14ac:dyDescent="0.35">
      <c r="A805" s="61">
        <v>801</v>
      </c>
      <c r="B805" s="2"/>
      <c r="C805" s="2"/>
      <c r="D805" s="2"/>
      <c r="E805" s="10"/>
      <c r="F805" s="11"/>
      <c r="G805" s="2"/>
      <c r="H805" s="2"/>
      <c r="I805" s="2"/>
      <c r="J805" s="2"/>
      <c r="K805" s="12"/>
      <c r="L805" s="2"/>
      <c r="M805" s="2"/>
      <c r="N805" s="67"/>
    </row>
    <row r="806" spans="1:14" x14ac:dyDescent="0.35">
      <c r="A806" s="61">
        <v>802</v>
      </c>
      <c r="B806" s="2"/>
      <c r="C806" s="2"/>
      <c r="D806" s="2"/>
      <c r="E806" s="10"/>
      <c r="F806" s="11"/>
      <c r="G806" s="2"/>
      <c r="H806" s="2"/>
      <c r="I806" s="2"/>
      <c r="J806" s="2"/>
      <c r="K806" s="12"/>
      <c r="L806" s="2"/>
      <c r="M806" s="2"/>
      <c r="N806" s="67"/>
    </row>
    <row r="807" spans="1:14" x14ac:dyDescent="0.35">
      <c r="A807" s="61">
        <v>803</v>
      </c>
      <c r="B807" s="2"/>
      <c r="C807" s="2"/>
      <c r="D807" s="2"/>
      <c r="E807" s="10"/>
      <c r="F807" s="11"/>
      <c r="G807" s="2"/>
      <c r="H807" s="2"/>
      <c r="I807" s="2"/>
      <c r="J807" s="2"/>
      <c r="K807" s="12"/>
      <c r="L807" s="2"/>
      <c r="M807" s="2"/>
      <c r="N807" s="67"/>
    </row>
    <row r="808" spans="1:14" x14ac:dyDescent="0.35">
      <c r="A808" s="61">
        <v>804</v>
      </c>
      <c r="B808" s="2"/>
      <c r="C808" s="2"/>
      <c r="D808" s="2"/>
      <c r="E808" s="10"/>
      <c r="F808" s="11"/>
      <c r="G808" s="2"/>
      <c r="H808" s="2"/>
      <c r="I808" s="2"/>
      <c r="J808" s="2"/>
      <c r="K808" s="12"/>
      <c r="L808" s="2"/>
      <c r="M808" s="2"/>
      <c r="N808" s="67"/>
    </row>
    <row r="809" spans="1:14" x14ac:dyDescent="0.35">
      <c r="A809" s="61">
        <v>805</v>
      </c>
      <c r="B809" s="2"/>
      <c r="C809" s="2"/>
      <c r="D809" s="2"/>
      <c r="E809" s="10"/>
      <c r="F809" s="11"/>
      <c r="G809" s="2"/>
      <c r="H809" s="2"/>
      <c r="I809" s="2"/>
      <c r="J809" s="2"/>
      <c r="K809" s="12"/>
      <c r="L809" s="2"/>
      <c r="M809" s="2"/>
      <c r="N809" s="67"/>
    </row>
    <row r="810" spans="1:14" x14ac:dyDescent="0.35">
      <c r="A810" s="61">
        <v>806</v>
      </c>
      <c r="B810" s="2"/>
      <c r="C810" s="2"/>
      <c r="D810" s="2"/>
      <c r="E810" s="10"/>
      <c r="F810" s="11"/>
      <c r="G810" s="2"/>
      <c r="H810" s="2"/>
      <c r="I810" s="2"/>
      <c r="J810" s="2"/>
      <c r="K810" s="12"/>
      <c r="L810" s="2"/>
      <c r="M810" s="2"/>
      <c r="N810" s="67"/>
    </row>
    <row r="811" spans="1:14" x14ac:dyDescent="0.35">
      <c r="A811" s="61">
        <v>807</v>
      </c>
      <c r="B811" s="2"/>
      <c r="C811" s="2"/>
      <c r="D811" s="2"/>
      <c r="E811" s="10"/>
      <c r="F811" s="11"/>
      <c r="G811" s="2"/>
      <c r="H811" s="2"/>
      <c r="I811" s="2"/>
      <c r="J811" s="2"/>
      <c r="K811" s="12"/>
      <c r="L811" s="2"/>
      <c r="M811" s="2"/>
      <c r="N811" s="67"/>
    </row>
    <row r="812" spans="1:14" x14ac:dyDescent="0.35">
      <c r="A812" s="61">
        <v>808</v>
      </c>
      <c r="B812" s="2"/>
      <c r="C812" s="2"/>
      <c r="D812" s="2"/>
      <c r="E812" s="10"/>
      <c r="F812" s="11"/>
      <c r="G812" s="2"/>
      <c r="H812" s="2"/>
      <c r="I812" s="2"/>
      <c r="J812" s="2"/>
      <c r="K812" s="12"/>
      <c r="L812" s="2"/>
      <c r="M812" s="2"/>
      <c r="N812" s="67"/>
    </row>
    <row r="813" spans="1:14" x14ac:dyDescent="0.35">
      <c r="A813" s="61">
        <v>809</v>
      </c>
      <c r="B813" s="2"/>
      <c r="C813" s="2"/>
      <c r="D813" s="2"/>
      <c r="E813" s="10"/>
      <c r="F813" s="11"/>
      <c r="G813" s="2"/>
      <c r="H813" s="2"/>
      <c r="I813" s="2"/>
      <c r="J813" s="2"/>
      <c r="K813" s="12"/>
      <c r="L813" s="2"/>
      <c r="M813" s="2"/>
      <c r="N813" s="67"/>
    </row>
    <row r="814" spans="1:14" x14ac:dyDescent="0.35">
      <c r="A814" s="61">
        <v>810</v>
      </c>
      <c r="B814" s="2"/>
      <c r="C814" s="2"/>
      <c r="D814" s="2"/>
      <c r="E814" s="10"/>
      <c r="F814" s="11"/>
      <c r="G814" s="2"/>
      <c r="H814" s="2"/>
      <c r="I814" s="2"/>
      <c r="J814" s="2"/>
      <c r="K814" s="12"/>
      <c r="L814" s="2"/>
      <c r="M814" s="2"/>
      <c r="N814" s="67"/>
    </row>
    <row r="815" spans="1:14" x14ac:dyDescent="0.35">
      <c r="A815" s="61">
        <v>811</v>
      </c>
      <c r="B815" s="2"/>
      <c r="C815" s="2"/>
      <c r="D815" s="2"/>
      <c r="E815" s="10"/>
      <c r="F815" s="11"/>
      <c r="G815" s="2"/>
      <c r="H815" s="2"/>
      <c r="I815" s="2"/>
      <c r="J815" s="2"/>
      <c r="K815" s="12"/>
      <c r="L815" s="2"/>
      <c r="M815" s="2"/>
      <c r="N815" s="67"/>
    </row>
    <row r="816" spans="1:14" x14ac:dyDescent="0.35">
      <c r="A816" s="61">
        <v>812</v>
      </c>
      <c r="B816" s="2"/>
      <c r="C816" s="2"/>
      <c r="D816" s="2"/>
      <c r="E816" s="10"/>
      <c r="F816" s="11"/>
      <c r="G816" s="2"/>
      <c r="H816" s="2"/>
      <c r="I816" s="2"/>
      <c r="J816" s="2"/>
      <c r="K816" s="12"/>
      <c r="L816" s="2"/>
      <c r="M816" s="2"/>
      <c r="N816" s="67"/>
    </row>
    <row r="817" spans="1:14" x14ac:dyDescent="0.35">
      <c r="A817" s="61">
        <v>813</v>
      </c>
      <c r="B817" s="2"/>
      <c r="C817" s="2"/>
      <c r="D817" s="2"/>
      <c r="E817" s="10"/>
      <c r="F817" s="11"/>
      <c r="G817" s="2"/>
      <c r="H817" s="2"/>
      <c r="I817" s="2"/>
      <c r="J817" s="2"/>
      <c r="K817" s="12"/>
      <c r="L817" s="2"/>
      <c r="M817" s="2"/>
      <c r="N817" s="67"/>
    </row>
    <row r="818" spans="1:14" x14ac:dyDescent="0.35">
      <c r="A818" s="61">
        <v>814</v>
      </c>
      <c r="B818" s="2"/>
      <c r="C818" s="2"/>
      <c r="D818" s="2"/>
      <c r="E818" s="10"/>
      <c r="F818" s="11"/>
      <c r="G818" s="2"/>
      <c r="H818" s="2"/>
      <c r="I818" s="2"/>
      <c r="J818" s="2"/>
      <c r="K818" s="12"/>
      <c r="L818" s="2"/>
      <c r="M818" s="2"/>
      <c r="N818" s="67"/>
    </row>
    <row r="819" spans="1:14" x14ac:dyDescent="0.35">
      <c r="A819" s="61">
        <v>815</v>
      </c>
      <c r="B819" s="2"/>
      <c r="C819" s="2"/>
      <c r="D819" s="2"/>
      <c r="E819" s="10"/>
      <c r="F819" s="11"/>
      <c r="G819" s="2"/>
      <c r="H819" s="2"/>
      <c r="I819" s="2"/>
      <c r="J819" s="2"/>
      <c r="K819" s="12"/>
      <c r="L819" s="2"/>
      <c r="M819" s="2"/>
      <c r="N819" s="67"/>
    </row>
    <row r="820" spans="1:14" x14ac:dyDescent="0.35">
      <c r="A820" s="61">
        <v>816</v>
      </c>
      <c r="B820" s="2"/>
      <c r="C820" s="2"/>
      <c r="D820" s="2"/>
      <c r="E820" s="10"/>
      <c r="F820" s="11"/>
      <c r="G820" s="2"/>
      <c r="H820" s="2"/>
      <c r="I820" s="2"/>
      <c r="J820" s="2"/>
      <c r="K820" s="12"/>
      <c r="L820" s="2"/>
      <c r="M820" s="2"/>
      <c r="N820" s="67"/>
    </row>
    <row r="821" spans="1:14" x14ac:dyDescent="0.35">
      <c r="A821" s="61">
        <v>817</v>
      </c>
      <c r="B821" s="2"/>
      <c r="C821" s="2"/>
      <c r="D821" s="2"/>
      <c r="E821" s="10"/>
      <c r="F821" s="11"/>
      <c r="G821" s="2"/>
      <c r="H821" s="2"/>
      <c r="I821" s="2"/>
      <c r="J821" s="2"/>
      <c r="K821" s="12"/>
      <c r="L821" s="2"/>
      <c r="M821" s="2"/>
      <c r="N821" s="67"/>
    </row>
    <row r="822" spans="1:14" x14ac:dyDescent="0.35">
      <c r="A822" s="61">
        <v>818</v>
      </c>
      <c r="B822" s="2"/>
      <c r="C822" s="2"/>
      <c r="D822" s="2"/>
      <c r="E822" s="10"/>
      <c r="F822" s="11"/>
      <c r="G822" s="2"/>
      <c r="H822" s="2"/>
      <c r="I822" s="2"/>
      <c r="J822" s="2"/>
      <c r="K822" s="12"/>
      <c r="L822" s="2"/>
      <c r="M822" s="2"/>
      <c r="N822" s="67"/>
    </row>
    <row r="823" spans="1:14" x14ac:dyDescent="0.35">
      <c r="A823" s="61">
        <v>819</v>
      </c>
      <c r="B823" s="2"/>
      <c r="C823" s="2"/>
      <c r="D823" s="2"/>
      <c r="E823" s="10"/>
      <c r="F823" s="11"/>
      <c r="G823" s="2"/>
      <c r="H823" s="2"/>
      <c r="I823" s="2"/>
      <c r="J823" s="2"/>
      <c r="K823" s="12"/>
      <c r="L823" s="2"/>
      <c r="M823" s="2"/>
      <c r="N823" s="67"/>
    </row>
    <row r="824" spans="1:14" x14ac:dyDescent="0.35">
      <c r="A824" s="61">
        <v>820</v>
      </c>
      <c r="B824" s="2"/>
      <c r="C824" s="2"/>
      <c r="D824" s="2"/>
      <c r="E824" s="10"/>
      <c r="F824" s="11"/>
      <c r="G824" s="2"/>
      <c r="H824" s="2"/>
      <c r="I824" s="2"/>
      <c r="J824" s="2"/>
      <c r="K824" s="12"/>
      <c r="L824" s="2"/>
      <c r="M824" s="2"/>
      <c r="N824" s="67"/>
    </row>
    <row r="825" spans="1:14" x14ac:dyDescent="0.35">
      <c r="A825" s="61">
        <v>821</v>
      </c>
      <c r="B825" s="2"/>
      <c r="C825" s="2"/>
      <c r="D825" s="2"/>
      <c r="E825" s="10"/>
      <c r="F825" s="11"/>
      <c r="G825" s="2"/>
      <c r="H825" s="2"/>
      <c r="I825" s="2"/>
      <c r="J825" s="2"/>
      <c r="K825" s="12"/>
      <c r="L825" s="2"/>
      <c r="M825" s="2"/>
      <c r="N825" s="67"/>
    </row>
    <row r="826" spans="1:14" x14ac:dyDescent="0.35">
      <c r="A826" s="61">
        <v>822</v>
      </c>
      <c r="B826" s="2"/>
      <c r="C826" s="2"/>
      <c r="D826" s="2"/>
      <c r="E826" s="10"/>
      <c r="F826" s="11"/>
      <c r="G826" s="2"/>
      <c r="H826" s="2"/>
      <c r="I826" s="2"/>
      <c r="J826" s="2"/>
      <c r="K826" s="12"/>
      <c r="L826" s="2"/>
      <c r="M826" s="2"/>
      <c r="N826" s="67"/>
    </row>
    <row r="827" spans="1:14" x14ac:dyDescent="0.35">
      <c r="A827" s="61">
        <v>823</v>
      </c>
      <c r="B827" s="2"/>
      <c r="C827" s="2"/>
      <c r="D827" s="2"/>
      <c r="E827" s="10"/>
      <c r="F827" s="11"/>
      <c r="G827" s="2"/>
      <c r="H827" s="2"/>
      <c r="I827" s="2"/>
      <c r="J827" s="2"/>
      <c r="K827" s="12"/>
      <c r="L827" s="2"/>
      <c r="M827" s="2"/>
      <c r="N827" s="67"/>
    </row>
    <row r="828" spans="1:14" x14ac:dyDescent="0.35">
      <c r="A828" s="61">
        <v>824</v>
      </c>
      <c r="B828" s="2"/>
      <c r="C828" s="2"/>
      <c r="D828" s="2"/>
      <c r="E828" s="10"/>
      <c r="F828" s="11"/>
      <c r="G828" s="2"/>
      <c r="H828" s="2"/>
      <c r="I828" s="2"/>
      <c r="J828" s="2"/>
      <c r="K828" s="12"/>
      <c r="L828" s="2"/>
      <c r="M828" s="2"/>
      <c r="N828" s="67"/>
    </row>
    <row r="829" spans="1:14" x14ac:dyDescent="0.35">
      <c r="A829" s="61">
        <v>825</v>
      </c>
      <c r="B829" s="2"/>
      <c r="C829" s="2"/>
      <c r="D829" s="2"/>
      <c r="E829" s="10"/>
      <c r="F829" s="11"/>
      <c r="G829" s="2"/>
      <c r="H829" s="2"/>
      <c r="I829" s="2"/>
      <c r="J829" s="2"/>
      <c r="K829" s="12"/>
      <c r="L829" s="2"/>
      <c r="M829" s="2"/>
      <c r="N829" s="67"/>
    </row>
    <row r="830" spans="1:14" x14ac:dyDescent="0.35">
      <c r="A830" s="61">
        <v>826</v>
      </c>
      <c r="B830" s="2"/>
      <c r="C830" s="2"/>
      <c r="D830" s="2"/>
      <c r="E830" s="10"/>
      <c r="F830" s="11"/>
      <c r="G830" s="2"/>
      <c r="H830" s="2"/>
      <c r="I830" s="2"/>
      <c r="J830" s="2"/>
      <c r="K830" s="12"/>
      <c r="L830" s="2"/>
      <c r="M830" s="2"/>
      <c r="N830" s="67"/>
    </row>
    <row r="831" spans="1:14" x14ac:dyDescent="0.35">
      <c r="A831" s="61">
        <v>827</v>
      </c>
      <c r="B831" s="2"/>
      <c r="C831" s="2"/>
      <c r="D831" s="2"/>
      <c r="E831" s="10"/>
      <c r="F831" s="11"/>
      <c r="G831" s="2"/>
      <c r="H831" s="2"/>
      <c r="I831" s="2"/>
      <c r="J831" s="2"/>
      <c r="K831" s="12"/>
      <c r="L831" s="2"/>
      <c r="M831" s="2"/>
      <c r="N831" s="67"/>
    </row>
    <row r="832" spans="1:14" x14ac:dyDescent="0.35">
      <c r="A832" s="61">
        <v>828</v>
      </c>
      <c r="B832" s="2"/>
      <c r="C832" s="2"/>
      <c r="D832" s="2"/>
      <c r="E832" s="10"/>
      <c r="F832" s="11"/>
      <c r="G832" s="2"/>
      <c r="H832" s="2"/>
      <c r="I832" s="2"/>
      <c r="J832" s="2"/>
      <c r="K832" s="12"/>
      <c r="L832" s="2"/>
      <c r="M832" s="2"/>
      <c r="N832" s="67"/>
    </row>
    <row r="833" spans="1:14" x14ac:dyDescent="0.35">
      <c r="A833" s="61">
        <v>829</v>
      </c>
      <c r="B833" s="2"/>
      <c r="C833" s="2"/>
      <c r="D833" s="2"/>
      <c r="E833" s="10"/>
      <c r="F833" s="11"/>
      <c r="G833" s="2"/>
      <c r="H833" s="2"/>
      <c r="I833" s="2"/>
      <c r="J833" s="2"/>
      <c r="K833" s="12"/>
      <c r="L833" s="2"/>
      <c r="M833" s="2"/>
      <c r="N833" s="67"/>
    </row>
    <row r="834" spans="1:14" x14ac:dyDescent="0.35">
      <c r="A834" s="61">
        <v>830</v>
      </c>
      <c r="B834" s="2"/>
      <c r="C834" s="2"/>
      <c r="D834" s="2"/>
      <c r="E834" s="10"/>
      <c r="F834" s="11"/>
      <c r="G834" s="2"/>
      <c r="H834" s="2"/>
      <c r="I834" s="2"/>
      <c r="J834" s="2"/>
      <c r="K834" s="12"/>
      <c r="L834" s="2"/>
      <c r="M834" s="2"/>
      <c r="N834" s="67"/>
    </row>
    <row r="835" spans="1:14" x14ac:dyDescent="0.35">
      <c r="A835" s="61">
        <v>831</v>
      </c>
      <c r="B835" s="2"/>
      <c r="C835" s="2"/>
      <c r="D835" s="2"/>
      <c r="E835" s="10"/>
      <c r="F835" s="11"/>
      <c r="G835" s="2"/>
      <c r="H835" s="2"/>
      <c r="I835" s="2"/>
      <c r="J835" s="2"/>
      <c r="K835" s="12"/>
      <c r="L835" s="2"/>
      <c r="M835" s="2"/>
      <c r="N835" s="67"/>
    </row>
    <row r="836" spans="1:14" x14ac:dyDescent="0.35">
      <c r="A836" s="61">
        <v>832</v>
      </c>
      <c r="B836" s="2"/>
      <c r="C836" s="2"/>
      <c r="D836" s="2"/>
      <c r="E836" s="10"/>
      <c r="F836" s="11"/>
      <c r="G836" s="2"/>
      <c r="H836" s="2"/>
      <c r="I836" s="2"/>
      <c r="J836" s="2"/>
      <c r="K836" s="12"/>
      <c r="L836" s="2"/>
      <c r="M836" s="2"/>
      <c r="N836" s="67"/>
    </row>
    <row r="837" spans="1:14" x14ac:dyDescent="0.35">
      <c r="A837" s="61">
        <v>833</v>
      </c>
      <c r="B837" s="2"/>
      <c r="C837" s="2"/>
      <c r="D837" s="2"/>
      <c r="E837" s="10"/>
      <c r="F837" s="11"/>
      <c r="G837" s="2"/>
      <c r="H837" s="2"/>
      <c r="I837" s="2"/>
      <c r="J837" s="2"/>
      <c r="K837" s="12"/>
      <c r="L837" s="2"/>
      <c r="M837" s="2"/>
      <c r="N837" s="67"/>
    </row>
    <row r="838" spans="1:14" x14ac:dyDescent="0.35">
      <c r="A838" s="61">
        <v>834</v>
      </c>
      <c r="B838" s="2"/>
      <c r="C838" s="2"/>
      <c r="D838" s="2"/>
      <c r="E838" s="10"/>
      <c r="F838" s="11"/>
      <c r="G838" s="2"/>
      <c r="H838" s="2"/>
      <c r="I838" s="2"/>
      <c r="J838" s="2"/>
      <c r="K838" s="12"/>
      <c r="L838" s="2"/>
      <c r="M838" s="2"/>
      <c r="N838" s="67"/>
    </row>
    <row r="839" spans="1:14" x14ac:dyDescent="0.35">
      <c r="A839" s="61">
        <v>835</v>
      </c>
      <c r="B839" s="2"/>
      <c r="C839" s="2"/>
      <c r="D839" s="2"/>
      <c r="E839" s="10"/>
      <c r="F839" s="11"/>
      <c r="G839" s="2"/>
      <c r="H839" s="2"/>
      <c r="I839" s="2"/>
      <c r="J839" s="2"/>
      <c r="K839" s="12"/>
      <c r="L839" s="2"/>
      <c r="M839" s="2"/>
      <c r="N839" s="67"/>
    </row>
    <row r="840" spans="1:14" x14ac:dyDescent="0.35">
      <c r="A840" s="61">
        <v>836</v>
      </c>
      <c r="B840" s="2"/>
      <c r="C840" s="2"/>
      <c r="D840" s="2"/>
      <c r="E840" s="10"/>
      <c r="F840" s="11"/>
      <c r="G840" s="2"/>
      <c r="H840" s="2"/>
      <c r="I840" s="2"/>
      <c r="J840" s="2"/>
      <c r="K840" s="12"/>
      <c r="L840" s="2"/>
      <c r="M840" s="2"/>
      <c r="N840" s="67"/>
    </row>
    <row r="841" spans="1:14" x14ac:dyDescent="0.35">
      <c r="A841" s="61">
        <v>837</v>
      </c>
      <c r="B841" s="2"/>
      <c r="C841" s="2"/>
      <c r="D841" s="2"/>
      <c r="E841" s="10"/>
      <c r="F841" s="11"/>
      <c r="G841" s="2"/>
      <c r="H841" s="2"/>
      <c r="I841" s="2"/>
      <c r="J841" s="2"/>
      <c r="K841" s="12"/>
      <c r="L841" s="2"/>
      <c r="M841" s="2"/>
      <c r="N841" s="67"/>
    </row>
    <row r="842" spans="1:14" x14ac:dyDescent="0.35">
      <c r="A842" s="61">
        <v>838</v>
      </c>
      <c r="B842" s="2"/>
      <c r="C842" s="2"/>
      <c r="D842" s="2"/>
      <c r="E842" s="10"/>
      <c r="F842" s="11"/>
      <c r="G842" s="2"/>
      <c r="H842" s="2"/>
      <c r="I842" s="2"/>
      <c r="J842" s="2"/>
      <c r="K842" s="12"/>
      <c r="L842" s="2"/>
      <c r="M842" s="2"/>
      <c r="N842" s="67"/>
    </row>
    <row r="843" spans="1:14" x14ac:dyDescent="0.35">
      <c r="A843" s="61">
        <v>839</v>
      </c>
      <c r="B843" s="2"/>
      <c r="C843" s="2"/>
      <c r="D843" s="2"/>
      <c r="E843" s="10"/>
      <c r="F843" s="11"/>
      <c r="G843" s="2"/>
      <c r="H843" s="2"/>
      <c r="I843" s="2"/>
      <c r="J843" s="2"/>
      <c r="K843" s="12"/>
      <c r="L843" s="2"/>
      <c r="M843" s="2"/>
      <c r="N843" s="67"/>
    </row>
    <row r="844" spans="1:14" x14ac:dyDescent="0.35">
      <c r="A844" s="61">
        <v>840</v>
      </c>
      <c r="B844" s="2"/>
      <c r="C844" s="2"/>
      <c r="D844" s="2"/>
      <c r="E844" s="10"/>
      <c r="F844" s="11"/>
      <c r="G844" s="2"/>
      <c r="H844" s="2"/>
      <c r="I844" s="2"/>
      <c r="J844" s="2"/>
      <c r="K844" s="12"/>
      <c r="L844" s="2"/>
      <c r="M844" s="2"/>
      <c r="N844" s="67"/>
    </row>
    <row r="845" spans="1:14" x14ac:dyDescent="0.35">
      <c r="A845" s="61">
        <v>841</v>
      </c>
      <c r="B845" s="2"/>
      <c r="C845" s="2"/>
      <c r="D845" s="2"/>
      <c r="E845" s="10"/>
      <c r="F845" s="11"/>
      <c r="G845" s="2"/>
      <c r="H845" s="2"/>
      <c r="I845" s="2"/>
      <c r="J845" s="2"/>
      <c r="K845" s="12"/>
      <c r="L845" s="2"/>
      <c r="M845" s="2"/>
      <c r="N845" s="67"/>
    </row>
    <row r="846" spans="1:14" x14ac:dyDescent="0.35">
      <c r="A846" s="61">
        <v>842</v>
      </c>
      <c r="B846" s="2"/>
      <c r="C846" s="2"/>
      <c r="D846" s="2"/>
      <c r="E846" s="10"/>
      <c r="F846" s="11"/>
      <c r="G846" s="2"/>
      <c r="H846" s="2"/>
      <c r="I846" s="2"/>
      <c r="J846" s="2"/>
      <c r="K846" s="12"/>
      <c r="L846" s="2"/>
      <c r="M846" s="2"/>
      <c r="N846" s="67"/>
    </row>
    <row r="847" spans="1:14" x14ac:dyDescent="0.35">
      <c r="A847" s="61">
        <v>843</v>
      </c>
      <c r="B847" s="2"/>
      <c r="C847" s="2"/>
      <c r="D847" s="2"/>
      <c r="E847" s="10"/>
      <c r="F847" s="11"/>
      <c r="G847" s="2"/>
      <c r="H847" s="2"/>
      <c r="I847" s="2"/>
      <c r="J847" s="2"/>
      <c r="K847" s="12"/>
      <c r="L847" s="2"/>
      <c r="M847" s="2"/>
      <c r="N847" s="67"/>
    </row>
    <row r="848" spans="1:14" x14ac:dyDescent="0.35">
      <c r="A848" s="61">
        <v>844</v>
      </c>
      <c r="B848" s="2"/>
      <c r="C848" s="2"/>
      <c r="D848" s="2"/>
      <c r="E848" s="10"/>
      <c r="F848" s="11"/>
      <c r="G848" s="2"/>
      <c r="H848" s="2"/>
      <c r="I848" s="2"/>
      <c r="J848" s="2"/>
      <c r="K848" s="12"/>
      <c r="L848" s="2"/>
      <c r="M848" s="2"/>
      <c r="N848" s="67"/>
    </row>
    <row r="849" spans="1:14" x14ac:dyDescent="0.35">
      <c r="A849" s="61">
        <v>845</v>
      </c>
      <c r="B849" s="2"/>
      <c r="C849" s="2"/>
      <c r="D849" s="2"/>
      <c r="E849" s="10"/>
      <c r="F849" s="11"/>
      <c r="G849" s="2"/>
      <c r="H849" s="2"/>
      <c r="I849" s="2"/>
      <c r="J849" s="2"/>
      <c r="K849" s="12"/>
      <c r="L849" s="2"/>
      <c r="M849" s="2"/>
      <c r="N849" s="67"/>
    </row>
    <row r="850" spans="1:14" x14ac:dyDescent="0.35">
      <c r="A850" s="61">
        <v>846</v>
      </c>
      <c r="B850" s="2"/>
      <c r="C850" s="2"/>
      <c r="D850" s="2"/>
      <c r="E850" s="10"/>
      <c r="F850" s="11"/>
      <c r="G850" s="2"/>
      <c r="H850" s="2"/>
      <c r="I850" s="2"/>
      <c r="J850" s="2"/>
      <c r="K850" s="12"/>
      <c r="L850" s="2"/>
      <c r="M850" s="2"/>
      <c r="N850" s="67"/>
    </row>
    <row r="851" spans="1:14" x14ac:dyDescent="0.35">
      <c r="A851" s="61">
        <v>847</v>
      </c>
      <c r="B851" s="2"/>
      <c r="C851" s="2"/>
      <c r="D851" s="2"/>
      <c r="E851" s="10"/>
      <c r="F851" s="11"/>
      <c r="G851" s="2"/>
      <c r="H851" s="2"/>
      <c r="I851" s="2"/>
      <c r="J851" s="2"/>
      <c r="K851" s="12"/>
      <c r="L851" s="2"/>
      <c r="M851" s="2"/>
      <c r="N851" s="67"/>
    </row>
    <row r="852" spans="1:14" x14ac:dyDescent="0.35">
      <c r="A852" s="61">
        <v>848</v>
      </c>
      <c r="B852" s="2"/>
      <c r="C852" s="2"/>
      <c r="D852" s="2"/>
      <c r="E852" s="10"/>
      <c r="F852" s="11"/>
      <c r="G852" s="2"/>
      <c r="H852" s="2"/>
      <c r="I852" s="2"/>
      <c r="J852" s="2"/>
      <c r="K852" s="12"/>
      <c r="L852" s="2"/>
      <c r="M852" s="2"/>
      <c r="N852" s="67"/>
    </row>
    <row r="853" spans="1:14" x14ac:dyDescent="0.35">
      <c r="A853" s="61">
        <v>849</v>
      </c>
      <c r="B853" s="2"/>
      <c r="C853" s="2"/>
      <c r="D853" s="2"/>
      <c r="E853" s="10"/>
      <c r="F853" s="11"/>
      <c r="G853" s="2"/>
      <c r="H853" s="2"/>
      <c r="I853" s="2"/>
      <c r="J853" s="2"/>
      <c r="K853" s="12"/>
      <c r="L853" s="2"/>
      <c r="M853" s="2"/>
      <c r="N853" s="67"/>
    </row>
    <row r="854" spans="1:14" x14ac:dyDescent="0.35">
      <c r="A854" s="61">
        <v>850</v>
      </c>
      <c r="B854" s="2"/>
      <c r="C854" s="2"/>
      <c r="D854" s="2"/>
      <c r="E854" s="10"/>
      <c r="F854" s="11"/>
      <c r="G854" s="2"/>
      <c r="H854" s="2"/>
      <c r="I854" s="2"/>
      <c r="J854" s="2"/>
      <c r="K854" s="12"/>
      <c r="L854" s="2"/>
      <c r="M854" s="2"/>
      <c r="N854" s="67"/>
    </row>
    <row r="855" spans="1:14" x14ac:dyDescent="0.35">
      <c r="A855" s="61">
        <v>851</v>
      </c>
      <c r="B855" s="2"/>
      <c r="C855" s="2"/>
      <c r="D855" s="2"/>
      <c r="E855" s="10"/>
      <c r="F855" s="11"/>
      <c r="G855" s="2"/>
      <c r="H855" s="2"/>
      <c r="I855" s="2"/>
      <c r="J855" s="2"/>
      <c r="K855" s="12"/>
      <c r="L855" s="2"/>
      <c r="M855" s="2"/>
      <c r="N855" s="67"/>
    </row>
    <row r="856" spans="1:14" x14ac:dyDescent="0.35">
      <c r="A856" s="61">
        <v>852</v>
      </c>
      <c r="B856" s="2"/>
      <c r="C856" s="2"/>
      <c r="D856" s="2"/>
      <c r="E856" s="10"/>
      <c r="F856" s="11"/>
      <c r="G856" s="2"/>
      <c r="H856" s="2"/>
      <c r="I856" s="2"/>
      <c r="J856" s="2"/>
      <c r="K856" s="12"/>
      <c r="L856" s="2"/>
      <c r="M856" s="2"/>
      <c r="N856" s="67"/>
    </row>
    <row r="857" spans="1:14" x14ac:dyDescent="0.35">
      <c r="A857" s="61">
        <v>853</v>
      </c>
      <c r="B857" s="2"/>
      <c r="C857" s="2"/>
      <c r="D857" s="2"/>
      <c r="E857" s="10"/>
      <c r="F857" s="11"/>
      <c r="G857" s="2"/>
      <c r="H857" s="2"/>
      <c r="I857" s="2"/>
      <c r="J857" s="2"/>
      <c r="K857" s="12"/>
      <c r="L857" s="2"/>
      <c r="M857" s="2"/>
      <c r="N857" s="67"/>
    </row>
    <row r="858" spans="1:14" x14ac:dyDescent="0.35">
      <c r="A858" s="61">
        <v>854</v>
      </c>
      <c r="B858" s="2"/>
      <c r="C858" s="2"/>
      <c r="D858" s="2"/>
      <c r="E858" s="10"/>
      <c r="F858" s="11"/>
      <c r="G858" s="2"/>
      <c r="H858" s="2"/>
      <c r="I858" s="2"/>
      <c r="J858" s="2"/>
      <c r="K858" s="12"/>
      <c r="L858" s="2"/>
      <c r="M858" s="2"/>
      <c r="N858" s="67"/>
    </row>
    <row r="859" spans="1:14" x14ac:dyDescent="0.35">
      <c r="A859" s="61">
        <v>855</v>
      </c>
      <c r="B859" s="2"/>
      <c r="C859" s="2"/>
      <c r="D859" s="2"/>
      <c r="E859" s="10"/>
      <c r="F859" s="11"/>
      <c r="G859" s="2"/>
      <c r="H859" s="2"/>
      <c r="I859" s="2"/>
      <c r="J859" s="2"/>
      <c r="K859" s="12"/>
      <c r="L859" s="2"/>
      <c r="M859" s="2"/>
      <c r="N859" s="67"/>
    </row>
    <row r="860" spans="1:14" x14ac:dyDescent="0.35">
      <c r="A860" s="61">
        <v>856</v>
      </c>
      <c r="B860" s="2"/>
      <c r="C860" s="2"/>
      <c r="D860" s="2"/>
      <c r="E860" s="10"/>
      <c r="F860" s="11"/>
      <c r="G860" s="2"/>
      <c r="H860" s="2"/>
      <c r="I860" s="2"/>
      <c r="J860" s="2"/>
      <c r="K860" s="12"/>
      <c r="L860" s="2"/>
      <c r="M860" s="2"/>
      <c r="N860" s="67"/>
    </row>
    <row r="861" spans="1:14" x14ac:dyDescent="0.35">
      <c r="A861" s="61">
        <v>857</v>
      </c>
      <c r="B861" s="2"/>
      <c r="C861" s="2"/>
      <c r="D861" s="2"/>
      <c r="E861" s="10"/>
      <c r="F861" s="11"/>
      <c r="G861" s="2"/>
      <c r="H861" s="2"/>
      <c r="I861" s="2"/>
      <c r="J861" s="2"/>
      <c r="K861" s="12"/>
      <c r="L861" s="2"/>
      <c r="M861" s="2"/>
      <c r="N861" s="67"/>
    </row>
    <row r="862" spans="1:14" x14ac:dyDescent="0.35">
      <c r="A862" s="61">
        <v>858</v>
      </c>
      <c r="B862" s="2"/>
      <c r="C862" s="2"/>
      <c r="D862" s="2"/>
      <c r="E862" s="10"/>
      <c r="F862" s="11"/>
      <c r="G862" s="2"/>
      <c r="H862" s="2"/>
      <c r="I862" s="2"/>
      <c r="J862" s="2"/>
      <c r="K862" s="12"/>
      <c r="L862" s="2"/>
      <c r="M862" s="2"/>
      <c r="N862" s="67"/>
    </row>
    <row r="863" spans="1:14" x14ac:dyDescent="0.35">
      <c r="A863" s="61">
        <v>859</v>
      </c>
      <c r="B863" s="2"/>
      <c r="C863" s="2"/>
      <c r="D863" s="2"/>
      <c r="E863" s="10"/>
      <c r="F863" s="11"/>
      <c r="G863" s="2"/>
      <c r="H863" s="2"/>
      <c r="I863" s="2"/>
      <c r="J863" s="2"/>
      <c r="K863" s="12"/>
      <c r="L863" s="2"/>
      <c r="M863" s="2"/>
      <c r="N863" s="67"/>
    </row>
    <row r="864" spans="1:14" x14ac:dyDescent="0.35">
      <c r="A864" s="61">
        <v>860</v>
      </c>
      <c r="B864" s="2"/>
      <c r="C864" s="2"/>
      <c r="D864" s="2"/>
      <c r="E864" s="10"/>
      <c r="F864" s="11"/>
      <c r="G864" s="2"/>
      <c r="H864" s="2"/>
      <c r="I864" s="2"/>
      <c r="J864" s="2"/>
      <c r="K864" s="12"/>
      <c r="L864" s="2"/>
      <c r="M864" s="2"/>
      <c r="N864" s="67"/>
    </row>
    <row r="865" spans="1:14" x14ac:dyDescent="0.35">
      <c r="A865" s="61">
        <v>861</v>
      </c>
      <c r="B865" s="2"/>
      <c r="C865" s="2"/>
      <c r="D865" s="2"/>
      <c r="E865" s="10"/>
      <c r="F865" s="11"/>
      <c r="G865" s="2"/>
      <c r="H865" s="2"/>
      <c r="I865" s="2"/>
      <c r="J865" s="2"/>
      <c r="K865" s="12"/>
      <c r="L865" s="2"/>
      <c r="M865" s="2"/>
      <c r="N865" s="67"/>
    </row>
    <row r="866" spans="1:14" x14ac:dyDescent="0.35">
      <c r="A866" s="61">
        <v>862</v>
      </c>
      <c r="B866" s="2"/>
      <c r="C866" s="2"/>
      <c r="D866" s="2"/>
      <c r="E866" s="10"/>
      <c r="F866" s="11"/>
      <c r="G866" s="2"/>
      <c r="H866" s="2"/>
      <c r="I866" s="2"/>
      <c r="J866" s="2"/>
      <c r="K866" s="12"/>
      <c r="L866" s="2"/>
      <c r="M866" s="2"/>
      <c r="N866" s="67"/>
    </row>
    <row r="867" spans="1:14" x14ac:dyDescent="0.35">
      <c r="A867" s="61">
        <v>863</v>
      </c>
      <c r="B867" s="2"/>
      <c r="C867" s="2"/>
      <c r="D867" s="2"/>
      <c r="E867" s="10"/>
      <c r="F867" s="11"/>
      <c r="G867" s="2"/>
      <c r="H867" s="2"/>
      <c r="I867" s="2"/>
      <c r="J867" s="2"/>
      <c r="K867" s="12"/>
      <c r="L867" s="2"/>
      <c r="M867" s="2"/>
      <c r="N867" s="67"/>
    </row>
    <row r="868" spans="1:14" x14ac:dyDescent="0.35">
      <c r="A868" s="61">
        <v>864</v>
      </c>
      <c r="B868" s="2"/>
      <c r="C868" s="2"/>
      <c r="D868" s="2"/>
      <c r="E868" s="10"/>
      <c r="F868" s="11"/>
      <c r="G868" s="2"/>
      <c r="H868" s="2"/>
      <c r="I868" s="2"/>
      <c r="J868" s="2"/>
      <c r="K868" s="12"/>
      <c r="L868" s="2"/>
      <c r="M868" s="2"/>
      <c r="N868" s="67"/>
    </row>
    <row r="869" spans="1:14" x14ac:dyDescent="0.35">
      <c r="A869" s="61">
        <v>865</v>
      </c>
      <c r="B869" s="2"/>
      <c r="C869" s="2"/>
      <c r="D869" s="2"/>
      <c r="E869" s="10"/>
      <c r="F869" s="11"/>
      <c r="G869" s="2"/>
      <c r="H869" s="2"/>
      <c r="I869" s="2"/>
      <c r="J869" s="2"/>
      <c r="K869" s="12"/>
      <c r="L869" s="2"/>
      <c r="M869" s="2"/>
      <c r="N869" s="67"/>
    </row>
    <row r="870" spans="1:14" x14ac:dyDescent="0.35">
      <c r="A870" s="61">
        <v>866</v>
      </c>
      <c r="B870" s="2"/>
      <c r="C870" s="2"/>
      <c r="D870" s="2"/>
      <c r="E870" s="10"/>
      <c r="F870" s="11"/>
      <c r="G870" s="2"/>
      <c r="H870" s="2"/>
      <c r="I870" s="2"/>
      <c r="J870" s="2"/>
      <c r="K870" s="12"/>
      <c r="L870" s="2"/>
      <c r="M870" s="2"/>
      <c r="N870" s="67"/>
    </row>
    <row r="871" spans="1:14" x14ac:dyDescent="0.35">
      <c r="A871" s="61">
        <v>867</v>
      </c>
      <c r="B871" s="2"/>
      <c r="C871" s="2"/>
      <c r="D871" s="2"/>
      <c r="E871" s="10"/>
      <c r="F871" s="11"/>
      <c r="G871" s="2"/>
      <c r="H871" s="2"/>
      <c r="I871" s="2"/>
      <c r="J871" s="2"/>
      <c r="K871" s="12"/>
      <c r="L871" s="2"/>
      <c r="M871" s="2"/>
      <c r="N871" s="67"/>
    </row>
    <row r="872" spans="1:14" x14ac:dyDescent="0.35">
      <c r="A872" s="61">
        <v>868</v>
      </c>
      <c r="B872" s="2"/>
      <c r="C872" s="2"/>
      <c r="D872" s="2"/>
      <c r="E872" s="10"/>
      <c r="F872" s="11"/>
      <c r="G872" s="2"/>
      <c r="H872" s="2"/>
      <c r="I872" s="2"/>
      <c r="J872" s="2"/>
      <c r="K872" s="12"/>
      <c r="L872" s="2"/>
      <c r="M872" s="2"/>
      <c r="N872" s="67"/>
    </row>
    <row r="873" spans="1:14" x14ac:dyDescent="0.35">
      <c r="A873" s="61">
        <v>869</v>
      </c>
      <c r="B873" s="2"/>
      <c r="C873" s="2"/>
      <c r="D873" s="2"/>
      <c r="E873" s="10"/>
      <c r="F873" s="11"/>
      <c r="G873" s="2"/>
      <c r="H873" s="2"/>
      <c r="I873" s="2"/>
      <c r="J873" s="2"/>
      <c r="K873" s="12"/>
      <c r="L873" s="2"/>
      <c r="M873" s="2"/>
      <c r="N873" s="67"/>
    </row>
    <row r="874" spans="1:14" x14ac:dyDescent="0.35">
      <c r="A874" s="61">
        <v>870</v>
      </c>
      <c r="B874" s="2"/>
      <c r="C874" s="2"/>
      <c r="D874" s="2"/>
      <c r="E874" s="10"/>
      <c r="F874" s="11"/>
      <c r="G874" s="2"/>
      <c r="H874" s="2"/>
      <c r="I874" s="2"/>
      <c r="J874" s="2"/>
      <c r="K874" s="12"/>
      <c r="L874" s="2"/>
      <c r="M874" s="2"/>
      <c r="N874" s="67"/>
    </row>
    <row r="875" spans="1:14" x14ac:dyDescent="0.35">
      <c r="A875" s="61">
        <v>871</v>
      </c>
      <c r="B875" s="2"/>
      <c r="C875" s="2"/>
      <c r="D875" s="2"/>
      <c r="E875" s="10"/>
      <c r="F875" s="11"/>
      <c r="G875" s="2"/>
      <c r="H875" s="2"/>
      <c r="I875" s="2"/>
      <c r="J875" s="2"/>
      <c r="K875" s="12"/>
      <c r="L875" s="2"/>
      <c r="M875" s="2"/>
      <c r="N875" s="67"/>
    </row>
    <row r="876" spans="1:14" x14ac:dyDescent="0.35">
      <c r="A876" s="61">
        <v>872</v>
      </c>
      <c r="B876" s="2"/>
      <c r="C876" s="2"/>
      <c r="D876" s="2"/>
      <c r="E876" s="10"/>
      <c r="F876" s="11"/>
      <c r="G876" s="2"/>
      <c r="H876" s="2"/>
      <c r="I876" s="2"/>
      <c r="J876" s="2"/>
      <c r="K876" s="12"/>
      <c r="L876" s="2"/>
      <c r="M876" s="2"/>
      <c r="N876" s="67"/>
    </row>
    <row r="877" spans="1:14" x14ac:dyDescent="0.35">
      <c r="A877" s="61">
        <v>873</v>
      </c>
      <c r="B877" s="2"/>
      <c r="C877" s="2"/>
      <c r="D877" s="2"/>
      <c r="E877" s="10"/>
      <c r="F877" s="11"/>
      <c r="G877" s="2"/>
      <c r="H877" s="2"/>
      <c r="I877" s="2"/>
      <c r="J877" s="2"/>
      <c r="K877" s="12"/>
      <c r="L877" s="2"/>
      <c r="M877" s="2"/>
      <c r="N877" s="67"/>
    </row>
    <row r="878" spans="1:14" x14ac:dyDescent="0.35">
      <c r="A878" s="61">
        <v>874</v>
      </c>
      <c r="B878" s="2"/>
      <c r="C878" s="2"/>
      <c r="D878" s="2"/>
      <c r="E878" s="10"/>
      <c r="F878" s="11"/>
      <c r="G878" s="2"/>
      <c r="H878" s="2"/>
      <c r="I878" s="2"/>
      <c r="J878" s="2"/>
      <c r="K878" s="12"/>
      <c r="L878" s="2"/>
      <c r="M878" s="2"/>
      <c r="N878" s="67"/>
    </row>
    <row r="879" spans="1:14" x14ac:dyDescent="0.35">
      <c r="A879" s="61">
        <v>875</v>
      </c>
      <c r="B879" s="2"/>
      <c r="C879" s="2"/>
      <c r="D879" s="2"/>
      <c r="E879" s="10"/>
      <c r="F879" s="11"/>
      <c r="G879" s="2"/>
      <c r="H879" s="2"/>
      <c r="I879" s="2"/>
      <c r="J879" s="2"/>
      <c r="K879" s="12"/>
      <c r="L879" s="2"/>
      <c r="M879" s="2"/>
      <c r="N879" s="67"/>
    </row>
    <row r="880" spans="1:14" x14ac:dyDescent="0.35">
      <c r="A880" s="61">
        <v>876</v>
      </c>
      <c r="B880" s="2"/>
      <c r="C880" s="2"/>
      <c r="D880" s="2"/>
      <c r="E880" s="10"/>
      <c r="F880" s="11"/>
      <c r="G880" s="2"/>
      <c r="H880" s="2"/>
      <c r="I880" s="2"/>
      <c r="J880" s="2"/>
      <c r="K880" s="12"/>
      <c r="L880" s="2"/>
      <c r="M880" s="2"/>
      <c r="N880" s="67"/>
    </row>
    <row r="881" spans="1:14" x14ac:dyDescent="0.35">
      <c r="A881" s="61">
        <v>877</v>
      </c>
      <c r="B881" s="2"/>
      <c r="C881" s="2"/>
      <c r="D881" s="2"/>
      <c r="E881" s="10"/>
      <c r="F881" s="11"/>
      <c r="G881" s="2"/>
      <c r="H881" s="2"/>
      <c r="I881" s="2"/>
      <c r="J881" s="2"/>
      <c r="K881" s="12"/>
      <c r="L881" s="2"/>
      <c r="M881" s="2"/>
      <c r="N881" s="67"/>
    </row>
    <row r="882" spans="1:14" x14ac:dyDescent="0.35">
      <c r="A882" s="61">
        <v>878</v>
      </c>
      <c r="B882" s="2"/>
      <c r="C882" s="2"/>
      <c r="D882" s="2"/>
      <c r="E882" s="10"/>
      <c r="F882" s="11"/>
      <c r="G882" s="2"/>
      <c r="H882" s="2"/>
      <c r="I882" s="2"/>
      <c r="J882" s="2"/>
      <c r="K882" s="12"/>
      <c r="L882" s="2"/>
      <c r="M882" s="2"/>
      <c r="N882" s="67"/>
    </row>
    <row r="883" spans="1:14" x14ac:dyDescent="0.35">
      <c r="A883" s="61">
        <v>879</v>
      </c>
      <c r="B883" s="2"/>
      <c r="C883" s="2"/>
      <c r="D883" s="2"/>
      <c r="E883" s="10"/>
      <c r="F883" s="11"/>
      <c r="G883" s="2"/>
      <c r="H883" s="2"/>
      <c r="I883" s="2"/>
      <c r="J883" s="2"/>
      <c r="K883" s="12"/>
      <c r="L883" s="2"/>
      <c r="M883" s="2"/>
      <c r="N883" s="67"/>
    </row>
    <row r="884" spans="1:14" x14ac:dyDescent="0.35">
      <c r="A884" s="61">
        <v>880</v>
      </c>
      <c r="B884" s="2"/>
      <c r="C884" s="2"/>
      <c r="D884" s="2"/>
      <c r="E884" s="10"/>
      <c r="F884" s="11"/>
      <c r="G884" s="2"/>
      <c r="H884" s="2"/>
      <c r="I884" s="2"/>
      <c r="J884" s="2"/>
      <c r="K884" s="12"/>
      <c r="L884" s="2"/>
      <c r="M884" s="2"/>
      <c r="N884" s="67"/>
    </row>
    <row r="885" spans="1:14" x14ac:dyDescent="0.35">
      <c r="A885" s="61">
        <v>881</v>
      </c>
      <c r="B885" s="2"/>
      <c r="C885" s="2"/>
      <c r="D885" s="2"/>
      <c r="E885" s="10"/>
      <c r="F885" s="11"/>
      <c r="G885" s="2"/>
      <c r="H885" s="2"/>
      <c r="I885" s="2"/>
      <c r="J885" s="2"/>
      <c r="K885" s="12"/>
      <c r="L885" s="2"/>
      <c r="M885" s="2"/>
      <c r="N885" s="67"/>
    </row>
    <row r="886" spans="1:14" x14ac:dyDescent="0.35">
      <c r="A886" s="61">
        <v>882</v>
      </c>
      <c r="B886" s="2"/>
      <c r="C886" s="2"/>
      <c r="D886" s="2"/>
      <c r="E886" s="10"/>
      <c r="F886" s="11"/>
      <c r="G886" s="2"/>
      <c r="H886" s="2"/>
      <c r="I886" s="2"/>
      <c r="J886" s="2"/>
      <c r="K886" s="12"/>
      <c r="L886" s="2"/>
      <c r="M886" s="2"/>
      <c r="N886" s="67"/>
    </row>
    <row r="887" spans="1:14" x14ac:dyDescent="0.35">
      <c r="A887" s="61">
        <v>883</v>
      </c>
      <c r="B887" s="2"/>
      <c r="C887" s="2"/>
      <c r="D887" s="2"/>
      <c r="E887" s="10"/>
      <c r="F887" s="11"/>
      <c r="G887" s="2"/>
      <c r="H887" s="2"/>
      <c r="I887" s="2"/>
      <c r="J887" s="2"/>
      <c r="K887" s="12"/>
      <c r="L887" s="2"/>
      <c r="M887" s="2"/>
      <c r="N887" s="67"/>
    </row>
    <row r="888" spans="1:14" x14ac:dyDescent="0.35">
      <c r="A888" s="61">
        <v>884</v>
      </c>
      <c r="B888" s="2"/>
      <c r="C888" s="2"/>
      <c r="D888" s="2"/>
      <c r="E888" s="10"/>
      <c r="F888" s="11"/>
      <c r="G888" s="2"/>
      <c r="H888" s="2"/>
      <c r="I888" s="2"/>
      <c r="J888" s="2"/>
      <c r="K888" s="12"/>
      <c r="L888" s="2"/>
      <c r="M888" s="2"/>
      <c r="N888" s="67"/>
    </row>
    <row r="889" spans="1:14" x14ac:dyDescent="0.35">
      <c r="A889" s="61">
        <v>885</v>
      </c>
      <c r="B889" s="2"/>
      <c r="C889" s="2"/>
      <c r="D889" s="2"/>
      <c r="E889" s="10"/>
      <c r="F889" s="11"/>
      <c r="G889" s="2"/>
      <c r="H889" s="2"/>
      <c r="I889" s="2"/>
      <c r="J889" s="2"/>
      <c r="K889" s="12"/>
      <c r="L889" s="2"/>
      <c r="M889" s="2"/>
      <c r="N889" s="67"/>
    </row>
    <row r="890" spans="1:14" x14ac:dyDescent="0.35">
      <c r="A890" s="61">
        <v>886</v>
      </c>
      <c r="B890" s="2"/>
      <c r="C890" s="2"/>
      <c r="D890" s="2"/>
      <c r="E890" s="10"/>
      <c r="F890" s="11"/>
      <c r="G890" s="2"/>
      <c r="H890" s="2"/>
      <c r="I890" s="2"/>
      <c r="J890" s="2"/>
      <c r="K890" s="12"/>
      <c r="L890" s="2"/>
      <c r="M890" s="2"/>
      <c r="N890" s="67"/>
    </row>
    <row r="891" spans="1:14" x14ac:dyDescent="0.35">
      <c r="A891" s="61">
        <v>887</v>
      </c>
      <c r="B891" s="2"/>
      <c r="C891" s="2"/>
      <c r="D891" s="2"/>
      <c r="E891" s="10"/>
      <c r="F891" s="11"/>
      <c r="G891" s="2"/>
      <c r="H891" s="2"/>
      <c r="I891" s="2"/>
      <c r="J891" s="2"/>
      <c r="K891" s="12"/>
      <c r="L891" s="2"/>
      <c r="M891" s="2"/>
      <c r="N891" s="67"/>
    </row>
    <row r="892" spans="1:14" x14ac:dyDescent="0.35">
      <c r="A892" s="61">
        <v>888</v>
      </c>
      <c r="B892" s="2"/>
      <c r="C892" s="2"/>
      <c r="D892" s="2"/>
      <c r="E892" s="10"/>
      <c r="F892" s="11"/>
      <c r="G892" s="2"/>
      <c r="H892" s="2"/>
      <c r="I892" s="2"/>
      <c r="J892" s="2"/>
      <c r="K892" s="12"/>
      <c r="L892" s="2"/>
      <c r="M892" s="2"/>
      <c r="N892" s="67"/>
    </row>
    <row r="893" spans="1:14" x14ac:dyDescent="0.35">
      <c r="A893" s="61">
        <v>889</v>
      </c>
      <c r="B893" s="2"/>
      <c r="C893" s="2"/>
      <c r="D893" s="2"/>
      <c r="E893" s="10"/>
      <c r="F893" s="11"/>
      <c r="G893" s="2"/>
      <c r="H893" s="2"/>
      <c r="I893" s="2"/>
      <c r="J893" s="2"/>
      <c r="K893" s="12"/>
      <c r="L893" s="2"/>
      <c r="M893" s="2"/>
      <c r="N893" s="67"/>
    </row>
    <row r="894" spans="1:14" x14ac:dyDescent="0.35">
      <c r="A894" s="61">
        <v>890</v>
      </c>
      <c r="B894" s="2"/>
      <c r="C894" s="2"/>
      <c r="D894" s="2"/>
      <c r="E894" s="10"/>
      <c r="F894" s="11"/>
      <c r="G894" s="2"/>
      <c r="H894" s="2"/>
      <c r="I894" s="2"/>
      <c r="J894" s="2"/>
      <c r="K894" s="12"/>
      <c r="L894" s="2"/>
      <c r="M894" s="2"/>
      <c r="N894" s="67"/>
    </row>
    <row r="895" spans="1:14" x14ac:dyDescent="0.35">
      <c r="A895" s="61">
        <v>891</v>
      </c>
      <c r="B895" s="2"/>
      <c r="C895" s="2"/>
      <c r="D895" s="2"/>
      <c r="E895" s="10"/>
      <c r="F895" s="11"/>
      <c r="G895" s="2"/>
      <c r="H895" s="2"/>
      <c r="I895" s="2"/>
      <c r="J895" s="2"/>
      <c r="K895" s="12"/>
      <c r="L895" s="2"/>
      <c r="M895" s="2"/>
      <c r="N895" s="67"/>
    </row>
    <row r="896" spans="1:14" x14ac:dyDescent="0.35">
      <c r="A896" s="61">
        <v>892</v>
      </c>
      <c r="B896" s="2"/>
      <c r="C896" s="2"/>
      <c r="D896" s="2"/>
      <c r="E896" s="10"/>
      <c r="F896" s="11"/>
      <c r="G896" s="2"/>
      <c r="H896" s="2"/>
      <c r="I896" s="2"/>
      <c r="J896" s="2"/>
      <c r="K896" s="12"/>
      <c r="L896" s="2"/>
      <c r="M896" s="2"/>
      <c r="N896" s="67"/>
    </row>
    <row r="897" spans="1:14" x14ac:dyDescent="0.35">
      <c r="A897" s="61">
        <v>893</v>
      </c>
      <c r="B897" s="2"/>
      <c r="C897" s="2"/>
      <c r="D897" s="2"/>
      <c r="E897" s="10"/>
      <c r="F897" s="11"/>
      <c r="G897" s="2"/>
      <c r="H897" s="2"/>
      <c r="I897" s="2"/>
      <c r="J897" s="2"/>
      <c r="K897" s="12"/>
      <c r="L897" s="2"/>
      <c r="M897" s="2"/>
      <c r="N897" s="67"/>
    </row>
    <row r="898" spans="1:14" x14ac:dyDescent="0.35">
      <c r="A898" s="61">
        <v>894</v>
      </c>
      <c r="B898" s="2"/>
      <c r="C898" s="2"/>
      <c r="D898" s="2"/>
      <c r="E898" s="10"/>
      <c r="F898" s="11"/>
      <c r="G898" s="2"/>
      <c r="H898" s="2"/>
      <c r="I898" s="2"/>
      <c r="J898" s="2"/>
      <c r="K898" s="12"/>
      <c r="L898" s="2"/>
      <c r="M898" s="2"/>
      <c r="N898" s="67"/>
    </row>
    <row r="899" spans="1:14" x14ac:dyDescent="0.35">
      <c r="A899" s="61">
        <v>895</v>
      </c>
      <c r="B899" s="2"/>
      <c r="C899" s="2"/>
      <c r="D899" s="2"/>
      <c r="E899" s="10"/>
      <c r="F899" s="11"/>
      <c r="G899" s="2"/>
      <c r="H899" s="2"/>
      <c r="I899" s="2"/>
      <c r="J899" s="2"/>
      <c r="K899" s="12"/>
      <c r="L899" s="2"/>
      <c r="M899" s="2"/>
      <c r="N899" s="67"/>
    </row>
    <row r="900" spans="1:14" x14ac:dyDescent="0.35">
      <c r="A900" s="61">
        <v>896</v>
      </c>
      <c r="B900" s="2"/>
      <c r="C900" s="2"/>
      <c r="D900" s="2"/>
      <c r="E900" s="10"/>
      <c r="F900" s="11"/>
      <c r="G900" s="2"/>
      <c r="H900" s="2"/>
      <c r="I900" s="2"/>
      <c r="J900" s="2"/>
      <c r="K900" s="12"/>
      <c r="L900" s="2"/>
      <c r="M900" s="2"/>
      <c r="N900" s="67"/>
    </row>
    <row r="901" spans="1:14" x14ac:dyDescent="0.35">
      <c r="A901" s="61">
        <v>897</v>
      </c>
      <c r="B901" s="2"/>
      <c r="C901" s="2"/>
      <c r="D901" s="2"/>
      <c r="E901" s="10"/>
      <c r="F901" s="11"/>
      <c r="G901" s="2"/>
      <c r="H901" s="2"/>
      <c r="I901" s="2"/>
      <c r="J901" s="2"/>
      <c r="K901" s="12"/>
      <c r="L901" s="2"/>
      <c r="M901" s="2"/>
      <c r="N901" s="67"/>
    </row>
    <row r="902" spans="1:14" x14ac:dyDescent="0.35">
      <c r="A902" s="61">
        <v>898</v>
      </c>
      <c r="B902" s="2"/>
      <c r="C902" s="2"/>
      <c r="D902" s="2"/>
      <c r="E902" s="10"/>
      <c r="F902" s="11"/>
      <c r="G902" s="2"/>
      <c r="H902" s="2"/>
      <c r="I902" s="2"/>
      <c r="J902" s="2"/>
      <c r="K902" s="12"/>
      <c r="L902" s="2"/>
      <c r="M902" s="2"/>
      <c r="N902" s="67"/>
    </row>
    <row r="903" spans="1:14" x14ac:dyDescent="0.35">
      <c r="A903" s="61">
        <v>899</v>
      </c>
      <c r="B903" s="2"/>
      <c r="C903" s="2"/>
      <c r="D903" s="2"/>
      <c r="E903" s="10"/>
      <c r="F903" s="11"/>
      <c r="G903" s="2"/>
      <c r="H903" s="2"/>
      <c r="I903" s="2"/>
      <c r="J903" s="2"/>
      <c r="K903" s="12"/>
      <c r="L903" s="2"/>
      <c r="M903" s="2"/>
      <c r="N903" s="67"/>
    </row>
    <row r="904" spans="1:14" x14ac:dyDescent="0.35">
      <c r="A904" s="61">
        <v>900</v>
      </c>
      <c r="B904" s="2"/>
      <c r="C904" s="2"/>
      <c r="D904" s="2"/>
      <c r="E904" s="10"/>
      <c r="F904" s="11"/>
      <c r="G904" s="2"/>
      <c r="H904" s="2"/>
      <c r="I904" s="2"/>
      <c r="J904" s="2"/>
      <c r="K904" s="12"/>
      <c r="L904" s="2"/>
      <c r="M904" s="2"/>
      <c r="N904" s="67"/>
    </row>
    <row r="905" spans="1:14" x14ac:dyDescent="0.35">
      <c r="A905" s="61">
        <v>901</v>
      </c>
      <c r="B905" s="2"/>
      <c r="C905" s="2"/>
      <c r="D905" s="2"/>
      <c r="E905" s="10"/>
      <c r="F905" s="11"/>
      <c r="G905" s="2"/>
      <c r="H905" s="2"/>
      <c r="I905" s="2"/>
      <c r="J905" s="2"/>
      <c r="K905" s="12"/>
      <c r="L905" s="2"/>
      <c r="M905" s="2"/>
      <c r="N905" s="67"/>
    </row>
    <row r="906" spans="1:14" x14ac:dyDescent="0.35">
      <c r="A906" s="61">
        <v>902</v>
      </c>
      <c r="B906" s="2"/>
      <c r="C906" s="2"/>
      <c r="D906" s="2"/>
      <c r="E906" s="10"/>
      <c r="F906" s="11"/>
      <c r="G906" s="2"/>
      <c r="H906" s="2"/>
      <c r="I906" s="2"/>
      <c r="J906" s="2"/>
      <c r="K906" s="12"/>
      <c r="L906" s="2"/>
      <c r="M906" s="2"/>
      <c r="N906" s="67"/>
    </row>
    <row r="907" spans="1:14" x14ac:dyDescent="0.35">
      <c r="A907" s="61">
        <v>903</v>
      </c>
      <c r="B907" s="2"/>
      <c r="C907" s="2"/>
      <c r="D907" s="2"/>
      <c r="E907" s="10"/>
      <c r="F907" s="11"/>
      <c r="G907" s="2"/>
      <c r="H907" s="2"/>
      <c r="I907" s="2"/>
      <c r="J907" s="2"/>
      <c r="K907" s="12"/>
      <c r="L907" s="2"/>
      <c r="M907" s="2"/>
      <c r="N907" s="67"/>
    </row>
    <row r="908" spans="1:14" x14ac:dyDescent="0.35">
      <c r="A908" s="61">
        <v>904</v>
      </c>
      <c r="B908" s="2"/>
      <c r="C908" s="2"/>
      <c r="D908" s="2"/>
      <c r="E908" s="10"/>
      <c r="F908" s="11"/>
      <c r="G908" s="2"/>
      <c r="H908" s="2"/>
      <c r="I908" s="2"/>
      <c r="J908" s="2"/>
      <c r="K908" s="12"/>
      <c r="L908" s="2"/>
      <c r="M908" s="2"/>
      <c r="N908" s="67"/>
    </row>
    <row r="909" spans="1:14" x14ac:dyDescent="0.35">
      <c r="A909" s="61">
        <v>905</v>
      </c>
      <c r="B909" s="2"/>
      <c r="C909" s="2"/>
      <c r="D909" s="2"/>
      <c r="E909" s="10"/>
      <c r="F909" s="11"/>
      <c r="G909" s="2"/>
      <c r="H909" s="2"/>
      <c r="I909" s="2"/>
      <c r="J909" s="2"/>
      <c r="K909" s="12"/>
      <c r="L909" s="2"/>
      <c r="M909" s="2"/>
      <c r="N909" s="67"/>
    </row>
    <row r="910" spans="1:14" x14ac:dyDescent="0.35">
      <c r="A910" s="61">
        <v>906</v>
      </c>
      <c r="B910" s="2"/>
      <c r="C910" s="2"/>
      <c r="D910" s="2"/>
      <c r="E910" s="10"/>
      <c r="F910" s="11"/>
      <c r="G910" s="2"/>
      <c r="H910" s="2"/>
      <c r="I910" s="2"/>
      <c r="J910" s="2"/>
      <c r="K910" s="12"/>
      <c r="L910" s="2"/>
      <c r="M910" s="2"/>
      <c r="N910" s="67"/>
    </row>
    <row r="911" spans="1:14" x14ac:dyDescent="0.35">
      <c r="A911" s="61">
        <v>907</v>
      </c>
      <c r="B911" s="2"/>
      <c r="C911" s="2"/>
      <c r="D911" s="2"/>
      <c r="E911" s="10"/>
      <c r="F911" s="11"/>
      <c r="G911" s="2"/>
      <c r="H911" s="2"/>
      <c r="I911" s="2"/>
      <c r="J911" s="2"/>
      <c r="K911" s="12"/>
      <c r="L911" s="2"/>
      <c r="M911" s="2"/>
      <c r="N911" s="67"/>
    </row>
    <row r="912" spans="1:14" x14ac:dyDescent="0.35">
      <c r="A912" s="61">
        <v>908</v>
      </c>
      <c r="B912" s="2"/>
      <c r="C912" s="2"/>
      <c r="D912" s="2"/>
      <c r="E912" s="10"/>
      <c r="F912" s="11"/>
      <c r="G912" s="2"/>
      <c r="H912" s="2"/>
      <c r="I912" s="2"/>
      <c r="J912" s="2"/>
      <c r="K912" s="12"/>
      <c r="L912" s="2"/>
      <c r="M912" s="2"/>
      <c r="N912" s="67"/>
    </row>
    <row r="913" spans="1:14" x14ac:dyDescent="0.35">
      <c r="A913" s="61">
        <v>909</v>
      </c>
      <c r="B913" s="2"/>
      <c r="C913" s="2"/>
      <c r="D913" s="2"/>
      <c r="E913" s="10"/>
      <c r="F913" s="11"/>
      <c r="G913" s="2"/>
      <c r="H913" s="2"/>
      <c r="I913" s="2"/>
      <c r="J913" s="2"/>
      <c r="K913" s="12"/>
      <c r="L913" s="2"/>
      <c r="M913" s="2"/>
      <c r="N913" s="67"/>
    </row>
    <row r="914" spans="1:14" x14ac:dyDescent="0.35">
      <c r="A914" s="61">
        <v>910</v>
      </c>
      <c r="B914" s="2"/>
      <c r="C914" s="2"/>
      <c r="D914" s="2"/>
      <c r="E914" s="10"/>
      <c r="F914" s="11"/>
      <c r="G914" s="2"/>
      <c r="H914" s="2"/>
      <c r="I914" s="2"/>
      <c r="J914" s="2"/>
      <c r="K914" s="12"/>
      <c r="L914" s="2"/>
      <c r="M914" s="2"/>
      <c r="N914" s="67"/>
    </row>
    <row r="915" spans="1:14" x14ac:dyDescent="0.35">
      <c r="A915" s="61">
        <v>911</v>
      </c>
      <c r="B915" s="2"/>
      <c r="C915" s="2"/>
      <c r="D915" s="2"/>
      <c r="E915" s="10"/>
      <c r="F915" s="11"/>
      <c r="G915" s="2"/>
      <c r="H915" s="2"/>
      <c r="I915" s="2"/>
      <c r="J915" s="2"/>
      <c r="K915" s="12"/>
      <c r="L915" s="2"/>
      <c r="M915" s="2"/>
      <c r="N915" s="67"/>
    </row>
    <row r="916" spans="1:14" x14ac:dyDescent="0.35">
      <c r="A916" s="61">
        <v>912</v>
      </c>
      <c r="B916" s="2"/>
      <c r="C916" s="2"/>
      <c r="D916" s="2"/>
      <c r="E916" s="10"/>
      <c r="F916" s="11"/>
      <c r="G916" s="2"/>
      <c r="H916" s="2"/>
      <c r="I916" s="2"/>
      <c r="J916" s="2"/>
      <c r="K916" s="12"/>
      <c r="L916" s="2"/>
      <c r="M916" s="2"/>
      <c r="N916" s="67"/>
    </row>
    <row r="917" spans="1:14" x14ac:dyDescent="0.35">
      <c r="A917" s="61">
        <v>913</v>
      </c>
      <c r="B917" s="2"/>
      <c r="C917" s="2"/>
      <c r="D917" s="2"/>
      <c r="E917" s="10"/>
      <c r="F917" s="11"/>
      <c r="G917" s="2"/>
      <c r="H917" s="2"/>
      <c r="I917" s="2"/>
      <c r="J917" s="2"/>
      <c r="K917" s="12"/>
      <c r="L917" s="2"/>
      <c r="M917" s="2"/>
      <c r="N917" s="67"/>
    </row>
    <row r="918" spans="1:14" x14ac:dyDescent="0.35">
      <c r="A918" s="61">
        <v>914</v>
      </c>
      <c r="B918" s="2"/>
      <c r="C918" s="2"/>
      <c r="D918" s="2"/>
      <c r="E918" s="10"/>
      <c r="F918" s="11"/>
      <c r="G918" s="2"/>
      <c r="H918" s="2"/>
      <c r="I918" s="2"/>
      <c r="J918" s="2"/>
      <c r="K918" s="12"/>
      <c r="L918" s="2"/>
      <c r="M918" s="2"/>
      <c r="N918" s="67"/>
    </row>
    <row r="919" spans="1:14" x14ac:dyDescent="0.35">
      <c r="A919" s="61">
        <v>915</v>
      </c>
      <c r="B919" s="2"/>
      <c r="C919" s="2"/>
      <c r="D919" s="2"/>
      <c r="E919" s="10"/>
      <c r="F919" s="11"/>
      <c r="G919" s="2"/>
      <c r="H919" s="2"/>
      <c r="I919" s="2"/>
      <c r="J919" s="2"/>
      <c r="K919" s="12"/>
      <c r="L919" s="2"/>
      <c r="M919" s="2"/>
      <c r="N919" s="67"/>
    </row>
    <row r="920" spans="1:14" x14ac:dyDescent="0.35">
      <c r="A920" s="61">
        <v>916</v>
      </c>
      <c r="B920" s="2"/>
      <c r="C920" s="2"/>
      <c r="D920" s="2"/>
      <c r="E920" s="10"/>
      <c r="F920" s="11"/>
      <c r="G920" s="2"/>
      <c r="H920" s="2"/>
      <c r="I920" s="2"/>
      <c r="J920" s="2"/>
      <c r="K920" s="12"/>
      <c r="L920" s="2"/>
      <c r="M920" s="2"/>
      <c r="N920" s="67"/>
    </row>
    <row r="921" spans="1:14" x14ac:dyDescent="0.35">
      <c r="A921" s="61">
        <v>917</v>
      </c>
      <c r="B921" s="2"/>
      <c r="C921" s="2"/>
      <c r="D921" s="2"/>
      <c r="E921" s="10"/>
      <c r="F921" s="11"/>
      <c r="G921" s="2"/>
      <c r="H921" s="2"/>
      <c r="I921" s="2"/>
      <c r="J921" s="2"/>
      <c r="K921" s="12"/>
      <c r="L921" s="2"/>
      <c r="M921" s="2"/>
      <c r="N921" s="67"/>
    </row>
    <row r="922" spans="1:14" x14ac:dyDescent="0.35">
      <c r="A922" s="61">
        <v>918</v>
      </c>
      <c r="B922" s="2"/>
      <c r="C922" s="2"/>
      <c r="D922" s="2"/>
      <c r="E922" s="10"/>
      <c r="F922" s="11"/>
      <c r="G922" s="2"/>
      <c r="H922" s="2"/>
      <c r="I922" s="2"/>
      <c r="J922" s="2"/>
      <c r="K922" s="12"/>
      <c r="L922" s="2"/>
      <c r="M922" s="2"/>
      <c r="N922" s="67"/>
    </row>
    <row r="923" spans="1:14" x14ac:dyDescent="0.35">
      <c r="A923" s="61">
        <v>919</v>
      </c>
      <c r="B923" s="2"/>
      <c r="C923" s="2"/>
      <c r="D923" s="2"/>
      <c r="E923" s="10"/>
      <c r="F923" s="11"/>
      <c r="G923" s="2"/>
      <c r="H923" s="2"/>
      <c r="I923" s="2"/>
      <c r="J923" s="2"/>
      <c r="K923" s="12"/>
      <c r="L923" s="2"/>
      <c r="M923" s="2"/>
      <c r="N923" s="67"/>
    </row>
    <row r="924" spans="1:14" x14ac:dyDescent="0.35">
      <c r="A924" s="61">
        <v>920</v>
      </c>
      <c r="B924" s="2"/>
      <c r="C924" s="2"/>
      <c r="D924" s="2"/>
      <c r="E924" s="10"/>
      <c r="F924" s="11"/>
      <c r="G924" s="2"/>
      <c r="H924" s="2"/>
      <c r="I924" s="2"/>
      <c r="J924" s="2"/>
      <c r="K924" s="12"/>
      <c r="L924" s="2"/>
      <c r="M924" s="2"/>
      <c r="N924" s="67"/>
    </row>
    <row r="925" spans="1:14" x14ac:dyDescent="0.35">
      <c r="A925" s="61">
        <v>921</v>
      </c>
      <c r="B925" s="2"/>
      <c r="C925" s="2"/>
      <c r="D925" s="2"/>
      <c r="E925" s="10"/>
      <c r="F925" s="11"/>
      <c r="G925" s="2"/>
      <c r="H925" s="2"/>
      <c r="I925" s="2"/>
      <c r="J925" s="2"/>
      <c r="K925" s="12"/>
      <c r="L925" s="2"/>
      <c r="M925" s="2"/>
      <c r="N925" s="67"/>
    </row>
    <row r="926" spans="1:14" x14ac:dyDescent="0.35">
      <c r="A926" s="61">
        <v>922</v>
      </c>
      <c r="B926" s="2"/>
      <c r="C926" s="2"/>
      <c r="D926" s="2"/>
      <c r="E926" s="10"/>
      <c r="F926" s="11"/>
      <c r="G926" s="2"/>
      <c r="H926" s="2"/>
      <c r="I926" s="2"/>
      <c r="J926" s="2"/>
      <c r="K926" s="12"/>
      <c r="L926" s="2"/>
      <c r="M926" s="2"/>
      <c r="N926" s="67"/>
    </row>
    <row r="927" spans="1:14" x14ac:dyDescent="0.35">
      <c r="A927" s="61">
        <v>923</v>
      </c>
      <c r="B927" s="2"/>
      <c r="C927" s="2"/>
      <c r="D927" s="2"/>
      <c r="E927" s="10"/>
      <c r="F927" s="11"/>
      <c r="G927" s="2"/>
      <c r="H927" s="2"/>
      <c r="I927" s="2"/>
      <c r="J927" s="2"/>
      <c r="K927" s="12"/>
      <c r="L927" s="2"/>
      <c r="M927" s="2"/>
      <c r="N927" s="67"/>
    </row>
    <row r="928" spans="1:14" x14ac:dyDescent="0.35">
      <c r="A928" s="61">
        <v>924</v>
      </c>
      <c r="B928" s="2"/>
      <c r="C928" s="2"/>
      <c r="D928" s="2"/>
      <c r="E928" s="10"/>
      <c r="F928" s="11"/>
      <c r="G928" s="2"/>
      <c r="H928" s="2"/>
      <c r="I928" s="2"/>
      <c r="J928" s="2"/>
      <c r="K928" s="12"/>
      <c r="L928" s="2"/>
      <c r="M928" s="2"/>
      <c r="N928" s="67"/>
    </row>
    <row r="929" spans="1:14" x14ac:dyDescent="0.35">
      <c r="A929" s="61">
        <v>925</v>
      </c>
      <c r="B929" s="2"/>
      <c r="C929" s="2"/>
      <c r="D929" s="2"/>
      <c r="E929" s="10"/>
      <c r="F929" s="11"/>
      <c r="G929" s="2"/>
      <c r="H929" s="2"/>
      <c r="I929" s="2"/>
      <c r="J929" s="2"/>
      <c r="K929" s="12"/>
      <c r="L929" s="2"/>
      <c r="M929" s="2"/>
      <c r="N929" s="67"/>
    </row>
    <row r="930" spans="1:14" x14ac:dyDescent="0.35">
      <c r="A930" s="61">
        <v>926</v>
      </c>
      <c r="B930" s="2"/>
      <c r="C930" s="2"/>
      <c r="D930" s="2"/>
      <c r="E930" s="10"/>
      <c r="F930" s="11"/>
      <c r="G930" s="2"/>
      <c r="H930" s="2"/>
      <c r="I930" s="2"/>
      <c r="J930" s="2"/>
      <c r="K930" s="12"/>
      <c r="L930" s="2"/>
      <c r="M930" s="2"/>
      <c r="N930" s="67"/>
    </row>
    <row r="931" spans="1:14" x14ac:dyDescent="0.35">
      <c r="A931" s="61">
        <v>927</v>
      </c>
      <c r="B931" s="2"/>
      <c r="C931" s="2"/>
      <c r="D931" s="2"/>
      <c r="E931" s="10"/>
      <c r="F931" s="11"/>
      <c r="G931" s="2"/>
      <c r="H931" s="2"/>
      <c r="I931" s="2"/>
      <c r="J931" s="2"/>
      <c r="K931" s="12"/>
      <c r="L931" s="2"/>
      <c r="M931" s="2"/>
      <c r="N931" s="67"/>
    </row>
    <row r="932" spans="1:14" x14ac:dyDescent="0.35">
      <c r="A932" s="61">
        <v>928</v>
      </c>
      <c r="B932" s="2"/>
      <c r="C932" s="2"/>
      <c r="D932" s="2"/>
      <c r="E932" s="10"/>
      <c r="F932" s="11"/>
      <c r="G932" s="2"/>
      <c r="H932" s="2"/>
      <c r="I932" s="2"/>
      <c r="J932" s="2"/>
      <c r="K932" s="12"/>
      <c r="L932" s="2"/>
      <c r="M932" s="2"/>
      <c r="N932" s="67"/>
    </row>
    <row r="933" spans="1:14" x14ac:dyDescent="0.35">
      <c r="A933" s="61">
        <v>929</v>
      </c>
      <c r="B933" s="2"/>
      <c r="C933" s="2"/>
      <c r="D933" s="2"/>
      <c r="E933" s="10"/>
      <c r="F933" s="11"/>
      <c r="G933" s="2"/>
      <c r="H933" s="2"/>
      <c r="I933" s="2"/>
      <c r="J933" s="2"/>
      <c r="K933" s="12"/>
      <c r="L933" s="2"/>
      <c r="M933" s="2"/>
      <c r="N933" s="67"/>
    </row>
    <row r="934" spans="1:14" x14ac:dyDescent="0.35">
      <c r="A934" s="61">
        <v>930</v>
      </c>
      <c r="B934" s="2"/>
      <c r="C934" s="2"/>
      <c r="D934" s="2"/>
      <c r="E934" s="10"/>
      <c r="F934" s="11"/>
      <c r="G934" s="2"/>
      <c r="H934" s="2"/>
      <c r="I934" s="2"/>
      <c r="J934" s="2"/>
      <c r="K934" s="12"/>
      <c r="L934" s="2"/>
      <c r="M934" s="2"/>
      <c r="N934" s="67"/>
    </row>
    <row r="935" spans="1:14" x14ac:dyDescent="0.35">
      <c r="A935" s="61">
        <v>931</v>
      </c>
      <c r="B935" s="2"/>
      <c r="C935" s="2"/>
      <c r="D935" s="2"/>
      <c r="E935" s="10"/>
      <c r="F935" s="11"/>
      <c r="G935" s="2"/>
      <c r="H935" s="2"/>
      <c r="I935" s="2"/>
      <c r="J935" s="2"/>
      <c r="K935" s="12"/>
      <c r="L935" s="2"/>
      <c r="M935" s="2"/>
      <c r="N935" s="67"/>
    </row>
    <row r="936" spans="1:14" x14ac:dyDescent="0.35">
      <c r="A936" s="61">
        <v>932</v>
      </c>
      <c r="B936" s="2"/>
      <c r="C936" s="2"/>
      <c r="D936" s="2"/>
      <c r="E936" s="10"/>
      <c r="F936" s="11"/>
      <c r="G936" s="2"/>
      <c r="H936" s="2"/>
      <c r="I936" s="2"/>
      <c r="J936" s="2"/>
      <c r="K936" s="12"/>
      <c r="L936" s="2"/>
      <c r="M936" s="2"/>
      <c r="N936" s="67"/>
    </row>
    <row r="937" spans="1:14" x14ac:dyDescent="0.35">
      <c r="A937" s="61">
        <v>933</v>
      </c>
      <c r="B937" s="2"/>
      <c r="C937" s="2"/>
      <c r="D937" s="2"/>
      <c r="E937" s="10"/>
      <c r="F937" s="11"/>
      <c r="G937" s="2"/>
      <c r="H937" s="2"/>
      <c r="I937" s="2"/>
      <c r="J937" s="2"/>
      <c r="K937" s="12"/>
      <c r="L937" s="2"/>
      <c r="M937" s="2"/>
      <c r="N937" s="67"/>
    </row>
    <row r="938" spans="1:14" x14ac:dyDescent="0.35">
      <c r="A938" s="61">
        <v>934</v>
      </c>
      <c r="B938" s="2"/>
      <c r="C938" s="2"/>
      <c r="D938" s="2"/>
      <c r="E938" s="10"/>
      <c r="F938" s="11"/>
      <c r="G938" s="2"/>
      <c r="H938" s="2"/>
      <c r="I938" s="2"/>
      <c r="J938" s="2"/>
      <c r="K938" s="12"/>
      <c r="L938" s="2"/>
      <c r="M938" s="2"/>
      <c r="N938" s="67"/>
    </row>
    <row r="939" spans="1:14" x14ac:dyDescent="0.35">
      <c r="A939" s="61">
        <v>935</v>
      </c>
      <c r="B939" s="2"/>
      <c r="C939" s="2"/>
      <c r="D939" s="2"/>
      <c r="E939" s="10"/>
      <c r="F939" s="11"/>
      <c r="G939" s="2"/>
      <c r="H939" s="2"/>
      <c r="I939" s="2"/>
      <c r="J939" s="2"/>
      <c r="K939" s="12"/>
      <c r="L939" s="2"/>
      <c r="M939" s="2"/>
      <c r="N939" s="67"/>
    </row>
    <row r="940" spans="1:14" x14ac:dyDescent="0.35">
      <c r="A940" s="61">
        <v>936</v>
      </c>
      <c r="B940" s="2"/>
      <c r="C940" s="2"/>
      <c r="D940" s="2"/>
      <c r="E940" s="10"/>
      <c r="F940" s="11"/>
      <c r="G940" s="2"/>
      <c r="H940" s="2"/>
      <c r="I940" s="2"/>
      <c r="J940" s="2"/>
      <c r="K940" s="12"/>
      <c r="L940" s="2"/>
      <c r="M940" s="2"/>
      <c r="N940" s="67"/>
    </row>
    <row r="941" spans="1:14" x14ac:dyDescent="0.35">
      <c r="A941" s="61">
        <v>937</v>
      </c>
      <c r="B941" s="2"/>
      <c r="C941" s="2"/>
      <c r="D941" s="2"/>
      <c r="E941" s="10"/>
      <c r="F941" s="11"/>
      <c r="G941" s="2"/>
      <c r="H941" s="2"/>
      <c r="I941" s="2"/>
      <c r="J941" s="2"/>
      <c r="K941" s="12"/>
      <c r="L941" s="2"/>
      <c r="M941" s="2"/>
      <c r="N941" s="67"/>
    </row>
    <row r="942" spans="1:14" x14ac:dyDescent="0.35">
      <c r="A942" s="61">
        <v>938</v>
      </c>
      <c r="B942" s="2"/>
      <c r="C942" s="2"/>
      <c r="D942" s="2"/>
      <c r="E942" s="10"/>
      <c r="F942" s="11"/>
      <c r="G942" s="2"/>
      <c r="H942" s="2"/>
      <c r="I942" s="2"/>
      <c r="J942" s="2"/>
      <c r="K942" s="12"/>
      <c r="L942" s="2"/>
      <c r="M942" s="2"/>
      <c r="N942" s="67"/>
    </row>
    <row r="943" spans="1:14" x14ac:dyDescent="0.35">
      <c r="A943" s="61">
        <v>939</v>
      </c>
      <c r="B943" s="2"/>
      <c r="C943" s="2"/>
      <c r="D943" s="2"/>
      <c r="E943" s="10"/>
      <c r="F943" s="11"/>
      <c r="G943" s="2"/>
      <c r="H943" s="2"/>
      <c r="I943" s="2"/>
      <c r="J943" s="2"/>
      <c r="K943" s="12"/>
      <c r="L943" s="2"/>
      <c r="M943" s="2"/>
      <c r="N943" s="67"/>
    </row>
    <row r="944" spans="1:14" x14ac:dyDescent="0.35">
      <c r="A944" s="61">
        <v>940</v>
      </c>
      <c r="B944" s="2"/>
      <c r="C944" s="2"/>
      <c r="D944" s="2"/>
      <c r="E944" s="10"/>
      <c r="F944" s="11"/>
      <c r="G944" s="2"/>
      <c r="H944" s="2"/>
      <c r="I944" s="2"/>
      <c r="J944" s="2"/>
      <c r="K944" s="12"/>
      <c r="L944" s="2"/>
      <c r="M944" s="2"/>
      <c r="N944" s="67"/>
    </row>
    <row r="945" spans="1:14" x14ac:dyDescent="0.35">
      <c r="A945" s="61">
        <v>941</v>
      </c>
      <c r="B945" s="2"/>
      <c r="C945" s="2"/>
      <c r="D945" s="2"/>
      <c r="E945" s="10"/>
      <c r="F945" s="11"/>
      <c r="G945" s="2"/>
      <c r="H945" s="2"/>
      <c r="I945" s="2"/>
      <c r="J945" s="2"/>
      <c r="K945" s="12"/>
      <c r="L945" s="2"/>
      <c r="M945" s="2"/>
      <c r="N945" s="67"/>
    </row>
    <row r="946" spans="1:14" x14ac:dyDescent="0.35">
      <c r="A946" s="61">
        <v>942</v>
      </c>
      <c r="B946" s="2"/>
      <c r="C946" s="2"/>
      <c r="D946" s="2"/>
      <c r="E946" s="10"/>
      <c r="F946" s="11"/>
      <c r="G946" s="2"/>
      <c r="H946" s="2"/>
      <c r="I946" s="2"/>
      <c r="J946" s="2"/>
      <c r="K946" s="12"/>
      <c r="L946" s="2"/>
      <c r="M946" s="2"/>
      <c r="N946" s="67"/>
    </row>
    <row r="947" spans="1:14" x14ac:dyDescent="0.35">
      <c r="A947" s="61">
        <v>943</v>
      </c>
      <c r="B947" s="2"/>
      <c r="C947" s="2"/>
      <c r="D947" s="2"/>
      <c r="E947" s="10"/>
      <c r="F947" s="11"/>
      <c r="G947" s="2"/>
      <c r="H947" s="2"/>
      <c r="I947" s="2"/>
      <c r="J947" s="2"/>
      <c r="K947" s="12"/>
      <c r="L947" s="2"/>
      <c r="M947" s="2"/>
      <c r="N947" s="67"/>
    </row>
    <row r="948" spans="1:14" x14ac:dyDescent="0.35">
      <c r="A948" s="61">
        <v>944</v>
      </c>
      <c r="B948" s="2"/>
      <c r="C948" s="2"/>
      <c r="D948" s="2"/>
      <c r="E948" s="10"/>
      <c r="F948" s="11"/>
      <c r="G948" s="2"/>
      <c r="H948" s="2"/>
      <c r="I948" s="2"/>
      <c r="J948" s="2"/>
      <c r="K948" s="12"/>
      <c r="L948" s="2"/>
      <c r="M948" s="2"/>
      <c r="N948" s="67"/>
    </row>
    <row r="949" spans="1:14" x14ac:dyDescent="0.35">
      <c r="A949" s="61">
        <v>945</v>
      </c>
      <c r="B949" s="2"/>
      <c r="C949" s="2"/>
      <c r="D949" s="2"/>
      <c r="E949" s="10"/>
      <c r="F949" s="11"/>
      <c r="G949" s="2"/>
      <c r="H949" s="2"/>
      <c r="I949" s="2"/>
      <c r="J949" s="2"/>
      <c r="K949" s="12"/>
      <c r="L949" s="2"/>
      <c r="M949" s="2"/>
      <c r="N949" s="67"/>
    </row>
    <row r="950" spans="1:14" x14ac:dyDescent="0.35">
      <c r="A950" s="61">
        <v>946</v>
      </c>
      <c r="B950" s="2"/>
      <c r="C950" s="2"/>
      <c r="D950" s="2"/>
      <c r="E950" s="10"/>
      <c r="F950" s="11"/>
      <c r="G950" s="2"/>
      <c r="H950" s="2"/>
      <c r="I950" s="2"/>
      <c r="J950" s="2"/>
      <c r="K950" s="12"/>
      <c r="L950" s="2"/>
      <c r="M950" s="2"/>
      <c r="N950" s="67"/>
    </row>
    <row r="951" spans="1:14" x14ac:dyDescent="0.35">
      <c r="A951" s="61">
        <v>947</v>
      </c>
      <c r="B951" s="2"/>
      <c r="C951" s="2"/>
      <c r="D951" s="2"/>
      <c r="E951" s="10"/>
      <c r="F951" s="11"/>
      <c r="G951" s="2"/>
      <c r="H951" s="2"/>
      <c r="I951" s="2"/>
      <c r="J951" s="2"/>
      <c r="K951" s="12"/>
      <c r="L951" s="2"/>
      <c r="M951" s="2"/>
      <c r="N951" s="67"/>
    </row>
    <row r="952" spans="1:14" x14ac:dyDescent="0.35">
      <c r="A952" s="61">
        <v>948</v>
      </c>
      <c r="B952" s="2"/>
      <c r="C952" s="2"/>
      <c r="D952" s="2"/>
      <c r="E952" s="10"/>
      <c r="F952" s="11"/>
      <c r="G952" s="2"/>
      <c r="H952" s="2"/>
      <c r="I952" s="2"/>
      <c r="J952" s="2"/>
      <c r="K952" s="12"/>
      <c r="L952" s="2"/>
      <c r="M952" s="2"/>
      <c r="N952" s="67"/>
    </row>
    <row r="953" spans="1:14" x14ac:dyDescent="0.35">
      <c r="A953" s="61">
        <v>949</v>
      </c>
      <c r="B953" s="2"/>
      <c r="C953" s="2"/>
      <c r="D953" s="2"/>
      <c r="E953" s="10"/>
      <c r="F953" s="11"/>
      <c r="G953" s="2"/>
      <c r="H953" s="2"/>
      <c r="I953" s="2"/>
      <c r="J953" s="2"/>
      <c r="K953" s="12"/>
      <c r="L953" s="2"/>
      <c r="M953" s="2"/>
      <c r="N953" s="67"/>
    </row>
    <row r="954" spans="1:14" x14ac:dyDescent="0.35">
      <c r="A954" s="61">
        <v>950</v>
      </c>
      <c r="B954" s="2"/>
      <c r="C954" s="2"/>
      <c r="D954" s="2"/>
      <c r="E954" s="10"/>
      <c r="F954" s="11"/>
      <c r="G954" s="2"/>
      <c r="H954" s="2"/>
      <c r="I954" s="2"/>
      <c r="J954" s="2"/>
      <c r="K954" s="12"/>
      <c r="L954" s="2"/>
      <c r="M954" s="2"/>
      <c r="N954" s="67"/>
    </row>
    <row r="955" spans="1:14" x14ac:dyDescent="0.35">
      <c r="A955" s="61">
        <v>951</v>
      </c>
      <c r="B955" s="2"/>
      <c r="C955" s="2"/>
      <c r="D955" s="2"/>
      <c r="E955" s="10"/>
      <c r="F955" s="11"/>
      <c r="G955" s="2"/>
      <c r="H955" s="2"/>
      <c r="I955" s="2"/>
      <c r="J955" s="2"/>
      <c r="K955" s="12"/>
      <c r="L955" s="2"/>
      <c r="M955" s="2"/>
      <c r="N955" s="67"/>
    </row>
    <row r="956" spans="1:14" x14ac:dyDescent="0.35">
      <c r="A956" s="61">
        <v>952</v>
      </c>
      <c r="B956" s="2"/>
      <c r="C956" s="2"/>
      <c r="D956" s="2"/>
      <c r="E956" s="10"/>
      <c r="F956" s="11"/>
      <c r="G956" s="2"/>
      <c r="H956" s="2"/>
      <c r="I956" s="2"/>
      <c r="J956" s="2"/>
      <c r="K956" s="12"/>
      <c r="L956" s="2"/>
      <c r="M956" s="2"/>
      <c r="N956" s="67"/>
    </row>
    <row r="957" spans="1:14" x14ac:dyDescent="0.35">
      <c r="A957" s="61">
        <v>953</v>
      </c>
      <c r="B957" s="2"/>
      <c r="C957" s="2"/>
      <c r="D957" s="2"/>
      <c r="E957" s="10"/>
      <c r="F957" s="11"/>
      <c r="G957" s="2"/>
      <c r="H957" s="2"/>
      <c r="I957" s="2"/>
      <c r="J957" s="2"/>
      <c r="K957" s="12"/>
      <c r="L957" s="2"/>
      <c r="M957" s="2"/>
      <c r="N957" s="67"/>
    </row>
    <row r="958" spans="1:14" x14ac:dyDescent="0.35">
      <c r="A958" s="61">
        <v>954</v>
      </c>
      <c r="B958" s="2"/>
      <c r="C958" s="2"/>
      <c r="D958" s="2"/>
      <c r="E958" s="10"/>
      <c r="F958" s="11"/>
      <c r="G958" s="2"/>
      <c r="H958" s="2"/>
      <c r="I958" s="2"/>
      <c r="J958" s="2"/>
      <c r="K958" s="12"/>
      <c r="L958" s="2"/>
      <c r="M958" s="2"/>
      <c r="N958" s="67"/>
    </row>
    <row r="959" spans="1:14" x14ac:dyDescent="0.35">
      <c r="A959" s="61">
        <v>955</v>
      </c>
      <c r="B959" s="2"/>
      <c r="C959" s="2"/>
      <c r="D959" s="2"/>
      <c r="E959" s="10"/>
      <c r="F959" s="11"/>
      <c r="G959" s="2"/>
      <c r="H959" s="2"/>
      <c r="I959" s="2"/>
      <c r="J959" s="2"/>
      <c r="K959" s="12"/>
      <c r="L959" s="2"/>
      <c r="M959" s="2"/>
      <c r="N959" s="67"/>
    </row>
    <row r="960" spans="1:14" x14ac:dyDescent="0.35">
      <c r="A960" s="61">
        <v>956</v>
      </c>
      <c r="B960" s="2"/>
      <c r="C960" s="2"/>
      <c r="D960" s="2"/>
      <c r="E960" s="10"/>
      <c r="F960" s="11"/>
      <c r="G960" s="2"/>
      <c r="H960" s="2"/>
      <c r="I960" s="2"/>
      <c r="J960" s="2"/>
      <c r="K960" s="12"/>
      <c r="L960" s="2"/>
      <c r="M960" s="2"/>
      <c r="N960" s="67"/>
    </row>
    <row r="961" spans="1:14" x14ac:dyDescent="0.35">
      <c r="A961" s="61">
        <v>957</v>
      </c>
      <c r="B961" s="2"/>
      <c r="C961" s="2"/>
      <c r="D961" s="2"/>
      <c r="E961" s="10"/>
      <c r="F961" s="11"/>
      <c r="G961" s="2"/>
      <c r="H961" s="2"/>
      <c r="I961" s="2"/>
      <c r="J961" s="2"/>
      <c r="K961" s="12"/>
      <c r="L961" s="2"/>
      <c r="M961" s="2"/>
      <c r="N961" s="67"/>
    </row>
    <row r="962" spans="1:14" x14ac:dyDescent="0.35">
      <c r="A962" s="61">
        <v>958</v>
      </c>
      <c r="B962" s="2"/>
      <c r="C962" s="2"/>
      <c r="D962" s="2"/>
      <c r="E962" s="10"/>
      <c r="F962" s="11"/>
      <c r="G962" s="2"/>
      <c r="H962" s="2"/>
      <c r="I962" s="2"/>
      <c r="J962" s="2"/>
      <c r="K962" s="12"/>
      <c r="L962" s="2"/>
      <c r="M962" s="2"/>
      <c r="N962" s="67"/>
    </row>
    <row r="963" spans="1:14" x14ac:dyDescent="0.35">
      <c r="A963" s="61">
        <v>959</v>
      </c>
      <c r="B963" s="2"/>
      <c r="C963" s="2"/>
      <c r="D963" s="2"/>
      <c r="E963" s="10"/>
      <c r="F963" s="11"/>
      <c r="G963" s="2"/>
      <c r="H963" s="2"/>
      <c r="I963" s="2"/>
      <c r="J963" s="2"/>
      <c r="K963" s="12"/>
      <c r="L963" s="2"/>
      <c r="M963" s="2"/>
      <c r="N963" s="67"/>
    </row>
    <row r="964" spans="1:14" x14ac:dyDescent="0.35">
      <c r="A964" s="61">
        <v>960</v>
      </c>
      <c r="B964" s="2"/>
      <c r="C964" s="2"/>
      <c r="D964" s="2"/>
      <c r="E964" s="10"/>
      <c r="F964" s="11"/>
      <c r="G964" s="2"/>
      <c r="H964" s="2"/>
      <c r="I964" s="2"/>
      <c r="J964" s="2"/>
      <c r="K964" s="12"/>
      <c r="L964" s="2"/>
      <c r="M964" s="2"/>
      <c r="N964" s="67"/>
    </row>
    <row r="965" spans="1:14" x14ac:dyDescent="0.35">
      <c r="A965" s="61">
        <v>961</v>
      </c>
      <c r="B965" s="2"/>
      <c r="C965" s="2"/>
      <c r="D965" s="2"/>
      <c r="E965" s="10"/>
      <c r="F965" s="11"/>
      <c r="G965" s="2"/>
      <c r="H965" s="2"/>
      <c r="I965" s="2"/>
      <c r="J965" s="2"/>
      <c r="K965" s="12"/>
      <c r="L965" s="2"/>
      <c r="M965" s="2"/>
      <c r="N965" s="67"/>
    </row>
    <row r="966" spans="1:14" x14ac:dyDescent="0.35">
      <c r="A966" s="61">
        <v>962</v>
      </c>
      <c r="B966" s="2"/>
      <c r="C966" s="2"/>
      <c r="D966" s="2"/>
      <c r="E966" s="10"/>
      <c r="F966" s="11"/>
      <c r="G966" s="2"/>
      <c r="H966" s="2"/>
      <c r="I966" s="2"/>
      <c r="J966" s="2"/>
      <c r="K966" s="12"/>
      <c r="L966" s="2"/>
      <c r="M966" s="2"/>
      <c r="N966" s="67"/>
    </row>
    <row r="967" spans="1:14" x14ac:dyDescent="0.35">
      <c r="A967" s="61">
        <v>963</v>
      </c>
      <c r="B967" s="2"/>
      <c r="C967" s="2"/>
      <c r="D967" s="2"/>
      <c r="E967" s="10"/>
      <c r="F967" s="11"/>
      <c r="G967" s="2"/>
      <c r="H967" s="2"/>
      <c r="I967" s="2"/>
      <c r="J967" s="2"/>
      <c r="K967" s="12"/>
      <c r="L967" s="2"/>
      <c r="M967" s="2"/>
      <c r="N967" s="67"/>
    </row>
    <row r="968" spans="1:14" x14ac:dyDescent="0.35">
      <c r="A968" s="61">
        <v>964</v>
      </c>
      <c r="B968" s="2"/>
      <c r="C968" s="2"/>
      <c r="D968" s="2"/>
      <c r="E968" s="10"/>
      <c r="F968" s="11"/>
      <c r="G968" s="2"/>
      <c r="H968" s="2"/>
      <c r="I968" s="2"/>
      <c r="J968" s="2"/>
      <c r="K968" s="12"/>
      <c r="L968" s="2"/>
      <c r="M968" s="2"/>
      <c r="N968" s="67"/>
    </row>
    <row r="969" spans="1:14" x14ac:dyDescent="0.35">
      <c r="A969" s="61">
        <v>965</v>
      </c>
      <c r="B969" s="2"/>
      <c r="C969" s="2"/>
      <c r="D969" s="2"/>
      <c r="E969" s="10"/>
      <c r="F969" s="11"/>
      <c r="G969" s="2"/>
      <c r="H969" s="2"/>
      <c r="I969" s="2"/>
      <c r="J969" s="2"/>
      <c r="K969" s="12"/>
      <c r="L969" s="2"/>
      <c r="M969" s="2"/>
      <c r="N969" s="67"/>
    </row>
    <row r="970" spans="1:14" x14ac:dyDescent="0.35">
      <c r="A970" s="61">
        <v>966</v>
      </c>
      <c r="B970" s="2"/>
      <c r="C970" s="2"/>
      <c r="D970" s="2"/>
      <c r="E970" s="10"/>
      <c r="F970" s="11"/>
      <c r="G970" s="2"/>
      <c r="H970" s="2"/>
      <c r="I970" s="2"/>
      <c r="J970" s="2"/>
      <c r="K970" s="12"/>
      <c r="L970" s="2"/>
      <c r="M970" s="2"/>
      <c r="N970" s="67"/>
    </row>
    <row r="971" spans="1:14" x14ac:dyDescent="0.35">
      <c r="A971" s="61">
        <v>967</v>
      </c>
      <c r="B971" s="2"/>
      <c r="C971" s="2"/>
      <c r="D971" s="2"/>
      <c r="E971" s="10"/>
      <c r="F971" s="11"/>
      <c r="G971" s="2"/>
      <c r="H971" s="2"/>
      <c r="I971" s="2"/>
      <c r="J971" s="2"/>
      <c r="K971" s="12"/>
      <c r="L971" s="2"/>
      <c r="M971" s="2"/>
      <c r="N971" s="67"/>
    </row>
    <row r="972" spans="1:14" x14ac:dyDescent="0.35">
      <c r="A972" s="61">
        <v>968</v>
      </c>
      <c r="B972" s="2"/>
      <c r="C972" s="2"/>
      <c r="D972" s="2"/>
      <c r="E972" s="10"/>
      <c r="F972" s="11"/>
      <c r="G972" s="2"/>
      <c r="H972" s="2"/>
      <c r="I972" s="2"/>
      <c r="J972" s="2"/>
      <c r="K972" s="12"/>
      <c r="L972" s="2"/>
      <c r="M972" s="2"/>
      <c r="N972" s="67"/>
    </row>
    <row r="973" spans="1:14" x14ac:dyDescent="0.35">
      <c r="A973" s="61">
        <v>969</v>
      </c>
      <c r="B973" s="2"/>
      <c r="C973" s="2"/>
      <c r="D973" s="2"/>
      <c r="E973" s="10"/>
      <c r="F973" s="11"/>
      <c r="G973" s="2"/>
      <c r="H973" s="2"/>
      <c r="I973" s="2"/>
      <c r="J973" s="2"/>
      <c r="K973" s="12"/>
      <c r="L973" s="2"/>
      <c r="M973" s="2"/>
      <c r="N973" s="67"/>
    </row>
    <row r="974" spans="1:14" x14ac:dyDescent="0.35">
      <c r="A974" s="61">
        <v>970</v>
      </c>
      <c r="B974" s="2"/>
      <c r="C974" s="2"/>
      <c r="D974" s="2"/>
      <c r="E974" s="10"/>
      <c r="F974" s="11"/>
      <c r="G974" s="2"/>
      <c r="H974" s="2"/>
      <c r="I974" s="2"/>
      <c r="J974" s="2"/>
      <c r="K974" s="12"/>
      <c r="L974" s="2"/>
      <c r="M974" s="2"/>
      <c r="N974" s="67"/>
    </row>
    <row r="975" spans="1:14" x14ac:dyDescent="0.35">
      <c r="A975" s="61">
        <v>971</v>
      </c>
      <c r="B975" s="2"/>
      <c r="C975" s="2"/>
      <c r="D975" s="2"/>
      <c r="E975" s="10"/>
      <c r="F975" s="11"/>
      <c r="G975" s="2"/>
      <c r="H975" s="2"/>
      <c r="I975" s="2"/>
      <c r="J975" s="2"/>
      <c r="K975" s="12"/>
      <c r="L975" s="2"/>
      <c r="M975" s="2"/>
      <c r="N975" s="67"/>
    </row>
    <row r="976" spans="1:14" x14ac:dyDescent="0.35">
      <c r="A976" s="61">
        <v>972</v>
      </c>
      <c r="B976" s="2"/>
      <c r="C976" s="2"/>
      <c r="D976" s="2"/>
      <c r="E976" s="10"/>
      <c r="F976" s="11"/>
      <c r="G976" s="2"/>
      <c r="H976" s="2"/>
      <c r="I976" s="2"/>
      <c r="J976" s="2"/>
      <c r="K976" s="12"/>
      <c r="L976" s="2"/>
      <c r="M976" s="2"/>
      <c r="N976" s="67"/>
    </row>
    <row r="977" spans="1:14" x14ac:dyDescent="0.35">
      <c r="A977" s="61">
        <v>973</v>
      </c>
      <c r="B977" s="2"/>
      <c r="C977" s="2"/>
      <c r="D977" s="2"/>
      <c r="E977" s="10"/>
      <c r="F977" s="11"/>
      <c r="G977" s="2"/>
      <c r="H977" s="2"/>
      <c r="I977" s="2"/>
      <c r="J977" s="2"/>
      <c r="K977" s="12"/>
      <c r="L977" s="2"/>
      <c r="M977" s="2"/>
      <c r="N977" s="67"/>
    </row>
    <row r="978" spans="1:14" x14ac:dyDescent="0.35">
      <c r="A978" s="61">
        <v>974</v>
      </c>
      <c r="B978" s="2"/>
      <c r="C978" s="2"/>
      <c r="D978" s="2"/>
      <c r="E978" s="10"/>
      <c r="F978" s="11"/>
      <c r="G978" s="2"/>
      <c r="H978" s="2"/>
      <c r="I978" s="2"/>
      <c r="J978" s="2"/>
      <c r="K978" s="12"/>
      <c r="L978" s="2"/>
      <c r="M978" s="2"/>
      <c r="N978" s="67"/>
    </row>
    <row r="979" spans="1:14" x14ac:dyDescent="0.35">
      <c r="A979" s="61">
        <v>975</v>
      </c>
      <c r="B979" s="2"/>
      <c r="C979" s="2"/>
      <c r="D979" s="2"/>
      <c r="E979" s="10"/>
      <c r="F979" s="11"/>
      <c r="G979" s="2"/>
      <c r="H979" s="2"/>
      <c r="I979" s="2"/>
      <c r="J979" s="2"/>
      <c r="K979" s="12"/>
      <c r="L979" s="2"/>
      <c r="M979" s="2"/>
      <c r="N979" s="67"/>
    </row>
    <row r="980" spans="1:14" x14ac:dyDescent="0.35">
      <c r="A980" s="61">
        <v>976</v>
      </c>
      <c r="B980" s="2"/>
      <c r="C980" s="2"/>
      <c r="D980" s="2"/>
      <c r="E980" s="10"/>
      <c r="F980" s="11"/>
      <c r="G980" s="2"/>
      <c r="H980" s="2"/>
      <c r="I980" s="2"/>
      <c r="J980" s="2"/>
      <c r="K980" s="12"/>
      <c r="L980" s="2"/>
      <c r="M980" s="2"/>
      <c r="N980" s="67"/>
    </row>
    <row r="981" spans="1:14" x14ac:dyDescent="0.35">
      <c r="A981" s="61">
        <v>977</v>
      </c>
      <c r="B981" s="2"/>
      <c r="C981" s="2"/>
      <c r="D981" s="2"/>
      <c r="E981" s="10"/>
      <c r="F981" s="11"/>
      <c r="G981" s="2"/>
      <c r="H981" s="2"/>
      <c r="I981" s="2"/>
      <c r="J981" s="2"/>
      <c r="K981" s="12"/>
      <c r="L981" s="2"/>
      <c r="M981" s="2"/>
      <c r="N981" s="67"/>
    </row>
    <row r="982" spans="1:14" x14ac:dyDescent="0.35">
      <c r="A982" s="61">
        <v>978</v>
      </c>
      <c r="B982" s="2"/>
      <c r="C982" s="2"/>
      <c r="D982" s="2"/>
      <c r="E982" s="10"/>
      <c r="F982" s="11"/>
      <c r="G982" s="2"/>
      <c r="H982" s="2"/>
      <c r="I982" s="2"/>
      <c r="J982" s="2"/>
      <c r="K982" s="12"/>
      <c r="L982" s="2"/>
      <c r="M982" s="2"/>
      <c r="N982" s="67"/>
    </row>
    <row r="983" spans="1:14" x14ac:dyDescent="0.35">
      <c r="A983" s="61">
        <v>979</v>
      </c>
      <c r="B983" s="2"/>
      <c r="C983" s="2"/>
      <c r="D983" s="2"/>
      <c r="E983" s="10"/>
      <c r="F983" s="11"/>
      <c r="G983" s="2"/>
      <c r="H983" s="2"/>
      <c r="I983" s="2"/>
      <c r="J983" s="2"/>
      <c r="K983" s="12"/>
      <c r="L983" s="2"/>
      <c r="M983" s="2"/>
      <c r="N983" s="67"/>
    </row>
    <row r="984" spans="1:14" x14ac:dyDescent="0.35">
      <c r="A984" s="61">
        <v>980</v>
      </c>
      <c r="B984" s="2"/>
      <c r="C984" s="2"/>
      <c r="D984" s="2"/>
      <c r="E984" s="10"/>
      <c r="F984" s="11"/>
      <c r="G984" s="2"/>
      <c r="H984" s="2"/>
      <c r="I984" s="2"/>
      <c r="J984" s="2"/>
      <c r="K984" s="12"/>
      <c r="L984" s="2"/>
      <c r="M984" s="2"/>
      <c r="N984" s="67"/>
    </row>
    <row r="985" spans="1:14" x14ac:dyDescent="0.35">
      <c r="A985" s="61">
        <v>981</v>
      </c>
      <c r="B985" s="2"/>
      <c r="C985" s="2"/>
      <c r="D985" s="2"/>
      <c r="E985" s="10"/>
      <c r="F985" s="11"/>
      <c r="G985" s="2"/>
      <c r="H985" s="2"/>
      <c r="I985" s="2"/>
      <c r="J985" s="2"/>
      <c r="K985" s="12"/>
      <c r="L985" s="2"/>
      <c r="M985" s="2"/>
      <c r="N985" s="67"/>
    </row>
    <row r="986" spans="1:14" x14ac:dyDescent="0.35">
      <c r="A986" s="61">
        <v>982</v>
      </c>
      <c r="B986" s="2"/>
      <c r="C986" s="2"/>
      <c r="D986" s="2"/>
      <c r="E986" s="10"/>
      <c r="F986" s="11"/>
      <c r="G986" s="2"/>
      <c r="H986" s="2"/>
      <c r="I986" s="2"/>
      <c r="J986" s="2"/>
      <c r="K986" s="12"/>
      <c r="L986" s="2"/>
      <c r="M986" s="2"/>
      <c r="N986" s="67"/>
    </row>
    <row r="987" spans="1:14" x14ac:dyDescent="0.35">
      <c r="A987" s="61">
        <v>983</v>
      </c>
      <c r="B987" s="2"/>
      <c r="C987" s="2"/>
      <c r="D987" s="2"/>
      <c r="E987" s="10"/>
      <c r="F987" s="11"/>
      <c r="G987" s="2"/>
      <c r="H987" s="2"/>
      <c r="I987" s="2"/>
      <c r="J987" s="2"/>
      <c r="K987" s="12"/>
      <c r="L987" s="2"/>
      <c r="M987" s="2"/>
      <c r="N987" s="67"/>
    </row>
    <row r="988" spans="1:14" x14ac:dyDescent="0.35">
      <c r="A988" s="61">
        <v>984</v>
      </c>
      <c r="B988" s="2"/>
      <c r="C988" s="2"/>
      <c r="D988" s="2"/>
      <c r="E988" s="10"/>
      <c r="F988" s="11"/>
      <c r="G988" s="2"/>
      <c r="H988" s="2"/>
      <c r="I988" s="2"/>
      <c r="J988" s="2"/>
      <c r="K988" s="12"/>
      <c r="L988" s="2"/>
      <c r="M988" s="2"/>
      <c r="N988" s="67"/>
    </row>
    <row r="989" spans="1:14" x14ac:dyDescent="0.35">
      <c r="A989" s="61">
        <v>985</v>
      </c>
      <c r="B989" s="2"/>
      <c r="C989" s="2"/>
      <c r="D989" s="2"/>
      <c r="E989" s="10"/>
      <c r="F989" s="11"/>
      <c r="G989" s="2"/>
      <c r="H989" s="2"/>
      <c r="I989" s="2"/>
      <c r="J989" s="2"/>
      <c r="K989" s="12"/>
      <c r="L989" s="2"/>
      <c r="M989" s="2"/>
      <c r="N989" s="67"/>
    </row>
    <row r="990" spans="1:14" x14ac:dyDescent="0.35">
      <c r="A990" s="61">
        <v>986</v>
      </c>
      <c r="B990" s="2"/>
      <c r="C990" s="2"/>
      <c r="D990" s="2"/>
      <c r="E990" s="10"/>
      <c r="F990" s="11"/>
      <c r="G990" s="2"/>
      <c r="H990" s="2"/>
      <c r="I990" s="2"/>
      <c r="J990" s="2"/>
      <c r="K990" s="12"/>
      <c r="L990" s="2"/>
      <c r="M990" s="2"/>
      <c r="N990" s="67"/>
    </row>
    <row r="991" spans="1:14" x14ac:dyDescent="0.35">
      <c r="A991" s="61">
        <v>987</v>
      </c>
      <c r="B991" s="2"/>
      <c r="C991" s="2"/>
      <c r="D991" s="2"/>
      <c r="E991" s="10"/>
      <c r="F991" s="11"/>
      <c r="G991" s="2"/>
      <c r="H991" s="2"/>
      <c r="I991" s="2"/>
      <c r="J991" s="2"/>
      <c r="K991" s="12"/>
      <c r="L991" s="2"/>
      <c r="M991" s="2"/>
      <c r="N991" s="67"/>
    </row>
    <row r="992" spans="1:14" x14ac:dyDescent="0.35">
      <c r="A992" s="61">
        <v>988</v>
      </c>
      <c r="B992" s="2"/>
      <c r="C992" s="2"/>
      <c r="D992" s="2"/>
      <c r="E992" s="10"/>
      <c r="F992" s="11"/>
      <c r="G992" s="2"/>
      <c r="H992" s="2"/>
      <c r="I992" s="2"/>
      <c r="J992" s="2"/>
      <c r="K992" s="12"/>
      <c r="L992" s="2"/>
      <c r="M992" s="2"/>
      <c r="N992" s="67"/>
    </row>
    <row r="993" spans="1:14" x14ac:dyDescent="0.35">
      <c r="A993" s="61">
        <v>989</v>
      </c>
      <c r="B993" s="2"/>
      <c r="C993" s="2"/>
      <c r="D993" s="2"/>
      <c r="E993" s="10"/>
      <c r="F993" s="11"/>
      <c r="G993" s="2"/>
      <c r="H993" s="2"/>
      <c r="I993" s="2"/>
      <c r="J993" s="2"/>
      <c r="K993" s="12"/>
      <c r="L993" s="2"/>
      <c r="M993" s="2"/>
      <c r="N993" s="67"/>
    </row>
    <row r="994" spans="1:14" x14ac:dyDescent="0.35">
      <c r="A994" s="61">
        <v>990</v>
      </c>
      <c r="B994" s="2"/>
      <c r="C994" s="2"/>
      <c r="D994" s="2"/>
      <c r="E994" s="10"/>
      <c r="F994" s="11"/>
      <c r="G994" s="2"/>
      <c r="H994" s="2"/>
      <c r="I994" s="2"/>
      <c r="J994" s="2"/>
      <c r="K994" s="12"/>
      <c r="L994" s="2"/>
      <c r="M994" s="2"/>
      <c r="N994" s="67"/>
    </row>
    <row r="995" spans="1:14" x14ac:dyDescent="0.35">
      <c r="A995" s="61">
        <v>991</v>
      </c>
      <c r="B995" s="2"/>
      <c r="C995" s="2"/>
      <c r="D995" s="2"/>
      <c r="E995" s="10"/>
      <c r="F995" s="11"/>
      <c r="G995" s="2"/>
      <c r="H995" s="2"/>
      <c r="I995" s="2"/>
      <c r="J995" s="2"/>
      <c r="K995" s="12"/>
      <c r="L995" s="2"/>
      <c r="M995" s="2"/>
      <c r="N995" s="67"/>
    </row>
    <row r="996" spans="1:14" x14ac:dyDescent="0.35">
      <c r="A996" s="61">
        <v>992</v>
      </c>
      <c r="B996" s="2"/>
      <c r="C996" s="2"/>
      <c r="D996" s="2"/>
      <c r="E996" s="10"/>
      <c r="F996" s="11"/>
      <c r="G996" s="2"/>
      <c r="H996" s="2"/>
      <c r="I996" s="2"/>
      <c r="J996" s="2"/>
      <c r="K996" s="12"/>
      <c r="L996" s="2"/>
      <c r="M996" s="2"/>
      <c r="N996" s="67"/>
    </row>
    <row r="997" spans="1:14" x14ac:dyDescent="0.35">
      <c r="A997" s="61">
        <v>993</v>
      </c>
      <c r="B997" s="2"/>
      <c r="C997" s="2"/>
      <c r="D997" s="2"/>
      <c r="E997" s="10"/>
      <c r="F997" s="11"/>
      <c r="G997" s="2"/>
      <c r="H997" s="2"/>
      <c r="I997" s="2"/>
      <c r="J997" s="2"/>
      <c r="K997" s="12"/>
      <c r="L997" s="2"/>
      <c r="M997" s="2"/>
      <c r="N997" s="67"/>
    </row>
    <row r="998" spans="1:14" x14ac:dyDescent="0.35">
      <c r="A998" s="61">
        <v>994</v>
      </c>
      <c r="B998" s="2"/>
      <c r="C998" s="2"/>
      <c r="D998" s="2"/>
      <c r="E998" s="10"/>
      <c r="F998" s="11"/>
      <c r="G998" s="2"/>
      <c r="H998" s="2"/>
      <c r="I998" s="2"/>
      <c r="J998" s="2"/>
      <c r="K998" s="12"/>
      <c r="L998" s="2"/>
      <c r="M998" s="2"/>
      <c r="N998" s="67"/>
    </row>
    <row r="999" spans="1:14" x14ac:dyDescent="0.35">
      <c r="A999" s="61">
        <v>995</v>
      </c>
      <c r="B999" s="2"/>
      <c r="C999" s="2"/>
      <c r="D999" s="2"/>
      <c r="E999" s="10"/>
      <c r="F999" s="11"/>
      <c r="G999" s="2"/>
      <c r="H999" s="2"/>
      <c r="I999" s="2"/>
      <c r="J999" s="2"/>
      <c r="K999" s="12"/>
      <c r="L999" s="2"/>
      <c r="M999" s="2"/>
      <c r="N999" s="67"/>
    </row>
    <row r="1000" spans="1:14" x14ac:dyDescent="0.35">
      <c r="A1000" s="61">
        <v>996</v>
      </c>
      <c r="B1000" s="2"/>
      <c r="C1000" s="2"/>
      <c r="D1000" s="2"/>
      <c r="E1000" s="10"/>
      <c r="F1000" s="11"/>
      <c r="G1000" s="2"/>
      <c r="H1000" s="2"/>
      <c r="I1000" s="2"/>
      <c r="J1000" s="2"/>
      <c r="K1000" s="12"/>
      <c r="L1000" s="2"/>
      <c r="M1000" s="2"/>
      <c r="N1000" s="67"/>
    </row>
    <row r="1001" spans="1:14" x14ac:dyDescent="0.35">
      <c r="A1001" s="61">
        <v>997</v>
      </c>
      <c r="B1001" s="2"/>
      <c r="C1001" s="2"/>
      <c r="D1001" s="2"/>
      <c r="E1001" s="10"/>
      <c r="F1001" s="11"/>
      <c r="G1001" s="2"/>
      <c r="H1001" s="2"/>
      <c r="I1001" s="2"/>
      <c r="J1001" s="2"/>
      <c r="K1001" s="12"/>
      <c r="L1001" s="2"/>
      <c r="M1001" s="2"/>
      <c r="N1001" s="67"/>
    </row>
    <row r="1002" spans="1:14" x14ac:dyDescent="0.35">
      <c r="A1002" s="61">
        <v>998</v>
      </c>
      <c r="B1002" s="2"/>
      <c r="C1002" s="2"/>
      <c r="D1002" s="2"/>
      <c r="E1002" s="10"/>
      <c r="F1002" s="11"/>
      <c r="G1002" s="2"/>
      <c r="H1002" s="2"/>
      <c r="I1002" s="2"/>
      <c r="J1002" s="2"/>
      <c r="K1002" s="12"/>
      <c r="L1002" s="2"/>
      <c r="M1002" s="2"/>
      <c r="N1002" s="67"/>
    </row>
    <row r="1003" spans="1:14" x14ac:dyDescent="0.35">
      <c r="A1003" s="61">
        <v>999</v>
      </c>
      <c r="B1003" s="2"/>
      <c r="C1003" s="2"/>
      <c r="D1003" s="2"/>
      <c r="E1003" s="10"/>
      <c r="F1003" s="11"/>
      <c r="G1003" s="2"/>
      <c r="H1003" s="2"/>
      <c r="I1003" s="2"/>
      <c r="J1003" s="2"/>
      <c r="K1003" s="12"/>
      <c r="L1003" s="2"/>
      <c r="M1003" s="2"/>
      <c r="N1003" s="67"/>
    </row>
    <row r="1004" spans="1:14" x14ac:dyDescent="0.35">
      <c r="A1004" s="61">
        <v>1000</v>
      </c>
      <c r="B1004" s="2"/>
      <c r="C1004" s="2"/>
      <c r="D1004" s="2"/>
      <c r="E1004" s="10"/>
      <c r="F1004" s="11"/>
      <c r="G1004" s="2"/>
      <c r="H1004" s="2"/>
      <c r="I1004" s="2"/>
      <c r="J1004" s="2"/>
      <c r="K1004" s="12"/>
      <c r="L1004" s="2"/>
      <c r="M1004" s="2"/>
      <c r="N1004" s="67"/>
    </row>
    <row r="1005" spans="1:14" x14ac:dyDescent="0.35">
      <c r="A1005" s="61">
        <v>1001</v>
      </c>
      <c r="B1005" s="2"/>
      <c r="C1005" s="2"/>
      <c r="D1005" s="2"/>
      <c r="E1005" s="10"/>
      <c r="F1005" s="11"/>
      <c r="G1005" s="2"/>
      <c r="H1005" s="2"/>
      <c r="I1005" s="2"/>
      <c r="J1005" s="2"/>
      <c r="K1005" s="12"/>
      <c r="L1005" s="2"/>
      <c r="M1005" s="2"/>
      <c r="N1005" s="67"/>
    </row>
    <row r="1006" spans="1:14" x14ac:dyDescent="0.35">
      <c r="A1006" s="61">
        <v>1002</v>
      </c>
      <c r="B1006" s="2"/>
      <c r="C1006" s="2"/>
      <c r="D1006" s="2"/>
      <c r="E1006" s="10"/>
      <c r="F1006" s="11"/>
      <c r="G1006" s="2"/>
      <c r="H1006" s="2"/>
      <c r="I1006" s="2"/>
      <c r="J1006" s="2"/>
      <c r="K1006" s="12"/>
      <c r="L1006" s="2"/>
      <c r="M1006" s="2"/>
      <c r="N1006" s="67"/>
    </row>
    <row r="1007" spans="1:14" x14ac:dyDescent="0.35">
      <c r="A1007" s="61">
        <v>1003</v>
      </c>
      <c r="B1007" s="2"/>
      <c r="C1007" s="2"/>
      <c r="D1007" s="2"/>
      <c r="E1007" s="10"/>
      <c r="F1007" s="11"/>
      <c r="G1007" s="2"/>
      <c r="H1007" s="2"/>
      <c r="I1007" s="2"/>
      <c r="J1007" s="2"/>
      <c r="K1007" s="12"/>
      <c r="L1007" s="2"/>
      <c r="M1007" s="2"/>
      <c r="N1007" s="67"/>
    </row>
    <row r="1008" spans="1:14" x14ac:dyDescent="0.35">
      <c r="A1008" s="61">
        <v>1004</v>
      </c>
      <c r="B1008" s="2"/>
      <c r="C1008" s="2"/>
      <c r="D1008" s="2"/>
      <c r="E1008" s="10"/>
      <c r="F1008" s="11"/>
      <c r="G1008" s="2"/>
      <c r="H1008" s="2"/>
      <c r="I1008" s="2"/>
      <c r="J1008" s="2"/>
      <c r="K1008" s="12"/>
      <c r="L1008" s="2"/>
      <c r="M1008" s="2"/>
      <c r="N1008" s="67"/>
    </row>
    <row r="1009" spans="1:14" x14ac:dyDescent="0.35">
      <c r="A1009" s="61">
        <v>1005</v>
      </c>
      <c r="B1009" s="2"/>
      <c r="C1009" s="2"/>
      <c r="D1009" s="2"/>
      <c r="E1009" s="10"/>
      <c r="F1009" s="11"/>
      <c r="G1009" s="2"/>
      <c r="H1009" s="2"/>
      <c r="I1009" s="2"/>
      <c r="J1009" s="2"/>
      <c r="K1009" s="12"/>
      <c r="L1009" s="2"/>
      <c r="M1009" s="2"/>
      <c r="N1009" s="67"/>
    </row>
    <row r="1010" spans="1:14" x14ac:dyDescent="0.35">
      <c r="A1010" s="61">
        <v>1006</v>
      </c>
      <c r="B1010" s="2"/>
      <c r="C1010" s="2"/>
      <c r="D1010" s="2"/>
      <c r="E1010" s="10"/>
      <c r="F1010" s="11"/>
      <c r="G1010" s="2"/>
      <c r="H1010" s="2"/>
      <c r="I1010" s="2"/>
      <c r="J1010" s="2"/>
      <c r="K1010" s="12"/>
      <c r="L1010" s="2"/>
      <c r="M1010" s="2"/>
      <c r="N1010" s="67"/>
    </row>
    <row r="1011" spans="1:14" x14ac:dyDescent="0.35">
      <c r="A1011" s="61">
        <v>1007</v>
      </c>
      <c r="B1011" s="2"/>
      <c r="C1011" s="2"/>
      <c r="D1011" s="2"/>
      <c r="E1011" s="10"/>
      <c r="F1011" s="11"/>
      <c r="G1011" s="2"/>
      <c r="H1011" s="2"/>
      <c r="I1011" s="2"/>
      <c r="J1011" s="2"/>
      <c r="K1011" s="12"/>
      <c r="L1011" s="2"/>
      <c r="M1011" s="2"/>
      <c r="N1011" s="67"/>
    </row>
    <row r="1012" spans="1:14" x14ac:dyDescent="0.35">
      <c r="A1012" s="61">
        <v>1008</v>
      </c>
      <c r="B1012" s="2"/>
      <c r="C1012" s="2"/>
      <c r="D1012" s="2"/>
      <c r="E1012" s="10"/>
      <c r="F1012" s="11"/>
      <c r="G1012" s="2"/>
      <c r="H1012" s="2"/>
      <c r="I1012" s="2"/>
      <c r="J1012" s="2"/>
      <c r="K1012" s="12"/>
      <c r="L1012" s="2"/>
      <c r="M1012" s="2"/>
      <c r="N1012" s="67"/>
    </row>
    <row r="1013" spans="1:14" x14ac:dyDescent="0.35">
      <c r="A1013" s="61">
        <v>1009</v>
      </c>
      <c r="B1013" s="2"/>
      <c r="C1013" s="2"/>
      <c r="D1013" s="2"/>
      <c r="E1013" s="10"/>
      <c r="F1013" s="11"/>
      <c r="G1013" s="2"/>
      <c r="H1013" s="2"/>
      <c r="I1013" s="2"/>
      <c r="J1013" s="2"/>
      <c r="K1013" s="12"/>
      <c r="L1013" s="2"/>
      <c r="M1013" s="2"/>
      <c r="N1013" s="67"/>
    </row>
    <row r="1014" spans="1:14" x14ac:dyDescent="0.35">
      <c r="A1014" s="61">
        <v>1010</v>
      </c>
      <c r="B1014" s="2"/>
      <c r="C1014" s="2"/>
      <c r="D1014" s="2"/>
      <c r="E1014" s="10"/>
      <c r="F1014" s="11"/>
      <c r="G1014" s="2"/>
      <c r="H1014" s="2"/>
      <c r="I1014" s="2"/>
      <c r="J1014" s="2"/>
      <c r="K1014" s="12"/>
      <c r="L1014" s="2"/>
      <c r="M1014" s="2"/>
      <c r="N1014" s="67"/>
    </row>
    <row r="1015" spans="1:14" x14ac:dyDescent="0.35">
      <c r="A1015" s="61">
        <v>1011</v>
      </c>
      <c r="B1015" s="2"/>
      <c r="C1015" s="2"/>
      <c r="D1015" s="2"/>
      <c r="E1015" s="10"/>
      <c r="F1015" s="11"/>
      <c r="G1015" s="2"/>
      <c r="H1015" s="2"/>
      <c r="I1015" s="2"/>
      <c r="J1015" s="2"/>
      <c r="K1015" s="12"/>
      <c r="L1015" s="2"/>
      <c r="M1015" s="2"/>
      <c r="N1015" s="67"/>
    </row>
    <row r="1016" spans="1:14" x14ac:dyDescent="0.35">
      <c r="A1016" s="61">
        <v>1012</v>
      </c>
      <c r="B1016" s="2"/>
      <c r="C1016" s="2"/>
      <c r="D1016" s="2"/>
      <c r="E1016" s="10"/>
      <c r="F1016" s="11"/>
      <c r="G1016" s="2"/>
      <c r="H1016" s="2"/>
      <c r="I1016" s="2"/>
      <c r="J1016" s="2"/>
      <c r="K1016" s="12"/>
      <c r="L1016" s="2"/>
      <c r="M1016" s="2"/>
      <c r="N1016" s="67"/>
    </row>
    <row r="1017" spans="1:14" x14ac:dyDescent="0.35">
      <c r="A1017" s="61">
        <v>1013</v>
      </c>
      <c r="B1017" s="2"/>
      <c r="C1017" s="2"/>
      <c r="D1017" s="2"/>
      <c r="E1017" s="10"/>
      <c r="F1017" s="11"/>
      <c r="G1017" s="2"/>
      <c r="H1017" s="2"/>
      <c r="I1017" s="2"/>
      <c r="J1017" s="2"/>
      <c r="K1017" s="12"/>
      <c r="L1017" s="2"/>
      <c r="M1017" s="2"/>
      <c r="N1017" s="67"/>
    </row>
    <row r="1018" spans="1:14" x14ac:dyDescent="0.35">
      <c r="A1018" s="61">
        <v>1014</v>
      </c>
      <c r="B1018" s="2"/>
      <c r="C1018" s="2"/>
      <c r="D1018" s="2"/>
      <c r="E1018" s="10"/>
      <c r="F1018" s="11"/>
      <c r="G1018" s="2"/>
      <c r="H1018" s="2"/>
      <c r="I1018" s="2"/>
      <c r="J1018" s="2"/>
      <c r="K1018" s="12"/>
      <c r="L1018" s="2"/>
      <c r="M1018" s="2"/>
      <c r="N1018" s="67"/>
    </row>
    <row r="1019" spans="1:14" x14ac:dyDescent="0.35">
      <c r="A1019" s="61">
        <v>1015</v>
      </c>
      <c r="B1019" s="2"/>
      <c r="C1019" s="2"/>
      <c r="D1019" s="2"/>
      <c r="E1019" s="10"/>
      <c r="F1019" s="11"/>
      <c r="G1019" s="2"/>
      <c r="H1019" s="2"/>
      <c r="I1019" s="2"/>
      <c r="J1019" s="2"/>
      <c r="K1019" s="12"/>
      <c r="L1019" s="2"/>
      <c r="M1019" s="2"/>
      <c r="N1019" s="67"/>
    </row>
    <row r="1020" spans="1:14" x14ac:dyDescent="0.35">
      <c r="A1020" s="61">
        <v>1016</v>
      </c>
      <c r="B1020" s="2"/>
      <c r="C1020" s="2"/>
      <c r="D1020" s="2"/>
      <c r="E1020" s="10"/>
      <c r="F1020" s="11"/>
      <c r="G1020" s="2"/>
      <c r="H1020" s="2"/>
      <c r="I1020" s="2"/>
      <c r="J1020" s="2"/>
      <c r="K1020" s="12"/>
      <c r="L1020" s="2"/>
      <c r="M1020" s="2"/>
      <c r="N1020" s="67"/>
    </row>
    <row r="1021" spans="1:14" x14ac:dyDescent="0.35">
      <c r="A1021" s="61">
        <v>1017</v>
      </c>
      <c r="B1021" s="2"/>
      <c r="C1021" s="2"/>
      <c r="D1021" s="2"/>
      <c r="E1021" s="10"/>
      <c r="F1021" s="11"/>
      <c r="G1021" s="2"/>
      <c r="H1021" s="2"/>
      <c r="I1021" s="2"/>
      <c r="J1021" s="2"/>
      <c r="K1021" s="12"/>
      <c r="L1021" s="2"/>
      <c r="M1021" s="2"/>
      <c r="N1021" s="67"/>
    </row>
    <row r="1022" spans="1:14" x14ac:dyDescent="0.35">
      <c r="A1022" s="61">
        <v>1018</v>
      </c>
      <c r="B1022" s="2"/>
      <c r="C1022" s="2"/>
      <c r="D1022" s="2"/>
      <c r="E1022" s="10"/>
      <c r="F1022" s="11"/>
      <c r="G1022" s="2"/>
      <c r="H1022" s="2"/>
      <c r="I1022" s="2"/>
      <c r="J1022" s="2"/>
      <c r="K1022" s="12"/>
      <c r="L1022" s="2"/>
      <c r="M1022" s="2"/>
      <c r="N1022" s="67"/>
    </row>
    <row r="1023" spans="1:14" x14ac:dyDescent="0.35">
      <c r="A1023" s="61">
        <v>1019</v>
      </c>
      <c r="B1023" s="2"/>
      <c r="C1023" s="2"/>
      <c r="D1023" s="2"/>
      <c r="E1023" s="10"/>
      <c r="F1023" s="11"/>
      <c r="G1023" s="2"/>
      <c r="H1023" s="2"/>
      <c r="I1023" s="2"/>
      <c r="J1023" s="2"/>
      <c r="K1023" s="12"/>
      <c r="L1023" s="2"/>
      <c r="M1023" s="2"/>
      <c r="N1023" s="67"/>
    </row>
    <row r="1024" spans="1:14" x14ac:dyDescent="0.35">
      <c r="A1024" s="61">
        <v>1020</v>
      </c>
      <c r="B1024" s="2"/>
      <c r="C1024" s="2"/>
      <c r="D1024" s="2"/>
      <c r="E1024" s="10"/>
      <c r="F1024" s="11"/>
      <c r="G1024" s="2"/>
      <c r="H1024" s="2"/>
      <c r="I1024" s="2"/>
      <c r="J1024" s="2"/>
      <c r="K1024" s="12"/>
      <c r="L1024" s="2"/>
      <c r="M1024" s="2"/>
      <c r="N1024" s="67"/>
    </row>
    <row r="1025" spans="1:14" x14ac:dyDescent="0.35">
      <c r="A1025" s="61">
        <v>1021</v>
      </c>
      <c r="B1025" s="2"/>
      <c r="C1025" s="2"/>
      <c r="D1025" s="2"/>
      <c r="E1025" s="10"/>
      <c r="F1025" s="11"/>
      <c r="G1025" s="2"/>
      <c r="H1025" s="2"/>
      <c r="I1025" s="2"/>
      <c r="J1025" s="2"/>
      <c r="K1025" s="12"/>
      <c r="L1025" s="2"/>
      <c r="M1025" s="2"/>
      <c r="N1025" s="67"/>
    </row>
    <row r="1026" spans="1:14" x14ac:dyDescent="0.35">
      <c r="A1026" s="61">
        <v>1022</v>
      </c>
      <c r="B1026" s="2"/>
      <c r="C1026" s="2"/>
      <c r="D1026" s="2"/>
      <c r="E1026" s="10"/>
      <c r="F1026" s="11"/>
      <c r="G1026" s="2"/>
      <c r="H1026" s="2"/>
      <c r="I1026" s="2"/>
      <c r="J1026" s="2"/>
      <c r="K1026" s="12"/>
      <c r="L1026" s="2"/>
      <c r="M1026" s="2"/>
      <c r="N1026" s="67"/>
    </row>
    <row r="1027" spans="1:14" x14ac:dyDescent="0.35">
      <c r="A1027" s="61">
        <v>1023</v>
      </c>
      <c r="B1027" s="2"/>
      <c r="C1027" s="2"/>
      <c r="D1027" s="2"/>
      <c r="E1027" s="10"/>
      <c r="F1027" s="11"/>
      <c r="G1027" s="2"/>
      <c r="H1027" s="2"/>
      <c r="I1027" s="2"/>
      <c r="J1027" s="2"/>
      <c r="K1027" s="12"/>
      <c r="L1027" s="2"/>
      <c r="M1027" s="2"/>
      <c r="N1027" s="67"/>
    </row>
    <row r="1028" spans="1:14" x14ac:dyDescent="0.35">
      <c r="A1028" s="61">
        <v>1024</v>
      </c>
      <c r="B1028" s="2"/>
      <c r="C1028" s="2"/>
      <c r="D1028" s="2"/>
      <c r="E1028" s="10"/>
      <c r="F1028" s="11"/>
      <c r="G1028" s="2"/>
      <c r="H1028" s="2"/>
      <c r="I1028" s="2"/>
      <c r="J1028" s="2"/>
      <c r="K1028" s="12"/>
      <c r="L1028" s="2"/>
      <c r="M1028" s="2"/>
      <c r="N1028" s="67"/>
    </row>
    <row r="1029" spans="1:14" x14ac:dyDescent="0.35">
      <c r="A1029" s="61">
        <v>1025</v>
      </c>
      <c r="B1029" s="2"/>
      <c r="C1029" s="2"/>
      <c r="D1029" s="2"/>
      <c r="E1029" s="10"/>
      <c r="F1029" s="11"/>
      <c r="G1029" s="2"/>
      <c r="H1029" s="2"/>
      <c r="I1029" s="2"/>
      <c r="J1029" s="2"/>
      <c r="K1029" s="12"/>
      <c r="L1029" s="2"/>
      <c r="M1029" s="2"/>
      <c r="N1029" s="67"/>
    </row>
    <row r="1030" spans="1:14" x14ac:dyDescent="0.35">
      <c r="A1030" s="61">
        <v>1026</v>
      </c>
      <c r="B1030" s="2"/>
      <c r="C1030" s="2"/>
      <c r="D1030" s="2"/>
      <c r="E1030" s="10"/>
      <c r="F1030" s="11"/>
      <c r="G1030" s="2"/>
      <c r="H1030" s="2"/>
      <c r="I1030" s="2"/>
      <c r="J1030" s="2"/>
      <c r="K1030" s="12"/>
      <c r="L1030" s="2"/>
      <c r="M1030" s="2"/>
      <c r="N1030" s="67"/>
    </row>
    <row r="1031" spans="1:14" x14ac:dyDescent="0.35">
      <c r="A1031" s="61">
        <v>1027</v>
      </c>
      <c r="B1031" s="2"/>
      <c r="C1031" s="2"/>
      <c r="D1031" s="2"/>
      <c r="E1031" s="10"/>
      <c r="F1031" s="11"/>
      <c r="G1031" s="2"/>
      <c r="H1031" s="2"/>
      <c r="I1031" s="2"/>
      <c r="J1031" s="2"/>
      <c r="K1031" s="12"/>
      <c r="L1031" s="2"/>
      <c r="M1031" s="2"/>
      <c r="N1031" s="67"/>
    </row>
    <row r="1032" spans="1:14" x14ac:dyDescent="0.35">
      <c r="A1032" s="61">
        <v>1028</v>
      </c>
      <c r="B1032" s="2"/>
      <c r="C1032" s="2"/>
      <c r="D1032" s="2"/>
      <c r="E1032" s="10"/>
      <c r="F1032" s="11"/>
      <c r="G1032" s="2"/>
      <c r="H1032" s="2"/>
      <c r="I1032" s="2"/>
      <c r="J1032" s="2"/>
      <c r="K1032" s="12"/>
      <c r="L1032" s="2"/>
      <c r="M1032" s="2"/>
      <c r="N1032" s="67"/>
    </row>
    <row r="1033" spans="1:14" x14ac:dyDescent="0.35">
      <c r="A1033" s="61">
        <v>1029</v>
      </c>
      <c r="B1033" s="2"/>
      <c r="C1033" s="2"/>
      <c r="D1033" s="2"/>
      <c r="E1033" s="10"/>
      <c r="F1033" s="11"/>
      <c r="G1033" s="2"/>
      <c r="H1033" s="2"/>
      <c r="I1033" s="2"/>
      <c r="J1033" s="2"/>
      <c r="K1033" s="12"/>
      <c r="L1033" s="2"/>
      <c r="M1033" s="2"/>
      <c r="N1033" s="67"/>
    </row>
    <row r="1034" spans="1:14" x14ac:dyDescent="0.35">
      <c r="A1034" s="61">
        <v>1030</v>
      </c>
      <c r="B1034" s="2"/>
      <c r="C1034" s="2"/>
      <c r="D1034" s="2"/>
      <c r="E1034" s="10"/>
      <c r="F1034" s="11"/>
      <c r="G1034" s="2"/>
      <c r="H1034" s="2"/>
      <c r="I1034" s="2"/>
      <c r="J1034" s="2"/>
      <c r="K1034" s="12"/>
      <c r="L1034" s="2"/>
      <c r="M1034" s="2"/>
      <c r="N1034" s="67"/>
    </row>
    <row r="1035" spans="1:14" x14ac:dyDescent="0.35">
      <c r="A1035" s="61">
        <v>1031</v>
      </c>
      <c r="B1035" s="2"/>
      <c r="C1035" s="2"/>
      <c r="D1035" s="2"/>
      <c r="E1035" s="10"/>
      <c r="F1035" s="11"/>
      <c r="G1035" s="2"/>
      <c r="H1035" s="2"/>
      <c r="I1035" s="2"/>
      <c r="J1035" s="2"/>
      <c r="K1035" s="12"/>
      <c r="L1035" s="2"/>
      <c r="M1035" s="2"/>
      <c r="N1035" s="67"/>
    </row>
    <row r="1036" spans="1:14" x14ac:dyDescent="0.35">
      <c r="A1036" s="61">
        <v>1032</v>
      </c>
      <c r="B1036" s="2"/>
      <c r="C1036" s="2"/>
      <c r="D1036" s="2"/>
      <c r="E1036" s="10"/>
      <c r="F1036" s="11"/>
      <c r="G1036" s="2"/>
      <c r="H1036" s="2"/>
      <c r="I1036" s="2"/>
      <c r="J1036" s="2"/>
      <c r="K1036" s="12"/>
      <c r="L1036" s="2"/>
      <c r="M1036" s="2"/>
      <c r="N1036" s="67"/>
    </row>
    <row r="1037" spans="1:14" x14ac:dyDescent="0.35">
      <c r="A1037" s="61">
        <v>1033</v>
      </c>
      <c r="B1037" s="2"/>
      <c r="C1037" s="2"/>
      <c r="D1037" s="2"/>
      <c r="E1037" s="10"/>
      <c r="F1037" s="11"/>
      <c r="G1037" s="2"/>
      <c r="H1037" s="2"/>
      <c r="I1037" s="2"/>
      <c r="J1037" s="2"/>
      <c r="K1037" s="12"/>
      <c r="L1037" s="2"/>
      <c r="M1037" s="2"/>
      <c r="N1037" s="67"/>
    </row>
    <row r="1038" spans="1:14" x14ac:dyDescent="0.35">
      <c r="A1038" s="61">
        <v>1034</v>
      </c>
      <c r="B1038" s="2"/>
      <c r="C1038" s="2"/>
      <c r="D1038" s="2"/>
      <c r="E1038" s="10"/>
      <c r="F1038" s="11"/>
      <c r="G1038" s="2"/>
      <c r="H1038" s="2"/>
      <c r="I1038" s="2"/>
      <c r="J1038" s="2"/>
      <c r="K1038" s="12"/>
      <c r="L1038" s="2"/>
      <c r="M1038" s="2"/>
      <c r="N1038" s="67"/>
    </row>
    <row r="1039" spans="1:14" x14ac:dyDescent="0.35">
      <c r="A1039" s="61">
        <v>1035</v>
      </c>
      <c r="B1039" s="2"/>
      <c r="C1039" s="2"/>
      <c r="D1039" s="2"/>
      <c r="E1039" s="10"/>
      <c r="F1039" s="11"/>
      <c r="G1039" s="2"/>
      <c r="H1039" s="2"/>
      <c r="I1039" s="2"/>
      <c r="J1039" s="2"/>
      <c r="K1039" s="12"/>
      <c r="L1039" s="2"/>
      <c r="M1039" s="2"/>
      <c r="N1039" s="67"/>
    </row>
    <row r="1040" spans="1:14" x14ac:dyDescent="0.35">
      <c r="A1040" s="61">
        <v>1036</v>
      </c>
      <c r="B1040" s="2"/>
      <c r="C1040" s="2"/>
      <c r="D1040" s="2"/>
      <c r="E1040" s="10"/>
      <c r="F1040" s="11"/>
      <c r="G1040" s="2"/>
      <c r="H1040" s="2"/>
      <c r="I1040" s="2"/>
      <c r="J1040" s="2"/>
      <c r="K1040" s="12"/>
      <c r="L1040" s="2"/>
      <c r="M1040" s="2"/>
      <c r="N1040" s="67"/>
    </row>
    <row r="1041" spans="1:14" x14ac:dyDescent="0.35">
      <c r="A1041" s="61">
        <v>1037</v>
      </c>
      <c r="B1041" s="2"/>
      <c r="C1041" s="2"/>
      <c r="D1041" s="2"/>
      <c r="E1041" s="10"/>
      <c r="F1041" s="11"/>
      <c r="G1041" s="2"/>
      <c r="H1041" s="2"/>
      <c r="I1041" s="2"/>
      <c r="J1041" s="2"/>
      <c r="K1041" s="12"/>
      <c r="L1041" s="2"/>
      <c r="M1041" s="2"/>
      <c r="N1041" s="67"/>
    </row>
    <row r="1042" spans="1:14" x14ac:dyDescent="0.35">
      <c r="A1042" s="61">
        <v>1038</v>
      </c>
      <c r="B1042" s="2"/>
      <c r="C1042" s="2"/>
      <c r="D1042" s="2"/>
      <c r="E1042" s="10"/>
      <c r="F1042" s="11"/>
      <c r="G1042" s="2"/>
      <c r="H1042" s="2"/>
      <c r="I1042" s="2"/>
      <c r="J1042" s="2"/>
      <c r="K1042" s="12"/>
      <c r="L1042" s="2"/>
      <c r="M1042" s="2"/>
      <c r="N1042" s="67"/>
    </row>
    <row r="1043" spans="1:14" x14ac:dyDescent="0.35">
      <c r="A1043" s="61">
        <v>1039</v>
      </c>
      <c r="B1043" s="2"/>
      <c r="C1043" s="2"/>
      <c r="D1043" s="2"/>
      <c r="E1043" s="10"/>
      <c r="F1043" s="11"/>
      <c r="G1043" s="2"/>
      <c r="H1043" s="2"/>
      <c r="I1043" s="2"/>
      <c r="J1043" s="2"/>
      <c r="K1043" s="12"/>
      <c r="L1043" s="2"/>
      <c r="M1043" s="2"/>
      <c r="N1043" s="67"/>
    </row>
    <row r="1044" spans="1:14" x14ac:dyDescent="0.35">
      <c r="A1044" s="61">
        <v>1040</v>
      </c>
      <c r="B1044" s="2"/>
      <c r="C1044" s="2"/>
      <c r="D1044" s="2"/>
      <c r="E1044" s="10"/>
      <c r="F1044" s="11"/>
      <c r="G1044" s="2"/>
      <c r="H1044" s="2"/>
      <c r="I1044" s="2"/>
      <c r="J1044" s="2"/>
      <c r="K1044" s="12"/>
      <c r="L1044" s="2"/>
      <c r="M1044" s="2"/>
      <c r="N1044" s="67"/>
    </row>
    <row r="1045" spans="1:14" x14ac:dyDescent="0.35">
      <c r="A1045" s="61">
        <v>1041</v>
      </c>
      <c r="B1045" s="2"/>
      <c r="C1045" s="2"/>
      <c r="D1045" s="2"/>
      <c r="E1045" s="10"/>
      <c r="F1045" s="11"/>
      <c r="G1045" s="2"/>
      <c r="H1045" s="2"/>
      <c r="I1045" s="2"/>
      <c r="J1045" s="2"/>
      <c r="K1045" s="12"/>
      <c r="L1045" s="2"/>
      <c r="M1045" s="2"/>
      <c r="N1045" s="67"/>
    </row>
    <row r="1046" spans="1:14" x14ac:dyDescent="0.35">
      <c r="A1046" s="61">
        <v>1042</v>
      </c>
      <c r="B1046" s="2"/>
      <c r="C1046" s="2"/>
      <c r="D1046" s="2"/>
      <c r="E1046" s="10"/>
      <c r="F1046" s="11"/>
      <c r="G1046" s="2"/>
      <c r="H1046" s="2"/>
      <c r="I1046" s="2"/>
      <c r="J1046" s="2"/>
      <c r="K1046" s="12"/>
      <c r="L1046" s="2"/>
      <c r="M1046" s="2"/>
      <c r="N1046" s="67"/>
    </row>
    <row r="1047" spans="1:14" x14ac:dyDescent="0.35">
      <c r="A1047" s="61">
        <v>1043</v>
      </c>
      <c r="B1047" s="2"/>
      <c r="C1047" s="2"/>
      <c r="D1047" s="2"/>
      <c r="E1047" s="10"/>
      <c r="F1047" s="11"/>
      <c r="G1047" s="2"/>
      <c r="H1047" s="2"/>
      <c r="I1047" s="2"/>
      <c r="J1047" s="2"/>
      <c r="K1047" s="12"/>
      <c r="L1047" s="2"/>
      <c r="M1047" s="2"/>
      <c r="N1047" s="67"/>
    </row>
    <row r="1048" spans="1:14" x14ac:dyDescent="0.35">
      <c r="A1048" s="61">
        <v>1044</v>
      </c>
      <c r="B1048" s="2"/>
      <c r="C1048" s="2"/>
      <c r="D1048" s="2"/>
      <c r="E1048" s="10"/>
      <c r="F1048" s="11"/>
      <c r="G1048" s="2"/>
      <c r="H1048" s="2"/>
      <c r="I1048" s="2"/>
      <c r="J1048" s="2"/>
      <c r="K1048" s="12"/>
      <c r="L1048" s="2"/>
      <c r="M1048" s="2"/>
      <c r="N1048" s="67"/>
    </row>
    <row r="1049" spans="1:14" x14ac:dyDescent="0.35">
      <c r="A1049" s="61">
        <v>1045</v>
      </c>
      <c r="B1049" s="2"/>
      <c r="C1049" s="2"/>
      <c r="D1049" s="2"/>
      <c r="E1049" s="10"/>
      <c r="F1049" s="11"/>
      <c r="G1049" s="2"/>
      <c r="H1049" s="2"/>
      <c r="I1049" s="2"/>
      <c r="J1049" s="2"/>
      <c r="K1049" s="12"/>
      <c r="L1049" s="2"/>
      <c r="M1049" s="2"/>
      <c r="N1049" s="67"/>
    </row>
    <row r="1050" spans="1:14" x14ac:dyDescent="0.35">
      <c r="A1050" s="61">
        <v>1046</v>
      </c>
      <c r="B1050" s="2"/>
      <c r="C1050" s="2"/>
      <c r="D1050" s="2"/>
      <c r="E1050" s="10"/>
      <c r="F1050" s="11"/>
      <c r="G1050" s="2"/>
      <c r="H1050" s="2"/>
      <c r="I1050" s="2"/>
      <c r="J1050" s="2"/>
      <c r="K1050" s="12"/>
      <c r="L1050" s="2"/>
      <c r="M1050" s="2"/>
      <c r="N1050" s="67"/>
    </row>
    <row r="1051" spans="1:14" x14ac:dyDescent="0.35">
      <c r="A1051" s="61">
        <v>1047</v>
      </c>
      <c r="B1051" s="2"/>
      <c r="C1051" s="2"/>
      <c r="D1051" s="2"/>
      <c r="E1051" s="10"/>
      <c r="F1051" s="11"/>
      <c r="G1051" s="2"/>
      <c r="H1051" s="2"/>
      <c r="I1051" s="2"/>
      <c r="J1051" s="2"/>
      <c r="K1051" s="12"/>
      <c r="L1051" s="2"/>
      <c r="M1051" s="2"/>
      <c r="N1051" s="67"/>
    </row>
    <row r="1052" spans="1:14" x14ac:dyDescent="0.35">
      <c r="A1052" s="61">
        <v>1048</v>
      </c>
      <c r="B1052" s="2"/>
      <c r="C1052" s="2"/>
      <c r="D1052" s="2"/>
      <c r="E1052" s="10"/>
      <c r="F1052" s="11"/>
      <c r="G1052" s="2"/>
      <c r="H1052" s="2"/>
      <c r="I1052" s="2"/>
      <c r="J1052" s="2"/>
      <c r="K1052" s="12"/>
      <c r="L1052" s="2"/>
      <c r="M1052" s="2"/>
      <c r="N1052" s="67"/>
    </row>
    <row r="1053" spans="1:14" x14ac:dyDescent="0.35">
      <c r="A1053" s="61">
        <v>1049</v>
      </c>
      <c r="B1053" s="2"/>
      <c r="C1053" s="2"/>
      <c r="D1053" s="2"/>
      <c r="E1053" s="10"/>
      <c r="F1053" s="11"/>
      <c r="G1053" s="2"/>
      <c r="H1053" s="2"/>
      <c r="I1053" s="2"/>
      <c r="J1053" s="2"/>
      <c r="K1053" s="12"/>
      <c r="L1053" s="2"/>
      <c r="M1053" s="2"/>
      <c r="N1053" s="67"/>
    </row>
    <row r="1054" spans="1:14" x14ac:dyDescent="0.35">
      <c r="A1054" s="61">
        <v>1050</v>
      </c>
      <c r="B1054" s="2"/>
      <c r="C1054" s="2"/>
      <c r="D1054" s="2"/>
      <c r="E1054" s="10"/>
      <c r="F1054" s="11"/>
      <c r="G1054" s="2"/>
      <c r="H1054" s="2"/>
      <c r="I1054" s="2"/>
      <c r="J1054" s="2"/>
      <c r="K1054" s="12"/>
      <c r="L1054" s="2"/>
      <c r="M1054" s="2"/>
      <c r="N1054" s="67"/>
    </row>
    <row r="1055" spans="1:14" x14ac:dyDescent="0.35">
      <c r="A1055" s="61">
        <v>1051</v>
      </c>
      <c r="B1055" s="2"/>
      <c r="C1055" s="2"/>
      <c r="D1055" s="2"/>
      <c r="E1055" s="10"/>
      <c r="F1055" s="11"/>
      <c r="G1055" s="2"/>
      <c r="H1055" s="2"/>
      <c r="I1055" s="2"/>
      <c r="J1055" s="2"/>
      <c r="K1055" s="12"/>
      <c r="L1055" s="2"/>
      <c r="M1055" s="2"/>
      <c r="N1055" s="67"/>
    </row>
    <row r="1056" spans="1:14" x14ac:dyDescent="0.35">
      <c r="A1056" s="61">
        <v>1052</v>
      </c>
      <c r="B1056" s="2"/>
      <c r="C1056" s="2"/>
      <c r="D1056" s="2"/>
      <c r="E1056" s="10"/>
      <c r="F1056" s="11"/>
      <c r="G1056" s="2"/>
      <c r="H1056" s="2"/>
      <c r="I1056" s="2"/>
      <c r="J1056" s="2"/>
      <c r="K1056" s="12"/>
      <c r="L1056" s="2"/>
      <c r="M1056" s="2"/>
      <c r="N1056" s="67"/>
    </row>
    <row r="1057" spans="1:14" x14ac:dyDescent="0.35">
      <c r="A1057" s="61">
        <v>1053</v>
      </c>
      <c r="B1057" s="2"/>
      <c r="C1057" s="2"/>
      <c r="D1057" s="2"/>
      <c r="E1057" s="10"/>
      <c r="F1057" s="11"/>
      <c r="G1057" s="2"/>
      <c r="H1057" s="2"/>
      <c r="I1057" s="2"/>
      <c r="J1057" s="2"/>
      <c r="K1057" s="12"/>
      <c r="L1057" s="2"/>
      <c r="M1057" s="2"/>
      <c r="N1057" s="67"/>
    </row>
    <row r="1058" spans="1:14" x14ac:dyDescent="0.35">
      <c r="A1058" s="61">
        <v>1054</v>
      </c>
      <c r="B1058" s="2"/>
      <c r="C1058" s="2"/>
      <c r="D1058" s="2"/>
      <c r="E1058" s="10"/>
      <c r="F1058" s="11"/>
      <c r="G1058" s="2"/>
      <c r="H1058" s="2"/>
      <c r="I1058" s="2"/>
      <c r="J1058" s="2"/>
      <c r="K1058" s="12"/>
      <c r="L1058" s="2"/>
      <c r="M1058" s="2"/>
      <c r="N1058" s="67"/>
    </row>
    <row r="1059" spans="1:14" x14ac:dyDescent="0.35">
      <c r="A1059" s="61">
        <v>1055</v>
      </c>
      <c r="B1059" s="2"/>
      <c r="C1059" s="2"/>
      <c r="D1059" s="2"/>
      <c r="E1059" s="10"/>
      <c r="F1059" s="11"/>
      <c r="G1059" s="2"/>
      <c r="H1059" s="2"/>
      <c r="I1059" s="2"/>
      <c r="J1059" s="2"/>
      <c r="K1059" s="12"/>
      <c r="L1059" s="2"/>
      <c r="M1059" s="2"/>
      <c r="N1059" s="67"/>
    </row>
    <row r="1060" spans="1:14" x14ac:dyDescent="0.35">
      <c r="A1060" s="61">
        <v>1056</v>
      </c>
      <c r="B1060" s="2"/>
      <c r="C1060" s="2"/>
      <c r="D1060" s="2"/>
      <c r="E1060" s="10"/>
      <c r="F1060" s="11"/>
      <c r="G1060" s="2"/>
      <c r="H1060" s="2"/>
      <c r="I1060" s="2"/>
      <c r="J1060" s="2"/>
      <c r="K1060" s="12"/>
      <c r="L1060" s="2"/>
      <c r="M1060" s="2"/>
      <c r="N1060" s="67"/>
    </row>
    <row r="1061" spans="1:14" x14ac:dyDescent="0.35">
      <c r="A1061" s="61">
        <v>1057</v>
      </c>
      <c r="B1061" s="2"/>
      <c r="C1061" s="2"/>
      <c r="D1061" s="2"/>
      <c r="E1061" s="10"/>
      <c r="F1061" s="11"/>
      <c r="G1061" s="2"/>
      <c r="H1061" s="2"/>
      <c r="I1061" s="2"/>
      <c r="J1061" s="2"/>
      <c r="K1061" s="12"/>
      <c r="L1061" s="2"/>
      <c r="M1061" s="2"/>
      <c r="N1061" s="67"/>
    </row>
    <row r="1062" spans="1:14" x14ac:dyDescent="0.35">
      <c r="A1062" s="61">
        <v>1058</v>
      </c>
      <c r="B1062" s="2"/>
      <c r="C1062" s="2"/>
      <c r="D1062" s="2"/>
      <c r="E1062" s="10"/>
      <c r="F1062" s="11"/>
      <c r="G1062" s="2"/>
      <c r="H1062" s="2"/>
      <c r="I1062" s="2"/>
      <c r="J1062" s="2"/>
      <c r="K1062" s="12"/>
      <c r="L1062" s="2"/>
      <c r="M1062" s="2"/>
      <c r="N1062" s="67"/>
    </row>
    <row r="1063" spans="1:14" x14ac:dyDescent="0.35">
      <c r="A1063" s="61">
        <v>1059</v>
      </c>
      <c r="B1063" s="2"/>
      <c r="C1063" s="2"/>
      <c r="D1063" s="2"/>
      <c r="E1063" s="10"/>
      <c r="F1063" s="11"/>
      <c r="G1063" s="2"/>
      <c r="H1063" s="2"/>
      <c r="I1063" s="2"/>
      <c r="J1063" s="2"/>
      <c r="K1063" s="12"/>
      <c r="L1063" s="2"/>
      <c r="M1063" s="2"/>
      <c r="N1063" s="67"/>
    </row>
    <row r="1064" spans="1:14" x14ac:dyDescent="0.35">
      <c r="A1064" s="61">
        <v>1060</v>
      </c>
      <c r="B1064" s="2"/>
      <c r="C1064" s="2"/>
      <c r="D1064" s="2"/>
      <c r="E1064" s="10"/>
      <c r="F1064" s="11"/>
      <c r="G1064" s="2"/>
      <c r="H1064" s="2"/>
      <c r="I1064" s="2"/>
      <c r="J1064" s="2"/>
      <c r="K1064" s="12"/>
      <c r="L1064" s="2"/>
      <c r="M1064" s="2"/>
      <c r="N1064" s="67"/>
    </row>
    <row r="1065" spans="1:14" x14ac:dyDescent="0.35">
      <c r="A1065" s="61">
        <v>1061</v>
      </c>
      <c r="B1065" s="2"/>
      <c r="C1065" s="2"/>
      <c r="D1065" s="2"/>
      <c r="E1065" s="10"/>
      <c r="F1065" s="11"/>
      <c r="G1065" s="2"/>
      <c r="H1065" s="2"/>
      <c r="I1065" s="2"/>
      <c r="J1065" s="2"/>
      <c r="K1065" s="12"/>
      <c r="L1065" s="2"/>
      <c r="M1065" s="2"/>
      <c r="N1065" s="67"/>
    </row>
    <row r="1066" spans="1:14" x14ac:dyDescent="0.35">
      <c r="A1066" s="61">
        <v>1062</v>
      </c>
      <c r="B1066" s="2"/>
      <c r="C1066" s="2"/>
      <c r="D1066" s="2"/>
      <c r="E1066" s="10"/>
      <c r="F1066" s="11"/>
      <c r="G1066" s="2"/>
      <c r="H1066" s="2"/>
      <c r="I1066" s="2"/>
      <c r="J1066" s="2"/>
      <c r="K1066" s="12"/>
      <c r="L1066" s="2"/>
      <c r="M1066" s="2"/>
      <c r="N1066" s="67"/>
    </row>
    <row r="1067" spans="1:14" x14ac:dyDescent="0.35">
      <c r="A1067" s="61">
        <v>1063</v>
      </c>
      <c r="B1067" s="2"/>
      <c r="C1067" s="2"/>
      <c r="D1067" s="2"/>
      <c r="E1067" s="10"/>
      <c r="F1067" s="11"/>
      <c r="G1067" s="2"/>
      <c r="H1067" s="2"/>
      <c r="I1067" s="2"/>
      <c r="J1067" s="2"/>
      <c r="K1067" s="12"/>
      <c r="L1067" s="2"/>
      <c r="M1067" s="2"/>
      <c r="N1067" s="67"/>
    </row>
    <row r="1068" spans="1:14" x14ac:dyDescent="0.35">
      <c r="A1068" s="61">
        <v>1064</v>
      </c>
      <c r="B1068" s="2"/>
      <c r="C1068" s="2"/>
      <c r="D1068" s="2"/>
      <c r="E1068" s="10"/>
      <c r="F1068" s="11"/>
      <c r="G1068" s="2"/>
      <c r="H1068" s="2"/>
      <c r="I1068" s="2"/>
      <c r="J1068" s="2"/>
      <c r="K1068" s="12"/>
      <c r="L1068" s="2"/>
      <c r="M1068" s="2"/>
      <c r="N1068" s="67"/>
    </row>
    <row r="1069" spans="1:14" x14ac:dyDescent="0.35">
      <c r="A1069" s="61">
        <v>1065</v>
      </c>
      <c r="B1069" s="2"/>
      <c r="C1069" s="2"/>
      <c r="D1069" s="2"/>
      <c r="E1069" s="10"/>
      <c r="F1069" s="11"/>
      <c r="G1069" s="2"/>
      <c r="H1069" s="2"/>
      <c r="I1069" s="2"/>
      <c r="J1069" s="2"/>
      <c r="K1069" s="12"/>
      <c r="L1069" s="2"/>
      <c r="M1069" s="2"/>
      <c r="N1069" s="67"/>
    </row>
    <row r="1070" spans="1:14" x14ac:dyDescent="0.35">
      <c r="A1070" s="61">
        <v>1066</v>
      </c>
      <c r="B1070" s="2"/>
      <c r="C1070" s="2"/>
      <c r="D1070" s="2"/>
      <c r="E1070" s="10"/>
      <c r="F1070" s="11"/>
      <c r="G1070" s="2"/>
      <c r="H1070" s="2"/>
      <c r="I1070" s="2"/>
      <c r="J1070" s="2"/>
      <c r="K1070" s="12"/>
      <c r="L1070" s="2"/>
      <c r="M1070" s="2"/>
      <c r="N1070" s="67"/>
    </row>
    <row r="1071" spans="1:14" x14ac:dyDescent="0.35">
      <c r="A1071" s="61">
        <v>1067</v>
      </c>
      <c r="B1071" s="2"/>
      <c r="C1071" s="2"/>
      <c r="D1071" s="2"/>
      <c r="E1071" s="10"/>
      <c r="F1071" s="11"/>
      <c r="G1071" s="2"/>
      <c r="H1071" s="2"/>
      <c r="I1071" s="2"/>
      <c r="J1071" s="2"/>
      <c r="K1071" s="12"/>
      <c r="L1071" s="2"/>
      <c r="M1071" s="2"/>
      <c r="N1071" s="67"/>
    </row>
    <row r="1072" spans="1:14" x14ac:dyDescent="0.35">
      <c r="A1072" s="61">
        <v>1068</v>
      </c>
      <c r="B1072" s="2"/>
      <c r="C1072" s="2"/>
      <c r="D1072" s="2"/>
      <c r="E1072" s="10"/>
      <c r="F1072" s="11"/>
      <c r="G1072" s="2"/>
      <c r="H1072" s="2"/>
      <c r="I1072" s="2"/>
      <c r="J1072" s="2"/>
      <c r="K1072" s="12"/>
      <c r="L1072" s="2"/>
      <c r="M1072" s="2"/>
      <c r="N1072" s="67"/>
    </row>
    <row r="1073" spans="1:14" x14ac:dyDescent="0.35">
      <c r="A1073" s="61">
        <v>1069</v>
      </c>
      <c r="B1073" s="2"/>
      <c r="C1073" s="2"/>
      <c r="D1073" s="2"/>
      <c r="E1073" s="10"/>
      <c r="F1073" s="11"/>
      <c r="G1073" s="2"/>
      <c r="H1073" s="2"/>
      <c r="I1073" s="2"/>
      <c r="J1073" s="2"/>
      <c r="K1073" s="12"/>
      <c r="L1073" s="2"/>
      <c r="M1073" s="2"/>
      <c r="N1073" s="67"/>
    </row>
    <row r="1074" spans="1:14" x14ac:dyDescent="0.35">
      <c r="A1074" s="61">
        <v>1070</v>
      </c>
      <c r="B1074" s="2"/>
      <c r="C1074" s="2"/>
      <c r="D1074" s="2"/>
      <c r="E1074" s="10"/>
      <c r="F1074" s="11"/>
      <c r="G1074" s="2"/>
      <c r="H1074" s="2"/>
      <c r="I1074" s="2"/>
      <c r="J1074" s="2"/>
      <c r="K1074" s="12"/>
      <c r="L1074" s="2"/>
      <c r="M1074" s="2"/>
      <c r="N1074" s="67"/>
    </row>
    <row r="1075" spans="1:14" x14ac:dyDescent="0.35">
      <c r="A1075" s="61">
        <v>1071</v>
      </c>
      <c r="B1075" s="2"/>
      <c r="C1075" s="2"/>
      <c r="D1075" s="2"/>
      <c r="E1075" s="10"/>
      <c r="F1075" s="11"/>
      <c r="G1075" s="2"/>
      <c r="H1075" s="2"/>
      <c r="I1075" s="2"/>
      <c r="J1075" s="2"/>
      <c r="K1075" s="12"/>
      <c r="L1075" s="2"/>
      <c r="M1075" s="2"/>
      <c r="N1075" s="67"/>
    </row>
    <row r="1076" spans="1:14" x14ac:dyDescent="0.35">
      <c r="A1076" s="61">
        <v>1072</v>
      </c>
      <c r="B1076" s="2"/>
      <c r="C1076" s="2"/>
      <c r="D1076" s="2"/>
      <c r="E1076" s="10"/>
      <c r="F1076" s="11"/>
      <c r="G1076" s="2"/>
      <c r="H1076" s="2"/>
      <c r="I1076" s="2"/>
      <c r="J1076" s="2"/>
      <c r="K1076" s="12"/>
      <c r="L1076" s="2"/>
      <c r="M1076" s="2"/>
      <c r="N1076" s="67"/>
    </row>
    <row r="1077" spans="1:14" x14ac:dyDescent="0.35">
      <c r="A1077" s="61">
        <v>1073</v>
      </c>
      <c r="B1077" s="2"/>
      <c r="C1077" s="2"/>
      <c r="D1077" s="2"/>
      <c r="E1077" s="10"/>
      <c r="F1077" s="11"/>
      <c r="G1077" s="2"/>
      <c r="H1077" s="2"/>
      <c r="I1077" s="2"/>
      <c r="J1077" s="2"/>
      <c r="K1077" s="12"/>
      <c r="L1077" s="2"/>
      <c r="M1077" s="2"/>
      <c r="N1077" s="67"/>
    </row>
    <row r="1078" spans="1:14" x14ac:dyDescent="0.35">
      <c r="A1078" s="61">
        <v>1074</v>
      </c>
      <c r="B1078" s="2"/>
      <c r="C1078" s="2"/>
      <c r="D1078" s="2"/>
      <c r="E1078" s="10"/>
      <c r="F1078" s="11"/>
      <c r="G1078" s="2"/>
      <c r="H1078" s="2"/>
      <c r="I1078" s="2"/>
      <c r="J1078" s="2"/>
      <c r="K1078" s="12"/>
      <c r="L1078" s="2"/>
      <c r="M1078" s="2"/>
      <c r="N1078" s="67"/>
    </row>
    <row r="1079" spans="1:14" x14ac:dyDescent="0.35">
      <c r="A1079" s="61">
        <v>1075</v>
      </c>
      <c r="B1079" s="2"/>
      <c r="C1079" s="2"/>
      <c r="D1079" s="2"/>
      <c r="E1079" s="10"/>
      <c r="F1079" s="11"/>
      <c r="G1079" s="2"/>
      <c r="H1079" s="2"/>
      <c r="I1079" s="2"/>
      <c r="J1079" s="2"/>
      <c r="K1079" s="12"/>
      <c r="L1079" s="2"/>
      <c r="M1079" s="2"/>
      <c r="N1079" s="67"/>
    </row>
    <row r="1080" spans="1:14" x14ac:dyDescent="0.35">
      <c r="A1080" s="61">
        <v>1076</v>
      </c>
      <c r="B1080" s="2"/>
      <c r="C1080" s="2"/>
      <c r="D1080" s="2"/>
      <c r="E1080" s="10"/>
      <c r="F1080" s="11"/>
      <c r="G1080" s="2"/>
      <c r="H1080" s="2"/>
      <c r="I1080" s="2"/>
      <c r="J1080" s="2"/>
      <c r="K1080" s="12"/>
      <c r="L1080" s="2"/>
      <c r="M1080" s="2"/>
      <c r="N1080" s="67"/>
    </row>
    <row r="1081" spans="1:14" x14ac:dyDescent="0.35">
      <c r="A1081" s="61">
        <v>1077</v>
      </c>
      <c r="B1081" s="2"/>
      <c r="C1081" s="2"/>
      <c r="D1081" s="2"/>
      <c r="E1081" s="10"/>
      <c r="F1081" s="11"/>
      <c r="G1081" s="2"/>
      <c r="H1081" s="2"/>
      <c r="I1081" s="2"/>
      <c r="J1081" s="2"/>
      <c r="K1081" s="12"/>
      <c r="L1081" s="2"/>
      <c r="M1081" s="2"/>
      <c r="N1081" s="67"/>
    </row>
    <row r="1082" spans="1:14" x14ac:dyDescent="0.35">
      <c r="A1082" s="61">
        <v>1078</v>
      </c>
      <c r="B1082" s="2"/>
      <c r="C1082" s="2"/>
      <c r="D1082" s="2"/>
      <c r="E1082" s="10"/>
      <c r="F1082" s="11"/>
      <c r="G1082" s="2"/>
      <c r="H1082" s="2"/>
      <c r="I1082" s="2"/>
      <c r="J1082" s="2"/>
      <c r="K1082" s="12"/>
      <c r="L1082" s="2"/>
      <c r="M1082" s="2"/>
      <c r="N1082" s="67"/>
    </row>
    <row r="1083" spans="1:14" x14ac:dyDescent="0.35">
      <c r="A1083" s="61">
        <v>1079</v>
      </c>
      <c r="B1083" s="2"/>
      <c r="C1083" s="2"/>
      <c r="D1083" s="2"/>
      <c r="E1083" s="10"/>
      <c r="F1083" s="11"/>
      <c r="G1083" s="2"/>
      <c r="H1083" s="2"/>
      <c r="I1083" s="2"/>
      <c r="J1083" s="2"/>
      <c r="K1083" s="12"/>
      <c r="L1083" s="2"/>
      <c r="M1083" s="2"/>
      <c r="N1083" s="67"/>
    </row>
    <row r="1084" spans="1:14" x14ac:dyDescent="0.35">
      <c r="A1084" s="61">
        <v>1080</v>
      </c>
      <c r="B1084" s="2"/>
      <c r="C1084" s="2"/>
      <c r="D1084" s="2"/>
      <c r="E1084" s="10"/>
      <c r="F1084" s="11"/>
      <c r="G1084" s="2"/>
      <c r="H1084" s="2"/>
      <c r="I1084" s="2"/>
      <c r="J1084" s="2"/>
      <c r="K1084" s="12"/>
      <c r="L1084" s="2"/>
      <c r="M1084" s="2"/>
      <c r="N1084" s="67"/>
    </row>
    <row r="1085" spans="1:14" x14ac:dyDescent="0.35">
      <c r="A1085" s="61">
        <v>1081</v>
      </c>
      <c r="B1085" s="2"/>
      <c r="C1085" s="2"/>
      <c r="D1085" s="2"/>
      <c r="E1085" s="10"/>
      <c r="F1085" s="11"/>
      <c r="G1085" s="2"/>
      <c r="H1085" s="2"/>
      <c r="I1085" s="2"/>
      <c r="J1085" s="2"/>
      <c r="K1085" s="12"/>
      <c r="L1085" s="2"/>
      <c r="M1085" s="2"/>
      <c r="N1085" s="67"/>
    </row>
    <row r="1086" spans="1:14" x14ac:dyDescent="0.35">
      <c r="A1086" s="61">
        <v>1082</v>
      </c>
      <c r="B1086" s="2"/>
      <c r="C1086" s="2"/>
      <c r="D1086" s="2"/>
      <c r="E1086" s="10"/>
      <c r="F1086" s="11"/>
      <c r="G1086" s="2"/>
      <c r="H1086" s="2"/>
      <c r="I1086" s="2"/>
      <c r="J1086" s="2"/>
      <c r="K1086" s="12"/>
      <c r="L1086" s="2"/>
      <c r="M1086" s="2"/>
      <c r="N1086" s="67"/>
    </row>
    <row r="1087" spans="1:14" x14ac:dyDescent="0.35">
      <c r="A1087" s="61">
        <v>1083</v>
      </c>
      <c r="B1087" s="2"/>
      <c r="C1087" s="2"/>
      <c r="D1087" s="2"/>
      <c r="E1087" s="10"/>
      <c r="F1087" s="11"/>
      <c r="G1087" s="2"/>
      <c r="H1087" s="2"/>
      <c r="I1087" s="2"/>
      <c r="J1087" s="2"/>
      <c r="K1087" s="12"/>
      <c r="L1087" s="2"/>
      <c r="M1087" s="2"/>
      <c r="N1087" s="67"/>
    </row>
    <row r="1088" spans="1:14" x14ac:dyDescent="0.35">
      <c r="A1088" s="61">
        <v>1084</v>
      </c>
      <c r="B1088" s="2"/>
      <c r="C1088" s="2"/>
      <c r="D1088" s="2"/>
      <c r="E1088" s="10"/>
      <c r="F1088" s="11"/>
      <c r="G1088" s="2"/>
      <c r="H1088" s="2"/>
      <c r="I1088" s="2"/>
      <c r="J1088" s="2"/>
      <c r="K1088" s="12"/>
      <c r="L1088" s="2"/>
      <c r="M1088" s="2"/>
      <c r="N1088" s="67"/>
    </row>
    <row r="1089" spans="1:14" x14ac:dyDescent="0.35">
      <c r="A1089" s="61">
        <v>1085</v>
      </c>
      <c r="B1089" s="2"/>
      <c r="C1089" s="2"/>
      <c r="D1089" s="2"/>
      <c r="E1089" s="10"/>
      <c r="F1089" s="11"/>
      <c r="G1089" s="2"/>
      <c r="H1089" s="2"/>
      <c r="I1089" s="2"/>
      <c r="J1089" s="2"/>
      <c r="K1089" s="12"/>
      <c r="L1089" s="2"/>
      <c r="M1089" s="2"/>
      <c r="N1089" s="67"/>
    </row>
    <row r="1090" spans="1:14" x14ac:dyDescent="0.35">
      <c r="A1090" s="61">
        <v>1086</v>
      </c>
      <c r="B1090" s="2"/>
      <c r="C1090" s="2"/>
      <c r="D1090" s="2"/>
      <c r="E1090" s="10"/>
      <c r="F1090" s="11"/>
      <c r="G1090" s="2"/>
      <c r="H1090" s="2"/>
      <c r="I1090" s="2"/>
      <c r="J1090" s="2"/>
      <c r="K1090" s="12"/>
      <c r="L1090" s="2"/>
      <c r="M1090" s="2"/>
      <c r="N1090" s="67"/>
    </row>
    <row r="1091" spans="1:14" x14ac:dyDescent="0.35">
      <c r="A1091" s="61">
        <v>1087</v>
      </c>
      <c r="B1091" s="2"/>
      <c r="C1091" s="2"/>
      <c r="D1091" s="2"/>
      <c r="E1091" s="10"/>
      <c r="F1091" s="11"/>
      <c r="G1091" s="2"/>
      <c r="H1091" s="2"/>
      <c r="I1091" s="2"/>
      <c r="J1091" s="2"/>
      <c r="K1091" s="12"/>
      <c r="L1091" s="2"/>
      <c r="M1091" s="2"/>
      <c r="N1091" s="67"/>
    </row>
    <row r="1092" spans="1:14" x14ac:dyDescent="0.35">
      <c r="A1092" s="61">
        <v>1088</v>
      </c>
      <c r="B1092" s="2"/>
      <c r="C1092" s="2"/>
      <c r="D1092" s="2"/>
      <c r="E1092" s="10"/>
      <c r="F1092" s="11"/>
      <c r="G1092" s="2"/>
      <c r="H1092" s="2"/>
      <c r="I1092" s="2"/>
      <c r="J1092" s="2"/>
      <c r="K1092" s="12"/>
      <c r="L1092" s="2"/>
      <c r="M1092" s="2"/>
      <c r="N1092" s="67"/>
    </row>
    <row r="1093" spans="1:14" x14ac:dyDescent="0.35">
      <c r="A1093" s="61">
        <v>1089</v>
      </c>
      <c r="B1093" s="2"/>
      <c r="C1093" s="2"/>
      <c r="D1093" s="2"/>
      <c r="E1093" s="10"/>
      <c r="F1093" s="11"/>
      <c r="G1093" s="2"/>
      <c r="H1093" s="2"/>
      <c r="I1093" s="2"/>
      <c r="J1093" s="2"/>
      <c r="K1093" s="12"/>
      <c r="L1093" s="2"/>
      <c r="M1093" s="2"/>
      <c r="N1093" s="67"/>
    </row>
    <row r="1094" spans="1:14" x14ac:dyDescent="0.35">
      <c r="A1094" s="61">
        <v>1090</v>
      </c>
      <c r="B1094" s="2"/>
      <c r="C1094" s="2"/>
      <c r="D1094" s="2"/>
      <c r="E1094" s="10"/>
      <c r="F1094" s="11"/>
      <c r="G1094" s="2"/>
      <c r="H1094" s="2"/>
      <c r="I1094" s="2"/>
      <c r="J1094" s="2"/>
      <c r="K1094" s="12"/>
      <c r="L1094" s="2"/>
      <c r="M1094" s="2"/>
      <c r="N1094" s="67"/>
    </row>
    <row r="1095" spans="1:14" x14ac:dyDescent="0.35">
      <c r="A1095" s="61">
        <v>1091</v>
      </c>
      <c r="B1095" s="2"/>
      <c r="C1095" s="2"/>
      <c r="D1095" s="2"/>
      <c r="E1095" s="10"/>
      <c r="F1095" s="11"/>
      <c r="G1095" s="2"/>
      <c r="H1095" s="2"/>
      <c r="I1095" s="2"/>
      <c r="J1095" s="2"/>
      <c r="K1095" s="12"/>
      <c r="L1095" s="2"/>
      <c r="M1095" s="2"/>
      <c r="N1095" s="67"/>
    </row>
    <row r="1096" spans="1:14" x14ac:dyDescent="0.35">
      <c r="A1096" s="61">
        <v>1092</v>
      </c>
      <c r="B1096" s="2"/>
      <c r="C1096" s="2"/>
      <c r="D1096" s="2"/>
      <c r="E1096" s="10"/>
      <c r="F1096" s="11"/>
      <c r="G1096" s="2"/>
      <c r="H1096" s="2"/>
      <c r="I1096" s="2"/>
      <c r="J1096" s="2"/>
      <c r="K1096" s="12"/>
      <c r="L1096" s="2"/>
      <c r="M1096" s="2"/>
      <c r="N1096" s="67"/>
    </row>
    <row r="1097" spans="1:14" x14ac:dyDescent="0.35">
      <c r="A1097" s="61">
        <v>1093</v>
      </c>
      <c r="B1097" s="2"/>
      <c r="C1097" s="2"/>
      <c r="D1097" s="2"/>
      <c r="E1097" s="10"/>
      <c r="F1097" s="11"/>
      <c r="G1097" s="2"/>
      <c r="H1097" s="2"/>
      <c r="I1097" s="2"/>
      <c r="J1097" s="2"/>
      <c r="K1097" s="12"/>
      <c r="L1097" s="2"/>
      <c r="M1097" s="2"/>
      <c r="N1097" s="67"/>
    </row>
    <row r="1098" spans="1:14" x14ac:dyDescent="0.35">
      <c r="A1098" s="61">
        <v>1094</v>
      </c>
      <c r="B1098" s="2"/>
      <c r="C1098" s="2"/>
      <c r="D1098" s="2"/>
      <c r="E1098" s="10"/>
      <c r="F1098" s="11"/>
      <c r="G1098" s="2"/>
      <c r="H1098" s="2"/>
      <c r="I1098" s="2"/>
      <c r="J1098" s="2"/>
      <c r="K1098" s="12"/>
      <c r="L1098" s="2"/>
      <c r="M1098" s="2"/>
      <c r="N1098" s="67"/>
    </row>
    <row r="1099" spans="1:14" x14ac:dyDescent="0.35">
      <c r="A1099" s="61">
        <v>1095</v>
      </c>
      <c r="B1099" s="2"/>
      <c r="C1099" s="2"/>
      <c r="D1099" s="2"/>
      <c r="E1099" s="10"/>
      <c r="F1099" s="11"/>
      <c r="G1099" s="2"/>
      <c r="H1099" s="2"/>
      <c r="I1099" s="2"/>
      <c r="J1099" s="2"/>
      <c r="K1099" s="12"/>
      <c r="L1099" s="2"/>
      <c r="M1099" s="2"/>
      <c r="N1099" s="67"/>
    </row>
    <row r="1100" spans="1:14" x14ac:dyDescent="0.35">
      <c r="A1100" s="61">
        <v>1096</v>
      </c>
      <c r="B1100" s="2"/>
      <c r="C1100" s="2"/>
      <c r="D1100" s="2"/>
      <c r="E1100" s="10"/>
      <c r="F1100" s="11"/>
      <c r="G1100" s="2"/>
      <c r="H1100" s="2"/>
      <c r="I1100" s="2"/>
      <c r="J1100" s="2"/>
      <c r="K1100" s="12"/>
      <c r="L1100" s="2"/>
      <c r="M1100" s="2"/>
      <c r="N1100" s="67"/>
    </row>
    <row r="1101" spans="1:14" x14ac:dyDescent="0.35">
      <c r="A1101" s="61">
        <v>1097</v>
      </c>
      <c r="B1101" s="2"/>
      <c r="C1101" s="2"/>
      <c r="D1101" s="2"/>
      <c r="E1101" s="10"/>
      <c r="F1101" s="11"/>
      <c r="G1101" s="2"/>
      <c r="H1101" s="2"/>
      <c r="I1101" s="2"/>
      <c r="J1101" s="2"/>
      <c r="K1101" s="12"/>
      <c r="L1101" s="2"/>
      <c r="M1101" s="2"/>
      <c r="N1101" s="67"/>
    </row>
    <row r="1102" spans="1:14" x14ac:dyDescent="0.35">
      <c r="A1102" s="61">
        <v>1098</v>
      </c>
      <c r="B1102" s="2"/>
      <c r="C1102" s="2"/>
      <c r="D1102" s="2"/>
      <c r="E1102" s="10"/>
      <c r="F1102" s="11"/>
      <c r="G1102" s="2"/>
      <c r="H1102" s="2"/>
      <c r="I1102" s="2"/>
      <c r="J1102" s="2"/>
      <c r="K1102" s="12"/>
      <c r="L1102" s="2"/>
      <c r="M1102" s="2"/>
      <c r="N1102" s="67"/>
    </row>
    <row r="1103" spans="1:14" x14ac:dyDescent="0.35">
      <c r="A1103" s="61">
        <v>1099</v>
      </c>
      <c r="B1103" s="2"/>
      <c r="C1103" s="2"/>
      <c r="D1103" s="2"/>
      <c r="E1103" s="10"/>
      <c r="F1103" s="11"/>
      <c r="G1103" s="2"/>
      <c r="H1103" s="2"/>
      <c r="I1103" s="2"/>
      <c r="J1103" s="2"/>
      <c r="K1103" s="12"/>
      <c r="L1103" s="2"/>
      <c r="M1103" s="2"/>
      <c r="N1103" s="67"/>
    </row>
    <row r="1104" spans="1:14" x14ac:dyDescent="0.35">
      <c r="A1104" s="61">
        <v>1100</v>
      </c>
      <c r="B1104" s="2"/>
      <c r="C1104" s="2"/>
      <c r="D1104" s="2"/>
      <c r="E1104" s="10"/>
      <c r="F1104" s="11"/>
      <c r="G1104" s="2"/>
      <c r="H1104" s="2"/>
      <c r="I1104" s="2"/>
      <c r="J1104" s="2"/>
      <c r="K1104" s="12"/>
      <c r="L1104" s="2"/>
      <c r="M1104" s="2"/>
      <c r="N1104" s="67"/>
    </row>
    <row r="1105" spans="1:14" x14ac:dyDescent="0.35">
      <c r="A1105" s="61">
        <v>1101</v>
      </c>
      <c r="B1105" s="2"/>
      <c r="C1105" s="2"/>
      <c r="D1105" s="2"/>
      <c r="E1105" s="10"/>
      <c r="F1105" s="11"/>
      <c r="G1105" s="2"/>
      <c r="H1105" s="2"/>
      <c r="I1105" s="2"/>
      <c r="J1105" s="2"/>
      <c r="K1105" s="12"/>
      <c r="L1105" s="2"/>
      <c r="M1105" s="2"/>
      <c r="N1105" s="67"/>
    </row>
    <row r="1106" spans="1:14" x14ac:dyDescent="0.35">
      <c r="A1106" s="61">
        <v>1102</v>
      </c>
      <c r="B1106" s="2"/>
      <c r="C1106" s="2"/>
      <c r="D1106" s="2"/>
      <c r="E1106" s="10"/>
      <c r="F1106" s="11"/>
      <c r="G1106" s="2"/>
      <c r="H1106" s="2"/>
      <c r="I1106" s="2"/>
      <c r="J1106" s="2"/>
      <c r="K1106" s="12"/>
      <c r="L1106" s="2"/>
      <c r="M1106" s="2"/>
      <c r="N1106" s="67"/>
    </row>
    <row r="1107" spans="1:14" x14ac:dyDescent="0.35">
      <c r="A1107" s="61">
        <v>1103</v>
      </c>
      <c r="B1107" s="2"/>
      <c r="C1107" s="2"/>
      <c r="D1107" s="2"/>
      <c r="E1107" s="10"/>
      <c r="F1107" s="11"/>
      <c r="G1107" s="2"/>
      <c r="H1107" s="2"/>
      <c r="I1107" s="2"/>
      <c r="J1107" s="2"/>
      <c r="K1107" s="12"/>
      <c r="L1107" s="2"/>
      <c r="M1107" s="2"/>
      <c r="N1107" s="67"/>
    </row>
    <row r="1108" spans="1:14" x14ac:dyDescent="0.35">
      <c r="A1108" s="61">
        <v>1104</v>
      </c>
      <c r="B1108" s="2"/>
      <c r="C1108" s="2"/>
      <c r="D1108" s="2"/>
      <c r="E1108" s="10"/>
      <c r="F1108" s="11"/>
      <c r="G1108" s="2"/>
      <c r="H1108" s="2"/>
      <c r="I1108" s="2"/>
      <c r="J1108" s="2"/>
      <c r="K1108" s="12"/>
      <c r="L1108" s="2"/>
      <c r="M1108" s="2"/>
      <c r="N1108" s="67"/>
    </row>
    <row r="1109" spans="1:14" x14ac:dyDescent="0.35">
      <c r="A1109" s="61">
        <v>1105</v>
      </c>
      <c r="B1109" s="2"/>
      <c r="C1109" s="2"/>
      <c r="D1109" s="2"/>
      <c r="E1109" s="10"/>
      <c r="F1109" s="11"/>
      <c r="G1109" s="2"/>
      <c r="H1109" s="2"/>
      <c r="I1109" s="2"/>
      <c r="J1109" s="2"/>
      <c r="K1109" s="12"/>
      <c r="L1109" s="2"/>
      <c r="M1109" s="2"/>
      <c r="N1109" s="67"/>
    </row>
    <row r="1110" spans="1:14" x14ac:dyDescent="0.35">
      <c r="A1110" s="61">
        <v>1106</v>
      </c>
      <c r="B1110" s="2"/>
      <c r="C1110" s="2"/>
      <c r="D1110" s="2"/>
      <c r="E1110" s="10"/>
      <c r="F1110" s="11"/>
      <c r="G1110" s="2"/>
      <c r="H1110" s="2"/>
      <c r="I1110" s="2"/>
      <c r="J1110" s="2"/>
      <c r="K1110" s="12"/>
      <c r="L1110" s="2"/>
      <c r="M1110" s="2"/>
      <c r="N1110" s="67"/>
    </row>
    <row r="1111" spans="1:14" x14ac:dyDescent="0.35">
      <c r="A1111" s="61">
        <v>1107</v>
      </c>
      <c r="B1111" s="2"/>
      <c r="C1111" s="2"/>
      <c r="D1111" s="2"/>
      <c r="E1111" s="10"/>
      <c r="F1111" s="11"/>
      <c r="G1111" s="2"/>
      <c r="H1111" s="2"/>
      <c r="I1111" s="2"/>
      <c r="J1111" s="2"/>
      <c r="K1111" s="12"/>
      <c r="L1111" s="2"/>
      <c r="M1111" s="2"/>
      <c r="N1111" s="67"/>
    </row>
    <row r="1112" spans="1:14" x14ac:dyDescent="0.35">
      <c r="A1112" s="61">
        <v>1108</v>
      </c>
      <c r="B1112" s="2"/>
      <c r="C1112" s="2"/>
      <c r="D1112" s="2"/>
      <c r="E1112" s="10"/>
      <c r="F1112" s="11"/>
      <c r="G1112" s="2"/>
      <c r="H1112" s="2"/>
      <c r="I1112" s="2"/>
      <c r="J1112" s="2"/>
      <c r="K1112" s="12"/>
      <c r="L1112" s="2"/>
      <c r="M1112" s="2"/>
      <c r="N1112" s="67"/>
    </row>
    <row r="1113" spans="1:14" x14ac:dyDescent="0.35">
      <c r="A1113" s="61">
        <v>1109</v>
      </c>
      <c r="B1113" s="2"/>
      <c r="C1113" s="2"/>
      <c r="D1113" s="2"/>
      <c r="E1113" s="10"/>
      <c r="F1113" s="11"/>
      <c r="G1113" s="2"/>
      <c r="H1113" s="2"/>
      <c r="I1113" s="2"/>
      <c r="J1113" s="2"/>
      <c r="K1113" s="12"/>
      <c r="L1113" s="2"/>
      <c r="M1113" s="2"/>
      <c r="N1113" s="67"/>
    </row>
    <row r="1114" spans="1:14" x14ac:dyDescent="0.35">
      <c r="A1114" s="61">
        <v>1110</v>
      </c>
      <c r="B1114" s="2"/>
      <c r="C1114" s="2"/>
      <c r="D1114" s="2"/>
      <c r="E1114" s="10"/>
      <c r="F1114" s="11"/>
      <c r="G1114" s="2"/>
      <c r="H1114" s="2"/>
      <c r="I1114" s="2"/>
      <c r="J1114" s="2"/>
      <c r="K1114" s="12"/>
      <c r="L1114" s="2"/>
      <c r="M1114" s="2"/>
      <c r="N1114" s="67"/>
    </row>
    <row r="1115" spans="1:14" x14ac:dyDescent="0.35">
      <c r="A1115" s="61">
        <v>1111</v>
      </c>
      <c r="B1115" s="2"/>
      <c r="C1115" s="2"/>
      <c r="D1115" s="2"/>
      <c r="E1115" s="10"/>
      <c r="F1115" s="11"/>
      <c r="G1115" s="2"/>
      <c r="H1115" s="2"/>
      <c r="I1115" s="2"/>
      <c r="J1115" s="2"/>
      <c r="K1115" s="12"/>
      <c r="L1115" s="2"/>
      <c r="M1115" s="2"/>
      <c r="N1115" s="67"/>
    </row>
    <row r="1116" spans="1:14" x14ac:dyDescent="0.35">
      <c r="A1116" s="61">
        <v>1112</v>
      </c>
      <c r="B1116" s="2"/>
      <c r="C1116" s="2"/>
      <c r="D1116" s="2"/>
      <c r="E1116" s="10"/>
      <c r="F1116" s="11"/>
      <c r="G1116" s="2"/>
      <c r="H1116" s="2"/>
      <c r="I1116" s="2"/>
      <c r="J1116" s="2"/>
      <c r="K1116" s="12"/>
      <c r="L1116" s="2"/>
      <c r="M1116" s="2"/>
      <c r="N1116" s="67"/>
    </row>
    <row r="1117" spans="1:14" x14ac:dyDescent="0.35">
      <c r="A1117" s="61">
        <v>1113</v>
      </c>
      <c r="B1117" s="2"/>
      <c r="C1117" s="2"/>
      <c r="D1117" s="2"/>
      <c r="E1117" s="10"/>
      <c r="F1117" s="11"/>
      <c r="G1117" s="2"/>
      <c r="H1117" s="2"/>
      <c r="I1117" s="2"/>
      <c r="J1117" s="2"/>
      <c r="K1117" s="12"/>
      <c r="L1117" s="2"/>
      <c r="M1117" s="2"/>
      <c r="N1117" s="67"/>
    </row>
    <row r="1118" spans="1:14" x14ac:dyDescent="0.35">
      <c r="A1118" s="61">
        <v>1114</v>
      </c>
      <c r="B1118" s="2"/>
      <c r="C1118" s="2"/>
      <c r="D1118" s="2"/>
      <c r="E1118" s="10"/>
      <c r="F1118" s="11"/>
      <c r="G1118" s="2"/>
      <c r="H1118" s="2"/>
      <c r="I1118" s="2"/>
      <c r="J1118" s="2"/>
      <c r="K1118" s="12"/>
      <c r="L1118" s="2"/>
      <c r="M1118" s="2"/>
      <c r="N1118" s="67"/>
    </row>
    <row r="1119" spans="1:14" x14ac:dyDescent="0.35">
      <c r="A1119" s="61">
        <v>1115</v>
      </c>
      <c r="B1119" s="2"/>
      <c r="C1119" s="2"/>
      <c r="D1119" s="2"/>
      <c r="E1119" s="10"/>
      <c r="F1119" s="11"/>
      <c r="G1119" s="2"/>
      <c r="H1119" s="2"/>
      <c r="I1119" s="2"/>
      <c r="J1119" s="2"/>
      <c r="K1119" s="12"/>
      <c r="L1119" s="2"/>
      <c r="M1119" s="2"/>
      <c r="N1119" s="67"/>
    </row>
    <row r="1120" spans="1:14" x14ac:dyDescent="0.35">
      <c r="A1120" s="61">
        <v>1116</v>
      </c>
      <c r="B1120" s="2"/>
      <c r="C1120" s="2"/>
      <c r="D1120" s="2"/>
      <c r="E1120" s="10"/>
      <c r="F1120" s="11"/>
      <c r="G1120" s="2"/>
      <c r="H1120" s="2"/>
      <c r="I1120" s="2"/>
      <c r="J1120" s="2"/>
      <c r="K1120" s="12"/>
      <c r="L1120" s="2"/>
      <c r="M1120" s="2"/>
      <c r="N1120" s="67"/>
    </row>
    <row r="1121" spans="1:14" x14ac:dyDescent="0.35">
      <c r="A1121" s="61">
        <v>1117</v>
      </c>
      <c r="B1121" s="2"/>
      <c r="C1121" s="2"/>
      <c r="D1121" s="2"/>
      <c r="E1121" s="10"/>
      <c r="F1121" s="11"/>
      <c r="G1121" s="2"/>
      <c r="H1121" s="2"/>
      <c r="I1121" s="2"/>
      <c r="J1121" s="2"/>
      <c r="K1121" s="12"/>
      <c r="L1121" s="2"/>
      <c r="M1121" s="2"/>
      <c r="N1121" s="67"/>
    </row>
    <row r="1122" spans="1:14" x14ac:dyDescent="0.35">
      <c r="A1122" s="61">
        <v>1118</v>
      </c>
      <c r="B1122" s="2"/>
      <c r="C1122" s="2"/>
      <c r="D1122" s="2"/>
      <c r="E1122" s="10"/>
      <c r="F1122" s="11"/>
      <c r="G1122" s="2"/>
      <c r="H1122" s="2"/>
      <c r="I1122" s="2"/>
      <c r="J1122" s="2"/>
      <c r="K1122" s="12"/>
      <c r="L1122" s="2"/>
      <c r="M1122" s="2"/>
      <c r="N1122" s="67"/>
    </row>
    <row r="1123" spans="1:14" x14ac:dyDescent="0.35">
      <c r="A1123" s="61">
        <v>1119</v>
      </c>
      <c r="B1123" s="2"/>
      <c r="C1123" s="2"/>
      <c r="D1123" s="2"/>
      <c r="E1123" s="10"/>
      <c r="F1123" s="11"/>
      <c r="G1123" s="2"/>
      <c r="H1123" s="2"/>
      <c r="I1123" s="2"/>
      <c r="J1123" s="2"/>
      <c r="K1123" s="12"/>
      <c r="L1123" s="2"/>
      <c r="M1123" s="2"/>
      <c r="N1123" s="67"/>
    </row>
    <row r="1124" spans="1:14" x14ac:dyDescent="0.35">
      <c r="A1124" s="61">
        <v>1120</v>
      </c>
      <c r="B1124" s="2"/>
      <c r="C1124" s="2"/>
      <c r="D1124" s="2"/>
      <c r="E1124" s="10"/>
      <c r="F1124" s="11"/>
      <c r="G1124" s="2"/>
      <c r="H1124" s="2"/>
      <c r="I1124" s="2"/>
      <c r="J1124" s="2"/>
      <c r="K1124" s="12"/>
      <c r="L1124" s="2"/>
      <c r="M1124" s="2"/>
      <c r="N1124" s="67"/>
    </row>
    <row r="1125" spans="1:14" x14ac:dyDescent="0.35">
      <c r="A1125" s="61">
        <v>1121</v>
      </c>
      <c r="B1125" s="2"/>
      <c r="C1125" s="2"/>
      <c r="D1125" s="2"/>
      <c r="E1125" s="10"/>
      <c r="F1125" s="11"/>
      <c r="G1125" s="2"/>
      <c r="H1125" s="2"/>
      <c r="I1125" s="2"/>
      <c r="J1125" s="2"/>
      <c r="K1125" s="12"/>
      <c r="L1125" s="2"/>
      <c r="M1125" s="2"/>
      <c r="N1125" s="67"/>
    </row>
    <row r="1126" spans="1:14" x14ac:dyDescent="0.35">
      <c r="A1126" s="61">
        <v>1122</v>
      </c>
      <c r="B1126" s="2"/>
      <c r="C1126" s="2"/>
      <c r="D1126" s="2"/>
      <c r="E1126" s="10"/>
      <c r="F1126" s="11"/>
      <c r="G1126" s="2"/>
      <c r="H1126" s="2"/>
      <c r="I1126" s="2"/>
      <c r="J1126" s="2"/>
      <c r="K1126" s="12"/>
      <c r="L1126" s="2"/>
      <c r="M1126" s="2"/>
      <c r="N1126" s="67"/>
    </row>
    <row r="1127" spans="1:14" x14ac:dyDescent="0.35">
      <c r="A1127" s="61">
        <v>1123</v>
      </c>
      <c r="B1127" s="2"/>
      <c r="C1127" s="2"/>
      <c r="D1127" s="2"/>
      <c r="E1127" s="10"/>
      <c r="F1127" s="11"/>
      <c r="G1127" s="2"/>
      <c r="H1127" s="2"/>
      <c r="I1127" s="2"/>
      <c r="J1127" s="2"/>
      <c r="K1127" s="12"/>
      <c r="L1127" s="2"/>
      <c r="M1127" s="2"/>
      <c r="N1127" s="67"/>
    </row>
    <row r="1128" spans="1:14" x14ac:dyDescent="0.35">
      <c r="A1128" s="61">
        <v>1124</v>
      </c>
      <c r="B1128" s="2"/>
      <c r="C1128" s="2"/>
      <c r="D1128" s="2"/>
      <c r="E1128" s="10"/>
      <c r="F1128" s="11"/>
      <c r="G1128" s="2"/>
      <c r="H1128" s="2"/>
      <c r="I1128" s="2"/>
      <c r="J1128" s="2"/>
      <c r="K1128" s="12"/>
      <c r="L1128" s="2"/>
      <c r="M1128" s="2"/>
      <c r="N1128" s="67"/>
    </row>
    <row r="1129" spans="1:14" x14ac:dyDescent="0.35">
      <c r="A1129" s="61">
        <v>1125</v>
      </c>
      <c r="B1129" s="2"/>
      <c r="C1129" s="2"/>
      <c r="D1129" s="2"/>
      <c r="E1129" s="10"/>
      <c r="F1129" s="11"/>
      <c r="G1129" s="2"/>
      <c r="H1129" s="2"/>
      <c r="I1129" s="2"/>
      <c r="J1129" s="2"/>
      <c r="K1129" s="12"/>
      <c r="L1129" s="2"/>
      <c r="M1129" s="2"/>
      <c r="N1129" s="67"/>
    </row>
    <row r="1130" spans="1:14" x14ac:dyDescent="0.35">
      <c r="A1130" s="61">
        <v>1126</v>
      </c>
      <c r="B1130" s="2"/>
      <c r="C1130" s="2"/>
      <c r="D1130" s="2"/>
      <c r="E1130" s="10"/>
      <c r="F1130" s="11"/>
      <c r="G1130" s="2"/>
      <c r="H1130" s="2"/>
      <c r="I1130" s="2"/>
      <c r="J1130" s="2"/>
      <c r="K1130" s="12"/>
      <c r="L1130" s="2"/>
      <c r="M1130" s="2"/>
      <c r="N1130" s="67"/>
    </row>
    <row r="1131" spans="1:14" x14ac:dyDescent="0.35">
      <c r="A1131" s="61">
        <v>1127</v>
      </c>
      <c r="B1131" s="2"/>
      <c r="C1131" s="2"/>
      <c r="D1131" s="2"/>
      <c r="E1131" s="10"/>
      <c r="F1131" s="11"/>
      <c r="G1131" s="2"/>
      <c r="H1131" s="2"/>
      <c r="I1131" s="2"/>
      <c r="J1131" s="2"/>
      <c r="K1131" s="12"/>
      <c r="L1131" s="2"/>
      <c r="M1131" s="2"/>
      <c r="N1131" s="67"/>
    </row>
    <row r="1132" spans="1:14" x14ac:dyDescent="0.35">
      <c r="A1132" s="61">
        <v>1128</v>
      </c>
      <c r="B1132" s="2"/>
      <c r="C1132" s="2"/>
      <c r="D1132" s="2"/>
      <c r="E1132" s="10"/>
      <c r="F1132" s="11"/>
      <c r="G1132" s="2"/>
      <c r="H1132" s="2"/>
      <c r="I1132" s="2"/>
      <c r="J1132" s="2"/>
      <c r="K1132" s="12"/>
      <c r="L1132" s="2"/>
      <c r="M1132" s="2"/>
      <c r="N1132" s="67"/>
    </row>
    <row r="1133" spans="1:14" x14ac:dyDescent="0.35">
      <c r="A1133" s="61">
        <v>1129</v>
      </c>
      <c r="B1133" s="2"/>
      <c r="C1133" s="2"/>
      <c r="D1133" s="2"/>
      <c r="E1133" s="10"/>
      <c r="F1133" s="11"/>
      <c r="G1133" s="2"/>
      <c r="H1133" s="2"/>
      <c r="I1133" s="2"/>
      <c r="J1133" s="2"/>
      <c r="K1133" s="12"/>
      <c r="L1133" s="2"/>
      <c r="M1133" s="2"/>
      <c r="N1133" s="67"/>
    </row>
    <row r="1134" spans="1:14" x14ac:dyDescent="0.35">
      <c r="A1134" s="61">
        <v>1130</v>
      </c>
      <c r="B1134" s="2"/>
      <c r="C1134" s="2"/>
      <c r="D1134" s="2"/>
      <c r="E1134" s="10"/>
      <c r="F1134" s="11"/>
      <c r="G1134" s="2"/>
      <c r="H1134" s="2"/>
      <c r="I1134" s="2"/>
      <c r="J1134" s="2"/>
      <c r="K1134" s="12"/>
      <c r="L1134" s="2"/>
      <c r="M1134" s="2"/>
      <c r="N1134" s="67"/>
    </row>
    <row r="1135" spans="1:14" x14ac:dyDescent="0.35">
      <c r="A1135" s="61">
        <v>1131</v>
      </c>
      <c r="B1135" s="2"/>
      <c r="C1135" s="2"/>
      <c r="D1135" s="2"/>
      <c r="E1135" s="10"/>
      <c r="F1135" s="11"/>
      <c r="G1135" s="2"/>
      <c r="H1135" s="2"/>
      <c r="I1135" s="2"/>
      <c r="J1135" s="2"/>
      <c r="K1135" s="12"/>
      <c r="L1135" s="2"/>
      <c r="M1135" s="2"/>
      <c r="N1135" s="67"/>
    </row>
    <row r="1136" spans="1:14" x14ac:dyDescent="0.35">
      <c r="A1136" s="61">
        <v>1132</v>
      </c>
      <c r="B1136" s="2"/>
      <c r="C1136" s="2"/>
      <c r="D1136" s="2"/>
      <c r="E1136" s="10"/>
      <c r="F1136" s="11"/>
      <c r="G1136" s="2"/>
      <c r="H1136" s="2"/>
      <c r="I1136" s="2"/>
      <c r="J1136" s="2"/>
      <c r="K1136" s="12"/>
      <c r="L1136" s="2"/>
      <c r="M1136" s="2"/>
      <c r="N1136" s="67"/>
    </row>
    <row r="1137" spans="1:14" x14ac:dyDescent="0.35">
      <c r="A1137" s="61">
        <v>1133</v>
      </c>
      <c r="B1137" s="2"/>
      <c r="C1137" s="2"/>
      <c r="D1137" s="2"/>
      <c r="E1137" s="10"/>
      <c r="F1137" s="11"/>
      <c r="G1137" s="2"/>
      <c r="H1137" s="2"/>
      <c r="I1137" s="2"/>
      <c r="J1137" s="2"/>
      <c r="K1137" s="12"/>
      <c r="L1137" s="2"/>
      <c r="M1137" s="2"/>
      <c r="N1137" s="67"/>
    </row>
    <row r="1138" spans="1:14" x14ac:dyDescent="0.35">
      <c r="A1138" s="61">
        <v>1134</v>
      </c>
      <c r="B1138" s="2"/>
      <c r="C1138" s="2"/>
      <c r="D1138" s="2"/>
      <c r="E1138" s="10"/>
      <c r="F1138" s="11"/>
      <c r="G1138" s="2"/>
      <c r="H1138" s="2"/>
      <c r="I1138" s="2"/>
      <c r="J1138" s="2"/>
      <c r="K1138" s="12"/>
      <c r="L1138" s="2"/>
      <c r="M1138" s="2"/>
      <c r="N1138" s="67"/>
    </row>
    <row r="1139" spans="1:14" x14ac:dyDescent="0.35">
      <c r="A1139" s="61">
        <v>1135</v>
      </c>
      <c r="B1139" s="2"/>
      <c r="C1139" s="2"/>
      <c r="D1139" s="2"/>
      <c r="E1139" s="10"/>
      <c r="F1139" s="11"/>
      <c r="G1139" s="2"/>
      <c r="H1139" s="2"/>
      <c r="I1139" s="2"/>
      <c r="J1139" s="2"/>
      <c r="K1139" s="12"/>
      <c r="L1139" s="2"/>
      <c r="M1139" s="2"/>
      <c r="N1139" s="67"/>
    </row>
    <row r="1140" spans="1:14" x14ac:dyDescent="0.35">
      <c r="A1140" s="61">
        <v>1136</v>
      </c>
      <c r="B1140" s="2"/>
      <c r="C1140" s="2"/>
      <c r="D1140" s="2"/>
      <c r="E1140" s="10"/>
      <c r="F1140" s="11"/>
      <c r="G1140" s="2"/>
      <c r="H1140" s="2"/>
      <c r="I1140" s="2"/>
      <c r="J1140" s="2"/>
      <c r="K1140" s="12"/>
      <c r="L1140" s="2"/>
      <c r="M1140" s="2"/>
      <c r="N1140" s="67"/>
    </row>
    <row r="1141" spans="1:14" x14ac:dyDescent="0.35">
      <c r="A1141" s="61">
        <v>1137</v>
      </c>
      <c r="B1141" s="2"/>
      <c r="C1141" s="2"/>
      <c r="D1141" s="2"/>
      <c r="E1141" s="10"/>
      <c r="F1141" s="11"/>
      <c r="G1141" s="2"/>
      <c r="H1141" s="2"/>
      <c r="I1141" s="2"/>
      <c r="J1141" s="2"/>
      <c r="K1141" s="12"/>
      <c r="L1141" s="2"/>
      <c r="M1141" s="2"/>
      <c r="N1141" s="67"/>
    </row>
    <row r="1142" spans="1:14" x14ac:dyDescent="0.35">
      <c r="A1142" s="61">
        <v>1138</v>
      </c>
      <c r="B1142" s="2"/>
      <c r="C1142" s="2"/>
      <c r="D1142" s="2"/>
      <c r="E1142" s="10"/>
      <c r="F1142" s="11"/>
      <c r="G1142" s="2"/>
      <c r="H1142" s="2"/>
      <c r="I1142" s="2"/>
      <c r="J1142" s="2"/>
      <c r="K1142" s="12"/>
      <c r="L1142" s="2"/>
      <c r="M1142" s="2"/>
      <c r="N1142" s="67"/>
    </row>
    <row r="1143" spans="1:14" x14ac:dyDescent="0.35">
      <c r="A1143" s="61">
        <v>1139</v>
      </c>
      <c r="B1143" s="2"/>
      <c r="C1143" s="2"/>
      <c r="D1143" s="2"/>
      <c r="E1143" s="10"/>
      <c r="F1143" s="11"/>
      <c r="G1143" s="2"/>
      <c r="H1143" s="2"/>
      <c r="I1143" s="2"/>
      <c r="J1143" s="2"/>
      <c r="K1143" s="12"/>
      <c r="L1143" s="2"/>
      <c r="M1143" s="2"/>
      <c r="N1143" s="67"/>
    </row>
    <row r="1144" spans="1:14" x14ac:dyDescent="0.35">
      <c r="A1144" s="61">
        <v>1140</v>
      </c>
      <c r="B1144" s="2"/>
      <c r="C1144" s="2"/>
      <c r="D1144" s="2"/>
      <c r="E1144" s="10"/>
      <c r="F1144" s="11"/>
      <c r="G1144" s="2"/>
      <c r="H1144" s="2"/>
      <c r="I1144" s="2"/>
      <c r="J1144" s="2"/>
      <c r="K1144" s="12"/>
      <c r="L1144" s="2"/>
      <c r="M1144" s="2"/>
      <c r="N1144" s="67"/>
    </row>
    <row r="1145" spans="1:14" x14ac:dyDescent="0.35">
      <c r="A1145" s="61">
        <v>1141</v>
      </c>
      <c r="B1145" s="2"/>
      <c r="C1145" s="2"/>
      <c r="D1145" s="2"/>
      <c r="E1145" s="10"/>
      <c r="F1145" s="11"/>
      <c r="G1145" s="2"/>
      <c r="H1145" s="2"/>
      <c r="I1145" s="2"/>
      <c r="J1145" s="2"/>
      <c r="K1145" s="12"/>
      <c r="L1145" s="2"/>
      <c r="M1145" s="2"/>
      <c r="N1145" s="67"/>
    </row>
    <row r="1146" spans="1:14" x14ac:dyDescent="0.35">
      <c r="A1146" s="61">
        <v>1142</v>
      </c>
      <c r="B1146" s="2"/>
      <c r="C1146" s="2"/>
      <c r="D1146" s="2"/>
      <c r="E1146" s="10"/>
      <c r="F1146" s="11"/>
      <c r="G1146" s="2"/>
      <c r="H1146" s="2"/>
      <c r="I1146" s="2"/>
      <c r="J1146" s="2"/>
      <c r="K1146" s="12"/>
      <c r="L1146" s="2"/>
      <c r="M1146" s="2"/>
      <c r="N1146" s="67"/>
    </row>
    <row r="1147" spans="1:14" x14ac:dyDescent="0.35">
      <c r="A1147" s="61">
        <v>1143</v>
      </c>
      <c r="B1147" s="2"/>
      <c r="C1147" s="2"/>
      <c r="D1147" s="2"/>
      <c r="E1147" s="10"/>
      <c r="F1147" s="11"/>
      <c r="G1147" s="2"/>
      <c r="H1147" s="2"/>
      <c r="I1147" s="2"/>
      <c r="J1147" s="2"/>
      <c r="K1147" s="12"/>
      <c r="L1147" s="2"/>
      <c r="M1147" s="2"/>
      <c r="N1147" s="67"/>
    </row>
    <row r="1148" spans="1:14" x14ac:dyDescent="0.35">
      <c r="A1148" s="61">
        <v>1144</v>
      </c>
      <c r="B1148" s="2"/>
      <c r="C1148" s="2"/>
      <c r="D1148" s="2"/>
      <c r="E1148" s="10"/>
      <c r="F1148" s="11"/>
      <c r="G1148" s="2"/>
      <c r="H1148" s="2"/>
      <c r="I1148" s="2"/>
      <c r="J1148" s="2"/>
      <c r="K1148" s="12"/>
      <c r="L1148" s="2"/>
      <c r="M1148" s="2"/>
      <c r="N1148" s="67"/>
    </row>
    <row r="1149" spans="1:14" x14ac:dyDescent="0.35">
      <c r="A1149" s="61">
        <v>1145</v>
      </c>
      <c r="B1149" s="2"/>
      <c r="C1149" s="2"/>
      <c r="D1149" s="2"/>
      <c r="E1149" s="10"/>
      <c r="F1149" s="11"/>
      <c r="G1149" s="2"/>
      <c r="H1149" s="2"/>
      <c r="I1149" s="2"/>
      <c r="J1149" s="2"/>
      <c r="K1149" s="12"/>
      <c r="L1149" s="2"/>
      <c r="M1149" s="2"/>
      <c r="N1149" s="67"/>
    </row>
    <row r="1150" spans="1:14" x14ac:dyDescent="0.35">
      <c r="A1150" s="61">
        <v>1146</v>
      </c>
      <c r="B1150" s="2"/>
      <c r="C1150" s="2"/>
      <c r="D1150" s="2"/>
      <c r="E1150" s="10"/>
      <c r="F1150" s="11"/>
      <c r="G1150" s="2"/>
      <c r="H1150" s="2"/>
      <c r="I1150" s="2"/>
      <c r="J1150" s="2"/>
      <c r="K1150" s="12"/>
      <c r="L1150" s="2"/>
      <c r="M1150" s="2"/>
      <c r="N1150" s="67"/>
    </row>
    <row r="1151" spans="1:14" x14ac:dyDescent="0.35">
      <c r="A1151" s="61">
        <v>1147</v>
      </c>
      <c r="B1151" s="2"/>
      <c r="C1151" s="2"/>
      <c r="D1151" s="2"/>
      <c r="E1151" s="10"/>
      <c r="F1151" s="11"/>
      <c r="G1151" s="2"/>
      <c r="H1151" s="2"/>
      <c r="I1151" s="2"/>
      <c r="J1151" s="2"/>
      <c r="K1151" s="12"/>
      <c r="L1151" s="2"/>
      <c r="M1151" s="2"/>
      <c r="N1151" s="67"/>
    </row>
    <row r="1152" spans="1:14" x14ac:dyDescent="0.35">
      <c r="A1152" s="61">
        <v>1148</v>
      </c>
      <c r="B1152" s="2"/>
      <c r="C1152" s="2"/>
      <c r="D1152" s="2"/>
      <c r="E1152" s="10"/>
      <c r="F1152" s="11"/>
      <c r="G1152" s="2"/>
      <c r="H1152" s="2"/>
      <c r="I1152" s="2"/>
      <c r="J1152" s="2"/>
      <c r="K1152" s="12"/>
      <c r="L1152" s="2"/>
      <c r="M1152" s="2"/>
      <c r="N1152" s="67"/>
    </row>
    <row r="1153" spans="1:14" x14ac:dyDescent="0.35">
      <c r="A1153" s="61">
        <v>1149</v>
      </c>
      <c r="B1153" s="2"/>
      <c r="C1153" s="2"/>
      <c r="D1153" s="2"/>
      <c r="E1153" s="10"/>
      <c r="F1153" s="11"/>
      <c r="G1153" s="2"/>
      <c r="H1153" s="2"/>
      <c r="I1153" s="2"/>
      <c r="J1153" s="2"/>
      <c r="K1153" s="12"/>
      <c r="L1153" s="2"/>
      <c r="M1153" s="2"/>
      <c r="N1153" s="67"/>
    </row>
    <row r="1154" spans="1:14" x14ac:dyDescent="0.35">
      <c r="A1154" s="61">
        <v>1150</v>
      </c>
      <c r="B1154" s="2"/>
      <c r="C1154" s="2"/>
      <c r="D1154" s="2"/>
      <c r="E1154" s="10"/>
      <c r="F1154" s="11"/>
      <c r="G1154" s="2"/>
      <c r="H1154" s="2"/>
      <c r="I1154" s="2"/>
      <c r="J1154" s="2"/>
      <c r="K1154" s="12"/>
      <c r="L1154" s="2"/>
      <c r="M1154" s="2"/>
      <c r="N1154" s="67"/>
    </row>
    <row r="1155" spans="1:14" x14ac:dyDescent="0.35">
      <c r="A1155" s="61">
        <v>1151</v>
      </c>
      <c r="B1155" s="2"/>
      <c r="C1155" s="2"/>
      <c r="D1155" s="2"/>
      <c r="E1155" s="10"/>
      <c r="F1155" s="11"/>
      <c r="G1155" s="2"/>
      <c r="H1155" s="2"/>
      <c r="I1155" s="2"/>
      <c r="J1155" s="2"/>
      <c r="K1155" s="12"/>
      <c r="L1155" s="2"/>
      <c r="M1155" s="2"/>
      <c r="N1155" s="67"/>
    </row>
    <row r="1156" spans="1:14" x14ac:dyDescent="0.35">
      <c r="A1156" s="61">
        <v>1152</v>
      </c>
      <c r="B1156" s="2"/>
      <c r="C1156" s="2"/>
      <c r="D1156" s="2"/>
      <c r="E1156" s="10"/>
      <c r="F1156" s="11"/>
      <c r="G1156" s="2"/>
      <c r="H1156" s="2"/>
      <c r="I1156" s="2"/>
      <c r="J1156" s="2"/>
      <c r="K1156" s="12"/>
      <c r="L1156" s="2"/>
      <c r="M1156" s="2"/>
      <c r="N1156" s="67"/>
    </row>
    <row r="1157" spans="1:14" x14ac:dyDescent="0.35">
      <c r="A1157" s="61">
        <v>1153</v>
      </c>
      <c r="B1157" s="2"/>
      <c r="C1157" s="2"/>
      <c r="D1157" s="2"/>
      <c r="E1157" s="10"/>
      <c r="F1157" s="11"/>
      <c r="G1157" s="2"/>
      <c r="H1157" s="2"/>
      <c r="I1157" s="2"/>
      <c r="J1157" s="2"/>
      <c r="K1157" s="12"/>
      <c r="L1157" s="2"/>
      <c r="M1157" s="2"/>
      <c r="N1157" s="67"/>
    </row>
    <row r="1158" spans="1:14" x14ac:dyDescent="0.35">
      <c r="A1158" s="61">
        <v>1154</v>
      </c>
      <c r="B1158" s="2"/>
      <c r="C1158" s="2"/>
      <c r="D1158" s="2"/>
      <c r="E1158" s="10"/>
      <c r="F1158" s="11"/>
      <c r="G1158" s="2"/>
      <c r="H1158" s="2"/>
      <c r="I1158" s="2"/>
      <c r="J1158" s="2"/>
      <c r="K1158" s="12"/>
      <c r="L1158" s="2"/>
      <c r="M1158" s="2"/>
      <c r="N1158" s="67"/>
    </row>
    <row r="1159" spans="1:14" x14ac:dyDescent="0.35">
      <c r="A1159" s="61">
        <v>1155</v>
      </c>
      <c r="B1159" s="2"/>
      <c r="C1159" s="2"/>
      <c r="D1159" s="2"/>
      <c r="E1159" s="10"/>
      <c r="F1159" s="11"/>
      <c r="G1159" s="2"/>
      <c r="H1159" s="2"/>
      <c r="I1159" s="2"/>
      <c r="J1159" s="2"/>
      <c r="K1159" s="12"/>
      <c r="L1159" s="2"/>
      <c r="M1159" s="2"/>
      <c r="N1159" s="67"/>
    </row>
    <row r="1160" spans="1:14" x14ac:dyDescent="0.35">
      <c r="A1160" s="61">
        <v>1156</v>
      </c>
      <c r="B1160" s="2"/>
      <c r="C1160" s="2"/>
      <c r="D1160" s="2"/>
      <c r="E1160" s="10"/>
      <c r="F1160" s="11"/>
      <c r="G1160" s="2"/>
      <c r="H1160" s="2"/>
      <c r="I1160" s="2"/>
      <c r="J1160" s="2"/>
      <c r="K1160" s="12"/>
      <c r="L1160" s="2"/>
      <c r="M1160" s="2"/>
      <c r="N1160" s="67"/>
    </row>
    <row r="1161" spans="1:14" x14ac:dyDescent="0.35">
      <c r="A1161" s="61">
        <v>1157</v>
      </c>
      <c r="B1161" s="2"/>
      <c r="C1161" s="2"/>
      <c r="D1161" s="2"/>
      <c r="E1161" s="10"/>
      <c r="F1161" s="11"/>
      <c r="G1161" s="2"/>
      <c r="H1161" s="2"/>
      <c r="I1161" s="2"/>
      <c r="J1161" s="2"/>
      <c r="K1161" s="12"/>
      <c r="L1161" s="2"/>
      <c r="M1161" s="2"/>
      <c r="N1161" s="67"/>
    </row>
    <row r="1162" spans="1:14" x14ac:dyDescent="0.35">
      <c r="A1162" s="61">
        <v>1158</v>
      </c>
      <c r="B1162" s="2"/>
      <c r="C1162" s="2"/>
      <c r="D1162" s="2"/>
      <c r="E1162" s="10"/>
      <c r="F1162" s="11"/>
      <c r="G1162" s="2"/>
      <c r="H1162" s="2"/>
      <c r="I1162" s="2"/>
      <c r="J1162" s="2"/>
      <c r="K1162" s="12"/>
      <c r="L1162" s="2"/>
      <c r="M1162" s="2"/>
      <c r="N1162" s="67"/>
    </row>
    <row r="1163" spans="1:14" x14ac:dyDescent="0.35">
      <c r="A1163" s="61">
        <v>1159</v>
      </c>
      <c r="B1163" s="2"/>
      <c r="C1163" s="2"/>
      <c r="D1163" s="2"/>
      <c r="E1163" s="10"/>
      <c r="F1163" s="11"/>
      <c r="G1163" s="2"/>
      <c r="H1163" s="2"/>
      <c r="I1163" s="2"/>
      <c r="J1163" s="2"/>
      <c r="K1163" s="12"/>
      <c r="L1163" s="2"/>
      <c r="M1163" s="2"/>
      <c r="N1163" s="67"/>
    </row>
    <row r="1164" spans="1:14" x14ac:dyDescent="0.35">
      <c r="A1164" s="61">
        <v>1160</v>
      </c>
      <c r="B1164" s="2"/>
      <c r="C1164" s="2"/>
      <c r="D1164" s="2"/>
      <c r="E1164" s="10"/>
      <c r="F1164" s="11"/>
      <c r="G1164" s="2"/>
      <c r="H1164" s="2"/>
      <c r="I1164" s="2"/>
      <c r="J1164" s="2"/>
      <c r="K1164" s="12"/>
      <c r="L1164" s="2"/>
      <c r="M1164" s="2"/>
      <c r="N1164" s="67"/>
    </row>
    <row r="1165" spans="1:14" x14ac:dyDescent="0.35">
      <c r="A1165" s="61">
        <v>1161</v>
      </c>
      <c r="B1165" s="2"/>
      <c r="C1165" s="2"/>
      <c r="D1165" s="2"/>
      <c r="E1165" s="10"/>
      <c r="F1165" s="11"/>
      <c r="G1165" s="2"/>
      <c r="H1165" s="2"/>
      <c r="I1165" s="2"/>
      <c r="J1165" s="2"/>
      <c r="K1165" s="12"/>
      <c r="L1165" s="2"/>
      <c r="M1165" s="2"/>
      <c r="N1165" s="67"/>
    </row>
    <row r="1166" spans="1:14" x14ac:dyDescent="0.35">
      <c r="A1166" s="61">
        <v>1162</v>
      </c>
      <c r="B1166" s="2"/>
      <c r="C1166" s="2"/>
      <c r="D1166" s="2"/>
      <c r="E1166" s="10"/>
      <c r="F1166" s="11"/>
      <c r="G1166" s="2"/>
      <c r="H1166" s="2"/>
      <c r="I1166" s="2"/>
      <c r="J1166" s="2"/>
      <c r="K1166" s="12"/>
      <c r="L1166" s="2"/>
      <c r="M1166" s="2"/>
      <c r="N1166" s="67"/>
    </row>
    <row r="1167" spans="1:14" x14ac:dyDescent="0.35">
      <c r="A1167" s="61">
        <v>1163</v>
      </c>
      <c r="B1167" s="2"/>
      <c r="C1167" s="2"/>
      <c r="D1167" s="2"/>
      <c r="E1167" s="10"/>
      <c r="F1167" s="11"/>
      <c r="G1167" s="2"/>
      <c r="H1167" s="2"/>
      <c r="I1167" s="2"/>
      <c r="J1167" s="2"/>
      <c r="K1167" s="12"/>
      <c r="L1167" s="2"/>
      <c r="M1167" s="2"/>
      <c r="N1167" s="67"/>
    </row>
    <row r="1168" spans="1:14" x14ac:dyDescent="0.35">
      <c r="A1168" s="61">
        <v>1164</v>
      </c>
      <c r="B1168" s="2"/>
      <c r="C1168" s="2"/>
      <c r="D1168" s="2"/>
      <c r="E1168" s="10"/>
      <c r="F1168" s="11"/>
      <c r="G1168" s="2"/>
      <c r="H1168" s="2"/>
      <c r="I1168" s="2"/>
      <c r="J1168" s="2"/>
      <c r="K1168" s="12"/>
      <c r="L1168" s="2"/>
      <c r="M1168" s="2"/>
      <c r="N1168" s="67"/>
    </row>
    <row r="1169" spans="1:14" x14ac:dyDescent="0.35">
      <c r="A1169" s="61">
        <v>1165</v>
      </c>
      <c r="B1169" s="2"/>
      <c r="C1169" s="2"/>
      <c r="D1169" s="2"/>
      <c r="E1169" s="10"/>
      <c r="F1169" s="11"/>
      <c r="G1169" s="2"/>
      <c r="H1169" s="2"/>
      <c r="I1169" s="2"/>
      <c r="J1169" s="2"/>
      <c r="K1169" s="12"/>
      <c r="L1169" s="2"/>
      <c r="M1169" s="2"/>
      <c r="N1169" s="67"/>
    </row>
    <row r="1170" spans="1:14" x14ac:dyDescent="0.35">
      <c r="A1170" s="61">
        <v>1166</v>
      </c>
      <c r="B1170" s="2"/>
      <c r="C1170" s="2"/>
      <c r="D1170" s="2"/>
      <c r="E1170" s="10"/>
      <c r="F1170" s="11"/>
      <c r="G1170" s="2"/>
      <c r="H1170" s="2"/>
      <c r="I1170" s="2"/>
      <c r="J1170" s="2"/>
      <c r="K1170" s="12"/>
      <c r="L1170" s="2"/>
      <c r="M1170" s="2"/>
      <c r="N1170" s="67"/>
    </row>
    <row r="1171" spans="1:14" x14ac:dyDescent="0.35">
      <c r="A1171" s="61">
        <v>1167</v>
      </c>
      <c r="B1171" s="2"/>
      <c r="C1171" s="2"/>
      <c r="D1171" s="2"/>
      <c r="E1171" s="10"/>
      <c r="F1171" s="11"/>
      <c r="G1171" s="2"/>
      <c r="H1171" s="2"/>
      <c r="I1171" s="2"/>
      <c r="J1171" s="2"/>
      <c r="K1171" s="12"/>
      <c r="L1171" s="2"/>
      <c r="M1171" s="2"/>
      <c r="N1171" s="67"/>
    </row>
    <row r="1172" spans="1:14" x14ac:dyDescent="0.35">
      <c r="A1172" s="61">
        <v>1168</v>
      </c>
      <c r="B1172" s="2"/>
      <c r="C1172" s="2"/>
      <c r="D1172" s="2"/>
      <c r="E1172" s="10"/>
      <c r="F1172" s="11"/>
      <c r="G1172" s="2"/>
      <c r="H1172" s="2"/>
      <c r="I1172" s="2"/>
      <c r="J1172" s="2"/>
      <c r="K1172" s="12"/>
      <c r="L1172" s="2"/>
      <c r="M1172" s="2"/>
      <c r="N1172" s="67"/>
    </row>
    <row r="1173" spans="1:14" x14ac:dyDescent="0.35">
      <c r="A1173" s="61">
        <v>1169</v>
      </c>
      <c r="B1173" s="2"/>
      <c r="C1173" s="2"/>
      <c r="D1173" s="2"/>
      <c r="E1173" s="10"/>
      <c r="F1173" s="11"/>
      <c r="G1173" s="2"/>
      <c r="H1173" s="2"/>
      <c r="I1173" s="2"/>
      <c r="J1173" s="2"/>
      <c r="K1173" s="12"/>
      <c r="L1173" s="2"/>
      <c r="M1173" s="2"/>
      <c r="N1173" s="67"/>
    </row>
    <row r="1174" spans="1:14" x14ac:dyDescent="0.35">
      <c r="A1174" s="61">
        <v>1170</v>
      </c>
      <c r="B1174" s="2"/>
      <c r="C1174" s="2"/>
      <c r="D1174" s="2"/>
      <c r="E1174" s="10"/>
      <c r="F1174" s="11"/>
      <c r="G1174" s="2"/>
      <c r="H1174" s="2"/>
      <c r="I1174" s="2"/>
      <c r="J1174" s="2"/>
      <c r="K1174" s="12"/>
      <c r="L1174" s="2"/>
      <c r="M1174" s="2"/>
      <c r="N1174" s="67"/>
    </row>
    <row r="1175" spans="1:14" x14ac:dyDescent="0.35">
      <c r="A1175" s="61">
        <v>1171</v>
      </c>
      <c r="B1175" s="2"/>
      <c r="C1175" s="2"/>
      <c r="D1175" s="2"/>
      <c r="E1175" s="10"/>
      <c r="F1175" s="11"/>
      <c r="G1175" s="2"/>
      <c r="H1175" s="2"/>
      <c r="I1175" s="2"/>
      <c r="J1175" s="2"/>
      <c r="K1175" s="12"/>
      <c r="L1175" s="2"/>
      <c r="M1175" s="2"/>
      <c r="N1175" s="67"/>
    </row>
    <row r="1176" spans="1:14" x14ac:dyDescent="0.35">
      <c r="A1176" s="61">
        <v>1172</v>
      </c>
      <c r="B1176" s="2"/>
      <c r="C1176" s="2"/>
      <c r="D1176" s="2"/>
      <c r="E1176" s="10"/>
      <c r="F1176" s="11"/>
      <c r="G1176" s="2"/>
      <c r="H1176" s="2"/>
      <c r="I1176" s="2"/>
      <c r="J1176" s="2"/>
      <c r="K1176" s="12"/>
      <c r="L1176" s="2"/>
      <c r="M1176" s="2"/>
      <c r="N1176" s="67"/>
    </row>
    <row r="1177" spans="1:14" x14ac:dyDescent="0.35">
      <c r="A1177" s="61">
        <v>1173</v>
      </c>
      <c r="B1177" s="2"/>
      <c r="C1177" s="2"/>
      <c r="D1177" s="2"/>
      <c r="E1177" s="10"/>
      <c r="F1177" s="11"/>
      <c r="G1177" s="2"/>
      <c r="H1177" s="2"/>
      <c r="I1177" s="2"/>
      <c r="J1177" s="2"/>
      <c r="K1177" s="12"/>
      <c r="L1177" s="2"/>
      <c r="M1177" s="2"/>
      <c r="N1177" s="67"/>
    </row>
    <row r="1178" spans="1:14" x14ac:dyDescent="0.35">
      <c r="A1178" s="61">
        <v>1174</v>
      </c>
      <c r="B1178" s="2"/>
      <c r="C1178" s="2"/>
      <c r="D1178" s="2"/>
      <c r="E1178" s="10"/>
      <c r="F1178" s="11"/>
      <c r="G1178" s="2"/>
      <c r="H1178" s="2"/>
      <c r="I1178" s="2"/>
      <c r="J1178" s="2"/>
      <c r="K1178" s="12"/>
      <c r="L1178" s="2"/>
      <c r="M1178" s="2"/>
      <c r="N1178" s="67"/>
    </row>
    <row r="1179" spans="1:14" x14ac:dyDescent="0.35">
      <c r="A1179" s="61">
        <v>1175</v>
      </c>
      <c r="B1179" s="2"/>
      <c r="C1179" s="2"/>
      <c r="D1179" s="2"/>
      <c r="E1179" s="10"/>
      <c r="F1179" s="11"/>
      <c r="G1179" s="2"/>
      <c r="H1179" s="2"/>
      <c r="I1179" s="2"/>
      <c r="J1179" s="2"/>
      <c r="K1179" s="12"/>
      <c r="L1179" s="2"/>
      <c r="M1179" s="2"/>
      <c r="N1179" s="67"/>
    </row>
    <row r="1180" spans="1:14" x14ac:dyDescent="0.35">
      <c r="A1180" s="61">
        <v>1176</v>
      </c>
      <c r="B1180" s="2"/>
      <c r="C1180" s="2"/>
      <c r="D1180" s="2"/>
      <c r="E1180" s="10"/>
      <c r="F1180" s="11"/>
      <c r="G1180" s="2"/>
      <c r="H1180" s="2"/>
      <c r="I1180" s="2"/>
      <c r="J1180" s="2"/>
      <c r="K1180" s="12"/>
      <c r="L1180" s="2"/>
      <c r="M1180" s="2"/>
      <c r="N1180" s="67"/>
    </row>
    <row r="1181" spans="1:14" x14ac:dyDescent="0.35">
      <c r="A1181" s="61">
        <v>1177</v>
      </c>
      <c r="B1181" s="2"/>
      <c r="C1181" s="2"/>
      <c r="D1181" s="2"/>
      <c r="E1181" s="10"/>
      <c r="F1181" s="11"/>
      <c r="G1181" s="2"/>
      <c r="H1181" s="2"/>
      <c r="I1181" s="2"/>
      <c r="J1181" s="2"/>
      <c r="K1181" s="12"/>
      <c r="L1181" s="2"/>
      <c r="M1181" s="2"/>
      <c r="N1181" s="67"/>
    </row>
    <row r="1182" spans="1:14" x14ac:dyDescent="0.35">
      <c r="A1182" s="61">
        <v>1178</v>
      </c>
      <c r="B1182" s="2"/>
      <c r="C1182" s="2"/>
      <c r="D1182" s="2"/>
      <c r="E1182" s="10"/>
      <c r="F1182" s="11"/>
      <c r="G1182" s="2"/>
      <c r="H1182" s="2"/>
      <c r="I1182" s="2"/>
      <c r="J1182" s="2"/>
      <c r="K1182" s="12"/>
      <c r="L1182" s="2"/>
      <c r="M1182" s="2"/>
      <c r="N1182" s="67"/>
    </row>
    <row r="1183" spans="1:14" x14ac:dyDescent="0.35">
      <c r="A1183" s="61">
        <v>1179</v>
      </c>
      <c r="B1183" s="2"/>
      <c r="C1183" s="2"/>
      <c r="D1183" s="2"/>
      <c r="E1183" s="10"/>
      <c r="F1183" s="11"/>
      <c r="G1183" s="2"/>
      <c r="H1183" s="2"/>
      <c r="I1183" s="2"/>
      <c r="J1183" s="2"/>
      <c r="K1183" s="12"/>
      <c r="L1183" s="2"/>
      <c r="M1183" s="2"/>
      <c r="N1183" s="67"/>
    </row>
    <row r="1184" spans="1:14" x14ac:dyDescent="0.35">
      <c r="A1184" s="61">
        <v>1180</v>
      </c>
      <c r="B1184" s="2"/>
      <c r="C1184" s="2"/>
      <c r="D1184" s="2"/>
      <c r="E1184" s="10"/>
      <c r="F1184" s="11"/>
      <c r="G1184" s="2"/>
      <c r="H1184" s="2"/>
      <c r="I1184" s="2"/>
      <c r="J1184" s="2"/>
      <c r="K1184" s="12"/>
      <c r="L1184" s="2"/>
      <c r="M1184" s="2"/>
      <c r="N1184" s="67"/>
    </row>
    <row r="1185" spans="1:14" x14ac:dyDescent="0.35">
      <c r="A1185" s="61">
        <v>1181</v>
      </c>
      <c r="B1185" s="2"/>
      <c r="C1185" s="2"/>
      <c r="D1185" s="2"/>
      <c r="E1185" s="10"/>
      <c r="F1185" s="11"/>
      <c r="G1185" s="2"/>
      <c r="H1185" s="2"/>
      <c r="I1185" s="2"/>
      <c r="J1185" s="2"/>
      <c r="K1185" s="12"/>
      <c r="L1185" s="2"/>
      <c r="M1185" s="2"/>
      <c r="N1185" s="67"/>
    </row>
    <row r="1186" spans="1:14" x14ac:dyDescent="0.35">
      <c r="A1186" s="61">
        <v>1182</v>
      </c>
      <c r="B1186" s="2"/>
      <c r="C1186" s="2"/>
      <c r="D1186" s="2"/>
      <c r="E1186" s="10"/>
      <c r="F1186" s="11"/>
      <c r="G1186" s="2"/>
      <c r="H1186" s="2"/>
      <c r="I1186" s="2"/>
      <c r="J1186" s="2"/>
      <c r="K1186" s="12"/>
      <c r="L1186" s="2"/>
      <c r="M1186" s="2"/>
      <c r="N1186" s="67"/>
    </row>
    <row r="1187" spans="1:14" x14ac:dyDescent="0.35">
      <c r="A1187" s="61">
        <v>1183</v>
      </c>
      <c r="B1187" s="2"/>
      <c r="C1187" s="2"/>
      <c r="D1187" s="2"/>
      <c r="E1187" s="10"/>
      <c r="F1187" s="11"/>
      <c r="G1187" s="2"/>
      <c r="H1187" s="2"/>
      <c r="I1187" s="2"/>
      <c r="J1187" s="2"/>
      <c r="K1187" s="12"/>
      <c r="L1187" s="2"/>
      <c r="M1187" s="2"/>
      <c r="N1187" s="67"/>
    </row>
    <row r="1188" spans="1:14" x14ac:dyDescent="0.35">
      <c r="A1188" s="61">
        <v>1184</v>
      </c>
      <c r="B1188" s="2"/>
      <c r="C1188" s="2"/>
      <c r="D1188" s="2"/>
      <c r="E1188" s="10"/>
      <c r="F1188" s="11"/>
      <c r="G1188" s="2"/>
      <c r="H1188" s="2"/>
      <c r="I1188" s="2"/>
      <c r="J1188" s="2"/>
      <c r="K1188" s="12"/>
      <c r="L1188" s="2"/>
      <c r="M1188" s="2"/>
      <c r="N1188" s="67"/>
    </row>
    <row r="1189" spans="1:14" x14ac:dyDescent="0.35">
      <c r="A1189" s="61">
        <v>1185</v>
      </c>
      <c r="B1189" s="2"/>
      <c r="C1189" s="2"/>
      <c r="D1189" s="2"/>
      <c r="E1189" s="10"/>
      <c r="F1189" s="11"/>
      <c r="G1189" s="2"/>
      <c r="H1189" s="2"/>
      <c r="I1189" s="2"/>
      <c r="J1189" s="2"/>
      <c r="K1189" s="12"/>
      <c r="L1189" s="2"/>
      <c r="M1189" s="2"/>
      <c r="N1189" s="67"/>
    </row>
    <row r="1190" spans="1:14" x14ac:dyDescent="0.35">
      <c r="A1190" s="61">
        <v>1186</v>
      </c>
      <c r="B1190" s="2"/>
      <c r="C1190" s="2"/>
      <c r="D1190" s="2"/>
      <c r="E1190" s="10"/>
      <c r="F1190" s="11"/>
      <c r="G1190" s="2"/>
      <c r="H1190" s="2"/>
      <c r="I1190" s="2"/>
      <c r="J1190" s="2"/>
      <c r="K1190" s="12"/>
      <c r="L1190" s="2"/>
      <c r="M1190" s="2"/>
      <c r="N1190" s="67"/>
    </row>
    <row r="1191" spans="1:14" x14ac:dyDescent="0.35">
      <c r="A1191" s="61">
        <v>1187</v>
      </c>
      <c r="B1191" s="2"/>
      <c r="C1191" s="2"/>
      <c r="D1191" s="2"/>
      <c r="E1191" s="10"/>
      <c r="F1191" s="11"/>
      <c r="G1191" s="2"/>
      <c r="H1191" s="2"/>
      <c r="I1191" s="2"/>
      <c r="J1191" s="2"/>
      <c r="K1191" s="12"/>
      <c r="L1191" s="2"/>
      <c r="M1191" s="2"/>
      <c r="N1191" s="67"/>
    </row>
    <row r="1192" spans="1:14" x14ac:dyDescent="0.35">
      <c r="A1192" s="61">
        <v>1188</v>
      </c>
      <c r="B1192" s="2"/>
      <c r="C1192" s="2"/>
      <c r="D1192" s="2"/>
      <c r="E1192" s="10"/>
      <c r="F1192" s="11"/>
      <c r="G1192" s="2"/>
      <c r="H1192" s="2"/>
      <c r="I1192" s="2"/>
      <c r="J1192" s="2"/>
      <c r="K1192" s="12"/>
      <c r="L1192" s="2"/>
      <c r="M1192" s="2"/>
      <c r="N1192" s="67"/>
    </row>
    <row r="1193" spans="1:14" x14ac:dyDescent="0.35">
      <c r="A1193" s="61">
        <v>1189</v>
      </c>
      <c r="B1193" s="2"/>
      <c r="C1193" s="2"/>
      <c r="D1193" s="2"/>
      <c r="E1193" s="10"/>
      <c r="F1193" s="11"/>
      <c r="G1193" s="2"/>
      <c r="H1193" s="2"/>
      <c r="I1193" s="2"/>
      <c r="J1193" s="2"/>
      <c r="K1193" s="12"/>
      <c r="L1193" s="2"/>
      <c r="M1193" s="2"/>
      <c r="N1193" s="67"/>
    </row>
    <row r="1194" spans="1:14" x14ac:dyDescent="0.35">
      <c r="A1194" s="61">
        <v>1190</v>
      </c>
      <c r="B1194" s="2"/>
      <c r="C1194" s="2"/>
      <c r="D1194" s="2"/>
      <c r="E1194" s="10"/>
      <c r="F1194" s="11"/>
      <c r="G1194" s="2"/>
      <c r="H1194" s="2"/>
      <c r="I1194" s="2"/>
      <c r="J1194" s="2"/>
      <c r="K1194" s="12"/>
      <c r="L1194" s="2"/>
      <c r="M1194" s="2"/>
      <c r="N1194" s="67"/>
    </row>
    <row r="1195" spans="1:14" x14ac:dyDescent="0.35">
      <c r="A1195" s="61">
        <v>1191</v>
      </c>
      <c r="B1195" s="2"/>
      <c r="C1195" s="2"/>
      <c r="D1195" s="2"/>
      <c r="E1195" s="10"/>
      <c r="F1195" s="11"/>
      <c r="G1195" s="2"/>
      <c r="H1195" s="2"/>
      <c r="I1195" s="2"/>
      <c r="J1195" s="2"/>
      <c r="K1195" s="12"/>
      <c r="L1195" s="2"/>
      <c r="M1195" s="2"/>
      <c r="N1195" s="67"/>
    </row>
    <row r="1196" spans="1:14" x14ac:dyDescent="0.35">
      <c r="A1196" s="61">
        <v>1192</v>
      </c>
      <c r="B1196" s="2"/>
      <c r="C1196" s="2"/>
      <c r="D1196" s="2"/>
      <c r="E1196" s="10"/>
      <c r="F1196" s="11"/>
      <c r="G1196" s="2"/>
      <c r="H1196" s="2"/>
      <c r="I1196" s="2"/>
      <c r="J1196" s="2"/>
      <c r="K1196" s="12"/>
      <c r="L1196" s="2"/>
      <c r="M1196" s="2"/>
      <c r="N1196" s="67"/>
    </row>
    <row r="1197" spans="1:14" x14ac:dyDescent="0.35">
      <c r="A1197" s="61">
        <v>1193</v>
      </c>
      <c r="B1197" s="2"/>
      <c r="C1197" s="2"/>
      <c r="D1197" s="2"/>
      <c r="E1197" s="10"/>
      <c r="F1197" s="11"/>
      <c r="G1197" s="2"/>
      <c r="H1197" s="2"/>
      <c r="I1197" s="2"/>
      <c r="J1197" s="2"/>
      <c r="K1197" s="12"/>
      <c r="L1197" s="2"/>
      <c r="M1197" s="2"/>
      <c r="N1197" s="67"/>
    </row>
    <row r="1198" spans="1:14" x14ac:dyDescent="0.35">
      <c r="A1198" s="61">
        <v>1194</v>
      </c>
      <c r="B1198" s="2"/>
      <c r="C1198" s="2"/>
      <c r="D1198" s="2"/>
      <c r="E1198" s="10"/>
      <c r="F1198" s="11"/>
      <c r="G1198" s="2"/>
      <c r="H1198" s="2"/>
      <c r="I1198" s="2"/>
      <c r="J1198" s="2"/>
      <c r="K1198" s="12"/>
      <c r="L1198" s="2"/>
      <c r="M1198" s="2"/>
      <c r="N1198" s="67"/>
    </row>
    <row r="1199" spans="1:14" x14ac:dyDescent="0.35">
      <c r="A1199" s="61">
        <v>1195</v>
      </c>
      <c r="B1199" s="2"/>
      <c r="C1199" s="2"/>
      <c r="D1199" s="2"/>
      <c r="E1199" s="10"/>
      <c r="F1199" s="11"/>
      <c r="G1199" s="2"/>
      <c r="H1199" s="2"/>
      <c r="I1199" s="2"/>
      <c r="J1199" s="2"/>
      <c r="K1199" s="12"/>
      <c r="L1199" s="2"/>
      <c r="M1199" s="2"/>
      <c r="N1199" s="67"/>
    </row>
    <row r="1200" spans="1:14" x14ac:dyDescent="0.35">
      <c r="A1200" s="61">
        <v>1196</v>
      </c>
      <c r="B1200" s="2"/>
      <c r="C1200" s="2"/>
      <c r="D1200" s="2"/>
      <c r="E1200" s="10"/>
      <c r="F1200" s="11"/>
      <c r="G1200" s="2"/>
      <c r="H1200" s="2"/>
      <c r="I1200" s="2"/>
      <c r="J1200" s="2"/>
      <c r="K1200" s="12"/>
      <c r="L1200" s="2"/>
      <c r="M1200" s="2"/>
      <c r="N1200" s="67"/>
    </row>
    <row r="1201" spans="1:14" x14ac:dyDescent="0.35">
      <c r="A1201" s="61">
        <v>1197</v>
      </c>
      <c r="B1201" s="2"/>
      <c r="C1201" s="2"/>
      <c r="D1201" s="2"/>
      <c r="E1201" s="10"/>
      <c r="F1201" s="11"/>
      <c r="G1201" s="2"/>
      <c r="H1201" s="2"/>
      <c r="I1201" s="2"/>
      <c r="J1201" s="2"/>
      <c r="K1201" s="12"/>
      <c r="L1201" s="2"/>
      <c r="M1201" s="2"/>
      <c r="N1201" s="67"/>
    </row>
    <row r="1202" spans="1:14" x14ac:dyDescent="0.35">
      <c r="A1202" s="61">
        <v>1198</v>
      </c>
      <c r="B1202" s="2"/>
      <c r="C1202" s="2"/>
      <c r="D1202" s="2"/>
      <c r="E1202" s="10"/>
      <c r="F1202" s="11"/>
      <c r="G1202" s="2"/>
      <c r="H1202" s="2"/>
      <c r="I1202" s="2"/>
      <c r="J1202" s="2"/>
      <c r="K1202" s="12"/>
      <c r="L1202" s="2"/>
      <c r="M1202" s="2"/>
      <c r="N1202" s="67"/>
    </row>
    <row r="1203" spans="1:14" x14ac:dyDescent="0.35">
      <c r="A1203" s="61">
        <v>1199</v>
      </c>
      <c r="B1203" s="2"/>
      <c r="C1203" s="2"/>
      <c r="D1203" s="2"/>
      <c r="E1203" s="10"/>
      <c r="F1203" s="11"/>
      <c r="G1203" s="2"/>
      <c r="H1203" s="2"/>
      <c r="I1203" s="2"/>
      <c r="J1203" s="2"/>
      <c r="K1203" s="12"/>
      <c r="L1203" s="2"/>
      <c r="M1203" s="2"/>
      <c r="N1203" s="67"/>
    </row>
    <row r="1204" spans="1:14" x14ac:dyDescent="0.35">
      <c r="A1204" s="61">
        <v>1200</v>
      </c>
      <c r="B1204" s="2"/>
      <c r="C1204" s="2"/>
      <c r="D1204" s="2"/>
      <c r="E1204" s="10"/>
      <c r="F1204" s="11"/>
      <c r="G1204" s="2"/>
      <c r="H1204" s="2"/>
      <c r="I1204" s="2"/>
      <c r="J1204" s="2"/>
      <c r="K1204" s="12"/>
      <c r="L1204" s="2"/>
      <c r="M1204" s="2"/>
      <c r="N1204" s="67"/>
    </row>
    <row r="1205" spans="1:14" x14ac:dyDescent="0.35">
      <c r="A1205" s="61">
        <v>1201</v>
      </c>
      <c r="B1205" s="2"/>
      <c r="C1205" s="2"/>
      <c r="D1205" s="2"/>
      <c r="E1205" s="10"/>
      <c r="F1205" s="11"/>
      <c r="G1205" s="2"/>
      <c r="H1205" s="2"/>
      <c r="I1205" s="2"/>
      <c r="J1205" s="2"/>
      <c r="K1205" s="12"/>
      <c r="L1205" s="2"/>
      <c r="M1205" s="2"/>
      <c r="N1205" s="67"/>
    </row>
    <row r="1206" spans="1:14" x14ac:dyDescent="0.35">
      <c r="A1206" s="61">
        <v>1202</v>
      </c>
      <c r="B1206" s="2"/>
      <c r="C1206" s="2"/>
      <c r="D1206" s="2"/>
      <c r="E1206" s="10"/>
      <c r="F1206" s="11"/>
      <c r="G1206" s="2"/>
      <c r="H1206" s="2"/>
      <c r="I1206" s="2"/>
      <c r="J1206" s="2"/>
      <c r="K1206" s="12"/>
      <c r="L1206" s="2"/>
      <c r="M1206" s="2"/>
      <c r="N1206" s="67"/>
    </row>
    <row r="1207" spans="1:14" x14ac:dyDescent="0.35">
      <c r="A1207" s="61">
        <v>1203</v>
      </c>
      <c r="B1207" s="2"/>
      <c r="C1207" s="2"/>
      <c r="D1207" s="2"/>
      <c r="E1207" s="10"/>
      <c r="F1207" s="11"/>
      <c r="G1207" s="2"/>
      <c r="H1207" s="2"/>
      <c r="I1207" s="2"/>
      <c r="J1207" s="2"/>
      <c r="K1207" s="12"/>
      <c r="L1207" s="2"/>
      <c r="M1207" s="2"/>
      <c r="N1207" s="67"/>
    </row>
    <row r="1208" spans="1:14" x14ac:dyDescent="0.35">
      <c r="A1208" s="61">
        <v>1204</v>
      </c>
      <c r="B1208" s="2"/>
      <c r="C1208" s="2"/>
      <c r="D1208" s="2"/>
      <c r="E1208" s="10"/>
      <c r="F1208" s="11"/>
      <c r="G1208" s="2"/>
      <c r="H1208" s="2"/>
      <c r="I1208" s="2"/>
      <c r="J1208" s="2"/>
      <c r="K1208" s="12"/>
      <c r="L1208" s="2"/>
      <c r="M1208" s="2"/>
      <c r="N1208" s="67"/>
    </row>
    <row r="1209" spans="1:14" x14ac:dyDescent="0.35">
      <c r="A1209" s="61">
        <v>1205</v>
      </c>
      <c r="B1209" s="2"/>
      <c r="C1209" s="2"/>
      <c r="D1209" s="2"/>
      <c r="E1209" s="10"/>
      <c r="F1209" s="11"/>
      <c r="G1209" s="2"/>
      <c r="H1209" s="2"/>
      <c r="I1209" s="2"/>
      <c r="J1209" s="2"/>
      <c r="K1209" s="12"/>
      <c r="L1209" s="2"/>
      <c r="M1209" s="2"/>
      <c r="N1209" s="67"/>
    </row>
    <row r="1210" spans="1:14" x14ac:dyDescent="0.35">
      <c r="A1210" s="61">
        <v>1206</v>
      </c>
      <c r="B1210" s="2"/>
      <c r="C1210" s="2"/>
      <c r="D1210" s="2"/>
      <c r="E1210" s="10"/>
      <c r="F1210" s="11"/>
      <c r="G1210" s="2"/>
      <c r="H1210" s="2"/>
      <c r="I1210" s="2"/>
      <c r="J1210" s="2"/>
      <c r="K1210" s="12"/>
      <c r="L1210" s="2"/>
      <c r="M1210" s="2"/>
      <c r="N1210" s="67"/>
    </row>
    <row r="1211" spans="1:14" x14ac:dyDescent="0.35">
      <c r="A1211" s="61">
        <v>1207</v>
      </c>
      <c r="B1211" s="2"/>
      <c r="C1211" s="2"/>
      <c r="D1211" s="2"/>
      <c r="E1211" s="10"/>
      <c r="F1211" s="11"/>
      <c r="G1211" s="2"/>
      <c r="H1211" s="2"/>
      <c r="I1211" s="2"/>
      <c r="J1211" s="2"/>
      <c r="K1211" s="12"/>
      <c r="L1211" s="2"/>
      <c r="M1211" s="2"/>
      <c r="N1211" s="67"/>
    </row>
    <row r="1212" spans="1:14" x14ac:dyDescent="0.35">
      <c r="A1212" s="61">
        <v>1208</v>
      </c>
      <c r="B1212" s="2"/>
      <c r="C1212" s="2"/>
      <c r="D1212" s="2"/>
      <c r="E1212" s="10"/>
      <c r="F1212" s="11"/>
      <c r="G1212" s="2"/>
      <c r="H1212" s="2"/>
      <c r="I1212" s="2"/>
      <c r="J1212" s="2"/>
      <c r="K1212" s="12"/>
      <c r="L1212" s="2"/>
      <c r="M1212" s="2"/>
      <c r="N1212" s="67"/>
    </row>
    <row r="1213" spans="1:14" x14ac:dyDescent="0.35">
      <c r="A1213" s="61">
        <v>1209</v>
      </c>
      <c r="B1213" s="2"/>
      <c r="C1213" s="2"/>
      <c r="D1213" s="2"/>
      <c r="E1213" s="10"/>
      <c r="F1213" s="11"/>
      <c r="G1213" s="2"/>
      <c r="H1213" s="2"/>
      <c r="I1213" s="2"/>
      <c r="J1213" s="2"/>
      <c r="K1213" s="12"/>
      <c r="L1213" s="2"/>
      <c r="M1213" s="2"/>
      <c r="N1213" s="67"/>
    </row>
    <row r="1214" spans="1:14" x14ac:dyDescent="0.35">
      <c r="A1214" s="61">
        <v>1210</v>
      </c>
      <c r="B1214" s="2"/>
      <c r="C1214" s="2"/>
      <c r="D1214" s="2"/>
      <c r="E1214" s="10"/>
      <c r="F1214" s="11"/>
      <c r="G1214" s="2"/>
      <c r="H1214" s="2"/>
      <c r="I1214" s="2"/>
      <c r="J1214" s="2"/>
      <c r="K1214" s="12"/>
      <c r="L1214" s="2"/>
      <c r="M1214" s="2"/>
      <c r="N1214" s="67"/>
    </row>
    <row r="1215" spans="1:14" x14ac:dyDescent="0.35">
      <c r="A1215" s="61">
        <v>1211</v>
      </c>
      <c r="B1215" s="2"/>
      <c r="C1215" s="2"/>
      <c r="D1215" s="2"/>
      <c r="E1215" s="10"/>
      <c r="F1215" s="11"/>
      <c r="G1215" s="2"/>
      <c r="H1215" s="2"/>
      <c r="I1215" s="2"/>
      <c r="J1215" s="2"/>
      <c r="K1215" s="12"/>
      <c r="L1215" s="2"/>
      <c r="M1215" s="2"/>
      <c r="N1215" s="67"/>
    </row>
    <row r="1216" spans="1:14" x14ac:dyDescent="0.35">
      <c r="A1216" s="61">
        <v>1212</v>
      </c>
      <c r="B1216" s="2"/>
      <c r="C1216" s="2"/>
      <c r="D1216" s="2"/>
      <c r="E1216" s="10"/>
      <c r="F1216" s="11"/>
      <c r="G1216" s="2"/>
      <c r="H1216" s="2"/>
      <c r="I1216" s="2"/>
      <c r="J1216" s="2"/>
      <c r="K1216" s="12"/>
      <c r="L1216" s="2"/>
      <c r="M1216" s="2"/>
      <c r="N1216" s="67"/>
    </row>
    <row r="1217" spans="1:14" x14ac:dyDescent="0.35">
      <c r="A1217" s="61">
        <v>1213</v>
      </c>
      <c r="B1217" s="2"/>
      <c r="C1217" s="2"/>
      <c r="D1217" s="2"/>
      <c r="E1217" s="10"/>
      <c r="F1217" s="11"/>
      <c r="G1217" s="2"/>
      <c r="H1217" s="2"/>
      <c r="I1217" s="2"/>
      <c r="J1217" s="2"/>
      <c r="K1217" s="12"/>
      <c r="L1217" s="2"/>
      <c r="M1217" s="2"/>
      <c r="N1217" s="67"/>
    </row>
    <row r="1218" spans="1:14" x14ac:dyDescent="0.35">
      <c r="A1218" s="61">
        <v>1214</v>
      </c>
      <c r="B1218" s="2"/>
      <c r="C1218" s="2"/>
      <c r="D1218" s="2"/>
      <c r="E1218" s="10"/>
      <c r="F1218" s="11"/>
      <c r="G1218" s="2"/>
      <c r="H1218" s="2"/>
      <c r="I1218" s="2"/>
      <c r="J1218" s="2"/>
      <c r="K1218" s="12"/>
      <c r="L1218" s="2"/>
      <c r="M1218" s="2"/>
      <c r="N1218" s="67"/>
    </row>
    <row r="1219" spans="1:14" x14ac:dyDescent="0.35">
      <c r="A1219" s="61">
        <v>1215</v>
      </c>
      <c r="B1219" s="2"/>
      <c r="C1219" s="2"/>
      <c r="D1219" s="2"/>
      <c r="E1219" s="10"/>
      <c r="F1219" s="11"/>
      <c r="G1219" s="2"/>
      <c r="H1219" s="2"/>
      <c r="I1219" s="2"/>
      <c r="J1219" s="2"/>
      <c r="K1219" s="12"/>
      <c r="L1219" s="2"/>
      <c r="M1219" s="2"/>
      <c r="N1219" s="67"/>
    </row>
    <row r="1220" spans="1:14" x14ac:dyDescent="0.35">
      <c r="A1220" s="61">
        <v>1216</v>
      </c>
      <c r="B1220" s="2"/>
      <c r="C1220" s="2"/>
      <c r="D1220" s="2"/>
      <c r="E1220" s="10"/>
      <c r="F1220" s="11"/>
      <c r="G1220" s="2"/>
      <c r="H1220" s="2"/>
      <c r="I1220" s="2"/>
      <c r="J1220" s="2"/>
      <c r="K1220" s="12"/>
      <c r="L1220" s="2"/>
      <c r="M1220" s="2"/>
      <c r="N1220" s="67"/>
    </row>
    <row r="1221" spans="1:14" x14ac:dyDescent="0.35">
      <c r="A1221" s="61">
        <v>1217</v>
      </c>
      <c r="B1221" s="2"/>
      <c r="C1221" s="2"/>
      <c r="D1221" s="2"/>
      <c r="E1221" s="10"/>
      <c r="F1221" s="11"/>
      <c r="G1221" s="2"/>
      <c r="H1221" s="2"/>
      <c r="I1221" s="2"/>
      <c r="J1221" s="2"/>
      <c r="K1221" s="12"/>
      <c r="L1221" s="2"/>
      <c r="M1221" s="2"/>
      <c r="N1221" s="67"/>
    </row>
    <row r="1222" spans="1:14" x14ac:dyDescent="0.35">
      <c r="A1222" s="61">
        <v>1218</v>
      </c>
      <c r="B1222" s="2"/>
      <c r="C1222" s="2"/>
      <c r="D1222" s="2"/>
      <c r="E1222" s="10"/>
      <c r="F1222" s="11"/>
      <c r="G1222" s="2"/>
      <c r="H1222" s="2"/>
      <c r="I1222" s="2"/>
      <c r="J1222" s="2"/>
      <c r="K1222" s="12"/>
      <c r="L1222" s="2"/>
      <c r="M1222" s="2"/>
      <c r="N1222" s="67"/>
    </row>
    <row r="1223" spans="1:14" x14ac:dyDescent="0.35">
      <c r="A1223" s="61">
        <v>1219</v>
      </c>
      <c r="B1223" s="2"/>
      <c r="C1223" s="2"/>
      <c r="D1223" s="2"/>
      <c r="E1223" s="10"/>
      <c r="F1223" s="11"/>
      <c r="G1223" s="2"/>
      <c r="H1223" s="2"/>
      <c r="I1223" s="2"/>
      <c r="J1223" s="2"/>
      <c r="K1223" s="12"/>
      <c r="L1223" s="2"/>
      <c r="M1223" s="2"/>
      <c r="N1223" s="67"/>
    </row>
    <row r="1224" spans="1:14" x14ac:dyDescent="0.35">
      <c r="A1224" s="61">
        <v>1220</v>
      </c>
      <c r="B1224" s="2"/>
      <c r="C1224" s="2"/>
      <c r="D1224" s="2"/>
      <c r="E1224" s="10"/>
      <c r="F1224" s="11"/>
      <c r="G1224" s="2"/>
      <c r="H1224" s="2"/>
      <c r="I1224" s="2"/>
      <c r="J1224" s="2"/>
      <c r="K1224" s="12"/>
      <c r="L1224" s="2"/>
      <c r="M1224" s="2"/>
      <c r="N1224" s="67"/>
    </row>
    <row r="1225" spans="1:14" x14ac:dyDescent="0.35">
      <c r="A1225" s="61">
        <v>1221</v>
      </c>
      <c r="B1225" s="2"/>
      <c r="C1225" s="2"/>
      <c r="D1225" s="2"/>
      <c r="E1225" s="10"/>
      <c r="F1225" s="11"/>
      <c r="G1225" s="2"/>
      <c r="H1225" s="2"/>
      <c r="I1225" s="2"/>
      <c r="J1225" s="2"/>
      <c r="K1225" s="12"/>
      <c r="L1225" s="2"/>
      <c r="M1225" s="2"/>
      <c r="N1225" s="67"/>
    </row>
    <row r="1226" spans="1:14" x14ac:dyDescent="0.35">
      <c r="A1226" s="61">
        <v>1222</v>
      </c>
      <c r="B1226" s="2"/>
      <c r="C1226" s="2"/>
      <c r="D1226" s="2"/>
      <c r="E1226" s="10"/>
      <c r="F1226" s="11"/>
      <c r="G1226" s="2"/>
      <c r="H1226" s="2"/>
      <c r="I1226" s="2"/>
      <c r="J1226" s="2"/>
      <c r="K1226" s="12"/>
      <c r="L1226" s="2"/>
      <c r="M1226" s="2"/>
      <c r="N1226" s="67"/>
    </row>
    <row r="1227" spans="1:14" x14ac:dyDescent="0.35">
      <c r="A1227" s="61">
        <v>1223</v>
      </c>
      <c r="B1227" s="2"/>
      <c r="C1227" s="2"/>
      <c r="D1227" s="2"/>
      <c r="E1227" s="10"/>
      <c r="F1227" s="11"/>
      <c r="G1227" s="2"/>
      <c r="H1227" s="2"/>
      <c r="I1227" s="2"/>
      <c r="J1227" s="2"/>
      <c r="K1227" s="12"/>
      <c r="L1227" s="2"/>
      <c r="M1227" s="2"/>
      <c r="N1227" s="67"/>
    </row>
    <row r="1228" spans="1:14" x14ac:dyDescent="0.35">
      <c r="A1228" s="61">
        <v>1224</v>
      </c>
      <c r="B1228" s="2"/>
      <c r="C1228" s="2"/>
      <c r="D1228" s="2"/>
      <c r="E1228" s="10"/>
      <c r="F1228" s="11"/>
      <c r="G1228" s="2"/>
      <c r="H1228" s="2"/>
      <c r="I1228" s="2"/>
      <c r="J1228" s="2"/>
      <c r="K1228" s="12"/>
      <c r="L1228" s="2"/>
      <c r="M1228" s="2"/>
      <c r="N1228" s="67"/>
    </row>
    <row r="1229" spans="1:14" x14ac:dyDescent="0.35">
      <c r="A1229" s="61">
        <v>1225</v>
      </c>
      <c r="B1229" s="2"/>
      <c r="C1229" s="2"/>
      <c r="D1229" s="2"/>
      <c r="E1229" s="10"/>
      <c r="F1229" s="11"/>
      <c r="G1229" s="2"/>
      <c r="H1229" s="2"/>
      <c r="I1229" s="2"/>
      <c r="J1229" s="2"/>
      <c r="K1229" s="12"/>
      <c r="L1229" s="2"/>
      <c r="M1229" s="2"/>
      <c r="N1229" s="67"/>
    </row>
    <row r="1230" spans="1:14" x14ac:dyDescent="0.35">
      <c r="A1230" s="61">
        <v>1226</v>
      </c>
      <c r="B1230" s="2"/>
      <c r="C1230" s="2"/>
      <c r="D1230" s="2"/>
      <c r="E1230" s="10"/>
      <c r="F1230" s="11"/>
      <c r="G1230" s="2"/>
      <c r="H1230" s="2"/>
      <c r="I1230" s="2"/>
      <c r="J1230" s="2"/>
      <c r="K1230" s="12"/>
      <c r="L1230" s="2"/>
      <c r="M1230" s="2"/>
      <c r="N1230" s="67"/>
    </row>
    <row r="1231" spans="1:14" x14ac:dyDescent="0.35">
      <c r="A1231" s="61">
        <v>1227</v>
      </c>
      <c r="B1231" s="2"/>
      <c r="C1231" s="2"/>
      <c r="D1231" s="2"/>
      <c r="E1231" s="10"/>
      <c r="F1231" s="11"/>
      <c r="G1231" s="2"/>
      <c r="H1231" s="2"/>
      <c r="I1231" s="2"/>
      <c r="J1231" s="2"/>
      <c r="K1231" s="12"/>
      <c r="L1231" s="2"/>
      <c r="M1231" s="2"/>
      <c r="N1231" s="67"/>
    </row>
    <row r="1232" spans="1:14" x14ac:dyDescent="0.35">
      <c r="A1232" s="61">
        <v>1228</v>
      </c>
      <c r="B1232" s="2"/>
      <c r="C1232" s="2"/>
      <c r="D1232" s="2"/>
      <c r="E1232" s="10"/>
      <c r="F1232" s="11"/>
      <c r="G1232" s="2"/>
      <c r="H1232" s="2"/>
      <c r="I1232" s="2"/>
      <c r="J1232" s="2"/>
      <c r="K1232" s="12"/>
      <c r="L1232" s="2"/>
      <c r="M1232" s="2"/>
      <c r="N1232" s="67"/>
    </row>
    <row r="1233" spans="1:14" x14ac:dyDescent="0.35">
      <c r="A1233" s="61">
        <v>1229</v>
      </c>
      <c r="B1233" s="2"/>
      <c r="C1233" s="2"/>
      <c r="D1233" s="2"/>
      <c r="E1233" s="10"/>
      <c r="F1233" s="11"/>
      <c r="G1233" s="2"/>
      <c r="H1233" s="2"/>
      <c r="I1233" s="2"/>
      <c r="J1233" s="2"/>
      <c r="K1233" s="12"/>
      <c r="L1233" s="2"/>
      <c r="M1233" s="2"/>
      <c r="N1233" s="67"/>
    </row>
    <row r="1234" spans="1:14" x14ac:dyDescent="0.35">
      <c r="A1234" s="61">
        <v>1230</v>
      </c>
      <c r="B1234" s="2"/>
      <c r="C1234" s="2"/>
      <c r="D1234" s="2"/>
      <c r="E1234" s="10"/>
      <c r="F1234" s="11"/>
      <c r="G1234" s="2"/>
      <c r="H1234" s="2"/>
      <c r="I1234" s="2"/>
      <c r="J1234" s="2"/>
      <c r="K1234" s="12"/>
      <c r="L1234" s="2"/>
      <c r="M1234" s="2"/>
      <c r="N1234" s="67"/>
    </row>
    <row r="1235" spans="1:14" x14ac:dyDescent="0.35">
      <c r="A1235" s="61">
        <v>1231</v>
      </c>
      <c r="B1235" s="2"/>
      <c r="C1235" s="2"/>
      <c r="D1235" s="2"/>
      <c r="E1235" s="10"/>
      <c r="F1235" s="11"/>
      <c r="G1235" s="2"/>
      <c r="H1235" s="2"/>
      <c r="I1235" s="2"/>
      <c r="J1235" s="2"/>
      <c r="K1235" s="12"/>
      <c r="L1235" s="2"/>
      <c r="M1235" s="2"/>
      <c r="N1235" s="67"/>
    </row>
    <row r="1236" spans="1:14" x14ac:dyDescent="0.35">
      <c r="A1236" s="61">
        <v>1232</v>
      </c>
      <c r="B1236" s="2"/>
      <c r="C1236" s="2"/>
      <c r="D1236" s="2"/>
      <c r="E1236" s="10"/>
      <c r="F1236" s="11"/>
      <c r="G1236" s="2"/>
      <c r="H1236" s="2"/>
      <c r="I1236" s="2"/>
      <c r="J1236" s="2"/>
      <c r="K1236" s="12"/>
      <c r="L1236" s="2"/>
      <c r="M1236" s="2"/>
      <c r="N1236" s="67"/>
    </row>
    <row r="1237" spans="1:14" x14ac:dyDescent="0.35">
      <c r="A1237" s="61">
        <v>1233</v>
      </c>
      <c r="B1237" s="2"/>
      <c r="C1237" s="2"/>
      <c r="D1237" s="2"/>
      <c r="E1237" s="10"/>
      <c r="F1237" s="11"/>
      <c r="G1237" s="2"/>
      <c r="H1237" s="2"/>
      <c r="I1237" s="2"/>
      <c r="J1237" s="2"/>
      <c r="K1237" s="12"/>
      <c r="L1237" s="2"/>
      <c r="M1237" s="2"/>
      <c r="N1237" s="67"/>
    </row>
    <row r="1238" spans="1:14" x14ac:dyDescent="0.35">
      <c r="A1238" s="61">
        <v>1234</v>
      </c>
      <c r="B1238" s="2"/>
      <c r="C1238" s="2"/>
      <c r="D1238" s="2"/>
      <c r="E1238" s="10"/>
      <c r="F1238" s="11"/>
      <c r="G1238" s="2"/>
      <c r="H1238" s="2"/>
      <c r="I1238" s="2"/>
      <c r="J1238" s="2"/>
      <c r="K1238" s="12"/>
      <c r="L1238" s="2"/>
      <c r="M1238" s="2"/>
      <c r="N1238" s="67"/>
    </row>
    <row r="1239" spans="1:14" x14ac:dyDescent="0.35">
      <c r="A1239" s="61">
        <v>1235</v>
      </c>
      <c r="B1239" s="2"/>
      <c r="C1239" s="2"/>
      <c r="D1239" s="2"/>
      <c r="E1239" s="10"/>
      <c r="F1239" s="11"/>
      <c r="G1239" s="2"/>
      <c r="H1239" s="2"/>
      <c r="I1239" s="2"/>
      <c r="J1239" s="2"/>
      <c r="K1239" s="12"/>
      <c r="L1239" s="2"/>
      <c r="M1239" s="2"/>
      <c r="N1239" s="67"/>
    </row>
    <row r="1240" spans="1:14" x14ac:dyDescent="0.35">
      <c r="A1240" s="61">
        <v>1236</v>
      </c>
      <c r="B1240" s="2"/>
      <c r="C1240" s="2"/>
      <c r="D1240" s="2"/>
      <c r="E1240" s="10"/>
      <c r="F1240" s="11"/>
      <c r="G1240" s="2"/>
      <c r="H1240" s="2"/>
      <c r="I1240" s="2"/>
      <c r="J1240" s="2"/>
      <c r="K1240" s="12"/>
      <c r="L1240" s="2"/>
      <c r="M1240" s="2"/>
      <c r="N1240" s="67"/>
    </row>
    <row r="1241" spans="1:14" x14ac:dyDescent="0.35">
      <c r="A1241" s="61">
        <v>1237</v>
      </c>
      <c r="B1241" s="2"/>
      <c r="C1241" s="2"/>
      <c r="D1241" s="2"/>
      <c r="E1241" s="10"/>
      <c r="F1241" s="11"/>
      <c r="G1241" s="2"/>
      <c r="H1241" s="2"/>
      <c r="I1241" s="2"/>
      <c r="J1241" s="2"/>
      <c r="K1241" s="12"/>
      <c r="L1241" s="2"/>
      <c r="M1241" s="2"/>
      <c r="N1241" s="67"/>
    </row>
    <row r="1242" spans="1:14" x14ac:dyDescent="0.35">
      <c r="A1242" s="61">
        <v>1238</v>
      </c>
      <c r="B1242" s="2"/>
      <c r="C1242" s="2"/>
      <c r="D1242" s="2"/>
      <c r="E1242" s="10"/>
      <c r="F1242" s="11"/>
      <c r="G1242" s="2"/>
      <c r="H1242" s="2"/>
      <c r="I1242" s="2"/>
      <c r="J1242" s="2"/>
      <c r="K1242" s="12"/>
      <c r="L1242" s="2"/>
      <c r="M1242" s="2"/>
      <c r="N1242" s="67"/>
    </row>
    <row r="1243" spans="1:14" x14ac:dyDescent="0.35">
      <c r="A1243" s="61">
        <v>1239</v>
      </c>
      <c r="B1243" s="2"/>
      <c r="C1243" s="2"/>
      <c r="D1243" s="2"/>
      <c r="E1243" s="10"/>
      <c r="F1243" s="11"/>
      <c r="G1243" s="2"/>
      <c r="H1243" s="2"/>
      <c r="I1243" s="2"/>
      <c r="J1243" s="2"/>
      <c r="K1243" s="12"/>
      <c r="L1243" s="2"/>
      <c r="M1243" s="2"/>
      <c r="N1243" s="67"/>
    </row>
    <row r="1244" spans="1:14" x14ac:dyDescent="0.35">
      <c r="A1244" s="61">
        <v>1240</v>
      </c>
      <c r="B1244" s="2"/>
      <c r="C1244" s="2"/>
      <c r="D1244" s="2"/>
      <c r="E1244" s="10"/>
      <c r="F1244" s="11"/>
      <c r="G1244" s="2"/>
      <c r="H1244" s="2"/>
      <c r="I1244" s="2"/>
      <c r="J1244" s="2"/>
      <c r="K1244" s="12"/>
      <c r="L1244" s="2"/>
      <c r="M1244" s="2"/>
      <c r="N1244" s="67"/>
    </row>
    <row r="1245" spans="1:14" x14ac:dyDescent="0.35">
      <c r="A1245" s="61">
        <v>1241</v>
      </c>
      <c r="B1245" s="2"/>
      <c r="C1245" s="2"/>
      <c r="D1245" s="2"/>
      <c r="E1245" s="10"/>
      <c r="F1245" s="11"/>
      <c r="G1245" s="2"/>
      <c r="H1245" s="2"/>
      <c r="I1245" s="2"/>
      <c r="J1245" s="2"/>
      <c r="K1245" s="12"/>
      <c r="L1245" s="2"/>
      <c r="M1245" s="2"/>
      <c r="N1245" s="67"/>
    </row>
    <row r="1246" spans="1:14" x14ac:dyDescent="0.35">
      <c r="A1246" s="61">
        <v>1242</v>
      </c>
      <c r="B1246" s="2"/>
      <c r="C1246" s="2"/>
      <c r="D1246" s="2"/>
      <c r="E1246" s="10"/>
      <c r="F1246" s="11"/>
      <c r="G1246" s="2"/>
      <c r="H1246" s="2"/>
      <c r="I1246" s="2"/>
      <c r="J1246" s="2"/>
      <c r="K1246" s="12"/>
      <c r="L1246" s="2"/>
      <c r="M1246" s="2"/>
      <c r="N1246" s="67"/>
    </row>
    <row r="1247" spans="1:14" x14ac:dyDescent="0.35">
      <c r="A1247" s="61">
        <v>1243</v>
      </c>
      <c r="B1247" s="2"/>
      <c r="C1247" s="2"/>
      <c r="D1247" s="2"/>
      <c r="E1247" s="10"/>
      <c r="F1247" s="11"/>
      <c r="G1247" s="2"/>
      <c r="H1247" s="2"/>
      <c r="I1247" s="2"/>
      <c r="J1247" s="2"/>
      <c r="K1247" s="12"/>
      <c r="L1247" s="2"/>
      <c r="M1247" s="2"/>
      <c r="N1247" s="67"/>
    </row>
    <row r="1248" spans="1:14" x14ac:dyDescent="0.35">
      <c r="A1248" s="61">
        <v>1244</v>
      </c>
      <c r="B1248" s="2"/>
      <c r="C1248" s="2"/>
      <c r="D1248" s="2"/>
      <c r="E1248" s="10"/>
      <c r="F1248" s="11"/>
      <c r="G1248" s="2"/>
      <c r="H1248" s="2"/>
      <c r="I1248" s="2"/>
      <c r="J1248" s="2"/>
      <c r="K1248" s="12"/>
      <c r="L1248" s="2"/>
      <c r="M1248" s="2"/>
      <c r="N1248" s="67"/>
    </row>
    <row r="1249" spans="1:14" x14ac:dyDescent="0.35">
      <c r="A1249" s="61">
        <v>1245</v>
      </c>
      <c r="B1249" s="2"/>
      <c r="C1249" s="2"/>
      <c r="D1249" s="2"/>
      <c r="E1249" s="10"/>
      <c r="F1249" s="11"/>
      <c r="G1249" s="2"/>
      <c r="H1249" s="2"/>
      <c r="I1249" s="2"/>
      <c r="J1249" s="2"/>
      <c r="K1249" s="12"/>
      <c r="L1249" s="2"/>
      <c r="M1249" s="2"/>
      <c r="N1249" s="67"/>
    </row>
    <row r="1250" spans="1:14" x14ac:dyDescent="0.35">
      <c r="A1250" s="61">
        <v>1246</v>
      </c>
      <c r="B1250" s="2"/>
      <c r="C1250" s="2"/>
      <c r="D1250" s="2"/>
      <c r="E1250" s="10"/>
      <c r="F1250" s="11"/>
      <c r="G1250" s="2"/>
      <c r="H1250" s="2"/>
      <c r="I1250" s="2"/>
      <c r="J1250" s="2"/>
      <c r="K1250" s="12"/>
      <c r="L1250" s="2"/>
      <c r="M1250" s="2"/>
      <c r="N1250" s="67"/>
    </row>
    <row r="1251" spans="1:14" x14ac:dyDescent="0.35">
      <c r="A1251" s="61">
        <v>1247</v>
      </c>
      <c r="B1251" s="2"/>
      <c r="C1251" s="2"/>
      <c r="D1251" s="2"/>
      <c r="E1251" s="10"/>
      <c r="F1251" s="11"/>
      <c r="G1251" s="2"/>
      <c r="H1251" s="2"/>
      <c r="I1251" s="2"/>
      <c r="J1251" s="2"/>
      <c r="K1251" s="12"/>
      <c r="L1251" s="2"/>
      <c r="M1251" s="2"/>
      <c r="N1251" s="67"/>
    </row>
    <row r="1252" spans="1:14" x14ac:dyDescent="0.35">
      <c r="A1252" s="61">
        <v>1248</v>
      </c>
      <c r="B1252" s="2"/>
      <c r="C1252" s="2"/>
      <c r="D1252" s="2"/>
      <c r="E1252" s="10"/>
      <c r="F1252" s="11"/>
      <c r="G1252" s="2"/>
      <c r="H1252" s="2"/>
      <c r="I1252" s="2"/>
      <c r="J1252" s="2"/>
      <c r="K1252" s="12"/>
      <c r="L1252" s="2"/>
      <c r="M1252" s="2"/>
      <c r="N1252" s="67"/>
    </row>
    <row r="1253" spans="1:14" x14ac:dyDescent="0.35">
      <c r="A1253" s="61">
        <v>1249</v>
      </c>
      <c r="B1253" s="2"/>
      <c r="C1253" s="2"/>
      <c r="D1253" s="2"/>
      <c r="E1253" s="10"/>
      <c r="F1253" s="11"/>
      <c r="G1253" s="2"/>
      <c r="H1253" s="2"/>
      <c r="I1253" s="2"/>
      <c r="J1253" s="2"/>
      <c r="K1253" s="12"/>
      <c r="L1253" s="2"/>
      <c r="M1253" s="2"/>
      <c r="N1253" s="67"/>
    </row>
    <row r="1254" spans="1:14" x14ac:dyDescent="0.35">
      <c r="A1254" s="61">
        <v>1250</v>
      </c>
      <c r="B1254" s="2"/>
      <c r="C1254" s="2"/>
      <c r="D1254" s="2"/>
      <c r="E1254" s="10"/>
      <c r="F1254" s="11"/>
      <c r="G1254" s="2"/>
      <c r="H1254" s="2"/>
      <c r="I1254" s="2"/>
      <c r="J1254" s="2"/>
      <c r="K1254" s="12"/>
      <c r="L1254" s="2"/>
      <c r="M1254" s="2"/>
      <c r="N1254" s="67"/>
    </row>
    <row r="1255" spans="1:14" x14ac:dyDescent="0.35">
      <c r="A1255" s="61">
        <v>1251</v>
      </c>
      <c r="B1255" s="2"/>
      <c r="C1255" s="2"/>
      <c r="D1255" s="2"/>
      <c r="E1255" s="10"/>
      <c r="F1255" s="11"/>
      <c r="G1255" s="2"/>
      <c r="H1255" s="2"/>
      <c r="I1255" s="2"/>
      <c r="J1255" s="2"/>
      <c r="K1255" s="12"/>
      <c r="L1255" s="2"/>
      <c r="M1255" s="2"/>
      <c r="N1255" s="67"/>
    </row>
    <row r="1256" spans="1:14" x14ac:dyDescent="0.35">
      <c r="A1256" s="61">
        <v>1252</v>
      </c>
      <c r="B1256" s="2"/>
      <c r="C1256" s="2"/>
      <c r="D1256" s="2"/>
      <c r="E1256" s="10"/>
      <c r="F1256" s="11"/>
      <c r="G1256" s="2"/>
      <c r="H1256" s="2"/>
      <c r="I1256" s="2"/>
      <c r="J1256" s="2"/>
      <c r="K1256" s="12"/>
      <c r="L1256" s="2"/>
      <c r="M1256" s="2"/>
      <c r="N1256" s="67"/>
    </row>
    <row r="1257" spans="1:14" x14ac:dyDescent="0.35">
      <c r="A1257" s="61">
        <v>1253</v>
      </c>
      <c r="B1257" s="2"/>
      <c r="C1257" s="2"/>
      <c r="D1257" s="2"/>
      <c r="E1257" s="10"/>
      <c r="F1257" s="11"/>
      <c r="G1257" s="2"/>
      <c r="H1257" s="2"/>
      <c r="I1257" s="2"/>
      <c r="J1257" s="2"/>
      <c r="K1257" s="12"/>
      <c r="L1257" s="2"/>
      <c r="M1257" s="2"/>
      <c r="N1257" s="67"/>
    </row>
    <row r="1258" spans="1:14" x14ac:dyDescent="0.35">
      <c r="A1258" s="61">
        <v>1254</v>
      </c>
      <c r="B1258" s="2"/>
      <c r="C1258" s="2"/>
      <c r="D1258" s="2"/>
      <c r="E1258" s="10"/>
      <c r="F1258" s="11"/>
      <c r="G1258" s="2"/>
      <c r="H1258" s="2"/>
      <c r="I1258" s="2"/>
      <c r="J1258" s="2"/>
      <c r="K1258" s="12"/>
      <c r="L1258" s="2"/>
      <c r="M1258" s="2"/>
      <c r="N1258" s="67"/>
    </row>
    <row r="1259" spans="1:14" x14ac:dyDescent="0.35">
      <c r="A1259" s="61">
        <v>1255</v>
      </c>
      <c r="B1259" s="2"/>
      <c r="C1259" s="2"/>
      <c r="D1259" s="2"/>
      <c r="E1259" s="10"/>
      <c r="F1259" s="11"/>
      <c r="G1259" s="2"/>
      <c r="H1259" s="2"/>
      <c r="I1259" s="2"/>
      <c r="J1259" s="2"/>
      <c r="K1259" s="12"/>
      <c r="L1259" s="2"/>
      <c r="M1259" s="2"/>
      <c r="N1259" s="67"/>
    </row>
    <row r="1260" spans="1:14" x14ac:dyDescent="0.35">
      <c r="A1260" s="61">
        <v>1256</v>
      </c>
      <c r="B1260" s="2"/>
      <c r="C1260" s="2"/>
      <c r="D1260" s="2"/>
      <c r="E1260" s="10"/>
      <c r="F1260" s="11"/>
      <c r="G1260" s="2"/>
      <c r="H1260" s="2"/>
      <c r="I1260" s="2"/>
      <c r="J1260" s="2"/>
      <c r="K1260" s="12"/>
      <c r="L1260" s="2"/>
      <c r="M1260" s="2"/>
      <c r="N1260" s="67"/>
    </row>
    <row r="1261" spans="1:14" x14ac:dyDescent="0.35">
      <c r="A1261" s="61">
        <v>1257</v>
      </c>
      <c r="B1261" s="2"/>
      <c r="C1261" s="2"/>
      <c r="D1261" s="2"/>
      <c r="E1261" s="10"/>
      <c r="F1261" s="11"/>
      <c r="G1261" s="2"/>
      <c r="H1261" s="2"/>
      <c r="I1261" s="2"/>
      <c r="J1261" s="2"/>
      <c r="K1261" s="12"/>
      <c r="L1261" s="2"/>
      <c r="M1261" s="2"/>
      <c r="N1261" s="67"/>
    </row>
    <row r="1262" spans="1:14" x14ac:dyDescent="0.35">
      <c r="A1262" s="61">
        <v>1258</v>
      </c>
      <c r="B1262" s="2"/>
      <c r="C1262" s="2"/>
      <c r="D1262" s="2"/>
      <c r="E1262" s="10"/>
      <c r="F1262" s="11"/>
      <c r="G1262" s="2"/>
      <c r="H1262" s="2"/>
      <c r="I1262" s="2"/>
      <c r="J1262" s="2"/>
      <c r="K1262" s="12"/>
      <c r="L1262" s="2"/>
      <c r="M1262" s="2"/>
      <c r="N1262" s="67"/>
    </row>
    <row r="1263" spans="1:14" x14ac:dyDescent="0.35">
      <c r="A1263" s="61">
        <v>1259</v>
      </c>
      <c r="B1263" s="2"/>
      <c r="C1263" s="2"/>
      <c r="D1263" s="2"/>
      <c r="E1263" s="10"/>
      <c r="F1263" s="11"/>
      <c r="G1263" s="2"/>
      <c r="H1263" s="2"/>
      <c r="I1263" s="2"/>
      <c r="J1263" s="2"/>
      <c r="K1263" s="12"/>
      <c r="L1263" s="2"/>
      <c r="M1263" s="2"/>
      <c r="N1263" s="67"/>
    </row>
    <row r="1264" spans="1:14" x14ac:dyDescent="0.35">
      <c r="A1264" s="61">
        <v>1260</v>
      </c>
      <c r="B1264" s="2"/>
      <c r="C1264" s="2"/>
      <c r="D1264" s="2"/>
      <c r="E1264" s="10"/>
      <c r="F1264" s="11"/>
      <c r="G1264" s="2"/>
      <c r="H1264" s="2"/>
      <c r="I1264" s="2"/>
      <c r="J1264" s="2"/>
      <c r="K1264" s="12"/>
      <c r="L1264" s="2"/>
      <c r="M1264" s="2"/>
      <c r="N1264" s="67"/>
    </row>
    <row r="1265" spans="1:14" x14ac:dyDescent="0.35">
      <c r="A1265" s="61">
        <v>1261</v>
      </c>
      <c r="B1265" s="2"/>
      <c r="C1265" s="2"/>
      <c r="D1265" s="2"/>
      <c r="E1265" s="10"/>
      <c r="F1265" s="11"/>
      <c r="G1265" s="2"/>
      <c r="H1265" s="2"/>
      <c r="I1265" s="2"/>
      <c r="J1265" s="2"/>
      <c r="K1265" s="12"/>
      <c r="L1265" s="2"/>
      <c r="M1265" s="2"/>
      <c r="N1265" s="67"/>
    </row>
    <row r="1266" spans="1:14" x14ac:dyDescent="0.35">
      <c r="A1266" s="61">
        <v>1262</v>
      </c>
      <c r="B1266" s="2"/>
      <c r="C1266" s="2"/>
      <c r="D1266" s="2"/>
      <c r="E1266" s="10"/>
      <c r="F1266" s="11"/>
      <c r="G1266" s="2"/>
      <c r="H1266" s="2"/>
      <c r="I1266" s="2"/>
      <c r="J1266" s="2"/>
      <c r="K1266" s="12"/>
      <c r="L1266" s="2"/>
      <c r="M1266" s="2"/>
      <c r="N1266" s="67"/>
    </row>
    <row r="1267" spans="1:14" x14ac:dyDescent="0.35">
      <c r="A1267" s="61">
        <v>1263</v>
      </c>
      <c r="B1267" s="2"/>
      <c r="C1267" s="2"/>
      <c r="D1267" s="2"/>
      <c r="E1267" s="10"/>
      <c r="F1267" s="11"/>
      <c r="G1267" s="2"/>
      <c r="H1267" s="2"/>
      <c r="I1267" s="2"/>
      <c r="J1267" s="2"/>
      <c r="K1267" s="12"/>
      <c r="L1267" s="2"/>
      <c r="M1267" s="2"/>
      <c r="N1267" s="67"/>
    </row>
    <row r="1268" spans="1:14" x14ac:dyDescent="0.35">
      <c r="A1268" s="61">
        <v>1264</v>
      </c>
      <c r="B1268" s="2"/>
      <c r="C1268" s="2"/>
      <c r="D1268" s="2"/>
      <c r="E1268" s="10"/>
      <c r="F1268" s="11"/>
      <c r="G1268" s="2"/>
      <c r="H1268" s="2"/>
      <c r="I1268" s="2"/>
      <c r="J1268" s="2"/>
      <c r="K1268" s="12"/>
      <c r="L1268" s="2"/>
      <c r="M1268" s="2"/>
      <c r="N1268" s="67"/>
    </row>
    <row r="1269" spans="1:14" x14ac:dyDescent="0.35">
      <c r="A1269" s="61">
        <v>1265</v>
      </c>
      <c r="B1269" s="2"/>
      <c r="C1269" s="2"/>
      <c r="D1269" s="2"/>
      <c r="E1269" s="10"/>
      <c r="F1269" s="11"/>
      <c r="G1269" s="2"/>
      <c r="H1269" s="2"/>
      <c r="I1269" s="2"/>
      <c r="J1269" s="2"/>
      <c r="K1269" s="12"/>
      <c r="L1269" s="2"/>
      <c r="M1269" s="2"/>
      <c r="N1269" s="67"/>
    </row>
    <row r="1270" spans="1:14" x14ac:dyDescent="0.35">
      <c r="A1270" s="61">
        <v>1266</v>
      </c>
      <c r="B1270" s="2"/>
      <c r="C1270" s="2"/>
      <c r="D1270" s="2"/>
      <c r="E1270" s="10"/>
      <c r="F1270" s="11"/>
      <c r="G1270" s="2"/>
      <c r="H1270" s="2"/>
      <c r="I1270" s="2"/>
      <c r="J1270" s="2"/>
      <c r="K1270" s="12"/>
      <c r="L1270" s="2"/>
      <c r="M1270" s="2"/>
      <c r="N1270" s="67"/>
    </row>
    <row r="1271" spans="1:14" x14ac:dyDescent="0.35">
      <c r="A1271" s="61">
        <v>1267</v>
      </c>
      <c r="B1271" s="2"/>
      <c r="C1271" s="2"/>
      <c r="D1271" s="2"/>
      <c r="E1271" s="10"/>
      <c r="F1271" s="11"/>
      <c r="G1271" s="2"/>
      <c r="H1271" s="2"/>
      <c r="I1271" s="2"/>
      <c r="J1271" s="2"/>
      <c r="K1271" s="12"/>
      <c r="L1271" s="2"/>
      <c r="M1271" s="2"/>
      <c r="N1271" s="67"/>
    </row>
    <row r="1272" spans="1:14" x14ac:dyDescent="0.35">
      <c r="A1272" s="61">
        <v>1268</v>
      </c>
      <c r="B1272" s="2"/>
      <c r="C1272" s="2"/>
      <c r="D1272" s="2"/>
      <c r="E1272" s="10"/>
      <c r="F1272" s="11"/>
      <c r="G1272" s="2"/>
      <c r="H1272" s="2"/>
      <c r="I1272" s="2"/>
      <c r="J1272" s="2"/>
      <c r="K1272" s="12"/>
      <c r="L1272" s="2"/>
      <c r="M1272" s="2"/>
      <c r="N1272" s="67"/>
    </row>
    <row r="1273" spans="1:14" x14ac:dyDescent="0.35">
      <c r="A1273" s="61">
        <v>1269</v>
      </c>
      <c r="B1273" s="2"/>
      <c r="C1273" s="2"/>
      <c r="D1273" s="2"/>
      <c r="E1273" s="10"/>
      <c r="F1273" s="11"/>
      <c r="G1273" s="2"/>
      <c r="H1273" s="2"/>
      <c r="I1273" s="2"/>
      <c r="J1273" s="2"/>
      <c r="K1273" s="12"/>
      <c r="L1273" s="2"/>
      <c r="M1273" s="2"/>
      <c r="N1273" s="67"/>
    </row>
    <row r="1274" spans="1:14" x14ac:dyDescent="0.35">
      <c r="A1274" s="61">
        <v>1270</v>
      </c>
      <c r="B1274" s="2"/>
      <c r="C1274" s="2"/>
      <c r="D1274" s="2"/>
      <c r="E1274" s="10"/>
      <c r="F1274" s="11"/>
      <c r="G1274" s="2"/>
      <c r="H1274" s="2"/>
      <c r="I1274" s="2"/>
      <c r="J1274" s="2"/>
      <c r="K1274" s="12"/>
      <c r="L1274" s="2"/>
      <c r="M1274" s="2"/>
      <c r="N1274" s="67"/>
    </row>
    <row r="1275" spans="1:14" x14ac:dyDescent="0.35">
      <c r="A1275" s="61">
        <v>1271</v>
      </c>
      <c r="B1275" s="2"/>
      <c r="C1275" s="2"/>
      <c r="D1275" s="2"/>
      <c r="E1275" s="10"/>
      <c r="F1275" s="11"/>
      <c r="G1275" s="2"/>
      <c r="H1275" s="2"/>
      <c r="I1275" s="2"/>
      <c r="J1275" s="2"/>
      <c r="K1275" s="12"/>
      <c r="L1275" s="2"/>
      <c r="M1275" s="2"/>
      <c r="N1275" s="67"/>
    </row>
    <row r="1276" spans="1:14" x14ac:dyDescent="0.35">
      <c r="A1276" s="61">
        <v>1272</v>
      </c>
      <c r="B1276" s="2"/>
      <c r="C1276" s="2"/>
      <c r="D1276" s="2"/>
      <c r="E1276" s="10"/>
      <c r="F1276" s="11"/>
      <c r="G1276" s="2"/>
      <c r="H1276" s="2"/>
      <c r="I1276" s="2"/>
      <c r="J1276" s="2"/>
      <c r="K1276" s="12"/>
      <c r="L1276" s="2"/>
      <c r="M1276" s="2"/>
      <c r="N1276" s="67"/>
    </row>
    <row r="1277" spans="1:14" x14ac:dyDescent="0.35">
      <c r="A1277" s="61">
        <v>1273</v>
      </c>
      <c r="B1277" s="2"/>
      <c r="C1277" s="2"/>
      <c r="D1277" s="2"/>
      <c r="E1277" s="10"/>
      <c r="F1277" s="11"/>
      <c r="G1277" s="2"/>
      <c r="H1277" s="2"/>
      <c r="I1277" s="2"/>
      <c r="J1277" s="2"/>
      <c r="K1277" s="12"/>
      <c r="L1277" s="2"/>
      <c r="M1277" s="2"/>
      <c r="N1277" s="67"/>
    </row>
    <row r="1278" spans="1:14" x14ac:dyDescent="0.35">
      <c r="A1278" s="61">
        <v>1274</v>
      </c>
      <c r="B1278" s="2"/>
      <c r="C1278" s="2"/>
      <c r="D1278" s="2"/>
      <c r="E1278" s="10"/>
      <c r="F1278" s="11"/>
      <c r="G1278" s="2"/>
      <c r="H1278" s="2"/>
      <c r="I1278" s="2"/>
      <c r="J1278" s="2"/>
      <c r="K1278" s="12"/>
      <c r="L1278" s="2"/>
      <c r="M1278" s="2"/>
      <c r="N1278" s="67"/>
    </row>
    <row r="1279" spans="1:14" x14ac:dyDescent="0.35">
      <c r="A1279" s="61">
        <v>1275</v>
      </c>
      <c r="B1279" s="2"/>
      <c r="C1279" s="2"/>
      <c r="D1279" s="2"/>
      <c r="E1279" s="10"/>
      <c r="F1279" s="11"/>
      <c r="G1279" s="2"/>
      <c r="H1279" s="2"/>
      <c r="I1279" s="2"/>
      <c r="J1279" s="2"/>
      <c r="K1279" s="12"/>
      <c r="L1279" s="2"/>
      <c r="M1279" s="2"/>
      <c r="N1279" s="67"/>
    </row>
    <row r="1280" spans="1:14" x14ac:dyDescent="0.35">
      <c r="A1280" s="61">
        <v>1276</v>
      </c>
      <c r="B1280" s="2"/>
      <c r="C1280" s="2"/>
      <c r="D1280" s="2"/>
      <c r="E1280" s="10"/>
      <c r="F1280" s="11"/>
      <c r="G1280" s="2"/>
      <c r="H1280" s="2"/>
      <c r="I1280" s="2"/>
      <c r="J1280" s="2"/>
      <c r="K1280" s="12"/>
      <c r="L1280" s="2"/>
      <c r="M1280" s="2"/>
      <c r="N1280" s="67"/>
    </row>
    <row r="1281" spans="1:14" x14ac:dyDescent="0.35">
      <c r="A1281" s="61">
        <v>1277</v>
      </c>
      <c r="B1281" s="2"/>
      <c r="C1281" s="2"/>
      <c r="D1281" s="2"/>
      <c r="E1281" s="10"/>
      <c r="F1281" s="11"/>
      <c r="G1281" s="2"/>
      <c r="H1281" s="2"/>
      <c r="I1281" s="2"/>
      <c r="J1281" s="2"/>
      <c r="K1281" s="12"/>
      <c r="L1281" s="2"/>
      <c r="M1281" s="2"/>
      <c r="N1281" s="67"/>
    </row>
    <row r="1282" spans="1:14" x14ac:dyDescent="0.35">
      <c r="A1282" s="61">
        <v>1278</v>
      </c>
      <c r="B1282" s="2"/>
      <c r="C1282" s="2"/>
      <c r="D1282" s="2"/>
      <c r="E1282" s="10"/>
      <c r="F1282" s="11"/>
      <c r="G1282" s="2"/>
      <c r="H1282" s="2"/>
      <c r="I1282" s="2"/>
      <c r="J1282" s="2"/>
      <c r="K1282" s="12"/>
      <c r="L1282" s="2"/>
      <c r="M1282" s="2"/>
      <c r="N1282" s="67"/>
    </row>
    <row r="1283" spans="1:14" x14ac:dyDescent="0.35">
      <c r="A1283" s="61">
        <v>1279</v>
      </c>
      <c r="B1283" s="2"/>
      <c r="C1283" s="2"/>
      <c r="D1283" s="2"/>
      <c r="E1283" s="10"/>
      <c r="F1283" s="11"/>
      <c r="G1283" s="2"/>
      <c r="H1283" s="2"/>
      <c r="I1283" s="2"/>
      <c r="J1283" s="2"/>
      <c r="K1283" s="12"/>
      <c r="L1283" s="2"/>
      <c r="M1283" s="2"/>
      <c r="N1283" s="67"/>
    </row>
    <row r="1284" spans="1:14" x14ac:dyDescent="0.35">
      <c r="A1284" s="61">
        <v>1280</v>
      </c>
      <c r="B1284" s="2"/>
      <c r="C1284" s="2"/>
      <c r="D1284" s="2"/>
      <c r="E1284" s="10"/>
      <c r="F1284" s="11"/>
      <c r="G1284" s="2"/>
      <c r="H1284" s="2"/>
      <c r="I1284" s="2"/>
      <c r="J1284" s="2"/>
      <c r="K1284" s="12"/>
      <c r="L1284" s="2"/>
      <c r="M1284" s="2"/>
      <c r="N1284" s="67"/>
    </row>
    <row r="1285" spans="1:14" x14ac:dyDescent="0.35">
      <c r="A1285" s="61">
        <v>1281</v>
      </c>
      <c r="B1285" s="2"/>
      <c r="C1285" s="2"/>
      <c r="D1285" s="2"/>
      <c r="E1285" s="10"/>
      <c r="F1285" s="11"/>
      <c r="G1285" s="2"/>
      <c r="H1285" s="2"/>
      <c r="I1285" s="2"/>
      <c r="J1285" s="2"/>
      <c r="K1285" s="12"/>
      <c r="L1285" s="2"/>
      <c r="M1285" s="2"/>
      <c r="N1285" s="67"/>
    </row>
    <row r="1286" spans="1:14" x14ac:dyDescent="0.35">
      <c r="A1286" s="61">
        <v>1282</v>
      </c>
      <c r="B1286" s="2"/>
      <c r="C1286" s="2"/>
      <c r="D1286" s="2"/>
      <c r="E1286" s="10"/>
      <c r="F1286" s="11"/>
      <c r="G1286" s="2"/>
      <c r="H1286" s="2"/>
      <c r="I1286" s="2"/>
      <c r="J1286" s="2"/>
      <c r="K1286" s="12"/>
      <c r="L1286" s="2"/>
      <c r="M1286" s="2"/>
      <c r="N1286" s="67"/>
    </row>
    <row r="1287" spans="1:14" x14ac:dyDescent="0.35">
      <c r="A1287" s="61">
        <v>1283</v>
      </c>
      <c r="B1287" s="2"/>
      <c r="C1287" s="2"/>
      <c r="D1287" s="2"/>
      <c r="E1287" s="10"/>
      <c r="F1287" s="11"/>
      <c r="G1287" s="2"/>
      <c r="H1287" s="2"/>
      <c r="I1287" s="2"/>
      <c r="J1287" s="2"/>
      <c r="K1287" s="12"/>
      <c r="L1287" s="2"/>
      <c r="M1287" s="2"/>
      <c r="N1287" s="67"/>
    </row>
    <row r="1288" spans="1:14" x14ac:dyDescent="0.35">
      <c r="A1288" s="61">
        <v>1284</v>
      </c>
      <c r="B1288" s="2"/>
      <c r="C1288" s="2"/>
      <c r="D1288" s="2"/>
      <c r="E1288" s="10"/>
      <c r="F1288" s="11"/>
      <c r="G1288" s="2"/>
      <c r="H1288" s="2"/>
      <c r="I1288" s="2"/>
      <c r="J1288" s="2"/>
      <c r="K1288" s="12"/>
      <c r="L1288" s="2"/>
      <c r="M1288" s="2"/>
      <c r="N1288" s="67"/>
    </row>
    <row r="1289" spans="1:14" x14ac:dyDescent="0.35">
      <c r="A1289" s="61">
        <v>1285</v>
      </c>
      <c r="B1289" s="2"/>
      <c r="C1289" s="2"/>
      <c r="D1289" s="2"/>
      <c r="E1289" s="10"/>
      <c r="F1289" s="11"/>
      <c r="G1289" s="2"/>
      <c r="H1289" s="2"/>
      <c r="I1289" s="2"/>
      <c r="J1289" s="2"/>
      <c r="K1289" s="12"/>
      <c r="L1289" s="2"/>
      <c r="M1289" s="2"/>
      <c r="N1289" s="67"/>
    </row>
    <row r="1290" spans="1:14" x14ac:dyDescent="0.35">
      <c r="A1290" s="61">
        <v>1286</v>
      </c>
      <c r="B1290" s="2"/>
      <c r="C1290" s="2"/>
      <c r="D1290" s="2"/>
      <c r="E1290" s="10"/>
      <c r="F1290" s="11"/>
      <c r="G1290" s="2"/>
      <c r="H1290" s="2"/>
      <c r="I1290" s="2"/>
      <c r="J1290" s="2"/>
      <c r="K1290" s="12"/>
      <c r="L1290" s="2"/>
      <c r="M1290" s="2"/>
      <c r="N1290" s="67"/>
    </row>
    <row r="1291" spans="1:14" x14ac:dyDescent="0.35">
      <c r="A1291" s="61">
        <v>1287</v>
      </c>
      <c r="B1291" s="2"/>
      <c r="C1291" s="2"/>
      <c r="D1291" s="2"/>
      <c r="E1291" s="10"/>
      <c r="F1291" s="11"/>
      <c r="G1291" s="2"/>
      <c r="H1291" s="2"/>
      <c r="I1291" s="2"/>
      <c r="J1291" s="2"/>
      <c r="K1291" s="12"/>
      <c r="L1291" s="2"/>
      <c r="M1291" s="2"/>
      <c r="N1291" s="67"/>
    </row>
    <row r="1292" spans="1:14" x14ac:dyDescent="0.35">
      <c r="A1292" s="61">
        <v>1288</v>
      </c>
      <c r="B1292" s="2"/>
      <c r="C1292" s="2"/>
      <c r="D1292" s="2"/>
      <c r="E1292" s="10"/>
      <c r="F1292" s="11"/>
      <c r="G1292" s="2"/>
      <c r="H1292" s="2"/>
      <c r="I1292" s="2"/>
      <c r="J1292" s="2"/>
      <c r="K1292" s="12"/>
      <c r="L1292" s="2"/>
      <c r="M1292" s="2"/>
      <c r="N1292" s="67"/>
    </row>
    <row r="1293" spans="1:14" x14ac:dyDescent="0.35">
      <c r="A1293" s="61">
        <v>1289</v>
      </c>
      <c r="B1293" s="2"/>
      <c r="C1293" s="2"/>
      <c r="D1293" s="2"/>
      <c r="E1293" s="10"/>
      <c r="F1293" s="11"/>
      <c r="G1293" s="2"/>
      <c r="H1293" s="2"/>
      <c r="I1293" s="2"/>
      <c r="J1293" s="2"/>
      <c r="K1293" s="12"/>
      <c r="L1293" s="2"/>
      <c r="M1293" s="2"/>
      <c r="N1293" s="67"/>
    </row>
    <row r="1294" spans="1:14" x14ac:dyDescent="0.35">
      <c r="A1294" s="61">
        <v>1290</v>
      </c>
      <c r="B1294" s="2"/>
      <c r="C1294" s="2"/>
      <c r="D1294" s="2"/>
      <c r="E1294" s="10"/>
      <c r="F1294" s="11"/>
      <c r="G1294" s="2"/>
      <c r="H1294" s="2"/>
      <c r="I1294" s="2"/>
      <c r="J1294" s="2"/>
      <c r="K1294" s="12"/>
      <c r="L1294" s="2"/>
      <c r="M1294" s="2"/>
      <c r="N1294" s="67"/>
    </row>
    <row r="1295" spans="1:14" x14ac:dyDescent="0.35">
      <c r="A1295" s="61">
        <v>1291</v>
      </c>
      <c r="B1295" s="2"/>
      <c r="C1295" s="2"/>
      <c r="D1295" s="2"/>
      <c r="E1295" s="10"/>
      <c r="F1295" s="11"/>
      <c r="G1295" s="2"/>
      <c r="H1295" s="2"/>
      <c r="I1295" s="2"/>
      <c r="J1295" s="2"/>
      <c r="K1295" s="12"/>
      <c r="L1295" s="2"/>
      <c r="M1295" s="2"/>
      <c r="N1295" s="67"/>
    </row>
    <row r="1296" spans="1:14" x14ac:dyDescent="0.35">
      <c r="A1296" s="61">
        <v>1292</v>
      </c>
      <c r="B1296" s="2"/>
      <c r="C1296" s="2"/>
      <c r="D1296" s="2"/>
      <c r="E1296" s="10"/>
      <c r="F1296" s="11"/>
      <c r="G1296" s="2"/>
      <c r="H1296" s="2"/>
      <c r="I1296" s="2"/>
      <c r="J1296" s="2"/>
      <c r="K1296" s="12"/>
      <c r="L1296" s="2"/>
      <c r="M1296" s="2"/>
      <c r="N1296" s="67"/>
    </row>
    <row r="1297" spans="1:14" x14ac:dyDescent="0.35">
      <c r="A1297" s="61">
        <v>1293</v>
      </c>
      <c r="B1297" s="2"/>
      <c r="C1297" s="2"/>
      <c r="D1297" s="2"/>
      <c r="E1297" s="10"/>
      <c r="F1297" s="11"/>
      <c r="G1297" s="2"/>
      <c r="H1297" s="2"/>
      <c r="I1297" s="2"/>
      <c r="J1297" s="2"/>
      <c r="K1297" s="12"/>
      <c r="L1297" s="2"/>
      <c r="M1297" s="2"/>
      <c r="N1297" s="67"/>
    </row>
    <row r="1298" spans="1:14" x14ac:dyDescent="0.35">
      <c r="A1298" s="61">
        <v>1294</v>
      </c>
      <c r="B1298" s="2"/>
      <c r="C1298" s="2"/>
      <c r="D1298" s="2"/>
      <c r="E1298" s="10"/>
      <c r="F1298" s="11"/>
      <c r="G1298" s="2"/>
      <c r="H1298" s="2"/>
      <c r="I1298" s="2"/>
      <c r="J1298" s="2"/>
      <c r="K1298" s="12"/>
      <c r="L1298" s="2"/>
      <c r="M1298" s="2"/>
      <c r="N1298" s="67"/>
    </row>
    <row r="1299" spans="1:14" x14ac:dyDescent="0.35">
      <c r="A1299" s="61">
        <v>1295</v>
      </c>
      <c r="B1299" s="2"/>
      <c r="C1299" s="2"/>
      <c r="D1299" s="2"/>
      <c r="E1299" s="10"/>
      <c r="F1299" s="11"/>
      <c r="G1299" s="2"/>
      <c r="H1299" s="2"/>
      <c r="I1299" s="2"/>
      <c r="J1299" s="2"/>
      <c r="K1299" s="12"/>
      <c r="L1299" s="2"/>
      <c r="M1299" s="2"/>
      <c r="N1299" s="67"/>
    </row>
    <row r="1300" spans="1:14" x14ac:dyDescent="0.35">
      <c r="A1300" s="61">
        <v>1296</v>
      </c>
      <c r="B1300" s="2"/>
      <c r="C1300" s="2"/>
      <c r="D1300" s="2"/>
      <c r="E1300" s="10"/>
      <c r="F1300" s="11"/>
      <c r="G1300" s="2"/>
      <c r="H1300" s="2"/>
      <c r="I1300" s="2"/>
      <c r="J1300" s="2"/>
      <c r="K1300" s="12"/>
      <c r="L1300" s="2"/>
      <c r="M1300" s="2"/>
      <c r="N1300" s="67"/>
    </row>
    <row r="1301" spans="1:14" x14ac:dyDescent="0.35">
      <c r="A1301" s="61">
        <v>1297</v>
      </c>
      <c r="B1301" s="2"/>
      <c r="C1301" s="2"/>
      <c r="D1301" s="2"/>
      <c r="E1301" s="10"/>
      <c r="F1301" s="11"/>
      <c r="G1301" s="2"/>
      <c r="H1301" s="2"/>
      <c r="I1301" s="2"/>
      <c r="J1301" s="2"/>
      <c r="K1301" s="12"/>
      <c r="L1301" s="2"/>
      <c r="M1301" s="2"/>
      <c r="N1301" s="67"/>
    </row>
    <row r="1302" spans="1:14" x14ac:dyDescent="0.35">
      <c r="A1302" s="61">
        <v>1298</v>
      </c>
      <c r="B1302" s="2"/>
      <c r="C1302" s="2"/>
      <c r="D1302" s="2"/>
      <c r="E1302" s="10"/>
      <c r="F1302" s="11"/>
      <c r="G1302" s="2"/>
      <c r="H1302" s="2"/>
      <c r="I1302" s="2"/>
      <c r="J1302" s="2"/>
      <c r="K1302" s="12"/>
      <c r="L1302" s="2"/>
      <c r="M1302" s="2"/>
      <c r="N1302" s="67"/>
    </row>
    <row r="1303" spans="1:14" x14ac:dyDescent="0.35">
      <c r="A1303" s="61">
        <v>1299</v>
      </c>
      <c r="B1303" s="2"/>
      <c r="C1303" s="2"/>
      <c r="D1303" s="2"/>
      <c r="E1303" s="10"/>
      <c r="F1303" s="11"/>
      <c r="G1303" s="2"/>
      <c r="H1303" s="2"/>
      <c r="I1303" s="2"/>
      <c r="J1303" s="2"/>
      <c r="K1303" s="12"/>
      <c r="L1303" s="2"/>
      <c r="M1303" s="2"/>
      <c r="N1303" s="67"/>
    </row>
    <row r="1304" spans="1:14" x14ac:dyDescent="0.35">
      <c r="A1304" s="61">
        <v>1300</v>
      </c>
      <c r="B1304" s="2"/>
      <c r="C1304" s="2"/>
      <c r="D1304" s="2"/>
      <c r="E1304" s="10"/>
      <c r="F1304" s="11"/>
      <c r="G1304" s="2"/>
      <c r="H1304" s="2"/>
      <c r="I1304" s="2"/>
      <c r="J1304" s="2"/>
      <c r="K1304" s="12"/>
      <c r="L1304" s="2"/>
      <c r="M1304" s="2"/>
      <c r="N1304" s="67"/>
    </row>
    <row r="1305" spans="1:14" x14ac:dyDescent="0.35">
      <c r="A1305" s="61">
        <v>1301</v>
      </c>
      <c r="B1305" s="2"/>
      <c r="C1305" s="2"/>
      <c r="D1305" s="2"/>
      <c r="E1305" s="10"/>
      <c r="F1305" s="11"/>
      <c r="G1305" s="2"/>
      <c r="H1305" s="2"/>
      <c r="I1305" s="2"/>
      <c r="J1305" s="2"/>
      <c r="K1305" s="12"/>
      <c r="L1305" s="2"/>
      <c r="M1305" s="2"/>
      <c r="N1305" s="67"/>
    </row>
    <row r="1306" spans="1:14" x14ac:dyDescent="0.35">
      <c r="A1306" s="61">
        <v>1302</v>
      </c>
      <c r="B1306" s="2"/>
      <c r="C1306" s="2"/>
      <c r="D1306" s="2"/>
      <c r="E1306" s="10"/>
      <c r="F1306" s="11"/>
      <c r="G1306" s="2"/>
      <c r="H1306" s="2"/>
      <c r="I1306" s="2"/>
      <c r="J1306" s="2"/>
      <c r="K1306" s="12"/>
      <c r="L1306" s="2"/>
      <c r="M1306" s="2"/>
      <c r="N1306" s="67"/>
    </row>
    <row r="1307" spans="1:14" x14ac:dyDescent="0.35">
      <c r="A1307" s="61">
        <v>1303</v>
      </c>
      <c r="B1307" s="2"/>
      <c r="C1307" s="2"/>
      <c r="D1307" s="2"/>
      <c r="E1307" s="10"/>
      <c r="F1307" s="11"/>
      <c r="G1307" s="2"/>
      <c r="H1307" s="2"/>
      <c r="I1307" s="2"/>
      <c r="J1307" s="2"/>
      <c r="K1307" s="12"/>
      <c r="L1307" s="2"/>
      <c r="M1307" s="2"/>
      <c r="N1307" s="67"/>
    </row>
    <row r="1308" spans="1:14" x14ac:dyDescent="0.35">
      <c r="A1308" s="61">
        <v>1304</v>
      </c>
      <c r="B1308" s="2"/>
      <c r="C1308" s="2"/>
      <c r="D1308" s="2"/>
      <c r="E1308" s="10"/>
      <c r="F1308" s="11"/>
      <c r="G1308" s="2"/>
      <c r="H1308" s="2"/>
      <c r="I1308" s="2"/>
      <c r="J1308" s="2"/>
      <c r="K1308" s="12"/>
      <c r="L1308" s="2"/>
      <c r="M1308" s="2"/>
      <c r="N1308" s="67"/>
    </row>
    <row r="1309" spans="1:14" x14ac:dyDescent="0.35">
      <c r="A1309" s="61">
        <v>1305</v>
      </c>
      <c r="B1309" s="2"/>
      <c r="C1309" s="2"/>
      <c r="D1309" s="2"/>
      <c r="E1309" s="10"/>
      <c r="F1309" s="11"/>
      <c r="G1309" s="2"/>
      <c r="H1309" s="2"/>
      <c r="I1309" s="2"/>
      <c r="J1309" s="2"/>
      <c r="K1309" s="12"/>
      <c r="L1309" s="2"/>
      <c r="M1309" s="2"/>
      <c r="N1309" s="67"/>
    </row>
    <row r="1310" spans="1:14" x14ac:dyDescent="0.35">
      <c r="A1310" s="61">
        <v>1306</v>
      </c>
      <c r="B1310" s="2"/>
      <c r="C1310" s="2"/>
      <c r="D1310" s="2"/>
      <c r="E1310" s="10"/>
      <c r="F1310" s="11"/>
      <c r="G1310" s="2"/>
      <c r="H1310" s="2"/>
      <c r="I1310" s="2"/>
      <c r="J1310" s="2"/>
      <c r="K1310" s="12"/>
      <c r="L1310" s="2"/>
      <c r="M1310" s="2"/>
      <c r="N1310" s="67"/>
    </row>
    <row r="1311" spans="1:14" x14ac:dyDescent="0.35">
      <c r="A1311" s="61">
        <v>1307</v>
      </c>
      <c r="B1311" s="2"/>
      <c r="C1311" s="2"/>
      <c r="D1311" s="2"/>
      <c r="E1311" s="10"/>
      <c r="F1311" s="11"/>
      <c r="G1311" s="2"/>
      <c r="H1311" s="2"/>
      <c r="I1311" s="2"/>
      <c r="J1311" s="2"/>
      <c r="K1311" s="12"/>
      <c r="L1311" s="2"/>
      <c r="M1311" s="2"/>
      <c r="N1311" s="67"/>
    </row>
    <row r="1312" spans="1:14" x14ac:dyDescent="0.35">
      <c r="A1312" s="61">
        <v>1308</v>
      </c>
      <c r="B1312" s="2"/>
      <c r="C1312" s="2"/>
      <c r="D1312" s="2"/>
      <c r="E1312" s="10"/>
      <c r="F1312" s="11"/>
      <c r="G1312" s="2"/>
      <c r="H1312" s="2"/>
      <c r="I1312" s="2"/>
      <c r="J1312" s="2"/>
      <c r="K1312" s="12"/>
      <c r="L1312" s="2"/>
      <c r="M1312" s="2"/>
      <c r="N1312" s="67"/>
    </row>
    <row r="1313" spans="1:14" x14ac:dyDescent="0.35">
      <c r="A1313" s="61">
        <v>1309</v>
      </c>
      <c r="B1313" s="2"/>
      <c r="C1313" s="2"/>
      <c r="D1313" s="2"/>
      <c r="E1313" s="10"/>
      <c r="F1313" s="11"/>
      <c r="G1313" s="2"/>
      <c r="H1313" s="2"/>
      <c r="I1313" s="2"/>
      <c r="J1313" s="2"/>
      <c r="K1313" s="12"/>
      <c r="L1313" s="2"/>
      <c r="M1313" s="2"/>
      <c r="N1313" s="67"/>
    </row>
    <row r="1314" spans="1:14" x14ac:dyDescent="0.35">
      <c r="A1314" s="61">
        <v>1310</v>
      </c>
      <c r="B1314" s="2"/>
      <c r="C1314" s="2"/>
      <c r="D1314" s="2"/>
      <c r="E1314" s="10"/>
      <c r="F1314" s="11"/>
      <c r="G1314" s="2"/>
      <c r="H1314" s="2"/>
      <c r="I1314" s="2"/>
      <c r="J1314" s="2"/>
      <c r="K1314" s="12"/>
      <c r="L1314" s="2"/>
      <c r="M1314" s="2"/>
      <c r="N1314" s="67"/>
    </row>
    <row r="1315" spans="1:14" x14ac:dyDescent="0.35">
      <c r="A1315" s="61">
        <v>1311</v>
      </c>
      <c r="B1315" s="2"/>
      <c r="C1315" s="2"/>
      <c r="D1315" s="2"/>
      <c r="E1315" s="10"/>
      <c r="F1315" s="11"/>
      <c r="G1315" s="2"/>
      <c r="H1315" s="2"/>
      <c r="I1315" s="2"/>
      <c r="J1315" s="2"/>
      <c r="K1315" s="12"/>
      <c r="L1315" s="2"/>
      <c r="M1315" s="2"/>
      <c r="N1315" s="67"/>
    </row>
    <row r="1316" spans="1:14" x14ac:dyDescent="0.35">
      <c r="A1316" s="61">
        <v>1312</v>
      </c>
      <c r="B1316" s="2"/>
      <c r="C1316" s="2"/>
      <c r="D1316" s="2"/>
      <c r="E1316" s="10"/>
      <c r="F1316" s="11"/>
      <c r="G1316" s="2"/>
      <c r="H1316" s="2"/>
      <c r="I1316" s="2"/>
      <c r="J1316" s="2"/>
      <c r="K1316" s="12"/>
      <c r="L1316" s="2"/>
      <c r="M1316" s="2"/>
      <c r="N1316" s="67"/>
    </row>
    <row r="1317" spans="1:14" x14ac:dyDescent="0.35">
      <c r="A1317" s="61">
        <v>1313</v>
      </c>
      <c r="B1317" s="2"/>
      <c r="C1317" s="2"/>
      <c r="D1317" s="2"/>
      <c r="E1317" s="10"/>
      <c r="F1317" s="11"/>
      <c r="G1317" s="2"/>
      <c r="H1317" s="2"/>
      <c r="I1317" s="2"/>
      <c r="J1317" s="2"/>
      <c r="K1317" s="12"/>
      <c r="L1317" s="2"/>
      <c r="M1317" s="2"/>
      <c r="N1317" s="67"/>
    </row>
    <row r="1318" spans="1:14" x14ac:dyDescent="0.35">
      <c r="A1318" s="61">
        <v>1314</v>
      </c>
      <c r="B1318" s="2"/>
      <c r="C1318" s="2"/>
      <c r="D1318" s="2"/>
      <c r="E1318" s="10"/>
      <c r="F1318" s="11"/>
      <c r="G1318" s="2"/>
      <c r="H1318" s="2"/>
      <c r="I1318" s="2"/>
      <c r="J1318" s="2"/>
      <c r="K1318" s="12"/>
      <c r="L1318" s="2"/>
      <c r="M1318" s="2"/>
      <c r="N1318" s="67"/>
    </row>
    <row r="1319" spans="1:14" x14ac:dyDescent="0.35">
      <c r="A1319" s="61">
        <v>1315</v>
      </c>
      <c r="B1319" s="2"/>
      <c r="C1319" s="2"/>
      <c r="D1319" s="2"/>
      <c r="E1319" s="10"/>
      <c r="F1319" s="11"/>
      <c r="G1319" s="2"/>
      <c r="H1319" s="2"/>
      <c r="I1319" s="2"/>
      <c r="J1319" s="2"/>
      <c r="K1319" s="12"/>
      <c r="L1319" s="2"/>
      <c r="M1319" s="2"/>
      <c r="N1319" s="67"/>
    </row>
    <row r="1320" spans="1:14" x14ac:dyDescent="0.35">
      <c r="A1320" s="61">
        <v>1316</v>
      </c>
      <c r="B1320" s="2"/>
      <c r="C1320" s="2"/>
      <c r="D1320" s="2"/>
      <c r="E1320" s="10"/>
      <c r="F1320" s="11"/>
      <c r="G1320" s="2"/>
      <c r="H1320" s="2"/>
      <c r="I1320" s="2"/>
      <c r="J1320" s="2"/>
      <c r="K1320" s="12"/>
      <c r="L1320" s="2"/>
      <c r="M1320" s="2"/>
      <c r="N1320" s="67"/>
    </row>
    <row r="1321" spans="1:14" x14ac:dyDescent="0.35">
      <c r="A1321" s="61">
        <v>1317</v>
      </c>
      <c r="B1321" s="2"/>
      <c r="C1321" s="2"/>
      <c r="D1321" s="2"/>
      <c r="E1321" s="10"/>
      <c r="F1321" s="11"/>
      <c r="G1321" s="2"/>
      <c r="H1321" s="2"/>
      <c r="I1321" s="2"/>
      <c r="J1321" s="2"/>
      <c r="K1321" s="12"/>
      <c r="L1321" s="2"/>
      <c r="M1321" s="2"/>
      <c r="N1321" s="67"/>
    </row>
    <row r="1322" spans="1:14" x14ac:dyDescent="0.35">
      <c r="A1322" s="61">
        <v>1318</v>
      </c>
      <c r="B1322" s="2"/>
      <c r="C1322" s="2"/>
      <c r="D1322" s="2"/>
      <c r="E1322" s="10"/>
      <c r="F1322" s="11"/>
      <c r="G1322" s="2"/>
      <c r="H1322" s="2"/>
      <c r="I1322" s="2"/>
      <c r="J1322" s="2"/>
      <c r="K1322" s="12"/>
      <c r="L1322" s="2"/>
      <c r="M1322" s="2"/>
      <c r="N1322" s="67"/>
    </row>
    <row r="1323" spans="1:14" x14ac:dyDescent="0.35">
      <c r="A1323" s="61">
        <v>1319</v>
      </c>
      <c r="B1323" s="2"/>
      <c r="C1323" s="2"/>
      <c r="D1323" s="2"/>
      <c r="E1323" s="10"/>
      <c r="F1323" s="11"/>
      <c r="G1323" s="2"/>
      <c r="H1323" s="2"/>
      <c r="I1323" s="2"/>
      <c r="J1323" s="2"/>
      <c r="K1323" s="12"/>
      <c r="L1323" s="2"/>
      <c r="M1323" s="2"/>
      <c r="N1323" s="67"/>
    </row>
    <row r="1324" spans="1:14" x14ac:dyDescent="0.35">
      <c r="A1324" s="61">
        <v>1320</v>
      </c>
      <c r="B1324" s="2"/>
      <c r="C1324" s="2"/>
      <c r="D1324" s="2"/>
      <c r="E1324" s="10"/>
      <c r="F1324" s="11"/>
      <c r="G1324" s="2"/>
      <c r="H1324" s="2"/>
      <c r="I1324" s="2"/>
      <c r="J1324" s="2"/>
      <c r="K1324" s="12"/>
      <c r="L1324" s="2"/>
      <c r="M1324" s="2"/>
      <c r="N1324" s="67"/>
    </row>
    <row r="1325" spans="1:14" x14ac:dyDescent="0.35">
      <c r="A1325" s="61">
        <v>1321</v>
      </c>
      <c r="B1325" s="2"/>
      <c r="C1325" s="2"/>
      <c r="D1325" s="2"/>
      <c r="E1325" s="10"/>
      <c r="F1325" s="11"/>
      <c r="G1325" s="2"/>
      <c r="H1325" s="2"/>
      <c r="I1325" s="2"/>
      <c r="J1325" s="2"/>
      <c r="K1325" s="12"/>
      <c r="L1325" s="2"/>
      <c r="M1325" s="2"/>
      <c r="N1325" s="67"/>
    </row>
    <row r="1326" spans="1:14" x14ac:dyDescent="0.35">
      <c r="A1326" s="61">
        <v>1322</v>
      </c>
      <c r="B1326" s="2"/>
      <c r="C1326" s="2"/>
      <c r="D1326" s="2"/>
      <c r="E1326" s="10"/>
      <c r="F1326" s="11"/>
      <c r="G1326" s="2"/>
      <c r="H1326" s="2"/>
      <c r="I1326" s="2"/>
      <c r="J1326" s="2"/>
      <c r="K1326" s="12"/>
      <c r="L1326" s="2"/>
      <c r="M1326" s="2"/>
      <c r="N1326" s="67"/>
    </row>
    <row r="1327" spans="1:14" x14ac:dyDescent="0.35">
      <c r="A1327" s="61">
        <v>1323</v>
      </c>
      <c r="B1327" s="2"/>
      <c r="C1327" s="2"/>
      <c r="D1327" s="2"/>
      <c r="E1327" s="10"/>
      <c r="F1327" s="11"/>
      <c r="G1327" s="2"/>
      <c r="H1327" s="2"/>
      <c r="I1327" s="2"/>
      <c r="J1327" s="2"/>
      <c r="K1327" s="12"/>
      <c r="L1327" s="2"/>
      <c r="M1327" s="2"/>
      <c r="N1327" s="67"/>
    </row>
    <row r="1328" spans="1:14" x14ac:dyDescent="0.35">
      <c r="A1328" s="61">
        <v>1324</v>
      </c>
      <c r="B1328" s="2"/>
      <c r="C1328" s="2"/>
      <c r="D1328" s="2"/>
      <c r="E1328" s="10"/>
      <c r="F1328" s="11"/>
      <c r="G1328" s="2"/>
      <c r="H1328" s="2"/>
      <c r="I1328" s="2"/>
      <c r="J1328" s="2"/>
      <c r="K1328" s="12"/>
      <c r="L1328" s="2"/>
      <c r="M1328" s="2"/>
      <c r="N1328" s="67"/>
    </row>
    <row r="1329" spans="1:14" x14ac:dyDescent="0.35">
      <c r="A1329" s="61">
        <v>1325</v>
      </c>
      <c r="B1329" s="2"/>
      <c r="C1329" s="2"/>
      <c r="D1329" s="2"/>
      <c r="E1329" s="10"/>
      <c r="F1329" s="11"/>
      <c r="G1329" s="2"/>
      <c r="H1329" s="2"/>
      <c r="I1329" s="2"/>
      <c r="J1329" s="2"/>
      <c r="K1329" s="12"/>
      <c r="L1329" s="2"/>
      <c r="M1329" s="2"/>
      <c r="N1329" s="67"/>
    </row>
    <row r="1330" spans="1:14" x14ac:dyDescent="0.35">
      <c r="A1330" s="61">
        <v>1326</v>
      </c>
      <c r="B1330" s="2"/>
      <c r="C1330" s="2"/>
      <c r="D1330" s="2"/>
      <c r="E1330" s="10"/>
      <c r="F1330" s="11"/>
      <c r="G1330" s="2"/>
      <c r="H1330" s="2"/>
      <c r="I1330" s="2"/>
      <c r="J1330" s="2"/>
      <c r="K1330" s="12"/>
      <c r="L1330" s="2"/>
      <c r="M1330" s="2"/>
      <c r="N1330" s="67"/>
    </row>
    <row r="1331" spans="1:14" x14ac:dyDescent="0.35">
      <c r="A1331" s="61">
        <v>1327</v>
      </c>
      <c r="B1331" s="2"/>
      <c r="C1331" s="2"/>
      <c r="D1331" s="2"/>
      <c r="E1331" s="10"/>
      <c r="F1331" s="11"/>
      <c r="G1331" s="2"/>
      <c r="H1331" s="2"/>
      <c r="I1331" s="2"/>
      <c r="J1331" s="2"/>
      <c r="K1331" s="12"/>
      <c r="L1331" s="2"/>
      <c r="M1331" s="2"/>
      <c r="N1331" s="67"/>
    </row>
    <row r="1332" spans="1:14" x14ac:dyDescent="0.35">
      <c r="A1332" s="61">
        <v>1328</v>
      </c>
      <c r="B1332" s="2"/>
      <c r="C1332" s="2"/>
      <c r="D1332" s="2"/>
      <c r="E1332" s="10"/>
      <c r="F1332" s="11"/>
      <c r="G1332" s="2"/>
      <c r="H1332" s="2"/>
      <c r="I1332" s="2"/>
      <c r="J1332" s="2"/>
      <c r="K1332" s="12"/>
      <c r="L1332" s="2"/>
      <c r="M1332" s="2"/>
      <c r="N1332" s="67"/>
    </row>
    <row r="1333" spans="1:14" x14ac:dyDescent="0.35">
      <c r="A1333" s="61">
        <v>1329</v>
      </c>
      <c r="B1333" s="2"/>
      <c r="C1333" s="2"/>
      <c r="D1333" s="2"/>
      <c r="E1333" s="10"/>
      <c r="F1333" s="11"/>
      <c r="G1333" s="2"/>
      <c r="H1333" s="2"/>
      <c r="I1333" s="2"/>
      <c r="J1333" s="2"/>
      <c r="K1333" s="12"/>
      <c r="L1333" s="2"/>
      <c r="M1333" s="2"/>
      <c r="N1333" s="67"/>
    </row>
    <row r="1334" spans="1:14" x14ac:dyDescent="0.35">
      <c r="A1334" s="61">
        <v>1330</v>
      </c>
      <c r="B1334" s="2"/>
      <c r="C1334" s="2"/>
      <c r="D1334" s="2"/>
      <c r="E1334" s="10"/>
      <c r="F1334" s="11"/>
      <c r="G1334" s="2"/>
      <c r="H1334" s="2"/>
      <c r="I1334" s="2"/>
      <c r="J1334" s="2"/>
      <c r="K1334" s="12"/>
      <c r="L1334" s="2"/>
      <c r="M1334" s="2"/>
      <c r="N1334" s="67"/>
    </row>
    <row r="1335" spans="1:14" x14ac:dyDescent="0.35">
      <c r="A1335" s="61">
        <v>1331</v>
      </c>
      <c r="B1335" s="2"/>
      <c r="C1335" s="2"/>
      <c r="D1335" s="2"/>
      <c r="E1335" s="10"/>
      <c r="F1335" s="11"/>
      <c r="G1335" s="2"/>
      <c r="H1335" s="2"/>
      <c r="I1335" s="2"/>
      <c r="J1335" s="2"/>
      <c r="K1335" s="12"/>
      <c r="L1335" s="2"/>
      <c r="M1335" s="2"/>
      <c r="N1335" s="67"/>
    </row>
    <row r="1336" spans="1:14" x14ac:dyDescent="0.35">
      <c r="A1336" s="61">
        <v>1332</v>
      </c>
      <c r="B1336" s="2"/>
      <c r="C1336" s="2"/>
      <c r="D1336" s="2"/>
      <c r="E1336" s="10"/>
      <c r="F1336" s="11"/>
      <c r="G1336" s="2"/>
      <c r="H1336" s="2"/>
      <c r="I1336" s="2"/>
      <c r="J1336" s="2"/>
      <c r="K1336" s="12"/>
      <c r="L1336" s="2"/>
      <c r="M1336" s="2"/>
      <c r="N1336" s="67"/>
    </row>
    <row r="1337" spans="1:14" x14ac:dyDescent="0.35">
      <c r="A1337" s="61">
        <v>1333</v>
      </c>
      <c r="B1337" s="2"/>
      <c r="C1337" s="2"/>
      <c r="D1337" s="2"/>
      <c r="E1337" s="10"/>
      <c r="F1337" s="11"/>
      <c r="G1337" s="2"/>
      <c r="H1337" s="2"/>
      <c r="I1337" s="2"/>
      <c r="J1337" s="2"/>
      <c r="K1337" s="12"/>
      <c r="L1337" s="2"/>
      <c r="M1337" s="2"/>
      <c r="N1337" s="67"/>
    </row>
    <row r="1338" spans="1:14" x14ac:dyDescent="0.35">
      <c r="A1338" s="61">
        <v>1334</v>
      </c>
      <c r="B1338" s="2"/>
      <c r="C1338" s="2"/>
      <c r="D1338" s="2"/>
      <c r="E1338" s="10"/>
      <c r="F1338" s="11"/>
      <c r="G1338" s="2"/>
      <c r="H1338" s="2"/>
      <c r="I1338" s="2"/>
      <c r="J1338" s="2"/>
      <c r="K1338" s="12"/>
      <c r="L1338" s="2"/>
      <c r="M1338" s="2"/>
      <c r="N1338" s="67"/>
    </row>
    <row r="1339" spans="1:14" x14ac:dyDescent="0.35">
      <c r="A1339" s="61">
        <v>1335</v>
      </c>
      <c r="B1339" s="2"/>
      <c r="C1339" s="2"/>
      <c r="D1339" s="2"/>
      <c r="E1339" s="10"/>
      <c r="F1339" s="11"/>
      <c r="G1339" s="2"/>
      <c r="H1339" s="2"/>
      <c r="I1339" s="2"/>
      <c r="J1339" s="2"/>
      <c r="K1339" s="12"/>
      <c r="L1339" s="2"/>
      <c r="M1339" s="2"/>
      <c r="N1339" s="67"/>
    </row>
    <row r="1340" spans="1:14" x14ac:dyDescent="0.35">
      <c r="A1340" s="61">
        <v>1336</v>
      </c>
      <c r="B1340" s="2"/>
      <c r="C1340" s="2"/>
      <c r="D1340" s="2"/>
      <c r="E1340" s="10"/>
      <c r="F1340" s="11"/>
      <c r="G1340" s="2"/>
      <c r="H1340" s="2"/>
      <c r="I1340" s="2"/>
      <c r="J1340" s="2"/>
      <c r="K1340" s="12"/>
      <c r="L1340" s="2"/>
      <c r="M1340" s="2"/>
      <c r="N1340" s="67"/>
    </row>
    <row r="1341" spans="1:14" x14ac:dyDescent="0.35">
      <c r="A1341" s="61">
        <v>1337</v>
      </c>
      <c r="B1341" s="2"/>
      <c r="C1341" s="2"/>
      <c r="D1341" s="2"/>
      <c r="E1341" s="10"/>
      <c r="F1341" s="11"/>
      <c r="G1341" s="2"/>
      <c r="H1341" s="2"/>
      <c r="I1341" s="2"/>
      <c r="J1341" s="2"/>
      <c r="K1341" s="12"/>
      <c r="L1341" s="2"/>
      <c r="M1341" s="2"/>
      <c r="N1341" s="67"/>
    </row>
    <row r="1342" spans="1:14" x14ac:dyDescent="0.35">
      <c r="A1342" s="61">
        <v>1338</v>
      </c>
      <c r="B1342" s="2"/>
      <c r="C1342" s="2"/>
      <c r="D1342" s="2"/>
      <c r="E1342" s="10"/>
      <c r="F1342" s="11"/>
      <c r="G1342" s="2"/>
      <c r="H1342" s="2"/>
      <c r="I1342" s="2"/>
      <c r="J1342" s="2"/>
      <c r="K1342" s="12"/>
      <c r="L1342" s="2"/>
      <c r="M1342" s="2"/>
      <c r="N1342" s="67"/>
    </row>
    <row r="1343" spans="1:14" x14ac:dyDescent="0.35">
      <c r="A1343" s="61">
        <v>1339</v>
      </c>
      <c r="B1343" s="2"/>
      <c r="C1343" s="2"/>
      <c r="D1343" s="2"/>
      <c r="E1343" s="10"/>
      <c r="F1343" s="11"/>
      <c r="G1343" s="2"/>
      <c r="H1343" s="2"/>
      <c r="I1343" s="2"/>
      <c r="J1343" s="2"/>
      <c r="K1343" s="12"/>
      <c r="L1343" s="2"/>
      <c r="M1343" s="2"/>
      <c r="N1343" s="67"/>
    </row>
    <row r="1344" spans="1:14" x14ac:dyDescent="0.35">
      <c r="A1344" s="61">
        <v>1340</v>
      </c>
      <c r="B1344" s="2"/>
      <c r="C1344" s="2"/>
      <c r="D1344" s="2"/>
      <c r="E1344" s="10"/>
      <c r="F1344" s="11"/>
      <c r="G1344" s="2"/>
      <c r="H1344" s="2"/>
      <c r="I1344" s="2"/>
      <c r="J1344" s="2"/>
      <c r="K1344" s="12"/>
      <c r="L1344" s="2"/>
      <c r="M1344" s="2"/>
      <c r="N1344" s="67"/>
    </row>
    <row r="1345" spans="1:14" x14ac:dyDescent="0.35">
      <c r="A1345" s="61">
        <v>1341</v>
      </c>
      <c r="B1345" s="2"/>
      <c r="C1345" s="2"/>
      <c r="D1345" s="2"/>
      <c r="E1345" s="10"/>
      <c r="F1345" s="11"/>
      <c r="G1345" s="2"/>
      <c r="H1345" s="2"/>
      <c r="I1345" s="2"/>
      <c r="J1345" s="2"/>
      <c r="K1345" s="12"/>
      <c r="L1345" s="2"/>
      <c r="M1345" s="2"/>
      <c r="N1345" s="67"/>
    </row>
    <row r="1346" spans="1:14" x14ac:dyDescent="0.35">
      <c r="A1346" s="61">
        <v>1342</v>
      </c>
      <c r="B1346" s="2"/>
      <c r="C1346" s="2"/>
      <c r="D1346" s="2"/>
      <c r="E1346" s="10"/>
      <c r="F1346" s="11"/>
      <c r="G1346" s="2"/>
      <c r="H1346" s="2"/>
      <c r="I1346" s="2"/>
      <c r="J1346" s="2"/>
      <c r="K1346" s="12"/>
      <c r="L1346" s="2"/>
      <c r="M1346" s="2"/>
      <c r="N1346" s="67"/>
    </row>
    <row r="1347" spans="1:14" x14ac:dyDescent="0.35">
      <c r="A1347" s="61">
        <v>1343</v>
      </c>
      <c r="B1347" s="2"/>
      <c r="C1347" s="2"/>
      <c r="D1347" s="2"/>
      <c r="E1347" s="10"/>
      <c r="F1347" s="11"/>
      <c r="G1347" s="2"/>
      <c r="H1347" s="2"/>
      <c r="I1347" s="2"/>
      <c r="J1347" s="2"/>
      <c r="K1347" s="12"/>
      <c r="L1347" s="2"/>
      <c r="M1347" s="2"/>
      <c r="N1347" s="67"/>
    </row>
    <row r="1348" spans="1:14" x14ac:dyDescent="0.35">
      <c r="A1348" s="61">
        <v>1344</v>
      </c>
      <c r="B1348" s="2"/>
      <c r="C1348" s="2"/>
      <c r="D1348" s="2"/>
      <c r="E1348" s="10"/>
      <c r="F1348" s="11"/>
      <c r="G1348" s="2"/>
      <c r="H1348" s="2"/>
      <c r="I1348" s="2"/>
      <c r="J1348" s="2"/>
      <c r="K1348" s="12"/>
      <c r="L1348" s="2"/>
      <c r="M1348" s="2"/>
      <c r="N1348" s="67"/>
    </row>
    <row r="1349" spans="1:14" x14ac:dyDescent="0.35">
      <c r="A1349" s="61">
        <v>1345</v>
      </c>
      <c r="B1349" s="2"/>
      <c r="C1349" s="2"/>
      <c r="D1349" s="2"/>
      <c r="E1349" s="10"/>
      <c r="F1349" s="11"/>
      <c r="G1349" s="2"/>
      <c r="H1349" s="2"/>
      <c r="I1349" s="2"/>
      <c r="J1349" s="2"/>
      <c r="K1349" s="12"/>
      <c r="L1349" s="2"/>
      <c r="M1349" s="2"/>
      <c r="N1349" s="67"/>
    </row>
    <row r="1350" spans="1:14" x14ac:dyDescent="0.35">
      <c r="A1350" s="61">
        <v>1346</v>
      </c>
      <c r="B1350" s="2"/>
      <c r="C1350" s="2"/>
      <c r="D1350" s="2"/>
      <c r="E1350" s="10"/>
      <c r="F1350" s="11"/>
      <c r="G1350" s="2"/>
      <c r="H1350" s="2"/>
      <c r="I1350" s="2"/>
      <c r="J1350" s="2"/>
      <c r="K1350" s="12"/>
      <c r="L1350" s="2"/>
      <c r="M1350" s="2"/>
      <c r="N1350" s="67"/>
    </row>
    <row r="1351" spans="1:14" x14ac:dyDescent="0.35">
      <c r="A1351" s="61">
        <v>1347</v>
      </c>
      <c r="B1351" s="2"/>
      <c r="C1351" s="2"/>
      <c r="D1351" s="2"/>
      <c r="E1351" s="10"/>
      <c r="F1351" s="11"/>
      <c r="G1351" s="2"/>
      <c r="H1351" s="2"/>
      <c r="I1351" s="2"/>
      <c r="J1351" s="2"/>
      <c r="K1351" s="12"/>
      <c r="L1351" s="2"/>
      <c r="M1351" s="2"/>
      <c r="N1351" s="67"/>
    </row>
    <row r="1352" spans="1:14" x14ac:dyDescent="0.35">
      <c r="A1352" s="61">
        <v>1348</v>
      </c>
      <c r="B1352" s="2"/>
      <c r="C1352" s="2"/>
      <c r="D1352" s="2"/>
      <c r="E1352" s="10"/>
      <c r="F1352" s="11"/>
      <c r="G1352" s="2"/>
      <c r="H1352" s="2"/>
      <c r="I1352" s="2"/>
      <c r="J1352" s="2"/>
      <c r="K1352" s="12"/>
      <c r="L1352" s="2"/>
      <c r="M1352" s="2"/>
      <c r="N1352" s="67"/>
    </row>
    <row r="1353" spans="1:14" x14ac:dyDescent="0.35">
      <c r="A1353" s="61">
        <v>1349</v>
      </c>
      <c r="B1353" s="2"/>
      <c r="C1353" s="2"/>
      <c r="D1353" s="2"/>
      <c r="E1353" s="10"/>
      <c r="F1353" s="11"/>
      <c r="G1353" s="2"/>
      <c r="H1353" s="2"/>
      <c r="I1353" s="2"/>
      <c r="J1353" s="2"/>
      <c r="K1353" s="12"/>
      <c r="L1353" s="2"/>
      <c r="M1353" s="2"/>
      <c r="N1353" s="67"/>
    </row>
    <row r="1354" spans="1:14" x14ac:dyDescent="0.35">
      <c r="A1354" s="61">
        <v>1350</v>
      </c>
      <c r="B1354" s="2"/>
      <c r="C1354" s="2"/>
      <c r="D1354" s="2"/>
      <c r="E1354" s="10"/>
      <c r="F1354" s="11"/>
      <c r="G1354" s="2"/>
      <c r="H1354" s="2"/>
      <c r="I1354" s="2"/>
      <c r="J1354" s="2"/>
      <c r="K1354" s="12"/>
      <c r="L1354" s="2"/>
      <c r="M1354" s="2"/>
      <c r="N1354" s="67"/>
    </row>
    <row r="1355" spans="1:14" x14ac:dyDescent="0.35">
      <c r="A1355" s="61">
        <v>1351</v>
      </c>
      <c r="B1355" s="2"/>
      <c r="C1355" s="2"/>
      <c r="D1355" s="2"/>
      <c r="E1355" s="10"/>
      <c r="F1355" s="11"/>
      <c r="G1355" s="2"/>
      <c r="H1355" s="2"/>
      <c r="I1355" s="2"/>
      <c r="J1355" s="2"/>
      <c r="K1355" s="12"/>
      <c r="L1355" s="2"/>
      <c r="M1355" s="2"/>
      <c r="N1355" s="67"/>
    </row>
    <row r="1356" spans="1:14" x14ac:dyDescent="0.35">
      <c r="A1356" s="61">
        <v>1352</v>
      </c>
      <c r="B1356" s="2"/>
      <c r="C1356" s="2"/>
      <c r="D1356" s="2"/>
      <c r="E1356" s="10"/>
      <c r="F1356" s="11"/>
      <c r="G1356" s="2"/>
      <c r="H1356" s="2"/>
      <c r="I1356" s="2"/>
      <c r="J1356" s="2"/>
      <c r="K1356" s="12"/>
      <c r="L1356" s="2"/>
      <c r="M1356" s="2"/>
      <c r="N1356" s="67"/>
    </row>
    <row r="1357" spans="1:14" x14ac:dyDescent="0.35">
      <c r="A1357" s="61">
        <v>1353</v>
      </c>
      <c r="B1357" s="2"/>
      <c r="C1357" s="2"/>
      <c r="D1357" s="2"/>
      <c r="E1357" s="10"/>
      <c r="F1357" s="11"/>
      <c r="G1357" s="2"/>
      <c r="H1357" s="2"/>
      <c r="I1357" s="2"/>
      <c r="J1357" s="2"/>
      <c r="K1357" s="12"/>
      <c r="L1357" s="2"/>
      <c r="M1357" s="2"/>
      <c r="N1357" s="67"/>
    </row>
    <row r="1358" spans="1:14" x14ac:dyDescent="0.35">
      <c r="A1358" s="61">
        <v>1354</v>
      </c>
      <c r="B1358" s="2"/>
      <c r="C1358" s="2"/>
      <c r="D1358" s="2"/>
      <c r="E1358" s="10"/>
      <c r="F1358" s="11"/>
      <c r="G1358" s="2"/>
      <c r="H1358" s="2"/>
      <c r="I1358" s="2"/>
      <c r="J1358" s="2"/>
      <c r="K1358" s="12"/>
      <c r="L1358" s="2"/>
      <c r="M1358" s="2"/>
      <c r="N1358" s="67"/>
    </row>
    <row r="1359" spans="1:14" x14ac:dyDescent="0.35">
      <c r="A1359" s="61">
        <v>1355</v>
      </c>
      <c r="B1359" s="2"/>
      <c r="C1359" s="2"/>
      <c r="D1359" s="2"/>
      <c r="E1359" s="10"/>
      <c r="F1359" s="11"/>
      <c r="G1359" s="2"/>
      <c r="H1359" s="2"/>
      <c r="I1359" s="2"/>
      <c r="J1359" s="2"/>
      <c r="K1359" s="12"/>
      <c r="L1359" s="2"/>
      <c r="M1359" s="2"/>
      <c r="N1359" s="67"/>
    </row>
    <row r="1360" spans="1:14" x14ac:dyDescent="0.35">
      <c r="A1360" s="61">
        <v>1356</v>
      </c>
      <c r="B1360" s="2"/>
      <c r="C1360" s="2"/>
      <c r="D1360" s="2"/>
      <c r="E1360" s="10"/>
      <c r="F1360" s="11"/>
      <c r="G1360" s="2"/>
      <c r="H1360" s="2"/>
      <c r="I1360" s="2"/>
      <c r="J1360" s="2"/>
      <c r="K1360" s="12"/>
      <c r="L1360" s="2"/>
      <c r="M1360" s="2"/>
      <c r="N1360" s="67"/>
    </row>
    <row r="1361" spans="1:14" x14ac:dyDescent="0.35">
      <c r="A1361" s="61">
        <v>1357</v>
      </c>
      <c r="B1361" s="2"/>
      <c r="C1361" s="2"/>
      <c r="D1361" s="2"/>
      <c r="E1361" s="10"/>
      <c r="F1361" s="11"/>
      <c r="G1361" s="2"/>
      <c r="H1361" s="2"/>
      <c r="I1361" s="2"/>
      <c r="J1361" s="2"/>
      <c r="K1361" s="12"/>
      <c r="L1361" s="2"/>
      <c r="M1361" s="2"/>
      <c r="N1361" s="67"/>
    </row>
    <row r="1362" spans="1:14" x14ac:dyDescent="0.35">
      <c r="A1362" s="61">
        <v>1358</v>
      </c>
      <c r="B1362" s="2"/>
      <c r="C1362" s="2"/>
      <c r="D1362" s="2"/>
      <c r="E1362" s="10"/>
      <c r="F1362" s="11"/>
      <c r="G1362" s="2"/>
      <c r="H1362" s="2"/>
      <c r="I1362" s="2"/>
      <c r="J1362" s="2"/>
      <c r="K1362" s="12"/>
      <c r="L1362" s="2"/>
      <c r="M1362" s="2"/>
      <c r="N1362" s="67"/>
    </row>
    <row r="1363" spans="1:14" x14ac:dyDescent="0.35">
      <c r="A1363" s="61">
        <v>1359</v>
      </c>
      <c r="B1363" s="2"/>
      <c r="C1363" s="2"/>
      <c r="D1363" s="2"/>
      <c r="E1363" s="10"/>
      <c r="F1363" s="11"/>
      <c r="G1363" s="2"/>
      <c r="H1363" s="2"/>
      <c r="I1363" s="2"/>
      <c r="J1363" s="2"/>
      <c r="K1363" s="12"/>
      <c r="L1363" s="2"/>
      <c r="M1363" s="2"/>
      <c r="N1363" s="67"/>
    </row>
    <row r="1364" spans="1:14" x14ac:dyDescent="0.35">
      <c r="A1364" s="61">
        <v>1360</v>
      </c>
      <c r="B1364" s="2"/>
      <c r="C1364" s="2"/>
      <c r="D1364" s="2"/>
      <c r="E1364" s="10"/>
      <c r="F1364" s="11"/>
      <c r="G1364" s="2"/>
      <c r="H1364" s="2"/>
      <c r="I1364" s="2"/>
      <c r="J1364" s="2"/>
      <c r="K1364" s="12"/>
      <c r="L1364" s="2"/>
      <c r="M1364" s="2"/>
      <c r="N1364" s="67"/>
    </row>
    <row r="1365" spans="1:14" x14ac:dyDescent="0.35">
      <c r="A1365" s="61">
        <v>1361</v>
      </c>
      <c r="B1365" s="2"/>
      <c r="C1365" s="2"/>
      <c r="D1365" s="2"/>
      <c r="E1365" s="10"/>
      <c r="F1365" s="11"/>
      <c r="G1365" s="2"/>
      <c r="H1365" s="2"/>
      <c r="I1365" s="2"/>
      <c r="J1365" s="2"/>
      <c r="K1365" s="12"/>
      <c r="L1365" s="2"/>
      <c r="M1365" s="2"/>
      <c r="N1365" s="67"/>
    </row>
    <row r="1366" spans="1:14" x14ac:dyDescent="0.35">
      <c r="A1366" s="61">
        <v>1362</v>
      </c>
      <c r="B1366" s="2"/>
      <c r="C1366" s="2"/>
      <c r="D1366" s="2"/>
      <c r="E1366" s="10"/>
      <c r="F1366" s="11"/>
      <c r="G1366" s="2"/>
      <c r="H1366" s="2"/>
      <c r="I1366" s="2"/>
      <c r="J1366" s="2"/>
      <c r="K1366" s="12"/>
      <c r="L1366" s="2"/>
      <c r="M1366" s="2"/>
      <c r="N1366" s="67"/>
    </row>
    <row r="1367" spans="1:14" x14ac:dyDescent="0.35">
      <c r="A1367" s="61">
        <v>1363</v>
      </c>
      <c r="B1367" s="2"/>
      <c r="C1367" s="2"/>
      <c r="D1367" s="2"/>
      <c r="E1367" s="10"/>
      <c r="F1367" s="11"/>
      <c r="G1367" s="2"/>
      <c r="H1367" s="2"/>
      <c r="I1367" s="2"/>
      <c r="J1367" s="2"/>
      <c r="K1367" s="12"/>
      <c r="L1367" s="2"/>
      <c r="M1367" s="2"/>
      <c r="N1367" s="67"/>
    </row>
    <row r="1368" spans="1:14" x14ac:dyDescent="0.35">
      <c r="A1368" s="61">
        <v>1364</v>
      </c>
      <c r="B1368" s="2"/>
      <c r="C1368" s="2"/>
      <c r="D1368" s="2"/>
      <c r="E1368" s="10"/>
      <c r="F1368" s="11"/>
      <c r="G1368" s="2"/>
      <c r="H1368" s="2"/>
      <c r="I1368" s="2"/>
      <c r="J1368" s="2"/>
      <c r="K1368" s="12"/>
      <c r="L1368" s="2"/>
      <c r="M1368" s="2"/>
      <c r="N1368" s="67"/>
    </row>
    <row r="1369" spans="1:14" x14ac:dyDescent="0.35">
      <c r="A1369" s="61">
        <v>1365</v>
      </c>
      <c r="B1369" s="2"/>
      <c r="C1369" s="2"/>
      <c r="D1369" s="2"/>
      <c r="E1369" s="10"/>
      <c r="F1369" s="11"/>
      <c r="G1369" s="2"/>
      <c r="H1369" s="2"/>
      <c r="I1369" s="2"/>
      <c r="J1369" s="2"/>
      <c r="K1369" s="12"/>
      <c r="L1369" s="2"/>
      <c r="M1369" s="2"/>
      <c r="N1369" s="67"/>
    </row>
    <row r="1370" spans="1:14" x14ac:dyDescent="0.35">
      <c r="A1370" s="61">
        <v>1366</v>
      </c>
      <c r="B1370" s="2"/>
      <c r="C1370" s="2"/>
      <c r="D1370" s="2"/>
      <c r="E1370" s="10"/>
      <c r="F1370" s="11"/>
      <c r="G1370" s="2"/>
      <c r="H1370" s="2"/>
      <c r="I1370" s="2"/>
      <c r="J1370" s="2"/>
      <c r="K1370" s="12"/>
      <c r="L1370" s="2"/>
      <c r="M1370" s="2"/>
      <c r="N1370" s="67"/>
    </row>
    <row r="1371" spans="1:14" x14ac:dyDescent="0.35">
      <c r="A1371" s="61">
        <v>1367</v>
      </c>
      <c r="B1371" s="2"/>
      <c r="C1371" s="2"/>
      <c r="D1371" s="2"/>
      <c r="E1371" s="10"/>
      <c r="F1371" s="11"/>
      <c r="G1371" s="2"/>
      <c r="H1371" s="2"/>
      <c r="I1371" s="2"/>
      <c r="J1371" s="2"/>
      <c r="K1371" s="12"/>
      <c r="L1371" s="2"/>
      <c r="M1371" s="2"/>
      <c r="N1371" s="67"/>
    </row>
    <row r="1372" spans="1:14" x14ac:dyDescent="0.35">
      <c r="A1372" s="61">
        <v>1368</v>
      </c>
      <c r="B1372" s="2"/>
      <c r="C1372" s="2"/>
      <c r="D1372" s="2"/>
      <c r="E1372" s="10"/>
      <c r="F1372" s="11"/>
      <c r="G1372" s="2"/>
      <c r="H1372" s="2"/>
      <c r="I1372" s="2"/>
      <c r="J1372" s="2"/>
      <c r="K1372" s="12"/>
      <c r="L1372" s="2"/>
      <c r="M1372" s="2"/>
      <c r="N1372" s="67"/>
    </row>
    <row r="1373" spans="1:14" x14ac:dyDescent="0.35">
      <c r="A1373" s="61">
        <v>1369</v>
      </c>
      <c r="B1373" s="2"/>
      <c r="C1373" s="2"/>
      <c r="D1373" s="2"/>
      <c r="E1373" s="10"/>
      <c r="F1373" s="11"/>
      <c r="G1373" s="2"/>
      <c r="H1373" s="2"/>
      <c r="I1373" s="2"/>
      <c r="J1373" s="2"/>
      <c r="K1373" s="12"/>
      <c r="L1373" s="2"/>
      <c r="M1373" s="2"/>
      <c r="N1373" s="67"/>
    </row>
    <row r="1374" spans="1:14" x14ac:dyDescent="0.35">
      <c r="A1374" s="61">
        <v>1370</v>
      </c>
      <c r="B1374" s="2"/>
      <c r="C1374" s="2"/>
      <c r="D1374" s="2"/>
      <c r="E1374" s="10"/>
      <c r="F1374" s="11"/>
      <c r="G1374" s="2"/>
      <c r="H1374" s="2"/>
      <c r="I1374" s="2"/>
      <c r="J1374" s="2"/>
      <c r="K1374" s="12"/>
      <c r="L1374" s="2"/>
      <c r="M1374" s="2"/>
      <c r="N1374" s="67"/>
    </row>
    <row r="1375" spans="1:14" x14ac:dyDescent="0.35">
      <c r="A1375" s="61">
        <v>1371</v>
      </c>
      <c r="B1375" s="2"/>
      <c r="C1375" s="2"/>
      <c r="D1375" s="2"/>
      <c r="E1375" s="10"/>
      <c r="F1375" s="11"/>
      <c r="G1375" s="2"/>
      <c r="H1375" s="2"/>
      <c r="I1375" s="2"/>
      <c r="J1375" s="2"/>
      <c r="K1375" s="12"/>
      <c r="L1375" s="2"/>
      <c r="M1375" s="2"/>
      <c r="N1375" s="67"/>
    </row>
    <row r="1376" spans="1:14" x14ac:dyDescent="0.35">
      <c r="A1376" s="61">
        <v>1372</v>
      </c>
      <c r="B1376" s="2"/>
      <c r="C1376" s="2"/>
      <c r="D1376" s="2"/>
      <c r="E1376" s="10"/>
      <c r="F1376" s="11"/>
      <c r="G1376" s="2"/>
      <c r="H1376" s="2"/>
      <c r="I1376" s="2"/>
      <c r="J1376" s="2"/>
      <c r="K1376" s="12"/>
      <c r="L1376" s="2"/>
      <c r="M1376" s="2"/>
      <c r="N1376" s="67"/>
    </row>
    <row r="1377" spans="1:14" x14ac:dyDescent="0.35">
      <c r="A1377" s="61">
        <v>1373</v>
      </c>
      <c r="B1377" s="2"/>
      <c r="C1377" s="2"/>
      <c r="D1377" s="2"/>
      <c r="E1377" s="10"/>
      <c r="F1377" s="11"/>
      <c r="G1377" s="2"/>
      <c r="H1377" s="2"/>
      <c r="I1377" s="2"/>
      <c r="J1377" s="2"/>
      <c r="K1377" s="12"/>
      <c r="L1377" s="2"/>
      <c r="M1377" s="2"/>
      <c r="N1377" s="67"/>
    </row>
    <row r="1378" spans="1:14" x14ac:dyDescent="0.35">
      <c r="A1378" s="61">
        <v>1374</v>
      </c>
      <c r="B1378" s="2"/>
      <c r="C1378" s="2"/>
      <c r="D1378" s="2"/>
      <c r="E1378" s="10"/>
      <c r="F1378" s="11"/>
      <c r="G1378" s="2"/>
      <c r="H1378" s="2"/>
      <c r="I1378" s="2"/>
      <c r="J1378" s="2"/>
      <c r="K1378" s="12"/>
      <c r="L1378" s="2"/>
      <c r="M1378" s="2"/>
      <c r="N1378" s="67"/>
    </row>
    <row r="1379" spans="1:14" x14ac:dyDescent="0.35">
      <c r="A1379" s="61">
        <v>1375</v>
      </c>
      <c r="B1379" s="2"/>
      <c r="C1379" s="2"/>
      <c r="D1379" s="2"/>
      <c r="E1379" s="10"/>
      <c r="F1379" s="11"/>
      <c r="G1379" s="2"/>
      <c r="H1379" s="2"/>
      <c r="I1379" s="2"/>
      <c r="J1379" s="2"/>
      <c r="K1379" s="12"/>
      <c r="L1379" s="2"/>
      <c r="M1379" s="2"/>
      <c r="N1379" s="67"/>
    </row>
    <row r="1380" spans="1:14" x14ac:dyDescent="0.35">
      <c r="A1380" s="61">
        <v>1376</v>
      </c>
      <c r="B1380" s="2"/>
      <c r="C1380" s="2"/>
      <c r="D1380" s="2"/>
      <c r="E1380" s="10"/>
      <c r="F1380" s="11"/>
      <c r="G1380" s="2"/>
      <c r="H1380" s="2"/>
      <c r="I1380" s="2"/>
      <c r="J1380" s="2"/>
      <c r="K1380" s="12"/>
      <c r="L1380" s="2"/>
      <c r="M1380" s="2"/>
      <c r="N1380" s="67"/>
    </row>
    <row r="1381" spans="1:14" x14ac:dyDescent="0.35">
      <c r="A1381" s="61">
        <v>1377</v>
      </c>
      <c r="B1381" s="2"/>
      <c r="C1381" s="2"/>
      <c r="D1381" s="2"/>
      <c r="E1381" s="10"/>
      <c r="F1381" s="11"/>
      <c r="G1381" s="2"/>
      <c r="H1381" s="2"/>
      <c r="I1381" s="2"/>
      <c r="J1381" s="2"/>
      <c r="K1381" s="12"/>
      <c r="L1381" s="2"/>
      <c r="M1381" s="2"/>
      <c r="N1381" s="67"/>
    </row>
    <row r="1382" spans="1:14" x14ac:dyDescent="0.35">
      <c r="A1382" s="61">
        <v>1378</v>
      </c>
      <c r="B1382" s="2"/>
      <c r="C1382" s="2"/>
      <c r="D1382" s="2"/>
      <c r="E1382" s="10"/>
      <c r="F1382" s="11"/>
      <c r="G1382" s="2"/>
      <c r="H1382" s="2"/>
      <c r="I1382" s="2"/>
      <c r="J1382" s="2"/>
      <c r="K1382" s="12"/>
      <c r="L1382" s="2"/>
      <c r="M1382" s="2"/>
      <c r="N1382" s="67"/>
    </row>
    <row r="1383" spans="1:14" x14ac:dyDescent="0.35">
      <c r="A1383" s="61">
        <v>1379</v>
      </c>
      <c r="B1383" s="2"/>
      <c r="C1383" s="2"/>
      <c r="D1383" s="2"/>
      <c r="E1383" s="10"/>
      <c r="F1383" s="11"/>
      <c r="G1383" s="2"/>
      <c r="H1383" s="2"/>
      <c r="I1383" s="2"/>
      <c r="J1383" s="2"/>
      <c r="K1383" s="12"/>
      <c r="L1383" s="2"/>
      <c r="M1383" s="2"/>
      <c r="N1383" s="67"/>
    </row>
    <row r="1384" spans="1:14" x14ac:dyDescent="0.35">
      <c r="A1384" s="61">
        <v>1380</v>
      </c>
      <c r="B1384" s="2"/>
      <c r="C1384" s="2"/>
      <c r="D1384" s="2"/>
      <c r="E1384" s="10"/>
      <c r="F1384" s="11"/>
      <c r="G1384" s="2"/>
      <c r="H1384" s="2"/>
      <c r="I1384" s="2"/>
      <c r="J1384" s="2"/>
      <c r="K1384" s="12"/>
      <c r="L1384" s="2"/>
      <c r="M1384" s="2"/>
      <c r="N1384" s="67"/>
    </row>
    <row r="1385" spans="1:14" x14ac:dyDescent="0.35">
      <c r="A1385" s="61">
        <v>1381</v>
      </c>
      <c r="B1385" s="2"/>
      <c r="C1385" s="2"/>
      <c r="D1385" s="2"/>
      <c r="E1385" s="10"/>
      <c r="F1385" s="11"/>
      <c r="G1385" s="2"/>
      <c r="H1385" s="2"/>
      <c r="I1385" s="2"/>
      <c r="J1385" s="2"/>
      <c r="K1385" s="12"/>
      <c r="L1385" s="2"/>
      <c r="M1385" s="2"/>
      <c r="N1385" s="67"/>
    </row>
    <row r="1386" spans="1:14" x14ac:dyDescent="0.35">
      <c r="A1386" s="61">
        <v>1382</v>
      </c>
      <c r="B1386" s="2"/>
      <c r="C1386" s="2"/>
      <c r="D1386" s="2"/>
      <c r="E1386" s="10"/>
      <c r="F1386" s="11"/>
      <c r="G1386" s="2"/>
      <c r="H1386" s="2"/>
      <c r="I1386" s="2"/>
      <c r="J1386" s="2"/>
      <c r="K1386" s="12"/>
      <c r="L1386" s="2"/>
      <c r="M1386" s="2"/>
      <c r="N1386" s="67"/>
    </row>
    <row r="1387" spans="1:14" x14ac:dyDescent="0.35">
      <c r="A1387" s="61">
        <v>1383</v>
      </c>
      <c r="B1387" s="2"/>
      <c r="C1387" s="2"/>
      <c r="D1387" s="2"/>
      <c r="E1387" s="10"/>
      <c r="F1387" s="11"/>
      <c r="G1387" s="2"/>
      <c r="H1387" s="2"/>
      <c r="I1387" s="2"/>
      <c r="J1387" s="2"/>
      <c r="K1387" s="12"/>
      <c r="L1387" s="2"/>
      <c r="M1387" s="2"/>
      <c r="N1387" s="67"/>
    </row>
    <row r="1388" spans="1:14" x14ac:dyDescent="0.35">
      <c r="A1388" s="61">
        <v>1384</v>
      </c>
      <c r="B1388" s="2"/>
      <c r="C1388" s="2"/>
      <c r="D1388" s="2"/>
      <c r="E1388" s="10"/>
      <c r="F1388" s="11"/>
      <c r="G1388" s="2"/>
      <c r="H1388" s="2"/>
      <c r="I1388" s="2"/>
      <c r="J1388" s="2"/>
      <c r="K1388" s="12"/>
      <c r="L1388" s="2"/>
      <c r="M1388" s="2"/>
      <c r="N1388" s="67"/>
    </row>
    <row r="1389" spans="1:14" x14ac:dyDescent="0.35">
      <c r="A1389" s="61">
        <v>1385</v>
      </c>
      <c r="B1389" s="2"/>
      <c r="C1389" s="2"/>
      <c r="D1389" s="2"/>
      <c r="E1389" s="10"/>
      <c r="F1389" s="11"/>
      <c r="G1389" s="2"/>
      <c r="H1389" s="2"/>
      <c r="I1389" s="2"/>
      <c r="J1389" s="2"/>
      <c r="K1389" s="12"/>
      <c r="L1389" s="2"/>
      <c r="M1389" s="2"/>
      <c r="N1389" s="67"/>
    </row>
    <row r="1390" spans="1:14" x14ac:dyDescent="0.35">
      <c r="A1390" s="61">
        <v>1386</v>
      </c>
      <c r="B1390" s="2"/>
      <c r="C1390" s="2"/>
      <c r="D1390" s="2"/>
      <c r="E1390" s="10"/>
      <c r="F1390" s="11"/>
      <c r="G1390" s="2"/>
      <c r="H1390" s="2"/>
      <c r="I1390" s="2"/>
      <c r="J1390" s="2"/>
      <c r="K1390" s="12"/>
      <c r="L1390" s="2"/>
      <c r="M1390" s="2"/>
      <c r="N1390" s="67"/>
    </row>
    <row r="1391" spans="1:14" x14ac:dyDescent="0.35">
      <c r="A1391" s="61">
        <v>1387</v>
      </c>
      <c r="B1391" s="2"/>
      <c r="C1391" s="2"/>
      <c r="D1391" s="2"/>
      <c r="E1391" s="10"/>
      <c r="F1391" s="11"/>
      <c r="G1391" s="2"/>
      <c r="H1391" s="2"/>
      <c r="I1391" s="2"/>
      <c r="J1391" s="2"/>
      <c r="K1391" s="12"/>
      <c r="L1391" s="2"/>
      <c r="M1391" s="2"/>
      <c r="N1391" s="67"/>
    </row>
    <row r="1392" spans="1:14" x14ac:dyDescent="0.35">
      <c r="A1392" s="61">
        <v>1388</v>
      </c>
      <c r="B1392" s="2"/>
      <c r="C1392" s="2"/>
      <c r="D1392" s="2"/>
      <c r="E1392" s="10"/>
      <c r="F1392" s="11"/>
      <c r="G1392" s="2"/>
      <c r="H1392" s="2"/>
      <c r="I1392" s="2"/>
      <c r="J1392" s="2"/>
      <c r="K1392" s="12"/>
      <c r="L1392" s="2"/>
      <c r="M1392" s="2"/>
      <c r="N1392" s="67"/>
    </row>
    <row r="1393" spans="1:14" x14ac:dyDescent="0.35">
      <c r="A1393" s="61">
        <v>1389</v>
      </c>
      <c r="B1393" s="2"/>
      <c r="C1393" s="2"/>
      <c r="D1393" s="2"/>
      <c r="E1393" s="10"/>
      <c r="F1393" s="11"/>
      <c r="G1393" s="2"/>
      <c r="H1393" s="2"/>
      <c r="I1393" s="2"/>
      <c r="J1393" s="2"/>
      <c r="K1393" s="12"/>
      <c r="L1393" s="2"/>
      <c r="M1393" s="2"/>
      <c r="N1393" s="67"/>
    </row>
    <row r="1394" spans="1:14" x14ac:dyDescent="0.35">
      <c r="A1394" s="61">
        <v>1390</v>
      </c>
      <c r="B1394" s="2"/>
      <c r="C1394" s="2"/>
      <c r="D1394" s="2"/>
      <c r="E1394" s="10"/>
      <c r="F1394" s="11"/>
      <c r="G1394" s="2"/>
      <c r="H1394" s="2"/>
      <c r="I1394" s="2"/>
      <c r="J1394" s="2"/>
      <c r="K1394" s="12"/>
      <c r="L1394" s="2"/>
      <c r="M1394" s="2"/>
      <c r="N1394" s="67"/>
    </row>
    <row r="1395" spans="1:14" x14ac:dyDescent="0.35">
      <c r="A1395" s="61">
        <v>1391</v>
      </c>
      <c r="B1395" s="2"/>
      <c r="C1395" s="2"/>
      <c r="D1395" s="2"/>
      <c r="E1395" s="10"/>
      <c r="F1395" s="11"/>
      <c r="G1395" s="2"/>
      <c r="H1395" s="2"/>
      <c r="I1395" s="2"/>
      <c r="J1395" s="2"/>
      <c r="K1395" s="12"/>
      <c r="L1395" s="2"/>
      <c r="M1395" s="2"/>
      <c r="N1395" s="67"/>
    </row>
    <row r="1396" spans="1:14" x14ac:dyDescent="0.35">
      <c r="A1396" s="61">
        <v>1392</v>
      </c>
      <c r="B1396" s="2"/>
      <c r="C1396" s="2"/>
      <c r="D1396" s="2"/>
      <c r="E1396" s="10"/>
      <c r="F1396" s="11"/>
      <c r="G1396" s="2"/>
      <c r="H1396" s="2"/>
      <c r="I1396" s="2"/>
      <c r="J1396" s="2"/>
      <c r="K1396" s="12"/>
      <c r="L1396" s="2"/>
      <c r="M1396" s="2"/>
      <c r="N1396" s="67"/>
    </row>
    <row r="1397" spans="1:14" x14ac:dyDescent="0.35">
      <c r="A1397" s="61">
        <v>1393</v>
      </c>
      <c r="B1397" s="2"/>
      <c r="C1397" s="2"/>
      <c r="D1397" s="2"/>
      <c r="E1397" s="10"/>
      <c r="F1397" s="11"/>
      <c r="G1397" s="2"/>
      <c r="H1397" s="2"/>
      <c r="I1397" s="2"/>
      <c r="J1397" s="2"/>
      <c r="K1397" s="12"/>
      <c r="L1397" s="2"/>
      <c r="M1397" s="2"/>
      <c r="N1397" s="67"/>
    </row>
    <row r="1398" spans="1:14" x14ac:dyDescent="0.35">
      <c r="A1398" s="61">
        <v>1394</v>
      </c>
      <c r="B1398" s="2"/>
      <c r="C1398" s="2"/>
      <c r="D1398" s="2"/>
      <c r="E1398" s="10"/>
      <c r="F1398" s="11"/>
      <c r="G1398" s="2"/>
      <c r="H1398" s="2"/>
      <c r="I1398" s="2"/>
      <c r="J1398" s="2"/>
      <c r="K1398" s="12"/>
      <c r="L1398" s="2"/>
      <c r="M1398" s="2"/>
      <c r="N1398" s="67"/>
    </row>
    <row r="1399" spans="1:14" x14ac:dyDescent="0.35">
      <c r="A1399" s="61">
        <v>1395</v>
      </c>
      <c r="B1399" s="2"/>
      <c r="C1399" s="2"/>
      <c r="D1399" s="2"/>
      <c r="E1399" s="10"/>
      <c r="F1399" s="11"/>
      <c r="G1399" s="2"/>
      <c r="H1399" s="2"/>
      <c r="I1399" s="2"/>
      <c r="J1399" s="2"/>
      <c r="K1399" s="12"/>
      <c r="L1399" s="2"/>
      <c r="M1399" s="2"/>
      <c r="N1399" s="67"/>
    </row>
    <row r="1400" spans="1:14" x14ac:dyDescent="0.35">
      <c r="A1400" s="61">
        <v>1396</v>
      </c>
      <c r="B1400" s="2"/>
      <c r="C1400" s="2"/>
      <c r="D1400" s="2"/>
      <c r="E1400" s="10"/>
      <c r="F1400" s="11"/>
      <c r="G1400" s="2"/>
      <c r="H1400" s="2"/>
      <c r="I1400" s="2"/>
      <c r="J1400" s="2"/>
      <c r="K1400" s="12"/>
      <c r="L1400" s="2"/>
      <c r="M1400" s="2"/>
      <c r="N1400" s="67"/>
    </row>
    <row r="1401" spans="1:14" x14ac:dyDescent="0.35">
      <c r="A1401" s="61">
        <v>1397</v>
      </c>
      <c r="B1401" s="2"/>
      <c r="C1401" s="2"/>
      <c r="D1401" s="2"/>
      <c r="E1401" s="10"/>
      <c r="F1401" s="11"/>
      <c r="G1401" s="2"/>
      <c r="H1401" s="2"/>
      <c r="I1401" s="2"/>
      <c r="J1401" s="2"/>
      <c r="K1401" s="12"/>
      <c r="L1401" s="2"/>
      <c r="M1401" s="2"/>
      <c r="N1401" s="67"/>
    </row>
    <row r="1402" spans="1:14" x14ac:dyDescent="0.35">
      <c r="A1402" s="61">
        <v>1398</v>
      </c>
      <c r="B1402" s="2"/>
      <c r="C1402" s="2"/>
      <c r="D1402" s="2"/>
      <c r="E1402" s="10"/>
      <c r="F1402" s="11"/>
      <c r="G1402" s="2"/>
      <c r="H1402" s="2"/>
      <c r="I1402" s="2"/>
      <c r="J1402" s="2"/>
      <c r="K1402" s="12"/>
      <c r="L1402" s="2"/>
      <c r="M1402" s="2"/>
      <c r="N1402" s="67"/>
    </row>
    <row r="1403" spans="1:14" x14ac:dyDescent="0.35">
      <c r="A1403" s="61">
        <v>1399</v>
      </c>
      <c r="B1403" s="2"/>
      <c r="C1403" s="2"/>
      <c r="D1403" s="2"/>
      <c r="E1403" s="10"/>
      <c r="F1403" s="11"/>
      <c r="G1403" s="2"/>
      <c r="H1403" s="2"/>
      <c r="I1403" s="2"/>
      <c r="J1403" s="2"/>
      <c r="K1403" s="12"/>
      <c r="L1403" s="2"/>
      <c r="M1403" s="2"/>
      <c r="N1403" s="67"/>
    </row>
    <row r="1404" spans="1:14" x14ac:dyDescent="0.35">
      <c r="A1404" s="61">
        <v>1400</v>
      </c>
      <c r="B1404" s="2"/>
      <c r="C1404" s="2"/>
      <c r="D1404" s="2"/>
      <c r="E1404" s="10"/>
      <c r="F1404" s="11"/>
      <c r="G1404" s="2"/>
      <c r="H1404" s="2"/>
      <c r="I1404" s="2"/>
      <c r="J1404" s="2"/>
      <c r="K1404" s="12"/>
      <c r="L1404" s="2"/>
      <c r="M1404" s="2"/>
      <c r="N1404" s="67"/>
    </row>
    <row r="1405" spans="1:14" x14ac:dyDescent="0.35">
      <c r="A1405" s="61">
        <v>1401</v>
      </c>
      <c r="B1405" s="2"/>
      <c r="C1405" s="2"/>
      <c r="D1405" s="2"/>
      <c r="E1405" s="10"/>
      <c r="F1405" s="11"/>
      <c r="G1405" s="2"/>
      <c r="H1405" s="2"/>
      <c r="I1405" s="2"/>
      <c r="J1405" s="2"/>
      <c r="K1405" s="12"/>
      <c r="L1405" s="2"/>
      <c r="M1405" s="2"/>
      <c r="N1405" s="67"/>
    </row>
    <row r="1406" spans="1:14" x14ac:dyDescent="0.35">
      <c r="A1406" s="61">
        <v>1402</v>
      </c>
      <c r="B1406" s="2"/>
      <c r="C1406" s="2"/>
      <c r="D1406" s="2"/>
      <c r="E1406" s="10"/>
      <c r="F1406" s="11"/>
      <c r="G1406" s="2"/>
      <c r="H1406" s="2"/>
      <c r="I1406" s="2"/>
      <c r="J1406" s="2"/>
      <c r="K1406" s="12"/>
      <c r="L1406" s="2"/>
      <c r="M1406" s="2"/>
      <c r="N1406" s="67"/>
    </row>
    <row r="1407" spans="1:14" x14ac:dyDescent="0.35">
      <c r="A1407" s="61">
        <v>1403</v>
      </c>
      <c r="B1407" s="2"/>
      <c r="C1407" s="2"/>
      <c r="D1407" s="2"/>
      <c r="E1407" s="10"/>
      <c r="F1407" s="11"/>
      <c r="G1407" s="2"/>
      <c r="H1407" s="2"/>
      <c r="I1407" s="2"/>
      <c r="J1407" s="2"/>
      <c r="K1407" s="12"/>
      <c r="L1407" s="2"/>
      <c r="M1407" s="2"/>
      <c r="N1407" s="67"/>
    </row>
    <row r="1408" spans="1:14" x14ac:dyDescent="0.35">
      <c r="A1408" s="61">
        <v>1404</v>
      </c>
      <c r="B1408" s="2"/>
      <c r="C1408" s="2"/>
      <c r="D1408" s="2"/>
      <c r="E1408" s="10"/>
      <c r="F1408" s="11"/>
      <c r="G1408" s="2"/>
      <c r="H1408" s="2"/>
      <c r="I1408" s="2"/>
      <c r="J1408" s="2"/>
      <c r="K1408" s="12"/>
      <c r="L1408" s="2"/>
      <c r="M1408" s="2"/>
      <c r="N1408" s="67"/>
    </row>
    <row r="1409" spans="1:14" x14ac:dyDescent="0.35">
      <c r="A1409" s="61">
        <v>1405</v>
      </c>
      <c r="B1409" s="2"/>
      <c r="C1409" s="2"/>
      <c r="D1409" s="2"/>
      <c r="E1409" s="10"/>
      <c r="F1409" s="11"/>
      <c r="G1409" s="2"/>
      <c r="H1409" s="2"/>
      <c r="I1409" s="2"/>
      <c r="J1409" s="2"/>
      <c r="K1409" s="12"/>
      <c r="L1409" s="2"/>
      <c r="M1409" s="2"/>
      <c r="N1409" s="67"/>
    </row>
    <row r="1410" spans="1:14" x14ac:dyDescent="0.35">
      <c r="A1410" s="61">
        <v>1406</v>
      </c>
      <c r="B1410" s="2"/>
      <c r="C1410" s="2"/>
      <c r="D1410" s="2"/>
      <c r="E1410" s="10"/>
      <c r="F1410" s="11"/>
      <c r="G1410" s="2"/>
      <c r="H1410" s="2"/>
      <c r="I1410" s="2"/>
      <c r="J1410" s="2"/>
      <c r="K1410" s="12"/>
      <c r="L1410" s="2"/>
      <c r="M1410" s="2"/>
      <c r="N1410" s="67"/>
    </row>
    <row r="1411" spans="1:14" x14ac:dyDescent="0.35">
      <c r="A1411" s="61">
        <v>1407</v>
      </c>
      <c r="B1411" s="2"/>
      <c r="C1411" s="2"/>
      <c r="D1411" s="2"/>
      <c r="E1411" s="10"/>
      <c r="F1411" s="11"/>
      <c r="G1411" s="2"/>
      <c r="H1411" s="2"/>
      <c r="I1411" s="2"/>
      <c r="J1411" s="2"/>
      <c r="K1411" s="12"/>
      <c r="L1411" s="2"/>
      <c r="M1411" s="2"/>
      <c r="N1411" s="67"/>
    </row>
    <row r="1412" spans="1:14" x14ac:dyDescent="0.35">
      <c r="A1412" s="61">
        <v>1408</v>
      </c>
      <c r="B1412" s="2"/>
      <c r="C1412" s="2"/>
      <c r="D1412" s="2"/>
      <c r="E1412" s="10"/>
      <c r="F1412" s="11"/>
      <c r="G1412" s="2"/>
      <c r="H1412" s="2"/>
      <c r="I1412" s="2"/>
      <c r="J1412" s="2"/>
      <c r="K1412" s="12"/>
      <c r="L1412" s="2"/>
      <c r="M1412" s="2"/>
      <c r="N1412" s="67"/>
    </row>
    <row r="1413" spans="1:14" x14ac:dyDescent="0.35">
      <c r="A1413" s="61">
        <v>1409</v>
      </c>
      <c r="B1413" s="2"/>
      <c r="C1413" s="2"/>
      <c r="D1413" s="2"/>
      <c r="E1413" s="10"/>
      <c r="F1413" s="11"/>
      <c r="G1413" s="2"/>
      <c r="H1413" s="2"/>
      <c r="I1413" s="2"/>
      <c r="J1413" s="2"/>
      <c r="K1413" s="12"/>
      <c r="L1413" s="2"/>
      <c r="M1413" s="2"/>
      <c r="N1413" s="67"/>
    </row>
    <row r="1414" spans="1:14" x14ac:dyDescent="0.35">
      <c r="A1414" s="61">
        <v>1410</v>
      </c>
      <c r="B1414" s="2"/>
      <c r="C1414" s="2"/>
      <c r="D1414" s="2"/>
      <c r="E1414" s="10"/>
      <c r="F1414" s="11"/>
      <c r="G1414" s="2"/>
      <c r="H1414" s="2"/>
      <c r="I1414" s="2"/>
      <c r="J1414" s="2"/>
      <c r="K1414" s="12"/>
      <c r="L1414" s="2"/>
      <c r="M1414" s="2"/>
      <c r="N1414" s="67"/>
    </row>
    <row r="1415" spans="1:14" x14ac:dyDescent="0.35">
      <c r="A1415" s="61">
        <v>1411</v>
      </c>
      <c r="B1415" s="2"/>
      <c r="C1415" s="2"/>
      <c r="D1415" s="2"/>
      <c r="E1415" s="10"/>
      <c r="F1415" s="11"/>
      <c r="G1415" s="2"/>
      <c r="H1415" s="2"/>
      <c r="I1415" s="2"/>
      <c r="J1415" s="2"/>
      <c r="K1415" s="12"/>
      <c r="L1415" s="2"/>
      <c r="M1415" s="2"/>
      <c r="N1415" s="67"/>
    </row>
    <row r="1416" spans="1:14" x14ac:dyDescent="0.35">
      <c r="A1416" s="61">
        <v>1412</v>
      </c>
      <c r="B1416" s="2"/>
      <c r="C1416" s="2"/>
      <c r="D1416" s="2"/>
      <c r="E1416" s="10"/>
      <c r="F1416" s="11"/>
      <c r="G1416" s="2"/>
      <c r="H1416" s="2"/>
      <c r="I1416" s="2"/>
      <c r="J1416" s="2"/>
      <c r="K1416" s="12"/>
      <c r="L1416" s="2"/>
      <c r="M1416" s="2"/>
      <c r="N1416" s="67"/>
    </row>
    <row r="1417" spans="1:14" x14ac:dyDescent="0.35">
      <c r="A1417" s="61">
        <v>1413</v>
      </c>
      <c r="B1417" s="2"/>
      <c r="C1417" s="2"/>
      <c r="D1417" s="2"/>
      <c r="E1417" s="10"/>
      <c r="F1417" s="11"/>
      <c r="G1417" s="2"/>
      <c r="H1417" s="2"/>
      <c r="I1417" s="2"/>
      <c r="J1417" s="2"/>
      <c r="K1417" s="12"/>
      <c r="L1417" s="2"/>
      <c r="M1417" s="2"/>
      <c r="N1417" s="67"/>
    </row>
    <row r="1418" spans="1:14" x14ac:dyDescent="0.35">
      <c r="A1418" s="61">
        <v>1414</v>
      </c>
      <c r="B1418" s="2"/>
      <c r="C1418" s="2"/>
      <c r="D1418" s="2"/>
      <c r="E1418" s="10"/>
      <c r="F1418" s="11"/>
      <c r="G1418" s="2"/>
      <c r="H1418" s="2"/>
      <c r="I1418" s="2"/>
      <c r="J1418" s="2"/>
      <c r="K1418" s="12"/>
      <c r="L1418" s="2"/>
      <c r="M1418" s="2"/>
      <c r="N1418" s="67"/>
    </row>
    <row r="1419" spans="1:14" x14ac:dyDescent="0.35">
      <c r="A1419" s="61">
        <v>1415</v>
      </c>
      <c r="B1419" s="2"/>
      <c r="C1419" s="2"/>
      <c r="D1419" s="2"/>
      <c r="E1419" s="10"/>
      <c r="F1419" s="11"/>
      <c r="G1419" s="2"/>
      <c r="H1419" s="2"/>
      <c r="I1419" s="2"/>
      <c r="J1419" s="2"/>
      <c r="K1419" s="12"/>
      <c r="L1419" s="2"/>
      <c r="M1419" s="2"/>
      <c r="N1419" s="67"/>
    </row>
    <row r="1420" spans="1:14" x14ac:dyDescent="0.35">
      <c r="A1420" s="61">
        <v>1416</v>
      </c>
      <c r="B1420" s="2"/>
      <c r="C1420" s="2"/>
      <c r="D1420" s="2"/>
      <c r="E1420" s="10"/>
      <c r="F1420" s="11"/>
      <c r="G1420" s="2"/>
      <c r="H1420" s="2"/>
      <c r="I1420" s="2"/>
      <c r="J1420" s="2"/>
      <c r="K1420" s="12"/>
      <c r="L1420" s="2"/>
      <c r="M1420" s="2"/>
      <c r="N1420" s="67"/>
    </row>
    <row r="1421" spans="1:14" x14ac:dyDescent="0.35">
      <c r="A1421" s="61">
        <v>1417</v>
      </c>
      <c r="B1421" s="2"/>
      <c r="C1421" s="2"/>
      <c r="D1421" s="2"/>
      <c r="E1421" s="10"/>
      <c r="F1421" s="11"/>
      <c r="G1421" s="2"/>
      <c r="H1421" s="2"/>
      <c r="I1421" s="2"/>
      <c r="J1421" s="2"/>
      <c r="K1421" s="12"/>
      <c r="L1421" s="2"/>
      <c r="M1421" s="2"/>
      <c r="N1421" s="67"/>
    </row>
    <row r="1422" spans="1:14" x14ac:dyDescent="0.35">
      <c r="A1422" s="61">
        <v>1418</v>
      </c>
      <c r="B1422" s="2"/>
      <c r="C1422" s="2"/>
      <c r="D1422" s="2"/>
      <c r="E1422" s="10"/>
      <c r="F1422" s="11"/>
      <c r="G1422" s="2"/>
      <c r="H1422" s="2"/>
      <c r="I1422" s="2"/>
      <c r="J1422" s="2"/>
      <c r="K1422" s="12"/>
      <c r="L1422" s="2"/>
      <c r="M1422" s="2"/>
      <c r="N1422" s="67"/>
    </row>
    <row r="1423" spans="1:14" x14ac:dyDescent="0.35">
      <c r="A1423" s="61">
        <v>1419</v>
      </c>
      <c r="B1423" s="2"/>
      <c r="C1423" s="2"/>
      <c r="D1423" s="2"/>
      <c r="E1423" s="10"/>
      <c r="F1423" s="11"/>
      <c r="G1423" s="2"/>
      <c r="H1423" s="2"/>
      <c r="I1423" s="2"/>
      <c r="J1423" s="2"/>
      <c r="K1423" s="12"/>
      <c r="L1423" s="2"/>
      <c r="M1423" s="2"/>
      <c r="N1423" s="67"/>
    </row>
    <row r="1424" spans="1:14" x14ac:dyDescent="0.35">
      <c r="A1424" s="61">
        <v>1420</v>
      </c>
      <c r="B1424" s="2"/>
      <c r="C1424" s="2"/>
      <c r="D1424" s="2"/>
      <c r="E1424" s="10"/>
      <c r="F1424" s="11"/>
      <c r="G1424" s="2"/>
      <c r="H1424" s="2"/>
      <c r="I1424" s="2"/>
      <c r="J1424" s="2"/>
      <c r="K1424" s="12"/>
      <c r="L1424" s="2"/>
      <c r="M1424" s="2"/>
      <c r="N1424" s="67"/>
    </row>
    <row r="1425" spans="1:14" x14ac:dyDescent="0.35">
      <c r="A1425" s="61">
        <v>1421</v>
      </c>
      <c r="B1425" s="2"/>
      <c r="C1425" s="2"/>
      <c r="D1425" s="2"/>
      <c r="E1425" s="10"/>
      <c r="F1425" s="11"/>
      <c r="G1425" s="2"/>
      <c r="H1425" s="2"/>
      <c r="I1425" s="2"/>
      <c r="J1425" s="2"/>
      <c r="K1425" s="12"/>
      <c r="L1425" s="2"/>
      <c r="M1425" s="2"/>
      <c r="N1425" s="67"/>
    </row>
    <row r="1426" spans="1:14" x14ac:dyDescent="0.35">
      <c r="A1426" s="61">
        <v>1422</v>
      </c>
      <c r="B1426" s="2"/>
      <c r="C1426" s="2"/>
      <c r="D1426" s="2"/>
      <c r="E1426" s="10"/>
      <c r="F1426" s="11"/>
      <c r="G1426" s="2"/>
      <c r="H1426" s="2"/>
      <c r="I1426" s="2"/>
      <c r="J1426" s="2"/>
      <c r="K1426" s="12"/>
      <c r="L1426" s="2"/>
      <c r="M1426" s="2"/>
      <c r="N1426" s="67"/>
    </row>
    <row r="1427" spans="1:14" x14ac:dyDescent="0.35">
      <c r="A1427" s="61">
        <v>1423</v>
      </c>
      <c r="B1427" s="2"/>
      <c r="C1427" s="2"/>
      <c r="D1427" s="2"/>
      <c r="E1427" s="10"/>
      <c r="F1427" s="11"/>
      <c r="G1427" s="2"/>
      <c r="H1427" s="2"/>
      <c r="I1427" s="2"/>
      <c r="J1427" s="2"/>
      <c r="K1427" s="12"/>
      <c r="L1427" s="2"/>
      <c r="M1427" s="2"/>
      <c r="N1427" s="67"/>
    </row>
    <row r="1428" spans="1:14" x14ac:dyDescent="0.35">
      <c r="A1428" s="61">
        <v>1424</v>
      </c>
      <c r="B1428" s="2"/>
      <c r="C1428" s="2"/>
      <c r="D1428" s="2"/>
      <c r="E1428" s="10"/>
      <c r="F1428" s="11"/>
      <c r="G1428" s="2"/>
      <c r="H1428" s="2"/>
      <c r="I1428" s="2"/>
      <c r="J1428" s="2"/>
      <c r="K1428" s="12"/>
      <c r="L1428" s="2"/>
      <c r="M1428" s="2"/>
      <c r="N1428" s="67"/>
    </row>
    <row r="1429" spans="1:14" x14ac:dyDescent="0.35">
      <c r="A1429" s="61">
        <v>1425</v>
      </c>
      <c r="B1429" s="2"/>
      <c r="C1429" s="2"/>
      <c r="D1429" s="2"/>
      <c r="E1429" s="10"/>
      <c r="F1429" s="11"/>
      <c r="G1429" s="2"/>
      <c r="H1429" s="2"/>
      <c r="I1429" s="2"/>
      <c r="J1429" s="2"/>
      <c r="K1429" s="12"/>
      <c r="L1429" s="2"/>
      <c r="M1429" s="2"/>
      <c r="N1429" s="67"/>
    </row>
    <row r="1430" spans="1:14" x14ac:dyDescent="0.35">
      <c r="A1430" s="61">
        <v>1426</v>
      </c>
      <c r="B1430" s="2"/>
      <c r="C1430" s="2"/>
      <c r="D1430" s="2"/>
      <c r="E1430" s="10"/>
      <c r="F1430" s="11"/>
      <c r="G1430" s="2"/>
      <c r="H1430" s="2"/>
      <c r="I1430" s="2"/>
      <c r="J1430" s="2"/>
      <c r="K1430" s="12"/>
      <c r="L1430" s="2"/>
      <c r="M1430" s="2"/>
      <c r="N1430" s="67"/>
    </row>
    <row r="1431" spans="1:14" x14ac:dyDescent="0.35">
      <c r="A1431" s="61">
        <v>1427</v>
      </c>
      <c r="B1431" s="2"/>
      <c r="C1431" s="2"/>
      <c r="D1431" s="2"/>
      <c r="E1431" s="10"/>
      <c r="F1431" s="11"/>
      <c r="G1431" s="2"/>
      <c r="H1431" s="2"/>
      <c r="I1431" s="2"/>
      <c r="J1431" s="2"/>
      <c r="K1431" s="12"/>
      <c r="L1431" s="2"/>
      <c r="M1431" s="2"/>
      <c r="N1431" s="67"/>
    </row>
    <row r="1432" spans="1:14" x14ac:dyDescent="0.35">
      <c r="A1432" s="61">
        <v>1428</v>
      </c>
      <c r="B1432" s="2"/>
      <c r="C1432" s="2"/>
      <c r="D1432" s="2"/>
      <c r="E1432" s="10"/>
      <c r="F1432" s="11"/>
      <c r="G1432" s="2"/>
      <c r="H1432" s="2"/>
      <c r="I1432" s="2"/>
      <c r="J1432" s="2"/>
      <c r="K1432" s="12"/>
      <c r="L1432" s="2"/>
      <c r="M1432" s="2"/>
      <c r="N1432" s="67"/>
    </row>
    <row r="1433" spans="1:14" x14ac:dyDescent="0.35">
      <c r="A1433" s="61">
        <v>1429</v>
      </c>
      <c r="B1433" s="2"/>
      <c r="C1433" s="2"/>
      <c r="D1433" s="2"/>
      <c r="E1433" s="10"/>
      <c r="F1433" s="11"/>
      <c r="G1433" s="2"/>
      <c r="H1433" s="2"/>
      <c r="I1433" s="2"/>
      <c r="J1433" s="2"/>
      <c r="K1433" s="12"/>
      <c r="L1433" s="2"/>
      <c r="M1433" s="2"/>
      <c r="N1433" s="67"/>
    </row>
    <row r="1434" spans="1:14" x14ac:dyDescent="0.35">
      <c r="A1434" s="61">
        <v>1430</v>
      </c>
      <c r="B1434" s="2"/>
      <c r="C1434" s="2"/>
      <c r="D1434" s="2"/>
      <c r="E1434" s="10"/>
      <c r="F1434" s="11"/>
      <c r="G1434" s="2"/>
      <c r="H1434" s="2"/>
      <c r="I1434" s="2"/>
      <c r="J1434" s="2"/>
      <c r="K1434" s="12"/>
      <c r="L1434" s="2"/>
      <c r="M1434" s="2"/>
      <c r="N1434" s="67"/>
    </row>
    <row r="1435" spans="1:14" x14ac:dyDescent="0.35">
      <c r="A1435" s="61">
        <v>1431</v>
      </c>
      <c r="B1435" s="2"/>
      <c r="C1435" s="2"/>
      <c r="D1435" s="2"/>
      <c r="E1435" s="10"/>
      <c r="F1435" s="11"/>
      <c r="G1435" s="2"/>
      <c r="H1435" s="2"/>
      <c r="I1435" s="2"/>
      <c r="J1435" s="2"/>
      <c r="K1435" s="12"/>
      <c r="L1435" s="2"/>
      <c r="M1435" s="2"/>
      <c r="N1435" s="67"/>
    </row>
    <row r="1436" spans="1:14" x14ac:dyDescent="0.35">
      <c r="A1436" s="61">
        <v>1432</v>
      </c>
      <c r="B1436" s="2"/>
      <c r="C1436" s="2"/>
      <c r="D1436" s="2"/>
      <c r="E1436" s="10"/>
      <c r="F1436" s="11"/>
      <c r="G1436" s="2"/>
      <c r="H1436" s="2"/>
      <c r="I1436" s="2"/>
      <c r="J1436" s="2"/>
      <c r="K1436" s="12"/>
      <c r="L1436" s="2"/>
      <c r="M1436" s="2"/>
      <c r="N1436" s="67"/>
    </row>
    <row r="1437" spans="1:14" x14ac:dyDescent="0.35">
      <c r="A1437" s="61">
        <v>1433</v>
      </c>
      <c r="B1437" s="2"/>
      <c r="C1437" s="2"/>
      <c r="D1437" s="2"/>
      <c r="E1437" s="10"/>
      <c r="F1437" s="11"/>
      <c r="G1437" s="2"/>
      <c r="H1437" s="2"/>
      <c r="I1437" s="2"/>
      <c r="J1437" s="2"/>
      <c r="K1437" s="12"/>
      <c r="L1437" s="2"/>
      <c r="M1437" s="2"/>
      <c r="N1437" s="67"/>
    </row>
    <row r="1438" spans="1:14" x14ac:dyDescent="0.35">
      <c r="A1438" s="61">
        <v>1434</v>
      </c>
      <c r="B1438" s="2"/>
      <c r="C1438" s="2"/>
      <c r="D1438" s="2"/>
      <c r="E1438" s="10"/>
      <c r="F1438" s="11"/>
      <c r="G1438" s="2"/>
      <c r="H1438" s="2"/>
      <c r="I1438" s="2"/>
      <c r="J1438" s="2"/>
      <c r="K1438" s="12"/>
      <c r="L1438" s="2"/>
      <c r="M1438" s="2"/>
      <c r="N1438" s="67"/>
    </row>
    <row r="1439" spans="1:14" x14ac:dyDescent="0.35">
      <c r="A1439" s="61">
        <v>1435</v>
      </c>
      <c r="B1439" s="2"/>
      <c r="C1439" s="2"/>
      <c r="D1439" s="2"/>
      <c r="E1439" s="10"/>
      <c r="F1439" s="11"/>
      <c r="G1439" s="2"/>
      <c r="H1439" s="2"/>
      <c r="I1439" s="2"/>
      <c r="J1439" s="2"/>
      <c r="K1439" s="12"/>
      <c r="L1439" s="2"/>
      <c r="M1439" s="2"/>
      <c r="N1439" s="67"/>
    </row>
    <row r="1440" spans="1:14" x14ac:dyDescent="0.35">
      <c r="A1440" s="61">
        <v>1436</v>
      </c>
      <c r="B1440" s="2"/>
      <c r="C1440" s="2"/>
      <c r="D1440" s="2"/>
      <c r="E1440" s="10"/>
      <c r="F1440" s="11"/>
      <c r="G1440" s="2"/>
      <c r="H1440" s="2"/>
      <c r="I1440" s="2"/>
      <c r="J1440" s="2"/>
      <c r="K1440" s="12"/>
      <c r="L1440" s="2"/>
      <c r="M1440" s="2"/>
      <c r="N1440" s="67"/>
    </row>
    <row r="1441" spans="1:14" x14ac:dyDescent="0.35">
      <c r="A1441" s="61">
        <v>1437</v>
      </c>
      <c r="B1441" s="2"/>
      <c r="C1441" s="2"/>
      <c r="D1441" s="2"/>
      <c r="E1441" s="10"/>
      <c r="F1441" s="11"/>
      <c r="G1441" s="2"/>
      <c r="H1441" s="2"/>
      <c r="I1441" s="2"/>
      <c r="J1441" s="2"/>
      <c r="K1441" s="12"/>
      <c r="L1441" s="2"/>
      <c r="M1441" s="2"/>
      <c r="N1441" s="67"/>
    </row>
    <row r="1442" spans="1:14" x14ac:dyDescent="0.35">
      <c r="A1442" s="61">
        <v>1438</v>
      </c>
      <c r="B1442" s="2"/>
      <c r="C1442" s="2"/>
      <c r="D1442" s="2"/>
      <c r="E1442" s="10"/>
      <c r="F1442" s="11"/>
      <c r="G1442" s="2"/>
      <c r="H1442" s="2"/>
      <c r="I1442" s="2"/>
      <c r="J1442" s="2"/>
      <c r="K1442" s="12"/>
      <c r="L1442" s="2"/>
      <c r="M1442" s="2"/>
      <c r="N1442" s="67"/>
    </row>
    <row r="1443" spans="1:14" x14ac:dyDescent="0.35">
      <c r="A1443" s="61">
        <v>1439</v>
      </c>
      <c r="B1443" s="2"/>
      <c r="C1443" s="2"/>
      <c r="D1443" s="2"/>
      <c r="E1443" s="10"/>
      <c r="F1443" s="11"/>
      <c r="G1443" s="2"/>
      <c r="H1443" s="2"/>
      <c r="I1443" s="2"/>
      <c r="J1443" s="2"/>
      <c r="K1443" s="12"/>
      <c r="L1443" s="2"/>
      <c r="M1443" s="2"/>
      <c r="N1443" s="67"/>
    </row>
    <row r="1444" spans="1:14" x14ac:dyDescent="0.35">
      <c r="A1444" s="61">
        <v>1440</v>
      </c>
      <c r="B1444" s="2"/>
      <c r="C1444" s="2"/>
      <c r="D1444" s="2"/>
      <c r="E1444" s="10"/>
      <c r="F1444" s="11"/>
      <c r="G1444" s="2"/>
      <c r="H1444" s="2"/>
      <c r="I1444" s="2"/>
      <c r="J1444" s="2"/>
      <c r="K1444" s="12"/>
      <c r="L1444" s="2"/>
      <c r="M1444" s="2"/>
      <c r="N1444" s="67"/>
    </row>
    <row r="1445" spans="1:14" x14ac:dyDescent="0.35">
      <c r="A1445" s="61">
        <v>1441</v>
      </c>
      <c r="B1445" s="2"/>
      <c r="C1445" s="2"/>
      <c r="D1445" s="2"/>
      <c r="E1445" s="10"/>
      <c r="F1445" s="11"/>
      <c r="G1445" s="2"/>
      <c r="H1445" s="2"/>
      <c r="I1445" s="2"/>
      <c r="J1445" s="2"/>
      <c r="K1445" s="12"/>
      <c r="L1445" s="2"/>
      <c r="M1445" s="2"/>
      <c r="N1445" s="67"/>
    </row>
    <row r="1446" spans="1:14" x14ac:dyDescent="0.35">
      <c r="A1446" s="61">
        <v>1442</v>
      </c>
      <c r="B1446" s="2"/>
      <c r="C1446" s="2"/>
      <c r="D1446" s="2"/>
      <c r="E1446" s="10"/>
      <c r="F1446" s="11"/>
      <c r="G1446" s="2"/>
      <c r="H1446" s="2"/>
      <c r="I1446" s="2"/>
      <c r="J1446" s="2"/>
      <c r="K1446" s="12"/>
      <c r="L1446" s="2"/>
      <c r="M1446" s="2"/>
      <c r="N1446" s="67"/>
    </row>
    <row r="1447" spans="1:14" x14ac:dyDescent="0.35">
      <c r="A1447" s="61">
        <v>1443</v>
      </c>
      <c r="B1447" s="2"/>
      <c r="C1447" s="2"/>
      <c r="D1447" s="2"/>
      <c r="E1447" s="10"/>
      <c r="F1447" s="11"/>
      <c r="G1447" s="2"/>
      <c r="H1447" s="2"/>
      <c r="I1447" s="2"/>
      <c r="J1447" s="2"/>
      <c r="K1447" s="12"/>
      <c r="L1447" s="2"/>
      <c r="M1447" s="2"/>
      <c r="N1447" s="67"/>
    </row>
    <row r="1448" spans="1:14" x14ac:dyDescent="0.35">
      <c r="A1448" s="61">
        <v>1444</v>
      </c>
      <c r="B1448" s="2"/>
      <c r="C1448" s="2"/>
      <c r="D1448" s="2"/>
      <c r="E1448" s="10"/>
      <c r="F1448" s="11"/>
      <c r="G1448" s="2"/>
      <c r="H1448" s="2"/>
      <c r="I1448" s="2"/>
      <c r="J1448" s="2"/>
      <c r="K1448" s="12"/>
      <c r="L1448" s="2"/>
      <c r="M1448" s="2"/>
      <c r="N1448" s="67"/>
    </row>
    <row r="1449" spans="1:14" x14ac:dyDescent="0.35">
      <c r="A1449" s="61">
        <v>1445</v>
      </c>
      <c r="B1449" s="2"/>
      <c r="C1449" s="2"/>
      <c r="D1449" s="2"/>
      <c r="E1449" s="10"/>
      <c r="F1449" s="11"/>
      <c r="G1449" s="2"/>
      <c r="H1449" s="2"/>
      <c r="I1449" s="2"/>
      <c r="J1449" s="2"/>
      <c r="K1449" s="12"/>
      <c r="L1449" s="2"/>
      <c r="M1449" s="2"/>
      <c r="N1449" s="67"/>
    </row>
    <row r="1450" spans="1:14" x14ac:dyDescent="0.35">
      <c r="A1450" s="61">
        <v>1446</v>
      </c>
      <c r="B1450" s="2"/>
      <c r="C1450" s="2"/>
      <c r="D1450" s="2"/>
      <c r="E1450" s="10"/>
      <c r="F1450" s="11"/>
      <c r="G1450" s="2"/>
      <c r="H1450" s="2"/>
      <c r="I1450" s="2"/>
      <c r="J1450" s="2"/>
      <c r="K1450" s="12"/>
      <c r="L1450" s="2"/>
      <c r="M1450" s="2"/>
      <c r="N1450" s="67"/>
    </row>
    <row r="1451" spans="1:14" x14ac:dyDescent="0.35">
      <c r="A1451" s="61">
        <v>1447</v>
      </c>
      <c r="B1451" s="2"/>
      <c r="C1451" s="2"/>
      <c r="D1451" s="2"/>
      <c r="E1451" s="10"/>
      <c r="F1451" s="11"/>
      <c r="G1451" s="2"/>
      <c r="H1451" s="2"/>
      <c r="I1451" s="2"/>
      <c r="J1451" s="2"/>
      <c r="K1451" s="12"/>
      <c r="L1451" s="2"/>
      <c r="M1451" s="2"/>
      <c r="N1451" s="67"/>
    </row>
    <row r="1452" spans="1:14" x14ac:dyDescent="0.35">
      <c r="A1452" s="61">
        <v>1448</v>
      </c>
      <c r="B1452" s="2"/>
      <c r="C1452" s="2"/>
      <c r="D1452" s="2"/>
      <c r="E1452" s="10"/>
      <c r="F1452" s="11"/>
      <c r="G1452" s="2"/>
      <c r="H1452" s="2"/>
      <c r="I1452" s="2"/>
      <c r="J1452" s="2"/>
      <c r="K1452" s="12"/>
      <c r="L1452" s="2"/>
      <c r="M1452" s="2"/>
      <c r="N1452" s="67"/>
    </row>
    <row r="1453" spans="1:14" x14ac:dyDescent="0.35">
      <c r="A1453" s="61">
        <v>1449</v>
      </c>
      <c r="B1453" s="2"/>
      <c r="C1453" s="2"/>
      <c r="D1453" s="2"/>
      <c r="E1453" s="10"/>
      <c r="F1453" s="11"/>
      <c r="G1453" s="2"/>
      <c r="H1453" s="2"/>
      <c r="I1453" s="2"/>
      <c r="J1453" s="2"/>
      <c r="K1453" s="12"/>
      <c r="L1453" s="2"/>
      <c r="M1453" s="2"/>
      <c r="N1453" s="67"/>
    </row>
    <row r="1454" spans="1:14" x14ac:dyDescent="0.35">
      <c r="A1454" s="61">
        <v>1450</v>
      </c>
      <c r="B1454" s="2"/>
      <c r="C1454" s="2"/>
      <c r="D1454" s="2"/>
      <c r="E1454" s="10"/>
      <c r="F1454" s="11"/>
      <c r="G1454" s="2"/>
      <c r="H1454" s="2"/>
      <c r="I1454" s="2"/>
      <c r="J1454" s="2"/>
      <c r="K1454" s="12"/>
      <c r="L1454" s="2"/>
      <c r="M1454" s="2"/>
      <c r="N1454" s="67"/>
    </row>
    <row r="1455" spans="1:14" x14ac:dyDescent="0.35">
      <c r="A1455" s="61">
        <v>1451</v>
      </c>
      <c r="B1455" s="2"/>
      <c r="C1455" s="2"/>
      <c r="D1455" s="2"/>
      <c r="E1455" s="10"/>
      <c r="F1455" s="11"/>
      <c r="G1455" s="2"/>
      <c r="H1455" s="2"/>
      <c r="I1455" s="2"/>
      <c r="J1455" s="2"/>
      <c r="K1455" s="12"/>
      <c r="L1455" s="2"/>
      <c r="M1455" s="2"/>
      <c r="N1455" s="67"/>
    </row>
    <row r="1456" spans="1:14" x14ac:dyDescent="0.35">
      <c r="A1456" s="61">
        <v>1452</v>
      </c>
      <c r="B1456" s="2"/>
      <c r="C1456" s="2"/>
      <c r="D1456" s="2"/>
      <c r="E1456" s="10"/>
      <c r="F1456" s="11"/>
      <c r="G1456" s="2"/>
      <c r="H1456" s="2"/>
      <c r="I1456" s="2"/>
      <c r="J1456" s="2"/>
      <c r="K1456" s="12"/>
      <c r="L1456" s="2"/>
      <c r="M1456" s="2"/>
      <c r="N1456" s="67"/>
    </row>
    <row r="1457" spans="1:14" x14ac:dyDescent="0.35">
      <c r="A1457" s="61">
        <v>1453</v>
      </c>
      <c r="B1457" s="2"/>
      <c r="C1457" s="2"/>
      <c r="D1457" s="2"/>
      <c r="E1457" s="10"/>
      <c r="F1457" s="11"/>
      <c r="G1457" s="2"/>
      <c r="H1457" s="2"/>
      <c r="I1457" s="2"/>
      <c r="J1457" s="2"/>
      <c r="K1457" s="12"/>
      <c r="L1457" s="2"/>
      <c r="M1457" s="2"/>
      <c r="N1457" s="67"/>
    </row>
    <row r="1458" spans="1:14" x14ac:dyDescent="0.35">
      <c r="A1458" s="61">
        <v>1454</v>
      </c>
      <c r="B1458" s="2"/>
      <c r="C1458" s="2"/>
      <c r="D1458" s="2"/>
      <c r="E1458" s="10"/>
      <c r="F1458" s="11"/>
      <c r="G1458" s="2"/>
      <c r="H1458" s="2"/>
      <c r="I1458" s="2"/>
      <c r="J1458" s="2"/>
      <c r="K1458" s="12"/>
      <c r="L1458" s="2"/>
      <c r="M1458" s="2"/>
      <c r="N1458" s="67"/>
    </row>
    <row r="1459" spans="1:14" x14ac:dyDescent="0.35">
      <c r="A1459" s="61">
        <v>1455</v>
      </c>
      <c r="B1459" s="2"/>
      <c r="C1459" s="2"/>
      <c r="D1459" s="2"/>
      <c r="E1459" s="10"/>
      <c r="F1459" s="11"/>
      <c r="G1459" s="2"/>
      <c r="H1459" s="2"/>
      <c r="I1459" s="2"/>
      <c r="J1459" s="2"/>
      <c r="K1459" s="12"/>
      <c r="L1459" s="2"/>
      <c r="M1459" s="2"/>
      <c r="N1459" s="67"/>
    </row>
    <row r="1460" spans="1:14" x14ac:dyDescent="0.35">
      <c r="A1460" s="61">
        <v>1456</v>
      </c>
      <c r="B1460" s="2"/>
      <c r="C1460" s="2"/>
      <c r="D1460" s="2"/>
      <c r="E1460" s="10"/>
      <c r="F1460" s="11"/>
      <c r="G1460" s="2"/>
      <c r="H1460" s="2"/>
      <c r="I1460" s="2"/>
      <c r="J1460" s="2"/>
      <c r="K1460" s="12"/>
      <c r="L1460" s="2"/>
      <c r="M1460" s="2"/>
      <c r="N1460" s="67"/>
    </row>
    <row r="1461" spans="1:14" x14ac:dyDescent="0.35">
      <c r="A1461" s="61">
        <v>1457</v>
      </c>
      <c r="B1461" s="2"/>
      <c r="C1461" s="2"/>
      <c r="D1461" s="2"/>
      <c r="E1461" s="10"/>
      <c r="F1461" s="11"/>
      <c r="G1461" s="2"/>
      <c r="H1461" s="2"/>
      <c r="I1461" s="2"/>
      <c r="J1461" s="2"/>
      <c r="K1461" s="12"/>
      <c r="L1461" s="2"/>
      <c r="M1461" s="2"/>
      <c r="N1461" s="67"/>
    </row>
    <row r="1462" spans="1:14" x14ac:dyDescent="0.35">
      <c r="A1462" s="61">
        <v>1458</v>
      </c>
      <c r="B1462" s="2"/>
      <c r="C1462" s="2"/>
      <c r="D1462" s="2"/>
      <c r="E1462" s="10"/>
      <c r="F1462" s="11"/>
      <c r="G1462" s="2"/>
      <c r="H1462" s="2"/>
      <c r="I1462" s="2"/>
      <c r="J1462" s="2"/>
      <c r="K1462" s="12"/>
      <c r="L1462" s="2"/>
      <c r="M1462" s="2"/>
      <c r="N1462" s="67"/>
    </row>
    <row r="1463" spans="1:14" x14ac:dyDescent="0.35">
      <c r="A1463" s="61">
        <v>1459</v>
      </c>
      <c r="B1463" s="2"/>
      <c r="C1463" s="2"/>
      <c r="D1463" s="2"/>
      <c r="E1463" s="10"/>
      <c r="F1463" s="11"/>
      <c r="G1463" s="2"/>
      <c r="H1463" s="2"/>
      <c r="I1463" s="2"/>
      <c r="J1463" s="2"/>
      <c r="K1463" s="12"/>
      <c r="L1463" s="2"/>
      <c r="M1463" s="2"/>
      <c r="N1463" s="67"/>
    </row>
    <row r="1464" spans="1:14" x14ac:dyDescent="0.35">
      <c r="A1464" s="61">
        <v>1460</v>
      </c>
      <c r="B1464" s="2"/>
      <c r="C1464" s="2"/>
      <c r="D1464" s="2"/>
      <c r="E1464" s="10"/>
      <c r="F1464" s="11"/>
      <c r="G1464" s="2"/>
      <c r="H1464" s="2"/>
      <c r="I1464" s="2"/>
      <c r="J1464" s="2"/>
      <c r="K1464" s="12"/>
      <c r="L1464" s="2"/>
      <c r="M1464" s="2"/>
      <c r="N1464" s="67"/>
    </row>
    <row r="1465" spans="1:14" x14ac:dyDescent="0.35">
      <c r="A1465" s="61">
        <v>1461</v>
      </c>
      <c r="B1465" s="2"/>
      <c r="C1465" s="2"/>
      <c r="D1465" s="2"/>
      <c r="E1465" s="10"/>
      <c r="F1465" s="11"/>
      <c r="G1465" s="2"/>
      <c r="H1465" s="2"/>
      <c r="I1465" s="2"/>
      <c r="J1465" s="2"/>
      <c r="K1465" s="12"/>
      <c r="L1465" s="2"/>
      <c r="M1465" s="2"/>
      <c r="N1465" s="67"/>
    </row>
    <row r="1466" spans="1:14" x14ac:dyDescent="0.35">
      <c r="A1466" s="61">
        <v>1462</v>
      </c>
      <c r="B1466" s="2"/>
      <c r="C1466" s="2"/>
      <c r="D1466" s="2"/>
      <c r="E1466" s="10"/>
      <c r="F1466" s="11"/>
      <c r="G1466" s="2"/>
      <c r="H1466" s="2"/>
      <c r="I1466" s="2"/>
      <c r="J1466" s="2"/>
      <c r="K1466" s="12"/>
      <c r="L1466" s="2"/>
      <c r="M1466" s="2"/>
      <c r="N1466" s="67"/>
    </row>
    <row r="1467" spans="1:14" x14ac:dyDescent="0.35">
      <c r="A1467" s="61">
        <v>1463</v>
      </c>
      <c r="B1467" s="2"/>
      <c r="C1467" s="2"/>
      <c r="D1467" s="2"/>
      <c r="E1467" s="10"/>
      <c r="F1467" s="11"/>
      <c r="G1467" s="2"/>
      <c r="H1467" s="2"/>
      <c r="I1467" s="2"/>
      <c r="J1467" s="2"/>
      <c r="K1467" s="12"/>
      <c r="L1467" s="2"/>
      <c r="M1467" s="2"/>
      <c r="N1467" s="67"/>
    </row>
    <row r="1468" spans="1:14" x14ac:dyDescent="0.35">
      <c r="A1468" s="61">
        <v>1464</v>
      </c>
      <c r="B1468" s="2"/>
      <c r="C1468" s="2"/>
      <c r="D1468" s="2"/>
      <c r="E1468" s="10"/>
      <c r="F1468" s="11"/>
      <c r="G1468" s="2"/>
      <c r="H1468" s="2"/>
      <c r="I1468" s="2"/>
      <c r="J1468" s="2"/>
      <c r="K1468" s="12"/>
      <c r="L1468" s="2"/>
      <c r="M1468" s="2"/>
      <c r="N1468" s="67"/>
    </row>
    <row r="1469" spans="1:14" x14ac:dyDescent="0.35">
      <c r="A1469" s="61">
        <v>1465</v>
      </c>
      <c r="B1469" s="2"/>
      <c r="C1469" s="2"/>
      <c r="D1469" s="2"/>
      <c r="E1469" s="10"/>
      <c r="F1469" s="11"/>
      <c r="G1469" s="2"/>
      <c r="H1469" s="2"/>
      <c r="I1469" s="2"/>
      <c r="J1469" s="2"/>
      <c r="K1469" s="12"/>
      <c r="L1469" s="2"/>
      <c r="M1469" s="2"/>
      <c r="N1469" s="67"/>
    </row>
    <row r="1470" spans="1:14" x14ac:dyDescent="0.35">
      <c r="A1470" s="61">
        <v>1466</v>
      </c>
      <c r="B1470" s="2"/>
      <c r="C1470" s="2"/>
      <c r="D1470" s="2"/>
      <c r="E1470" s="10"/>
      <c r="F1470" s="11"/>
      <c r="G1470" s="2"/>
      <c r="H1470" s="2"/>
      <c r="I1470" s="2"/>
      <c r="J1470" s="2"/>
      <c r="K1470" s="12"/>
      <c r="L1470" s="2"/>
      <c r="M1470" s="2"/>
      <c r="N1470" s="67"/>
    </row>
    <row r="1471" spans="1:14" x14ac:dyDescent="0.35">
      <c r="A1471" s="61">
        <v>1467</v>
      </c>
      <c r="B1471" s="2"/>
      <c r="C1471" s="2"/>
      <c r="D1471" s="2"/>
      <c r="E1471" s="10"/>
      <c r="F1471" s="11"/>
      <c r="G1471" s="2"/>
      <c r="H1471" s="2"/>
      <c r="I1471" s="2"/>
      <c r="J1471" s="2"/>
      <c r="K1471" s="12"/>
      <c r="L1471" s="2"/>
      <c r="M1471" s="2"/>
      <c r="N1471" s="67"/>
    </row>
    <row r="1472" spans="1:14" x14ac:dyDescent="0.35">
      <c r="A1472" s="61">
        <v>1468</v>
      </c>
      <c r="B1472" s="2"/>
      <c r="C1472" s="2"/>
      <c r="D1472" s="2"/>
      <c r="E1472" s="10"/>
      <c r="F1472" s="11"/>
      <c r="G1472" s="2"/>
      <c r="H1472" s="2"/>
      <c r="I1472" s="2"/>
      <c r="J1472" s="2"/>
      <c r="K1472" s="12"/>
      <c r="L1472" s="2"/>
      <c r="M1472" s="2"/>
      <c r="N1472" s="67"/>
    </row>
    <row r="1473" spans="1:14" x14ac:dyDescent="0.35">
      <c r="A1473" s="61">
        <v>1469</v>
      </c>
      <c r="B1473" s="2"/>
      <c r="C1473" s="2"/>
      <c r="D1473" s="2"/>
      <c r="E1473" s="10"/>
      <c r="F1473" s="11"/>
      <c r="G1473" s="2"/>
      <c r="H1473" s="2"/>
      <c r="I1473" s="2"/>
      <c r="J1473" s="2"/>
      <c r="K1473" s="12"/>
      <c r="L1473" s="2"/>
      <c r="M1473" s="2"/>
      <c r="N1473" s="67"/>
    </row>
    <row r="1474" spans="1:14" x14ac:dyDescent="0.35">
      <c r="A1474" s="61">
        <v>1470</v>
      </c>
      <c r="B1474" s="2"/>
      <c r="C1474" s="2"/>
      <c r="D1474" s="2"/>
      <c r="E1474" s="10"/>
      <c r="F1474" s="11"/>
      <c r="G1474" s="2"/>
      <c r="H1474" s="2"/>
      <c r="I1474" s="2"/>
      <c r="J1474" s="2"/>
      <c r="K1474" s="12"/>
      <c r="L1474" s="2"/>
      <c r="M1474" s="2"/>
      <c r="N1474" s="67"/>
    </row>
    <row r="1475" spans="1:14" x14ac:dyDescent="0.35">
      <c r="A1475" s="61">
        <v>1471</v>
      </c>
      <c r="B1475" s="2"/>
      <c r="C1475" s="2"/>
      <c r="D1475" s="2"/>
      <c r="E1475" s="10"/>
      <c r="F1475" s="11"/>
      <c r="G1475" s="2"/>
      <c r="H1475" s="2"/>
      <c r="I1475" s="2"/>
      <c r="J1475" s="2"/>
      <c r="K1475" s="12"/>
      <c r="L1475" s="2"/>
      <c r="M1475" s="2"/>
      <c r="N1475" s="67"/>
    </row>
    <row r="1476" spans="1:14" x14ac:dyDescent="0.35">
      <c r="A1476" s="61">
        <v>1472</v>
      </c>
      <c r="B1476" s="2"/>
      <c r="C1476" s="2"/>
      <c r="D1476" s="2"/>
      <c r="E1476" s="10"/>
      <c r="F1476" s="11"/>
      <c r="G1476" s="2"/>
      <c r="H1476" s="2"/>
      <c r="I1476" s="2"/>
      <c r="J1476" s="2"/>
      <c r="K1476" s="12"/>
      <c r="L1476" s="2"/>
      <c r="M1476" s="2"/>
      <c r="N1476" s="67"/>
    </row>
    <row r="1477" spans="1:14" x14ac:dyDescent="0.35">
      <c r="A1477" s="61">
        <v>1473</v>
      </c>
      <c r="B1477" s="2"/>
      <c r="C1477" s="2"/>
      <c r="D1477" s="2"/>
      <c r="E1477" s="10"/>
      <c r="F1477" s="11"/>
      <c r="G1477" s="2"/>
      <c r="H1477" s="2"/>
      <c r="I1477" s="2"/>
      <c r="J1477" s="2"/>
      <c r="K1477" s="12"/>
      <c r="L1477" s="2"/>
      <c r="M1477" s="2"/>
      <c r="N1477" s="67"/>
    </row>
    <row r="1478" spans="1:14" x14ac:dyDescent="0.35">
      <c r="A1478" s="61">
        <v>1474</v>
      </c>
      <c r="B1478" s="2"/>
      <c r="C1478" s="2"/>
      <c r="D1478" s="2"/>
      <c r="E1478" s="10"/>
      <c r="F1478" s="11"/>
      <c r="G1478" s="2"/>
      <c r="H1478" s="2"/>
      <c r="I1478" s="2"/>
      <c r="J1478" s="2"/>
      <c r="K1478" s="12"/>
      <c r="L1478" s="2"/>
      <c r="M1478" s="2"/>
      <c r="N1478" s="67"/>
    </row>
    <row r="1479" spans="1:14" x14ac:dyDescent="0.35">
      <c r="A1479" s="61">
        <v>1475</v>
      </c>
      <c r="B1479" s="2"/>
      <c r="C1479" s="2"/>
      <c r="D1479" s="2"/>
      <c r="E1479" s="10"/>
      <c r="F1479" s="11"/>
      <c r="G1479" s="2"/>
      <c r="H1479" s="2"/>
      <c r="I1479" s="2"/>
      <c r="J1479" s="2"/>
      <c r="K1479" s="12"/>
      <c r="L1479" s="2"/>
      <c r="M1479" s="2"/>
      <c r="N1479" s="67"/>
    </row>
    <row r="1480" spans="1:14" x14ac:dyDescent="0.35">
      <c r="A1480" s="61">
        <v>1476</v>
      </c>
      <c r="B1480" s="2"/>
      <c r="C1480" s="2"/>
      <c r="D1480" s="2"/>
      <c r="E1480" s="10"/>
      <c r="F1480" s="11"/>
      <c r="G1480" s="2"/>
      <c r="H1480" s="2"/>
      <c r="I1480" s="2"/>
      <c r="J1480" s="2"/>
      <c r="K1480" s="12"/>
      <c r="L1480" s="2"/>
      <c r="M1480" s="2"/>
      <c r="N1480" s="67"/>
    </row>
    <row r="1481" spans="1:14" x14ac:dyDescent="0.35">
      <c r="A1481" s="61">
        <v>1477</v>
      </c>
      <c r="B1481" s="2"/>
      <c r="C1481" s="2"/>
      <c r="D1481" s="2"/>
      <c r="E1481" s="10"/>
      <c r="F1481" s="11"/>
      <c r="G1481" s="2"/>
      <c r="H1481" s="2"/>
      <c r="I1481" s="2"/>
      <c r="J1481" s="2"/>
      <c r="K1481" s="12"/>
      <c r="L1481" s="2"/>
      <c r="M1481" s="2"/>
      <c r="N1481" s="67"/>
    </row>
    <row r="1482" spans="1:14" x14ac:dyDescent="0.35">
      <c r="A1482" s="61">
        <v>1478</v>
      </c>
      <c r="B1482" s="2"/>
      <c r="C1482" s="2"/>
      <c r="D1482" s="2"/>
      <c r="E1482" s="10"/>
      <c r="F1482" s="11"/>
      <c r="G1482" s="2"/>
      <c r="H1482" s="2"/>
      <c r="I1482" s="2"/>
      <c r="J1482" s="2"/>
      <c r="K1482" s="12"/>
      <c r="L1482" s="2"/>
      <c r="M1482" s="2"/>
      <c r="N1482" s="67"/>
    </row>
    <row r="1483" spans="1:14" x14ac:dyDescent="0.35">
      <c r="A1483" s="61">
        <v>1479</v>
      </c>
      <c r="B1483" s="2"/>
      <c r="C1483" s="2"/>
      <c r="D1483" s="2"/>
      <c r="E1483" s="10"/>
      <c r="F1483" s="11"/>
      <c r="G1483" s="2"/>
      <c r="H1483" s="2"/>
      <c r="I1483" s="2"/>
      <c r="J1483" s="2"/>
      <c r="K1483" s="12"/>
      <c r="L1483" s="2"/>
      <c r="M1483" s="2"/>
      <c r="N1483" s="67"/>
    </row>
    <row r="1484" spans="1:14" x14ac:dyDescent="0.35">
      <c r="A1484" s="61">
        <v>1480</v>
      </c>
      <c r="B1484" s="2"/>
      <c r="C1484" s="2"/>
      <c r="D1484" s="2"/>
      <c r="E1484" s="10"/>
      <c r="F1484" s="11"/>
      <c r="G1484" s="2"/>
      <c r="H1484" s="2"/>
      <c r="I1484" s="2"/>
      <c r="J1484" s="2"/>
      <c r="K1484" s="12"/>
      <c r="L1484" s="2"/>
      <c r="M1484" s="2"/>
      <c r="N1484" s="67"/>
    </row>
    <row r="1485" spans="1:14" x14ac:dyDescent="0.35">
      <c r="A1485" s="61">
        <v>1481</v>
      </c>
      <c r="B1485" s="2"/>
      <c r="C1485" s="2"/>
      <c r="D1485" s="2"/>
      <c r="E1485" s="10"/>
      <c r="F1485" s="11"/>
      <c r="G1485" s="2"/>
      <c r="H1485" s="2"/>
      <c r="I1485" s="2"/>
      <c r="J1485" s="2"/>
      <c r="K1485" s="12"/>
      <c r="L1485" s="2"/>
      <c r="M1485" s="2"/>
      <c r="N1485" s="67"/>
    </row>
    <row r="1486" spans="1:14" x14ac:dyDescent="0.35">
      <c r="A1486" s="61">
        <v>1482</v>
      </c>
      <c r="B1486" s="2"/>
      <c r="C1486" s="2"/>
      <c r="D1486" s="2"/>
      <c r="E1486" s="10"/>
      <c r="F1486" s="11"/>
      <c r="G1486" s="2"/>
      <c r="H1486" s="2"/>
      <c r="I1486" s="2"/>
      <c r="J1486" s="2"/>
      <c r="K1486" s="12"/>
      <c r="L1486" s="2"/>
      <c r="M1486" s="2"/>
      <c r="N1486" s="67"/>
    </row>
    <row r="1487" spans="1:14" x14ac:dyDescent="0.35">
      <c r="A1487" s="61">
        <v>1483</v>
      </c>
      <c r="B1487" s="2"/>
      <c r="C1487" s="2"/>
      <c r="D1487" s="2"/>
      <c r="E1487" s="10"/>
      <c r="F1487" s="11"/>
      <c r="G1487" s="2"/>
      <c r="H1487" s="2"/>
      <c r="I1487" s="2"/>
      <c r="J1487" s="2"/>
      <c r="K1487" s="12"/>
      <c r="L1487" s="2"/>
      <c r="M1487" s="2"/>
      <c r="N1487" s="67"/>
    </row>
    <row r="1488" spans="1:14" x14ac:dyDescent="0.35">
      <c r="A1488" s="61">
        <v>1484</v>
      </c>
      <c r="B1488" s="2"/>
      <c r="C1488" s="2"/>
      <c r="D1488" s="2"/>
      <c r="E1488" s="10"/>
      <c r="F1488" s="11"/>
      <c r="G1488" s="2"/>
      <c r="H1488" s="2"/>
      <c r="I1488" s="2"/>
      <c r="J1488" s="2"/>
      <c r="K1488" s="12"/>
      <c r="L1488" s="2"/>
      <c r="M1488" s="2"/>
      <c r="N1488" s="67"/>
    </row>
    <row r="1489" spans="1:14" x14ac:dyDescent="0.35">
      <c r="A1489" s="61">
        <v>1485</v>
      </c>
      <c r="B1489" s="2"/>
      <c r="C1489" s="2"/>
      <c r="D1489" s="2"/>
      <c r="E1489" s="10"/>
      <c r="F1489" s="11"/>
      <c r="G1489" s="2"/>
      <c r="H1489" s="2"/>
      <c r="I1489" s="2"/>
      <c r="J1489" s="2"/>
      <c r="K1489" s="12"/>
      <c r="L1489" s="2"/>
      <c r="M1489" s="2"/>
      <c r="N1489" s="67"/>
    </row>
    <row r="1490" spans="1:14" x14ac:dyDescent="0.35">
      <c r="A1490" s="61">
        <v>1486</v>
      </c>
      <c r="B1490" s="2"/>
      <c r="C1490" s="2"/>
      <c r="D1490" s="2"/>
      <c r="E1490" s="10"/>
      <c r="F1490" s="11"/>
      <c r="G1490" s="2"/>
      <c r="H1490" s="2"/>
      <c r="I1490" s="2"/>
      <c r="J1490" s="2"/>
      <c r="K1490" s="12"/>
      <c r="L1490" s="2"/>
      <c r="M1490" s="2"/>
      <c r="N1490" s="67"/>
    </row>
    <row r="1491" spans="1:14" x14ac:dyDescent="0.35">
      <c r="A1491" s="61">
        <v>1487</v>
      </c>
      <c r="B1491" s="2"/>
      <c r="C1491" s="2"/>
      <c r="D1491" s="2"/>
      <c r="E1491" s="10"/>
      <c r="F1491" s="11"/>
      <c r="G1491" s="2"/>
      <c r="H1491" s="2"/>
      <c r="I1491" s="2"/>
      <c r="J1491" s="2"/>
      <c r="K1491" s="12"/>
      <c r="L1491" s="2"/>
      <c r="M1491" s="2"/>
      <c r="N1491" s="67"/>
    </row>
    <row r="1492" spans="1:14" x14ac:dyDescent="0.35">
      <c r="A1492" s="61">
        <v>1488</v>
      </c>
      <c r="B1492" s="2"/>
      <c r="C1492" s="2"/>
      <c r="D1492" s="2"/>
      <c r="E1492" s="10"/>
      <c r="F1492" s="11"/>
      <c r="G1492" s="2"/>
      <c r="H1492" s="2"/>
      <c r="I1492" s="2"/>
      <c r="J1492" s="2"/>
      <c r="K1492" s="12"/>
      <c r="L1492" s="2"/>
      <c r="M1492" s="2"/>
      <c r="N1492" s="67"/>
    </row>
    <row r="1493" spans="1:14" x14ac:dyDescent="0.35">
      <c r="A1493" s="61">
        <v>1489</v>
      </c>
      <c r="B1493" s="2"/>
      <c r="C1493" s="2"/>
      <c r="D1493" s="2"/>
      <c r="E1493" s="10"/>
      <c r="F1493" s="11"/>
      <c r="G1493" s="2"/>
      <c r="H1493" s="2"/>
      <c r="I1493" s="2"/>
      <c r="J1493" s="2"/>
      <c r="K1493" s="12"/>
      <c r="L1493" s="2"/>
      <c r="M1493" s="2"/>
      <c r="N1493" s="67"/>
    </row>
    <row r="1494" spans="1:14" x14ac:dyDescent="0.35">
      <c r="A1494" s="61">
        <v>1490</v>
      </c>
      <c r="B1494" s="2"/>
      <c r="C1494" s="2"/>
      <c r="D1494" s="2"/>
      <c r="E1494" s="10"/>
      <c r="F1494" s="11"/>
      <c r="G1494" s="2"/>
      <c r="H1494" s="2"/>
      <c r="I1494" s="2"/>
      <c r="J1494" s="2"/>
      <c r="K1494" s="12"/>
      <c r="L1494" s="2"/>
      <c r="M1494" s="2"/>
      <c r="N1494" s="67"/>
    </row>
    <row r="1495" spans="1:14" x14ac:dyDescent="0.35">
      <c r="A1495" s="61">
        <v>1491</v>
      </c>
      <c r="B1495" s="2"/>
      <c r="C1495" s="2"/>
      <c r="D1495" s="2"/>
      <c r="E1495" s="10"/>
      <c r="F1495" s="11"/>
      <c r="G1495" s="2"/>
      <c r="H1495" s="2"/>
      <c r="I1495" s="2"/>
      <c r="J1495" s="2"/>
      <c r="K1495" s="12"/>
      <c r="L1495" s="2"/>
      <c r="M1495" s="2"/>
      <c r="N1495" s="67"/>
    </row>
    <row r="1496" spans="1:14" x14ac:dyDescent="0.35">
      <c r="A1496" s="61">
        <v>1492</v>
      </c>
      <c r="B1496" s="2"/>
      <c r="C1496" s="2"/>
      <c r="D1496" s="2"/>
      <c r="E1496" s="10"/>
      <c r="F1496" s="11"/>
      <c r="G1496" s="2"/>
      <c r="H1496" s="2"/>
      <c r="I1496" s="2"/>
      <c r="J1496" s="2"/>
      <c r="K1496" s="12"/>
      <c r="L1496" s="2"/>
      <c r="M1496" s="2"/>
      <c r="N1496" s="67"/>
    </row>
    <row r="1497" spans="1:14" x14ac:dyDescent="0.35">
      <c r="A1497" s="61">
        <v>1493</v>
      </c>
      <c r="B1497" s="2"/>
      <c r="C1497" s="2"/>
      <c r="D1497" s="2"/>
      <c r="E1497" s="10"/>
      <c r="F1497" s="11"/>
      <c r="G1497" s="2"/>
      <c r="H1497" s="2"/>
      <c r="I1497" s="2"/>
      <c r="J1497" s="2"/>
      <c r="K1497" s="12"/>
      <c r="L1497" s="2"/>
      <c r="M1497" s="2"/>
      <c r="N1497" s="67"/>
    </row>
    <row r="1498" spans="1:14" x14ac:dyDescent="0.35">
      <c r="A1498" s="61">
        <v>1494</v>
      </c>
      <c r="B1498" s="2"/>
      <c r="C1498" s="2"/>
      <c r="D1498" s="2"/>
      <c r="E1498" s="10"/>
      <c r="F1498" s="11"/>
      <c r="G1498" s="2"/>
      <c r="H1498" s="2"/>
      <c r="I1498" s="2"/>
      <c r="J1498" s="2"/>
      <c r="K1498" s="12"/>
      <c r="L1498" s="2"/>
      <c r="M1498" s="2"/>
      <c r="N1498" s="67"/>
    </row>
    <row r="1499" spans="1:14" x14ac:dyDescent="0.35">
      <c r="A1499" s="61">
        <v>1495</v>
      </c>
      <c r="B1499" s="2"/>
      <c r="C1499" s="2"/>
      <c r="D1499" s="2"/>
      <c r="E1499" s="10"/>
      <c r="F1499" s="11"/>
      <c r="G1499" s="2"/>
      <c r="H1499" s="2"/>
      <c r="I1499" s="2"/>
      <c r="J1499" s="2"/>
      <c r="K1499" s="12"/>
      <c r="L1499" s="2"/>
      <c r="M1499" s="2"/>
      <c r="N1499" s="67"/>
    </row>
    <row r="1500" spans="1:14" x14ac:dyDescent="0.35">
      <c r="A1500" s="61">
        <v>1496</v>
      </c>
      <c r="B1500" s="2"/>
      <c r="C1500" s="2"/>
      <c r="D1500" s="2"/>
      <c r="E1500" s="10"/>
      <c r="F1500" s="11"/>
      <c r="G1500" s="2"/>
      <c r="H1500" s="2"/>
      <c r="I1500" s="2"/>
      <c r="J1500" s="2"/>
      <c r="K1500" s="12"/>
      <c r="L1500" s="2"/>
      <c r="M1500" s="2"/>
      <c r="N1500" s="67"/>
    </row>
    <row r="1501" spans="1:14" x14ac:dyDescent="0.35">
      <c r="A1501" s="61">
        <v>1497</v>
      </c>
      <c r="B1501" s="2"/>
      <c r="C1501" s="2"/>
      <c r="D1501" s="2"/>
      <c r="E1501" s="10"/>
      <c r="F1501" s="11"/>
      <c r="G1501" s="2"/>
      <c r="H1501" s="2"/>
      <c r="I1501" s="2"/>
      <c r="J1501" s="2"/>
      <c r="K1501" s="12"/>
      <c r="L1501" s="2"/>
      <c r="M1501" s="2"/>
      <c r="N1501" s="67"/>
    </row>
    <row r="1502" spans="1:14" x14ac:dyDescent="0.35">
      <c r="A1502" s="61">
        <v>1498</v>
      </c>
      <c r="B1502" s="2"/>
      <c r="C1502" s="2"/>
      <c r="D1502" s="2"/>
      <c r="E1502" s="10"/>
      <c r="F1502" s="11"/>
      <c r="G1502" s="2"/>
      <c r="H1502" s="2"/>
      <c r="I1502" s="2"/>
      <c r="J1502" s="2"/>
      <c r="K1502" s="12"/>
      <c r="L1502" s="2"/>
      <c r="M1502" s="2"/>
      <c r="N1502" s="67"/>
    </row>
    <row r="1503" spans="1:14" x14ac:dyDescent="0.35">
      <c r="A1503" s="61">
        <v>1499</v>
      </c>
      <c r="B1503" s="2"/>
      <c r="C1503" s="2"/>
      <c r="D1503" s="2"/>
      <c r="E1503" s="10"/>
      <c r="F1503" s="11"/>
      <c r="G1503" s="2"/>
      <c r="H1503" s="2"/>
      <c r="I1503" s="2"/>
      <c r="J1503" s="2"/>
      <c r="K1503" s="12"/>
      <c r="L1503" s="2"/>
      <c r="M1503" s="2"/>
      <c r="N1503" s="67"/>
    </row>
    <row r="1504" spans="1:14" x14ac:dyDescent="0.35">
      <c r="A1504" s="61">
        <v>1500</v>
      </c>
      <c r="B1504" s="2"/>
      <c r="C1504" s="2"/>
      <c r="D1504" s="2"/>
      <c r="E1504" s="10"/>
      <c r="F1504" s="11"/>
      <c r="G1504" s="2"/>
      <c r="H1504" s="2"/>
      <c r="I1504" s="2"/>
      <c r="J1504" s="2"/>
      <c r="K1504" s="12"/>
      <c r="L1504" s="2"/>
      <c r="M1504" s="2"/>
      <c r="N1504" s="67"/>
    </row>
    <row r="1505" spans="1:14" x14ac:dyDescent="0.35">
      <c r="A1505" s="61">
        <v>1501</v>
      </c>
      <c r="B1505" s="2"/>
      <c r="C1505" s="2"/>
      <c r="D1505" s="2"/>
      <c r="E1505" s="10"/>
      <c r="F1505" s="11"/>
      <c r="G1505" s="2"/>
      <c r="H1505" s="2"/>
      <c r="I1505" s="2"/>
      <c r="J1505" s="2"/>
      <c r="K1505" s="12"/>
      <c r="L1505" s="2"/>
      <c r="M1505" s="2"/>
      <c r="N1505" s="67"/>
    </row>
    <row r="1506" spans="1:14" x14ac:dyDescent="0.35">
      <c r="A1506" s="61">
        <v>1502</v>
      </c>
      <c r="B1506" s="2"/>
      <c r="C1506" s="2"/>
      <c r="D1506" s="2"/>
      <c r="E1506" s="10"/>
      <c r="F1506" s="11"/>
      <c r="G1506" s="2"/>
      <c r="H1506" s="2"/>
      <c r="I1506" s="2"/>
      <c r="J1506" s="2"/>
      <c r="K1506" s="12"/>
      <c r="L1506" s="2"/>
      <c r="M1506" s="2"/>
      <c r="N1506" s="67"/>
    </row>
    <row r="1507" spans="1:14" x14ac:dyDescent="0.35">
      <c r="A1507" s="61">
        <v>1503</v>
      </c>
      <c r="B1507" s="2"/>
      <c r="C1507" s="2"/>
      <c r="D1507" s="2"/>
      <c r="E1507" s="10"/>
      <c r="F1507" s="11"/>
      <c r="G1507" s="2"/>
      <c r="H1507" s="2"/>
      <c r="I1507" s="2"/>
      <c r="J1507" s="2"/>
      <c r="K1507" s="12"/>
      <c r="L1507" s="2"/>
      <c r="M1507" s="2"/>
      <c r="N1507" s="67"/>
    </row>
    <row r="1508" spans="1:14" x14ac:dyDescent="0.35">
      <c r="A1508" s="61">
        <v>1504</v>
      </c>
      <c r="B1508" s="2"/>
      <c r="C1508" s="2"/>
      <c r="D1508" s="2"/>
      <c r="E1508" s="10"/>
      <c r="F1508" s="11"/>
      <c r="G1508" s="2"/>
      <c r="H1508" s="2"/>
      <c r="I1508" s="2"/>
      <c r="J1508" s="2"/>
      <c r="K1508" s="12"/>
      <c r="L1508" s="2"/>
      <c r="M1508" s="2"/>
      <c r="N1508" s="67"/>
    </row>
    <row r="1509" spans="1:14" x14ac:dyDescent="0.35">
      <c r="A1509" s="61">
        <v>1505</v>
      </c>
      <c r="B1509" s="2"/>
      <c r="C1509" s="2"/>
      <c r="D1509" s="2"/>
      <c r="E1509" s="10"/>
      <c r="F1509" s="11"/>
      <c r="G1509" s="2"/>
      <c r="H1509" s="2"/>
      <c r="I1509" s="2"/>
      <c r="J1509" s="2"/>
      <c r="K1509" s="12"/>
      <c r="L1509" s="2"/>
      <c r="M1509" s="2"/>
      <c r="N1509" s="67"/>
    </row>
    <row r="1510" spans="1:14" x14ac:dyDescent="0.35">
      <c r="A1510" s="61">
        <v>1506</v>
      </c>
      <c r="B1510" s="2"/>
      <c r="C1510" s="2"/>
      <c r="D1510" s="2"/>
      <c r="E1510" s="10"/>
      <c r="F1510" s="11"/>
      <c r="G1510" s="2"/>
      <c r="H1510" s="2"/>
      <c r="I1510" s="2"/>
      <c r="J1510" s="2"/>
      <c r="K1510" s="12"/>
      <c r="L1510" s="2"/>
      <c r="M1510" s="2"/>
      <c r="N1510" s="67"/>
    </row>
    <row r="1511" spans="1:14" x14ac:dyDescent="0.35">
      <c r="A1511" s="61">
        <v>1507</v>
      </c>
      <c r="B1511" s="2"/>
      <c r="C1511" s="2"/>
      <c r="D1511" s="2"/>
      <c r="E1511" s="10"/>
      <c r="F1511" s="11"/>
      <c r="G1511" s="2"/>
      <c r="H1511" s="2"/>
      <c r="I1511" s="2"/>
      <c r="J1511" s="2"/>
      <c r="K1511" s="12"/>
      <c r="L1511" s="2"/>
      <c r="M1511" s="2"/>
      <c r="N1511" s="67"/>
    </row>
    <row r="1512" spans="1:14" x14ac:dyDescent="0.35">
      <c r="A1512" s="61">
        <v>1508</v>
      </c>
      <c r="B1512" s="2"/>
      <c r="C1512" s="2"/>
      <c r="D1512" s="2"/>
      <c r="E1512" s="10"/>
      <c r="F1512" s="11"/>
      <c r="G1512" s="2"/>
      <c r="H1512" s="2"/>
      <c r="I1512" s="2"/>
      <c r="J1512" s="2"/>
      <c r="K1512" s="12"/>
      <c r="L1512" s="2"/>
      <c r="M1512" s="2"/>
      <c r="N1512" s="67"/>
    </row>
    <row r="1513" spans="1:14" x14ac:dyDescent="0.35">
      <c r="A1513" s="61">
        <v>1509</v>
      </c>
      <c r="B1513" s="2"/>
      <c r="C1513" s="2"/>
      <c r="D1513" s="2"/>
      <c r="E1513" s="10"/>
      <c r="F1513" s="11"/>
      <c r="G1513" s="2"/>
      <c r="H1513" s="2"/>
      <c r="I1513" s="2"/>
      <c r="J1513" s="2"/>
      <c r="K1513" s="12"/>
      <c r="L1513" s="2"/>
      <c r="M1513" s="2"/>
      <c r="N1513" s="67"/>
    </row>
    <row r="1514" spans="1:14" x14ac:dyDescent="0.35">
      <c r="A1514" s="61">
        <v>1510</v>
      </c>
      <c r="B1514" s="2"/>
      <c r="C1514" s="2"/>
      <c r="D1514" s="2"/>
      <c r="E1514" s="10"/>
      <c r="F1514" s="11"/>
      <c r="G1514" s="2"/>
      <c r="H1514" s="2"/>
      <c r="I1514" s="2"/>
      <c r="J1514" s="2"/>
      <c r="K1514" s="12"/>
      <c r="L1514" s="2"/>
      <c r="M1514" s="2"/>
      <c r="N1514" s="67"/>
    </row>
    <row r="1515" spans="1:14" x14ac:dyDescent="0.35">
      <c r="A1515" s="61">
        <v>1511</v>
      </c>
      <c r="B1515" s="2"/>
      <c r="C1515" s="2"/>
      <c r="D1515" s="2"/>
      <c r="E1515" s="10"/>
      <c r="F1515" s="11"/>
      <c r="G1515" s="2"/>
      <c r="H1515" s="2"/>
      <c r="I1515" s="2"/>
      <c r="J1515" s="2"/>
      <c r="K1515" s="12"/>
      <c r="L1515" s="2"/>
      <c r="M1515" s="2"/>
      <c r="N1515" s="67"/>
    </row>
    <row r="1516" spans="1:14" x14ac:dyDescent="0.35">
      <c r="A1516" s="61">
        <v>1512</v>
      </c>
      <c r="B1516" s="2"/>
      <c r="C1516" s="2"/>
      <c r="D1516" s="2"/>
      <c r="E1516" s="10"/>
      <c r="F1516" s="11"/>
      <c r="G1516" s="2"/>
      <c r="H1516" s="2"/>
      <c r="I1516" s="2"/>
      <c r="J1516" s="2"/>
      <c r="K1516" s="12"/>
      <c r="L1516" s="2"/>
      <c r="M1516" s="2"/>
      <c r="N1516" s="67"/>
    </row>
    <row r="1517" spans="1:14" x14ac:dyDescent="0.35">
      <c r="A1517" s="61">
        <v>1513</v>
      </c>
      <c r="B1517" s="2"/>
      <c r="C1517" s="2"/>
      <c r="D1517" s="2"/>
      <c r="E1517" s="10"/>
      <c r="F1517" s="11"/>
      <c r="G1517" s="2"/>
      <c r="H1517" s="2"/>
      <c r="I1517" s="2"/>
      <c r="J1517" s="2"/>
      <c r="K1517" s="12"/>
      <c r="L1517" s="2"/>
      <c r="M1517" s="2"/>
      <c r="N1517" s="67"/>
    </row>
    <row r="1518" spans="1:14" x14ac:dyDescent="0.35">
      <c r="A1518" s="61">
        <v>1514</v>
      </c>
      <c r="B1518" s="2"/>
      <c r="C1518" s="2"/>
      <c r="D1518" s="2"/>
      <c r="E1518" s="10"/>
      <c r="F1518" s="11"/>
      <c r="G1518" s="2"/>
      <c r="H1518" s="2"/>
      <c r="I1518" s="2"/>
      <c r="J1518" s="2"/>
      <c r="K1518" s="12"/>
      <c r="L1518" s="2"/>
      <c r="M1518" s="2"/>
      <c r="N1518" s="67"/>
    </row>
    <row r="1519" spans="1:14" x14ac:dyDescent="0.35">
      <c r="A1519" s="61">
        <v>1515</v>
      </c>
      <c r="B1519" s="2"/>
      <c r="C1519" s="2"/>
      <c r="D1519" s="2"/>
      <c r="E1519" s="10"/>
      <c r="F1519" s="11"/>
      <c r="G1519" s="2"/>
      <c r="H1519" s="2"/>
      <c r="I1519" s="2"/>
      <c r="J1519" s="2"/>
      <c r="K1519" s="12"/>
      <c r="L1519" s="2"/>
      <c r="M1519" s="2"/>
      <c r="N1519" s="67"/>
    </row>
    <row r="1520" spans="1:14" x14ac:dyDescent="0.35">
      <c r="A1520" s="61">
        <v>1516</v>
      </c>
      <c r="B1520" s="2"/>
      <c r="C1520" s="2"/>
      <c r="D1520" s="2"/>
      <c r="E1520" s="10"/>
      <c r="F1520" s="11"/>
      <c r="G1520" s="2"/>
      <c r="H1520" s="2"/>
      <c r="I1520" s="2"/>
      <c r="J1520" s="2"/>
      <c r="K1520" s="12"/>
      <c r="L1520" s="2"/>
      <c r="M1520" s="2"/>
      <c r="N1520" s="67"/>
    </row>
    <row r="1521" spans="1:14" x14ac:dyDescent="0.35">
      <c r="A1521" s="61">
        <v>1517</v>
      </c>
      <c r="B1521" s="2"/>
      <c r="C1521" s="2"/>
      <c r="D1521" s="2"/>
      <c r="E1521" s="10"/>
      <c r="F1521" s="11"/>
      <c r="G1521" s="2"/>
      <c r="H1521" s="2"/>
      <c r="I1521" s="2"/>
      <c r="J1521" s="2"/>
      <c r="K1521" s="12"/>
      <c r="L1521" s="2"/>
      <c r="M1521" s="2"/>
      <c r="N1521" s="67"/>
    </row>
    <row r="1522" spans="1:14" x14ac:dyDescent="0.35">
      <c r="A1522" s="61">
        <v>1518</v>
      </c>
      <c r="B1522" s="2"/>
      <c r="C1522" s="2"/>
      <c r="D1522" s="2"/>
      <c r="E1522" s="10"/>
      <c r="F1522" s="11"/>
      <c r="G1522" s="2"/>
      <c r="H1522" s="2"/>
      <c r="I1522" s="2"/>
      <c r="J1522" s="2"/>
      <c r="K1522" s="12"/>
      <c r="L1522" s="2"/>
      <c r="M1522" s="2"/>
      <c r="N1522" s="67"/>
    </row>
    <row r="1523" spans="1:14" x14ac:dyDescent="0.35">
      <c r="A1523" s="61">
        <v>1519</v>
      </c>
      <c r="B1523" s="2"/>
      <c r="C1523" s="2"/>
      <c r="D1523" s="2"/>
      <c r="E1523" s="10"/>
      <c r="F1523" s="11"/>
      <c r="G1523" s="2"/>
      <c r="H1523" s="2"/>
      <c r="I1523" s="2"/>
      <c r="J1523" s="2"/>
      <c r="K1523" s="12"/>
      <c r="L1523" s="2"/>
      <c r="M1523" s="2"/>
      <c r="N1523" s="67"/>
    </row>
    <row r="1524" spans="1:14" x14ac:dyDescent="0.35">
      <c r="A1524" s="61">
        <v>1520</v>
      </c>
      <c r="B1524" s="2"/>
      <c r="C1524" s="2"/>
      <c r="D1524" s="2"/>
      <c r="E1524" s="10"/>
      <c r="F1524" s="11"/>
      <c r="G1524" s="2"/>
      <c r="H1524" s="2"/>
      <c r="I1524" s="2"/>
      <c r="J1524" s="2"/>
      <c r="K1524" s="12"/>
      <c r="L1524" s="2"/>
      <c r="M1524" s="2"/>
      <c r="N1524" s="67"/>
    </row>
    <row r="1525" spans="1:14" x14ac:dyDescent="0.35">
      <c r="A1525" s="61">
        <v>1521</v>
      </c>
      <c r="B1525" s="2"/>
      <c r="C1525" s="2"/>
      <c r="D1525" s="2"/>
      <c r="E1525" s="10"/>
      <c r="F1525" s="11"/>
      <c r="G1525" s="2"/>
      <c r="H1525" s="2"/>
      <c r="I1525" s="2"/>
      <c r="J1525" s="2"/>
      <c r="K1525" s="12"/>
      <c r="L1525" s="2"/>
      <c r="M1525" s="2"/>
      <c r="N1525" s="67"/>
    </row>
    <row r="1526" spans="1:14" x14ac:dyDescent="0.35">
      <c r="A1526" s="61">
        <v>1522</v>
      </c>
      <c r="B1526" s="2"/>
      <c r="C1526" s="2"/>
      <c r="D1526" s="2"/>
      <c r="E1526" s="10"/>
      <c r="F1526" s="11"/>
      <c r="G1526" s="2"/>
      <c r="H1526" s="2"/>
      <c r="I1526" s="2"/>
      <c r="J1526" s="2"/>
      <c r="K1526" s="12"/>
      <c r="L1526" s="2"/>
      <c r="M1526" s="2"/>
      <c r="N1526" s="67"/>
    </row>
    <row r="1527" spans="1:14" x14ac:dyDescent="0.35">
      <c r="A1527" s="61">
        <v>1523</v>
      </c>
      <c r="B1527" s="2"/>
      <c r="C1527" s="2"/>
      <c r="D1527" s="2"/>
      <c r="E1527" s="10"/>
      <c r="F1527" s="11"/>
      <c r="G1527" s="2"/>
      <c r="H1527" s="2"/>
      <c r="I1527" s="2"/>
      <c r="J1527" s="2"/>
      <c r="K1527" s="12"/>
      <c r="L1527" s="2"/>
      <c r="M1527" s="2"/>
      <c r="N1527" s="67"/>
    </row>
    <row r="1528" spans="1:14" x14ac:dyDescent="0.35">
      <c r="A1528" s="61">
        <v>1524</v>
      </c>
      <c r="B1528" s="2"/>
      <c r="C1528" s="2"/>
      <c r="D1528" s="2"/>
      <c r="E1528" s="10"/>
      <c r="F1528" s="11"/>
      <c r="G1528" s="2"/>
      <c r="H1528" s="2"/>
      <c r="I1528" s="2"/>
      <c r="J1528" s="2"/>
      <c r="K1528" s="12"/>
      <c r="L1528" s="2"/>
      <c r="M1528" s="2"/>
      <c r="N1528" s="67"/>
    </row>
    <row r="1529" spans="1:14" x14ac:dyDescent="0.35">
      <c r="A1529" s="61">
        <v>1525</v>
      </c>
      <c r="B1529" s="2"/>
      <c r="C1529" s="2"/>
      <c r="D1529" s="2"/>
      <c r="E1529" s="10"/>
      <c r="F1529" s="11"/>
      <c r="G1529" s="2"/>
      <c r="H1529" s="2"/>
      <c r="I1529" s="2"/>
      <c r="J1529" s="2"/>
      <c r="K1529" s="12"/>
      <c r="L1529" s="2"/>
      <c r="M1529" s="2"/>
      <c r="N1529" s="67"/>
    </row>
    <row r="1530" spans="1:14" x14ac:dyDescent="0.35">
      <c r="A1530" s="61">
        <v>1526</v>
      </c>
      <c r="B1530" s="2"/>
      <c r="C1530" s="2"/>
      <c r="D1530" s="2"/>
      <c r="E1530" s="10"/>
      <c r="F1530" s="11"/>
      <c r="G1530" s="2"/>
      <c r="H1530" s="2"/>
      <c r="I1530" s="2"/>
      <c r="J1530" s="2"/>
      <c r="K1530" s="12"/>
      <c r="L1530" s="2"/>
      <c r="M1530" s="2"/>
      <c r="N1530" s="67"/>
    </row>
    <row r="1531" spans="1:14" x14ac:dyDescent="0.35">
      <c r="A1531" s="61">
        <v>1527</v>
      </c>
      <c r="B1531" s="2"/>
      <c r="C1531" s="2"/>
      <c r="D1531" s="2"/>
      <c r="E1531" s="10"/>
      <c r="F1531" s="11"/>
      <c r="G1531" s="2"/>
      <c r="H1531" s="2"/>
      <c r="I1531" s="2"/>
      <c r="J1531" s="2"/>
      <c r="K1531" s="12"/>
      <c r="L1531" s="2"/>
      <c r="M1531" s="2"/>
      <c r="N1531" s="67"/>
    </row>
    <row r="1532" spans="1:14" x14ac:dyDescent="0.35">
      <c r="A1532" s="61">
        <v>1528</v>
      </c>
      <c r="B1532" s="2"/>
      <c r="C1532" s="2"/>
      <c r="D1532" s="2"/>
      <c r="E1532" s="10"/>
      <c r="F1532" s="11"/>
      <c r="G1532" s="2"/>
      <c r="H1532" s="2"/>
      <c r="I1532" s="2"/>
      <c r="J1532" s="2"/>
      <c r="K1532" s="12"/>
      <c r="L1532" s="2"/>
      <c r="M1532" s="2"/>
      <c r="N1532" s="67"/>
    </row>
    <row r="1533" spans="1:14" x14ac:dyDescent="0.35">
      <c r="A1533" s="61">
        <v>1529</v>
      </c>
      <c r="B1533" s="2"/>
      <c r="C1533" s="2"/>
      <c r="D1533" s="2"/>
      <c r="E1533" s="10"/>
      <c r="F1533" s="11"/>
      <c r="G1533" s="2"/>
      <c r="H1533" s="2"/>
      <c r="I1533" s="2"/>
      <c r="J1533" s="2"/>
      <c r="K1533" s="12"/>
      <c r="L1533" s="2"/>
      <c r="M1533" s="2"/>
      <c r="N1533" s="67"/>
    </row>
    <row r="1534" spans="1:14" x14ac:dyDescent="0.35">
      <c r="A1534" s="61">
        <v>1530</v>
      </c>
      <c r="B1534" s="2"/>
      <c r="C1534" s="2"/>
      <c r="D1534" s="2"/>
      <c r="E1534" s="10"/>
      <c r="F1534" s="11"/>
      <c r="G1534" s="2"/>
      <c r="H1534" s="2"/>
      <c r="I1534" s="2"/>
      <c r="J1534" s="2"/>
      <c r="K1534" s="12"/>
      <c r="L1534" s="2"/>
      <c r="M1534" s="2"/>
      <c r="N1534" s="67"/>
    </row>
    <row r="1535" spans="1:14" x14ac:dyDescent="0.35">
      <c r="A1535" s="61">
        <v>1531</v>
      </c>
      <c r="B1535" s="2"/>
      <c r="C1535" s="2"/>
      <c r="D1535" s="2"/>
      <c r="E1535" s="10"/>
      <c r="F1535" s="11"/>
      <c r="G1535" s="2"/>
      <c r="H1535" s="2"/>
      <c r="I1535" s="2"/>
      <c r="J1535" s="2"/>
      <c r="K1535" s="12"/>
      <c r="L1535" s="2"/>
      <c r="M1535" s="2"/>
      <c r="N1535" s="67"/>
    </row>
    <row r="1536" spans="1:14" x14ac:dyDescent="0.35">
      <c r="A1536" s="61">
        <v>1532</v>
      </c>
      <c r="B1536" s="2"/>
      <c r="C1536" s="2"/>
      <c r="D1536" s="2"/>
      <c r="E1536" s="10"/>
      <c r="F1536" s="11"/>
      <c r="G1536" s="2"/>
      <c r="H1536" s="2"/>
      <c r="I1536" s="2"/>
      <c r="J1536" s="2"/>
      <c r="K1536" s="12"/>
      <c r="L1536" s="2"/>
      <c r="M1536" s="2"/>
      <c r="N1536" s="67"/>
    </row>
    <row r="1537" spans="1:14" x14ac:dyDescent="0.35">
      <c r="A1537" s="61">
        <v>1533</v>
      </c>
      <c r="B1537" s="2"/>
      <c r="C1537" s="2"/>
      <c r="D1537" s="2"/>
      <c r="E1537" s="10"/>
      <c r="F1537" s="11"/>
      <c r="G1537" s="2"/>
      <c r="H1537" s="2"/>
      <c r="I1537" s="2"/>
      <c r="J1537" s="2"/>
      <c r="K1537" s="12"/>
      <c r="L1537" s="2"/>
      <c r="M1537" s="2"/>
      <c r="N1537" s="67"/>
    </row>
    <row r="1538" spans="1:14" x14ac:dyDescent="0.35">
      <c r="A1538" s="61">
        <v>1534</v>
      </c>
      <c r="B1538" s="2"/>
      <c r="C1538" s="2"/>
      <c r="D1538" s="2"/>
      <c r="E1538" s="10"/>
      <c r="F1538" s="11"/>
      <c r="G1538" s="2"/>
      <c r="H1538" s="2"/>
      <c r="I1538" s="2"/>
      <c r="J1538" s="2"/>
      <c r="K1538" s="12"/>
      <c r="L1538" s="2"/>
      <c r="M1538" s="2"/>
      <c r="N1538" s="67"/>
    </row>
    <row r="1539" spans="1:14" x14ac:dyDescent="0.35">
      <c r="A1539" s="61">
        <v>1535</v>
      </c>
      <c r="B1539" s="2"/>
      <c r="C1539" s="2"/>
      <c r="D1539" s="2"/>
      <c r="E1539" s="10"/>
      <c r="F1539" s="11"/>
      <c r="G1539" s="2"/>
      <c r="H1539" s="2"/>
      <c r="I1539" s="2"/>
      <c r="J1539" s="2"/>
      <c r="K1539" s="12"/>
      <c r="L1539" s="2"/>
      <c r="M1539" s="2"/>
      <c r="N1539" s="67"/>
    </row>
    <row r="1540" spans="1:14" x14ac:dyDescent="0.35">
      <c r="A1540" s="61">
        <v>1536</v>
      </c>
      <c r="B1540" s="2"/>
      <c r="C1540" s="2"/>
      <c r="D1540" s="2"/>
      <c r="E1540" s="10"/>
      <c r="F1540" s="11"/>
      <c r="G1540" s="2"/>
      <c r="H1540" s="2"/>
      <c r="I1540" s="2"/>
      <c r="J1540" s="2"/>
      <c r="K1540" s="12"/>
      <c r="L1540" s="2"/>
      <c r="M1540" s="2"/>
      <c r="N1540" s="67"/>
    </row>
    <row r="1541" spans="1:14" x14ac:dyDescent="0.35">
      <c r="A1541" s="61">
        <v>1537</v>
      </c>
      <c r="B1541" s="2"/>
      <c r="C1541" s="2"/>
      <c r="D1541" s="2"/>
      <c r="E1541" s="10"/>
      <c r="F1541" s="11"/>
      <c r="G1541" s="2"/>
      <c r="H1541" s="2"/>
      <c r="I1541" s="2"/>
      <c r="J1541" s="2"/>
      <c r="K1541" s="12"/>
      <c r="L1541" s="2"/>
      <c r="M1541" s="2"/>
      <c r="N1541" s="67"/>
    </row>
    <row r="1542" spans="1:14" x14ac:dyDescent="0.35">
      <c r="A1542" s="61">
        <v>1538</v>
      </c>
      <c r="B1542" s="2"/>
      <c r="C1542" s="2"/>
      <c r="D1542" s="2"/>
      <c r="E1542" s="10"/>
      <c r="F1542" s="11"/>
      <c r="G1542" s="2"/>
      <c r="H1542" s="2"/>
      <c r="I1542" s="2"/>
      <c r="J1542" s="2"/>
      <c r="K1542" s="12"/>
      <c r="L1542" s="2"/>
      <c r="M1542" s="2"/>
      <c r="N1542" s="67"/>
    </row>
    <row r="1543" spans="1:14" x14ac:dyDescent="0.35">
      <c r="A1543" s="61">
        <v>1539</v>
      </c>
      <c r="B1543" s="2"/>
      <c r="C1543" s="2"/>
      <c r="D1543" s="2"/>
      <c r="E1543" s="10"/>
      <c r="F1543" s="11"/>
      <c r="G1543" s="2"/>
      <c r="H1543" s="2"/>
      <c r="I1543" s="2"/>
      <c r="J1543" s="2"/>
      <c r="K1543" s="12"/>
      <c r="L1543" s="2"/>
      <c r="M1543" s="2"/>
      <c r="N1543" s="67"/>
    </row>
    <row r="1544" spans="1:14" x14ac:dyDescent="0.35">
      <c r="A1544" s="61">
        <v>1540</v>
      </c>
      <c r="B1544" s="2"/>
      <c r="C1544" s="2"/>
      <c r="D1544" s="2"/>
      <c r="E1544" s="10"/>
      <c r="F1544" s="11"/>
      <c r="G1544" s="2"/>
      <c r="H1544" s="2"/>
      <c r="I1544" s="2"/>
      <c r="J1544" s="2"/>
      <c r="K1544" s="12"/>
      <c r="L1544" s="2"/>
      <c r="M1544" s="2"/>
      <c r="N1544" s="67"/>
    </row>
    <row r="1545" spans="1:14" x14ac:dyDescent="0.35">
      <c r="A1545" s="61">
        <v>1541</v>
      </c>
      <c r="B1545" s="2"/>
      <c r="C1545" s="2"/>
      <c r="D1545" s="2"/>
      <c r="E1545" s="10"/>
      <c r="F1545" s="11"/>
      <c r="G1545" s="2"/>
      <c r="H1545" s="2"/>
      <c r="I1545" s="2"/>
      <c r="J1545" s="2"/>
      <c r="K1545" s="12"/>
      <c r="L1545" s="2"/>
      <c r="M1545" s="2"/>
      <c r="N1545" s="67"/>
    </row>
    <row r="1546" spans="1:14" x14ac:dyDescent="0.35">
      <c r="A1546" s="61">
        <v>1542</v>
      </c>
      <c r="B1546" s="2"/>
      <c r="C1546" s="2"/>
      <c r="D1546" s="2"/>
      <c r="E1546" s="10"/>
      <c r="F1546" s="11"/>
      <c r="G1546" s="2"/>
      <c r="H1546" s="2"/>
      <c r="I1546" s="2"/>
      <c r="J1546" s="2"/>
      <c r="K1546" s="12"/>
      <c r="L1546" s="2"/>
      <c r="M1546" s="2"/>
      <c r="N1546" s="67"/>
    </row>
    <row r="1547" spans="1:14" x14ac:dyDescent="0.35">
      <c r="A1547" s="61">
        <v>1543</v>
      </c>
      <c r="B1547" s="2"/>
      <c r="C1547" s="2"/>
      <c r="D1547" s="2"/>
      <c r="E1547" s="10"/>
      <c r="F1547" s="11"/>
      <c r="G1547" s="2"/>
      <c r="H1547" s="2"/>
      <c r="I1547" s="2"/>
      <c r="J1547" s="2"/>
      <c r="K1547" s="12"/>
      <c r="L1547" s="2"/>
      <c r="M1547" s="2"/>
      <c r="N1547" s="67"/>
    </row>
    <row r="1548" spans="1:14" x14ac:dyDescent="0.35">
      <c r="A1548" s="61">
        <v>1544</v>
      </c>
      <c r="B1548" s="2"/>
      <c r="C1548" s="2"/>
      <c r="D1548" s="2"/>
      <c r="E1548" s="10"/>
      <c r="F1548" s="11"/>
      <c r="G1548" s="2"/>
      <c r="H1548" s="2"/>
      <c r="I1548" s="2"/>
      <c r="J1548" s="2"/>
      <c r="K1548" s="12"/>
      <c r="L1548" s="2"/>
      <c r="M1548" s="2"/>
      <c r="N1548" s="67"/>
    </row>
    <row r="1549" spans="1:14" x14ac:dyDescent="0.35">
      <c r="A1549" s="61">
        <v>1545</v>
      </c>
      <c r="B1549" s="2"/>
      <c r="C1549" s="2"/>
      <c r="D1549" s="2"/>
      <c r="E1549" s="10"/>
      <c r="F1549" s="11"/>
      <c r="G1549" s="2"/>
      <c r="H1549" s="2"/>
      <c r="I1549" s="2"/>
      <c r="J1549" s="2"/>
      <c r="K1549" s="12"/>
      <c r="L1549" s="2"/>
      <c r="M1549" s="2"/>
      <c r="N1549" s="67"/>
    </row>
    <row r="1550" spans="1:14" x14ac:dyDescent="0.35">
      <c r="A1550" s="61">
        <v>1546</v>
      </c>
      <c r="B1550" s="2"/>
      <c r="C1550" s="2"/>
      <c r="D1550" s="2"/>
      <c r="E1550" s="10"/>
      <c r="F1550" s="11"/>
      <c r="G1550" s="2"/>
      <c r="H1550" s="2"/>
      <c r="I1550" s="2"/>
      <c r="J1550" s="2"/>
      <c r="K1550" s="12"/>
      <c r="L1550" s="2"/>
      <c r="M1550" s="2"/>
      <c r="N1550" s="67"/>
    </row>
    <row r="1551" spans="1:14" x14ac:dyDescent="0.35">
      <c r="A1551" s="61">
        <v>1547</v>
      </c>
      <c r="B1551" s="2"/>
      <c r="C1551" s="2"/>
      <c r="D1551" s="2"/>
      <c r="E1551" s="10"/>
      <c r="F1551" s="11"/>
      <c r="G1551" s="2"/>
      <c r="H1551" s="2"/>
      <c r="I1551" s="2"/>
      <c r="J1551" s="2"/>
      <c r="K1551" s="12"/>
      <c r="L1551" s="2"/>
      <c r="M1551" s="2"/>
      <c r="N1551" s="67"/>
    </row>
    <row r="1552" spans="1:14" x14ac:dyDescent="0.35">
      <c r="A1552" s="61">
        <v>1548</v>
      </c>
      <c r="B1552" s="2"/>
      <c r="C1552" s="2"/>
      <c r="D1552" s="2"/>
      <c r="E1552" s="10"/>
      <c r="F1552" s="11"/>
      <c r="G1552" s="2"/>
      <c r="H1552" s="2"/>
      <c r="I1552" s="2"/>
      <c r="J1552" s="2"/>
      <c r="K1552" s="12"/>
      <c r="L1552" s="2"/>
      <c r="M1552" s="2"/>
      <c r="N1552" s="67"/>
    </row>
    <row r="1553" spans="1:14" x14ac:dyDescent="0.35">
      <c r="A1553" s="61">
        <v>1549</v>
      </c>
      <c r="B1553" s="2"/>
      <c r="C1553" s="2"/>
      <c r="D1553" s="2"/>
      <c r="E1553" s="10"/>
      <c r="F1553" s="11"/>
      <c r="G1553" s="2"/>
      <c r="H1553" s="2"/>
      <c r="I1553" s="2"/>
      <c r="J1553" s="2"/>
      <c r="K1553" s="12"/>
      <c r="L1553" s="2"/>
      <c r="M1553" s="2"/>
      <c r="N1553" s="67"/>
    </row>
    <row r="1554" spans="1:14" x14ac:dyDescent="0.35">
      <c r="A1554" s="61">
        <v>1550</v>
      </c>
      <c r="B1554" s="2"/>
      <c r="C1554" s="2"/>
      <c r="D1554" s="2"/>
      <c r="E1554" s="10"/>
      <c r="F1554" s="11"/>
      <c r="G1554" s="2"/>
      <c r="H1554" s="2"/>
      <c r="I1554" s="2"/>
      <c r="J1554" s="2"/>
      <c r="K1554" s="12"/>
      <c r="L1554" s="2"/>
      <c r="M1554" s="2"/>
      <c r="N1554" s="67"/>
    </row>
    <row r="1555" spans="1:14" x14ac:dyDescent="0.35">
      <c r="A1555" s="61">
        <v>1551</v>
      </c>
      <c r="B1555" s="2"/>
      <c r="C1555" s="2"/>
      <c r="D1555" s="2"/>
      <c r="E1555" s="10"/>
      <c r="F1555" s="11"/>
      <c r="G1555" s="2"/>
      <c r="H1555" s="2"/>
      <c r="I1555" s="2"/>
      <c r="J1555" s="2"/>
      <c r="K1555" s="12"/>
      <c r="L1555" s="2"/>
      <c r="M1555" s="2"/>
      <c r="N1555" s="67"/>
    </row>
    <row r="1556" spans="1:14" x14ac:dyDescent="0.35">
      <c r="A1556" s="61">
        <v>1552</v>
      </c>
      <c r="B1556" s="2"/>
      <c r="C1556" s="2"/>
      <c r="D1556" s="2"/>
      <c r="E1556" s="10"/>
      <c r="F1556" s="11"/>
      <c r="G1556" s="2"/>
      <c r="H1556" s="2"/>
      <c r="I1556" s="2"/>
      <c r="J1556" s="2"/>
      <c r="K1556" s="12"/>
      <c r="L1556" s="2"/>
      <c r="M1556" s="2"/>
      <c r="N1556" s="67"/>
    </row>
    <row r="1557" spans="1:14" x14ac:dyDescent="0.35">
      <c r="A1557" s="61">
        <v>1553</v>
      </c>
      <c r="B1557" s="2"/>
      <c r="C1557" s="2"/>
      <c r="D1557" s="2"/>
      <c r="E1557" s="10"/>
      <c r="F1557" s="11"/>
      <c r="G1557" s="2"/>
      <c r="H1557" s="2"/>
      <c r="I1557" s="2"/>
      <c r="J1557" s="2"/>
      <c r="K1557" s="12"/>
      <c r="L1557" s="2"/>
      <c r="M1557" s="2"/>
      <c r="N1557" s="67"/>
    </row>
    <row r="1558" spans="1:14" x14ac:dyDescent="0.35">
      <c r="A1558" s="61">
        <v>1554</v>
      </c>
      <c r="B1558" s="2"/>
      <c r="C1558" s="2"/>
      <c r="D1558" s="2"/>
      <c r="E1558" s="10"/>
      <c r="F1558" s="11"/>
      <c r="G1558" s="2"/>
      <c r="H1558" s="2"/>
      <c r="I1558" s="2"/>
      <c r="J1558" s="2"/>
      <c r="K1558" s="12"/>
      <c r="L1558" s="2"/>
      <c r="M1558" s="2"/>
      <c r="N1558" s="67"/>
    </row>
    <row r="1559" spans="1:14" x14ac:dyDescent="0.35">
      <c r="A1559" s="61">
        <v>1555</v>
      </c>
      <c r="B1559" s="2"/>
      <c r="C1559" s="2"/>
      <c r="D1559" s="2"/>
      <c r="E1559" s="10"/>
      <c r="F1559" s="11"/>
      <c r="G1559" s="2"/>
      <c r="H1559" s="2"/>
      <c r="I1559" s="2"/>
      <c r="J1559" s="2"/>
      <c r="K1559" s="12"/>
      <c r="L1559" s="2"/>
      <c r="M1559" s="2"/>
      <c r="N1559" s="67"/>
    </row>
    <row r="1560" spans="1:14" x14ac:dyDescent="0.35">
      <c r="A1560" s="61">
        <v>1556</v>
      </c>
      <c r="B1560" s="2"/>
      <c r="C1560" s="2"/>
      <c r="D1560" s="2"/>
      <c r="E1560" s="10"/>
      <c r="F1560" s="11"/>
      <c r="G1560" s="2"/>
      <c r="H1560" s="2"/>
      <c r="I1560" s="2"/>
      <c r="J1560" s="2"/>
      <c r="K1560" s="12"/>
      <c r="L1560" s="2"/>
      <c r="M1560" s="2"/>
      <c r="N1560" s="67"/>
    </row>
    <row r="1561" spans="1:14" x14ac:dyDescent="0.35">
      <c r="A1561" s="61">
        <v>1557</v>
      </c>
      <c r="B1561" s="2"/>
      <c r="C1561" s="2"/>
      <c r="D1561" s="2"/>
      <c r="E1561" s="10"/>
      <c r="F1561" s="11"/>
      <c r="G1561" s="2"/>
      <c r="H1561" s="2"/>
      <c r="I1561" s="2"/>
      <c r="J1561" s="2"/>
      <c r="K1561" s="12"/>
      <c r="L1561" s="2"/>
      <c r="M1561" s="2"/>
      <c r="N1561" s="67"/>
    </row>
    <row r="1562" spans="1:14" x14ac:dyDescent="0.35">
      <c r="A1562" s="61">
        <v>1558</v>
      </c>
      <c r="B1562" s="2"/>
      <c r="C1562" s="2"/>
      <c r="D1562" s="2"/>
      <c r="E1562" s="10"/>
      <c r="F1562" s="11"/>
      <c r="G1562" s="2"/>
      <c r="H1562" s="2"/>
      <c r="I1562" s="2"/>
      <c r="J1562" s="2"/>
      <c r="K1562" s="12"/>
      <c r="L1562" s="2"/>
      <c r="M1562" s="2"/>
      <c r="N1562" s="67"/>
    </row>
    <row r="1563" spans="1:14" x14ac:dyDescent="0.35">
      <c r="A1563" s="61">
        <v>1559</v>
      </c>
      <c r="B1563" s="2"/>
      <c r="C1563" s="2"/>
      <c r="D1563" s="2"/>
      <c r="E1563" s="10"/>
      <c r="F1563" s="11"/>
      <c r="G1563" s="2"/>
      <c r="H1563" s="2"/>
      <c r="I1563" s="2"/>
      <c r="J1563" s="2"/>
      <c r="K1563" s="12"/>
      <c r="L1563" s="2"/>
      <c r="M1563" s="2"/>
      <c r="N1563" s="67"/>
    </row>
    <row r="1564" spans="1:14" x14ac:dyDescent="0.35">
      <c r="A1564" s="61">
        <v>1560</v>
      </c>
      <c r="B1564" s="2"/>
      <c r="C1564" s="2"/>
      <c r="D1564" s="2"/>
      <c r="E1564" s="10"/>
      <c r="F1564" s="11"/>
      <c r="G1564" s="2"/>
      <c r="H1564" s="2"/>
      <c r="I1564" s="2"/>
      <c r="J1564" s="2"/>
      <c r="K1564" s="12"/>
      <c r="L1564" s="2"/>
      <c r="M1564" s="2"/>
      <c r="N1564" s="67"/>
    </row>
    <row r="1565" spans="1:14" x14ac:dyDescent="0.35">
      <c r="A1565" s="61">
        <v>1561</v>
      </c>
      <c r="B1565" s="2"/>
      <c r="C1565" s="2"/>
      <c r="D1565" s="2"/>
      <c r="E1565" s="10"/>
      <c r="F1565" s="11"/>
      <c r="G1565" s="2"/>
      <c r="H1565" s="2"/>
      <c r="I1565" s="2"/>
      <c r="J1565" s="2"/>
      <c r="K1565" s="12"/>
      <c r="L1565" s="2"/>
      <c r="M1565" s="2"/>
      <c r="N1565" s="67"/>
    </row>
    <row r="1566" spans="1:14" x14ac:dyDescent="0.35">
      <c r="A1566" s="61">
        <v>1562</v>
      </c>
      <c r="B1566" s="2"/>
      <c r="C1566" s="2"/>
      <c r="D1566" s="2"/>
      <c r="E1566" s="10"/>
      <c r="F1566" s="11"/>
      <c r="G1566" s="2"/>
      <c r="H1566" s="2"/>
      <c r="I1566" s="2"/>
      <c r="J1566" s="2"/>
      <c r="K1566" s="12"/>
      <c r="L1566" s="2"/>
      <c r="M1566" s="2"/>
      <c r="N1566" s="67"/>
    </row>
    <row r="1567" spans="1:14" x14ac:dyDescent="0.35">
      <c r="A1567" s="61">
        <v>1563</v>
      </c>
      <c r="B1567" s="2"/>
      <c r="C1567" s="2"/>
      <c r="D1567" s="2"/>
      <c r="E1567" s="10"/>
      <c r="F1567" s="11"/>
      <c r="G1567" s="2"/>
      <c r="H1567" s="2"/>
      <c r="I1567" s="2"/>
      <c r="J1567" s="2"/>
      <c r="K1567" s="12"/>
      <c r="L1567" s="2"/>
      <c r="M1567" s="2"/>
      <c r="N1567" s="67"/>
    </row>
    <row r="1568" spans="1:14" x14ac:dyDescent="0.35">
      <c r="A1568" s="61">
        <v>1564</v>
      </c>
      <c r="B1568" s="2"/>
      <c r="C1568" s="2"/>
      <c r="D1568" s="2"/>
      <c r="E1568" s="10"/>
      <c r="F1568" s="11"/>
      <c r="G1568" s="2"/>
      <c r="H1568" s="2"/>
      <c r="I1568" s="2"/>
      <c r="J1568" s="2"/>
      <c r="K1568" s="12"/>
      <c r="L1568" s="2"/>
      <c r="M1568" s="2"/>
      <c r="N1568" s="67"/>
    </row>
    <row r="1569" spans="1:14" x14ac:dyDescent="0.35">
      <c r="A1569" s="61">
        <v>1565</v>
      </c>
      <c r="B1569" s="2"/>
      <c r="C1569" s="2"/>
      <c r="D1569" s="2"/>
      <c r="E1569" s="10"/>
      <c r="F1569" s="11"/>
      <c r="G1569" s="2"/>
      <c r="H1569" s="2"/>
      <c r="I1569" s="2"/>
      <c r="J1569" s="2"/>
      <c r="K1569" s="12"/>
      <c r="L1569" s="2"/>
      <c r="M1569" s="2"/>
      <c r="N1569" s="67"/>
    </row>
    <row r="1570" spans="1:14" x14ac:dyDescent="0.35">
      <c r="A1570" s="61">
        <v>1566</v>
      </c>
      <c r="B1570" s="2"/>
      <c r="C1570" s="2"/>
      <c r="D1570" s="2"/>
      <c r="E1570" s="10"/>
      <c r="F1570" s="11"/>
      <c r="G1570" s="2"/>
      <c r="H1570" s="2"/>
      <c r="I1570" s="2"/>
      <c r="J1570" s="2"/>
      <c r="K1570" s="12"/>
      <c r="L1570" s="2"/>
      <c r="M1570" s="2"/>
      <c r="N1570" s="67"/>
    </row>
    <row r="1571" spans="1:14" x14ac:dyDescent="0.35">
      <c r="A1571" s="61">
        <v>1567</v>
      </c>
      <c r="B1571" s="2"/>
      <c r="C1571" s="2"/>
      <c r="D1571" s="2"/>
      <c r="E1571" s="10"/>
      <c r="F1571" s="11"/>
      <c r="G1571" s="2"/>
      <c r="H1571" s="2"/>
      <c r="I1571" s="2"/>
      <c r="J1571" s="2"/>
      <c r="K1571" s="12"/>
      <c r="L1571" s="2"/>
      <c r="M1571" s="2"/>
      <c r="N1571" s="67"/>
    </row>
    <row r="1572" spans="1:14" x14ac:dyDescent="0.35">
      <c r="A1572" s="61">
        <v>1568</v>
      </c>
      <c r="B1572" s="2"/>
      <c r="C1572" s="2"/>
      <c r="D1572" s="2"/>
      <c r="E1572" s="10"/>
      <c r="F1572" s="11"/>
      <c r="G1572" s="2"/>
      <c r="H1572" s="2"/>
      <c r="I1572" s="2"/>
      <c r="J1572" s="2"/>
      <c r="K1572" s="12"/>
      <c r="L1572" s="2"/>
      <c r="M1572" s="2"/>
      <c r="N1572" s="67"/>
    </row>
    <row r="1573" spans="1:14" x14ac:dyDescent="0.35">
      <c r="A1573" s="61">
        <v>1569</v>
      </c>
      <c r="B1573" s="2"/>
      <c r="C1573" s="2"/>
      <c r="D1573" s="2"/>
      <c r="E1573" s="10"/>
      <c r="F1573" s="11"/>
      <c r="G1573" s="2"/>
      <c r="H1573" s="2"/>
      <c r="I1573" s="2"/>
      <c r="J1573" s="2"/>
      <c r="K1573" s="12"/>
      <c r="L1573" s="2"/>
      <c r="M1573" s="2"/>
      <c r="N1573" s="67"/>
    </row>
    <row r="1574" spans="1:14" x14ac:dyDescent="0.35">
      <c r="A1574" s="61">
        <v>1570</v>
      </c>
      <c r="B1574" s="2"/>
      <c r="C1574" s="2"/>
      <c r="D1574" s="2"/>
      <c r="E1574" s="10"/>
      <c r="F1574" s="11"/>
      <c r="G1574" s="2"/>
      <c r="H1574" s="2"/>
      <c r="I1574" s="2"/>
      <c r="J1574" s="2"/>
      <c r="K1574" s="12"/>
      <c r="L1574" s="2"/>
      <c r="M1574" s="2"/>
      <c r="N1574" s="67"/>
    </row>
    <row r="1575" spans="1:14" x14ac:dyDescent="0.35">
      <c r="A1575" s="61">
        <v>1571</v>
      </c>
      <c r="B1575" s="2"/>
      <c r="C1575" s="2"/>
      <c r="D1575" s="2"/>
      <c r="E1575" s="10"/>
      <c r="F1575" s="11"/>
      <c r="G1575" s="2"/>
      <c r="H1575" s="2"/>
      <c r="I1575" s="2"/>
      <c r="J1575" s="2"/>
      <c r="K1575" s="12"/>
      <c r="L1575" s="2"/>
      <c r="M1575" s="2"/>
      <c r="N1575" s="67"/>
    </row>
    <row r="1576" spans="1:14" x14ac:dyDescent="0.35">
      <c r="A1576" s="61">
        <v>1572</v>
      </c>
      <c r="B1576" s="2"/>
      <c r="C1576" s="2"/>
      <c r="D1576" s="2"/>
      <c r="E1576" s="10"/>
      <c r="F1576" s="11"/>
      <c r="G1576" s="2"/>
      <c r="H1576" s="2"/>
      <c r="I1576" s="2"/>
      <c r="J1576" s="2"/>
      <c r="K1576" s="12"/>
      <c r="L1576" s="2"/>
      <c r="M1576" s="2"/>
      <c r="N1576" s="67"/>
    </row>
    <row r="1577" spans="1:14" x14ac:dyDescent="0.35">
      <c r="A1577" s="61">
        <v>1573</v>
      </c>
      <c r="B1577" s="2"/>
      <c r="C1577" s="2"/>
      <c r="D1577" s="2"/>
      <c r="E1577" s="10"/>
      <c r="F1577" s="11"/>
      <c r="G1577" s="2"/>
      <c r="H1577" s="2"/>
      <c r="I1577" s="2"/>
      <c r="J1577" s="2"/>
      <c r="K1577" s="12"/>
      <c r="L1577" s="2"/>
      <c r="M1577" s="2"/>
      <c r="N1577" s="67"/>
    </row>
    <row r="1578" spans="1:14" x14ac:dyDescent="0.35">
      <c r="A1578" s="61">
        <v>1574</v>
      </c>
      <c r="B1578" s="2"/>
      <c r="C1578" s="2"/>
      <c r="D1578" s="2"/>
      <c r="E1578" s="10"/>
      <c r="F1578" s="11"/>
      <c r="G1578" s="2"/>
      <c r="H1578" s="2"/>
      <c r="I1578" s="2"/>
      <c r="J1578" s="2"/>
      <c r="K1578" s="12"/>
      <c r="L1578" s="2"/>
      <c r="M1578" s="2"/>
      <c r="N1578" s="67"/>
    </row>
    <row r="1579" spans="1:14" x14ac:dyDescent="0.35">
      <c r="A1579" s="61">
        <v>1575</v>
      </c>
      <c r="B1579" s="2"/>
      <c r="C1579" s="2"/>
      <c r="D1579" s="2"/>
      <c r="E1579" s="10"/>
      <c r="F1579" s="11"/>
      <c r="G1579" s="2"/>
      <c r="H1579" s="2"/>
      <c r="I1579" s="2"/>
      <c r="J1579" s="2"/>
      <c r="K1579" s="12"/>
      <c r="L1579" s="2"/>
      <c r="M1579" s="2"/>
      <c r="N1579" s="67"/>
    </row>
    <row r="1580" spans="1:14" x14ac:dyDescent="0.35">
      <c r="A1580" s="61">
        <v>1576</v>
      </c>
      <c r="B1580" s="2"/>
      <c r="C1580" s="2"/>
      <c r="D1580" s="2"/>
      <c r="E1580" s="10"/>
      <c r="F1580" s="11"/>
      <c r="G1580" s="2"/>
      <c r="H1580" s="2"/>
      <c r="I1580" s="2"/>
      <c r="J1580" s="2"/>
      <c r="K1580" s="12"/>
      <c r="L1580" s="2"/>
      <c r="M1580" s="2"/>
      <c r="N1580" s="67"/>
    </row>
    <row r="1581" spans="1:14" x14ac:dyDescent="0.35">
      <c r="A1581" s="61">
        <v>1577</v>
      </c>
      <c r="B1581" s="2"/>
      <c r="C1581" s="2"/>
      <c r="D1581" s="2"/>
      <c r="E1581" s="10"/>
      <c r="F1581" s="11"/>
      <c r="G1581" s="2"/>
      <c r="H1581" s="2"/>
      <c r="I1581" s="2"/>
      <c r="J1581" s="2"/>
      <c r="K1581" s="12"/>
      <c r="L1581" s="2"/>
      <c r="M1581" s="2"/>
      <c r="N1581" s="67"/>
    </row>
    <row r="1582" spans="1:14" x14ac:dyDescent="0.35">
      <c r="A1582" s="61">
        <v>1578</v>
      </c>
      <c r="B1582" s="2"/>
      <c r="C1582" s="2"/>
      <c r="D1582" s="2"/>
      <c r="E1582" s="10"/>
      <c r="F1582" s="11"/>
      <c r="G1582" s="2"/>
      <c r="H1582" s="2"/>
      <c r="I1582" s="2"/>
      <c r="J1582" s="2"/>
      <c r="K1582" s="12"/>
      <c r="L1582" s="2"/>
      <c r="M1582" s="2"/>
      <c r="N1582" s="67"/>
    </row>
    <row r="1583" spans="1:14" x14ac:dyDescent="0.35">
      <c r="A1583" s="61">
        <v>1579</v>
      </c>
      <c r="B1583" s="2"/>
      <c r="C1583" s="2"/>
      <c r="D1583" s="2"/>
      <c r="E1583" s="10"/>
      <c r="F1583" s="11"/>
      <c r="G1583" s="2"/>
      <c r="H1583" s="2"/>
      <c r="I1583" s="2"/>
      <c r="J1583" s="2"/>
      <c r="K1583" s="12"/>
      <c r="L1583" s="2"/>
      <c r="M1583" s="2"/>
      <c r="N1583" s="67"/>
    </row>
    <row r="1584" spans="1:14" x14ac:dyDescent="0.35">
      <c r="A1584" s="61">
        <v>1580</v>
      </c>
      <c r="B1584" s="2"/>
      <c r="C1584" s="2"/>
      <c r="D1584" s="2"/>
      <c r="E1584" s="10"/>
      <c r="F1584" s="11"/>
      <c r="G1584" s="2"/>
      <c r="H1584" s="2"/>
      <c r="I1584" s="2"/>
      <c r="J1584" s="2"/>
      <c r="K1584" s="12"/>
      <c r="L1584" s="2"/>
      <c r="M1584" s="2"/>
      <c r="N1584" s="67"/>
    </row>
    <row r="1585" spans="1:14" x14ac:dyDescent="0.35">
      <c r="A1585" s="61">
        <v>1581</v>
      </c>
      <c r="B1585" s="2"/>
      <c r="C1585" s="2"/>
      <c r="D1585" s="2"/>
      <c r="E1585" s="10"/>
      <c r="F1585" s="11"/>
      <c r="G1585" s="2"/>
      <c r="H1585" s="2"/>
      <c r="I1585" s="2"/>
      <c r="J1585" s="2"/>
      <c r="K1585" s="12"/>
      <c r="L1585" s="2"/>
      <c r="M1585" s="2"/>
      <c r="N1585" s="67"/>
    </row>
    <row r="1586" spans="1:14" x14ac:dyDescent="0.35">
      <c r="A1586" s="61">
        <v>1582</v>
      </c>
      <c r="B1586" s="2"/>
      <c r="C1586" s="2"/>
      <c r="D1586" s="2"/>
      <c r="E1586" s="10"/>
      <c r="F1586" s="11"/>
      <c r="G1586" s="2"/>
      <c r="H1586" s="2"/>
      <c r="I1586" s="2"/>
      <c r="J1586" s="2"/>
      <c r="K1586" s="12"/>
      <c r="L1586" s="2"/>
      <c r="M1586" s="2"/>
      <c r="N1586" s="67"/>
    </row>
    <row r="1587" spans="1:14" x14ac:dyDescent="0.35">
      <c r="A1587" s="61">
        <v>1583</v>
      </c>
      <c r="B1587" s="2"/>
      <c r="C1587" s="2"/>
      <c r="D1587" s="2"/>
      <c r="E1587" s="10"/>
      <c r="F1587" s="11"/>
      <c r="G1587" s="2"/>
      <c r="H1587" s="2"/>
      <c r="I1587" s="2"/>
      <c r="J1587" s="2"/>
      <c r="K1587" s="12"/>
      <c r="L1587" s="2"/>
      <c r="M1587" s="2"/>
      <c r="N1587" s="67"/>
    </row>
    <row r="1588" spans="1:14" x14ac:dyDescent="0.35">
      <c r="A1588" s="61">
        <v>1584</v>
      </c>
      <c r="B1588" s="2"/>
      <c r="C1588" s="2"/>
      <c r="D1588" s="2"/>
      <c r="E1588" s="10"/>
      <c r="F1588" s="11"/>
      <c r="G1588" s="2"/>
      <c r="H1588" s="2"/>
      <c r="I1588" s="2"/>
      <c r="J1588" s="2"/>
      <c r="K1588" s="12"/>
      <c r="L1588" s="2"/>
      <c r="M1588" s="2"/>
      <c r="N1588" s="67"/>
    </row>
    <row r="1589" spans="1:14" x14ac:dyDescent="0.35">
      <c r="A1589" s="61">
        <v>1585</v>
      </c>
      <c r="B1589" s="2"/>
      <c r="C1589" s="2"/>
      <c r="D1589" s="2"/>
      <c r="E1589" s="10"/>
      <c r="F1589" s="11"/>
      <c r="G1589" s="2"/>
      <c r="H1589" s="2"/>
      <c r="I1589" s="2"/>
      <c r="J1589" s="2"/>
      <c r="K1589" s="12"/>
      <c r="L1589" s="2"/>
      <c r="M1589" s="2"/>
      <c r="N1589" s="67"/>
    </row>
    <row r="1590" spans="1:14" x14ac:dyDescent="0.35">
      <c r="A1590" s="61">
        <v>1586</v>
      </c>
      <c r="B1590" s="2"/>
      <c r="C1590" s="2"/>
      <c r="D1590" s="2"/>
      <c r="E1590" s="10"/>
      <c r="F1590" s="11"/>
      <c r="G1590" s="2"/>
      <c r="H1590" s="2"/>
      <c r="I1590" s="2"/>
      <c r="J1590" s="2"/>
      <c r="K1590" s="12"/>
      <c r="L1590" s="2"/>
      <c r="M1590" s="2"/>
      <c r="N1590" s="67"/>
    </row>
    <row r="1591" spans="1:14" x14ac:dyDescent="0.35">
      <c r="A1591" s="61">
        <v>1587</v>
      </c>
      <c r="B1591" s="2"/>
      <c r="C1591" s="2"/>
      <c r="D1591" s="2"/>
      <c r="E1591" s="10"/>
      <c r="F1591" s="11"/>
      <c r="G1591" s="2"/>
      <c r="H1591" s="2"/>
      <c r="I1591" s="2"/>
      <c r="J1591" s="2"/>
      <c r="K1591" s="12"/>
      <c r="L1591" s="2"/>
      <c r="M1591" s="2"/>
      <c r="N1591" s="67"/>
    </row>
    <row r="1592" spans="1:14" x14ac:dyDescent="0.35">
      <c r="A1592" s="61">
        <v>1588</v>
      </c>
      <c r="B1592" s="2"/>
      <c r="C1592" s="2"/>
      <c r="D1592" s="2"/>
      <c r="E1592" s="10"/>
      <c r="F1592" s="11"/>
      <c r="G1592" s="2"/>
      <c r="H1592" s="2"/>
      <c r="I1592" s="2"/>
      <c r="J1592" s="2"/>
      <c r="K1592" s="12"/>
      <c r="L1592" s="2"/>
      <c r="M1592" s="2"/>
      <c r="N1592" s="67"/>
    </row>
    <row r="1593" spans="1:14" x14ac:dyDescent="0.35">
      <c r="A1593" s="61">
        <v>1589</v>
      </c>
      <c r="B1593" s="2"/>
      <c r="C1593" s="2"/>
      <c r="D1593" s="2"/>
      <c r="E1593" s="10"/>
      <c r="F1593" s="11"/>
      <c r="G1593" s="2"/>
      <c r="H1593" s="2"/>
      <c r="I1593" s="2"/>
      <c r="J1593" s="2"/>
      <c r="K1593" s="12"/>
      <c r="L1593" s="2"/>
      <c r="M1593" s="2"/>
      <c r="N1593" s="67"/>
    </row>
    <row r="1594" spans="1:14" x14ac:dyDescent="0.35">
      <c r="A1594" s="61">
        <v>1590</v>
      </c>
      <c r="B1594" s="2"/>
      <c r="C1594" s="2"/>
      <c r="D1594" s="2"/>
      <c r="E1594" s="10"/>
      <c r="F1594" s="11"/>
      <c r="G1594" s="2"/>
      <c r="H1594" s="2"/>
      <c r="I1594" s="2"/>
      <c r="J1594" s="2"/>
      <c r="K1594" s="12"/>
      <c r="L1594" s="2"/>
      <c r="M1594" s="2"/>
      <c r="N1594" s="67"/>
    </row>
    <row r="1595" spans="1:14" x14ac:dyDescent="0.35">
      <c r="A1595" s="61">
        <v>1591</v>
      </c>
      <c r="B1595" s="2"/>
      <c r="C1595" s="2"/>
      <c r="D1595" s="2"/>
      <c r="E1595" s="10"/>
      <c r="F1595" s="11"/>
      <c r="G1595" s="2"/>
      <c r="H1595" s="2"/>
      <c r="I1595" s="2"/>
      <c r="J1595" s="2"/>
      <c r="K1595" s="12"/>
      <c r="L1595" s="2"/>
      <c r="M1595" s="2"/>
      <c r="N1595" s="67"/>
    </row>
    <row r="1596" spans="1:14" x14ac:dyDescent="0.35">
      <c r="A1596" s="61">
        <v>1592</v>
      </c>
      <c r="B1596" s="2"/>
      <c r="C1596" s="2"/>
      <c r="D1596" s="2"/>
      <c r="E1596" s="10"/>
      <c r="F1596" s="11"/>
      <c r="G1596" s="2"/>
      <c r="H1596" s="2"/>
      <c r="I1596" s="2"/>
      <c r="J1596" s="2"/>
      <c r="K1596" s="12"/>
      <c r="L1596" s="2"/>
      <c r="M1596" s="2"/>
      <c r="N1596" s="67"/>
    </row>
    <row r="1597" spans="1:14" x14ac:dyDescent="0.35">
      <c r="A1597" s="61">
        <v>1593</v>
      </c>
      <c r="B1597" s="2"/>
      <c r="C1597" s="2"/>
      <c r="D1597" s="2"/>
      <c r="E1597" s="10"/>
      <c r="F1597" s="11"/>
      <c r="G1597" s="2"/>
      <c r="H1597" s="2"/>
      <c r="I1597" s="2"/>
      <c r="J1597" s="2"/>
      <c r="K1597" s="12"/>
      <c r="L1597" s="2"/>
      <c r="M1597" s="2"/>
      <c r="N1597" s="67"/>
    </row>
    <row r="1598" spans="1:14" x14ac:dyDescent="0.35">
      <c r="A1598" s="61">
        <v>1594</v>
      </c>
      <c r="B1598" s="2"/>
      <c r="C1598" s="2"/>
      <c r="D1598" s="2"/>
      <c r="E1598" s="10"/>
      <c r="F1598" s="11"/>
      <c r="G1598" s="2"/>
      <c r="H1598" s="2"/>
      <c r="I1598" s="2"/>
      <c r="J1598" s="2"/>
      <c r="K1598" s="12"/>
      <c r="L1598" s="2"/>
      <c r="M1598" s="2"/>
      <c r="N1598" s="67"/>
    </row>
    <row r="1599" spans="1:14" x14ac:dyDescent="0.35">
      <c r="A1599" s="61">
        <v>1595</v>
      </c>
      <c r="B1599" s="2"/>
      <c r="C1599" s="2"/>
      <c r="D1599" s="2"/>
      <c r="E1599" s="10"/>
      <c r="F1599" s="11"/>
      <c r="G1599" s="2"/>
      <c r="H1599" s="2"/>
      <c r="I1599" s="2"/>
      <c r="J1599" s="2"/>
      <c r="K1599" s="12"/>
      <c r="L1599" s="2"/>
      <c r="M1599" s="2"/>
      <c r="N1599" s="67"/>
    </row>
    <row r="1600" spans="1:14" x14ac:dyDescent="0.35">
      <c r="A1600" s="61">
        <v>1596</v>
      </c>
      <c r="B1600" s="2"/>
      <c r="C1600" s="2"/>
      <c r="D1600" s="2"/>
      <c r="E1600" s="10"/>
      <c r="F1600" s="11"/>
      <c r="G1600" s="2"/>
      <c r="H1600" s="2"/>
      <c r="I1600" s="2"/>
      <c r="J1600" s="2"/>
      <c r="K1600" s="12"/>
      <c r="L1600" s="2"/>
      <c r="M1600" s="2"/>
      <c r="N1600" s="67"/>
    </row>
    <row r="1601" spans="1:14" x14ac:dyDescent="0.35">
      <c r="A1601" s="61">
        <v>1597</v>
      </c>
      <c r="B1601" s="2"/>
      <c r="C1601" s="2"/>
      <c r="D1601" s="2"/>
      <c r="E1601" s="10"/>
      <c r="F1601" s="11"/>
      <c r="G1601" s="2"/>
      <c r="H1601" s="2"/>
      <c r="I1601" s="2"/>
      <c r="J1601" s="2"/>
      <c r="K1601" s="12"/>
      <c r="L1601" s="2"/>
      <c r="M1601" s="2"/>
      <c r="N1601" s="67"/>
    </row>
    <row r="1602" spans="1:14" x14ac:dyDescent="0.35">
      <c r="A1602" s="61">
        <v>1598</v>
      </c>
      <c r="B1602" s="2"/>
      <c r="C1602" s="2"/>
      <c r="D1602" s="2"/>
      <c r="E1602" s="10"/>
      <c r="F1602" s="11"/>
      <c r="G1602" s="2"/>
      <c r="H1602" s="2"/>
      <c r="I1602" s="2"/>
      <c r="J1602" s="2"/>
      <c r="K1602" s="12"/>
      <c r="L1602" s="2"/>
      <c r="M1602" s="2"/>
      <c r="N1602" s="67"/>
    </row>
    <row r="1603" spans="1:14" x14ac:dyDescent="0.35">
      <c r="A1603" s="61">
        <v>1599</v>
      </c>
      <c r="B1603" s="2"/>
      <c r="C1603" s="2"/>
      <c r="D1603" s="2"/>
      <c r="E1603" s="10"/>
      <c r="F1603" s="11"/>
      <c r="G1603" s="2"/>
      <c r="H1603" s="2"/>
      <c r="I1603" s="2"/>
      <c r="J1603" s="2"/>
      <c r="K1603" s="12"/>
      <c r="L1603" s="2"/>
      <c r="M1603" s="2"/>
      <c r="N1603" s="67"/>
    </row>
    <row r="1604" spans="1:14" x14ac:dyDescent="0.35">
      <c r="A1604" s="61">
        <v>1600</v>
      </c>
      <c r="B1604" s="2"/>
      <c r="C1604" s="2"/>
      <c r="D1604" s="2"/>
      <c r="E1604" s="10"/>
      <c r="F1604" s="11"/>
      <c r="G1604" s="2"/>
      <c r="H1604" s="2"/>
      <c r="I1604" s="2"/>
      <c r="J1604" s="2"/>
      <c r="K1604" s="12"/>
      <c r="L1604" s="2"/>
      <c r="M1604" s="2"/>
      <c r="N1604" s="67"/>
    </row>
    <row r="1605" spans="1:14" x14ac:dyDescent="0.35">
      <c r="A1605" s="61">
        <v>1601</v>
      </c>
      <c r="B1605" s="2"/>
      <c r="C1605" s="2"/>
      <c r="D1605" s="2"/>
      <c r="E1605" s="10"/>
      <c r="F1605" s="11"/>
      <c r="G1605" s="2"/>
      <c r="H1605" s="2"/>
      <c r="I1605" s="2"/>
      <c r="J1605" s="2"/>
      <c r="K1605" s="12"/>
      <c r="L1605" s="2"/>
      <c r="M1605" s="2"/>
      <c r="N1605" s="67"/>
    </row>
    <row r="1606" spans="1:14" x14ac:dyDescent="0.35">
      <c r="A1606" s="61">
        <v>1602</v>
      </c>
      <c r="B1606" s="2"/>
      <c r="C1606" s="2"/>
      <c r="D1606" s="2"/>
      <c r="E1606" s="10"/>
      <c r="F1606" s="11"/>
      <c r="G1606" s="2"/>
      <c r="H1606" s="2"/>
      <c r="I1606" s="2"/>
      <c r="J1606" s="2"/>
      <c r="K1606" s="12"/>
      <c r="L1606" s="2"/>
      <c r="M1606" s="2"/>
      <c r="N1606" s="67"/>
    </row>
    <row r="1607" spans="1:14" x14ac:dyDescent="0.35">
      <c r="A1607" s="61">
        <v>1603</v>
      </c>
      <c r="B1607" s="2"/>
      <c r="C1607" s="2"/>
      <c r="D1607" s="2"/>
      <c r="E1607" s="10"/>
      <c r="F1607" s="11"/>
      <c r="G1607" s="2"/>
      <c r="H1607" s="2"/>
      <c r="I1607" s="2"/>
      <c r="J1607" s="2"/>
      <c r="K1607" s="12"/>
      <c r="L1607" s="2"/>
      <c r="M1607" s="2"/>
      <c r="N1607" s="67"/>
    </row>
    <row r="1608" spans="1:14" x14ac:dyDescent="0.35">
      <c r="A1608" s="61">
        <v>1604</v>
      </c>
      <c r="B1608" s="2"/>
      <c r="C1608" s="2"/>
      <c r="D1608" s="2"/>
      <c r="E1608" s="10"/>
      <c r="F1608" s="11"/>
      <c r="G1608" s="2"/>
      <c r="H1608" s="2"/>
      <c r="I1608" s="2"/>
      <c r="J1608" s="2"/>
      <c r="K1608" s="12"/>
      <c r="L1608" s="2"/>
      <c r="M1608" s="2"/>
      <c r="N1608" s="67"/>
    </row>
    <row r="1609" spans="1:14" x14ac:dyDescent="0.35">
      <c r="A1609" s="61">
        <v>1605</v>
      </c>
      <c r="B1609" s="2"/>
      <c r="C1609" s="2"/>
      <c r="D1609" s="2"/>
      <c r="E1609" s="10"/>
      <c r="F1609" s="11"/>
      <c r="G1609" s="2"/>
      <c r="H1609" s="2"/>
      <c r="I1609" s="2"/>
      <c r="J1609" s="2"/>
      <c r="K1609" s="12"/>
      <c r="L1609" s="2"/>
      <c r="M1609" s="2"/>
      <c r="N1609" s="67"/>
    </row>
    <row r="1610" spans="1:14" x14ac:dyDescent="0.35">
      <c r="A1610" s="61">
        <v>1606</v>
      </c>
      <c r="B1610" s="2"/>
      <c r="C1610" s="2"/>
      <c r="D1610" s="2"/>
      <c r="E1610" s="10"/>
      <c r="F1610" s="11"/>
      <c r="G1610" s="2"/>
      <c r="H1610" s="2"/>
      <c r="I1610" s="2"/>
      <c r="J1610" s="2"/>
      <c r="K1610" s="12"/>
      <c r="L1610" s="2"/>
      <c r="M1610" s="2"/>
      <c r="N1610" s="67"/>
    </row>
    <row r="1611" spans="1:14" x14ac:dyDescent="0.35">
      <c r="A1611" s="61">
        <v>1607</v>
      </c>
      <c r="B1611" s="2"/>
      <c r="C1611" s="2"/>
      <c r="D1611" s="2"/>
      <c r="E1611" s="10"/>
      <c r="F1611" s="11"/>
      <c r="G1611" s="2"/>
      <c r="H1611" s="2"/>
      <c r="I1611" s="2"/>
      <c r="J1611" s="2"/>
      <c r="K1611" s="12"/>
      <c r="L1611" s="2"/>
      <c r="M1611" s="2"/>
      <c r="N1611" s="67"/>
    </row>
    <row r="1612" spans="1:14" x14ac:dyDescent="0.35">
      <c r="A1612" s="61">
        <v>1608</v>
      </c>
      <c r="B1612" s="2"/>
      <c r="C1612" s="2"/>
      <c r="D1612" s="2"/>
      <c r="E1612" s="10"/>
      <c r="F1612" s="11"/>
      <c r="G1612" s="2"/>
      <c r="H1612" s="2"/>
      <c r="I1612" s="2"/>
      <c r="J1612" s="2"/>
      <c r="K1612" s="12"/>
      <c r="L1612" s="2"/>
      <c r="M1612" s="2"/>
      <c r="N1612" s="67"/>
    </row>
    <row r="1613" spans="1:14" x14ac:dyDescent="0.35">
      <c r="A1613" s="61">
        <v>1609</v>
      </c>
      <c r="B1613" s="2"/>
      <c r="C1613" s="2"/>
      <c r="D1613" s="2"/>
      <c r="E1613" s="10"/>
      <c r="F1613" s="11"/>
      <c r="G1613" s="2"/>
      <c r="H1613" s="2"/>
      <c r="I1613" s="2"/>
      <c r="J1613" s="2"/>
      <c r="K1613" s="12"/>
      <c r="L1613" s="2"/>
      <c r="M1613" s="2"/>
      <c r="N1613" s="67"/>
    </row>
    <row r="1614" spans="1:14" x14ac:dyDescent="0.35">
      <c r="A1614" s="61">
        <v>1610</v>
      </c>
      <c r="B1614" s="2"/>
      <c r="C1614" s="2"/>
      <c r="D1614" s="2"/>
      <c r="E1614" s="10"/>
      <c r="F1614" s="11"/>
      <c r="G1614" s="2"/>
      <c r="H1614" s="2"/>
      <c r="I1614" s="2"/>
      <c r="J1614" s="2"/>
      <c r="K1614" s="12"/>
      <c r="L1614" s="2"/>
      <c r="M1614" s="2"/>
      <c r="N1614" s="67"/>
    </row>
    <row r="1615" spans="1:14" x14ac:dyDescent="0.35">
      <c r="A1615" s="61">
        <v>1611</v>
      </c>
      <c r="B1615" s="2"/>
      <c r="C1615" s="2"/>
      <c r="D1615" s="2"/>
      <c r="E1615" s="10"/>
      <c r="F1615" s="11"/>
      <c r="G1615" s="2"/>
      <c r="H1615" s="2"/>
      <c r="I1615" s="2"/>
      <c r="J1615" s="2"/>
      <c r="K1615" s="12"/>
      <c r="L1615" s="2"/>
      <c r="M1615" s="2"/>
      <c r="N1615" s="67"/>
    </row>
    <row r="1616" spans="1:14" x14ac:dyDescent="0.35">
      <c r="A1616" s="61">
        <v>1612</v>
      </c>
      <c r="B1616" s="2"/>
      <c r="C1616" s="2"/>
      <c r="D1616" s="2"/>
      <c r="E1616" s="10"/>
      <c r="F1616" s="11"/>
      <c r="G1616" s="2"/>
      <c r="H1616" s="2"/>
      <c r="I1616" s="2"/>
      <c r="J1616" s="2"/>
      <c r="K1616" s="12"/>
      <c r="L1616" s="2"/>
      <c r="M1616" s="2"/>
      <c r="N1616" s="67"/>
    </row>
    <row r="1617" spans="1:14" x14ac:dyDescent="0.35">
      <c r="A1617" s="61">
        <v>1613</v>
      </c>
      <c r="B1617" s="2"/>
      <c r="C1617" s="2"/>
      <c r="D1617" s="2"/>
      <c r="E1617" s="10"/>
      <c r="F1617" s="11"/>
      <c r="G1617" s="2"/>
      <c r="H1617" s="2"/>
      <c r="I1617" s="2"/>
      <c r="J1617" s="2"/>
      <c r="K1617" s="12"/>
      <c r="L1617" s="2"/>
      <c r="M1617" s="2"/>
      <c r="N1617" s="67"/>
    </row>
    <row r="1618" spans="1:14" x14ac:dyDescent="0.35">
      <c r="A1618" s="61">
        <v>1614</v>
      </c>
      <c r="B1618" s="2"/>
      <c r="C1618" s="2"/>
      <c r="D1618" s="2"/>
      <c r="E1618" s="10"/>
      <c r="F1618" s="11"/>
      <c r="G1618" s="2"/>
      <c r="H1618" s="2"/>
      <c r="I1618" s="2"/>
      <c r="J1618" s="2"/>
      <c r="K1618" s="12"/>
      <c r="L1618" s="2"/>
      <c r="M1618" s="2"/>
      <c r="N1618" s="67"/>
    </row>
    <row r="1619" spans="1:14" x14ac:dyDescent="0.35">
      <c r="A1619" s="61">
        <v>1615</v>
      </c>
      <c r="B1619" s="2"/>
      <c r="C1619" s="2"/>
      <c r="D1619" s="2"/>
      <c r="E1619" s="10"/>
      <c r="F1619" s="11"/>
      <c r="G1619" s="2"/>
      <c r="H1619" s="2"/>
      <c r="I1619" s="2"/>
      <c r="J1619" s="2"/>
      <c r="K1619" s="12"/>
      <c r="L1619" s="2"/>
      <c r="M1619" s="2"/>
      <c r="N1619" s="67"/>
    </row>
    <row r="1620" spans="1:14" x14ac:dyDescent="0.35">
      <c r="A1620" s="61">
        <v>1616</v>
      </c>
      <c r="B1620" s="2"/>
      <c r="C1620" s="2"/>
      <c r="D1620" s="2"/>
      <c r="E1620" s="10"/>
      <c r="F1620" s="11"/>
      <c r="G1620" s="2"/>
      <c r="H1620" s="2"/>
      <c r="I1620" s="2"/>
      <c r="J1620" s="2"/>
      <c r="K1620" s="12"/>
      <c r="L1620" s="2"/>
      <c r="M1620" s="2"/>
      <c r="N1620" s="67"/>
    </row>
    <row r="1621" spans="1:14" x14ac:dyDescent="0.35">
      <c r="A1621" s="61">
        <v>1617</v>
      </c>
      <c r="B1621" s="2"/>
      <c r="C1621" s="2"/>
      <c r="D1621" s="2"/>
      <c r="E1621" s="10"/>
      <c r="F1621" s="11"/>
      <c r="G1621" s="2"/>
      <c r="H1621" s="2"/>
      <c r="I1621" s="2"/>
      <c r="J1621" s="2"/>
      <c r="K1621" s="12"/>
      <c r="L1621" s="2"/>
      <c r="M1621" s="2"/>
      <c r="N1621" s="67"/>
    </row>
    <row r="1622" spans="1:14" x14ac:dyDescent="0.35">
      <c r="A1622" s="61">
        <v>1618</v>
      </c>
      <c r="B1622" s="2"/>
      <c r="C1622" s="2"/>
      <c r="D1622" s="2"/>
      <c r="E1622" s="10"/>
      <c r="F1622" s="11"/>
      <c r="G1622" s="2"/>
      <c r="H1622" s="2"/>
      <c r="I1622" s="2"/>
      <c r="J1622" s="2"/>
      <c r="K1622" s="12"/>
      <c r="L1622" s="2"/>
      <c r="M1622" s="2"/>
      <c r="N1622" s="67"/>
    </row>
    <row r="1623" spans="1:14" x14ac:dyDescent="0.35">
      <c r="A1623" s="61">
        <v>1619</v>
      </c>
      <c r="B1623" s="2"/>
      <c r="C1623" s="2"/>
      <c r="D1623" s="2"/>
      <c r="E1623" s="10"/>
      <c r="F1623" s="11"/>
      <c r="G1623" s="2"/>
      <c r="H1623" s="2"/>
      <c r="I1623" s="2"/>
      <c r="J1623" s="2"/>
      <c r="K1623" s="12"/>
      <c r="L1623" s="2"/>
      <c r="M1623" s="2"/>
      <c r="N1623" s="67"/>
    </row>
    <row r="1624" spans="1:14" x14ac:dyDescent="0.35">
      <c r="A1624" s="61">
        <v>1620</v>
      </c>
      <c r="B1624" s="2"/>
      <c r="C1624" s="2"/>
      <c r="D1624" s="2"/>
      <c r="E1624" s="10"/>
      <c r="F1624" s="11"/>
      <c r="G1624" s="2"/>
      <c r="H1624" s="2"/>
      <c r="I1624" s="2"/>
      <c r="J1624" s="2"/>
      <c r="K1624" s="12"/>
      <c r="L1624" s="2"/>
      <c r="M1624" s="2"/>
      <c r="N1624" s="67"/>
    </row>
    <row r="1625" spans="1:14" x14ac:dyDescent="0.35">
      <c r="A1625" s="61">
        <v>1621</v>
      </c>
      <c r="B1625" s="2"/>
      <c r="C1625" s="2"/>
      <c r="D1625" s="2"/>
      <c r="E1625" s="10"/>
      <c r="F1625" s="11"/>
      <c r="G1625" s="2"/>
      <c r="H1625" s="2"/>
      <c r="I1625" s="2"/>
      <c r="J1625" s="2"/>
      <c r="K1625" s="12"/>
      <c r="L1625" s="2"/>
      <c r="M1625" s="2"/>
      <c r="N1625" s="67"/>
    </row>
    <row r="1626" spans="1:14" x14ac:dyDescent="0.35">
      <c r="A1626" s="61">
        <v>1622</v>
      </c>
      <c r="B1626" s="2"/>
      <c r="C1626" s="2"/>
      <c r="D1626" s="2"/>
      <c r="E1626" s="10"/>
      <c r="F1626" s="11"/>
      <c r="G1626" s="2"/>
      <c r="H1626" s="2"/>
      <c r="I1626" s="2"/>
      <c r="J1626" s="2"/>
      <c r="K1626" s="12"/>
      <c r="L1626" s="2"/>
      <c r="M1626" s="2"/>
      <c r="N1626" s="67"/>
    </row>
    <row r="1627" spans="1:14" x14ac:dyDescent="0.35">
      <c r="A1627" s="61">
        <v>1623</v>
      </c>
      <c r="B1627" s="2"/>
      <c r="C1627" s="2"/>
      <c r="D1627" s="2"/>
      <c r="E1627" s="10"/>
      <c r="F1627" s="11"/>
      <c r="G1627" s="2"/>
      <c r="H1627" s="2"/>
      <c r="I1627" s="2"/>
      <c r="J1627" s="2"/>
      <c r="K1627" s="12"/>
      <c r="L1627" s="2"/>
      <c r="M1627" s="2"/>
      <c r="N1627" s="67"/>
    </row>
    <row r="1628" spans="1:14" x14ac:dyDescent="0.35">
      <c r="A1628" s="61">
        <v>1624</v>
      </c>
      <c r="B1628" s="2"/>
      <c r="C1628" s="2"/>
      <c r="D1628" s="2"/>
      <c r="E1628" s="10"/>
      <c r="F1628" s="11"/>
      <c r="G1628" s="2"/>
      <c r="H1628" s="2"/>
      <c r="I1628" s="2"/>
      <c r="J1628" s="2"/>
      <c r="K1628" s="12"/>
      <c r="L1628" s="2"/>
      <c r="M1628" s="2"/>
      <c r="N1628" s="67"/>
    </row>
    <row r="1629" spans="1:14" x14ac:dyDescent="0.35">
      <c r="A1629" s="61">
        <v>1625</v>
      </c>
      <c r="B1629" s="2"/>
      <c r="C1629" s="2"/>
      <c r="D1629" s="2"/>
      <c r="E1629" s="10"/>
      <c r="F1629" s="11"/>
      <c r="G1629" s="2"/>
      <c r="H1629" s="2"/>
      <c r="I1629" s="2"/>
      <c r="J1629" s="2"/>
      <c r="K1629" s="12"/>
      <c r="L1629" s="2"/>
      <c r="M1629" s="2"/>
      <c r="N1629" s="67"/>
    </row>
    <row r="1630" spans="1:14" x14ac:dyDescent="0.35">
      <c r="A1630" s="61">
        <v>1626</v>
      </c>
      <c r="B1630" s="2"/>
      <c r="C1630" s="2"/>
      <c r="D1630" s="2"/>
      <c r="E1630" s="10"/>
      <c r="F1630" s="11"/>
      <c r="G1630" s="2"/>
      <c r="H1630" s="2"/>
      <c r="I1630" s="2"/>
      <c r="J1630" s="2"/>
      <c r="K1630" s="12"/>
      <c r="L1630" s="2"/>
      <c r="M1630" s="2"/>
      <c r="N1630" s="67"/>
    </row>
    <row r="1631" spans="1:14" x14ac:dyDescent="0.35">
      <c r="A1631" s="61">
        <v>1627</v>
      </c>
      <c r="B1631" s="2"/>
      <c r="C1631" s="2"/>
      <c r="D1631" s="2"/>
      <c r="E1631" s="10"/>
      <c r="F1631" s="11"/>
      <c r="G1631" s="2"/>
      <c r="H1631" s="2"/>
      <c r="I1631" s="2"/>
      <c r="J1631" s="2"/>
      <c r="K1631" s="12"/>
      <c r="L1631" s="2"/>
      <c r="M1631" s="2"/>
      <c r="N1631" s="67"/>
    </row>
    <row r="1632" spans="1:14" x14ac:dyDescent="0.35">
      <c r="A1632" s="61">
        <v>1628</v>
      </c>
      <c r="B1632" s="2"/>
      <c r="C1632" s="2"/>
      <c r="D1632" s="2"/>
      <c r="E1632" s="10"/>
      <c r="F1632" s="11"/>
      <c r="G1632" s="2"/>
      <c r="H1632" s="2"/>
      <c r="I1632" s="2"/>
      <c r="J1632" s="2"/>
      <c r="K1632" s="12"/>
      <c r="L1632" s="2"/>
      <c r="M1632" s="2"/>
      <c r="N1632" s="67"/>
    </row>
    <row r="1633" spans="1:14" x14ac:dyDescent="0.35">
      <c r="A1633" s="61">
        <v>1629</v>
      </c>
      <c r="B1633" s="2"/>
      <c r="C1633" s="2"/>
      <c r="D1633" s="2"/>
      <c r="E1633" s="10"/>
      <c r="F1633" s="11"/>
      <c r="G1633" s="2"/>
      <c r="H1633" s="2"/>
      <c r="I1633" s="2"/>
      <c r="J1633" s="2"/>
      <c r="K1633" s="12"/>
      <c r="L1633" s="2"/>
      <c r="M1633" s="2"/>
      <c r="N1633" s="67"/>
    </row>
    <row r="1634" spans="1:14" x14ac:dyDescent="0.35">
      <c r="A1634" s="61">
        <v>1630</v>
      </c>
      <c r="B1634" s="2"/>
      <c r="C1634" s="2"/>
      <c r="D1634" s="2"/>
      <c r="E1634" s="10"/>
      <c r="F1634" s="11"/>
      <c r="G1634" s="2"/>
      <c r="H1634" s="2"/>
      <c r="I1634" s="2"/>
      <c r="J1634" s="2"/>
      <c r="K1634" s="12"/>
      <c r="L1634" s="2"/>
      <c r="M1634" s="2"/>
      <c r="N1634" s="67"/>
    </row>
    <row r="1635" spans="1:14" x14ac:dyDescent="0.35">
      <c r="A1635" s="61">
        <v>1631</v>
      </c>
      <c r="B1635" s="2"/>
      <c r="C1635" s="2"/>
      <c r="D1635" s="2"/>
      <c r="E1635" s="10"/>
      <c r="F1635" s="11"/>
      <c r="G1635" s="2"/>
      <c r="H1635" s="2"/>
      <c r="I1635" s="2"/>
      <c r="J1635" s="2"/>
      <c r="K1635" s="12"/>
      <c r="L1635" s="2"/>
      <c r="M1635" s="2"/>
      <c r="N1635" s="67"/>
    </row>
    <row r="1636" spans="1:14" x14ac:dyDescent="0.35">
      <c r="A1636" s="61">
        <v>1632</v>
      </c>
      <c r="B1636" s="2"/>
      <c r="C1636" s="2"/>
      <c r="D1636" s="2"/>
      <c r="E1636" s="10"/>
      <c r="F1636" s="11"/>
      <c r="G1636" s="2"/>
      <c r="H1636" s="2"/>
      <c r="I1636" s="2"/>
      <c r="J1636" s="2"/>
      <c r="K1636" s="12"/>
      <c r="L1636" s="2"/>
      <c r="M1636" s="2"/>
      <c r="N1636" s="67"/>
    </row>
    <row r="1637" spans="1:14" x14ac:dyDescent="0.35">
      <c r="A1637" s="61">
        <v>1633</v>
      </c>
      <c r="B1637" s="2"/>
      <c r="C1637" s="2"/>
      <c r="D1637" s="2"/>
      <c r="E1637" s="10"/>
      <c r="F1637" s="11"/>
      <c r="G1637" s="2"/>
      <c r="H1637" s="2"/>
      <c r="I1637" s="2"/>
      <c r="J1637" s="2"/>
      <c r="K1637" s="12"/>
      <c r="L1637" s="2"/>
      <c r="M1637" s="2"/>
      <c r="N1637" s="67"/>
    </row>
    <row r="1638" spans="1:14" x14ac:dyDescent="0.35">
      <c r="A1638" s="61">
        <v>1634</v>
      </c>
      <c r="B1638" s="2"/>
      <c r="C1638" s="2"/>
      <c r="D1638" s="2"/>
      <c r="E1638" s="10"/>
      <c r="F1638" s="11"/>
      <c r="G1638" s="2"/>
      <c r="H1638" s="2"/>
      <c r="I1638" s="2"/>
      <c r="J1638" s="2"/>
      <c r="K1638" s="12"/>
      <c r="L1638" s="2"/>
      <c r="M1638" s="2"/>
      <c r="N1638" s="67"/>
    </row>
    <row r="1639" spans="1:14" x14ac:dyDescent="0.35">
      <c r="A1639" s="61">
        <v>1635</v>
      </c>
      <c r="B1639" s="2"/>
      <c r="C1639" s="2"/>
      <c r="D1639" s="2"/>
      <c r="E1639" s="10"/>
      <c r="F1639" s="11"/>
      <c r="G1639" s="2"/>
      <c r="H1639" s="2"/>
      <c r="I1639" s="2"/>
      <c r="J1639" s="2"/>
      <c r="K1639" s="12"/>
      <c r="L1639" s="2"/>
      <c r="M1639" s="2"/>
      <c r="N1639" s="67"/>
    </row>
    <row r="1640" spans="1:14" x14ac:dyDescent="0.35">
      <c r="A1640" s="61">
        <v>1636</v>
      </c>
      <c r="B1640" s="2"/>
      <c r="C1640" s="2"/>
      <c r="D1640" s="2"/>
      <c r="E1640" s="10"/>
      <c r="F1640" s="11"/>
      <c r="G1640" s="2"/>
      <c r="H1640" s="2"/>
      <c r="I1640" s="2"/>
      <c r="J1640" s="2"/>
      <c r="K1640" s="12"/>
      <c r="L1640" s="2"/>
      <c r="M1640" s="2"/>
      <c r="N1640" s="67"/>
    </row>
    <row r="1641" spans="1:14" x14ac:dyDescent="0.35">
      <c r="A1641" s="61">
        <v>1637</v>
      </c>
      <c r="B1641" s="2"/>
      <c r="C1641" s="2"/>
      <c r="D1641" s="2"/>
      <c r="E1641" s="10"/>
      <c r="F1641" s="11"/>
      <c r="G1641" s="2"/>
      <c r="H1641" s="2"/>
      <c r="I1641" s="2"/>
      <c r="J1641" s="2"/>
      <c r="K1641" s="12"/>
      <c r="L1641" s="2"/>
      <c r="M1641" s="2"/>
      <c r="N1641" s="67"/>
    </row>
    <row r="1642" spans="1:14" x14ac:dyDescent="0.35">
      <c r="A1642" s="61">
        <v>1638</v>
      </c>
      <c r="B1642" s="2"/>
      <c r="C1642" s="2"/>
      <c r="D1642" s="2"/>
      <c r="E1642" s="10"/>
      <c r="F1642" s="11"/>
      <c r="G1642" s="2"/>
      <c r="H1642" s="2"/>
      <c r="I1642" s="2"/>
      <c r="J1642" s="2"/>
      <c r="K1642" s="12"/>
      <c r="L1642" s="2"/>
      <c r="M1642" s="2"/>
      <c r="N1642" s="67"/>
    </row>
    <row r="1643" spans="1:14" x14ac:dyDescent="0.35">
      <c r="A1643" s="61">
        <v>1639</v>
      </c>
      <c r="B1643" s="2"/>
      <c r="C1643" s="2"/>
      <c r="D1643" s="2"/>
      <c r="E1643" s="10"/>
      <c r="F1643" s="11"/>
      <c r="G1643" s="2"/>
      <c r="H1643" s="2"/>
      <c r="I1643" s="2"/>
      <c r="J1643" s="2"/>
      <c r="K1643" s="12"/>
      <c r="L1643" s="2"/>
      <c r="M1643" s="2"/>
      <c r="N1643" s="67"/>
    </row>
    <row r="1644" spans="1:14" x14ac:dyDescent="0.35">
      <c r="A1644" s="61">
        <v>1640</v>
      </c>
      <c r="B1644" s="2"/>
      <c r="C1644" s="2"/>
      <c r="D1644" s="2"/>
      <c r="E1644" s="10"/>
      <c r="F1644" s="11"/>
      <c r="G1644" s="2"/>
      <c r="H1644" s="2"/>
      <c r="I1644" s="2"/>
      <c r="J1644" s="2"/>
      <c r="K1644" s="12"/>
      <c r="L1644" s="2"/>
      <c r="M1644" s="2"/>
      <c r="N1644" s="67"/>
    </row>
    <row r="1645" spans="1:14" x14ac:dyDescent="0.35">
      <c r="A1645" s="61">
        <v>1641</v>
      </c>
      <c r="B1645" s="2"/>
      <c r="C1645" s="2"/>
      <c r="D1645" s="2"/>
      <c r="E1645" s="10"/>
      <c r="F1645" s="11"/>
      <c r="G1645" s="2"/>
      <c r="H1645" s="2"/>
      <c r="I1645" s="2"/>
      <c r="J1645" s="2"/>
      <c r="K1645" s="12"/>
      <c r="L1645" s="2"/>
      <c r="M1645" s="2"/>
      <c r="N1645" s="67"/>
    </row>
    <row r="1646" spans="1:14" x14ac:dyDescent="0.35">
      <c r="A1646" s="61">
        <v>1642</v>
      </c>
      <c r="B1646" s="2"/>
      <c r="C1646" s="2"/>
      <c r="D1646" s="2"/>
      <c r="E1646" s="10"/>
      <c r="F1646" s="11"/>
      <c r="G1646" s="2"/>
      <c r="H1646" s="2"/>
      <c r="I1646" s="2"/>
      <c r="J1646" s="2"/>
      <c r="K1646" s="12"/>
      <c r="L1646" s="2"/>
      <c r="M1646" s="2"/>
      <c r="N1646" s="67"/>
    </row>
    <row r="1647" spans="1:14" x14ac:dyDescent="0.35">
      <c r="A1647" s="61">
        <v>1643</v>
      </c>
      <c r="B1647" s="2"/>
      <c r="C1647" s="2"/>
      <c r="D1647" s="2"/>
      <c r="E1647" s="10"/>
      <c r="F1647" s="11"/>
      <c r="G1647" s="2"/>
      <c r="H1647" s="2"/>
      <c r="I1647" s="2"/>
      <c r="J1647" s="2"/>
      <c r="K1647" s="12"/>
      <c r="L1647" s="2"/>
      <c r="M1647" s="2"/>
      <c r="N1647" s="67"/>
    </row>
    <row r="1648" spans="1:14" x14ac:dyDescent="0.35">
      <c r="A1648" s="61">
        <v>1644</v>
      </c>
      <c r="B1648" s="2"/>
      <c r="C1648" s="2"/>
      <c r="D1648" s="2"/>
      <c r="E1648" s="10"/>
      <c r="F1648" s="11"/>
      <c r="G1648" s="2"/>
      <c r="H1648" s="2"/>
      <c r="I1648" s="2"/>
      <c r="J1648" s="2"/>
      <c r="K1648" s="12"/>
      <c r="L1648" s="2"/>
      <c r="M1648" s="2"/>
      <c r="N1648" s="67"/>
    </row>
    <row r="1649" spans="1:14" x14ac:dyDescent="0.35">
      <c r="A1649" s="61">
        <v>1645</v>
      </c>
      <c r="B1649" s="2"/>
      <c r="C1649" s="2"/>
      <c r="D1649" s="2"/>
      <c r="E1649" s="10"/>
      <c r="F1649" s="11"/>
      <c r="G1649" s="2"/>
      <c r="H1649" s="2"/>
      <c r="I1649" s="2"/>
      <c r="J1649" s="2"/>
      <c r="K1649" s="12"/>
      <c r="L1649" s="2"/>
      <c r="M1649" s="2"/>
      <c r="N1649" s="67"/>
    </row>
    <row r="1650" spans="1:14" x14ac:dyDescent="0.35">
      <c r="A1650" s="61">
        <v>1646</v>
      </c>
      <c r="B1650" s="2"/>
      <c r="C1650" s="2"/>
      <c r="D1650" s="2"/>
      <c r="E1650" s="10"/>
      <c r="F1650" s="11"/>
      <c r="G1650" s="2"/>
      <c r="H1650" s="2"/>
      <c r="I1650" s="2"/>
      <c r="J1650" s="2"/>
      <c r="K1650" s="12"/>
      <c r="L1650" s="2"/>
      <c r="M1650" s="2"/>
      <c r="N1650" s="67"/>
    </row>
    <row r="1651" spans="1:14" x14ac:dyDescent="0.35">
      <c r="A1651" s="61">
        <v>1647</v>
      </c>
      <c r="B1651" s="2"/>
      <c r="C1651" s="2"/>
      <c r="D1651" s="2"/>
      <c r="E1651" s="10"/>
      <c r="F1651" s="11"/>
      <c r="G1651" s="2"/>
      <c r="H1651" s="2"/>
      <c r="I1651" s="2"/>
      <c r="J1651" s="2"/>
      <c r="K1651" s="12"/>
      <c r="L1651" s="2"/>
      <c r="M1651" s="2"/>
      <c r="N1651" s="67"/>
    </row>
    <row r="1652" spans="1:14" x14ac:dyDescent="0.35">
      <c r="A1652" s="61">
        <v>1648</v>
      </c>
      <c r="B1652" s="2"/>
      <c r="C1652" s="2"/>
      <c r="D1652" s="2"/>
      <c r="E1652" s="10"/>
      <c r="F1652" s="11"/>
      <c r="G1652" s="2"/>
      <c r="H1652" s="2"/>
      <c r="I1652" s="2"/>
      <c r="J1652" s="2"/>
      <c r="K1652" s="12"/>
      <c r="L1652" s="2"/>
      <c r="M1652" s="2"/>
      <c r="N1652" s="67"/>
    </row>
    <row r="1653" spans="1:14" x14ac:dyDescent="0.35">
      <c r="A1653" s="61">
        <v>1649</v>
      </c>
      <c r="B1653" s="2"/>
      <c r="C1653" s="2"/>
      <c r="D1653" s="2"/>
      <c r="E1653" s="10"/>
      <c r="F1653" s="11"/>
      <c r="G1653" s="2"/>
      <c r="H1653" s="2"/>
      <c r="I1653" s="2"/>
      <c r="J1653" s="2"/>
      <c r="K1653" s="12"/>
      <c r="L1653" s="2"/>
      <c r="M1653" s="2"/>
      <c r="N1653" s="67"/>
    </row>
    <row r="1654" spans="1:14" x14ac:dyDescent="0.35">
      <c r="A1654" s="61">
        <v>1650</v>
      </c>
      <c r="B1654" s="2"/>
      <c r="C1654" s="2"/>
      <c r="D1654" s="2"/>
      <c r="E1654" s="10"/>
      <c r="F1654" s="11"/>
      <c r="G1654" s="2"/>
      <c r="H1654" s="2"/>
      <c r="I1654" s="2"/>
      <c r="J1654" s="2"/>
      <c r="K1654" s="12"/>
      <c r="L1654" s="2"/>
      <c r="M1654" s="2"/>
      <c r="N1654" s="67"/>
    </row>
    <row r="1655" spans="1:14" x14ac:dyDescent="0.35">
      <c r="A1655" s="61">
        <v>1651</v>
      </c>
      <c r="B1655" s="2"/>
      <c r="C1655" s="2"/>
      <c r="D1655" s="2"/>
      <c r="E1655" s="10"/>
      <c r="F1655" s="11"/>
      <c r="G1655" s="2"/>
      <c r="H1655" s="2"/>
      <c r="I1655" s="2"/>
      <c r="J1655" s="2"/>
      <c r="K1655" s="12"/>
      <c r="L1655" s="2"/>
      <c r="M1655" s="2"/>
      <c r="N1655" s="67"/>
    </row>
    <row r="1656" spans="1:14" x14ac:dyDescent="0.35">
      <c r="A1656" s="61">
        <v>1652</v>
      </c>
      <c r="B1656" s="2"/>
      <c r="C1656" s="2"/>
      <c r="D1656" s="2"/>
      <c r="E1656" s="10"/>
      <c r="F1656" s="11"/>
      <c r="G1656" s="2"/>
      <c r="H1656" s="2"/>
      <c r="I1656" s="2"/>
      <c r="J1656" s="2"/>
      <c r="K1656" s="12"/>
      <c r="L1656" s="2"/>
      <c r="M1656" s="2"/>
      <c r="N1656" s="67"/>
    </row>
    <row r="1657" spans="1:14" x14ac:dyDescent="0.35">
      <c r="A1657" s="61">
        <v>1653</v>
      </c>
      <c r="B1657" s="2"/>
      <c r="C1657" s="2"/>
      <c r="D1657" s="2"/>
      <c r="E1657" s="10"/>
      <c r="F1657" s="11"/>
      <c r="G1657" s="2"/>
      <c r="H1657" s="2"/>
      <c r="I1657" s="2"/>
      <c r="J1657" s="2"/>
      <c r="K1657" s="12"/>
      <c r="L1657" s="2"/>
      <c r="M1657" s="2"/>
      <c r="N1657" s="67"/>
    </row>
    <row r="1658" spans="1:14" x14ac:dyDescent="0.35">
      <c r="A1658" s="61">
        <v>1654</v>
      </c>
      <c r="B1658" s="2"/>
      <c r="C1658" s="2"/>
      <c r="D1658" s="2"/>
      <c r="E1658" s="10"/>
      <c r="F1658" s="11"/>
      <c r="G1658" s="2"/>
      <c r="H1658" s="2"/>
      <c r="I1658" s="2"/>
      <c r="J1658" s="2"/>
      <c r="K1658" s="12"/>
      <c r="L1658" s="2"/>
      <c r="M1658" s="2"/>
      <c r="N1658" s="67"/>
    </row>
    <row r="1659" spans="1:14" x14ac:dyDescent="0.35">
      <c r="A1659" s="61">
        <v>1655</v>
      </c>
      <c r="B1659" s="2"/>
      <c r="C1659" s="2"/>
      <c r="D1659" s="2"/>
      <c r="E1659" s="10"/>
      <c r="F1659" s="11"/>
      <c r="G1659" s="2"/>
      <c r="H1659" s="2"/>
      <c r="I1659" s="2"/>
      <c r="J1659" s="2"/>
      <c r="K1659" s="12"/>
      <c r="L1659" s="2"/>
      <c r="M1659" s="2"/>
      <c r="N1659" s="67"/>
    </row>
    <row r="1660" spans="1:14" x14ac:dyDescent="0.35">
      <c r="A1660" s="61">
        <v>1656</v>
      </c>
      <c r="B1660" s="2"/>
      <c r="C1660" s="2"/>
      <c r="D1660" s="2"/>
      <c r="E1660" s="10"/>
      <c r="F1660" s="11"/>
      <c r="G1660" s="2"/>
      <c r="H1660" s="2"/>
      <c r="I1660" s="2"/>
      <c r="J1660" s="2"/>
      <c r="K1660" s="12"/>
      <c r="L1660" s="2"/>
      <c r="M1660" s="2"/>
      <c r="N1660" s="67"/>
    </row>
    <row r="1661" spans="1:14" x14ac:dyDescent="0.35">
      <c r="A1661" s="61">
        <v>1657</v>
      </c>
      <c r="B1661" s="2"/>
      <c r="C1661" s="2"/>
      <c r="D1661" s="2"/>
      <c r="E1661" s="10"/>
      <c r="F1661" s="11"/>
      <c r="G1661" s="2"/>
      <c r="H1661" s="2"/>
      <c r="I1661" s="2"/>
      <c r="J1661" s="2"/>
      <c r="K1661" s="12"/>
      <c r="L1661" s="2"/>
      <c r="M1661" s="2"/>
      <c r="N1661" s="67"/>
    </row>
    <row r="1662" spans="1:14" x14ac:dyDescent="0.35">
      <c r="A1662" s="61">
        <v>1658</v>
      </c>
      <c r="B1662" s="2"/>
      <c r="C1662" s="2"/>
      <c r="D1662" s="2"/>
      <c r="E1662" s="10"/>
      <c r="F1662" s="11"/>
      <c r="G1662" s="2"/>
      <c r="H1662" s="2"/>
      <c r="I1662" s="2"/>
      <c r="J1662" s="2"/>
      <c r="K1662" s="12"/>
      <c r="L1662" s="2"/>
      <c r="M1662" s="2"/>
      <c r="N1662" s="67"/>
    </row>
    <row r="1663" spans="1:14" x14ac:dyDescent="0.35">
      <c r="A1663" s="61">
        <v>1659</v>
      </c>
      <c r="B1663" s="2"/>
      <c r="C1663" s="2"/>
      <c r="D1663" s="2"/>
      <c r="E1663" s="10"/>
      <c r="F1663" s="11"/>
      <c r="G1663" s="2"/>
      <c r="H1663" s="2"/>
      <c r="I1663" s="2"/>
      <c r="J1663" s="2"/>
      <c r="K1663" s="12"/>
      <c r="L1663" s="2"/>
      <c r="M1663" s="2"/>
      <c r="N1663" s="67"/>
    </row>
    <row r="1664" spans="1:14" x14ac:dyDescent="0.35">
      <c r="A1664" s="61">
        <v>1660</v>
      </c>
      <c r="B1664" s="2"/>
      <c r="C1664" s="2"/>
      <c r="D1664" s="2"/>
      <c r="E1664" s="10"/>
      <c r="F1664" s="11"/>
      <c r="G1664" s="2"/>
      <c r="H1664" s="2"/>
      <c r="I1664" s="2"/>
      <c r="J1664" s="2"/>
      <c r="K1664" s="12"/>
      <c r="L1664" s="2"/>
      <c r="M1664" s="2"/>
      <c r="N1664" s="67"/>
    </row>
    <row r="1665" spans="1:14" x14ac:dyDescent="0.35">
      <c r="A1665" s="61">
        <v>1661</v>
      </c>
      <c r="B1665" s="2"/>
      <c r="C1665" s="2"/>
      <c r="D1665" s="2"/>
      <c r="E1665" s="10"/>
      <c r="F1665" s="11"/>
      <c r="G1665" s="2"/>
      <c r="H1665" s="2"/>
      <c r="I1665" s="2"/>
      <c r="J1665" s="2"/>
      <c r="K1665" s="12"/>
      <c r="L1665" s="2"/>
      <c r="M1665" s="2"/>
      <c r="N1665" s="67"/>
    </row>
    <row r="1666" spans="1:14" x14ac:dyDescent="0.35">
      <c r="A1666" s="61">
        <v>1662</v>
      </c>
      <c r="B1666" s="2"/>
      <c r="C1666" s="2"/>
      <c r="D1666" s="2"/>
      <c r="E1666" s="10"/>
      <c r="F1666" s="11"/>
      <c r="G1666" s="2"/>
      <c r="H1666" s="2"/>
      <c r="I1666" s="2"/>
      <c r="J1666" s="2"/>
      <c r="K1666" s="12"/>
      <c r="L1666" s="2"/>
      <c r="M1666" s="2"/>
      <c r="N1666" s="67"/>
    </row>
    <row r="1667" spans="1:14" x14ac:dyDescent="0.35">
      <c r="A1667" s="61">
        <v>1663</v>
      </c>
      <c r="B1667" s="2"/>
      <c r="C1667" s="2"/>
      <c r="D1667" s="2"/>
      <c r="E1667" s="10"/>
      <c r="F1667" s="11"/>
      <c r="G1667" s="2"/>
      <c r="H1667" s="2"/>
      <c r="I1667" s="2"/>
      <c r="J1667" s="2"/>
      <c r="K1667" s="12"/>
      <c r="L1667" s="2"/>
      <c r="M1667" s="2"/>
      <c r="N1667" s="67"/>
    </row>
    <row r="1668" spans="1:14" x14ac:dyDescent="0.35">
      <c r="A1668" s="61">
        <v>1664</v>
      </c>
      <c r="B1668" s="2"/>
      <c r="C1668" s="2"/>
      <c r="D1668" s="2"/>
      <c r="E1668" s="10"/>
      <c r="F1668" s="11"/>
      <c r="G1668" s="2"/>
      <c r="H1668" s="2"/>
      <c r="I1668" s="2"/>
      <c r="J1668" s="2"/>
      <c r="K1668" s="12"/>
      <c r="L1668" s="2"/>
      <c r="M1668" s="2"/>
      <c r="N1668" s="67"/>
    </row>
    <row r="1669" spans="1:14" x14ac:dyDescent="0.35">
      <c r="A1669" s="61">
        <v>1665</v>
      </c>
      <c r="B1669" s="2"/>
      <c r="C1669" s="2"/>
      <c r="D1669" s="2"/>
      <c r="E1669" s="10"/>
      <c r="F1669" s="11"/>
      <c r="G1669" s="2"/>
      <c r="H1669" s="2"/>
      <c r="I1669" s="2"/>
      <c r="J1669" s="2"/>
      <c r="K1669" s="12"/>
      <c r="L1669" s="2"/>
      <c r="M1669" s="2"/>
      <c r="N1669" s="67"/>
    </row>
    <row r="1670" spans="1:14" x14ac:dyDescent="0.35">
      <c r="A1670" s="61">
        <v>1666</v>
      </c>
      <c r="B1670" s="2"/>
      <c r="C1670" s="2"/>
      <c r="D1670" s="2"/>
      <c r="E1670" s="10"/>
      <c r="F1670" s="11"/>
      <c r="G1670" s="2"/>
      <c r="H1670" s="2"/>
      <c r="I1670" s="2"/>
      <c r="J1670" s="2"/>
      <c r="K1670" s="12"/>
      <c r="L1670" s="2"/>
      <c r="M1670" s="2"/>
      <c r="N1670" s="67"/>
    </row>
    <row r="1671" spans="1:14" x14ac:dyDescent="0.35">
      <c r="A1671" s="61">
        <v>1667</v>
      </c>
      <c r="B1671" s="2"/>
      <c r="C1671" s="2"/>
      <c r="D1671" s="2"/>
      <c r="E1671" s="10"/>
      <c r="F1671" s="11"/>
      <c r="G1671" s="2"/>
      <c r="H1671" s="2"/>
      <c r="I1671" s="2"/>
      <c r="J1671" s="2"/>
      <c r="K1671" s="12"/>
      <c r="L1671" s="2"/>
      <c r="M1671" s="2"/>
      <c r="N1671" s="67"/>
    </row>
    <row r="1672" spans="1:14" x14ac:dyDescent="0.35">
      <c r="A1672" s="61">
        <v>1668</v>
      </c>
      <c r="B1672" s="2"/>
      <c r="C1672" s="2"/>
      <c r="D1672" s="2"/>
      <c r="E1672" s="10"/>
      <c r="F1672" s="11"/>
      <c r="G1672" s="2"/>
      <c r="H1672" s="2"/>
      <c r="I1672" s="2"/>
      <c r="J1672" s="2"/>
      <c r="K1672" s="12"/>
      <c r="L1672" s="2"/>
      <c r="M1672" s="2"/>
      <c r="N1672" s="67"/>
    </row>
    <row r="1673" spans="1:14" x14ac:dyDescent="0.35">
      <c r="A1673" s="61">
        <v>1669</v>
      </c>
      <c r="B1673" s="2"/>
      <c r="C1673" s="2"/>
      <c r="D1673" s="2"/>
      <c r="E1673" s="10"/>
      <c r="F1673" s="11"/>
      <c r="G1673" s="2"/>
      <c r="H1673" s="2"/>
      <c r="I1673" s="2"/>
      <c r="J1673" s="2"/>
      <c r="K1673" s="12"/>
      <c r="L1673" s="2"/>
      <c r="M1673" s="2"/>
      <c r="N1673" s="67"/>
    </row>
    <row r="1674" spans="1:14" x14ac:dyDescent="0.35">
      <c r="A1674" s="61">
        <v>1670</v>
      </c>
      <c r="B1674" s="2"/>
      <c r="C1674" s="2"/>
      <c r="D1674" s="2"/>
      <c r="E1674" s="10"/>
      <c r="F1674" s="11"/>
      <c r="G1674" s="2"/>
      <c r="H1674" s="2"/>
      <c r="I1674" s="2"/>
      <c r="J1674" s="2"/>
      <c r="K1674" s="12"/>
      <c r="L1674" s="2"/>
      <c r="M1674" s="2"/>
      <c r="N1674" s="67"/>
    </row>
    <row r="1675" spans="1:14" x14ac:dyDescent="0.35">
      <c r="A1675" s="61">
        <v>1671</v>
      </c>
      <c r="B1675" s="2"/>
      <c r="C1675" s="2"/>
      <c r="D1675" s="2"/>
      <c r="E1675" s="10"/>
      <c r="F1675" s="11"/>
      <c r="G1675" s="2"/>
      <c r="H1675" s="2"/>
      <c r="I1675" s="2"/>
      <c r="J1675" s="2"/>
      <c r="K1675" s="12"/>
      <c r="L1675" s="2"/>
      <c r="M1675" s="2"/>
      <c r="N1675" s="67"/>
    </row>
    <row r="1676" spans="1:14" x14ac:dyDescent="0.35">
      <c r="A1676" s="61">
        <v>1672</v>
      </c>
      <c r="B1676" s="2"/>
      <c r="C1676" s="2"/>
      <c r="D1676" s="2"/>
      <c r="E1676" s="10"/>
      <c r="F1676" s="11"/>
      <c r="G1676" s="2"/>
      <c r="H1676" s="2"/>
      <c r="I1676" s="2"/>
      <c r="J1676" s="2"/>
      <c r="K1676" s="12"/>
      <c r="L1676" s="2"/>
      <c r="M1676" s="2"/>
      <c r="N1676" s="67"/>
    </row>
    <row r="1677" spans="1:14" x14ac:dyDescent="0.35">
      <c r="A1677" s="61">
        <v>1673</v>
      </c>
      <c r="B1677" s="2"/>
      <c r="C1677" s="2"/>
      <c r="D1677" s="2"/>
      <c r="E1677" s="10"/>
      <c r="F1677" s="11"/>
      <c r="G1677" s="2"/>
      <c r="H1677" s="2"/>
      <c r="I1677" s="2"/>
      <c r="J1677" s="2"/>
      <c r="K1677" s="12"/>
      <c r="L1677" s="2"/>
      <c r="M1677" s="2"/>
      <c r="N1677" s="67"/>
    </row>
    <row r="1678" spans="1:14" x14ac:dyDescent="0.35">
      <c r="A1678" s="61">
        <v>1674</v>
      </c>
      <c r="B1678" s="2"/>
      <c r="C1678" s="2"/>
      <c r="D1678" s="2"/>
      <c r="E1678" s="10"/>
      <c r="F1678" s="11"/>
      <c r="G1678" s="2"/>
      <c r="H1678" s="2"/>
      <c r="I1678" s="2"/>
      <c r="J1678" s="2"/>
      <c r="K1678" s="12"/>
      <c r="L1678" s="2"/>
      <c r="M1678" s="2"/>
      <c r="N1678" s="67"/>
    </row>
    <row r="1679" spans="1:14" x14ac:dyDescent="0.35">
      <c r="A1679" s="61">
        <v>1675</v>
      </c>
      <c r="B1679" s="2"/>
      <c r="C1679" s="2"/>
      <c r="D1679" s="2"/>
      <c r="E1679" s="10"/>
      <c r="F1679" s="11"/>
      <c r="G1679" s="2"/>
      <c r="H1679" s="2"/>
      <c r="I1679" s="2"/>
      <c r="J1679" s="2"/>
      <c r="K1679" s="12"/>
      <c r="L1679" s="2"/>
      <c r="M1679" s="2"/>
      <c r="N1679" s="67"/>
    </row>
    <row r="1680" spans="1:14" x14ac:dyDescent="0.35">
      <c r="A1680" s="61">
        <v>1676</v>
      </c>
      <c r="B1680" s="2"/>
      <c r="C1680" s="2"/>
      <c r="D1680" s="2"/>
      <c r="E1680" s="10"/>
      <c r="F1680" s="11"/>
      <c r="G1680" s="2"/>
      <c r="H1680" s="2"/>
      <c r="I1680" s="2"/>
      <c r="J1680" s="2"/>
      <c r="K1680" s="12"/>
      <c r="L1680" s="2"/>
      <c r="M1680" s="2"/>
      <c r="N1680" s="67"/>
    </row>
    <row r="1681" spans="1:14" x14ac:dyDescent="0.35">
      <c r="A1681" s="61">
        <v>1677</v>
      </c>
      <c r="B1681" s="2"/>
      <c r="C1681" s="2"/>
      <c r="D1681" s="2"/>
      <c r="E1681" s="10"/>
      <c r="F1681" s="11"/>
      <c r="G1681" s="2"/>
      <c r="H1681" s="2"/>
      <c r="I1681" s="2"/>
      <c r="J1681" s="2"/>
      <c r="K1681" s="12"/>
      <c r="L1681" s="2"/>
      <c r="M1681" s="2"/>
      <c r="N1681" s="67"/>
    </row>
    <row r="1682" spans="1:14" x14ac:dyDescent="0.35">
      <c r="A1682" s="61">
        <v>1678</v>
      </c>
      <c r="B1682" s="2"/>
      <c r="C1682" s="2"/>
      <c r="D1682" s="2"/>
      <c r="E1682" s="10"/>
      <c r="F1682" s="11"/>
      <c r="G1682" s="2"/>
      <c r="H1682" s="2"/>
      <c r="I1682" s="2"/>
      <c r="J1682" s="2"/>
      <c r="K1682" s="12"/>
      <c r="L1682" s="2"/>
      <c r="M1682" s="2"/>
      <c r="N1682" s="67"/>
    </row>
    <row r="1683" spans="1:14" x14ac:dyDescent="0.35">
      <c r="A1683" s="61">
        <v>1679</v>
      </c>
      <c r="B1683" s="2"/>
      <c r="C1683" s="2"/>
      <c r="D1683" s="2"/>
      <c r="E1683" s="10"/>
      <c r="F1683" s="11"/>
      <c r="G1683" s="2"/>
      <c r="H1683" s="2"/>
      <c r="I1683" s="2"/>
      <c r="J1683" s="2"/>
      <c r="K1683" s="12"/>
      <c r="L1683" s="2"/>
      <c r="M1683" s="2"/>
      <c r="N1683" s="67"/>
    </row>
    <row r="1684" spans="1:14" x14ac:dyDescent="0.35">
      <c r="A1684" s="61">
        <v>1680</v>
      </c>
      <c r="B1684" s="2"/>
      <c r="C1684" s="2"/>
      <c r="D1684" s="2"/>
      <c r="E1684" s="10"/>
      <c r="F1684" s="11"/>
      <c r="G1684" s="2"/>
      <c r="H1684" s="2"/>
      <c r="I1684" s="2"/>
      <c r="J1684" s="2"/>
      <c r="K1684" s="12"/>
      <c r="L1684" s="2"/>
      <c r="M1684" s="2"/>
      <c r="N1684" s="67"/>
    </row>
    <row r="1685" spans="1:14" x14ac:dyDescent="0.35">
      <c r="A1685" s="61">
        <v>1681</v>
      </c>
      <c r="B1685" s="2"/>
      <c r="C1685" s="2"/>
      <c r="D1685" s="2"/>
      <c r="E1685" s="10"/>
      <c r="F1685" s="11"/>
      <c r="G1685" s="2"/>
      <c r="H1685" s="2"/>
      <c r="I1685" s="2"/>
      <c r="J1685" s="2"/>
      <c r="K1685" s="12"/>
      <c r="L1685" s="2"/>
      <c r="M1685" s="2"/>
      <c r="N1685" s="67"/>
    </row>
    <row r="1686" spans="1:14" x14ac:dyDescent="0.35">
      <c r="A1686" s="61">
        <v>1682</v>
      </c>
      <c r="B1686" s="2"/>
      <c r="C1686" s="2"/>
      <c r="D1686" s="2"/>
      <c r="E1686" s="10"/>
      <c r="F1686" s="11"/>
      <c r="G1686" s="2"/>
      <c r="H1686" s="2"/>
      <c r="I1686" s="2"/>
      <c r="J1686" s="2"/>
      <c r="K1686" s="12"/>
      <c r="L1686" s="2"/>
      <c r="M1686" s="2"/>
      <c r="N1686" s="67"/>
    </row>
    <row r="1687" spans="1:14" x14ac:dyDescent="0.35">
      <c r="A1687" s="61">
        <v>1683</v>
      </c>
      <c r="B1687" s="2"/>
      <c r="C1687" s="2"/>
      <c r="D1687" s="2"/>
      <c r="E1687" s="10"/>
      <c r="F1687" s="11"/>
      <c r="G1687" s="2"/>
      <c r="H1687" s="2"/>
      <c r="I1687" s="2"/>
      <c r="J1687" s="2"/>
      <c r="K1687" s="12"/>
      <c r="L1687" s="2"/>
      <c r="M1687" s="2"/>
      <c r="N1687" s="67"/>
    </row>
    <row r="1688" spans="1:14" x14ac:dyDescent="0.35">
      <c r="A1688" s="61">
        <v>1684</v>
      </c>
      <c r="B1688" s="2"/>
      <c r="C1688" s="2"/>
      <c r="D1688" s="2"/>
      <c r="E1688" s="10"/>
      <c r="F1688" s="11"/>
      <c r="G1688" s="2"/>
      <c r="H1688" s="2"/>
      <c r="I1688" s="2"/>
      <c r="J1688" s="2"/>
      <c r="K1688" s="12"/>
      <c r="L1688" s="2"/>
      <c r="M1688" s="2"/>
      <c r="N1688" s="67"/>
    </row>
    <row r="1689" spans="1:14" x14ac:dyDescent="0.35">
      <c r="A1689" s="61">
        <v>1685</v>
      </c>
      <c r="B1689" s="2"/>
      <c r="C1689" s="2"/>
      <c r="D1689" s="2"/>
      <c r="E1689" s="10"/>
      <c r="F1689" s="11"/>
      <c r="G1689" s="2"/>
      <c r="H1689" s="2"/>
      <c r="I1689" s="2"/>
      <c r="J1689" s="2"/>
      <c r="K1689" s="12"/>
      <c r="L1689" s="2"/>
      <c r="M1689" s="2"/>
      <c r="N1689" s="67"/>
    </row>
    <row r="1690" spans="1:14" x14ac:dyDescent="0.35">
      <c r="A1690" s="61">
        <v>1686</v>
      </c>
      <c r="B1690" s="2"/>
      <c r="C1690" s="2"/>
      <c r="D1690" s="2"/>
      <c r="E1690" s="10"/>
      <c r="F1690" s="11"/>
      <c r="G1690" s="2"/>
      <c r="H1690" s="2"/>
      <c r="I1690" s="2"/>
      <c r="J1690" s="2"/>
      <c r="K1690" s="12"/>
      <c r="L1690" s="2"/>
      <c r="M1690" s="2"/>
      <c r="N1690" s="67"/>
    </row>
    <row r="1691" spans="1:14" x14ac:dyDescent="0.35">
      <c r="A1691" s="61">
        <v>1687</v>
      </c>
      <c r="B1691" s="2"/>
      <c r="C1691" s="2"/>
      <c r="D1691" s="2"/>
      <c r="E1691" s="10"/>
      <c r="F1691" s="11"/>
      <c r="G1691" s="2"/>
      <c r="H1691" s="2"/>
      <c r="I1691" s="2"/>
      <c r="J1691" s="2"/>
      <c r="K1691" s="12"/>
      <c r="L1691" s="2"/>
      <c r="M1691" s="2"/>
      <c r="N1691" s="67"/>
    </row>
    <row r="1692" spans="1:14" x14ac:dyDescent="0.35">
      <c r="A1692" s="61">
        <v>1688</v>
      </c>
      <c r="B1692" s="2"/>
      <c r="C1692" s="2"/>
      <c r="D1692" s="2"/>
      <c r="E1692" s="10"/>
      <c r="F1692" s="11"/>
      <c r="G1692" s="2"/>
      <c r="H1692" s="2"/>
      <c r="I1692" s="2"/>
      <c r="J1692" s="2"/>
      <c r="K1692" s="12"/>
      <c r="L1692" s="2"/>
      <c r="M1692" s="2"/>
      <c r="N1692" s="67"/>
    </row>
    <row r="1693" spans="1:14" x14ac:dyDescent="0.35">
      <c r="A1693" s="61">
        <v>1689</v>
      </c>
      <c r="B1693" s="2"/>
      <c r="C1693" s="2"/>
      <c r="D1693" s="2"/>
      <c r="E1693" s="10"/>
      <c r="F1693" s="11"/>
      <c r="G1693" s="2"/>
      <c r="H1693" s="2"/>
      <c r="I1693" s="2"/>
      <c r="J1693" s="2"/>
      <c r="K1693" s="12"/>
      <c r="L1693" s="2"/>
      <c r="M1693" s="2"/>
      <c r="N1693" s="67"/>
    </row>
    <row r="1694" spans="1:14" x14ac:dyDescent="0.35">
      <c r="A1694" s="61">
        <v>1690</v>
      </c>
      <c r="B1694" s="2"/>
      <c r="C1694" s="2"/>
      <c r="D1694" s="2"/>
      <c r="E1694" s="10"/>
      <c r="F1694" s="11"/>
      <c r="G1694" s="2"/>
      <c r="H1694" s="2"/>
      <c r="I1694" s="2"/>
      <c r="J1694" s="2"/>
      <c r="K1694" s="12"/>
      <c r="L1694" s="2"/>
      <c r="M1694" s="2"/>
      <c r="N1694" s="67"/>
    </row>
    <row r="1695" spans="1:14" x14ac:dyDescent="0.35">
      <c r="A1695" s="61">
        <v>1691</v>
      </c>
      <c r="B1695" s="2"/>
      <c r="C1695" s="2"/>
      <c r="D1695" s="2"/>
      <c r="E1695" s="10"/>
      <c r="F1695" s="11"/>
      <c r="G1695" s="2"/>
      <c r="H1695" s="2"/>
      <c r="I1695" s="2"/>
      <c r="J1695" s="2"/>
      <c r="K1695" s="12"/>
      <c r="L1695" s="2"/>
      <c r="M1695" s="2"/>
      <c r="N1695" s="67"/>
    </row>
    <row r="1696" spans="1:14" x14ac:dyDescent="0.35">
      <c r="A1696" s="61">
        <v>1692</v>
      </c>
      <c r="B1696" s="2"/>
      <c r="C1696" s="2"/>
      <c r="D1696" s="2"/>
      <c r="E1696" s="10"/>
      <c r="F1696" s="11"/>
      <c r="G1696" s="2"/>
      <c r="H1696" s="2"/>
      <c r="I1696" s="2"/>
      <c r="J1696" s="2"/>
      <c r="K1696" s="12"/>
      <c r="L1696" s="2"/>
      <c r="M1696" s="2"/>
      <c r="N1696" s="67"/>
    </row>
    <row r="1697" spans="1:14" x14ac:dyDescent="0.35">
      <c r="A1697" s="61">
        <v>1693</v>
      </c>
      <c r="B1697" s="2"/>
      <c r="C1697" s="2"/>
      <c r="D1697" s="2"/>
      <c r="E1697" s="10"/>
      <c r="F1697" s="11"/>
      <c r="G1697" s="2"/>
      <c r="H1697" s="2"/>
      <c r="I1697" s="2"/>
      <c r="J1697" s="2"/>
      <c r="K1697" s="12"/>
      <c r="L1697" s="2"/>
      <c r="M1697" s="2"/>
      <c r="N1697" s="67"/>
    </row>
    <row r="1698" spans="1:14" x14ac:dyDescent="0.35">
      <c r="A1698" s="61">
        <v>1694</v>
      </c>
      <c r="B1698" s="2"/>
      <c r="C1698" s="2"/>
      <c r="D1698" s="2"/>
      <c r="E1698" s="10"/>
      <c r="F1698" s="11"/>
      <c r="G1698" s="2"/>
      <c r="H1698" s="2"/>
      <c r="I1698" s="2"/>
      <c r="J1698" s="2"/>
      <c r="K1698" s="12"/>
      <c r="L1698" s="2"/>
      <c r="M1698" s="2"/>
      <c r="N1698" s="67"/>
    </row>
    <row r="1699" spans="1:14" x14ac:dyDescent="0.35">
      <c r="A1699" s="61">
        <v>1695</v>
      </c>
      <c r="B1699" s="2"/>
      <c r="C1699" s="2"/>
      <c r="D1699" s="2"/>
      <c r="E1699" s="10"/>
      <c r="F1699" s="11"/>
      <c r="G1699" s="2"/>
      <c r="H1699" s="2"/>
      <c r="I1699" s="2"/>
      <c r="J1699" s="2"/>
      <c r="K1699" s="12"/>
      <c r="L1699" s="2"/>
      <c r="M1699" s="2"/>
      <c r="N1699" s="67"/>
    </row>
    <row r="1700" spans="1:14" x14ac:dyDescent="0.35">
      <c r="A1700" s="61">
        <v>1696</v>
      </c>
      <c r="B1700" s="2"/>
      <c r="C1700" s="2"/>
      <c r="D1700" s="2"/>
      <c r="E1700" s="10"/>
      <c r="F1700" s="11"/>
      <c r="G1700" s="2"/>
      <c r="H1700" s="2"/>
      <c r="I1700" s="2"/>
      <c r="J1700" s="2"/>
      <c r="K1700" s="12"/>
      <c r="L1700" s="2"/>
      <c r="M1700" s="2"/>
      <c r="N1700" s="67"/>
    </row>
    <row r="1701" spans="1:14" x14ac:dyDescent="0.35">
      <c r="A1701" s="61">
        <v>1697</v>
      </c>
      <c r="B1701" s="2"/>
      <c r="C1701" s="2"/>
      <c r="D1701" s="2"/>
      <c r="E1701" s="10"/>
      <c r="F1701" s="11"/>
      <c r="G1701" s="2"/>
      <c r="H1701" s="2"/>
      <c r="I1701" s="2"/>
      <c r="J1701" s="2"/>
      <c r="K1701" s="12"/>
      <c r="L1701" s="2"/>
      <c r="M1701" s="2"/>
      <c r="N1701" s="67"/>
    </row>
    <row r="1702" spans="1:14" x14ac:dyDescent="0.35">
      <c r="A1702" s="61">
        <v>1698</v>
      </c>
      <c r="B1702" s="2"/>
      <c r="C1702" s="2"/>
      <c r="D1702" s="2"/>
      <c r="E1702" s="10"/>
      <c r="F1702" s="11"/>
      <c r="G1702" s="2"/>
      <c r="H1702" s="2"/>
      <c r="I1702" s="2"/>
      <c r="J1702" s="2"/>
      <c r="K1702" s="12"/>
      <c r="L1702" s="2"/>
      <c r="M1702" s="2"/>
      <c r="N1702" s="67"/>
    </row>
    <row r="1703" spans="1:14" x14ac:dyDescent="0.35">
      <c r="A1703" s="61">
        <v>1699</v>
      </c>
      <c r="B1703" s="2"/>
      <c r="C1703" s="2"/>
      <c r="D1703" s="2"/>
      <c r="E1703" s="10"/>
      <c r="F1703" s="11"/>
      <c r="G1703" s="2"/>
      <c r="H1703" s="2"/>
      <c r="I1703" s="2"/>
      <c r="J1703" s="2"/>
      <c r="K1703" s="12"/>
      <c r="L1703" s="2"/>
      <c r="M1703" s="2"/>
      <c r="N1703" s="67"/>
    </row>
    <row r="1704" spans="1:14" x14ac:dyDescent="0.35">
      <c r="A1704" s="61">
        <v>1700</v>
      </c>
      <c r="B1704" s="2"/>
      <c r="C1704" s="2"/>
      <c r="D1704" s="2"/>
      <c r="E1704" s="10"/>
      <c r="F1704" s="11"/>
      <c r="G1704" s="2"/>
      <c r="H1704" s="2"/>
      <c r="I1704" s="2"/>
      <c r="J1704" s="2"/>
      <c r="K1704" s="12"/>
      <c r="L1704" s="2"/>
      <c r="M1704" s="2"/>
      <c r="N1704" s="67"/>
    </row>
    <row r="1705" spans="1:14" x14ac:dyDescent="0.35">
      <c r="A1705" s="61">
        <v>1701</v>
      </c>
      <c r="B1705" s="2"/>
      <c r="C1705" s="2"/>
      <c r="D1705" s="2"/>
      <c r="E1705" s="10"/>
      <c r="F1705" s="11"/>
      <c r="G1705" s="2"/>
      <c r="H1705" s="2"/>
      <c r="I1705" s="2"/>
      <c r="J1705" s="2"/>
      <c r="K1705" s="12"/>
      <c r="L1705" s="2"/>
      <c r="M1705" s="2"/>
      <c r="N1705" s="67"/>
    </row>
    <row r="1706" spans="1:14" x14ac:dyDescent="0.35">
      <c r="A1706" s="61">
        <v>1702</v>
      </c>
      <c r="B1706" s="2"/>
      <c r="C1706" s="2"/>
      <c r="D1706" s="2"/>
      <c r="E1706" s="10"/>
      <c r="F1706" s="11"/>
      <c r="G1706" s="2"/>
      <c r="H1706" s="2"/>
      <c r="I1706" s="2"/>
      <c r="J1706" s="2"/>
      <c r="K1706" s="12"/>
      <c r="L1706" s="2"/>
      <c r="M1706" s="2"/>
      <c r="N1706" s="67"/>
    </row>
    <row r="1707" spans="1:14" x14ac:dyDescent="0.35">
      <c r="A1707" s="61">
        <v>1703</v>
      </c>
      <c r="B1707" s="2"/>
      <c r="C1707" s="2"/>
      <c r="D1707" s="2"/>
      <c r="E1707" s="10"/>
      <c r="F1707" s="11"/>
      <c r="G1707" s="2"/>
      <c r="H1707" s="2"/>
      <c r="I1707" s="2"/>
      <c r="J1707" s="2"/>
      <c r="K1707" s="12"/>
      <c r="L1707" s="2"/>
      <c r="M1707" s="2"/>
      <c r="N1707" s="67"/>
    </row>
    <row r="1708" spans="1:14" x14ac:dyDescent="0.35">
      <c r="A1708" s="61">
        <v>1704</v>
      </c>
      <c r="B1708" s="2"/>
      <c r="C1708" s="2"/>
      <c r="D1708" s="2"/>
      <c r="E1708" s="10"/>
      <c r="F1708" s="11"/>
      <c r="G1708" s="2"/>
      <c r="H1708" s="2"/>
      <c r="I1708" s="2"/>
      <c r="J1708" s="2"/>
      <c r="K1708" s="12"/>
      <c r="L1708" s="2"/>
      <c r="M1708" s="2"/>
      <c r="N1708" s="67"/>
    </row>
    <row r="1709" spans="1:14" x14ac:dyDescent="0.35">
      <c r="A1709" s="61">
        <v>1705</v>
      </c>
      <c r="B1709" s="2"/>
      <c r="C1709" s="2"/>
      <c r="D1709" s="2"/>
      <c r="E1709" s="10"/>
      <c r="F1709" s="11"/>
      <c r="G1709" s="2"/>
      <c r="H1709" s="2"/>
      <c r="I1709" s="2"/>
      <c r="J1709" s="2"/>
      <c r="K1709" s="12"/>
      <c r="L1709" s="2"/>
      <c r="M1709" s="2"/>
      <c r="N1709" s="67"/>
    </row>
    <row r="1710" spans="1:14" x14ac:dyDescent="0.35">
      <c r="A1710" s="61">
        <v>1706</v>
      </c>
      <c r="B1710" s="2"/>
      <c r="C1710" s="2"/>
      <c r="D1710" s="2"/>
      <c r="E1710" s="10"/>
      <c r="F1710" s="11"/>
      <c r="G1710" s="2"/>
      <c r="H1710" s="2"/>
      <c r="I1710" s="2"/>
      <c r="J1710" s="2"/>
      <c r="K1710" s="12"/>
      <c r="L1710" s="2"/>
      <c r="M1710" s="2"/>
      <c r="N1710" s="67"/>
    </row>
    <row r="1711" spans="1:14" x14ac:dyDescent="0.35">
      <c r="A1711" s="61">
        <v>1707</v>
      </c>
      <c r="B1711" s="2"/>
      <c r="C1711" s="2"/>
      <c r="D1711" s="2"/>
      <c r="E1711" s="10"/>
      <c r="F1711" s="11"/>
      <c r="G1711" s="2"/>
      <c r="H1711" s="2"/>
      <c r="I1711" s="2"/>
      <c r="J1711" s="2"/>
      <c r="K1711" s="12"/>
      <c r="L1711" s="2"/>
      <c r="M1711" s="2"/>
      <c r="N1711" s="67"/>
    </row>
    <row r="1712" spans="1:14" x14ac:dyDescent="0.35">
      <c r="A1712" s="61">
        <v>1708</v>
      </c>
      <c r="B1712" s="2"/>
      <c r="C1712" s="2"/>
      <c r="D1712" s="2"/>
      <c r="E1712" s="10"/>
      <c r="F1712" s="11"/>
      <c r="G1712" s="2"/>
      <c r="H1712" s="2"/>
      <c r="I1712" s="2"/>
      <c r="J1712" s="2"/>
      <c r="K1712" s="12"/>
      <c r="L1712" s="2"/>
      <c r="M1712" s="2"/>
      <c r="N1712" s="67"/>
    </row>
    <row r="1713" spans="1:14" x14ac:dyDescent="0.35">
      <c r="A1713" s="61">
        <v>1709</v>
      </c>
      <c r="B1713" s="2"/>
      <c r="C1713" s="2"/>
      <c r="D1713" s="2"/>
      <c r="E1713" s="10"/>
      <c r="F1713" s="11"/>
      <c r="G1713" s="2"/>
      <c r="H1713" s="2"/>
      <c r="I1713" s="2"/>
      <c r="J1713" s="2"/>
      <c r="K1713" s="12"/>
      <c r="L1713" s="2"/>
      <c r="M1713" s="2"/>
      <c r="N1713" s="67"/>
    </row>
    <row r="1714" spans="1:14" x14ac:dyDescent="0.35">
      <c r="A1714" s="61">
        <v>1710</v>
      </c>
      <c r="B1714" s="2"/>
      <c r="C1714" s="2"/>
      <c r="D1714" s="2"/>
      <c r="E1714" s="10"/>
      <c r="F1714" s="11"/>
      <c r="G1714" s="2"/>
      <c r="H1714" s="2"/>
      <c r="I1714" s="2"/>
      <c r="J1714" s="2"/>
      <c r="K1714" s="12"/>
      <c r="L1714" s="2"/>
      <c r="M1714" s="2"/>
      <c r="N1714" s="67"/>
    </row>
    <row r="1715" spans="1:14" x14ac:dyDescent="0.35">
      <c r="A1715" s="61">
        <v>1711</v>
      </c>
      <c r="B1715" s="2"/>
      <c r="C1715" s="2"/>
      <c r="D1715" s="2"/>
      <c r="E1715" s="10"/>
      <c r="F1715" s="11"/>
      <c r="G1715" s="2"/>
      <c r="H1715" s="2"/>
      <c r="I1715" s="2"/>
      <c r="J1715" s="2"/>
      <c r="K1715" s="12"/>
      <c r="L1715" s="2"/>
      <c r="M1715" s="2"/>
      <c r="N1715" s="67"/>
    </row>
    <row r="1716" spans="1:14" x14ac:dyDescent="0.35">
      <c r="A1716" s="61">
        <v>1712</v>
      </c>
      <c r="B1716" s="2"/>
      <c r="C1716" s="2"/>
      <c r="D1716" s="2"/>
      <c r="E1716" s="10"/>
      <c r="F1716" s="11"/>
      <c r="G1716" s="2"/>
      <c r="H1716" s="2"/>
      <c r="I1716" s="2"/>
      <c r="J1716" s="2"/>
      <c r="K1716" s="12"/>
      <c r="L1716" s="2"/>
      <c r="M1716" s="2"/>
      <c r="N1716" s="67"/>
    </row>
    <row r="1717" spans="1:14" x14ac:dyDescent="0.35">
      <c r="A1717" s="61">
        <v>1713</v>
      </c>
      <c r="B1717" s="2"/>
      <c r="C1717" s="2"/>
      <c r="D1717" s="2"/>
      <c r="E1717" s="10"/>
      <c r="F1717" s="11"/>
      <c r="G1717" s="2"/>
      <c r="H1717" s="2"/>
      <c r="I1717" s="2"/>
      <c r="J1717" s="2"/>
      <c r="K1717" s="12"/>
      <c r="L1717" s="2"/>
      <c r="M1717" s="2"/>
      <c r="N1717" s="67"/>
    </row>
    <row r="1718" spans="1:14" x14ac:dyDescent="0.35">
      <c r="A1718" s="61">
        <v>1714</v>
      </c>
      <c r="B1718" s="2"/>
      <c r="C1718" s="2"/>
      <c r="D1718" s="2"/>
      <c r="E1718" s="10"/>
      <c r="F1718" s="11"/>
      <c r="G1718" s="2"/>
      <c r="H1718" s="2"/>
      <c r="I1718" s="2"/>
      <c r="J1718" s="2"/>
      <c r="K1718" s="12"/>
      <c r="L1718" s="2"/>
      <c r="M1718" s="2"/>
      <c r="N1718" s="67"/>
    </row>
    <row r="1719" spans="1:14" x14ac:dyDescent="0.35">
      <c r="A1719" s="61">
        <v>1715</v>
      </c>
      <c r="B1719" s="2"/>
      <c r="C1719" s="2"/>
      <c r="D1719" s="2"/>
      <c r="E1719" s="10"/>
      <c r="F1719" s="11"/>
      <c r="G1719" s="2"/>
      <c r="H1719" s="2"/>
      <c r="I1719" s="2"/>
      <c r="J1719" s="2"/>
      <c r="K1719" s="12"/>
      <c r="L1719" s="2"/>
      <c r="M1719" s="2"/>
      <c r="N1719" s="67"/>
    </row>
    <row r="1720" spans="1:14" x14ac:dyDescent="0.35">
      <c r="A1720" s="61">
        <v>1716</v>
      </c>
      <c r="B1720" s="2"/>
      <c r="C1720" s="2"/>
      <c r="D1720" s="2"/>
      <c r="E1720" s="10"/>
      <c r="F1720" s="11"/>
      <c r="G1720" s="2"/>
      <c r="H1720" s="2"/>
      <c r="I1720" s="2"/>
      <c r="J1720" s="2"/>
      <c r="K1720" s="12"/>
      <c r="L1720" s="2"/>
      <c r="M1720" s="2"/>
      <c r="N1720" s="67"/>
    </row>
    <row r="1721" spans="1:14" x14ac:dyDescent="0.35">
      <c r="A1721" s="61">
        <v>1717</v>
      </c>
      <c r="B1721" s="2"/>
      <c r="C1721" s="2"/>
      <c r="D1721" s="2"/>
      <c r="E1721" s="10"/>
      <c r="F1721" s="11"/>
      <c r="G1721" s="2"/>
      <c r="H1721" s="2"/>
      <c r="I1721" s="2"/>
      <c r="J1721" s="2"/>
      <c r="K1721" s="12"/>
      <c r="L1721" s="2"/>
      <c r="M1721" s="2"/>
      <c r="N1721" s="67"/>
    </row>
    <row r="1722" spans="1:14" x14ac:dyDescent="0.35">
      <c r="A1722" s="61">
        <v>1718</v>
      </c>
      <c r="B1722" s="2"/>
      <c r="C1722" s="2"/>
      <c r="D1722" s="2"/>
      <c r="E1722" s="10"/>
      <c r="F1722" s="11"/>
      <c r="G1722" s="2"/>
      <c r="H1722" s="2"/>
      <c r="I1722" s="2"/>
      <c r="J1722" s="2"/>
      <c r="K1722" s="12"/>
      <c r="L1722" s="2"/>
      <c r="M1722" s="2"/>
      <c r="N1722" s="67"/>
    </row>
    <row r="1723" spans="1:14" x14ac:dyDescent="0.35">
      <c r="A1723" s="61">
        <v>1719</v>
      </c>
      <c r="B1723" s="2"/>
      <c r="C1723" s="2"/>
      <c r="D1723" s="2"/>
      <c r="E1723" s="10"/>
      <c r="F1723" s="11"/>
      <c r="G1723" s="2"/>
      <c r="H1723" s="2"/>
      <c r="I1723" s="2"/>
      <c r="J1723" s="2"/>
      <c r="K1723" s="12"/>
      <c r="L1723" s="2"/>
      <c r="M1723" s="2"/>
      <c r="N1723" s="67"/>
    </row>
    <row r="1724" spans="1:14" x14ac:dyDescent="0.35">
      <c r="A1724" s="61">
        <v>1720</v>
      </c>
      <c r="B1724" s="2"/>
      <c r="C1724" s="2"/>
      <c r="D1724" s="2"/>
      <c r="E1724" s="10"/>
      <c r="F1724" s="11"/>
      <c r="G1724" s="2"/>
      <c r="H1724" s="2"/>
      <c r="I1724" s="2"/>
      <c r="J1724" s="2"/>
      <c r="K1724" s="12"/>
      <c r="L1724" s="2"/>
      <c r="M1724" s="2"/>
      <c r="N1724" s="67"/>
    </row>
    <row r="1725" spans="1:14" x14ac:dyDescent="0.35">
      <c r="A1725" s="61">
        <v>1721</v>
      </c>
      <c r="B1725" s="2"/>
      <c r="C1725" s="2"/>
      <c r="D1725" s="2"/>
      <c r="E1725" s="10"/>
      <c r="F1725" s="11"/>
      <c r="G1725" s="2"/>
      <c r="H1725" s="2"/>
      <c r="I1725" s="2"/>
      <c r="J1725" s="2"/>
      <c r="K1725" s="12"/>
      <c r="L1725" s="2"/>
      <c r="M1725" s="2"/>
      <c r="N1725" s="67"/>
    </row>
    <row r="1726" spans="1:14" x14ac:dyDescent="0.35">
      <c r="A1726" s="61">
        <v>1722</v>
      </c>
      <c r="B1726" s="2"/>
      <c r="C1726" s="2"/>
      <c r="D1726" s="2"/>
      <c r="E1726" s="10"/>
      <c r="F1726" s="11"/>
      <c r="G1726" s="2"/>
      <c r="H1726" s="2"/>
      <c r="I1726" s="2"/>
      <c r="J1726" s="2"/>
      <c r="K1726" s="12"/>
      <c r="L1726" s="2"/>
      <c r="M1726" s="2"/>
      <c r="N1726" s="67"/>
    </row>
    <row r="1727" spans="1:14" x14ac:dyDescent="0.35">
      <c r="A1727" s="61">
        <v>1723</v>
      </c>
      <c r="B1727" s="2"/>
      <c r="C1727" s="2"/>
      <c r="D1727" s="2"/>
      <c r="E1727" s="10"/>
      <c r="F1727" s="11"/>
      <c r="G1727" s="2"/>
      <c r="H1727" s="2"/>
      <c r="I1727" s="2"/>
      <c r="J1727" s="2"/>
      <c r="K1727" s="12"/>
      <c r="L1727" s="2"/>
      <c r="M1727" s="2"/>
      <c r="N1727" s="67"/>
    </row>
    <row r="1728" spans="1:14" x14ac:dyDescent="0.35">
      <c r="A1728" s="61">
        <v>1724</v>
      </c>
      <c r="B1728" s="2"/>
      <c r="C1728" s="2"/>
      <c r="D1728" s="2"/>
      <c r="E1728" s="10"/>
      <c r="F1728" s="11"/>
      <c r="G1728" s="2"/>
      <c r="H1728" s="2"/>
      <c r="I1728" s="2"/>
      <c r="J1728" s="2"/>
      <c r="K1728" s="12"/>
      <c r="L1728" s="2"/>
      <c r="M1728" s="2"/>
      <c r="N1728" s="67"/>
    </row>
    <row r="1729" spans="1:14" x14ac:dyDescent="0.35">
      <c r="A1729" s="61">
        <v>1725</v>
      </c>
      <c r="B1729" s="2"/>
      <c r="C1729" s="2"/>
      <c r="D1729" s="2"/>
      <c r="E1729" s="10"/>
      <c r="F1729" s="11"/>
      <c r="G1729" s="2"/>
      <c r="H1729" s="2"/>
      <c r="I1729" s="2"/>
      <c r="J1729" s="2"/>
      <c r="K1729" s="12"/>
      <c r="L1729" s="2"/>
      <c r="M1729" s="2"/>
      <c r="N1729" s="67"/>
    </row>
    <row r="1730" spans="1:14" x14ac:dyDescent="0.35">
      <c r="A1730" s="61">
        <v>1726</v>
      </c>
      <c r="B1730" s="2"/>
      <c r="C1730" s="2"/>
      <c r="D1730" s="2"/>
      <c r="E1730" s="10"/>
      <c r="F1730" s="11"/>
      <c r="G1730" s="2"/>
      <c r="H1730" s="2"/>
      <c r="I1730" s="2"/>
      <c r="J1730" s="2"/>
      <c r="K1730" s="12"/>
      <c r="L1730" s="2"/>
      <c r="M1730" s="2"/>
      <c r="N1730" s="67"/>
    </row>
    <row r="1731" spans="1:14" x14ac:dyDescent="0.35">
      <c r="A1731" s="61">
        <v>1727</v>
      </c>
      <c r="B1731" s="2"/>
      <c r="C1731" s="2"/>
      <c r="D1731" s="2"/>
      <c r="E1731" s="10"/>
      <c r="F1731" s="11"/>
      <c r="G1731" s="2"/>
      <c r="H1731" s="2"/>
      <c r="I1731" s="2"/>
      <c r="J1731" s="2"/>
      <c r="K1731" s="12"/>
      <c r="L1731" s="2"/>
      <c r="M1731" s="2"/>
      <c r="N1731" s="67"/>
    </row>
    <row r="1732" spans="1:14" x14ac:dyDescent="0.35">
      <c r="A1732" s="61">
        <v>1728</v>
      </c>
      <c r="B1732" s="2"/>
      <c r="C1732" s="2"/>
      <c r="D1732" s="2"/>
      <c r="E1732" s="10"/>
      <c r="F1732" s="11"/>
      <c r="G1732" s="2"/>
      <c r="H1732" s="2"/>
      <c r="I1732" s="2"/>
      <c r="J1732" s="2"/>
      <c r="K1732" s="12"/>
      <c r="L1732" s="2"/>
      <c r="M1732" s="2"/>
      <c r="N1732" s="67"/>
    </row>
    <row r="1733" spans="1:14" x14ac:dyDescent="0.35">
      <c r="A1733" s="61">
        <v>1729</v>
      </c>
      <c r="B1733" s="2"/>
      <c r="C1733" s="2"/>
      <c r="D1733" s="2"/>
      <c r="E1733" s="10"/>
      <c r="F1733" s="11"/>
      <c r="G1733" s="2"/>
      <c r="H1733" s="2"/>
      <c r="I1733" s="2"/>
      <c r="J1733" s="2"/>
      <c r="K1733" s="12"/>
      <c r="L1733" s="2"/>
      <c r="M1733" s="2"/>
      <c r="N1733" s="67"/>
    </row>
    <row r="1734" spans="1:14" x14ac:dyDescent="0.35">
      <c r="A1734" s="61">
        <v>1730</v>
      </c>
      <c r="B1734" s="2"/>
      <c r="C1734" s="2"/>
      <c r="D1734" s="2"/>
      <c r="E1734" s="10"/>
      <c r="F1734" s="11"/>
      <c r="G1734" s="2"/>
      <c r="H1734" s="2"/>
      <c r="I1734" s="2"/>
      <c r="J1734" s="2"/>
      <c r="K1734" s="12"/>
      <c r="L1734" s="2"/>
      <c r="M1734" s="2"/>
      <c r="N1734" s="67"/>
    </row>
    <row r="1735" spans="1:14" x14ac:dyDescent="0.35">
      <c r="A1735" s="61">
        <v>1731</v>
      </c>
      <c r="B1735" s="2"/>
      <c r="C1735" s="2"/>
      <c r="D1735" s="2"/>
      <c r="E1735" s="10"/>
      <c r="F1735" s="11"/>
      <c r="G1735" s="2"/>
      <c r="H1735" s="2"/>
      <c r="I1735" s="2"/>
      <c r="J1735" s="2"/>
      <c r="K1735" s="12"/>
      <c r="L1735" s="2"/>
      <c r="M1735" s="2"/>
      <c r="N1735" s="67"/>
    </row>
    <row r="1736" spans="1:14" x14ac:dyDescent="0.35">
      <c r="A1736" s="61">
        <v>1732</v>
      </c>
      <c r="B1736" s="2"/>
      <c r="C1736" s="2"/>
      <c r="D1736" s="2"/>
      <c r="E1736" s="10"/>
      <c r="F1736" s="11"/>
      <c r="G1736" s="2"/>
      <c r="H1736" s="2"/>
      <c r="I1736" s="2"/>
      <c r="J1736" s="2"/>
      <c r="K1736" s="12"/>
      <c r="L1736" s="2"/>
      <c r="M1736" s="2"/>
      <c r="N1736" s="67"/>
    </row>
    <row r="1737" spans="1:14" x14ac:dyDescent="0.35">
      <c r="A1737" s="61">
        <v>1733</v>
      </c>
      <c r="B1737" s="2"/>
      <c r="C1737" s="2"/>
      <c r="D1737" s="2"/>
      <c r="E1737" s="10"/>
      <c r="F1737" s="11"/>
      <c r="G1737" s="2"/>
      <c r="H1737" s="2"/>
      <c r="I1737" s="2"/>
      <c r="J1737" s="2"/>
      <c r="K1737" s="12"/>
      <c r="L1737" s="2"/>
      <c r="M1737" s="2"/>
      <c r="N1737" s="67"/>
    </row>
    <row r="1738" spans="1:14" x14ac:dyDescent="0.35">
      <c r="A1738" s="61">
        <v>1734</v>
      </c>
      <c r="B1738" s="2"/>
      <c r="C1738" s="2"/>
      <c r="D1738" s="2"/>
      <c r="E1738" s="10"/>
      <c r="F1738" s="11"/>
      <c r="G1738" s="2"/>
      <c r="H1738" s="2"/>
      <c r="I1738" s="2"/>
      <c r="J1738" s="2"/>
      <c r="K1738" s="12"/>
      <c r="L1738" s="2"/>
      <c r="M1738" s="2"/>
      <c r="N1738" s="67"/>
    </row>
    <row r="1739" spans="1:14" x14ac:dyDescent="0.35">
      <c r="A1739" s="61">
        <v>1735</v>
      </c>
      <c r="B1739" s="2"/>
      <c r="C1739" s="2"/>
      <c r="D1739" s="2"/>
      <c r="E1739" s="10"/>
      <c r="F1739" s="11"/>
      <c r="G1739" s="2"/>
      <c r="H1739" s="2"/>
      <c r="I1739" s="2"/>
      <c r="J1739" s="2"/>
      <c r="K1739" s="12"/>
      <c r="L1739" s="2"/>
      <c r="M1739" s="2"/>
      <c r="N1739" s="67"/>
    </row>
    <row r="1740" spans="1:14" x14ac:dyDescent="0.35">
      <c r="A1740" s="61">
        <v>1736</v>
      </c>
      <c r="B1740" s="2"/>
      <c r="C1740" s="2"/>
      <c r="D1740" s="2"/>
      <c r="E1740" s="10"/>
      <c r="F1740" s="11"/>
      <c r="G1740" s="2"/>
      <c r="H1740" s="2"/>
      <c r="I1740" s="2"/>
      <c r="J1740" s="2"/>
      <c r="K1740" s="12"/>
      <c r="L1740" s="2"/>
      <c r="M1740" s="2"/>
      <c r="N1740" s="67"/>
    </row>
    <row r="1741" spans="1:14" x14ac:dyDescent="0.35">
      <c r="A1741" s="61">
        <v>1737</v>
      </c>
      <c r="B1741" s="2"/>
      <c r="C1741" s="2"/>
      <c r="D1741" s="2"/>
      <c r="E1741" s="10"/>
      <c r="F1741" s="11"/>
      <c r="G1741" s="2"/>
      <c r="H1741" s="2"/>
      <c r="I1741" s="2"/>
      <c r="J1741" s="2"/>
      <c r="K1741" s="12"/>
      <c r="L1741" s="2"/>
      <c r="M1741" s="2"/>
      <c r="N1741" s="67"/>
    </row>
    <row r="1742" spans="1:14" x14ac:dyDescent="0.35">
      <c r="A1742" s="61">
        <v>1738</v>
      </c>
      <c r="B1742" s="2"/>
      <c r="C1742" s="2"/>
      <c r="D1742" s="2"/>
      <c r="E1742" s="10"/>
      <c r="F1742" s="11"/>
      <c r="G1742" s="2"/>
      <c r="H1742" s="2"/>
      <c r="I1742" s="2"/>
      <c r="J1742" s="2"/>
      <c r="K1742" s="12"/>
      <c r="L1742" s="2"/>
      <c r="M1742" s="2"/>
      <c r="N1742" s="67"/>
    </row>
    <row r="1743" spans="1:14" x14ac:dyDescent="0.35">
      <c r="A1743" s="61">
        <v>1739</v>
      </c>
      <c r="B1743" s="2"/>
      <c r="C1743" s="2"/>
      <c r="D1743" s="2"/>
      <c r="E1743" s="10"/>
      <c r="F1743" s="11"/>
      <c r="G1743" s="2"/>
      <c r="H1743" s="2"/>
      <c r="I1743" s="2"/>
      <c r="J1743" s="2"/>
      <c r="K1743" s="12"/>
      <c r="L1743" s="2"/>
      <c r="M1743" s="2"/>
      <c r="N1743" s="67"/>
    </row>
    <row r="1744" spans="1:14" x14ac:dyDescent="0.35">
      <c r="A1744" s="61">
        <v>1740</v>
      </c>
      <c r="B1744" s="2"/>
      <c r="C1744" s="2"/>
      <c r="D1744" s="2"/>
      <c r="E1744" s="10"/>
      <c r="F1744" s="11"/>
      <c r="G1744" s="2"/>
      <c r="H1744" s="2"/>
      <c r="I1744" s="2"/>
      <c r="J1744" s="2"/>
      <c r="K1744" s="12"/>
      <c r="L1744" s="2"/>
      <c r="M1744" s="2"/>
      <c r="N1744" s="67"/>
    </row>
    <row r="1745" spans="1:14" x14ac:dyDescent="0.35">
      <c r="A1745" s="61">
        <v>1741</v>
      </c>
      <c r="B1745" s="2"/>
      <c r="C1745" s="2"/>
      <c r="D1745" s="2"/>
      <c r="E1745" s="10"/>
      <c r="F1745" s="11"/>
      <c r="G1745" s="2"/>
      <c r="H1745" s="2"/>
      <c r="I1745" s="2"/>
      <c r="J1745" s="2"/>
      <c r="K1745" s="12"/>
      <c r="L1745" s="2"/>
      <c r="M1745" s="2"/>
      <c r="N1745" s="67"/>
    </row>
    <row r="1746" spans="1:14" x14ac:dyDescent="0.35">
      <c r="A1746" s="61">
        <v>1742</v>
      </c>
      <c r="B1746" s="2"/>
      <c r="C1746" s="2"/>
      <c r="D1746" s="2"/>
      <c r="E1746" s="10"/>
      <c r="F1746" s="11"/>
      <c r="G1746" s="2"/>
      <c r="H1746" s="2"/>
      <c r="I1746" s="2"/>
      <c r="J1746" s="2"/>
      <c r="K1746" s="12"/>
      <c r="L1746" s="2"/>
      <c r="M1746" s="2"/>
      <c r="N1746" s="67"/>
    </row>
    <row r="1747" spans="1:14" x14ac:dyDescent="0.35">
      <c r="A1747" s="61">
        <v>1743</v>
      </c>
      <c r="B1747" s="2"/>
      <c r="C1747" s="2"/>
      <c r="D1747" s="2"/>
      <c r="E1747" s="10"/>
      <c r="F1747" s="11"/>
      <c r="G1747" s="2"/>
      <c r="H1747" s="2"/>
      <c r="I1747" s="2"/>
      <c r="J1747" s="2"/>
      <c r="K1747" s="12"/>
      <c r="L1747" s="2"/>
      <c r="M1747" s="2"/>
      <c r="N1747" s="67"/>
    </row>
    <row r="1748" spans="1:14" x14ac:dyDescent="0.35">
      <c r="A1748" s="61">
        <v>1744</v>
      </c>
      <c r="B1748" s="2"/>
      <c r="C1748" s="2"/>
      <c r="D1748" s="2"/>
      <c r="E1748" s="10"/>
      <c r="F1748" s="11"/>
      <c r="G1748" s="2"/>
      <c r="H1748" s="2"/>
      <c r="I1748" s="2"/>
      <c r="J1748" s="2"/>
      <c r="K1748" s="12"/>
      <c r="L1748" s="2"/>
      <c r="M1748" s="2"/>
      <c r="N1748" s="67"/>
    </row>
    <row r="1749" spans="1:14" x14ac:dyDescent="0.35">
      <c r="A1749" s="61">
        <v>1745</v>
      </c>
      <c r="B1749" s="2"/>
      <c r="C1749" s="2"/>
      <c r="D1749" s="2"/>
      <c r="E1749" s="10"/>
      <c r="F1749" s="11"/>
      <c r="G1749" s="2"/>
      <c r="H1749" s="2"/>
      <c r="I1749" s="2"/>
      <c r="J1749" s="2"/>
      <c r="K1749" s="12"/>
      <c r="L1749" s="2"/>
      <c r="M1749" s="2"/>
      <c r="N1749" s="67"/>
    </row>
    <row r="1750" spans="1:14" x14ac:dyDescent="0.35">
      <c r="A1750" s="61">
        <v>1746</v>
      </c>
      <c r="B1750" s="2"/>
      <c r="C1750" s="2"/>
      <c r="D1750" s="2"/>
      <c r="E1750" s="10"/>
      <c r="F1750" s="11"/>
      <c r="G1750" s="2"/>
      <c r="H1750" s="2"/>
      <c r="I1750" s="2"/>
      <c r="J1750" s="2"/>
      <c r="K1750" s="12"/>
      <c r="L1750" s="2"/>
      <c r="M1750" s="2"/>
      <c r="N1750" s="67"/>
    </row>
    <row r="1751" spans="1:14" x14ac:dyDescent="0.35">
      <c r="A1751" s="61">
        <v>1747</v>
      </c>
      <c r="B1751" s="2"/>
      <c r="C1751" s="2"/>
      <c r="D1751" s="2"/>
      <c r="E1751" s="10"/>
      <c r="F1751" s="11"/>
      <c r="G1751" s="2"/>
      <c r="H1751" s="2"/>
      <c r="I1751" s="2"/>
      <c r="J1751" s="2"/>
      <c r="K1751" s="12"/>
      <c r="L1751" s="2"/>
      <c r="M1751" s="2"/>
      <c r="N1751" s="67"/>
    </row>
    <row r="1752" spans="1:14" x14ac:dyDescent="0.35">
      <c r="A1752" s="61">
        <v>1748</v>
      </c>
      <c r="B1752" s="2"/>
      <c r="C1752" s="2"/>
      <c r="D1752" s="2"/>
      <c r="E1752" s="10"/>
      <c r="F1752" s="11"/>
      <c r="G1752" s="2"/>
      <c r="H1752" s="2"/>
      <c r="I1752" s="2"/>
      <c r="J1752" s="2"/>
      <c r="K1752" s="12"/>
      <c r="L1752" s="2"/>
      <c r="M1752" s="2"/>
      <c r="N1752" s="67"/>
    </row>
    <row r="1753" spans="1:14" x14ac:dyDescent="0.35">
      <c r="A1753" s="61">
        <v>1749</v>
      </c>
      <c r="B1753" s="2"/>
      <c r="C1753" s="2"/>
      <c r="D1753" s="2"/>
      <c r="E1753" s="10"/>
      <c r="F1753" s="11"/>
      <c r="G1753" s="2"/>
      <c r="H1753" s="2"/>
      <c r="I1753" s="2"/>
      <c r="J1753" s="2"/>
      <c r="K1753" s="12"/>
      <c r="L1753" s="2"/>
      <c r="M1753" s="2"/>
      <c r="N1753" s="67"/>
    </row>
    <row r="1754" spans="1:14" x14ac:dyDescent="0.35">
      <c r="A1754" s="61">
        <v>1750</v>
      </c>
      <c r="B1754" s="2"/>
      <c r="C1754" s="2"/>
      <c r="D1754" s="2"/>
      <c r="E1754" s="10"/>
      <c r="F1754" s="11"/>
      <c r="G1754" s="2"/>
      <c r="H1754" s="2"/>
      <c r="I1754" s="2"/>
      <c r="J1754" s="2"/>
      <c r="K1754" s="12"/>
      <c r="L1754" s="2"/>
      <c r="M1754" s="2"/>
      <c r="N1754" s="67"/>
    </row>
    <row r="1755" spans="1:14" x14ac:dyDescent="0.35">
      <c r="A1755" s="61">
        <v>1751</v>
      </c>
      <c r="B1755" s="2"/>
      <c r="C1755" s="2"/>
      <c r="D1755" s="2"/>
      <c r="E1755" s="10"/>
      <c r="F1755" s="11"/>
      <c r="G1755" s="2"/>
      <c r="H1755" s="2"/>
      <c r="I1755" s="2"/>
      <c r="J1755" s="2"/>
      <c r="K1755" s="12"/>
      <c r="L1755" s="2"/>
      <c r="M1755" s="2"/>
      <c r="N1755" s="67"/>
    </row>
    <row r="1756" spans="1:14" x14ac:dyDescent="0.35">
      <c r="A1756" s="61">
        <v>1752</v>
      </c>
      <c r="B1756" s="2"/>
      <c r="C1756" s="2"/>
      <c r="D1756" s="2"/>
      <c r="E1756" s="10"/>
      <c r="F1756" s="11"/>
      <c r="G1756" s="2"/>
      <c r="H1756" s="2"/>
      <c r="I1756" s="2"/>
      <c r="J1756" s="2"/>
      <c r="K1756" s="12"/>
      <c r="L1756" s="2"/>
      <c r="M1756" s="2"/>
      <c r="N1756" s="67"/>
    </row>
    <row r="1757" spans="1:14" x14ac:dyDescent="0.35">
      <c r="A1757" s="61">
        <v>1753</v>
      </c>
      <c r="B1757" s="2"/>
      <c r="C1757" s="2"/>
      <c r="D1757" s="2"/>
      <c r="E1757" s="10"/>
      <c r="F1757" s="11"/>
      <c r="G1757" s="2"/>
      <c r="H1757" s="2"/>
      <c r="I1757" s="2"/>
      <c r="J1757" s="2"/>
      <c r="K1757" s="12"/>
      <c r="L1757" s="2"/>
      <c r="M1757" s="2"/>
      <c r="N1757" s="67"/>
    </row>
    <row r="1758" spans="1:14" x14ac:dyDescent="0.35">
      <c r="A1758" s="61">
        <v>1754</v>
      </c>
      <c r="B1758" s="2"/>
      <c r="C1758" s="2"/>
      <c r="D1758" s="2"/>
      <c r="E1758" s="10"/>
      <c r="F1758" s="11"/>
      <c r="G1758" s="2"/>
      <c r="H1758" s="2"/>
      <c r="I1758" s="2"/>
      <c r="J1758" s="2"/>
      <c r="K1758" s="12"/>
      <c r="L1758" s="2"/>
      <c r="M1758" s="2"/>
      <c r="N1758" s="67"/>
    </row>
    <row r="1759" spans="1:14" x14ac:dyDescent="0.35">
      <c r="A1759" s="61">
        <v>1755</v>
      </c>
      <c r="B1759" s="2"/>
      <c r="C1759" s="2"/>
      <c r="D1759" s="2"/>
      <c r="E1759" s="10"/>
      <c r="F1759" s="11"/>
      <c r="G1759" s="2"/>
      <c r="H1759" s="2"/>
      <c r="I1759" s="2"/>
      <c r="J1759" s="2"/>
      <c r="K1759" s="12"/>
      <c r="L1759" s="2"/>
      <c r="M1759" s="2"/>
      <c r="N1759" s="67"/>
    </row>
    <row r="1760" spans="1:14" x14ac:dyDescent="0.35">
      <c r="A1760" s="61">
        <v>1756</v>
      </c>
      <c r="B1760" s="2"/>
      <c r="C1760" s="2"/>
      <c r="D1760" s="2"/>
      <c r="E1760" s="10"/>
      <c r="F1760" s="11"/>
      <c r="G1760" s="2"/>
      <c r="H1760" s="2"/>
      <c r="I1760" s="2"/>
      <c r="J1760" s="2"/>
      <c r="K1760" s="12"/>
      <c r="L1760" s="2"/>
      <c r="M1760" s="2"/>
      <c r="N1760" s="67"/>
    </row>
    <row r="1761" spans="1:14" x14ac:dyDescent="0.35">
      <c r="A1761" s="61">
        <v>1757</v>
      </c>
      <c r="B1761" s="2"/>
      <c r="C1761" s="2"/>
      <c r="D1761" s="2"/>
      <c r="E1761" s="10"/>
      <c r="F1761" s="11"/>
      <c r="G1761" s="2"/>
      <c r="H1761" s="2"/>
      <c r="I1761" s="2"/>
      <c r="J1761" s="2"/>
      <c r="K1761" s="12"/>
      <c r="L1761" s="2"/>
      <c r="M1761" s="2"/>
      <c r="N1761" s="67"/>
    </row>
    <row r="1762" spans="1:14" x14ac:dyDescent="0.35">
      <c r="A1762" s="61">
        <v>1758</v>
      </c>
      <c r="B1762" s="2"/>
      <c r="C1762" s="2"/>
      <c r="D1762" s="2"/>
      <c r="E1762" s="10"/>
      <c r="F1762" s="11"/>
      <c r="G1762" s="2"/>
      <c r="H1762" s="2"/>
      <c r="I1762" s="2"/>
      <c r="J1762" s="2"/>
      <c r="K1762" s="12"/>
      <c r="L1762" s="2"/>
      <c r="M1762" s="2"/>
      <c r="N1762" s="67"/>
    </row>
    <row r="1763" spans="1:14" x14ac:dyDescent="0.35">
      <c r="A1763" s="61">
        <v>1759</v>
      </c>
      <c r="B1763" s="2"/>
      <c r="C1763" s="2"/>
      <c r="D1763" s="2"/>
      <c r="E1763" s="10"/>
      <c r="F1763" s="11"/>
      <c r="G1763" s="2"/>
      <c r="H1763" s="2"/>
      <c r="I1763" s="2"/>
      <c r="J1763" s="2"/>
      <c r="K1763" s="12"/>
      <c r="L1763" s="2"/>
      <c r="M1763" s="2"/>
      <c r="N1763" s="67"/>
    </row>
    <row r="1764" spans="1:14" x14ac:dyDescent="0.35">
      <c r="A1764" s="61">
        <v>1760</v>
      </c>
      <c r="B1764" s="2"/>
      <c r="C1764" s="2"/>
      <c r="D1764" s="2"/>
      <c r="E1764" s="10"/>
      <c r="F1764" s="11"/>
      <c r="G1764" s="2"/>
      <c r="H1764" s="2"/>
      <c r="I1764" s="2"/>
      <c r="J1764" s="2"/>
      <c r="K1764" s="12"/>
      <c r="L1764" s="2"/>
      <c r="M1764" s="2"/>
      <c r="N1764" s="67"/>
    </row>
    <row r="1765" spans="1:14" x14ac:dyDescent="0.35">
      <c r="A1765" s="61">
        <v>1761</v>
      </c>
      <c r="B1765" s="2"/>
      <c r="C1765" s="2"/>
      <c r="D1765" s="2"/>
      <c r="E1765" s="10"/>
      <c r="F1765" s="11"/>
      <c r="G1765" s="2"/>
      <c r="H1765" s="2"/>
      <c r="I1765" s="2"/>
      <c r="J1765" s="2"/>
      <c r="K1765" s="12"/>
      <c r="L1765" s="2"/>
      <c r="M1765" s="2"/>
      <c r="N1765" s="67"/>
    </row>
    <row r="1766" spans="1:14" x14ac:dyDescent="0.35">
      <c r="A1766" s="61">
        <v>1762</v>
      </c>
      <c r="B1766" s="2"/>
      <c r="C1766" s="2"/>
      <c r="D1766" s="2"/>
      <c r="E1766" s="10"/>
      <c r="F1766" s="11"/>
      <c r="G1766" s="2"/>
      <c r="H1766" s="2"/>
      <c r="I1766" s="2"/>
      <c r="J1766" s="2"/>
      <c r="K1766" s="12"/>
      <c r="L1766" s="2"/>
      <c r="M1766" s="2"/>
      <c r="N1766" s="67"/>
    </row>
    <row r="1767" spans="1:14" x14ac:dyDescent="0.35">
      <c r="A1767" s="61">
        <v>1763</v>
      </c>
      <c r="B1767" s="2"/>
      <c r="C1767" s="2"/>
      <c r="D1767" s="2"/>
      <c r="E1767" s="10"/>
      <c r="F1767" s="11"/>
      <c r="G1767" s="2"/>
      <c r="H1767" s="2"/>
      <c r="I1767" s="2"/>
      <c r="J1767" s="2"/>
      <c r="K1767" s="12"/>
      <c r="L1767" s="2"/>
      <c r="M1767" s="2"/>
      <c r="N1767" s="67"/>
    </row>
    <row r="1768" spans="1:14" x14ac:dyDescent="0.35">
      <c r="A1768" s="61">
        <v>1764</v>
      </c>
      <c r="B1768" s="2"/>
      <c r="C1768" s="2"/>
      <c r="D1768" s="2"/>
      <c r="E1768" s="10"/>
      <c r="F1768" s="11"/>
      <c r="G1768" s="2"/>
      <c r="H1768" s="2"/>
      <c r="I1768" s="2"/>
      <c r="J1768" s="2"/>
      <c r="K1768" s="12"/>
      <c r="L1768" s="2"/>
      <c r="M1768" s="2"/>
      <c r="N1768" s="67"/>
    </row>
    <row r="1769" spans="1:14" x14ac:dyDescent="0.35">
      <c r="A1769" s="61">
        <v>1765</v>
      </c>
      <c r="B1769" s="2"/>
      <c r="C1769" s="2"/>
      <c r="D1769" s="2"/>
      <c r="E1769" s="10"/>
      <c r="F1769" s="11"/>
      <c r="G1769" s="2"/>
      <c r="H1769" s="2"/>
      <c r="I1769" s="2"/>
      <c r="J1769" s="2"/>
      <c r="K1769" s="12"/>
      <c r="L1769" s="2"/>
      <c r="M1769" s="2"/>
      <c r="N1769" s="67"/>
    </row>
    <row r="1770" spans="1:14" x14ac:dyDescent="0.35">
      <c r="A1770" s="61">
        <v>1766</v>
      </c>
      <c r="B1770" s="2"/>
      <c r="C1770" s="2"/>
      <c r="D1770" s="2"/>
      <c r="E1770" s="10"/>
      <c r="F1770" s="11"/>
      <c r="G1770" s="2"/>
      <c r="H1770" s="2"/>
      <c r="I1770" s="2"/>
      <c r="J1770" s="2"/>
      <c r="K1770" s="12"/>
      <c r="L1770" s="2"/>
      <c r="M1770" s="2"/>
      <c r="N1770" s="67"/>
    </row>
    <row r="1771" spans="1:14" x14ac:dyDescent="0.35">
      <c r="A1771" s="61">
        <v>1767</v>
      </c>
      <c r="B1771" s="2"/>
      <c r="C1771" s="2"/>
      <c r="D1771" s="2"/>
      <c r="E1771" s="10"/>
      <c r="F1771" s="11"/>
      <c r="G1771" s="2"/>
      <c r="H1771" s="2"/>
      <c r="I1771" s="2"/>
      <c r="J1771" s="2"/>
      <c r="K1771" s="12"/>
      <c r="L1771" s="2"/>
      <c r="M1771" s="2"/>
      <c r="N1771" s="67"/>
    </row>
    <row r="1772" spans="1:14" x14ac:dyDescent="0.35">
      <c r="A1772" s="61">
        <v>1768</v>
      </c>
      <c r="B1772" s="2"/>
      <c r="C1772" s="2"/>
      <c r="D1772" s="2"/>
      <c r="E1772" s="10"/>
      <c r="F1772" s="11"/>
      <c r="G1772" s="2"/>
      <c r="H1772" s="2"/>
      <c r="I1772" s="2"/>
      <c r="J1772" s="2"/>
      <c r="K1772" s="12"/>
      <c r="L1772" s="2"/>
      <c r="M1772" s="2"/>
      <c r="N1772" s="67"/>
    </row>
    <row r="1773" spans="1:14" x14ac:dyDescent="0.35">
      <c r="A1773" s="61">
        <v>1769</v>
      </c>
      <c r="B1773" s="2"/>
      <c r="C1773" s="2"/>
      <c r="D1773" s="2"/>
      <c r="E1773" s="10"/>
      <c r="F1773" s="11"/>
      <c r="G1773" s="2"/>
      <c r="H1773" s="2"/>
      <c r="I1773" s="2"/>
      <c r="J1773" s="2"/>
      <c r="K1773" s="12"/>
      <c r="L1773" s="2"/>
      <c r="M1773" s="2"/>
      <c r="N1773" s="67"/>
    </row>
    <row r="1774" spans="1:14" x14ac:dyDescent="0.35">
      <c r="A1774" s="61">
        <v>1770</v>
      </c>
      <c r="B1774" s="2"/>
      <c r="C1774" s="2"/>
      <c r="D1774" s="2"/>
      <c r="E1774" s="10"/>
      <c r="F1774" s="11"/>
      <c r="G1774" s="2"/>
      <c r="H1774" s="2"/>
      <c r="I1774" s="2"/>
      <c r="J1774" s="2"/>
      <c r="K1774" s="12"/>
      <c r="L1774" s="2"/>
      <c r="M1774" s="2"/>
      <c r="N1774" s="67"/>
    </row>
    <row r="1775" spans="1:14" x14ac:dyDescent="0.35">
      <c r="A1775" s="61">
        <v>1771</v>
      </c>
      <c r="B1775" s="2"/>
      <c r="C1775" s="2"/>
      <c r="D1775" s="2"/>
      <c r="E1775" s="10"/>
      <c r="F1775" s="11"/>
      <c r="G1775" s="2"/>
      <c r="H1775" s="2"/>
      <c r="I1775" s="2"/>
      <c r="J1775" s="2"/>
      <c r="K1775" s="12"/>
      <c r="L1775" s="2"/>
      <c r="M1775" s="2"/>
      <c r="N1775" s="67"/>
    </row>
    <row r="1776" spans="1:14" x14ac:dyDescent="0.35">
      <c r="A1776" s="61">
        <v>1772</v>
      </c>
      <c r="B1776" s="2"/>
      <c r="C1776" s="2"/>
      <c r="D1776" s="2"/>
      <c r="E1776" s="10"/>
      <c r="F1776" s="11"/>
      <c r="G1776" s="2"/>
      <c r="H1776" s="2"/>
      <c r="I1776" s="2"/>
      <c r="J1776" s="2"/>
      <c r="K1776" s="12"/>
      <c r="L1776" s="2"/>
      <c r="M1776" s="2"/>
      <c r="N1776" s="67"/>
    </row>
    <row r="1777" spans="1:14" x14ac:dyDescent="0.35">
      <c r="A1777" s="61">
        <v>1773</v>
      </c>
      <c r="B1777" s="2"/>
      <c r="C1777" s="2"/>
      <c r="D1777" s="2"/>
      <c r="E1777" s="10"/>
      <c r="F1777" s="11"/>
      <c r="G1777" s="2"/>
      <c r="H1777" s="2"/>
      <c r="I1777" s="2"/>
      <c r="J1777" s="2"/>
      <c r="K1777" s="12"/>
      <c r="L1777" s="2"/>
      <c r="M1777" s="2"/>
      <c r="N1777" s="67"/>
    </row>
    <row r="1778" spans="1:14" x14ac:dyDescent="0.35">
      <c r="A1778" s="61">
        <v>1774</v>
      </c>
      <c r="B1778" s="2"/>
      <c r="C1778" s="2"/>
      <c r="D1778" s="2"/>
      <c r="E1778" s="10"/>
      <c r="F1778" s="11"/>
      <c r="G1778" s="2"/>
      <c r="H1778" s="2"/>
      <c r="I1778" s="2"/>
      <c r="J1778" s="2"/>
      <c r="K1778" s="12"/>
      <c r="L1778" s="2"/>
      <c r="M1778" s="2"/>
      <c r="N1778" s="67"/>
    </row>
    <row r="1779" spans="1:14" x14ac:dyDescent="0.35">
      <c r="A1779" s="61">
        <v>1775</v>
      </c>
      <c r="B1779" s="2"/>
      <c r="C1779" s="2"/>
      <c r="D1779" s="2"/>
      <c r="E1779" s="10"/>
      <c r="F1779" s="11"/>
      <c r="G1779" s="2"/>
      <c r="H1779" s="2"/>
      <c r="I1779" s="2"/>
      <c r="J1779" s="2"/>
      <c r="K1779" s="12"/>
      <c r="L1779" s="2"/>
      <c r="M1779" s="2"/>
      <c r="N1779" s="67"/>
    </row>
    <row r="1780" spans="1:14" x14ac:dyDescent="0.35">
      <c r="A1780" s="61">
        <v>1776</v>
      </c>
      <c r="B1780" s="2"/>
      <c r="C1780" s="2"/>
      <c r="D1780" s="2"/>
      <c r="E1780" s="10"/>
      <c r="F1780" s="11"/>
      <c r="G1780" s="2"/>
      <c r="H1780" s="2"/>
      <c r="I1780" s="2"/>
      <c r="J1780" s="2"/>
      <c r="K1780" s="12"/>
      <c r="L1780" s="2"/>
      <c r="M1780" s="2"/>
      <c r="N1780" s="67"/>
    </row>
    <row r="1781" spans="1:14" x14ac:dyDescent="0.35">
      <c r="A1781" s="61">
        <v>1777</v>
      </c>
      <c r="B1781" s="2"/>
      <c r="C1781" s="2"/>
      <c r="D1781" s="2"/>
      <c r="E1781" s="10"/>
      <c r="F1781" s="11"/>
      <c r="G1781" s="2"/>
      <c r="H1781" s="2"/>
      <c r="I1781" s="2"/>
      <c r="J1781" s="2"/>
      <c r="K1781" s="12"/>
      <c r="L1781" s="2"/>
      <c r="M1781" s="2"/>
      <c r="N1781" s="67"/>
    </row>
    <row r="1782" spans="1:14" x14ac:dyDescent="0.35">
      <c r="A1782" s="61">
        <v>1778</v>
      </c>
      <c r="B1782" s="2"/>
      <c r="C1782" s="2"/>
      <c r="D1782" s="2"/>
      <c r="E1782" s="10"/>
      <c r="F1782" s="11"/>
      <c r="G1782" s="2"/>
      <c r="H1782" s="2"/>
      <c r="I1782" s="2"/>
      <c r="J1782" s="2"/>
      <c r="K1782" s="12"/>
      <c r="L1782" s="2"/>
      <c r="M1782" s="2"/>
      <c r="N1782" s="67"/>
    </row>
    <row r="1783" spans="1:14" x14ac:dyDescent="0.35">
      <c r="A1783" s="61">
        <v>1779</v>
      </c>
      <c r="B1783" s="2"/>
      <c r="C1783" s="2"/>
      <c r="D1783" s="2"/>
      <c r="E1783" s="10"/>
      <c r="F1783" s="11"/>
      <c r="G1783" s="2"/>
      <c r="H1783" s="2"/>
      <c r="I1783" s="2"/>
      <c r="J1783" s="2"/>
      <c r="K1783" s="12"/>
      <c r="L1783" s="2"/>
      <c r="M1783" s="2"/>
      <c r="N1783" s="67"/>
    </row>
    <row r="1784" spans="1:14" x14ac:dyDescent="0.35">
      <c r="A1784" s="61">
        <v>1780</v>
      </c>
      <c r="B1784" s="2"/>
      <c r="C1784" s="2"/>
      <c r="D1784" s="2"/>
      <c r="E1784" s="10"/>
      <c r="F1784" s="11"/>
      <c r="G1784" s="2"/>
      <c r="H1784" s="2"/>
      <c r="I1784" s="2"/>
      <c r="J1784" s="2"/>
      <c r="K1784" s="12"/>
      <c r="L1784" s="2"/>
      <c r="M1784" s="2"/>
      <c r="N1784" s="67"/>
    </row>
    <row r="1785" spans="1:14" x14ac:dyDescent="0.35">
      <c r="A1785" s="61">
        <v>1781</v>
      </c>
      <c r="B1785" s="2"/>
      <c r="C1785" s="2"/>
      <c r="D1785" s="2"/>
      <c r="E1785" s="10"/>
      <c r="F1785" s="11"/>
      <c r="G1785" s="2"/>
      <c r="H1785" s="2"/>
      <c r="I1785" s="2"/>
      <c r="J1785" s="2"/>
      <c r="K1785" s="12"/>
      <c r="L1785" s="2"/>
      <c r="M1785" s="2"/>
      <c r="N1785" s="67"/>
    </row>
    <row r="1786" spans="1:14" x14ac:dyDescent="0.35">
      <c r="A1786" s="61">
        <v>1782</v>
      </c>
      <c r="B1786" s="2"/>
      <c r="C1786" s="2"/>
      <c r="D1786" s="2"/>
      <c r="E1786" s="10"/>
      <c r="F1786" s="11"/>
      <c r="G1786" s="2"/>
      <c r="H1786" s="2"/>
      <c r="I1786" s="2"/>
      <c r="J1786" s="2"/>
      <c r="K1786" s="12"/>
      <c r="L1786" s="2"/>
      <c r="M1786" s="2"/>
      <c r="N1786" s="67"/>
    </row>
    <row r="1787" spans="1:14" x14ac:dyDescent="0.35">
      <c r="A1787" s="61">
        <v>1783</v>
      </c>
      <c r="B1787" s="2"/>
      <c r="C1787" s="2"/>
      <c r="D1787" s="2"/>
      <c r="E1787" s="10"/>
      <c r="F1787" s="11"/>
      <c r="G1787" s="2"/>
      <c r="H1787" s="2"/>
      <c r="I1787" s="2"/>
      <c r="J1787" s="2"/>
      <c r="K1787" s="12"/>
      <c r="L1787" s="2"/>
      <c r="M1787" s="2"/>
      <c r="N1787" s="67"/>
    </row>
    <row r="1788" spans="1:14" x14ac:dyDescent="0.35">
      <c r="A1788" s="61">
        <v>1784</v>
      </c>
      <c r="B1788" s="2"/>
      <c r="C1788" s="2"/>
      <c r="D1788" s="2"/>
      <c r="E1788" s="10"/>
      <c r="F1788" s="11"/>
      <c r="G1788" s="2"/>
      <c r="H1788" s="2"/>
      <c r="I1788" s="2"/>
      <c r="J1788" s="2"/>
      <c r="K1788" s="12"/>
      <c r="L1788" s="2"/>
      <c r="M1788" s="2"/>
      <c r="N1788" s="67"/>
    </row>
    <row r="1789" spans="1:14" x14ac:dyDescent="0.35">
      <c r="A1789" s="61">
        <v>1785</v>
      </c>
      <c r="B1789" s="2"/>
      <c r="C1789" s="2"/>
      <c r="D1789" s="2"/>
      <c r="E1789" s="10"/>
      <c r="F1789" s="11"/>
      <c r="G1789" s="2"/>
      <c r="H1789" s="2"/>
      <c r="I1789" s="2"/>
      <c r="J1789" s="2"/>
      <c r="K1789" s="12"/>
      <c r="L1789" s="2"/>
      <c r="M1789" s="2"/>
      <c r="N1789" s="67"/>
    </row>
    <row r="1790" spans="1:14" x14ac:dyDescent="0.35">
      <c r="A1790" s="61">
        <v>1786</v>
      </c>
      <c r="B1790" s="2"/>
      <c r="C1790" s="2"/>
      <c r="D1790" s="2"/>
      <c r="E1790" s="10"/>
      <c r="F1790" s="11"/>
      <c r="G1790" s="2"/>
      <c r="H1790" s="2"/>
      <c r="I1790" s="2"/>
      <c r="J1790" s="2"/>
      <c r="K1790" s="12"/>
      <c r="L1790" s="2"/>
      <c r="M1790" s="2"/>
      <c r="N1790" s="67"/>
    </row>
    <row r="1791" spans="1:14" x14ac:dyDescent="0.35">
      <c r="A1791" s="61">
        <v>1787</v>
      </c>
      <c r="B1791" s="2"/>
      <c r="C1791" s="2"/>
      <c r="D1791" s="2"/>
      <c r="E1791" s="10"/>
      <c r="F1791" s="11"/>
      <c r="G1791" s="2"/>
      <c r="H1791" s="2"/>
      <c r="I1791" s="2"/>
      <c r="J1791" s="2"/>
      <c r="K1791" s="12"/>
      <c r="L1791" s="2"/>
      <c r="M1791" s="2"/>
      <c r="N1791" s="67"/>
    </row>
    <row r="1792" spans="1:14" x14ac:dyDescent="0.35">
      <c r="A1792" s="61">
        <v>1788</v>
      </c>
      <c r="B1792" s="2"/>
      <c r="C1792" s="2"/>
      <c r="D1792" s="2"/>
      <c r="E1792" s="10"/>
      <c r="F1792" s="11"/>
      <c r="G1792" s="2"/>
      <c r="H1792" s="2"/>
      <c r="I1792" s="2"/>
      <c r="J1792" s="2"/>
      <c r="K1792" s="12"/>
      <c r="L1792" s="2"/>
      <c r="M1792" s="2"/>
      <c r="N1792" s="67"/>
    </row>
    <row r="1793" spans="1:14" x14ac:dyDescent="0.35">
      <c r="A1793" s="61">
        <v>1789</v>
      </c>
      <c r="B1793" s="2"/>
      <c r="C1793" s="2"/>
      <c r="D1793" s="2"/>
      <c r="E1793" s="10"/>
      <c r="F1793" s="11"/>
      <c r="G1793" s="2"/>
      <c r="H1793" s="2"/>
      <c r="I1793" s="2"/>
      <c r="J1793" s="2"/>
      <c r="K1793" s="12"/>
      <c r="L1793" s="2"/>
      <c r="M1793" s="2"/>
      <c r="N1793" s="67"/>
    </row>
    <row r="1794" spans="1:14" x14ac:dyDescent="0.35">
      <c r="A1794" s="61">
        <v>1790</v>
      </c>
      <c r="B1794" s="2"/>
      <c r="C1794" s="2"/>
      <c r="D1794" s="2"/>
      <c r="E1794" s="10"/>
      <c r="F1794" s="11"/>
      <c r="G1794" s="2"/>
      <c r="H1794" s="2"/>
      <c r="I1794" s="2"/>
      <c r="J1794" s="2"/>
      <c r="K1794" s="12"/>
      <c r="L1794" s="2"/>
      <c r="M1794" s="2"/>
      <c r="N1794" s="67"/>
    </row>
    <row r="1795" spans="1:14" x14ac:dyDescent="0.35">
      <c r="A1795" s="61">
        <v>1791</v>
      </c>
      <c r="B1795" s="2"/>
      <c r="C1795" s="2"/>
      <c r="D1795" s="2"/>
      <c r="E1795" s="10"/>
      <c r="F1795" s="11"/>
      <c r="G1795" s="2"/>
      <c r="H1795" s="2"/>
      <c r="I1795" s="2"/>
      <c r="J1795" s="2"/>
      <c r="K1795" s="12"/>
      <c r="L1795" s="2"/>
      <c r="M1795" s="2"/>
      <c r="N1795" s="67"/>
    </row>
    <row r="1796" spans="1:14" x14ac:dyDescent="0.35">
      <c r="A1796" s="61">
        <v>1792</v>
      </c>
      <c r="B1796" s="2"/>
      <c r="C1796" s="2"/>
      <c r="D1796" s="2"/>
      <c r="E1796" s="10"/>
      <c r="F1796" s="11"/>
      <c r="G1796" s="2"/>
      <c r="H1796" s="2"/>
      <c r="I1796" s="2"/>
      <c r="J1796" s="2"/>
      <c r="K1796" s="12"/>
      <c r="L1796" s="2"/>
      <c r="M1796" s="2"/>
      <c r="N1796" s="67"/>
    </row>
    <row r="1797" spans="1:14" x14ac:dyDescent="0.35">
      <c r="A1797" s="61">
        <v>1793</v>
      </c>
      <c r="B1797" s="2"/>
      <c r="C1797" s="2"/>
      <c r="D1797" s="2"/>
      <c r="E1797" s="10"/>
      <c r="F1797" s="11"/>
      <c r="G1797" s="2"/>
      <c r="H1797" s="2"/>
      <c r="I1797" s="2"/>
      <c r="J1797" s="2"/>
      <c r="K1797" s="12"/>
      <c r="L1797" s="2"/>
      <c r="M1797" s="2"/>
      <c r="N1797" s="67"/>
    </row>
    <row r="1798" spans="1:14" x14ac:dyDescent="0.35">
      <c r="A1798" s="61">
        <v>1794</v>
      </c>
      <c r="B1798" s="2"/>
      <c r="C1798" s="2"/>
      <c r="D1798" s="2"/>
      <c r="E1798" s="10"/>
      <c r="F1798" s="11"/>
      <c r="G1798" s="2"/>
      <c r="H1798" s="2"/>
      <c r="I1798" s="2"/>
      <c r="J1798" s="2"/>
      <c r="K1798" s="12"/>
      <c r="L1798" s="2"/>
      <c r="M1798" s="2"/>
      <c r="N1798" s="67"/>
    </row>
    <row r="1799" spans="1:14" x14ac:dyDescent="0.35">
      <c r="A1799" s="61">
        <v>1795</v>
      </c>
      <c r="B1799" s="2"/>
      <c r="C1799" s="2"/>
      <c r="D1799" s="2"/>
      <c r="E1799" s="10"/>
      <c r="F1799" s="11"/>
      <c r="G1799" s="2"/>
      <c r="H1799" s="2"/>
      <c r="I1799" s="2"/>
      <c r="J1799" s="2"/>
      <c r="K1799" s="12"/>
      <c r="L1799" s="2"/>
      <c r="M1799" s="2"/>
      <c r="N1799" s="67"/>
    </row>
    <row r="1800" spans="1:14" x14ac:dyDescent="0.35">
      <c r="A1800" s="61">
        <v>1796</v>
      </c>
      <c r="B1800" s="2"/>
      <c r="C1800" s="2"/>
      <c r="D1800" s="2"/>
      <c r="E1800" s="10"/>
      <c r="F1800" s="11"/>
      <c r="G1800" s="2"/>
      <c r="H1800" s="2"/>
      <c r="I1800" s="2"/>
      <c r="J1800" s="2"/>
      <c r="K1800" s="12"/>
      <c r="L1800" s="2"/>
      <c r="M1800" s="2"/>
      <c r="N1800" s="67"/>
    </row>
    <row r="1801" spans="1:14" x14ac:dyDescent="0.35">
      <c r="A1801" s="61">
        <v>1797</v>
      </c>
      <c r="B1801" s="2"/>
      <c r="C1801" s="2"/>
      <c r="D1801" s="2"/>
      <c r="E1801" s="10"/>
      <c r="F1801" s="11"/>
      <c r="G1801" s="2"/>
      <c r="H1801" s="2"/>
      <c r="I1801" s="2"/>
      <c r="J1801" s="2"/>
      <c r="K1801" s="12"/>
      <c r="L1801" s="2"/>
      <c r="M1801" s="2"/>
      <c r="N1801" s="67"/>
    </row>
    <row r="1802" spans="1:14" x14ac:dyDescent="0.35">
      <c r="A1802" s="61">
        <v>1798</v>
      </c>
      <c r="B1802" s="2"/>
      <c r="C1802" s="2"/>
      <c r="D1802" s="2"/>
      <c r="E1802" s="10"/>
      <c r="F1802" s="11"/>
      <c r="G1802" s="2"/>
      <c r="H1802" s="2"/>
      <c r="I1802" s="2"/>
      <c r="J1802" s="2"/>
      <c r="K1802" s="12"/>
      <c r="L1802" s="2"/>
      <c r="M1802" s="2"/>
      <c r="N1802" s="67"/>
    </row>
    <row r="1803" spans="1:14" x14ac:dyDescent="0.35">
      <c r="A1803" s="61">
        <v>1799</v>
      </c>
      <c r="B1803" s="2"/>
      <c r="C1803" s="2"/>
      <c r="D1803" s="2"/>
      <c r="E1803" s="10"/>
      <c r="F1803" s="11"/>
      <c r="G1803" s="2"/>
      <c r="H1803" s="2"/>
      <c r="I1803" s="2"/>
      <c r="J1803" s="2"/>
      <c r="K1803" s="12"/>
      <c r="L1803" s="2"/>
      <c r="M1803" s="2"/>
      <c r="N1803" s="67"/>
    </row>
    <row r="1804" spans="1:14" x14ac:dyDescent="0.35">
      <c r="A1804" s="61">
        <v>1800</v>
      </c>
      <c r="B1804" s="2"/>
      <c r="C1804" s="2"/>
      <c r="D1804" s="2"/>
      <c r="E1804" s="10"/>
      <c r="F1804" s="11"/>
      <c r="G1804" s="2"/>
      <c r="H1804" s="2"/>
      <c r="I1804" s="2"/>
      <c r="J1804" s="2"/>
      <c r="K1804" s="12"/>
      <c r="L1804" s="2"/>
      <c r="M1804" s="2"/>
      <c r="N1804" s="67"/>
    </row>
    <row r="1805" spans="1:14" x14ac:dyDescent="0.35">
      <c r="A1805" s="61">
        <v>1801</v>
      </c>
      <c r="B1805" s="2"/>
      <c r="C1805" s="2"/>
      <c r="D1805" s="2"/>
      <c r="E1805" s="10"/>
      <c r="F1805" s="11"/>
      <c r="G1805" s="2"/>
      <c r="H1805" s="2"/>
      <c r="I1805" s="2"/>
      <c r="J1805" s="2"/>
      <c r="K1805" s="12"/>
      <c r="L1805" s="2"/>
      <c r="M1805" s="2"/>
      <c r="N1805" s="67"/>
    </row>
    <row r="1806" spans="1:14" x14ac:dyDescent="0.35">
      <c r="A1806" s="61">
        <v>1802</v>
      </c>
      <c r="B1806" s="2"/>
      <c r="C1806" s="2"/>
      <c r="D1806" s="2"/>
      <c r="E1806" s="10"/>
      <c r="F1806" s="11"/>
      <c r="G1806" s="2"/>
      <c r="H1806" s="2"/>
      <c r="I1806" s="2"/>
      <c r="J1806" s="2"/>
      <c r="K1806" s="12"/>
      <c r="L1806" s="2"/>
      <c r="M1806" s="2"/>
      <c r="N1806" s="67"/>
    </row>
    <row r="1807" spans="1:14" x14ac:dyDescent="0.35">
      <c r="A1807" s="61">
        <v>1803</v>
      </c>
      <c r="B1807" s="2"/>
      <c r="C1807" s="2"/>
      <c r="D1807" s="2"/>
      <c r="E1807" s="10"/>
      <c r="F1807" s="11"/>
      <c r="G1807" s="2"/>
      <c r="H1807" s="2"/>
      <c r="I1807" s="2"/>
      <c r="J1807" s="2"/>
      <c r="K1807" s="12"/>
      <c r="L1807" s="2"/>
      <c r="M1807" s="2"/>
      <c r="N1807" s="67"/>
    </row>
    <row r="1808" spans="1:14" x14ac:dyDescent="0.35">
      <c r="A1808" s="61">
        <v>1804</v>
      </c>
      <c r="B1808" s="2"/>
      <c r="C1808" s="2"/>
      <c r="D1808" s="2"/>
      <c r="E1808" s="10"/>
      <c r="F1808" s="11"/>
      <c r="G1808" s="2"/>
      <c r="H1808" s="2"/>
      <c r="I1808" s="2"/>
      <c r="J1808" s="2"/>
      <c r="K1808" s="12"/>
      <c r="L1808" s="2"/>
      <c r="M1808" s="2"/>
      <c r="N1808" s="67"/>
    </row>
    <row r="1809" spans="1:14" x14ac:dyDescent="0.35">
      <c r="A1809" s="61">
        <v>1805</v>
      </c>
      <c r="B1809" s="2"/>
      <c r="C1809" s="2"/>
      <c r="D1809" s="2"/>
      <c r="E1809" s="10"/>
      <c r="F1809" s="11"/>
      <c r="G1809" s="2"/>
      <c r="H1809" s="2"/>
      <c r="I1809" s="2"/>
      <c r="J1809" s="2"/>
      <c r="K1809" s="12"/>
      <c r="L1809" s="2"/>
      <c r="M1809" s="2"/>
      <c r="N1809" s="67"/>
    </row>
    <row r="1810" spans="1:14" x14ac:dyDescent="0.35">
      <c r="A1810" s="61">
        <v>1806</v>
      </c>
      <c r="B1810" s="2"/>
      <c r="C1810" s="2"/>
      <c r="D1810" s="2"/>
      <c r="E1810" s="10"/>
      <c r="F1810" s="11"/>
      <c r="G1810" s="2"/>
      <c r="H1810" s="2"/>
      <c r="I1810" s="2"/>
      <c r="J1810" s="2"/>
      <c r="K1810" s="12"/>
      <c r="L1810" s="2"/>
      <c r="M1810" s="2"/>
      <c r="N1810" s="67"/>
    </row>
    <row r="1811" spans="1:14" x14ac:dyDescent="0.35">
      <c r="A1811" s="61">
        <v>1807</v>
      </c>
      <c r="B1811" s="2"/>
      <c r="C1811" s="2"/>
      <c r="D1811" s="2"/>
      <c r="E1811" s="10"/>
      <c r="F1811" s="11"/>
      <c r="G1811" s="2"/>
      <c r="H1811" s="2"/>
      <c r="I1811" s="2"/>
      <c r="J1811" s="2"/>
      <c r="K1811" s="12"/>
      <c r="L1811" s="2"/>
      <c r="M1811" s="2"/>
      <c r="N1811" s="67"/>
    </row>
    <row r="1812" spans="1:14" x14ac:dyDescent="0.35">
      <c r="A1812" s="61">
        <v>1808</v>
      </c>
      <c r="B1812" s="2"/>
      <c r="C1812" s="2"/>
      <c r="D1812" s="2"/>
      <c r="E1812" s="10"/>
      <c r="F1812" s="11"/>
      <c r="G1812" s="2"/>
      <c r="H1812" s="2"/>
      <c r="I1812" s="2"/>
      <c r="J1812" s="2"/>
      <c r="K1812" s="12"/>
      <c r="L1812" s="2"/>
      <c r="M1812" s="2"/>
      <c r="N1812" s="67"/>
    </row>
    <row r="1813" spans="1:14" x14ac:dyDescent="0.35">
      <c r="A1813" s="61">
        <v>1809</v>
      </c>
      <c r="B1813" s="2"/>
      <c r="C1813" s="2"/>
      <c r="D1813" s="2"/>
      <c r="E1813" s="10"/>
      <c r="F1813" s="11"/>
      <c r="G1813" s="2"/>
      <c r="H1813" s="2"/>
      <c r="I1813" s="2"/>
      <c r="J1813" s="2"/>
      <c r="K1813" s="12"/>
      <c r="L1813" s="2"/>
      <c r="M1813" s="2"/>
      <c r="N1813" s="67"/>
    </row>
    <row r="1814" spans="1:14" x14ac:dyDescent="0.35">
      <c r="A1814" s="61">
        <v>1810</v>
      </c>
      <c r="B1814" s="2"/>
      <c r="C1814" s="2"/>
      <c r="D1814" s="2"/>
      <c r="E1814" s="10"/>
      <c r="F1814" s="11"/>
      <c r="G1814" s="2"/>
      <c r="H1814" s="2"/>
      <c r="I1814" s="2"/>
      <c r="J1814" s="2"/>
      <c r="K1814" s="12"/>
      <c r="L1814" s="2"/>
      <c r="M1814" s="2"/>
      <c r="N1814" s="67"/>
    </row>
    <row r="1815" spans="1:14" x14ac:dyDescent="0.35">
      <c r="A1815" s="61">
        <v>1811</v>
      </c>
      <c r="B1815" s="2"/>
      <c r="C1815" s="2"/>
      <c r="D1815" s="2"/>
      <c r="E1815" s="10"/>
      <c r="F1815" s="11"/>
      <c r="G1815" s="2"/>
      <c r="H1815" s="2"/>
      <c r="I1815" s="2"/>
      <c r="J1815" s="2"/>
      <c r="K1815" s="12"/>
      <c r="L1815" s="2"/>
      <c r="M1815" s="2"/>
      <c r="N1815" s="67"/>
    </row>
    <row r="1816" spans="1:14" x14ac:dyDescent="0.35">
      <c r="A1816" s="61">
        <v>1812</v>
      </c>
      <c r="B1816" s="2"/>
      <c r="C1816" s="2"/>
      <c r="D1816" s="2"/>
      <c r="E1816" s="10"/>
      <c r="F1816" s="11"/>
      <c r="G1816" s="2"/>
      <c r="H1816" s="2"/>
      <c r="I1816" s="2"/>
      <c r="J1816" s="2"/>
      <c r="K1816" s="12"/>
      <c r="L1816" s="2"/>
      <c r="M1816" s="2"/>
      <c r="N1816" s="67"/>
    </row>
    <row r="1817" spans="1:14" x14ac:dyDescent="0.35">
      <c r="A1817" s="61">
        <v>1813</v>
      </c>
      <c r="B1817" s="2"/>
      <c r="C1817" s="2"/>
      <c r="D1817" s="2"/>
      <c r="E1817" s="10"/>
      <c r="F1817" s="11"/>
      <c r="G1817" s="2"/>
      <c r="H1817" s="2"/>
      <c r="I1817" s="2"/>
      <c r="J1817" s="2"/>
      <c r="K1817" s="12"/>
      <c r="L1817" s="2"/>
      <c r="M1817" s="2"/>
      <c r="N1817" s="67"/>
    </row>
    <row r="1818" spans="1:14" x14ac:dyDescent="0.35">
      <c r="A1818" s="61">
        <v>1814</v>
      </c>
      <c r="B1818" s="2"/>
      <c r="C1818" s="2"/>
      <c r="D1818" s="2"/>
      <c r="E1818" s="10"/>
      <c r="F1818" s="11"/>
      <c r="G1818" s="2"/>
      <c r="H1818" s="2"/>
      <c r="I1818" s="2"/>
      <c r="J1818" s="2"/>
      <c r="K1818" s="12"/>
      <c r="L1818" s="2"/>
      <c r="M1818" s="2"/>
      <c r="N1818" s="67"/>
    </row>
    <row r="1819" spans="1:14" x14ac:dyDescent="0.35">
      <c r="A1819" s="61">
        <v>1815</v>
      </c>
      <c r="B1819" s="2"/>
      <c r="C1819" s="2"/>
      <c r="D1819" s="2"/>
      <c r="E1819" s="10"/>
      <c r="F1819" s="11"/>
      <c r="G1819" s="2"/>
      <c r="H1819" s="2"/>
      <c r="I1819" s="2"/>
      <c r="J1819" s="2"/>
      <c r="K1819" s="12"/>
      <c r="L1819" s="2"/>
      <c r="M1819" s="2"/>
      <c r="N1819" s="67"/>
    </row>
    <row r="1820" spans="1:14" x14ac:dyDescent="0.35">
      <c r="A1820" s="61">
        <v>1816</v>
      </c>
      <c r="B1820" s="2"/>
      <c r="C1820" s="2"/>
      <c r="D1820" s="2"/>
      <c r="E1820" s="10"/>
      <c r="F1820" s="11"/>
      <c r="G1820" s="2"/>
      <c r="H1820" s="2"/>
      <c r="I1820" s="2"/>
      <c r="J1820" s="2"/>
      <c r="K1820" s="12"/>
      <c r="L1820" s="2"/>
      <c r="M1820" s="2"/>
      <c r="N1820" s="67"/>
    </row>
    <row r="1821" spans="1:14" x14ac:dyDescent="0.35">
      <c r="A1821" s="61">
        <v>1817</v>
      </c>
      <c r="B1821" s="2"/>
      <c r="C1821" s="2"/>
      <c r="D1821" s="2"/>
      <c r="E1821" s="10"/>
      <c r="F1821" s="11"/>
      <c r="G1821" s="2"/>
      <c r="H1821" s="2"/>
      <c r="I1821" s="2"/>
      <c r="J1821" s="2"/>
      <c r="K1821" s="12"/>
      <c r="L1821" s="2"/>
      <c r="M1821" s="2"/>
      <c r="N1821" s="67"/>
    </row>
    <row r="1822" spans="1:14" x14ac:dyDescent="0.35">
      <c r="A1822" s="61">
        <v>1818</v>
      </c>
      <c r="B1822" s="2"/>
      <c r="C1822" s="2"/>
      <c r="D1822" s="2"/>
      <c r="E1822" s="10"/>
      <c r="F1822" s="11"/>
      <c r="G1822" s="2"/>
      <c r="H1822" s="2"/>
      <c r="I1822" s="2"/>
      <c r="J1822" s="2"/>
      <c r="K1822" s="12"/>
      <c r="L1822" s="2"/>
      <c r="M1822" s="2"/>
      <c r="N1822" s="67"/>
    </row>
    <row r="1823" spans="1:14" x14ac:dyDescent="0.35">
      <c r="A1823" s="61">
        <v>1819</v>
      </c>
      <c r="B1823" s="2"/>
      <c r="C1823" s="2"/>
      <c r="D1823" s="2"/>
      <c r="E1823" s="10"/>
      <c r="F1823" s="11"/>
      <c r="G1823" s="2"/>
      <c r="H1823" s="2"/>
      <c r="I1823" s="2"/>
      <c r="J1823" s="2"/>
      <c r="K1823" s="12"/>
      <c r="L1823" s="2"/>
      <c r="M1823" s="2"/>
      <c r="N1823" s="67"/>
    </row>
    <row r="1824" spans="1:14" x14ac:dyDescent="0.35">
      <c r="A1824" s="61">
        <v>1820</v>
      </c>
      <c r="B1824" s="2"/>
      <c r="C1824" s="2"/>
      <c r="D1824" s="2"/>
      <c r="E1824" s="10"/>
      <c r="F1824" s="11"/>
      <c r="G1824" s="2"/>
      <c r="H1824" s="2"/>
      <c r="I1824" s="2"/>
      <c r="J1824" s="2"/>
      <c r="K1824" s="12"/>
      <c r="L1824" s="2"/>
      <c r="M1824" s="2"/>
      <c r="N1824" s="67"/>
    </row>
    <row r="1825" spans="1:14" x14ac:dyDescent="0.35">
      <c r="A1825" s="61">
        <v>1821</v>
      </c>
      <c r="B1825" s="2"/>
      <c r="C1825" s="2"/>
      <c r="D1825" s="2"/>
      <c r="E1825" s="10"/>
      <c r="F1825" s="11"/>
      <c r="G1825" s="2"/>
      <c r="H1825" s="2"/>
      <c r="I1825" s="2"/>
      <c r="J1825" s="2"/>
      <c r="K1825" s="12"/>
      <c r="L1825" s="2"/>
      <c r="M1825" s="2"/>
      <c r="N1825" s="67"/>
    </row>
    <row r="1826" spans="1:14" x14ac:dyDescent="0.35">
      <c r="A1826" s="61">
        <v>1822</v>
      </c>
      <c r="B1826" s="2"/>
      <c r="C1826" s="2"/>
      <c r="D1826" s="2"/>
      <c r="E1826" s="10"/>
      <c r="F1826" s="11"/>
      <c r="G1826" s="2"/>
      <c r="H1826" s="2"/>
      <c r="I1826" s="2"/>
      <c r="J1826" s="2"/>
      <c r="K1826" s="12"/>
      <c r="L1826" s="2"/>
      <c r="M1826" s="2"/>
      <c r="N1826" s="67"/>
    </row>
    <row r="1827" spans="1:14" x14ac:dyDescent="0.35">
      <c r="A1827" s="61">
        <v>1823</v>
      </c>
      <c r="B1827" s="2"/>
      <c r="C1827" s="2"/>
      <c r="D1827" s="2"/>
      <c r="E1827" s="10"/>
      <c r="F1827" s="11"/>
      <c r="G1827" s="2"/>
      <c r="H1827" s="2"/>
      <c r="I1827" s="2"/>
      <c r="J1827" s="2"/>
      <c r="K1827" s="12"/>
      <c r="L1827" s="2"/>
      <c r="M1827" s="2"/>
      <c r="N1827" s="67"/>
    </row>
    <row r="1828" spans="1:14" x14ac:dyDescent="0.35">
      <c r="A1828" s="61">
        <v>1824</v>
      </c>
      <c r="B1828" s="2"/>
      <c r="C1828" s="2"/>
      <c r="D1828" s="2"/>
      <c r="E1828" s="10"/>
      <c r="F1828" s="11"/>
      <c r="G1828" s="2"/>
      <c r="H1828" s="2"/>
      <c r="I1828" s="2"/>
      <c r="J1828" s="2"/>
      <c r="K1828" s="12"/>
      <c r="L1828" s="2"/>
      <c r="M1828" s="2"/>
      <c r="N1828" s="67"/>
    </row>
    <row r="1829" spans="1:14" x14ac:dyDescent="0.35">
      <c r="A1829" s="61">
        <v>1825</v>
      </c>
      <c r="B1829" s="2"/>
      <c r="C1829" s="2"/>
      <c r="D1829" s="2"/>
      <c r="E1829" s="10"/>
      <c r="F1829" s="11"/>
      <c r="G1829" s="2"/>
      <c r="H1829" s="2"/>
      <c r="I1829" s="2"/>
      <c r="J1829" s="2"/>
      <c r="K1829" s="12"/>
      <c r="L1829" s="2"/>
      <c r="M1829" s="2"/>
      <c r="N1829" s="67"/>
    </row>
    <row r="1830" spans="1:14" x14ac:dyDescent="0.35">
      <c r="A1830" s="61">
        <v>1826</v>
      </c>
      <c r="B1830" s="2"/>
      <c r="C1830" s="2"/>
      <c r="D1830" s="2"/>
      <c r="E1830" s="10"/>
      <c r="F1830" s="11"/>
      <c r="G1830" s="2"/>
      <c r="H1830" s="2"/>
      <c r="I1830" s="2"/>
      <c r="J1830" s="2"/>
      <c r="K1830" s="12"/>
      <c r="L1830" s="2"/>
      <c r="M1830" s="2"/>
      <c r="N1830" s="67"/>
    </row>
    <row r="1831" spans="1:14" x14ac:dyDescent="0.35">
      <c r="A1831" s="61">
        <v>1827</v>
      </c>
      <c r="B1831" s="2"/>
      <c r="C1831" s="2"/>
      <c r="D1831" s="2"/>
      <c r="E1831" s="10"/>
      <c r="F1831" s="11"/>
      <c r="G1831" s="2"/>
      <c r="H1831" s="2"/>
      <c r="I1831" s="2"/>
      <c r="J1831" s="2"/>
      <c r="K1831" s="12"/>
      <c r="L1831" s="2"/>
      <c r="M1831" s="2"/>
      <c r="N1831" s="67"/>
    </row>
    <row r="1832" spans="1:14" x14ac:dyDescent="0.35">
      <c r="A1832" s="61">
        <v>1828</v>
      </c>
      <c r="B1832" s="2"/>
      <c r="C1832" s="2"/>
      <c r="D1832" s="2"/>
      <c r="E1832" s="10"/>
      <c r="F1832" s="11"/>
      <c r="G1832" s="2"/>
      <c r="H1832" s="2"/>
      <c r="I1832" s="2"/>
      <c r="J1832" s="2"/>
      <c r="K1832" s="12"/>
      <c r="L1832" s="2"/>
      <c r="M1832" s="2"/>
      <c r="N1832" s="67"/>
    </row>
    <row r="1833" spans="1:14" x14ac:dyDescent="0.35">
      <c r="A1833" s="61">
        <v>1829</v>
      </c>
      <c r="B1833" s="2"/>
      <c r="C1833" s="2"/>
      <c r="D1833" s="2"/>
      <c r="E1833" s="10"/>
      <c r="F1833" s="11"/>
      <c r="G1833" s="2"/>
      <c r="H1833" s="2"/>
      <c r="I1833" s="2"/>
      <c r="J1833" s="2"/>
      <c r="K1833" s="12"/>
      <c r="L1833" s="2"/>
      <c r="M1833" s="2"/>
      <c r="N1833" s="67"/>
    </row>
    <row r="1834" spans="1:14" x14ac:dyDescent="0.35">
      <c r="A1834" s="61">
        <v>1830</v>
      </c>
      <c r="B1834" s="2"/>
      <c r="C1834" s="2"/>
      <c r="D1834" s="2"/>
      <c r="E1834" s="10"/>
      <c r="F1834" s="11"/>
      <c r="G1834" s="2"/>
      <c r="H1834" s="2"/>
      <c r="I1834" s="2"/>
      <c r="J1834" s="2"/>
      <c r="K1834" s="12"/>
      <c r="L1834" s="2"/>
      <c r="M1834" s="2"/>
      <c r="N1834" s="67"/>
    </row>
    <row r="1835" spans="1:14" x14ac:dyDescent="0.35">
      <c r="A1835" s="61">
        <v>1831</v>
      </c>
      <c r="B1835" s="2"/>
      <c r="C1835" s="2"/>
      <c r="D1835" s="2"/>
      <c r="E1835" s="10"/>
      <c r="F1835" s="11"/>
      <c r="G1835" s="2"/>
      <c r="H1835" s="2"/>
      <c r="I1835" s="2"/>
      <c r="J1835" s="2"/>
      <c r="K1835" s="12"/>
      <c r="L1835" s="2"/>
      <c r="M1835" s="2"/>
      <c r="N1835" s="67"/>
    </row>
    <row r="1836" spans="1:14" x14ac:dyDescent="0.35">
      <c r="A1836" s="61">
        <v>1832</v>
      </c>
      <c r="B1836" s="2"/>
      <c r="C1836" s="2"/>
      <c r="D1836" s="2"/>
      <c r="E1836" s="10"/>
      <c r="F1836" s="11"/>
      <c r="G1836" s="2"/>
      <c r="H1836" s="2"/>
      <c r="I1836" s="2"/>
      <c r="J1836" s="2"/>
      <c r="K1836" s="12"/>
      <c r="L1836" s="2"/>
      <c r="M1836" s="2"/>
      <c r="N1836" s="67"/>
    </row>
    <row r="1837" spans="1:14" x14ac:dyDescent="0.35">
      <c r="A1837" s="61">
        <v>1833</v>
      </c>
      <c r="B1837" s="2"/>
      <c r="C1837" s="2"/>
      <c r="D1837" s="2"/>
      <c r="E1837" s="10"/>
      <c r="F1837" s="11"/>
      <c r="G1837" s="2"/>
      <c r="H1837" s="2"/>
      <c r="I1837" s="2"/>
      <c r="J1837" s="2"/>
      <c r="K1837" s="12"/>
      <c r="L1837" s="2"/>
      <c r="M1837" s="2"/>
      <c r="N1837" s="67"/>
    </row>
    <row r="1838" spans="1:14" x14ac:dyDescent="0.35">
      <c r="A1838" s="61">
        <v>1834</v>
      </c>
      <c r="B1838" s="2"/>
      <c r="C1838" s="2"/>
      <c r="D1838" s="2"/>
      <c r="E1838" s="10"/>
      <c r="F1838" s="11"/>
      <c r="G1838" s="2"/>
      <c r="H1838" s="2"/>
      <c r="I1838" s="2"/>
      <c r="J1838" s="2"/>
      <c r="K1838" s="12"/>
      <c r="L1838" s="2"/>
      <c r="M1838" s="2"/>
      <c r="N1838" s="67"/>
    </row>
    <row r="1839" spans="1:14" x14ac:dyDescent="0.35">
      <c r="A1839" s="61">
        <v>1835</v>
      </c>
      <c r="B1839" s="2"/>
      <c r="C1839" s="2"/>
      <c r="D1839" s="2"/>
      <c r="E1839" s="10"/>
      <c r="F1839" s="11"/>
      <c r="G1839" s="2"/>
      <c r="H1839" s="2"/>
      <c r="I1839" s="2"/>
      <c r="J1839" s="2"/>
      <c r="K1839" s="12"/>
      <c r="L1839" s="2"/>
      <c r="M1839" s="2"/>
      <c r="N1839" s="67"/>
    </row>
    <row r="1840" spans="1:14" x14ac:dyDescent="0.35">
      <c r="A1840" s="61">
        <v>1836</v>
      </c>
      <c r="B1840" s="2"/>
      <c r="C1840" s="2"/>
      <c r="D1840" s="2"/>
      <c r="E1840" s="10"/>
      <c r="F1840" s="11"/>
      <c r="G1840" s="2"/>
      <c r="H1840" s="2"/>
      <c r="I1840" s="2"/>
      <c r="J1840" s="2"/>
      <c r="K1840" s="12"/>
      <c r="L1840" s="2"/>
      <c r="M1840" s="2"/>
      <c r="N1840" s="67"/>
    </row>
    <row r="1841" spans="1:14" x14ac:dyDescent="0.35">
      <c r="A1841" s="61">
        <v>1837</v>
      </c>
      <c r="B1841" s="2"/>
      <c r="C1841" s="2"/>
      <c r="D1841" s="2"/>
      <c r="E1841" s="10"/>
      <c r="F1841" s="11"/>
      <c r="G1841" s="2"/>
      <c r="H1841" s="2"/>
      <c r="I1841" s="2"/>
      <c r="J1841" s="2"/>
      <c r="K1841" s="12"/>
      <c r="L1841" s="2"/>
      <c r="M1841" s="2"/>
      <c r="N1841" s="67"/>
    </row>
    <row r="1842" spans="1:14" x14ac:dyDescent="0.35">
      <c r="A1842" s="61">
        <v>1838</v>
      </c>
      <c r="B1842" s="2"/>
      <c r="C1842" s="2"/>
      <c r="D1842" s="2"/>
      <c r="E1842" s="10"/>
      <c r="F1842" s="11"/>
      <c r="G1842" s="2"/>
      <c r="H1842" s="2"/>
      <c r="I1842" s="2"/>
      <c r="J1842" s="2"/>
      <c r="K1842" s="12"/>
      <c r="L1842" s="2"/>
      <c r="M1842" s="2"/>
      <c r="N1842" s="67"/>
    </row>
    <row r="1843" spans="1:14" x14ac:dyDescent="0.35">
      <c r="A1843" s="61">
        <v>1839</v>
      </c>
      <c r="B1843" s="2"/>
      <c r="C1843" s="2"/>
      <c r="D1843" s="2"/>
      <c r="E1843" s="10"/>
      <c r="F1843" s="11"/>
      <c r="G1843" s="2"/>
      <c r="H1843" s="2"/>
      <c r="I1843" s="2"/>
      <c r="J1843" s="2"/>
      <c r="K1843" s="12"/>
      <c r="L1843" s="2"/>
      <c r="M1843" s="2"/>
      <c r="N1843" s="67"/>
    </row>
    <row r="1844" spans="1:14" x14ac:dyDescent="0.35">
      <c r="A1844" s="61">
        <v>1840</v>
      </c>
      <c r="B1844" s="2"/>
      <c r="C1844" s="2"/>
      <c r="D1844" s="2"/>
      <c r="E1844" s="10"/>
      <c r="F1844" s="11"/>
      <c r="G1844" s="2"/>
      <c r="H1844" s="2"/>
      <c r="I1844" s="2"/>
      <c r="J1844" s="2"/>
      <c r="K1844" s="12"/>
      <c r="L1844" s="2"/>
      <c r="M1844" s="2"/>
      <c r="N1844" s="67"/>
    </row>
    <row r="1845" spans="1:14" x14ac:dyDescent="0.35">
      <c r="A1845" s="61">
        <v>1841</v>
      </c>
      <c r="B1845" s="2"/>
      <c r="C1845" s="2"/>
      <c r="D1845" s="2"/>
      <c r="E1845" s="10"/>
      <c r="F1845" s="11"/>
      <c r="G1845" s="2"/>
      <c r="H1845" s="2"/>
      <c r="I1845" s="2"/>
      <c r="J1845" s="2"/>
      <c r="K1845" s="12"/>
      <c r="L1845" s="2"/>
      <c r="M1845" s="2"/>
      <c r="N1845" s="67"/>
    </row>
    <row r="1846" spans="1:14" x14ac:dyDescent="0.35">
      <c r="A1846" s="61">
        <v>1842</v>
      </c>
      <c r="B1846" s="2"/>
      <c r="C1846" s="2"/>
      <c r="D1846" s="2"/>
      <c r="E1846" s="10"/>
      <c r="F1846" s="11"/>
      <c r="G1846" s="2"/>
      <c r="H1846" s="2"/>
      <c r="I1846" s="2"/>
      <c r="J1846" s="2"/>
      <c r="K1846" s="12"/>
      <c r="L1846" s="2"/>
      <c r="M1846" s="2"/>
      <c r="N1846" s="67"/>
    </row>
    <row r="1847" spans="1:14" x14ac:dyDescent="0.35">
      <c r="A1847" s="61">
        <v>1843</v>
      </c>
      <c r="B1847" s="2"/>
      <c r="C1847" s="2"/>
      <c r="D1847" s="2"/>
      <c r="E1847" s="10"/>
      <c r="F1847" s="11"/>
      <c r="G1847" s="2"/>
      <c r="H1847" s="2"/>
      <c r="I1847" s="2"/>
      <c r="J1847" s="2"/>
      <c r="K1847" s="12"/>
      <c r="L1847" s="2"/>
      <c r="M1847" s="2"/>
      <c r="N1847" s="67"/>
    </row>
    <row r="1848" spans="1:14" x14ac:dyDescent="0.35">
      <c r="A1848" s="61">
        <v>1844</v>
      </c>
      <c r="B1848" s="2"/>
      <c r="C1848" s="2"/>
      <c r="D1848" s="2"/>
      <c r="E1848" s="10"/>
      <c r="F1848" s="11"/>
      <c r="G1848" s="2"/>
      <c r="H1848" s="2"/>
      <c r="I1848" s="2"/>
      <c r="J1848" s="2"/>
      <c r="K1848" s="12"/>
      <c r="L1848" s="2"/>
      <c r="M1848" s="2"/>
      <c r="N1848" s="67"/>
    </row>
    <row r="1849" spans="1:14" x14ac:dyDescent="0.35">
      <c r="A1849" s="61">
        <v>1845</v>
      </c>
      <c r="B1849" s="2"/>
      <c r="C1849" s="2"/>
      <c r="D1849" s="2"/>
      <c r="E1849" s="10"/>
      <c r="F1849" s="11"/>
      <c r="G1849" s="2"/>
      <c r="H1849" s="2"/>
      <c r="I1849" s="2"/>
      <c r="J1849" s="2"/>
      <c r="K1849" s="12"/>
      <c r="L1849" s="2"/>
      <c r="M1849" s="2"/>
      <c r="N1849" s="67"/>
    </row>
    <row r="1850" spans="1:14" x14ac:dyDescent="0.35">
      <c r="A1850" s="61">
        <v>1846</v>
      </c>
      <c r="B1850" s="2"/>
      <c r="C1850" s="2"/>
      <c r="D1850" s="2"/>
      <c r="E1850" s="10"/>
      <c r="F1850" s="11"/>
      <c r="G1850" s="2"/>
      <c r="H1850" s="2"/>
      <c r="I1850" s="2"/>
      <c r="J1850" s="2"/>
      <c r="K1850" s="12"/>
      <c r="L1850" s="2"/>
      <c r="M1850" s="2"/>
      <c r="N1850" s="67"/>
    </row>
    <row r="1851" spans="1:14" x14ac:dyDescent="0.35">
      <c r="A1851" s="61">
        <v>1847</v>
      </c>
      <c r="B1851" s="2"/>
      <c r="C1851" s="2"/>
      <c r="D1851" s="2"/>
      <c r="E1851" s="10"/>
      <c r="F1851" s="11"/>
      <c r="G1851" s="2"/>
      <c r="H1851" s="2"/>
      <c r="I1851" s="2"/>
      <c r="J1851" s="2"/>
      <c r="K1851" s="12"/>
      <c r="L1851" s="2"/>
      <c r="M1851" s="2"/>
      <c r="N1851" s="67"/>
    </row>
    <row r="1852" spans="1:14" x14ac:dyDescent="0.35">
      <c r="A1852" s="61">
        <v>1848</v>
      </c>
      <c r="B1852" s="2"/>
      <c r="C1852" s="2"/>
      <c r="D1852" s="2"/>
      <c r="E1852" s="10"/>
      <c r="F1852" s="11"/>
      <c r="G1852" s="2"/>
      <c r="H1852" s="2"/>
      <c r="I1852" s="2"/>
      <c r="J1852" s="2"/>
      <c r="K1852" s="12"/>
      <c r="L1852" s="2"/>
      <c r="M1852" s="2"/>
      <c r="N1852" s="67"/>
    </row>
    <row r="1853" spans="1:14" x14ac:dyDescent="0.35">
      <c r="A1853" s="61">
        <v>1849</v>
      </c>
      <c r="B1853" s="2"/>
      <c r="C1853" s="2"/>
      <c r="D1853" s="2"/>
      <c r="E1853" s="10"/>
      <c r="F1853" s="11"/>
      <c r="G1853" s="2"/>
      <c r="H1853" s="2"/>
      <c r="I1853" s="2"/>
      <c r="J1853" s="2"/>
      <c r="K1853" s="12"/>
      <c r="L1853" s="2"/>
      <c r="M1853" s="2"/>
      <c r="N1853" s="67"/>
    </row>
    <row r="1854" spans="1:14" x14ac:dyDescent="0.35">
      <c r="A1854" s="61">
        <v>1850</v>
      </c>
      <c r="B1854" s="2"/>
      <c r="C1854" s="2"/>
      <c r="D1854" s="2"/>
      <c r="E1854" s="10"/>
      <c r="F1854" s="11"/>
      <c r="G1854" s="2"/>
      <c r="H1854" s="2"/>
      <c r="I1854" s="2"/>
      <c r="J1854" s="2"/>
      <c r="K1854" s="12"/>
      <c r="L1854" s="2"/>
      <c r="M1854" s="2"/>
      <c r="N1854" s="67"/>
    </row>
    <row r="1855" spans="1:14" x14ac:dyDescent="0.35">
      <c r="A1855" s="61">
        <v>1851</v>
      </c>
      <c r="B1855" s="2"/>
      <c r="C1855" s="2"/>
      <c r="D1855" s="2"/>
      <c r="E1855" s="10"/>
      <c r="F1855" s="11"/>
      <c r="G1855" s="2"/>
      <c r="H1855" s="2"/>
      <c r="I1855" s="2"/>
      <c r="J1855" s="2"/>
      <c r="K1855" s="12"/>
      <c r="L1855" s="2"/>
      <c r="M1855" s="2"/>
      <c r="N1855" s="67"/>
    </row>
    <row r="1856" spans="1:14" x14ac:dyDescent="0.35">
      <c r="A1856" s="61">
        <v>1852</v>
      </c>
      <c r="B1856" s="2"/>
      <c r="C1856" s="2"/>
      <c r="D1856" s="2"/>
      <c r="E1856" s="10"/>
      <c r="F1856" s="11"/>
      <c r="G1856" s="2"/>
      <c r="H1856" s="2"/>
      <c r="I1856" s="2"/>
      <c r="J1856" s="2"/>
      <c r="K1856" s="12"/>
      <c r="L1856" s="2"/>
      <c r="M1856" s="2"/>
      <c r="N1856" s="67"/>
    </row>
    <row r="1857" spans="1:14" x14ac:dyDescent="0.35">
      <c r="A1857" s="61">
        <v>1853</v>
      </c>
      <c r="B1857" s="2"/>
      <c r="C1857" s="2"/>
      <c r="D1857" s="2"/>
      <c r="E1857" s="10"/>
      <c r="F1857" s="11"/>
      <c r="G1857" s="2"/>
      <c r="H1857" s="2"/>
      <c r="I1857" s="2"/>
      <c r="J1857" s="2"/>
      <c r="K1857" s="12"/>
      <c r="L1857" s="2"/>
      <c r="M1857" s="2"/>
      <c r="N1857" s="67"/>
    </row>
    <row r="1858" spans="1:14" x14ac:dyDescent="0.35">
      <c r="A1858" s="61">
        <v>1854</v>
      </c>
      <c r="B1858" s="2"/>
      <c r="C1858" s="2"/>
      <c r="D1858" s="2"/>
      <c r="E1858" s="10"/>
      <c r="F1858" s="11"/>
      <c r="G1858" s="2"/>
      <c r="H1858" s="2"/>
      <c r="I1858" s="2"/>
      <c r="J1858" s="2"/>
      <c r="K1858" s="12"/>
      <c r="L1858" s="2"/>
      <c r="M1858" s="2"/>
      <c r="N1858" s="67"/>
    </row>
    <row r="1859" spans="1:14" x14ac:dyDescent="0.35">
      <c r="A1859" s="61">
        <v>1855</v>
      </c>
      <c r="B1859" s="2"/>
      <c r="C1859" s="2"/>
      <c r="D1859" s="2"/>
      <c r="E1859" s="10"/>
      <c r="F1859" s="11"/>
      <c r="G1859" s="2"/>
      <c r="H1859" s="2"/>
      <c r="I1859" s="2"/>
      <c r="J1859" s="2"/>
      <c r="K1859" s="12"/>
      <c r="L1859" s="2"/>
      <c r="M1859" s="2"/>
      <c r="N1859" s="67"/>
    </row>
    <row r="1860" spans="1:14" x14ac:dyDescent="0.35">
      <c r="A1860" s="61">
        <v>1856</v>
      </c>
      <c r="B1860" s="2"/>
      <c r="C1860" s="2"/>
      <c r="D1860" s="2"/>
      <c r="E1860" s="10"/>
      <c r="F1860" s="11"/>
      <c r="G1860" s="2"/>
      <c r="H1860" s="2"/>
      <c r="I1860" s="2"/>
      <c r="J1860" s="2"/>
      <c r="K1860" s="12"/>
      <c r="L1860" s="2"/>
      <c r="M1860" s="2"/>
      <c r="N1860" s="67"/>
    </row>
    <row r="1861" spans="1:14" x14ac:dyDescent="0.35">
      <c r="A1861" s="61">
        <v>1857</v>
      </c>
      <c r="B1861" s="2"/>
      <c r="C1861" s="2"/>
      <c r="D1861" s="2"/>
      <c r="E1861" s="10"/>
      <c r="F1861" s="11"/>
      <c r="G1861" s="2"/>
      <c r="H1861" s="2"/>
      <c r="I1861" s="2"/>
      <c r="J1861" s="2"/>
      <c r="K1861" s="12"/>
      <c r="L1861" s="2"/>
      <c r="M1861" s="2"/>
      <c r="N1861" s="67"/>
    </row>
    <row r="1862" spans="1:14" x14ac:dyDescent="0.35">
      <c r="A1862" s="61">
        <v>1858</v>
      </c>
      <c r="B1862" s="2"/>
      <c r="C1862" s="2"/>
      <c r="D1862" s="2"/>
      <c r="E1862" s="10"/>
      <c r="F1862" s="11"/>
      <c r="G1862" s="2"/>
      <c r="H1862" s="2"/>
      <c r="I1862" s="2"/>
      <c r="J1862" s="2"/>
      <c r="K1862" s="12"/>
      <c r="L1862" s="2"/>
      <c r="M1862" s="2"/>
      <c r="N1862" s="67"/>
    </row>
    <row r="1863" spans="1:14" x14ac:dyDescent="0.35">
      <c r="A1863" s="61">
        <v>1859</v>
      </c>
      <c r="B1863" s="2"/>
      <c r="C1863" s="2"/>
      <c r="D1863" s="2"/>
      <c r="E1863" s="10"/>
      <c r="F1863" s="11"/>
      <c r="G1863" s="2"/>
      <c r="H1863" s="2"/>
      <c r="I1863" s="2"/>
      <c r="J1863" s="2"/>
      <c r="K1863" s="12"/>
      <c r="L1863" s="2"/>
      <c r="M1863" s="2"/>
      <c r="N1863" s="67"/>
    </row>
    <row r="1864" spans="1:14" x14ac:dyDescent="0.35">
      <c r="A1864" s="61">
        <v>1860</v>
      </c>
      <c r="B1864" s="2"/>
      <c r="C1864" s="2"/>
      <c r="D1864" s="2"/>
      <c r="E1864" s="10"/>
      <c r="F1864" s="11"/>
      <c r="G1864" s="2"/>
      <c r="H1864" s="2"/>
      <c r="I1864" s="2"/>
      <c r="J1864" s="2"/>
      <c r="K1864" s="12"/>
      <c r="L1864" s="2"/>
      <c r="M1864" s="2"/>
      <c r="N1864" s="67"/>
    </row>
    <row r="1865" spans="1:14" x14ac:dyDescent="0.35">
      <c r="A1865" s="61">
        <v>1861</v>
      </c>
      <c r="B1865" s="2"/>
      <c r="C1865" s="2"/>
      <c r="D1865" s="2"/>
      <c r="E1865" s="10"/>
      <c r="F1865" s="11"/>
      <c r="G1865" s="2"/>
      <c r="H1865" s="2"/>
      <c r="I1865" s="2"/>
      <c r="J1865" s="2"/>
      <c r="K1865" s="12"/>
      <c r="L1865" s="2"/>
      <c r="M1865" s="2"/>
      <c r="N1865" s="67"/>
    </row>
    <row r="1866" spans="1:14" x14ac:dyDescent="0.35">
      <c r="A1866" s="61">
        <v>1862</v>
      </c>
      <c r="B1866" s="2"/>
      <c r="C1866" s="2"/>
      <c r="D1866" s="2"/>
      <c r="E1866" s="10"/>
      <c r="F1866" s="11"/>
      <c r="G1866" s="2"/>
      <c r="H1866" s="2"/>
      <c r="I1866" s="2"/>
      <c r="J1866" s="2"/>
      <c r="K1866" s="12"/>
      <c r="L1866" s="2"/>
      <c r="M1866" s="2"/>
      <c r="N1866" s="67"/>
    </row>
    <row r="1867" spans="1:14" x14ac:dyDescent="0.35">
      <c r="A1867" s="61">
        <v>1863</v>
      </c>
      <c r="B1867" s="2"/>
      <c r="C1867" s="2"/>
      <c r="D1867" s="2"/>
      <c r="E1867" s="10"/>
      <c r="F1867" s="11"/>
      <c r="G1867" s="2"/>
      <c r="H1867" s="2"/>
      <c r="I1867" s="2"/>
      <c r="J1867" s="2"/>
      <c r="K1867" s="12"/>
      <c r="L1867" s="2"/>
      <c r="M1867" s="2"/>
      <c r="N1867" s="67"/>
    </row>
    <row r="1868" spans="1:14" x14ac:dyDescent="0.35">
      <c r="A1868" s="61">
        <v>1864</v>
      </c>
      <c r="B1868" s="2"/>
      <c r="C1868" s="2"/>
      <c r="D1868" s="2"/>
      <c r="E1868" s="10"/>
      <c r="F1868" s="11"/>
      <c r="G1868" s="2"/>
      <c r="H1868" s="2"/>
      <c r="I1868" s="2"/>
      <c r="J1868" s="2"/>
      <c r="K1868" s="12"/>
      <c r="L1868" s="2"/>
      <c r="M1868" s="2"/>
      <c r="N1868" s="67"/>
    </row>
    <row r="1869" spans="1:14" x14ac:dyDescent="0.35">
      <c r="A1869" s="61">
        <v>1865</v>
      </c>
      <c r="B1869" s="2"/>
      <c r="C1869" s="2"/>
      <c r="D1869" s="2"/>
      <c r="E1869" s="10"/>
      <c r="F1869" s="11"/>
      <c r="G1869" s="2"/>
      <c r="H1869" s="2"/>
      <c r="I1869" s="2"/>
      <c r="J1869" s="2"/>
      <c r="K1869" s="12"/>
      <c r="L1869" s="2"/>
      <c r="M1869" s="2"/>
      <c r="N1869" s="67"/>
    </row>
    <row r="1870" spans="1:14" x14ac:dyDescent="0.35">
      <c r="A1870" s="61">
        <v>1866</v>
      </c>
      <c r="B1870" s="2"/>
      <c r="C1870" s="2"/>
      <c r="D1870" s="2"/>
      <c r="E1870" s="10"/>
      <c r="F1870" s="11"/>
      <c r="G1870" s="2"/>
      <c r="H1870" s="2"/>
      <c r="I1870" s="2"/>
      <c r="J1870" s="2"/>
      <c r="K1870" s="12"/>
      <c r="L1870" s="2"/>
      <c r="M1870" s="2"/>
      <c r="N1870" s="67"/>
    </row>
    <row r="1871" spans="1:14" x14ac:dyDescent="0.35">
      <c r="A1871" s="61">
        <v>1867</v>
      </c>
      <c r="B1871" s="2"/>
      <c r="C1871" s="2"/>
      <c r="D1871" s="2"/>
      <c r="E1871" s="10"/>
      <c r="F1871" s="11"/>
      <c r="G1871" s="2"/>
      <c r="H1871" s="2"/>
      <c r="I1871" s="2"/>
      <c r="J1871" s="2"/>
      <c r="K1871" s="12"/>
      <c r="L1871" s="2"/>
      <c r="M1871" s="2"/>
      <c r="N1871" s="67"/>
    </row>
    <row r="1872" spans="1:14" x14ac:dyDescent="0.35">
      <c r="A1872" s="61">
        <v>1868</v>
      </c>
      <c r="B1872" s="2"/>
      <c r="C1872" s="2"/>
      <c r="D1872" s="2"/>
      <c r="E1872" s="10"/>
      <c r="F1872" s="11"/>
      <c r="G1872" s="2"/>
      <c r="H1872" s="2"/>
      <c r="I1872" s="2"/>
      <c r="J1872" s="2"/>
      <c r="K1872" s="12"/>
      <c r="L1872" s="2"/>
      <c r="M1872" s="2"/>
      <c r="N1872" s="67"/>
    </row>
    <row r="1873" spans="1:14" x14ac:dyDescent="0.35">
      <c r="A1873" s="61">
        <v>1869</v>
      </c>
      <c r="B1873" s="2"/>
      <c r="C1873" s="2"/>
      <c r="D1873" s="2"/>
      <c r="E1873" s="10"/>
      <c r="F1873" s="11"/>
      <c r="G1873" s="2"/>
      <c r="H1873" s="2"/>
      <c r="I1873" s="2"/>
      <c r="J1873" s="2"/>
      <c r="K1873" s="12"/>
      <c r="L1873" s="2"/>
      <c r="M1873" s="2"/>
      <c r="N1873" s="67"/>
    </row>
    <row r="1874" spans="1:14" x14ac:dyDescent="0.35">
      <c r="A1874" s="61">
        <v>1870</v>
      </c>
      <c r="B1874" s="2"/>
      <c r="C1874" s="2"/>
      <c r="D1874" s="2"/>
      <c r="E1874" s="10"/>
      <c r="F1874" s="11"/>
      <c r="G1874" s="2"/>
      <c r="H1874" s="2"/>
      <c r="I1874" s="2"/>
      <c r="J1874" s="2"/>
      <c r="K1874" s="12"/>
      <c r="L1874" s="2"/>
      <c r="M1874" s="2"/>
      <c r="N1874" s="67"/>
    </row>
    <row r="1875" spans="1:14" x14ac:dyDescent="0.35">
      <c r="A1875" s="61">
        <v>1871</v>
      </c>
      <c r="B1875" s="2"/>
      <c r="C1875" s="2"/>
      <c r="D1875" s="2"/>
      <c r="E1875" s="10"/>
      <c r="F1875" s="11"/>
      <c r="G1875" s="2"/>
      <c r="H1875" s="2"/>
      <c r="I1875" s="2"/>
      <c r="J1875" s="2"/>
      <c r="K1875" s="12"/>
      <c r="L1875" s="2"/>
      <c r="M1875" s="2"/>
      <c r="N1875" s="67"/>
    </row>
    <row r="1876" spans="1:14" x14ac:dyDescent="0.35">
      <c r="A1876" s="61">
        <v>1872</v>
      </c>
      <c r="B1876" s="2"/>
      <c r="C1876" s="2"/>
      <c r="D1876" s="2"/>
      <c r="E1876" s="10"/>
      <c r="F1876" s="11"/>
      <c r="G1876" s="2"/>
      <c r="H1876" s="2"/>
      <c r="I1876" s="2"/>
      <c r="J1876" s="2"/>
      <c r="K1876" s="12"/>
      <c r="L1876" s="2"/>
      <c r="M1876" s="2"/>
      <c r="N1876" s="67"/>
    </row>
    <row r="1877" spans="1:14" x14ac:dyDescent="0.35">
      <c r="A1877" s="61">
        <v>1873</v>
      </c>
      <c r="B1877" s="2"/>
      <c r="C1877" s="2"/>
      <c r="D1877" s="2"/>
      <c r="E1877" s="10"/>
      <c r="F1877" s="11"/>
      <c r="G1877" s="2"/>
      <c r="H1877" s="2"/>
      <c r="I1877" s="2"/>
      <c r="J1877" s="2"/>
      <c r="K1877" s="12"/>
      <c r="L1877" s="2"/>
      <c r="M1877" s="2"/>
      <c r="N1877" s="67"/>
    </row>
    <row r="1878" spans="1:14" x14ac:dyDescent="0.35">
      <c r="A1878" s="61">
        <v>1874</v>
      </c>
      <c r="B1878" s="2"/>
      <c r="C1878" s="2"/>
      <c r="D1878" s="2"/>
      <c r="E1878" s="10"/>
      <c r="F1878" s="11"/>
      <c r="G1878" s="2"/>
      <c r="H1878" s="2"/>
      <c r="I1878" s="2"/>
      <c r="J1878" s="2"/>
      <c r="K1878" s="12"/>
      <c r="L1878" s="2"/>
      <c r="M1878" s="2"/>
      <c r="N1878" s="67"/>
    </row>
    <row r="1879" spans="1:14" x14ac:dyDescent="0.35">
      <c r="A1879" s="61">
        <v>1875</v>
      </c>
      <c r="B1879" s="2"/>
      <c r="C1879" s="2"/>
      <c r="D1879" s="2"/>
      <c r="E1879" s="10"/>
      <c r="F1879" s="11"/>
      <c r="G1879" s="2"/>
      <c r="H1879" s="2"/>
      <c r="I1879" s="2"/>
      <c r="J1879" s="2"/>
      <c r="K1879" s="12"/>
      <c r="L1879" s="2"/>
      <c r="M1879" s="2"/>
      <c r="N1879" s="67"/>
    </row>
    <row r="1880" spans="1:14" x14ac:dyDescent="0.35">
      <c r="A1880" s="61">
        <v>1876</v>
      </c>
      <c r="B1880" s="2"/>
      <c r="C1880" s="2"/>
      <c r="D1880" s="2"/>
      <c r="E1880" s="10"/>
      <c r="F1880" s="11"/>
      <c r="G1880" s="2"/>
      <c r="H1880" s="2"/>
      <c r="I1880" s="2"/>
      <c r="J1880" s="2"/>
      <c r="K1880" s="12"/>
      <c r="L1880" s="2"/>
      <c r="M1880" s="2"/>
      <c r="N1880" s="67"/>
    </row>
    <row r="1881" spans="1:14" x14ac:dyDescent="0.35">
      <c r="A1881" s="61">
        <v>1877</v>
      </c>
      <c r="B1881" s="2"/>
      <c r="C1881" s="2"/>
      <c r="D1881" s="2"/>
      <c r="E1881" s="10"/>
      <c r="F1881" s="11"/>
      <c r="G1881" s="2"/>
      <c r="H1881" s="2"/>
      <c r="I1881" s="2"/>
      <c r="J1881" s="2"/>
      <c r="K1881" s="12"/>
      <c r="L1881" s="2"/>
      <c r="M1881" s="2"/>
      <c r="N1881" s="67"/>
    </row>
    <row r="1882" spans="1:14" x14ac:dyDescent="0.35">
      <c r="A1882" s="61">
        <v>1878</v>
      </c>
      <c r="B1882" s="2"/>
      <c r="C1882" s="2"/>
      <c r="D1882" s="2"/>
      <c r="E1882" s="10"/>
      <c r="F1882" s="11"/>
      <c r="G1882" s="2"/>
      <c r="H1882" s="2"/>
      <c r="I1882" s="2"/>
      <c r="J1882" s="2"/>
      <c r="K1882" s="12"/>
      <c r="L1882" s="2"/>
      <c r="M1882" s="2"/>
      <c r="N1882" s="67"/>
    </row>
    <row r="1883" spans="1:14" x14ac:dyDescent="0.35">
      <c r="A1883" s="61">
        <v>1879</v>
      </c>
      <c r="B1883" s="2"/>
      <c r="C1883" s="2"/>
      <c r="D1883" s="2"/>
      <c r="E1883" s="10"/>
      <c r="F1883" s="11"/>
      <c r="G1883" s="2"/>
      <c r="H1883" s="2"/>
      <c r="I1883" s="2"/>
      <c r="J1883" s="2"/>
      <c r="K1883" s="12"/>
      <c r="L1883" s="2"/>
      <c r="M1883" s="2"/>
      <c r="N1883" s="67"/>
    </row>
    <row r="1884" spans="1:14" x14ac:dyDescent="0.35">
      <c r="A1884" s="61">
        <v>1880</v>
      </c>
      <c r="B1884" s="2"/>
      <c r="C1884" s="2"/>
      <c r="D1884" s="2"/>
      <c r="E1884" s="10"/>
      <c r="F1884" s="11"/>
      <c r="G1884" s="2"/>
      <c r="H1884" s="2"/>
      <c r="I1884" s="2"/>
      <c r="J1884" s="2"/>
      <c r="K1884" s="12"/>
      <c r="L1884" s="2"/>
      <c r="M1884" s="2"/>
      <c r="N1884" s="67"/>
    </row>
    <row r="1885" spans="1:14" x14ac:dyDescent="0.35">
      <c r="A1885" s="61">
        <v>1881</v>
      </c>
      <c r="B1885" s="2"/>
      <c r="C1885" s="2"/>
      <c r="D1885" s="2"/>
      <c r="E1885" s="10"/>
      <c r="F1885" s="11"/>
      <c r="G1885" s="2"/>
      <c r="H1885" s="2"/>
      <c r="I1885" s="2"/>
      <c r="J1885" s="2"/>
      <c r="K1885" s="12"/>
      <c r="L1885" s="2"/>
      <c r="M1885" s="2"/>
      <c r="N1885" s="67"/>
    </row>
    <row r="1886" spans="1:14" x14ac:dyDescent="0.35">
      <c r="A1886" s="61">
        <v>1882</v>
      </c>
      <c r="B1886" s="2"/>
      <c r="C1886" s="2"/>
      <c r="D1886" s="2"/>
      <c r="E1886" s="10"/>
      <c r="F1886" s="11"/>
      <c r="G1886" s="2"/>
      <c r="H1886" s="2"/>
      <c r="I1886" s="2"/>
      <c r="J1886" s="2"/>
      <c r="K1886" s="12"/>
      <c r="L1886" s="2"/>
      <c r="M1886" s="2"/>
      <c r="N1886" s="67"/>
    </row>
    <row r="1887" spans="1:14" x14ac:dyDescent="0.35">
      <c r="A1887" s="61">
        <v>1883</v>
      </c>
      <c r="B1887" s="2"/>
      <c r="C1887" s="2"/>
      <c r="D1887" s="2"/>
      <c r="E1887" s="10"/>
      <c r="F1887" s="11"/>
      <c r="G1887" s="2"/>
      <c r="H1887" s="2"/>
      <c r="I1887" s="2"/>
      <c r="J1887" s="2"/>
      <c r="K1887" s="12"/>
      <c r="L1887" s="2"/>
      <c r="M1887" s="2"/>
      <c r="N1887" s="67"/>
    </row>
    <row r="1888" spans="1:14" x14ac:dyDescent="0.35">
      <c r="A1888" s="61">
        <v>1884</v>
      </c>
      <c r="B1888" s="2"/>
      <c r="C1888" s="2"/>
      <c r="D1888" s="2"/>
      <c r="E1888" s="10"/>
      <c r="F1888" s="11"/>
      <c r="G1888" s="2"/>
      <c r="H1888" s="2"/>
      <c r="I1888" s="2"/>
      <c r="J1888" s="2"/>
      <c r="K1888" s="12"/>
      <c r="L1888" s="2"/>
      <c r="M1888" s="2"/>
      <c r="N1888" s="67"/>
    </row>
    <row r="1889" spans="1:14" x14ac:dyDescent="0.35">
      <c r="A1889" s="61">
        <v>1885</v>
      </c>
      <c r="B1889" s="2"/>
      <c r="C1889" s="2"/>
      <c r="D1889" s="2"/>
      <c r="E1889" s="10"/>
      <c r="F1889" s="11"/>
      <c r="G1889" s="2"/>
      <c r="H1889" s="2"/>
      <c r="I1889" s="2"/>
      <c r="J1889" s="2"/>
      <c r="K1889" s="12"/>
      <c r="L1889" s="2"/>
      <c r="M1889" s="2"/>
      <c r="N1889" s="67"/>
    </row>
    <row r="1890" spans="1:14" x14ac:dyDescent="0.35">
      <c r="A1890" s="61">
        <v>1886</v>
      </c>
      <c r="B1890" s="2"/>
      <c r="C1890" s="2"/>
      <c r="D1890" s="2"/>
      <c r="E1890" s="10"/>
      <c r="F1890" s="11"/>
      <c r="G1890" s="2"/>
      <c r="H1890" s="2"/>
      <c r="I1890" s="2"/>
      <c r="J1890" s="2"/>
      <c r="K1890" s="12"/>
      <c r="L1890" s="2"/>
      <c r="M1890" s="2"/>
      <c r="N1890" s="67"/>
    </row>
    <row r="1891" spans="1:14" x14ac:dyDescent="0.35">
      <c r="A1891" s="61">
        <v>1887</v>
      </c>
      <c r="B1891" s="2"/>
      <c r="C1891" s="2"/>
      <c r="D1891" s="2"/>
      <c r="E1891" s="10"/>
      <c r="F1891" s="11"/>
      <c r="G1891" s="2"/>
      <c r="H1891" s="2"/>
      <c r="I1891" s="2"/>
      <c r="J1891" s="2"/>
      <c r="K1891" s="12"/>
      <c r="L1891" s="2"/>
      <c r="M1891" s="2"/>
      <c r="N1891" s="67"/>
    </row>
    <row r="1892" spans="1:14" x14ac:dyDescent="0.35">
      <c r="A1892" s="61">
        <v>1888</v>
      </c>
      <c r="B1892" s="2"/>
      <c r="C1892" s="2"/>
      <c r="D1892" s="2"/>
      <c r="E1892" s="10"/>
      <c r="F1892" s="11"/>
      <c r="G1892" s="2"/>
      <c r="H1892" s="2"/>
      <c r="I1892" s="2"/>
      <c r="J1892" s="2"/>
      <c r="K1892" s="12"/>
      <c r="L1892" s="2"/>
      <c r="M1892" s="2"/>
      <c r="N1892" s="67"/>
    </row>
    <row r="1893" spans="1:14" x14ac:dyDescent="0.35">
      <c r="A1893" s="61">
        <v>1889</v>
      </c>
      <c r="B1893" s="2"/>
      <c r="C1893" s="2"/>
      <c r="D1893" s="2"/>
      <c r="E1893" s="10"/>
      <c r="F1893" s="11"/>
      <c r="G1893" s="2"/>
      <c r="H1893" s="2"/>
      <c r="I1893" s="2"/>
      <c r="J1893" s="2"/>
      <c r="K1893" s="12"/>
      <c r="L1893" s="2"/>
      <c r="M1893" s="2"/>
      <c r="N1893" s="67"/>
    </row>
    <row r="1894" spans="1:14" x14ac:dyDescent="0.35">
      <c r="A1894" s="61">
        <v>1890</v>
      </c>
      <c r="B1894" s="2"/>
      <c r="C1894" s="2"/>
      <c r="D1894" s="2"/>
      <c r="E1894" s="10"/>
      <c r="F1894" s="11"/>
      <c r="G1894" s="2"/>
      <c r="H1894" s="2"/>
      <c r="I1894" s="2"/>
      <c r="J1894" s="2"/>
      <c r="K1894" s="12"/>
      <c r="L1894" s="2"/>
      <c r="M1894" s="2"/>
      <c r="N1894" s="67"/>
    </row>
    <row r="1895" spans="1:14" x14ac:dyDescent="0.35">
      <c r="A1895" s="61">
        <v>1891</v>
      </c>
      <c r="B1895" s="2"/>
      <c r="C1895" s="2"/>
      <c r="D1895" s="2"/>
      <c r="E1895" s="10"/>
      <c r="F1895" s="11"/>
      <c r="G1895" s="2"/>
      <c r="H1895" s="2"/>
      <c r="I1895" s="2"/>
      <c r="J1895" s="2"/>
      <c r="K1895" s="12"/>
      <c r="L1895" s="2"/>
      <c r="M1895" s="2"/>
      <c r="N1895" s="67"/>
    </row>
    <row r="1896" spans="1:14" x14ac:dyDescent="0.35">
      <c r="A1896" s="61">
        <v>1892</v>
      </c>
      <c r="B1896" s="2"/>
      <c r="C1896" s="2"/>
      <c r="D1896" s="2"/>
      <c r="E1896" s="10"/>
      <c r="F1896" s="11"/>
      <c r="G1896" s="2"/>
      <c r="H1896" s="2"/>
      <c r="I1896" s="2"/>
      <c r="J1896" s="2"/>
      <c r="K1896" s="12"/>
      <c r="L1896" s="2"/>
      <c r="M1896" s="2"/>
      <c r="N1896" s="67"/>
    </row>
    <row r="1897" spans="1:14" x14ac:dyDescent="0.35">
      <c r="A1897" s="61">
        <v>1893</v>
      </c>
      <c r="B1897" s="2"/>
      <c r="C1897" s="2"/>
      <c r="D1897" s="2"/>
      <c r="E1897" s="10"/>
      <c r="F1897" s="11"/>
      <c r="G1897" s="2"/>
      <c r="H1897" s="2"/>
      <c r="I1897" s="2"/>
      <c r="J1897" s="2"/>
      <c r="K1897" s="12"/>
      <c r="L1897" s="2"/>
      <c r="M1897" s="2"/>
      <c r="N1897" s="67"/>
    </row>
    <row r="1898" spans="1:14" x14ac:dyDescent="0.35">
      <c r="A1898" s="61">
        <v>1894</v>
      </c>
      <c r="B1898" s="2"/>
      <c r="C1898" s="2"/>
      <c r="D1898" s="2"/>
      <c r="E1898" s="10"/>
      <c r="F1898" s="11"/>
      <c r="G1898" s="2"/>
      <c r="H1898" s="2"/>
      <c r="I1898" s="2"/>
      <c r="J1898" s="2"/>
      <c r="K1898" s="12"/>
      <c r="L1898" s="2"/>
      <c r="M1898" s="2"/>
      <c r="N1898" s="67"/>
    </row>
    <row r="1899" spans="1:14" x14ac:dyDescent="0.35">
      <c r="A1899" s="61">
        <v>1895</v>
      </c>
      <c r="B1899" s="2"/>
      <c r="C1899" s="2"/>
      <c r="D1899" s="2"/>
      <c r="E1899" s="10"/>
      <c r="F1899" s="11"/>
      <c r="G1899" s="2"/>
      <c r="H1899" s="2"/>
      <c r="I1899" s="2"/>
      <c r="J1899" s="2"/>
      <c r="K1899" s="12"/>
      <c r="L1899" s="2"/>
      <c r="M1899" s="2"/>
      <c r="N1899" s="67"/>
    </row>
    <row r="1900" spans="1:14" x14ac:dyDescent="0.35">
      <c r="A1900" s="61">
        <v>1896</v>
      </c>
      <c r="B1900" s="2"/>
      <c r="C1900" s="2"/>
      <c r="D1900" s="2"/>
      <c r="E1900" s="10"/>
      <c r="F1900" s="11"/>
      <c r="G1900" s="2"/>
      <c r="H1900" s="2"/>
      <c r="I1900" s="2"/>
      <c r="J1900" s="2"/>
      <c r="K1900" s="12"/>
      <c r="L1900" s="2"/>
      <c r="M1900" s="2"/>
      <c r="N1900" s="67"/>
    </row>
    <row r="1901" spans="1:14" x14ac:dyDescent="0.35">
      <c r="A1901" s="61">
        <v>1897</v>
      </c>
      <c r="B1901" s="2"/>
      <c r="C1901" s="2"/>
      <c r="D1901" s="2"/>
      <c r="E1901" s="10"/>
      <c r="F1901" s="11"/>
      <c r="G1901" s="2"/>
      <c r="H1901" s="2"/>
      <c r="I1901" s="2"/>
      <c r="J1901" s="2"/>
      <c r="K1901" s="12"/>
      <c r="L1901" s="2"/>
      <c r="M1901" s="2"/>
      <c r="N1901" s="67"/>
    </row>
    <row r="1902" spans="1:14" x14ac:dyDescent="0.35">
      <c r="A1902" s="61">
        <v>1898</v>
      </c>
      <c r="B1902" s="2"/>
      <c r="C1902" s="2"/>
      <c r="D1902" s="2"/>
      <c r="E1902" s="10"/>
      <c r="F1902" s="11"/>
      <c r="G1902" s="2"/>
      <c r="H1902" s="2"/>
      <c r="I1902" s="2"/>
      <c r="J1902" s="2"/>
      <c r="K1902" s="12"/>
      <c r="L1902" s="2"/>
      <c r="M1902" s="2"/>
      <c r="N1902" s="67"/>
    </row>
    <row r="1903" spans="1:14" x14ac:dyDescent="0.35">
      <c r="A1903" s="61">
        <v>1899</v>
      </c>
      <c r="B1903" s="2"/>
      <c r="C1903" s="2"/>
      <c r="D1903" s="2"/>
      <c r="E1903" s="10"/>
      <c r="F1903" s="11"/>
      <c r="G1903" s="2"/>
      <c r="H1903" s="2"/>
      <c r="I1903" s="2"/>
      <c r="J1903" s="2"/>
      <c r="K1903" s="12"/>
      <c r="L1903" s="2"/>
      <c r="M1903" s="2"/>
      <c r="N1903" s="67"/>
    </row>
    <row r="1904" spans="1:14" x14ac:dyDescent="0.35">
      <c r="A1904" s="61">
        <v>1900</v>
      </c>
      <c r="B1904" s="2"/>
      <c r="C1904" s="2"/>
      <c r="D1904" s="2"/>
      <c r="E1904" s="10"/>
      <c r="F1904" s="11"/>
      <c r="G1904" s="2"/>
      <c r="H1904" s="2"/>
      <c r="I1904" s="2"/>
      <c r="J1904" s="2"/>
      <c r="K1904" s="12"/>
      <c r="L1904" s="2"/>
      <c r="M1904" s="2"/>
      <c r="N1904" s="67"/>
    </row>
    <row r="1905" spans="1:14" x14ac:dyDescent="0.35">
      <c r="A1905" s="61">
        <v>1901</v>
      </c>
      <c r="B1905" s="2"/>
      <c r="C1905" s="2"/>
      <c r="D1905" s="2"/>
      <c r="E1905" s="10"/>
      <c r="F1905" s="11"/>
      <c r="G1905" s="2"/>
      <c r="H1905" s="2"/>
      <c r="I1905" s="2"/>
      <c r="J1905" s="2"/>
      <c r="K1905" s="12"/>
      <c r="L1905" s="2"/>
      <c r="M1905" s="2"/>
      <c r="N1905" s="67"/>
    </row>
    <row r="1906" spans="1:14" x14ac:dyDescent="0.35">
      <c r="A1906" s="61">
        <v>1902</v>
      </c>
      <c r="B1906" s="2"/>
      <c r="C1906" s="2"/>
      <c r="D1906" s="2"/>
      <c r="E1906" s="10"/>
      <c r="F1906" s="11"/>
      <c r="G1906" s="2"/>
      <c r="H1906" s="2"/>
      <c r="I1906" s="2"/>
      <c r="J1906" s="2"/>
      <c r="K1906" s="12"/>
      <c r="L1906" s="2"/>
      <c r="M1906" s="2"/>
      <c r="N1906" s="67"/>
    </row>
    <row r="1907" spans="1:14" x14ac:dyDescent="0.35">
      <c r="A1907" s="61">
        <v>1903</v>
      </c>
      <c r="B1907" s="2"/>
      <c r="C1907" s="2"/>
      <c r="D1907" s="2"/>
      <c r="E1907" s="10"/>
      <c r="F1907" s="11"/>
      <c r="G1907" s="2"/>
      <c r="H1907" s="2"/>
      <c r="I1907" s="2"/>
      <c r="J1907" s="2"/>
      <c r="K1907" s="12"/>
      <c r="L1907" s="2"/>
      <c r="M1907" s="2"/>
      <c r="N1907" s="67"/>
    </row>
    <row r="1908" spans="1:14" x14ac:dyDescent="0.35">
      <c r="A1908" s="61">
        <v>1904</v>
      </c>
      <c r="B1908" s="2"/>
      <c r="C1908" s="2"/>
      <c r="D1908" s="2"/>
      <c r="E1908" s="10"/>
      <c r="F1908" s="11"/>
      <c r="G1908" s="2"/>
      <c r="H1908" s="2"/>
      <c r="I1908" s="2"/>
      <c r="J1908" s="2"/>
      <c r="K1908" s="12"/>
      <c r="L1908" s="2"/>
      <c r="M1908" s="2"/>
      <c r="N1908" s="67"/>
    </row>
    <row r="1909" spans="1:14" x14ac:dyDescent="0.35">
      <c r="A1909" s="61">
        <v>1905</v>
      </c>
      <c r="B1909" s="2"/>
      <c r="C1909" s="2"/>
      <c r="D1909" s="2"/>
      <c r="E1909" s="10"/>
      <c r="F1909" s="11"/>
      <c r="G1909" s="2"/>
      <c r="H1909" s="2"/>
      <c r="I1909" s="2"/>
      <c r="J1909" s="2"/>
      <c r="K1909" s="12"/>
      <c r="L1909" s="2"/>
      <c r="M1909" s="2"/>
      <c r="N1909" s="67"/>
    </row>
    <row r="1910" spans="1:14" x14ac:dyDescent="0.35">
      <c r="A1910" s="61">
        <v>1906</v>
      </c>
      <c r="B1910" s="2"/>
      <c r="C1910" s="2"/>
      <c r="D1910" s="2"/>
      <c r="E1910" s="10"/>
      <c r="F1910" s="11"/>
      <c r="G1910" s="2"/>
      <c r="H1910" s="2"/>
      <c r="I1910" s="2"/>
      <c r="J1910" s="2"/>
      <c r="K1910" s="12"/>
      <c r="L1910" s="2"/>
      <c r="M1910" s="2"/>
      <c r="N1910" s="67"/>
    </row>
    <row r="1911" spans="1:14" x14ac:dyDescent="0.35">
      <c r="A1911" s="61">
        <v>1907</v>
      </c>
      <c r="B1911" s="2"/>
      <c r="C1911" s="2"/>
      <c r="D1911" s="2"/>
      <c r="E1911" s="10"/>
      <c r="F1911" s="11"/>
      <c r="G1911" s="2"/>
      <c r="H1911" s="2"/>
      <c r="I1911" s="2"/>
      <c r="J1911" s="2"/>
      <c r="K1911" s="12"/>
      <c r="L1911" s="2"/>
      <c r="M1911" s="2"/>
      <c r="N1911" s="67"/>
    </row>
    <row r="1912" spans="1:14" x14ac:dyDescent="0.35">
      <c r="A1912" s="61">
        <v>1908</v>
      </c>
      <c r="B1912" s="2"/>
      <c r="C1912" s="2"/>
      <c r="D1912" s="2"/>
      <c r="E1912" s="10"/>
      <c r="F1912" s="11"/>
      <c r="G1912" s="2"/>
      <c r="H1912" s="2"/>
      <c r="I1912" s="2"/>
      <c r="J1912" s="2"/>
      <c r="K1912" s="12"/>
      <c r="L1912" s="2"/>
      <c r="M1912" s="2"/>
      <c r="N1912" s="67"/>
    </row>
    <row r="1913" spans="1:14" x14ac:dyDescent="0.35">
      <c r="A1913" s="61">
        <v>1909</v>
      </c>
      <c r="B1913" s="2"/>
      <c r="C1913" s="2"/>
      <c r="D1913" s="2"/>
      <c r="E1913" s="10"/>
      <c r="F1913" s="11"/>
      <c r="G1913" s="2"/>
      <c r="H1913" s="2"/>
      <c r="I1913" s="2"/>
      <c r="J1913" s="2"/>
      <c r="K1913" s="12"/>
      <c r="L1913" s="2"/>
      <c r="M1913" s="2"/>
      <c r="N1913" s="67"/>
    </row>
    <row r="1914" spans="1:14" x14ac:dyDescent="0.35">
      <c r="A1914" s="61">
        <v>1910</v>
      </c>
      <c r="B1914" s="2"/>
      <c r="C1914" s="2"/>
      <c r="D1914" s="2"/>
      <c r="E1914" s="10"/>
      <c r="F1914" s="11"/>
      <c r="G1914" s="2"/>
      <c r="H1914" s="2"/>
      <c r="I1914" s="2"/>
      <c r="J1914" s="2"/>
      <c r="K1914" s="12"/>
      <c r="L1914" s="2"/>
      <c r="M1914" s="2"/>
      <c r="N1914" s="67"/>
    </row>
    <row r="1915" spans="1:14" x14ac:dyDescent="0.35">
      <c r="A1915" s="61">
        <v>1911</v>
      </c>
      <c r="B1915" s="2"/>
      <c r="C1915" s="2"/>
      <c r="D1915" s="2"/>
      <c r="E1915" s="10"/>
      <c r="F1915" s="11"/>
      <c r="G1915" s="2"/>
      <c r="H1915" s="2"/>
      <c r="I1915" s="2"/>
      <c r="J1915" s="2"/>
      <c r="K1915" s="12"/>
      <c r="L1915" s="2"/>
      <c r="M1915" s="2"/>
      <c r="N1915" s="67"/>
    </row>
    <row r="1916" spans="1:14" x14ac:dyDescent="0.35">
      <c r="A1916" s="61">
        <v>1912</v>
      </c>
      <c r="B1916" s="2"/>
      <c r="C1916" s="2"/>
      <c r="D1916" s="2"/>
      <c r="E1916" s="10"/>
      <c r="F1916" s="11"/>
      <c r="G1916" s="2"/>
      <c r="H1916" s="2"/>
      <c r="I1916" s="2"/>
      <c r="J1916" s="2"/>
      <c r="K1916" s="12"/>
      <c r="L1916" s="2"/>
      <c r="M1916" s="2"/>
      <c r="N1916" s="67"/>
    </row>
    <row r="1917" spans="1:14" x14ac:dyDescent="0.35">
      <c r="A1917" s="61">
        <v>1913</v>
      </c>
      <c r="B1917" s="2"/>
      <c r="C1917" s="2"/>
      <c r="D1917" s="2"/>
      <c r="E1917" s="10"/>
      <c r="F1917" s="11"/>
      <c r="G1917" s="2"/>
      <c r="H1917" s="2"/>
      <c r="I1917" s="2"/>
      <c r="J1917" s="2"/>
      <c r="K1917" s="12"/>
      <c r="L1917" s="2"/>
      <c r="M1917" s="2"/>
      <c r="N1917" s="67"/>
    </row>
    <row r="1918" spans="1:14" x14ac:dyDescent="0.35">
      <c r="A1918" s="61">
        <v>1914</v>
      </c>
      <c r="B1918" s="2"/>
      <c r="C1918" s="2"/>
      <c r="D1918" s="2"/>
      <c r="E1918" s="10"/>
      <c r="F1918" s="11"/>
      <c r="G1918" s="2"/>
      <c r="H1918" s="2"/>
      <c r="I1918" s="2"/>
      <c r="J1918" s="2"/>
      <c r="K1918" s="12"/>
      <c r="L1918" s="2"/>
      <c r="M1918" s="2"/>
      <c r="N1918" s="67"/>
    </row>
    <row r="1919" spans="1:14" x14ac:dyDescent="0.35">
      <c r="A1919" s="61">
        <v>1915</v>
      </c>
      <c r="B1919" s="2"/>
      <c r="C1919" s="2"/>
      <c r="D1919" s="2"/>
      <c r="E1919" s="10"/>
      <c r="F1919" s="11"/>
      <c r="G1919" s="2"/>
      <c r="H1919" s="2"/>
      <c r="I1919" s="2"/>
      <c r="J1919" s="2"/>
      <c r="K1919" s="12"/>
      <c r="L1919" s="2"/>
      <c r="M1919" s="2"/>
      <c r="N1919" s="67"/>
    </row>
    <row r="1920" spans="1:14" x14ac:dyDescent="0.35">
      <c r="A1920" s="61">
        <v>1916</v>
      </c>
      <c r="B1920" s="2"/>
      <c r="C1920" s="2"/>
      <c r="D1920" s="2"/>
      <c r="E1920" s="10"/>
      <c r="F1920" s="11"/>
      <c r="G1920" s="2"/>
      <c r="H1920" s="2"/>
      <c r="I1920" s="2"/>
      <c r="J1920" s="2"/>
      <c r="K1920" s="12"/>
      <c r="L1920" s="2"/>
      <c r="M1920" s="2"/>
      <c r="N1920" s="67"/>
    </row>
    <row r="1921" spans="1:14" x14ac:dyDescent="0.35">
      <c r="A1921" s="61">
        <v>1917</v>
      </c>
      <c r="B1921" s="2"/>
      <c r="C1921" s="2"/>
      <c r="D1921" s="2"/>
      <c r="E1921" s="10"/>
      <c r="F1921" s="11"/>
      <c r="G1921" s="2"/>
      <c r="H1921" s="2"/>
      <c r="I1921" s="2"/>
      <c r="J1921" s="2"/>
      <c r="K1921" s="12"/>
      <c r="L1921" s="2"/>
      <c r="M1921" s="2"/>
      <c r="N1921" s="67"/>
    </row>
    <row r="1922" spans="1:14" x14ac:dyDescent="0.35">
      <c r="A1922" s="61">
        <v>1918</v>
      </c>
      <c r="B1922" s="2"/>
      <c r="C1922" s="2"/>
      <c r="D1922" s="2"/>
      <c r="E1922" s="10"/>
      <c r="F1922" s="11"/>
      <c r="G1922" s="2"/>
      <c r="H1922" s="2"/>
      <c r="I1922" s="2"/>
      <c r="J1922" s="2"/>
      <c r="K1922" s="12"/>
      <c r="L1922" s="2"/>
      <c r="M1922" s="2"/>
      <c r="N1922" s="67"/>
    </row>
    <row r="1923" spans="1:14" x14ac:dyDescent="0.35">
      <c r="A1923" s="61">
        <v>1919</v>
      </c>
      <c r="B1923" s="2"/>
      <c r="C1923" s="2"/>
      <c r="D1923" s="2"/>
      <c r="E1923" s="10"/>
      <c r="F1923" s="11"/>
      <c r="G1923" s="2"/>
      <c r="H1923" s="2"/>
      <c r="I1923" s="2"/>
      <c r="J1923" s="2"/>
      <c r="K1923" s="12"/>
      <c r="L1923" s="2"/>
      <c r="M1923" s="2"/>
      <c r="N1923" s="67"/>
    </row>
    <row r="1924" spans="1:14" x14ac:dyDescent="0.35">
      <c r="A1924" s="61">
        <v>1920</v>
      </c>
      <c r="B1924" s="2"/>
      <c r="C1924" s="2"/>
      <c r="D1924" s="2"/>
      <c r="E1924" s="10"/>
      <c r="F1924" s="11"/>
      <c r="G1924" s="2"/>
      <c r="H1924" s="2"/>
      <c r="I1924" s="2"/>
      <c r="J1924" s="2"/>
      <c r="K1924" s="12"/>
      <c r="L1924" s="2"/>
      <c r="M1924" s="2"/>
      <c r="N1924" s="67"/>
    </row>
    <row r="1925" spans="1:14" x14ac:dyDescent="0.35">
      <c r="A1925" s="61">
        <v>1921</v>
      </c>
      <c r="B1925" s="2"/>
      <c r="C1925" s="2"/>
      <c r="D1925" s="2"/>
      <c r="E1925" s="10"/>
      <c r="F1925" s="11"/>
      <c r="G1925" s="2"/>
      <c r="H1925" s="2"/>
      <c r="I1925" s="2"/>
      <c r="J1925" s="2"/>
      <c r="K1925" s="12"/>
      <c r="L1925" s="2"/>
      <c r="M1925" s="2"/>
      <c r="N1925" s="67"/>
    </row>
    <row r="1926" spans="1:14" x14ac:dyDescent="0.35">
      <c r="A1926" s="61">
        <v>1922</v>
      </c>
      <c r="B1926" s="2"/>
      <c r="C1926" s="2"/>
      <c r="D1926" s="2"/>
      <c r="E1926" s="10"/>
      <c r="F1926" s="11"/>
      <c r="G1926" s="2"/>
      <c r="H1926" s="2"/>
      <c r="I1926" s="2"/>
      <c r="J1926" s="2"/>
      <c r="K1926" s="12"/>
      <c r="L1926" s="2"/>
      <c r="M1926" s="2"/>
      <c r="N1926" s="67"/>
    </row>
    <row r="1927" spans="1:14" x14ac:dyDescent="0.35">
      <c r="A1927" s="61">
        <v>1923</v>
      </c>
      <c r="B1927" s="2"/>
      <c r="C1927" s="2"/>
      <c r="D1927" s="2"/>
      <c r="E1927" s="10"/>
      <c r="F1927" s="11"/>
      <c r="G1927" s="2"/>
      <c r="H1927" s="2"/>
      <c r="I1927" s="2"/>
      <c r="J1927" s="2"/>
      <c r="K1927" s="12"/>
      <c r="L1927" s="2"/>
      <c r="M1927" s="2"/>
      <c r="N1927" s="67"/>
    </row>
    <row r="1928" spans="1:14" x14ac:dyDescent="0.35">
      <c r="A1928" s="61">
        <v>1924</v>
      </c>
      <c r="B1928" s="2"/>
      <c r="C1928" s="2"/>
      <c r="D1928" s="2"/>
      <c r="E1928" s="10"/>
      <c r="F1928" s="11"/>
      <c r="G1928" s="2"/>
      <c r="H1928" s="2"/>
      <c r="I1928" s="2"/>
      <c r="J1928" s="2"/>
      <c r="K1928" s="12"/>
      <c r="L1928" s="2"/>
      <c r="M1928" s="2"/>
      <c r="N1928" s="67"/>
    </row>
    <row r="1929" spans="1:14" x14ac:dyDescent="0.35">
      <c r="A1929" s="61">
        <v>1925</v>
      </c>
      <c r="B1929" s="2"/>
      <c r="C1929" s="2"/>
      <c r="D1929" s="2"/>
      <c r="E1929" s="10"/>
      <c r="F1929" s="11"/>
      <c r="G1929" s="2"/>
      <c r="H1929" s="2"/>
      <c r="I1929" s="2"/>
      <c r="J1929" s="2"/>
      <c r="K1929" s="12"/>
      <c r="L1929" s="2"/>
      <c r="M1929" s="2"/>
      <c r="N1929" s="67"/>
    </row>
    <row r="1930" spans="1:14" x14ac:dyDescent="0.35">
      <c r="A1930" s="61">
        <v>1926</v>
      </c>
      <c r="B1930" s="2"/>
      <c r="C1930" s="2"/>
      <c r="D1930" s="2"/>
      <c r="E1930" s="10"/>
      <c r="F1930" s="11"/>
      <c r="G1930" s="2"/>
      <c r="H1930" s="2"/>
      <c r="I1930" s="2"/>
      <c r="J1930" s="2"/>
      <c r="K1930" s="12"/>
      <c r="L1930" s="2"/>
      <c r="M1930" s="2"/>
      <c r="N1930" s="67"/>
    </row>
    <row r="1931" spans="1:14" x14ac:dyDescent="0.35">
      <c r="A1931" s="61">
        <v>1927</v>
      </c>
      <c r="B1931" s="2"/>
      <c r="C1931" s="2"/>
      <c r="D1931" s="2"/>
      <c r="E1931" s="10"/>
      <c r="F1931" s="11"/>
      <c r="G1931" s="2"/>
      <c r="H1931" s="2"/>
      <c r="I1931" s="2"/>
      <c r="J1931" s="2"/>
      <c r="K1931" s="12"/>
      <c r="L1931" s="2"/>
      <c r="M1931" s="2"/>
      <c r="N1931" s="67"/>
    </row>
    <row r="1932" spans="1:14" x14ac:dyDescent="0.35">
      <c r="A1932" s="61">
        <v>1928</v>
      </c>
      <c r="B1932" s="2"/>
      <c r="C1932" s="2"/>
      <c r="D1932" s="2"/>
      <c r="E1932" s="10"/>
      <c r="F1932" s="11"/>
      <c r="G1932" s="2"/>
      <c r="H1932" s="2"/>
      <c r="I1932" s="2"/>
      <c r="J1932" s="2"/>
      <c r="K1932" s="12"/>
      <c r="L1932" s="2"/>
      <c r="M1932" s="2"/>
      <c r="N1932" s="67"/>
    </row>
    <row r="1933" spans="1:14" x14ac:dyDescent="0.35">
      <c r="A1933" s="61">
        <v>1929</v>
      </c>
      <c r="B1933" s="2"/>
      <c r="C1933" s="2"/>
      <c r="D1933" s="2"/>
      <c r="E1933" s="10"/>
      <c r="F1933" s="11"/>
      <c r="G1933" s="2"/>
      <c r="H1933" s="2"/>
      <c r="I1933" s="2"/>
      <c r="J1933" s="2"/>
      <c r="K1933" s="12"/>
      <c r="L1933" s="2"/>
      <c r="M1933" s="2"/>
      <c r="N1933" s="67"/>
    </row>
    <row r="1934" spans="1:14" x14ac:dyDescent="0.35">
      <c r="A1934" s="61">
        <v>1930</v>
      </c>
      <c r="B1934" s="2"/>
      <c r="C1934" s="2"/>
      <c r="D1934" s="2"/>
      <c r="E1934" s="10"/>
      <c r="F1934" s="11"/>
      <c r="G1934" s="2"/>
      <c r="H1934" s="2"/>
      <c r="I1934" s="2"/>
      <c r="J1934" s="2"/>
      <c r="K1934" s="12"/>
      <c r="L1934" s="2"/>
      <c r="M1934" s="2"/>
      <c r="N1934" s="67"/>
    </row>
    <row r="1935" spans="1:14" x14ac:dyDescent="0.35">
      <c r="A1935" s="61">
        <v>1931</v>
      </c>
      <c r="B1935" s="2"/>
      <c r="C1935" s="2"/>
      <c r="D1935" s="2"/>
      <c r="E1935" s="10"/>
      <c r="F1935" s="11"/>
      <c r="G1935" s="2"/>
      <c r="H1935" s="2"/>
      <c r="I1935" s="2"/>
      <c r="J1935" s="2"/>
      <c r="K1935" s="12"/>
      <c r="L1935" s="2"/>
      <c r="M1935" s="2"/>
      <c r="N1935" s="67"/>
    </row>
    <row r="1936" spans="1:14" x14ac:dyDescent="0.35">
      <c r="A1936" s="61">
        <v>1932</v>
      </c>
      <c r="B1936" s="2"/>
      <c r="C1936" s="2"/>
      <c r="D1936" s="2"/>
      <c r="E1936" s="10"/>
      <c r="F1936" s="11"/>
      <c r="G1936" s="2"/>
      <c r="H1936" s="2"/>
      <c r="I1936" s="2"/>
      <c r="J1936" s="2"/>
      <c r="K1936" s="12"/>
      <c r="L1936" s="2"/>
      <c r="M1936" s="2"/>
      <c r="N1936" s="67"/>
    </row>
    <row r="1937" spans="1:14" x14ac:dyDescent="0.35">
      <c r="A1937" s="61">
        <v>1933</v>
      </c>
      <c r="B1937" s="2"/>
      <c r="C1937" s="2"/>
      <c r="D1937" s="2"/>
      <c r="E1937" s="10"/>
      <c r="F1937" s="11"/>
      <c r="G1937" s="2"/>
      <c r="H1937" s="2"/>
      <c r="I1937" s="2"/>
      <c r="J1937" s="2"/>
      <c r="K1937" s="12"/>
      <c r="L1937" s="2"/>
      <c r="M1937" s="2"/>
      <c r="N1937" s="67"/>
    </row>
    <row r="1938" spans="1:14" x14ac:dyDescent="0.35">
      <c r="A1938" s="61">
        <v>1934</v>
      </c>
      <c r="B1938" s="2"/>
      <c r="C1938" s="2"/>
      <c r="D1938" s="2"/>
      <c r="E1938" s="10"/>
      <c r="F1938" s="11"/>
      <c r="G1938" s="2"/>
      <c r="H1938" s="2"/>
      <c r="I1938" s="2"/>
      <c r="J1938" s="2"/>
      <c r="K1938" s="12"/>
      <c r="L1938" s="2"/>
      <c r="M1938" s="2"/>
      <c r="N1938" s="67"/>
    </row>
    <row r="1939" spans="1:14" x14ac:dyDescent="0.35">
      <c r="A1939" s="61">
        <v>1935</v>
      </c>
      <c r="B1939" s="2"/>
      <c r="C1939" s="2"/>
      <c r="D1939" s="2"/>
      <c r="E1939" s="10"/>
      <c r="F1939" s="11"/>
      <c r="G1939" s="2"/>
      <c r="H1939" s="2"/>
      <c r="I1939" s="2"/>
      <c r="J1939" s="2"/>
      <c r="K1939" s="12"/>
      <c r="L1939" s="2"/>
      <c r="M1939" s="2"/>
      <c r="N1939" s="67"/>
    </row>
    <row r="1940" spans="1:14" x14ac:dyDescent="0.35">
      <c r="A1940" s="61">
        <v>1936</v>
      </c>
      <c r="B1940" s="2"/>
      <c r="C1940" s="2"/>
      <c r="D1940" s="2"/>
      <c r="E1940" s="10"/>
      <c r="F1940" s="11"/>
      <c r="G1940" s="2"/>
      <c r="H1940" s="2"/>
      <c r="I1940" s="2"/>
      <c r="J1940" s="2"/>
      <c r="K1940" s="12"/>
      <c r="L1940" s="2"/>
      <c r="M1940" s="2"/>
      <c r="N1940" s="67"/>
    </row>
    <row r="1941" spans="1:14" x14ac:dyDescent="0.35">
      <c r="A1941" s="61">
        <v>1937</v>
      </c>
      <c r="B1941" s="2"/>
      <c r="C1941" s="2"/>
      <c r="D1941" s="2"/>
      <c r="E1941" s="10"/>
      <c r="F1941" s="11"/>
      <c r="G1941" s="2"/>
      <c r="H1941" s="2"/>
      <c r="I1941" s="2"/>
      <c r="J1941" s="2"/>
      <c r="K1941" s="12"/>
      <c r="L1941" s="2"/>
      <c r="M1941" s="2"/>
      <c r="N1941" s="67"/>
    </row>
    <row r="1942" spans="1:14" x14ac:dyDescent="0.35">
      <c r="A1942" s="61">
        <v>1938</v>
      </c>
      <c r="B1942" s="2"/>
      <c r="C1942" s="2"/>
      <c r="D1942" s="2"/>
      <c r="E1942" s="10"/>
      <c r="F1942" s="11"/>
      <c r="G1942" s="2"/>
      <c r="H1942" s="2"/>
      <c r="I1942" s="2"/>
      <c r="J1942" s="2"/>
      <c r="K1942" s="12"/>
      <c r="L1942" s="2"/>
      <c r="M1942" s="2"/>
      <c r="N1942" s="67"/>
    </row>
    <row r="1943" spans="1:14" x14ac:dyDescent="0.35">
      <c r="A1943" s="61">
        <v>1939</v>
      </c>
      <c r="B1943" s="2"/>
      <c r="C1943" s="2"/>
      <c r="D1943" s="2"/>
      <c r="E1943" s="10"/>
      <c r="F1943" s="11"/>
      <c r="G1943" s="2"/>
      <c r="H1943" s="2"/>
      <c r="I1943" s="2"/>
      <c r="J1943" s="2"/>
      <c r="K1943" s="12"/>
      <c r="L1943" s="2"/>
      <c r="M1943" s="2"/>
      <c r="N1943" s="67"/>
    </row>
    <row r="1944" spans="1:14" x14ac:dyDescent="0.35">
      <c r="A1944" s="61">
        <v>1940</v>
      </c>
      <c r="B1944" s="2"/>
      <c r="C1944" s="2"/>
      <c r="D1944" s="2"/>
      <c r="E1944" s="10"/>
      <c r="F1944" s="11"/>
      <c r="G1944" s="2"/>
      <c r="H1944" s="2"/>
      <c r="I1944" s="2"/>
      <c r="J1944" s="2"/>
      <c r="K1944" s="12"/>
      <c r="L1944" s="2"/>
      <c r="M1944" s="2"/>
      <c r="N1944" s="67"/>
    </row>
    <row r="1945" spans="1:14" x14ac:dyDescent="0.35">
      <c r="A1945" s="61">
        <v>1941</v>
      </c>
      <c r="B1945" s="2"/>
      <c r="C1945" s="2"/>
      <c r="D1945" s="2"/>
      <c r="E1945" s="10"/>
      <c r="F1945" s="11"/>
      <c r="G1945" s="2"/>
      <c r="H1945" s="2"/>
      <c r="I1945" s="2"/>
      <c r="J1945" s="2"/>
      <c r="K1945" s="12"/>
      <c r="L1945" s="2"/>
      <c r="M1945" s="2"/>
      <c r="N1945" s="67"/>
    </row>
    <row r="1946" spans="1:14" x14ac:dyDescent="0.35">
      <c r="A1946" s="61">
        <v>1942</v>
      </c>
      <c r="B1946" s="2"/>
      <c r="C1946" s="2"/>
      <c r="D1946" s="2"/>
      <c r="E1946" s="10"/>
      <c r="F1946" s="11"/>
      <c r="G1946" s="2"/>
      <c r="H1946" s="2"/>
      <c r="I1946" s="2"/>
      <c r="J1946" s="2"/>
      <c r="K1946" s="12"/>
      <c r="L1946" s="2"/>
      <c r="M1946" s="2"/>
      <c r="N1946" s="67"/>
    </row>
    <row r="1947" spans="1:14" x14ac:dyDescent="0.35">
      <c r="A1947" s="61">
        <v>1943</v>
      </c>
      <c r="B1947" s="2"/>
      <c r="C1947" s="2"/>
      <c r="D1947" s="2"/>
      <c r="E1947" s="10"/>
      <c r="F1947" s="11"/>
      <c r="G1947" s="2"/>
      <c r="H1947" s="2"/>
      <c r="I1947" s="2"/>
      <c r="J1947" s="2"/>
      <c r="K1947" s="12"/>
      <c r="L1947" s="2"/>
      <c r="M1947" s="2"/>
      <c r="N1947" s="67"/>
    </row>
    <row r="1948" spans="1:14" x14ac:dyDescent="0.35">
      <c r="A1948" s="61">
        <v>1944</v>
      </c>
      <c r="B1948" s="2"/>
      <c r="C1948" s="2"/>
      <c r="D1948" s="2"/>
      <c r="E1948" s="10"/>
      <c r="F1948" s="11"/>
      <c r="G1948" s="2"/>
      <c r="H1948" s="2"/>
      <c r="I1948" s="2"/>
      <c r="J1948" s="2"/>
      <c r="K1948" s="12"/>
      <c r="L1948" s="2"/>
      <c r="M1948" s="2"/>
      <c r="N1948" s="67"/>
    </row>
    <row r="1949" spans="1:14" x14ac:dyDescent="0.35">
      <c r="A1949" s="61">
        <v>1945</v>
      </c>
      <c r="B1949" s="2"/>
      <c r="C1949" s="2"/>
      <c r="D1949" s="2"/>
      <c r="E1949" s="10"/>
      <c r="F1949" s="11"/>
      <c r="G1949" s="2"/>
      <c r="H1949" s="2"/>
      <c r="I1949" s="2"/>
      <c r="J1949" s="2"/>
      <c r="K1949" s="12"/>
      <c r="L1949" s="2"/>
      <c r="M1949" s="2"/>
      <c r="N1949" s="67"/>
    </row>
    <row r="1950" spans="1:14" x14ac:dyDescent="0.35">
      <c r="A1950" s="61">
        <v>1946</v>
      </c>
      <c r="B1950" s="2"/>
      <c r="C1950" s="2"/>
      <c r="D1950" s="2"/>
      <c r="E1950" s="10"/>
      <c r="F1950" s="11"/>
      <c r="G1950" s="2"/>
      <c r="H1950" s="2"/>
      <c r="I1950" s="2"/>
      <c r="J1950" s="2"/>
      <c r="K1950" s="12"/>
      <c r="L1950" s="2"/>
      <c r="M1950" s="2"/>
      <c r="N1950" s="67"/>
    </row>
    <row r="1951" spans="1:14" x14ac:dyDescent="0.35">
      <c r="A1951" s="61">
        <v>1947</v>
      </c>
      <c r="B1951" s="2"/>
      <c r="C1951" s="2"/>
      <c r="D1951" s="2"/>
      <c r="E1951" s="10"/>
      <c r="F1951" s="11"/>
      <c r="G1951" s="2"/>
      <c r="H1951" s="2"/>
      <c r="I1951" s="2"/>
      <c r="J1951" s="2"/>
      <c r="K1951" s="12"/>
      <c r="L1951" s="2"/>
      <c r="M1951" s="2"/>
      <c r="N1951" s="67"/>
    </row>
    <row r="1952" spans="1:14" x14ac:dyDescent="0.35">
      <c r="A1952" s="61">
        <v>1948</v>
      </c>
      <c r="B1952" s="2"/>
      <c r="C1952" s="2"/>
      <c r="D1952" s="2"/>
      <c r="E1952" s="10"/>
      <c r="F1952" s="11"/>
      <c r="G1952" s="2"/>
      <c r="H1952" s="2"/>
      <c r="I1952" s="2"/>
      <c r="J1952" s="2"/>
      <c r="K1952" s="12"/>
      <c r="L1952" s="2"/>
      <c r="M1952" s="2"/>
      <c r="N1952" s="67"/>
    </row>
    <row r="1953" spans="1:14" x14ac:dyDescent="0.35">
      <c r="A1953" s="61">
        <v>1949</v>
      </c>
      <c r="B1953" s="2"/>
      <c r="C1953" s="2"/>
      <c r="D1953" s="2"/>
      <c r="E1953" s="10"/>
      <c r="F1953" s="11"/>
      <c r="G1953" s="2"/>
      <c r="H1953" s="2"/>
      <c r="I1953" s="2"/>
      <c r="J1953" s="2"/>
      <c r="K1953" s="12"/>
      <c r="L1953" s="2"/>
      <c r="M1953" s="2"/>
      <c r="N1953" s="67"/>
    </row>
    <row r="1954" spans="1:14" x14ac:dyDescent="0.35">
      <c r="A1954" s="61">
        <v>1950</v>
      </c>
      <c r="B1954" s="2"/>
      <c r="C1954" s="2"/>
      <c r="D1954" s="2"/>
      <c r="E1954" s="10"/>
      <c r="F1954" s="11"/>
      <c r="G1954" s="2"/>
      <c r="H1954" s="2"/>
      <c r="I1954" s="2"/>
      <c r="J1954" s="2"/>
      <c r="K1954" s="12"/>
      <c r="L1954" s="2"/>
      <c r="M1954" s="2"/>
      <c r="N1954" s="67"/>
    </row>
    <row r="1955" spans="1:14" x14ac:dyDescent="0.35">
      <c r="A1955" s="61">
        <v>1951</v>
      </c>
      <c r="B1955" s="2"/>
      <c r="C1955" s="2"/>
      <c r="D1955" s="2"/>
      <c r="E1955" s="10"/>
      <c r="F1955" s="11"/>
      <c r="G1955" s="2"/>
      <c r="H1955" s="2"/>
      <c r="I1955" s="2"/>
      <c r="J1955" s="2"/>
      <c r="K1955" s="12"/>
      <c r="L1955" s="2"/>
      <c r="M1955" s="2"/>
      <c r="N1955" s="67"/>
    </row>
    <row r="1956" spans="1:14" x14ac:dyDescent="0.35">
      <c r="A1956" s="61">
        <v>1952</v>
      </c>
      <c r="B1956" s="2"/>
      <c r="C1956" s="2"/>
      <c r="D1956" s="2"/>
      <c r="E1956" s="10"/>
      <c r="F1956" s="11"/>
      <c r="G1956" s="2"/>
      <c r="H1956" s="2"/>
      <c r="I1956" s="2"/>
      <c r="J1956" s="2"/>
      <c r="K1956" s="12"/>
      <c r="L1956" s="2"/>
      <c r="M1956" s="2"/>
      <c r="N1956" s="67"/>
    </row>
    <row r="1957" spans="1:14" x14ac:dyDescent="0.35">
      <c r="A1957" s="61">
        <v>1953</v>
      </c>
      <c r="B1957" s="2"/>
      <c r="C1957" s="2"/>
      <c r="D1957" s="2"/>
      <c r="E1957" s="10"/>
      <c r="F1957" s="11"/>
      <c r="G1957" s="2"/>
      <c r="H1957" s="2"/>
      <c r="I1957" s="2"/>
      <c r="J1957" s="2"/>
      <c r="K1957" s="12"/>
      <c r="L1957" s="2"/>
      <c r="M1957" s="2"/>
      <c r="N1957" s="67"/>
    </row>
    <row r="1958" spans="1:14" x14ac:dyDescent="0.35">
      <c r="A1958" s="61">
        <v>1954</v>
      </c>
      <c r="B1958" s="2"/>
      <c r="C1958" s="2"/>
      <c r="D1958" s="2"/>
      <c r="E1958" s="10"/>
      <c r="F1958" s="11"/>
      <c r="G1958" s="2"/>
      <c r="H1958" s="2"/>
      <c r="I1958" s="2"/>
      <c r="J1958" s="2"/>
      <c r="K1958" s="12"/>
      <c r="L1958" s="2"/>
      <c r="M1958" s="2"/>
      <c r="N1958" s="67"/>
    </row>
    <row r="1959" spans="1:14" x14ac:dyDescent="0.35">
      <c r="A1959" s="61">
        <v>1955</v>
      </c>
      <c r="B1959" s="2"/>
      <c r="C1959" s="2"/>
      <c r="D1959" s="2"/>
      <c r="E1959" s="10"/>
      <c r="F1959" s="11"/>
      <c r="G1959" s="2"/>
      <c r="H1959" s="2"/>
      <c r="I1959" s="2"/>
      <c r="J1959" s="2"/>
      <c r="K1959" s="12"/>
      <c r="L1959" s="2"/>
      <c r="M1959" s="2"/>
      <c r="N1959" s="67"/>
    </row>
    <row r="1960" spans="1:14" x14ac:dyDescent="0.35">
      <c r="A1960" s="61">
        <v>1956</v>
      </c>
      <c r="B1960" s="2"/>
      <c r="C1960" s="2"/>
      <c r="D1960" s="2"/>
      <c r="E1960" s="10"/>
      <c r="F1960" s="11"/>
      <c r="G1960" s="2"/>
      <c r="H1960" s="2"/>
      <c r="I1960" s="2"/>
      <c r="J1960" s="2"/>
      <c r="K1960" s="12"/>
      <c r="L1960" s="2"/>
      <c r="M1960" s="2"/>
      <c r="N1960" s="67"/>
    </row>
    <row r="1961" spans="1:14" x14ac:dyDescent="0.35">
      <c r="A1961" s="61">
        <v>1957</v>
      </c>
      <c r="B1961" s="2"/>
      <c r="C1961" s="2"/>
      <c r="D1961" s="2"/>
      <c r="E1961" s="10"/>
      <c r="F1961" s="11"/>
      <c r="G1961" s="2"/>
      <c r="H1961" s="2"/>
      <c r="I1961" s="2"/>
      <c r="J1961" s="2"/>
      <c r="K1961" s="12"/>
      <c r="L1961" s="2"/>
      <c r="M1961" s="2"/>
      <c r="N1961" s="67"/>
    </row>
    <row r="1962" spans="1:14" x14ac:dyDescent="0.35">
      <c r="A1962" s="61">
        <v>1958</v>
      </c>
      <c r="B1962" s="2"/>
      <c r="C1962" s="2"/>
      <c r="D1962" s="2"/>
      <c r="E1962" s="10"/>
      <c r="F1962" s="11"/>
      <c r="G1962" s="2"/>
      <c r="H1962" s="2"/>
      <c r="I1962" s="2"/>
      <c r="J1962" s="2"/>
      <c r="K1962" s="12"/>
      <c r="L1962" s="2"/>
      <c r="M1962" s="2"/>
      <c r="N1962" s="67"/>
    </row>
    <row r="1963" spans="1:14" x14ac:dyDescent="0.35">
      <c r="A1963" s="61">
        <v>1959</v>
      </c>
      <c r="B1963" s="2"/>
      <c r="C1963" s="2"/>
      <c r="D1963" s="2"/>
      <c r="E1963" s="10"/>
      <c r="F1963" s="11"/>
      <c r="G1963" s="2"/>
      <c r="H1963" s="2"/>
      <c r="I1963" s="2"/>
      <c r="J1963" s="2"/>
      <c r="K1963" s="12"/>
      <c r="L1963" s="2"/>
      <c r="M1963" s="2"/>
      <c r="N1963" s="67"/>
    </row>
    <row r="1964" spans="1:14" x14ac:dyDescent="0.35">
      <c r="A1964" s="61">
        <v>1960</v>
      </c>
      <c r="B1964" s="2"/>
      <c r="C1964" s="2"/>
      <c r="D1964" s="2"/>
      <c r="E1964" s="10"/>
      <c r="F1964" s="11"/>
      <c r="G1964" s="2"/>
      <c r="H1964" s="2"/>
      <c r="I1964" s="2"/>
      <c r="J1964" s="2"/>
      <c r="K1964" s="12"/>
      <c r="L1964" s="2"/>
      <c r="M1964" s="2"/>
      <c r="N1964" s="67"/>
    </row>
    <row r="1965" spans="1:14" x14ac:dyDescent="0.35">
      <c r="A1965" s="61">
        <v>1961</v>
      </c>
      <c r="B1965" s="2"/>
      <c r="C1965" s="2"/>
      <c r="D1965" s="2"/>
      <c r="E1965" s="10"/>
      <c r="F1965" s="11"/>
      <c r="G1965" s="2"/>
      <c r="H1965" s="2"/>
      <c r="I1965" s="2"/>
      <c r="J1965" s="2"/>
      <c r="K1965" s="12"/>
      <c r="L1965" s="2"/>
      <c r="M1965" s="2"/>
      <c r="N1965" s="67"/>
    </row>
    <row r="1966" spans="1:14" x14ac:dyDescent="0.35">
      <c r="A1966" s="61">
        <v>1962</v>
      </c>
      <c r="B1966" s="2"/>
      <c r="C1966" s="2"/>
      <c r="D1966" s="2"/>
      <c r="E1966" s="10"/>
      <c r="F1966" s="11"/>
      <c r="G1966" s="2"/>
      <c r="H1966" s="2"/>
      <c r="I1966" s="2"/>
      <c r="J1966" s="2"/>
      <c r="K1966" s="12"/>
      <c r="L1966" s="2"/>
      <c r="M1966" s="2"/>
      <c r="N1966" s="67"/>
    </row>
    <row r="1967" spans="1:14" x14ac:dyDescent="0.35">
      <c r="A1967" s="61">
        <v>1963</v>
      </c>
      <c r="B1967" s="2"/>
      <c r="C1967" s="2"/>
      <c r="D1967" s="2"/>
      <c r="E1967" s="10"/>
      <c r="F1967" s="11"/>
      <c r="G1967" s="2"/>
      <c r="H1967" s="2"/>
      <c r="I1967" s="2"/>
      <c r="J1967" s="2"/>
      <c r="K1967" s="12"/>
      <c r="L1967" s="2"/>
      <c r="M1967" s="2"/>
      <c r="N1967" s="67"/>
    </row>
    <row r="1968" spans="1:14" x14ac:dyDescent="0.35">
      <c r="A1968" s="61">
        <v>1964</v>
      </c>
      <c r="B1968" s="2"/>
      <c r="C1968" s="2"/>
      <c r="D1968" s="2"/>
      <c r="E1968" s="10"/>
      <c r="F1968" s="11"/>
      <c r="G1968" s="2"/>
      <c r="H1968" s="2"/>
      <c r="I1968" s="2"/>
      <c r="J1968" s="2"/>
      <c r="K1968" s="12"/>
      <c r="L1968" s="2"/>
      <c r="M1968" s="2"/>
      <c r="N1968" s="67"/>
    </row>
    <row r="1969" spans="1:14" x14ac:dyDescent="0.35">
      <c r="A1969" s="61">
        <v>1965</v>
      </c>
      <c r="B1969" s="2"/>
      <c r="C1969" s="2"/>
      <c r="D1969" s="2"/>
      <c r="E1969" s="10"/>
      <c r="F1969" s="11"/>
      <c r="G1969" s="2"/>
      <c r="H1969" s="2"/>
      <c r="I1969" s="2"/>
      <c r="J1969" s="2"/>
      <c r="K1969" s="12"/>
      <c r="L1969" s="2"/>
      <c r="M1969" s="2"/>
      <c r="N1969" s="67"/>
    </row>
    <row r="1970" spans="1:14" x14ac:dyDescent="0.35">
      <c r="A1970" s="61">
        <v>1966</v>
      </c>
      <c r="B1970" s="2"/>
      <c r="C1970" s="2"/>
      <c r="D1970" s="2"/>
      <c r="E1970" s="10"/>
      <c r="F1970" s="11"/>
      <c r="G1970" s="2"/>
      <c r="H1970" s="2"/>
      <c r="I1970" s="2"/>
      <c r="J1970" s="2"/>
      <c r="K1970" s="12"/>
      <c r="L1970" s="2"/>
      <c r="M1970" s="2"/>
      <c r="N1970" s="67"/>
    </row>
    <row r="1971" spans="1:14" x14ac:dyDescent="0.35">
      <c r="A1971" s="61">
        <v>1967</v>
      </c>
      <c r="B1971" s="2"/>
      <c r="C1971" s="2"/>
      <c r="D1971" s="2"/>
      <c r="E1971" s="10"/>
      <c r="F1971" s="11"/>
      <c r="G1971" s="2"/>
      <c r="H1971" s="2"/>
      <c r="I1971" s="2"/>
      <c r="J1971" s="2"/>
      <c r="K1971" s="12"/>
      <c r="L1971" s="2"/>
      <c r="M1971" s="2"/>
      <c r="N1971" s="67"/>
    </row>
    <row r="1972" spans="1:14" x14ac:dyDescent="0.35">
      <c r="A1972" s="61">
        <v>1968</v>
      </c>
      <c r="B1972" s="2"/>
      <c r="C1972" s="2"/>
      <c r="D1972" s="2"/>
      <c r="E1972" s="10"/>
      <c r="F1972" s="11"/>
      <c r="G1972" s="2"/>
      <c r="H1972" s="2"/>
      <c r="I1972" s="2"/>
      <c r="J1972" s="2"/>
      <c r="K1972" s="12"/>
      <c r="L1972" s="2"/>
      <c r="M1972" s="2"/>
      <c r="N1972" s="67"/>
    </row>
    <row r="1973" spans="1:14" x14ac:dyDescent="0.35">
      <c r="A1973" s="61">
        <v>1969</v>
      </c>
      <c r="B1973" s="2"/>
      <c r="C1973" s="2"/>
      <c r="D1973" s="2"/>
      <c r="E1973" s="10"/>
      <c r="F1973" s="11"/>
      <c r="G1973" s="2"/>
      <c r="H1973" s="2"/>
      <c r="I1973" s="2"/>
      <c r="J1973" s="2"/>
      <c r="K1973" s="12"/>
      <c r="L1973" s="2"/>
      <c r="M1973" s="2"/>
      <c r="N1973" s="67"/>
    </row>
    <row r="1974" spans="1:14" x14ac:dyDescent="0.35">
      <c r="A1974" s="61">
        <v>1970</v>
      </c>
      <c r="B1974" s="2"/>
      <c r="C1974" s="2"/>
      <c r="D1974" s="2"/>
      <c r="E1974" s="10"/>
      <c r="F1974" s="11"/>
      <c r="G1974" s="2"/>
      <c r="H1974" s="2"/>
      <c r="I1974" s="2"/>
      <c r="J1974" s="2"/>
      <c r="K1974" s="12"/>
      <c r="L1974" s="2"/>
      <c r="M1974" s="2"/>
      <c r="N1974" s="67"/>
    </row>
    <row r="1975" spans="1:14" x14ac:dyDescent="0.35">
      <c r="A1975" s="61">
        <v>1971</v>
      </c>
      <c r="B1975" s="2"/>
      <c r="C1975" s="2"/>
      <c r="D1975" s="2"/>
      <c r="E1975" s="10"/>
      <c r="F1975" s="11"/>
      <c r="G1975" s="2"/>
      <c r="H1975" s="2"/>
      <c r="I1975" s="2"/>
      <c r="J1975" s="2"/>
      <c r="K1975" s="12"/>
      <c r="L1975" s="2"/>
      <c r="M1975" s="2"/>
      <c r="N1975" s="67"/>
    </row>
    <row r="1976" spans="1:14" x14ac:dyDescent="0.35">
      <c r="A1976" s="61">
        <v>1972</v>
      </c>
      <c r="B1976" s="2"/>
      <c r="C1976" s="2"/>
      <c r="D1976" s="2"/>
      <c r="E1976" s="10"/>
      <c r="F1976" s="11"/>
      <c r="G1976" s="2"/>
      <c r="H1976" s="2"/>
      <c r="I1976" s="2"/>
      <c r="J1976" s="2"/>
      <c r="K1976" s="12"/>
      <c r="L1976" s="2"/>
      <c r="M1976" s="2"/>
      <c r="N1976" s="67"/>
    </row>
    <row r="1977" spans="1:14" x14ac:dyDescent="0.35">
      <c r="A1977" s="61">
        <v>1973</v>
      </c>
      <c r="B1977" s="2"/>
      <c r="C1977" s="2"/>
      <c r="D1977" s="2"/>
      <c r="E1977" s="10"/>
      <c r="F1977" s="11"/>
      <c r="G1977" s="2"/>
      <c r="H1977" s="2"/>
      <c r="I1977" s="2"/>
      <c r="J1977" s="2"/>
      <c r="K1977" s="12"/>
      <c r="L1977" s="2"/>
      <c r="M1977" s="2"/>
      <c r="N1977" s="67"/>
    </row>
    <row r="1978" spans="1:14" x14ac:dyDescent="0.35">
      <c r="A1978" s="61">
        <v>1974</v>
      </c>
      <c r="B1978" s="2"/>
      <c r="C1978" s="2"/>
      <c r="D1978" s="2"/>
      <c r="E1978" s="10"/>
      <c r="F1978" s="11"/>
      <c r="G1978" s="2"/>
      <c r="H1978" s="2"/>
      <c r="I1978" s="2"/>
      <c r="J1978" s="2"/>
      <c r="K1978" s="12"/>
      <c r="L1978" s="2"/>
      <c r="M1978" s="2"/>
      <c r="N1978" s="67"/>
    </row>
    <row r="1979" spans="1:14" x14ac:dyDescent="0.35">
      <c r="A1979" s="61">
        <v>1975</v>
      </c>
      <c r="B1979" s="2"/>
      <c r="C1979" s="2"/>
      <c r="D1979" s="2"/>
      <c r="E1979" s="10"/>
      <c r="F1979" s="11"/>
      <c r="G1979" s="2"/>
      <c r="H1979" s="2"/>
      <c r="I1979" s="2"/>
      <c r="J1979" s="2"/>
      <c r="K1979" s="12"/>
      <c r="L1979" s="2"/>
      <c r="M1979" s="2"/>
      <c r="N1979" s="67"/>
    </row>
    <row r="1980" spans="1:14" x14ac:dyDescent="0.35">
      <c r="A1980" s="61">
        <v>1976</v>
      </c>
      <c r="B1980" s="2"/>
      <c r="C1980" s="2"/>
      <c r="D1980" s="2"/>
      <c r="E1980" s="10"/>
      <c r="F1980" s="11"/>
      <c r="G1980" s="2"/>
      <c r="H1980" s="2"/>
      <c r="I1980" s="2"/>
      <c r="J1980" s="2"/>
      <c r="K1980" s="12"/>
      <c r="L1980" s="2"/>
      <c r="M1980" s="2"/>
      <c r="N1980" s="67"/>
    </row>
    <row r="1981" spans="1:14" x14ac:dyDescent="0.35">
      <c r="A1981" s="61">
        <v>1977</v>
      </c>
      <c r="B1981" s="2"/>
      <c r="C1981" s="2"/>
      <c r="D1981" s="2"/>
      <c r="E1981" s="10"/>
      <c r="F1981" s="11"/>
      <c r="G1981" s="2"/>
      <c r="H1981" s="2"/>
      <c r="I1981" s="2"/>
      <c r="J1981" s="2"/>
      <c r="K1981" s="12"/>
      <c r="L1981" s="2"/>
      <c r="M1981" s="2"/>
      <c r="N1981" s="67"/>
    </row>
    <row r="1982" spans="1:14" x14ac:dyDescent="0.35">
      <c r="A1982" s="61">
        <v>1978</v>
      </c>
      <c r="B1982" s="2"/>
      <c r="C1982" s="2"/>
      <c r="D1982" s="2"/>
      <c r="E1982" s="10"/>
      <c r="F1982" s="11"/>
      <c r="G1982" s="2"/>
      <c r="H1982" s="2"/>
      <c r="I1982" s="2"/>
      <c r="J1982" s="2"/>
      <c r="K1982" s="12"/>
      <c r="L1982" s="2"/>
      <c r="M1982" s="2"/>
      <c r="N1982" s="67"/>
    </row>
    <row r="1983" spans="1:14" x14ac:dyDescent="0.35">
      <c r="A1983" s="61">
        <v>1979</v>
      </c>
      <c r="B1983" s="2"/>
      <c r="C1983" s="2"/>
      <c r="D1983" s="2"/>
      <c r="E1983" s="10"/>
      <c r="F1983" s="11"/>
      <c r="G1983" s="2"/>
      <c r="H1983" s="2"/>
      <c r="I1983" s="2"/>
      <c r="J1983" s="2"/>
      <c r="K1983" s="12"/>
      <c r="L1983" s="2"/>
      <c r="M1983" s="2"/>
      <c r="N1983" s="67"/>
    </row>
    <row r="1984" spans="1:14" x14ac:dyDescent="0.35">
      <c r="A1984" s="61">
        <v>1980</v>
      </c>
      <c r="B1984" s="2"/>
      <c r="C1984" s="2"/>
      <c r="D1984" s="2"/>
      <c r="E1984" s="10"/>
      <c r="F1984" s="11"/>
      <c r="G1984" s="2"/>
      <c r="H1984" s="2"/>
      <c r="I1984" s="2"/>
      <c r="J1984" s="2"/>
      <c r="K1984" s="12"/>
      <c r="L1984" s="2"/>
      <c r="M1984" s="2"/>
      <c r="N1984" s="67"/>
    </row>
    <row r="1985" spans="1:14" x14ac:dyDescent="0.35">
      <c r="A1985" s="61">
        <v>1981</v>
      </c>
      <c r="B1985" s="2"/>
      <c r="C1985" s="2"/>
      <c r="D1985" s="2"/>
      <c r="E1985" s="10"/>
      <c r="F1985" s="11"/>
      <c r="G1985" s="2"/>
      <c r="H1985" s="2"/>
      <c r="I1985" s="2"/>
      <c r="J1985" s="2"/>
      <c r="K1985" s="12"/>
      <c r="L1985" s="2"/>
      <c r="M1985" s="2"/>
      <c r="N1985" s="67"/>
    </row>
    <row r="1986" spans="1:14" x14ac:dyDescent="0.35">
      <c r="A1986" s="61">
        <v>1982</v>
      </c>
      <c r="B1986" s="2"/>
      <c r="C1986" s="2"/>
      <c r="D1986" s="2"/>
      <c r="E1986" s="10"/>
      <c r="F1986" s="11"/>
      <c r="G1986" s="2"/>
      <c r="H1986" s="2"/>
      <c r="I1986" s="2"/>
      <c r="J1986" s="2"/>
      <c r="K1986" s="12"/>
      <c r="L1986" s="2"/>
      <c r="M1986" s="2"/>
      <c r="N1986" s="67"/>
    </row>
    <row r="1987" spans="1:14" x14ac:dyDescent="0.35">
      <c r="A1987" s="61">
        <v>1983</v>
      </c>
      <c r="B1987" s="2"/>
      <c r="C1987" s="2"/>
      <c r="D1987" s="2"/>
      <c r="E1987" s="10"/>
      <c r="F1987" s="11"/>
      <c r="G1987" s="2"/>
      <c r="H1987" s="2"/>
      <c r="I1987" s="2"/>
      <c r="J1987" s="2"/>
      <c r="K1987" s="12"/>
      <c r="L1987" s="2"/>
      <c r="M1987" s="2"/>
      <c r="N1987" s="67"/>
    </row>
    <row r="1988" spans="1:14" x14ac:dyDescent="0.35">
      <c r="A1988" s="61">
        <v>1984</v>
      </c>
      <c r="B1988" s="2"/>
      <c r="C1988" s="2"/>
      <c r="D1988" s="2"/>
      <c r="E1988" s="10"/>
      <c r="F1988" s="11"/>
      <c r="G1988" s="2"/>
      <c r="H1988" s="2"/>
      <c r="I1988" s="2"/>
      <c r="J1988" s="2"/>
      <c r="K1988" s="12"/>
      <c r="L1988" s="2"/>
      <c r="M1988" s="2"/>
      <c r="N1988" s="67"/>
    </row>
    <row r="1989" spans="1:14" x14ac:dyDescent="0.35">
      <c r="A1989" s="61">
        <v>1985</v>
      </c>
      <c r="B1989" s="2"/>
      <c r="C1989" s="2"/>
      <c r="D1989" s="2"/>
      <c r="E1989" s="10"/>
      <c r="F1989" s="11"/>
      <c r="G1989" s="2"/>
      <c r="H1989" s="2"/>
      <c r="I1989" s="2"/>
      <c r="J1989" s="2"/>
      <c r="K1989" s="12"/>
      <c r="L1989" s="2"/>
      <c r="M1989" s="2"/>
      <c r="N1989" s="67"/>
    </row>
    <row r="1990" spans="1:14" x14ac:dyDescent="0.35">
      <c r="A1990" s="61">
        <v>1986</v>
      </c>
      <c r="B1990" s="2"/>
      <c r="C1990" s="2"/>
      <c r="D1990" s="2"/>
      <c r="E1990" s="10"/>
      <c r="F1990" s="11"/>
      <c r="G1990" s="2"/>
      <c r="H1990" s="2"/>
      <c r="I1990" s="2"/>
      <c r="J1990" s="2"/>
      <c r="K1990" s="12"/>
      <c r="L1990" s="2"/>
      <c r="M1990" s="2"/>
      <c r="N1990" s="67"/>
    </row>
    <row r="1991" spans="1:14" x14ac:dyDescent="0.35">
      <c r="A1991" s="61">
        <v>1987</v>
      </c>
      <c r="B1991" s="2"/>
      <c r="C1991" s="2"/>
      <c r="D1991" s="2"/>
      <c r="E1991" s="10"/>
      <c r="F1991" s="11"/>
      <c r="G1991" s="2"/>
      <c r="H1991" s="2"/>
      <c r="I1991" s="2"/>
      <c r="J1991" s="2"/>
      <c r="K1991" s="12"/>
      <c r="L1991" s="2"/>
      <c r="M1991" s="2"/>
      <c r="N1991" s="67"/>
    </row>
    <row r="1992" spans="1:14" x14ac:dyDescent="0.35">
      <c r="A1992" s="61">
        <v>1988</v>
      </c>
      <c r="B1992" s="2"/>
      <c r="C1992" s="2"/>
      <c r="D1992" s="2"/>
      <c r="E1992" s="10"/>
      <c r="F1992" s="11"/>
      <c r="G1992" s="2"/>
      <c r="H1992" s="2"/>
      <c r="I1992" s="2"/>
      <c r="J1992" s="2"/>
      <c r="K1992" s="12"/>
      <c r="L1992" s="2"/>
      <c r="M1992" s="2"/>
      <c r="N1992" s="67"/>
    </row>
    <row r="1993" spans="1:14" x14ac:dyDescent="0.35">
      <c r="A1993" s="61">
        <v>1989</v>
      </c>
      <c r="B1993" s="2"/>
      <c r="C1993" s="2"/>
      <c r="D1993" s="2"/>
      <c r="E1993" s="10"/>
      <c r="F1993" s="11"/>
      <c r="G1993" s="2"/>
      <c r="H1993" s="2"/>
      <c r="I1993" s="2"/>
      <c r="J1993" s="2"/>
      <c r="K1993" s="12"/>
      <c r="L1993" s="2"/>
      <c r="M1993" s="2"/>
      <c r="N1993" s="67"/>
    </row>
    <row r="1994" spans="1:14" x14ac:dyDescent="0.35">
      <c r="A1994" s="61">
        <v>1990</v>
      </c>
      <c r="B1994" s="2"/>
      <c r="C1994" s="2"/>
      <c r="D1994" s="2"/>
      <c r="E1994" s="10"/>
      <c r="F1994" s="11"/>
      <c r="G1994" s="2"/>
      <c r="H1994" s="2"/>
      <c r="I1994" s="2"/>
      <c r="J1994" s="2"/>
      <c r="K1994" s="12"/>
      <c r="L1994" s="2"/>
      <c r="M1994" s="2"/>
      <c r="N1994" s="67"/>
    </row>
    <row r="1995" spans="1:14" x14ac:dyDescent="0.35">
      <c r="A1995" s="61">
        <v>1991</v>
      </c>
      <c r="B1995" s="2"/>
      <c r="C1995" s="2"/>
      <c r="D1995" s="2"/>
      <c r="E1995" s="10"/>
      <c r="F1995" s="11"/>
      <c r="G1995" s="2"/>
      <c r="H1995" s="2"/>
      <c r="I1995" s="2"/>
      <c r="J1995" s="2"/>
      <c r="K1995" s="12"/>
      <c r="L1995" s="2"/>
      <c r="M1995" s="2"/>
      <c r="N1995" s="67"/>
    </row>
    <row r="1996" spans="1:14" x14ac:dyDescent="0.35">
      <c r="A1996" s="61">
        <v>1992</v>
      </c>
      <c r="B1996" s="2"/>
      <c r="C1996" s="2"/>
      <c r="D1996" s="2"/>
      <c r="E1996" s="10"/>
      <c r="F1996" s="11"/>
      <c r="G1996" s="2"/>
      <c r="H1996" s="2"/>
      <c r="I1996" s="2"/>
      <c r="J1996" s="2"/>
      <c r="K1996" s="12"/>
      <c r="L1996" s="2"/>
      <c r="M1996" s="2"/>
      <c r="N1996" s="67"/>
    </row>
    <row r="1997" spans="1:14" x14ac:dyDescent="0.35">
      <c r="A1997" s="61">
        <v>1993</v>
      </c>
      <c r="B1997" s="2"/>
      <c r="C1997" s="2"/>
      <c r="D1997" s="2"/>
      <c r="E1997" s="10"/>
      <c r="F1997" s="11"/>
      <c r="G1997" s="2"/>
      <c r="H1997" s="2"/>
      <c r="I1997" s="2"/>
      <c r="J1997" s="2"/>
      <c r="K1997" s="12"/>
      <c r="L1997" s="2"/>
      <c r="M1997" s="2"/>
      <c r="N1997" s="67"/>
    </row>
    <row r="1998" spans="1:14" x14ac:dyDescent="0.35">
      <c r="A1998" s="61">
        <v>1994</v>
      </c>
      <c r="B1998" s="2"/>
      <c r="C1998" s="2"/>
      <c r="D1998" s="2"/>
      <c r="E1998" s="10"/>
      <c r="F1998" s="11"/>
      <c r="G1998" s="2"/>
      <c r="H1998" s="2"/>
      <c r="I1998" s="2"/>
      <c r="J1998" s="2"/>
      <c r="K1998" s="12"/>
      <c r="L1998" s="2"/>
      <c r="M1998" s="2"/>
      <c r="N1998" s="67"/>
    </row>
    <row r="1999" spans="1:14" x14ac:dyDescent="0.35">
      <c r="A1999" s="61">
        <v>1995</v>
      </c>
      <c r="B1999" s="2"/>
      <c r="C1999" s="2"/>
      <c r="D1999" s="2"/>
      <c r="E1999" s="10"/>
      <c r="F1999" s="11"/>
      <c r="G1999" s="2"/>
      <c r="H1999" s="2"/>
      <c r="I1999" s="2"/>
      <c r="J1999" s="2"/>
      <c r="K1999" s="12"/>
      <c r="L1999" s="2"/>
      <c r="M1999" s="2"/>
      <c r="N1999" s="67"/>
    </row>
    <row r="2000" spans="1:14" x14ac:dyDescent="0.35">
      <c r="A2000" s="61">
        <v>1996</v>
      </c>
      <c r="B2000" s="2"/>
      <c r="C2000" s="2"/>
      <c r="D2000" s="2"/>
      <c r="E2000" s="10"/>
      <c r="F2000" s="11"/>
      <c r="G2000" s="2"/>
      <c r="H2000" s="2"/>
      <c r="I2000" s="2"/>
      <c r="J2000" s="2"/>
      <c r="K2000" s="12"/>
      <c r="L2000" s="2"/>
      <c r="M2000" s="2"/>
      <c r="N2000" s="67"/>
    </row>
    <row r="2001" spans="1:14" x14ac:dyDescent="0.35">
      <c r="A2001" s="61">
        <v>1997</v>
      </c>
      <c r="B2001" s="2"/>
      <c r="C2001" s="2"/>
      <c r="D2001" s="2"/>
      <c r="E2001" s="10"/>
      <c r="F2001" s="11"/>
      <c r="G2001" s="2"/>
      <c r="H2001" s="2"/>
      <c r="I2001" s="2"/>
      <c r="J2001" s="2"/>
      <c r="K2001" s="12"/>
      <c r="L2001" s="2"/>
      <c r="M2001" s="2"/>
      <c r="N2001" s="67"/>
    </row>
    <row r="2002" spans="1:14" x14ac:dyDescent="0.35">
      <c r="A2002" s="61">
        <v>1998</v>
      </c>
      <c r="B2002" s="2"/>
      <c r="C2002" s="2"/>
      <c r="D2002" s="2"/>
      <c r="E2002" s="10"/>
      <c r="F2002" s="11"/>
      <c r="G2002" s="2"/>
      <c r="H2002" s="2"/>
      <c r="I2002" s="2"/>
      <c r="J2002" s="2"/>
      <c r="K2002" s="12"/>
      <c r="L2002" s="2"/>
      <c r="M2002" s="2"/>
      <c r="N2002" s="67"/>
    </row>
    <row r="2003" spans="1:14" x14ac:dyDescent="0.35">
      <c r="A2003" s="61">
        <v>1999</v>
      </c>
      <c r="B2003" s="2"/>
      <c r="C2003" s="2"/>
      <c r="D2003" s="2"/>
      <c r="E2003" s="10"/>
      <c r="F2003" s="11"/>
      <c r="G2003" s="2"/>
      <c r="H2003" s="2"/>
      <c r="I2003" s="2"/>
      <c r="J2003" s="2"/>
      <c r="K2003" s="12"/>
      <c r="L2003" s="2"/>
      <c r="M2003" s="2"/>
      <c r="N2003" s="67"/>
    </row>
    <row r="2004" spans="1:14" ht="15" customHeight="1" x14ac:dyDescent="0.35">
      <c r="A2004" s="61">
        <v>2000</v>
      </c>
      <c r="B2004" s="2"/>
      <c r="C2004" s="2"/>
      <c r="D2004" s="2"/>
      <c r="E2004" s="10"/>
      <c r="F2004" s="11"/>
      <c r="G2004" s="2"/>
      <c r="H2004" s="2"/>
      <c r="I2004" s="2"/>
      <c r="J2004" s="2"/>
      <c r="K2004" s="12"/>
      <c r="L2004" s="2"/>
      <c r="M2004" s="2"/>
      <c r="N2004" s="67"/>
    </row>
    <row r="2005" spans="1:14" x14ac:dyDescent="0.35">
      <c r="A2005" s="61">
        <v>2001</v>
      </c>
      <c r="B2005" s="2"/>
      <c r="C2005" s="2"/>
      <c r="D2005" s="2"/>
      <c r="E2005" s="10"/>
      <c r="F2005" s="11"/>
      <c r="G2005" s="2"/>
      <c r="H2005" s="2"/>
      <c r="I2005" s="2"/>
      <c r="J2005" s="2"/>
      <c r="K2005" s="12"/>
      <c r="L2005" s="2"/>
      <c r="M2005" s="2"/>
      <c r="N2005" s="67"/>
    </row>
    <row r="2006" spans="1:14" x14ac:dyDescent="0.35">
      <c r="A2006" s="61">
        <v>2002</v>
      </c>
      <c r="B2006" s="2"/>
      <c r="C2006" s="2"/>
      <c r="D2006" s="2"/>
      <c r="E2006" s="10"/>
      <c r="F2006" s="11"/>
      <c r="G2006" s="2"/>
      <c r="H2006" s="2"/>
      <c r="I2006" s="2"/>
      <c r="J2006" s="2"/>
      <c r="K2006" s="12"/>
      <c r="L2006" s="2"/>
      <c r="M2006" s="2"/>
      <c r="N2006" s="67"/>
    </row>
    <row r="2007" spans="1:14" x14ac:dyDescent="0.35">
      <c r="A2007" s="61">
        <v>2003</v>
      </c>
      <c r="B2007" s="2"/>
      <c r="C2007" s="2"/>
      <c r="D2007" s="2"/>
      <c r="E2007" s="10"/>
      <c r="F2007" s="11"/>
      <c r="G2007" s="2"/>
      <c r="H2007" s="2"/>
      <c r="I2007" s="2"/>
      <c r="J2007" s="2"/>
      <c r="K2007" s="12"/>
      <c r="L2007" s="2"/>
      <c r="M2007" s="2"/>
      <c r="N2007" s="67"/>
    </row>
    <row r="2008" spans="1:14" x14ac:dyDescent="0.35">
      <c r="A2008" s="61">
        <v>2004</v>
      </c>
      <c r="B2008" s="2"/>
      <c r="C2008" s="2"/>
      <c r="D2008" s="2"/>
      <c r="E2008" s="10"/>
      <c r="F2008" s="11"/>
      <c r="G2008" s="2"/>
      <c r="H2008" s="2"/>
      <c r="I2008" s="2"/>
      <c r="J2008" s="2"/>
      <c r="K2008" s="12"/>
      <c r="L2008" s="2"/>
      <c r="M2008" s="2"/>
      <c r="N2008" s="67"/>
    </row>
    <row r="2009" spans="1:14" x14ac:dyDescent="0.35">
      <c r="A2009" s="61">
        <v>2005</v>
      </c>
      <c r="B2009" s="2"/>
      <c r="C2009" s="2"/>
      <c r="D2009" s="2"/>
      <c r="E2009" s="10"/>
      <c r="F2009" s="11"/>
      <c r="G2009" s="2"/>
      <c r="H2009" s="2"/>
      <c r="I2009" s="2"/>
      <c r="J2009" s="2"/>
      <c r="K2009" s="12"/>
      <c r="L2009" s="2"/>
      <c r="M2009" s="2"/>
      <c r="N2009" s="67"/>
    </row>
    <row r="2010" spans="1:14" x14ac:dyDescent="0.35">
      <c r="A2010" s="61">
        <v>2006</v>
      </c>
      <c r="B2010" s="2"/>
      <c r="C2010" s="2"/>
      <c r="D2010" s="2"/>
      <c r="E2010" s="10"/>
      <c r="F2010" s="11"/>
      <c r="G2010" s="2"/>
      <c r="H2010" s="2"/>
      <c r="I2010" s="2"/>
      <c r="J2010" s="2"/>
      <c r="K2010" s="12"/>
      <c r="L2010" s="2"/>
      <c r="M2010" s="2"/>
      <c r="N2010" s="67"/>
    </row>
    <row r="2011" spans="1:14" x14ac:dyDescent="0.35">
      <c r="A2011" s="61">
        <v>2007</v>
      </c>
      <c r="B2011" s="2"/>
      <c r="C2011" s="2"/>
      <c r="D2011" s="2"/>
      <c r="E2011" s="10"/>
      <c r="F2011" s="11"/>
      <c r="G2011" s="2"/>
      <c r="H2011" s="2"/>
      <c r="I2011" s="2"/>
      <c r="J2011" s="2"/>
      <c r="K2011" s="12"/>
      <c r="L2011" s="2"/>
      <c r="M2011" s="2"/>
      <c r="N2011" s="67"/>
    </row>
    <row r="2012" spans="1:14" x14ac:dyDescent="0.35">
      <c r="A2012" s="61">
        <v>2008</v>
      </c>
      <c r="B2012" s="2"/>
      <c r="C2012" s="2"/>
      <c r="D2012" s="2"/>
      <c r="E2012" s="10"/>
      <c r="F2012" s="11"/>
      <c r="G2012" s="2"/>
      <c r="H2012" s="2"/>
      <c r="I2012" s="2"/>
      <c r="J2012" s="2"/>
      <c r="K2012" s="12"/>
      <c r="L2012" s="2"/>
      <c r="M2012" s="2"/>
      <c r="N2012" s="67"/>
    </row>
    <row r="2013" spans="1:14" x14ac:dyDescent="0.35">
      <c r="A2013" s="61">
        <v>2009</v>
      </c>
      <c r="B2013" s="2"/>
      <c r="C2013" s="2"/>
      <c r="D2013" s="2"/>
      <c r="E2013" s="10"/>
      <c r="F2013" s="11"/>
      <c r="G2013" s="2"/>
      <c r="H2013" s="2"/>
      <c r="I2013" s="2"/>
      <c r="J2013" s="2"/>
      <c r="K2013" s="12"/>
      <c r="L2013" s="2"/>
      <c r="M2013" s="2"/>
      <c r="N2013" s="67"/>
    </row>
    <row r="2014" spans="1:14" x14ac:dyDescent="0.35">
      <c r="A2014" s="61">
        <v>2010</v>
      </c>
      <c r="B2014" s="2"/>
      <c r="C2014" s="2"/>
      <c r="D2014" s="2"/>
      <c r="E2014" s="10"/>
      <c r="F2014" s="11"/>
      <c r="G2014" s="2"/>
      <c r="H2014" s="2"/>
      <c r="I2014" s="2"/>
      <c r="J2014" s="2"/>
      <c r="K2014" s="12"/>
      <c r="L2014" s="2"/>
      <c r="M2014" s="2"/>
      <c r="N2014" s="67"/>
    </row>
    <row r="2015" spans="1:14" x14ac:dyDescent="0.35">
      <c r="A2015" s="61">
        <v>2011</v>
      </c>
      <c r="B2015" s="2"/>
      <c r="C2015" s="2"/>
      <c r="D2015" s="2"/>
      <c r="E2015" s="10"/>
      <c r="F2015" s="11"/>
      <c r="G2015" s="2"/>
      <c r="H2015" s="2"/>
      <c r="I2015" s="2"/>
      <c r="J2015" s="2"/>
      <c r="K2015" s="12"/>
      <c r="L2015" s="2"/>
      <c r="M2015" s="2"/>
      <c r="N2015" s="67"/>
    </row>
    <row r="2016" spans="1:14" x14ac:dyDescent="0.35">
      <c r="A2016" s="61">
        <v>2012</v>
      </c>
      <c r="B2016" s="2"/>
      <c r="C2016" s="2"/>
      <c r="D2016" s="2"/>
      <c r="E2016" s="10"/>
      <c r="F2016" s="11"/>
      <c r="G2016" s="2"/>
      <c r="H2016" s="2"/>
      <c r="I2016" s="2"/>
      <c r="J2016" s="2"/>
      <c r="K2016" s="12"/>
      <c r="L2016" s="2"/>
      <c r="M2016" s="2"/>
      <c r="N2016" s="67"/>
    </row>
    <row r="2017" spans="1:14" x14ac:dyDescent="0.35">
      <c r="A2017" s="61">
        <v>2013</v>
      </c>
      <c r="B2017" s="2"/>
      <c r="C2017" s="2"/>
      <c r="D2017" s="2"/>
      <c r="E2017" s="10"/>
      <c r="F2017" s="11"/>
      <c r="G2017" s="2"/>
      <c r="H2017" s="2"/>
      <c r="I2017" s="2"/>
      <c r="J2017" s="2"/>
      <c r="K2017" s="12"/>
      <c r="L2017" s="2"/>
      <c r="M2017" s="2"/>
      <c r="N2017" s="67"/>
    </row>
    <row r="2018" spans="1:14" x14ac:dyDescent="0.35">
      <c r="A2018" s="61">
        <v>2014</v>
      </c>
      <c r="B2018" s="2"/>
      <c r="C2018" s="2"/>
      <c r="D2018" s="2"/>
      <c r="E2018" s="10"/>
      <c r="F2018" s="11"/>
      <c r="G2018" s="2"/>
      <c r="H2018" s="2"/>
      <c r="I2018" s="2"/>
      <c r="J2018" s="2"/>
      <c r="K2018" s="12"/>
      <c r="L2018" s="2"/>
      <c r="M2018" s="2"/>
      <c r="N2018" s="67"/>
    </row>
    <row r="2019" spans="1:14" x14ac:dyDescent="0.35">
      <c r="A2019" s="61">
        <v>2015</v>
      </c>
      <c r="B2019" s="2"/>
      <c r="C2019" s="2"/>
      <c r="D2019" s="2"/>
      <c r="E2019" s="10"/>
      <c r="F2019" s="11"/>
      <c r="G2019" s="2"/>
      <c r="H2019" s="2"/>
      <c r="I2019" s="2"/>
      <c r="J2019" s="2"/>
      <c r="K2019" s="12"/>
      <c r="L2019" s="2"/>
      <c r="M2019" s="2"/>
      <c r="N2019" s="67"/>
    </row>
    <row r="2020" spans="1:14" x14ac:dyDescent="0.35">
      <c r="A2020" s="61">
        <v>2016</v>
      </c>
      <c r="B2020" s="2"/>
      <c r="C2020" s="2"/>
      <c r="D2020" s="2"/>
      <c r="E2020" s="10"/>
      <c r="F2020" s="11"/>
      <c r="G2020" s="2"/>
      <c r="H2020" s="2"/>
      <c r="I2020" s="2"/>
      <c r="J2020" s="2"/>
      <c r="K2020" s="12"/>
      <c r="L2020" s="2"/>
      <c r="M2020" s="2"/>
      <c r="N2020" s="67"/>
    </row>
    <row r="2021" spans="1:14" x14ac:dyDescent="0.35">
      <c r="A2021" s="61">
        <v>2017</v>
      </c>
      <c r="B2021" s="2"/>
      <c r="C2021" s="2"/>
      <c r="D2021" s="2"/>
      <c r="E2021" s="10"/>
      <c r="F2021" s="11"/>
      <c r="G2021" s="2"/>
      <c r="H2021" s="2"/>
      <c r="I2021" s="2"/>
      <c r="J2021" s="2"/>
      <c r="K2021" s="12"/>
      <c r="L2021" s="2"/>
      <c r="M2021" s="2"/>
      <c r="N2021" s="67"/>
    </row>
    <row r="2022" spans="1:14" x14ac:dyDescent="0.35">
      <c r="A2022" s="61">
        <v>2018</v>
      </c>
      <c r="B2022" s="2"/>
      <c r="C2022" s="2"/>
      <c r="D2022" s="2"/>
      <c r="E2022" s="10"/>
      <c r="F2022" s="11"/>
      <c r="G2022" s="2"/>
      <c r="H2022" s="2"/>
      <c r="I2022" s="2"/>
      <c r="J2022" s="2"/>
      <c r="K2022" s="12"/>
      <c r="L2022" s="2"/>
      <c r="M2022" s="2"/>
      <c r="N2022" s="67"/>
    </row>
    <row r="2023" spans="1:14" x14ac:dyDescent="0.35">
      <c r="A2023" s="61">
        <v>2019</v>
      </c>
      <c r="B2023" s="2"/>
      <c r="C2023" s="2"/>
      <c r="D2023" s="2"/>
      <c r="E2023" s="10"/>
      <c r="F2023" s="11"/>
      <c r="G2023" s="2"/>
      <c r="H2023" s="2"/>
      <c r="I2023" s="2"/>
      <c r="J2023" s="2"/>
      <c r="K2023" s="12"/>
      <c r="L2023" s="2"/>
      <c r="M2023" s="2"/>
      <c r="N2023" s="67"/>
    </row>
    <row r="2024" spans="1:14" x14ac:dyDescent="0.35">
      <c r="A2024" s="61">
        <v>2020</v>
      </c>
      <c r="B2024" s="2"/>
      <c r="C2024" s="2"/>
      <c r="D2024" s="2"/>
      <c r="E2024" s="10"/>
      <c r="F2024" s="11"/>
      <c r="G2024" s="2"/>
      <c r="H2024" s="2"/>
      <c r="I2024" s="2"/>
      <c r="J2024" s="2"/>
      <c r="K2024" s="12"/>
      <c r="L2024" s="2"/>
      <c r="M2024" s="2"/>
      <c r="N2024" s="67"/>
    </row>
    <row r="2025" spans="1:14" x14ac:dyDescent="0.35">
      <c r="A2025" s="61">
        <v>2021</v>
      </c>
      <c r="B2025" s="2"/>
      <c r="C2025" s="2"/>
      <c r="D2025" s="2"/>
      <c r="E2025" s="10"/>
      <c r="F2025" s="11"/>
      <c r="G2025" s="2"/>
      <c r="H2025" s="2"/>
      <c r="I2025" s="2"/>
      <c r="J2025" s="2"/>
      <c r="K2025" s="12"/>
      <c r="L2025" s="2"/>
      <c r="M2025" s="2"/>
      <c r="N2025" s="67"/>
    </row>
    <row r="2026" spans="1:14" x14ac:dyDescent="0.35">
      <c r="A2026" s="61">
        <v>2022</v>
      </c>
      <c r="B2026" s="2"/>
      <c r="C2026" s="2"/>
      <c r="D2026" s="2"/>
      <c r="E2026" s="10"/>
      <c r="F2026" s="11"/>
      <c r="G2026" s="2"/>
      <c r="H2026" s="2"/>
      <c r="I2026" s="2"/>
      <c r="J2026" s="2"/>
      <c r="K2026" s="12"/>
      <c r="L2026" s="2"/>
      <c r="M2026" s="2"/>
      <c r="N2026" s="67"/>
    </row>
    <row r="2027" spans="1:14" x14ac:dyDescent="0.35">
      <c r="A2027" s="61">
        <v>2023</v>
      </c>
      <c r="B2027" s="2"/>
      <c r="C2027" s="2"/>
      <c r="D2027" s="2"/>
      <c r="E2027" s="10"/>
      <c r="F2027" s="11"/>
      <c r="G2027" s="2"/>
      <c r="H2027" s="2"/>
      <c r="I2027" s="2"/>
      <c r="J2027" s="2"/>
      <c r="K2027" s="12"/>
      <c r="L2027" s="2"/>
      <c r="M2027" s="2"/>
      <c r="N2027" s="67"/>
    </row>
    <row r="2028" spans="1:14" x14ac:dyDescent="0.35">
      <c r="A2028" s="61">
        <v>2024</v>
      </c>
      <c r="B2028" s="2"/>
      <c r="C2028" s="2"/>
      <c r="D2028" s="2"/>
      <c r="E2028" s="10"/>
      <c r="F2028" s="11"/>
      <c r="G2028" s="2"/>
      <c r="H2028" s="2"/>
      <c r="I2028" s="2"/>
      <c r="J2028" s="2"/>
      <c r="K2028" s="12"/>
      <c r="L2028" s="2"/>
      <c r="M2028" s="2"/>
      <c r="N2028" s="67"/>
    </row>
    <row r="2029" spans="1:14" x14ac:dyDescent="0.35">
      <c r="A2029" s="61">
        <v>2025</v>
      </c>
      <c r="B2029" s="2"/>
      <c r="C2029" s="2"/>
      <c r="D2029" s="2"/>
      <c r="E2029" s="10"/>
      <c r="F2029" s="11"/>
      <c r="G2029" s="2"/>
      <c r="H2029" s="2"/>
      <c r="I2029" s="2"/>
      <c r="J2029" s="2"/>
      <c r="K2029" s="12"/>
      <c r="L2029" s="2"/>
      <c r="M2029" s="2"/>
      <c r="N2029" s="67"/>
    </row>
    <row r="2030" spans="1:14" x14ac:dyDescent="0.35">
      <c r="A2030" s="61">
        <v>2026</v>
      </c>
      <c r="B2030" s="2"/>
      <c r="C2030" s="2"/>
      <c r="D2030" s="2"/>
      <c r="E2030" s="10"/>
      <c r="F2030" s="11"/>
      <c r="G2030" s="2"/>
      <c r="H2030" s="2"/>
      <c r="I2030" s="2"/>
      <c r="J2030" s="2"/>
      <c r="K2030" s="12"/>
      <c r="L2030" s="2"/>
      <c r="M2030" s="2"/>
      <c r="N2030" s="67"/>
    </row>
    <row r="2031" spans="1:14" x14ac:dyDescent="0.35">
      <c r="A2031" s="61">
        <v>2027</v>
      </c>
      <c r="B2031" s="2"/>
      <c r="C2031" s="2"/>
      <c r="D2031" s="2"/>
      <c r="E2031" s="10"/>
      <c r="F2031" s="11"/>
      <c r="G2031" s="2"/>
      <c r="H2031" s="2"/>
      <c r="I2031" s="2"/>
      <c r="J2031" s="2"/>
      <c r="K2031" s="12"/>
      <c r="L2031" s="2"/>
      <c r="M2031" s="2"/>
      <c r="N2031" s="67"/>
    </row>
    <row r="2032" spans="1:14" x14ac:dyDescent="0.35">
      <c r="A2032" s="61">
        <v>2028</v>
      </c>
      <c r="B2032" s="2"/>
      <c r="C2032" s="2"/>
      <c r="D2032" s="2"/>
      <c r="E2032" s="10"/>
      <c r="F2032" s="11"/>
      <c r="G2032" s="2"/>
      <c r="H2032" s="2"/>
      <c r="I2032" s="2"/>
      <c r="J2032" s="2"/>
      <c r="K2032" s="12"/>
      <c r="L2032" s="2"/>
      <c r="M2032" s="2"/>
      <c r="N2032" s="67"/>
    </row>
    <row r="2033" spans="1:14" x14ac:dyDescent="0.35">
      <c r="A2033" s="61">
        <v>2029</v>
      </c>
      <c r="B2033" s="2"/>
      <c r="C2033" s="2"/>
      <c r="D2033" s="2"/>
      <c r="E2033" s="10"/>
      <c r="F2033" s="11"/>
      <c r="G2033" s="2"/>
      <c r="H2033" s="2"/>
      <c r="I2033" s="2"/>
      <c r="J2033" s="2"/>
      <c r="K2033" s="12"/>
      <c r="L2033" s="2"/>
      <c r="M2033" s="2"/>
      <c r="N2033" s="67"/>
    </row>
    <row r="2034" spans="1:14" x14ac:dyDescent="0.35">
      <c r="A2034" s="61">
        <v>2030</v>
      </c>
      <c r="B2034" s="2"/>
      <c r="C2034" s="2"/>
      <c r="D2034" s="2"/>
      <c r="E2034" s="10"/>
      <c r="F2034" s="11"/>
      <c r="G2034" s="2"/>
      <c r="H2034" s="2"/>
      <c r="I2034" s="2"/>
      <c r="J2034" s="2"/>
      <c r="K2034" s="12"/>
      <c r="L2034" s="2"/>
      <c r="M2034" s="2"/>
      <c r="N2034" s="67"/>
    </row>
    <row r="2035" spans="1:14" x14ac:dyDescent="0.35">
      <c r="A2035" s="61">
        <v>2031</v>
      </c>
      <c r="B2035" s="2"/>
      <c r="C2035" s="2"/>
      <c r="D2035" s="2"/>
      <c r="E2035" s="10"/>
      <c r="F2035" s="11"/>
      <c r="G2035" s="2"/>
      <c r="H2035" s="2"/>
      <c r="I2035" s="2"/>
      <c r="J2035" s="2"/>
      <c r="K2035" s="12"/>
      <c r="L2035" s="2"/>
      <c r="M2035" s="2"/>
      <c r="N2035" s="67"/>
    </row>
    <row r="2036" spans="1:14" x14ac:dyDescent="0.35">
      <c r="A2036" s="61">
        <v>2032</v>
      </c>
      <c r="B2036" s="2"/>
      <c r="C2036" s="2"/>
      <c r="D2036" s="2"/>
      <c r="E2036" s="10"/>
      <c r="F2036" s="11"/>
      <c r="G2036" s="2"/>
      <c r="H2036" s="2"/>
      <c r="I2036" s="2"/>
      <c r="J2036" s="2"/>
      <c r="K2036" s="12"/>
      <c r="L2036" s="2"/>
      <c r="M2036" s="2"/>
      <c r="N2036" s="67"/>
    </row>
    <row r="2037" spans="1:14" x14ac:dyDescent="0.35">
      <c r="A2037" s="61">
        <v>2033</v>
      </c>
      <c r="B2037" s="2"/>
      <c r="C2037" s="2"/>
      <c r="D2037" s="2"/>
      <c r="E2037" s="10"/>
      <c r="F2037" s="11"/>
      <c r="G2037" s="2"/>
      <c r="H2037" s="2"/>
      <c r="I2037" s="2"/>
      <c r="J2037" s="2"/>
      <c r="K2037" s="12"/>
      <c r="L2037" s="2"/>
      <c r="M2037" s="2"/>
      <c r="N2037" s="67"/>
    </row>
    <row r="2038" spans="1:14" x14ac:dyDescent="0.35">
      <c r="A2038" s="61">
        <v>2034</v>
      </c>
      <c r="B2038" s="2"/>
      <c r="C2038" s="2"/>
      <c r="D2038" s="2"/>
      <c r="E2038" s="10"/>
      <c r="F2038" s="11"/>
      <c r="G2038" s="2"/>
      <c r="H2038" s="2"/>
      <c r="I2038" s="2"/>
      <c r="J2038" s="2"/>
      <c r="K2038" s="12"/>
      <c r="L2038" s="2"/>
      <c r="M2038" s="2"/>
      <c r="N2038" s="67"/>
    </row>
    <row r="2039" spans="1:14" x14ac:dyDescent="0.35">
      <c r="A2039" s="61">
        <v>2035</v>
      </c>
      <c r="B2039" s="2"/>
      <c r="C2039" s="2"/>
      <c r="D2039" s="2"/>
      <c r="E2039" s="10"/>
      <c r="F2039" s="11"/>
      <c r="G2039" s="2"/>
      <c r="H2039" s="2"/>
      <c r="I2039" s="2"/>
      <c r="J2039" s="2"/>
      <c r="K2039" s="12"/>
      <c r="L2039" s="2"/>
      <c r="M2039" s="2"/>
      <c r="N2039" s="67"/>
    </row>
    <row r="2040" spans="1:14" x14ac:dyDescent="0.35">
      <c r="A2040" s="61">
        <v>2036</v>
      </c>
      <c r="B2040" s="2"/>
      <c r="C2040" s="2"/>
      <c r="D2040" s="2"/>
      <c r="E2040" s="10"/>
      <c r="F2040" s="11"/>
      <c r="G2040" s="2"/>
      <c r="H2040" s="2"/>
      <c r="I2040" s="2"/>
      <c r="J2040" s="2"/>
      <c r="K2040" s="12"/>
      <c r="L2040" s="2"/>
      <c r="M2040" s="2"/>
      <c r="N2040" s="67"/>
    </row>
    <row r="2041" spans="1:14" x14ac:dyDescent="0.35">
      <c r="A2041" s="61">
        <v>2037</v>
      </c>
      <c r="B2041" s="2"/>
      <c r="C2041" s="2"/>
      <c r="D2041" s="2"/>
      <c r="E2041" s="10"/>
      <c r="F2041" s="11"/>
      <c r="G2041" s="2"/>
      <c r="H2041" s="2"/>
      <c r="I2041" s="2"/>
      <c r="J2041" s="2"/>
      <c r="K2041" s="12"/>
      <c r="L2041" s="2"/>
      <c r="M2041" s="2"/>
      <c r="N2041" s="67"/>
    </row>
    <row r="2042" spans="1:14" x14ac:dyDescent="0.35">
      <c r="A2042" s="61">
        <v>2038</v>
      </c>
      <c r="B2042" s="2"/>
      <c r="C2042" s="2"/>
      <c r="D2042" s="2"/>
      <c r="E2042" s="10"/>
      <c r="F2042" s="11"/>
      <c r="G2042" s="2"/>
      <c r="H2042" s="2"/>
      <c r="I2042" s="2"/>
      <c r="J2042" s="2"/>
      <c r="K2042" s="12"/>
      <c r="L2042" s="2"/>
      <c r="M2042" s="2"/>
      <c r="N2042" s="67"/>
    </row>
    <row r="2043" spans="1:14" x14ac:dyDescent="0.35">
      <c r="A2043" s="61">
        <v>2039</v>
      </c>
      <c r="B2043" s="2"/>
      <c r="C2043" s="2"/>
      <c r="D2043" s="2"/>
      <c r="E2043" s="10"/>
      <c r="F2043" s="11"/>
      <c r="G2043" s="2"/>
      <c r="H2043" s="2"/>
      <c r="I2043" s="2"/>
      <c r="J2043" s="2"/>
      <c r="K2043" s="12"/>
      <c r="L2043" s="2"/>
      <c r="M2043" s="2"/>
      <c r="N2043" s="67"/>
    </row>
    <row r="2044" spans="1:14" x14ac:dyDescent="0.35">
      <c r="A2044" s="61">
        <v>2040</v>
      </c>
      <c r="B2044" s="2"/>
      <c r="C2044" s="2"/>
      <c r="D2044" s="2"/>
      <c r="E2044" s="10"/>
      <c r="F2044" s="11"/>
      <c r="G2044" s="2"/>
      <c r="H2044" s="2"/>
      <c r="I2044" s="2"/>
      <c r="J2044" s="2"/>
      <c r="K2044" s="12"/>
      <c r="L2044" s="2"/>
      <c r="M2044" s="2"/>
      <c r="N2044" s="67"/>
    </row>
    <row r="2045" spans="1:14" x14ac:dyDescent="0.35">
      <c r="A2045" s="61">
        <v>2041</v>
      </c>
      <c r="B2045" s="2"/>
      <c r="C2045" s="2"/>
      <c r="D2045" s="2"/>
      <c r="E2045" s="10"/>
      <c r="F2045" s="11"/>
      <c r="G2045" s="2"/>
      <c r="H2045" s="2"/>
      <c r="I2045" s="2"/>
      <c r="J2045" s="2"/>
      <c r="K2045" s="12"/>
      <c r="L2045" s="2"/>
      <c r="M2045" s="2"/>
      <c r="N2045" s="67"/>
    </row>
    <row r="2046" spans="1:14" x14ac:dyDescent="0.35">
      <c r="A2046" s="61">
        <v>2042</v>
      </c>
      <c r="B2046" s="2"/>
      <c r="C2046" s="2"/>
      <c r="D2046" s="2"/>
      <c r="E2046" s="10"/>
      <c r="F2046" s="11"/>
      <c r="G2046" s="2"/>
      <c r="H2046" s="2"/>
      <c r="I2046" s="2"/>
      <c r="J2046" s="2"/>
      <c r="K2046" s="12"/>
      <c r="L2046" s="2"/>
      <c r="M2046" s="2"/>
      <c r="N2046" s="67"/>
    </row>
    <row r="2047" spans="1:14" x14ac:dyDescent="0.35">
      <c r="A2047" s="61">
        <v>2043</v>
      </c>
      <c r="B2047" s="2"/>
      <c r="C2047" s="2"/>
      <c r="D2047" s="2"/>
      <c r="E2047" s="10"/>
      <c r="F2047" s="11"/>
      <c r="G2047" s="2"/>
      <c r="H2047" s="2"/>
      <c r="I2047" s="2"/>
      <c r="J2047" s="2"/>
      <c r="K2047" s="12"/>
      <c r="L2047" s="2"/>
      <c r="M2047" s="2"/>
      <c r="N2047" s="67"/>
    </row>
    <row r="2048" spans="1:14" x14ac:dyDescent="0.35">
      <c r="A2048" s="61">
        <v>2044</v>
      </c>
      <c r="B2048" s="2"/>
      <c r="C2048" s="2"/>
      <c r="D2048" s="2"/>
      <c r="E2048" s="10"/>
      <c r="F2048" s="11"/>
      <c r="G2048" s="2"/>
      <c r="H2048" s="2"/>
      <c r="I2048" s="2"/>
      <c r="J2048" s="2"/>
      <c r="K2048" s="12"/>
      <c r="L2048" s="2"/>
      <c r="M2048" s="2"/>
      <c r="N2048" s="67"/>
    </row>
    <row r="2049" spans="1:14" x14ac:dyDescent="0.35">
      <c r="A2049" s="61">
        <v>2045</v>
      </c>
      <c r="B2049" s="2"/>
      <c r="C2049" s="2"/>
      <c r="D2049" s="2"/>
      <c r="E2049" s="10"/>
      <c r="F2049" s="11"/>
      <c r="G2049" s="2"/>
      <c r="H2049" s="2"/>
      <c r="I2049" s="2"/>
      <c r="J2049" s="2"/>
      <c r="K2049" s="12"/>
      <c r="L2049" s="2"/>
      <c r="M2049" s="2"/>
      <c r="N2049" s="67"/>
    </row>
    <row r="2050" spans="1:14" x14ac:dyDescent="0.35">
      <c r="A2050" s="61">
        <v>2046</v>
      </c>
      <c r="B2050" s="2"/>
      <c r="C2050" s="2"/>
      <c r="D2050" s="2"/>
      <c r="E2050" s="10"/>
      <c r="F2050" s="11"/>
      <c r="G2050" s="2"/>
      <c r="H2050" s="2"/>
      <c r="I2050" s="2"/>
      <c r="J2050" s="2"/>
      <c r="K2050" s="12"/>
      <c r="L2050" s="2"/>
      <c r="M2050" s="2"/>
      <c r="N2050" s="67"/>
    </row>
    <row r="2051" spans="1:14" x14ac:dyDescent="0.35">
      <c r="A2051" s="61">
        <v>2047</v>
      </c>
      <c r="B2051" s="2"/>
      <c r="C2051" s="2"/>
      <c r="D2051" s="2"/>
      <c r="E2051" s="10"/>
      <c r="F2051" s="11"/>
      <c r="G2051" s="2"/>
      <c r="H2051" s="2"/>
      <c r="I2051" s="2"/>
      <c r="J2051" s="2"/>
      <c r="K2051" s="12"/>
      <c r="L2051" s="2"/>
      <c r="M2051" s="2"/>
      <c r="N2051" s="67"/>
    </row>
    <row r="2052" spans="1:14" x14ac:dyDescent="0.35">
      <c r="A2052" s="61">
        <v>2048</v>
      </c>
      <c r="B2052" s="2"/>
      <c r="C2052" s="2"/>
      <c r="D2052" s="2"/>
      <c r="E2052" s="10"/>
      <c r="F2052" s="11"/>
      <c r="G2052" s="2"/>
      <c r="H2052" s="2"/>
      <c r="I2052" s="2"/>
      <c r="J2052" s="2"/>
      <c r="K2052" s="12"/>
      <c r="L2052" s="2"/>
      <c r="M2052" s="2"/>
      <c r="N2052" s="67"/>
    </row>
    <row r="2053" spans="1:14" x14ac:dyDescent="0.35">
      <c r="A2053" s="61">
        <v>2049</v>
      </c>
      <c r="B2053" s="2"/>
      <c r="C2053" s="2"/>
      <c r="D2053" s="2"/>
      <c r="E2053" s="10"/>
      <c r="F2053" s="11"/>
      <c r="G2053" s="2"/>
      <c r="H2053" s="2"/>
      <c r="I2053" s="2"/>
      <c r="J2053" s="2"/>
      <c r="K2053" s="12"/>
      <c r="L2053" s="2"/>
      <c r="M2053" s="2"/>
      <c r="N2053" s="67"/>
    </row>
    <row r="2054" spans="1:14" x14ac:dyDescent="0.35">
      <c r="A2054" s="61">
        <v>2050</v>
      </c>
      <c r="B2054" s="2"/>
      <c r="C2054" s="2"/>
      <c r="D2054" s="2"/>
      <c r="E2054" s="10"/>
      <c r="F2054" s="11"/>
      <c r="G2054" s="2"/>
      <c r="H2054" s="2"/>
      <c r="I2054" s="2"/>
      <c r="J2054" s="2"/>
      <c r="K2054" s="12"/>
      <c r="L2054" s="2"/>
      <c r="M2054" s="2"/>
      <c r="N2054" s="67"/>
    </row>
    <row r="2055" spans="1:14" x14ac:dyDescent="0.35">
      <c r="A2055" s="61">
        <v>2051</v>
      </c>
      <c r="B2055" s="2"/>
      <c r="C2055" s="2"/>
      <c r="D2055" s="2"/>
      <c r="E2055" s="10"/>
      <c r="F2055" s="11"/>
      <c r="G2055" s="2"/>
      <c r="H2055" s="2"/>
      <c r="I2055" s="2"/>
      <c r="J2055" s="2"/>
      <c r="K2055" s="12"/>
      <c r="L2055" s="2"/>
      <c r="M2055" s="2"/>
      <c r="N2055" s="67"/>
    </row>
    <row r="2056" spans="1:14" x14ac:dyDescent="0.35">
      <c r="A2056" s="61">
        <v>2052</v>
      </c>
      <c r="B2056" s="2"/>
      <c r="C2056" s="2"/>
      <c r="D2056" s="2"/>
      <c r="E2056" s="10"/>
      <c r="F2056" s="11"/>
      <c r="G2056" s="2"/>
      <c r="H2056" s="2"/>
      <c r="I2056" s="2"/>
      <c r="J2056" s="2"/>
      <c r="K2056" s="12"/>
      <c r="L2056" s="2"/>
      <c r="M2056" s="2"/>
      <c r="N2056" s="67"/>
    </row>
    <row r="2057" spans="1:14" x14ac:dyDescent="0.35">
      <c r="A2057" s="61">
        <v>2053</v>
      </c>
      <c r="B2057" s="2"/>
      <c r="C2057" s="2"/>
      <c r="D2057" s="2"/>
      <c r="E2057" s="10"/>
      <c r="F2057" s="11"/>
      <c r="G2057" s="2"/>
      <c r="H2057" s="2"/>
      <c r="I2057" s="2"/>
      <c r="J2057" s="2"/>
      <c r="K2057" s="12"/>
      <c r="L2057" s="2"/>
      <c r="M2057" s="2"/>
      <c r="N2057" s="67"/>
    </row>
    <row r="2058" spans="1:14" x14ac:dyDescent="0.35">
      <c r="A2058" s="61">
        <v>2054</v>
      </c>
      <c r="B2058" s="2"/>
      <c r="C2058" s="2"/>
      <c r="D2058" s="2"/>
      <c r="E2058" s="10"/>
      <c r="F2058" s="11"/>
      <c r="G2058" s="2"/>
      <c r="H2058" s="2"/>
      <c r="I2058" s="2"/>
      <c r="J2058" s="2"/>
      <c r="K2058" s="12"/>
      <c r="L2058" s="2"/>
      <c r="M2058" s="2"/>
      <c r="N2058" s="67"/>
    </row>
    <row r="2059" spans="1:14" x14ac:dyDescent="0.35">
      <c r="A2059" s="61">
        <v>2055</v>
      </c>
      <c r="B2059" s="2"/>
      <c r="C2059" s="2"/>
      <c r="D2059" s="2"/>
      <c r="E2059" s="10"/>
      <c r="F2059" s="11"/>
      <c r="G2059" s="2"/>
      <c r="H2059" s="2"/>
      <c r="I2059" s="2"/>
      <c r="J2059" s="2"/>
      <c r="K2059" s="12"/>
      <c r="L2059" s="2"/>
      <c r="M2059" s="2"/>
      <c r="N2059" s="67"/>
    </row>
    <row r="2060" spans="1:14" x14ac:dyDescent="0.35">
      <c r="A2060" s="61">
        <v>2056</v>
      </c>
      <c r="B2060" s="2"/>
      <c r="C2060" s="2"/>
      <c r="D2060" s="2"/>
      <c r="E2060" s="10"/>
      <c r="F2060" s="11"/>
      <c r="G2060" s="2"/>
      <c r="H2060" s="2"/>
      <c r="I2060" s="2"/>
      <c r="J2060" s="2"/>
      <c r="K2060" s="12"/>
      <c r="L2060" s="2"/>
      <c r="M2060" s="2"/>
      <c r="N2060" s="67"/>
    </row>
    <row r="2061" spans="1:14" x14ac:dyDescent="0.35">
      <c r="A2061" s="61">
        <v>2057</v>
      </c>
      <c r="B2061" s="2"/>
      <c r="C2061" s="2"/>
      <c r="D2061" s="2"/>
      <c r="E2061" s="10"/>
      <c r="F2061" s="11"/>
      <c r="G2061" s="2"/>
      <c r="H2061" s="2"/>
      <c r="I2061" s="2"/>
      <c r="J2061" s="2"/>
      <c r="K2061" s="12"/>
      <c r="L2061" s="2"/>
      <c r="M2061" s="2"/>
      <c r="N2061" s="67"/>
    </row>
    <row r="2062" spans="1:14" x14ac:dyDescent="0.35">
      <c r="A2062" s="61">
        <v>2058</v>
      </c>
      <c r="B2062" s="2"/>
      <c r="C2062" s="2"/>
      <c r="D2062" s="2"/>
      <c r="E2062" s="10"/>
      <c r="F2062" s="11"/>
      <c r="G2062" s="2"/>
      <c r="H2062" s="2"/>
      <c r="I2062" s="2"/>
      <c r="J2062" s="2"/>
      <c r="K2062" s="12"/>
      <c r="L2062" s="2"/>
      <c r="M2062" s="2"/>
      <c r="N2062" s="67"/>
    </row>
    <row r="2063" spans="1:14" x14ac:dyDescent="0.35">
      <c r="A2063" s="61">
        <v>2059</v>
      </c>
      <c r="B2063" s="2"/>
      <c r="C2063" s="2"/>
      <c r="D2063" s="2"/>
      <c r="E2063" s="10"/>
      <c r="F2063" s="11"/>
      <c r="G2063" s="2"/>
      <c r="H2063" s="2"/>
      <c r="I2063" s="2"/>
      <c r="J2063" s="2"/>
      <c r="K2063" s="12"/>
      <c r="L2063" s="2"/>
      <c r="M2063" s="2"/>
      <c r="N2063" s="67"/>
    </row>
    <row r="2064" spans="1:14" x14ac:dyDescent="0.35">
      <c r="A2064" s="61">
        <v>2060</v>
      </c>
      <c r="B2064" s="2"/>
      <c r="C2064" s="2"/>
      <c r="D2064" s="2"/>
      <c r="E2064" s="10"/>
      <c r="F2064" s="11"/>
      <c r="G2064" s="2"/>
      <c r="H2064" s="2"/>
      <c r="I2064" s="2"/>
      <c r="J2064" s="2"/>
      <c r="K2064" s="12"/>
      <c r="L2064" s="2"/>
      <c r="M2064" s="2"/>
      <c r="N2064" s="67"/>
    </row>
    <row r="2065" spans="1:14" x14ac:dyDescent="0.35">
      <c r="A2065" s="61">
        <v>2061</v>
      </c>
      <c r="B2065" s="2"/>
      <c r="C2065" s="2"/>
      <c r="D2065" s="2"/>
      <c r="E2065" s="10"/>
      <c r="F2065" s="11"/>
      <c r="G2065" s="2"/>
      <c r="H2065" s="2"/>
      <c r="I2065" s="2"/>
      <c r="J2065" s="2"/>
      <c r="K2065" s="12"/>
      <c r="L2065" s="2"/>
      <c r="M2065" s="2"/>
      <c r="N2065" s="67"/>
    </row>
    <row r="2066" spans="1:14" x14ac:dyDescent="0.35">
      <c r="A2066" s="61">
        <v>2062</v>
      </c>
      <c r="B2066" s="2"/>
      <c r="C2066" s="2"/>
      <c r="D2066" s="2"/>
      <c r="E2066" s="10"/>
      <c r="F2066" s="11"/>
      <c r="G2066" s="2"/>
      <c r="H2066" s="2"/>
      <c r="I2066" s="2"/>
      <c r="J2066" s="2"/>
      <c r="K2066" s="12"/>
      <c r="L2066" s="2"/>
      <c r="M2066" s="2"/>
      <c r="N2066" s="67"/>
    </row>
    <row r="2067" spans="1:14" x14ac:dyDescent="0.35">
      <c r="A2067" s="61">
        <v>2063</v>
      </c>
      <c r="B2067" s="2"/>
      <c r="C2067" s="2"/>
      <c r="D2067" s="2"/>
      <c r="E2067" s="10"/>
      <c r="F2067" s="11"/>
      <c r="G2067" s="2"/>
      <c r="H2067" s="2"/>
      <c r="I2067" s="2"/>
      <c r="J2067" s="2"/>
      <c r="K2067" s="12"/>
      <c r="L2067" s="2"/>
      <c r="M2067" s="2"/>
      <c r="N2067" s="67"/>
    </row>
    <row r="2068" spans="1:14" x14ac:dyDescent="0.35">
      <c r="A2068" s="61">
        <v>2064</v>
      </c>
      <c r="B2068" s="2"/>
      <c r="C2068" s="2"/>
      <c r="D2068" s="2"/>
      <c r="E2068" s="10"/>
      <c r="F2068" s="11"/>
      <c r="G2068" s="2"/>
      <c r="H2068" s="2"/>
      <c r="I2068" s="2"/>
      <c r="J2068" s="2"/>
      <c r="K2068" s="12"/>
      <c r="L2068" s="2"/>
      <c r="M2068" s="2"/>
      <c r="N2068" s="67"/>
    </row>
    <row r="2069" spans="1:14" x14ac:dyDescent="0.35">
      <c r="A2069" s="61">
        <v>2065</v>
      </c>
      <c r="B2069" s="2"/>
      <c r="C2069" s="2"/>
      <c r="D2069" s="2"/>
      <c r="E2069" s="10"/>
      <c r="F2069" s="11"/>
      <c r="G2069" s="2"/>
      <c r="H2069" s="2"/>
      <c r="I2069" s="2"/>
      <c r="J2069" s="2"/>
      <c r="K2069" s="12"/>
      <c r="L2069" s="2"/>
      <c r="M2069" s="2"/>
      <c r="N2069" s="67"/>
    </row>
    <row r="2070" spans="1:14" x14ac:dyDescent="0.35">
      <c r="A2070" s="61">
        <v>2066</v>
      </c>
      <c r="B2070" s="2"/>
      <c r="C2070" s="2"/>
      <c r="D2070" s="2"/>
      <c r="E2070" s="10"/>
      <c r="F2070" s="11"/>
      <c r="G2070" s="2"/>
      <c r="H2070" s="2"/>
      <c r="I2070" s="2"/>
      <c r="J2070" s="2"/>
      <c r="K2070" s="12"/>
      <c r="L2070" s="2"/>
      <c r="M2070" s="2"/>
      <c r="N2070" s="67"/>
    </row>
    <row r="2071" spans="1:14" x14ac:dyDescent="0.35">
      <c r="A2071" s="61">
        <v>2067</v>
      </c>
      <c r="B2071" s="2"/>
      <c r="C2071" s="2"/>
      <c r="D2071" s="2"/>
      <c r="E2071" s="10"/>
      <c r="F2071" s="11"/>
      <c r="G2071" s="2"/>
      <c r="H2071" s="2"/>
      <c r="I2071" s="2"/>
      <c r="J2071" s="2"/>
      <c r="K2071" s="12"/>
      <c r="L2071" s="2"/>
      <c r="M2071" s="2"/>
      <c r="N2071" s="67"/>
    </row>
    <row r="2072" spans="1:14" x14ac:dyDescent="0.35">
      <c r="A2072" s="61">
        <v>2068</v>
      </c>
      <c r="B2072" s="2"/>
      <c r="C2072" s="2"/>
      <c r="D2072" s="2"/>
      <c r="E2072" s="10"/>
      <c r="F2072" s="11"/>
      <c r="G2072" s="2"/>
      <c r="H2072" s="2"/>
      <c r="I2072" s="2"/>
      <c r="J2072" s="2"/>
      <c r="K2072" s="12"/>
      <c r="L2072" s="2"/>
      <c r="M2072" s="2"/>
      <c r="N2072" s="67"/>
    </row>
    <row r="2073" spans="1:14" x14ac:dyDescent="0.35">
      <c r="A2073" s="61">
        <v>2069</v>
      </c>
      <c r="B2073" s="2"/>
      <c r="C2073" s="2"/>
      <c r="D2073" s="2"/>
      <c r="E2073" s="10"/>
      <c r="F2073" s="11"/>
      <c r="G2073" s="2"/>
      <c r="H2073" s="2"/>
      <c r="I2073" s="2"/>
      <c r="J2073" s="2"/>
      <c r="K2073" s="12"/>
      <c r="L2073" s="2"/>
      <c r="M2073" s="2"/>
      <c r="N2073" s="67"/>
    </row>
    <row r="2074" spans="1:14" x14ac:dyDescent="0.35">
      <c r="A2074" s="61">
        <v>2070</v>
      </c>
      <c r="B2074" s="2"/>
      <c r="C2074" s="2"/>
      <c r="D2074" s="2"/>
      <c r="E2074" s="10"/>
      <c r="F2074" s="11"/>
      <c r="G2074" s="2"/>
      <c r="H2074" s="2"/>
      <c r="I2074" s="2"/>
      <c r="J2074" s="2"/>
      <c r="K2074" s="12"/>
      <c r="L2074" s="2"/>
      <c r="M2074" s="2"/>
      <c r="N2074" s="67"/>
    </row>
    <row r="2075" spans="1:14" x14ac:dyDescent="0.35">
      <c r="A2075" s="61">
        <v>2071</v>
      </c>
      <c r="B2075" s="2"/>
      <c r="C2075" s="2"/>
      <c r="D2075" s="2"/>
      <c r="E2075" s="10"/>
      <c r="F2075" s="11"/>
      <c r="G2075" s="2"/>
      <c r="H2075" s="2"/>
      <c r="I2075" s="2"/>
      <c r="J2075" s="2"/>
      <c r="K2075" s="12"/>
      <c r="L2075" s="2"/>
      <c r="M2075" s="2"/>
      <c r="N2075" s="67"/>
    </row>
    <row r="2076" spans="1:14" x14ac:dyDescent="0.35">
      <c r="A2076" s="61">
        <v>2072</v>
      </c>
      <c r="B2076" s="2"/>
      <c r="C2076" s="2"/>
      <c r="D2076" s="2"/>
      <c r="E2076" s="10"/>
      <c r="F2076" s="11"/>
      <c r="G2076" s="2"/>
      <c r="H2076" s="2"/>
      <c r="I2076" s="2"/>
      <c r="J2076" s="2"/>
      <c r="K2076" s="12"/>
      <c r="L2076" s="2"/>
      <c r="M2076" s="2"/>
      <c r="N2076" s="67"/>
    </row>
    <row r="2077" spans="1:14" x14ac:dyDescent="0.35">
      <c r="A2077" s="61">
        <v>2073</v>
      </c>
      <c r="B2077" s="2"/>
      <c r="C2077" s="2"/>
      <c r="D2077" s="2"/>
      <c r="E2077" s="10"/>
      <c r="F2077" s="11"/>
      <c r="G2077" s="2"/>
      <c r="H2077" s="2"/>
      <c r="I2077" s="2"/>
      <c r="J2077" s="2"/>
      <c r="K2077" s="12"/>
      <c r="L2077" s="2"/>
      <c r="M2077" s="2"/>
      <c r="N2077" s="67"/>
    </row>
    <row r="2078" spans="1:14" x14ac:dyDescent="0.35">
      <c r="A2078" s="61">
        <v>2074</v>
      </c>
      <c r="B2078" s="2"/>
      <c r="C2078" s="2"/>
      <c r="D2078" s="2"/>
      <c r="E2078" s="10"/>
      <c r="F2078" s="11"/>
      <c r="G2078" s="2"/>
      <c r="H2078" s="2"/>
      <c r="I2078" s="2"/>
      <c r="J2078" s="2"/>
      <c r="K2078" s="12"/>
      <c r="L2078" s="2"/>
      <c r="M2078" s="2"/>
      <c r="N2078" s="67"/>
    </row>
    <row r="2079" spans="1:14" x14ac:dyDescent="0.35">
      <c r="A2079" s="61">
        <v>2075</v>
      </c>
      <c r="B2079" s="2"/>
      <c r="C2079" s="2"/>
      <c r="D2079" s="2"/>
      <c r="E2079" s="10"/>
      <c r="F2079" s="11"/>
      <c r="G2079" s="2"/>
      <c r="H2079" s="2"/>
      <c r="I2079" s="2"/>
      <c r="J2079" s="2"/>
      <c r="K2079" s="12"/>
      <c r="L2079" s="2"/>
      <c r="M2079" s="2"/>
      <c r="N2079" s="67"/>
    </row>
    <row r="2080" spans="1:14" x14ac:dyDescent="0.35">
      <c r="A2080" s="61">
        <v>2076</v>
      </c>
      <c r="B2080" s="2"/>
      <c r="C2080" s="2"/>
      <c r="D2080" s="2"/>
      <c r="E2080" s="10"/>
      <c r="F2080" s="11"/>
      <c r="G2080" s="2"/>
      <c r="H2080" s="2"/>
      <c r="I2080" s="2"/>
      <c r="J2080" s="2"/>
      <c r="K2080" s="12"/>
      <c r="L2080" s="2"/>
      <c r="M2080" s="2"/>
      <c r="N2080" s="67"/>
    </row>
    <row r="2081" spans="1:14" x14ac:dyDescent="0.35">
      <c r="A2081" s="61">
        <v>2077</v>
      </c>
      <c r="B2081" s="2"/>
      <c r="C2081" s="2"/>
      <c r="D2081" s="2"/>
      <c r="E2081" s="10"/>
      <c r="F2081" s="11"/>
      <c r="G2081" s="2"/>
      <c r="H2081" s="2"/>
      <c r="I2081" s="2"/>
      <c r="J2081" s="2"/>
      <c r="K2081" s="12"/>
      <c r="L2081" s="2"/>
      <c r="M2081" s="2"/>
      <c r="N2081" s="67"/>
    </row>
    <row r="2082" spans="1:14" x14ac:dyDescent="0.35">
      <c r="A2082" s="61">
        <v>2078</v>
      </c>
      <c r="B2082" s="2"/>
      <c r="C2082" s="2"/>
      <c r="D2082" s="2"/>
      <c r="E2082" s="10"/>
      <c r="F2082" s="11"/>
      <c r="G2082" s="2"/>
      <c r="H2082" s="2"/>
      <c r="I2082" s="2"/>
      <c r="J2082" s="2"/>
      <c r="K2082" s="12"/>
      <c r="L2082" s="2"/>
      <c r="M2082" s="2"/>
      <c r="N2082" s="67"/>
    </row>
    <row r="2083" spans="1:14" x14ac:dyDescent="0.35">
      <c r="A2083" s="61">
        <v>2079</v>
      </c>
      <c r="B2083" s="2"/>
      <c r="C2083" s="2"/>
      <c r="D2083" s="2"/>
      <c r="E2083" s="10"/>
      <c r="F2083" s="11"/>
      <c r="G2083" s="2"/>
      <c r="H2083" s="2"/>
      <c r="I2083" s="2"/>
      <c r="J2083" s="2"/>
      <c r="K2083" s="12"/>
      <c r="L2083" s="2"/>
      <c r="M2083" s="2"/>
      <c r="N2083" s="67"/>
    </row>
    <row r="2084" spans="1:14" x14ac:dyDescent="0.35">
      <c r="A2084" s="61">
        <v>2080</v>
      </c>
      <c r="B2084" s="2"/>
      <c r="C2084" s="2"/>
      <c r="D2084" s="2"/>
      <c r="E2084" s="10"/>
      <c r="F2084" s="11"/>
      <c r="G2084" s="2"/>
      <c r="H2084" s="2"/>
      <c r="I2084" s="2"/>
      <c r="J2084" s="2"/>
      <c r="K2084" s="12"/>
      <c r="L2084" s="2"/>
      <c r="M2084" s="2"/>
      <c r="N2084" s="67"/>
    </row>
    <row r="2085" spans="1:14" x14ac:dyDescent="0.35">
      <c r="A2085" s="61">
        <v>2081</v>
      </c>
      <c r="B2085" s="2"/>
      <c r="C2085" s="2"/>
      <c r="D2085" s="2"/>
      <c r="E2085" s="10"/>
      <c r="F2085" s="11"/>
      <c r="G2085" s="2"/>
      <c r="H2085" s="2"/>
      <c r="I2085" s="2"/>
      <c r="J2085" s="2"/>
      <c r="K2085" s="12"/>
      <c r="L2085" s="2"/>
      <c r="M2085" s="2"/>
      <c r="N2085" s="67"/>
    </row>
    <row r="2086" spans="1:14" x14ac:dyDescent="0.35">
      <c r="A2086" s="61">
        <v>2082</v>
      </c>
      <c r="B2086" s="2"/>
      <c r="C2086" s="2"/>
      <c r="D2086" s="2"/>
      <c r="E2086" s="10"/>
      <c r="F2086" s="11"/>
      <c r="G2086" s="2"/>
      <c r="H2086" s="2"/>
      <c r="I2086" s="2"/>
      <c r="J2086" s="2"/>
      <c r="K2086" s="12"/>
      <c r="L2086" s="2"/>
      <c r="M2086" s="2"/>
      <c r="N2086" s="67"/>
    </row>
    <row r="2087" spans="1:14" x14ac:dyDescent="0.35">
      <c r="A2087" s="61">
        <v>2083</v>
      </c>
      <c r="B2087" s="2"/>
      <c r="C2087" s="2"/>
      <c r="D2087" s="2"/>
      <c r="E2087" s="10"/>
      <c r="F2087" s="11"/>
      <c r="G2087" s="2"/>
      <c r="H2087" s="2"/>
      <c r="I2087" s="2"/>
      <c r="J2087" s="2"/>
      <c r="K2087" s="12"/>
      <c r="L2087" s="2"/>
      <c r="M2087" s="2"/>
      <c r="N2087" s="67"/>
    </row>
    <row r="2088" spans="1:14" x14ac:dyDescent="0.35">
      <c r="A2088" s="61">
        <v>2084</v>
      </c>
      <c r="B2088" s="2"/>
      <c r="C2088" s="2"/>
      <c r="D2088" s="2"/>
      <c r="E2088" s="10"/>
      <c r="F2088" s="11"/>
      <c r="G2088" s="2"/>
      <c r="H2088" s="2"/>
      <c r="I2088" s="2"/>
      <c r="J2088" s="2"/>
      <c r="K2088" s="12"/>
      <c r="L2088" s="2"/>
      <c r="M2088" s="2"/>
      <c r="N2088" s="67"/>
    </row>
    <row r="2089" spans="1:14" x14ac:dyDescent="0.35">
      <c r="A2089" s="61">
        <v>2085</v>
      </c>
      <c r="B2089" s="2"/>
      <c r="C2089" s="2"/>
      <c r="D2089" s="2"/>
      <c r="E2089" s="10"/>
      <c r="F2089" s="11"/>
      <c r="G2089" s="2"/>
      <c r="H2089" s="2"/>
      <c r="I2089" s="2"/>
      <c r="J2089" s="2"/>
      <c r="K2089" s="12"/>
      <c r="L2089" s="2"/>
      <c r="M2089" s="2"/>
      <c r="N2089" s="67"/>
    </row>
    <row r="2090" spans="1:14" x14ac:dyDescent="0.35">
      <c r="A2090" s="61">
        <v>2086</v>
      </c>
      <c r="B2090" s="2"/>
      <c r="C2090" s="2"/>
      <c r="D2090" s="2"/>
      <c r="E2090" s="10"/>
      <c r="F2090" s="11"/>
      <c r="G2090" s="2"/>
      <c r="H2090" s="2"/>
      <c r="I2090" s="2"/>
      <c r="J2090" s="2"/>
      <c r="K2090" s="12"/>
      <c r="L2090" s="2"/>
      <c r="M2090" s="2"/>
      <c r="N2090" s="67"/>
    </row>
    <row r="2091" spans="1:14" x14ac:dyDescent="0.35">
      <c r="A2091" s="61">
        <v>2087</v>
      </c>
      <c r="B2091" s="2"/>
      <c r="C2091" s="2"/>
      <c r="D2091" s="2"/>
      <c r="E2091" s="10"/>
      <c r="F2091" s="11"/>
      <c r="G2091" s="2"/>
      <c r="H2091" s="2"/>
      <c r="I2091" s="2"/>
      <c r="J2091" s="2"/>
      <c r="K2091" s="12"/>
      <c r="L2091" s="2"/>
      <c r="M2091" s="2"/>
      <c r="N2091" s="67"/>
    </row>
    <row r="2092" spans="1:14" x14ac:dyDescent="0.35">
      <c r="A2092" s="61">
        <v>2088</v>
      </c>
      <c r="B2092" s="2"/>
      <c r="C2092" s="2"/>
      <c r="D2092" s="2"/>
      <c r="E2092" s="10"/>
      <c r="F2092" s="11"/>
      <c r="G2092" s="2"/>
      <c r="H2092" s="2"/>
      <c r="I2092" s="2"/>
      <c r="J2092" s="2"/>
      <c r="K2092" s="12"/>
      <c r="L2092" s="2"/>
      <c r="M2092" s="2"/>
      <c r="N2092" s="67"/>
    </row>
    <row r="2093" spans="1:14" x14ac:dyDescent="0.35">
      <c r="A2093" s="61">
        <v>2089</v>
      </c>
      <c r="B2093" s="2"/>
      <c r="C2093" s="2"/>
      <c r="D2093" s="2"/>
      <c r="E2093" s="10"/>
      <c r="F2093" s="11"/>
      <c r="G2093" s="2"/>
      <c r="H2093" s="2"/>
      <c r="I2093" s="2"/>
      <c r="J2093" s="2"/>
      <c r="K2093" s="12"/>
      <c r="L2093" s="2"/>
      <c r="M2093" s="2"/>
      <c r="N2093" s="67"/>
    </row>
    <row r="2094" spans="1:14" x14ac:dyDescent="0.35">
      <c r="A2094" s="61">
        <v>2090</v>
      </c>
      <c r="B2094" s="2"/>
      <c r="C2094" s="2"/>
      <c r="D2094" s="2"/>
      <c r="E2094" s="10"/>
      <c r="F2094" s="11"/>
      <c r="G2094" s="2"/>
      <c r="H2094" s="2"/>
      <c r="I2094" s="2"/>
      <c r="J2094" s="2"/>
      <c r="K2094" s="12"/>
      <c r="L2094" s="2"/>
      <c r="M2094" s="2"/>
      <c r="N2094" s="67"/>
    </row>
    <row r="2095" spans="1:14" x14ac:dyDescent="0.35">
      <c r="A2095" s="61">
        <v>2091</v>
      </c>
      <c r="B2095" s="2"/>
      <c r="C2095" s="2"/>
      <c r="D2095" s="2"/>
      <c r="E2095" s="10"/>
      <c r="F2095" s="11"/>
      <c r="G2095" s="2"/>
      <c r="H2095" s="2"/>
      <c r="I2095" s="2"/>
      <c r="J2095" s="2"/>
      <c r="K2095" s="12"/>
      <c r="L2095" s="2"/>
      <c r="M2095" s="2"/>
      <c r="N2095" s="67"/>
    </row>
    <row r="2096" spans="1:14" x14ac:dyDescent="0.35">
      <c r="A2096" s="61">
        <v>2092</v>
      </c>
      <c r="B2096" s="2"/>
      <c r="C2096" s="2"/>
      <c r="D2096" s="2"/>
      <c r="E2096" s="10"/>
      <c r="F2096" s="11"/>
      <c r="G2096" s="2"/>
      <c r="H2096" s="2"/>
      <c r="I2096" s="2"/>
      <c r="J2096" s="2"/>
      <c r="K2096" s="12"/>
      <c r="L2096" s="2"/>
      <c r="M2096" s="2"/>
      <c r="N2096" s="67"/>
    </row>
    <row r="2097" spans="1:14" x14ac:dyDescent="0.35">
      <c r="A2097" s="61">
        <v>2093</v>
      </c>
      <c r="B2097" s="2"/>
      <c r="C2097" s="2"/>
      <c r="D2097" s="2"/>
      <c r="E2097" s="10"/>
      <c r="F2097" s="11"/>
      <c r="G2097" s="2"/>
      <c r="H2097" s="2"/>
      <c r="I2097" s="2"/>
      <c r="J2097" s="2"/>
      <c r="K2097" s="12"/>
      <c r="L2097" s="2"/>
      <c r="M2097" s="2"/>
      <c r="N2097" s="67"/>
    </row>
    <row r="2098" spans="1:14" x14ac:dyDescent="0.35">
      <c r="A2098" s="61">
        <v>2094</v>
      </c>
      <c r="B2098" s="2"/>
      <c r="C2098" s="2"/>
      <c r="D2098" s="2"/>
      <c r="E2098" s="10"/>
      <c r="F2098" s="11"/>
      <c r="G2098" s="2"/>
      <c r="H2098" s="2"/>
      <c r="I2098" s="2"/>
      <c r="J2098" s="2"/>
      <c r="K2098" s="12"/>
      <c r="L2098" s="2"/>
      <c r="M2098" s="2"/>
      <c r="N2098" s="67"/>
    </row>
    <row r="2099" spans="1:14" x14ac:dyDescent="0.35">
      <c r="A2099" s="61">
        <v>2095</v>
      </c>
      <c r="B2099" s="2"/>
      <c r="C2099" s="2"/>
      <c r="D2099" s="2"/>
      <c r="E2099" s="10"/>
      <c r="F2099" s="11"/>
      <c r="G2099" s="2"/>
      <c r="H2099" s="2"/>
      <c r="I2099" s="2"/>
      <c r="J2099" s="2"/>
      <c r="K2099" s="12"/>
      <c r="L2099" s="2"/>
      <c r="M2099" s="2"/>
      <c r="N2099" s="67"/>
    </row>
    <row r="2100" spans="1:14" x14ac:dyDescent="0.35">
      <c r="A2100" s="61">
        <v>2096</v>
      </c>
      <c r="B2100" s="2"/>
      <c r="C2100" s="2"/>
      <c r="D2100" s="2"/>
      <c r="E2100" s="10"/>
      <c r="F2100" s="11"/>
      <c r="G2100" s="2"/>
      <c r="H2100" s="2"/>
      <c r="I2100" s="2"/>
      <c r="J2100" s="2"/>
      <c r="K2100" s="12"/>
      <c r="L2100" s="2"/>
      <c r="M2100" s="2"/>
      <c r="N2100" s="67"/>
    </row>
    <row r="2101" spans="1:14" x14ac:dyDescent="0.35">
      <c r="A2101" s="61">
        <v>2097</v>
      </c>
      <c r="B2101" s="2"/>
      <c r="C2101" s="2"/>
      <c r="D2101" s="2"/>
      <c r="E2101" s="10"/>
      <c r="F2101" s="11"/>
      <c r="G2101" s="2"/>
      <c r="H2101" s="2"/>
      <c r="I2101" s="2"/>
      <c r="J2101" s="2"/>
      <c r="K2101" s="12"/>
      <c r="L2101" s="2"/>
      <c r="M2101" s="2"/>
      <c r="N2101" s="67"/>
    </row>
    <row r="2102" spans="1:14" x14ac:dyDescent="0.35">
      <c r="A2102" s="61">
        <v>2098</v>
      </c>
      <c r="B2102" s="2"/>
      <c r="C2102" s="2"/>
      <c r="D2102" s="2"/>
      <c r="E2102" s="10"/>
      <c r="F2102" s="11"/>
      <c r="G2102" s="2"/>
      <c r="H2102" s="2"/>
      <c r="I2102" s="2"/>
      <c r="J2102" s="2"/>
      <c r="K2102" s="12"/>
      <c r="L2102" s="2"/>
      <c r="M2102" s="2"/>
      <c r="N2102" s="67"/>
    </row>
    <row r="2103" spans="1:14" x14ac:dyDescent="0.35">
      <c r="A2103" s="61">
        <v>2099</v>
      </c>
      <c r="B2103" s="2"/>
      <c r="C2103" s="2"/>
      <c r="D2103" s="2"/>
      <c r="E2103" s="10"/>
      <c r="F2103" s="11"/>
      <c r="G2103" s="2"/>
      <c r="H2103" s="2"/>
      <c r="I2103" s="2"/>
      <c r="J2103" s="2"/>
      <c r="K2103" s="12"/>
      <c r="L2103" s="2"/>
      <c r="M2103" s="2"/>
      <c r="N2103" s="67"/>
    </row>
    <row r="2104" spans="1:14" x14ac:dyDescent="0.35">
      <c r="A2104" s="61">
        <v>2100</v>
      </c>
      <c r="B2104" s="2"/>
      <c r="C2104" s="2"/>
      <c r="D2104" s="2"/>
      <c r="E2104" s="10"/>
      <c r="F2104" s="11"/>
      <c r="G2104" s="2"/>
      <c r="H2104" s="2"/>
      <c r="I2104" s="2"/>
      <c r="J2104" s="2"/>
      <c r="K2104" s="12"/>
      <c r="L2104" s="2"/>
      <c r="M2104" s="2"/>
      <c r="N2104" s="67"/>
    </row>
    <row r="2105" spans="1:14" x14ac:dyDescent="0.35">
      <c r="A2105" s="61">
        <v>2101</v>
      </c>
      <c r="B2105" s="2"/>
      <c r="C2105" s="2"/>
      <c r="D2105" s="2"/>
      <c r="E2105" s="10"/>
      <c r="F2105" s="11"/>
      <c r="G2105" s="2"/>
      <c r="H2105" s="2"/>
      <c r="I2105" s="2"/>
      <c r="J2105" s="2"/>
      <c r="K2105" s="12"/>
      <c r="L2105" s="2"/>
      <c r="M2105" s="2"/>
      <c r="N2105" s="67"/>
    </row>
    <row r="2106" spans="1:14" x14ac:dyDescent="0.35">
      <c r="A2106" s="61">
        <v>2102</v>
      </c>
      <c r="B2106" s="2"/>
      <c r="C2106" s="2"/>
      <c r="D2106" s="2"/>
      <c r="E2106" s="10"/>
      <c r="F2106" s="11"/>
      <c r="G2106" s="2"/>
      <c r="H2106" s="2"/>
      <c r="I2106" s="2"/>
      <c r="J2106" s="2"/>
      <c r="K2106" s="12"/>
      <c r="L2106" s="2"/>
      <c r="M2106" s="2"/>
      <c r="N2106" s="67"/>
    </row>
    <row r="2107" spans="1:14" x14ac:dyDescent="0.35">
      <c r="A2107" s="61">
        <v>2103</v>
      </c>
      <c r="B2107" s="2"/>
      <c r="C2107" s="2"/>
      <c r="D2107" s="2"/>
      <c r="E2107" s="10"/>
      <c r="F2107" s="11"/>
      <c r="G2107" s="2"/>
      <c r="H2107" s="2"/>
      <c r="I2107" s="2"/>
      <c r="J2107" s="2"/>
      <c r="K2107" s="12"/>
      <c r="L2107" s="2"/>
      <c r="M2107" s="2"/>
      <c r="N2107" s="67"/>
    </row>
    <row r="2108" spans="1:14" x14ac:dyDescent="0.35">
      <c r="A2108" s="61">
        <v>2104</v>
      </c>
      <c r="B2108" s="2"/>
      <c r="C2108" s="2"/>
      <c r="D2108" s="2"/>
      <c r="E2108" s="10"/>
      <c r="F2108" s="11"/>
      <c r="G2108" s="2"/>
      <c r="H2108" s="2"/>
      <c r="I2108" s="2"/>
      <c r="J2108" s="2"/>
      <c r="K2108" s="12"/>
      <c r="L2108" s="2"/>
      <c r="M2108" s="2"/>
      <c r="N2108" s="67"/>
    </row>
    <row r="2109" spans="1:14" x14ac:dyDescent="0.35">
      <c r="A2109" s="61">
        <v>2105</v>
      </c>
      <c r="B2109" s="2"/>
      <c r="C2109" s="2"/>
      <c r="D2109" s="2"/>
      <c r="E2109" s="10"/>
      <c r="F2109" s="11"/>
      <c r="G2109" s="2"/>
      <c r="H2109" s="2"/>
      <c r="I2109" s="2"/>
      <c r="J2109" s="2"/>
      <c r="K2109" s="12"/>
      <c r="L2109" s="2"/>
      <c r="M2109" s="2"/>
      <c r="N2109" s="67"/>
    </row>
    <row r="2110" spans="1:14" x14ac:dyDescent="0.35">
      <c r="A2110" s="61">
        <v>2106</v>
      </c>
      <c r="B2110" s="2"/>
      <c r="C2110" s="2"/>
      <c r="D2110" s="2"/>
      <c r="E2110" s="10"/>
      <c r="F2110" s="11"/>
      <c r="G2110" s="2"/>
      <c r="H2110" s="2"/>
      <c r="I2110" s="2"/>
      <c r="J2110" s="2"/>
      <c r="K2110" s="12"/>
      <c r="L2110" s="2"/>
      <c r="M2110" s="2"/>
      <c r="N2110" s="67"/>
    </row>
    <row r="2111" spans="1:14" x14ac:dyDescent="0.35">
      <c r="A2111" s="61">
        <v>2107</v>
      </c>
      <c r="B2111" s="2"/>
      <c r="C2111" s="2"/>
      <c r="D2111" s="2"/>
      <c r="E2111" s="10"/>
      <c r="F2111" s="11"/>
      <c r="G2111" s="2"/>
      <c r="H2111" s="2"/>
      <c r="I2111" s="2"/>
      <c r="J2111" s="2"/>
      <c r="K2111" s="12"/>
      <c r="L2111" s="2"/>
      <c r="M2111" s="2"/>
      <c r="N2111" s="67"/>
    </row>
    <row r="2112" spans="1:14" x14ac:dyDescent="0.35">
      <c r="A2112" s="61">
        <v>2108</v>
      </c>
      <c r="B2112" s="2"/>
      <c r="C2112" s="2"/>
      <c r="D2112" s="2"/>
      <c r="E2112" s="10"/>
      <c r="F2112" s="11"/>
      <c r="G2112" s="2"/>
      <c r="H2112" s="2"/>
      <c r="I2112" s="2"/>
      <c r="J2112" s="2"/>
      <c r="K2112" s="12"/>
      <c r="L2112" s="2"/>
      <c r="M2112" s="2"/>
      <c r="N2112" s="67"/>
    </row>
    <row r="2113" spans="1:14" x14ac:dyDescent="0.35">
      <c r="A2113" s="61">
        <v>2109</v>
      </c>
      <c r="B2113" s="2"/>
      <c r="C2113" s="2"/>
      <c r="D2113" s="2"/>
      <c r="E2113" s="10"/>
      <c r="F2113" s="11"/>
      <c r="G2113" s="2"/>
      <c r="H2113" s="2"/>
      <c r="I2113" s="2"/>
      <c r="J2113" s="2"/>
      <c r="K2113" s="12"/>
      <c r="L2113" s="2"/>
      <c r="M2113" s="2"/>
      <c r="N2113" s="67"/>
    </row>
    <row r="2114" spans="1:14" x14ac:dyDescent="0.35">
      <c r="A2114" s="61">
        <v>2110</v>
      </c>
      <c r="B2114" s="2"/>
      <c r="C2114" s="2"/>
      <c r="D2114" s="2"/>
      <c r="E2114" s="10"/>
      <c r="F2114" s="11"/>
      <c r="G2114" s="2"/>
      <c r="H2114" s="2"/>
      <c r="I2114" s="2"/>
      <c r="J2114" s="2"/>
      <c r="K2114" s="12"/>
      <c r="L2114" s="2"/>
      <c r="M2114" s="2"/>
      <c r="N2114" s="67"/>
    </row>
    <row r="2115" spans="1:14" x14ac:dyDescent="0.35">
      <c r="A2115" s="61">
        <v>2111</v>
      </c>
      <c r="B2115" s="2"/>
      <c r="C2115" s="2"/>
      <c r="D2115" s="2"/>
      <c r="E2115" s="10"/>
      <c r="F2115" s="11"/>
      <c r="G2115" s="2"/>
      <c r="H2115" s="2"/>
      <c r="I2115" s="2"/>
      <c r="J2115" s="2"/>
      <c r="K2115" s="12"/>
      <c r="L2115" s="2"/>
      <c r="M2115" s="2"/>
      <c r="N2115" s="67"/>
    </row>
    <row r="2116" spans="1:14" x14ac:dyDescent="0.35">
      <c r="A2116" s="61">
        <v>2112</v>
      </c>
      <c r="B2116" s="2"/>
      <c r="C2116" s="2"/>
      <c r="D2116" s="2"/>
      <c r="E2116" s="10"/>
      <c r="F2116" s="11"/>
      <c r="G2116" s="2"/>
      <c r="H2116" s="2"/>
      <c r="I2116" s="2"/>
      <c r="J2116" s="2"/>
      <c r="K2116" s="12"/>
      <c r="L2116" s="2"/>
      <c r="M2116" s="2"/>
      <c r="N2116" s="67"/>
    </row>
    <row r="2117" spans="1:14" x14ac:dyDescent="0.35">
      <c r="A2117" s="61">
        <v>2113</v>
      </c>
      <c r="B2117" s="2"/>
      <c r="C2117" s="2"/>
      <c r="D2117" s="2"/>
      <c r="E2117" s="10"/>
      <c r="F2117" s="11"/>
      <c r="G2117" s="2"/>
      <c r="H2117" s="2"/>
      <c r="I2117" s="2"/>
      <c r="J2117" s="2"/>
      <c r="K2117" s="12"/>
      <c r="L2117" s="2"/>
      <c r="M2117" s="2"/>
      <c r="N2117" s="67"/>
    </row>
    <row r="2118" spans="1:14" x14ac:dyDescent="0.35">
      <c r="A2118" s="61">
        <v>2114</v>
      </c>
      <c r="B2118" s="2"/>
      <c r="C2118" s="2"/>
      <c r="D2118" s="2"/>
      <c r="E2118" s="10"/>
      <c r="F2118" s="11"/>
      <c r="G2118" s="2"/>
      <c r="H2118" s="2"/>
      <c r="I2118" s="2"/>
      <c r="J2118" s="2"/>
      <c r="K2118" s="12"/>
      <c r="L2118" s="2"/>
      <c r="M2118" s="2"/>
      <c r="N2118" s="67"/>
    </row>
    <row r="2119" spans="1:14" x14ac:dyDescent="0.35">
      <c r="A2119" s="61">
        <v>2115</v>
      </c>
      <c r="B2119" s="2"/>
      <c r="C2119" s="2"/>
      <c r="D2119" s="2"/>
      <c r="E2119" s="10"/>
      <c r="F2119" s="11"/>
      <c r="G2119" s="2"/>
      <c r="H2119" s="2"/>
      <c r="I2119" s="2"/>
      <c r="J2119" s="2"/>
      <c r="K2119" s="12"/>
      <c r="L2119" s="2"/>
      <c r="M2119" s="2"/>
      <c r="N2119" s="67"/>
    </row>
    <row r="2120" spans="1:14" x14ac:dyDescent="0.35">
      <c r="A2120" s="61">
        <v>2116</v>
      </c>
      <c r="B2120" s="2"/>
      <c r="C2120" s="2"/>
      <c r="D2120" s="2"/>
      <c r="E2120" s="10"/>
      <c r="F2120" s="11"/>
      <c r="G2120" s="2"/>
      <c r="H2120" s="2"/>
      <c r="I2120" s="2"/>
      <c r="J2120" s="2"/>
      <c r="K2120" s="12"/>
      <c r="L2120" s="2"/>
      <c r="M2120" s="2"/>
      <c r="N2120" s="67"/>
    </row>
    <row r="2121" spans="1:14" x14ac:dyDescent="0.35">
      <c r="A2121" s="61">
        <v>2117</v>
      </c>
      <c r="B2121" s="2"/>
      <c r="C2121" s="2"/>
      <c r="D2121" s="2"/>
      <c r="E2121" s="10"/>
      <c r="F2121" s="11"/>
      <c r="G2121" s="2"/>
      <c r="H2121" s="2"/>
      <c r="I2121" s="2"/>
      <c r="J2121" s="2"/>
      <c r="K2121" s="12"/>
      <c r="L2121" s="2"/>
      <c r="M2121" s="2"/>
      <c r="N2121" s="67"/>
    </row>
    <row r="2122" spans="1:14" x14ac:dyDescent="0.35">
      <c r="A2122" s="61">
        <v>2118</v>
      </c>
      <c r="B2122" s="2"/>
      <c r="C2122" s="2"/>
      <c r="D2122" s="2"/>
      <c r="E2122" s="10"/>
      <c r="F2122" s="11"/>
      <c r="G2122" s="2"/>
      <c r="H2122" s="2"/>
      <c r="I2122" s="2"/>
      <c r="J2122" s="2"/>
      <c r="K2122" s="12"/>
      <c r="L2122" s="2"/>
      <c r="M2122" s="2"/>
      <c r="N2122" s="67"/>
    </row>
    <row r="2123" spans="1:14" x14ac:dyDescent="0.35">
      <c r="A2123" s="61">
        <v>2119</v>
      </c>
      <c r="B2123" s="2"/>
      <c r="C2123" s="2"/>
      <c r="D2123" s="2"/>
      <c r="E2123" s="10"/>
      <c r="F2123" s="11"/>
      <c r="G2123" s="2"/>
      <c r="H2123" s="2"/>
      <c r="I2123" s="2"/>
      <c r="J2123" s="2"/>
      <c r="K2123" s="12"/>
      <c r="L2123" s="2"/>
      <c r="M2123" s="2"/>
      <c r="N2123" s="67"/>
    </row>
    <row r="2124" spans="1:14" x14ac:dyDescent="0.35">
      <c r="A2124" s="61">
        <v>2120</v>
      </c>
      <c r="B2124" s="2"/>
      <c r="C2124" s="2"/>
      <c r="D2124" s="2"/>
      <c r="E2124" s="10"/>
      <c r="F2124" s="11"/>
      <c r="G2124" s="2"/>
      <c r="H2124" s="2"/>
      <c r="I2124" s="2"/>
      <c r="J2124" s="2"/>
      <c r="K2124" s="12"/>
      <c r="L2124" s="2"/>
      <c r="M2124" s="2"/>
      <c r="N2124" s="67"/>
    </row>
    <row r="2125" spans="1:14" x14ac:dyDescent="0.35">
      <c r="A2125" s="61">
        <v>2121</v>
      </c>
      <c r="B2125" s="2"/>
      <c r="C2125" s="2"/>
      <c r="D2125" s="2"/>
      <c r="E2125" s="10"/>
      <c r="F2125" s="11"/>
      <c r="G2125" s="2"/>
      <c r="H2125" s="2"/>
      <c r="I2125" s="2"/>
      <c r="J2125" s="2"/>
      <c r="K2125" s="12"/>
      <c r="L2125" s="2"/>
      <c r="M2125" s="2"/>
      <c r="N2125" s="67"/>
    </row>
    <row r="2126" spans="1:14" x14ac:dyDescent="0.35">
      <c r="A2126" s="61">
        <v>2122</v>
      </c>
      <c r="B2126" s="2"/>
      <c r="C2126" s="2"/>
      <c r="D2126" s="2"/>
      <c r="E2126" s="10"/>
      <c r="F2126" s="11"/>
      <c r="G2126" s="2"/>
      <c r="H2126" s="2"/>
      <c r="I2126" s="2"/>
      <c r="J2126" s="2"/>
      <c r="K2126" s="12"/>
      <c r="L2126" s="2"/>
      <c r="M2126" s="2"/>
      <c r="N2126" s="67"/>
    </row>
    <row r="2127" spans="1:14" x14ac:dyDescent="0.35">
      <c r="A2127" s="61">
        <v>2123</v>
      </c>
      <c r="B2127" s="2"/>
      <c r="C2127" s="2"/>
      <c r="D2127" s="2"/>
      <c r="E2127" s="10"/>
      <c r="F2127" s="11"/>
      <c r="G2127" s="2"/>
      <c r="H2127" s="2"/>
      <c r="I2127" s="2"/>
      <c r="J2127" s="2"/>
      <c r="K2127" s="12"/>
      <c r="L2127" s="2"/>
      <c r="M2127" s="2"/>
      <c r="N2127" s="67"/>
    </row>
    <row r="2128" spans="1:14" x14ac:dyDescent="0.35">
      <c r="A2128" s="61">
        <v>2124</v>
      </c>
      <c r="B2128" s="2"/>
      <c r="C2128" s="2"/>
      <c r="D2128" s="2"/>
      <c r="E2128" s="10"/>
      <c r="F2128" s="11"/>
      <c r="G2128" s="2"/>
      <c r="H2128" s="2"/>
      <c r="I2128" s="2"/>
      <c r="J2128" s="2"/>
      <c r="K2128" s="12"/>
      <c r="L2128" s="2"/>
      <c r="M2128" s="2"/>
      <c r="N2128" s="67"/>
    </row>
    <row r="2129" spans="1:14" x14ac:dyDescent="0.35">
      <c r="A2129" s="61">
        <v>2125</v>
      </c>
      <c r="B2129" s="2"/>
      <c r="C2129" s="2"/>
      <c r="D2129" s="2"/>
      <c r="E2129" s="10"/>
      <c r="F2129" s="11"/>
      <c r="G2129" s="2"/>
      <c r="H2129" s="2"/>
      <c r="I2129" s="2"/>
      <c r="J2129" s="2"/>
      <c r="K2129" s="12"/>
      <c r="L2129" s="2"/>
      <c r="M2129" s="2"/>
      <c r="N2129" s="67"/>
    </row>
    <row r="2130" spans="1:14" x14ac:dyDescent="0.35">
      <c r="A2130" s="61">
        <v>2126</v>
      </c>
      <c r="B2130" s="2"/>
      <c r="C2130" s="2"/>
      <c r="D2130" s="2"/>
      <c r="E2130" s="10"/>
      <c r="F2130" s="11"/>
      <c r="G2130" s="2"/>
      <c r="H2130" s="2"/>
      <c r="I2130" s="2"/>
      <c r="J2130" s="2"/>
      <c r="K2130" s="12"/>
      <c r="L2130" s="2"/>
      <c r="M2130" s="2"/>
      <c r="N2130" s="67"/>
    </row>
    <row r="2131" spans="1:14" x14ac:dyDescent="0.35">
      <c r="A2131" s="61">
        <v>2127</v>
      </c>
      <c r="B2131" s="2"/>
      <c r="C2131" s="2"/>
      <c r="D2131" s="2"/>
      <c r="E2131" s="10"/>
      <c r="F2131" s="11"/>
      <c r="G2131" s="2"/>
      <c r="H2131" s="2"/>
      <c r="I2131" s="2"/>
      <c r="J2131" s="2"/>
      <c r="K2131" s="12"/>
      <c r="L2131" s="2"/>
      <c r="M2131" s="2"/>
      <c r="N2131" s="67"/>
    </row>
    <row r="2132" spans="1:14" x14ac:dyDescent="0.35">
      <c r="A2132" s="61">
        <v>2128</v>
      </c>
      <c r="B2132" s="2"/>
      <c r="C2132" s="2"/>
      <c r="D2132" s="2"/>
      <c r="E2132" s="10"/>
      <c r="F2132" s="11"/>
      <c r="G2132" s="2"/>
      <c r="H2132" s="2"/>
      <c r="I2132" s="2"/>
      <c r="J2132" s="2"/>
      <c r="K2132" s="12"/>
      <c r="L2132" s="2"/>
      <c r="M2132" s="2"/>
      <c r="N2132" s="67"/>
    </row>
    <row r="2133" spans="1:14" x14ac:dyDescent="0.35">
      <c r="A2133" s="61">
        <v>2129</v>
      </c>
      <c r="B2133" s="2"/>
      <c r="C2133" s="2"/>
      <c r="D2133" s="2"/>
      <c r="E2133" s="10"/>
      <c r="F2133" s="11"/>
      <c r="G2133" s="2"/>
      <c r="H2133" s="2"/>
      <c r="I2133" s="2"/>
      <c r="J2133" s="2"/>
      <c r="K2133" s="12"/>
      <c r="L2133" s="2"/>
      <c r="M2133" s="2"/>
      <c r="N2133" s="67"/>
    </row>
    <row r="2134" spans="1:14" x14ac:dyDescent="0.35">
      <c r="A2134" s="61">
        <v>2130</v>
      </c>
      <c r="B2134" s="2"/>
      <c r="C2134" s="2"/>
      <c r="D2134" s="2"/>
      <c r="E2134" s="10"/>
      <c r="F2134" s="11"/>
      <c r="G2134" s="2"/>
      <c r="H2134" s="2"/>
      <c r="I2134" s="2"/>
      <c r="J2134" s="2"/>
      <c r="K2134" s="12"/>
      <c r="L2134" s="2"/>
      <c r="M2134" s="2"/>
      <c r="N2134" s="67"/>
    </row>
    <row r="2135" spans="1:14" x14ac:dyDescent="0.35">
      <c r="A2135" s="61">
        <v>2131</v>
      </c>
      <c r="B2135" s="2"/>
      <c r="C2135" s="2"/>
      <c r="D2135" s="2"/>
      <c r="E2135" s="10"/>
      <c r="F2135" s="11"/>
      <c r="G2135" s="2"/>
      <c r="H2135" s="2"/>
      <c r="I2135" s="2"/>
      <c r="J2135" s="2"/>
      <c r="K2135" s="12"/>
      <c r="L2135" s="2"/>
      <c r="M2135" s="2"/>
      <c r="N2135" s="67"/>
    </row>
    <row r="2136" spans="1:14" x14ac:dyDescent="0.35">
      <c r="A2136" s="61">
        <v>2132</v>
      </c>
      <c r="B2136" s="2"/>
      <c r="C2136" s="2"/>
      <c r="D2136" s="2"/>
      <c r="E2136" s="10"/>
      <c r="F2136" s="11"/>
      <c r="G2136" s="2"/>
      <c r="H2136" s="2"/>
      <c r="I2136" s="2"/>
      <c r="J2136" s="2"/>
      <c r="K2136" s="12"/>
      <c r="L2136" s="2"/>
      <c r="M2136" s="2"/>
      <c r="N2136" s="67"/>
    </row>
    <row r="2137" spans="1:14" x14ac:dyDescent="0.35">
      <c r="A2137" s="61">
        <v>2133</v>
      </c>
      <c r="B2137" s="2"/>
      <c r="C2137" s="2"/>
      <c r="D2137" s="2"/>
      <c r="E2137" s="10"/>
      <c r="F2137" s="11"/>
      <c r="G2137" s="2"/>
      <c r="H2137" s="2"/>
      <c r="I2137" s="2"/>
      <c r="J2137" s="2"/>
      <c r="K2137" s="12"/>
      <c r="L2137" s="2"/>
      <c r="M2137" s="2"/>
      <c r="N2137" s="67"/>
    </row>
    <row r="2138" spans="1:14" x14ac:dyDescent="0.35">
      <c r="A2138" s="61">
        <v>2134</v>
      </c>
      <c r="B2138" s="2"/>
      <c r="C2138" s="2"/>
      <c r="D2138" s="2"/>
      <c r="E2138" s="10"/>
      <c r="F2138" s="11"/>
      <c r="G2138" s="2"/>
      <c r="H2138" s="2"/>
      <c r="I2138" s="2"/>
      <c r="J2138" s="2"/>
      <c r="K2138" s="12"/>
      <c r="L2138" s="2"/>
      <c r="M2138" s="2"/>
      <c r="N2138" s="67"/>
    </row>
    <row r="2139" spans="1:14" x14ac:dyDescent="0.35">
      <c r="A2139" s="61">
        <v>2135</v>
      </c>
      <c r="B2139" s="2"/>
      <c r="C2139" s="2"/>
      <c r="D2139" s="2"/>
      <c r="E2139" s="10"/>
      <c r="F2139" s="11"/>
      <c r="G2139" s="2"/>
      <c r="H2139" s="2"/>
      <c r="I2139" s="2"/>
      <c r="J2139" s="2"/>
      <c r="K2139" s="12"/>
      <c r="L2139" s="2"/>
      <c r="M2139" s="2"/>
      <c r="N2139" s="67"/>
    </row>
    <row r="2140" spans="1:14" x14ac:dyDescent="0.35">
      <c r="A2140" s="61">
        <v>2136</v>
      </c>
      <c r="B2140" s="2"/>
      <c r="C2140" s="2"/>
      <c r="D2140" s="2"/>
      <c r="E2140" s="10"/>
      <c r="F2140" s="11"/>
      <c r="G2140" s="2"/>
      <c r="H2140" s="2"/>
      <c r="I2140" s="2"/>
      <c r="J2140" s="2"/>
      <c r="K2140" s="12"/>
      <c r="L2140" s="2"/>
      <c r="M2140" s="2"/>
      <c r="N2140" s="67"/>
    </row>
    <row r="2141" spans="1:14" x14ac:dyDescent="0.35">
      <c r="A2141" s="61">
        <v>2137</v>
      </c>
      <c r="B2141" s="2"/>
      <c r="C2141" s="2"/>
      <c r="D2141" s="2"/>
      <c r="E2141" s="10"/>
      <c r="F2141" s="11"/>
      <c r="G2141" s="2"/>
      <c r="H2141" s="2"/>
      <c r="I2141" s="2"/>
      <c r="J2141" s="2"/>
      <c r="K2141" s="12"/>
      <c r="L2141" s="2"/>
      <c r="M2141" s="2"/>
      <c r="N2141" s="67"/>
    </row>
    <row r="2142" spans="1:14" x14ac:dyDescent="0.35">
      <c r="A2142" s="61">
        <v>2138</v>
      </c>
      <c r="B2142" s="2"/>
      <c r="C2142" s="2"/>
      <c r="D2142" s="2"/>
      <c r="E2142" s="10"/>
      <c r="F2142" s="11"/>
      <c r="G2142" s="2"/>
      <c r="H2142" s="2"/>
      <c r="I2142" s="2"/>
      <c r="J2142" s="2"/>
      <c r="K2142" s="12"/>
      <c r="L2142" s="2"/>
      <c r="M2142" s="2"/>
      <c r="N2142" s="67"/>
    </row>
    <row r="2143" spans="1:14" x14ac:dyDescent="0.35">
      <c r="A2143" s="61">
        <v>2139</v>
      </c>
      <c r="B2143" s="2"/>
      <c r="C2143" s="2"/>
      <c r="D2143" s="2"/>
      <c r="E2143" s="10"/>
      <c r="F2143" s="11"/>
      <c r="G2143" s="2"/>
      <c r="H2143" s="2"/>
      <c r="I2143" s="2"/>
      <c r="J2143" s="2"/>
      <c r="K2143" s="12"/>
      <c r="L2143" s="2"/>
      <c r="M2143" s="2"/>
      <c r="N2143" s="67"/>
    </row>
    <row r="2144" spans="1:14" x14ac:dyDescent="0.35">
      <c r="A2144" s="61">
        <v>2140</v>
      </c>
      <c r="B2144" s="2"/>
      <c r="C2144" s="2"/>
      <c r="D2144" s="2"/>
      <c r="E2144" s="10"/>
      <c r="F2144" s="11"/>
      <c r="G2144" s="2"/>
      <c r="H2144" s="2"/>
      <c r="I2144" s="2"/>
      <c r="J2144" s="2"/>
      <c r="K2144" s="12"/>
      <c r="L2144" s="2"/>
      <c r="M2144" s="2"/>
      <c r="N2144" s="67"/>
    </row>
    <row r="2145" spans="1:14" x14ac:dyDescent="0.35">
      <c r="A2145" s="61">
        <v>2141</v>
      </c>
      <c r="B2145" s="2"/>
      <c r="C2145" s="2"/>
      <c r="D2145" s="2"/>
      <c r="E2145" s="10"/>
      <c r="F2145" s="11"/>
      <c r="G2145" s="2"/>
      <c r="H2145" s="2"/>
      <c r="I2145" s="2"/>
      <c r="J2145" s="2"/>
      <c r="K2145" s="12"/>
      <c r="L2145" s="2"/>
      <c r="M2145" s="2"/>
      <c r="N2145" s="67"/>
    </row>
    <row r="2146" spans="1:14" x14ac:dyDescent="0.35">
      <c r="A2146" s="61">
        <v>2142</v>
      </c>
      <c r="B2146" s="2"/>
      <c r="C2146" s="2"/>
      <c r="D2146" s="2"/>
      <c r="E2146" s="10"/>
      <c r="F2146" s="11"/>
      <c r="G2146" s="2"/>
      <c r="H2146" s="2"/>
      <c r="I2146" s="2"/>
      <c r="J2146" s="2"/>
      <c r="K2146" s="12"/>
      <c r="L2146" s="2"/>
      <c r="M2146" s="2"/>
      <c r="N2146" s="67"/>
    </row>
    <row r="2147" spans="1:14" x14ac:dyDescent="0.35">
      <c r="A2147" s="61">
        <v>2143</v>
      </c>
      <c r="B2147" s="2"/>
      <c r="C2147" s="2"/>
      <c r="D2147" s="2"/>
      <c r="E2147" s="10"/>
      <c r="F2147" s="11"/>
      <c r="G2147" s="2"/>
      <c r="H2147" s="2"/>
      <c r="I2147" s="2"/>
      <c r="J2147" s="2"/>
      <c r="K2147" s="12"/>
      <c r="L2147" s="2"/>
      <c r="M2147" s="2"/>
      <c r="N2147" s="67"/>
    </row>
    <row r="2148" spans="1:14" x14ac:dyDescent="0.35">
      <c r="A2148" s="61">
        <v>2144</v>
      </c>
      <c r="B2148" s="2"/>
      <c r="C2148" s="2"/>
      <c r="D2148" s="2"/>
      <c r="E2148" s="10"/>
      <c r="F2148" s="11"/>
      <c r="G2148" s="2"/>
      <c r="H2148" s="2"/>
      <c r="I2148" s="2"/>
      <c r="J2148" s="2"/>
      <c r="K2148" s="12"/>
      <c r="L2148" s="2"/>
      <c r="M2148" s="2"/>
      <c r="N2148" s="67"/>
    </row>
    <row r="2149" spans="1:14" x14ac:dyDescent="0.35">
      <c r="A2149" s="61">
        <v>2145</v>
      </c>
      <c r="B2149" s="2"/>
      <c r="C2149" s="2"/>
      <c r="D2149" s="2"/>
      <c r="E2149" s="10"/>
      <c r="F2149" s="11"/>
      <c r="G2149" s="2"/>
      <c r="H2149" s="2"/>
      <c r="I2149" s="2"/>
      <c r="J2149" s="2"/>
      <c r="K2149" s="12"/>
      <c r="L2149" s="2"/>
      <c r="M2149" s="2"/>
      <c r="N2149" s="67"/>
    </row>
    <row r="2150" spans="1:14" x14ac:dyDescent="0.35">
      <c r="A2150" s="61">
        <v>2146</v>
      </c>
      <c r="B2150" s="2"/>
      <c r="C2150" s="2"/>
      <c r="D2150" s="2"/>
      <c r="E2150" s="10"/>
      <c r="F2150" s="11"/>
      <c r="G2150" s="2"/>
      <c r="H2150" s="2"/>
      <c r="I2150" s="2"/>
      <c r="J2150" s="2"/>
      <c r="K2150" s="12"/>
      <c r="L2150" s="2"/>
      <c r="M2150" s="2"/>
      <c r="N2150" s="67"/>
    </row>
    <row r="2151" spans="1:14" x14ac:dyDescent="0.35">
      <c r="A2151" s="61">
        <v>2147</v>
      </c>
      <c r="B2151" s="2"/>
      <c r="C2151" s="2"/>
      <c r="D2151" s="2"/>
      <c r="E2151" s="10"/>
      <c r="F2151" s="11"/>
      <c r="G2151" s="2"/>
      <c r="H2151" s="2"/>
      <c r="I2151" s="2"/>
      <c r="J2151" s="2"/>
      <c r="K2151" s="12"/>
      <c r="L2151" s="2"/>
      <c r="M2151" s="2"/>
      <c r="N2151" s="67"/>
    </row>
    <row r="2152" spans="1:14" x14ac:dyDescent="0.35">
      <c r="A2152" s="61">
        <v>2148</v>
      </c>
      <c r="B2152" s="2"/>
      <c r="C2152" s="2"/>
      <c r="D2152" s="2"/>
      <c r="E2152" s="10"/>
      <c r="F2152" s="11"/>
      <c r="G2152" s="2"/>
      <c r="H2152" s="2"/>
      <c r="I2152" s="2"/>
      <c r="J2152" s="2"/>
      <c r="K2152" s="12"/>
      <c r="L2152" s="2"/>
      <c r="M2152" s="2"/>
      <c r="N2152" s="67"/>
    </row>
    <row r="2153" spans="1:14" x14ac:dyDescent="0.35">
      <c r="A2153" s="61">
        <v>2149</v>
      </c>
      <c r="B2153" s="2"/>
      <c r="C2153" s="2"/>
      <c r="D2153" s="2"/>
      <c r="E2153" s="10"/>
      <c r="F2153" s="11"/>
      <c r="G2153" s="2"/>
      <c r="H2153" s="2"/>
      <c r="I2153" s="2"/>
      <c r="J2153" s="2"/>
      <c r="K2153" s="12"/>
      <c r="L2153" s="2"/>
      <c r="M2153" s="2"/>
      <c r="N2153" s="67"/>
    </row>
    <row r="2154" spans="1:14" x14ac:dyDescent="0.35">
      <c r="A2154" s="61">
        <v>2150</v>
      </c>
      <c r="B2154" s="2"/>
      <c r="C2154" s="2"/>
      <c r="D2154" s="2"/>
      <c r="E2154" s="10"/>
      <c r="F2154" s="11"/>
      <c r="G2154" s="2"/>
      <c r="H2154" s="2"/>
      <c r="I2154" s="2"/>
      <c r="J2154" s="2"/>
      <c r="K2154" s="12"/>
      <c r="L2154" s="2"/>
      <c r="M2154" s="2"/>
      <c r="N2154" s="67"/>
    </row>
    <row r="2155" spans="1:14" x14ac:dyDescent="0.35">
      <c r="A2155" s="61">
        <v>2151</v>
      </c>
      <c r="B2155" s="2"/>
      <c r="C2155" s="2"/>
      <c r="D2155" s="2"/>
      <c r="E2155" s="10"/>
      <c r="F2155" s="11"/>
      <c r="G2155" s="2"/>
      <c r="H2155" s="2"/>
      <c r="I2155" s="2"/>
      <c r="J2155" s="2"/>
      <c r="K2155" s="12"/>
      <c r="L2155" s="2"/>
      <c r="M2155" s="2"/>
      <c r="N2155" s="67"/>
    </row>
    <row r="2156" spans="1:14" x14ac:dyDescent="0.35">
      <c r="A2156" s="61">
        <v>2152</v>
      </c>
      <c r="B2156" s="2"/>
      <c r="C2156" s="2"/>
      <c r="D2156" s="2"/>
      <c r="E2156" s="10"/>
      <c r="F2156" s="11"/>
      <c r="G2156" s="2"/>
      <c r="H2156" s="2"/>
      <c r="I2156" s="2"/>
      <c r="J2156" s="2"/>
      <c r="K2156" s="12"/>
      <c r="L2156" s="2"/>
      <c r="M2156" s="2"/>
      <c r="N2156" s="67"/>
    </row>
    <row r="2157" spans="1:14" x14ac:dyDescent="0.35">
      <c r="A2157" s="61">
        <v>2153</v>
      </c>
      <c r="B2157" s="2"/>
      <c r="C2157" s="2"/>
      <c r="D2157" s="2"/>
      <c r="E2157" s="10"/>
      <c r="F2157" s="11"/>
      <c r="G2157" s="2"/>
      <c r="H2157" s="2"/>
      <c r="I2157" s="2"/>
      <c r="J2157" s="2"/>
      <c r="K2157" s="12"/>
      <c r="L2157" s="2"/>
      <c r="M2157" s="2"/>
      <c r="N2157" s="67"/>
    </row>
    <row r="2158" spans="1:14" x14ac:dyDescent="0.35">
      <c r="A2158" s="61">
        <v>2154</v>
      </c>
      <c r="B2158" s="2"/>
      <c r="C2158" s="2"/>
      <c r="D2158" s="2"/>
      <c r="E2158" s="10"/>
      <c r="F2158" s="11"/>
      <c r="G2158" s="2"/>
      <c r="H2158" s="2"/>
      <c r="I2158" s="2"/>
      <c r="J2158" s="2"/>
      <c r="K2158" s="12"/>
      <c r="L2158" s="2"/>
      <c r="M2158" s="2"/>
      <c r="N2158" s="67"/>
    </row>
    <row r="2159" spans="1:14" x14ac:dyDescent="0.35">
      <c r="A2159" s="61">
        <v>2155</v>
      </c>
      <c r="B2159" s="2"/>
      <c r="C2159" s="2"/>
      <c r="D2159" s="2"/>
      <c r="E2159" s="10"/>
      <c r="F2159" s="11"/>
      <c r="G2159" s="2"/>
      <c r="H2159" s="2"/>
      <c r="I2159" s="2"/>
      <c r="J2159" s="2"/>
      <c r="K2159" s="12"/>
      <c r="L2159" s="2"/>
      <c r="M2159" s="2"/>
      <c r="N2159" s="67"/>
    </row>
    <row r="2160" spans="1:14" x14ac:dyDescent="0.35">
      <c r="A2160" s="61">
        <v>2156</v>
      </c>
      <c r="B2160" s="2"/>
      <c r="C2160" s="2"/>
      <c r="D2160" s="2"/>
      <c r="E2160" s="10"/>
      <c r="F2160" s="11"/>
      <c r="G2160" s="2"/>
      <c r="H2160" s="2"/>
      <c r="I2160" s="2"/>
      <c r="J2160" s="2"/>
      <c r="K2160" s="12"/>
      <c r="L2160" s="2"/>
      <c r="M2160" s="2"/>
      <c r="N2160" s="67"/>
    </row>
    <row r="2161" spans="1:14" x14ac:dyDescent="0.35">
      <c r="A2161" s="61">
        <v>2157</v>
      </c>
      <c r="B2161" s="2"/>
      <c r="C2161" s="2"/>
      <c r="D2161" s="2"/>
      <c r="E2161" s="10"/>
      <c r="F2161" s="11"/>
      <c r="G2161" s="2"/>
      <c r="H2161" s="2"/>
      <c r="I2161" s="2"/>
      <c r="J2161" s="2"/>
      <c r="K2161" s="12"/>
      <c r="L2161" s="2"/>
      <c r="M2161" s="2"/>
      <c r="N2161" s="67"/>
    </row>
    <row r="2162" spans="1:14" x14ac:dyDescent="0.35">
      <c r="A2162" s="61">
        <v>2158</v>
      </c>
      <c r="B2162" s="2"/>
      <c r="C2162" s="2"/>
      <c r="D2162" s="2"/>
      <c r="E2162" s="10"/>
      <c r="F2162" s="11"/>
      <c r="G2162" s="2"/>
      <c r="H2162" s="2"/>
      <c r="I2162" s="2"/>
      <c r="J2162" s="2"/>
      <c r="K2162" s="12"/>
      <c r="L2162" s="2"/>
      <c r="M2162" s="2"/>
      <c r="N2162" s="67"/>
    </row>
    <row r="2163" spans="1:14" x14ac:dyDescent="0.35">
      <c r="A2163" s="61">
        <v>2159</v>
      </c>
      <c r="B2163" s="2"/>
      <c r="C2163" s="2"/>
      <c r="D2163" s="2"/>
      <c r="E2163" s="10"/>
      <c r="F2163" s="11"/>
      <c r="G2163" s="2"/>
      <c r="H2163" s="2"/>
      <c r="I2163" s="2"/>
      <c r="J2163" s="2"/>
      <c r="K2163" s="12"/>
      <c r="L2163" s="2"/>
      <c r="M2163" s="2"/>
      <c r="N2163" s="67"/>
    </row>
    <row r="2164" spans="1:14" x14ac:dyDescent="0.35">
      <c r="A2164" s="61">
        <v>2160</v>
      </c>
      <c r="B2164" s="2"/>
      <c r="C2164" s="2"/>
      <c r="D2164" s="2"/>
      <c r="E2164" s="10"/>
      <c r="F2164" s="11"/>
      <c r="G2164" s="2"/>
      <c r="H2164" s="2"/>
      <c r="I2164" s="2"/>
      <c r="J2164" s="2"/>
      <c r="K2164" s="12"/>
      <c r="L2164" s="2"/>
      <c r="M2164" s="2"/>
      <c r="N2164" s="67"/>
    </row>
    <row r="2165" spans="1:14" x14ac:dyDescent="0.35">
      <c r="A2165" s="61">
        <v>2161</v>
      </c>
      <c r="B2165" s="2"/>
      <c r="C2165" s="2"/>
      <c r="D2165" s="2"/>
      <c r="E2165" s="10"/>
      <c r="F2165" s="11"/>
      <c r="G2165" s="2"/>
      <c r="H2165" s="2"/>
      <c r="I2165" s="2"/>
      <c r="J2165" s="2"/>
      <c r="K2165" s="12"/>
      <c r="L2165" s="2"/>
      <c r="M2165" s="2"/>
      <c r="N2165" s="67"/>
    </row>
    <row r="2166" spans="1:14" x14ac:dyDescent="0.35">
      <c r="A2166" s="61">
        <v>2162</v>
      </c>
      <c r="B2166" s="2"/>
      <c r="C2166" s="2"/>
      <c r="D2166" s="2"/>
      <c r="E2166" s="10"/>
      <c r="F2166" s="11"/>
      <c r="G2166" s="2"/>
      <c r="H2166" s="2"/>
      <c r="I2166" s="2"/>
      <c r="J2166" s="2"/>
      <c r="K2166" s="12"/>
      <c r="L2166" s="2"/>
      <c r="M2166" s="2"/>
      <c r="N2166" s="67"/>
    </row>
    <row r="2167" spans="1:14" x14ac:dyDescent="0.35">
      <c r="A2167" s="61">
        <v>2163</v>
      </c>
      <c r="B2167" s="2"/>
      <c r="C2167" s="2"/>
      <c r="D2167" s="2"/>
      <c r="E2167" s="10"/>
      <c r="F2167" s="11"/>
      <c r="G2167" s="2"/>
      <c r="H2167" s="2"/>
      <c r="I2167" s="2"/>
      <c r="J2167" s="2"/>
      <c r="K2167" s="12"/>
      <c r="L2167" s="2"/>
      <c r="M2167" s="2"/>
      <c r="N2167" s="67"/>
    </row>
    <row r="2168" spans="1:14" x14ac:dyDescent="0.35">
      <c r="A2168" s="61">
        <v>2164</v>
      </c>
      <c r="B2168" s="2"/>
      <c r="C2168" s="2"/>
      <c r="D2168" s="2"/>
      <c r="E2168" s="10"/>
      <c r="F2168" s="11"/>
      <c r="G2168" s="2"/>
      <c r="H2168" s="2"/>
      <c r="I2168" s="2"/>
      <c r="J2168" s="2"/>
      <c r="K2168" s="12"/>
      <c r="L2168" s="2"/>
      <c r="M2168" s="2"/>
      <c r="N2168" s="67"/>
    </row>
    <row r="2169" spans="1:14" x14ac:dyDescent="0.35">
      <c r="A2169" s="61">
        <v>2165</v>
      </c>
      <c r="B2169" s="2"/>
      <c r="C2169" s="2"/>
      <c r="D2169" s="2"/>
      <c r="E2169" s="10"/>
      <c r="F2169" s="11"/>
      <c r="G2169" s="2"/>
      <c r="H2169" s="2"/>
      <c r="I2169" s="2"/>
      <c r="J2169" s="2"/>
      <c r="K2169" s="12"/>
      <c r="L2169" s="2"/>
      <c r="M2169" s="2"/>
      <c r="N2169" s="67"/>
    </row>
    <row r="2170" spans="1:14" x14ac:dyDescent="0.35">
      <c r="A2170" s="61">
        <v>2166</v>
      </c>
      <c r="B2170" s="2"/>
      <c r="C2170" s="2"/>
      <c r="D2170" s="2"/>
      <c r="E2170" s="10"/>
      <c r="F2170" s="11"/>
      <c r="G2170" s="2"/>
      <c r="H2170" s="2"/>
      <c r="I2170" s="2"/>
      <c r="J2170" s="2"/>
      <c r="K2170" s="12"/>
      <c r="L2170" s="2"/>
      <c r="M2170" s="2"/>
      <c r="N2170" s="67"/>
    </row>
    <row r="2171" spans="1:14" x14ac:dyDescent="0.35">
      <c r="A2171" s="61">
        <v>2167</v>
      </c>
      <c r="B2171" s="2"/>
      <c r="C2171" s="2"/>
      <c r="D2171" s="2"/>
      <c r="E2171" s="10"/>
      <c r="F2171" s="11"/>
      <c r="G2171" s="2"/>
      <c r="H2171" s="2"/>
      <c r="I2171" s="2"/>
      <c r="J2171" s="2"/>
      <c r="K2171" s="12"/>
      <c r="L2171" s="2"/>
      <c r="M2171" s="2"/>
      <c r="N2171" s="67"/>
    </row>
    <row r="2172" spans="1:14" x14ac:dyDescent="0.35">
      <c r="A2172" s="61">
        <v>2168</v>
      </c>
      <c r="B2172" s="2"/>
      <c r="C2172" s="2"/>
      <c r="D2172" s="2"/>
      <c r="E2172" s="10"/>
      <c r="F2172" s="11"/>
      <c r="G2172" s="2"/>
      <c r="H2172" s="2"/>
      <c r="I2172" s="2"/>
      <c r="J2172" s="2"/>
      <c r="K2172" s="12"/>
      <c r="L2172" s="2"/>
      <c r="M2172" s="2"/>
      <c r="N2172" s="67"/>
    </row>
    <row r="2173" spans="1:14" x14ac:dyDescent="0.35">
      <c r="A2173" s="61">
        <v>2169</v>
      </c>
      <c r="B2173" s="2"/>
      <c r="C2173" s="2"/>
      <c r="D2173" s="2"/>
      <c r="E2173" s="10"/>
      <c r="F2173" s="11"/>
      <c r="G2173" s="2"/>
      <c r="H2173" s="2"/>
      <c r="I2173" s="2"/>
      <c r="J2173" s="2"/>
      <c r="K2173" s="12"/>
      <c r="L2173" s="2"/>
      <c r="M2173" s="2"/>
      <c r="N2173" s="67"/>
    </row>
    <row r="2174" spans="1:14" x14ac:dyDescent="0.35">
      <c r="A2174" s="61">
        <v>2170</v>
      </c>
      <c r="B2174" s="2"/>
      <c r="C2174" s="2"/>
      <c r="D2174" s="2"/>
      <c r="E2174" s="10"/>
      <c r="F2174" s="11"/>
      <c r="G2174" s="2"/>
      <c r="H2174" s="2"/>
      <c r="I2174" s="2"/>
      <c r="J2174" s="2"/>
      <c r="K2174" s="12"/>
      <c r="L2174" s="2"/>
      <c r="M2174" s="2"/>
      <c r="N2174" s="67"/>
    </row>
    <row r="2175" spans="1:14" x14ac:dyDescent="0.35">
      <c r="A2175" s="61">
        <v>2171</v>
      </c>
      <c r="B2175" s="2"/>
      <c r="C2175" s="2"/>
      <c r="D2175" s="2"/>
      <c r="E2175" s="10"/>
      <c r="F2175" s="11"/>
      <c r="G2175" s="2"/>
      <c r="H2175" s="2"/>
      <c r="I2175" s="2"/>
      <c r="J2175" s="2"/>
      <c r="K2175" s="12"/>
      <c r="L2175" s="2"/>
      <c r="M2175" s="2"/>
      <c r="N2175" s="67"/>
    </row>
    <row r="2176" spans="1:14" x14ac:dyDescent="0.35">
      <c r="A2176" s="61">
        <v>2172</v>
      </c>
      <c r="B2176" s="2"/>
      <c r="C2176" s="2"/>
      <c r="D2176" s="2"/>
      <c r="E2176" s="10"/>
      <c r="F2176" s="11"/>
      <c r="G2176" s="2"/>
      <c r="H2176" s="2"/>
      <c r="I2176" s="2"/>
      <c r="J2176" s="2"/>
      <c r="K2176" s="12"/>
      <c r="L2176" s="2"/>
      <c r="M2176" s="2"/>
      <c r="N2176" s="67"/>
    </row>
    <row r="2177" spans="1:14" x14ac:dyDescent="0.35">
      <c r="A2177" s="61">
        <v>2173</v>
      </c>
      <c r="B2177" s="2"/>
      <c r="C2177" s="2"/>
      <c r="D2177" s="2"/>
      <c r="E2177" s="10"/>
      <c r="F2177" s="11"/>
      <c r="G2177" s="2"/>
      <c r="H2177" s="2"/>
      <c r="I2177" s="2"/>
      <c r="J2177" s="2"/>
      <c r="K2177" s="12"/>
      <c r="L2177" s="2"/>
      <c r="M2177" s="2"/>
      <c r="N2177" s="67"/>
    </row>
    <row r="2178" spans="1:14" x14ac:dyDescent="0.35">
      <c r="A2178" s="61">
        <v>2174</v>
      </c>
      <c r="B2178" s="2"/>
      <c r="C2178" s="2"/>
      <c r="D2178" s="2"/>
      <c r="E2178" s="10"/>
      <c r="F2178" s="11"/>
      <c r="G2178" s="2"/>
      <c r="H2178" s="2"/>
      <c r="I2178" s="2"/>
      <c r="J2178" s="2"/>
      <c r="K2178" s="12"/>
      <c r="L2178" s="2"/>
      <c r="M2178" s="2"/>
      <c r="N2178" s="67"/>
    </row>
    <row r="2179" spans="1:14" x14ac:dyDescent="0.35">
      <c r="A2179" s="61">
        <v>2175</v>
      </c>
      <c r="B2179" s="2"/>
      <c r="C2179" s="2"/>
      <c r="D2179" s="2"/>
      <c r="E2179" s="10"/>
      <c r="F2179" s="11"/>
      <c r="G2179" s="2"/>
      <c r="H2179" s="2"/>
      <c r="I2179" s="2"/>
      <c r="J2179" s="2"/>
      <c r="K2179" s="12"/>
      <c r="L2179" s="2"/>
      <c r="M2179" s="2"/>
      <c r="N2179" s="67"/>
    </row>
    <row r="2180" spans="1:14" x14ac:dyDescent="0.35">
      <c r="A2180" s="61">
        <v>2176</v>
      </c>
      <c r="B2180" s="2"/>
      <c r="C2180" s="2"/>
      <c r="D2180" s="2"/>
      <c r="E2180" s="10"/>
      <c r="F2180" s="11"/>
      <c r="G2180" s="2"/>
      <c r="H2180" s="2"/>
      <c r="I2180" s="2"/>
      <c r="J2180" s="2"/>
      <c r="K2180" s="12"/>
      <c r="L2180" s="2"/>
      <c r="M2180" s="2"/>
      <c r="N2180" s="67"/>
    </row>
    <row r="2181" spans="1:14" x14ac:dyDescent="0.35">
      <c r="A2181" s="61">
        <v>2177</v>
      </c>
      <c r="B2181" s="2"/>
      <c r="C2181" s="2"/>
      <c r="D2181" s="2"/>
      <c r="E2181" s="10"/>
      <c r="F2181" s="11"/>
      <c r="G2181" s="2"/>
      <c r="H2181" s="2"/>
      <c r="I2181" s="2"/>
      <c r="J2181" s="2"/>
      <c r="K2181" s="12"/>
      <c r="L2181" s="2"/>
      <c r="M2181" s="2"/>
      <c r="N2181" s="67"/>
    </row>
    <row r="2182" spans="1:14" x14ac:dyDescent="0.35">
      <c r="A2182" s="61">
        <v>2178</v>
      </c>
      <c r="B2182" s="2"/>
      <c r="C2182" s="2"/>
      <c r="D2182" s="2"/>
      <c r="E2182" s="10"/>
      <c r="F2182" s="11"/>
      <c r="G2182" s="2"/>
      <c r="H2182" s="2"/>
      <c r="I2182" s="2"/>
      <c r="J2182" s="2"/>
      <c r="K2182" s="12"/>
      <c r="L2182" s="2"/>
      <c r="M2182" s="2"/>
      <c r="N2182" s="67"/>
    </row>
    <row r="2183" spans="1:14" x14ac:dyDescent="0.35">
      <c r="A2183" s="61">
        <v>2179</v>
      </c>
      <c r="B2183" s="2"/>
      <c r="C2183" s="2"/>
      <c r="D2183" s="2"/>
      <c r="E2183" s="10"/>
      <c r="F2183" s="11"/>
      <c r="G2183" s="2"/>
      <c r="H2183" s="2"/>
      <c r="I2183" s="2"/>
      <c r="J2183" s="2"/>
      <c r="K2183" s="12"/>
      <c r="L2183" s="2"/>
      <c r="M2183" s="2"/>
      <c r="N2183" s="67"/>
    </row>
    <row r="2184" spans="1:14" x14ac:dyDescent="0.35">
      <c r="A2184" s="61">
        <v>2180</v>
      </c>
      <c r="B2184" s="2"/>
      <c r="C2184" s="2"/>
      <c r="D2184" s="2"/>
      <c r="E2184" s="10"/>
      <c r="F2184" s="11"/>
      <c r="G2184" s="2"/>
      <c r="H2184" s="2"/>
      <c r="I2184" s="2"/>
      <c r="J2184" s="2"/>
      <c r="K2184" s="12"/>
      <c r="L2184" s="2"/>
      <c r="M2184" s="2"/>
      <c r="N2184" s="67"/>
    </row>
    <row r="2185" spans="1:14" x14ac:dyDescent="0.35">
      <c r="A2185" s="61">
        <v>2181</v>
      </c>
      <c r="B2185" s="2"/>
      <c r="C2185" s="2"/>
      <c r="D2185" s="2"/>
      <c r="E2185" s="10"/>
      <c r="F2185" s="11"/>
      <c r="G2185" s="2"/>
      <c r="H2185" s="2"/>
      <c r="I2185" s="2"/>
      <c r="J2185" s="2"/>
      <c r="K2185" s="12"/>
      <c r="L2185" s="2"/>
      <c r="M2185" s="2"/>
      <c r="N2185" s="67"/>
    </row>
    <row r="2186" spans="1:14" x14ac:dyDescent="0.35">
      <c r="A2186" s="61">
        <v>2182</v>
      </c>
      <c r="B2186" s="2"/>
      <c r="C2186" s="2"/>
      <c r="D2186" s="2"/>
      <c r="E2186" s="10"/>
      <c r="F2186" s="11"/>
      <c r="G2186" s="2"/>
      <c r="H2186" s="2"/>
      <c r="I2186" s="2"/>
      <c r="J2186" s="2"/>
      <c r="K2186" s="12"/>
      <c r="L2186" s="2"/>
      <c r="M2186" s="2"/>
      <c r="N2186" s="67"/>
    </row>
    <row r="2187" spans="1:14" x14ac:dyDescent="0.35">
      <c r="A2187" s="61">
        <v>2183</v>
      </c>
      <c r="B2187" s="2"/>
      <c r="C2187" s="2"/>
      <c r="D2187" s="2"/>
      <c r="E2187" s="10"/>
      <c r="F2187" s="11"/>
      <c r="G2187" s="2"/>
      <c r="H2187" s="2"/>
      <c r="I2187" s="2"/>
      <c r="J2187" s="2"/>
      <c r="K2187" s="12"/>
      <c r="L2187" s="2"/>
      <c r="M2187" s="2"/>
      <c r="N2187" s="67"/>
    </row>
    <row r="2188" spans="1:14" x14ac:dyDescent="0.35">
      <c r="A2188" s="61">
        <v>2184</v>
      </c>
      <c r="B2188" s="2"/>
      <c r="C2188" s="2"/>
      <c r="D2188" s="2"/>
      <c r="E2188" s="10"/>
      <c r="F2188" s="11"/>
      <c r="G2188" s="2"/>
      <c r="H2188" s="2"/>
      <c r="I2188" s="2"/>
      <c r="J2188" s="2"/>
      <c r="K2188" s="12"/>
      <c r="L2188" s="2"/>
      <c r="M2188" s="2"/>
      <c r="N2188" s="67"/>
    </row>
    <row r="2189" spans="1:14" x14ac:dyDescent="0.35">
      <c r="A2189" s="61">
        <v>2185</v>
      </c>
      <c r="B2189" s="2"/>
      <c r="C2189" s="2"/>
      <c r="D2189" s="2"/>
      <c r="E2189" s="10"/>
      <c r="F2189" s="11"/>
      <c r="G2189" s="2"/>
      <c r="H2189" s="2"/>
      <c r="I2189" s="2"/>
      <c r="J2189" s="2"/>
      <c r="K2189" s="12"/>
      <c r="L2189" s="2"/>
      <c r="M2189" s="2"/>
      <c r="N2189" s="67"/>
    </row>
    <row r="2190" spans="1:14" x14ac:dyDescent="0.35">
      <c r="A2190" s="61">
        <v>2186</v>
      </c>
      <c r="B2190" s="2"/>
      <c r="C2190" s="2"/>
      <c r="D2190" s="2"/>
      <c r="E2190" s="10"/>
      <c r="F2190" s="11"/>
      <c r="G2190" s="2"/>
      <c r="H2190" s="2"/>
      <c r="I2190" s="2"/>
      <c r="J2190" s="2"/>
      <c r="K2190" s="12"/>
      <c r="L2190" s="2"/>
      <c r="M2190" s="2"/>
      <c r="N2190" s="67"/>
    </row>
    <row r="2191" spans="1:14" x14ac:dyDescent="0.35">
      <c r="A2191" s="61">
        <v>2187</v>
      </c>
      <c r="B2191" s="2"/>
      <c r="C2191" s="2"/>
      <c r="D2191" s="2"/>
      <c r="E2191" s="10"/>
      <c r="F2191" s="11"/>
      <c r="G2191" s="2"/>
      <c r="H2191" s="2"/>
      <c r="I2191" s="2"/>
      <c r="J2191" s="2"/>
      <c r="K2191" s="12"/>
      <c r="L2191" s="2"/>
      <c r="M2191" s="2"/>
      <c r="N2191" s="67"/>
    </row>
    <row r="2192" spans="1:14" x14ac:dyDescent="0.35">
      <c r="A2192" s="61">
        <v>2188</v>
      </c>
      <c r="B2192" s="2"/>
      <c r="C2192" s="2"/>
      <c r="D2192" s="2"/>
      <c r="E2192" s="10"/>
      <c r="F2192" s="11"/>
      <c r="G2192" s="2"/>
      <c r="H2192" s="2"/>
      <c r="I2192" s="2"/>
      <c r="J2192" s="2"/>
      <c r="K2192" s="12"/>
      <c r="L2192" s="2"/>
      <c r="M2192" s="2"/>
      <c r="N2192" s="67"/>
    </row>
    <row r="2193" spans="1:14" x14ac:dyDescent="0.35">
      <c r="A2193" s="61">
        <v>2189</v>
      </c>
      <c r="B2193" s="2"/>
      <c r="C2193" s="2"/>
      <c r="D2193" s="2"/>
      <c r="E2193" s="10"/>
      <c r="F2193" s="11"/>
      <c r="G2193" s="2"/>
      <c r="H2193" s="2"/>
      <c r="I2193" s="2"/>
      <c r="J2193" s="2"/>
      <c r="K2193" s="12"/>
      <c r="L2193" s="2"/>
      <c r="M2193" s="2"/>
      <c r="N2193" s="67"/>
    </row>
    <row r="2194" spans="1:14" x14ac:dyDescent="0.35">
      <c r="A2194" s="61">
        <v>2190</v>
      </c>
      <c r="B2194" s="2"/>
      <c r="C2194" s="2"/>
      <c r="D2194" s="2"/>
      <c r="E2194" s="10"/>
      <c r="F2194" s="11"/>
      <c r="G2194" s="2"/>
      <c r="H2194" s="2"/>
      <c r="I2194" s="2"/>
      <c r="J2194" s="2"/>
      <c r="K2194" s="12"/>
      <c r="L2194" s="2"/>
      <c r="M2194" s="2"/>
      <c r="N2194" s="67"/>
    </row>
    <row r="2195" spans="1:14" x14ac:dyDescent="0.35">
      <c r="A2195" s="61">
        <v>2191</v>
      </c>
      <c r="B2195" s="2"/>
      <c r="C2195" s="2"/>
      <c r="D2195" s="2"/>
      <c r="E2195" s="10"/>
      <c r="F2195" s="11"/>
      <c r="G2195" s="2"/>
      <c r="H2195" s="2"/>
      <c r="I2195" s="2"/>
      <c r="J2195" s="2"/>
      <c r="K2195" s="12"/>
      <c r="L2195" s="2"/>
      <c r="M2195" s="2"/>
      <c r="N2195" s="67"/>
    </row>
    <row r="2196" spans="1:14" x14ac:dyDescent="0.35">
      <c r="A2196" s="61">
        <v>2192</v>
      </c>
      <c r="B2196" s="2"/>
      <c r="C2196" s="2"/>
      <c r="D2196" s="2"/>
      <c r="E2196" s="10"/>
      <c r="F2196" s="11"/>
      <c r="G2196" s="2"/>
      <c r="H2196" s="2"/>
      <c r="I2196" s="2"/>
      <c r="J2196" s="2"/>
      <c r="K2196" s="12"/>
      <c r="L2196" s="2"/>
      <c r="M2196" s="2"/>
      <c r="N2196" s="67"/>
    </row>
    <row r="2197" spans="1:14" x14ac:dyDescent="0.35">
      <c r="A2197" s="61">
        <v>2193</v>
      </c>
      <c r="B2197" s="2"/>
      <c r="C2197" s="2"/>
      <c r="D2197" s="2"/>
      <c r="E2197" s="10"/>
      <c r="F2197" s="11"/>
      <c r="G2197" s="2"/>
      <c r="H2197" s="2"/>
      <c r="I2197" s="2"/>
      <c r="J2197" s="2"/>
      <c r="K2197" s="12"/>
      <c r="L2197" s="2"/>
      <c r="M2197" s="2"/>
      <c r="N2197" s="67"/>
    </row>
    <row r="2198" spans="1:14" x14ac:dyDescent="0.35">
      <c r="A2198" s="61">
        <v>2194</v>
      </c>
      <c r="B2198" s="2"/>
      <c r="C2198" s="2"/>
      <c r="D2198" s="2"/>
      <c r="E2198" s="10"/>
      <c r="F2198" s="11"/>
      <c r="G2198" s="2"/>
      <c r="H2198" s="2"/>
      <c r="I2198" s="2"/>
      <c r="J2198" s="2"/>
      <c r="K2198" s="12"/>
      <c r="L2198" s="2"/>
      <c r="M2198" s="2"/>
      <c r="N2198" s="67"/>
    </row>
    <row r="2199" spans="1:14" x14ac:dyDescent="0.35">
      <c r="A2199" s="61">
        <v>2195</v>
      </c>
      <c r="B2199" s="2"/>
      <c r="C2199" s="2"/>
      <c r="D2199" s="2"/>
      <c r="E2199" s="10"/>
      <c r="F2199" s="11"/>
      <c r="G2199" s="2"/>
      <c r="H2199" s="2"/>
      <c r="I2199" s="2"/>
      <c r="J2199" s="2"/>
      <c r="K2199" s="12"/>
      <c r="L2199" s="2"/>
      <c r="M2199" s="2"/>
      <c r="N2199" s="67"/>
    </row>
    <row r="2200" spans="1:14" x14ac:dyDescent="0.35">
      <c r="A2200" s="61">
        <v>2196</v>
      </c>
      <c r="B2200" s="2"/>
      <c r="C2200" s="2"/>
      <c r="D2200" s="2"/>
      <c r="E2200" s="10"/>
      <c r="F2200" s="11"/>
      <c r="G2200" s="2"/>
      <c r="H2200" s="2"/>
      <c r="I2200" s="2"/>
      <c r="J2200" s="2"/>
      <c r="K2200" s="12"/>
      <c r="L2200" s="2"/>
      <c r="M2200" s="2"/>
      <c r="N2200" s="67"/>
    </row>
    <row r="2201" spans="1:14" x14ac:dyDescent="0.35">
      <c r="A2201" s="61">
        <v>2197</v>
      </c>
      <c r="B2201" s="2"/>
      <c r="C2201" s="2"/>
      <c r="D2201" s="2"/>
      <c r="E2201" s="10"/>
      <c r="F2201" s="11"/>
      <c r="G2201" s="2"/>
      <c r="H2201" s="2"/>
      <c r="I2201" s="2"/>
      <c r="J2201" s="2"/>
      <c r="K2201" s="12"/>
      <c r="L2201" s="2"/>
      <c r="M2201" s="2"/>
      <c r="N2201" s="67"/>
    </row>
    <row r="2202" spans="1:14" x14ac:dyDescent="0.35">
      <c r="A2202" s="61">
        <v>2198</v>
      </c>
      <c r="B2202" s="2"/>
      <c r="C2202" s="2"/>
      <c r="D2202" s="2"/>
      <c r="E2202" s="10"/>
      <c r="F2202" s="11"/>
      <c r="G2202" s="2"/>
      <c r="H2202" s="2"/>
      <c r="I2202" s="2"/>
      <c r="J2202" s="2"/>
      <c r="K2202" s="12"/>
      <c r="L2202" s="2"/>
      <c r="M2202" s="2"/>
      <c r="N2202" s="67"/>
    </row>
    <row r="2203" spans="1:14" x14ac:dyDescent="0.35">
      <c r="A2203" s="61">
        <v>2199</v>
      </c>
      <c r="B2203" s="2"/>
      <c r="C2203" s="2"/>
      <c r="D2203" s="2"/>
      <c r="E2203" s="10"/>
      <c r="F2203" s="11"/>
      <c r="G2203" s="2"/>
      <c r="H2203" s="2"/>
      <c r="I2203" s="2"/>
      <c r="J2203" s="2"/>
      <c r="K2203" s="12"/>
      <c r="L2203" s="2"/>
      <c r="M2203" s="2"/>
      <c r="N2203" s="67"/>
    </row>
    <row r="2204" spans="1:14" x14ac:dyDescent="0.35">
      <c r="A2204" s="61">
        <v>2200</v>
      </c>
      <c r="B2204" s="2"/>
      <c r="C2204" s="2"/>
      <c r="D2204" s="2"/>
      <c r="E2204" s="10"/>
      <c r="F2204" s="11"/>
      <c r="G2204" s="2"/>
      <c r="H2204" s="2"/>
      <c r="I2204" s="2"/>
      <c r="J2204" s="2"/>
      <c r="K2204" s="12"/>
      <c r="L2204" s="2"/>
      <c r="M2204" s="2"/>
      <c r="N2204" s="67"/>
    </row>
    <row r="2205" spans="1:14" x14ac:dyDescent="0.35">
      <c r="A2205" s="61">
        <v>2201</v>
      </c>
      <c r="B2205" s="2"/>
      <c r="C2205" s="2"/>
      <c r="D2205" s="2"/>
      <c r="E2205" s="10"/>
      <c r="F2205" s="11"/>
      <c r="G2205" s="2"/>
      <c r="H2205" s="2"/>
      <c r="I2205" s="2"/>
      <c r="J2205" s="2"/>
      <c r="K2205" s="12"/>
      <c r="L2205" s="2"/>
      <c r="M2205" s="2"/>
      <c r="N2205" s="67"/>
    </row>
    <row r="2206" spans="1:14" x14ac:dyDescent="0.35">
      <c r="A2206" s="61">
        <v>2202</v>
      </c>
      <c r="B2206" s="2"/>
      <c r="C2206" s="2"/>
      <c r="D2206" s="2"/>
      <c r="E2206" s="10"/>
      <c r="F2206" s="11"/>
      <c r="G2206" s="2"/>
      <c r="H2206" s="2"/>
      <c r="I2206" s="2"/>
      <c r="J2206" s="2"/>
      <c r="K2206" s="12"/>
      <c r="L2206" s="2"/>
      <c r="M2206" s="2"/>
      <c r="N2206" s="67"/>
    </row>
    <row r="2207" spans="1:14" x14ac:dyDescent="0.35">
      <c r="A2207" s="61">
        <v>2203</v>
      </c>
      <c r="B2207" s="2"/>
      <c r="C2207" s="2"/>
      <c r="D2207" s="2"/>
      <c r="E2207" s="10"/>
      <c r="F2207" s="11"/>
      <c r="G2207" s="2"/>
      <c r="H2207" s="2"/>
      <c r="I2207" s="2"/>
      <c r="J2207" s="2"/>
      <c r="K2207" s="12"/>
      <c r="L2207" s="2"/>
      <c r="M2207" s="2"/>
      <c r="N2207" s="67"/>
    </row>
    <row r="2208" spans="1:14" x14ac:dyDescent="0.35">
      <c r="A2208" s="61">
        <v>2204</v>
      </c>
      <c r="B2208" s="2"/>
      <c r="C2208" s="2"/>
      <c r="D2208" s="2"/>
      <c r="E2208" s="10"/>
      <c r="F2208" s="11"/>
      <c r="G2208" s="2"/>
      <c r="H2208" s="2"/>
      <c r="I2208" s="2"/>
      <c r="J2208" s="2"/>
      <c r="K2208" s="12"/>
      <c r="L2208" s="2"/>
      <c r="M2208" s="2"/>
      <c r="N2208" s="67"/>
    </row>
    <row r="2209" spans="1:14" x14ac:dyDescent="0.35">
      <c r="A2209" s="61">
        <v>2205</v>
      </c>
      <c r="B2209" s="2"/>
      <c r="C2209" s="2"/>
      <c r="D2209" s="2"/>
      <c r="E2209" s="10"/>
      <c r="F2209" s="11"/>
      <c r="G2209" s="2"/>
      <c r="H2209" s="2"/>
      <c r="I2209" s="2"/>
      <c r="J2209" s="2"/>
      <c r="K2209" s="12"/>
      <c r="L2209" s="2"/>
      <c r="M2209" s="2"/>
      <c r="N2209" s="67"/>
    </row>
    <row r="2210" spans="1:14" x14ac:dyDescent="0.35">
      <c r="A2210" s="61">
        <v>2206</v>
      </c>
      <c r="B2210" s="2"/>
      <c r="C2210" s="2"/>
      <c r="D2210" s="2"/>
      <c r="E2210" s="10"/>
      <c r="F2210" s="11"/>
      <c r="G2210" s="2"/>
      <c r="H2210" s="2"/>
      <c r="I2210" s="2"/>
      <c r="J2210" s="2"/>
      <c r="K2210" s="12"/>
      <c r="L2210" s="2"/>
      <c r="M2210" s="2"/>
      <c r="N2210" s="67"/>
    </row>
    <row r="2211" spans="1:14" x14ac:dyDescent="0.35">
      <c r="A2211" s="61">
        <v>2207</v>
      </c>
      <c r="B2211" s="2"/>
      <c r="C2211" s="2"/>
      <c r="D2211" s="2"/>
      <c r="E2211" s="10"/>
      <c r="F2211" s="11"/>
      <c r="G2211" s="2"/>
      <c r="H2211" s="2"/>
      <c r="I2211" s="2"/>
      <c r="J2211" s="2"/>
      <c r="K2211" s="12"/>
      <c r="L2211" s="2"/>
      <c r="M2211" s="2"/>
      <c r="N2211" s="67"/>
    </row>
    <row r="2212" spans="1:14" x14ac:dyDescent="0.35">
      <c r="A2212" s="61">
        <v>2208</v>
      </c>
      <c r="B2212" s="2"/>
      <c r="C2212" s="2"/>
      <c r="D2212" s="2"/>
      <c r="E2212" s="10"/>
      <c r="F2212" s="11"/>
      <c r="G2212" s="2"/>
      <c r="H2212" s="2"/>
      <c r="I2212" s="2"/>
      <c r="J2212" s="2"/>
      <c r="K2212" s="12"/>
      <c r="L2212" s="2"/>
      <c r="M2212" s="2"/>
      <c r="N2212" s="67"/>
    </row>
    <row r="2213" spans="1:14" x14ac:dyDescent="0.35">
      <c r="A2213" s="61">
        <v>2209</v>
      </c>
      <c r="B2213" s="2"/>
      <c r="C2213" s="2"/>
      <c r="D2213" s="2"/>
      <c r="E2213" s="10"/>
      <c r="F2213" s="11"/>
      <c r="G2213" s="2"/>
      <c r="H2213" s="2"/>
      <c r="I2213" s="2"/>
      <c r="J2213" s="2"/>
      <c r="K2213" s="12"/>
      <c r="L2213" s="2"/>
      <c r="M2213" s="2"/>
      <c r="N2213" s="67"/>
    </row>
    <row r="2214" spans="1:14" x14ac:dyDescent="0.35">
      <c r="A2214" s="61">
        <v>2210</v>
      </c>
      <c r="B2214" s="2"/>
      <c r="C2214" s="2"/>
      <c r="D2214" s="2"/>
      <c r="E2214" s="10"/>
      <c r="F2214" s="11"/>
      <c r="G2214" s="2"/>
      <c r="H2214" s="2"/>
      <c r="I2214" s="2"/>
      <c r="J2214" s="2"/>
      <c r="K2214" s="12"/>
      <c r="L2214" s="2"/>
      <c r="M2214" s="2"/>
      <c r="N2214" s="67"/>
    </row>
    <row r="2215" spans="1:14" x14ac:dyDescent="0.35">
      <c r="A2215" s="61">
        <v>2211</v>
      </c>
      <c r="B2215" s="2"/>
      <c r="C2215" s="2"/>
      <c r="D2215" s="2"/>
      <c r="E2215" s="10"/>
      <c r="F2215" s="11"/>
      <c r="G2215" s="2"/>
      <c r="H2215" s="2"/>
      <c r="I2215" s="2"/>
      <c r="J2215" s="2"/>
      <c r="K2215" s="12"/>
      <c r="L2215" s="2"/>
      <c r="M2215" s="2"/>
      <c r="N2215" s="67"/>
    </row>
    <row r="2216" spans="1:14" x14ac:dyDescent="0.35">
      <c r="A2216" s="61">
        <v>2212</v>
      </c>
      <c r="B2216" s="2"/>
      <c r="C2216" s="2"/>
      <c r="D2216" s="2"/>
      <c r="E2216" s="10"/>
      <c r="F2216" s="11"/>
      <c r="G2216" s="2"/>
      <c r="H2216" s="2"/>
      <c r="I2216" s="2"/>
      <c r="J2216" s="2"/>
      <c r="K2216" s="12"/>
      <c r="L2216" s="2"/>
      <c r="M2216" s="2"/>
      <c r="N2216" s="67"/>
    </row>
    <row r="2217" spans="1:14" x14ac:dyDescent="0.35">
      <c r="A2217" s="61">
        <v>2213</v>
      </c>
      <c r="B2217" s="2"/>
      <c r="C2217" s="2"/>
      <c r="D2217" s="2"/>
      <c r="E2217" s="10"/>
      <c r="F2217" s="11"/>
      <c r="G2217" s="2"/>
      <c r="H2217" s="2"/>
      <c r="I2217" s="2"/>
      <c r="J2217" s="2"/>
      <c r="K2217" s="12"/>
      <c r="L2217" s="2"/>
      <c r="M2217" s="2"/>
      <c r="N2217" s="67"/>
    </row>
    <row r="2218" spans="1:14" x14ac:dyDescent="0.35">
      <c r="A2218" s="61">
        <v>2214</v>
      </c>
      <c r="B2218" s="2"/>
      <c r="C2218" s="2"/>
      <c r="D2218" s="2"/>
      <c r="E2218" s="10"/>
      <c r="F2218" s="11"/>
      <c r="G2218" s="2"/>
      <c r="H2218" s="2"/>
      <c r="I2218" s="2"/>
      <c r="J2218" s="2"/>
      <c r="K2218" s="12"/>
      <c r="L2218" s="2"/>
      <c r="M2218" s="2"/>
      <c r="N2218" s="67"/>
    </row>
    <row r="2219" spans="1:14" x14ac:dyDescent="0.35">
      <c r="A2219" s="61">
        <v>2215</v>
      </c>
      <c r="B2219" s="2"/>
      <c r="C2219" s="2"/>
      <c r="D2219" s="2"/>
      <c r="E2219" s="10"/>
      <c r="F2219" s="11"/>
      <c r="G2219" s="2"/>
      <c r="H2219" s="2"/>
      <c r="I2219" s="2"/>
      <c r="J2219" s="2"/>
      <c r="K2219" s="12"/>
      <c r="L2219" s="2"/>
      <c r="M2219" s="2"/>
      <c r="N2219" s="67"/>
    </row>
    <row r="2220" spans="1:14" x14ac:dyDescent="0.35">
      <c r="A2220" s="61">
        <v>2216</v>
      </c>
      <c r="B2220" s="2"/>
      <c r="C2220" s="2"/>
      <c r="D2220" s="2"/>
      <c r="E2220" s="10"/>
      <c r="F2220" s="11"/>
      <c r="G2220" s="2"/>
      <c r="H2220" s="2"/>
      <c r="I2220" s="2"/>
      <c r="J2220" s="2"/>
      <c r="K2220" s="12"/>
      <c r="L2220" s="2"/>
      <c r="M2220" s="2"/>
      <c r="N2220" s="67"/>
    </row>
    <row r="2221" spans="1:14" x14ac:dyDescent="0.35">
      <c r="A2221" s="61">
        <v>2217</v>
      </c>
      <c r="B2221" s="2"/>
      <c r="C2221" s="2"/>
      <c r="D2221" s="2"/>
      <c r="E2221" s="10"/>
      <c r="F2221" s="11"/>
      <c r="G2221" s="2"/>
      <c r="H2221" s="2"/>
      <c r="I2221" s="2"/>
      <c r="J2221" s="2"/>
      <c r="K2221" s="12"/>
      <c r="L2221" s="2"/>
      <c r="M2221" s="2"/>
      <c r="N2221" s="67"/>
    </row>
    <row r="2222" spans="1:14" x14ac:dyDescent="0.35">
      <c r="A2222" s="61">
        <v>2218</v>
      </c>
      <c r="B2222" s="2"/>
      <c r="C2222" s="2"/>
      <c r="D2222" s="2"/>
      <c r="E2222" s="10"/>
      <c r="F2222" s="11"/>
      <c r="G2222" s="2"/>
      <c r="H2222" s="2"/>
      <c r="I2222" s="2"/>
      <c r="J2222" s="2"/>
      <c r="K2222" s="12"/>
      <c r="L2222" s="2"/>
      <c r="M2222" s="2"/>
      <c r="N2222" s="67"/>
    </row>
    <row r="2223" spans="1:14" x14ac:dyDescent="0.35">
      <c r="A2223" s="61">
        <v>2219</v>
      </c>
      <c r="B2223" s="2"/>
      <c r="C2223" s="2"/>
      <c r="D2223" s="2"/>
      <c r="E2223" s="10"/>
      <c r="F2223" s="11"/>
      <c r="G2223" s="2"/>
      <c r="H2223" s="2"/>
      <c r="I2223" s="2"/>
      <c r="J2223" s="2"/>
      <c r="K2223" s="12"/>
      <c r="L2223" s="2"/>
      <c r="M2223" s="2"/>
      <c r="N2223" s="67"/>
    </row>
    <row r="2224" spans="1:14" x14ac:dyDescent="0.35">
      <c r="A2224" s="61">
        <v>2220</v>
      </c>
      <c r="B2224" s="2"/>
      <c r="C2224" s="2"/>
      <c r="D2224" s="2"/>
      <c r="E2224" s="10"/>
      <c r="F2224" s="11"/>
      <c r="G2224" s="2"/>
      <c r="H2224" s="2"/>
      <c r="I2224" s="2"/>
      <c r="J2224" s="2"/>
      <c r="K2224" s="12"/>
      <c r="L2224" s="2"/>
      <c r="M2224" s="2"/>
      <c r="N2224" s="67"/>
    </row>
    <row r="2225" spans="1:14" x14ac:dyDescent="0.35">
      <c r="A2225" s="61">
        <v>2221</v>
      </c>
      <c r="B2225" s="2"/>
      <c r="C2225" s="2"/>
      <c r="D2225" s="2"/>
      <c r="E2225" s="10"/>
      <c r="F2225" s="11"/>
      <c r="G2225" s="2"/>
      <c r="H2225" s="2"/>
      <c r="I2225" s="2"/>
      <c r="J2225" s="2"/>
      <c r="K2225" s="12"/>
      <c r="L2225" s="2"/>
      <c r="M2225" s="2"/>
      <c r="N2225" s="67"/>
    </row>
    <row r="2226" spans="1:14" x14ac:dyDescent="0.35">
      <c r="A2226" s="61">
        <v>2222</v>
      </c>
      <c r="B2226" s="2"/>
      <c r="C2226" s="2"/>
      <c r="D2226" s="2"/>
      <c r="E2226" s="10"/>
      <c r="F2226" s="11"/>
      <c r="G2226" s="2"/>
      <c r="H2226" s="2"/>
      <c r="I2226" s="2"/>
      <c r="J2226" s="2"/>
      <c r="K2226" s="12"/>
      <c r="L2226" s="2"/>
      <c r="M2226" s="2"/>
      <c r="N2226" s="67"/>
    </row>
    <row r="2227" spans="1:14" x14ac:dyDescent="0.35">
      <c r="A2227" s="61">
        <v>2223</v>
      </c>
      <c r="B2227" s="2"/>
      <c r="C2227" s="2"/>
      <c r="D2227" s="2"/>
      <c r="E2227" s="10"/>
      <c r="F2227" s="11"/>
      <c r="G2227" s="2"/>
      <c r="H2227" s="2"/>
      <c r="I2227" s="2"/>
      <c r="J2227" s="2"/>
      <c r="K2227" s="12"/>
      <c r="L2227" s="2"/>
      <c r="M2227" s="2"/>
      <c r="N2227" s="67"/>
    </row>
    <row r="2228" spans="1:14" x14ac:dyDescent="0.35">
      <c r="A2228" s="61">
        <v>2224</v>
      </c>
      <c r="B2228" s="2"/>
      <c r="C2228" s="2"/>
      <c r="D2228" s="2"/>
      <c r="E2228" s="10"/>
      <c r="F2228" s="11"/>
      <c r="G2228" s="2"/>
      <c r="H2228" s="2"/>
      <c r="I2228" s="2"/>
      <c r="J2228" s="2"/>
      <c r="K2228" s="12"/>
      <c r="L2228" s="2"/>
      <c r="M2228" s="2"/>
      <c r="N2228" s="67"/>
    </row>
    <row r="2229" spans="1:14" x14ac:dyDescent="0.35">
      <c r="A2229" s="61">
        <v>2225</v>
      </c>
      <c r="B2229" s="2"/>
      <c r="C2229" s="2"/>
      <c r="D2229" s="2"/>
      <c r="E2229" s="10"/>
      <c r="F2229" s="11"/>
      <c r="G2229" s="2"/>
      <c r="H2229" s="2"/>
      <c r="I2229" s="2"/>
      <c r="J2229" s="2"/>
      <c r="K2229" s="12"/>
      <c r="L2229" s="2"/>
      <c r="M2229" s="2"/>
      <c r="N2229" s="67"/>
    </row>
    <row r="2230" spans="1:14" x14ac:dyDescent="0.35">
      <c r="A2230" s="61">
        <v>2226</v>
      </c>
      <c r="B2230" s="2"/>
      <c r="C2230" s="2"/>
      <c r="D2230" s="2"/>
      <c r="E2230" s="10"/>
      <c r="F2230" s="11"/>
      <c r="G2230" s="2"/>
      <c r="H2230" s="2"/>
      <c r="I2230" s="2"/>
      <c r="J2230" s="2"/>
      <c r="K2230" s="12"/>
      <c r="L2230" s="2"/>
      <c r="M2230" s="2"/>
      <c r="N2230" s="67"/>
    </row>
    <row r="2231" spans="1:14" x14ac:dyDescent="0.35">
      <c r="A2231" s="61">
        <v>2227</v>
      </c>
      <c r="B2231" s="2"/>
      <c r="C2231" s="2"/>
      <c r="D2231" s="2"/>
      <c r="E2231" s="10"/>
      <c r="F2231" s="11"/>
      <c r="G2231" s="2"/>
      <c r="H2231" s="2"/>
      <c r="I2231" s="2"/>
      <c r="J2231" s="2"/>
      <c r="K2231" s="12"/>
      <c r="L2231" s="2"/>
      <c r="M2231" s="2"/>
      <c r="N2231" s="67"/>
    </row>
    <row r="2232" spans="1:14" x14ac:dyDescent="0.35">
      <c r="A2232" s="61">
        <v>2228</v>
      </c>
      <c r="B2232" s="2"/>
      <c r="C2232" s="2"/>
      <c r="D2232" s="2"/>
      <c r="E2232" s="10"/>
      <c r="F2232" s="11"/>
      <c r="G2232" s="2"/>
      <c r="H2232" s="2"/>
      <c r="I2232" s="2"/>
      <c r="J2232" s="2"/>
      <c r="K2232" s="12"/>
      <c r="L2232" s="2"/>
      <c r="M2232" s="2"/>
      <c r="N2232" s="67"/>
    </row>
    <row r="2233" spans="1:14" x14ac:dyDescent="0.35">
      <c r="A2233" s="61">
        <v>2229</v>
      </c>
      <c r="B2233" s="2"/>
      <c r="C2233" s="2"/>
      <c r="D2233" s="2"/>
      <c r="E2233" s="10"/>
      <c r="F2233" s="11"/>
      <c r="G2233" s="2"/>
      <c r="H2233" s="2"/>
      <c r="I2233" s="2"/>
      <c r="J2233" s="2"/>
      <c r="K2233" s="12"/>
      <c r="L2233" s="2"/>
      <c r="M2233" s="2"/>
      <c r="N2233" s="67"/>
    </row>
    <row r="2234" spans="1:14" x14ac:dyDescent="0.35">
      <c r="A2234" s="61">
        <v>2230</v>
      </c>
      <c r="B2234" s="2"/>
      <c r="C2234" s="2"/>
      <c r="D2234" s="2"/>
      <c r="E2234" s="10"/>
      <c r="F2234" s="11"/>
      <c r="G2234" s="2"/>
      <c r="H2234" s="2"/>
      <c r="I2234" s="2"/>
      <c r="J2234" s="2"/>
      <c r="K2234" s="12"/>
      <c r="L2234" s="2"/>
      <c r="M2234" s="2"/>
      <c r="N2234" s="67"/>
    </row>
    <row r="2235" spans="1:14" x14ac:dyDescent="0.35">
      <c r="A2235" s="61">
        <v>2231</v>
      </c>
      <c r="B2235" s="2"/>
      <c r="C2235" s="2"/>
      <c r="D2235" s="2"/>
      <c r="E2235" s="10"/>
      <c r="F2235" s="11"/>
      <c r="G2235" s="2"/>
      <c r="H2235" s="2"/>
      <c r="I2235" s="2"/>
      <c r="J2235" s="2"/>
      <c r="K2235" s="12"/>
      <c r="L2235" s="2"/>
      <c r="M2235" s="2"/>
      <c r="N2235" s="67"/>
    </row>
    <row r="2236" spans="1:14" x14ac:dyDescent="0.35">
      <c r="A2236" s="61">
        <v>2232</v>
      </c>
      <c r="B2236" s="2"/>
      <c r="C2236" s="2"/>
      <c r="D2236" s="2"/>
      <c r="E2236" s="10"/>
      <c r="F2236" s="11"/>
      <c r="G2236" s="2"/>
      <c r="H2236" s="2"/>
      <c r="I2236" s="2"/>
      <c r="J2236" s="2"/>
      <c r="K2236" s="12"/>
      <c r="L2236" s="2"/>
      <c r="M2236" s="2"/>
      <c r="N2236" s="67"/>
    </row>
    <row r="2237" spans="1:14" x14ac:dyDescent="0.35">
      <c r="A2237" s="61">
        <v>2233</v>
      </c>
      <c r="B2237" s="2"/>
      <c r="C2237" s="2"/>
      <c r="D2237" s="2"/>
      <c r="E2237" s="10"/>
      <c r="F2237" s="11"/>
      <c r="G2237" s="2"/>
      <c r="H2237" s="2"/>
      <c r="I2237" s="2"/>
      <c r="J2237" s="2"/>
      <c r="K2237" s="12"/>
      <c r="L2237" s="2"/>
      <c r="M2237" s="2"/>
      <c r="N2237" s="67"/>
    </row>
    <row r="2238" spans="1:14" x14ac:dyDescent="0.35">
      <c r="A2238" s="61">
        <v>2234</v>
      </c>
      <c r="B2238" s="2"/>
      <c r="C2238" s="2"/>
      <c r="D2238" s="2"/>
      <c r="E2238" s="10"/>
      <c r="F2238" s="11"/>
      <c r="G2238" s="2"/>
      <c r="H2238" s="2"/>
      <c r="I2238" s="2"/>
      <c r="J2238" s="2"/>
      <c r="K2238" s="12"/>
      <c r="L2238" s="2"/>
      <c r="M2238" s="2"/>
      <c r="N2238" s="67"/>
    </row>
    <row r="2239" spans="1:14" x14ac:dyDescent="0.35">
      <c r="A2239" s="61">
        <v>2235</v>
      </c>
      <c r="B2239" s="2"/>
      <c r="C2239" s="2"/>
      <c r="D2239" s="2"/>
      <c r="E2239" s="10"/>
      <c r="F2239" s="11"/>
      <c r="G2239" s="2"/>
      <c r="H2239" s="2"/>
      <c r="I2239" s="2"/>
      <c r="J2239" s="2"/>
      <c r="K2239" s="12"/>
      <c r="L2239" s="2"/>
      <c r="M2239" s="2"/>
      <c r="N2239" s="67"/>
    </row>
    <row r="2240" spans="1:14" x14ac:dyDescent="0.35">
      <c r="A2240" s="61">
        <v>2236</v>
      </c>
      <c r="B2240" s="2"/>
      <c r="C2240" s="2"/>
      <c r="D2240" s="2"/>
      <c r="E2240" s="10"/>
      <c r="F2240" s="11"/>
      <c r="G2240" s="2"/>
      <c r="H2240" s="2"/>
      <c r="I2240" s="2"/>
      <c r="J2240" s="2"/>
      <c r="K2240" s="12"/>
      <c r="L2240" s="2"/>
      <c r="M2240" s="2"/>
      <c r="N2240" s="67"/>
    </row>
    <row r="2241" spans="1:14" x14ac:dyDescent="0.35">
      <c r="A2241" s="61">
        <v>2237</v>
      </c>
      <c r="B2241" s="2"/>
      <c r="C2241" s="2"/>
      <c r="D2241" s="2"/>
      <c r="E2241" s="10"/>
      <c r="F2241" s="11"/>
      <c r="G2241" s="2"/>
      <c r="H2241" s="2"/>
      <c r="I2241" s="2"/>
      <c r="J2241" s="2"/>
      <c r="K2241" s="12"/>
      <c r="L2241" s="2"/>
      <c r="M2241" s="2"/>
      <c r="N2241" s="67"/>
    </row>
    <row r="2242" spans="1:14" x14ac:dyDescent="0.35">
      <c r="A2242" s="61">
        <v>2238</v>
      </c>
      <c r="B2242" s="2"/>
      <c r="C2242" s="2"/>
      <c r="D2242" s="2"/>
      <c r="E2242" s="10"/>
      <c r="F2242" s="11"/>
      <c r="G2242" s="2"/>
      <c r="H2242" s="2"/>
      <c r="I2242" s="2"/>
      <c r="J2242" s="2"/>
      <c r="K2242" s="12"/>
      <c r="L2242" s="2"/>
      <c r="M2242" s="2"/>
      <c r="N2242" s="67"/>
    </row>
    <row r="2243" spans="1:14" x14ac:dyDescent="0.35">
      <c r="A2243" s="61">
        <v>2239</v>
      </c>
      <c r="B2243" s="2"/>
      <c r="C2243" s="2"/>
      <c r="D2243" s="2"/>
      <c r="E2243" s="10"/>
      <c r="F2243" s="11"/>
      <c r="G2243" s="2"/>
      <c r="H2243" s="2"/>
      <c r="I2243" s="2"/>
      <c r="J2243" s="2"/>
      <c r="K2243" s="12"/>
      <c r="L2243" s="2"/>
      <c r="M2243" s="2"/>
      <c r="N2243" s="67"/>
    </row>
    <row r="2244" spans="1:14" x14ac:dyDescent="0.35">
      <c r="A2244" s="61">
        <v>2240</v>
      </c>
      <c r="B2244" s="2"/>
      <c r="C2244" s="2"/>
      <c r="D2244" s="2"/>
      <c r="E2244" s="10"/>
      <c r="F2244" s="11"/>
      <c r="G2244" s="2"/>
      <c r="H2244" s="2"/>
      <c r="I2244" s="2"/>
      <c r="J2244" s="2"/>
      <c r="K2244" s="12"/>
      <c r="L2244" s="2"/>
      <c r="M2244" s="2"/>
      <c r="N2244" s="67"/>
    </row>
    <row r="2245" spans="1:14" x14ac:dyDescent="0.35">
      <c r="A2245" s="61">
        <v>2241</v>
      </c>
      <c r="B2245" s="2"/>
      <c r="C2245" s="2"/>
      <c r="D2245" s="2"/>
      <c r="E2245" s="10"/>
      <c r="F2245" s="11"/>
      <c r="G2245" s="2"/>
      <c r="H2245" s="2"/>
      <c r="I2245" s="2"/>
      <c r="J2245" s="2"/>
      <c r="K2245" s="12"/>
      <c r="L2245" s="2"/>
      <c r="M2245" s="2"/>
      <c r="N2245" s="67"/>
    </row>
    <row r="2246" spans="1:14" x14ac:dyDescent="0.35">
      <c r="A2246" s="61">
        <v>2242</v>
      </c>
      <c r="B2246" s="2"/>
      <c r="C2246" s="2"/>
      <c r="D2246" s="2"/>
      <c r="E2246" s="10"/>
      <c r="F2246" s="11"/>
      <c r="G2246" s="2"/>
      <c r="H2246" s="2"/>
      <c r="I2246" s="2"/>
      <c r="J2246" s="2"/>
      <c r="K2246" s="12"/>
      <c r="L2246" s="2"/>
      <c r="M2246" s="2"/>
      <c r="N2246" s="67"/>
    </row>
    <row r="2247" spans="1:14" x14ac:dyDescent="0.35">
      <c r="A2247" s="61">
        <v>2243</v>
      </c>
      <c r="B2247" s="2"/>
      <c r="C2247" s="2"/>
      <c r="D2247" s="2"/>
      <c r="E2247" s="10"/>
      <c r="F2247" s="11"/>
      <c r="G2247" s="2"/>
      <c r="H2247" s="2"/>
      <c r="I2247" s="2"/>
      <c r="J2247" s="2"/>
      <c r="K2247" s="12"/>
      <c r="L2247" s="2"/>
      <c r="M2247" s="2"/>
      <c r="N2247" s="67"/>
    </row>
    <row r="2248" spans="1:14" x14ac:dyDescent="0.35">
      <c r="A2248" s="61">
        <v>2244</v>
      </c>
      <c r="B2248" s="2"/>
      <c r="C2248" s="2"/>
      <c r="D2248" s="2"/>
      <c r="E2248" s="10"/>
      <c r="F2248" s="11"/>
      <c r="G2248" s="2"/>
      <c r="H2248" s="2"/>
      <c r="I2248" s="2"/>
      <c r="J2248" s="2"/>
      <c r="K2248" s="12"/>
      <c r="L2248" s="2"/>
      <c r="M2248" s="2"/>
      <c r="N2248" s="67"/>
    </row>
    <row r="2249" spans="1:14" x14ac:dyDescent="0.35">
      <c r="A2249" s="61">
        <v>2245</v>
      </c>
      <c r="B2249" s="2"/>
      <c r="C2249" s="2"/>
      <c r="D2249" s="2"/>
      <c r="E2249" s="10"/>
      <c r="F2249" s="11"/>
      <c r="G2249" s="2"/>
      <c r="H2249" s="2"/>
      <c r="I2249" s="2"/>
      <c r="J2249" s="2"/>
      <c r="K2249" s="12"/>
      <c r="L2249" s="2"/>
      <c r="M2249" s="2"/>
      <c r="N2249" s="67"/>
    </row>
    <row r="2250" spans="1:14" x14ac:dyDescent="0.35">
      <c r="A2250" s="61">
        <v>2246</v>
      </c>
      <c r="B2250" s="2"/>
      <c r="C2250" s="2"/>
      <c r="D2250" s="2"/>
      <c r="E2250" s="10"/>
      <c r="F2250" s="11"/>
      <c r="G2250" s="2"/>
      <c r="H2250" s="2"/>
      <c r="I2250" s="2"/>
      <c r="J2250" s="2"/>
      <c r="K2250" s="12"/>
      <c r="L2250" s="2"/>
      <c r="M2250" s="2"/>
      <c r="N2250" s="67"/>
    </row>
    <row r="2251" spans="1:14" x14ac:dyDescent="0.35">
      <c r="A2251" s="61">
        <v>2247</v>
      </c>
      <c r="B2251" s="2"/>
      <c r="C2251" s="2"/>
      <c r="D2251" s="2"/>
      <c r="E2251" s="10"/>
      <c r="F2251" s="11"/>
      <c r="G2251" s="2"/>
      <c r="H2251" s="2"/>
      <c r="I2251" s="2"/>
      <c r="J2251" s="2"/>
      <c r="K2251" s="12"/>
      <c r="L2251" s="2"/>
      <c r="M2251" s="2"/>
      <c r="N2251" s="67"/>
    </row>
    <row r="2252" spans="1:14" x14ac:dyDescent="0.35">
      <c r="A2252" s="61">
        <v>2248</v>
      </c>
      <c r="B2252" s="2"/>
      <c r="C2252" s="2"/>
      <c r="D2252" s="2"/>
      <c r="E2252" s="10"/>
      <c r="F2252" s="11"/>
      <c r="G2252" s="2"/>
      <c r="H2252" s="2"/>
      <c r="I2252" s="2"/>
      <c r="J2252" s="2"/>
      <c r="K2252" s="12"/>
      <c r="L2252" s="2"/>
      <c r="M2252" s="2"/>
      <c r="N2252" s="67"/>
    </row>
    <row r="2253" spans="1:14" x14ac:dyDescent="0.35">
      <c r="A2253" s="61">
        <v>2249</v>
      </c>
      <c r="B2253" s="2"/>
      <c r="C2253" s="2"/>
      <c r="D2253" s="2"/>
      <c r="E2253" s="10"/>
      <c r="F2253" s="11"/>
      <c r="G2253" s="2"/>
      <c r="H2253" s="2"/>
      <c r="I2253" s="2"/>
      <c r="J2253" s="2"/>
      <c r="K2253" s="12"/>
      <c r="L2253" s="2"/>
      <c r="M2253" s="2"/>
      <c r="N2253" s="67"/>
    </row>
    <row r="2254" spans="1:14" x14ac:dyDescent="0.35">
      <c r="A2254" s="61">
        <v>2250</v>
      </c>
      <c r="B2254" s="2"/>
      <c r="C2254" s="2"/>
      <c r="D2254" s="2"/>
      <c r="E2254" s="10"/>
      <c r="F2254" s="11"/>
      <c r="G2254" s="2"/>
      <c r="H2254" s="2"/>
      <c r="I2254" s="2"/>
      <c r="J2254" s="2"/>
      <c r="K2254" s="12"/>
      <c r="L2254" s="2"/>
      <c r="M2254" s="2"/>
      <c r="N2254" s="67"/>
    </row>
    <row r="2255" spans="1:14" x14ac:dyDescent="0.35">
      <c r="A2255" s="61">
        <v>2251</v>
      </c>
      <c r="B2255" s="2"/>
      <c r="C2255" s="2"/>
      <c r="D2255" s="2"/>
      <c r="E2255" s="10"/>
      <c r="F2255" s="11"/>
      <c r="G2255" s="2"/>
      <c r="H2255" s="2"/>
      <c r="I2255" s="2"/>
      <c r="J2255" s="2"/>
      <c r="K2255" s="12"/>
      <c r="L2255" s="2"/>
      <c r="M2255" s="2"/>
      <c r="N2255" s="67"/>
    </row>
    <row r="2256" spans="1:14" x14ac:dyDescent="0.35">
      <c r="A2256" s="61">
        <v>2252</v>
      </c>
      <c r="B2256" s="2"/>
      <c r="C2256" s="2"/>
      <c r="D2256" s="2"/>
      <c r="E2256" s="10"/>
      <c r="F2256" s="11"/>
      <c r="G2256" s="2"/>
      <c r="H2256" s="2"/>
      <c r="I2256" s="2"/>
      <c r="J2256" s="2"/>
      <c r="K2256" s="12"/>
      <c r="L2256" s="2"/>
      <c r="M2256" s="2"/>
      <c r="N2256" s="67"/>
    </row>
    <row r="2257" spans="1:14" x14ac:dyDescent="0.35">
      <c r="A2257" s="61">
        <v>2253</v>
      </c>
      <c r="B2257" s="2"/>
      <c r="C2257" s="2"/>
      <c r="D2257" s="2"/>
      <c r="E2257" s="10"/>
      <c r="F2257" s="11"/>
      <c r="G2257" s="2"/>
      <c r="H2257" s="2"/>
      <c r="I2257" s="2"/>
      <c r="J2257" s="2"/>
      <c r="K2257" s="12"/>
      <c r="L2257" s="2"/>
      <c r="M2257" s="2"/>
      <c r="N2257" s="67"/>
    </row>
    <row r="2258" spans="1:14" x14ac:dyDescent="0.35">
      <c r="A2258" s="61">
        <v>2254</v>
      </c>
      <c r="B2258" s="2"/>
      <c r="C2258" s="2"/>
      <c r="D2258" s="2"/>
      <c r="E2258" s="10"/>
      <c r="F2258" s="11"/>
      <c r="G2258" s="2"/>
      <c r="H2258" s="2"/>
      <c r="I2258" s="2"/>
      <c r="J2258" s="2"/>
      <c r="K2258" s="12"/>
      <c r="L2258" s="2"/>
      <c r="M2258" s="2"/>
      <c r="N2258" s="67"/>
    </row>
    <row r="2259" spans="1:14" x14ac:dyDescent="0.35">
      <c r="A2259" s="61">
        <v>2255</v>
      </c>
      <c r="B2259" s="2"/>
      <c r="C2259" s="2"/>
      <c r="D2259" s="2"/>
      <c r="E2259" s="10"/>
      <c r="F2259" s="11"/>
      <c r="G2259" s="2"/>
      <c r="H2259" s="2"/>
      <c r="I2259" s="2"/>
      <c r="J2259" s="2"/>
      <c r="K2259" s="12"/>
      <c r="L2259" s="2"/>
      <c r="M2259" s="2"/>
      <c r="N2259" s="67"/>
    </row>
    <row r="2260" spans="1:14" x14ac:dyDescent="0.35">
      <c r="A2260" s="61">
        <v>2256</v>
      </c>
      <c r="B2260" s="2"/>
      <c r="C2260" s="2"/>
      <c r="D2260" s="2"/>
      <c r="E2260" s="10"/>
      <c r="F2260" s="11"/>
      <c r="G2260" s="2"/>
      <c r="H2260" s="2"/>
      <c r="I2260" s="2"/>
      <c r="J2260" s="2"/>
      <c r="K2260" s="12"/>
      <c r="L2260" s="2"/>
      <c r="M2260" s="2"/>
      <c r="N2260" s="67"/>
    </row>
    <row r="2261" spans="1:14" x14ac:dyDescent="0.35">
      <c r="A2261" s="61">
        <v>2257</v>
      </c>
      <c r="B2261" s="2"/>
      <c r="C2261" s="2"/>
      <c r="D2261" s="2"/>
      <c r="E2261" s="10"/>
      <c r="F2261" s="11"/>
      <c r="G2261" s="2"/>
      <c r="H2261" s="2"/>
      <c r="I2261" s="2"/>
      <c r="J2261" s="2"/>
      <c r="K2261" s="12"/>
      <c r="L2261" s="2"/>
      <c r="M2261" s="2"/>
      <c r="N2261" s="67"/>
    </row>
    <row r="2262" spans="1:14" x14ac:dyDescent="0.35">
      <c r="A2262" s="61">
        <v>2258</v>
      </c>
      <c r="B2262" s="2"/>
      <c r="C2262" s="2"/>
      <c r="D2262" s="2"/>
      <c r="E2262" s="10"/>
      <c r="F2262" s="11"/>
      <c r="G2262" s="2"/>
      <c r="H2262" s="2"/>
      <c r="I2262" s="2"/>
      <c r="J2262" s="2"/>
      <c r="K2262" s="12"/>
      <c r="L2262" s="2"/>
      <c r="M2262" s="2"/>
      <c r="N2262" s="67"/>
    </row>
    <row r="2263" spans="1:14" x14ac:dyDescent="0.35">
      <c r="A2263" s="61">
        <v>2259</v>
      </c>
      <c r="B2263" s="2"/>
      <c r="C2263" s="2"/>
      <c r="D2263" s="2"/>
      <c r="E2263" s="10"/>
      <c r="F2263" s="11"/>
      <c r="G2263" s="2"/>
      <c r="H2263" s="2"/>
      <c r="I2263" s="2"/>
      <c r="J2263" s="2"/>
      <c r="K2263" s="12"/>
      <c r="L2263" s="2"/>
      <c r="M2263" s="2"/>
      <c r="N2263" s="67"/>
    </row>
    <row r="2264" spans="1:14" x14ac:dyDescent="0.35">
      <c r="A2264" s="61">
        <v>2260</v>
      </c>
      <c r="B2264" s="2"/>
      <c r="C2264" s="2"/>
      <c r="D2264" s="2"/>
      <c r="E2264" s="10"/>
      <c r="F2264" s="11"/>
      <c r="G2264" s="2"/>
      <c r="H2264" s="2"/>
      <c r="I2264" s="2"/>
      <c r="J2264" s="2"/>
      <c r="K2264" s="12"/>
      <c r="L2264" s="2"/>
      <c r="M2264" s="2"/>
      <c r="N2264" s="67"/>
    </row>
    <row r="2265" spans="1:14" x14ac:dyDescent="0.35">
      <c r="A2265" s="61">
        <v>2261</v>
      </c>
      <c r="B2265" s="2"/>
      <c r="C2265" s="2"/>
      <c r="D2265" s="2"/>
      <c r="E2265" s="10"/>
      <c r="F2265" s="11"/>
      <c r="G2265" s="2"/>
      <c r="H2265" s="2"/>
      <c r="I2265" s="2"/>
      <c r="J2265" s="2"/>
      <c r="K2265" s="12"/>
      <c r="L2265" s="2"/>
      <c r="M2265" s="2"/>
      <c r="N2265" s="67"/>
    </row>
    <row r="2266" spans="1:14" x14ac:dyDescent="0.35">
      <c r="A2266" s="61">
        <v>2262</v>
      </c>
      <c r="B2266" s="2"/>
      <c r="C2266" s="2"/>
      <c r="D2266" s="2"/>
      <c r="E2266" s="10"/>
      <c r="F2266" s="11"/>
      <c r="G2266" s="2"/>
      <c r="H2266" s="2"/>
      <c r="I2266" s="2"/>
      <c r="J2266" s="2"/>
      <c r="K2266" s="12"/>
      <c r="L2266" s="2"/>
      <c r="M2266" s="2"/>
      <c r="N2266" s="67"/>
    </row>
    <row r="2267" spans="1:14" x14ac:dyDescent="0.35">
      <c r="A2267" s="61">
        <v>2263</v>
      </c>
      <c r="B2267" s="2"/>
      <c r="C2267" s="2"/>
      <c r="D2267" s="2"/>
      <c r="E2267" s="10"/>
      <c r="F2267" s="11"/>
      <c r="G2267" s="2"/>
      <c r="H2267" s="2"/>
      <c r="I2267" s="2"/>
      <c r="J2267" s="2"/>
      <c r="K2267" s="12"/>
      <c r="L2267" s="2"/>
      <c r="M2267" s="2"/>
      <c r="N2267" s="67"/>
    </row>
    <row r="2268" spans="1:14" x14ac:dyDescent="0.35">
      <c r="A2268" s="61">
        <v>2264</v>
      </c>
      <c r="B2268" s="2"/>
      <c r="C2268" s="2"/>
      <c r="D2268" s="2"/>
      <c r="E2268" s="10"/>
      <c r="F2268" s="11"/>
      <c r="G2268" s="2"/>
      <c r="H2268" s="2"/>
      <c r="I2268" s="2"/>
      <c r="J2268" s="2"/>
      <c r="K2268" s="12"/>
      <c r="L2268" s="2"/>
      <c r="M2268" s="2"/>
      <c r="N2268" s="67"/>
    </row>
    <row r="2269" spans="1:14" x14ac:dyDescent="0.35">
      <c r="A2269" s="61">
        <v>2265</v>
      </c>
      <c r="B2269" s="2"/>
      <c r="C2269" s="2"/>
      <c r="D2269" s="2"/>
      <c r="E2269" s="10"/>
      <c r="F2269" s="11"/>
      <c r="G2269" s="2"/>
      <c r="H2269" s="2"/>
      <c r="I2269" s="2"/>
      <c r="J2269" s="2"/>
      <c r="K2269" s="12"/>
      <c r="L2269" s="2"/>
      <c r="M2269" s="2"/>
      <c r="N2269" s="67"/>
    </row>
    <row r="2270" spans="1:14" x14ac:dyDescent="0.35">
      <c r="A2270" s="61">
        <v>2266</v>
      </c>
      <c r="B2270" s="2"/>
      <c r="C2270" s="2"/>
      <c r="D2270" s="2"/>
      <c r="E2270" s="10"/>
      <c r="F2270" s="11"/>
      <c r="G2270" s="2"/>
      <c r="H2270" s="2"/>
      <c r="I2270" s="2"/>
      <c r="J2270" s="2"/>
      <c r="K2270" s="12"/>
      <c r="L2270" s="2"/>
      <c r="M2270" s="2"/>
      <c r="N2270" s="67"/>
    </row>
    <row r="2271" spans="1:14" x14ac:dyDescent="0.35">
      <c r="A2271" s="61">
        <v>2267</v>
      </c>
      <c r="B2271" s="2"/>
      <c r="C2271" s="2"/>
      <c r="D2271" s="2"/>
      <c r="E2271" s="10"/>
      <c r="F2271" s="11"/>
      <c r="G2271" s="2"/>
      <c r="H2271" s="2"/>
      <c r="I2271" s="2"/>
      <c r="J2271" s="2"/>
      <c r="K2271" s="12"/>
      <c r="L2271" s="2"/>
      <c r="M2271" s="2"/>
      <c r="N2271" s="67"/>
    </row>
    <row r="2272" spans="1:14" x14ac:dyDescent="0.35">
      <c r="A2272" s="61">
        <v>2268</v>
      </c>
      <c r="B2272" s="2"/>
      <c r="C2272" s="2"/>
      <c r="D2272" s="2"/>
      <c r="E2272" s="10"/>
      <c r="F2272" s="11"/>
      <c r="G2272" s="2"/>
      <c r="H2272" s="2"/>
      <c r="I2272" s="2"/>
      <c r="J2272" s="2"/>
      <c r="K2272" s="12"/>
      <c r="L2272" s="2"/>
      <c r="M2272" s="2"/>
      <c r="N2272" s="67"/>
    </row>
    <row r="2273" spans="1:14" x14ac:dyDescent="0.35">
      <c r="A2273" s="61">
        <v>2269</v>
      </c>
      <c r="B2273" s="2"/>
      <c r="C2273" s="2"/>
      <c r="D2273" s="2"/>
      <c r="E2273" s="10"/>
      <c r="F2273" s="11"/>
      <c r="G2273" s="2"/>
      <c r="H2273" s="2"/>
      <c r="I2273" s="2"/>
      <c r="J2273" s="2"/>
      <c r="K2273" s="12"/>
      <c r="L2273" s="2"/>
      <c r="M2273" s="2"/>
      <c r="N2273" s="67"/>
    </row>
    <row r="2274" spans="1:14" x14ac:dyDescent="0.35">
      <c r="A2274" s="61">
        <v>2270</v>
      </c>
      <c r="B2274" s="2"/>
      <c r="C2274" s="2"/>
      <c r="D2274" s="2"/>
      <c r="E2274" s="10"/>
      <c r="F2274" s="11"/>
      <c r="G2274" s="2"/>
      <c r="H2274" s="2"/>
      <c r="I2274" s="2"/>
      <c r="J2274" s="2"/>
      <c r="K2274" s="12"/>
      <c r="L2274" s="2"/>
      <c r="M2274" s="2"/>
      <c r="N2274" s="67"/>
    </row>
    <row r="2275" spans="1:14" x14ac:dyDescent="0.35">
      <c r="A2275" s="61">
        <v>2271</v>
      </c>
      <c r="B2275" s="2"/>
      <c r="C2275" s="2"/>
      <c r="D2275" s="2"/>
      <c r="E2275" s="10"/>
      <c r="F2275" s="11"/>
      <c r="G2275" s="2"/>
      <c r="H2275" s="2"/>
      <c r="I2275" s="2"/>
      <c r="J2275" s="2"/>
      <c r="K2275" s="12"/>
      <c r="L2275" s="2"/>
      <c r="M2275" s="2"/>
      <c r="N2275" s="67"/>
    </row>
    <row r="2276" spans="1:14" x14ac:dyDescent="0.35">
      <c r="A2276" s="61">
        <v>2272</v>
      </c>
      <c r="B2276" s="2"/>
      <c r="C2276" s="2"/>
      <c r="D2276" s="2"/>
      <c r="E2276" s="10"/>
      <c r="F2276" s="11"/>
      <c r="G2276" s="2"/>
      <c r="H2276" s="2"/>
      <c r="I2276" s="2"/>
      <c r="J2276" s="2"/>
      <c r="K2276" s="12"/>
      <c r="L2276" s="2"/>
      <c r="M2276" s="2"/>
      <c r="N2276" s="67"/>
    </row>
    <row r="2277" spans="1:14" x14ac:dyDescent="0.35">
      <c r="A2277" s="61">
        <v>2273</v>
      </c>
      <c r="B2277" s="2"/>
      <c r="C2277" s="2"/>
      <c r="D2277" s="2"/>
      <c r="E2277" s="10"/>
      <c r="F2277" s="11"/>
      <c r="G2277" s="2"/>
      <c r="H2277" s="2"/>
      <c r="I2277" s="2"/>
      <c r="J2277" s="2"/>
      <c r="K2277" s="12"/>
      <c r="L2277" s="2"/>
      <c r="M2277" s="2"/>
      <c r="N2277" s="67"/>
    </row>
    <row r="2278" spans="1:14" x14ac:dyDescent="0.35">
      <c r="A2278" s="61">
        <v>2274</v>
      </c>
      <c r="B2278" s="2"/>
      <c r="C2278" s="2"/>
      <c r="D2278" s="2"/>
      <c r="E2278" s="10"/>
      <c r="F2278" s="11"/>
      <c r="G2278" s="2"/>
      <c r="H2278" s="2"/>
      <c r="I2278" s="2"/>
      <c r="J2278" s="2"/>
      <c r="K2278" s="12"/>
      <c r="L2278" s="2"/>
      <c r="M2278" s="2"/>
      <c r="N2278" s="67"/>
    </row>
    <row r="2279" spans="1:14" x14ac:dyDescent="0.35">
      <c r="A2279" s="61">
        <v>2275</v>
      </c>
      <c r="B2279" s="2"/>
      <c r="C2279" s="2"/>
      <c r="D2279" s="2"/>
      <c r="E2279" s="10"/>
      <c r="F2279" s="11"/>
      <c r="G2279" s="2"/>
      <c r="H2279" s="2"/>
      <c r="I2279" s="2"/>
      <c r="J2279" s="2"/>
      <c r="K2279" s="12"/>
      <c r="L2279" s="2"/>
      <c r="M2279" s="2"/>
      <c r="N2279" s="67"/>
    </row>
    <row r="2280" spans="1:14" x14ac:dyDescent="0.35">
      <c r="A2280" s="61">
        <v>2276</v>
      </c>
      <c r="B2280" s="2"/>
      <c r="C2280" s="2"/>
      <c r="D2280" s="2"/>
      <c r="E2280" s="10"/>
      <c r="F2280" s="11"/>
      <c r="G2280" s="2"/>
      <c r="H2280" s="2"/>
      <c r="I2280" s="2"/>
      <c r="J2280" s="2"/>
      <c r="K2280" s="12"/>
      <c r="L2280" s="2"/>
      <c r="M2280" s="2"/>
      <c r="N2280" s="67"/>
    </row>
    <row r="2281" spans="1:14" x14ac:dyDescent="0.35">
      <c r="A2281" s="61">
        <v>2277</v>
      </c>
      <c r="B2281" s="2"/>
      <c r="C2281" s="2"/>
      <c r="D2281" s="2"/>
      <c r="E2281" s="10"/>
      <c r="F2281" s="11"/>
      <c r="G2281" s="2"/>
      <c r="H2281" s="2"/>
      <c r="I2281" s="2"/>
      <c r="J2281" s="2"/>
      <c r="K2281" s="12"/>
      <c r="L2281" s="2"/>
      <c r="M2281" s="2"/>
      <c r="N2281" s="67"/>
    </row>
    <row r="2282" spans="1:14" x14ac:dyDescent="0.35">
      <c r="A2282" s="61">
        <v>2278</v>
      </c>
      <c r="B2282" s="2"/>
      <c r="C2282" s="2"/>
      <c r="D2282" s="2"/>
      <c r="E2282" s="10"/>
      <c r="F2282" s="11"/>
      <c r="G2282" s="2"/>
      <c r="H2282" s="2"/>
      <c r="I2282" s="2"/>
      <c r="J2282" s="2"/>
      <c r="K2282" s="12"/>
      <c r="L2282" s="2"/>
      <c r="M2282" s="2"/>
      <c r="N2282" s="67"/>
    </row>
    <row r="2283" spans="1:14" x14ac:dyDescent="0.35">
      <c r="A2283" s="61">
        <v>2279</v>
      </c>
      <c r="B2283" s="2"/>
      <c r="C2283" s="2"/>
      <c r="D2283" s="2"/>
      <c r="E2283" s="10"/>
      <c r="F2283" s="11"/>
      <c r="G2283" s="2"/>
      <c r="H2283" s="2"/>
      <c r="I2283" s="2"/>
      <c r="J2283" s="2"/>
      <c r="K2283" s="12"/>
      <c r="L2283" s="2"/>
      <c r="M2283" s="2"/>
      <c r="N2283" s="67"/>
    </row>
    <row r="2284" spans="1:14" x14ac:dyDescent="0.35">
      <c r="A2284" s="61">
        <v>2280</v>
      </c>
      <c r="B2284" s="2"/>
      <c r="C2284" s="2"/>
      <c r="D2284" s="2"/>
      <c r="E2284" s="10"/>
      <c r="F2284" s="11"/>
      <c r="G2284" s="2"/>
      <c r="H2284" s="2"/>
      <c r="I2284" s="2"/>
      <c r="J2284" s="2"/>
      <c r="K2284" s="12"/>
      <c r="L2284" s="2"/>
      <c r="M2284" s="2"/>
      <c r="N2284" s="67"/>
    </row>
    <row r="2285" spans="1:14" x14ac:dyDescent="0.35">
      <c r="A2285" s="61">
        <v>2281</v>
      </c>
      <c r="B2285" s="2"/>
      <c r="C2285" s="2"/>
      <c r="D2285" s="2"/>
      <c r="E2285" s="10"/>
      <c r="F2285" s="11"/>
      <c r="G2285" s="2"/>
      <c r="H2285" s="2"/>
      <c r="I2285" s="2"/>
      <c r="J2285" s="2"/>
      <c r="K2285" s="12"/>
      <c r="L2285" s="2"/>
      <c r="M2285" s="2"/>
      <c r="N2285" s="67"/>
    </row>
    <row r="2286" spans="1:14" x14ac:dyDescent="0.35">
      <c r="A2286" s="61">
        <v>2282</v>
      </c>
      <c r="B2286" s="2"/>
      <c r="C2286" s="2"/>
      <c r="D2286" s="2"/>
      <c r="E2286" s="10"/>
      <c r="F2286" s="11"/>
      <c r="G2286" s="2"/>
      <c r="H2286" s="2"/>
      <c r="I2286" s="2"/>
      <c r="J2286" s="2"/>
      <c r="K2286" s="12"/>
      <c r="L2286" s="2"/>
      <c r="M2286" s="2"/>
      <c r="N2286" s="67"/>
    </row>
    <row r="2287" spans="1:14" x14ac:dyDescent="0.35">
      <c r="A2287" s="61">
        <v>2283</v>
      </c>
      <c r="B2287" s="2"/>
      <c r="C2287" s="2"/>
      <c r="D2287" s="2"/>
      <c r="E2287" s="10"/>
      <c r="F2287" s="11"/>
      <c r="G2287" s="2"/>
      <c r="H2287" s="2"/>
      <c r="I2287" s="2"/>
      <c r="J2287" s="2"/>
      <c r="K2287" s="12"/>
      <c r="L2287" s="2"/>
      <c r="M2287" s="2"/>
      <c r="N2287" s="67"/>
    </row>
    <row r="2288" spans="1:14" x14ac:dyDescent="0.35">
      <c r="A2288" s="61">
        <v>2284</v>
      </c>
      <c r="B2288" s="2"/>
      <c r="C2288" s="2"/>
      <c r="D2288" s="2"/>
      <c r="E2288" s="10"/>
      <c r="F2288" s="11"/>
      <c r="G2288" s="2"/>
      <c r="H2288" s="2"/>
      <c r="I2288" s="2"/>
      <c r="J2288" s="2"/>
      <c r="K2288" s="12"/>
      <c r="L2288" s="2"/>
      <c r="M2288" s="2"/>
      <c r="N2288" s="67"/>
    </row>
    <row r="2289" spans="1:14" x14ac:dyDescent="0.35">
      <c r="A2289" s="61">
        <v>2285</v>
      </c>
      <c r="B2289" s="2"/>
      <c r="C2289" s="2"/>
      <c r="D2289" s="2"/>
      <c r="E2289" s="10"/>
      <c r="F2289" s="11"/>
      <c r="G2289" s="2"/>
      <c r="H2289" s="2"/>
      <c r="I2289" s="2"/>
      <c r="J2289" s="2"/>
      <c r="K2289" s="12"/>
      <c r="L2289" s="2"/>
      <c r="M2289" s="2"/>
      <c r="N2289" s="67"/>
    </row>
    <row r="2290" spans="1:14" x14ac:dyDescent="0.35">
      <c r="A2290" s="61">
        <v>2286</v>
      </c>
      <c r="B2290" s="2"/>
      <c r="C2290" s="2"/>
      <c r="D2290" s="2"/>
      <c r="E2290" s="10"/>
      <c r="F2290" s="11"/>
      <c r="G2290" s="2"/>
      <c r="H2290" s="2"/>
      <c r="I2290" s="2"/>
      <c r="J2290" s="2"/>
      <c r="K2290" s="12"/>
      <c r="L2290" s="2"/>
      <c r="M2290" s="2"/>
      <c r="N2290" s="67"/>
    </row>
    <row r="2291" spans="1:14" x14ac:dyDescent="0.35">
      <c r="A2291" s="61">
        <v>2287</v>
      </c>
      <c r="B2291" s="2"/>
      <c r="C2291" s="2"/>
      <c r="D2291" s="2"/>
      <c r="E2291" s="10"/>
      <c r="F2291" s="11"/>
      <c r="G2291" s="2"/>
      <c r="H2291" s="2"/>
      <c r="I2291" s="2"/>
      <c r="J2291" s="2"/>
      <c r="K2291" s="12"/>
      <c r="L2291" s="2"/>
      <c r="M2291" s="2"/>
      <c r="N2291" s="67"/>
    </row>
    <row r="2292" spans="1:14" x14ac:dyDescent="0.35">
      <c r="A2292" s="61">
        <v>2288</v>
      </c>
      <c r="B2292" s="2"/>
      <c r="C2292" s="2"/>
      <c r="D2292" s="2"/>
      <c r="E2292" s="10"/>
      <c r="F2292" s="11"/>
      <c r="G2292" s="2"/>
      <c r="H2292" s="2"/>
      <c r="I2292" s="2"/>
      <c r="J2292" s="2"/>
      <c r="K2292" s="12"/>
      <c r="L2292" s="2"/>
      <c r="M2292" s="2"/>
      <c r="N2292" s="67"/>
    </row>
    <row r="2293" spans="1:14" x14ac:dyDescent="0.35">
      <c r="A2293" s="61">
        <v>2289</v>
      </c>
      <c r="B2293" s="2"/>
      <c r="C2293" s="2"/>
      <c r="D2293" s="2"/>
      <c r="E2293" s="10"/>
      <c r="F2293" s="11"/>
      <c r="G2293" s="2"/>
      <c r="H2293" s="2"/>
      <c r="I2293" s="2"/>
      <c r="J2293" s="2"/>
      <c r="K2293" s="12"/>
      <c r="L2293" s="2"/>
      <c r="M2293" s="2"/>
      <c r="N2293" s="67"/>
    </row>
    <row r="2294" spans="1:14" x14ac:dyDescent="0.35">
      <c r="A2294" s="61">
        <v>2290</v>
      </c>
      <c r="B2294" s="2"/>
      <c r="C2294" s="2"/>
      <c r="D2294" s="2"/>
      <c r="E2294" s="10"/>
      <c r="F2294" s="11"/>
      <c r="G2294" s="2"/>
      <c r="H2294" s="2"/>
      <c r="I2294" s="2"/>
      <c r="J2294" s="2"/>
      <c r="K2294" s="12"/>
      <c r="L2294" s="2"/>
      <c r="M2294" s="2"/>
      <c r="N2294" s="67"/>
    </row>
    <row r="2295" spans="1:14" x14ac:dyDescent="0.35">
      <c r="A2295" s="61">
        <v>2291</v>
      </c>
      <c r="B2295" s="2"/>
      <c r="C2295" s="2"/>
      <c r="D2295" s="2"/>
      <c r="E2295" s="10"/>
      <c r="F2295" s="11"/>
      <c r="G2295" s="2"/>
      <c r="H2295" s="2"/>
      <c r="I2295" s="2"/>
      <c r="J2295" s="2"/>
      <c r="K2295" s="12"/>
      <c r="L2295" s="2"/>
      <c r="M2295" s="2"/>
      <c r="N2295" s="67"/>
    </row>
    <row r="2296" spans="1:14" x14ac:dyDescent="0.35">
      <c r="A2296" s="61">
        <v>2292</v>
      </c>
      <c r="B2296" s="2"/>
      <c r="C2296" s="2"/>
      <c r="D2296" s="2"/>
      <c r="E2296" s="10"/>
      <c r="F2296" s="11"/>
      <c r="G2296" s="2"/>
      <c r="H2296" s="2"/>
      <c r="I2296" s="2"/>
      <c r="J2296" s="2"/>
      <c r="K2296" s="12"/>
      <c r="L2296" s="2"/>
      <c r="M2296" s="2"/>
      <c r="N2296" s="67"/>
    </row>
    <row r="2297" spans="1:14" x14ac:dyDescent="0.35">
      <c r="A2297" s="61">
        <v>2293</v>
      </c>
      <c r="B2297" s="2"/>
      <c r="C2297" s="2"/>
      <c r="D2297" s="2"/>
      <c r="E2297" s="10"/>
      <c r="F2297" s="11"/>
      <c r="G2297" s="2"/>
      <c r="H2297" s="2"/>
      <c r="I2297" s="2"/>
      <c r="J2297" s="2"/>
      <c r="K2297" s="12"/>
      <c r="L2297" s="2"/>
      <c r="M2297" s="2"/>
      <c r="N2297" s="67"/>
    </row>
    <row r="2298" spans="1:14" x14ac:dyDescent="0.35">
      <c r="A2298" s="61">
        <v>2294</v>
      </c>
      <c r="B2298" s="2"/>
      <c r="C2298" s="2"/>
      <c r="D2298" s="2"/>
      <c r="E2298" s="10"/>
      <c r="F2298" s="11"/>
      <c r="G2298" s="2"/>
      <c r="H2298" s="2"/>
      <c r="I2298" s="2"/>
      <c r="J2298" s="2"/>
      <c r="K2298" s="12"/>
      <c r="L2298" s="2"/>
      <c r="M2298" s="2"/>
      <c r="N2298" s="67"/>
    </row>
    <row r="2299" spans="1:14" x14ac:dyDescent="0.35">
      <c r="A2299" s="61">
        <v>2295</v>
      </c>
      <c r="B2299" s="2"/>
      <c r="C2299" s="2"/>
      <c r="D2299" s="2"/>
      <c r="E2299" s="10"/>
      <c r="F2299" s="11"/>
      <c r="G2299" s="2"/>
      <c r="H2299" s="2"/>
      <c r="I2299" s="2"/>
      <c r="J2299" s="2"/>
      <c r="K2299" s="12"/>
      <c r="L2299" s="2"/>
      <c r="M2299" s="2"/>
      <c r="N2299" s="67"/>
    </row>
    <row r="2300" spans="1:14" x14ac:dyDescent="0.35">
      <c r="A2300" s="61">
        <v>2296</v>
      </c>
      <c r="B2300" s="2"/>
      <c r="C2300" s="2"/>
      <c r="D2300" s="2"/>
      <c r="E2300" s="10"/>
      <c r="F2300" s="11"/>
      <c r="G2300" s="2"/>
      <c r="H2300" s="2"/>
      <c r="I2300" s="2"/>
      <c r="J2300" s="2"/>
      <c r="K2300" s="12"/>
      <c r="L2300" s="2"/>
      <c r="M2300" s="2"/>
      <c r="N2300" s="67"/>
    </row>
    <row r="2301" spans="1:14" x14ac:dyDescent="0.35">
      <c r="A2301" s="61">
        <v>2297</v>
      </c>
      <c r="B2301" s="2"/>
      <c r="C2301" s="2"/>
      <c r="D2301" s="2"/>
      <c r="E2301" s="10"/>
      <c r="F2301" s="11"/>
      <c r="G2301" s="2"/>
      <c r="H2301" s="2"/>
      <c r="I2301" s="2"/>
      <c r="J2301" s="2"/>
      <c r="K2301" s="12"/>
      <c r="L2301" s="2"/>
      <c r="M2301" s="2"/>
      <c r="N2301" s="67"/>
    </row>
    <row r="2302" spans="1:14" x14ac:dyDescent="0.35">
      <c r="A2302" s="61">
        <v>2298</v>
      </c>
      <c r="B2302" s="2"/>
      <c r="C2302" s="2"/>
      <c r="D2302" s="2"/>
      <c r="E2302" s="10"/>
      <c r="F2302" s="11"/>
      <c r="G2302" s="2"/>
      <c r="H2302" s="2"/>
      <c r="I2302" s="2"/>
      <c r="J2302" s="2"/>
      <c r="K2302" s="12"/>
      <c r="L2302" s="2"/>
      <c r="M2302" s="2"/>
      <c r="N2302" s="67"/>
    </row>
    <row r="2303" spans="1:14" x14ac:dyDescent="0.35">
      <c r="A2303" s="61">
        <v>2299</v>
      </c>
      <c r="B2303" s="2"/>
      <c r="C2303" s="2"/>
      <c r="D2303" s="2"/>
      <c r="E2303" s="10"/>
      <c r="F2303" s="11"/>
      <c r="G2303" s="2"/>
      <c r="H2303" s="2"/>
      <c r="I2303" s="2"/>
      <c r="J2303" s="2"/>
      <c r="K2303" s="12"/>
      <c r="L2303" s="2"/>
      <c r="M2303" s="2"/>
      <c r="N2303" s="67"/>
    </row>
    <row r="2304" spans="1:14" x14ac:dyDescent="0.35">
      <c r="A2304" s="61">
        <v>2300</v>
      </c>
      <c r="B2304" s="2"/>
      <c r="C2304" s="2"/>
      <c r="D2304" s="2"/>
      <c r="E2304" s="10"/>
      <c r="F2304" s="11"/>
      <c r="G2304" s="2"/>
      <c r="H2304" s="2"/>
      <c r="I2304" s="2"/>
      <c r="J2304" s="2"/>
      <c r="K2304" s="12"/>
      <c r="L2304" s="2"/>
      <c r="M2304" s="2"/>
      <c r="N2304" s="67"/>
    </row>
    <row r="2305" spans="1:14" x14ac:dyDescent="0.35">
      <c r="A2305" s="61">
        <v>2301</v>
      </c>
      <c r="B2305" s="2"/>
      <c r="C2305" s="2"/>
      <c r="D2305" s="2"/>
      <c r="E2305" s="10"/>
      <c r="F2305" s="11"/>
      <c r="G2305" s="2"/>
      <c r="H2305" s="2"/>
      <c r="I2305" s="2"/>
      <c r="J2305" s="2"/>
      <c r="K2305" s="12"/>
      <c r="L2305" s="2"/>
      <c r="M2305" s="2"/>
      <c r="N2305" s="67"/>
    </row>
    <row r="2306" spans="1:14" x14ac:dyDescent="0.35">
      <c r="A2306" s="61">
        <v>2302</v>
      </c>
      <c r="B2306" s="2"/>
      <c r="C2306" s="2"/>
      <c r="D2306" s="2"/>
      <c r="E2306" s="10"/>
      <c r="F2306" s="11"/>
      <c r="G2306" s="2"/>
      <c r="H2306" s="2"/>
      <c r="I2306" s="2"/>
      <c r="J2306" s="2"/>
      <c r="K2306" s="12"/>
      <c r="L2306" s="2"/>
      <c r="M2306" s="2"/>
      <c r="N2306" s="67"/>
    </row>
    <row r="2307" spans="1:14" x14ac:dyDescent="0.35">
      <c r="A2307" s="61">
        <v>2303</v>
      </c>
      <c r="B2307" s="2"/>
      <c r="C2307" s="2"/>
      <c r="D2307" s="2"/>
      <c r="E2307" s="10"/>
      <c r="F2307" s="11"/>
      <c r="G2307" s="2"/>
      <c r="H2307" s="2"/>
      <c r="I2307" s="2"/>
      <c r="J2307" s="2"/>
      <c r="K2307" s="12"/>
      <c r="L2307" s="2"/>
      <c r="M2307" s="2"/>
      <c r="N2307" s="67"/>
    </row>
    <row r="2308" spans="1:14" x14ac:dyDescent="0.35">
      <c r="A2308" s="61">
        <v>2304</v>
      </c>
      <c r="B2308" s="2"/>
      <c r="C2308" s="2"/>
      <c r="D2308" s="2"/>
      <c r="E2308" s="10"/>
      <c r="F2308" s="11"/>
      <c r="G2308" s="2"/>
      <c r="H2308" s="2"/>
      <c r="I2308" s="2"/>
      <c r="J2308" s="2"/>
      <c r="K2308" s="12"/>
      <c r="L2308" s="2"/>
      <c r="M2308" s="2"/>
      <c r="N2308" s="67"/>
    </row>
    <row r="2309" spans="1:14" x14ac:dyDescent="0.35">
      <c r="A2309" s="61">
        <v>2305</v>
      </c>
      <c r="B2309" s="2"/>
      <c r="C2309" s="2"/>
      <c r="D2309" s="2"/>
      <c r="E2309" s="10"/>
      <c r="F2309" s="11"/>
      <c r="G2309" s="2"/>
      <c r="H2309" s="2"/>
      <c r="I2309" s="2"/>
      <c r="J2309" s="2"/>
      <c r="K2309" s="12"/>
      <c r="L2309" s="2"/>
      <c r="M2309" s="2"/>
      <c r="N2309" s="67"/>
    </row>
    <row r="2310" spans="1:14" x14ac:dyDescent="0.35">
      <c r="A2310" s="61">
        <v>2306</v>
      </c>
      <c r="B2310" s="2"/>
      <c r="C2310" s="2"/>
      <c r="D2310" s="2"/>
      <c r="E2310" s="10"/>
      <c r="F2310" s="11"/>
      <c r="G2310" s="2"/>
      <c r="H2310" s="2"/>
      <c r="I2310" s="2"/>
      <c r="J2310" s="2"/>
      <c r="K2310" s="12"/>
      <c r="L2310" s="2"/>
      <c r="M2310" s="2"/>
      <c r="N2310" s="67"/>
    </row>
    <row r="2311" spans="1:14" x14ac:dyDescent="0.35">
      <c r="A2311" s="61">
        <v>2307</v>
      </c>
      <c r="B2311" s="2"/>
      <c r="C2311" s="2"/>
      <c r="D2311" s="2"/>
      <c r="E2311" s="10"/>
      <c r="F2311" s="11"/>
      <c r="G2311" s="2"/>
      <c r="H2311" s="2"/>
      <c r="I2311" s="2"/>
      <c r="J2311" s="2"/>
      <c r="K2311" s="12"/>
      <c r="L2311" s="2"/>
      <c r="M2311" s="2"/>
      <c r="N2311" s="67"/>
    </row>
    <row r="2312" spans="1:14" x14ac:dyDescent="0.35">
      <c r="A2312" s="61">
        <v>2308</v>
      </c>
      <c r="B2312" s="2"/>
      <c r="C2312" s="2"/>
      <c r="D2312" s="2"/>
      <c r="E2312" s="10"/>
      <c r="F2312" s="11"/>
      <c r="G2312" s="2"/>
      <c r="H2312" s="2"/>
      <c r="I2312" s="2"/>
      <c r="J2312" s="2"/>
      <c r="K2312" s="12"/>
      <c r="L2312" s="2"/>
      <c r="M2312" s="2"/>
      <c r="N2312" s="67"/>
    </row>
    <row r="2313" spans="1:14" x14ac:dyDescent="0.35">
      <c r="A2313" s="61">
        <v>2309</v>
      </c>
      <c r="B2313" s="2"/>
      <c r="C2313" s="2"/>
      <c r="D2313" s="2"/>
      <c r="E2313" s="10"/>
      <c r="F2313" s="11"/>
      <c r="G2313" s="2"/>
      <c r="H2313" s="2"/>
      <c r="I2313" s="2"/>
      <c r="J2313" s="2"/>
      <c r="K2313" s="12"/>
      <c r="L2313" s="2"/>
      <c r="M2313" s="2"/>
      <c r="N2313" s="67"/>
    </row>
    <row r="2314" spans="1:14" x14ac:dyDescent="0.35">
      <c r="A2314" s="61">
        <v>2310</v>
      </c>
      <c r="B2314" s="2"/>
      <c r="C2314" s="2"/>
      <c r="D2314" s="2"/>
      <c r="E2314" s="10"/>
      <c r="F2314" s="11"/>
      <c r="G2314" s="2"/>
      <c r="H2314" s="2"/>
      <c r="I2314" s="2"/>
      <c r="J2314" s="2"/>
      <c r="K2314" s="12"/>
      <c r="L2314" s="2"/>
      <c r="M2314" s="2"/>
      <c r="N2314" s="67"/>
    </row>
    <row r="2315" spans="1:14" x14ac:dyDescent="0.35">
      <c r="A2315" s="61">
        <v>2311</v>
      </c>
      <c r="B2315" s="2"/>
      <c r="C2315" s="2"/>
      <c r="D2315" s="2"/>
      <c r="E2315" s="10"/>
      <c r="F2315" s="11"/>
      <c r="G2315" s="2"/>
      <c r="H2315" s="2"/>
      <c r="I2315" s="2"/>
      <c r="J2315" s="2"/>
      <c r="K2315" s="12"/>
      <c r="L2315" s="2"/>
      <c r="M2315" s="2"/>
      <c r="N2315" s="67"/>
    </row>
    <row r="2316" spans="1:14" x14ac:dyDescent="0.35">
      <c r="A2316" s="61">
        <v>2312</v>
      </c>
      <c r="B2316" s="2"/>
      <c r="C2316" s="2"/>
      <c r="D2316" s="2"/>
      <c r="E2316" s="10"/>
      <c r="F2316" s="11"/>
      <c r="G2316" s="2"/>
      <c r="H2316" s="2"/>
      <c r="I2316" s="2"/>
      <c r="J2316" s="2"/>
      <c r="K2316" s="12"/>
      <c r="L2316" s="2"/>
      <c r="M2316" s="2"/>
      <c r="N2316" s="67"/>
    </row>
    <row r="2317" spans="1:14" x14ac:dyDescent="0.35">
      <c r="A2317" s="61">
        <v>2313</v>
      </c>
      <c r="B2317" s="2"/>
      <c r="C2317" s="2"/>
      <c r="D2317" s="2"/>
      <c r="E2317" s="10"/>
      <c r="F2317" s="11"/>
      <c r="G2317" s="2"/>
      <c r="H2317" s="2"/>
      <c r="I2317" s="2"/>
      <c r="J2317" s="2"/>
      <c r="K2317" s="12"/>
      <c r="L2317" s="2"/>
      <c r="M2317" s="2"/>
      <c r="N2317" s="67"/>
    </row>
    <row r="2318" spans="1:14" x14ac:dyDescent="0.35">
      <c r="A2318" s="61">
        <v>2314</v>
      </c>
      <c r="B2318" s="2"/>
      <c r="C2318" s="2"/>
      <c r="D2318" s="2"/>
      <c r="E2318" s="10"/>
      <c r="F2318" s="11"/>
      <c r="G2318" s="2"/>
      <c r="H2318" s="2"/>
      <c r="I2318" s="2"/>
      <c r="J2318" s="2"/>
      <c r="K2318" s="12"/>
      <c r="L2318" s="2"/>
      <c r="M2318" s="2"/>
      <c r="N2318" s="67"/>
    </row>
    <row r="2319" spans="1:14" x14ac:dyDescent="0.35">
      <c r="A2319" s="61">
        <v>2315</v>
      </c>
      <c r="B2319" s="2"/>
      <c r="C2319" s="2"/>
      <c r="D2319" s="2"/>
      <c r="E2319" s="10"/>
      <c r="F2319" s="11"/>
      <c r="G2319" s="2"/>
      <c r="H2319" s="2"/>
      <c r="I2319" s="2"/>
      <c r="J2319" s="2"/>
      <c r="K2319" s="12"/>
      <c r="L2319" s="2"/>
      <c r="M2319" s="2"/>
      <c r="N2319" s="67"/>
    </row>
    <row r="2320" spans="1:14" x14ac:dyDescent="0.35">
      <c r="A2320" s="61">
        <v>2316</v>
      </c>
      <c r="B2320" s="2"/>
      <c r="C2320" s="2"/>
      <c r="D2320" s="2"/>
      <c r="E2320" s="10"/>
      <c r="F2320" s="11"/>
      <c r="G2320" s="2"/>
      <c r="H2320" s="2"/>
      <c r="I2320" s="2"/>
      <c r="J2320" s="2"/>
      <c r="K2320" s="12"/>
      <c r="L2320" s="2"/>
      <c r="M2320" s="2"/>
      <c r="N2320" s="67"/>
    </row>
    <row r="2321" spans="1:14" x14ac:dyDescent="0.35">
      <c r="A2321" s="61">
        <v>2317</v>
      </c>
      <c r="B2321" s="2"/>
      <c r="C2321" s="2"/>
      <c r="D2321" s="2"/>
      <c r="E2321" s="10"/>
      <c r="F2321" s="11"/>
      <c r="G2321" s="2"/>
      <c r="H2321" s="2"/>
      <c r="I2321" s="2"/>
      <c r="J2321" s="2"/>
      <c r="K2321" s="12"/>
      <c r="L2321" s="2"/>
      <c r="M2321" s="2"/>
      <c r="N2321" s="67"/>
    </row>
    <row r="2322" spans="1:14" x14ac:dyDescent="0.35">
      <c r="A2322" s="61">
        <v>2318</v>
      </c>
      <c r="B2322" s="2"/>
      <c r="C2322" s="2"/>
      <c r="D2322" s="2"/>
      <c r="E2322" s="10"/>
      <c r="F2322" s="11"/>
      <c r="G2322" s="2"/>
      <c r="H2322" s="2"/>
      <c r="I2322" s="2"/>
      <c r="J2322" s="2"/>
      <c r="K2322" s="12"/>
      <c r="L2322" s="2"/>
      <c r="M2322" s="2"/>
      <c r="N2322" s="67"/>
    </row>
    <row r="2323" spans="1:14" x14ac:dyDescent="0.35">
      <c r="A2323" s="61">
        <v>2319</v>
      </c>
      <c r="B2323" s="2"/>
      <c r="C2323" s="2"/>
      <c r="D2323" s="2"/>
      <c r="E2323" s="10"/>
      <c r="F2323" s="11"/>
      <c r="G2323" s="2"/>
      <c r="H2323" s="2"/>
      <c r="I2323" s="2"/>
      <c r="J2323" s="2"/>
      <c r="K2323" s="12"/>
      <c r="L2323" s="2"/>
      <c r="M2323" s="2"/>
      <c r="N2323" s="67"/>
    </row>
    <row r="2324" spans="1:14" x14ac:dyDescent="0.35">
      <c r="A2324" s="61">
        <v>2320</v>
      </c>
      <c r="B2324" s="2"/>
      <c r="C2324" s="2"/>
      <c r="D2324" s="2"/>
      <c r="E2324" s="10"/>
      <c r="F2324" s="11"/>
      <c r="G2324" s="2"/>
      <c r="H2324" s="2"/>
      <c r="I2324" s="2"/>
      <c r="J2324" s="2"/>
      <c r="K2324" s="12"/>
      <c r="L2324" s="2"/>
      <c r="M2324" s="2"/>
      <c r="N2324" s="67"/>
    </row>
    <row r="2325" spans="1:14" x14ac:dyDescent="0.35">
      <c r="A2325" s="61">
        <v>2321</v>
      </c>
      <c r="B2325" s="2"/>
      <c r="C2325" s="2"/>
      <c r="D2325" s="2"/>
      <c r="E2325" s="10"/>
      <c r="F2325" s="11"/>
      <c r="G2325" s="2"/>
      <c r="H2325" s="2"/>
      <c r="I2325" s="2"/>
      <c r="J2325" s="2"/>
      <c r="K2325" s="12"/>
      <c r="L2325" s="2"/>
      <c r="M2325" s="2"/>
      <c r="N2325" s="67"/>
    </row>
    <row r="2326" spans="1:14" x14ac:dyDescent="0.35">
      <c r="A2326" s="61">
        <v>2322</v>
      </c>
      <c r="B2326" s="2"/>
      <c r="C2326" s="2"/>
      <c r="D2326" s="2"/>
      <c r="E2326" s="10"/>
      <c r="F2326" s="11"/>
      <c r="G2326" s="2"/>
      <c r="H2326" s="2"/>
      <c r="I2326" s="2"/>
      <c r="J2326" s="2"/>
      <c r="K2326" s="12"/>
      <c r="L2326" s="2"/>
      <c r="M2326" s="2"/>
      <c r="N2326" s="67"/>
    </row>
    <row r="2327" spans="1:14" x14ac:dyDescent="0.35">
      <c r="A2327" s="61">
        <v>2323</v>
      </c>
      <c r="B2327" s="2"/>
      <c r="C2327" s="2"/>
      <c r="D2327" s="2"/>
      <c r="E2327" s="10"/>
      <c r="F2327" s="11"/>
      <c r="G2327" s="2"/>
      <c r="H2327" s="2"/>
      <c r="I2327" s="2"/>
      <c r="J2327" s="2"/>
      <c r="K2327" s="12"/>
      <c r="L2327" s="2"/>
      <c r="M2327" s="2"/>
      <c r="N2327" s="67"/>
    </row>
    <row r="2328" spans="1:14" x14ac:dyDescent="0.35">
      <c r="A2328" s="61">
        <v>2324</v>
      </c>
      <c r="B2328" s="2"/>
      <c r="C2328" s="2"/>
      <c r="D2328" s="2"/>
      <c r="E2328" s="10"/>
      <c r="F2328" s="11"/>
      <c r="G2328" s="2"/>
      <c r="H2328" s="2"/>
      <c r="I2328" s="2"/>
      <c r="J2328" s="2"/>
      <c r="K2328" s="12"/>
      <c r="L2328" s="2"/>
      <c r="M2328" s="2"/>
      <c r="N2328" s="67"/>
    </row>
    <row r="2329" spans="1:14" x14ac:dyDescent="0.35">
      <c r="A2329" s="61">
        <v>2325</v>
      </c>
      <c r="B2329" s="2"/>
      <c r="C2329" s="2"/>
      <c r="D2329" s="2"/>
      <c r="E2329" s="10"/>
      <c r="F2329" s="11"/>
      <c r="G2329" s="2"/>
      <c r="H2329" s="2"/>
      <c r="I2329" s="2"/>
      <c r="J2329" s="2"/>
      <c r="K2329" s="12"/>
      <c r="L2329" s="2"/>
      <c r="M2329" s="2"/>
      <c r="N2329" s="67"/>
    </row>
    <row r="2330" spans="1:14" x14ac:dyDescent="0.35">
      <c r="A2330" s="61">
        <v>2326</v>
      </c>
      <c r="B2330" s="2"/>
      <c r="C2330" s="2"/>
      <c r="D2330" s="2"/>
      <c r="E2330" s="10"/>
      <c r="F2330" s="11"/>
      <c r="G2330" s="2"/>
      <c r="H2330" s="2"/>
      <c r="I2330" s="2"/>
      <c r="J2330" s="2"/>
      <c r="K2330" s="12"/>
      <c r="L2330" s="2"/>
      <c r="M2330" s="2"/>
      <c r="N2330" s="67"/>
    </row>
    <row r="2331" spans="1:14" x14ac:dyDescent="0.35">
      <c r="A2331" s="61">
        <v>2327</v>
      </c>
      <c r="B2331" s="2"/>
      <c r="C2331" s="2"/>
      <c r="D2331" s="2"/>
      <c r="E2331" s="10"/>
      <c r="F2331" s="11"/>
      <c r="G2331" s="2"/>
      <c r="H2331" s="2"/>
      <c r="I2331" s="2"/>
      <c r="J2331" s="2"/>
      <c r="K2331" s="12"/>
      <c r="L2331" s="2"/>
      <c r="M2331" s="2"/>
      <c r="N2331" s="67"/>
    </row>
    <row r="2332" spans="1:14" x14ac:dyDescent="0.35">
      <c r="A2332" s="61">
        <v>2328</v>
      </c>
      <c r="B2332" s="2"/>
      <c r="C2332" s="2"/>
      <c r="D2332" s="2"/>
      <c r="E2332" s="10"/>
      <c r="F2332" s="11"/>
      <c r="G2332" s="2"/>
      <c r="H2332" s="2"/>
      <c r="I2332" s="2"/>
      <c r="J2332" s="2"/>
      <c r="K2332" s="12"/>
      <c r="L2332" s="2"/>
      <c r="M2332" s="2"/>
      <c r="N2332" s="67"/>
    </row>
    <row r="2333" spans="1:14" x14ac:dyDescent="0.35">
      <c r="A2333" s="61">
        <v>2329</v>
      </c>
      <c r="B2333" s="2"/>
      <c r="C2333" s="2"/>
      <c r="D2333" s="2"/>
      <c r="E2333" s="10"/>
      <c r="F2333" s="11"/>
      <c r="G2333" s="2"/>
      <c r="H2333" s="2"/>
      <c r="I2333" s="2"/>
      <c r="J2333" s="2"/>
      <c r="K2333" s="12"/>
      <c r="L2333" s="2"/>
      <c r="M2333" s="2"/>
      <c r="N2333" s="67"/>
    </row>
    <row r="2334" spans="1:14" x14ac:dyDescent="0.35">
      <c r="A2334" s="61">
        <v>2330</v>
      </c>
      <c r="B2334" s="2"/>
      <c r="C2334" s="2"/>
      <c r="D2334" s="2"/>
      <c r="E2334" s="10"/>
      <c r="F2334" s="11"/>
      <c r="G2334" s="2"/>
      <c r="H2334" s="2"/>
      <c r="I2334" s="2"/>
      <c r="J2334" s="2"/>
      <c r="K2334" s="12"/>
      <c r="L2334" s="2"/>
      <c r="M2334" s="2"/>
      <c r="N2334" s="67"/>
    </row>
    <row r="2335" spans="1:14" x14ac:dyDescent="0.35">
      <c r="A2335" s="61">
        <v>2331</v>
      </c>
      <c r="B2335" s="2"/>
      <c r="C2335" s="2"/>
      <c r="D2335" s="2"/>
      <c r="E2335" s="10"/>
      <c r="F2335" s="11"/>
      <c r="G2335" s="2"/>
      <c r="H2335" s="2"/>
      <c r="I2335" s="2"/>
      <c r="J2335" s="2"/>
      <c r="K2335" s="12"/>
      <c r="L2335" s="2"/>
      <c r="M2335" s="2"/>
      <c r="N2335" s="67"/>
    </row>
    <row r="2336" spans="1:14" x14ac:dyDescent="0.35">
      <c r="A2336" s="61">
        <v>2332</v>
      </c>
      <c r="B2336" s="2"/>
      <c r="C2336" s="2"/>
      <c r="D2336" s="2"/>
      <c r="E2336" s="10"/>
      <c r="F2336" s="11"/>
      <c r="G2336" s="2"/>
      <c r="H2336" s="2"/>
      <c r="I2336" s="2"/>
      <c r="J2336" s="2"/>
      <c r="K2336" s="12"/>
      <c r="L2336" s="2"/>
      <c r="M2336" s="2"/>
      <c r="N2336" s="67"/>
    </row>
    <row r="2337" spans="1:14" x14ac:dyDescent="0.35">
      <c r="A2337" s="61">
        <v>2333</v>
      </c>
      <c r="B2337" s="2"/>
      <c r="C2337" s="2"/>
      <c r="D2337" s="2"/>
      <c r="E2337" s="10"/>
      <c r="F2337" s="11"/>
      <c r="G2337" s="2"/>
      <c r="H2337" s="2"/>
      <c r="I2337" s="2"/>
      <c r="J2337" s="2"/>
      <c r="K2337" s="12"/>
      <c r="L2337" s="2"/>
      <c r="M2337" s="2"/>
      <c r="N2337" s="67"/>
    </row>
    <row r="2338" spans="1:14" x14ac:dyDescent="0.35">
      <c r="A2338" s="61">
        <v>2334</v>
      </c>
      <c r="B2338" s="2"/>
      <c r="C2338" s="2"/>
      <c r="D2338" s="2"/>
      <c r="E2338" s="10"/>
      <c r="F2338" s="11"/>
      <c r="G2338" s="2"/>
      <c r="H2338" s="2"/>
      <c r="I2338" s="2"/>
      <c r="J2338" s="2"/>
      <c r="K2338" s="12"/>
      <c r="L2338" s="2"/>
      <c r="M2338" s="2"/>
      <c r="N2338" s="67"/>
    </row>
    <row r="2339" spans="1:14" x14ac:dyDescent="0.35">
      <c r="A2339" s="61">
        <v>2335</v>
      </c>
      <c r="B2339" s="2"/>
      <c r="C2339" s="2"/>
      <c r="D2339" s="2"/>
      <c r="E2339" s="10"/>
      <c r="F2339" s="11"/>
      <c r="G2339" s="2"/>
      <c r="H2339" s="2"/>
      <c r="I2339" s="2"/>
      <c r="J2339" s="2"/>
      <c r="K2339" s="12"/>
      <c r="L2339" s="2"/>
      <c r="M2339" s="2"/>
      <c r="N2339" s="67"/>
    </row>
    <row r="2340" spans="1:14" x14ac:dyDescent="0.35">
      <c r="A2340" s="61">
        <v>2336</v>
      </c>
      <c r="B2340" s="2"/>
      <c r="C2340" s="2"/>
      <c r="D2340" s="2"/>
      <c r="E2340" s="10"/>
      <c r="F2340" s="11"/>
      <c r="G2340" s="2"/>
      <c r="H2340" s="2"/>
      <c r="I2340" s="2"/>
      <c r="J2340" s="2"/>
      <c r="K2340" s="12"/>
      <c r="L2340" s="2"/>
      <c r="M2340" s="2"/>
      <c r="N2340" s="67"/>
    </row>
    <row r="2341" spans="1:14" x14ac:dyDescent="0.35">
      <c r="A2341" s="61">
        <v>2337</v>
      </c>
      <c r="B2341" s="2"/>
      <c r="C2341" s="2"/>
      <c r="D2341" s="2"/>
      <c r="E2341" s="10"/>
      <c r="F2341" s="11"/>
      <c r="G2341" s="2"/>
      <c r="H2341" s="2"/>
      <c r="I2341" s="2"/>
      <c r="J2341" s="2"/>
      <c r="K2341" s="12"/>
      <c r="L2341" s="2"/>
      <c r="M2341" s="2"/>
      <c r="N2341" s="67"/>
    </row>
    <row r="2342" spans="1:14" x14ac:dyDescent="0.35">
      <c r="A2342" s="61">
        <v>2338</v>
      </c>
      <c r="B2342" s="2"/>
      <c r="C2342" s="2"/>
      <c r="D2342" s="2"/>
      <c r="E2342" s="10"/>
      <c r="F2342" s="11"/>
      <c r="G2342" s="2"/>
      <c r="H2342" s="2"/>
      <c r="I2342" s="2"/>
      <c r="J2342" s="2"/>
      <c r="K2342" s="12"/>
      <c r="L2342" s="2"/>
      <c r="M2342" s="2"/>
      <c r="N2342" s="67"/>
    </row>
    <row r="2343" spans="1:14" x14ac:dyDescent="0.35">
      <c r="A2343" s="61">
        <v>2339</v>
      </c>
      <c r="B2343" s="2"/>
      <c r="C2343" s="2"/>
      <c r="D2343" s="2"/>
      <c r="E2343" s="10"/>
      <c r="F2343" s="11"/>
      <c r="G2343" s="2"/>
      <c r="H2343" s="2"/>
      <c r="I2343" s="2"/>
      <c r="J2343" s="2"/>
      <c r="K2343" s="12"/>
      <c r="L2343" s="2"/>
      <c r="M2343" s="2"/>
      <c r="N2343" s="67"/>
    </row>
    <row r="2344" spans="1:14" x14ac:dyDescent="0.35">
      <c r="A2344" s="61">
        <v>2340</v>
      </c>
      <c r="B2344" s="2"/>
      <c r="C2344" s="2"/>
      <c r="D2344" s="2"/>
      <c r="E2344" s="10"/>
      <c r="F2344" s="11"/>
      <c r="G2344" s="2"/>
      <c r="H2344" s="2"/>
      <c r="I2344" s="2"/>
      <c r="J2344" s="2"/>
      <c r="K2344" s="12"/>
      <c r="L2344" s="2"/>
      <c r="M2344" s="2"/>
      <c r="N2344" s="67"/>
    </row>
    <row r="2345" spans="1:14" x14ac:dyDescent="0.35">
      <c r="A2345" s="61">
        <v>2341</v>
      </c>
      <c r="B2345" s="2"/>
      <c r="C2345" s="2"/>
      <c r="D2345" s="2"/>
      <c r="E2345" s="10"/>
      <c r="F2345" s="11"/>
      <c r="G2345" s="2"/>
      <c r="H2345" s="2"/>
      <c r="I2345" s="2"/>
      <c r="J2345" s="2"/>
      <c r="K2345" s="12"/>
      <c r="L2345" s="2"/>
      <c r="M2345" s="2"/>
      <c r="N2345" s="67"/>
    </row>
    <row r="2346" spans="1:14" x14ac:dyDescent="0.35">
      <c r="A2346" s="61">
        <v>2342</v>
      </c>
      <c r="B2346" s="2"/>
      <c r="C2346" s="2"/>
      <c r="D2346" s="2"/>
      <c r="E2346" s="10"/>
      <c r="F2346" s="11"/>
      <c r="G2346" s="2"/>
      <c r="H2346" s="2"/>
      <c r="I2346" s="2"/>
      <c r="J2346" s="2"/>
      <c r="K2346" s="12"/>
      <c r="L2346" s="2"/>
      <c r="M2346" s="2"/>
      <c r="N2346" s="67"/>
    </row>
    <row r="2347" spans="1:14" x14ac:dyDescent="0.35">
      <c r="A2347" s="61">
        <v>2343</v>
      </c>
      <c r="B2347" s="2"/>
      <c r="C2347" s="2"/>
      <c r="D2347" s="2"/>
      <c r="E2347" s="10"/>
      <c r="F2347" s="11"/>
      <c r="G2347" s="2"/>
      <c r="H2347" s="2"/>
      <c r="I2347" s="2"/>
      <c r="J2347" s="2"/>
      <c r="K2347" s="12"/>
      <c r="L2347" s="2"/>
      <c r="M2347" s="2"/>
      <c r="N2347" s="67"/>
    </row>
    <row r="2348" spans="1:14" x14ac:dyDescent="0.35">
      <c r="A2348" s="61">
        <v>2344</v>
      </c>
      <c r="B2348" s="2"/>
      <c r="C2348" s="2"/>
      <c r="D2348" s="2"/>
      <c r="E2348" s="10"/>
      <c r="F2348" s="11"/>
      <c r="G2348" s="2"/>
      <c r="H2348" s="2"/>
      <c r="I2348" s="2"/>
      <c r="J2348" s="2"/>
      <c r="K2348" s="12"/>
      <c r="L2348" s="2"/>
      <c r="M2348" s="2"/>
      <c r="N2348" s="67"/>
    </row>
    <row r="2349" spans="1:14" x14ac:dyDescent="0.35">
      <c r="A2349" s="61">
        <v>2345</v>
      </c>
      <c r="B2349" s="2"/>
      <c r="C2349" s="2"/>
      <c r="D2349" s="2"/>
      <c r="E2349" s="10"/>
      <c r="F2349" s="11"/>
      <c r="G2349" s="2"/>
      <c r="H2349" s="2"/>
      <c r="I2349" s="2"/>
      <c r="J2349" s="2"/>
      <c r="K2349" s="12"/>
      <c r="L2349" s="2"/>
      <c r="M2349" s="2"/>
      <c r="N2349" s="67"/>
    </row>
    <row r="2350" spans="1:14" x14ac:dyDescent="0.35">
      <c r="A2350" s="61">
        <v>2346</v>
      </c>
      <c r="B2350" s="2"/>
      <c r="C2350" s="2"/>
      <c r="D2350" s="2"/>
      <c r="E2350" s="10"/>
      <c r="F2350" s="11"/>
      <c r="G2350" s="2"/>
      <c r="H2350" s="2"/>
      <c r="I2350" s="2"/>
      <c r="J2350" s="2"/>
      <c r="K2350" s="12"/>
      <c r="L2350" s="2"/>
      <c r="M2350" s="2"/>
      <c r="N2350" s="67"/>
    </row>
    <row r="2351" spans="1:14" x14ac:dyDescent="0.35">
      <c r="A2351" s="61">
        <v>2347</v>
      </c>
      <c r="B2351" s="2"/>
      <c r="C2351" s="2"/>
      <c r="D2351" s="2"/>
      <c r="E2351" s="10"/>
      <c r="F2351" s="11"/>
      <c r="G2351" s="2"/>
      <c r="H2351" s="2"/>
      <c r="I2351" s="2"/>
      <c r="J2351" s="2"/>
      <c r="K2351" s="12"/>
      <c r="L2351" s="2"/>
      <c r="M2351" s="2"/>
      <c r="N2351" s="67"/>
    </row>
    <row r="2352" spans="1:14" x14ac:dyDescent="0.35">
      <c r="A2352" s="61">
        <v>2348</v>
      </c>
      <c r="B2352" s="2"/>
      <c r="C2352" s="2"/>
      <c r="D2352" s="2"/>
      <c r="E2352" s="10"/>
      <c r="F2352" s="11"/>
      <c r="G2352" s="2"/>
      <c r="H2352" s="2"/>
      <c r="I2352" s="2"/>
      <c r="J2352" s="2"/>
      <c r="K2352" s="12"/>
      <c r="L2352" s="2"/>
      <c r="M2352" s="2"/>
      <c r="N2352" s="67"/>
    </row>
    <row r="2353" spans="1:14" x14ac:dyDescent="0.35">
      <c r="A2353" s="61">
        <v>2349</v>
      </c>
      <c r="B2353" s="2"/>
      <c r="C2353" s="2"/>
      <c r="D2353" s="2"/>
      <c r="E2353" s="10"/>
      <c r="F2353" s="11"/>
      <c r="G2353" s="2"/>
      <c r="H2353" s="2"/>
      <c r="I2353" s="2"/>
      <c r="J2353" s="2"/>
      <c r="K2353" s="12"/>
      <c r="L2353" s="2"/>
      <c r="M2353" s="2"/>
      <c r="N2353" s="67"/>
    </row>
    <row r="2354" spans="1:14" x14ac:dyDescent="0.35">
      <c r="A2354" s="61">
        <v>2350</v>
      </c>
      <c r="B2354" s="2"/>
      <c r="C2354" s="2"/>
      <c r="D2354" s="2"/>
      <c r="E2354" s="10"/>
      <c r="F2354" s="11"/>
      <c r="G2354" s="2"/>
      <c r="H2354" s="2"/>
      <c r="I2354" s="2"/>
      <c r="J2354" s="2"/>
      <c r="K2354" s="12"/>
      <c r="L2354" s="2"/>
      <c r="M2354" s="2"/>
      <c r="N2354" s="67"/>
    </row>
    <row r="2355" spans="1:14" x14ac:dyDescent="0.35">
      <c r="A2355" s="61">
        <v>2351</v>
      </c>
      <c r="B2355" s="2"/>
      <c r="C2355" s="2"/>
      <c r="D2355" s="2"/>
      <c r="E2355" s="10"/>
      <c r="F2355" s="11"/>
      <c r="G2355" s="2"/>
      <c r="H2355" s="2"/>
      <c r="I2355" s="2"/>
      <c r="J2355" s="2"/>
      <c r="K2355" s="12"/>
      <c r="L2355" s="2"/>
      <c r="M2355" s="2"/>
      <c r="N2355" s="67"/>
    </row>
    <row r="2356" spans="1:14" x14ac:dyDescent="0.35">
      <c r="A2356" s="61">
        <v>2352</v>
      </c>
      <c r="B2356" s="2"/>
      <c r="C2356" s="2"/>
      <c r="D2356" s="2"/>
      <c r="E2356" s="10"/>
      <c r="F2356" s="11"/>
      <c r="G2356" s="2"/>
      <c r="H2356" s="2"/>
      <c r="I2356" s="2"/>
      <c r="J2356" s="2"/>
      <c r="K2356" s="12"/>
      <c r="L2356" s="2"/>
      <c r="M2356" s="2"/>
      <c r="N2356" s="67"/>
    </row>
    <row r="2357" spans="1:14" x14ac:dyDescent="0.35">
      <c r="A2357" s="61">
        <v>2353</v>
      </c>
      <c r="B2357" s="2"/>
      <c r="C2357" s="2"/>
      <c r="D2357" s="2"/>
      <c r="E2357" s="10"/>
      <c r="F2357" s="11"/>
      <c r="G2357" s="2"/>
      <c r="H2357" s="2"/>
      <c r="I2357" s="2"/>
      <c r="J2357" s="2"/>
      <c r="K2357" s="12"/>
      <c r="L2357" s="2"/>
      <c r="M2357" s="2"/>
      <c r="N2357" s="67"/>
    </row>
    <row r="2358" spans="1:14" x14ac:dyDescent="0.35">
      <c r="A2358" s="61">
        <v>2354</v>
      </c>
      <c r="B2358" s="2"/>
      <c r="C2358" s="2"/>
      <c r="D2358" s="2"/>
      <c r="E2358" s="10"/>
      <c r="F2358" s="11"/>
      <c r="G2358" s="2"/>
      <c r="H2358" s="2"/>
      <c r="I2358" s="2"/>
      <c r="J2358" s="2"/>
      <c r="K2358" s="12"/>
      <c r="L2358" s="2"/>
      <c r="M2358" s="2"/>
      <c r="N2358" s="67"/>
    </row>
    <row r="2359" spans="1:14" x14ac:dyDescent="0.35">
      <c r="A2359" s="61">
        <v>2355</v>
      </c>
      <c r="B2359" s="2"/>
      <c r="C2359" s="2"/>
      <c r="D2359" s="2"/>
      <c r="E2359" s="10"/>
      <c r="F2359" s="11"/>
      <c r="G2359" s="2"/>
      <c r="H2359" s="2"/>
      <c r="I2359" s="2"/>
      <c r="J2359" s="2"/>
      <c r="K2359" s="12"/>
      <c r="L2359" s="2"/>
      <c r="M2359" s="2"/>
      <c r="N2359" s="67"/>
    </row>
    <row r="2360" spans="1:14" x14ac:dyDescent="0.35">
      <c r="A2360" s="61">
        <v>2356</v>
      </c>
      <c r="B2360" s="2"/>
      <c r="C2360" s="2"/>
      <c r="D2360" s="2"/>
      <c r="E2360" s="10"/>
      <c r="F2360" s="11"/>
      <c r="G2360" s="2"/>
      <c r="H2360" s="2"/>
      <c r="I2360" s="2"/>
      <c r="J2360" s="2"/>
      <c r="K2360" s="12"/>
      <c r="L2360" s="2"/>
      <c r="M2360" s="2"/>
      <c r="N2360" s="67"/>
    </row>
    <row r="2361" spans="1:14" x14ac:dyDescent="0.35">
      <c r="A2361" s="61">
        <v>2357</v>
      </c>
      <c r="B2361" s="2"/>
      <c r="C2361" s="2"/>
      <c r="D2361" s="2"/>
      <c r="E2361" s="10"/>
      <c r="F2361" s="11"/>
      <c r="G2361" s="2"/>
      <c r="H2361" s="2"/>
      <c r="I2361" s="2"/>
      <c r="J2361" s="2"/>
      <c r="K2361" s="12"/>
      <c r="L2361" s="2"/>
      <c r="M2361" s="2"/>
      <c r="N2361" s="67"/>
    </row>
    <row r="2362" spans="1:14" x14ac:dyDescent="0.35">
      <c r="A2362" s="61">
        <v>2358</v>
      </c>
      <c r="B2362" s="2"/>
      <c r="C2362" s="2"/>
      <c r="D2362" s="2"/>
      <c r="E2362" s="10"/>
      <c r="F2362" s="11"/>
      <c r="G2362" s="2"/>
      <c r="H2362" s="2"/>
      <c r="I2362" s="2"/>
      <c r="J2362" s="2"/>
      <c r="K2362" s="12"/>
      <c r="L2362" s="2"/>
      <c r="M2362" s="2"/>
      <c r="N2362" s="67"/>
    </row>
    <row r="2363" spans="1:14" x14ac:dyDescent="0.35">
      <c r="A2363" s="61">
        <v>2359</v>
      </c>
      <c r="B2363" s="2"/>
      <c r="C2363" s="2"/>
      <c r="D2363" s="2"/>
      <c r="E2363" s="10"/>
      <c r="F2363" s="11"/>
      <c r="G2363" s="2"/>
      <c r="H2363" s="2"/>
      <c r="I2363" s="2"/>
      <c r="J2363" s="2"/>
      <c r="K2363" s="12"/>
      <c r="L2363" s="2"/>
      <c r="M2363" s="2"/>
      <c r="N2363" s="67"/>
    </row>
    <row r="2364" spans="1:14" x14ac:dyDescent="0.35">
      <c r="A2364" s="61">
        <v>2360</v>
      </c>
      <c r="B2364" s="2"/>
      <c r="C2364" s="2"/>
      <c r="D2364" s="2"/>
      <c r="E2364" s="10"/>
      <c r="F2364" s="11"/>
      <c r="G2364" s="2"/>
      <c r="H2364" s="2"/>
      <c r="I2364" s="2"/>
      <c r="J2364" s="2"/>
      <c r="K2364" s="12"/>
      <c r="L2364" s="2"/>
      <c r="M2364" s="2"/>
      <c r="N2364" s="67"/>
    </row>
    <row r="2365" spans="1:14" x14ac:dyDescent="0.35">
      <c r="A2365" s="61">
        <v>2361</v>
      </c>
      <c r="B2365" s="2"/>
      <c r="C2365" s="2"/>
      <c r="D2365" s="2"/>
      <c r="E2365" s="10"/>
      <c r="F2365" s="11"/>
      <c r="G2365" s="2"/>
      <c r="H2365" s="2"/>
      <c r="I2365" s="2"/>
      <c r="J2365" s="2"/>
      <c r="K2365" s="12"/>
      <c r="L2365" s="2"/>
      <c r="M2365" s="2"/>
      <c r="N2365" s="67"/>
    </row>
    <row r="2366" spans="1:14" x14ac:dyDescent="0.35">
      <c r="A2366" s="61">
        <v>2362</v>
      </c>
      <c r="B2366" s="2"/>
      <c r="C2366" s="2"/>
      <c r="D2366" s="2"/>
      <c r="E2366" s="10"/>
      <c r="F2366" s="11"/>
      <c r="G2366" s="2"/>
      <c r="H2366" s="2"/>
      <c r="I2366" s="2"/>
      <c r="J2366" s="2"/>
      <c r="K2366" s="12"/>
      <c r="L2366" s="2"/>
      <c r="M2366" s="2"/>
      <c r="N2366" s="67"/>
    </row>
    <row r="2367" spans="1:14" x14ac:dyDescent="0.35">
      <c r="A2367" s="61">
        <v>2363</v>
      </c>
      <c r="B2367" s="2"/>
      <c r="C2367" s="2"/>
      <c r="D2367" s="2"/>
      <c r="E2367" s="10"/>
      <c r="F2367" s="11"/>
      <c r="G2367" s="2"/>
      <c r="H2367" s="2"/>
      <c r="I2367" s="2"/>
      <c r="J2367" s="2"/>
      <c r="K2367" s="12"/>
      <c r="L2367" s="2"/>
      <c r="M2367" s="2"/>
      <c r="N2367" s="67"/>
    </row>
    <row r="2368" spans="1:14" x14ac:dyDescent="0.35">
      <c r="A2368" s="61">
        <v>2364</v>
      </c>
      <c r="B2368" s="2"/>
      <c r="C2368" s="2"/>
      <c r="D2368" s="2"/>
      <c r="E2368" s="10"/>
      <c r="F2368" s="11"/>
      <c r="G2368" s="2"/>
      <c r="H2368" s="2"/>
      <c r="I2368" s="2"/>
      <c r="J2368" s="2"/>
      <c r="K2368" s="12"/>
      <c r="L2368" s="2"/>
      <c r="M2368" s="2"/>
      <c r="N2368" s="67"/>
    </row>
    <row r="2369" spans="1:14" x14ac:dyDescent="0.35">
      <c r="A2369" s="61">
        <v>2365</v>
      </c>
      <c r="B2369" s="2"/>
      <c r="C2369" s="2"/>
      <c r="D2369" s="2"/>
      <c r="E2369" s="10"/>
      <c r="F2369" s="11"/>
      <c r="G2369" s="2"/>
      <c r="H2369" s="2"/>
      <c r="I2369" s="2"/>
      <c r="J2369" s="2"/>
      <c r="K2369" s="12"/>
      <c r="L2369" s="2"/>
      <c r="M2369" s="2"/>
      <c r="N2369" s="67"/>
    </row>
    <row r="2370" spans="1:14" x14ac:dyDescent="0.35">
      <c r="A2370" s="61">
        <v>2366</v>
      </c>
      <c r="B2370" s="2"/>
      <c r="C2370" s="2"/>
      <c r="D2370" s="2"/>
      <c r="E2370" s="10"/>
      <c r="F2370" s="11"/>
      <c r="G2370" s="2"/>
      <c r="H2370" s="2"/>
      <c r="I2370" s="2"/>
      <c r="J2370" s="2"/>
      <c r="K2370" s="12"/>
      <c r="L2370" s="2"/>
      <c r="M2370" s="2"/>
      <c r="N2370" s="67"/>
    </row>
    <row r="2371" spans="1:14" x14ac:dyDescent="0.35">
      <c r="A2371" s="61">
        <v>2367</v>
      </c>
      <c r="B2371" s="2"/>
      <c r="C2371" s="2"/>
      <c r="D2371" s="2"/>
      <c r="E2371" s="10"/>
      <c r="F2371" s="11"/>
      <c r="G2371" s="2"/>
      <c r="H2371" s="2"/>
      <c r="I2371" s="2"/>
      <c r="J2371" s="2"/>
      <c r="K2371" s="12"/>
      <c r="L2371" s="2"/>
      <c r="M2371" s="2"/>
      <c r="N2371" s="67"/>
    </row>
    <row r="2372" spans="1:14" x14ac:dyDescent="0.35">
      <c r="A2372" s="61">
        <v>2368</v>
      </c>
      <c r="B2372" s="2"/>
      <c r="C2372" s="2"/>
      <c r="D2372" s="2"/>
      <c r="E2372" s="10"/>
      <c r="F2372" s="11"/>
      <c r="G2372" s="2"/>
      <c r="H2372" s="2"/>
      <c r="I2372" s="2"/>
      <c r="J2372" s="2"/>
      <c r="K2372" s="12"/>
      <c r="L2372" s="2"/>
      <c r="M2372" s="2"/>
      <c r="N2372" s="67"/>
    </row>
    <row r="2373" spans="1:14" x14ac:dyDescent="0.35">
      <c r="A2373" s="61">
        <v>2369</v>
      </c>
      <c r="B2373" s="2"/>
      <c r="C2373" s="2"/>
      <c r="D2373" s="2"/>
      <c r="E2373" s="10"/>
      <c r="F2373" s="11"/>
      <c r="G2373" s="2"/>
      <c r="H2373" s="2"/>
      <c r="I2373" s="2"/>
      <c r="J2373" s="2"/>
      <c r="K2373" s="12"/>
      <c r="L2373" s="2"/>
      <c r="M2373" s="2"/>
      <c r="N2373" s="67"/>
    </row>
    <row r="2374" spans="1:14" x14ac:dyDescent="0.35">
      <c r="A2374" s="61">
        <v>2370</v>
      </c>
      <c r="B2374" s="2"/>
      <c r="C2374" s="2"/>
      <c r="D2374" s="2"/>
      <c r="E2374" s="10"/>
      <c r="F2374" s="11"/>
      <c r="G2374" s="2"/>
      <c r="H2374" s="2"/>
      <c r="I2374" s="2"/>
      <c r="J2374" s="2"/>
      <c r="K2374" s="12"/>
      <c r="L2374" s="2"/>
      <c r="M2374" s="2"/>
      <c r="N2374" s="67"/>
    </row>
    <row r="2375" spans="1:14" x14ac:dyDescent="0.35">
      <c r="A2375" s="61">
        <v>2371</v>
      </c>
      <c r="B2375" s="2"/>
      <c r="C2375" s="2"/>
      <c r="D2375" s="2"/>
      <c r="E2375" s="10"/>
      <c r="F2375" s="11"/>
      <c r="G2375" s="2"/>
      <c r="H2375" s="2"/>
      <c r="I2375" s="2"/>
      <c r="J2375" s="2"/>
      <c r="K2375" s="12"/>
      <c r="L2375" s="2"/>
      <c r="M2375" s="2"/>
      <c r="N2375" s="67"/>
    </row>
    <row r="2376" spans="1:14" x14ac:dyDescent="0.35">
      <c r="A2376" s="61">
        <v>2372</v>
      </c>
      <c r="B2376" s="2"/>
      <c r="C2376" s="2"/>
      <c r="D2376" s="2"/>
      <c r="E2376" s="10"/>
      <c r="F2376" s="11"/>
      <c r="G2376" s="2"/>
      <c r="H2376" s="2"/>
      <c r="I2376" s="2"/>
      <c r="J2376" s="2"/>
      <c r="K2376" s="12"/>
      <c r="L2376" s="2"/>
      <c r="M2376" s="2"/>
      <c r="N2376" s="67"/>
    </row>
    <row r="2377" spans="1:14" x14ac:dyDescent="0.35">
      <c r="A2377" s="61">
        <v>2373</v>
      </c>
      <c r="B2377" s="2"/>
      <c r="C2377" s="2"/>
      <c r="D2377" s="2"/>
      <c r="E2377" s="10"/>
      <c r="F2377" s="11"/>
      <c r="G2377" s="2"/>
      <c r="H2377" s="2"/>
      <c r="I2377" s="2"/>
      <c r="J2377" s="2"/>
      <c r="K2377" s="12"/>
      <c r="L2377" s="2"/>
      <c r="M2377" s="2"/>
      <c r="N2377" s="67"/>
    </row>
    <row r="2378" spans="1:14" x14ac:dyDescent="0.35">
      <c r="A2378" s="61">
        <v>2374</v>
      </c>
      <c r="B2378" s="2"/>
      <c r="C2378" s="2"/>
      <c r="D2378" s="2"/>
      <c r="E2378" s="10"/>
      <c r="F2378" s="11"/>
      <c r="G2378" s="2"/>
      <c r="H2378" s="2"/>
      <c r="I2378" s="2"/>
      <c r="J2378" s="2"/>
      <c r="K2378" s="12"/>
      <c r="L2378" s="2"/>
      <c r="M2378" s="2"/>
      <c r="N2378" s="67"/>
    </row>
    <row r="2379" spans="1:14" x14ac:dyDescent="0.35">
      <c r="A2379" s="61">
        <v>2375</v>
      </c>
      <c r="B2379" s="2"/>
      <c r="C2379" s="2"/>
      <c r="D2379" s="2"/>
      <c r="E2379" s="10"/>
      <c r="F2379" s="11"/>
      <c r="G2379" s="2"/>
      <c r="H2379" s="2"/>
      <c r="I2379" s="2"/>
      <c r="J2379" s="2"/>
      <c r="K2379" s="12"/>
      <c r="L2379" s="2"/>
      <c r="M2379" s="2"/>
      <c r="N2379" s="67"/>
    </row>
    <row r="2380" spans="1:14" x14ac:dyDescent="0.35">
      <c r="A2380" s="61">
        <v>2376</v>
      </c>
      <c r="B2380" s="2"/>
      <c r="C2380" s="2"/>
      <c r="D2380" s="2"/>
      <c r="E2380" s="10"/>
      <c r="F2380" s="11"/>
      <c r="G2380" s="2"/>
      <c r="H2380" s="2"/>
      <c r="I2380" s="2"/>
      <c r="J2380" s="2"/>
      <c r="K2380" s="12"/>
      <c r="L2380" s="2"/>
      <c r="M2380" s="2"/>
      <c r="N2380" s="67"/>
    </row>
    <row r="2381" spans="1:14" x14ac:dyDescent="0.35">
      <c r="A2381" s="61">
        <v>2377</v>
      </c>
      <c r="B2381" s="2"/>
      <c r="C2381" s="2"/>
      <c r="D2381" s="2"/>
      <c r="E2381" s="10"/>
      <c r="F2381" s="11"/>
      <c r="G2381" s="2"/>
      <c r="H2381" s="2"/>
      <c r="I2381" s="2"/>
      <c r="J2381" s="2"/>
      <c r="K2381" s="12"/>
      <c r="L2381" s="2"/>
      <c r="M2381" s="2"/>
      <c r="N2381" s="67"/>
    </row>
    <row r="2382" spans="1:14" x14ac:dyDescent="0.35">
      <c r="A2382" s="61">
        <v>2378</v>
      </c>
      <c r="B2382" s="2"/>
      <c r="C2382" s="2"/>
      <c r="D2382" s="2"/>
      <c r="E2382" s="10"/>
      <c r="F2382" s="11"/>
      <c r="G2382" s="2"/>
      <c r="H2382" s="2"/>
      <c r="I2382" s="2"/>
      <c r="J2382" s="2"/>
      <c r="K2382" s="12"/>
      <c r="L2382" s="2"/>
      <c r="M2382" s="2"/>
      <c r="N2382" s="67"/>
    </row>
    <row r="2383" spans="1:14" x14ac:dyDescent="0.35">
      <c r="A2383" s="61">
        <v>2379</v>
      </c>
      <c r="B2383" s="2"/>
      <c r="C2383" s="2"/>
      <c r="D2383" s="2"/>
      <c r="E2383" s="10"/>
      <c r="F2383" s="11"/>
      <c r="G2383" s="2"/>
      <c r="H2383" s="2"/>
      <c r="I2383" s="2"/>
      <c r="J2383" s="2"/>
      <c r="K2383" s="12"/>
      <c r="L2383" s="2"/>
      <c r="M2383" s="2"/>
      <c r="N2383" s="67"/>
    </row>
    <row r="2384" spans="1:14" x14ac:dyDescent="0.35">
      <c r="A2384" s="61">
        <v>2380</v>
      </c>
      <c r="B2384" s="2"/>
      <c r="C2384" s="2"/>
      <c r="D2384" s="2"/>
      <c r="E2384" s="10"/>
      <c r="F2384" s="11"/>
      <c r="G2384" s="2"/>
      <c r="H2384" s="2"/>
      <c r="I2384" s="2"/>
      <c r="J2384" s="2"/>
      <c r="K2384" s="12"/>
      <c r="L2384" s="2"/>
      <c r="M2384" s="2"/>
      <c r="N2384" s="67"/>
    </row>
    <row r="2385" spans="1:14" x14ac:dyDescent="0.35">
      <c r="A2385" s="61">
        <v>2381</v>
      </c>
      <c r="B2385" s="2"/>
      <c r="C2385" s="2"/>
      <c r="D2385" s="2"/>
      <c r="E2385" s="10"/>
      <c r="F2385" s="11"/>
      <c r="G2385" s="2"/>
      <c r="H2385" s="2"/>
      <c r="I2385" s="2"/>
      <c r="J2385" s="2"/>
      <c r="K2385" s="12"/>
      <c r="L2385" s="2"/>
      <c r="M2385" s="2"/>
      <c r="N2385" s="67"/>
    </row>
    <row r="2386" spans="1:14" x14ac:dyDescent="0.35">
      <c r="A2386" s="61">
        <v>2382</v>
      </c>
      <c r="B2386" s="2"/>
      <c r="C2386" s="2"/>
      <c r="D2386" s="2"/>
      <c r="E2386" s="10"/>
      <c r="F2386" s="11"/>
      <c r="G2386" s="2"/>
      <c r="H2386" s="2"/>
      <c r="I2386" s="2"/>
      <c r="J2386" s="2"/>
      <c r="K2386" s="12"/>
      <c r="L2386" s="2"/>
      <c r="M2386" s="2"/>
      <c r="N2386" s="67"/>
    </row>
    <row r="2387" spans="1:14" x14ac:dyDescent="0.35">
      <c r="A2387" s="61">
        <v>2383</v>
      </c>
      <c r="B2387" s="2"/>
      <c r="C2387" s="2"/>
      <c r="D2387" s="2"/>
      <c r="E2387" s="10"/>
      <c r="F2387" s="11"/>
      <c r="G2387" s="2"/>
      <c r="H2387" s="2"/>
      <c r="I2387" s="2"/>
      <c r="J2387" s="2"/>
      <c r="K2387" s="12"/>
      <c r="L2387" s="2"/>
      <c r="M2387" s="2"/>
      <c r="N2387" s="67"/>
    </row>
    <row r="2388" spans="1:14" x14ac:dyDescent="0.35">
      <c r="A2388" s="61">
        <v>2384</v>
      </c>
      <c r="B2388" s="2"/>
      <c r="C2388" s="2"/>
      <c r="D2388" s="2"/>
      <c r="E2388" s="10"/>
      <c r="F2388" s="11"/>
      <c r="G2388" s="2"/>
      <c r="H2388" s="2"/>
      <c r="I2388" s="2"/>
      <c r="J2388" s="2"/>
      <c r="K2388" s="12"/>
      <c r="L2388" s="2"/>
      <c r="M2388" s="2"/>
      <c r="N2388" s="67"/>
    </row>
    <row r="2389" spans="1:14" x14ac:dyDescent="0.35">
      <c r="A2389" s="61">
        <v>2385</v>
      </c>
      <c r="B2389" s="2"/>
      <c r="C2389" s="2"/>
      <c r="D2389" s="2"/>
      <c r="E2389" s="10"/>
      <c r="F2389" s="11"/>
      <c r="G2389" s="2"/>
      <c r="H2389" s="2"/>
      <c r="I2389" s="2"/>
      <c r="J2389" s="2"/>
      <c r="K2389" s="12"/>
      <c r="L2389" s="2"/>
      <c r="M2389" s="2"/>
      <c r="N2389" s="67"/>
    </row>
    <row r="2390" spans="1:14" x14ac:dyDescent="0.35">
      <c r="A2390" s="61">
        <v>2386</v>
      </c>
      <c r="B2390" s="2"/>
      <c r="C2390" s="2"/>
      <c r="D2390" s="2"/>
      <c r="E2390" s="10"/>
      <c r="F2390" s="11"/>
      <c r="G2390" s="2"/>
      <c r="H2390" s="2"/>
      <c r="I2390" s="2"/>
      <c r="J2390" s="2"/>
      <c r="K2390" s="12"/>
      <c r="L2390" s="2"/>
      <c r="M2390" s="2"/>
      <c r="N2390" s="67"/>
    </row>
    <row r="2391" spans="1:14" x14ac:dyDescent="0.35">
      <c r="A2391" s="61">
        <v>2387</v>
      </c>
      <c r="B2391" s="2"/>
      <c r="C2391" s="2"/>
      <c r="D2391" s="2"/>
      <c r="E2391" s="10"/>
      <c r="F2391" s="11"/>
      <c r="G2391" s="2"/>
      <c r="H2391" s="2"/>
      <c r="I2391" s="2"/>
      <c r="J2391" s="2"/>
      <c r="K2391" s="12"/>
      <c r="L2391" s="2"/>
      <c r="M2391" s="2"/>
      <c r="N2391" s="67"/>
    </row>
    <row r="2392" spans="1:14" x14ac:dyDescent="0.35">
      <c r="A2392" s="61">
        <v>2388</v>
      </c>
      <c r="B2392" s="2"/>
      <c r="C2392" s="2"/>
      <c r="D2392" s="2"/>
      <c r="E2392" s="10"/>
      <c r="F2392" s="11"/>
      <c r="G2392" s="2"/>
      <c r="H2392" s="2"/>
      <c r="I2392" s="2"/>
      <c r="J2392" s="2"/>
      <c r="K2392" s="12"/>
      <c r="L2392" s="2"/>
      <c r="M2392" s="2"/>
      <c r="N2392" s="67"/>
    </row>
    <row r="2393" spans="1:14" x14ac:dyDescent="0.35">
      <c r="A2393" s="61">
        <v>2389</v>
      </c>
      <c r="B2393" s="2"/>
      <c r="C2393" s="2"/>
      <c r="D2393" s="2"/>
      <c r="E2393" s="10"/>
      <c r="F2393" s="11"/>
      <c r="G2393" s="2"/>
      <c r="H2393" s="2"/>
      <c r="I2393" s="2"/>
      <c r="J2393" s="2"/>
      <c r="K2393" s="12"/>
      <c r="L2393" s="2"/>
      <c r="M2393" s="2"/>
      <c r="N2393" s="67"/>
    </row>
    <row r="2394" spans="1:14" x14ac:dyDescent="0.35">
      <c r="A2394" s="61">
        <v>2390</v>
      </c>
      <c r="B2394" s="2"/>
      <c r="C2394" s="2"/>
      <c r="D2394" s="2"/>
      <c r="E2394" s="10"/>
      <c r="F2394" s="11"/>
      <c r="G2394" s="2"/>
      <c r="H2394" s="2"/>
      <c r="I2394" s="2"/>
      <c r="J2394" s="2"/>
      <c r="K2394" s="12"/>
      <c r="L2394" s="2"/>
      <c r="M2394" s="2"/>
      <c r="N2394" s="67"/>
    </row>
    <row r="2395" spans="1:14" x14ac:dyDescent="0.35">
      <c r="A2395" s="61">
        <v>2391</v>
      </c>
      <c r="B2395" s="2"/>
      <c r="C2395" s="2"/>
      <c r="D2395" s="2"/>
      <c r="E2395" s="10"/>
      <c r="F2395" s="11"/>
      <c r="G2395" s="2"/>
      <c r="H2395" s="2"/>
      <c r="I2395" s="2"/>
      <c r="J2395" s="2"/>
      <c r="K2395" s="12"/>
      <c r="L2395" s="2"/>
      <c r="M2395" s="2"/>
      <c r="N2395" s="67"/>
    </row>
    <row r="2396" spans="1:14" x14ac:dyDescent="0.35">
      <c r="A2396" s="61">
        <v>2392</v>
      </c>
      <c r="B2396" s="2"/>
      <c r="C2396" s="2"/>
      <c r="D2396" s="2"/>
      <c r="E2396" s="10"/>
      <c r="F2396" s="11"/>
      <c r="G2396" s="2"/>
      <c r="H2396" s="2"/>
      <c r="I2396" s="2"/>
      <c r="J2396" s="2"/>
      <c r="K2396" s="12"/>
      <c r="L2396" s="2"/>
      <c r="M2396" s="2"/>
      <c r="N2396" s="67"/>
    </row>
    <row r="2397" spans="1:14" x14ac:dyDescent="0.35">
      <c r="A2397" s="61">
        <v>2393</v>
      </c>
      <c r="B2397" s="2"/>
      <c r="C2397" s="2"/>
      <c r="D2397" s="2"/>
      <c r="E2397" s="10"/>
      <c r="F2397" s="11"/>
      <c r="G2397" s="2"/>
      <c r="H2397" s="2"/>
      <c r="I2397" s="2"/>
      <c r="J2397" s="2"/>
      <c r="K2397" s="12"/>
      <c r="L2397" s="2"/>
      <c r="M2397" s="2"/>
      <c r="N2397" s="67"/>
    </row>
    <row r="2398" spans="1:14" x14ac:dyDescent="0.35">
      <c r="A2398" s="61">
        <v>2394</v>
      </c>
      <c r="B2398" s="2"/>
      <c r="C2398" s="2"/>
      <c r="D2398" s="2"/>
      <c r="E2398" s="10"/>
      <c r="F2398" s="11"/>
      <c r="G2398" s="2"/>
      <c r="H2398" s="2"/>
      <c r="I2398" s="2"/>
      <c r="J2398" s="2"/>
      <c r="K2398" s="12"/>
      <c r="L2398" s="2"/>
      <c r="M2398" s="2"/>
      <c r="N2398" s="67"/>
    </row>
    <row r="2399" spans="1:14" x14ac:dyDescent="0.35">
      <c r="A2399" s="61">
        <v>2395</v>
      </c>
      <c r="B2399" s="2"/>
      <c r="C2399" s="2"/>
      <c r="D2399" s="2"/>
      <c r="E2399" s="10"/>
      <c r="F2399" s="11"/>
      <c r="G2399" s="2"/>
      <c r="H2399" s="2"/>
      <c r="I2399" s="2"/>
      <c r="J2399" s="2"/>
      <c r="K2399" s="12"/>
      <c r="L2399" s="2"/>
      <c r="M2399" s="2"/>
      <c r="N2399" s="67"/>
    </row>
    <row r="2400" spans="1:14" x14ac:dyDescent="0.35">
      <c r="A2400" s="61">
        <v>2396</v>
      </c>
      <c r="B2400" s="2"/>
      <c r="C2400" s="2"/>
      <c r="D2400" s="2"/>
      <c r="E2400" s="10"/>
      <c r="F2400" s="11"/>
      <c r="G2400" s="2"/>
      <c r="H2400" s="2"/>
      <c r="I2400" s="2"/>
      <c r="J2400" s="2"/>
      <c r="K2400" s="12"/>
      <c r="L2400" s="2"/>
      <c r="M2400" s="2"/>
      <c r="N2400" s="67"/>
    </row>
    <row r="2401" spans="1:14" x14ac:dyDescent="0.35">
      <c r="A2401" s="61">
        <v>2397</v>
      </c>
      <c r="B2401" s="2"/>
      <c r="C2401" s="2"/>
      <c r="D2401" s="2"/>
      <c r="E2401" s="10"/>
      <c r="F2401" s="11"/>
      <c r="G2401" s="2"/>
      <c r="H2401" s="2"/>
      <c r="I2401" s="2"/>
      <c r="J2401" s="2"/>
      <c r="K2401" s="12"/>
      <c r="L2401" s="2"/>
      <c r="M2401" s="2"/>
      <c r="N2401" s="67"/>
    </row>
    <row r="2402" spans="1:14" x14ac:dyDescent="0.35">
      <c r="A2402" s="61">
        <v>2398</v>
      </c>
      <c r="B2402" s="2"/>
      <c r="C2402" s="2"/>
      <c r="D2402" s="2"/>
      <c r="E2402" s="10"/>
      <c r="F2402" s="11"/>
      <c r="G2402" s="2"/>
      <c r="H2402" s="2"/>
      <c r="I2402" s="2"/>
      <c r="J2402" s="2"/>
      <c r="K2402" s="12"/>
      <c r="L2402" s="2"/>
      <c r="M2402" s="2"/>
      <c r="N2402" s="67"/>
    </row>
    <row r="2403" spans="1:14" x14ac:dyDescent="0.35">
      <c r="A2403" s="61">
        <v>2399</v>
      </c>
      <c r="B2403" s="2"/>
      <c r="C2403" s="2"/>
      <c r="D2403" s="2"/>
      <c r="E2403" s="10"/>
      <c r="F2403" s="11"/>
      <c r="G2403" s="2"/>
      <c r="H2403" s="2"/>
      <c r="I2403" s="2"/>
      <c r="J2403" s="2"/>
      <c r="K2403" s="12"/>
      <c r="L2403" s="2"/>
      <c r="M2403" s="2"/>
      <c r="N2403" s="67"/>
    </row>
    <row r="2404" spans="1:14" x14ac:dyDescent="0.35">
      <c r="A2404" s="61">
        <v>2400</v>
      </c>
      <c r="B2404" s="2"/>
      <c r="C2404" s="2"/>
      <c r="D2404" s="2"/>
      <c r="E2404" s="10"/>
      <c r="F2404" s="11"/>
      <c r="G2404" s="2"/>
      <c r="H2404" s="2"/>
      <c r="I2404" s="2"/>
      <c r="J2404" s="2"/>
      <c r="K2404" s="12"/>
      <c r="L2404" s="2"/>
      <c r="M2404" s="2"/>
      <c r="N2404" s="67"/>
    </row>
    <row r="2405" spans="1:14" x14ac:dyDescent="0.35">
      <c r="A2405" s="61">
        <v>2401</v>
      </c>
      <c r="B2405" s="2"/>
      <c r="C2405" s="2"/>
      <c r="D2405" s="2"/>
      <c r="E2405" s="10"/>
      <c r="F2405" s="11"/>
      <c r="G2405" s="2"/>
      <c r="H2405" s="2"/>
      <c r="I2405" s="2"/>
      <c r="J2405" s="2"/>
      <c r="K2405" s="12"/>
      <c r="L2405" s="2"/>
      <c r="M2405" s="2"/>
      <c r="N2405" s="67"/>
    </row>
    <row r="2406" spans="1:14" x14ac:dyDescent="0.35">
      <c r="A2406" s="61">
        <v>2402</v>
      </c>
      <c r="B2406" s="2"/>
      <c r="C2406" s="2"/>
      <c r="D2406" s="2"/>
      <c r="E2406" s="10"/>
      <c r="F2406" s="11"/>
      <c r="G2406" s="2"/>
      <c r="H2406" s="2"/>
      <c r="I2406" s="2"/>
      <c r="J2406" s="2"/>
      <c r="K2406" s="12"/>
      <c r="L2406" s="2"/>
      <c r="M2406" s="2"/>
      <c r="N2406" s="67"/>
    </row>
    <row r="2407" spans="1:14" x14ac:dyDescent="0.35">
      <c r="A2407" s="61">
        <v>2403</v>
      </c>
      <c r="B2407" s="2"/>
      <c r="C2407" s="2"/>
      <c r="D2407" s="2"/>
      <c r="E2407" s="10"/>
      <c r="F2407" s="11"/>
      <c r="G2407" s="2"/>
      <c r="H2407" s="2"/>
      <c r="I2407" s="2"/>
      <c r="J2407" s="2"/>
      <c r="K2407" s="12"/>
      <c r="L2407" s="2"/>
      <c r="M2407" s="2"/>
      <c r="N2407" s="67"/>
    </row>
    <row r="2408" spans="1:14" x14ac:dyDescent="0.35">
      <c r="A2408" s="61">
        <v>2404</v>
      </c>
      <c r="B2408" s="2"/>
      <c r="C2408" s="2"/>
      <c r="D2408" s="2"/>
      <c r="E2408" s="10"/>
      <c r="F2408" s="11"/>
      <c r="G2408" s="2"/>
      <c r="H2408" s="2"/>
      <c r="I2408" s="2"/>
      <c r="J2408" s="2"/>
      <c r="K2408" s="12"/>
      <c r="L2408" s="2"/>
      <c r="M2408" s="2"/>
      <c r="N2408" s="67"/>
    </row>
    <row r="2409" spans="1:14" x14ac:dyDescent="0.35">
      <c r="A2409" s="61">
        <v>2405</v>
      </c>
      <c r="B2409" s="2"/>
      <c r="C2409" s="2"/>
      <c r="D2409" s="2"/>
      <c r="E2409" s="10"/>
      <c r="F2409" s="11"/>
      <c r="G2409" s="2"/>
      <c r="H2409" s="2"/>
      <c r="I2409" s="2"/>
      <c r="J2409" s="2"/>
      <c r="K2409" s="12"/>
      <c r="L2409" s="2"/>
      <c r="M2409" s="2"/>
      <c r="N2409" s="67"/>
    </row>
    <row r="2410" spans="1:14" x14ac:dyDescent="0.35">
      <c r="A2410" s="61">
        <v>2406</v>
      </c>
      <c r="B2410" s="2"/>
      <c r="C2410" s="2"/>
      <c r="D2410" s="2"/>
      <c r="E2410" s="10"/>
      <c r="F2410" s="11"/>
      <c r="G2410" s="2"/>
      <c r="H2410" s="2"/>
      <c r="I2410" s="2"/>
      <c r="J2410" s="2"/>
      <c r="K2410" s="12"/>
      <c r="L2410" s="2"/>
      <c r="M2410" s="2"/>
      <c r="N2410" s="67"/>
    </row>
    <row r="2411" spans="1:14" x14ac:dyDescent="0.35">
      <c r="A2411" s="61">
        <v>2407</v>
      </c>
      <c r="B2411" s="2"/>
      <c r="C2411" s="2"/>
      <c r="D2411" s="2"/>
      <c r="E2411" s="10"/>
      <c r="F2411" s="11"/>
      <c r="G2411" s="2"/>
      <c r="H2411" s="2"/>
      <c r="I2411" s="2"/>
      <c r="J2411" s="2"/>
      <c r="K2411" s="12"/>
      <c r="L2411" s="2"/>
      <c r="M2411" s="2"/>
      <c r="N2411" s="67"/>
    </row>
    <row r="2412" spans="1:14" x14ac:dyDescent="0.35">
      <c r="A2412" s="61">
        <v>2408</v>
      </c>
      <c r="B2412" s="2"/>
      <c r="C2412" s="2"/>
      <c r="D2412" s="2"/>
      <c r="E2412" s="10"/>
      <c r="F2412" s="11"/>
      <c r="G2412" s="2"/>
      <c r="H2412" s="2"/>
      <c r="I2412" s="2"/>
      <c r="J2412" s="2"/>
      <c r="K2412" s="12"/>
      <c r="L2412" s="2"/>
      <c r="M2412" s="2"/>
      <c r="N2412" s="67"/>
    </row>
    <row r="2413" spans="1:14" x14ac:dyDescent="0.35">
      <c r="A2413" s="61">
        <v>2409</v>
      </c>
      <c r="B2413" s="2"/>
      <c r="C2413" s="2"/>
      <c r="D2413" s="2"/>
      <c r="E2413" s="10"/>
      <c r="F2413" s="11"/>
      <c r="G2413" s="2"/>
      <c r="H2413" s="2"/>
      <c r="I2413" s="2"/>
      <c r="J2413" s="2"/>
      <c r="K2413" s="12"/>
      <c r="L2413" s="2"/>
      <c r="M2413" s="2"/>
      <c r="N2413" s="67"/>
    </row>
    <row r="2414" spans="1:14" x14ac:dyDescent="0.35">
      <c r="A2414" s="61">
        <v>2410</v>
      </c>
      <c r="B2414" s="2"/>
      <c r="C2414" s="2"/>
      <c r="D2414" s="2"/>
      <c r="E2414" s="10"/>
      <c r="F2414" s="11"/>
      <c r="G2414" s="2"/>
      <c r="H2414" s="2"/>
      <c r="I2414" s="2"/>
      <c r="J2414" s="2"/>
      <c r="K2414" s="12"/>
      <c r="L2414" s="2"/>
      <c r="M2414" s="2"/>
      <c r="N2414" s="67"/>
    </row>
    <row r="2415" spans="1:14" x14ac:dyDescent="0.35">
      <c r="A2415" s="61">
        <v>2411</v>
      </c>
      <c r="B2415" s="2"/>
      <c r="C2415" s="2"/>
      <c r="D2415" s="2"/>
      <c r="E2415" s="10"/>
      <c r="F2415" s="11"/>
      <c r="G2415" s="2"/>
      <c r="H2415" s="2"/>
      <c r="I2415" s="2"/>
      <c r="J2415" s="2"/>
      <c r="K2415" s="12"/>
      <c r="L2415" s="2"/>
      <c r="M2415" s="2"/>
      <c r="N2415" s="67"/>
    </row>
    <row r="2416" spans="1:14" x14ac:dyDescent="0.35">
      <c r="A2416" s="61">
        <v>2412</v>
      </c>
      <c r="B2416" s="2"/>
      <c r="C2416" s="2"/>
      <c r="D2416" s="2"/>
      <c r="E2416" s="10"/>
      <c r="F2416" s="11"/>
      <c r="G2416" s="2"/>
      <c r="H2416" s="2"/>
      <c r="I2416" s="2"/>
      <c r="J2416" s="2"/>
      <c r="K2416" s="12"/>
      <c r="L2416" s="2"/>
      <c r="M2416" s="2"/>
      <c r="N2416" s="67"/>
    </row>
    <row r="2417" spans="1:14" x14ac:dyDescent="0.35">
      <c r="A2417" s="61">
        <v>2413</v>
      </c>
      <c r="B2417" s="2"/>
      <c r="C2417" s="2"/>
      <c r="D2417" s="2"/>
      <c r="E2417" s="10"/>
      <c r="F2417" s="11"/>
      <c r="G2417" s="2"/>
      <c r="H2417" s="2"/>
      <c r="I2417" s="2"/>
      <c r="J2417" s="2"/>
      <c r="K2417" s="12"/>
      <c r="L2417" s="2"/>
      <c r="M2417" s="2"/>
      <c r="N2417" s="67"/>
    </row>
    <row r="2418" spans="1:14" x14ac:dyDescent="0.35">
      <c r="A2418" s="61">
        <v>2414</v>
      </c>
      <c r="B2418" s="2"/>
      <c r="C2418" s="2"/>
      <c r="D2418" s="2"/>
      <c r="E2418" s="10"/>
      <c r="F2418" s="11"/>
      <c r="G2418" s="2"/>
      <c r="H2418" s="2"/>
      <c r="I2418" s="2"/>
      <c r="J2418" s="2"/>
      <c r="K2418" s="12"/>
      <c r="L2418" s="2"/>
      <c r="M2418" s="2"/>
      <c r="N2418" s="67"/>
    </row>
    <row r="2419" spans="1:14" x14ac:dyDescent="0.35">
      <c r="A2419" s="61">
        <v>2415</v>
      </c>
      <c r="B2419" s="2"/>
      <c r="C2419" s="2"/>
      <c r="D2419" s="2"/>
      <c r="E2419" s="10"/>
      <c r="F2419" s="11"/>
      <c r="G2419" s="2"/>
      <c r="H2419" s="2"/>
      <c r="I2419" s="2"/>
      <c r="J2419" s="2"/>
      <c r="K2419" s="12"/>
      <c r="L2419" s="2"/>
      <c r="M2419" s="2"/>
      <c r="N2419" s="67"/>
    </row>
    <row r="2420" spans="1:14" x14ac:dyDescent="0.35">
      <c r="A2420" s="61">
        <v>2416</v>
      </c>
      <c r="B2420" s="2"/>
      <c r="C2420" s="2"/>
      <c r="D2420" s="2"/>
      <c r="E2420" s="10"/>
      <c r="F2420" s="11"/>
      <c r="G2420" s="2"/>
      <c r="H2420" s="2"/>
      <c r="I2420" s="2"/>
      <c r="J2420" s="2"/>
      <c r="K2420" s="12"/>
      <c r="L2420" s="2"/>
      <c r="M2420" s="2"/>
      <c r="N2420" s="67"/>
    </row>
    <row r="2421" spans="1:14" x14ac:dyDescent="0.35">
      <c r="A2421" s="61">
        <v>2417</v>
      </c>
      <c r="B2421" s="2"/>
      <c r="C2421" s="2"/>
      <c r="D2421" s="2"/>
      <c r="E2421" s="10"/>
      <c r="F2421" s="11"/>
      <c r="G2421" s="2"/>
      <c r="H2421" s="2"/>
      <c r="I2421" s="2"/>
      <c r="J2421" s="2"/>
      <c r="K2421" s="12"/>
      <c r="L2421" s="2"/>
      <c r="M2421" s="2"/>
      <c r="N2421" s="67"/>
    </row>
    <row r="2422" spans="1:14" x14ac:dyDescent="0.35">
      <c r="A2422" s="61">
        <v>2418</v>
      </c>
      <c r="B2422" s="2"/>
      <c r="C2422" s="2"/>
      <c r="D2422" s="2"/>
      <c r="E2422" s="10"/>
      <c r="F2422" s="11"/>
      <c r="G2422" s="2"/>
      <c r="H2422" s="2"/>
      <c r="I2422" s="2"/>
      <c r="J2422" s="2"/>
      <c r="K2422" s="12"/>
      <c r="L2422" s="2"/>
      <c r="M2422" s="2"/>
      <c r="N2422" s="67"/>
    </row>
    <row r="2423" spans="1:14" x14ac:dyDescent="0.35">
      <c r="A2423" s="61">
        <v>2419</v>
      </c>
      <c r="B2423" s="2"/>
      <c r="C2423" s="2"/>
      <c r="D2423" s="2"/>
      <c r="E2423" s="10"/>
      <c r="F2423" s="11"/>
      <c r="G2423" s="2"/>
      <c r="H2423" s="2"/>
      <c r="I2423" s="2"/>
      <c r="J2423" s="2"/>
      <c r="K2423" s="12"/>
      <c r="L2423" s="2"/>
      <c r="M2423" s="2"/>
      <c r="N2423" s="67"/>
    </row>
    <row r="2424" spans="1:14" x14ac:dyDescent="0.35">
      <c r="A2424" s="61">
        <v>2420</v>
      </c>
      <c r="B2424" s="2"/>
      <c r="C2424" s="2"/>
      <c r="D2424" s="2"/>
      <c r="E2424" s="10"/>
      <c r="F2424" s="11"/>
      <c r="G2424" s="2"/>
      <c r="H2424" s="2"/>
      <c r="I2424" s="2"/>
      <c r="J2424" s="2"/>
      <c r="K2424" s="12"/>
      <c r="L2424" s="2"/>
      <c r="M2424" s="2"/>
      <c r="N2424" s="67"/>
    </row>
    <row r="2425" spans="1:14" x14ac:dyDescent="0.35">
      <c r="A2425" s="61">
        <v>2421</v>
      </c>
      <c r="B2425" s="2"/>
      <c r="C2425" s="2"/>
      <c r="D2425" s="2"/>
      <c r="E2425" s="10"/>
      <c r="F2425" s="11"/>
      <c r="G2425" s="2"/>
      <c r="H2425" s="2"/>
      <c r="I2425" s="2"/>
      <c r="J2425" s="2"/>
      <c r="K2425" s="12"/>
      <c r="L2425" s="2"/>
      <c r="M2425" s="2"/>
      <c r="N2425" s="67"/>
    </row>
    <row r="2426" spans="1:14" x14ac:dyDescent="0.35">
      <c r="A2426" s="61">
        <v>2422</v>
      </c>
      <c r="B2426" s="2"/>
      <c r="C2426" s="2"/>
      <c r="D2426" s="2"/>
      <c r="E2426" s="10"/>
      <c r="F2426" s="11"/>
      <c r="G2426" s="2"/>
      <c r="H2426" s="2"/>
      <c r="I2426" s="2"/>
      <c r="J2426" s="2"/>
      <c r="K2426" s="12"/>
      <c r="L2426" s="2"/>
      <c r="M2426" s="2"/>
      <c r="N2426" s="67"/>
    </row>
    <row r="2427" spans="1:14" x14ac:dyDescent="0.35">
      <c r="A2427" s="61">
        <v>2423</v>
      </c>
      <c r="B2427" s="2"/>
      <c r="C2427" s="2"/>
      <c r="D2427" s="2"/>
      <c r="E2427" s="10"/>
      <c r="F2427" s="11"/>
      <c r="G2427" s="2"/>
      <c r="H2427" s="2"/>
      <c r="I2427" s="2"/>
      <c r="J2427" s="2"/>
      <c r="K2427" s="12"/>
      <c r="L2427" s="2"/>
      <c r="M2427" s="2"/>
      <c r="N2427" s="67"/>
    </row>
    <row r="2428" spans="1:14" x14ac:dyDescent="0.35">
      <c r="A2428" s="61">
        <v>2424</v>
      </c>
      <c r="B2428" s="2"/>
      <c r="C2428" s="2"/>
      <c r="D2428" s="2"/>
      <c r="E2428" s="10"/>
      <c r="F2428" s="11"/>
      <c r="G2428" s="2"/>
      <c r="H2428" s="2"/>
      <c r="I2428" s="2"/>
      <c r="J2428" s="2"/>
      <c r="K2428" s="12"/>
      <c r="L2428" s="2"/>
      <c r="M2428" s="2"/>
      <c r="N2428" s="67"/>
    </row>
    <row r="2429" spans="1:14" x14ac:dyDescent="0.35">
      <c r="A2429" s="61">
        <v>2425</v>
      </c>
      <c r="B2429" s="2"/>
      <c r="C2429" s="2"/>
      <c r="D2429" s="2"/>
      <c r="E2429" s="10"/>
      <c r="F2429" s="11"/>
      <c r="G2429" s="2"/>
      <c r="H2429" s="2"/>
      <c r="I2429" s="2"/>
      <c r="J2429" s="2"/>
      <c r="K2429" s="12"/>
      <c r="L2429" s="2"/>
      <c r="M2429" s="2"/>
      <c r="N2429" s="67"/>
    </row>
    <row r="2430" spans="1:14" x14ac:dyDescent="0.35">
      <c r="A2430" s="61">
        <v>2426</v>
      </c>
      <c r="B2430" s="2"/>
      <c r="C2430" s="2"/>
      <c r="D2430" s="2"/>
      <c r="E2430" s="10"/>
      <c r="F2430" s="11"/>
      <c r="G2430" s="2"/>
      <c r="H2430" s="2"/>
      <c r="I2430" s="2"/>
      <c r="J2430" s="2"/>
      <c r="K2430" s="12"/>
      <c r="L2430" s="2"/>
      <c r="M2430" s="2"/>
      <c r="N2430" s="67"/>
    </row>
    <row r="2431" spans="1:14" x14ac:dyDescent="0.35">
      <c r="A2431" s="61">
        <v>2427</v>
      </c>
      <c r="B2431" s="2"/>
      <c r="C2431" s="2"/>
      <c r="D2431" s="2"/>
      <c r="E2431" s="10"/>
      <c r="F2431" s="11"/>
      <c r="G2431" s="2"/>
      <c r="H2431" s="2"/>
      <c r="I2431" s="2"/>
      <c r="J2431" s="2"/>
      <c r="K2431" s="12"/>
      <c r="L2431" s="2"/>
      <c r="M2431" s="2"/>
      <c r="N2431" s="67"/>
    </row>
    <row r="2432" spans="1:14" x14ac:dyDescent="0.35">
      <c r="A2432" s="61">
        <v>2428</v>
      </c>
      <c r="B2432" s="2"/>
      <c r="C2432" s="2"/>
      <c r="D2432" s="2"/>
      <c r="E2432" s="10"/>
      <c r="F2432" s="11"/>
      <c r="G2432" s="2"/>
      <c r="H2432" s="2"/>
      <c r="I2432" s="2"/>
      <c r="J2432" s="2"/>
      <c r="K2432" s="12"/>
      <c r="L2432" s="2"/>
      <c r="M2432" s="2"/>
      <c r="N2432" s="67"/>
    </row>
    <row r="2433" spans="1:14" x14ac:dyDescent="0.35">
      <c r="A2433" s="61">
        <v>2429</v>
      </c>
      <c r="B2433" s="2"/>
      <c r="C2433" s="2"/>
      <c r="D2433" s="2"/>
      <c r="E2433" s="10"/>
      <c r="F2433" s="11"/>
      <c r="G2433" s="2"/>
      <c r="H2433" s="2"/>
      <c r="I2433" s="2"/>
      <c r="J2433" s="2"/>
      <c r="K2433" s="12"/>
      <c r="L2433" s="2"/>
      <c r="M2433" s="2"/>
      <c r="N2433" s="67"/>
    </row>
    <row r="2434" spans="1:14" x14ac:dyDescent="0.35">
      <c r="A2434" s="61">
        <v>2430</v>
      </c>
      <c r="B2434" s="2"/>
      <c r="C2434" s="2"/>
      <c r="D2434" s="2"/>
      <c r="E2434" s="10"/>
      <c r="F2434" s="11"/>
      <c r="G2434" s="2"/>
      <c r="H2434" s="2"/>
      <c r="I2434" s="2"/>
      <c r="J2434" s="2"/>
      <c r="K2434" s="12"/>
      <c r="L2434" s="2"/>
      <c r="M2434" s="2"/>
      <c r="N2434" s="67"/>
    </row>
    <row r="2435" spans="1:14" x14ac:dyDescent="0.35">
      <c r="A2435" s="61">
        <v>2431</v>
      </c>
      <c r="B2435" s="2"/>
      <c r="C2435" s="2"/>
      <c r="D2435" s="2"/>
      <c r="E2435" s="10"/>
      <c r="F2435" s="11"/>
      <c r="G2435" s="2"/>
      <c r="H2435" s="2"/>
      <c r="I2435" s="2"/>
      <c r="J2435" s="2"/>
      <c r="K2435" s="12"/>
      <c r="L2435" s="2"/>
      <c r="M2435" s="2"/>
      <c r="N2435" s="67"/>
    </row>
    <row r="2436" spans="1:14" x14ac:dyDescent="0.35">
      <c r="A2436" s="61">
        <v>2432</v>
      </c>
      <c r="B2436" s="2"/>
      <c r="C2436" s="2"/>
      <c r="D2436" s="2"/>
      <c r="E2436" s="10"/>
      <c r="F2436" s="11"/>
      <c r="G2436" s="2"/>
      <c r="H2436" s="2"/>
      <c r="I2436" s="2"/>
      <c r="J2436" s="2"/>
      <c r="K2436" s="12"/>
      <c r="L2436" s="2"/>
      <c r="M2436" s="2"/>
      <c r="N2436" s="67"/>
    </row>
    <row r="2437" spans="1:14" x14ac:dyDescent="0.35">
      <c r="A2437" s="61">
        <v>2433</v>
      </c>
      <c r="B2437" s="2"/>
      <c r="C2437" s="2"/>
      <c r="D2437" s="2"/>
      <c r="E2437" s="10"/>
      <c r="F2437" s="11"/>
      <c r="G2437" s="2"/>
      <c r="H2437" s="2"/>
      <c r="I2437" s="2"/>
      <c r="J2437" s="2"/>
      <c r="K2437" s="12"/>
      <c r="L2437" s="2"/>
      <c r="M2437" s="2"/>
      <c r="N2437" s="67"/>
    </row>
    <row r="2438" spans="1:14" x14ac:dyDescent="0.35">
      <c r="A2438" s="61">
        <v>2434</v>
      </c>
      <c r="B2438" s="2"/>
      <c r="C2438" s="2"/>
      <c r="D2438" s="2"/>
      <c r="E2438" s="10"/>
      <c r="F2438" s="11"/>
      <c r="G2438" s="2"/>
      <c r="H2438" s="2"/>
      <c r="I2438" s="2"/>
      <c r="J2438" s="2"/>
      <c r="K2438" s="12"/>
      <c r="L2438" s="2"/>
      <c r="M2438" s="2"/>
      <c r="N2438" s="67"/>
    </row>
    <row r="2439" spans="1:14" x14ac:dyDescent="0.35">
      <c r="A2439" s="61">
        <v>2435</v>
      </c>
      <c r="B2439" s="2"/>
      <c r="C2439" s="2"/>
      <c r="D2439" s="2"/>
      <c r="E2439" s="10"/>
      <c r="F2439" s="11"/>
      <c r="G2439" s="2"/>
      <c r="H2439" s="2"/>
      <c r="I2439" s="2"/>
      <c r="J2439" s="2"/>
      <c r="K2439" s="12"/>
      <c r="L2439" s="2"/>
      <c r="M2439" s="2"/>
      <c r="N2439" s="67"/>
    </row>
    <row r="2440" spans="1:14" x14ac:dyDescent="0.35">
      <c r="A2440" s="61">
        <v>2436</v>
      </c>
      <c r="B2440" s="2"/>
      <c r="C2440" s="2"/>
      <c r="D2440" s="2"/>
      <c r="E2440" s="10"/>
      <c r="F2440" s="11"/>
      <c r="G2440" s="2"/>
      <c r="H2440" s="2"/>
      <c r="I2440" s="2"/>
      <c r="J2440" s="2"/>
      <c r="K2440" s="12"/>
      <c r="L2440" s="2"/>
      <c r="M2440" s="2"/>
      <c r="N2440" s="67"/>
    </row>
    <row r="2441" spans="1:14" x14ac:dyDescent="0.35">
      <c r="A2441" s="61">
        <v>2437</v>
      </c>
      <c r="B2441" s="2"/>
      <c r="C2441" s="2"/>
      <c r="D2441" s="2"/>
      <c r="E2441" s="10"/>
      <c r="F2441" s="11"/>
      <c r="G2441" s="2"/>
      <c r="H2441" s="2"/>
      <c r="I2441" s="2"/>
      <c r="J2441" s="2"/>
      <c r="K2441" s="12"/>
      <c r="L2441" s="2"/>
      <c r="M2441" s="2"/>
      <c r="N2441" s="67"/>
    </row>
    <row r="2442" spans="1:14" x14ac:dyDescent="0.35">
      <c r="A2442" s="61">
        <v>2438</v>
      </c>
      <c r="B2442" s="2"/>
      <c r="C2442" s="2"/>
      <c r="D2442" s="2"/>
      <c r="E2442" s="10"/>
      <c r="F2442" s="11"/>
      <c r="G2442" s="2"/>
      <c r="H2442" s="2"/>
      <c r="I2442" s="2"/>
      <c r="J2442" s="2"/>
      <c r="K2442" s="12"/>
      <c r="L2442" s="2"/>
      <c r="M2442" s="2"/>
      <c r="N2442" s="67"/>
    </row>
    <row r="2443" spans="1:14" x14ac:dyDescent="0.35">
      <c r="A2443" s="61">
        <v>2439</v>
      </c>
      <c r="B2443" s="2"/>
      <c r="C2443" s="2"/>
      <c r="D2443" s="2"/>
      <c r="E2443" s="10"/>
      <c r="F2443" s="11"/>
      <c r="G2443" s="2"/>
      <c r="H2443" s="2"/>
      <c r="I2443" s="2"/>
      <c r="J2443" s="2"/>
      <c r="K2443" s="12"/>
      <c r="L2443" s="2"/>
      <c r="M2443" s="2"/>
      <c r="N2443" s="67"/>
    </row>
    <row r="2444" spans="1:14" x14ac:dyDescent="0.35">
      <c r="A2444" s="61">
        <v>2440</v>
      </c>
      <c r="B2444" s="2"/>
      <c r="C2444" s="2"/>
      <c r="D2444" s="2"/>
      <c r="E2444" s="10"/>
      <c r="F2444" s="11"/>
      <c r="G2444" s="2"/>
      <c r="H2444" s="2"/>
      <c r="I2444" s="2"/>
      <c r="J2444" s="2"/>
      <c r="K2444" s="12"/>
      <c r="L2444" s="2"/>
      <c r="M2444" s="2"/>
      <c r="N2444" s="67"/>
    </row>
    <row r="2445" spans="1:14" x14ac:dyDescent="0.35">
      <c r="A2445" s="61">
        <v>2441</v>
      </c>
      <c r="B2445" s="2"/>
      <c r="C2445" s="2"/>
      <c r="D2445" s="2"/>
      <c r="E2445" s="10"/>
      <c r="F2445" s="11"/>
      <c r="G2445" s="2"/>
      <c r="H2445" s="2"/>
      <c r="I2445" s="2"/>
      <c r="J2445" s="2"/>
      <c r="K2445" s="12"/>
      <c r="L2445" s="2"/>
      <c r="M2445" s="2"/>
      <c r="N2445" s="67"/>
    </row>
    <row r="2446" spans="1:14" x14ac:dyDescent="0.35">
      <c r="A2446" s="61">
        <v>2442</v>
      </c>
      <c r="B2446" s="2"/>
      <c r="C2446" s="2"/>
      <c r="D2446" s="2"/>
      <c r="E2446" s="10"/>
      <c r="F2446" s="11"/>
      <c r="G2446" s="2"/>
      <c r="H2446" s="2"/>
      <c r="I2446" s="2"/>
      <c r="J2446" s="2"/>
      <c r="K2446" s="12"/>
      <c r="L2446" s="2"/>
      <c r="M2446" s="2"/>
      <c r="N2446" s="67"/>
    </row>
    <row r="2447" spans="1:14" x14ac:dyDescent="0.35">
      <c r="A2447" s="61">
        <v>2443</v>
      </c>
      <c r="B2447" s="2"/>
      <c r="C2447" s="2"/>
      <c r="D2447" s="2"/>
      <c r="E2447" s="10"/>
      <c r="F2447" s="11"/>
      <c r="G2447" s="2"/>
      <c r="H2447" s="2"/>
      <c r="I2447" s="2"/>
      <c r="J2447" s="2"/>
      <c r="K2447" s="12"/>
      <c r="L2447" s="2"/>
      <c r="M2447" s="2"/>
      <c r="N2447" s="67"/>
    </row>
    <row r="2448" spans="1:14" x14ac:dyDescent="0.35">
      <c r="A2448" s="61">
        <v>2444</v>
      </c>
      <c r="B2448" s="2"/>
      <c r="C2448" s="2"/>
      <c r="D2448" s="2"/>
      <c r="E2448" s="10"/>
      <c r="F2448" s="11"/>
      <c r="G2448" s="2"/>
      <c r="H2448" s="2"/>
      <c r="I2448" s="2"/>
      <c r="J2448" s="2"/>
      <c r="K2448" s="12"/>
      <c r="L2448" s="2"/>
      <c r="M2448" s="2"/>
      <c r="N2448" s="67"/>
    </row>
    <row r="2449" spans="1:14" x14ac:dyDescent="0.35">
      <c r="A2449" s="61">
        <v>2445</v>
      </c>
      <c r="B2449" s="2"/>
      <c r="C2449" s="2"/>
      <c r="D2449" s="2"/>
      <c r="E2449" s="10"/>
      <c r="F2449" s="11"/>
      <c r="G2449" s="2"/>
      <c r="H2449" s="2"/>
      <c r="I2449" s="2"/>
      <c r="J2449" s="2"/>
      <c r="K2449" s="12"/>
      <c r="L2449" s="2"/>
      <c r="M2449" s="2"/>
      <c r="N2449" s="67"/>
    </row>
    <row r="2450" spans="1:14" x14ac:dyDescent="0.35">
      <c r="A2450" s="61">
        <v>2446</v>
      </c>
      <c r="B2450" s="2"/>
      <c r="C2450" s="2"/>
      <c r="D2450" s="2"/>
      <c r="E2450" s="10"/>
      <c r="F2450" s="11"/>
      <c r="G2450" s="2"/>
      <c r="H2450" s="2"/>
      <c r="I2450" s="2"/>
      <c r="J2450" s="2"/>
      <c r="K2450" s="12"/>
      <c r="L2450" s="2"/>
      <c r="M2450" s="2"/>
      <c r="N2450" s="67"/>
    </row>
    <row r="2451" spans="1:14" x14ac:dyDescent="0.35">
      <c r="A2451" s="61">
        <v>2447</v>
      </c>
      <c r="B2451" s="2"/>
      <c r="C2451" s="2"/>
      <c r="D2451" s="2"/>
      <c r="E2451" s="10"/>
      <c r="F2451" s="11"/>
      <c r="G2451" s="2"/>
      <c r="H2451" s="2"/>
      <c r="I2451" s="2"/>
      <c r="J2451" s="2"/>
      <c r="K2451" s="12"/>
      <c r="L2451" s="2"/>
      <c r="M2451" s="2"/>
      <c r="N2451" s="67"/>
    </row>
    <row r="2452" spans="1:14" x14ac:dyDescent="0.35">
      <c r="A2452" s="61">
        <v>2448</v>
      </c>
      <c r="B2452" s="2"/>
      <c r="C2452" s="2"/>
      <c r="D2452" s="2"/>
      <c r="E2452" s="10"/>
      <c r="F2452" s="11"/>
      <c r="G2452" s="2"/>
      <c r="H2452" s="2"/>
      <c r="I2452" s="2"/>
      <c r="J2452" s="2"/>
      <c r="K2452" s="12"/>
      <c r="L2452" s="2"/>
      <c r="M2452" s="2"/>
      <c r="N2452" s="67"/>
    </row>
    <row r="2453" spans="1:14" x14ac:dyDescent="0.35">
      <c r="A2453" s="61">
        <v>2449</v>
      </c>
      <c r="B2453" s="2"/>
      <c r="C2453" s="2"/>
      <c r="D2453" s="2"/>
      <c r="E2453" s="10"/>
      <c r="F2453" s="11"/>
      <c r="G2453" s="2"/>
      <c r="H2453" s="2"/>
      <c r="I2453" s="2"/>
      <c r="J2453" s="2"/>
      <c r="K2453" s="12"/>
      <c r="L2453" s="2"/>
      <c r="M2453" s="2"/>
      <c r="N2453" s="67"/>
    </row>
    <row r="2454" spans="1:14" x14ac:dyDescent="0.35">
      <c r="A2454" s="61">
        <v>2450</v>
      </c>
      <c r="B2454" s="2"/>
      <c r="C2454" s="2"/>
      <c r="D2454" s="2"/>
      <c r="E2454" s="10"/>
      <c r="F2454" s="11"/>
      <c r="G2454" s="2"/>
      <c r="H2454" s="2"/>
      <c r="I2454" s="2"/>
      <c r="J2454" s="2"/>
      <c r="K2454" s="12"/>
      <c r="L2454" s="2"/>
      <c r="M2454" s="2"/>
      <c r="N2454" s="67"/>
    </row>
    <row r="2455" spans="1:14" x14ac:dyDescent="0.35">
      <c r="A2455" s="61">
        <v>2451</v>
      </c>
      <c r="B2455" s="2"/>
      <c r="C2455" s="2"/>
      <c r="D2455" s="2"/>
      <c r="E2455" s="10"/>
      <c r="F2455" s="11"/>
      <c r="G2455" s="2"/>
      <c r="H2455" s="2"/>
      <c r="I2455" s="2"/>
      <c r="J2455" s="2"/>
      <c r="K2455" s="12"/>
      <c r="L2455" s="2"/>
      <c r="M2455" s="2"/>
      <c r="N2455" s="67"/>
    </row>
    <row r="2456" spans="1:14" x14ac:dyDescent="0.35">
      <c r="A2456" s="61">
        <v>2452</v>
      </c>
      <c r="B2456" s="2"/>
      <c r="C2456" s="2"/>
      <c r="D2456" s="2"/>
      <c r="E2456" s="10"/>
      <c r="F2456" s="11"/>
      <c r="G2456" s="2"/>
      <c r="H2456" s="2"/>
      <c r="I2456" s="2"/>
      <c r="J2456" s="2"/>
      <c r="K2456" s="12"/>
      <c r="L2456" s="2"/>
      <c r="M2456" s="2"/>
      <c r="N2456" s="67"/>
    </row>
    <row r="2457" spans="1:14" x14ac:dyDescent="0.35">
      <c r="A2457" s="61">
        <v>2453</v>
      </c>
      <c r="B2457" s="2"/>
      <c r="C2457" s="2"/>
      <c r="D2457" s="2"/>
      <c r="E2457" s="10"/>
      <c r="F2457" s="11"/>
      <c r="G2457" s="2"/>
      <c r="H2457" s="2"/>
      <c r="I2457" s="2"/>
      <c r="J2457" s="2"/>
      <c r="K2457" s="12"/>
      <c r="L2457" s="2"/>
      <c r="M2457" s="2"/>
      <c r="N2457" s="67"/>
    </row>
    <row r="2458" spans="1:14" x14ac:dyDescent="0.35">
      <c r="A2458" s="61">
        <v>2454</v>
      </c>
      <c r="B2458" s="2"/>
      <c r="C2458" s="2"/>
      <c r="D2458" s="2"/>
      <c r="E2458" s="10"/>
      <c r="F2458" s="11"/>
      <c r="G2458" s="2"/>
      <c r="H2458" s="2"/>
      <c r="I2458" s="2"/>
      <c r="J2458" s="2"/>
      <c r="K2458" s="12"/>
      <c r="L2458" s="2"/>
      <c r="M2458" s="2"/>
      <c r="N2458" s="67"/>
    </row>
    <row r="2459" spans="1:14" x14ac:dyDescent="0.35">
      <c r="A2459" s="61">
        <v>2455</v>
      </c>
      <c r="B2459" s="2"/>
      <c r="C2459" s="2"/>
      <c r="D2459" s="2"/>
      <c r="E2459" s="10"/>
      <c r="F2459" s="11"/>
      <c r="G2459" s="2"/>
      <c r="H2459" s="2"/>
      <c r="I2459" s="2"/>
      <c r="J2459" s="2"/>
      <c r="K2459" s="12"/>
      <c r="L2459" s="2"/>
      <c r="M2459" s="2"/>
      <c r="N2459" s="67"/>
    </row>
    <row r="2460" spans="1:14" x14ac:dyDescent="0.35">
      <c r="A2460" s="61">
        <v>2456</v>
      </c>
      <c r="B2460" s="2"/>
      <c r="C2460" s="2"/>
      <c r="D2460" s="2"/>
      <c r="E2460" s="10"/>
      <c r="F2460" s="11"/>
      <c r="G2460" s="2"/>
      <c r="H2460" s="2"/>
      <c r="I2460" s="2"/>
      <c r="J2460" s="2"/>
      <c r="K2460" s="12"/>
      <c r="L2460" s="2"/>
      <c r="M2460" s="2"/>
      <c r="N2460" s="67"/>
    </row>
    <row r="2461" spans="1:14" x14ac:dyDescent="0.35">
      <c r="A2461" s="61">
        <v>2457</v>
      </c>
      <c r="B2461" s="2"/>
      <c r="C2461" s="2"/>
      <c r="D2461" s="2"/>
      <c r="E2461" s="10"/>
      <c r="F2461" s="11"/>
      <c r="G2461" s="2"/>
      <c r="H2461" s="2"/>
      <c r="I2461" s="2"/>
      <c r="J2461" s="2"/>
      <c r="K2461" s="12"/>
      <c r="L2461" s="2"/>
      <c r="M2461" s="2"/>
      <c r="N2461" s="67"/>
    </row>
    <row r="2462" spans="1:14" x14ac:dyDescent="0.35">
      <c r="A2462" s="61">
        <v>2458</v>
      </c>
      <c r="B2462" s="2"/>
      <c r="C2462" s="2"/>
      <c r="D2462" s="2"/>
      <c r="E2462" s="10"/>
      <c r="F2462" s="11"/>
      <c r="G2462" s="2"/>
      <c r="H2462" s="2"/>
      <c r="I2462" s="2"/>
      <c r="J2462" s="2"/>
      <c r="K2462" s="12"/>
      <c r="L2462" s="2"/>
      <c r="M2462" s="2"/>
      <c r="N2462" s="67"/>
    </row>
    <row r="2463" spans="1:14" x14ac:dyDescent="0.35">
      <c r="A2463" s="61">
        <v>2459</v>
      </c>
      <c r="B2463" s="2"/>
      <c r="C2463" s="2"/>
      <c r="D2463" s="2"/>
      <c r="E2463" s="10"/>
      <c r="F2463" s="11"/>
      <c r="G2463" s="2"/>
      <c r="H2463" s="2"/>
      <c r="I2463" s="2"/>
      <c r="J2463" s="2"/>
      <c r="K2463" s="12"/>
      <c r="L2463" s="2"/>
      <c r="M2463" s="2"/>
      <c r="N2463" s="67"/>
    </row>
    <row r="2464" spans="1:14" x14ac:dyDescent="0.35">
      <c r="A2464" s="61">
        <v>2460</v>
      </c>
      <c r="B2464" s="2"/>
      <c r="C2464" s="2"/>
      <c r="D2464" s="2"/>
      <c r="E2464" s="10"/>
      <c r="F2464" s="11"/>
      <c r="G2464" s="2"/>
      <c r="H2464" s="2"/>
      <c r="I2464" s="2"/>
      <c r="J2464" s="2"/>
      <c r="K2464" s="12"/>
      <c r="L2464" s="2"/>
      <c r="M2464" s="2"/>
      <c r="N2464" s="67"/>
    </row>
    <row r="2465" spans="1:14" x14ac:dyDescent="0.35">
      <c r="A2465" s="61">
        <v>2461</v>
      </c>
      <c r="B2465" s="2"/>
      <c r="C2465" s="2"/>
      <c r="D2465" s="2"/>
      <c r="E2465" s="10"/>
      <c r="F2465" s="11"/>
      <c r="G2465" s="2"/>
      <c r="H2465" s="2"/>
      <c r="I2465" s="2"/>
      <c r="J2465" s="2"/>
      <c r="K2465" s="12"/>
      <c r="L2465" s="2"/>
      <c r="M2465" s="2"/>
      <c r="N2465" s="67"/>
    </row>
    <row r="2466" spans="1:14" x14ac:dyDescent="0.35">
      <c r="A2466" s="61">
        <v>2462</v>
      </c>
      <c r="B2466" s="2"/>
      <c r="C2466" s="2"/>
      <c r="D2466" s="2"/>
      <c r="E2466" s="10"/>
      <c r="F2466" s="11"/>
      <c r="G2466" s="2"/>
      <c r="H2466" s="2"/>
      <c r="I2466" s="2"/>
      <c r="J2466" s="2"/>
      <c r="K2466" s="12"/>
      <c r="L2466" s="2"/>
      <c r="M2466" s="2"/>
      <c r="N2466" s="67"/>
    </row>
    <row r="2467" spans="1:14" x14ac:dyDescent="0.35">
      <c r="A2467" s="61">
        <v>2463</v>
      </c>
      <c r="B2467" s="2"/>
      <c r="C2467" s="2"/>
      <c r="D2467" s="2"/>
      <c r="E2467" s="10"/>
      <c r="F2467" s="11"/>
      <c r="G2467" s="2"/>
      <c r="H2467" s="2"/>
      <c r="I2467" s="2"/>
      <c r="J2467" s="2"/>
      <c r="K2467" s="12"/>
      <c r="L2467" s="2"/>
      <c r="M2467" s="2"/>
      <c r="N2467" s="67"/>
    </row>
    <row r="2468" spans="1:14" x14ac:dyDescent="0.35">
      <c r="A2468" s="61">
        <v>2464</v>
      </c>
      <c r="B2468" s="2"/>
      <c r="C2468" s="2"/>
      <c r="D2468" s="2"/>
      <c r="E2468" s="10"/>
      <c r="F2468" s="11"/>
      <c r="G2468" s="2"/>
      <c r="H2468" s="2"/>
      <c r="I2468" s="2"/>
      <c r="J2468" s="2"/>
      <c r="K2468" s="12"/>
      <c r="L2468" s="2"/>
      <c r="M2468" s="2"/>
      <c r="N2468" s="67"/>
    </row>
    <row r="2469" spans="1:14" x14ac:dyDescent="0.35">
      <c r="A2469" s="61">
        <v>2465</v>
      </c>
      <c r="B2469" s="2"/>
      <c r="C2469" s="2"/>
      <c r="D2469" s="2"/>
      <c r="E2469" s="10"/>
      <c r="F2469" s="11"/>
      <c r="G2469" s="2"/>
      <c r="H2469" s="2"/>
      <c r="I2469" s="2"/>
      <c r="J2469" s="2"/>
      <c r="K2469" s="12"/>
      <c r="L2469" s="2"/>
      <c r="M2469" s="2"/>
      <c r="N2469" s="67"/>
    </row>
    <row r="2470" spans="1:14" x14ac:dyDescent="0.35">
      <c r="A2470" s="61">
        <v>2466</v>
      </c>
      <c r="B2470" s="2"/>
      <c r="C2470" s="2"/>
      <c r="D2470" s="2"/>
      <c r="E2470" s="10"/>
      <c r="F2470" s="11"/>
      <c r="G2470" s="2"/>
      <c r="H2470" s="2"/>
      <c r="I2470" s="2"/>
      <c r="J2470" s="2"/>
      <c r="K2470" s="12"/>
      <c r="L2470" s="2"/>
      <c r="M2470" s="2"/>
      <c r="N2470" s="67"/>
    </row>
    <row r="2471" spans="1:14" x14ac:dyDescent="0.35">
      <c r="A2471" s="61">
        <v>2467</v>
      </c>
      <c r="B2471" s="2"/>
      <c r="C2471" s="2"/>
      <c r="D2471" s="2"/>
      <c r="E2471" s="10"/>
      <c r="F2471" s="11"/>
      <c r="G2471" s="2"/>
      <c r="H2471" s="2"/>
      <c r="I2471" s="2"/>
      <c r="J2471" s="2"/>
      <c r="K2471" s="12"/>
      <c r="L2471" s="2"/>
      <c r="M2471" s="2"/>
      <c r="N2471" s="67"/>
    </row>
    <row r="2472" spans="1:14" x14ac:dyDescent="0.35">
      <c r="A2472" s="61">
        <v>2468</v>
      </c>
      <c r="B2472" s="2"/>
      <c r="C2472" s="2"/>
      <c r="D2472" s="2"/>
      <c r="E2472" s="10"/>
      <c r="F2472" s="11"/>
      <c r="G2472" s="2"/>
      <c r="H2472" s="2"/>
      <c r="I2472" s="2"/>
      <c r="J2472" s="2"/>
      <c r="K2472" s="12"/>
      <c r="L2472" s="2"/>
      <c r="M2472" s="2"/>
      <c r="N2472" s="67"/>
    </row>
    <row r="2473" spans="1:14" x14ac:dyDescent="0.35">
      <c r="A2473" s="61">
        <v>2469</v>
      </c>
      <c r="B2473" s="2"/>
      <c r="C2473" s="2"/>
      <c r="D2473" s="2"/>
      <c r="E2473" s="10"/>
      <c r="F2473" s="11"/>
      <c r="G2473" s="2"/>
      <c r="H2473" s="2"/>
      <c r="I2473" s="2"/>
      <c r="J2473" s="2"/>
      <c r="K2473" s="12"/>
      <c r="L2473" s="2"/>
      <c r="M2473" s="2"/>
      <c r="N2473" s="67"/>
    </row>
    <row r="2474" spans="1:14" x14ac:dyDescent="0.35">
      <c r="A2474" s="61">
        <v>2470</v>
      </c>
      <c r="B2474" s="2"/>
      <c r="C2474" s="2"/>
      <c r="D2474" s="2"/>
      <c r="E2474" s="10"/>
      <c r="F2474" s="11"/>
      <c r="G2474" s="2"/>
      <c r="H2474" s="2"/>
      <c r="I2474" s="2"/>
      <c r="J2474" s="2"/>
      <c r="K2474" s="12"/>
      <c r="L2474" s="2"/>
      <c r="M2474" s="2"/>
      <c r="N2474" s="67"/>
    </row>
    <row r="2475" spans="1:14" x14ac:dyDescent="0.35">
      <c r="A2475" s="61">
        <v>2471</v>
      </c>
      <c r="B2475" s="2"/>
      <c r="C2475" s="2"/>
      <c r="D2475" s="2"/>
      <c r="E2475" s="10"/>
      <c r="F2475" s="11"/>
      <c r="G2475" s="2"/>
      <c r="H2475" s="2"/>
      <c r="I2475" s="2"/>
      <c r="J2475" s="2"/>
      <c r="K2475" s="12"/>
      <c r="L2475" s="2"/>
      <c r="M2475" s="2"/>
      <c r="N2475" s="67"/>
    </row>
    <row r="2476" spans="1:14" x14ac:dyDescent="0.35">
      <c r="A2476" s="61">
        <v>2472</v>
      </c>
      <c r="B2476" s="2"/>
      <c r="C2476" s="2"/>
      <c r="D2476" s="2"/>
      <c r="E2476" s="10"/>
      <c r="F2476" s="11"/>
      <c r="G2476" s="2"/>
      <c r="H2476" s="2"/>
      <c r="I2476" s="2"/>
      <c r="J2476" s="2"/>
      <c r="K2476" s="12"/>
      <c r="L2476" s="2"/>
      <c r="M2476" s="2"/>
      <c r="N2476" s="67"/>
    </row>
    <row r="2477" spans="1:14" x14ac:dyDescent="0.35">
      <c r="A2477" s="61">
        <v>2473</v>
      </c>
      <c r="B2477" s="2"/>
      <c r="C2477" s="2"/>
      <c r="D2477" s="2"/>
      <c r="E2477" s="10"/>
      <c r="F2477" s="11"/>
      <c r="G2477" s="2"/>
      <c r="H2477" s="2"/>
      <c r="I2477" s="2"/>
      <c r="J2477" s="2"/>
      <c r="K2477" s="12"/>
      <c r="L2477" s="2"/>
      <c r="M2477" s="2"/>
      <c r="N2477" s="67"/>
    </row>
    <row r="2478" spans="1:14" x14ac:dyDescent="0.35">
      <c r="A2478" s="61">
        <v>2474</v>
      </c>
      <c r="B2478" s="2"/>
      <c r="C2478" s="2"/>
      <c r="D2478" s="2"/>
      <c r="E2478" s="10"/>
      <c r="F2478" s="11"/>
      <c r="G2478" s="2"/>
      <c r="H2478" s="2"/>
      <c r="I2478" s="2"/>
      <c r="J2478" s="2"/>
      <c r="K2478" s="12"/>
      <c r="L2478" s="2"/>
      <c r="M2478" s="2"/>
      <c r="N2478" s="67"/>
    </row>
    <row r="2479" spans="1:14" x14ac:dyDescent="0.35">
      <c r="A2479" s="61">
        <v>2475</v>
      </c>
      <c r="B2479" s="2"/>
      <c r="C2479" s="2"/>
      <c r="D2479" s="2"/>
      <c r="E2479" s="10"/>
      <c r="F2479" s="11"/>
      <c r="G2479" s="2"/>
      <c r="H2479" s="2"/>
      <c r="I2479" s="2"/>
      <c r="J2479" s="2"/>
      <c r="K2479" s="12"/>
      <c r="L2479" s="2"/>
      <c r="M2479" s="2"/>
      <c r="N2479" s="67"/>
    </row>
    <row r="2480" spans="1:14" x14ac:dyDescent="0.35">
      <c r="A2480" s="61">
        <v>2476</v>
      </c>
      <c r="B2480" s="2"/>
      <c r="C2480" s="2"/>
      <c r="D2480" s="2"/>
      <c r="E2480" s="10"/>
      <c r="F2480" s="11"/>
      <c r="G2480" s="2"/>
      <c r="H2480" s="2"/>
      <c r="I2480" s="2"/>
      <c r="J2480" s="2"/>
      <c r="K2480" s="12"/>
      <c r="L2480" s="2"/>
      <c r="M2480" s="2"/>
      <c r="N2480" s="67"/>
    </row>
    <row r="2481" spans="1:14" x14ac:dyDescent="0.35">
      <c r="A2481" s="61">
        <v>2477</v>
      </c>
      <c r="B2481" s="2"/>
      <c r="C2481" s="2"/>
      <c r="D2481" s="2"/>
      <c r="E2481" s="10"/>
      <c r="F2481" s="11"/>
      <c r="G2481" s="2"/>
      <c r="H2481" s="2"/>
      <c r="I2481" s="2"/>
      <c r="J2481" s="2"/>
      <c r="K2481" s="12"/>
      <c r="L2481" s="2"/>
      <c r="M2481" s="2"/>
      <c r="N2481" s="67"/>
    </row>
    <row r="2482" spans="1:14" x14ac:dyDescent="0.35">
      <c r="A2482" s="61">
        <v>2478</v>
      </c>
      <c r="B2482" s="2"/>
      <c r="C2482" s="2"/>
      <c r="D2482" s="2"/>
      <c r="E2482" s="10"/>
      <c r="F2482" s="11"/>
      <c r="G2482" s="2"/>
      <c r="H2482" s="2"/>
      <c r="I2482" s="2"/>
      <c r="J2482" s="2"/>
      <c r="K2482" s="12"/>
      <c r="L2482" s="2"/>
      <c r="M2482" s="2"/>
      <c r="N2482" s="67"/>
    </row>
    <row r="2483" spans="1:14" x14ac:dyDescent="0.35">
      <c r="A2483" s="61">
        <v>2479</v>
      </c>
      <c r="B2483" s="2"/>
      <c r="C2483" s="2"/>
      <c r="D2483" s="2"/>
      <c r="E2483" s="10"/>
      <c r="F2483" s="11"/>
      <c r="G2483" s="2"/>
      <c r="H2483" s="2"/>
      <c r="I2483" s="2"/>
      <c r="J2483" s="2"/>
      <c r="K2483" s="12"/>
      <c r="L2483" s="2"/>
      <c r="M2483" s="2"/>
      <c r="N2483" s="67"/>
    </row>
    <row r="2484" spans="1:14" x14ac:dyDescent="0.35">
      <c r="A2484" s="61">
        <v>2480</v>
      </c>
      <c r="B2484" s="2"/>
      <c r="C2484" s="2"/>
      <c r="D2484" s="2"/>
      <c r="E2484" s="10"/>
      <c r="F2484" s="11"/>
      <c r="G2484" s="2"/>
      <c r="H2484" s="2"/>
      <c r="I2484" s="2"/>
      <c r="J2484" s="2"/>
      <c r="K2484" s="12"/>
      <c r="L2484" s="2"/>
      <c r="M2484" s="2"/>
      <c r="N2484" s="67"/>
    </row>
    <row r="2485" spans="1:14" x14ac:dyDescent="0.35">
      <c r="A2485" s="61">
        <v>2481</v>
      </c>
      <c r="B2485" s="2"/>
      <c r="C2485" s="2"/>
      <c r="D2485" s="2"/>
      <c r="E2485" s="10"/>
      <c r="F2485" s="11"/>
      <c r="G2485" s="2"/>
      <c r="H2485" s="2"/>
      <c r="I2485" s="2"/>
      <c r="J2485" s="2"/>
      <c r="K2485" s="12"/>
      <c r="L2485" s="2"/>
      <c r="M2485" s="2"/>
      <c r="N2485" s="67"/>
    </row>
    <row r="2486" spans="1:14" x14ac:dyDescent="0.35">
      <c r="A2486" s="61">
        <v>2482</v>
      </c>
      <c r="B2486" s="2"/>
      <c r="C2486" s="2"/>
      <c r="D2486" s="2"/>
      <c r="E2486" s="10"/>
      <c r="F2486" s="11"/>
      <c r="G2486" s="2"/>
      <c r="H2486" s="2"/>
      <c r="I2486" s="2"/>
      <c r="J2486" s="2"/>
      <c r="K2486" s="12"/>
      <c r="L2486" s="2"/>
      <c r="M2486" s="2"/>
      <c r="N2486" s="67"/>
    </row>
    <row r="2487" spans="1:14" x14ac:dyDescent="0.35">
      <c r="A2487" s="61">
        <v>2483</v>
      </c>
      <c r="B2487" s="2"/>
      <c r="C2487" s="2"/>
      <c r="D2487" s="2"/>
      <c r="E2487" s="10"/>
      <c r="F2487" s="11"/>
      <c r="G2487" s="2"/>
      <c r="H2487" s="2"/>
      <c r="I2487" s="2"/>
      <c r="J2487" s="2"/>
      <c r="K2487" s="12"/>
      <c r="L2487" s="2"/>
      <c r="M2487" s="2"/>
      <c r="N2487" s="67"/>
    </row>
    <row r="2488" spans="1:14" x14ac:dyDescent="0.35">
      <c r="A2488" s="61">
        <v>2484</v>
      </c>
      <c r="B2488" s="2"/>
      <c r="C2488" s="2"/>
      <c r="D2488" s="2"/>
      <c r="E2488" s="10"/>
      <c r="F2488" s="11"/>
      <c r="G2488" s="2"/>
      <c r="H2488" s="2"/>
      <c r="I2488" s="2"/>
      <c r="J2488" s="2"/>
      <c r="K2488" s="12"/>
      <c r="L2488" s="2"/>
      <c r="M2488" s="2"/>
      <c r="N2488" s="67"/>
    </row>
    <row r="2489" spans="1:14" x14ac:dyDescent="0.35">
      <c r="A2489" s="61">
        <v>2485</v>
      </c>
      <c r="B2489" s="2"/>
      <c r="C2489" s="2"/>
      <c r="D2489" s="2"/>
      <c r="E2489" s="10"/>
      <c r="F2489" s="11"/>
      <c r="G2489" s="2"/>
      <c r="H2489" s="2"/>
      <c r="I2489" s="2"/>
      <c r="J2489" s="2"/>
      <c r="K2489" s="12"/>
      <c r="L2489" s="2"/>
      <c r="M2489" s="2"/>
      <c r="N2489" s="67"/>
    </row>
    <row r="2490" spans="1:14" x14ac:dyDescent="0.35">
      <c r="A2490" s="61">
        <v>2486</v>
      </c>
      <c r="B2490" s="2"/>
      <c r="C2490" s="2"/>
      <c r="D2490" s="2"/>
      <c r="E2490" s="10"/>
      <c r="F2490" s="11"/>
      <c r="G2490" s="2"/>
      <c r="H2490" s="2"/>
      <c r="I2490" s="2"/>
      <c r="J2490" s="2"/>
      <c r="K2490" s="12"/>
      <c r="L2490" s="2"/>
      <c r="M2490" s="2"/>
      <c r="N2490" s="67"/>
    </row>
    <row r="2491" spans="1:14" x14ac:dyDescent="0.35">
      <c r="A2491" s="61">
        <v>2487</v>
      </c>
      <c r="B2491" s="2"/>
      <c r="C2491" s="2"/>
      <c r="D2491" s="2"/>
      <c r="E2491" s="10"/>
      <c r="F2491" s="11"/>
      <c r="G2491" s="2"/>
      <c r="H2491" s="2"/>
      <c r="I2491" s="2"/>
      <c r="J2491" s="2"/>
      <c r="K2491" s="12"/>
      <c r="L2491" s="2"/>
      <c r="M2491" s="2"/>
      <c r="N2491" s="67"/>
    </row>
    <row r="2492" spans="1:14" x14ac:dyDescent="0.35">
      <c r="A2492" s="61">
        <v>2488</v>
      </c>
      <c r="B2492" s="2"/>
      <c r="C2492" s="2"/>
      <c r="D2492" s="2"/>
      <c r="E2492" s="10"/>
      <c r="F2492" s="11"/>
      <c r="G2492" s="2"/>
      <c r="H2492" s="2"/>
      <c r="I2492" s="2"/>
      <c r="J2492" s="2"/>
      <c r="K2492" s="12"/>
      <c r="L2492" s="2"/>
      <c r="M2492" s="2"/>
      <c r="N2492" s="67"/>
    </row>
    <row r="2493" spans="1:14" x14ac:dyDescent="0.35">
      <c r="A2493" s="61">
        <v>2489</v>
      </c>
      <c r="B2493" s="2"/>
      <c r="C2493" s="2"/>
      <c r="D2493" s="2"/>
      <c r="E2493" s="10"/>
      <c r="F2493" s="11"/>
      <c r="G2493" s="2"/>
      <c r="H2493" s="2"/>
      <c r="I2493" s="2"/>
      <c r="J2493" s="2"/>
      <c r="K2493" s="12"/>
      <c r="L2493" s="2"/>
      <c r="M2493" s="2"/>
      <c r="N2493" s="67"/>
    </row>
    <row r="2494" spans="1:14" x14ac:dyDescent="0.35">
      <c r="A2494" s="61">
        <v>2490</v>
      </c>
      <c r="B2494" s="2"/>
      <c r="C2494" s="2"/>
      <c r="D2494" s="2"/>
      <c r="E2494" s="10"/>
      <c r="F2494" s="11"/>
      <c r="G2494" s="2"/>
      <c r="H2494" s="2"/>
      <c r="I2494" s="2"/>
      <c r="J2494" s="2"/>
      <c r="K2494" s="12"/>
      <c r="L2494" s="2"/>
      <c r="M2494" s="2"/>
      <c r="N2494" s="67"/>
    </row>
    <row r="2495" spans="1:14" x14ac:dyDescent="0.35">
      <c r="A2495" s="61">
        <v>2491</v>
      </c>
      <c r="B2495" s="2"/>
      <c r="C2495" s="2"/>
      <c r="D2495" s="2"/>
      <c r="E2495" s="10"/>
      <c r="F2495" s="11"/>
      <c r="G2495" s="2"/>
      <c r="H2495" s="2"/>
      <c r="I2495" s="2"/>
      <c r="J2495" s="2"/>
      <c r="K2495" s="12"/>
      <c r="L2495" s="2"/>
      <c r="M2495" s="2"/>
      <c r="N2495" s="67"/>
    </row>
    <row r="2496" spans="1:14" x14ac:dyDescent="0.35">
      <c r="A2496" s="61">
        <v>2492</v>
      </c>
      <c r="B2496" s="2"/>
      <c r="C2496" s="2"/>
      <c r="D2496" s="2"/>
      <c r="E2496" s="10"/>
      <c r="F2496" s="11"/>
      <c r="G2496" s="2"/>
      <c r="H2496" s="2"/>
      <c r="I2496" s="2"/>
      <c r="J2496" s="2"/>
      <c r="K2496" s="12"/>
      <c r="L2496" s="2"/>
      <c r="M2496" s="2"/>
      <c r="N2496" s="67"/>
    </row>
    <row r="2497" spans="1:14" x14ac:dyDescent="0.35">
      <c r="A2497" s="61">
        <v>2493</v>
      </c>
      <c r="B2497" s="2"/>
      <c r="C2497" s="2"/>
      <c r="D2497" s="2"/>
      <c r="E2497" s="10"/>
      <c r="F2497" s="11"/>
      <c r="G2497" s="2"/>
      <c r="H2497" s="2"/>
      <c r="I2497" s="2"/>
      <c r="J2497" s="2"/>
      <c r="K2497" s="12"/>
      <c r="L2497" s="2"/>
      <c r="M2497" s="2"/>
      <c r="N2497" s="67"/>
    </row>
    <row r="2498" spans="1:14" x14ac:dyDescent="0.35">
      <c r="A2498" s="61">
        <v>2494</v>
      </c>
      <c r="B2498" s="2"/>
      <c r="C2498" s="2"/>
      <c r="D2498" s="2"/>
      <c r="E2498" s="10"/>
      <c r="F2498" s="11"/>
      <c r="G2498" s="2"/>
      <c r="H2498" s="2"/>
      <c r="I2498" s="2"/>
      <c r="J2498" s="2"/>
      <c r="K2498" s="12"/>
      <c r="L2498" s="2"/>
      <c r="M2498" s="2"/>
      <c r="N2498" s="67"/>
    </row>
    <row r="2499" spans="1:14" x14ac:dyDescent="0.35">
      <c r="A2499" s="61">
        <v>2495</v>
      </c>
      <c r="B2499" s="2"/>
      <c r="C2499" s="2"/>
      <c r="D2499" s="2"/>
      <c r="E2499" s="10"/>
      <c r="F2499" s="11"/>
      <c r="G2499" s="2"/>
      <c r="H2499" s="2"/>
      <c r="I2499" s="2"/>
      <c r="J2499" s="2"/>
      <c r="K2499" s="12"/>
      <c r="L2499" s="2"/>
      <c r="M2499" s="2"/>
      <c r="N2499" s="67"/>
    </row>
    <row r="2500" spans="1:14" x14ac:dyDescent="0.35">
      <c r="A2500" s="61">
        <v>2496</v>
      </c>
      <c r="B2500" s="2"/>
      <c r="C2500" s="2"/>
      <c r="D2500" s="2"/>
      <c r="E2500" s="10"/>
      <c r="F2500" s="11"/>
      <c r="G2500" s="2"/>
      <c r="H2500" s="2"/>
      <c r="I2500" s="2"/>
      <c r="J2500" s="2"/>
      <c r="K2500" s="12"/>
      <c r="L2500" s="2"/>
      <c r="M2500" s="2"/>
      <c r="N2500" s="67"/>
    </row>
    <row r="2501" spans="1:14" x14ac:dyDescent="0.35">
      <c r="A2501" s="61">
        <v>2497</v>
      </c>
      <c r="B2501" s="2"/>
      <c r="C2501" s="2"/>
      <c r="D2501" s="2"/>
      <c r="E2501" s="10"/>
      <c r="F2501" s="11"/>
      <c r="G2501" s="2"/>
      <c r="H2501" s="2"/>
      <c r="I2501" s="2"/>
      <c r="J2501" s="2"/>
      <c r="K2501" s="12"/>
      <c r="L2501" s="2"/>
      <c r="M2501" s="2"/>
      <c r="N2501" s="67"/>
    </row>
    <row r="2502" spans="1:14" x14ac:dyDescent="0.35">
      <c r="A2502" s="61">
        <v>2498</v>
      </c>
      <c r="B2502" s="2"/>
      <c r="C2502" s="2"/>
      <c r="D2502" s="2"/>
      <c r="E2502" s="10"/>
      <c r="F2502" s="11"/>
      <c r="G2502" s="2"/>
      <c r="H2502" s="2"/>
      <c r="I2502" s="2"/>
      <c r="J2502" s="2"/>
      <c r="K2502" s="12"/>
      <c r="L2502" s="2"/>
      <c r="M2502" s="2"/>
      <c r="N2502" s="67"/>
    </row>
    <row r="2503" spans="1:14" x14ac:dyDescent="0.35">
      <c r="A2503" s="61">
        <v>2499</v>
      </c>
      <c r="B2503" s="2"/>
      <c r="C2503" s="2"/>
      <c r="D2503" s="2"/>
      <c r="E2503" s="10"/>
      <c r="F2503" s="11"/>
      <c r="G2503" s="2"/>
      <c r="H2503" s="2"/>
      <c r="I2503" s="2"/>
      <c r="J2503" s="2"/>
      <c r="K2503" s="12"/>
      <c r="L2503" s="2"/>
      <c r="M2503" s="2"/>
      <c r="N2503" s="67"/>
    </row>
    <row r="2504" spans="1:14" ht="15" customHeight="1" thickBot="1" x14ac:dyDescent="0.4">
      <c r="A2504" s="62">
        <v>2500</v>
      </c>
      <c r="B2504" s="20"/>
      <c r="C2504" s="20"/>
      <c r="D2504" s="20"/>
      <c r="E2504" s="25"/>
      <c r="F2504" s="26"/>
      <c r="G2504" s="20"/>
      <c r="H2504" s="20"/>
      <c r="I2504" s="20"/>
      <c r="J2504" s="20"/>
      <c r="K2504" s="27"/>
      <c r="L2504" s="20"/>
      <c r="M2504" s="20"/>
      <c r="N2504" s="68"/>
    </row>
    <row r="2505" spans="1:14" x14ac:dyDescent="0.35">
      <c r="E2505" s="71"/>
    </row>
  </sheetData>
  <mergeCells count="11">
    <mergeCell ref="A1:N1"/>
    <mergeCell ref="G3:K3"/>
    <mergeCell ref="L3:L4"/>
    <mergeCell ref="C3:C4"/>
    <mergeCell ref="A2:N2"/>
    <mergeCell ref="M3:M4"/>
    <mergeCell ref="N3:N4"/>
    <mergeCell ref="B3:B4"/>
    <mergeCell ref="A3:A4"/>
    <mergeCell ref="D3:D4"/>
    <mergeCell ref="E3:F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2505"/>
  <sheetViews>
    <sheetView zoomScaleNormal="100" workbookViewId="0">
      <selection activeCell="M4" sqref="M4"/>
    </sheetView>
  </sheetViews>
  <sheetFormatPr defaultRowHeight="14.5" x14ac:dyDescent="0.35"/>
  <cols>
    <col min="1" max="1" width="5.6328125" customWidth="1"/>
    <col min="2" max="2" width="10.6328125" style="15" customWidth="1"/>
    <col min="3" max="3" width="15.6328125" style="15" customWidth="1"/>
    <col min="4" max="4" width="16.6328125" style="15" customWidth="1"/>
    <col min="5" max="5" width="12.6328125" style="42" customWidth="1"/>
    <col min="6" max="7" width="12.6328125" style="15" customWidth="1"/>
    <col min="8" max="9" width="7.6328125" style="15" customWidth="1"/>
    <col min="10" max="10" width="15.6328125" style="15" customWidth="1"/>
  </cols>
  <sheetData>
    <row r="1" spans="1:11" s="5" customFormat="1" ht="75" customHeight="1" x14ac:dyDescent="1.05">
      <c r="A1" s="72" t="s">
        <v>0</v>
      </c>
      <c r="B1" s="73"/>
      <c r="C1" s="73"/>
      <c r="D1" s="73"/>
      <c r="E1" s="73"/>
      <c r="F1" s="73"/>
      <c r="G1" s="73"/>
      <c r="H1" s="73"/>
      <c r="I1" s="73"/>
      <c r="J1" s="74"/>
    </row>
    <row r="2" spans="1:11" ht="8" customHeight="1" thickBot="1" x14ac:dyDescent="0.4">
      <c r="A2" s="83"/>
      <c r="B2" s="84"/>
      <c r="C2" s="84"/>
      <c r="D2" s="84"/>
      <c r="E2" s="84"/>
      <c r="F2" s="84"/>
      <c r="G2" s="84"/>
      <c r="H2" s="84"/>
      <c r="I2" s="84"/>
      <c r="J2" s="85"/>
    </row>
    <row r="3" spans="1:11" s="6" customFormat="1" ht="25" customHeight="1" thickBot="1" x14ac:dyDescent="0.5">
      <c r="A3" s="79" t="s">
        <v>1</v>
      </c>
      <c r="B3" s="77" t="s">
        <v>2</v>
      </c>
      <c r="C3" s="75" t="s">
        <v>3</v>
      </c>
      <c r="D3" s="77" t="s">
        <v>4</v>
      </c>
      <c r="E3" s="86" t="s">
        <v>5</v>
      </c>
      <c r="F3" s="87"/>
      <c r="G3" s="77" t="s">
        <v>6</v>
      </c>
      <c r="H3" s="77" t="s">
        <v>7</v>
      </c>
      <c r="I3" s="87"/>
      <c r="J3" s="81" t="s">
        <v>8</v>
      </c>
    </row>
    <row r="4" spans="1:11" s="6" customFormat="1" ht="50" customHeight="1" thickBot="1" x14ac:dyDescent="0.5">
      <c r="A4" s="80"/>
      <c r="B4" s="78"/>
      <c r="C4" s="76"/>
      <c r="D4" s="78"/>
      <c r="E4" s="69" t="s">
        <v>9</v>
      </c>
      <c r="F4" s="69" t="s">
        <v>10</v>
      </c>
      <c r="G4" s="78"/>
      <c r="H4" s="69" t="s">
        <v>11</v>
      </c>
      <c r="I4" s="56" t="s">
        <v>12</v>
      </c>
      <c r="J4" s="82"/>
      <c r="K4" s="7"/>
    </row>
    <row r="5" spans="1:11" x14ac:dyDescent="0.35">
      <c r="A5" s="65">
        <v>1</v>
      </c>
      <c r="B5" s="50"/>
      <c r="C5" s="50"/>
      <c r="D5" s="50"/>
      <c r="E5" s="63"/>
      <c r="F5" s="70"/>
      <c r="G5" s="50"/>
      <c r="H5" s="50"/>
      <c r="I5" s="50"/>
      <c r="J5" s="66"/>
    </row>
    <row r="6" spans="1:11" x14ac:dyDescent="0.35">
      <c r="A6" s="61">
        <v>2</v>
      </c>
      <c r="B6" s="2"/>
      <c r="C6" s="2"/>
      <c r="D6" s="2"/>
      <c r="E6" s="10"/>
      <c r="F6" s="11"/>
      <c r="G6" s="2"/>
      <c r="H6" s="2"/>
      <c r="I6" s="2"/>
      <c r="J6" s="67"/>
    </row>
    <row r="7" spans="1:11" x14ac:dyDescent="0.35">
      <c r="A7" s="61">
        <v>3</v>
      </c>
      <c r="B7" s="2"/>
      <c r="C7" s="2"/>
      <c r="D7" s="2"/>
      <c r="E7" s="10"/>
      <c r="F7" s="11"/>
      <c r="G7" s="2"/>
      <c r="H7" s="2"/>
      <c r="I7" s="2"/>
      <c r="J7" s="67"/>
    </row>
    <row r="8" spans="1:11" x14ac:dyDescent="0.35">
      <c r="A8" s="61">
        <v>4</v>
      </c>
      <c r="B8" s="2"/>
      <c r="C8" s="2"/>
      <c r="D8" s="2"/>
      <c r="E8" s="10"/>
      <c r="F8" s="11"/>
      <c r="G8" s="2"/>
      <c r="H8" s="2"/>
      <c r="I8" s="2"/>
      <c r="J8" s="67"/>
    </row>
    <row r="9" spans="1:11" x14ac:dyDescent="0.35">
      <c r="A9" s="61">
        <v>5</v>
      </c>
      <c r="B9" s="2"/>
      <c r="C9" s="2"/>
      <c r="D9" s="2"/>
      <c r="E9" s="10"/>
      <c r="F9" s="11"/>
      <c r="G9" s="2"/>
      <c r="H9" s="2"/>
      <c r="I9" s="2"/>
      <c r="J9" s="67"/>
    </row>
    <row r="10" spans="1:11" x14ac:dyDescent="0.35">
      <c r="A10" s="61">
        <v>6</v>
      </c>
      <c r="B10" s="2"/>
      <c r="C10" s="2"/>
      <c r="D10" s="2"/>
      <c r="E10" s="10"/>
      <c r="F10" s="11"/>
      <c r="G10" s="2"/>
      <c r="H10" s="2"/>
      <c r="I10" s="2"/>
      <c r="J10" s="67"/>
    </row>
    <row r="11" spans="1:11" x14ac:dyDescent="0.35">
      <c r="A11" s="61">
        <v>7</v>
      </c>
      <c r="B11" s="2"/>
      <c r="C11" s="2"/>
      <c r="D11" s="2"/>
      <c r="E11" s="10"/>
      <c r="F11" s="11"/>
      <c r="G11" s="2"/>
      <c r="H11" s="2"/>
      <c r="I11" s="2"/>
      <c r="J11" s="67"/>
    </row>
    <row r="12" spans="1:11" x14ac:dyDescent="0.35">
      <c r="A12" s="61">
        <v>8</v>
      </c>
      <c r="B12" s="2"/>
      <c r="C12" s="2"/>
      <c r="D12" s="2"/>
      <c r="E12" s="10"/>
      <c r="F12" s="11"/>
      <c r="G12" s="2"/>
      <c r="H12" s="2"/>
      <c r="I12" s="2"/>
      <c r="J12" s="67"/>
    </row>
    <row r="13" spans="1:11" x14ac:dyDescent="0.35">
      <c r="A13" s="61">
        <v>9</v>
      </c>
      <c r="B13" s="2"/>
      <c r="C13" s="2"/>
      <c r="D13" s="2"/>
      <c r="E13" s="10"/>
      <c r="F13" s="11"/>
      <c r="G13" s="2"/>
      <c r="H13" s="2"/>
      <c r="I13" s="2"/>
      <c r="J13" s="67"/>
    </row>
    <row r="14" spans="1:11" x14ac:dyDescent="0.35">
      <c r="A14" s="61">
        <v>10</v>
      </c>
      <c r="B14" s="2"/>
      <c r="C14" s="2"/>
      <c r="D14" s="2"/>
      <c r="E14" s="10"/>
      <c r="F14" s="11"/>
      <c r="G14" s="2"/>
      <c r="H14" s="2"/>
      <c r="I14" s="2"/>
      <c r="J14" s="67"/>
    </row>
    <row r="15" spans="1:11" x14ac:dyDescent="0.35">
      <c r="A15" s="61">
        <v>11</v>
      </c>
      <c r="B15" s="2"/>
      <c r="C15" s="2"/>
      <c r="D15" s="2"/>
      <c r="E15" s="10"/>
      <c r="F15" s="11"/>
      <c r="G15" s="2"/>
      <c r="H15" s="2"/>
      <c r="I15" s="2"/>
      <c r="J15" s="67"/>
    </row>
    <row r="16" spans="1:11" x14ac:dyDescent="0.35">
      <c r="A16" s="61">
        <v>12</v>
      </c>
      <c r="B16" s="2"/>
      <c r="C16" s="2"/>
      <c r="D16" s="2"/>
      <c r="E16" s="10"/>
      <c r="F16" s="11"/>
      <c r="G16" s="2"/>
      <c r="H16" s="2"/>
      <c r="I16" s="2"/>
      <c r="J16" s="67"/>
    </row>
    <row r="17" spans="1:10" x14ac:dyDescent="0.35">
      <c r="A17" s="61">
        <v>13</v>
      </c>
      <c r="B17" s="2"/>
      <c r="C17" s="2"/>
      <c r="D17" s="2"/>
      <c r="E17" s="10"/>
      <c r="F17" s="11"/>
      <c r="G17" s="2"/>
      <c r="H17" s="2"/>
      <c r="I17" s="2"/>
      <c r="J17" s="67"/>
    </row>
    <row r="18" spans="1:10" x14ac:dyDescent="0.35">
      <c r="A18" s="61">
        <v>14</v>
      </c>
      <c r="B18" s="2"/>
      <c r="C18" s="2"/>
      <c r="D18" s="2"/>
      <c r="E18" s="10"/>
      <c r="F18" s="11"/>
      <c r="G18" s="2"/>
      <c r="H18" s="2"/>
      <c r="I18" s="2"/>
      <c r="J18" s="67"/>
    </row>
    <row r="19" spans="1:10" x14ac:dyDescent="0.35">
      <c r="A19" s="61">
        <v>15</v>
      </c>
      <c r="B19" s="2"/>
      <c r="C19" s="2"/>
      <c r="D19" s="2"/>
      <c r="E19" s="10"/>
      <c r="F19" s="11"/>
      <c r="G19" s="2"/>
      <c r="H19" s="2"/>
      <c r="I19" s="2"/>
      <c r="J19" s="67"/>
    </row>
    <row r="20" spans="1:10" x14ac:dyDescent="0.35">
      <c r="A20" s="61">
        <v>16</v>
      </c>
      <c r="B20" s="2"/>
      <c r="C20" s="2"/>
      <c r="D20" s="2"/>
      <c r="E20" s="10"/>
      <c r="F20" s="11"/>
      <c r="G20" s="2"/>
      <c r="H20" s="2"/>
      <c r="I20" s="2"/>
      <c r="J20" s="67"/>
    </row>
    <row r="21" spans="1:10" x14ac:dyDescent="0.35">
      <c r="A21" s="61">
        <v>17</v>
      </c>
      <c r="B21" s="2"/>
      <c r="C21" s="2"/>
      <c r="D21" s="2"/>
      <c r="E21" s="10"/>
      <c r="F21" s="11"/>
      <c r="G21" s="2"/>
      <c r="H21" s="2"/>
      <c r="I21" s="2"/>
      <c r="J21" s="67"/>
    </row>
    <row r="22" spans="1:10" x14ac:dyDescent="0.35">
      <c r="A22" s="61">
        <v>18</v>
      </c>
      <c r="B22" s="2"/>
      <c r="C22" s="2"/>
      <c r="D22" s="2"/>
      <c r="E22" s="10"/>
      <c r="F22" s="11"/>
      <c r="G22" s="2"/>
      <c r="H22" s="2"/>
      <c r="I22" s="2"/>
      <c r="J22" s="67"/>
    </row>
    <row r="23" spans="1:10" x14ac:dyDescent="0.35">
      <c r="A23" s="61">
        <v>19</v>
      </c>
      <c r="B23" s="2"/>
      <c r="C23" s="2"/>
      <c r="D23" s="2"/>
      <c r="E23" s="10"/>
      <c r="F23" s="11"/>
      <c r="G23" s="2"/>
      <c r="H23" s="2"/>
      <c r="I23" s="2"/>
      <c r="J23" s="67"/>
    </row>
    <row r="24" spans="1:10" x14ac:dyDescent="0.35">
      <c r="A24" s="61">
        <v>20</v>
      </c>
      <c r="B24" s="2"/>
      <c r="C24" s="2"/>
      <c r="D24" s="2"/>
      <c r="E24" s="10"/>
      <c r="F24" s="11"/>
      <c r="G24" s="2"/>
      <c r="H24" s="2"/>
      <c r="I24" s="2"/>
      <c r="J24" s="67"/>
    </row>
    <row r="25" spans="1:10" x14ac:dyDescent="0.35">
      <c r="A25" s="61">
        <v>21</v>
      </c>
      <c r="B25" s="2"/>
      <c r="C25" s="2"/>
      <c r="D25" s="2"/>
      <c r="E25" s="10"/>
      <c r="F25" s="11"/>
      <c r="G25" s="2"/>
      <c r="H25" s="2"/>
      <c r="I25" s="2"/>
      <c r="J25" s="67"/>
    </row>
    <row r="26" spans="1:10" x14ac:dyDescent="0.35">
      <c r="A26" s="61">
        <v>22</v>
      </c>
      <c r="B26" s="2"/>
      <c r="C26" s="2"/>
      <c r="D26" s="2"/>
      <c r="E26" s="10"/>
      <c r="F26" s="11"/>
      <c r="G26" s="2"/>
      <c r="H26" s="2"/>
      <c r="I26" s="2"/>
      <c r="J26" s="67"/>
    </row>
    <row r="27" spans="1:10" x14ac:dyDescent="0.35">
      <c r="A27" s="61">
        <v>23</v>
      </c>
      <c r="B27" s="2"/>
      <c r="C27" s="2"/>
      <c r="D27" s="2"/>
      <c r="E27" s="10"/>
      <c r="F27" s="11"/>
      <c r="G27" s="2"/>
      <c r="H27" s="2"/>
      <c r="I27" s="2"/>
      <c r="J27" s="67"/>
    </row>
    <row r="28" spans="1:10" x14ac:dyDescent="0.35">
      <c r="A28" s="61">
        <v>24</v>
      </c>
      <c r="B28" s="2"/>
      <c r="C28" s="2"/>
      <c r="D28" s="2"/>
      <c r="E28" s="10"/>
      <c r="F28" s="11"/>
      <c r="G28" s="2"/>
      <c r="H28" s="2"/>
      <c r="I28" s="2"/>
      <c r="J28" s="67"/>
    </row>
    <row r="29" spans="1:10" x14ac:dyDescent="0.35">
      <c r="A29" s="61">
        <v>25</v>
      </c>
      <c r="B29" s="2"/>
      <c r="C29" s="2"/>
      <c r="D29" s="2"/>
      <c r="E29" s="10"/>
      <c r="F29" s="11"/>
      <c r="G29" s="2"/>
      <c r="H29" s="2"/>
      <c r="I29" s="2"/>
      <c r="J29" s="67"/>
    </row>
    <row r="30" spans="1:10" x14ac:dyDescent="0.35">
      <c r="A30" s="61">
        <v>26</v>
      </c>
      <c r="B30" s="2"/>
      <c r="C30" s="2"/>
      <c r="D30" s="2"/>
      <c r="E30" s="10"/>
      <c r="F30" s="11"/>
      <c r="G30" s="2"/>
      <c r="H30" s="2"/>
      <c r="I30" s="2"/>
      <c r="J30" s="67"/>
    </row>
    <row r="31" spans="1:10" x14ac:dyDescent="0.35">
      <c r="A31" s="61">
        <v>27</v>
      </c>
      <c r="B31" s="2"/>
      <c r="C31" s="2"/>
      <c r="D31" s="2"/>
      <c r="E31" s="10"/>
      <c r="F31" s="11"/>
      <c r="G31" s="2"/>
      <c r="H31" s="2"/>
      <c r="I31" s="2"/>
      <c r="J31" s="67"/>
    </row>
    <row r="32" spans="1:10" x14ac:dyDescent="0.35">
      <c r="A32" s="61">
        <v>28</v>
      </c>
      <c r="B32" s="2"/>
      <c r="C32" s="2"/>
      <c r="D32" s="2"/>
      <c r="E32" s="10"/>
      <c r="F32" s="11"/>
      <c r="G32" s="2"/>
      <c r="H32" s="2"/>
      <c r="I32" s="2"/>
      <c r="J32" s="67"/>
    </row>
    <row r="33" spans="1:10" x14ac:dyDescent="0.35">
      <c r="A33" s="61">
        <v>29</v>
      </c>
      <c r="B33" s="2"/>
      <c r="C33" s="2"/>
      <c r="D33" s="2"/>
      <c r="E33" s="10"/>
      <c r="F33" s="11"/>
      <c r="G33" s="2"/>
      <c r="H33" s="2"/>
      <c r="I33" s="2"/>
      <c r="J33" s="67"/>
    </row>
    <row r="34" spans="1:10" x14ac:dyDescent="0.35">
      <c r="A34" s="61">
        <v>30</v>
      </c>
      <c r="B34" s="2"/>
      <c r="C34" s="2"/>
      <c r="D34" s="2"/>
      <c r="E34" s="10"/>
      <c r="F34" s="11"/>
      <c r="G34" s="2"/>
      <c r="H34" s="2"/>
      <c r="I34" s="2"/>
      <c r="J34" s="67"/>
    </row>
    <row r="35" spans="1:10" x14ac:dyDescent="0.35">
      <c r="A35" s="61">
        <v>31</v>
      </c>
      <c r="B35" s="2"/>
      <c r="C35" s="2"/>
      <c r="D35" s="2"/>
      <c r="E35" s="10"/>
      <c r="F35" s="11"/>
      <c r="G35" s="2"/>
      <c r="H35" s="2"/>
      <c r="I35" s="2"/>
      <c r="J35" s="67"/>
    </row>
    <row r="36" spans="1:10" x14ac:dyDescent="0.35">
      <c r="A36" s="61">
        <v>32</v>
      </c>
      <c r="B36" s="2"/>
      <c r="C36" s="2"/>
      <c r="D36" s="2"/>
      <c r="E36" s="10"/>
      <c r="F36" s="11"/>
      <c r="G36" s="2"/>
      <c r="H36" s="2"/>
      <c r="I36" s="2"/>
      <c r="J36" s="67"/>
    </row>
    <row r="37" spans="1:10" x14ac:dyDescent="0.35">
      <c r="A37" s="61">
        <v>33</v>
      </c>
      <c r="B37" s="2"/>
      <c r="C37" s="2"/>
      <c r="D37" s="2"/>
      <c r="E37" s="10"/>
      <c r="F37" s="11"/>
      <c r="G37" s="2"/>
      <c r="H37" s="2"/>
      <c r="I37" s="2"/>
      <c r="J37" s="67"/>
    </row>
    <row r="38" spans="1:10" x14ac:dyDescent="0.35">
      <c r="A38" s="61">
        <v>34</v>
      </c>
      <c r="B38" s="2"/>
      <c r="C38" s="2"/>
      <c r="D38" s="2"/>
      <c r="E38" s="10"/>
      <c r="F38" s="11"/>
      <c r="G38" s="2"/>
      <c r="H38" s="2"/>
      <c r="I38" s="2"/>
      <c r="J38" s="67"/>
    </row>
    <row r="39" spans="1:10" x14ac:dyDescent="0.35">
      <c r="A39" s="61">
        <v>35</v>
      </c>
      <c r="B39" s="2"/>
      <c r="C39" s="2"/>
      <c r="D39" s="2"/>
      <c r="E39" s="10"/>
      <c r="F39" s="11"/>
      <c r="G39" s="2"/>
      <c r="H39" s="2"/>
      <c r="I39" s="2"/>
      <c r="J39" s="67"/>
    </row>
    <row r="40" spans="1:10" x14ac:dyDescent="0.35">
      <c r="A40" s="61">
        <v>36</v>
      </c>
      <c r="B40" s="2"/>
      <c r="C40" s="2"/>
      <c r="D40" s="2"/>
      <c r="E40" s="10"/>
      <c r="F40" s="11"/>
      <c r="G40" s="2"/>
      <c r="H40" s="2"/>
      <c r="I40" s="2"/>
      <c r="J40" s="67"/>
    </row>
    <row r="41" spans="1:10" x14ac:dyDescent="0.35">
      <c r="A41" s="61">
        <v>37</v>
      </c>
      <c r="B41" s="2"/>
      <c r="C41" s="2"/>
      <c r="D41" s="2"/>
      <c r="E41" s="10"/>
      <c r="F41" s="11"/>
      <c r="G41" s="2"/>
      <c r="H41" s="2"/>
      <c r="I41" s="2"/>
      <c r="J41" s="67"/>
    </row>
    <row r="42" spans="1:10" x14ac:dyDescent="0.35">
      <c r="A42" s="61">
        <v>38</v>
      </c>
      <c r="B42" s="2"/>
      <c r="C42" s="2"/>
      <c r="D42" s="2"/>
      <c r="E42" s="10"/>
      <c r="F42" s="11"/>
      <c r="G42" s="2"/>
      <c r="H42" s="2"/>
      <c r="I42" s="2"/>
      <c r="J42" s="67"/>
    </row>
    <row r="43" spans="1:10" x14ac:dyDescent="0.35">
      <c r="A43" s="61">
        <v>39</v>
      </c>
      <c r="B43" s="2"/>
      <c r="C43" s="2"/>
      <c r="D43" s="2"/>
      <c r="E43" s="10"/>
      <c r="F43" s="11"/>
      <c r="G43" s="2"/>
      <c r="H43" s="2"/>
      <c r="I43" s="2"/>
      <c r="J43" s="67"/>
    </row>
    <row r="44" spans="1:10" x14ac:dyDescent="0.35">
      <c r="A44" s="61">
        <v>40</v>
      </c>
      <c r="B44" s="2"/>
      <c r="C44" s="2"/>
      <c r="D44" s="2"/>
      <c r="E44" s="10"/>
      <c r="F44" s="11"/>
      <c r="G44" s="2"/>
      <c r="H44" s="2"/>
      <c r="I44" s="2"/>
      <c r="J44" s="67"/>
    </row>
    <row r="45" spans="1:10" x14ac:dyDescent="0.35">
      <c r="A45" s="61">
        <v>41</v>
      </c>
      <c r="B45" s="2"/>
      <c r="C45" s="2"/>
      <c r="D45" s="2"/>
      <c r="E45" s="10"/>
      <c r="F45" s="11"/>
      <c r="G45" s="2"/>
      <c r="H45" s="2"/>
      <c r="I45" s="2"/>
      <c r="J45" s="67"/>
    </row>
    <row r="46" spans="1:10" x14ac:dyDescent="0.35">
      <c r="A46" s="61">
        <v>42</v>
      </c>
      <c r="B46" s="2"/>
      <c r="C46" s="2"/>
      <c r="D46" s="2"/>
      <c r="E46" s="10"/>
      <c r="F46" s="11"/>
      <c r="G46" s="2"/>
      <c r="H46" s="2"/>
      <c r="I46" s="2"/>
      <c r="J46" s="67"/>
    </row>
    <row r="47" spans="1:10" x14ac:dyDescent="0.35">
      <c r="A47" s="61">
        <v>43</v>
      </c>
      <c r="B47" s="2"/>
      <c r="C47" s="2"/>
      <c r="D47" s="2"/>
      <c r="E47" s="10"/>
      <c r="F47" s="11"/>
      <c r="G47" s="2"/>
      <c r="H47" s="2"/>
      <c r="I47" s="2"/>
      <c r="J47" s="67"/>
    </row>
    <row r="48" spans="1:10" x14ac:dyDescent="0.35">
      <c r="A48" s="61">
        <v>44</v>
      </c>
      <c r="B48" s="2"/>
      <c r="C48" s="2"/>
      <c r="D48" s="2"/>
      <c r="E48" s="10"/>
      <c r="F48" s="11"/>
      <c r="G48" s="2"/>
      <c r="H48" s="2"/>
      <c r="I48" s="2"/>
      <c r="J48" s="67"/>
    </row>
    <row r="49" spans="1:10" x14ac:dyDescent="0.35">
      <c r="A49" s="61">
        <v>45</v>
      </c>
      <c r="B49" s="2"/>
      <c r="C49" s="2"/>
      <c r="D49" s="2"/>
      <c r="E49" s="10"/>
      <c r="F49" s="11"/>
      <c r="G49" s="2"/>
      <c r="H49" s="2"/>
      <c r="I49" s="2"/>
      <c r="J49" s="67"/>
    </row>
    <row r="50" spans="1:10" x14ac:dyDescent="0.35">
      <c r="A50" s="61">
        <v>46</v>
      </c>
      <c r="B50" s="2"/>
      <c r="C50" s="2"/>
      <c r="D50" s="2"/>
      <c r="E50" s="10"/>
      <c r="F50" s="11"/>
      <c r="G50" s="2"/>
      <c r="H50" s="2"/>
      <c r="I50" s="2"/>
      <c r="J50" s="67"/>
    </row>
    <row r="51" spans="1:10" x14ac:dyDescent="0.35">
      <c r="A51" s="61">
        <v>47</v>
      </c>
      <c r="B51" s="2"/>
      <c r="C51" s="2"/>
      <c r="D51" s="2"/>
      <c r="E51" s="10"/>
      <c r="F51" s="11"/>
      <c r="G51" s="2"/>
      <c r="H51" s="2"/>
      <c r="I51" s="2"/>
      <c r="J51" s="67"/>
    </row>
    <row r="52" spans="1:10" x14ac:dyDescent="0.35">
      <c r="A52" s="61">
        <v>48</v>
      </c>
      <c r="B52" s="2"/>
      <c r="C52" s="2"/>
      <c r="D52" s="2"/>
      <c r="E52" s="10"/>
      <c r="F52" s="11"/>
      <c r="G52" s="2"/>
      <c r="H52" s="2"/>
      <c r="I52" s="2"/>
      <c r="J52" s="67"/>
    </row>
    <row r="53" spans="1:10" x14ac:dyDescent="0.35">
      <c r="A53" s="61">
        <v>49</v>
      </c>
      <c r="B53" s="2"/>
      <c r="C53" s="2"/>
      <c r="D53" s="2"/>
      <c r="E53" s="10"/>
      <c r="F53" s="11"/>
      <c r="G53" s="2"/>
      <c r="H53" s="2"/>
      <c r="I53" s="2"/>
      <c r="J53" s="67"/>
    </row>
    <row r="54" spans="1:10" x14ac:dyDescent="0.35">
      <c r="A54" s="61">
        <v>50</v>
      </c>
      <c r="B54" s="2"/>
      <c r="C54" s="2"/>
      <c r="D54" s="2"/>
      <c r="E54" s="10"/>
      <c r="F54" s="11"/>
      <c r="G54" s="2"/>
      <c r="H54" s="2"/>
      <c r="I54" s="2"/>
      <c r="J54" s="67"/>
    </row>
    <row r="55" spans="1:10" x14ac:dyDescent="0.35">
      <c r="A55" s="61">
        <v>51</v>
      </c>
      <c r="B55" s="2"/>
      <c r="C55" s="2"/>
      <c r="D55" s="2"/>
      <c r="E55" s="10"/>
      <c r="F55" s="11"/>
      <c r="G55" s="2"/>
      <c r="H55" s="2"/>
      <c r="I55" s="2"/>
      <c r="J55" s="67"/>
    </row>
    <row r="56" spans="1:10" x14ac:dyDescent="0.35">
      <c r="A56" s="61">
        <v>52</v>
      </c>
      <c r="B56" s="2"/>
      <c r="C56" s="2"/>
      <c r="D56" s="2"/>
      <c r="E56" s="10"/>
      <c r="F56" s="11"/>
      <c r="G56" s="2"/>
      <c r="H56" s="2"/>
      <c r="I56" s="2"/>
      <c r="J56" s="67"/>
    </row>
    <row r="57" spans="1:10" x14ac:dyDescent="0.35">
      <c r="A57" s="61">
        <v>53</v>
      </c>
      <c r="B57" s="2"/>
      <c r="C57" s="2"/>
      <c r="D57" s="2"/>
      <c r="E57" s="10"/>
      <c r="F57" s="11"/>
      <c r="G57" s="2"/>
      <c r="H57" s="2"/>
      <c r="I57" s="2"/>
      <c r="J57" s="67"/>
    </row>
    <row r="58" spans="1:10" x14ac:dyDescent="0.35">
      <c r="A58" s="61">
        <v>54</v>
      </c>
      <c r="B58" s="2"/>
      <c r="C58" s="2"/>
      <c r="D58" s="2"/>
      <c r="E58" s="10"/>
      <c r="F58" s="11"/>
      <c r="G58" s="2"/>
      <c r="H58" s="2"/>
      <c r="I58" s="2"/>
      <c r="J58" s="67"/>
    </row>
    <row r="59" spans="1:10" x14ac:dyDescent="0.35">
      <c r="A59" s="61">
        <v>55</v>
      </c>
      <c r="B59" s="2"/>
      <c r="C59" s="2"/>
      <c r="D59" s="2"/>
      <c r="E59" s="10"/>
      <c r="F59" s="11"/>
      <c r="G59" s="2"/>
      <c r="H59" s="2"/>
      <c r="I59" s="2"/>
      <c r="J59" s="67"/>
    </row>
    <row r="60" spans="1:10" x14ac:dyDescent="0.35">
      <c r="A60" s="61">
        <v>56</v>
      </c>
      <c r="B60" s="2"/>
      <c r="C60" s="2"/>
      <c r="D60" s="2"/>
      <c r="E60" s="10"/>
      <c r="F60" s="11"/>
      <c r="G60" s="2"/>
      <c r="H60" s="2"/>
      <c r="I60" s="2"/>
      <c r="J60" s="67"/>
    </row>
    <row r="61" spans="1:10" x14ac:dyDescent="0.35">
      <c r="A61" s="61">
        <v>57</v>
      </c>
      <c r="B61" s="2"/>
      <c r="C61" s="2"/>
      <c r="D61" s="2"/>
      <c r="E61" s="10"/>
      <c r="F61" s="11"/>
      <c r="G61" s="2"/>
      <c r="H61" s="2"/>
      <c r="I61" s="2"/>
      <c r="J61" s="67"/>
    </row>
    <row r="62" spans="1:10" x14ac:dyDescent="0.35">
      <c r="A62" s="61">
        <v>58</v>
      </c>
      <c r="B62" s="2"/>
      <c r="C62" s="2"/>
      <c r="D62" s="2"/>
      <c r="E62" s="10"/>
      <c r="F62" s="11"/>
      <c r="G62" s="2"/>
      <c r="H62" s="2"/>
      <c r="I62" s="2"/>
      <c r="J62" s="67"/>
    </row>
    <row r="63" spans="1:10" x14ac:dyDescent="0.35">
      <c r="A63" s="61">
        <v>59</v>
      </c>
      <c r="B63" s="2"/>
      <c r="C63" s="2"/>
      <c r="D63" s="2"/>
      <c r="E63" s="10"/>
      <c r="F63" s="11"/>
      <c r="G63" s="2"/>
      <c r="H63" s="2"/>
      <c r="I63" s="2"/>
      <c r="J63" s="67"/>
    </row>
    <row r="64" spans="1:10" x14ac:dyDescent="0.35">
      <c r="A64" s="61">
        <v>60</v>
      </c>
      <c r="B64" s="2"/>
      <c r="C64" s="2"/>
      <c r="D64" s="2"/>
      <c r="E64" s="10"/>
      <c r="F64" s="11"/>
      <c r="G64" s="2"/>
      <c r="H64" s="2"/>
      <c r="I64" s="2"/>
      <c r="J64" s="67"/>
    </row>
    <row r="65" spans="1:10" x14ac:dyDescent="0.35">
      <c r="A65" s="61">
        <v>61</v>
      </c>
      <c r="B65" s="2"/>
      <c r="C65" s="2"/>
      <c r="D65" s="2"/>
      <c r="E65" s="10"/>
      <c r="F65" s="11"/>
      <c r="G65" s="2"/>
      <c r="H65" s="2"/>
      <c r="I65" s="2"/>
      <c r="J65" s="67"/>
    </row>
    <row r="66" spans="1:10" x14ac:dyDescent="0.35">
      <c r="A66" s="61">
        <v>62</v>
      </c>
      <c r="B66" s="2"/>
      <c r="C66" s="2"/>
      <c r="D66" s="2"/>
      <c r="E66" s="10"/>
      <c r="F66" s="11"/>
      <c r="G66" s="2"/>
      <c r="H66" s="2"/>
      <c r="I66" s="2"/>
      <c r="J66" s="67"/>
    </row>
    <row r="67" spans="1:10" x14ac:dyDescent="0.35">
      <c r="A67" s="61">
        <v>63</v>
      </c>
      <c r="B67" s="2"/>
      <c r="C67" s="2"/>
      <c r="D67" s="2"/>
      <c r="E67" s="10"/>
      <c r="F67" s="11"/>
      <c r="G67" s="2"/>
      <c r="H67" s="2"/>
      <c r="I67" s="2"/>
      <c r="J67" s="67"/>
    </row>
    <row r="68" spans="1:10" x14ac:dyDescent="0.35">
      <c r="A68" s="61">
        <v>64</v>
      </c>
      <c r="B68" s="2"/>
      <c r="C68" s="2"/>
      <c r="D68" s="2"/>
      <c r="E68" s="10"/>
      <c r="F68" s="11"/>
      <c r="G68" s="2"/>
      <c r="H68" s="2"/>
      <c r="I68" s="2"/>
      <c r="J68" s="67"/>
    </row>
    <row r="69" spans="1:10" x14ac:dyDescent="0.35">
      <c r="A69" s="61">
        <v>65</v>
      </c>
      <c r="B69" s="2"/>
      <c r="C69" s="2"/>
      <c r="D69" s="2"/>
      <c r="E69" s="10"/>
      <c r="F69" s="11"/>
      <c r="G69" s="2"/>
      <c r="H69" s="2"/>
      <c r="I69" s="2"/>
      <c r="J69" s="67"/>
    </row>
    <row r="70" spans="1:10" x14ac:dyDescent="0.35">
      <c r="A70" s="61">
        <v>66</v>
      </c>
      <c r="B70" s="2"/>
      <c r="C70" s="2"/>
      <c r="D70" s="2"/>
      <c r="E70" s="10"/>
      <c r="F70" s="11"/>
      <c r="G70" s="2"/>
      <c r="H70" s="2"/>
      <c r="I70" s="2"/>
      <c r="J70" s="67"/>
    </row>
    <row r="71" spans="1:10" x14ac:dyDescent="0.35">
      <c r="A71" s="61">
        <v>67</v>
      </c>
      <c r="B71" s="2"/>
      <c r="C71" s="2"/>
      <c r="D71" s="2"/>
      <c r="E71" s="10"/>
      <c r="F71" s="11"/>
      <c r="G71" s="2"/>
      <c r="H71" s="2"/>
      <c r="I71" s="2"/>
      <c r="J71" s="67"/>
    </row>
    <row r="72" spans="1:10" x14ac:dyDescent="0.35">
      <c r="A72" s="61">
        <v>68</v>
      </c>
      <c r="B72" s="2"/>
      <c r="C72" s="2"/>
      <c r="D72" s="2"/>
      <c r="E72" s="10"/>
      <c r="F72" s="11"/>
      <c r="G72" s="2"/>
      <c r="H72" s="2"/>
      <c r="I72" s="2"/>
      <c r="J72" s="67"/>
    </row>
    <row r="73" spans="1:10" x14ac:dyDescent="0.35">
      <c r="A73" s="61">
        <v>69</v>
      </c>
      <c r="B73" s="2"/>
      <c r="C73" s="2"/>
      <c r="D73" s="2"/>
      <c r="E73" s="10"/>
      <c r="F73" s="11"/>
      <c r="G73" s="2"/>
      <c r="H73" s="2"/>
      <c r="I73" s="2"/>
      <c r="J73" s="67"/>
    </row>
    <row r="74" spans="1:10" x14ac:dyDescent="0.35">
      <c r="A74" s="61">
        <v>70</v>
      </c>
      <c r="B74" s="2"/>
      <c r="C74" s="2"/>
      <c r="D74" s="2"/>
      <c r="E74" s="10"/>
      <c r="F74" s="11"/>
      <c r="G74" s="2"/>
      <c r="H74" s="2"/>
      <c r="I74" s="2"/>
      <c r="J74" s="67"/>
    </row>
    <row r="75" spans="1:10" x14ac:dyDescent="0.35">
      <c r="A75" s="61">
        <v>71</v>
      </c>
      <c r="B75" s="2"/>
      <c r="C75" s="2"/>
      <c r="D75" s="2"/>
      <c r="E75" s="10"/>
      <c r="F75" s="11"/>
      <c r="G75" s="2"/>
      <c r="H75" s="2"/>
      <c r="I75" s="2"/>
      <c r="J75" s="67"/>
    </row>
    <row r="76" spans="1:10" x14ac:dyDescent="0.35">
      <c r="A76" s="61">
        <v>72</v>
      </c>
      <c r="B76" s="2"/>
      <c r="C76" s="2"/>
      <c r="D76" s="2"/>
      <c r="E76" s="10"/>
      <c r="F76" s="11"/>
      <c r="G76" s="2"/>
      <c r="H76" s="2"/>
      <c r="I76" s="2"/>
      <c r="J76" s="67"/>
    </row>
    <row r="77" spans="1:10" x14ac:dyDescent="0.35">
      <c r="A77" s="61">
        <v>73</v>
      </c>
      <c r="B77" s="2"/>
      <c r="C77" s="2"/>
      <c r="D77" s="2"/>
      <c r="E77" s="10"/>
      <c r="F77" s="11"/>
      <c r="G77" s="2"/>
      <c r="H77" s="2"/>
      <c r="I77" s="2"/>
      <c r="J77" s="67"/>
    </row>
    <row r="78" spans="1:10" x14ac:dyDescent="0.35">
      <c r="A78" s="61">
        <v>74</v>
      </c>
      <c r="B78" s="2"/>
      <c r="C78" s="2"/>
      <c r="D78" s="2"/>
      <c r="E78" s="10"/>
      <c r="F78" s="11"/>
      <c r="G78" s="2"/>
      <c r="H78" s="2"/>
      <c r="I78" s="2"/>
      <c r="J78" s="67"/>
    </row>
    <row r="79" spans="1:10" x14ac:dyDescent="0.35">
      <c r="A79" s="61">
        <v>75</v>
      </c>
      <c r="B79" s="2"/>
      <c r="C79" s="2"/>
      <c r="D79" s="2"/>
      <c r="E79" s="10"/>
      <c r="F79" s="11"/>
      <c r="G79" s="2"/>
      <c r="H79" s="2"/>
      <c r="I79" s="2"/>
      <c r="J79" s="67"/>
    </row>
    <row r="80" spans="1:10" x14ac:dyDescent="0.35">
      <c r="A80" s="61">
        <v>76</v>
      </c>
      <c r="B80" s="2"/>
      <c r="C80" s="2"/>
      <c r="D80" s="2"/>
      <c r="E80" s="10"/>
      <c r="F80" s="11"/>
      <c r="G80" s="2"/>
      <c r="H80" s="2"/>
      <c r="I80" s="2"/>
      <c r="J80" s="67"/>
    </row>
    <row r="81" spans="1:10" x14ac:dyDescent="0.35">
      <c r="A81" s="61">
        <v>77</v>
      </c>
      <c r="B81" s="2"/>
      <c r="C81" s="2"/>
      <c r="D81" s="2"/>
      <c r="E81" s="10"/>
      <c r="F81" s="11"/>
      <c r="G81" s="2"/>
      <c r="H81" s="2"/>
      <c r="I81" s="2"/>
      <c r="J81" s="67"/>
    </row>
    <row r="82" spans="1:10" x14ac:dyDescent="0.35">
      <c r="A82" s="61">
        <v>78</v>
      </c>
      <c r="B82" s="2"/>
      <c r="C82" s="2"/>
      <c r="D82" s="2"/>
      <c r="E82" s="10"/>
      <c r="F82" s="11"/>
      <c r="G82" s="2"/>
      <c r="H82" s="2"/>
      <c r="I82" s="2"/>
      <c r="J82" s="67"/>
    </row>
    <row r="83" spans="1:10" x14ac:dyDescent="0.35">
      <c r="A83" s="61">
        <v>79</v>
      </c>
      <c r="B83" s="2"/>
      <c r="C83" s="2"/>
      <c r="D83" s="2"/>
      <c r="E83" s="10"/>
      <c r="F83" s="11"/>
      <c r="G83" s="2"/>
      <c r="H83" s="2"/>
      <c r="I83" s="2"/>
      <c r="J83" s="67"/>
    </row>
    <row r="84" spans="1:10" x14ac:dyDescent="0.35">
      <c r="A84" s="61">
        <v>80</v>
      </c>
      <c r="B84" s="2"/>
      <c r="C84" s="2"/>
      <c r="D84" s="2"/>
      <c r="E84" s="10"/>
      <c r="F84" s="11"/>
      <c r="G84" s="2"/>
      <c r="H84" s="2"/>
      <c r="I84" s="2"/>
      <c r="J84" s="67"/>
    </row>
    <row r="85" spans="1:10" x14ac:dyDescent="0.35">
      <c r="A85" s="61">
        <v>81</v>
      </c>
      <c r="B85" s="2"/>
      <c r="C85" s="2"/>
      <c r="D85" s="2"/>
      <c r="E85" s="10"/>
      <c r="F85" s="11"/>
      <c r="G85" s="2"/>
      <c r="H85" s="2"/>
      <c r="I85" s="2"/>
      <c r="J85" s="67"/>
    </row>
    <row r="86" spans="1:10" x14ac:dyDescent="0.35">
      <c r="A86" s="61">
        <v>82</v>
      </c>
      <c r="B86" s="2"/>
      <c r="C86" s="2"/>
      <c r="D86" s="2"/>
      <c r="E86" s="10"/>
      <c r="F86" s="11"/>
      <c r="G86" s="2"/>
      <c r="H86" s="2"/>
      <c r="I86" s="2"/>
      <c r="J86" s="67"/>
    </row>
    <row r="87" spans="1:10" x14ac:dyDescent="0.35">
      <c r="A87" s="61">
        <v>83</v>
      </c>
      <c r="B87" s="2"/>
      <c r="C87" s="2"/>
      <c r="D87" s="2"/>
      <c r="E87" s="10"/>
      <c r="F87" s="11"/>
      <c r="G87" s="2"/>
      <c r="H87" s="2"/>
      <c r="I87" s="2"/>
      <c r="J87" s="67"/>
    </row>
    <row r="88" spans="1:10" x14ac:dyDescent="0.35">
      <c r="A88" s="61">
        <v>84</v>
      </c>
      <c r="B88" s="2"/>
      <c r="C88" s="2"/>
      <c r="D88" s="2"/>
      <c r="E88" s="10"/>
      <c r="F88" s="11"/>
      <c r="G88" s="2"/>
      <c r="H88" s="2"/>
      <c r="I88" s="2"/>
      <c r="J88" s="67"/>
    </row>
    <row r="89" spans="1:10" x14ac:dyDescent="0.35">
      <c r="A89" s="61">
        <v>85</v>
      </c>
      <c r="B89" s="2"/>
      <c r="C89" s="2"/>
      <c r="D89" s="2"/>
      <c r="E89" s="10"/>
      <c r="F89" s="11"/>
      <c r="G89" s="2"/>
      <c r="H89" s="2"/>
      <c r="I89" s="2"/>
      <c r="J89" s="67"/>
    </row>
    <row r="90" spans="1:10" x14ac:dyDescent="0.35">
      <c r="A90" s="61">
        <v>86</v>
      </c>
      <c r="B90" s="2"/>
      <c r="C90" s="2"/>
      <c r="D90" s="2"/>
      <c r="E90" s="10"/>
      <c r="F90" s="11"/>
      <c r="G90" s="2"/>
      <c r="H90" s="2"/>
      <c r="I90" s="2"/>
      <c r="J90" s="67"/>
    </row>
    <row r="91" spans="1:10" x14ac:dyDescent="0.35">
      <c r="A91" s="61">
        <v>87</v>
      </c>
      <c r="B91" s="2"/>
      <c r="C91" s="2"/>
      <c r="D91" s="2"/>
      <c r="E91" s="10"/>
      <c r="F91" s="11"/>
      <c r="G91" s="2"/>
      <c r="H91" s="2"/>
      <c r="I91" s="2"/>
      <c r="J91" s="67"/>
    </row>
    <row r="92" spans="1:10" x14ac:dyDescent="0.35">
      <c r="A92" s="61">
        <v>88</v>
      </c>
      <c r="B92" s="2"/>
      <c r="C92" s="2"/>
      <c r="D92" s="2"/>
      <c r="E92" s="10"/>
      <c r="F92" s="11"/>
      <c r="G92" s="2"/>
      <c r="H92" s="2"/>
      <c r="I92" s="2"/>
      <c r="J92" s="67"/>
    </row>
    <row r="93" spans="1:10" x14ac:dyDescent="0.35">
      <c r="A93" s="61">
        <v>89</v>
      </c>
      <c r="B93" s="2"/>
      <c r="C93" s="2"/>
      <c r="D93" s="2"/>
      <c r="E93" s="10"/>
      <c r="F93" s="11"/>
      <c r="G93" s="2"/>
      <c r="H93" s="2"/>
      <c r="I93" s="2"/>
      <c r="J93" s="67"/>
    </row>
    <row r="94" spans="1:10" x14ac:dyDescent="0.35">
      <c r="A94" s="61">
        <v>90</v>
      </c>
      <c r="B94" s="2"/>
      <c r="C94" s="2"/>
      <c r="D94" s="2"/>
      <c r="E94" s="10"/>
      <c r="F94" s="11"/>
      <c r="G94" s="2"/>
      <c r="H94" s="2"/>
      <c r="I94" s="2"/>
      <c r="J94" s="67"/>
    </row>
    <row r="95" spans="1:10" x14ac:dyDescent="0.35">
      <c r="A95" s="61">
        <v>91</v>
      </c>
      <c r="B95" s="2"/>
      <c r="C95" s="2"/>
      <c r="D95" s="2"/>
      <c r="E95" s="10"/>
      <c r="F95" s="11"/>
      <c r="G95" s="2"/>
      <c r="H95" s="2"/>
      <c r="I95" s="2"/>
      <c r="J95" s="67"/>
    </row>
    <row r="96" spans="1:10" x14ac:dyDescent="0.35">
      <c r="A96" s="61">
        <v>92</v>
      </c>
      <c r="B96" s="2"/>
      <c r="C96" s="2"/>
      <c r="D96" s="2"/>
      <c r="E96" s="10"/>
      <c r="F96" s="11"/>
      <c r="G96" s="2"/>
      <c r="H96" s="2"/>
      <c r="I96" s="2"/>
      <c r="J96" s="67"/>
    </row>
    <row r="97" spans="1:10" x14ac:dyDescent="0.35">
      <c r="A97" s="61">
        <v>93</v>
      </c>
      <c r="B97" s="2"/>
      <c r="C97" s="2"/>
      <c r="D97" s="2"/>
      <c r="E97" s="10"/>
      <c r="F97" s="11"/>
      <c r="G97" s="2"/>
      <c r="H97" s="2"/>
      <c r="I97" s="2"/>
      <c r="J97" s="67"/>
    </row>
    <row r="98" spans="1:10" x14ac:dyDescent="0.35">
      <c r="A98" s="61">
        <v>94</v>
      </c>
      <c r="B98" s="2"/>
      <c r="C98" s="2"/>
      <c r="D98" s="2"/>
      <c r="E98" s="10"/>
      <c r="F98" s="11"/>
      <c r="G98" s="2"/>
      <c r="H98" s="2"/>
      <c r="I98" s="2"/>
      <c r="J98" s="67"/>
    </row>
    <row r="99" spans="1:10" x14ac:dyDescent="0.35">
      <c r="A99" s="61">
        <v>95</v>
      </c>
      <c r="B99" s="2"/>
      <c r="C99" s="2"/>
      <c r="D99" s="2"/>
      <c r="E99" s="10"/>
      <c r="F99" s="11"/>
      <c r="G99" s="2"/>
      <c r="H99" s="2"/>
      <c r="I99" s="2"/>
      <c r="J99" s="67"/>
    </row>
    <row r="100" spans="1:10" x14ac:dyDescent="0.35">
      <c r="A100" s="61">
        <v>96</v>
      </c>
      <c r="B100" s="2"/>
      <c r="C100" s="2"/>
      <c r="D100" s="2"/>
      <c r="E100" s="10"/>
      <c r="F100" s="11"/>
      <c r="G100" s="2"/>
      <c r="H100" s="2"/>
      <c r="I100" s="2"/>
      <c r="J100" s="67"/>
    </row>
    <row r="101" spans="1:10" x14ac:dyDescent="0.35">
      <c r="A101" s="61">
        <v>97</v>
      </c>
      <c r="B101" s="2"/>
      <c r="C101" s="2"/>
      <c r="D101" s="2"/>
      <c r="E101" s="10"/>
      <c r="F101" s="11"/>
      <c r="G101" s="2"/>
      <c r="H101" s="2"/>
      <c r="I101" s="2"/>
      <c r="J101" s="67"/>
    </row>
    <row r="102" spans="1:10" x14ac:dyDescent="0.35">
      <c r="A102" s="61">
        <v>98</v>
      </c>
      <c r="B102" s="2"/>
      <c r="C102" s="2"/>
      <c r="D102" s="2"/>
      <c r="E102" s="10"/>
      <c r="F102" s="11"/>
      <c r="G102" s="2"/>
      <c r="H102" s="2"/>
      <c r="I102" s="2"/>
      <c r="J102" s="67"/>
    </row>
    <row r="103" spans="1:10" x14ac:dyDescent="0.35">
      <c r="A103" s="61">
        <v>99</v>
      </c>
      <c r="B103" s="2"/>
      <c r="C103" s="2"/>
      <c r="D103" s="2"/>
      <c r="E103" s="10"/>
      <c r="F103" s="11"/>
      <c r="G103" s="2"/>
      <c r="H103" s="2"/>
      <c r="I103" s="2"/>
      <c r="J103" s="67"/>
    </row>
    <row r="104" spans="1:10" x14ac:dyDescent="0.35">
      <c r="A104" s="61">
        <v>100</v>
      </c>
      <c r="B104" s="2"/>
      <c r="C104" s="2"/>
      <c r="D104" s="2"/>
      <c r="E104" s="10"/>
      <c r="F104" s="11"/>
      <c r="G104" s="2"/>
      <c r="H104" s="2"/>
      <c r="I104" s="2"/>
      <c r="J104" s="67"/>
    </row>
    <row r="105" spans="1:10" x14ac:dyDescent="0.35">
      <c r="A105" s="61">
        <v>101</v>
      </c>
      <c r="B105" s="2"/>
      <c r="C105" s="2"/>
      <c r="D105" s="2"/>
      <c r="E105" s="10"/>
      <c r="F105" s="11"/>
      <c r="G105" s="2"/>
      <c r="H105" s="2"/>
      <c r="I105" s="2"/>
      <c r="J105" s="67"/>
    </row>
    <row r="106" spans="1:10" x14ac:dyDescent="0.35">
      <c r="A106" s="61">
        <v>102</v>
      </c>
      <c r="B106" s="2"/>
      <c r="C106" s="2"/>
      <c r="D106" s="2"/>
      <c r="E106" s="10"/>
      <c r="F106" s="11"/>
      <c r="G106" s="2"/>
      <c r="H106" s="2"/>
      <c r="I106" s="2"/>
      <c r="J106" s="67"/>
    </row>
    <row r="107" spans="1:10" x14ac:dyDescent="0.35">
      <c r="A107" s="61">
        <v>103</v>
      </c>
      <c r="B107" s="2"/>
      <c r="C107" s="2"/>
      <c r="D107" s="2"/>
      <c r="E107" s="10"/>
      <c r="F107" s="11"/>
      <c r="G107" s="2"/>
      <c r="H107" s="2"/>
      <c r="I107" s="2"/>
      <c r="J107" s="67"/>
    </row>
    <row r="108" spans="1:10" x14ac:dyDescent="0.35">
      <c r="A108" s="61">
        <v>104</v>
      </c>
      <c r="B108" s="2"/>
      <c r="C108" s="2"/>
      <c r="D108" s="2"/>
      <c r="E108" s="10"/>
      <c r="F108" s="11"/>
      <c r="G108" s="2"/>
      <c r="H108" s="2"/>
      <c r="I108" s="2"/>
      <c r="J108" s="67"/>
    </row>
    <row r="109" spans="1:10" x14ac:dyDescent="0.35">
      <c r="A109" s="61">
        <v>105</v>
      </c>
      <c r="B109" s="2"/>
      <c r="C109" s="2"/>
      <c r="D109" s="2"/>
      <c r="E109" s="10"/>
      <c r="F109" s="11"/>
      <c r="G109" s="2"/>
      <c r="H109" s="2"/>
      <c r="I109" s="2"/>
      <c r="J109" s="67"/>
    </row>
    <row r="110" spans="1:10" x14ac:dyDescent="0.35">
      <c r="A110" s="61">
        <v>106</v>
      </c>
      <c r="B110" s="2"/>
      <c r="C110" s="2"/>
      <c r="D110" s="2"/>
      <c r="E110" s="10"/>
      <c r="F110" s="11"/>
      <c r="G110" s="2"/>
      <c r="H110" s="2"/>
      <c r="I110" s="2"/>
      <c r="J110" s="67"/>
    </row>
    <row r="111" spans="1:10" x14ac:dyDescent="0.35">
      <c r="A111" s="61">
        <v>107</v>
      </c>
      <c r="B111" s="2"/>
      <c r="C111" s="2"/>
      <c r="D111" s="2"/>
      <c r="E111" s="10"/>
      <c r="F111" s="11"/>
      <c r="G111" s="2"/>
      <c r="H111" s="2"/>
      <c r="I111" s="2"/>
      <c r="J111" s="67"/>
    </row>
    <row r="112" spans="1:10" x14ac:dyDescent="0.35">
      <c r="A112" s="61">
        <v>108</v>
      </c>
      <c r="B112" s="2"/>
      <c r="C112" s="2"/>
      <c r="D112" s="2"/>
      <c r="E112" s="10"/>
      <c r="F112" s="11"/>
      <c r="G112" s="2"/>
      <c r="H112" s="2"/>
      <c r="I112" s="2"/>
      <c r="J112" s="67"/>
    </row>
    <row r="113" spans="1:10" x14ac:dyDescent="0.35">
      <c r="A113" s="61">
        <v>109</v>
      </c>
      <c r="B113" s="2"/>
      <c r="C113" s="2"/>
      <c r="D113" s="2"/>
      <c r="E113" s="10"/>
      <c r="F113" s="11"/>
      <c r="G113" s="2"/>
      <c r="H113" s="2"/>
      <c r="I113" s="2"/>
      <c r="J113" s="67"/>
    </row>
    <row r="114" spans="1:10" x14ac:dyDescent="0.35">
      <c r="A114" s="61">
        <v>110</v>
      </c>
      <c r="B114" s="2"/>
      <c r="C114" s="2"/>
      <c r="D114" s="2"/>
      <c r="E114" s="10"/>
      <c r="F114" s="11"/>
      <c r="G114" s="2"/>
      <c r="H114" s="2"/>
      <c r="I114" s="2"/>
      <c r="J114" s="67"/>
    </row>
    <row r="115" spans="1:10" x14ac:dyDescent="0.35">
      <c r="A115" s="61">
        <v>111</v>
      </c>
      <c r="B115" s="2"/>
      <c r="C115" s="2"/>
      <c r="D115" s="2"/>
      <c r="E115" s="10"/>
      <c r="F115" s="11"/>
      <c r="G115" s="2"/>
      <c r="H115" s="2"/>
      <c r="I115" s="2"/>
      <c r="J115" s="67"/>
    </row>
    <row r="116" spans="1:10" x14ac:dyDescent="0.35">
      <c r="A116" s="61">
        <v>112</v>
      </c>
      <c r="B116" s="2"/>
      <c r="C116" s="2"/>
      <c r="D116" s="2"/>
      <c r="E116" s="10"/>
      <c r="F116" s="11"/>
      <c r="G116" s="2"/>
      <c r="H116" s="2"/>
      <c r="I116" s="2"/>
      <c r="J116" s="67"/>
    </row>
    <row r="117" spans="1:10" x14ac:dyDescent="0.35">
      <c r="A117" s="61">
        <v>113</v>
      </c>
      <c r="B117" s="2"/>
      <c r="C117" s="2"/>
      <c r="D117" s="2"/>
      <c r="E117" s="10"/>
      <c r="F117" s="11"/>
      <c r="G117" s="2"/>
      <c r="H117" s="2"/>
      <c r="I117" s="2"/>
      <c r="J117" s="67"/>
    </row>
    <row r="118" spans="1:10" x14ac:dyDescent="0.35">
      <c r="A118" s="61">
        <v>114</v>
      </c>
      <c r="B118" s="2"/>
      <c r="C118" s="2"/>
      <c r="D118" s="2"/>
      <c r="E118" s="10"/>
      <c r="F118" s="11"/>
      <c r="G118" s="2"/>
      <c r="H118" s="2"/>
      <c r="I118" s="2"/>
      <c r="J118" s="67"/>
    </row>
    <row r="119" spans="1:10" x14ac:dyDescent="0.35">
      <c r="A119" s="61">
        <v>115</v>
      </c>
      <c r="B119" s="2"/>
      <c r="C119" s="2"/>
      <c r="D119" s="2"/>
      <c r="E119" s="10"/>
      <c r="F119" s="11"/>
      <c r="G119" s="2"/>
      <c r="H119" s="2"/>
      <c r="I119" s="2"/>
      <c r="J119" s="67"/>
    </row>
    <row r="120" spans="1:10" x14ac:dyDescent="0.35">
      <c r="A120" s="61">
        <v>116</v>
      </c>
      <c r="B120" s="2"/>
      <c r="C120" s="2"/>
      <c r="D120" s="2"/>
      <c r="E120" s="10"/>
      <c r="F120" s="11"/>
      <c r="G120" s="2"/>
      <c r="H120" s="2"/>
      <c r="I120" s="2"/>
      <c r="J120" s="67"/>
    </row>
    <row r="121" spans="1:10" x14ac:dyDescent="0.35">
      <c r="A121" s="61">
        <v>117</v>
      </c>
      <c r="B121" s="2"/>
      <c r="C121" s="2"/>
      <c r="D121" s="2"/>
      <c r="E121" s="10"/>
      <c r="F121" s="11"/>
      <c r="G121" s="2"/>
      <c r="H121" s="2"/>
      <c r="I121" s="2"/>
      <c r="J121" s="67"/>
    </row>
    <row r="122" spans="1:10" x14ac:dyDescent="0.35">
      <c r="A122" s="61">
        <v>118</v>
      </c>
      <c r="B122" s="2"/>
      <c r="C122" s="2"/>
      <c r="D122" s="2"/>
      <c r="E122" s="10"/>
      <c r="F122" s="11"/>
      <c r="G122" s="2"/>
      <c r="H122" s="2"/>
      <c r="I122" s="2"/>
      <c r="J122" s="67"/>
    </row>
    <row r="123" spans="1:10" x14ac:dyDescent="0.35">
      <c r="A123" s="61">
        <v>119</v>
      </c>
      <c r="B123" s="2"/>
      <c r="C123" s="2"/>
      <c r="D123" s="2"/>
      <c r="E123" s="10"/>
      <c r="F123" s="11"/>
      <c r="G123" s="2"/>
      <c r="H123" s="2"/>
      <c r="I123" s="2"/>
      <c r="J123" s="67"/>
    </row>
    <row r="124" spans="1:10" x14ac:dyDescent="0.35">
      <c r="A124" s="61">
        <v>120</v>
      </c>
      <c r="B124" s="2"/>
      <c r="C124" s="2"/>
      <c r="D124" s="2"/>
      <c r="E124" s="10"/>
      <c r="F124" s="11"/>
      <c r="G124" s="2"/>
      <c r="H124" s="2"/>
      <c r="I124" s="2"/>
      <c r="J124" s="67"/>
    </row>
    <row r="125" spans="1:10" x14ac:dyDescent="0.35">
      <c r="A125" s="61">
        <v>121</v>
      </c>
      <c r="B125" s="2"/>
      <c r="C125" s="2"/>
      <c r="D125" s="2"/>
      <c r="E125" s="10"/>
      <c r="F125" s="11"/>
      <c r="G125" s="2"/>
      <c r="H125" s="2"/>
      <c r="I125" s="2"/>
      <c r="J125" s="67"/>
    </row>
    <row r="126" spans="1:10" x14ac:dyDescent="0.35">
      <c r="A126" s="61">
        <v>122</v>
      </c>
      <c r="B126" s="2"/>
      <c r="C126" s="2"/>
      <c r="D126" s="2"/>
      <c r="E126" s="10"/>
      <c r="F126" s="11"/>
      <c r="G126" s="2"/>
      <c r="H126" s="2"/>
      <c r="I126" s="2"/>
      <c r="J126" s="67"/>
    </row>
    <row r="127" spans="1:10" x14ac:dyDescent="0.35">
      <c r="A127" s="61">
        <v>123</v>
      </c>
      <c r="B127" s="2"/>
      <c r="C127" s="2"/>
      <c r="D127" s="2"/>
      <c r="E127" s="10"/>
      <c r="F127" s="11"/>
      <c r="G127" s="2"/>
      <c r="H127" s="2"/>
      <c r="I127" s="2"/>
      <c r="J127" s="67"/>
    </row>
    <row r="128" spans="1:10" x14ac:dyDescent="0.35">
      <c r="A128" s="61">
        <v>124</v>
      </c>
      <c r="B128" s="2"/>
      <c r="C128" s="2"/>
      <c r="D128" s="2"/>
      <c r="E128" s="10"/>
      <c r="F128" s="11"/>
      <c r="G128" s="2"/>
      <c r="H128" s="2"/>
      <c r="I128" s="2"/>
      <c r="J128" s="67"/>
    </row>
    <row r="129" spans="1:10" x14ac:dyDescent="0.35">
      <c r="A129" s="61">
        <v>125</v>
      </c>
      <c r="B129" s="2"/>
      <c r="C129" s="2"/>
      <c r="D129" s="2"/>
      <c r="E129" s="10"/>
      <c r="F129" s="11"/>
      <c r="G129" s="2"/>
      <c r="H129" s="2"/>
      <c r="I129" s="2"/>
      <c r="J129" s="67"/>
    </row>
    <row r="130" spans="1:10" x14ac:dyDescent="0.35">
      <c r="A130" s="61">
        <v>126</v>
      </c>
      <c r="B130" s="2"/>
      <c r="C130" s="2"/>
      <c r="D130" s="2"/>
      <c r="E130" s="10"/>
      <c r="F130" s="11"/>
      <c r="G130" s="2"/>
      <c r="H130" s="2"/>
      <c r="I130" s="2"/>
      <c r="J130" s="67"/>
    </row>
    <row r="131" spans="1:10" x14ac:dyDescent="0.35">
      <c r="A131" s="61">
        <v>127</v>
      </c>
      <c r="B131" s="2"/>
      <c r="C131" s="2"/>
      <c r="D131" s="2"/>
      <c r="E131" s="10"/>
      <c r="F131" s="11"/>
      <c r="G131" s="2"/>
      <c r="H131" s="2"/>
      <c r="I131" s="2"/>
      <c r="J131" s="67"/>
    </row>
    <row r="132" spans="1:10" x14ac:dyDescent="0.35">
      <c r="A132" s="61">
        <v>128</v>
      </c>
      <c r="B132" s="2"/>
      <c r="C132" s="2"/>
      <c r="D132" s="2"/>
      <c r="E132" s="10"/>
      <c r="F132" s="11"/>
      <c r="G132" s="2"/>
      <c r="H132" s="2"/>
      <c r="I132" s="2"/>
      <c r="J132" s="67"/>
    </row>
    <row r="133" spans="1:10" x14ac:dyDescent="0.35">
      <c r="A133" s="61">
        <v>129</v>
      </c>
      <c r="B133" s="2"/>
      <c r="C133" s="2"/>
      <c r="D133" s="2"/>
      <c r="E133" s="10"/>
      <c r="F133" s="11"/>
      <c r="G133" s="2"/>
      <c r="H133" s="2"/>
      <c r="I133" s="2"/>
      <c r="J133" s="67"/>
    </row>
    <row r="134" spans="1:10" x14ac:dyDescent="0.35">
      <c r="A134" s="61">
        <v>130</v>
      </c>
      <c r="B134" s="2"/>
      <c r="C134" s="2"/>
      <c r="D134" s="2"/>
      <c r="E134" s="10"/>
      <c r="F134" s="11"/>
      <c r="G134" s="2"/>
      <c r="H134" s="2"/>
      <c r="I134" s="2"/>
      <c r="J134" s="67"/>
    </row>
    <row r="135" spans="1:10" x14ac:dyDescent="0.35">
      <c r="A135" s="61">
        <v>131</v>
      </c>
      <c r="B135" s="2"/>
      <c r="C135" s="2"/>
      <c r="D135" s="2"/>
      <c r="E135" s="10"/>
      <c r="F135" s="11"/>
      <c r="G135" s="2"/>
      <c r="H135" s="2"/>
      <c r="I135" s="2"/>
      <c r="J135" s="67"/>
    </row>
    <row r="136" spans="1:10" x14ac:dyDescent="0.35">
      <c r="A136" s="61">
        <v>132</v>
      </c>
      <c r="B136" s="2"/>
      <c r="C136" s="2"/>
      <c r="D136" s="2"/>
      <c r="E136" s="10"/>
      <c r="F136" s="11"/>
      <c r="G136" s="2"/>
      <c r="H136" s="2"/>
      <c r="I136" s="2"/>
      <c r="J136" s="67"/>
    </row>
    <row r="137" spans="1:10" x14ac:dyDescent="0.35">
      <c r="A137" s="61">
        <v>133</v>
      </c>
      <c r="B137" s="2"/>
      <c r="C137" s="2"/>
      <c r="D137" s="2"/>
      <c r="E137" s="10"/>
      <c r="F137" s="11"/>
      <c r="G137" s="2"/>
      <c r="H137" s="2"/>
      <c r="I137" s="2"/>
      <c r="J137" s="67"/>
    </row>
    <row r="138" spans="1:10" x14ac:dyDescent="0.35">
      <c r="A138" s="61">
        <v>134</v>
      </c>
      <c r="B138" s="2"/>
      <c r="C138" s="2"/>
      <c r="D138" s="2"/>
      <c r="E138" s="10"/>
      <c r="F138" s="11"/>
      <c r="G138" s="2"/>
      <c r="H138" s="2"/>
      <c r="I138" s="2"/>
      <c r="J138" s="67"/>
    </row>
    <row r="139" spans="1:10" x14ac:dyDescent="0.35">
      <c r="A139" s="61">
        <v>135</v>
      </c>
      <c r="B139" s="2"/>
      <c r="C139" s="2"/>
      <c r="D139" s="2"/>
      <c r="E139" s="10"/>
      <c r="F139" s="11"/>
      <c r="G139" s="2"/>
      <c r="H139" s="2"/>
      <c r="I139" s="2"/>
      <c r="J139" s="67"/>
    </row>
    <row r="140" spans="1:10" x14ac:dyDescent="0.35">
      <c r="A140" s="61">
        <v>136</v>
      </c>
      <c r="B140" s="2"/>
      <c r="C140" s="2"/>
      <c r="D140" s="2"/>
      <c r="E140" s="10"/>
      <c r="F140" s="11"/>
      <c r="G140" s="2"/>
      <c r="H140" s="2"/>
      <c r="I140" s="2"/>
      <c r="J140" s="67"/>
    </row>
    <row r="141" spans="1:10" x14ac:dyDescent="0.35">
      <c r="A141" s="61">
        <v>137</v>
      </c>
      <c r="B141" s="2"/>
      <c r="C141" s="2"/>
      <c r="D141" s="2"/>
      <c r="E141" s="10"/>
      <c r="F141" s="11"/>
      <c r="G141" s="2"/>
      <c r="H141" s="2"/>
      <c r="I141" s="2"/>
      <c r="J141" s="67"/>
    </row>
    <row r="142" spans="1:10" x14ac:dyDescent="0.35">
      <c r="A142" s="61">
        <v>138</v>
      </c>
      <c r="B142" s="2"/>
      <c r="C142" s="2"/>
      <c r="D142" s="2"/>
      <c r="E142" s="10"/>
      <c r="F142" s="11"/>
      <c r="G142" s="2"/>
      <c r="H142" s="2"/>
      <c r="I142" s="2"/>
      <c r="J142" s="67"/>
    </row>
    <row r="143" spans="1:10" x14ac:dyDescent="0.35">
      <c r="A143" s="61">
        <v>139</v>
      </c>
      <c r="B143" s="2"/>
      <c r="C143" s="2"/>
      <c r="D143" s="2"/>
      <c r="E143" s="10"/>
      <c r="F143" s="11"/>
      <c r="G143" s="2"/>
      <c r="H143" s="2"/>
      <c r="I143" s="2"/>
      <c r="J143" s="67"/>
    </row>
    <row r="144" spans="1:10" x14ac:dyDescent="0.35">
      <c r="A144" s="61">
        <v>140</v>
      </c>
      <c r="B144" s="2"/>
      <c r="C144" s="2"/>
      <c r="D144" s="2"/>
      <c r="E144" s="10"/>
      <c r="F144" s="11"/>
      <c r="G144" s="2"/>
      <c r="H144" s="2"/>
      <c r="I144" s="2"/>
      <c r="J144" s="67"/>
    </row>
    <row r="145" spans="1:10" x14ac:dyDescent="0.35">
      <c r="A145" s="61">
        <v>141</v>
      </c>
      <c r="B145" s="2"/>
      <c r="C145" s="2"/>
      <c r="D145" s="2"/>
      <c r="E145" s="10"/>
      <c r="F145" s="11"/>
      <c r="G145" s="2"/>
      <c r="H145" s="2"/>
      <c r="I145" s="2"/>
      <c r="J145" s="67"/>
    </row>
    <row r="146" spans="1:10" x14ac:dyDescent="0.35">
      <c r="A146" s="61">
        <v>142</v>
      </c>
      <c r="B146" s="2"/>
      <c r="C146" s="2"/>
      <c r="D146" s="2"/>
      <c r="E146" s="10"/>
      <c r="F146" s="11"/>
      <c r="G146" s="2"/>
      <c r="H146" s="2"/>
      <c r="I146" s="2"/>
      <c r="J146" s="67"/>
    </row>
    <row r="147" spans="1:10" x14ac:dyDescent="0.35">
      <c r="A147" s="61">
        <v>143</v>
      </c>
      <c r="B147" s="2"/>
      <c r="C147" s="2"/>
      <c r="D147" s="2"/>
      <c r="E147" s="10"/>
      <c r="F147" s="11"/>
      <c r="G147" s="2"/>
      <c r="H147" s="2"/>
      <c r="I147" s="2"/>
      <c r="J147" s="67"/>
    </row>
    <row r="148" spans="1:10" x14ac:dyDescent="0.35">
      <c r="A148" s="61">
        <v>144</v>
      </c>
      <c r="B148" s="2"/>
      <c r="C148" s="2"/>
      <c r="D148" s="2"/>
      <c r="E148" s="10"/>
      <c r="F148" s="11"/>
      <c r="G148" s="2"/>
      <c r="H148" s="2"/>
      <c r="I148" s="2"/>
      <c r="J148" s="67"/>
    </row>
    <row r="149" spans="1:10" x14ac:dyDescent="0.35">
      <c r="A149" s="61">
        <v>145</v>
      </c>
      <c r="B149" s="2"/>
      <c r="C149" s="2"/>
      <c r="D149" s="2"/>
      <c r="E149" s="10"/>
      <c r="F149" s="11"/>
      <c r="G149" s="2"/>
      <c r="H149" s="2"/>
      <c r="I149" s="2"/>
      <c r="J149" s="67"/>
    </row>
    <row r="150" spans="1:10" x14ac:dyDescent="0.35">
      <c r="A150" s="61">
        <v>146</v>
      </c>
      <c r="B150" s="2"/>
      <c r="C150" s="2"/>
      <c r="D150" s="2"/>
      <c r="E150" s="10"/>
      <c r="F150" s="11"/>
      <c r="G150" s="2"/>
      <c r="H150" s="2"/>
      <c r="I150" s="2"/>
      <c r="J150" s="67"/>
    </row>
    <row r="151" spans="1:10" x14ac:dyDescent="0.35">
      <c r="A151" s="61">
        <v>147</v>
      </c>
      <c r="B151" s="2"/>
      <c r="C151" s="2"/>
      <c r="D151" s="2"/>
      <c r="E151" s="10"/>
      <c r="F151" s="11"/>
      <c r="G151" s="2"/>
      <c r="H151" s="2"/>
      <c r="I151" s="2"/>
      <c r="J151" s="67"/>
    </row>
    <row r="152" spans="1:10" x14ac:dyDescent="0.35">
      <c r="A152" s="61">
        <v>148</v>
      </c>
      <c r="B152" s="2"/>
      <c r="C152" s="2"/>
      <c r="D152" s="2"/>
      <c r="E152" s="10"/>
      <c r="F152" s="11"/>
      <c r="G152" s="2"/>
      <c r="H152" s="2"/>
      <c r="I152" s="2"/>
      <c r="J152" s="67"/>
    </row>
    <row r="153" spans="1:10" x14ac:dyDescent="0.35">
      <c r="A153" s="61">
        <v>149</v>
      </c>
      <c r="B153" s="2"/>
      <c r="C153" s="2"/>
      <c r="D153" s="2"/>
      <c r="E153" s="10"/>
      <c r="F153" s="11"/>
      <c r="G153" s="2"/>
      <c r="H153" s="2"/>
      <c r="I153" s="2"/>
      <c r="J153" s="67"/>
    </row>
    <row r="154" spans="1:10" x14ac:dyDescent="0.35">
      <c r="A154" s="61">
        <v>150</v>
      </c>
      <c r="B154" s="2"/>
      <c r="C154" s="2"/>
      <c r="D154" s="2"/>
      <c r="E154" s="10"/>
      <c r="F154" s="11"/>
      <c r="G154" s="2"/>
      <c r="H154" s="2"/>
      <c r="I154" s="2"/>
      <c r="J154" s="67"/>
    </row>
    <row r="155" spans="1:10" x14ac:dyDescent="0.35">
      <c r="A155" s="61">
        <v>151</v>
      </c>
      <c r="B155" s="2"/>
      <c r="C155" s="2"/>
      <c r="D155" s="2"/>
      <c r="E155" s="10"/>
      <c r="F155" s="11"/>
      <c r="G155" s="2"/>
      <c r="H155" s="2"/>
      <c r="I155" s="2"/>
      <c r="J155" s="67"/>
    </row>
    <row r="156" spans="1:10" x14ac:dyDescent="0.35">
      <c r="A156" s="61">
        <v>152</v>
      </c>
      <c r="B156" s="2"/>
      <c r="C156" s="2"/>
      <c r="D156" s="2"/>
      <c r="E156" s="10"/>
      <c r="F156" s="11"/>
      <c r="G156" s="2"/>
      <c r="H156" s="2"/>
      <c r="I156" s="2"/>
      <c r="J156" s="67"/>
    </row>
    <row r="157" spans="1:10" x14ac:dyDescent="0.35">
      <c r="A157" s="61">
        <v>153</v>
      </c>
      <c r="B157" s="2"/>
      <c r="C157" s="2"/>
      <c r="D157" s="2"/>
      <c r="E157" s="10"/>
      <c r="F157" s="11"/>
      <c r="G157" s="2"/>
      <c r="H157" s="2"/>
      <c r="I157" s="2"/>
      <c r="J157" s="67"/>
    </row>
    <row r="158" spans="1:10" x14ac:dyDescent="0.35">
      <c r="A158" s="61">
        <v>154</v>
      </c>
      <c r="B158" s="2"/>
      <c r="C158" s="2"/>
      <c r="D158" s="2"/>
      <c r="E158" s="10"/>
      <c r="F158" s="11"/>
      <c r="G158" s="2"/>
      <c r="H158" s="2"/>
      <c r="I158" s="2"/>
      <c r="J158" s="67"/>
    </row>
    <row r="159" spans="1:10" x14ac:dyDescent="0.35">
      <c r="A159" s="61">
        <v>155</v>
      </c>
      <c r="B159" s="2"/>
      <c r="C159" s="2"/>
      <c r="D159" s="2"/>
      <c r="E159" s="10"/>
      <c r="F159" s="11"/>
      <c r="G159" s="2"/>
      <c r="H159" s="2"/>
      <c r="I159" s="2"/>
      <c r="J159" s="67"/>
    </row>
    <row r="160" spans="1:10" x14ac:dyDescent="0.35">
      <c r="A160" s="61">
        <v>156</v>
      </c>
      <c r="B160" s="2"/>
      <c r="C160" s="2"/>
      <c r="D160" s="2"/>
      <c r="E160" s="10"/>
      <c r="F160" s="11"/>
      <c r="G160" s="2"/>
      <c r="H160" s="2"/>
      <c r="I160" s="2"/>
      <c r="J160" s="67"/>
    </row>
    <row r="161" spans="1:10" x14ac:dyDescent="0.35">
      <c r="A161" s="61">
        <v>157</v>
      </c>
      <c r="B161" s="2"/>
      <c r="C161" s="2"/>
      <c r="D161" s="2"/>
      <c r="E161" s="10"/>
      <c r="F161" s="11"/>
      <c r="G161" s="2"/>
      <c r="H161" s="2"/>
      <c r="I161" s="2"/>
      <c r="J161" s="67"/>
    </row>
    <row r="162" spans="1:10" x14ac:dyDescent="0.35">
      <c r="A162" s="61">
        <v>158</v>
      </c>
      <c r="B162" s="2"/>
      <c r="C162" s="2"/>
      <c r="D162" s="2"/>
      <c r="E162" s="10"/>
      <c r="F162" s="11"/>
      <c r="G162" s="2"/>
      <c r="H162" s="2"/>
      <c r="I162" s="2"/>
      <c r="J162" s="67"/>
    </row>
    <row r="163" spans="1:10" x14ac:dyDescent="0.35">
      <c r="A163" s="61">
        <v>159</v>
      </c>
      <c r="B163" s="2"/>
      <c r="C163" s="2"/>
      <c r="D163" s="2"/>
      <c r="E163" s="10"/>
      <c r="F163" s="11"/>
      <c r="G163" s="2"/>
      <c r="H163" s="2"/>
      <c r="I163" s="2"/>
      <c r="J163" s="67"/>
    </row>
    <row r="164" spans="1:10" x14ac:dyDescent="0.35">
      <c r="A164" s="61">
        <v>160</v>
      </c>
      <c r="B164" s="2"/>
      <c r="C164" s="2"/>
      <c r="D164" s="2"/>
      <c r="E164" s="10"/>
      <c r="F164" s="11"/>
      <c r="G164" s="2"/>
      <c r="H164" s="2"/>
      <c r="I164" s="2"/>
      <c r="J164" s="67"/>
    </row>
    <row r="165" spans="1:10" x14ac:dyDescent="0.35">
      <c r="A165" s="61">
        <v>161</v>
      </c>
      <c r="B165" s="2"/>
      <c r="C165" s="2"/>
      <c r="D165" s="2"/>
      <c r="E165" s="10"/>
      <c r="F165" s="11"/>
      <c r="G165" s="2"/>
      <c r="H165" s="2"/>
      <c r="I165" s="2"/>
      <c r="J165" s="67"/>
    </row>
    <row r="166" spans="1:10" x14ac:dyDescent="0.35">
      <c r="A166" s="61">
        <v>162</v>
      </c>
      <c r="B166" s="2"/>
      <c r="C166" s="2"/>
      <c r="D166" s="2"/>
      <c r="E166" s="10"/>
      <c r="F166" s="11"/>
      <c r="G166" s="2"/>
      <c r="H166" s="2"/>
      <c r="I166" s="2"/>
      <c r="J166" s="67"/>
    </row>
    <row r="167" spans="1:10" x14ac:dyDescent="0.35">
      <c r="A167" s="61">
        <v>163</v>
      </c>
      <c r="B167" s="2"/>
      <c r="C167" s="2"/>
      <c r="D167" s="2"/>
      <c r="E167" s="10"/>
      <c r="F167" s="11"/>
      <c r="G167" s="2"/>
      <c r="H167" s="2"/>
      <c r="I167" s="2"/>
      <c r="J167" s="67"/>
    </row>
    <row r="168" spans="1:10" x14ac:dyDescent="0.35">
      <c r="A168" s="61">
        <v>164</v>
      </c>
      <c r="B168" s="2"/>
      <c r="C168" s="2"/>
      <c r="D168" s="2"/>
      <c r="E168" s="10"/>
      <c r="F168" s="11"/>
      <c r="G168" s="2"/>
      <c r="H168" s="2"/>
      <c r="I168" s="2"/>
      <c r="J168" s="67"/>
    </row>
    <row r="169" spans="1:10" x14ac:dyDescent="0.35">
      <c r="A169" s="61">
        <v>165</v>
      </c>
      <c r="B169" s="2"/>
      <c r="C169" s="2"/>
      <c r="D169" s="2"/>
      <c r="E169" s="10"/>
      <c r="F169" s="11"/>
      <c r="G169" s="2"/>
      <c r="H169" s="2"/>
      <c r="I169" s="2"/>
      <c r="J169" s="67"/>
    </row>
    <row r="170" spans="1:10" x14ac:dyDescent="0.35">
      <c r="A170" s="61">
        <v>166</v>
      </c>
      <c r="B170" s="2"/>
      <c r="C170" s="2"/>
      <c r="D170" s="2"/>
      <c r="E170" s="10"/>
      <c r="F170" s="11"/>
      <c r="G170" s="2"/>
      <c r="H170" s="2"/>
      <c r="I170" s="2"/>
      <c r="J170" s="67"/>
    </row>
    <row r="171" spans="1:10" x14ac:dyDescent="0.35">
      <c r="A171" s="61">
        <v>167</v>
      </c>
      <c r="B171" s="2"/>
      <c r="C171" s="2"/>
      <c r="D171" s="2"/>
      <c r="E171" s="10"/>
      <c r="F171" s="11"/>
      <c r="G171" s="2"/>
      <c r="H171" s="2"/>
      <c r="I171" s="2"/>
      <c r="J171" s="67"/>
    </row>
    <row r="172" spans="1:10" x14ac:dyDescent="0.35">
      <c r="A172" s="61">
        <v>168</v>
      </c>
      <c r="B172" s="2"/>
      <c r="C172" s="2"/>
      <c r="D172" s="2"/>
      <c r="E172" s="10"/>
      <c r="F172" s="11"/>
      <c r="G172" s="2"/>
      <c r="H172" s="2"/>
      <c r="I172" s="2"/>
      <c r="J172" s="67"/>
    </row>
    <row r="173" spans="1:10" x14ac:dyDescent="0.35">
      <c r="A173" s="61">
        <v>169</v>
      </c>
      <c r="B173" s="2"/>
      <c r="C173" s="2"/>
      <c r="D173" s="2"/>
      <c r="E173" s="10"/>
      <c r="F173" s="11"/>
      <c r="G173" s="2"/>
      <c r="H173" s="2"/>
      <c r="I173" s="2"/>
      <c r="J173" s="67"/>
    </row>
    <row r="174" spans="1:10" x14ac:dyDescent="0.35">
      <c r="A174" s="61">
        <v>170</v>
      </c>
      <c r="B174" s="2"/>
      <c r="C174" s="2"/>
      <c r="D174" s="2"/>
      <c r="E174" s="10"/>
      <c r="F174" s="11"/>
      <c r="G174" s="2"/>
      <c r="H174" s="2"/>
      <c r="I174" s="2"/>
      <c r="J174" s="67"/>
    </row>
    <row r="175" spans="1:10" x14ac:dyDescent="0.35">
      <c r="A175" s="61">
        <v>171</v>
      </c>
      <c r="B175" s="2"/>
      <c r="C175" s="2"/>
      <c r="D175" s="2"/>
      <c r="E175" s="10"/>
      <c r="F175" s="11"/>
      <c r="G175" s="2"/>
      <c r="H175" s="2"/>
      <c r="I175" s="2"/>
      <c r="J175" s="67"/>
    </row>
    <row r="176" spans="1:10" x14ac:dyDescent="0.35">
      <c r="A176" s="61">
        <v>172</v>
      </c>
      <c r="B176" s="2"/>
      <c r="C176" s="2"/>
      <c r="D176" s="2"/>
      <c r="E176" s="10"/>
      <c r="F176" s="11"/>
      <c r="G176" s="2"/>
      <c r="H176" s="2"/>
      <c r="I176" s="2"/>
      <c r="J176" s="67"/>
    </row>
    <row r="177" spans="1:10" x14ac:dyDescent="0.35">
      <c r="A177" s="61">
        <v>173</v>
      </c>
      <c r="B177" s="2"/>
      <c r="C177" s="2"/>
      <c r="D177" s="2"/>
      <c r="E177" s="10"/>
      <c r="F177" s="11"/>
      <c r="G177" s="2"/>
      <c r="H177" s="2"/>
      <c r="I177" s="2"/>
      <c r="J177" s="67"/>
    </row>
    <row r="178" spans="1:10" x14ac:dyDescent="0.35">
      <c r="A178" s="61">
        <v>174</v>
      </c>
      <c r="B178" s="2"/>
      <c r="C178" s="2"/>
      <c r="D178" s="2"/>
      <c r="E178" s="10"/>
      <c r="F178" s="11"/>
      <c r="G178" s="2"/>
      <c r="H178" s="2"/>
      <c r="I178" s="2"/>
      <c r="J178" s="67"/>
    </row>
    <row r="179" spans="1:10" x14ac:dyDescent="0.35">
      <c r="A179" s="61">
        <v>175</v>
      </c>
      <c r="B179" s="2"/>
      <c r="C179" s="2"/>
      <c r="D179" s="2"/>
      <c r="E179" s="10"/>
      <c r="F179" s="11"/>
      <c r="G179" s="2"/>
      <c r="H179" s="2"/>
      <c r="I179" s="2"/>
      <c r="J179" s="67"/>
    </row>
    <row r="180" spans="1:10" x14ac:dyDescent="0.35">
      <c r="A180" s="61">
        <v>176</v>
      </c>
      <c r="B180" s="2"/>
      <c r="C180" s="2"/>
      <c r="D180" s="2"/>
      <c r="E180" s="10"/>
      <c r="F180" s="11"/>
      <c r="G180" s="2"/>
      <c r="H180" s="2"/>
      <c r="I180" s="2"/>
      <c r="J180" s="67"/>
    </row>
    <row r="181" spans="1:10" x14ac:dyDescent="0.35">
      <c r="A181" s="61">
        <v>177</v>
      </c>
      <c r="B181" s="2"/>
      <c r="C181" s="2"/>
      <c r="D181" s="2"/>
      <c r="E181" s="10"/>
      <c r="F181" s="11"/>
      <c r="G181" s="2"/>
      <c r="H181" s="2"/>
      <c r="I181" s="2"/>
      <c r="J181" s="67"/>
    </row>
    <row r="182" spans="1:10" x14ac:dyDescent="0.35">
      <c r="A182" s="61">
        <v>178</v>
      </c>
      <c r="B182" s="2"/>
      <c r="C182" s="2"/>
      <c r="D182" s="2"/>
      <c r="E182" s="10"/>
      <c r="F182" s="11"/>
      <c r="G182" s="2"/>
      <c r="H182" s="2"/>
      <c r="I182" s="2"/>
      <c r="J182" s="67"/>
    </row>
    <row r="183" spans="1:10" x14ac:dyDescent="0.35">
      <c r="A183" s="61">
        <v>179</v>
      </c>
      <c r="B183" s="2"/>
      <c r="C183" s="2"/>
      <c r="D183" s="2"/>
      <c r="E183" s="10"/>
      <c r="F183" s="11"/>
      <c r="G183" s="2"/>
      <c r="H183" s="2"/>
      <c r="I183" s="2"/>
      <c r="J183" s="67"/>
    </row>
    <row r="184" spans="1:10" x14ac:dyDescent="0.35">
      <c r="A184" s="61">
        <v>180</v>
      </c>
      <c r="B184" s="2"/>
      <c r="C184" s="2"/>
      <c r="D184" s="2"/>
      <c r="E184" s="10"/>
      <c r="F184" s="11"/>
      <c r="G184" s="2"/>
      <c r="H184" s="2"/>
      <c r="I184" s="2"/>
      <c r="J184" s="67"/>
    </row>
    <row r="185" spans="1:10" x14ac:dyDescent="0.35">
      <c r="A185" s="61">
        <v>181</v>
      </c>
      <c r="B185" s="2"/>
      <c r="C185" s="2"/>
      <c r="D185" s="2"/>
      <c r="E185" s="10"/>
      <c r="F185" s="11"/>
      <c r="G185" s="2"/>
      <c r="H185" s="2"/>
      <c r="I185" s="2"/>
      <c r="J185" s="67"/>
    </row>
    <row r="186" spans="1:10" x14ac:dyDescent="0.35">
      <c r="A186" s="61">
        <v>182</v>
      </c>
      <c r="B186" s="2"/>
      <c r="C186" s="2"/>
      <c r="D186" s="2"/>
      <c r="E186" s="10"/>
      <c r="F186" s="11"/>
      <c r="G186" s="2"/>
      <c r="H186" s="2"/>
      <c r="I186" s="2"/>
      <c r="J186" s="67"/>
    </row>
    <row r="187" spans="1:10" x14ac:dyDescent="0.35">
      <c r="A187" s="61">
        <v>183</v>
      </c>
      <c r="B187" s="2"/>
      <c r="C187" s="2"/>
      <c r="D187" s="2"/>
      <c r="E187" s="10"/>
      <c r="F187" s="11"/>
      <c r="G187" s="2"/>
      <c r="H187" s="2"/>
      <c r="I187" s="2"/>
      <c r="J187" s="67"/>
    </row>
    <row r="188" spans="1:10" x14ac:dyDescent="0.35">
      <c r="A188" s="61">
        <v>184</v>
      </c>
      <c r="B188" s="2"/>
      <c r="C188" s="2"/>
      <c r="D188" s="2"/>
      <c r="E188" s="10"/>
      <c r="F188" s="11"/>
      <c r="G188" s="2"/>
      <c r="H188" s="2"/>
      <c r="I188" s="2"/>
      <c r="J188" s="67"/>
    </row>
    <row r="189" spans="1:10" x14ac:dyDescent="0.35">
      <c r="A189" s="61">
        <v>185</v>
      </c>
      <c r="B189" s="2"/>
      <c r="C189" s="2"/>
      <c r="D189" s="2"/>
      <c r="E189" s="10"/>
      <c r="F189" s="11"/>
      <c r="G189" s="2"/>
      <c r="H189" s="2"/>
      <c r="I189" s="2"/>
      <c r="J189" s="67"/>
    </row>
    <row r="190" spans="1:10" x14ac:dyDescent="0.35">
      <c r="A190" s="61">
        <v>186</v>
      </c>
      <c r="B190" s="2"/>
      <c r="C190" s="2"/>
      <c r="D190" s="2"/>
      <c r="E190" s="10"/>
      <c r="F190" s="11"/>
      <c r="G190" s="2"/>
      <c r="H190" s="2"/>
      <c r="I190" s="2"/>
      <c r="J190" s="67"/>
    </row>
    <row r="191" spans="1:10" x14ac:dyDescent="0.35">
      <c r="A191" s="61">
        <v>187</v>
      </c>
      <c r="B191" s="2"/>
      <c r="C191" s="2"/>
      <c r="D191" s="2"/>
      <c r="E191" s="10"/>
      <c r="F191" s="11"/>
      <c r="G191" s="2"/>
      <c r="H191" s="2"/>
      <c r="I191" s="2"/>
      <c r="J191" s="67"/>
    </row>
    <row r="192" spans="1:10" x14ac:dyDescent="0.35">
      <c r="A192" s="61">
        <v>188</v>
      </c>
      <c r="B192" s="2"/>
      <c r="C192" s="2"/>
      <c r="D192" s="2"/>
      <c r="E192" s="10"/>
      <c r="F192" s="11"/>
      <c r="G192" s="2"/>
      <c r="H192" s="2"/>
      <c r="I192" s="2"/>
      <c r="J192" s="67"/>
    </row>
    <row r="193" spans="1:10" x14ac:dyDescent="0.35">
      <c r="A193" s="61">
        <v>189</v>
      </c>
      <c r="B193" s="2"/>
      <c r="C193" s="2"/>
      <c r="D193" s="2"/>
      <c r="E193" s="10"/>
      <c r="F193" s="11"/>
      <c r="G193" s="2"/>
      <c r="H193" s="2"/>
      <c r="I193" s="2"/>
      <c r="J193" s="67"/>
    </row>
    <row r="194" spans="1:10" x14ac:dyDescent="0.35">
      <c r="A194" s="61">
        <v>190</v>
      </c>
      <c r="B194" s="2"/>
      <c r="C194" s="2"/>
      <c r="D194" s="2"/>
      <c r="E194" s="10"/>
      <c r="F194" s="11"/>
      <c r="G194" s="2"/>
      <c r="H194" s="2"/>
      <c r="I194" s="2"/>
      <c r="J194" s="67"/>
    </row>
    <row r="195" spans="1:10" x14ac:dyDescent="0.35">
      <c r="A195" s="61">
        <v>191</v>
      </c>
      <c r="B195" s="2"/>
      <c r="C195" s="2"/>
      <c r="D195" s="2"/>
      <c r="E195" s="10"/>
      <c r="F195" s="11"/>
      <c r="G195" s="2"/>
      <c r="H195" s="2"/>
      <c r="I195" s="2"/>
      <c r="J195" s="67"/>
    </row>
    <row r="196" spans="1:10" x14ac:dyDescent="0.35">
      <c r="A196" s="61">
        <v>192</v>
      </c>
      <c r="B196" s="2"/>
      <c r="C196" s="2"/>
      <c r="D196" s="2"/>
      <c r="E196" s="10"/>
      <c r="F196" s="11"/>
      <c r="G196" s="2"/>
      <c r="H196" s="2"/>
      <c r="I196" s="2"/>
      <c r="J196" s="67"/>
    </row>
    <row r="197" spans="1:10" x14ac:dyDescent="0.35">
      <c r="A197" s="61">
        <v>193</v>
      </c>
      <c r="B197" s="2"/>
      <c r="C197" s="2"/>
      <c r="D197" s="2"/>
      <c r="E197" s="10"/>
      <c r="F197" s="11"/>
      <c r="G197" s="2"/>
      <c r="H197" s="2"/>
      <c r="I197" s="2"/>
      <c r="J197" s="67"/>
    </row>
    <row r="198" spans="1:10" x14ac:dyDescent="0.35">
      <c r="A198" s="61">
        <v>194</v>
      </c>
      <c r="B198" s="2"/>
      <c r="C198" s="2"/>
      <c r="D198" s="2"/>
      <c r="E198" s="10"/>
      <c r="F198" s="11"/>
      <c r="G198" s="2"/>
      <c r="H198" s="2"/>
      <c r="I198" s="2"/>
      <c r="J198" s="67"/>
    </row>
    <row r="199" spans="1:10" x14ac:dyDescent="0.35">
      <c r="A199" s="61">
        <v>195</v>
      </c>
      <c r="B199" s="2"/>
      <c r="C199" s="2"/>
      <c r="D199" s="2"/>
      <c r="E199" s="10"/>
      <c r="F199" s="11"/>
      <c r="G199" s="2"/>
      <c r="H199" s="2"/>
      <c r="I199" s="2"/>
      <c r="J199" s="67"/>
    </row>
    <row r="200" spans="1:10" x14ac:dyDescent="0.35">
      <c r="A200" s="61">
        <v>196</v>
      </c>
      <c r="B200" s="2"/>
      <c r="C200" s="2"/>
      <c r="D200" s="2"/>
      <c r="E200" s="10"/>
      <c r="F200" s="11"/>
      <c r="G200" s="2"/>
      <c r="H200" s="2"/>
      <c r="I200" s="2"/>
      <c r="J200" s="67"/>
    </row>
    <row r="201" spans="1:10" x14ac:dyDescent="0.35">
      <c r="A201" s="61">
        <v>197</v>
      </c>
      <c r="B201" s="2"/>
      <c r="C201" s="2"/>
      <c r="D201" s="2"/>
      <c r="E201" s="10"/>
      <c r="F201" s="11"/>
      <c r="G201" s="2"/>
      <c r="H201" s="2"/>
      <c r="I201" s="2"/>
      <c r="J201" s="67"/>
    </row>
    <row r="202" spans="1:10" x14ac:dyDescent="0.35">
      <c r="A202" s="61">
        <v>198</v>
      </c>
      <c r="B202" s="2"/>
      <c r="C202" s="2"/>
      <c r="D202" s="2"/>
      <c r="E202" s="10"/>
      <c r="F202" s="11"/>
      <c r="G202" s="2"/>
      <c r="H202" s="2"/>
      <c r="I202" s="2"/>
      <c r="J202" s="67"/>
    </row>
    <row r="203" spans="1:10" x14ac:dyDescent="0.35">
      <c r="A203" s="61">
        <v>199</v>
      </c>
      <c r="B203" s="2"/>
      <c r="C203" s="2"/>
      <c r="D203" s="2"/>
      <c r="E203" s="10"/>
      <c r="F203" s="11"/>
      <c r="G203" s="2"/>
      <c r="H203" s="2"/>
      <c r="I203" s="2"/>
      <c r="J203" s="67"/>
    </row>
    <row r="204" spans="1:10" x14ac:dyDescent="0.35">
      <c r="A204" s="61">
        <v>200</v>
      </c>
      <c r="B204" s="2"/>
      <c r="C204" s="2"/>
      <c r="D204" s="2"/>
      <c r="E204" s="10"/>
      <c r="F204" s="11"/>
      <c r="G204" s="2"/>
      <c r="H204" s="2"/>
      <c r="I204" s="2"/>
      <c r="J204" s="67"/>
    </row>
    <row r="205" spans="1:10" x14ac:dyDescent="0.35">
      <c r="A205" s="61">
        <v>201</v>
      </c>
      <c r="B205" s="2"/>
      <c r="C205" s="2"/>
      <c r="D205" s="2"/>
      <c r="E205" s="10"/>
      <c r="F205" s="11"/>
      <c r="G205" s="2"/>
      <c r="H205" s="2"/>
      <c r="I205" s="2"/>
      <c r="J205" s="67"/>
    </row>
    <row r="206" spans="1:10" x14ac:dyDescent="0.35">
      <c r="A206" s="61">
        <v>202</v>
      </c>
      <c r="B206" s="2"/>
      <c r="C206" s="2"/>
      <c r="D206" s="2"/>
      <c r="E206" s="10"/>
      <c r="F206" s="11"/>
      <c r="G206" s="2"/>
      <c r="H206" s="2"/>
      <c r="I206" s="2"/>
      <c r="J206" s="67"/>
    </row>
    <row r="207" spans="1:10" x14ac:dyDescent="0.35">
      <c r="A207" s="61">
        <v>203</v>
      </c>
      <c r="B207" s="2"/>
      <c r="C207" s="2"/>
      <c r="D207" s="2"/>
      <c r="E207" s="10"/>
      <c r="F207" s="11"/>
      <c r="G207" s="2"/>
      <c r="H207" s="2"/>
      <c r="I207" s="2"/>
      <c r="J207" s="67"/>
    </row>
    <row r="208" spans="1:10" x14ac:dyDescent="0.35">
      <c r="A208" s="61">
        <v>204</v>
      </c>
      <c r="B208" s="2"/>
      <c r="C208" s="2"/>
      <c r="D208" s="2"/>
      <c r="E208" s="10"/>
      <c r="F208" s="11"/>
      <c r="G208" s="2"/>
      <c r="H208" s="2"/>
      <c r="I208" s="2"/>
      <c r="J208" s="67"/>
    </row>
    <row r="209" spans="1:10" x14ac:dyDescent="0.35">
      <c r="A209" s="61">
        <v>205</v>
      </c>
      <c r="B209" s="2"/>
      <c r="C209" s="2"/>
      <c r="D209" s="2"/>
      <c r="E209" s="10"/>
      <c r="F209" s="11"/>
      <c r="G209" s="2"/>
      <c r="H209" s="2"/>
      <c r="I209" s="2"/>
      <c r="J209" s="67"/>
    </row>
    <row r="210" spans="1:10" x14ac:dyDescent="0.35">
      <c r="A210" s="61">
        <v>206</v>
      </c>
      <c r="B210" s="2"/>
      <c r="C210" s="2"/>
      <c r="D210" s="2"/>
      <c r="E210" s="10"/>
      <c r="F210" s="11"/>
      <c r="G210" s="2"/>
      <c r="H210" s="2"/>
      <c r="I210" s="2"/>
      <c r="J210" s="67"/>
    </row>
    <row r="211" spans="1:10" x14ac:dyDescent="0.35">
      <c r="A211" s="61">
        <v>207</v>
      </c>
      <c r="B211" s="2"/>
      <c r="C211" s="2"/>
      <c r="D211" s="2"/>
      <c r="E211" s="10"/>
      <c r="F211" s="11"/>
      <c r="G211" s="2"/>
      <c r="H211" s="2"/>
      <c r="I211" s="2"/>
      <c r="J211" s="67"/>
    </row>
    <row r="212" spans="1:10" x14ac:dyDescent="0.35">
      <c r="A212" s="61">
        <v>208</v>
      </c>
      <c r="B212" s="2"/>
      <c r="C212" s="2"/>
      <c r="D212" s="2"/>
      <c r="E212" s="10"/>
      <c r="F212" s="11"/>
      <c r="G212" s="2"/>
      <c r="H212" s="2"/>
      <c r="I212" s="2"/>
      <c r="J212" s="67"/>
    </row>
    <row r="213" spans="1:10" x14ac:dyDescent="0.35">
      <c r="A213" s="61">
        <v>209</v>
      </c>
      <c r="B213" s="2"/>
      <c r="C213" s="2"/>
      <c r="D213" s="2"/>
      <c r="E213" s="10"/>
      <c r="F213" s="11"/>
      <c r="G213" s="2"/>
      <c r="H213" s="2"/>
      <c r="I213" s="2"/>
      <c r="J213" s="67"/>
    </row>
    <row r="214" spans="1:10" x14ac:dyDescent="0.35">
      <c r="A214" s="61">
        <v>210</v>
      </c>
      <c r="B214" s="2"/>
      <c r="C214" s="2"/>
      <c r="D214" s="2"/>
      <c r="E214" s="10"/>
      <c r="F214" s="11"/>
      <c r="G214" s="2"/>
      <c r="H214" s="2"/>
      <c r="I214" s="2"/>
      <c r="J214" s="67"/>
    </row>
    <row r="215" spans="1:10" x14ac:dyDescent="0.35">
      <c r="A215" s="61">
        <v>211</v>
      </c>
      <c r="B215" s="2"/>
      <c r="C215" s="2"/>
      <c r="D215" s="2"/>
      <c r="E215" s="10"/>
      <c r="F215" s="11"/>
      <c r="G215" s="2"/>
      <c r="H215" s="2"/>
      <c r="I215" s="2"/>
      <c r="J215" s="67"/>
    </row>
    <row r="216" spans="1:10" x14ac:dyDescent="0.35">
      <c r="A216" s="61">
        <v>212</v>
      </c>
      <c r="B216" s="2"/>
      <c r="C216" s="2"/>
      <c r="D216" s="2"/>
      <c r="E216" s="10"/>
      <c r="F216" s="11"/>
      <c r="G216" s="2"/>
      <c r="H216" s="2"/>
      <c r="I216" s="2"/>
      <c r="J216" s="67"/>
    </row>
    <row r="217" spans="1:10" x14ac:dyDescent="0.35">
      <c r="A217" s="61">
        <v>213</v>
      </c>
      <c r="B217" s="2"/>
      <c r="C217" s="2"/>
      <c r="D217" s="2"/>
      <c r="E217" s="10"/>
      <c r="F217" s="11"/>
      <c r="G217" s="2"/>
      <c r="H217" s="2"/>
      <c r="I217" s="2"/>
      <c r="J217" s="67"/>
    </row>
    <row r="218" spans="1:10" x14ac:dyDescent="0.35">
      <c r="A218" s="61">
        <v>214</v>
      </c>
      <c r="B218" s="2"/>
      <c r="C218" s="2"/>
      <c r="D218" s="2"/>
      <c r="E218" s="10"/>
      <c r="F218" s="11"/>
      <c r="G218" s="2"/>
      <c r="H218" s="2"/>
      <c r="I218" s="2"/>
      <c r="J218" s="67"/>
    </row>
    <row r="219" spans="1:10" x14ac:dyDescent="0.35">
      <c r="A219" s="61">
        <v>215</v>
      </c>
      <c r="B219" s="2"/>
      <c r="C219" s="2"/>
      <c r="D219" s="2"/>
      <c r="E219" s="10"/>
      <c r="F219" s="11"/>
      <c r="G219" s="2"/>
      <c r="H219" s="2"/>
      <c r="I219" s="2"/>
      <c r="J219" s="67"/>
    </row>
    <row r="220" spans="1:10" x14ac:dyDescent="0.35">
      <c r="A220" s="61">
        <v>216</v>
      </c>
      <c r="B220" s="2"/>
      <c r="C220" s="2"/>
      <c r="D220" s="2"/>
      <c r="E220" s="10"/>
      <c r="F220" s="11"/>
      <c r="G220" s="2"/>
      <c r="H220" s="2"/>
      <c r="I220" s="2"/>
      <c r="J220" s="67"/>
    </row>
    <row r="221" spans="1:10" x14ac:dyDescent="0.35">
      <c r="A221" s="61">
        <v>217</v>
      </c>
      <c r="B221" s="2"/>
      <c r="C221" s="2"/>
      <c r="D221" s="2"/>
      <c r="E221" s="10"/>
      <c r="F221" s="11"/>
      <c r="G221" s="2"/>
      <c r="H221" s="2"/>
      <c r="I221" s="2"/>
      <c r="J221" s="67"/>
    </row>
    <row r="222" spans="1:10" x14ac:dyDescent="0.35">
      <c r="A222" s="61">
        <v>218</v>
      </c>
      <c r="B222" s="2"/>
      <c r="C222" s="2"/>
      <c r="D222" s="2"/>
      <c r="E222" s="10"/>
      <c r="F222" s="11"/>
      <c r="G222" s="2"/>
      <c r="H222" s="2"/>
      <c r="I222" s="2"/>
      <c r="J222" s="67"/>
    </row>
    <row r="223" spans="1:10" x14ac:dyDescent="0.35">
      <c r="A223" s="61">
        <v>219</v>
      </c>
      <c r="B223" s="2"/>
      <c r="C223" s="2"/>
      <c r="D223" s="2"/>
      <c r="E223" s="10"/>
      <c r="F223" s="11"/>
      <c r="G223" s="2"/>
      <c r="H223" s="2"/>
      <c r="I223" s="2"/>
      <c r="J223" s="67"/>
    </row>
    <row r="224" spans="1:10" x14ac:dyDescent="0.35">
      <c r="A224" s="61">
        <v>220</v>
      </c>
      <c r="B224" s="2"/>
      <c r="C224" s="2"/>
      <c r="D224" s="2"/>
      <c r="E224" s="10"/>
      <c r="F224" s="11"/>
      <c r="G224" s="2"/>
      <c r="H224" s="2"/>
      <c r="I224" s="2"/>
      <c r="J224" s="67"/>
    </row>
    <row r="225" spans="1:10" x14ac:dyDescent="0.35">
      <c r="A225" s="61">
        <v>221</v>
      </c>
      <c r="B225" s="2"/>
      <c r="C225" s="2"/>
      <c r="D225" s="2"/>
      <c r="E225" s="10"/>
      <c r="F225" s="11"/>
      <c r="G225" s="2"/>
      <c r="H225" s="2"/>
      <c r="I225" s="2"/>
      <c r="J225" s="67"/>
    </row>
    <row r="226" spans="1:10" x14ac:dyDescent="0.35">
      <c r="A226" s="61">
        <v>222</v>
      </c>
      <c r="B226" s="2"/>
      <c r="C226" s="2"/>
      <c r="D226" s="2"/>
      <c r="E226" s="10"/>
      <c r="F226" s="11"/>
      <c r="G226" s="2"/>
      <c r="H226" s="2"/>
      <c r="I226" s="2"/>
      <c r="J226" s="67"/>
    </row>
    <row r="227" spans="1:10" x14ac:dyDescent="0.35">
      <c r="A227" s="61">
        <v>223</v>
      </c>
      <c r="B227" s="2"/>
      <c r="C227" s="2"/>
      <c r="D227" s="2"/>
      <c r="E227" s="10"/>
      <c r="F227" s="11"/>
      <c r="G227" s="2"/>
      <c r="H227" s="2"/>
      <c r="I227" s="2"/>
      <c r="J227" s="67"/>
    </row>
    <row r="228" spans="1:10" x14ac:dyDescent="0.35">
      <c r="A228" s="61">
        <v>224</v>
      </c>
      <c r="B228" s="2"/>
      <c r="C228" s="2"/>
      <c r="D228" s="2"/>
      <c r="E228" s="10"/>
      <c r="F228" s="11"/>
      <c r="G228" s="2"/>
      <c r="H228" s="2"/>
      <c r="I228" s="2"/>
      <c r="J228" s="67"/>
    </row>
    <row r="229" spans="1:10" x14ac:dyDescent="0.35">
      <c r="A229" s="61">
        <v>225</v>
      </c>
      <c r="B229" s="2"/>
      <c r="C229" s="2"/>
      <c r="D229" s="2"/>
      <c r="E229" s="10"/>
      <c r="F229" s="11"/>
      <c r="G229" s="2"/>
      <c r="H229" s="2"/>
      <c r="I229" s="2"/>
      <c r="J229" s="67"/>
    </row>
    <row r="230" spans="1:10" x14ac:dyDescent="0.35">
      <c r="A230" s="61">
        <v>226</v>
      </c>
      <c r="B230" s="2"/>
      <c r="C230" s="2"/>
      <c r="D230" s="2"/>
      <c r="E230" s="10"/>
      <c r="F230" s="11"/>
      <c r="G230" s="2"/>
      <c r="H230" s="2"/>
      <c r="I230" s="2"/>
      <c r="J230" s="67"/>
    </row>
    <row r="231" spans="1:10" x14ac:dyDescent="0.35">
      <c r="A231" s="61">
        <v>227</v>
      </c>
      <c r="B231" s="2"/>
      <c r="C231" s="2"/>
      <c r="D231" s="2"/>
      <c r="E231" s="10"/>
      <c r="F231" s="11"/>
      <c r="G231" s="2"/>
      <c r="H231" s="2"/>
      <c r="I231" s="2"/>
      <c r="J231" s="67"/>
    </row>
    <row r="232" spans="1:10" x14ac:dyDescent="0.35">
      <c r="A232" s="61">
        <v>228</v>
      </c>
      <c r="B232" s="2"/>
      <c r="C232" s="2"/>
      <c r="D232" s="2"/>
      <c r="E232" s="10"/>
      <c r="F232" s="11"/>
      <c r="G232" s="2"/>
      <c r="H232" s="2"/>
      <c r="I232" s="2"/>
      <c r="J232" s="67"/>
    </row>
    <row r="233" spans="1:10" x14ac:dyDescent="0.35">
      <c r="A233" s="61">
        <v>229</v>
      </c>
      <c r="B233" s="2"/>
      <c r="C233" s="2"/>
      <c r="D233" s="2"/>
      <c r="E233" s="10"/>
      <c r="F233" s="11"/>
      <c r="G233" s="2"/>
      <c r="H233" s="2"/>
      <c r="I233" s="2"/>
      <c r="J233" s="67"/>
    </row>
    <row r="234" spans="1:10" x14ac:dyDescent="0.35">
      <c r="A234" s="61">
        <v>230</v>
      </c>
      <c r="B234" s="2"/>
      <c r="C234" s="2"/>
      <c r="D234" s="2"/>
      <c r="E234" s="10"/>
      <c r="F234" s="11"/>
      <c r="G234" s="2"/>
      <c r="H234" s="2"/>
      <c r="I234" s="2"/>
      <c r="J234" s="67"/>
    </row>
    <row r="235" spans="1:10" x14ac:dyDescent="0.35">
      <c r="A235" s="61">
        <v>231</v>
      </c>
      <c r="B235" s="2"/>
      <c r="C235" s="2"/>
      <c r="D235" s="2"/>
      <c r="E235" s="10"/>
      <c r="F235" s="11"/>
      <c r="G235" s="2"/>
      <c r="H235" s="2"/>
      <c r="I235" s="2"/>
      <c r="J235" s="67"/>
    </row>
    <row r="236" spans="1:10" x14ac:dyDescent="0.35">
      <c r="A236" s="61">
        <v>232</v>
      </c>
      <c r="B236" s="2"/>
      <c r="C236" s="2"/>
      <c r="D236" s="2"/>
      <c r="E236" s="10"/>
      <c r="F236" s="11"/>
      <c r="G236" s="2"/>
      <c r="H236" s="2"/>
      <c r="I236" s="2"/>
      <c r="J236" s="67"/>
    </row>
    <row r="237" spans="1:10" x14ac:dyDescent="0.35">
      <c r="A237" s="61">
        <v>233</v>
      </c>
      <c r="B237" s="2"/>
      <c r="C237" s="2"/>
      <c r="D237" s="2"/>
      <c r="E237" s="10"/>
      <c r="F237" s="11"/>
      <c r="G237" s="2"/>
      <c r="H237" s="2"/>
      <c r="I237" s="2"/>
      <c r="J237" s="67"/>
    </row>
    <row r="238" spans="1:10" x14ac:dyDescent="0.35">
      <c r="A238" s="61">
        <v>234</v>
      </c>
      <c r="B238" s="2"/>
      <c r="C238" s="2"/>
      <c r="D238" s="2"/>
      <c r="E238" s="10"/>
      <c r="F238" s="11"/>
      <c r="G238" s="2"/>
      <c r="H238" s="2"/>
      <c r="I238" s="2"/>
      <c r="J238" s="67"/>
    </row>
    <row r="239" spans="1:10" x14ac:dyDescent="0.35">
      <c r="A239" s="61">
        <v>235</v>
      </c>
      <c r="B239" s="2"/>
      <c r="C239" s="2"/>
      <c r="D239" s="2"/>
      <c r="E239" s="10"/>
      <c r="F239" s="11"/>
      <c r="G239" s="2"/>
      <c r="H239" s="2"/>
      <c r="I239" s="2"/>
      <c r="J239" s="67"/>
    </row>
    <row r="240" spans="1:10" x14ac:dyDescent="0.35">
      <c r="A240" s="61">
        <v>236</v>
      </c>
      <c r="B240" s="2"/>
      <c r="C240" s="2"/>
      <c r="D240" s="2"/>
      <c r="E240" s="10"/>
      <c r="F240" s="11"/>
      <c r="G240" s="2"/>
      <c r="H240" s="2"/>
      <c r="I240" s="2"/>
      <c r="J240" s="67"/>
    </row>
    <row r="241" spans="1:10" x14ac:dyDescent="0.35">
      <c r="A241" s="61">
        <v>237</v>
      </c>
      <c r="B241" s="2"/>
      <c r="C241" s="2"/>
      <c r="D241" s="2"/>
      <c r="E241" s="10"/>
      <c r="F241" s="11"/>
      <c r="G241" s="2"/>
      <c r="H241" s="2"/>
      <c r="I241" s="2"/>
      <c r="J241" s="67"/>
    </row>
    <row r="242" spans="1:10" x14ac:dyDescent="0.35">
      <c r="A242" s="61">
        <v>238</v>
      </c>
      <c r="B242" s="2"/>
      <c r="C242" s="2"/>
      <c r="D242" s="2"/>
      <c r="E242" s="10"/>
      <c r="F242" s="11"/>
      <c r="G242" s="2"/>
      <c r="H242" s="2"/>
      <c r="I242" s="2"/>
      <c r="J242" s="67"/>
    </row>
    <row r="243" spans="1:10" x14ac:dyDescent="0.35">
      <c r="A243" s="61">
        <v>239</v>
      </c>
      <c r="B243" s="2"/>
      <c r="C243" s="2"/>
      <c r="D243" s="2"/>
      <c r="E243" s="10"/>
      <c r="F243" s="11"/>
      <c r="G243" s="2"/>
      <c r="H243" s="2"/>
      <c r="I243" s="2"/>
      <c r="J243" s="67"/>
    </row>
    <row r="244" spans="1:10" x14ac:dyDescent="0.35">
      <c r="A244" s="61">
        <v>240</v>
      </c>
      <c r="B244" s="2"/>
      <c r="C244" s="2"/>
      <c r="D244" s="2"/>
      <c r="E244" s="10"/>
      <c r="F244" s="11"/>
      <c r="G244" s="2"/>
      <c r="H244" s="2"/>
      <c r="I244" s="2"/>
      <c r="J244" s="67"/>
    </row>
    <row r="245" spans="1:10" x14ac:dyDescent="0.35">
      <c r="A245" s="61">
        <v>241</v>
      </c>
      <c r="B245" s="2"/>
      <c r="C245" s="2"/>
      <c r="D245" s="2"/>
      <c r="E245" s="10"/>
      <c r="F245" s="11"/>
      <c r="G245" s="2"/>
      <c r="H245" s="2"/>
      <c r="I245" s="2"/>
      <c r="J245" s="67"/>
    </row>
    <row r="246" spans="1:10" x14ac:dyDescent="0.35">
      <c r="A246" s="61">
        <v>242</v>
      </c>
      <c r="B246" s="2"/>
      <c r="C246" s="2"/>
      <c r="D246" s="2"/>
      <c r="E246" s="10"/>
      <c r="F246" s="11"/>
      <c r="G246" s="2"/>
      <c r="H246" s="2"/>
      <c r="I246" s="2"/>
      <c r="J246" s="67"/>
    </row>
    <row r="247" spans="1:10" x14ac:dyDescent="0.35">
      <c r="A247" s="61">
        <v>243</v>
      </c>
      <c r="B247" s="2"/>
      <c r="C247" s="2"/>
      <c r="D247" s="2"/>
      <c r="E247" s="10"/>
      <c r="F247" s="11"/>
      <c r="G247" s="2"/>
      <c r="H247" s="2"/>
      <c r="I247" s="2"/>
      <c r="J247" s="67"/>
    </row>
    <row r="248" spans="1:10" x14ac:dyDescent="0.35">
      <c r="A248" s="61">
        <v>244</v>
      </c>
      <c r="B248" s="2"/>
      <c r="C248" s="2"/>
      <c r="D248" s="2"/>
      <c r="E248" s="10"/>
      <c r="F248" s="11"/>
      <c r="G248" s="2"/>
      <c r="H248" s="2"/>
      <c r="I248" s="2"/>
      <c r="J248" s="67"/>
    </row>
    <row r="249" spans="1:10" x14ac:dyDescent="0.35">
      <c r="A249" s="61">
        <v>245</v>
      </c>
      <c r="B249" s="2"/>
      <c r="C249" s="2"/>
      <c r="D249" s="2"/>
      <c r="E249" s="10"/>
      <c r="F249" s="11"/>
      <c r="G249" s="2"/>
      <c r="H249" s="2"/>
      <c r="I249" s="2"/>
      <c r="J249" s="67"/>
    </row>
    <row r="250" spans="1:10" x14ac:dyDescent="0.35">
      <c r="A250" s="61">
        <v>246</v>
      </c>
      <c r="B250" s="2"/>
      <c r="C250" s="2"/>
      <c r="D250" s="2"/>
      <c r="E250" s="10"/>
      <c r="F250" s="11"/>
      <c r="G250" s="2"/>
      <c r="H250" s="2"/>
      <c r="I250" s="2"/>
      <c r="J250" s="67"/>
    </row>
    <row r="251" spans="1:10" x14ac:dyDescent="0.35">
      <c r="A251" s="61">
        <v>247</v>
      </c>
      <c r="B251" s="2"/>
      <c r="C251" s="2"/>
      <c r="D251" s="2"/>
      <c r="E251" s="10"/>
      <c r="F251" s="11"/>
      <c r="G251" s="2"/>
      <c r="H251" s="2"/>
      <c r="I251" s="2"/>
      <c r="J251" s="67"/>
    </row>
    <row r="252" spans="1:10" x14ac:dyDescent="0.35">
      <c r="A252" s="61">
        <v>248</v>
      </c>
      <c r="B252" s="2"/>
      <c r="C252" s="2"/>
      <c r="D252" s="2"/>
      <c r="E252" s="10"/>
      <c r="F252" s="11"/>
      <c r="G252" s="2"/>
      <c r="H252" s="2"/>
      <c r="I252" s="2"/>
      <c r="J252" s="67"/>
    </row>
    <row r="253" spans="1:10" x14ac:dyDescent="0.35">
      <c r="A253" s="61">
        <v>249</v>
      </c>
      <c r="B253" s="2"/>
      <c r="C253" s="2"/>
      <c r="D253" s="2"/>
      <c r="E253" s="10"/>
      <c r="F253" s="11"/>
      <c r="G253" s="2"/>
      <c r="H253" s="2"/>
      <c r="I253" s="2"/>
      <c r="J253" s="67"/>
    </row>
    <row r="254" spans="1:10" x14ac:dyDescent="0.35">
      <c r="A254" s="61">
        <v>250</v>
      </c>
      <c r="B254" s="2"/>
      <c r="C254" s="2"/>
      <c r="D254" s="2"/>
      <c r="E254" s="10"/>
      <c r="F254" s="11"/>
      <c r="G254" s="2"/>
      <c r="H254" s="2"/>
      <c r="I254" s="2"/>
      <c r="J254" s="67"/>
    </row>
    <row r="255" spans="1:10" x14ac:dyDescent="0.35">
      <c r="A255" s="61">
        <v>251</v>
      </c>
      <c r="B255" s="2"/>
      <c r="C255" s="2"/>
      <c r="D255" s="2"/>
      <c r="E255" s="10"/>
      <c r="F255" s="11"/>
      <c r="G255" s="2"/>
      <c r="H255" s="2"/>
      <c r="I255" s="2"/>
      <c r="J255" s="67"/>
    </row>
    <row r="256" spans="1:10" x14ac:dyDescent="0.35">
      <c r="A256" s="61">
        <v>252</v>
      </c>
      <c r="B256" s="2"/>
      <c r="C256" s="2"/>
      <c r="D256" s="2"/>
      <c r="E256" s="10"/>
      <c r="F256" s="11"/>
      <c r="G256" s="2"/>
      <c r="H256" s="2"/>
      <c r="I256" s="2"/>
      <c r="J256" s="67"/>
    </row>
    <row r="257" spans="1:10" x14ac:dyDescent="0.35">
      <c r="A257" s="61">
        <v>253</v>
      </c>
      <c r="B257" s="2"/>
      <c r="C257" s="2"/>
      <c r="D257" s="2"/>
      <c r="E257" s="10"/>
      <c r="F257" s="11"/>
      <c r="G257" s="2"/>
      <c r="H257" s="2"/>
      <c r="I257" s="2"/>
      <c r="J257" s="67"/>
    </row>
    <row r="258" spans="1:10" x14ac:dyDescent="0.35">
      <c r="A258" s="61">
        <v>254</v>
      </c>
      <c r="B258" s="2"/>
      <c r="C258" s="2"/>
      <c r="D258" s="2"/>
      <c r="E258" s="10"/>
      <c r="F258" s="11"/>
      <c r="G258" s="2"/>
      <c r="H258" s="2"/>
      <c r="I258" s="2"/>
      <c r="J258" s="67"/>
    </row>
    <row r="259" spans="1:10" x14ac:dyDescent="0.35">
      <c r="A259" s="61">
        <v>255</v>
      </c>
      <c r="B259" s="2"/>
      <c r="C259" s="2"/>
      <c r="D259" s="2"/>
      <c r="E259" s="10"/>
      <c r="F259" s="11"/>
      <c r="G259" s="2"/>
      <c r="H259" s="2"/>
      <c r="I259" s="2"/>
      <c r="J259" s="67"/>
    </row>
    <row r="260" spans="1:10" x14ac:dyDescent="0.35">
      <c r="A260" s="61">
        <v>256</v>
      </c>
      <c r="B260" s="2"/>
      <c r="C260" s="2"/>
      <c r="D260" s="2"/>
      <c r="E260" s="10"/>
      <c r="F260" s="11"/>
      <c r="G260" s="2"/>
      <c r="H260" s="2"/>
      <c r="I260" s="2"/>
      <c r="J260" s="67"/>
    </row>
    <row r="261" spans="1:10" x14ac:dyDescent="0.35">
      <c r="A261" s="61">
        <v>257</v>
      </c>
      <c r="B261" s="2"/>
      <c r="C261" s="2"/>
      <c r="D261" s="2"/>
      <c r="E261" s="10"/>
      <c r="F261" s="11"/>
      <c r="G261" s="2"/>
      <c r="H261" s="2"/>
      <c r="I261" s="2"/>
      <c r="J261" s="67"/>
    </row>
    <row r="262" spans="1:10" x14ac:dyDescent="0.35">
      <c r="A262" s="61">
        <v>258</v>
      </c>
      <c r="B262" s="2"/>
      <c r="C262" s="2"/>
      <c r="D262" s="2"/>
      <c r="E262" s="10"/>
      <c r="F262" s="11"/>
      <c r="G262" s="2"/>
      <c r="H262" s="2"/>
      <c r="I262" s="2"/>
      <c r="J262" s="67"/>
    </row>
    <row r="263" spans="1:10" x14ac:dyDescent="0.35">
      <c r="A263" s="61">
        <v>259</v>
      </c>
      <c r="B263" s="2"/>
      <c r="C263" s="2"/>
      <c r="D263" s="2"/>
      <c r="E263" s="10"/>
      <c r="F263" s="11"/>
      <c r="G263" s="2"/>
      <c r="H263" s="2"/>
      <c r="I263" s="2"/>
      <c r="J263" s="67"/>
    </row>
    <row r="264" spans="1:10" x14ac:dyDescent="0.35">
      <c r="A264" s="61">
        <v>260</v>
      </c>
      <c r="B264" s="2"/>
      <c r="C264" s="2"/>
      <c r="D264" s="2"/>
      <c r="E264" s="10"/>
      <c r="F264" s="11"/>
      <c r="G264" s="2"/>
      <c r="H264" s="2"/>
      <c r="I264" s="2"/>
      <c r="J264" s="67"/>
    </row>
    <row r="265" spans="1:10" x14ac:dyDescent="0.35">
      <c r="A265" s="61">
        <v>261</v>
      </c>
      <c r="B265" s="2"/>
      <c r="C265" s="2"/>
      <c r="D265" s="2"/>
      <c r="E265" s="10"/>
      <c r="F265" s="11"/>
      <c r="G265" s="2"/>
      <c r="H265" s="2"/>
      <c r="I265" s="2"/>
      <c r="J265" s="67"/>
    </row>
    <row r="266" spans="1:10" x14ac:dyDescent="0.35">
      <c r="A266" s="61">
        <v>262</v>
      </c>
      <c r="B266" s="2"/>
      <c r="C266" s="2"/>
      <c r="D266" s="2"/>
      <c r="E266" s="10"/>
      <c r="F266" s="11"/>
      <c r="G266" s="2"/>
      <c r="H266" s="2"/>
      <c r="I266" s="2"/>
      <c r="J266" s="67"/>
    </row>
    <row r="267" spans="1:10" x14ac:dyDescent="0.35">
      <c r="A267" s="61">
        <v>263</v>
      </c>
      <c r="B267" s="2"/>
      <c r="C267" s="2"/>
      <c r="D267" s="2"/>
      <c r="E267" s="10"/>
      <c r="F267" s="11"/>
      <c r="G267" s="2"/>
      <c r="H267" s="2"/>
      <c r="I267" s="2"/>
      <c r="J267" s="67"/>
    </row>
    <row r="268" spans="1:10" x14ac:dyDescent="0.35">
      <c r="A268" s="61">
        <v>264</v>
      </c>
      <c r="B268" s="2"/>
      <c r="C268" s="2"/>
      <c r="D268" s="2"/>
      <c r="E268" s="10"/>
      <c r="F268" s="11"/>
      <c r="G268" s="2"/>
      <c r="H268" s="2"/>
      <c r="I268" s="2"/>
      <c r="J268" s="67"/>
    </row>
    <row r="269" spans="1:10" x14ac:dyDescent="0.35">
      <c r="A269" s="61">
        <v>265</v>
      </c>
      <c r="B269" s="2"/>
      <c r="C269" s="2"/>
      <c r="D269" s="2"/>
      <c r="E269" s="10"/>
      <c r="F269" s="11"/>
      <c r="G269" s="2"/>
      <c r="H269" s="2"/>
      <c r="I269" s="2"/>
      <c r="J269" s="67"/>
    </row>
    <row r="270" spans="1:10" x14ac:dyDescent="0.35">
      <c r="A270" s="61">
        <v>266</v>
      </c>
      <c r="B270" s="2"/>
      <c r="C270" s="2"/>
      <c r="D270" s="2"/>
      <c r="E270" s="10"/>
      <c r="F270" s="11"/>
      <c r="G270" s="2"/>
      <c r="H270" s="2"/>
      <c r="I270" s="2"/>
      <c r="J270" s="67"/>
    </row>
    <row r="271" spans="1:10" x14ac:dyDescent="0.35">
      <c r="A271" s="61">
        <v>267</v>
      </c>
      <c r="B271" s="2"/>
      <c r="C271" s="2"/>
      <c r="D271" s="2"/>
      <c r="E271" s="10"/>
      <c r="F271" s="11"/>
      <c r="G271" s="2"/>
      <c r="H271" s="2"/>
      <c r="I271" s="2"/>
      <c r="J271" s="67"/>
    </row>
    <row r="272" spans="1:10" x14ac:dyDescent="0.35">
      <c r="A272" s="61">
        <v>268</v>
      </c>
      <c r="B272" s="2"/>
      <c r="C272" s="2"/>
      <c r="D272" s="2"/>
      <c r="E272" s="10"/>
      <c r="F272" s="11"/>
      <c r="G272" s="2"/>
      <c r="H272" s="2"/>
      <c r="I272" s="2"/>
      <c r="J272" s="67"/>
    </row>
    <row r="273" spans="1:10" x14ac:dyDescent="0.35">
      <c r="A273" s="61">
        <v>269</v>
      </c>
      <c r="B273" s="2"/>
      <c r="C273" s="2"/>
      <c r="D273" s="2"/>
      <c r="E273" s="10"/>
      <c r="F273" s="11"/>
      <c r="G273" s="2"/>
      <c r="H273" s="2"/>
      <c r="I273" s="2"/>
      <c r="J273" s="67"/>
    </row>
    <row r="274" spans="1:10" x14ac:dyDescent="0.35">
      <c r="A274" s="61">
        <v>270</v>
      </c>
      <c r="B274" s="2"/>
      <c r="C274" s="2"/>
      <c r="D274" s="2"/>
      <c r="E274" s="10"/>
      <c r="F274" s="11"/>
      <c r="G274" s="2"/>
      <c r="H274" s="2"/>
      <c r="I274" s="2"/>
      <c r="J274" s="67"/>
    </row>
    <row r="275" spans="1:10" x14ac:dyDescent="0.35">
      <c r="A275" s="61">
        <v>271</v>
      </c>
      <c r="B275" s="2"/>
      <c r="C275" s="2"/>
      <c r="D275" s="2"/>
      <c r="E275" s="10"/>
      <c r="F275" s="11"/>
      <c r="G275" s="2"/>
      <c r="H275" s="2"/>
      <c r="I275" s="2"/>
      <c r="J275" s="67"/>
    </row>
    <row r="276" spans="1:10" x14ac:dyDescent="0.35">
      <c r="A276" s="61">
        <v>272</v>
      </c>
      <c r="B276" s="2"/>
      <c r="C276" s="2"/>
      <c r="D276" s="2"/>
      <c r="E276" s="10"/>
      <c r="F276" s="11"/>
      <c r="G276" s="2"/>
      <c r="H276" s="2"/>
      <c r="I276" s="2"/>
      <c r="J276" s="67"/>
    </row>
    <row r="277" spans="1:10" x14ac:dyDescent="0.35">
      <c r="A277" s="61">
        <v>273</v>
      </c>
      <c r="B277" s="2"/>
      <c r="C277" s="2"/>
      <c r="D277" s="2"/>
      <c r="E277" s="10"/>
      <c r="F277" s="11"/>
      <c r="G277" s="2"/>
      <c r="H277" s="2"/>
      <c r="I277" s="2"/>
      <c r="J277" s="67"/>
    </row>
    <row r="278" spans="1:10" x14ac:dyDescent="0.35">
      <c r="A278" s="61">
        <v>274</v>
      </c>
      <c r="B278" s="2"/>
      <c r="C278" s="2"/>
      <c r="D278" s="2"/>
      <c r="E278" s="10"/>
      <c r="F278" s="11"/>
      <c r="G278" s="2"/>
      <c r="H278" s="2"/>
      <c r="I278" s="2"/>
      <c r="J278" s="67"/>
    </row>
    <row r="279" spans="1:10" x14ac:dyDescent="0.35">
      <c r="A279" s="61">
        <v>275</v>
      </c>
      <c r="B279" s="2"/>
      <c r="C279" s="2"/>
      <c r="D279" s="2"/>
      <c r="E279" s="10"/>
      <c r="F279" s="11"/>
      <c r="G279" s="2"/>
      <c r="H279" s="2"/>
      <c r="I279" s="2"/>
      <c r="J279" s="67"/>
    </row>
    <row r="280" spans="1:10" x14ac:dyDescent="0.35">
      <c r="A280" s="61">
        <v>276</v>
      </c>
      <c r="B280" s="2"/>
      <c r="C280" s="2"/>
      <c r="D280" s="2"/>
      <c r="E280" s="10"/>
      <c r="F280" s="11"/>
      <c r="G280" s="2"/>
      <c r="H280" s="2"/>
      <c r="I280" s="2"/>
      <c r="J280" s="67"/>
    </row>
    <row r="281" spans="1:10" x14ac:dyDescent="0.35">
      <c r="A281" s="61">
        <v>277</v>
      </c>
      <c r="B281" s="2"/>
      <c r="C281" s="2"/>
      <c r="D281" s="2"/>
      <c r="E281" s="10"/>
      <c r="F281" s="11"/>
      <c r="G281" s="2"/>
      <c r="H281" s="2"/>
      <c r="I281" s="2"/>
      <c r="J281" s="67"/>
    </row>
    <row r="282" spans="1:10" x14ac:dyDescent="0.35">
      <c r="A282" s="61">
        <v>278</v>
      </c>
      <c r="B282" s="2"/>
      <c r="C282" s="2"/>
      <c r="D282" s="2"/>
      <c r="E282" s="10"/>
      <c r="F282" s="11"/>
      <c r="G282" s="2"/>
      <c r="H282" s="2"/>
      <c r="I282" s="2"/>
      <c r="J282" s="67"/>
    </row>
    <row r="283" spans="1:10" x14ac:dyDescent="0.35">
      <c r="A283" s="61">
        <v>279</v>
      </c>
      <c r="B283" s="2"/>
      <c r="C283" s="2"/>
      <c r="D283" s="2"/>
      <c r="E283" s="10"/>
      <c r="F283" s="11"/>
      <c r="G283" s="2"/>
      <c r="H283" s="2"/>
      <c r="I283" s="2"/>
      <c r="J283" s="67"/>
    </row>
    <row r="284" spans="1:10" x14ac:dyDescent="0.35">
      <c r="A284" s="61">
        <v>280</v>
      </c>
      <c r="B284" s="2"/>
      <c r="C284" s="2"/>
      <c r="D284" s="2"/>
      <c r="E284" s="10"/>
      <c r="F284" s="11"/>
      <c r="G284" s="2"/>
      <c r="H284" s="2"/>
      <c r="I284" s="2"/>
      <c r="J284" s="67"/>
    </row>
    <row r="285" spans="1:10" x14ac:dyDescent="0.35">
      <c r="A285" s="61">
        <v>281</v>
      </c>
      <c r="B285" s="2"/>
      <c r="C285" s="2"/>
      <c r="D285" s="2"/>
      <c r="E285" s="10"/>
      <c r="F285" s="11"/>
      <c r="G285" s="2"/>
      <c r="H285" s="2"/>
      <c r="I285" s="2"/>
      <c r="J285" s="67"/>
    </row>
    <row r="286" spans="1:10" x14ac:dyDescent="0.35">
      <c r="A286" s="61">
        <v>282</v>
      </c>
      <c r="B286" s="2"/>
      <c r="C286" s="2"/>
      <c r="D286" s="2"/>
      <c r="E286" s="10"/>
      <c r="F286" s="11"/>
      <c r="G286" s="2"/>
      <c r="H286" s="2"/>
      <c r="I286" s="2"/>
      <c r="J286" s="67"/>
    </row>
    <row r="287" spans="1:10" x14ac:dyDescent="0.35">
      <c r="A287" s="61">
        <v>283</v>
      </c>
      <c r="B287" s="2"/>
      <c r="C287" s="2"/>
      <c r="D287" s="2"/>
      <c r="E287" s="10"/>
      <c r="F287" s="11"/>
      <c r="G287" s="2"/>
      <c r="H287" s="2"/>
      <c r="I287" s="2"/>
      <c r="J287" s="67"/>
    </row>
    <row r="288" spans="1:10" x14ac:dyDescent="0.35">
      <c r="A288" s="61">
        <v>284</v>
      </c>
      <c r="B288" s="2"/>
      <c r="C288" s="2"/>
      <c r="D288" s="2"/>
      <c r="E288" s="10"/>
      <c r="F288" s="11"/>
      <c r="G288" s="2"/>
      <c r="H288" s="2"/>
      <c r="I288" s="2"/>
      <c r="J288" s="67"/>
    </row>
    <row r="289" spans="1:10" x14ac:dyDescent="0.35">
      <c r="A289" s="61">
        <v>285</v>
      </c>
      <c r="B289" s="2"/>
      <c r="C289" s="2"/>
      <c r="D289" s="2"/>
      <c r="E289" s="10"/>
      <c r="F289" s="11"/>
      <c r="G289" s="2"/>
      <c r="H289" s="2"/>
      <c r="I289" s="2"/>
      <c r="J289" s="67"/>
    </row>
    <row r="290" spans="1:10" x14ac:dyDescent="0.35">
      <c r="A290" s="61">
        <v>286</v>
      </c>
      <c r="B290" s="2"/>
      <c r="C290" s="2"/>
      <c r="D290" s="2"/>
      <c r="E290" s="10"/>
      <c r="F290" s="11"/>
      <c r="G290" s="2"/>
      <c r="H290" s="2"/>
      <c r="I290" s="2"/>
      <c r="J290" s="67"/>
    </row>
    <row r="291" spans="1:10" x14ac:dyDescent="0.35">
      <c r="A291" s="61">
        <v>287</v>
      </c>
      <c r="B291" s="2"/>
      <c r="C291" s="2"/>
      <c r="D291" s="2"/>
      <c r="E291" s="10"/>
      <c r="F291" s="11"/>
      <c r="G291" s="2"/>
      <c r="H291" s="2"/>
      <c r="I291" s="2"/>
      <c r="J291" s="67"/>
    </row>
    <row r="292" spans="1:10" x14ac:dyDescent="0.35">
      <c r="A292" s="61">
        <v>288</v>
      </c>
      <c r="B292" s="2"/>
      <c r="C292" s="2"/>
      <c r="D292" s="2"/>
      <c r="E292" s="10"/>
      <c r="F292" s="11"/>
      <c r="G292" s="2"/>
      <c r="H292" s="2"/>
      <c r="I292" s="2"/>
      <c r="J292" s="67"/>
    </row>
    <row r="293" spans="1:10" x14ac:dyDescent="0.35">
      <c r="A293" s="61">
        <v>289</v>
      </c>
      <c r="B293" s="2"/>
      <c r="C293" s="2"/>
      <c r="D293" s="2"/>
      <c r="E293" s="10"/>
      <c r="F293" s="11"/>
      <c r="G293" s="2"/>
      <c r="H293" s="2"/>
      <c r="I293" s="2"/>
      <c r="J293" s="67"/>
    </row>
    <row r="294" spans="1:10" x14ac:dyDescent="0.35">
      <c r="A294" s="61">
        <v>290</v>
      </c>
      <c r="B294" s="2"/>
      <c r="C294" s="2"/>
      <c r="D294" s="2"/>
      <c r="E294" s="10"/>
      <c r="F294" s="11"/>
      <c r="G294" s="2"/>
      <c r="H294" s="2"/>
      <c r="I294" s="2"/>
      <c r="J294" s="67"/>
    </row>
    <row r="295" spans="1:10" x14ac:dyDescent="0.35">
      <c r="A295" s="61">
        <v>291</v>
      </c>
      <c r="B295" s="2"/>
      <c r="C295" s="2"/>
      <c r="D295" s="2"/>
      <c r="E295" s="10"/>
      <c r="F295" s="11"/>
      <c r="G295" s="2"/>
      <c r="H295" s="2"/>
      <c r="I295" s="2"/>
      <c r="J295" s="67"/>
    </row>
    <row r="296" spans="1:10" x14ac:dyDescent="0.35">
      <c r="A296" s="61">
        <v>292</v>
      </c>
      <c r="B296" s="2"/>
      <c r="C296" s="2"/>
      <c r="D296" s="2"/>
      <c r="E296" s="10"/>
      <c r="F296" s="11"/>
      <c r="G296" s="2"/>
      <c r="H296" s="2"/>
      <c r="I296" s="2"/>
      <c r="J296" s="67"/>
    </row>
    <row r="297" spans="1:10" x14ac:dyDescent="0.35">
      <c r="A297" s="61">
        <v>293</v>
      </c>
      <c r="B297" s="2"/>
      <c r="C297" s="2"/>
      <c r="D297" s="2"/>
      <c r="E297" s="10"/>
      <c r="F297" s="11"/>
      <c r="G297" s="2"/>
      <c r="H297" s="2"/>
      <c r="I297" s="2"/>
      <c r="J297" s="67"/>
    </row>
    <row r="298" spans="1:10" x14ac:dyDescent="0.35">
      <c r="A298" s="61">
        <v>294</v>
      </c>
      <c r="B298" s="2"/>
      <c r="C298" s="2"/>
      <c r="D298" s="2"/>
      <c r="E298" s="10"/>
      <c r="F298" s="11"/>
      <c r="G298" s="2"/>
      <c r="H298" s="2"/>
      <c r="I298" s="2"/>
      <c r="J298" s="67"/>
    </row>
    <row r="299" spans="1:10" x14ac:dyDescent="0.35">
      <c r="A299" s="61">
        <v>295</v>
      </c>
      <c r="B299" s="2"/>
      <c r="C299" s="2"/>
      <c r="D299" s="2"/>
      <c r="E299" s="10"/>
      <c r="F299" s="11"/>
      <c r="G299" s="2"/>
      <c r="H299" s="2"/>
      <c r="I299" s="2"/>
      <c r="J299" s="67"/>
    </row>
    <row r="300" spans="1:10" x14ac:dyDescent="0.35">
      <c r="A300" s="61">
        <v>296</v>
      </c>
      <c r="B300" s="2"/>
      <c r="C300" s="2"/>
      <c r="D300" s="2"/>
      <c r="E300" s="10"/>
      <c r="F300" s="11"/>
      <c r="G300" s="2"/>
      <c r="H300" s="2"/>
      <c r="I300" s="2"/>
      <c r="J300" s="67"/>
    </row>
    <row r="301" spans="1:10" x14ac:dyDescent="0.35">
      <c r="A301" s="61">
        <v>297</v>
      </c>
      <c r="B301" s="2"/>
      <c r="C301" s="2"/>
      <c r="D301" s="2"/>
      <c r="E301" s="10"/>
      <c r="F301" s="11"/>
      <c r="G301" s="2"/>
      <c r="H301" s="2"/>
      <c r="I301" s="2"/>
      <c r="J301" s="67"/>
    </row>
    <row r="302" spans="1:10" x14ac:dyDescent="0.35">
      <c r="A302" s="61">
        <v>298</v>
      </c>
      <c r="B302" s="2"/>
      <c r="C302" s="2"/>
      <c r="D302" s="2"/>
      <c r="E302" s="10"/>
      <c r="F302" s="11"/>
      <c r="G302" s="2"/>
      <c r="H302" s="2"/>
      <c r="I302" s="2"/>
      <c r="J302" s="67"/>
    </row>
    <row r="303" spans="1:10" x14ac:dyDescent="0.35">
      <c r="A303" s="61">
        <v>299</v>
      </c>
      <c r="B303" s="2"/>
      <c r="C303" s="2"/>
      <c r="D303" s="2"/>
      <c r="E303" s="10"/>
      <c r="F303" s="11"/>
      <c r="G303" s="2"/>
      <c r="H303" s="2"/>
      <c r="I303" s="2"/>
      <c r="J303" s="67"/>
    </row>
    <row r="304" spans="1:10" x14ac:dyDescent="0.35">
      <c r="A304" s="61">
        <v>300</v>
      </c>
      <c r="B304" s="2"/>
      <c r="C304" s="2"/>
      <c r="D304" s="2"/>
      <c r="E304" s="10"/>
      <c r="F304" s="11"/>
      <c r="G304" s="2"/>
      <c r="H304" s="2"/>
      <c r="I304" s="2"/>
      <c r="J304" s="67"/>
    </row>
    <row r="305" spans="1:10" x14ac:dyDescent="0.35">
      <c r="A305" s="61">
        <v>301</v>
      </c>
      <c r="B305" s="2"/>
      <c r="C305" s="2"/>
      <c r="D305" s="2"/>
      <c r="E305" s="10"/>
      <c r="F305" s="11"/>
      <c r="G305" s="2"/>
      <c r="H305" s="2"/>
      <c r="I305" s="2"/>
      <c r="J305" s="67"/>
    </row>
    <row r="306" spans="1:10" x14ac:dyDescent="0.35">
      <c r="A306" s="61">
        <v>302</v>
      </c>
      <c r="B306" s="2"/>
      <c r="C306" s="2"/>
      <c r="D306" s="2"/>
      <c r="E306" s="10"/>
      <c r="F306" s="11"/>
      <c r="G306" s="2"/>
      <c r="H306" s="2"/>
      <c r="I306" s="2"/>
      <c r="J306" s="67"/>
    </row>
    <row r="307" spans="1:10" x14ac:dyDescent="0.35">
      <c r="A307" s="61">
        <v>303</v>
      </c>
      <c r="B307" s="2"/>
      <c r="C307" s="2"/>
      <c r="D307" s="2"/>
      <c r="E307" s="10"/>
      <c r="F307" s="11"/>
      <c r="G307" s="2"/>
      <c r="H307" s="2"/>
      <c r="I307" s="2"/>
      <c r="J307" s="67"/>
    </row>
    <row r="308" spans="1:10" x14ac:dyDescent="0.35">
      <c r="A308" s="61">
        <v>304</v>
      </c>
      <c r="B308" s="2"/>
      <c r="C308" s="2"/>
      <c r="D308" s="2"/>
      <c r="E308" s="10"/>
      <c r="F308" s="11"/>
      <c r="G308" s="2"/>
      <c r="H308" s="2"/>
      <c r="I308" s="2"/>
      <c r="J308" s="67"/>
    </row>
    <row r="309" spans="1:10" x14ac:dyDescent="0.35">
      <c r="A309" s="61">
        <v>305</v>
      </c>
      <c r="B309" s="2"/>
      <c r="C309" s="2"/>
      <c r="D309" s="2"/>
      <c r="E309" s="10"/>
      <c r="F309" s="11"/>
      <c r="G309" s="2"/>
      <c r="H309" s="2"/>
      <c r="I309" s="2"/>
      <c r="J309" s="67"/>
    </row>
    <row r="310" spans="1:10" x14ac:dyDescent="0.35">
      <c r="A310" s="61">
        <v>306</v>
      </c>
      <c r="B310" s="2"/>
      <c r="C310" s="2"/>
      <c r="D310" s="2"/>
      <c r="E310" s="10"/>
      <c r="F310" s="11"/>
      <c r="G310" s="2"/>
      <c r="H310" s="2"/>
      <c r="I310" s="2"/>
      <c r="J310" s="67"/>
    </row>
    <row r="311" spans="1:10" x14ac:dyDescent="0.35">
      <c r="A311" s="61">
        <v>307</v>
      </c>
      <c r="B311" s="2"/>
      <c r="C311" s="2"/>
      <c r="D311" s="2"/>
      <c r="E311" s="10"/>
      <c r="F311" s="11"/>
      <c r="G311" s="2"/>
      <c r="H311" s="2"/>
      <c r="I311" s="2"/>
      <c r="J311" s="67"/>
    </row>
    <row r="312" spans="1:10" x14ac:dyDescent="0.35">
      <c r="A312" s="61">
        <v>308</v>
      </c>
      <c r="B312" s="2"/>
      <c r="C312" s="2"/>
      <c r="D312" s="2"/>
      <c r="E312" s="10"/>
      <c r="F312" s="11"/>
      <c r="G312" s="2"/>
      <c r="H312" s="2"/>
      <c r="I312" s="2"/>
      <c r="J312" s="67"/>
    </row>
    <row r="313" spans="1:10" x14ac:dyDescent="0.35">
      <c r="A313" s="61">
        <v>309</v>
      </c>
      <c r="B313" s="2"/>
      <c r="C313" s="2"/>
      <c r="D313" s="2"/>
      <c r="E313" s="10"/>
      <c r="F313" s="11"/>
      <c r="G313" s="2"/>
      <c r="H313" s="2"/>
      <c r="I313" s="2"/>
      <c r="J313" s="67"/>
    </row>
    <row r="314" spans="1:10" x14ac:dyDescent="0.35">
      <c r="A314" s="61">
        <v>310</v>
      </c>
      <c r="B314" s="2"/>
      <c r="C314" s="2"/>
      <c r="D314" s="2"/>
      <c r="E314" s="10"/>
      <c r="F314" s="11"/>
      <c r="G314" s="2"/>
      <c r="H314" s="2"/>
      <c r="I314" s="2"/>
      <c r="J314" s="67"/>
    </row>
    <row r="315" spans="1:10" x14ac:dyDescent="0.35">
      <c r="A315" s="61">
        <v>311</v>
      </c>
      <c r="B315" s="2"/>
      <c r="C315" s="2"/>
      <c r="D315" s="2"/>
      <c r="E315" s="10"/>
      <c r="F315" s="11"/>
      <c r="G315" s="2"/>
      <c r="H315" s="2"/>
      <c r="I315" s="2"/>
      <c r="J315" s="67"/>
    </row>
    <row r="316" spans="1:10" x14ac:dyDescent="0.35">
      <c r="A316" s="61">
        <v>312</v>
      </c>
      <c r="B316" s="2"/>
      <c r="C316" s="2"/>
      <c r="D316" s="2"/>
      <c r="E316" s="10"/>
      <c r="F316" s="11"/>
      <c r="G316" s="2"/>
      <c r="H316" s="2"/>
      <c r="I316" s="2"/>
      <c r="J316" s="67"/>
    </row>
    <row r="317" spans="1:10" x14ac:dyDescent="0.35">
      <c r="A317" s="61">
        <v>313</v>
      </c>
      <c r="B317" s="2"/>
      <c r="C317" s="2"/>
      <c r="D317" s="2"/>
      <c r="E317" s="10"/>
      <c r="F317" s="11"/>
      <c r="G317" s="2"/>
      <c r="H317" s="2"/>
      <c r="I317" s="2"/>
      <c r="J317" s="67"/>
    </row>
    <row r="318" spans="1:10" x14ac:dyDescent="0.35">
      <c r="A318" s="61">
        <v>314</v>
      </c>
      <c r="B318" s="2"/>
      <c r="C318" s="2"/>
      <c r="D318" s="2"/>
      <c r="E318" s="10"/>
      <c r="F318" s="11"/>
      <c r="G318" s="2"/>
      <c r="H318" s="2"/>
      <c r="I318" s="2"/>
      <c r="J318" s="67"/>
    </row>
    <row r="319" spans="1:10" x14ac:dyDescent="0.35">
      <c r="A319" s="61">
        <v>315</v>
      </c>
      <c r="B319" s="2"/>
      <c r="C319" s="2"/>
      <c r="D319" s="2"/>
      <c r="E319" s="10"/>
      <c r="F319" s="11"/>
      <c r="G319" s="2"/>
      <c r="H319" s="2"/>
      <c r="I319" s="2"/>
      <c r="J319" s="67"/>
    </row>
    <row r="320" spans="1:10" x14ac:dyDescent="0.35">
      <c r="A320" s="61">
        <v>316</v>
      </c>
      <c r="B320" s="2"/>
      <c r="C320" s="2"/>
      <c r="D320" s="2"/>
      <c r="E320" s="10"/>
      <c r="F320" s="11"/>
      <c r="G320" s="2"/>
      <c r="H320" s="2"/>
      <c r="I320" s="2"/>
      <c r="J320" s="67"/>
    </row>
    <row r="321" spans="1:10" x14ac:dyDescent="0.35">
      <c r="A321" s="61">
        <v>317</v>
      </c>
      <c r="B321" s="2"/>
      <c r="C321" s="2"/>
      <c r="D321" s="2"/>
      <c r="E321" s="10"/>
      <c r="F321" s="11"/>
      <c r="G321" s="2"/>
      <c r="H321" s="2"/>
      <c r="I321" s="2"/>
      <c r="J321" s="67"/>
    </row>
    <row r="322" spans="1:10" x14ac:dyDescent="0.35">
      <c r="A322" s="61">
        <v>318</v>
      </c>
      <c r="B322" s="2"/>
      <c r="C322" s="2"/>
      <c r="D322" s="2"/>
      <c r="E322" s="10"/>
      <c r="F322" s="11"/>
      <c r="G322" s="2"/>
      <c r="H322" s="2"/>
      <c r="I322" s="2"/>
      <c r="J322" s="67"/>
    </row>
    <row r="323" spans="1:10" x14ac:dyDescent="0.35">
      <c r="A323" s="61">
        <v>319</v>
      </c>
      <c r="B323" s="2"/>
      <c r="C323" s="2"/>
      <c r="D323" s="2"/>
      <c r="E323" s="10"/>
      <c r="F323" s="11"/>
      <c r="G323" s="2"/>
      <c r="H323" s="2"/>
      <c r="I323" s="2"/>
      <c r="J323" s="67"/>
    </row>
    <row r="324" spans="1:10" x14ac:dyDescent="0.35">
      <c r="A324" s="61">
        <v>320</v>
      </c>
      <c r="B324" s="2"/>
      <c r="C324" s="2"/>
      <c r="D324" s="2"/>
      <c r="E324" s="10"/>
      <c r="F324" s="11"/>
      <c r="G324" s="2"/>
      <c r="H324" s="2"/>
      <c r="I324" s="2"/>
      <c r="J324" s="67"/>
    </row>
    <row r="325" spans="1:10" x14ac:dyDescent="0.35">
      <c r="A325" s="61">
        <v>321</v>
      </c>
      <c r="B325" s="2"/>
      <c r="C325" s="2"/>
      <c r="D325" s="2"/>
      <c r="E325" s="10"/>
      <c r="F325" s="11"/>
      <c r="G325" s="2"/>
      <c r="H325" s="2"/>
      <c r="I325" s="2"/>
      <c r="J325" s="67"/>
    </row>
    <row r="326" spans="1:10" x14ac:dyDescent="0.35">
      <c r="A326" s="61">
        <v>322</v>
      </c>
      <c r="B326" s="2"/>
      <c r="C326" s="2"/>
      <c r="D326" s="2"/>
      <c r="E326" s="10"/>
      <c r="F326" s="11"/>
      <c r="G326" s="2"/>
      <c r="H326" s="2"/>
      <c r="I326" s="2"/>
      <c r="J326" s="67"/>
    </row>
    <row r="327" spans="1:10" x14ac:dyDescent="0.35">
      <c r="A327" s="61">
        <v>323</v>
      </c>
      <c r="B327" s="2"/>
      <c r="C327" s="2"/>
      <c r="D327" s="2"/>
      <c r="E327" s="10"/>
      <c r="F327" s="11"/>
      <c r="G327" s="2"/>
      <c r="H327" s="2"/>
      <c r="I327" s="2"/>
      <c r="J327" s="67"/>
    </row>
    <row r="328" spans="1:10" x14ac:dyDescent="0.35">
      <c r="A328" s="61">
        <v>324</v>
      </c>
      <c r="B328" s="2"/>
      <c r="C328" s="2"/>
      <c r="D328" s="2"/>
      <c r="E328" s="10"/>
      <c r="F328" s="11"/>
      <c r="G328" s="2"/>
      <c r="H328" s="2"/>
      <c r="I328" s="2"/>
      <c r="J328" s="67"/>
    </row>
    <row r="329" spans="1:10" x14ac:dyDescent="0.35">
      <c r="A329" s="61">
        <v>325</v>
      </c>
      <c r="B329" s="2"/>
      <c r="C329" s="2"/>
      <c r="D329" s="2"/>
      <c r="E329" s="10"/>
      <c r="F329" s="11"/>
      <c r="G329" s="2"/>
      <c r="H329" s="2"/>
      <c r="I329" s="2"/>
      <c r="J329" s="67"/>
    </row>
    <row r="330" spans="1:10" x14ac:dyDescent="0.35">
      <c r="A330" s="61">
        <v>326</v>
      </c>
      <c r="B330" s="2"/>
      <c r="C330" s="2"/>
      <c r="D330" s="2"/>
      <c r="E330" s="10"/>
      <c r="F330" s="11"/>
      <c r="G330" s="2"/>
      <c r="H330" s="2"/>
      <c r="I330" s="2"/>
      <c r="J330" s="67"/>
    </row>
    <row r="331" spans="1:10" x14ac:dyDescent="0.35">
      <c r="A331" s="61">
        <v>327</v>
      </c>
      <c r="B331" s="2"/>
      <c r="C331" s="2"/>
      <c r="D331" s="2"/>
      <c r="E331" s="10"/>
      <c r="F331" s="11"/>
      <c r="G331" s="2"/>
      <c r="H331" s="2"/>
      <c r="I331" s="2"/>
      <c r="J331" s="67"/>
    </row>
    <row r="332" spans="1:10" x14ac:dyDescent="0.35">
      <c r="A332" s="61">
        <v>328</v>
      </c>
      <c r="B332" s="2"/>
      <c r="C332" s="2"/>
      <c r="D332" s="2"/>
      <c r="E332" s="10"/>
      <c r="F332" s="11"/>
      <c r="G332" s="2"/>
      <c r="H332" s="2"/>
      <c r="I332" s="2"/>
      <c r="J332" s="67"/>
    </row>
    <row r="333" spans="1:10" x14ac:dyDescent="0.35">
      <c r="A333" s="61">
        <v>329</v>
      </c>
      <c r="B333" s="2"/>
      <c r="C333" s="2"/>
      <c r="D333" s="2"/>
      <c r="E333" s="10"/>
      <c r="F333" s="11"/>
      <c r="G333" s="2"/>
      <c r="H333" s="2"/>
      <c r="I333" s="2"/>
      <c r="J333" s="67"/>
    </row>
    <row r="334" spans="1:10" x14ac:dyDescent="0.35">
      <c r="A334" s="61">
        <v>330</v>
      </c>
      <c r="B334" s="2"/>
      <c r="C334" s="2"/>
      <c r="D334" s="2"/>
      <c r="E334" s="10"/>
      <c r="F334" s="11"/>
      <c r="G334" s="2"/>
      <c r="H334" s="2"/>
      <c r="I334" s="2"/>
      <c r="J334" s="67"/>
    </row>
    <row r="335" spans="1:10" x14ac:dyDescent="0.35">
      <c r="A335" s="61">
        <v>331</v>
      </c>
      <c r="B335" s="2"/>
      <c r="C335" s="2"/>
      <c r="D335" s="2"/>
      <c r="E335" s="10"/>
      <c r="F335" s="11"/>
      <c r="G335" s="2"/>
      <c r="H335" s="2"/>
      <c r="I335" s="2"/>
      <c r="J335" s="67"/>
    </row>
    <row r="336" spans="1:10" x14ac:dyDescent="0.35">
      <c r="A336" s="61">
        <v>332</v>
      </c>
      <c r="B336" s="2"/>
      <c r="C336" s="2"/>
      <c r="D336" s="2"/>
      <c r="E336" s="10"/>
      <c r="F336" s="11"/>
      <c r="G336" s="2"/>
      <c r="H336" s="2"/>
      <c r="I336" s="2"/>
      <c r="J336" s="67"/>
    </row>
    <row r="337" spans="1:10" x14ac:dyDescent="0.35">
      <c r="A337" s="61">
        <v>333</v>
      </c>
      <c r="B337" s="2"/>
      <c r="C337" s="2"/>
      <c r="D337" s="2"/>
      <c r="E337" s="10"/>
      <c r="F337" s="11"/>
      <c r="G337" s="2"/>
      <c r="H337" s="2"/>
      <c r="I337" s="2"/>
      <c r="J337" s="67"/>
    </row>
    <row r="338" spans="1:10" x14ac:dyDescent="0.35">
      <c r="A338" s="61">
        <v>334</v>
      </c>
      <c r="B338" s="2"/>
      <c r="C338" s="2"/>
      <c r="D338" s="2"/>
      <c r="E338" s="10"/>
      <c r="F338" s="11"/>
      <c r="G338" s="2"/>
      <c r="H338" s="2"/>
      <c r="I338" s="2"/>
      <c r="J338" s="67"/>
    </row>
    <row r="339" spans="1:10" x14ac:dyDescent="0.35">
      <c r="A339" s="61">
        <v>335</v>
      </c>
      <c r="B339" s="2"/>
      <c r="C339" s="2"/>
      <c r="D339" s="2"/>
      <c r="E339" s="10"/>
      <c r="F339" s="11"/>
      <c r="G339" s="2"/>
      <c r="H339" s="2"/>
      <c r="I339" s="2"/>
      <c r="J339" s="67"/>
    </row>
    <row r="340" spans="1:10" x14ac:dyDescent="0.35">
      <c r="A340" s="61">
        <v>336</v>
      </c>
      <c r="B340" s="2"/>
      <c r="C340" s="2"/>
      <c r="D340" s="2"/>
      <c r="E340" s="10"/>
      <c r="F340" s="11"/>
      <c r="G340" s="2"/>
      <c r="H340" s="2"/>
      <c r="I340" s="2"/>
      <c r="J340" s="67"/>
    </row>
    <row r="341" spans="1:10" x14ac:dyDescent="0.35">
      <c r="A341" s="61">
        <v>337</v>
      </c>
      <c r="B341" s="2"/>
      <c r="C341" s="2"/>
      <c r="D341" s="2"/>
      <c r="E341" s="10"/>
      <c r="F341" s="11"/>
      <c r="G341" s="2"/>
      <c r="H341" s="2"/>
      <c r="I341" s="2"/>
      <c r="J341" s="67"/>
    </row>
    <row r="342" spans="1:10" x14ac:dyDescent="0.35">
      <c r="A342" s="61">
        <v>338</v>
      </c>
      <c r="B342" s="2"/>
      <c r="C342" s="2"/>
      <c r="D342" s="2"/>
      <c r="E342" s="10"/>
      <c r="F342" s="11"/>
      <c r="G342" s="2"/>
      <c r="H342" s="2"/>
      <c r="I342" s="2"/>
      <c r="J342" s="67"/>
    </row>
    <row r="343" spans="1:10" x14ac:dyDescent="0.35">
      <c r="A343" s="61">
        <v>339</v>
      </c>
      <c r="B343" s="2"/>
      <c r="C343" s="2"/>
      <c r="D343" s="2"/>
      <c r="E343" s="10"/>
      <c r="F343" s="11"/>
      <c r="G343" s="2"/>
      <c r="H343" s="2"/>
      <c r="I343" s="2"/>
      <c r="J343" s="67"/>
    </row>
    <row r="344" spans="1:10" x14ac:dyDescent="0.35">
      <c r="A344" s="61">
        <v>340</v>
      </c>
      <c r="B344" s="2"/>
      <c r="C344" s="2"/>
      <c r="D344" s="2"/>
      <c r="E344" s="10"/>
      <c r="F344" s="11"/>
      <c r="G344" s="2"/>
      <c r="H344" s="2"/>
      <c r="I344" s="2"/>
      <c r="J344" s="67"/>
    </row>
    <row r="345" spans="1:10" x14ac:dyDescent="0.35">
      <c r="A345" s="61">
        <v>341</v>
      </c>
      <c r="B345" s="2"/>
      <c r="C345" s="2"/>
      <c r="D345" s="2"/>
      <c r="E345" s="10"/>
      <c r="F345" s="11"/>
      <c r="G345" s="2"/>
      <c r="H345" s="2"/>
      <c r="I345" s="2"/>
      <c r="J345" s="67"/>
    </row>
    <row r="346" spans="1:10" x14ac:dyDescent="0.35">
      <c r="A346" s="61">
        <v>342</v>
      </c>
      <c r="B346" s="2"/>
      <c r="C346" s="2"/>
      <c r="D346" s="2"/>
      <c r="E346" s="10"/>
      <c r="F346" s="11"/>
      <c r="G346" s="2"/>
      <c r="H346" s="2"/>
      <c r="I346" s="2"/>
      <c r="J346" s="67"/>
    </row>
    <row r="347" spans="1:10" x14ac:dyDescent="0.35">
      <c r="A347" s="61">
        <v>343</v>
      </c>
      <c r="B347" s="2"/>
      <c r="C347" s="2"/>
      <c r="D347" s="2"/>
      <c r="E347" s="10"/>
      <c r="F347" s="11"/>
      <c r="G347" s="2"/>
      <c r="H347" s="2"/>
      <c r="I347" s="2"/>
      <c r="J347" s="67"/>
    </row>
    <row r="348" spans="1:10" x14ac:dyDescent="0.35">
      <c r="A348" s="61">
        <v>344</v>
      </c>
      <c r="B348" s="2"/>
      <c r="C348" s="2"/>
      <c r="D348" s="2"/>
      <c r="E348" s="10"/>
      <c r="F348" s="11"/>
      <c r="G348" s="2"/>
      <c r="H348" s="2"/>
      <c r="I348" s="2"/>
      <c r="J348" s="67"/>
    </row>
    <row r="349" spans="1:10" x14ac:dyDescent="0.35">
      <c r="A349" s="61">
        <v>345</v>
      </c>
      <c r="B349" s="2"/>
      <c r="C349" s="2"/>
      <c r="D349" s="2"/>
      <c r="E349" s="10"/>
      <c r="F349" s="11"/>
      <c r="G349" s="2"/>
      <c r="H349" s="2"/>
      <c r="I349" s="2"/>
      <c r="J349" s="67"/>
    </row>
    <row r="350" spans="1:10" x14ac:dyDescent="0.35">
      <c r="A350" s="61">
        <v>346</v>
      </c>
      <c r="B350" s="2"/>
      <c r="C350" s="2"/>
      <c r="D350" s="2"/>
      <c r="E350" s="10"/>
      <c r="F350" s="11"/>
      <c r="G350" s="2"/>
      <c r="H350" s="2"/>
      <c r="I350" s="2"/>
      <c r="J350" s="67"/>
    </row>
    <row r="351" spans="1:10" x14ac:dyDescent="0.35">
      <c r="A351" s="61">
        <v>347</v>
      </c>
      <c r="B351" s="2"/>
      <c r="C351" s="2"/>
      <c r="D351" s="2"/>
      <c r="E351" s="10"/>
      <c r="F351" s="11"/>
      <c r="G351" s="2"/>
      <c r="H351" s="2"/>
      <c r="I351" s="2"/>
      <c r="J351" s="67"/>
    </row>
    <row r="352" spans="1:10" x14ac:dyDescent="0.35">
      <c r="A352" s="61">
        <v>348</v>
      </c>
      <c r="B352" s="2"/>
      <c r="C352" s="2"/>
      <c r="D352" s="2"/>
      <c r="E352" s="10"/>
      <c r="F352" s="11"/>
      <c r="G352" s="2"/>
      <c r="H352" s="2"/>
      <c r="I352" s="2"/>
      <c r="J352" s="67"/>
    </row>
    <row r="353" spans="1:10" x14ac:dyDescent="0.35">
      <c r="A353" s="61">
        <v>349</v>
      </c>
      <c r="B353" s="2"/>
      <c r="C353" s="2"/>
      <c r="D353" s="2"/>
      <c r="E353" s="10"/>
      <c r="F353" s="11"/>
      <c r="G353" s="2"/>
      <c r="H353" s="2"/>
      <c r="I353" s="2"/>
      <c r="J353" s="67"/>
    </row>
    <row r="354" spans="1:10" x14ac:dyDescent="0.35">
      <c r="A354" s="61">
        <v>350</v>
      </c>
      <c r="B354" s="2"/>
      <c r="C354" s="2"/>
      <c r="D354" s="2"/>
      <c r="E354" s="10"/>
      <c r="F354" s="11"/>
      <c r="G354" s="2"/>
      <c r="H354" s="2"/>
      <c r="I354" s="2"/>
      <c r="J354" s="67"/>
    </row>
    <row r="355" spans="1:10" x14ac:dyDescent="0.35">
      <c r="A355" s="61">
        <v>351</v>
      </c>
      <c r="B355" s="2"/>
      <c r="C355" s="2"/>
      <c r="D355" s="2"/>
      <c r="E355" s="10"/>
      <c r="F355" s="11"/>
      <c r="G355" s="2"/>
      <c r="H355" s="2"/>
      <c r="I355" s="2"/>
      <c r="J355" s="67"/>
    </row>
    <row r="356" spans="1:10" x14ac:dyDescent="0.35">
      <c r="A356" s="61">
        <v>352</v>
      </c>
      <c r="B356" s="2"/>
      <c r="C356" s="2"/>
      <c r="D356" s="2"/>
      <c r="E356" s="10"/>
      <c r="F356" s="11"/>
      <c r="G356" s="2"/>
      <c r="H356" s="2"/>
      <c r="I356" s="2"/>
      <c r="J356" s="67"/>
    </row>
    <row r="357" spans="1:10" x14ac:dyDescent="0.35">
      <c r="A357" s="61">
        <v>353</v>
      </c>
      <c r="B357" s="2"/>
      <c r="C357" s="2"/>
      <c r="D357" s="2"/>
      <c r="E357" s="10"/>
      <c r="F357" s="11"/>
      <c r="G357" s="2"/>
      <c r="H357" s="2"/>
      <c r="I357" s="2"/>
      <c r="J357" s="67"/>
    </row>
    <row r="358" spans="1:10" x14ac:dyDescent="0.35">
      <c r="A358" s="61">
        <v>354</v>
      </c>
      <c r="B358" s="2"/>
      <c r="C358" s="2"/>
      <c r="D358" s="2"/>
      <c r="E358" s="10"/>
      <c r="F358" s="11"/>
      <c r="G358" s="2"/>
      <c r="H358" s="2"/>
      <c r="I358" s="2"/>
      <c r="J358" s="67"/>
    </row>
    <row r="359" spans="1:10" x14ac:dyDescent="0.35">
      <c r="A359" s="61">
        <v>355</v>
      </c>
      <c r="B359" s="2"/>
      <c r="C359" s="2"/>
      <c r="D359" s="2"/>
      <c r="E359" s="10"/>
      <c r="F359" s="11"/>
      <c r="G359" s="2"/>
      <c r="H359" s="2"/>
      <c r="I359" s="2"/>
      <c r="J359" s="67"/>
    </row>
    <row r="360" spans="1:10" x14ac:dyDescent="0.35">
      <c r="A360" s="61">
        <v>356</v>
      </c>
      <c r="B360" s="2"/>
      <c r="C360" s="2"/>
      <c r="D360" s="2"/>
      <c r="E360" s="10"/>
      <c r="F360" s="11"/>
      <c r="G360" s="2"/>
      <c r="H360" s="2"/>
      <c r="I360" s="2"/>
      <c r="J360" s="67"/>
    </row>
    <row r="361" spans="1:10" x14ac:dyDescent="0.35">
      <c r="A361" s="61">
        <v>357</v>
      </c>
      <c r="B361" s="2"/>
      <c r="C361" s="2"/>
      <c r="D361" s="2"/>
      <c r="E361" s="10"/>
      <c r="F361" s="11"/>
      <c r="G361" s="2"/>
      <c r="H361" s="2"/>
      <c r="I361" s="2"/>
      <c r="J361" s="67"/>
    </row>
    <row r="362" spans="1:10" x14ac:dyDescent="0.35">
      <c r="A362" s="61">
        <v>358</v>
      </c>
      <c r="B362" s="2"/>
      <c r="C362" s="2"/>
      <c r="D362" s="2"/>
      <c r="E362" s="10"/>
      <c r="F362" s="11"/>
      <c r="G362" s="2"/>
      <c r="H362" s="2"/>
      <c r="I362" s="2"/>
      <c r="J362" s="67"/>
    </row>
    <row r="363" spans="1:10" x14ac:dyDescent="0.35">
      <c r="A363" s="61">
        <v>359</v>
      </c>
      <c r="B363" s="2"/>
      <c r="C363" s="2"/>
      <c r="D363" s="2"/>
      <c r="E363" s="10"/>
      <c r="F363" s="11"/>
      <c r="G363" s="2"/>
      <c r="H363" s="2"/>
      <c r="I363" s="2"/>
      <c r="J363" s="67"/>
    </row>
    <row r="364" spans="1:10" x14ac:dyDescent="0.35">
      <c r="A364" s="61">
        <v>360</v>
      </c>
      <c r="B364" s="2"/>
      <c r="C364" s="2"/>
      <c r="D364" s="2"/>
      <c r="E364" s="10"/>
      <c r="F364" s="11"/>
      <c r="G364" s="2"/>
      <c r="H364" s="2"/>
      <c r="I364" s="2"/>
      <c r="J364" s="67"/>
    </row>
    <row r="365" spans="1:10" x14ac:dyDescent="0.35">
      <c r="A365" s="61">
        <v>361</v>
      </c>
      <c r="B365" s="2"/>
      <c r="C365" s="2"/>
      <c r="D365" s="2"/>
      <c r="E365" s="10"/>
      <c r="F365" s="11"/>
      <c r="G365" s="2"/>
      <c r="H365" s="2"/>
      <c r="I365" s="2"/>
      <c r="J365" s="67"/>
    </row>
    <row r="366" spans="1:10" x14ac:dyDescent="0.35">
      <c r="A366" s="61">
        <v>362</v>
      </c>
      <c r="B366" s="2"/>
      <c r="C366" s="2"/>
      <c r="D366" s="2"/>
      <c r="E366" s="10"/>
      <c r="F366" s="11"/>
      <c r="G366" s="2"/>
      <c r="H366" s="2"/>
      <c r="I366" s="2"/>
      <c r="J366" s="67"/>
    </row>
    <row r="367" spans="1:10" x14ac:dyDescent="0.35">
      <c r="A367" s="61">
        <v>363</v>
      </c>
      <c r="B367" s="2"/>
      <c r="C367" s="2"/>
      <c r="D367" s="2"/>
      <c r="E367" s="10"/>
      <c r="F367" s="11"/>
      <c r="G367" s="2"/>
      <c r="H367" s="2"/>
      <c r="I367" s="2"/>
      <c r="J367" s="67"/>
    </row>
    <row r="368" spans="1:10" x14ac:dyDescent="0.35">
      <c r="A368" s="61">
        <v>364</v>
      </c>
      <c r="B368" s="2"/>
      <c r="C368" s="2"/>
      <c r="D368" s="2"/>
      <c r="E368" s="10"/>
      <c r="F368" s="11"/>
      <c r="G368" s="2"/>
      <c r="H368" s="2"/>
      <c r="I368" s="2"/>
      <c r="J368" s="67"/>
    </row>
    <row r="369" spans="1:10" x14ac:dyDescent="0.35">
      <c r="A369" s="61">
        <v>365</v>
      </c>
      <c r="B369" s="2"/>
      <c r="C369" s="2"/>
      <c r="D369" s="2"/>
      <c r="E369" s="10"/>
      <c r="F369" s="11"/>
      <c r="G369" s="2"/>
      <c r="H369" s="2"/>
      <c r="I369" s="2"/>
      <c r="J369" s="67"/>
    </row>
    <row r="370" spans="1:10" x14ac:dyDescent="0.35">
      <c r="A370" s="61">
        <v>366</v>
      </c>
      <c r="B370" s="2"/>
      <c r="C370" s="2"/>
      <c r="D370" s="2"/>
      <c r="E370" s="10"/>
      <c r="F370" s="11"/>
      <c r="G370" s="2"/>
      <c r="H370" s="2"/>
      <c r="I370" s="2"/>
      <c r="J370" s="67"/>
    </row>
    <row r="371" spans="1:10" x14ac:dyDescent="0.35">
      <c r="A371" s="61">
        <v>367</v>
      </c>
      <c r="B371" s="2"/>
      <c r="C371" s="2"/>
      <c r="D371" s="2"/>
      <c r="E371" s="10"/>
      <c r="F371" s="11"/>
      <c r="G371" s="2"/>
      <c r="H371" s="2"/>
      <c r="I371" s="2"/>
      <c r="J371" s="67"/>
    </row>
    <row r="372" spans="1:10" x14ac:dyDescent="0.35">
      <c r="A372" s="61">
        <v>368</v>
      </c>
      <c r="B372" s="2"/>
      <c r="C372" s="2"/>
      <c r="D372" s="2"/>
      <c r="E372" s="10"/>
      <c r="F372" s="11"/>
      <c r="G372" s="2"/>
      <c r="H372" s="2"/>
      <c r="I372" s="2"/>
      <c r="J372" s="67"/>
    </row>
    <row r="373" spans="1:10" x14ac:dyDescent="0.35">
      <c r="A373" s="61">
        <v>369</v>
      </c>
      <c r="B373" s="2"/>
      <c r="C373" s="2"/>
      <c r="D373" s="2"/>
      <c r="E373" s="10"/>
      <c r="F373" s="11"/>
      <c r="G373" s="2"/>
      <c r="H373" s="2"/>
      <c r="I373" s="2"/>
      <c r="J373" s="67"/>
    </row>
    <row r="374" spans="1:10" x14ac:dyDescent="0.35">
      <c r="A374" s="61">
        <v>370</v>
      </c>
      <c r="B374" s="2"/>
      <c r="C374" s="2"/>
      <c r="D374" s="2"/>
      <c r="E374" s="10"/>
      <c r="F374" s="11"/>
      <c r="G374" s="2"/>
      <c r="H374" s="2"/>
      <c r="I374" s="2"/>
      <c r="J374" s="67"/>
    </row>
    <row r="375" spans="1:10" x14ac:dyDescent="0.35">
      <c r="A375" s="61">
        <v>371</v>
      </c>
      <c r="B375" s="2"/>
      <c r="C375" s="2"/>
      <c r="D375" s="2"/>
      <c r="E375" s="10"/>
      <c r="F375" s="11"/>
      <c r="G375" s="2"/>
      <c r="H375" s="2"/>
      <c r="I375" s="2"/>
      <c r="J375" s="67"/>
    </row>
    <row r="376" spans="1:10" x14ac:dyDescent="0.35">
      <c r="A376" s="61">
        <v>372</v>
      </c>
      <c r="B376" s="2"/>
      <c r="C376" s="2"/>
      <c r="D376" s="2"/>
      <c r="E376" s="10"/>
      <c r="F376" s="11"/>
      <c r="G376" s="2"/>
      <c r="H376" s="2"/>
      <c r="I376" s="2"/>
      <c r="J376" s="67"/>
    </row>
    <row r="377" spans="1:10" x14ac:dyDescent="0.35">
      <c r="A377" s="61">
        <v>373</v>
      </c>
      <c r="B377" s="2"/>
      <c r="C377" s="2"/>
      <c r="D377" s="2"/>
      <c r="E377" s="10"/>
      <c r="F377" s="11"/>
      <c r="G377" s="2"/>
      <c r="H377" s="2"/>
      <c r="I377" s="2"/>
      <c r="J377" s="67"/>
    </row>
    <row r="378" spans="1:10" x14ac:dyDescent="0.35">
      <c r="A378" s="61">
        <v>374</v>
      </c>
      <c r="B378" s="2"/>
      <c r="C378" s="2"/>
      <c r="D378" s="2"/>
      <c r="E378" s="10"/>
      <c r="F378" s="11"/>
      <c r="G378" s="2"/>
      <c r="H378" s="2"/>
      <c r="I378" s="2"/>
      <c r="J378" s="67"/>
    </row>
    <row r="379" spans="1:10" x14ac:dyDescent="0.35">
      <c r="A379" s="61">
        <v>375</v>
      </c>
      <c r="B379" s="2"/>
      <c r="C379" s="2"/>
      <c r="D379" s="2"/>
      <c r="E379" s="10"/>
      <c r="F379" s="11"/>
      <c r="G379" s="2"/>
      <c r="H379" s="2"/>
      <c r="I379" s="2"/>
      <c r="J379" s="67"/>
    </row>
    <row r="380" spans="1:10" x14ac:dyDescent="0.35">
      <c r="A380" s="61">
        <v>376</v>
      </c>
      <c r="B380" s="2"/>
      <c r="C380" s="2"/>
      <c r="D380" s="2"/>
      <c r="E380" s="10"/>
      <c r="F380" s="11"/>
      <c r="G380" s="2"/>
      <c r="H380" s="2"/>
      <c r="I380" s="2"/>
      <c r="J380" s="67"/>
    </row>
    <row r="381" spans="1:10" x14ac:dyDescent="0.35">
      <c r="A381" s="61">
        <v>377</v>
      </c>
      <c r="B381" s="2"/>
      <c r="C381" s="2"/>
      <c r="D381" s="2"/>
      <c r="E381" s="10"/>
      <c r="F381" s="11"/>
      <c r="G381" s="2"/>
      <c r="H381" s="2"/>
      <c r="I381" s="2"/>
      <c r="J381" s="67"/>
    </row>
    <row r="382" spans="1:10" x14ac:dyDescent="0.35">
      <c r="A382" s="61">
        <v>378</v>
      </c>
      <c r="B382" s="2"/>
      <c r="C382" s="2"/>
      <c r="D382" s="2"/>
      <c r="E382" s="10"/>
      <c r="F382" s="11"/>
      <c r="G382" s="2"/>
      <c r="H382" s="2"/>
      <c r="I382" s="2"/>
      <c r="J382" s="67"/>
    </row>
    <row r="383" spans="1:10" x14ac:dyDescent="0.35">
      <c r="A383" s="61">
        <v>379</v>
      </c>
      <c r="B383" s="2"/>
      <c r="C383" s="2"/>
      <c r="D383" s="2"/>
      <c r="E383" s="10"/>
      <c r="F383" s="11"/>
      <c r="G383" s="2"/>
      <c r="H383" s="2"/>
      <c r="I383" s="2"/>
      <c r="J383" s="67"/>
    </row>
    <row r="384" spans="1:10" x14ac:dyDescent="0.35">
      <c r="A384" s="61">
        <v>380</v>
      </c>
      <c r="B384" s="2"/>
      <c r="C384" s="2"/>
      <c r="D384" s="2"/>
      <c r="E384" s="10"/>
      <c r="F384" s="11"/>
      <c r="G384" s="2"/>
      <c r="H384" s="2"/>
      <c r="I384" s="2"/>
      <c r="J384" s="67"/>
    </row>
    <row r="385" spans="1:10" x14ac:dyDescent="0.35">
      <c r="A385" s="61">
        <v>381</v>
      </c>
      <c r="B385" s="2"/>
      <c r="C385" s="2"/>
      <c r="D385" s="2"/>
      <c r="E385" s="10"/>
      <c r="F385" s="11"/>
      <c r="G385" s="2"/>
      <c r="H385" s="2"/>
      <c r="I385" s="2"/>
      <c r="J385" s="67"/>
    </row>
    <row r="386" spans="1:10" x14ac:dyDescent="0.35">
      <c r="A386" s="61">
        <v>382</v>
      </c>
      <c r="B386" s="2"/>
      <c r="C386" s="2"/>
      <c r="D386" s="2"/>
      <c r="E386" s="10"/>
      <c r="F386" s="11"/>
      <c r="G386" s="2"/>
      <c r="H386" s="2"/>
      <c r="I386" s="2"/>
      <c r="J386" s="67"/>
    </row>
    <row r="387" spans="1:10" x14ac:dyDescent="0.35">
      <c r="A387" s="61">
        <v>383</v>
      </c>
      <c r="B387" s="2"/>
      <c r="C387" s="2"/>
      <c r="D387" s="2"/>
      <c r="E387" s="10"/>
      <c r="F387" s="11"/>
      <c r="G387" s="2"/>
      <c r="H387" s="2"/>
      <c r="I387" s="2"/>
      <c r="J387" s="67"/>
    </row>
    <row r="388" spans="1:10" x14ac:dyDescent="0.35">
      <c r="A388" s="61">
        <v>384</v>
      </c>
      <c r="B388" s="2"/>
      <c r="C388" s="2"/>
      <c r="D388" s="2"/>
      <c r="E388" s="10"/>
      <c r="F388" s="11"/>
      <c r="G388" s="2"/>
      <c r="H388" s="2"/>
      <c r="I388" s="2"/>
      <c r="J388" s="67"/>
    </row>
    <row r="389" spans="1:10" x14ac:dyDescent="0.35">
      <c r="A389" s="61">
        <v>385</v>
      </c>
      <c r="B389" s="2"/>
      <c r="C389" s="2"/>
      <c r="D389" s="2"/>
      <c r="E389" s="10"/>
      <c r="F389" s="11"/>
      <c r="G389" s="2"/>
      <c r="H389" s="2"/>
      <c r="I389" s="2"/>
      <c r="J389" s="67"/>
    </row>
    <row r="390" spans="1:10" x14ac:dyDescent="0.35">
      <c r="A390" s="61">
        <v>386</v>
      </c>
      <c r="B390" s="2"/>
      <c r="C390" s="2"/>
      <c r="D390" s="2"/>
      <c r="E390" s="10"/>
      <c r="F390" s="11"/>
      <c r="G390" s="2"/>
      <c r="H390" s="2"/>
      <c r="I390" s="2"/>
      <c r="J390" s="67"/>
    </row>
    <row r="391" spans="1:10" x14ac:dyDescent="0.35">
      <c r="A391" s="61">
        <v>387</v>
      </c>
      <c r="B391" s="2"/>
      <c r="C391" s="2"/>
      <c r="D391" s="2"/>
      <c r="E391" s="10"/>
      <c r="F391" s="11"/>
      <c r="G391" s="2"/>
      <c r="H391" s="2"/>
      <c r="I391" s="2"/>
      <c r="J391" s="67"/>
    </row>
    <row r="392" spans="1:10" x14ac:dyDescent="0.35">
      <c r="A392" s="61">
        <v>388</v>
      </c>
      <c r="B392" s="2"/>
      <c r="C392" s="2"/>
      <c r="D392" s="2"/>
      <c r="E392" s="10"/>
      <c r="F392" s="11"/>
      <c r="G392" s="2"/>
      <c r="H392" s="2"/>
      <c r="I392" s="2"/>
      <c r="J392" s="67"/>
    </row>
    <row r="393" spans="1:10" x14ac:dyDescent="0.35">
      <c r="A393" s="61">
        <v>389</v>
      </c>
      <c r="B393" s="2"/>
      <c r="C393" s="2"/>
      <c r="D393" s="2"/>
      <c r="E393" s="10"/>
      <c r="F393" s="11"/>
      <c r="G393" s="2"/>
      <c r="H393" s="2"/>
      <c r="I393" s="2"/>
      <c r="J393" s="67"/>
    </row>
    <row r="394" spans="1:10" x14ac:dyDescent="0.35">
      <c r="A394" s="61">
        <v>390</v>
      </c>
      <c r="B394" s="2"/>
      <c r="C394" s="2"/>
      <c r="D394" s="2"/>
      <c r="E394" s="10"/>
      <c r="F394" s="11"/>
      <c r="G394" s="2"/>
      <c r="H394" s="2"/>
      <c r="I394" s="2"/>
      <c r="J394" s="67"/>
    </row>
    <row r="395" spans="1:10" x14ac:dyDescent="0.35">
      <c r="A395" s="61">
        <v>391</v>
      </c>
      <c r="B395" s="2"/>
      <c r="C395" s="2"/>
      <c r="D395" s="2"/>
      <c r="E395" s="10"/>
      <c r="F395" s="11"/>
      <c r="G395" s="2"/>
      <c r="H395" s="2"/>
      <c r="I395" s="2"/>
      <c r="J395" s="67"/>
    </row>
    <row r="396" spans="1:10" x14ac:dyDescent="0.35">
      <c r="A396" s="61">
        <v>392</v>
      </c>
      <c r="B396" s="2"/>
      <c r="C396" s="2"/>
      <c r="D396" s="2"/>
      <c r="E396" s="10"/>
      <c r="F396" s="11"/>
      <c r="G396" s="2"/>
      <c r="H396" s="2"/>
      <c r="I396" s="2"/>
      <c r="J396" s="67"/>
    </row>
    <row r="397" spans="1:10" x14ac:dyDescent="0.35">
      <c r="A397" s="61">
        <v>393</v>
      </c>
      <c r="B397" s="2"/>
      <c r="C397" s="2"/>
      <c r="D397" s="2"/>
      <c r="E397" s="10"/>
      <c r="F397" s="11"/>
      <c r="G397" s="2"/>
      <c r="H397" s="2"/>
      <c r="I397" s="2"/>
      <c r="J397" s="67"/>
    </row>
    <row r="398" spans="1:10" x14ac:dyDescent="0.35">
      <c r="A398" s="61">
        <v>394</v>
      </c>
      <c r="B398" s="2"/>
      <c r="C398" s="2"/>
      <c r="D398" s="2"/>
      <c r="E398" s="10"/>
      <c r="F398" s="11"/>
      <c r="G398" s="2"/>
      <c r="H398" s="2"/>
      <c r="I398" s="2"/>
      <c r="J398" s="67"/>
    </row>
    <row r="399" spans="1:10" x14ac:dyDescent="0.35">
      <c r="A399" s="61">
        <v>395</v>
      </c>
      <c r="B399" s="2"/>
      <c r="C399" s="2"/>
      <c r="D399" s="2"/>
      <c r="E399" s="10"/>
      <c r="F399" s="11"/>
      <c r="G399" s="2"/>
      <c r="H399" s="2"/>
      <c r="I399" s="2"/>
      <c r="J399" s="67"/>
    </row>
    <row r="400" spans="1:10" x14ac:dyDescent="0.35">
      <c r="A400" s="61">
        <v>396</v>
      </c>
      <c r="B400" s="2"/>
      <c r="C400" s="2"/>
      <c r="D400" s="2"/>
      <c r="E400" s="10"/>
      <c r="F400" s="11"/>
      <c r="G400" s="2"/>
      <c r="H400" s="2"/>
      <c r="I400" s="2"/>
      <c r="J400" s="67"/>
    </row>
    <row r="401" spans="1:10" x14ac:dyDescent="0.35">
      <c r="A401" s="61">
        <v>397</v>
      </c>
      <c r="B401" s="2"/>
      <c r="C401" s="2"/>
      <c r="D401" s="2"/>
      <c r="E401" s="10"/>
      <c r="F401" s="11"/>
      <c r="G401" s="2"/>
      <c r="H401" s="2"/>
      <c r="I401" s="2"/>
      <c r="J401" s="67"/>
    </row>
    <row r="402" spans="1:10" x14ac:dyDescent="0.35">
      <c r="A402" s="61">
        <v>398</v>
      </c>
      <c r="B402" s="2"/>
      <c r="C402" s="2"/>
      <c r="D402" s="2"/>
      <c r="E402" s="10"/>
      <c r="F402" s="11"/>
      <c r="G402" s="2"/>
      <c r="H402" s="2"/>
      <c r="I402" s="2"/>
      <c r="J402" s="67"/>
    </row>
    <row r="403" spans="1:10" x14ac:dyDescent="0.35">
      <c r="A403" s="61">
        <v>399</v>
      </c>
      <c r="B403" s="2"/>
      <c r="C403" s="2"/>
      <c r="D403" s="2"/>
      <c r="E403" s="10"/>
      <c r="F403" s="11"/>
      <c r="G403" s="2"/>
      <c r="H403" s="2"/>
      <c r="I403" s="2"/>
      <c r="J403" s="67"/>
    </row>
    <row r="404" spans="1:10" x14ac:dyDescent="0.35">
      <c r="A404" s="61">
        <v>400</v>
      </c>
      <c r="B404" s="2"/>
      <c r="C404" s="2"/>
      <c r="D404" s="2"/>
      <c r="E404" s="10"/>
      <c r="F404" s="11"/>
      <c r="G404" s="2"/>
      <c r="H404" s="2"/>
      <c r="I404" s="2"/>
      <c r="J404" s="67"/>
    </row>
    <row r="405" spans="1:10" x14ac:dyDescent="0.35">
      <c r="A405" s="61">
        <v>401</v>
      </c>
      <c r="B405" s="2"/>
      <c r="C405" s="2"/>
      <c r="D405" s="2"/>
      <c r="E405" s="10"/>
      <c r="F405" s="11"/>
      <c r="G405" s="2"/>
      <c r="H405" s="2"/>
      <c r="I405" s="2"/>
      <c r="J405" s="67"/>
    </row>
    <row r="406" spans="1:10" x14ac:dyDescent="0.35">
      <c r="A406" s="61">
        <v>402</v>
      </c>
      <c r="B406" s="2"/>
      <c r="C406" s="2"/>
      <c r="D406" s="2"/>
      <c r="E406" s="10"/>
      <c r="F406" s="11"/>
      <c r="G406" s="2"/>
      <c r="H406" s="2"/>
      <c r="I406" s="2"/>
      <c r="J406" s="67"/>
    </row>
    <row r="407" spans="1:10" x14ac:dyDescent="0.35">
      <c r="A407" s="61">
        <v>403</v>
      </c>
      <c r="B407" s="2"/>
      <c r="C407" s="2"/>
      <c r="D407" s="2"/>
      <c r="E407" s="10"/>
      <c r="F407" s="11"/>
      <c r="G407" s="2"/>
      <c r="H407" s="2"/>
      <c r="I407" s="2"/>
      <c r="J407" s="67"/>
    </row>
    <row r="408" spans="1:10" x14ac:dyDescent="0.35">
      <c r="A408" s="61">
        <v>404</v>
      </c>
      <c r="B408" s="2"/>
      <c r="C408" s="2"/>
      <c r="D408" s="2"/>
      <c r="E408" s="10"/>
      <c r="F408" s="11"/>
      <c r="G408" s="2"/>
      <c r="H408" s="2"/>
      <c r="I408" s="2"/>
      <c r="J408" s="67"/>
    </row>
    <row r="409" spans="1:10" x14ac:dyDescent="0.35">
      <c r="A409" s="61">
        <v>405</v>
      </c>
      <c r="B409" s="2"/>
      <c r="C409" s="2"/>
      <c r="D409" s="2"/>
      <c r="E409" s="10"/>
      <c r="F409" s="11"/>
      <c r="G409" s="2"/>
      <c r="H409" s="2"/>
      <c r="I409" s="2"/>
      <c r="J409" s="67"/>
    </row>
    <row r="410" spans="1:10" x14ac:dyDescent="0.35">
      <c r="A410" s="61">
        <v>406</v>
      </c>
      <c r="B410" s="2"/>
      <c r="C410" s="2"/>
      <c r="D410" s="2"/>
      <c r="E410" s="10"/>
      <c r="F410" s="11"/>
      <c r="G410" s="2"/>
      <c r="H410" s="2"/>
      <c r="I410" s="2"/>
      <c r="J410" s="67"/>
    </row>
    <row r="411" spans="1:10" x14ac:dyDescent="0.35">
      <c r="A411" s="61">
        <v>407</v>
      </c>
      <c r="B411" s="2"/>
      <c r="C411" s="2"/>
      <c r="D411" s="2"/>
      <c r="E411" s="10"/>
      <c r="F411" s="11"/>
      <c r="G411" s="2"/>
      <c r="H411" s="2"/>
      <c r="I411" s="2"/>
      <c r="J411" s="67"/>
    </row>
    <row r="412" spans="1:10" x14ac:dyDescent="0.35">
      <c r="A412" s="61">
        <v>408</v>
      </c>
      <c r="B412" s="2"/>
      <c r="C412" s="2"/>
      <c r="D412" s="2"/>
      <c r="E412" s="10"/>
      <c r="F412" s="11"/>
      <c r="G412" s="2"/>
      <c r="H412" s="2"/>
      <c r="I412" s="2"/>
      <c r="J412" s="67"/>
    </row>
    <row r="413" spans="1:10" x14ac:dyDescent="0.35">
      <c r="A413" s="61">
        <v>409</v>
      </c>
      <c r="B413" s="2"/>
      <c r="C413" s="2"/>
      <c r="D413" s="2"/>
      <c r="E413" s="10"/>
      <c r="F413" s="11"/>
      <c r="G413" s="2"/>
      <c r="H413" s="2"/>
      <c r="I413" s="2"/>
      <c r="J413" s="67"/>
    </row>
    <row r="414" spans="1:10" x14ac:dyDescent="0.35">
      <c r="A414" s="61">
        <v>410</v>
      </c>
      <c r="B414" s="2"/>
      <c r="C414" s="2"/>
      <c r="D414" s="2"/>
      <c r="E414" s="10"/>
      <c r="F414" s="11"/>
      <c r="G414" s="2"/>
      <c r="H414" s="2"/>
      <c r="I414" s="2"/>
      <c r="J414" s="67"/>
    </row>
    <row r="415" spans="1:10" x14ac:dyDescent="0.35">
      <c r="A415" s="61">
        <v>411</v>
      </c>
      <c r="B415" s="2"/>
      <c r="C415" s="2"/>
      <c r="D415" s="2"/>
      <c r="E415" s="10"/>
      <c r="F415" s="11"/>
      <c r="G415" s="2"/>
      <c r="H415" s="2"/>
      <c r="I415" s="2"/>
      <c r="J415" s="67"/>
    </row>
    <row r="416" spans="1:10" x14ac:dyDescent="0.35">
      <c r="A416" s="61">
        <v>412</v>
      </c>
      <c r="B416" s="2"/>
      <c r="C416" s="2"/>
      <c r="D416" s="2"/>
      <c r="E416" s="10"/>
      <c r="F416" s="11"/>
      <c r="G416" s="2"/>
      <c r="H416" s="2"/>
      <c r="I416" s="2"/>
      <c r="J416" s="67"/>
    </row>
    <row r="417" spans="1:10" x14ac:dyDescent="0.35">
      <c r="A417" s="61">
        <v>413</v>
      </c>
      <c r="B417" s="2"/>
      <c r="C417" s="2"/>
      <c r="D417" s="2"/>
      <c r="E417" s="10"/>
      <c r="F417" s="11"/>
      <c r="G417" s="2"/>
      <c r="H417" s="2"/>
      <c r="I417" s="2"/>
      <c r="J417" s="67"/>
    </row>
    <row r="418" spans="1:10" x14ac:dyDescent="0.35">
      <c r="A418" s="61">
        <v>414</v>
      </c>
      <c r="B418" s="2"/>
      <c r="C418" s="2"/>
      <c r="D418" s="2"/>
      <c r="E418" s="10"/>
      <c r="F418" s="11"/>
      <c r="G418" s="2"/>
      <c r="H418" s="2"/>
      <c r="I418" s="2"/>
      <c r="J418" s="67"/>
    </row>
    <row r="419" spans="1:10" x14ac:dyDescent="0.35">
      <c r="A419" s="61">
        <v>415</v>
      </c>
      <c r="B419" s="2"/>
      <c r="C419" s="2"/>
      <c r="D419" s="2"/>
      <c r="E419" s="10"/>
      <c r="F419" s="11"/>
      <c r="G419" s="2"/>
      <c r="H419" s="2"/>
      <c r="I419" s="2"/>
      <c r="J419" s="67"/>
    </row>
    <row r="420" spans="1:10" x14ac:dyDescent="0.35">
      <c r="A420" s="61">
        <v>416</v>
      </c>
      <c r="B420" s="2"/>
      <c r="C420" s="2"/>
      <c r="D420" s="2"/>
      <c r="E420" s="10"/>
      <c r="F420" s="11"/>
      <c r="G420" s="2"/>
      <c r="H420" s="2"/>
      <c r="I420" s="2"/>
      <c r="J420" s="67"/>
    </row>
    <row r="421" spans="1:10" x14ac:dyDescent="0.35">
      <c r="A421" s="61">
        <v>417</v>
      </c>
      <c r="B421" s="2"/>
      <c r="C421" s="2"/>
      <c r="D421" s="2"/>
      <c r="E421" s="10"/>
      <c r="F421" s="11"/>
      <c r="G421" s="2"/>
      <c r="H421" s="2"/>
      <c r="I421" s="2"/>
      <c r="J421" s="67"/>
    </row>
    <row r="422" spans="1:10" x14ac:dyDescent="0.35">
      <c r="A422" s="61">
        <v>418</v>
      </c>
      <c r="B422" s="2"/>
      <c r="C422" s="2"/>
      <c r="D422" s="2"/>
      <c r="E422" s="10"/>
      <c r="F422" s="11"/>
      <c r="G422" s="2"/>
      <c r="H422" s="2"/>
      <c r="I422" s="2"/>
      <c r="J422" s="67"/>
    </row>
    <row r="423" spans="1:10" x14ac:dyDescent="0.35">
      <c r="A423" s="61">
        <v>419</v>
      </c>
      <c r="B423" s="2"/>
      <c r="C423" s="2"/>
      <c r="D423" s="2"/>
      <c r="E423" s="10"/>
      <c r="F423" s="11"/>
      <c r="G423" s="2"/>
      <c r="H423" s="2"/>
      <c r="I423" s="2"/>
      <c r="J423" s="67"/>
    </row>
    <row r="424" spans="1:10" x14ac:dyDescent="0.35">
      <c r="A424" s="61">
        <v>420</v>
      </c>
      <c r="B424" s="2"/>
      <c r="C424" s="2"/>
      <c r="D424" s="2"/>
      <c r="E424" s="10"/>
      <c r="F424" s="11"/>
      <c r="G424" s="2"/>
      <c r="H424" s="2"/>
      <c r="I424" s="2"/>
      <c r="J424" s="67"/>
    </row>
    <row r="425" spans="1:10" x14ac:dyDescent="0.35">
      <c r="A425" s="61">
        <v>421</v>
      </c>
      <c r="B425" s="2"/>
      <c r="C425" s="2"/>
      <c r="D425" s="2"/>
      <c r="E425" s="10"/>
      <c r="F425" s="11"/>
      <c r="G425" s="2"/>
      <c r="H425" s="2"/>
      <c r="I425" s="2"/>
      <c r="J425" s="67"/>
    </row>
    <row r="426" spans="1:10" x14ac:dyDescent="0.35">
      <c r="A426" s="61">
        <v>422</v>
      </c>
      <c r="B426" s="2"/>
      <c r="C426" s="2"/>
      <c r="D426" s="2"/>
      <c r="E426" s="10"/>
      <c r="F426" s="11"/>
      <c r="G426" s="2"/>
      <c r="H426" s="2"/>
      <c r="I426" s="2"/>
      <c r="J426" s="67"/>
    </row>
    <row r="427" spans="1:10" x14ac:dyDescent="0.35">
      <c r="A427" s="61">
        <v>423</v>
      </c>
      <c r="B427" s="2"/>
      <c r="C427" s="2"/>
      <c r="D427" s="2"/>
      <c r="E427" s="10"/>
      <c r="F427" s="11"/>
      <c r="G427" s="2"/>
      <c r="H427" s="2"/>
      <c r="I427" s="2"/>
      <c r="J427" s="67"/>
    </row>
    <row r="428" spans="1:10" x14ac:dyDescent="0.35">
      <c r="A428" s="61">
        <v>424</v>
      </c>
      <c r="B428" s="2"/>
      <c r="C428" s="2"/>
      <c r="D428" s="2"/>
      <c r="E428" s="10"/>
      <c r="F428" s="11"/>
      <c r="G428" s="2"/>
      <c r="H428" s="2"/>
      <c r="I428" s="2"/>
      <c r="J428" s="67"/>
    </row>
    <row r="429" spans="1:10" x14ac:dyDescent="0.35">
      <c r="A429" s="61">
        <v>425</v>
      </c>
      <c r="B429" s="2"/>
      <c r="C429" s="2"/>
      <c r="D429" s="2"/>
      <c r="E429" s="10"/>
      <c r="F429" s="11"/>
      <c r="G429" s="2"/>
      <c r="H429" s="2"/>
      <c r="I429" s="2"/>
      <c r="J429" s="67"/>
    </row>
    <row r="430" spans="1:10" x14ac:dyDescent="0.35">
      <c r="A430" s="61">
        <v>426</v>
      </c>
      <c r="B430" s="2"/>
      <c r="C430" s="2"/>
      <c r="D430" s="2"/>
      <c r="E430" s="10"/>
      <c r="F430" s="11"/>
      <c r="G430" s="2"/>
      <c r="H430" s="2"/>
      <c r="I430" s="2"/>
      <c r="J430" s="67"/>
    </row>
    <row r="431" spans="1:10" x14ac:dyDescent="0.35">
      <c r="A431" s="61">
        <v>427</v>
      </c>
      <c r="B431" s="2"/>
      <c r="C431" s="2"/>
      <c r="D431" s="2"/>
      <c r="E431" s="10"/>
      <c r="F431" s="11"/>
      <c r="G431" s="2"/>
      <c r="H431" s="2"/>
      <c r="I431" s="2"/>
      <c r="J431" s="67"/>
    </row>
    <row r="432" spans="1:10" x14ac:dyDescent="0.35">
      <c r="A432" s="61">
        <v>428</v>
      </c>
      <c r="B432" s="2"/>
      <c r="C432" s="2"/>
      <c r="D432" s="2"/>
      <c r="E432" s="10"/>
      <c r="F432" s="11"/>
      <c r="G432" s="2"/>
      <c r="H432" s="2"/>
      <c r="I432" s="2"/>
      <c r="J432" s="67"/>
    </row>
    <row r="433" spans="1:10" x14ac:dyDescent="0.35">
      <c r="A433" s="61">
        <v>429</v>
      </c>
      <c r="B433" s="2"/>
      <c r="C433" s="2"/>
      <c r="D433" s="2"/>
      <c r="E433" s="10"/>
      <c r="F433" s="11"/>
      <c r="G433" s="2"/>
      <c r="H433" s="2"/>
      <c r="I433" s="2"/>
      <c r="J433" s="67"/>
    </row>
    <row r="434" spans="1:10" x14ac:dyDescent="0.35">
      <c r="A434" s="61">
        <v>430</v>
      </c>
      <c r="B434" s="2"/>
      <c r="C434" s="2"/>
      <c r="D434" s="2"/>
      <c r="E434" s="10"/>
      <c r="F434" s="11"/>
      <c r="G434" s="2"/>
      <c r="H434" s="2"/>
      <c r="I434" s="2"/>
      <c r="J434" s="67"/>
    </row>
    <row r="435" spans="1:10" x14ac:dyDescent="0.35">
      <c r="A435" s="61">
        <v>431</v>
      </c>
      <c r="B435" s="2"/>
      <c r="C435" s="2"/>
      <c r="D435" s="2"/>
      <c r="E435" s="10"/>
      <c r="F435" s="11"/>
      <c r="G435" s="2"/>
      <c r="H435" s="2"/>
      <c r="I435" s="2"/>
      <c r="J435" s="67"/>
    </row>
    <row r="436" spans="1:10" x14ac:dyDescent="0.35">
      <c r="A436" s="61">
        <v>432</v>
      </c>
      <c r="B436" s="2"/>
      <c r="C436" s="2"/>
      <c r="D436" s="2"/>
      <c r="E436" s="10"/>
      <c r="F436" s="11"/>
      <c r="G436" s="2"/>
      <c r="H436" s="2"/>
      <c r="I436" s="2"/>
      <c r="J436" s="67"/>
    </row>
    <row r="437" spans="1:10" x14ac:dyDescent="0.35">
      <c r="A437" s="61">
        <v>433</v>
      </c>
      <c r="B437" s="2"/>
      <c r="C437" s="2"/>
      <c r="D437" s="2"/>
      <c r="E437" s="10"/>
      <c r="F437" s="11"/>
      <c r="G437" s="2"/>
      <c r="H437" s="2"/>
      <c r="I437" s="2"/>
      <c r="J437" s="67"/>
    </row>
    <row r="438" spans="1:10" x14ac:dyDescent="0.35">
      <c r="A438" s="61">
        <v>434</v>
      </c>
      <c r="B438" s="2"/>
      <c r="C438" s="2"/>
      <c r="D438" s="2"/>
      <c r="E438" s="10"/>
      <c r="F438" s="11"/>
      <c r="G438" s="2"/>
      <c r="H438" s="2"/>
      <c r="I438" s="2"/>
      <c r="J438" s="67"/>
    </row>
    <row r="439" spans="1:10" x14ac:dyDescent="0.35">
      <c r="A439" s="61">
        <v>435</v>
      </c>
      <c r="B439" s="2"/>
      <c r="C439" s="2"/>
      <c r="D439" s="2"/>
      <c r="E439" s="10"/>
      <c r="F439" s="11"/>
      <c r="G439" s="2"/>
      <c r="H439" s="2"/>
      <c r="I439" s="2"/>
      <c r="J439" s="67"/>
    </row>
    <row r="440" spans="1:10" x14ac:dyDescent="0.35">
      <c r="A440" s="61">
        <v>436</v>
      </c>
      <c r="B440" s="2"/>
      <c r="C440" s="2"/>
      <c r="D440" s="2"/>
      <c r="E440" s="10"/>
      <c r="F440" s="11"/>
      <c r="G440" s="2"/>
      <c r="H440" s="2"/>
      <c r="I440" s="2"/>
      <c r="J440" s="67"/>
    </row>
    <row r="441" spans="1:10" x14ac:dyDescent="0.35">
      <c r="A441" s="61">
        <v>437</v>
      </c>
      <c r="B441" s="2"/>
      <c r="C441" s="2"/>
      <c r="D441" s="2"/>
      <c r="E441" s="10"/>
      <c r="F441" s="11"/>
      <c r="G441" s="2"/>
      <c r="H441" s="2"/>
      <c r="I441" s="2"/>
      <c r="J441" s="67"/>
    </row>
    <row r="442" spans="1:10" x14ac:dyDescent="0.35">
      <c r="A442" s="61">
        <v>438</v>
      </c>
      <c r="B442" s="2"/>
      <c r="C442" s="2"/>
      <c r="D442" s="2"/>
      <c r="E442" s="10"/>
      <c r="F442" s="11"/>
      <c r="G442" s="2"/>
      <c r="H442" s="2"/>
      <c r="I442" s="2"/>
      <c r="J442" s="67"/>
    </row>
    <row r="443" spans="1:10" x14ac:dyDescent="0.35">
      <c r="A443" s="61">
        <v>439</v>
      </c>
      <c r="B443" s="2"/>
      <c r="C443" s="2"/>
      <c r="D443" s="2"/>
      <c r="E443" s="10"/>
      <c r="F443" s="11"/>
      <c r="G443" s="2"/>
      <c r="H443" s="2"/>
      <c r="I443" s="2"/>
      <c r="J443" s="67"/>
    </row>
    <row r="444" spans="1:10" x14ac:dyDescent="0.35">
      <c r="A444" s="61">
        <v>440</v>
      </c>
      <c r="B444" s="2"/>
      <c r="C444" s="2"/>
      <c r="D444" s="2"/>
      <c r="E444" s="10"/>
      <c r="F444" s="11"/>
      <c r="G444" s="2"/>
      <c r="H444" s="2"/>
      <c r="I444" s="2"/>
      <c r="J444" s="67"/>
    </row>
    <row r="445" spans="1:10" x14ac:dyDescent="0.35">
      <c r="A445" s="61">
        <v>441</v>
      </c>
      <c r="B445" s="2"/>
      <c r="C445" s="2"/>
      <c r="D445" s="2"/>
      <c r="E445" s="10"/>
      <c r="F445" s="11"/>
      <c r="G445" s="2"/>
      <c r="H445" s="2"/>
      <c r="I445" s="2"/>
      <c r="J445" s="67"/>
    </row>
    <row r="446" spans="1:10" x14ac:dyDescent="0.35">
      <c r="A446" s="61">
        <v>442</v>
      </c>
      <c r="B446" s="2"/>
      <c r="C446" s="2"/>
      <c r="D446" s="2"/>
      <c r="E446" s="10"/>
      <c r="F446" s="11"/>
      <c r="G446" s="2"/>
      <c r="H446" s="2"/>
      <c r="I446" s="2"/>
      <c r="J446" s="67"/>
    </row>
    <row r="447" spans="1:10" x14ac:dyDescent="0.35">
      <c r="A447" s="61">
        <v>443</v>
      </c>
      <c r="B447" s="2"/>
      <c r="C447" s="2"/>
      <c r="D447" s="2"/>
      <c r="E447" s="10"/>
      <c r="F447" s="11"/>
      <c r="G447" s="2"/>
      <c r="H447" s="2"/>
      <c r="I447" s="2"/>
      <c r="J447" s="67"/>
    </row>
    <row r="448" spans="1:10" x14ac:dyDescent="0.35">
      <c r="A448" s="61">
        <v>444</v>
      </c>
      <c r="B448" s="2"/>
      <c r="C448" s="2"/>
      <c r="D448" s="2"/>
      <c r="E448" s="10"/>
      <c r="F448" s="11"/>
      <c r="G448" s="2"/>
      <c r="H448" s="2"/>
      <c r="I448" s="2"/>
      <c r="J448" s="67"/>
    </row>
    <row r="449" spans="1:10" x14ac:dyDescent="0.35">
      <c r="A449" s="61">
        <v>445</v>
      </c>
      <c r="B449" s="2"/>
      <c r="C449" s="2"/>
      <c r="D449" s="2"/>
      <c r="E449" s="10"/>
      <c r="F449" s="11"/>
      <c r="G449" s="2"/>
      <c r="H449" s="2"/>
      <c r="I449" s="2"/>
      <c r="J449" s="67"/>
    </row>
    <row r="450" spans="1:10" x14ac:dyDescent="0.35">
      <c r="A450" s="61">
        <v>446</v>
      </c>
      <c r="B450" s="2"/>
      <c r="C450" s="2"/>
      <c r="D450" s="2"/>
      <c r="E450" s="10"/>
      <c r="F450" s="11"/>
      <c r="G450" s="2"/>
      <c r="H450" s="2"/>
      <c r="I450" s="2"/>
      <c r="J450" s="67"/>
    </row>
    <row r="451" spans="1:10" x14ac:dyDescent="0.35">
      <c r="A451" s="61">
        <v>447</v>
      </c>
      <c r="B451" s="2"/>
      <c r="C451" s="2"/>
      <c r="D451" s="2"/>
      <c r="E451" s="10"/>
      <c r="F451" s="11"/>
      <c r="G451" s="2"/>
      <c r="H451" s="2"/>
      <c r="I451" s="2"/>
      <c r="J451" s="67"/>
    </row>
    <row r="452" spans="1:10" x14ac:dyDescent="0.35">
      <c r="A452" s="61">
        <v>448</v>
      </c>
      <c r="B452" s="2"/>
      <c r="C452" s="2"/>
      <c r="D452" s="2"/>
      <c r="E452" s="10"/>
      <c r="F452" s="11"/>
      <c r="G452" s="2"/>
      <c r="H452" s="2"/>
      <c r="I452" s="2"/>
      <c r="J452" s="67"/>
    </row>
    <row r="453" spans="1:10" x14ac:dyDescent="0.35">
      <c r="A453" s="61">
        <v>449</v>
      </c>
      <c r="B453" s="2"/>
      <c r="C453" s="2"/>
      <c r="D453" s="2"/>
      <c r="E453" s="10"/>
      <c r="F453" s="11"/>
      <c r="G453" s="2"/>
      <c r="H453" s="2"/>
      <c r="I453" s="2"/>
      <c r="J453" s="67"/>
    </row>
    <row r="454" spans="1:10" x14ac:dyDescent="0.35">
      <c r="A454" s="61">
        <v>450</v>
      </c>
      <c r="B454" s="2"/>
      <c r="C454" s="2"/>
      <c r="D454" s="2"/>
      <c r="E454" s="10"/>
      <c r="F454" s="11"/>
      <c r="G454" s="2"/>
      <c r="H454" s="2"/>
      <c r="I454" s="2"/>
      <c r="J454" s="67"/>
    </row>
    <row r="455" spans="1:10" x14ac:dyDescent="0.35">
      <c r="A455" s="61">
        <v>451</v>
      </c>
      <c r="B455" s="2"/>
      <c r="C455" s="2"/>
      <c r="D455" s="2"/>
      <c r="E455" s="10"/>
      <c r="F455" s="11"/>
      <c r="G455" s="2"/>
      <c r="H455" s="2"/>
      <c r="I455" s="2"/>
      <c r="J455" s="67"/>
    </row>
    <row r="456" spans="1:10" x14ac:dyDescent="0.35">
      <c r="A456" s="61">
        <v>452</v>
      </c>
      <c r="B456" s="2"/>
      <c r="C456" s="2"/>
      <c r="D456" s="2"/>
      <c r="E456" s="10"/>
      <c r="F456" s="11"/>
      <c r="G456" s="2"/>
      <c r="H456" s="2"/>
      <c r="I456" s="2"/>
      <c r="J456" s="67"/>
    </row>
    <row r="457" spans="1:10" x14ac:dyDescent="0.35">
      <c r="A457" s="61">
        <v>453</v>
      </c>
      <c r="B457" s="2"/>
      <c r="C457" s="2"/>
      <c r="D457" s="2"/>
      <c r="E457" s="10"/>
      <c r="F457" s="11"/>
      <c r="G457" s="2"/>
      <c r="H457" s="2"/>
      <c r="I457" s="2"/>
      <c r="J457" s="67"/>
    </row>
    <row r="458" spans="1:10" x14ac:dyDescent="0.35">
      <c r="A458" s="61">
        <v>454</v>
      </c>
      <c r="B458" s="2"/>
      <c r="C458" s="2"/>
      <c r="D458" s="2"/>
      <c r="E458" s="10"/>
      <c r="F458" s="11"/>
      <c r="G458" s="2"/>
      <c r="H458" s="2"/>
      <c r="I458" s="2"/>
      <c r="J458" s="67"/>
    </row>
    <row r="459" spans="1:10" x14ac:dyDescent="0.35">
      <c r="A459" s="61">
        <v>455</v>
      </c>
      <c r="B459" s="2"/>
      <c r="C459" s="2"/>
      <c r="D459" s="2"/>
      <c r="E459" s="10"/>
      <c r="F459" s="11"/>
      <c r="G459" s="2"/>
      <c r="H459" s="2"/>
      <c r="I459" s="2"/>
      <c r="J459" s="67"/>
    </row>
    <row r="460" spans="1:10" x14ac:dyDescent="0.35">
      <c r="A460" s="61">
        <v>456</v>
      </c>
      <c r="B460" s="2"/>
      <c r="C460" s="2"/>
      <c r="D460" s="2"/>
      <c r="E460" s="10"/>
      <c r="F460" s="11"/>
      <c r="G460" s="2"/>
      <c r="H460" s="2"/>
      <c r="I460" s="2"/>
      <c r="J460" s="67"/>
    </row>
    <row r="461" spans="1:10" x14ac:dyDescent="0.35">
      <c r="A461" s="61">
        <v>457</v>
      </c>
      <c r="B461" s="2"/>
      <c r="C461" s="2"/>
      <c r="D461" s="2"/>
      <c r="E461" s="10"/>
      <c r="F461" s="11"/>
      <c r="G461" s="2"/>
      <c r="H461" s="2"/>
      <c r="I461" s="2"/>
      <c r="J461" s="67"/>
    </row>
    <row r="462" spans="1:10" x14ac:dyDescent="0.35">
      <c r="A462" s="61">
        <v>458</v>
      </c>
      <c r="B462" s="2"/>
      <c r="C462" s="2"/>
      <c r="D462" s="2"/>
      <c r="E462" s="10"/>
      <c r="F462" s="11"/>
      <c r="G462" s="2"/>
      <c r="H462" s="2"/>
      <c r="I462" s="2"/>
      <c r="J462" s="67"/>
    </row>
    <row r="463" spans="1:10" x14ac:dyDescent="0.35">
      <c r="A463" s="61">
        <v>459</v>
      </c>
      <c r="B463" s="2"/>
      <c r="C463" s="2"/>
      <c r="D463" s="2"/>
      <c r="E463" s="10"/>
      <c r="F463" s="11"/>
      <c r="G463" s="2"/>
      <c r="H463" s="2"/>
      <c r="I463" s="2"/>
      <c r="J463" s="67"/>
    </row>
    <row r="464" spans="1:10" x14ac:dyDescent="0.35">
      <c r="A464" s="61">
        <v>460</v>
      </c>
      <c r="B464" s="2"/>
      <c r="C464" s="2"/>
      <c r="D464" s="2"/>
      <c r="E464" s="10"/>
      <c r="F464" s="11"/>
      <c r="G464" s="2"/>
      <c r="H464" s="2"/>
      <c r="I464" s="2"/>
      <c r="J464" s="67"/>
    </row>
    <row r="465" spans="1:10" x14ac:dyDescent="0.35">
      <c r="A465" s="61">
        <v>461</v>
      </c>
      <c r="B465" s="2"/>
      <c r="C465" s="2"/>
      <c r="D465" s="2"/>
      <c r="E465" s="10"/>
      <c r="F465" s="11"/>
      <c r="G465" s="2"/>
      <c r="H465" s="2"/>
      <c r="I465" s="2"/>
      <c r="J465" s="67"/>
    </row>
    <row r="466" spans="1:10" x14ac:dyDescent="0.35">
      <c r="A466" s="61">
        <v>462</v>
      </c>
      <c r="B466" s="2"/>
      <c r="C466" s="2"/>
      <c r="D466" s="2"/>
      <c r="E466" s="10"/>
      <c r="F466" s="11"/>
      <c r="G466" s="2"/>
      <c r="H466" s="2"/>
      <c r="I466" s="2"/>
      <c r="J466" s="67"/>
    </row>
    <row r="467" spans="1:10" x14ac:dyDescent="0.35">
      <c r="A467" s="61">
        <v>463</v>
      </c>
      <c r="B467" s="2"/>
      <c r="C467" s="2"/>
      <c r="D467" s="2"/>
      <c r="E467" s="10"/>
      <c r="F467" s="11"/>
      <c r="G467" s="2"/>
      <c r="H467" s="2"/>
      <c r="I467" s="2"/>
      <c r="J467" s="67"/>
    </row>
    <row r="468" spans="1:10" x14ac:dyDescent="0.35">
      <c r="A468" s="61">
        <v>464</v>
      </c>
      <c r="B468" s="2"/>
      <c r="C468" s="2"/>
      <c r="D468" s="2"/>
      <c r="E468" s="10"/>
      <c r="F468" s="11"/>
      <c r="G468" s="2"/>
      <c r="H468" s="2"/>
      <c r="I468" s="2"/>
      <c r="J468" s="67"/>
    </row>
    <row r="469" spans="1:10" x14ac:dyDescent="0.35">
      <c r="A469" s="61">
        <v>465</v>
      </c>
      <c r="B469" s="2"/>
      <c r="C469" s="2"/>
      <c r="D469" s="2"/>
      <c r="E469" s="10"/>
      <c r="F469" s="11"/>
      <c r="G469" s="2"/>
      <c r="H469" s="2"/>
      <c r="I469" s="2"/>
      <c r="J469" s="67"/>
    </row>
    <row r="470" spans="1:10" x14ac:dyDescent="0.35">
      <c r="A470" s="61">
        <v>466</v>
      </c>
      <c r="B470" s="2"/>
      <c r="C470" s="2"/>
      <c r="D470" s="2"/>
      <c r="E470" s="10"/>
      <c r="F470" s="11"/>
      <c r="G470" s="2"/>
      <c r="H470" s="2"/>
      <c r="I470" s="2"/>
      <c r="J470" s="67"/>
    </row>
    <row r="471" spans="1:10" x14ac:dyDescent="0.35">
      <c r="A471" s="61">
        <v>467</v>
      </c>
      <c r="B471" s="2"/>
      <c r="C471" s="2"/>
      <c r="D471" s="2"/>
      <c r="E471" s="10"/>
      <c r="F471" s="11"/>
      <c r="G471" s="2"/>
      <c r="H471" s="2"/>
      <c r="I471" s="2"/>
      <c r="J471" s="67"/>
    </row>
    <row r="472" spans="1:10" x14ac:dyDescent="0.35">
      <c r="A472" s="61">
        <v>468</v>
      </c>
      <c r="B472" s="2"/>
      <c r="C472" s="2"/>
      <c r="D472" s="2"/>
      <c r="E472" s="10"/>
      <c r="F472" s="11"/>
      <c r="G472" s="2"/>
      <c r="H472" s="2"/>
      <c r="I472" s="2"/>
      <c r="J472" s="67"/>
    </row>
    <row r="473" spans="1:10" x14ac:dyDescent="0.35">
      <c r="A473" s="61">
        <v>469</v>
      </c>
      <c r="B473" s="2"/>
      <c r="C473" s="2"/>
      <c r="D473" s="2"/>
      <c r="E473" s="10"/>
      <c r="F473" s="11"/>
      <c r="G473" s="2"/>
      <c r="H473" s="2"/>
      <c r="I473" s="2"/>
      <c r="J473" s="67"/>
    </row>
    <row r="474" spans="1:10" x14ac:dyDescent="0.35">
      <c r="A474" s="61">
        <v>470</v>
      </c>
      <c r="B474" s="2"/>
      <c r="C474" s="2"/>
      <c r="D474" s="2"/>
      <c r="E474" s="10"/>
      <c r="F474" s="11"/>
      <c r="G474" s="2"/>
      <c r="H474" s="2"/>
      <c r="I474" s="2"/>
      <c r="J474" s="67"/>
    </row>
    <row r="475" spans="1:10" x14ac:dyDescent="0.35">
      <c r="A475" s="61">
        <v>471</v>
      </c>
      <c r="B475" s="2"/>
      <c r="C475" s="2"/>
      <c r="D475" s="2"/>
      <c r="E475" s="10"/>
      <c r="F475" s="11"/>
      <c r="G475" s="2"/>
      <c r="H475" s="2"/>
      <c r="I475" s="2"/>
      <c r="J475" s="67"/>
    </row>
    <row r="476" spans="1:10" x14ac:dyDescent="0.35">
      <c r="A476" s="61">
        <v>472</v>
      </c>
      <c r="B476" s="2"/>
      <c r="C476" s="2"/>
      <c r="D476" s="2"/>
      <c r="E476" s="10"/>
      <c r="F476" s="11"/>
      <c r="G476" s="2"/>
      <c r="H476" s="2"/>
      <c r="I476" s="2"/>
      <c r="J476" s="67"/>
    </row>
    <row r="477" spans="1:10" x14ac:dyDescent="0.35">
      <c r="A477" s="61">
        <v>473</v>
      </c>
      <c r="B477" s="2"/>
      <c r="C477" s="2"/>
      <c r="D477" s="2"/>
      <c r="E477" s="10"/>
      <c r="F477" s="11"/>
      <c r="G477" s="2"/>
      <c r="H477" s="2"/>
      <c r="I477" s="2"/>
      <c r="J477" s="67"/>
    </row>
    <row r="478" spans="1:10" x14ac:dyDescent="0.35">
      <c r="A478" s="61">
        <v>474</v>
      </c>
      <c r="B478" s="2"/>
      <c r="C478" s="2"/>
      <c r="D478" s="2"/>
      <c r="E478" s="10"/>
      <c r="F478" s="11"/>
      <c r="G478" s="2"/>
      <c r="H478" s="2"/>
      <c r="I478" s="2"/>
      <c r="J478" s="67"/>
    </row>
    <row r="479" spans="1:10" x14ac:dyDescent="0.35">
      <c r="A479" s="61">
        <v>475</v>
      </c>
      <c r="B479" s="2"/>
      <c r="C479" s="2"/>
      <c r="D479" s="2"/>
      <c r="E479" s="10"/>
      <c r="F479" s="11"/>
      <c r="G479" s="2"/>
      <c r="H479" s="2"/>
      <c r="I479" s="2"/>
      <c r="J479" s="67"/>
    </row>
    <row r="480" spans="1:10" x14ac:dyDescent="0.35">
      <c r="A480" s="61">
        <v>476</v>
      </c>
      <c r="B480" s="2"/>
      <c r="C480" s="2"/>
      <c r="D480" s="2"/>
      <c r="E480" s="10"/>
      <c r="F480" s="11"/>
      <c r="G480" s="2"/>
      <c r="H480" s="2"/>
      <c r="I480" s="2"/>
      <c r="J480" s="67"/>
    </row>
    <row r="481" spans="1:10" x14ac:dyDescent="0.35">
      <c r="A481" s="61">
        <v>477</v>
      </c>
      <c r="B481" s="2"/>
      <c r="C481" s="2"/>
      <c r="D481" s="2"/>
      <c r="E481" s="10"/>
      <c r="F481" s="11"/>
      <c r="G481" s="2"/>
      <c r="H481" s="2"/>
      <c r="I481" s="2"/>
      <c r="J481" s="67"/>
    </row>
    <row r="482" spans="1:10" x14ac:dyDescent="0.35">
      <c r="A482" s="61">
        <v>478</v>
      </c>
      <c r="B482" s="2"/>
      <c r="C482" s="2"/>
      <c r="D482" s="2"/>
      <c r="E482" s="10"/>
      <c r="F482" s="11"/>
      <c r="G482" s="2"/>
      <c r="H482" s="2"/>
      <c r="I482" s="2"/>
      <c r="J482" s="67"/>
    </row>
    <row r="483" spans="1:10" x14ac:dyDescent="0.35">
      <c r="A483" s="61">
        <v>479</v>
      </c>
      <c r="B483" s="2"/>
      <c r="C483" s="2"/>
      <c r="D483" s="2"/>
      <c r="E483" s="10"/>
      <c r="F483" s="11"/>
      <c r="G483" s="2"/>
      <c r="H483" s="2"/>
      <c r="I483" s="2"/>
      <c r="J483" s="67"/>
    </row>
    <row r="484" spans="1:10" x14ac:dyDescent="0.35">
      <c r="A484" s="61">
        <v>480</v>
      </c>
      <c r="B484" s="2"/>
      <c r="C484" s="2"/>
      <c r="D484" s="2"/>
      <c r="E484" s="10"/>
      <c r="F484" s="11"/>
      <c r="G484" s="2"/>
      <c r="H484" s="2"/>
      <c r="I484" s="2"/>
      <c r="J484" s="67"/>
    </row>
    <row r="485" spans="1:10" x14ac:dyDescent="0.35">
      <c r="A485" s="61">
        <v>481</v>
      </c>
      <c r="B485" s="2"/>
      <c r="C485" s="2"/>
      <c r="D485" s="2"/>
      <c r="E485" s="10"/>
      <c r="F485" s="11"/>
      <c r="G485" s="2"/>
      <c r="H485" s="2"/>
      <c r="I485" s="2"/>
      <c r="J485" s="67"/>
    </row>
    <row r="486" spans="1:10" x14ac:dyDescent="0.35">
      <c r="A486" s="61">
        <v>482</v>
      </c>
      <c r="B486" s="2"/>
      <c r="C486" s="2"/>
      <c r="D486" s="2"/>
      <c r="E486" s="10"/>
      <c r="F486" s="11"/>
      <c r="G486" s="2"/>
      <c r="H486" s="2"/>
      <c r="I486" s="2"/>
      <c r="J486" s="67"/>
    </row>
    <row r="487" spans="1:10" x14ac:dyDescent="0.35">
      <c r="A487" s="61">
        <v>483</v>
      </c>
      <c r="B487" s="2"/>
      <c r="C487" s="2"/>
      <c r="D487" s="2"/>
      <c r="E487" s="10"/>
      <c r="F487" s="11"/>
      <c r="G487" s="2"/>
      <c r="H487" s="2"/>
      <c r="I487" s="2"/>
      <c r="J487" s="67"/>
    </row>
    <row r="488" spans="1:10" x14ac:dyDescent="0.35">
      <c r="A488" s="61">
        <v>484</v>
      </c>
      <c r="B488" s="2"/>
      <c r="C488" s="2"/>
      <c r="D488" s="2"/>
      <c r="E488" s="10"/>
      <c r="F488" s="11"/>
      <c r="G488" s="2"/>
      <c r="H488" s="2"/>
      <c r="I488" s="2"/>
      <c r="J488" s="67"/>
    </row>
    <row r="489" spans="1:10" x14ac:dyDescent="0.35">
      <c r="A489" s="61">
        <v>485</v>
      </c>
      <c r="B489" s="2"/>
      <c r="C489" s="2"/>
      <c r="D489" s="2"/>
      <c r="E489" s="10"/>
      <c r="F489" s="11"/>
      <c r="G489" s="2"/>
      <c r="H489" s="2"/>
      <c r="I489" s="2"/>
      <c r="J489" s="67"/>
    </row>
    <row r="490" spans="1:10" x14ac:dyDescent="0.35">
      <c r="A490" s="61">
        <v>486</v>
      </c>
      <c r="B490" s="2"/>
      <c r="C490" s="2"/>
      <c r="D490" s="2"/>
      <c r="E490" s="10"/>
      <c r="F490" s="11"/>
      <c r="G490" s="2"/>
      <c r="H490" s="2"/>
      <c r="I490" s="2"/>
      <c r="J490" s="67"/>
    </row>
    <row r="491" spans="1:10" x14ac:dyDescent="0.35">
      <c r="A491" s="61">
        <v>487</v>
      </c>
      <c r="B491" s="2"/>
      <c r="C491" s="2"/>
      <c r="D491" s="2"/>
      <c r="E491" s="10"/>
      <c r="F491" s="11"/>
      <c r="G491" s="2"/>
      <c r="H491" s="2"/>
      <c r="I491" s="2"/>
      <c r="J491" s="67"/>
    </row>
    <row r="492" spans="1:10" x14ac:dyDescent="0.35">
      <c r="A492" s="61">
        <v>488</v>
      </c>
      <c r="B492" s="2"/>
      <c r="C492" s="2"/>
      <c r="D492" s="2"/>
      <c r="E492" s="10"/>
      <c r="F492" s="11"/>
      <c r="G492" s="2"/>
      <c r="H492" s="2"/>
      <c r="I492" s="2"/>
      <c r="J492" s="67"/>
    </row>
    <row r="493" spans="1:10" x14ac:dyDescent="0.35">
      <c r="A493" s="61">
        <v>489</v>
      </c>
      <c r="B493" s="2"/>
      <c r="C493" s="2"/>
      <c r="D493" s="2"/>
      <c r="E493" s="10"/>
      <c r="F493" s="11"/>
      <c r="G493" s="2"/>
      <c r="H493" s="2"/>
      <c r="I493" s="2"/>
      <c r="J493" s="67"/>
    </row>
    <row r="494" spans="1:10" x14ac:dyDescent="0.35">
      <c r="A494" s="61">
        <v>490</v>
      </c>
      <c r="B494" s="2"/>
      <c r="C494" s="2"/>
      <c r="D494" s="2"/>
      <c r="E494" s="10"/>
      <c r="F494" s="11"/>
      <c r="G494" s="2"/>
      <c r="H494" s="2"/>
      <c r="I494" s="2"/>
      <c r="J494" s="67"/>
    </row>
    <row r="495" spans="1:10" x14ac:dyDescent="0.35">
      <c r="A495" s="61">
        <v>491</v>
      </c>
      <c r="B495" s="2"/>
      <c r="C495" s="2"/>
      <c r="D495" s="2"/>
      <c r="E495" s="10"/>
      <c r="F495" s="11"/>
      <c r="G495" s="2"/>
      <c r="H495" s="2"/>
      <c r="I495" s="2"/>
      <c r="J495" s="67"/>
    </row>
    <row r="496" spans="1:10" x14ac:dyDescent="0.35">
      <c r="A496" s="61">
        <v>492</v>
      </c>
      <c r="B496" s="2"/>
      <c r="C496" s="2"/>
      <c r="D496" s="2"/>
      <c r="E496" s="10"/>
      <c r="F496" s="11"/>
      <c r="G496" s="2"/>
      <c r="H496" s="2"/>
      <c r="I496" s="2"/>
      <c r="J496" s="67"/>
    </row>
    <row r="497" spans="1:10" x14ac:dyDescent="0.35">
      <c r="A497" s="61">
        <v>493</v>
      </c>
      <c r="B497" s="2"/>
      <c r="C497" s="2"/>
      <c r="D497" s="2"/>
      <c r="E497" s="10"/>
      <c r="F497" s="11"/>
      <c r="G497" s="2"/>
      <c r="H497" s="2"/>
      <c r="I497" s="2"/>
      <c r="J497" s="67"/>
    </row>
    <row r="498" spans="1:10" x14ac:dyDescent="0.35">
      <c r="A498" s="61">
        <v>494</v>
      </c>
      <c r="B498" s="2"/>
      <c r="C498" s="2"/>
      <c r="D498" s="2"/>
      <c r="E498" s="10"/>
      <c r="F498" s="11"/>
      <c r="G498" s="2"/>
      <c r="H498" s="2"/>
      <c r="I498" s="2"/>
      <c r="J498" s="67"/>
    </row>
    <row r="499" spans="1:10" x14ac:dyDescent="0.35">
      <c r="A499" s="61">
        <v>495</v>
      </c>
      <c r="B499" s="2"/>
      <c r="C499" s="2"/>
      <c r="D499" s="2"/>
      <c r="E499" s="10"/>
      <c r="F499" s="11"/>
      <c r="G499" s="2"/>
      <c r="H499" s="2"/>
      <c r="I499" s="2"/>
      <c r="J499" s="67"/>
    </row>
    <row r="500" spans="1:10" x14ac:dyDescent="0.35">
      <c r="A500" s="61">
        <v>496</v>
      </c>
      <c r="B500" s="2"/>
      <c r="C500" s="2"/>
      <c r="D500" s="2"/>
      <c r="E500" s="10"/>
      <c r="F500" s="11"/>
      <c r="G500" s="2"/>
      <c r="H500" s="2"/>
      <c r="I500" s="2"/>
      <c r="J500" s="67"/>
    </row>
    <row r="501" spans="1:10" x14ac:dyDescent="0.35">
      <c r="A501" s="61">
        <v>497</v>
      </c>
      <c r="B501" s="2"/>
      <c r="C501" s="2"/>
      <c r="D501" s="2"/>
      <c r="E501" s="10"/>
      <c r="F501" s="11"/>
      <c r="G501" s="2"/>
      <c r="H501" s="2"/>
      <c r="I501" s="2"/>
      <c r="J501" s="67"/>
    </row>
    <row r="502" spans="1:10" x14ac:dyDescent="0.35">
      <c r="A502" s="61">
        <v>498</v>
      </c>
      <c r="B502" s="2"/>
      <c r="C502" s="2"/>
      <c r="D502" s="2"/>
      <c r="E502" s="10"/>
      <c r="F502" s="11"/>
      <c r="G502" s="2"/>
      <c r="H502" s="2"/>
      <c r="I502" s="2"/>
      <c r="J502" s="67"/>
    </row>
    <row r="503" spans="1:10" x14ac:dyDescent="0.35">
      <c r="A503" s="61">
        <v>499</v>
      </c>
      <c r="B503" s="2"/>
      <c r="C503" s="2"/>
      <c r="D503" s="2"/>
      <c r="E503" s="10"/>
      <c r="F503" s="11"/>
      <c r="G503" s="2"/>
      <c r="H503" s="2"/>
      <c r="I503" s="2"/>
      <c r="J503" s="67"/>
    </row>
    <row r="504" spans="1:10" x14ac:dyDescent="0.35">
      <c r="A504" s="61">
        <v>500</v>
      </c>
      <c r="B504" s="2"/>
      <c r="C504" s="2"/>
      <c r="D504" s="2"/>
      <c r="E504" s="10"/>
      <c r="F504" s="11"/>
      <c r="G504" s="2"/>
      <c r="H504" s="2"/>
      <c r="I504" s="2"/>
      <c r="J504" s="67"/>
    </row>
    <row r="505" spans="1:10" x14ac:dyDescent="0.35">
      <c r="A505" s="61">
        <v>501</v>
      </c>
      <c r="B505" s="2"/>
      <c r="C505" s="2"/>
      <c r="D505" s="2"/>
      <c r="E505" s="10"/>
      <c r="F505" s="11"/>
      <c r="G505" s="2"/>
      <c r="H505" s="2"/>
      <c r="I505" s="2"/>
      <c r="J505" s="67"/>
    </row>
    <row r="506" spans="1:10" x14ac:dyDescent="0.35">
      <c r="A506" s="61">
        <v>502</v>
      </c>
      <c r="B506" s="2"/>
      <c r="C506" s="2"/>
      <c r="D506" s="2"/>
      <c r="E506" s="10"/>
      <c r="F506" s="11"/>
      <c r="G506" s="2"/>
      <c r="H506" s="2"/>
      <c r="I506" s="2"/>
      <c r="J506" s="67"/>
    </row>
    <row r="507" spans="1:10" x14ac:dyDescent="0.35">
      <c r="A507" s="61">
        <v>503</v>
      </c>
      <c r="B507" s="2"/>
      <c r="C507" s="2"/>
      <c r="D507" s="2"/>
      <c r="E507" s="10"/>
      <c r="F507" s="11"/>
      <c r="G507" s="2"/>
      <c r="H507" s="2"/>
      <c r="I507" s="2"/>
      <c r="J507" s="67"/>
    </row>
    <row r="508" spans="1:10" x14ac:dyDescent="0.35">
      <c r="A508" s="61">
        <v>504</v>
      </c>
      <c r="B508" s="2"/>
      <c r="C508" s="2"/>
      <c r="D508" s="2"/>
      <c r="E508" s="10"/>
      <c r="F508" s="11"/>
      <c r="G508" s="2"/>
      <c r="H508" s="2"/>
      <c r="I508" s="2"/>
      <c r="J508" s="67"/>
    </row>
    <row r="509" spans="1:10" x14ac:dyDescent="0.35">
      <c r="A509" s="61">
        <v>505</v>
      </c>
      <c r="B509" s="2"/>
      <c r="C509" s="2"/>
      <c r="D509" s="2"/>
      <c r="E509" s="10"/>
      <c r="F509" s="11"/>
      <c r="G509" s="2"/>
      <c r="H509" s="2"/>
      <c r="I509" s="2"/>
      <c r="J509" s="67"/>
    </row>
    <row r="510" spans="1:10" x14ac:dyDescent="0.35">
      <c r="A510" s="61">
        <v>506</v>
      </c>
      <c r="B510" s="2"/>
      <c r="C510" s="2"/>
      <c r="D510" s="2"/>
      <c r="E510" s="10"/>
      <c r="F510" s="11"/>
      <c r="G510" s="2"/>
      <c r="H510" s="2"/>
      <c r="I510" s="2"/>
      <c r="J510" s="67"/>
    </row>
    <row r="511" spans="1:10" x14ac:dyDescent="0.35">
      <c r="A511" s="61">
        <v>507</v>
      </c>
      <c r="B511" s="2"/>
      <c r="C511" s="2"/>
      <c r="D511" s="2"/>
      <c r="E511" s="10"/>
      <c r="F511" s="11"/>
      <c r="G511" s="2"/>
      <c r="H511" s="2"/>
      <c r="I511" s="2"/>
      <c r="J511" s="67"/>
    </row>
    <row r="512" spans="1:10" x14ac:dyDescent="0.35">
      <c r="A512" s="61">
        <v>508</v>
      </c>
      <c r="B512" s="2"/>
      <c r="C512" s="2"/>
      <c r="D512" s="2"/>
      <c r="E512" s="10"/>
      <c r="F512" s="11"/>
      <c r="G512" s="2"/>
      <c r="H512" s="2"/>
      <c r="I512" s="2"/>
      <c r="J512" s="67"/>
    </row>
    <row r="513" spans="1:10" x14ac:dyDescent="0.35">
      <c r="A513" s="61">
        <v>509</v>
      </c>
      <c r="B513" s="2"/>
      <c r="C513" s="2"/>
      <c r="D513" s="2"/>
      <c r="E513" s="10"/>
      <c r="F513" s="11"/>
      <c r="G513" s="2"/>
      <c r="H513" s="2"/>
      <c r="I513" s="2"/>
      <c r="J513" s="67"/>
    </row>
    <row r="514" spans="1:10" x14ac:dyDescent="0.35">
      <c r="A514" s="61">
        <v>510</v>
      </c>
      <c r="B514" s="2"/>
      <c r="C514" s="2"/>
      <c r="D514" s="2"/>
      <c r="E514" s="10"/>
      <c r="F514" s="11"/>
      <c r="G514" s="2"/>
      <c r="H514" s="2"/>
      <c r="I514" s="2"/>
      <c r="J514" s="67"/>
    </row>
    <row r="515" spans="1:10" x14ac:dyDescent="0.35">
      <c r="A515" s="61">
        <v>511</v>
      </c>
      <c r="B515" s="2"/>
      <c r="C515" s="2"/>
      <c r="D515" s="2"/>
      <c r="E515" s="10"/>
      <c r="F515" s="11"/>
      <c r="G515" s="2"/>
      <c r="H515" s="2"/>
      <c r="I515" s="2"/>
      <c r="J515" s="67"/>
    </row>
    <row r="516" spans="1:10" x14ac:dyDescent="0.35">
      <c r="A516" s="61">
        <v>512</v>
      </c>
      <c r="B516" s="2"/>
      <c r="C516" s="2"/>
      <c r="D516" s="2"/>
      <c r="E516" s="10"/>
      <c r="F516" s="11"/>
      <c r="G516" s="2"/>
      <c r="H516" s="2"/>
      <c r="I516" s="2"/>
      <c r="J516" s="67"/>
    </row>
    <row r="517" spans="1:10" x14ac:dyDescent="0.35">
      <c r="A517" s="61">
        <v>513</v>
      </c>
      <c r="B517" s="2"/>
      <c r="C517" s="2"/>
      <c r="D517" s="2"/>
      <c r="E517" s="10"/>
      <c r="F517" s="11"/>
      <c r="G517" s="2"/>
      <c r="H517" s="2"/>
      <c r="I517" s="2"/>
      <c r="J517" s="67"/>
    </row>
    <row r="518" spans="1:10" x14ac:dyDescent="0.35">
      <c r="A518" s="61">
        <v>514</v>
      </c>
      <c r="B518" s="2"/>
      <c r="C518" s="2"/>
      <c r="D518" s="2"/>
      <c r="E518" s="10"/>
      <c r="F518" s="11"/>
      <c r="G518" s="2"/>
      <c r="H518" s="2"/>
      <c r="I518" s="2"/>
      <c r="J518" s="67"/>
    </row>
    <row r="519" spans="1:10" x14ac:dyDescent="0.35">
      <c r="A519" s="61">
        <v>515</v>
      </c>
      <c r="B519" s="2"/>
      <c r="C519" s="2"/>
      <c r="D519" s="2"/>
      <c r="E519" s="10"/>
      <c r="F519" s="11"/>
      <c r="G519" s="2"/>
      <c r="H519" s="2"/>
      <c r="I519" s="2"/>
      <c r="J519" s="67"/>
    </row>
    <row r="520" spans="1:10" x14ac:dyDescent="0.35">
      <c r="A520" s="61">
        <v>516</v>
      </c>
      <c r="B520" s="2"/>
      <c r="C520" s="2"/>
      <c r="D520" s="2"/>
      <c r="E520" s="10"/>
      <c r="F520" s="11"/>
      <c r="G520" s="2"/>
      <c r="H520" s="2"/>
      <c r="I520" s="2"/>
      <c r="J520" s="67"/>
    </row>
    <row r="521" spans="1:10" x14ac:dyDescent="0.35">
      <c r="A521" s="61">
        <v>517</v>
      </c>
      <c r="B521" s="2"/>
      <c r="C521" s="2"/>
      <c r="D521" s="2"/>
      <c r="E521" s="10"/>
      <c r="F521" s="11"/>
      <c r="G521" s="2"/>
      <c r="H521" s="2"/>
      <c r="I521" s="2"/>
      <c r="J521" s="67"/>
    </row>
    <row r="522" spans="1:10" x14ac:dyDescent="0.35">
      <c r="A522" s="61">
        <v>518</v>
      </c>
      <c r="B522" s="2"/>
      <c r="C522" s="2"/>
      <c r="D522" s="2"/>
      <c r="E522" s="10"/>
      <c r="F522" s="11"/>
      <c r="G522" s="2"/>
      <c r="H522" s="2"/>
      <c r="I522" s="2"/>
      <c r="J522" s="67"/>
    </row>
    <row r="523" spans="1:10" x14ac:dyDescent="0.35">
      <c r="A523" s="61">
        <v>519</v>
      </c>
      <c r="B523" s="2"/>
      <c r="C523" s="2"/>
      <c r="D523" s="2"/>
      <c r="E523" s="10"/>
      <c r="F523" s="11"/>
      <c r="G523" s="2"/>
      <c r="H523" s="2"/>
      <c r="I523" s="2"/>
      <c r="J523" s="67"/>
    </row>
    <row r="524" spans="1:10" x14ac:dyDescent="0.35">
      <c r="A524" s="61">
        <v>520</v>
      </c>
      <c r="B524" s="2"/>
      <c r="C524" s="2"/>
      <c r="D524" s="2"/>
      <c r="E524" s="10"/>
      <c r="F524" s="11"/>
      <c r="G524" s="2"/>
      <c r="H524" s="2"/>
      <c r="I524" s="2"/>
      <c r="J524" s="67"/>
    </row>
    <row r="525" spans="1:10" x14ac:dyDescent="0.35">
      <c r="A525" s="61">
        <v>521</v>
      </c>
      <c r="B525" s="2"/>
      <c r="C525" s="2"/>
      <c r="D525" s="2"/>
      <c r="E525" s="10"/>
      <c r="F525" s="11"/>
      <c r="G525" s="2"/>
      <c r="H525" s="2"/>
      <c r="I525" s="2"/>
      <c r="J525" s="67"/>
    </row>
    <row r="526" spans="1:10" x14ac:dyDescent="0.35">
      <c r="A526" s="61">
        <v>522</v>
      </c>
      <c r="B526" s="2"/>
      <c r="C526" s="2"/>
      <c r="D526" s="2"/>
      <c r="E526" s="10"/>
      <c r="F526" s="11"/>
      <c r="G526" s="2"/>
      <c r="H526" s="2"/>
      <c r="I526" s="2"/>
      <c r="J526" s="67"/>
    </row>
    <row r="527" spans="1:10" x14ac:dyDescent="0.35">
      <c r="A527" s="61">
        <v>523</v>
      </c>
      <c r="B527" s="2"/>
      <c r="C527" s="2"/>
      <c r="D527" s="2"/>
      <c r="E527" s="10"/>
      <c r="F527" s="11"/>
      <c r="G527" s="2"/>
      <c r="H527" s="2"/>
      <c r="I527" s="2"/>
      <c r="J527" s="67"/>
    </row>
    <row r="528" spans="1:10" x14ac:dyDescent="0.35">
      <c r="A528" s="61">
        <v>524</v>
      </c>
      <c r="B528" s="2"/>
      <c r="C528" s="2"/>
      <c r="D528" s="2"/>
      <c r="E528" s="10"/>
      <c r="F528" s="11"/>
      <c r="G528" s="2"/>
      <c r="H528" s="2"/>
      <c r="I528" s="2"/>
      <c r="J528" s="67"/>
    </row>
    <row r="529" spans="1:10" x14ac:dyDescent="0.35">
      <c r="A529" s="61">
        <v>525</v>
      </c>
      <c r="B529" s="2"/>
      <c r="C529" s="2"/>
      <c r="D529" s="2"/>
      <c r="E529" s="10"/>
      <c r="F529" s="11"/>
      <c r="G529" s="2"/>
      <c r="H529" s="2"/>
      <c r="I529" s="2"/>
      <c r="J529" s="67"/>
    </row>
    <row r="530" spans="1:10" x14ac:dyDescent="0.35">
      <c r="A530" s="61">
        <v>526</v>
      </c>
      <c r="B530" s="2"/>
      <c r="C530" s="2"/>
      <c r="D530" s="2"/>
      <c r="E530" s="10"/>
      <c r="F530" s="11"/>
      <c r="G530" s="2"/>
      <c r="H530" s="2"/>
      <c r="I530" s="2"/>
      <c r="J530" s="67"/>
    </row>
    <row r="531" spans="1:10" x14ac:dyDescent="0.35">
      <c r="A531" s="61">
        <v>527</v>
      </c>
      <c r="B531" s="2"/>
      <c r="C531" s="2"/>
      <c r="D531" s="2"/>
      <c r="E531" s="10"/>
      <c r="F531" s="11"/>
      <c r="G531" s="2"/>
      <c r="H531" s="2"/>
      <c r="I531" s="2"/>
      <c r="J531" s="67"/>
    </row>
    <row r="532" spans="1:10" x14ac:dyDescent="0.35">
      <c r="A532" s="61">
        <v>528</v>
      </c>
      <c r="B532" s="2"/>
      <c r="C532" s="2"/>
      <c r="D532" s="2"/>
      <c r="E532" s="10"/>
      <c r="F532" s="11"/>
      <c r="G532" s="2"/>
      <c r="H532" s="2"/>
      <c r="I532" s="2"/>
      <c r="J532" s="67"/>
    </row>
    <row r="533" spans="1:10" x14ac:dyDescent="0.35">
      <c r="A533" s="61">
        <v>529</v>
      </c>
      <c r="B533" s="2"/>
      <c r="C533" s="2"/>
      <c r="D533" s="2"/>
      <c r="E533" s="10"/>
      <c r="F533" s="11"/>
      <c r="G533" s="2"/>
      <c r="H533" s="2"/>
      <c r="I533" s="2"/>
      <c r="J533" s="67"/>
    </row>
    <row r="534" spans="1:10" x14ac:dyDescent="0.35">
      <c r="A534" s="61">
        <v>530</v>
      </c>
      <c r="B534" s="2"/>
      <c r="C534" s="2"/>
      <c r="D534" s="2"/>
      <c r="E534" s="10"/>
      <c r="F534" s="11"/>
      <c r="G534" s="2"/>
      <c r="H534" s="2"/>
      <c r="I534" s="2"/>
      <c r="J534" s="67"/>
    </row>
    <row r="535" spans="1:10" x14ac:dyDescent="0.35">
      <c r="A535" s="61">
        <v>531</v>
      </c>
      <c r="B535" s="2"/>
      <c r="C535" s="2"/>
      <c r="D535" s="2"/>
      <c r="E535" s="10"/>
      <c r="F535" s="11"/>
      <c r="G535" s="2"/>
      <c r="H535" s="2"/>
      <c r="I535" s="2"/>
      <c r="J535" s="67"/>
    </row>
    <row r="536" spans="1:10" x14ac:dyDescent="0.35">
      <c r="A536" s="61">
        <v>532</v>
      </c>
      <c r="B536" s="2"/>
      <c r="C536" s="2"/>
      <c r="D536" s="2"/>
      <c r="E536" s="10"/>
      <c r="F536" s="11"/>
      <c r="G536" s="2"/>
      <c r="H536" s="2"/>
      <c r="I536" s="2"/>
      <c r="J536" s="67"/>
    </row>
    <row r="537" spans="1:10" x14ac:dyDescent="0.35">
      <c r="A537" s="61">
        <v>533</v>
      </c>
      <c r="B537" s="2"/>
      <c r="C537" s="2"/>
      <c r="D537" s="2"/>
      <c r="E537" s="10"/>
      <c r="F537" s="11"/>
      <c r="G537" s="2"/>
      <c r="H537" s="2"/>
      <c r="I537" s="2"/>
      <c r="J537" s="67"/>
    </row>
    <row r="538" spans="1:10" x14ac:dyDescent="0.35">
      <c r="A538" s="61">
        <v>534</v>
      </c>
      <c r="B538" s="2"/>
      <c r="C538" s="2"/>
      <c r="D538" s="2"/>
      <c r="E538" s="10"/>
      <c r="F538" s="11"/>
      <c r="G538" s="2"/>
      <c r="H538" s="2"/>
      <c r="I538" s="2"/>
      <c r="J538" s="67"/>
    </row>
    <row r="539" spans="1:10" x14ac:dyDescent="0.35">
      <c r="A539" s="61">
        <v>535</v>
      </c>
      <c r="B539" s="2"/>
      <c r="C539" s="2"/>
      <c r="D539" s="2"/>
      <c r="E539" s="10"/>
      <c r="F539" s="11"/>
      <c r="G539" s="2"/>
      <c r="H539" s="2"/>
      <c r="I539" s="2"/>
      <c r="J539" s="67"/>
    </row>
    <row r="540" spans="1:10" x14ac:dyDescent="0.35">
      <c r="A540" s="61">
        <v>536</v>
      </c>
      <c r="B540" s="2"/>
      <c r="C540" s="2"/>
      <c r="D540" s="2"/>
      <c r="E540" s="10"/>
      <c r="F540" s="11"/>
      <c r="G540" s="2"/>
      <c r="H540" s="2"/>
      <c r="I540" s="2"/>
      <c r="J540" s="67"/>
    </row>
    <row r="541" spans="1:10" x14ac:dyDescent="0.35">
      <c r="A541" s="61">
        <v>537</v>
      </c>
      <c r="B541" s="2"/>
      <c r="C541" s="2"/>
      <c r="D541" s="2"/>
      <c r="E541" s="10"/>
      <c r="F541" s="11"/>
      <c r="G541" s="2"/>
      <c r="H541" s="2"/>
      <c r="I541" s="2"/>
      <c r="J541" s="67"/>
    </row>
    <row r="542" spans="1:10" x14ac:dyDescent="0.35">
      <c r="A542" s="61">
        <v>538</v>
      </c>
      <c r="B542" s="2"/>
      <c r="C542" s="2"/>
      <c r="D542" s="2"/>
      <c r="E542" s="10"/>
      <c r="F542" s="11"/>
      <c r="G542" s="2"/>
      <c r="H542" s="2"/>
      <c r="I542" s="2"/>
      <c r="J542" s="67"/>
    </row>
    <row r="543" spans="1:10" x14ac:dyDescent="0.35">
      <c r="A543" s="61">
        <v>539</v>
      </c>
      <c r="B543" s="2"/>
      <c r="C543" s="2"/>
      <c r="D543" s="2"/>
      <c r="E543" s="10"/>
      <c r="F543" s="11"/>
      <c r="G543" s="2"/>
      <c r="H543" s="2"/>
      <c r="I543" s="2"/>
      <c r="J543" s="67"/>
    </row>
    <row r="544" spans="1:10" x14ac:dyDescent="0.35">
      <c r="A544" s="61">
        <v>540</v>
      </c>
      <c r="B544" s="2"/>
      <c r="C544" s="2"/>
      <c r="D544" s="2"/>
      <c r="E544" s="10"/>
      <c r="F544" s="11"/>
      <c r="G544" s="2"/>
      <c r="H544" s="2"/>
      <c r="I544" s="2"/>
      <c r="J544" s="67"/>
    </row>
    <row r="545" spans="1:10" x14ac:dyDescent="0.35">
      <c r="A545" s="61">
        <v>541</v>
      </c>
      <c r="B545" s="2"/>
      <c r="C545" s="2"/>
      <c r="D545" s="2"/>
      <c r="E545" s="10"/>
      <c r="F545" s="11"/>
      <c r="G545" s="2"/>
      <c r="H545" s="2"/>
      <c r="I545" s="2"/>
      <c r="J545" s="67"/>
    </row>
    <row r="546" spans="1:10" x14ac:dyDescent="0.35">
      <c r="A546" s="61">
        <v>542</v>
      </c>
      <c r="B546" s="2"/>
      <c r="C546" s="2"/>
      <c r="D546" s="2"/>
      <c r="E546" s="10"/>
      <c r="F546" s="11"/>
      <c r="G546" s="2"/>
      <c r="H546" s="2"/>
      <c r="I546" s="2"/>
      <c r="J546" s="67"/>
    </row>
    <row r="547" spans="1:10" x14ac:dyDescent="0.35">
      <c r="A547" s="61">
        <v>543</v>
      </c>
      <c r="B547" s="2"/>
      <c r="C547" s="2"/>
      <c r="D547" s="2"/>
      <c r="E547" s="10"/>
      <c r="F547" s="11"/>
      <c r="G547" s="2"/>
      <c r="H547" s="2"/>
      <c r="I547" s="2"/>
      <c r="J547" s="67"/>
    </row>
    <row r="548" spans="1:10" x14ac:dyDescent="0.35">
      <c r="A548" s="61">
        <v>544</v>
      </c>
      <c r="B548" s="2"/>
      <c r="C548" s="2"/>
      <c r="D548" s="2"/>
      <c r="E548" s="10"/>
      <c r="F548" s="11"/>
      <c r="G548" s="2"/>
      <c r="H548" s="2"/>
      <c r="I548" s="2"/>
      <c r="J548" s="67"/>
    </row>
    <row r="549" spans="1:10" x14ac:dyDescent="0.35">
      <c r="A549" s="61">
        <v>545</v>
      </c>
      <c r="B549" s="2"/>
      <c r="C549" s="2"/>
      <c r="D549" s="2"/>
      <c r="E549" s="10"/>
      <c r="F549" s="11"/>
      <c r="G549" s="2"/>
      <c r="H549" s="2"/>
      <c r="I549" s="2"/>
      <c r="J549" s="67"/>
    </row>
    <row r="550" spans="1:10" x14ac:dyDescent="0.35">
      <c r="A550" s="61">
        <v>546</v>
      </c>
      <c r="B550" s="2"/>
      <c r="C550" s="2"/>
      <c r="D550" s="2"/>
      <c r="E550" s="10"/>
      <c r="F550" s="11"/>
      <c r="G550" s="2"/>
      <c r="H550" s="2"/>
      <c r="I550" s="2"/>
      <c r="J550" s="67"/>
    </row>
    <row r="551" spans="1:10" x14ac:dyDescent="0.35">
      <c r="A551" s="61">
        <v>547</v>
      </c>
      <c r="B551" s="2"/>
      <c r="C551" s="2"/>
      <c r="D551" s="2"/>
      <c r="E551" s="10"/>
      <c r="F551" s="11"/>
      <c r="G551" s="2"/>
      <c r="H551" s="2"/>
      <c r="I551" s="2"/>
      <c r="J551" s="67"/>
    </row>
    <row r="552" spans="1:10" x14ac:dyDescent="0.35">
      <c r="A552" s="61">
        <v>548</v>
      </c>
      <c r="B552" s="2"/>
      <c r="C552" s="2"/>
      <c r="D552" s="2"/>
      <c r="E552" s="10"/>
      <c r="F552" s="11"/>
      <c r="G552" s="2"/>
      <c r="H552" s="2"/>
      <c r="I552" s="2"/>
      <c r="J552" s="67"/>
    </row>
    <row r="553" spans="1:10" x14ac:dyDescent="0.35">
      <c r="A553" s="61">
        <v>549</v>
      </c>
      <c r="B553" s="2"/>
      <c r="C553" s="2"/>
      <c r="D553" s="2"/>
      <c r="E553" s="10"/>
      <c r="F553" s="11"/>
      <c r="G553" s="2"/>
      <c r="H553" s="2"/>
      <c r="I553" s="2"/>
      <c r="J553" s="67"/>
    </row>
    <row r="554" spans="1:10" x14ac:dyDescent="0.35">
      <c r="A554" s="61">
        <v>550</v>
      </c>
      <c r="B554" s="2"/>
      <c r="C554" s="2"/>
      <c r="D554" s="2"/>
      <c r="E554" s="10"/>
      <c r="F554" s="11"/>
      <c r="G554" s="2"/>
      <c r="H554" s="2"/>
      <c r="I554" s="2"/>
      <c r="J554" s="67"/>
    </row>
    <row r="555" spans="1:10" x14ac:dyDescent="0.35">
      <c r="A555" s="61">
        <v>551</v>
      </c>
      <c r="B555" s="2"/>
      <c r="C555" s="2"/>
      <c r="D555" s="2"/>
      <c r="E555" s="10"/>
      <c r="F555" s="11"/>
      <c r="G555" s="2"/>
      <c r="H555" s="2"/>
      <c r="I555" s="2"/>
      <c r="J555" s="67"/>
    </row>
    <row r="556" spans="1:10" x14ac:dyDescent="0.35">
      <c r="A556" s="61">
        <v>552</v>
      </c>
      <c r="B556" s="2"/>
      <c r="C556" s="2"/>
      <c r="D556" s="2"/>
      <c r="E556" s="10"/>
      <c r="F556" s="11"/>
      <c r="G556" s="2"/>
      <c r="H556" s="2"/>
      <c r="I556" s="2"/>
      <c r="J556" s="67"/>
    </row>
    <row r="557" spans="1:10" x14ac:dyDescent="0.35">
      <c r="A557" s="61">
        <v>553</v>
      </c>
      <c r="B557" s="2"/>
      <c r="C557" s="2"/>
      <c r="D557" s="2"/>
      <c r="E557" s="10"/>
      <c r="F557" s="11"/>
      <c r="G557" s="2"/>
      <c r="H557" s="2"/>
      <c r="I557" s="2"/>
      <c r="J557" s="67"/>
    </row>
    <row r="558" spans="1:10" x14ac:dyDescent="0.35">
      <c r="A558" s="61">
        <v>554</v>
      </c>
      <c r="B558" s="2"/>
      <c r="C558" s="2"/>
      <c r="D558" s="2"/>
      <c r="E558" s="10"/>
      <c r="F558" s="11"/>
      <c r="G558" s="2"/>
      <c r="H558" s="2"/>
      <c r="I558" s="2"/>
      <c r="J558" s="67"/>
    </row>
    <row r="559" spans="1:10" x14ac:dyDescent="0.35">
      <c r="A559" s="61">
        <v>555</v>
      </c>
      <c r="B559" s="2"/>
      <c r="C559" s="2"/>
      <c r="D559" s="2"/>
      <c r="E559" s="10"/>
      <c r="F559" s="11"/>
      <c r="G559" s="2"/>
      <c r="H559" s="2"/>
      <c r="I559" s="2"/>
      <c r="J559" s="67"/>
    </row>
    <row r="560" spans="1:10" x14ac:dyDescent="0.35">
      <c r="A560" s="61">
        <v>556</v>
      </c>
      <c r="B560" s="2"/>
      <c r="C560" s="2"/>
      <c r="D560" s="2"/>
      <c r="E560" s="10"/>
      <c r="F560" s="11"/>
      <c r="G560" s="2"/>
      <c r="H560" s="2"/>
      <c r="I560" s="2"/>
      <c r="J560" s="67"/>
    </row>
    <row r="561" spans="1:10" x14ac:dyDescent="0.35">
      <c r="A561" s="61">
        <v>557</v>
      </c>
      <c r="B561" s="2"/>
      <c r="C561" s="2"/>
      <c r="D561" s="2"/>
      <c r="E561" s="10"/>
      <c r="F561" s="11"/>
      <c r="G561" s="2"/>
      <c r="H561" s="2"/>
      <c r="I561" s="2"/>
      <c r="J561" s="67"/>
    </row>
    <row r="562" spans="1:10" x14ac:dyDescent="0.35">
      <c r="A562" s="61">
        <v>558</v>
      </c>
      <c r="B562" s="2"/>
      <c r="C562" s="2"/>
      <c r="D562" s="2"/>
      <c r="E562" s="10"/>
      <c r="F562" s="11"/>
      <c r="G562" s="2"/>
      <c r="H562" s="2"/>
      <c r="I562" s="2"/>
      <c r="J562" s="67"/>
    </row>
    <row r="563" spans="1:10" x14ac:dyDescent="0.35">
      <c r="A563" s="61">
        <v>559</v>
      </c>
      <c r="B563" s="2"/>
      <c r="C563" s="2"/>
      <c r="D563" s="2"/>
      <c r="E563" s="10"/>
      <c r="F563" s="11"/>
      <c r="G563" s="2"/>
      <c r="H563" s="2"/>
      <c r="I563" s="2"/>
      <c r="J563" s="67"/>
    </row>
    <row r="564" spans="1:10" x14ac:dyDescent="0.35">
      <c r="A564" s="61">
        <v>560</v>
      </c>
      <c r="B564" s="2"/>
      <c r="C564" s="2"/>
      <c r="D564" s="2"/>
      <c r="E564" s="10"/>
      <c r="F564" s="11"/>
      <c r="G564" s="2"/>
      <c r="H564" s="2"/>
      <c r="I564" s="2"/>
      <c r="J564" s="67"/>
    </row>
    <row r="565" spans="1:10" x14ac:dyDescent="0.35">
      <c r="A565" s="61">
        <v>561</v>
      </c>
      <c r="B565" s="2"/>
      <c r="C565" s="2"/>
      <c r="D565" s="2"/>
      <c r="E565" s="10"/>
      <c r="F565" s="11"/>
      <c r="G565" s="2"/>
      <c r="H565" s="2"/>
      <c r="I565" s="2"/>
      <c r="J565" s="67"/>
    </row>
    <row r="566" spans="1:10" x14ac:dyDescent="0.35">
      <c r="A566" s="61">
        <v>562</v>
      </c>
      <c r="B566" s="2"/>
      <c r="C566" s="2"/>
      <c r="D566" s="2"/>
      <c r="E566" s="10"/>
      <c r="F566" s="11"/>
      <c r="G566" s="2"/>
      <c r="H566" s="2"/>
      <c r="I566" s="2"/>
      <c r="J566" s="67"/>
    </row>
    <row r="567" spans="1:10" x14ac:dyDescent="0.35">
      <c r="A567" s="61">
        <v>563</v>
      </c>
      <c r="B567" s="2"/>
      <c r="C567" s="2"/>
      <c r="D567" s="2"/>
      <c r="E567" s="10"/>
      <c r="F567" s="11"/>
      <c r="G567" s="2"/>
      <c r="H567" s="2"/>
      <c r="I567" s="2"/>
      <c r="J567" s="67"/>
    </row>
    <row r="568" spans="1:10" x14ac:dyDescent="0.35">
      <c r="A568" s="61">
        <v>564</v>
      </c>
      <c r="B568" s="2"/>
      <c r="C568" s="2"/>
      <c r="D568" s="2"/>
      <c r="E568" s="10"/>
      <c r="F568" s="11"/>
      <c r="G568" s="2"/>
      <c r="H568" s="2"/>
      <c r="I568" s="2"/>
      <c r="J568" s="67"/>
    </row>
    <row r="569" spans="1:10" x14ac:dyDescent="0.35">
      <c r="A569" s="61">
        <v>565</v>
      </c>
      <c r="B569" s="2"/>
      <c r="C569" s="2"/>
      <c r="D569" s="2"/>
      <c r="E569" s="10"/>
      <c r="F569" s="11"/>
      <c r="G569" s="2"/>
      <c r="H569" s="2"/>
      <c r="I569" s="2"/>
      <c r="J569" s="67"/>
    </row>
    <row r="570" spans="1:10" x14ac:dyDescent="0.35">
      <c r="A570" s="61">
        <v>566</v>
      </c>
      <c r="B570" s="2"/>
      <c r="C570" s="2"/>
      <c r="D570" s="2"/>
      <c r="E570" s="10"/>
      <c r="F570" s="11"/>
      <c r="G570" s="2"/>
      <c r="H570" s="2"/>
      <c r="I570" s="2"/>
      <c r="J570" s="67"/>
    </row>
    <row r="571" spans="1:10" x14ac:dyDescent="0.35">
      <c r="A571" s="61">
        <v>567</v>
      </c>
      <c r="B571" s="2"/>
      <c r="C571" s="2"/>
      <c r="D571" s="2"/>
      <c r="E571" s="10"/>
      <c r="F571" s="11"/>
      <c r="G571" s="2"/>
      <c r="H571" s="2"/>
      <c r="I571" s="2"/>
      <c r="J571" s="67"/>
    </row>
    <row r="572" spans="1:10" x14ac:dyDescent="0.35">
      <c r="A572" s="61">
        <v>568</v>
      </c>
      <c r="B572" s="2"/>
      <c r="C572" s="2"/>
      <c r="D572" s="2"/>
      <c r="E572" s="10"/>
      <c r="F572" s="11"/>
      <c r="G572" s="2"/>
      <c r="H572" s="2"/>
      <c r="I572" s="2"/>
      <c r="J572" s="67"/>
    </row>
    <row r="573" spans="1:10" x14ac:dyDescent="0.35">
      <c r="A573" s="61">
        <v>569</v>
      </c>
      <c r="B573" s="2"/>
      <c r="C573" s="2"/>
      <c r="D573" s="2"/>
      <c r="E573" s="10"/>
      <c r="F573" s="11"/>
      <c r="G573" s="2"/>
      <c r="H573" s="2"/>
      <c r="I573" s="2"/>
      <c r="J573" s="67"/>
    </row>
    <row r="574" spans="1:10" x14ac:dyDescent="0.35">
      <c r="A574" s="61">
        <v>570</v>
      </c>
      <c r="B574" s="2"/>
      <c r="C574" s="2"/>
      <c r="D574" s="2"/>
      <c r="E574" s="10"/>
      <c r="F574" s="11"/>
      <c r="G574" s="2"/>
      <c r="H574" s="2"/>
      <c r="I574" s="2"/>
      <c r="J574" s="67"/>
    </row>
    <row r="575" spans="1:10" x14ac:dyDescent="0.35">
      <c r="A575" s="61">
        <v>571</v>
      </c>
      <c r="B575" s="2"/>
      <c r="C575" s="2"/>
      <c r="D575" s="2"/>
      <c r="E575" s="10"/>
      <c r="F575" s="11"/>
      <c r="G575" s="2"/>
      <c r="H575" s="2"/>
      <c r="I575" s="2"/>
      <c r="J575" s="67"/>
    </row>
    <row r="576" spans="1:10" x14ac:dyDescent="0.35">
      <c r="A576" s="61">
        <v>572</v>
      </c>
      <c r="B576" s="2"/>
      <c r="C576" s="2"/>
      <c r="D576" s="2"/>
      <c r="E576" s="10"/>
      <c r="F576" s="11"/>
      <c r="G576" s="2"/>
      <c r="H576" s="2"/>
      <c r="I576" s="2"/>
      <c r="J576" s="67"/>
    </row>
    <row r="577" spans="1:10" x14ac:dyDescent="0.35">
      <c r="A577" s="61">
        <v>573</v>
      </c>
      <c r="B577" s="2"/>
      <c r="C577" s="2"/>
      <c r="D577" s="2"/>
      <c r="E577" s="10"/>
      <c r="F577" s="11"/>
      <c r="G577" s="2"/>
      <c r="H577" s="2"/>
      <c r="I577" s="2"/>
      <c r="J577" s="67"/>
    </row>
    <row r="578" spans="1:10" x14ac:dyDescent="0.35">
      <c r="A578" s="61">
        <v>574</v>
      </c>
      <c r="B578" s="2"/>
      <c r="C578" s="2"/>
      <c r="D578" s="2"/>
      <c r="E578" s="10"/>
      <c r="F578" s="11"/>
      <c r="G578" s="2"/>
      <c r="H578" s="2"/>
      <c r="I578" s="2"/>
      <c r="J578" s="67"/>
    </row>
    <row r="579" spans="1:10" x14ac:dyDescent="0.35">
      <c r="A579" s="61">
        <v>575</v>
      </c>
      <c r="B579" s="2"/>
      <c r="C579" s="2"/>
      <c r="D579" s="2"/>
      <c r="E579" s="10"/>
      <c r="F579" s="11"/>
      <c r="G579" s="2"/>
      <c r="H579" s="2"/>
      <c r="I579" s="2"/>
      <c r="J579" s="67"/>
    </row>
    <row r="580" spans="1:10" x14ac:dyDescent="0.35">
      <c r="A580" s="61">
        <v>576</v>
      </c>
      <c r="B580" s="2"/>
      <c r="C580" s="2"/>
      <c r="D580" s="2"/>
      <c r="E580" s="10"/>
      <c r="F580" s="11"/>
      <c r="G580" s="2"/>
      <c r="H580" s="2"/>
      <c r="I580" s="2"/>
      <c r="J580" s="67"/>
    </row>
    <row r="581" spans="1:10" x14ac:dyDescent="0.35">
      <c r="A581" s="61">
        <v>577</v>
      </c>
      <c r="B581" s="2"/>
      <c r="C581" s="2"/>
      <c r="D581" s="2"/>
      <c r="E581" s="10"/>
      <c r="F581" s="11"/>
      <c r="G581" s="2"/>
      <c r="H581" s="2"/>
      <c r="I581" s="2"/>
      <c r="J581" s="67"/>
    </row>
    <row r="582" spans="1:10" x14ac:dyDescent="0.35">
      <c r="A582" s="61">
        <v>578</v>
      </c>
      <c r="B582" s="2"/>
      <c r="C582" s="2"/>
      <c r="D582" s="2"/>
      <c r="E582" s="10"/>
      <c r="F582" s="11"/>
      <c r="G582" s="2"/>
      <c r="H582" s="2"/>
      <c r="I582" s="2"/>
      <c r="J582" s="67"/>
    </row>
    <row r="583" spans="1:10" x14ac:dyDescent="0.35">
      <c r="A583" s="61">
        <v>579</v>
      </c>
      <c r="B583" s="2"/>
      <c r="C583" s="2"/>
      <c r="D583" s="2"/>
      <c r="E583" s="10"/>
      <c r="F583" s="11"/>
      <c r="G583" s="2"/>
      <c r="H583" s="2"/>
      <c r="I583" s="2"/>
      <c r="J583" s="67"/>
    </row>
    <row r="584" spans="1:10" x14ac:dyDescent="0.35">
      <c r="A584" s="61">
        <v>580</v>
      </c>
      <c r="B584" s="2"/>
      <c r="C584" s="2"/>
      <c r="D584" s="2"/>
      <c r="E584" s="10"/>
      <c r="F584" s="11"/>
      <c r="G584" s="2"/>
      <c r="H584" s="2"/>
      <c r="I584" s="2"/>
      <c r="J584" s="67"/>
    </row>
    <row r="585" spans="1:10" x14ac:dyDescent="0.35">
      <c r="A585" s="61">
        <v>581</v>
      </c>
      <c r="B585" s="2"/>
      <c r="C585" s="2"/>
      <c r="D585" s="2"/>
      <c r="E585" s="10"/>
      <c r="F585" s="11"/>
      <c r="G585" s="2"/>
      <c r="H585" s="2"/>
      <c r="I585" s="2"/>
      <c r="J585" s="67"/>
    </row>
    <row r="586" spans="1:10" x14ac:dyDescent="0.35">
      <c r="A586" s="61">
        <v>582</v>
      </c>
      <c r="B586" s="2"/>
      <c r="C586" s="2"/>
      <c r="D586" s="2"/>
      <c r="E586" s="10"/>
      <c r="F586" s="11"/>
      <c r="G586" s="2"/>
      <c r="H586" s="2"/>
      <c r="I586" s="2"/>
      <c r="J586" s="67"/>
    </row>
    <row r="587" spans="1:10" x14ac:dyDescent="0.35">
      <c r="A587" s="61">
        <v>583</v>
      </c>
      <c r="B587" s="2"/>
      <c r="C587" s="2"/>
      <c r="D587" s="2"/>
      <c r="E587" s="10"/>
      <c r="F587" s="11"/>
      <c r="G587" s="2"/>
      <c r="H587" s="2"/>
      <c r="I587" s="2"/>
      <c r="J587" s="67"/>
    </row>
    <row r="588" spans="1:10" x14ac:dyDescent="0.35">
      <c r="A588" s="61">
        <v>584</v>
      </c>
      <c r="B588" s="2"/>
      <c r="C588" s="2"/>
      <c r="D588" s="2"/>
      <c r="E588" s="10"/>
      <c r="F588" s="11"/>
      <c r="G588" s="2"/>
      <c r="H588" s="2"/>
      <c r="I588" s="2"/>
      <c r="J588" s="67"/>
    </row>
    <row r="589" spans="1:10" x14ac:dyDescent="0.35">
      <c r="A589" s="61">
        <v>585</v>
      </c>
      <c r="B589" s="2"/>
      <c r="C589" s="2"/>
      <c r="D589" s="2"/>
      <c r="E589" s="10"/>
      <c r="F589" s="11"/>
      <c r="G589" s="2"/>
      <c r="H589" s="2"/>
      <c r="I589" s="2"/>
      <c r="J589" s="67"/>
    </row>
    <row r="590" spans="1:10" x14ac:dyDescent="0.35">
      <c r="A590" s="61">
        <v>586</v>
      </c>
      <c r="B590" s="2"/>
      <c r="C590" s="2"/>
      <c r="D590" s="2"/>
      <c r="E590" s="10"/>
      <c r="F590" s="11"/>
      <c r="G590" s="2"/>
      <c r="H590" s="2"/>
      <c r="I590" s="2"/>
      <c r="J590" s="67"/>
    </row>
    <row r="591" spans="1:10" x14ac:dyDescent="0.35">
      <c r="A591" s="61">
        <v>587</v>
      </c>
      <c r="B591" s="2"/>
      <c r="C591" s="2"/>
      <c r="D591" s="2"/>
      <c r="E591" s="10"/>
      <c r="F591" s="11"/>
      <c r="G591" s="2"/>
      <c r="H591" s="2"/>
      <c r="I591" s="2"/>
      <c r="J591" s="67"/>
    </row>
    <row r="592" spans="1:10" x14ac:dyDescent="0.35">
      <c r="A592" s="61">
        <v>588</v>
      </c>
      <c r="B592" s="2"/>
      <c r="C592" s="2"/>
      <c r="D592" s="2"/>
      <c r="E592" s="10"/>
      <c r="F592" s="11"/>
      <c r="G592" s="2"/>
      <c r="H592" s="2"/>
      <c r="I592" s="2"/>
      <c r="J592" s="67"/>
    </row>
    <row r="593" spans="1:10" x14ac:dyDescent="0.35">
      <c r="A593" s="61">
        <v>589</v>
      </c>
      <c r="B593" s="2"/>
      <c r="C593" s="2"/>
      <c r="D593" s="2"/>
      <c r="E593" s="10"/>
      <c r="F593" s="11"/>
      <c r="G593" s="2"/>
      <c r="H593" s="2"/>
      <c r="I593" s="2"/>
      <c r="J593" s="67"/>
    </row>
    <row r="594" spans="1:10" x14ac:dyDescent="0.35">
      <c r="A594" s="61">
        <v>590</v>
      </c>
      <c r="B594" s="2"/>
      <c r="C594" s="2"/>
      <c r="D594" s="2"/>
      <c r="E594" s="10"/>
      <c r="F594" s="11"/>
      <c r="G594" s="2"/>
      <c r="H594" s="2"/>
      <c r="I594" s="2"/>
      <c r="J594" s="67"/>
    </row>
    <row r="595" spans="1:10" x14ac:dyDescent="0.35">
      <c r="A595" s="61">
        <v>591</v>
      </c>
      <c r="B595" s="2"/>
      <c r="C595" s="2"/>
      <c r="D595" s="2"/>
      <c r="E595" s="10"/>
      <c r="F595" s="11"/>
      <c r="G595" s="2"/>
      <c r="H595" s="2"/>
      <c r="I595" s="2"/>
      <c r="J595" s="67"/>
    </row>
    <row r="596" spans="1:10" x14ac:dyDescent="0.35">
      <c r="A596" s="61">
        <v>592</v>
      </c>
      <c r="B596" s="2"/>
      <c r="C596" s="2"/>
      <c r="D596" s="2"/>
      <c r="E596" s="10"/>
      <c r="F596" s="11"/>
      <c r="G596" s="2"/>
      <c r="H596" s="2"/>
      <c r="I596" s="2"/>
      <c r="J596" s="67"/>
    </row>
    <row r="597" spans="1:10" x14ac:dyDescent="0.35">
      <c r="A597" s="61">
        <v>593</v>
      </c>
      <c r="B597" s="2"/>
      <c r="C597" s="2"/>
      <c r="D597" s="2"/>
      <c r="E597" s="10"/>
      <c r="F597" s="11"/>
      <c r="G597" s="2"/>
      <c r="H597" s="2"/>
      <c r="I597" s="2"/>
      <c r="J597" s="67"/>
    </row>
    <row r="598" spans="1:10" x14ac:dyDescent="0.35">
      <c r="A598" s="61">
        <v>594</v>
      </c>
      <c r="B598" s="2"/>
      <c r="C598" s="2"/>
      <c r="D598" s="2"/>
      <c r="E598" s="10"/>
      <c r="F598" s="11"/>
      <c r="G598" s="2"/>
      <c r="H598" s="2"/>
      <c r="I598" s="2"/>
      <c r="J598" s="67"/>
    </row>
    <row r="599" spans="1:10" x14ac:dyDescent="0.35">
      <c r="A599" s="61">
        <v>595</v>
      </c>
      <c r="B599" s="2"/>
      <c r="C599" s="2"/>
      <c r="D599" s="2"/>
      <c r="E599" s="10"/>
      <c r="F599" s="11"/>
      <c r="G599" s="2"/>
      <c r="H599" s="2"/>
      <c r="I599" s="2"/>
      <c r="J599" s="67"/>
    </row>
    <row r="600" spans="1:10" x14ac:dyDescent="0.35">
      <c r="A600" s="61">
        <v>596</v>
      </c>
      <c r="B600" s="2"/>
      <c r="C600" s="2"/>
      <c r="D600" s="2"/>
      <c r="E600" s="10"/>
      <c r="F600" s="11"/>
      <c r="G600" s="2"/>
      <c r="H600" s="2"/>
      <c r="I600" s="2"/>
      <c r="J600" s="67"/>
    </row>
    <row r="601" spans="1:10" x14ac:dyDescent="0.35">
      <c r="A601" s="61">
        <v>597</v>
      </c>
      <c r="B601" s="2"/>
      <c r="C601" s="2"/>
      <c r="D601" s="2"/>
      <c r="E601" s="10"/>
      <c r="F601" s="11"/>
      <c r="G601" s="2"/>
      <c r="H601" s="2"/>
      <c r="I601" s="2"/>
      <c r="J601" s="67"/>
    </row>
    <row r="602" spans="1:10" x14ac:dyDescent="0.35">
      <c r="A602" s="61">
        <v>598</v>
      </c>
      <c r="B602" s="2"/>
      <c r="C602" s="2"/>
      <c r="D602" s="2"/>
      <c r="E602" s="10"/>
      <c r="F602" s="11"/>
      <c r="G602" s="2"/>
      <c r="H602" s="2"/>
      <c r="I602" s="2"/>
      <c r="J602" s="67"/>
    </row>
    <row r="603" spans="1:10" x14ac:dyDescent="0.35">
      <c r="A603" s="61">
        <v>599</v>
      </c>
      <c r="B603" s="2"/>
      <c r="C603" s="2"/>
      <c r="D603" s="2"/>
      <c r="E603" s="10"/>
      <c r="F603" s="11"/>
      <c r="G603" s="2"/>
      <c r="H603" s="2"/>
      <c r="I603" s="2"/>
      <c r="J603" s="67"/>
    </row>
    <row r="604" spans="1:10" x14ac:dyDescent="0.35">
      <c r="A604" s="61">
        <v>600</v>
      </c>
      <c r="B604" s="2"/>
      <c r="C604" s="2"/>
      <c r="D604" s="2"/>
      <c r="E604" s="10"/>
      <c r="F604" s="11"/>
      <c r="G604" s="2"/>
      <c r="H604" s="2"/>
      <c r="I604" s="2"/>
      <c r="J604" s="67"/>
    </row>
    <row r="605" spans="1:10" x14ac:dyDescent="0.35">
      <c r="A605" s="61">
        <v>601</v>
      </c>
      <c r="B605" s="2"/>
      <c r="C605" s="2"/>
      <c r="D605" s="2"/>
      <c r="E605" s="10"/>
      <c r="F605" s="11"/>
      <c r="G605" s="2"/>
      <c r="H605" s="2"/>
      <c r="I605" s="2"/>
      <c r="J605" s="67"/>
    </row>
    <row r="606" spans="1:10" x14ac:dyDescent="0.35">
      <c r="A606" s="61">
        <v>602</v>
      </c>
      <c r="B606" s="2"/>
      <c r="C606" s="2"/>
      <c r="D606" s="2"/>
      <c r="E606" s="10"/>
      <c r="F606" s="11"/>
      <c r="G606" s="2"/>
      <c r="H606" s="2"/>
      <c r="I606" s="2"/>
      <c r="J606" s="67"/>
    </row>
    <row r="607" spans="1:10" x14ac:dyDescent="0.35">
      <c r="A607" s="61">
        <v>603</v>
      </c>
      <c r="B607" s="2"/>
      <c r="C607" s="2"/>
      <c r="D607" s="2"/>
      <c r="E607" s="10"/>
      <c r="F607" s="11"/>
      <c r="G607" s="2"/>
      <c r="H607" s="2"/>
      <c r="I607" s="2"/>
      <c r="J607" s="67"/>
    </row>
    <row r="608" spans="1:10" x14ac:dyDescent="0.35">
      <c r="A608" s="61">
        <v>604</v>
      </c>
      <c r="B608" s="2"/>
      <c r="C608" s="2"/>
      <c r="D608" s="2"/>
      <c r="E608" s="10"/>
      <c r="F608" s="11"/>
      <c r="G608" s="2"/>
      <c r="H608" s="2"/>
      <c r="I608" s="2"/>
      <c r="J608" s="67"/>
    </row>
    <row r="609" spans="1:10" x14ac:dyDescent="0.35">
      <c r="A609" s="61">
        <v>605</v>
      </c>
      <c r="B609" s="2"/>
      <c r="C609" s="2"/>
      <c r="D609" s="2"/>
      <c r="E609" s="10"/>
      <c r="F609" s="11"/>
      <c r="G609" s="2"/>
      <c r="H609" s="2"/>
      <c r="I609" s="2"/>
      <c r="J609" s="67"/>
    </row>
    <row r="610" spans="1:10" x14ac:dyDescent="0.35">
      <c r="A610" s="61">
        <v>606</v>
      </c>
      <c r="B610" s="2"/>
      <c r="C610" s="2"/>
      <c r="D610" s="2"/>
      <c r="E610" s="10"/>
      <c r="F610" s="11"/>
      <c r="G610" s="2"/>
      <c r="H610" s="2"/>
      <c r="I610" s="2"/>
      <c r="J610" s="67"/>
    </row>
    <row r="611" spans="1:10" x14ac:dyDescent="0.35">
      <c r="A611" s="61">
        <v>607</v>
      </c>
      <c r="B611" s="2"/>
      <c r="C611" s="2"/>
      <c r="D611" s="2"/>
      <c r="E611" s="10"/>
      <c r="F611" s="11"/>
      <c r="G611" s="2"/>
      <c r="H611" s="2"/>
      <c r="I611" s="2"/>
      <c r="J611" s="67"/>
    </row>
    <row r="612" spans="1:10" x14ac:dyDescent="0.35">
      <c r="A612" s="61">
        <v>608</v>
      </c>
      <c r="B612" s="2"/>
      <c r="C612" s="2"/>
      <c r="D612" s="2"/>
      <c r="E612" s="10"/>
      <c r="F612" s="11"/>
      <c r="G612" s="2"/>
      <c r="H612" s="2"/>
      <c r="I612" s="2"/>
      <c r="J612" s="67"/>
    </row>
    <row r="613" spans="1:10" x14ac:dyDescent="0.35">
      <c r="A613" s="61">
        <v>609</v>
      </c>
      <c r="B613" s="2"/>
      <c r="C613" s="2"/>
      <c r="D613" s="2"/>
      <c r="E613" s="10"/>
      <c r="F613" s="11"/>
      <c r="G613" s="2"/>
      <c r="H613" s="2"/>
      <c r="I613" s="2"/>
      <c r="J613" s="67"/>
    </row>
    <row r="614" spans="1:10" x14ac:dyDescent="0.35">
      <c r="A614" s="61">
        <v>610</v>
      </c>
      <c r="B614" s="2"/>
      <c r="C614" s="2"/>
      <c r="D614" s="2"/>
      <c r="E614" s="10"/>
      <c r="F614" s="11"/>
      <c r="G614" s="2"/>
      <c r="H614" s="2"/>
      <c r="I614" s="2"/>
      <c r="J614" s="67"/>
    </row>
    <row r="615" spans="1:10" x14ac:dyDescent="0.35">
      <c r="A615" s="61">
        <v>611</v>
      </c>
      <c r="B615" s="2"/>
      <c r="C615" s="2"/>
      <c r="D615" s="2"/>
      <c r="E615" s="10"/>
      <c r="F615" s="11"/>
      <c r="G615" s="2"/>
      <c r="H615" s="2"/>
      <c r="I615" s="2"/>
      <c r="J615" s="67"/>
    </row>
    <row r="616" spans="1:10" x14ac:dyDescent="0.35">
      <c r="A616" s="61">
        <v>612</v>
      </c>
      <c r="B616" s="2"/>
      <c r="C616" s="2"/>
      <c r="D616" s="2"/>
      <c r="E616" s="10"/>
      <c r="F616" s="11"/>
      <c r="G616" s="2"/>
      <c r="H616" s="2"/>
      <c r="I616" s="2"/>
      <c r="J616" s="67"/>
    </row>
    <row r="617" spans="1:10" x14ac:dyDescent="0.35">
      <c r="A617" s="61">
        <v>613</v>
      </c>
      <c r="B617" s="2"/>
      <c r="C617" s="2"/>
      <c r="D617" s="2"/>
      <c r="E617" s="10"/>
      <c r="F617" s="11"/>
      <c r="G617" s="2"/>
      <c r="H617" s="2"/>
      <c r="I617" s="2"/>
      <c r="J617" s="67"/>
    </row>
    <row r="618" spans="1:10" x14ac:dyDescent="0.35">
      <c r="A618" s="61">
        <v>614</v>
      </c>
      <c r="B618" s="2"/>
      <c r="C618" s="2"/>
      <c r="D618" s="2"/>
      <c r="E618" s="10"/>
      <c r="F618" s="11"/>
      <c r="G618" s="2"/>
      <c r="H618" s="2"/>
      <c r="I618" s="2"/>
      <c r="J618" s="67"/>
    </row>
    <row r="619" spans="1:10" x14ac:dyDescent="0.35">
      <c r="A619" s="61">
        <v>615</v>
      </c>
      <c r="B619" s="2"/>
      <c r="C619" s="2"/>
      <c r="D619" s="2"/>
      <c r="E619" s="10"/>
      <c r="F619" s="11"/>
      <c r="G619" s="2"/>
      <c r="H619" s="2"/>
      <c r="I619" s="2"/>
      <c r="J619" s="67"/>
    </row>
    <row r="620" spans="1:10" x14ac:dyDescent="0.35">
      <c r="A620" s="61">
        <v>616</v>
      </c>
      <c r="B620" s="2"/>
      <c r="C620" s="2"/>
      <c r="D620" s="2"/>
      <c r="E620" s="10"/>
      <c r="F620" s="11"/>
      <c r="G620" s="2"/>
      <c r="H620" s="2"/>
      <c r="I620" s="2"/>
      <c r="J620" s="67"/>
    </row>
    <row r="621" spans="1:10" x14ac:dyDescent="0.35">
      <c r="A621" s="61">
        <v>617</v>
      </c>
      <c r="B621" s="2"/>
      <c r="C621" s="2"/>
      <c r="D621" s="2"/>
      <c r="E621" s="10"/>
      <c r="F621" s="11"/>
      <c r="G621" s="2"/>
      <c r="H621" s="2"/>
      <c r="I621" s="2"/>
      <c r="J621" s="67"/>
    </row>
    <row r="622" spans="1:10" x14ac:dyDescent="0.35">
      <c r="A622" s="61">
        <v>618</v>
      </c>
      <c r="B622" s="2"/>
      <c r="C622" s="2"/>
      <c r="D622" s="2"/>
      <c r="E622" s="10"/>
      <c r="F622" s="11"/>
      <c r="G622" s="2"/>
      <c r="H622" s="2"/>
      <c r="I622" s="2"/>
      <c r="J622" s="67"/>
    </row>
    <row r="623" spans="1:10" x14ac:dyDescent="0.35">
      <c r="A623" s="61">
        <v>619</v>
      </c>
      <c r="B623" s="2"/>
      <c r="C623" s="2"/>
      <c r="D623" s="2"/>
      <c r="E623" s="10"/>
      <c r="F623" s="11"/>
      <c r="G623" s="2"/>
      <c r="H623" s="2"/>
      <c r="I623" s="2"/>
      <c r="J623" s="67"/>
    </row>
    <row r="624" spans="1:10" x14ac:dyDescent="0.35">
      <c r="A624" s="61">
        <v>620</v>
      </c>
      <c r="B624" s="2"/>
      <c r="C624" s="2"/>
      <c r="D624" s="2"/>
      <c r="E624" s="10"/>
      <c r="F624" s="11"/>
      <c r="G624" s="2"/>
      <c r="H624" s="2"/>
      <c r="I624" s="2"/>
      <c r="J624" s="67"/>
    </row>
    <row r="625" spans="1:10" x14ac:dyDescent="0.35">
      <c r="A625" s="61">
        <v>621</v>
      </c>
      <c r="B625" s="2"/>
      <c r="C625" s="2"/>
      <c r="D625" s="2"/>
      <c r="E625" s="10"/>
      <c r="F625" s="11"/>
      <c r="G625" s="2"/>
      <c r="H625" s="2"/>
      <c r="I625" s="2"/>
      <c r="J625" s="67"/>
    </row>
    <row r="626" spans="1:10" x14ac:dyDescent="0.35">
      <c r="A626" s="61">
        <v>622</v>
      </c>
      <c r="B626" s="2"/>
      <c r="C626" s="2"/>
      <c r="D626" s="2"/>
      <c r="E626" s="10"/>
      <c r="F626" s="11"/>
      <c r="G626" s="2"/>
      <c r="H626" s="2"/>
      <c r="I626" s="2"/>
      <c r="J626" s="67"/>
    </row>
    <row r="627" spans="1:10" x14ac:dyDescent="0.35">
      <c r="A627" s="61">
        <v>623</v>
      </c>
      <c r="B627" s="2"/>
      <c r="C627" s="2"/>
      <c r="D627" s="2"/>
      <c r="E627" s="10"/>
      <c r="F627" s="11"/>
      <c r="G627" s="2"/>
      <c r="H627" s="2"/>
      <c r="I627" s="2"/>
      <c r="J627" s="67"/>
    </row>
    <row r="628" spans="1:10" x14ac:dyDescent="0.35">
      <c r="A628" s="61">
        <v>624</v>
      </c>
      <c r="B628" s="2"/>
      <c r="C628" s="2"/>
      <c r="D628" s="2"/>
      <c r="E628" s="10"/>
      <c r="F628" s="11"/>
      <c r="G628" s="2"/>
      <c r="H628" s="2"/>
      <c r="I628" s="2"/>
      <c r="J628" s="67"/>
    </row>
    <row r="629" spans="1:10" x14ac:dyDescent="0.35">
      <c r="A629" s="61">
        <v>625</v>
      </c>
      <c r="B629" s="2"/>
      <c r="C629" s="2"/>
      <c r="D629" s="2"/>
      <c r="E629" s="10"/>
      <c r="F629" s="11"/>
      <c r="G629" s="2"/>
      <c r="H629" s="2"/>
      <c r="I629" s="2"/>
      <c r="J629" s="67"/>
    </row>
    <row r="630" spans="1:10" x14ac:dyDescent="0.35">
      <c r="A630" s="61">
        <v>626</v>
      </c>
      <c r="B630" s="2"/>
      <c r="C630" s="2"/>
      <c r="D630" s="2"/>
      <c r="E630" s="10"/>
      <c r="F630" s="11"/>
      <c r="G630" s="2"/>
      <c r="H630" s="2"/>
      <c r="I630" s="2"/>
      <c r="J630" s="67"/>
    </row>
    <row r="631" spans="1:10" x14ac:dyDescent="0.35">
      <c r="A631" s="61">
        <v>627</v>
      </c>
      <c r="B631" s="2"/>
      <c r="C631" s="2"/>
      <c r="D631" s="2"/>
      <c r="E631" s="10"/>
      <c r="F631" s="11"/>
      <c r="G631" s="2"/>
      <c r="H631" s="2"/>
      <c r="I631" s="2"/>
      <c r="J631" s="67"/>
    </row>
    <row r="632" spans="1:10" x14ac:dyDescent="0.35">
      <c r="A632" s="61">
        <v>628</v>
      </c>
      <c r="B632" s="2"/>
      <c r="C632" s="2"/>
      <c r="D632" s="2"/>
      <c r="E632" s="10"/>
      <c r="F632" s="11"/>
      <c r="G632" s="2"/>
      <c r="H632" s="2"/>
      <c r="I632" s="2"/>
      <c r="J632" s="67"/>
    </row>
    <row r="633" spans="1:10" x14ac:dyDescent="0.35">
      <c r="A633" s="61">
        <v>629</v>
      </c>
      <c r="B633" s="2"/>
      <c r="C633" s="2"/>
      <c r="D633" s="2"/>
      <c r="E633" s="10"/>
      <c r="F633" s="11"/>
      <c r="G633" s="2"/>
      <c r="H633" s="2"/>
      <c r="I633" s="2"/>
      <c r="J633" s="67"/>
    </row>
    <row r="634" spans="1:10" x14ac:dyDescent="0.35">
      <c r="A634" s="61">
        <v>630</v>
      </c>
      <c r="B634" s="2"/>
      <c r="C634" s="2"/>
      <c r="D634" s="2"/>
      <c r="E634" s="10"/>
      <c r="F634" s="11"/>
      <c r="G634" s="2"/>
      <c r="H634" s="2"/>
      <c r="I634" s="2"/>
      <c r="J634" s="67"/>
    </row>
    <row r="635" spans="1:10" x14ac:dyDescent="0.35">
      <c r="A635" s="61">
        <v>631</v>
      </c>
      <c r="B635" s="2"/>
      <c r="C635" s="2"/>
      <c r="D635" s="2"/>
      <c r="E635" s="10"/>
      <c r="F635" s="11"/>
      <c r="G635" s="2"/>
      <c r="H635" s="2"/>
      <c r="I635" s="2"/>
      <c r="J635" s="67"/>
    </row>
    <row r="636" spans="1:10" x14ac:dyDescent="0.35">
      <c r="A636" s="61">
        <v>632</v>
      </c>
      <c r="B636" s="2"/>
      <c r="C636" s="2"/>
      <c r="D636" s="2"/>
      <c r="E636" s="10"/>
      <c r="F636" s="11"/>
      <c r="G636" s="2"/>
      <c r="H636" s="2"/>
      <c r="I636" s="2"/>
      <c r="J636" s="67"/>
    </row>
    <row r="637" spans="1:10" x14ac:dyDescent="0.35">
      <c r="A637" s="61">
        <v>633</v>
      </c>
      <c r="B637" s="2"/>
      <c r="C637" s="2"/>
      <c r="D637" s="2"/>
      <c r="E637" s="10"/>
      <c r="F637" s="11"/>
      <c r="G637" s="2"/>
      <c r="H637" s="2"/>
      <c r="I637" s="2"/>
      <c r="J637" s="67"/>
    </row>
    <row r="638" spans="1:10" x14ac:dyDescent="0.35">
      <c r="A638" s="61">
        <v>634</v>
      </c>
      <c r="B638" s="2"/>
      <c r="C638" s="2"/>
      <c r="D638" s="2"/>
      <c r="E638" s="10"/>
      <c r="F638" s="11"/>
      <c r="G638" s="2"/>
      <c r="H638" s="2"/>
      <c r="I638" s="2"/>
      <c r="J638" s="67"/>
    </row>
    <row r="639" spans="1:10" x14ac:dyDescent="0.35">
      <c r="A639" s="61">
        <v>635</v>
      </c>
      <c r="B639" s="2"/>
      <c r="C639" s="2"/>
      <c r="D639" s="2"/>
      <c r="E639" s="10"/>
      <c r="F639" s="11"/>
      <c r="G639" s="2"/>
      <c r="H639" s="2"/>
      <c r="I639" s="2"/>
      <c r="J639" s="67"/>
    </row>
    <row r="640" spans="1:10" x14ac:dyDescent="0.35">
      <c r="A640" s="61">
        <v>636</v>
      </c>
      <c r="B640" s="2"/>
      <c r="C640" s="2"/>
      <c r="D640" s="2"/>
      <c r="E640" s="10"/>
      <c r="F640" s="11"/>
      <c r="G640" s="2"/>
      <c r="H640" s="2"/>
      <c r="I640" s="2"/>
      <c r="J640" s="67"/>
    </row>
    <row r="641" spans="1:10" x14ac:dyDescent="0.35">
      <c r="A641" s="61">
        <v>637</v>
      </c>
      <c r="B641" s="2"/>
      <c r="C641" s="2"/>
      <c r="D641" s="2"/>
      <c r="E641" s="10"/>
      <c r="F641" s="11"/>
      <c r="G641" s="2"/>
      <c r="H641" s="2"/>
      <c r="I641" s="2"/>
      <c r="J641" s="67"/>
    </row>
    <row r="642" spans="1:10" x14ac:dyDescent="0.35">
      <c r="A642" s="61">
        <v>638</v>
      </c>
      <c r="B642" s="2"/>
      <c r="C642" s="2"/>
      <c r="D642" s="2"/>
      <c r="E642" s="10"/>
      <c r="F642" s="11"/>
      <c r="G642" s="2"/>
      <c r="H642" s="2"/>
      <c r="I642" s="2"/>
      <c r="J642" s="67"/>
    </row>
    <row r="643" spans="1:10" x14ac:dyDescent="0.35">
      <c r="A643" s="61">
        <v>639</v>
      </c>
      <c r="B643" s="2"/>
      <c r="C643" s="2"/>
      <c r="D643" s="2"/>
      <c r="E643" s="10"/>
      <c r="F643" s="11"/>
      <c r="G643" s="2"/>
      <c r="H643" s="2"/>
      <c r="I643" s="2"/>
      <c r="J643" s="67"/>
    </row>
    <row r="644" spans="1:10" x14ac:dyDescent="0.35">
      <c r="A644" s="61">
        <v>640</v>
      </c>
      <c r="B644" s="2"/>
      <c r="C644" s="2"/>
      <c r="D644" s="2"/>
      <c r="E644" s="10"/>
      <c r="F644" s="11"/>
      <c r="G644" s="2"/>
      <c r="H644" s="2"/>
      <c r="I644" s="2"/>
      <c r="J644" s="67"/>
    </row>
    <row r="645" spans="1:10" x14ac:dyDescent="0.35">
      <c r="A645" s="61">
        <v>641</v>
      </c>
      <c r="B645" s="2"/>
      <c r="C645" s="2"/>
      <c r="D645" s="2"/>
      <c r="E645" s="10"/>
      <c r="F645" s="11"/>
      <c r="G645" s="2"/>
      <c r="H645" s="2"/>
      <c r="I645" s="2"/>
      <c r="J645" s="67"/>
    </row>
    <row r="646" spans="1:10" x14ac:dyDescent="0.35">
      <c r="A646" s="61">
        <v>642</v>
      </c>
      <c r="B646" s="2"/>
      <c r="C646" s="2"/>
      <c r="D646" s="2"/>
      <c r="E646" s="10"/>
      <c r="F646" s="11"/>
      <c r="G646" s="2"/>
      <c r="H646" s="2"/>
      <c r="I646" s="2"/>
      <c r="J646" s="67"/>
    </row>
    <row r="647" spans="1:10" x14ac:dyDescent="0.35">
      <c r="A647" s="61">
        <v>643</v>
      </c>
      <c r="B647" s="2"/>
      <c r="C647" s="2"/>
      <c r="D647" s="2"/>
      <c r="E647" s="10"/>
      <c r="F647" s="11"/>
      <c r="G647" s="2"/>
      <c r="H647" s="2"/>
      <c r="I647" s="2"/>
      <c r="J647" s="67"/>
    </row>
    <row r="648" spans="1:10" x14ac:dyDescent="0.35">
      <c r="A648" s="61">
        <v>644</v>
      </c>
      <c r="B648" s="2"/>
      <c r="C648" s="2"/>
      <c r="D648" s="2"/>
      <c r="E648" s="10"/>
      <c r="F648" s="11"/>
      <c r="G648" s="2"/>
      <c r="H648" s="2"/>
      <c r="I648" s="2"/>
      <c r="J648" s="67"/>
    </row>
    <row r="649" spans="1:10" x14ac:dyDescent="0.35">
      <c r="A649" s="61">
        <v>645</v>
      </c>
      <c r="B649" s="2"/>
      <c r="C649" s="2"/>
      <c r="D649" s="2"/>
      <c r="E649" s="10"/>
      <c r="F649" s="11"/>
      <c r="G649" s="2"/>
      <c r="H649" s="2"/>
      <c r="I649" s="2"/>
      <c r="J649" s="67"/>
    </row>
    <row r="650" spans="1:10" x14ac:dyDescent="0.35">
      <c r="A650" s="61">
        <v>646</v>
      </c>
      <c r="B650" s="2"/>
      <c r="C650" s="2"/>
      <c r="D650" s="2"/>
      <c r="E650" s="10"/>
      <c r="F650" s="11"/>
      <c r="G650" s="2"/>
      <c r="H650" s="2"/>
      <c r="I650" s="2"/>
      <c r="J650" s="67"/>
    </row>
    <row r="651" spans="1:10" x14ac:dyDescent="0.35">
      <c r="A651" s="61">
        <v>647</v>
      </c>
      <c r="B651" s="2"/>
      <c r="C651" s="2"/>
      <c r="D651" s="2"/>
      <c r="E651" s="10"/>
      <c r="F651" s="11"/>
      <c r="G651" s="2"/>
      <c r="H651" s="2"/>
      <c r="I651" s="2"/>
      <c r="J651" s="67"/>
    </row>
    <row r="652" spans="1:10" x14ac:dyDescent="0.35">
      <c r="A652" s="61">
        <v>648</v>
      </c>
      <c r="B652" s="2"/>
      <c r="C652" s="2"/>
      <c r="D652" s="2"/>
      <c r="E652" s="10"/>
      <c r="F652" s="11"/>
      <c r="G652" s="2"/>
      <c r="H652" s="2"/>
      <c r="I652" s="2"/>
      <c r="J652" s="67"/>
    </row>
    <row r="653" spans="1:10" x14ac:dyDescent="0.35">
      <c r="A653" s="61">
        <v>649</v>
      </c>
      <c r="B653" s="2"/>
      <c r="C653" s="2"/>
      <c r="D653" s="2"/>
      <c r="E653" s="10"/>
      <c r="F653" s="11"/>
      <c r="G653" s="2"/>
      <c r="H653" s="2"/>
      <c r="I653" s="2"/>
      <c r="J653" s="67"/>
    </row>
    <row r="654" spans="1:10" x14ac:dyDescent="0.35">
      <c r="A654" s="61">
        <v>650</v>
      </c>
      <c r="B654" s="2"/>
      <c r="C654" s="2"/>
      <c r="D654" s="2"/>
      <c r="E654" s="10"/>
      <c r="F654" s="11"/>
      <c r="G654" s="2"/>
      <c r="H654" s="2"/>
      <c r="I654" s="2"/>
      <c r="J654" s="67"/>
    </row>
    <row r="655" spans="1:10" x14ac:dyDescent="0.35">
      <c r="A655" s="61">
        <v>651</v>
      </c>
      <c r="B655" s="2"/>
      <c r="C655" s="2"/>
      <c r="D655" s="2"/>
      <c r="E655" s="10"/>
      <c r="F655" s="11"/>
      <c r="G655" s="2"/>
      <c r="H655" s="2"/>
      <c r="I655" s="2"/>
      <c r="J655" s="67"/>
    </row>
    <row r="656" spans="1:10" x14ac:dyDescent="0.35">
      <c r="A656" s="61">
        <v>652</v>
      </c>
      <c r="B656" s="2"/>
      <c r="C656" s="2"/>
      <c r="D656" s="2"/>
      <c r="E656" s="10"/>
      <c r="F656" s="11"/>
      <c r="G656" s="2"/>
      <c r="H656" s="2"/>
      <c r="I656" s="2"/>
      <c r="J656" s="67"/>
    </row>
    <row r="657" spans="1:10" x14ac:dyDescent="0.35">
      <c r="A657" s="61">
        <v>653</v>
      </c>
      <c r="B657" s="2"/>
      <c r="C657" s="2"/>
      <c r="D657" s="2"/>
      <c r="E657" s="10"/>
      <c r="F657" s="11"/>
      <c r="G657" s="2"/>
      <c r="H657" s="2"/>
      <c r="I657" s="2"/>
      <c r="J657" s="67"/>
    </row>
    <row r="658" spans="1:10" x14ac:dyDescent="0.35">
      <c r="A658" s="61">
        <v>654</v>
      </c>
      <c r="B658" s="2"/>
      <c r="C658" s="2"/>
      <c r="D658" s="2"/>
      <c r="E658" s="10"/>
      <c r="F658" s="11"/>
      <c r="G658" s="2"/>
      <c r="H658" s="2"/>
      <c r="I658" s="2"/>
      <c r="J658" s="67"/>
    </row>
    <row r="659" spans="1:10" x14ac:dyDescent="0.35">
      <c r="A659" s="61">
        <v>655</v>
      </c>
      <c r="B659" s="2"/>
      <c r="C659" s="2"/>
      <c r="D659" s="2"/>
      <c r="E659" s="10"/>
      <c r="F659" s="11"/>
      <c r="G659" s="2"/>
      <c r="H659" s="2"/>
      <c r="I659" s="2"/>
      <c r="J659" s="67"/>
    </row>
    <row r="660" spans="1:10" x14ac:dyDescent="0.35">
      <c r="A660" s="61">
        <v>656</v>
      </c>
      <c r="B660" s="2"/>
      <c r="C660" s="2"/>
      <c r="D660" s="2"/>
      <c r="E660" s="10"/>
      <c r="F660" s="11"/>
      <c r="G660" s="2"/>
      <c r="H660" s="2"/>
      <c r="I660" s="2"/>
      <c r="J660" s="67"/>
    </row>
    <row r="661" spans="1:10" x14ac:dyDescent="0.35">
      <c r="A661" s="61">
        <v>657</v>
      </c>
      <c r="B661" s="2"/>
      <c r="C661" s="2"/>
      <c r="D661" s="2"/>
      <c r="E661" s="10"/>
      <c r="F661" s="11"/>
      <c r="G661" s="2"/>
      <c r="H661" s="2"/>
      <c r="I661" s="2"/>
      <c r="J661" s="67"/>
    </row>
    <row r="662" spans="1:10" x14ac:dyDescent="0.35">
      <c r="A662" s="61">
        <v>658</v>
      </c>
      <c r="B662" s="2"/>
      <c r="C662" s="2"/>
      <c r="D662" s="2"/>
      <c r="E662" s="10"/>
      <c r="F662" s="11"/>
      <c r="G662" s="2"/>
      <c r="H662" s="2"/>
      <c r="I662" s="2"/>
      <c r="J662" s="67"/>
    </row>
    <row r="663" spans="1:10" x14ac:dyDescent="0.35">
      <c r="A663" s="61">
        <v>659</v>
      </c>
      <c r="B663" s="2"/>
      <c r="C663" s="2"/>
      <c r="D663" s="2"/>
      <c r="E663" s="10"/>
      <c r="F663" s="11"/>
      <c r="G663" s="2"/>
      <c r="H663" s="2"/>
      <c r="I663" s="2"/>
      <c r="J663" s="67"/>
    </row>
    <row r="664" spans="1:10" x14ac:dyDescent="0.35">
      <c r="A664" s="61">
        <v>660</v>
      </c>
      <c r="B664" s="2"/>
      <c r="C664" s="2"/>
      <c r="D664" s="2"/>
      <c r="E664" s="10"/>
      <c r="F664" s="11"/>
      <c r="G664" s="2"/>
      <c r="H664" s="2"/>
      <c r="I664" s="2"/>
      <c r="J664" s="67"/>
    </row>
    <row r="665" spans="1:10" x14ac:dyDescent="0.35">
      <c r="A665" s="61">
        <v>661</v>
      </c>
      <c r="B665" s="2"/>
      <c r="C665" s="2"/>
      <c r="D665" s="2"/>
      <c r="E665" s="10"/>
      <c r="F665" s="11"/>
      <c r="G665" s="2"/>
      <c r="H665" s="2"/>
      <c r="I665" s="2"/>
      <c r="J665" s="67"/>
    </row>
    <row r="666" spans="1:10" x14ac:dyDescent="0.35">
      <c r="A666" s="61">
        <v>662</v>
      </c>
      <c r="B666" s="2"/>
      <c r="C666" s="2"/>
      <c r="D666" s="2"/>
      <c r="E666" s="10"/>
      <c r="F666" s="11"/>
      <c r="G666" s="2"/>
      <c r="H666" s="2"/>
      <c r="I666" s="2"/>
      <c r="J666" s="67"/>
    </row>
    <row r="667" spans="1:10" x14ac:dyDescent="0.35">
      <c r="A667" s="61">
        <v>663</v>
      </c>
      <c r="B667" s="2"/>
      <c r="C667" s="2"/>
      <c r="D667" s="2"/>
      <c r="E667" s="10"/>
      <c r="F667" s="11"/>
      <c r="G667" s="2"/>
      <c r="H667" s="2"/>
      <c r="I667" s="2"/>
      <c r="J667" s="67"/>
    </row>
    <row r="668" spans="1:10" x14ac:dyDescent="0.35">
      <c r="A668" s="61">
        <v>664</v>
      </c>
      <c r="B668" s="2"/>
      <c r="C668" s="2"/>
      <c r="D668" s="2"/>
      <c r="E668" s="10"/>
      <c r="F668" s="11"/>
      <c r="G668" s="2"/>
      <c r="H668" s="2"/>
      <c r="I668" s="2"/>
      <c r="J668" s="67"/>
    </row>
    <row r="669" spans="1:10" x14ac:dyDescent="0.35">
      <c r="A669" s="61">
        <v>665</v>
      </c>
      <c r="B669" s="2"/>
      <c r="C669" s="2"/>
      <c r="D669" s="2"/>
      <c r="E669" s="10"/>
      <c r="F669" s="11"/>
      <c r="G669" s="2"/>
      <c r="H669" s="2"/>
      <c r="I669" s="2"/>
      <c r="J669" s="67"/>
    </row>
    <row r="670" spans="1:10" x14ac:dyDescent="0.35">
      <c r="A670" s="61">
        <v>666</v>
      </c>
      <c r="B670" s="2"/>
      <c r="C670" s="2"/>
      <c r="D670" s="2"/>
      <c r="E670" s="10"/>
      <c r="F670" s="11"/>
      <c r="G670" s="2"/>
      <c r="H670" s="2"/>
      <c r="I670" s="2"/>
      <c r="J670" s="67"/>
    </row>
    <row r="671" spans="1:10" x14ac:dyDescent="0.35">
      <c r="A671" s="61">
        <v>667</v>
      </c>
      <c r="B671" s="2"/>
      <c r="C671" s="2"/>
      <c r="D671" s="2"/>
      <c r="E671" s="10"/>
      <c r="F671" s="11"/>
      <c r="G671" s="2"/>
      <c r="H671" s="2"/>
      <c r="I671" s="2"/>
      <c r="J671" s="67"/>
    </row>
    <row r="672" spans="1:10" x14ac:dyDescent="0.35">
      <c r="A672" s="61">
        <v>668</v>
      </c>
      <c r="B672" s="2"/>
      <c r="C672" s="2"/>
      <c r="D672" s="2"/>
      <c r="E672" s="10"/>
      <c r="F672" s="11"/>
      <c r="G672" s="2"/>
      <c r="H672" s="2"/>
      <c r="I672" s="2"/>
      <c r="J672" s="67"/>
    </row>
    <row r="673" spans="1:10" x14ac:dyDescent="0.35">
      <c r="A673" s="61">
        <v>669</v>
      </c>
      <c r="B673" s="2"/>
      <c r="C673" s="2"/>
      <c r="D673" s="2"/>
      <c r="E673" s="10"/>
      <c r="F673" s="11"/>
      <c r="G673" s="2"/>
      <c r="H673" s="2"/>
      <c r="I673" s="2"/>
      <c r="J673" s="67"/>
    </row>
    <row r="674" spans="1:10" x14ac:dyDescent="0.35">
      <c r="A674" s="61">
        <v>670</v>
      </c>
      <c r="B674" s="2"/>
      <c r="C674" s="2"/>
      <c r="D674" s="2"/>
      <c r="E674" s="10"/>
      <c r="F674" s="11"/>
      <c r="G674" s="2"/>
      <c r="H674" s="2"/>
      <c r="I674" s="2"/>
      <c r="J674" s="67"/>
    </row>
    <row r="675" spans="1:10" x14ac:dyDescent="0.35">
      <c r="A675" s="61">
        <v>671</v>
      </c>
      <c r="B675" s="2"/>
      <c r="C675" s="2"/>
      <c r="D675" s="2"/>
      <c r="E675" s="10"/>
      <c r="F675" s="11"/>
      <c r="G675" s="2"/>
      <c r="H675" s="2"/>
      <c r="I675" s="2"/>
      <c r="J675" s="67"/>
    </row>
    <row r="676" spans="1:10" x14ac:dyDescent="0.35">
      <c r="A676" s="61">
        <v>672</v>
      </c>
      <c r="B676" s="2"/>
      <c r="C676" s="2"/>
      <c r="D676" s="2"/>
      <c r="E676" s="10"/>
      <c r="F676" s="11"/>
      <c r="G676" s="2"/>
      <c r="H676" s="2"/>
      <c r="I676" s="2"/>
      <c r="J676" s="67"/>
    </row>
    <row r="677" spans="1:10" x14ac:dyDescent="0.35">
      <c r="A677" s="61">
        <v>673</v>
      </c>
      <c r="B677" s="2"/>
      <c r="C677" s="2"/>
      <c r="D677" s="2"/>
      <c r="E677" s="10"/>
      <c r="F677" s="11"/>
      <c r="G677" s="2"/>
      <c r="H677" s="2"/>
      <c r="I677" s="2"/>
      <c r="J677" s="67"/>
    </row>
    <row r="678" spans="1:10" x14ac:dyDescent="0.35">
      <c r="A678" s="61">
        <v>674</v>
      </c>
      <c r="B678" s="2"/>
      <c r="C678" s="2"/>
      <c r="D678" s="2"/>
      <c r="E678" s="10"/>
      <c r="F678" s="11"/>
      <c r="G678" s="2"/>
      <c r="H678" s="2"/>
      <c r="I678" s="2"/>
      <c r="J678" s="67"/>
    </row>
    <row r="679" spans="1:10" x14ac:dyDescent="0.35">
      <c r="A679" s="61">
        <v>675</v>
      </c>
      <c r="B679" s="2"/>
      <c r="C679" s="2"/>
      <c r="D679" s="2"/>
      <c r="E679" s="10"/>
      <c r="F679" s="11"/>
      <c r="G679" s="2"/>
      <c r="H679" s="2"/>
      <c r="I679" s="2"/>
      <c r="J679" s="67"/>
    </row>
    <row r="680" spans="1:10" x14ac:dyDescent="0.35">
      <c r="A680" s="61">
        <v>676</v>
      </c>
      <c r="B680" s="2"/>
      <c r="C680" s="2"/>
      <c r="D680" s="2"/>
      <c r="E680" s="10"/>
      <c r="F680" s="11"/>
      <c r="G680" s="2"/>
      <c r="H680" s="2"/>
      <c r="I680" s="2"/>
      <c r="J680" s="67"/>
    </row>
    <row r="681" spans="1:10" x14ac:dyDescent="0.35">
      <c r="A681" s="61">
        <v>677</v>
      </c>
      <c r="B681" s="2"/>
      <c r="C681" s="2"/>
      <c r="D681" s="2"/>
      <c r="E681" s="10"/>
      <c r="F681" s="11"/>
      <c r="G681" s="2"/>
      <c r="H681" s="2"/>
      <c r="I681" s="2"/>
      <c r="J681" s="67"/>
    </row>
    <row r="682" spans="1:10" x14ac:dyDescent="0.35">
      <c r="A682" s="61">
        <v>678</v>
      </c>
      <c r="B682" s="2"/>
      <c r="C682" s="2"/>
      <c r="D682" s="2"/>
      <c r="E682" s="10"/>
      <c r="F682" s="11"/>
      <c r="G682" s="2"/>
      <c r="H682" s="2"/>
      <c r="I682" s="2"/>
      <c r="J682" s="67"/>
    </row>
    <row r="683" spans="1:10" x14ac:dyDescent="0.35">
      <c r="A683" s="61">
        <v>679</v>
      </c>
      <c r="B683" s="2"/>
      <c r="C683" s="2"/>
      <c r="D683" s="2"/>
      <c r="E683" s="10"/>
      <c r="F683" s="11"/>
      <c r="G683" s="2"/>
      <c r="H683" s="2"/>
      <c r="I683" s="2"/>
      <c r="J683" s="67"/>
    </row>
    <row r="684" spans="1:10" x14ac:dyDescent="0.35">
      <c r="A684" s="61">
        <v>680</v>
      </c>
      <c r="B684" s="2"/>
      <c r="C684" s="2"/>
      <c r="D684" s="2"/>
      <c r="E684" s="10"/>
      <c r="F684" s="11"/>
      <c r="G684" s="2"/>
      <c r="H684" s="2"/>
      <c r="I684" s="2"/>
      <c r="J684" s="67"/>
    </row>
    <row r="685" spans="1:10" x14ac:dyDescent="0.35">
      <c r="A685" s="61">
        <v>681</v>
      </c>
      <c r="B685" s="2"/>
      <c r="C685" s="2"/>
      <c r="D685" s="2"/>
      <c r="E685" s="10"/>
      <c r="F685" s="11"/>
      <c r="G685" s="2"/>
      <c r="H685" s="2"/>
      <c r="I685" s="2"/>
      <c r="J685" s="67"/>
    </row>
    <row r="686" spans="1:10" x14ac:dyDescent="0.35">
      <c r="A686" s="61">
        <v>682</v>
      </c>
      <c r="B686" s="2"/>
      <c r="C686" s="2"/>
      <c r="D686" s="2"/>
      <c r="E686" s="10"/>
      <c r="F686" s="11"/>
      <c r="G686" s="2"/>
      <c r="H686" s="2"/>
      <c r="I686" s="2"/>
      <c r="J686" s="67"/>
    </row>
    <row r="687" spans="1:10" x14ac:dyDescent="0.35">
      <c r="A687" s="61">
        <v>683</v>
      </c>
      <c r="B687" s="2"/>
      <c r="C687" s="2"/>
      <c r="D687" s="2"/>
      <c r="E687" s="10"/>
      <c r="F687" s="11"/>
      <c r="G687" s="2"/>
      <c r="H687" s="2"/>
      <c r="I687" s="2"/>
      <c r="J687" s="67"/>
    </row>
    <row r="688" spans="1:10" x14ac:dyDescent="0.35">
      <c r="A688" s="61">
        <v>684</v>
      </c>
      <c r="B688" s="2"/>
      <c r="C688" s="2"/>
      <c r="D688" s="2"/>
      <c r="E688" s="10"/>
      <c r="F688" s="11"/>
      <c r="G688" s="2"/>
      <c r="H688" s="2"/>
      <c r="I688" s="2"/>
      <c r="J688" s="67"/>
    </row>
    <row r="689" spans="1:10" x14ac:dyDescent="0.35">
      <c r="A689" s="61">
        <v>685</v>
      </c>
      <c r="B689" s="2"/>
      <c r="C689" s="2"/>
      <c r="D689" s="2"/>
      <c r="E689" s="10"/>
      <c r="F689" s="11"/>
      <c r="G689" s="2"/>
      <c r="H689" s="2"/>
      <c r="I689" s="2"/>
      <c r="J689" s="67"/>
    </row>
    <row r="690" spans="1:10" x14ac:dyDescent="0.35">
      <c r="A690" s="61">
        <v>686</v>
      </c>
      <c r="B690" s="2"/>
      <c r="C690" s="2"/>
      <c r="D690" s="2"/>
      <c r="E690" s="10"/>
      <c r="F690" s="11"/>
      <c r="G690" s="2"/>
      <c r="H690" s="2"/>
      <c r="I690" s="2"/>
      <c r="J690" s="67"/>
    </row>
    <row r="691" spans="1:10" x14ac:dyDescent="0.35">
      <c r="A691" s="61">
        <v>687</v>
      </c>
      <c r="B691" s="2"/>
      <c r="C691" s="2"/>
      <c r="D691" s="2"/>
      <c r="E691" s="10"/>
      <c r="F691" s="11"/>
      <c r="G691" s="2"/>
      <c r="H691" s="2"/>
      <c r="I691" s="2"/>
      <c r="J691" s="67"/>
    </row>
    <row r="692" spans="1:10" x14ac:dyDescent="0.35">
      <c r="A692" s="61">
        <v>688</v>
      </c>
      <c r="B692" s="2"/>
      <c r="C692" s="2"/>
      <c r="D692" s="2"/>
      <c r="E692" s="10"/>
      <c r="F692" s="11"/>
      <c r="G692" s="2"/>
      <c r="H692" s="2"/>
      <c r="I692" s="2"/>
      <c r="J692" s="67"/>
    </row>
    <row r="693" spans="1:10" x14ac:dyDescent="0.35">
      <c r="A693" s="61">
        <v>689</v>
      </c>
      <c r="B693" s="2"/>
      <c r="C693" s="2"/>
      <c r="D693" s="2"/>
      <c r="E693" s="10"/>
      <c r="F693" s="11"/>
      <c r="G693" s="2"/>
      <c r="H693" s="2"/>
      <c r="I693" s="2"/>
      <c r="J693" s="67"/>
    </row>
    <row r="694" spans="1:10" x14ac:dyDescent="0.35">
      <c r="A694" s="61">
        <v>690</v>
      </c>
      <c r="B694" s="2"/>
      <c r="C694" s="2"/>
      <c r="D694" s="2"/>
      <c r="E694" s="10"/>
      <c r="F694" s="11"/>
      <c r="G694" s="2"/>
      <c r="H694" s="2"/>
      <c r="I694" s="2"/>
      <c r="J694" s="67"/>
    </row>
    <row r="695" spans="1:10" x14ac:dyDescent="0.35">
      <c r="A695" s="61">
        <v>691</v>
      </c>
      <c r="B695" s="2"/>
      <c r="C695" s="2"/>
      <c r="D695" s="2"/>
      <c r="E695" s="10"/>
      <c r="F695" s="11"/>
      <c r="G695" s="2"/>
      <c r="H695" s="2"/>
      <c r="I695" s="2"/>
      <c r="J695" s="67"/>
    </row>
    <row r="696" spans="1:10" x14ac:dyDescent="0.35">
      <c r="A696" s="61">
        <v>692</v>
      </c>
      <c r="B696" s="2"/>
      <c r="C696" s="2"/>
      <c r="D696" s="2"/>
      <c r="E696" s="10"/>
      <c r="F696" s="11"/>
      <c r="G696" s="2"/>
      <c r="H696" s="2"/>
      <c r="I696" s="2"/>
      <c r="J696" s="67"/>
    </row>
    <row r="697" spans="1:10" x14ac:dyDescent="0.35">
      <c r="A697" s="61">
        <v>693</v>
      </c>
      <c r="B697" s="2"/>
      <c r="C697" s="2"/>
      <c r="D697" s="2"/>
      <c r="E697" s="10"/>
      <c r="F697" s="11"/>
      <c r="G697" s="2"/>
      <c r="H697" s="2"/>
      <c r="I697" s="2"/>
      <c r="J697" s="67"/>
    </row>
    <row r="698" spans="1:10" x14ac:dyDescent="0.35">
      <c r="A698" s="61">
        <v>694</v>
      </c>
      <c r="B698" s="2"/>
      <c r="C698" s="2"/>
      <c r="D698" s="2"/>
      <c r="E698" s="10"/>
      <c r="F698" s="11"/>
      <c r="G698" s="2"/>
      <c r="H698" s="2"/>
      <c r="I698" s="2"/>
      <c r="J698" s="67"/>
    </row>
    <row r="699" spans="1:10" x14ac:dyDescent="0.35">
      <c r="A699" s="61">
        <v>695</v>
      </c>
      <c r="B699" s="2"/>
      <c r="C699" s="2"/>
      <c r="D699" s="2"/>
      <c r="E699" s="10"/>
      <c r="F699" s="11"/>
      <c r="G699" s="2"/>
      <c r="H699" s="2"/>
      <c r="I699" s="2"/>
      <c r="J699" s="67"/>
    </row>
    <row r="700" spans="1:10" x14ac:dyDescent="0.35">
      <c r="A700" s="61">
        <v>696</v>
      </c>
      <c r="B700" s="2"/>
      <c r="C700" s="2"/>
      <c r="D700" s="2"/>
      <c r="E700" s="10"/>
      <c r="F700" s="11"/>
      <c r="G700" s="2"/>
      <c r="H700" s="2"/>
      <c r="I700" s="2"/>
      <c r="J700" s="67"/>
    </row>
    <row r="701" spans="1:10" x14ac:dyDescent="0.35">
      <c r="A701" s="61">
        <v>697</v>
      </c>
      <c r="B701" s="2"/>
      <c r="C701" s="2"/>
      <c r="D701" s="2"/>
      <c r="E701" s="10"/>
      <c r="F701" s="11"/>
      <c r="G701" s="2"/>
      <c r="H701" s="2"/>
      <c r="I701" s="2"/>
      <c r="J701" s="67"/>
    </row>
    <row r="702" spans="1:10" x14ac:dyDescent="0.35">
      <c r="A702" s="61">
        <v>698</v>
      </c>
      <c r="B702" s="2"/>
      <c r="C702" s="2"/>
      <c r="D702" s="2"/>
      <c r="E702" s="10"/>
      <c r="F702" s="11"/>
      <c r="G702" s="2"/>
      <c r="H702" s="2"/>
      <c r="I702" s="2"/>
      <c r="J702" s="67"/>
    </row>
    <row r="703" spans="1:10" x14ac:dyDescent="0.35">
      <c r="A703" s="61">
        <v>699</v>
      </c>
      <c r="B703" s="2"/>
      <c r="C703" s="2"/>
      <c r="D703" s="2"/>
      <c r="E703" s="10"/>
      <c r="F703" s="11"/>
      <c r="G703" s="2"/>
      <c r="H703" s="2"/>
      <c r="I703" s="2"/>
      <c r="J703" s="67"/>
    </row>
    <row r="704" spans="1:10" x14ac:dyDescent="0.35">
      <c r="A704" s="61">
        <v>700</v>
      </c>
      <c r="B704" s="2"/>
      <c r="C704" s="2"/>
      <c r="D704" s="2"/>
      <c r="E704" s="10"/>
      <c r="F704" s="11"/>
      <c r="G704" s="2"/>
      <c r="H704" s="2"/>
      <c r="I704" s="2"/>
      <c r="J704" s="67"/>
    </row>
    <row r="705" spans="1:10" x14ac:dyDescent="0.35">
      <c r="A705" s="61">
        <v>701</v>
      </c>
      <c r="B705" s="2"/>
      <c r="C705" s="2"/>
      <c r="D705" s="2"/>
      <c r="E705" s="10"/>
      <c r="F705" s="11"/>
      <c r="G705" s="2"/>
      <c r="H705" s="2"/>
      <c r="I705" s="2"/>
      <c r="J705" s="67"/>
    </row>
    <row r="706" spans="1:10" x14ac:dyDescent="0.35">
      <c r="A706" s="61">
        <v>702</v>
      </c>
      <c r="B706" s="2"/>
      <c r="C706" s="2"/>
      <c r="D706" s="2"/>
      <c r="E706" s="10"/>
      <c r="F706" s="11"/>
      <c r="G706" s="2"/>
      <c r="H706" s="2"/>
      <c r="I706" s="2"/>
      <c r="J706" s="67"/>
    </row>
    <row r="707" spans="1:10" x14ac:dyDescent="0.35">
      <c r="A707" s="61">
        <v>703</v>
      </c>
      <c r="B707" s="2"/>
      <c r="C707" s="2"/>
      <c r="D707" s="2"/>
      <c r="E707" s="10"/>
      <c r="F707" s="11"/>
      <c r="G707" s="2"/>
      <c r="H707" s="2"/>
      <c r="I707" s="2"/>
      <c r="J707" s="67"/>
    </row>
    <row r="708" spans="1:10" x14ac:dyDescent="0.35">
      <c r="A708" s="61">
        <v>704</v>
      </c>
      <c r="B708" s="2"/>
      <c r="C708" s="2"/>
      <c r="D708" s="2"/>
      <c r="E708" s="10"/>
      <c r="F708" s="11"/>
      <c r="G708" s="2"/>
      <c r="H708" s="2"/>
      <c r="I708" s="2"/>
      <c r="J708" s="67"/>
    </row>
    <row r="709" spans="1:10" x14ac:dyDescent="0.35">
      <c r="A709" s="61">
        <v>705</v>
      </c>
      <c r="B709" s="2"/>
      <c r="C709" s="2"/>
      <c r="D709" s="2"/>
      <c r="E709" s="10"/>
      <c r="F709" s="11"/>
      <c r="G709" s="2"/>
      <c r="H709" s="2"/>
      <c r="I709" s="2"/>
      <c r="J709" s="67"/>
    </row>
    <row r="710" spans="1:10" x14ac:dyDescent="0.35">
      <c r="A710" s="61">
        <v>706</v>
      </c>
      <c r="B710" s="2"/>
      <c r="C710" s="2"/>
      <c r="D710" s="2"/>
      <c r="E710" s="10"/>
      <c r="F710" s="11"/>
      <c r="G710" s="2"/>
      <c r="H710" s="2"/>
      <c r="I710" s="2"/>
      <c r="J710" s="67"/>
    </row>
    <row r="711" spans="1:10" x14ac:dyDescent="0.35">
      <c r="A711" s="61">
        <v>707</v>
      </c>
      <c r="B711" s="2"/>
      <c r="C711" s="2"/>
      <c r="D711" s="2"/>
      <c r="E711" s="10"/>
      <c r="F711" s="11"/>
      <c r="G711" s="2"/>
      <c r="H711" s="2"/>
      <c r="I711" s="2"/>
      <c r="J711" s="67"/>
    </row>
    <row r="712" spans="1:10" x14ac:dyDescent="0.35">
      <c r="A712" s="61">
        <v>708</v>
      </c>
      <c r="B712" s="2"/>
      <c r="C712" s="2"/>
      <c r="D712" s="2"/>
      <c r="E712" s="10"/>
      <c r="F712" s="11"/>
      <c r="G712" s="2"/>
      <c r="H712" s="2"/>
      <c r="I712" s="2"/>
      <c r="J712" s="67"/>
    </row>
    <row r="713" spans="1:10" x14ac:dyDescent="0.35">
      <c r="A713" s="61">
        <v>709</v>
      </c>
      <c r="B713" s="2"/>
      <c r="C713" s="2"/>
      <c r="D713" s="2"/>
      <c r="E713" s="10"/>
      <c r="F713" s="11"/>
      <c r="G713" s="2"/>
      <c r="H713" s="2"/>
      <c r="I713" s="2"/>
      <c r="J713" s="67"/>
    </row>
    <row r="714" spans="1:10" x14ac:dyDescent="0.35">
      <c r="A714" s="61">
        <v>710</v>
      </c>
      <c r="B714" s="2"/>
      <c r="C714" s="2"/>
      <c r="D714" s="2"/>
      <c r="E714" s="10"/>
      <c r="F714" s="11"/>
      <c r="G714" s="2"/>
      <c r="H714" s="2"/>
      <c r="I714" s="2"/>
      <c r="J714" s="67"/>
    </row>
    <row r="715" spans="1:10" x14ac:dyDescent="0.35">
      <c r="A715" s="61">
        <v>711</v>
      </c>
      <c r="B715" s="2"/>
      <c r="C715" s="2"/>
      <c r="D715" s="2"/>
      <c r="E715" s="10"/>
      <c r="F715" s="11"/>
      <c r="G715" s="2"/>
      <c r="H715" s="2"/>
      <c r="I715" s="2"/>
      <c r="J715" s="67"/>
    </row>
    <row r="716" spans="1:10" x14ac:dyDescent="0.35">
      <c r="A716" s="61">
        <v>712</v>
      </c>
      <c r="B716" s="2"/>
      <c r="C716" s="2"/>
      <c r="D716" s="2"/>
      <c r="E716" s="10"/>
      <c r="F716" s="11"/>
      <c r="G716" s="2"/>
      <c r="H716" s="2"/>
      <c r="I716" s="2"/>
      <c r="J716" s="67"/>
    </row>
    <row r="717" spans="1:10" x14ac:dyDescent="0.35">
      <c r="A717" s="61">
        <v>713</v>
      </c>
      <c r="B717" s="2"/>
      <c r="C717" s="2"/>
      <c r="D717" s="2"/>
      <c r="E717" s="10"/>
      <c r="F717" s="11"/>
      <c r="G717" s="2"/>
      <c r="H717" s="2"/>
      <c r="I717" s="2"/>
      <c r="J717" s="67"/>
    </row>
    <row r="718" spans="1:10" x14ac:dyDescent="0.35">
      <c r="A718" s="61">
        <v>714</v>
      </c>
      <c r="B718" s="2"/>
      <c r="C718" s="2"/>
      <c r="D718" s="2"/>
      <c r="E718" s="10"/>
      <c r="F718" s="11"/>
      <c r="G718" s="2"/>
      <c r="H718" s="2"/>
      <c r="I718" s="2"/>
      <c r="J718" s="67"/>
    </row>
    <row r="719" spans="1:10" x14ac:dyDescent="0.35">
      <c r="A719" s="61">
        <v>715</v>
      </c>
      <c r="B719" s="2"/>
      <c r="C719" s="2"/>
      <c r="D719" s="2"/>
      <c r="E719" s="10"/>
      <c r="F719" s="11"/>
      <c r="G719" s="2"/>
      <c r="H719" s="2"/>
      <c r="I719" s="2"/>
      <c r="J719" s="67"/>
    </row>
    <row r="720" spans="1:10" x14ac:dyDescent="0.35">
      <c r="A720" s="61">
        <v>716</v>
      </c>
      <c r="B720" s="2"/>
      <c r="C720" s="2"/>
      <c r="D720" s="2"/>
      <c r="E720" s="10"/>
      <c r="F720" s="11"/>
      <c r="G720" s="2"/>
      <c r="H720" s="2"/>
      <c r="I720" s="2"/>
      <c r="J720" s="67"/>
    </row>
    <row r="721" spans="1:10" x14ac:dyDescent="0.35">
      <c r="A721" s="61">
        <v>717</v>
      </c>
      <c r="B721" s="2"/>
      <c r="C721" s="2"/>
      <c r="D721" s="2"/>
      <c r="E721" s="10"/>
      <c r="F721" s="11"/>
      <c r="G721" s="2"/>
      <c r="H721" s="2"/>
      <c r="I721" s="2"/>
      <c r="J721" s="67"/>
    </row>
    <row r="722" spans="1:10" x14ac:dyDescent="0.35">
      <c r="A722" s="61">
        <v>718</v>
      </c>
      <c r="B722" s="2"/>
      <c r="C722" s="2"/>
      <c r="D722" s="2"/>
      <c r="E722" s="10"/>
      <c r="F722" s="11"/>
      <c r="G722" s="2"/>
      <c r="H722" s="2"/>
      <c r="I722" s="2"/>
      <c r="J722" s="67"/>
    </row>
    <row r="723" spans="1:10" x14ac:dyDescent="0.35">
      <c r="A723" s="61">
        <v>719</v>
      </c>
      <c r="B723" s="2"/>
      <c r="C723" s="2"/>
      <c r="D723" s="2"/>
      <c r="E723" s="10"/>
      <c r="F723" s="11"/>
      <c r="G723" s="2"/>
      <c r="H723" s="2"/>
      <c r="I723" s="2"/>
      <c r="J723" s="67"/>
    </row>
    <row r="724" spans="1:10" x14ac:dyDescent="0.35">
      <c r="A724" s="61">
        <v>720</v>
      </c>
      <c r="B724" s="2"/>
      <c r="C724" s="2"/>
      <c r="D724" s="2"/>
      <c r="E724" s="10"/>
      <c r="F724" s="11"/>
      <c r="G724" s="2"/>
      <c r="H724" s="2"/>
      <c r="I724" s="2"/>
      <c r="J724" s="67"/>
    </row>
    <row r="725" spans="1:10" x14ac:dyDescent="0.35">
      <c r="A725" s="61">
        <v>721</v>
      </c>
      <c r="B725" s="2"/>
      <c r="C725" s="2"/>
      <c r="D725" s="2"/>
      <c r="E725" s="10"/>
      <c r="F725" s="11"/>
      <c r="G725" s="2"/>
      <c r="H725" s="2"/>
      <c r="I725" s="2"/>
      <c r="J725" s="67"/>
    </row>
    <row r="726" spans="1:10" x14ac:dyDescent="0.35">
      <c r="A726" s="61">
        <v>722</v>
      </c>
      <c r="B726" s="2"/>
      <c r="C726" s="2"/>
      <c r="D726" s="2"/>
      <c r="E726" s="10"/>
      <c r="F726" s="11"/>
      <c r="G726" s="2"/>
      <c r="H726" s="2"/>
      <c r="I726" s="2"/>
      <c r="J726" s="67"/>
    </row>
    <row r="727" spans="1:10" x14ac:dyDescent="0.35">
      <c r="A727" s="61">
        <v>723</v>
      </c>
      <c r="B727" s="2"/>
      <c r="C727" s="2"/>
      <c r="D727" s="2"/>
      <c r="E727" s="10"/>
      <c r="F727" s="11"/>
      <c r="G727" s="2"/>
      <c r="H727" s="2"/>
      <c r="I727" s="2"/>
      <c r="J727" s="67"/>
    </row>
    <row r="728" spans="1:10" x14ac:dyDescent="0.35">
      <c r="A728" s="61">
        <v>724</v>
      </c>
      <c r="B728" s="2"/>
      <c r="C728" s="2"/>
      <c r="D728" s="2"/>
      <c r="E728" s="10"/>
      <c r="F728" s="11"/>
      <c r="G728" s="2"/>
      <c r="H728" s="2"/>
      <c r="I728" s="2"/>
      <c r="J728" s="67"/>
    </row>
    <row r="729" spans="1:10" x14ac:dyDescent="0.35">
      <c r="A729" s="61">
        <v>725</v>
      </c>
      <c r="B729" s="2"/>
      <c r="C729" s="2"/>
      <c r="D729" s="2"/>
      <c r="E729" s="10"/>
      <c r="F729" s="11"/>
      <c r="G729" s="2"/>
      <c r="H729" s="2"/>
      <c r="I729" s="2"/>
      <c r="J729" s="67"/>
    </row>
    <row r="730" spans="1:10" x14ac:dyDescent="0.35">
      <c r="A730" s="61">
        <v>726</v>
      </c>
      <c r="B730" s="2"/>
      <c r="C730" s="2"/>
      <c r="D730" s="2"/>
      <c r="E730" s="10"/>
      <c r="F730" s="11"/>
      <c r="G730" s="2"/>
      <c r="H730" s="2"/>
      <c r="I730" s="2"/>
      <c r="J730" s="67"/>
    </row>
    <row r="731" spans="1:10" x14ac:dyDescent="0.35">
      <c r="A731" s="61">
        <v>727</v>
      </c>
      <c r="B731" s="2"/>
      <c r="C731" s="2"/>
      <c r="D731" s="2"/>
      <c r="E731" s="10"/>
      <c r="F731" s="11"/>
      <c r="G731" s="2"/>
      <c r="H731" s="2"/>
      <c r="I731" s="2"/>
      <c r="J731" s="67"/>
    </row>
    <row r="732" spans="1:10" x14ac:dyDescent="0.35">
      <c r="A732" s="61">
        <v>728</v>
      </c>
      <c r="B732" s="2"/>
      <c r="C732" s="2"/>
      <c r="D732" s="2"/>
      <c r="E732" s="10"/>
      <c r="F732" s="11"/>
      <c r="G732" s="2"/>
      <c r="H732" s="2"/>
      <c r="I732" s="2"/>
      <c r="J732" s="67"/>
    </row>
    <row r="733" spans="1:10" x14ac:dyDescent="0.35">
      <c r="A733" s="61">
        <v>729</v>
      </c>
      <c r="B733" s="2"/>
      <c r="C733" s="2"/>
      <c r="D733" s="2"/>
      <c r="E733" s="10"/>
      <c r="F733" s="11"/>
      <c r="G733" s="2"/>
      <c r="H733" s="2"/>
      <c r="I733" s="2"/>
      <c r="J733" s="67"/>
    </row>
    <row r="734" spans="1:10" x14ac:dyDescent="0.35">
      <c r="A734" s="61">
        <v>730</v>
      </c>
      <c r="B734" s="2"/>
      <c r="C734" s="2"/>
      <c r="D734" s="2"/>
      <c r="E734" s="10"/>
      <c r="F734" s="11"/>
      <c r="G734" s="2"/>
      <c r="H734" s="2"/>
      <c r="I734" s="2"/>
      <c r="J734" s="67"/>
    </row>
    <row r="735" spans="1:10" x14ac:dyDescent="0.35">
      <c r="A735" s="61">
        <v>731</v>
      </c>
      <c r="B735" s="2"/>
      <c r="C735" s="2"/>
      <c r="D735" s="2"/>
      <c r="E735" s="10"/>
      <c r="F735" s="11"/>
      <c r="G735" s="2"/>
      <c r="H735" s="2"/>
      <c r="I735" s="2"/>
      <c r="J735" s="67"/>
    </row>
    <row r="736" spans="1:10" x14ac:dyDescent="0.35">
      <c r="A736" s="61">
        <v>732</v>
      </c>
      <c r="B736" s="2"/>
      <c r="C736" s="2"/>
      <c r="D736" s="2"/>
      <c r="E736" s="10"/>
      <c r="F736" s="11"/>
      <c r="G736" s="2"/>
      <c r="H736" s="2"/>
      <c r="I736" s="2"/>
      <c r="J736" s="67"/>
    </row>
    <row r="737" spans="1:10" x14ac:dyDescent="0.35">
      <c r="A737" s="61">
        <v>733</v>
      </c>
      <c r="B737" s="2"/>
      <c r="C737" s="2"/>
      <c r="D737" s="2"/>
      <c r="E737" s="10"/>
      <c r="F737" s="11"/>
      <c r="G737" s="2"/>
      <c r="H737" s="2"/>
      <c r="I737" s="2"/>
      <c r="J737" s="67"/>
    </row>
    <row r="738" spans="1:10" x14ac:dyDescent="0.35">
      <c r="A738" s="61">
        <v>734</v>
      </c>
      <c r="B738" s="2"/>
      <c r="C738" s="2"/>
      <c r="D738" s="2"/>
      <c r="E738" s="10"/>
      <c r="F738" s="11"/>
      <c r="G738" s="2"/>
      <c r="H738" s="2"/>
      <c r="I738" s="2"/>
      <c r="J738" s="67"/>
    </row>
    <row r="739" spans="1:10" x14ac:dyDescent="0.35">
      <c r="A739" s="61">
        <v>735</v>
      </c>
      <c r="B739" s="2"/>
      <c r="C739" s="2"/>
      <c r="D739" s="2"/>
      <c r="E739" s="10"/>
      <c r="F739" s="11"/>
      <c r="G739" s="2"/>
      <c r="H739" s="2"/>
      <c r="I739" s="2"/>
      <c r="J739" s="67"/>
    </row>
    <row r="740" spans="1:10" x14ac:dyDescent="0.35">
      <c r="A740" s="61">
        <v>736</v>
      </c>
      <c r="B740" s="2"/>
      <c r="C740" s="2"/>
      <c r="D740" s="2"/>
      <c r="E740" s="10"/>
      <c r="F740" s="11"/>
      <c r="G740" s="2"/>
      <c r="H740" s="2"/>
      <c r="I740" s="2"/>
      <c r="J740" s="67"/>
    </row>
    <row r="741" spans="1:10" x14ac:dyDescent="0.35">
      <c r="A741" s="61">
        <v>737</v>
      </c>
      <c r="B741" s="2"/>
      <c r="C741" s="2"/>
      <c r="D741" s="2"/>
      <c r="E741" s="10"/>
      <c r="F741" s="11"/>
      <c r="G741" s="2"/>
      <c r="H741" s="2"/>
      <c r="I741" s="2"/>
      <c r="J741" s="67"/>
    </row>
    <row r="742" spans="1:10" x14ac:dyDescent="0.35">
      <c r="A742" s="61">
        <v>738</v>
      </c>
      <c r="B742" s="2"/>
      <c r="C742" s="2"/>
      <c r="D742" s="2"/>
      <c r="E742" s="10"/>
      <c r="F742" s="11"/>
      <c r="G742" s="2"/>
      <c r="H742" s="2"/>
      <c r="I742" s="2"/>
      <c r="J742" s="67"/>
    </row>
    <row r="743" spans="1:10" x14ac:dyDescent="0.35">
      <c r="A743" s="61">
        <v>739</v>
      </c>
      <c r="B743" s="2"/>
      <c r="C743" s="2"/>
      <c r="D743" s="2"/>
      <c r="E743" s="10"/>
      <c r="F743" s="11"/>
      <c r="G743" s="2"/>
      <c r="H743" s="2"/>
      <c r="I743" s="2"/>
      <c r="J743" s="67"/>
    </row>
    <row r="744" spans="1:10" x14ac:dyDescent="0.35">
      <c r="A744" s="61">
        <v>740</v>
      </c>
      <c r="B744" s="2"/>
      <c r="C744" s="2"/>
      <c r="D744" s="2"/>
      <c r="E744" s="10"/>
      <c r="F744" s="11"/>
      <c r="G744" s="2"/>
      <c r="H744" s="2"/>
      <c r="I744" s="2"/>
      <c r="J744" s="67"/>
    </row>
    <row r="745" spans="1:10" x14ac:dyDescent="0.35">
      <c r="A745" s="61">
        <v>741</v>
      </c>
      <c r="B745" s="2"/>
      <c r="C745" s="2"/>
      <c r="D745" s="2"/>
      <c r="E745" s="10"/>
      <c r="F745" s="11"/>
      <c r="G745" s="2"/>
      <c r="H745" s="2"/>
      <c r="I745" s="2"/>
      <c r="J745" s="67"/>
    </row>
    <row r="746" spans="1:10" x14ac:dyDescent="0.35">
      <c r="A746" s="61">
        <v>742</v>
      </c>
      <c r="B746" s="2"/>
      <c r="C746" s="2"/>
      <c r="D746" s="2"/>
      <c r="E746" s="10"/>
      <c r="F746" s="11"/>
      <c r="G746" s="2"/>
      <c r="H746" s="2"/>
      <c r="I746" s="2"/>
      <c r="J746" s="67"/>
    </row>
    <row r="747" spans="1:10" x14ac:dyDescent="0.35">
      <c r="A747" s="61">
        <v>743</v>
      </c>
      <c r="B747" s="2"/>
      <c r="C747" s="2"/>
      <c r="D747" s="2"/>
      <c r="E747" s="10"/>
      <c r="F747" s="11"/>
      <c r="G747" s="2"/>
      <c r="H747" s="2"/>
      <c r="I747" s="2"/>
      <c r="J747" s="67"/>
    </row>
    <row r="748" spans="1:10" x14ac:dyDescent="0.35">
      <c r="A748" s="61">
        <v>744</v>
      </c>
      <c r="B748" s="2"/>
      <c r="C748" s="2"/>
      <c r="D748" s="2"/>
      <c r="E748" s="10"/>
      <c r="F748" s="11"/>
      <c r="G748" s="2"/>
      <c r="H748" s="2"/>
      <c r="I748" s="2"/>
      <c r="J748" s="67"/>
    </row>
    <row r="749" spans="1:10" x14ac:dyDescent="0.35">
      <c r="A749" s="61">
        <v>745</v>
      </c>
      <c r="B749" s="2"/>
      <c r="C749" s="2"/>
      <c r="D749" s="2"/>
      <c r="E749" s="10"/>
      <c r="F749" s="11"/>
      <c r="G749" s="2"/>
      <c r="H749" s="2"/>
      <c r="I749" s="2"/>
      <c r="J749" s="67"/>
    </row>
    <row r="750" spans="1:10" x14ac:dyDescent="0.35">
      <c r="A750" s="61">
        <v>746</v>
      </c>
      <c r="B750" s="2"/>
      <c r="C750" s="2"/>
      <c r="D750" s="2"/>
      <c r="E750" s="10"/>
      <c r="F750" s="11"/>
      <c r="G750" s="2"/>
      <c r="H750" s="2"/>
      <c r="I750" s="2"/>
      <c r="J750" s="67"/>
    </row>
    <row r="751" spans="1:10" x14ac:dyDescent="0.35">
      <c r="A751" s="61">
        <v>747</v>
      </c>
      <c r="B751" s="2"/>
      <c r="C751" s="2"/>
      <c r="D751" s="2"/>
      <c r="E751" s="10"/>
      <c r="F751" s="11"/>
      <c r="G751" s="2"/>
      <c r="H751" s="2"/>
      <c r="I751" s="2"/>
      <c r="J751" s="67"/>
    </row>
    <row r="752" spans="1:10" x14ac:dyDescent="0.35">
      <c r="A752" s="61">
        <v>748</v>
      </c>
      <c r="B752" s="2"/>
      <c r="C752" s="2"/>
      <c r="D752" s="2"/>
      <c r="E752" s="10"/>
      <c r="F752" s="11"/>
      <c r="G752" s="2"/>
      <c r="H752" s="2"/>
      <c r="I752" s="2"/>
      <c r="J752" s="67"/>
    </row>
    <row r="753" spans="1:10" x14ac:dyDescent="0.35">
      <c r="A753" s="61">
        <v>749</v>
      </c>
      <c r="B753" s="2"/>
      <c r="C753" s="2"/>
      <c r="D753" s="2"/>
      <c r="E753" s="10"/>
      <c r="F753" s="11"/>
      <c r="G753" s="2"/>
      <c r="H753" s="2"/>
      <c r="I753" s="2"/>
      <c r="J753" s="67"/>
    </row>
    <row r="754" spans="1:10" x14ac:dyDescent="0.35">
      <c r="A754" s="61">
        <v>750</v>
      </c>
      <c r="B754" s="2"/>
      <c r="C754" s="2"/>
      <c r="D754" s="2"/>
      <c r="E754" s="10"/>
      <c r="F754" s="11"/>
      <c r="G754" s="2"/>
      <c r="H754" s="2"/>
      <c r="I754" s="2"/>
      <c r="J754" s="67"/>
    </row>
    <row r="755" spans="1:10" x14ac:dyDescent="0.35">
      <c r="A755" s="61">
        <v>751</v>
      </c>
      <c r="B755" s="2"/>
      <c r="C755" s="2"/>
      <c r="D755" s="2"/>
      <c r="E755" s="10"/>
      <c r="F755" s="11"/>
      <c r="G755" s="2"/>
      <c r="H755" s="2"/>
      <c r="I755" s="2"/>
      <c r="J755" s="67"/>
    </row>
    <row r="756" spans="1:10" x14ac:dyDescent="0.35">
      <c r="A756" s="61">
        <v>752</v>
      </c>
      <c r="B756" s="2"/>
      <c r="C756" s="2"/>
      <c r="D756" s="2"/>
      <c r="E756" s="10"/>
      <c r="F756" s="11"/>
      <c r="G756" s="2"/>
      <c r="H756" s="2"/>
      <c r="I756" s="2"/>
      <c r="J756" s="67"/>
    </row>
    <row r="757" spans="1:10" x14ac:dyDescent="0.35">
      <c r="A757" s="61">
        <v>753</v>
      </c>
      <c r="B757" s="2"/>
      <c r="C757" s="2"/>
      <c r="D757" s="2"/>
      <c r="E757" s="10"/>
      <c r="F757" s="11"/>
      <c r="G757" s="2"/>
      <c r="H757" s="2"/>
      <c r="I757" s="2"/>
      <c r="J757" s="67"/>
    </row>
    <row r="758" spans="1:10" x14ac:dyDescent="0.35">
      <c r="A758" s="61">
        <v>754</v>
      </c>
      <c r="B758" s="2"/>
      <c r="C758" s="2"/>
      <c r="D758" s="2"/>
      <c r="E758" s="10"/>
      <c r="F758" s="11"/>
      <c r="G758" s="2"/>
      <c r="H758" s="2"/>
      <c r="I758" s="2"/>
      <c r="J758" s="67"/>
    </row>
    <row r="759" spans="1:10" x14ac:dyDescent="0.35">
      <c r="A759" s="61">
        <v>755</v>
      </c>
      <c r="B759" s="2"/>
      <c r="C759" s="2"/>
      <c r="D759" s="2"/>
      <c r="E759" s="10"/>
      <c r="F759" s="11"/>
      <c r="G759" s="2"/>
      <c r="H759" s="2"/>
      <c r="I759" s="2"/>
      <c r="J759" s="67"/>
    </row>
    <row r="760" spans="1:10" x14ac:dyDescent="0.35">
      <c r="A760" s="61">
        <v>756</v>
      </c>
      <c r="B760" s="2"/>
      <c r="C760" s="2"/>
      <c r="D760" s="2"/>
      <c r="E760" s="10"/>
      <c r="F760" s="11"/>
      <c r="G760" s="2"/>
      <c r="H760" s="2"/>
      <c r="I760" s="2"/>
      <c r="J760" s="67"/>
    </row>
    <row r="761" spans="1:10" x14ac:dyDescent="0.35">
      <c r="A761" s="61">
        <v>757</v>
      </c>
      <c r="B761" s="2"/>
      <c r="C761" s="2"/>
      <c r="D761" s="2"/>
      <c r="E761" s="10"/>
      <c r="F761" s="11"/>
      <c r="G761" s="2"/>
      <c r="H761" s="2"/>
      <c r="I761" s="2"/>
      <c r="J761" s="67"/>
    </row>
    <row r="762" spans="1:10" x14ac:dyDescent="0.35">
      <c r="A762" s="61">
        <v>758</v>
      </c>
      <c r="B762" s="2"/>
      <c r="C762" s="2"/>
      <c r="D762" s="2"/>
      <c r="E762" s="10"/>
      <c r="F762" s="11"/>
      <c r="G762" s="2"/>
      <c r="H762" s="2"/>
      <c r="I762" s="2"/>
      <c r="J762" s="67"/>
    </row>
    <row r="763" spans="1:10" x14ac:dyDescent="0.35">
      <c r="A763" s="61">
        <v>759</v>
      </c>
      <c r="B763" s="2"/>
      <c r="C763" s="2"/>
      <c r="D763" s="2"/>
      <c r="E763" s="10"/>
      <c r="F763" s="11"/>
      <c r="G763" s="2"/>
      <c r="H763" s="2"/>
      <c r="I763" s="2"/>
      <c r="J763" s="67"/>
    </row>
    <row r="764" spans="1:10" x14ac:dyDescent="0.35">
      <c r="A764" s="61">
        <v>760</v>
      </c>
      <c r="B764" s="2"/>
      <c r="C764" s="2"/>
      <c r="D764" s="2"/>
      <c r="E764" s="10"/>
      <c r="F764" s="11"/>
      <c r="G764" s="2"/>
      <c r="H764" s="2"/>
      <c r="I764" s="2"/>
      <c r="J764" s="67"/>
    </row>
    <row r="765" spans="1:10" x14ac:dyDescent="0.35">
      <c r="A765" s="61">
        <v>761</v>
      </c>
      <c r="B765" s="2"/>
      <c r="C765" s="2"/>
      <c r="D765" s="2"/>
      <c r="E765" s="10"/>
      <c r="F765" s="11"/>
      <c r="G765" s="2"/>
      <c r="H765" s="2"/>
      <c r="I765" s="2"/>
      <c r="J765" s="67"/>
    </row>
    <row r="766" spans="1:10" x14ac:dyDescent="0.35">
      <c r="A766" s="61">
        <v>762</v>
      </c>
      <c r="B766" s="2"/>
      <c r="C766" s="2"/>
      <c r="D766" s="2"/>
      <c r="E766" s="10"/>
      <c r="F766" s="11"/>
      <c r="G766" s="2"/>
      <c r="H766" s="2"/>
      <c r="I766" s="2"/>
      <c r="J766" s="67"/>
    </row>
    <row r="767" spans="1:10" x14ac:dyDescent="0.35">
      <c r="A767" s="61">
        <v>763</v>
      </c>
      <c r="B767" s="2"/>
      <c r="C767" s="2"/>
      <c r="D767" s="2"/>
      <c r="E767" s="10"/>
      <c r="F767" s="11"/>
      <c r="G767" s="2"/>
      <c r="H767" s="2"/>
      <c r="I767" s="2"/>
      <c r="J767" s="67"/>
    </row>
    <row r="768" spans="1:10" x14ac:dyDescent="0.35">
      <c r="A768" s="61">
        <v>764</v>
      </c>
      <c r="B768" s="2"/>
      <c r="C768" s="2"/>
      <c r="D768" s="2"/>
      <c r="E768" s="10"/>
      <c r="F768" s="11"/>
      <c r="G768" s="2"/>
      <c r="H768" s="2"/>
      <c r="I768" s="2"/>
      <c r="J768" s="67"/>
    </row>
    <row r="769" spans="1:10" x14ac:dyDescent="0.35">
      <c r="A769" s="61">
        <v>765</v>
      </c>
      <c r="B769" s="2"/>
      <c r="C769" s="2"/>
      <c r="D769" s="2"/>
      <c r="E769" s="10"/>
      <c r="F769" s="11"/>
      <c r="G769" s="2"/>
      <c r="H769" s="2"/>
      <c r="I769" s="2"/>
      <c r="J769" s="67"/>
    </row>
    <row r="770" spans="1:10" x14ac:dyDescent="0.35">
      <c r="A770" s="61">
        <v>766</v>
      </c>
      <c r="B770" s="2"/>
      <c r="C770" s="2"/>
      <c r="D770" s="2"/>
      <c r="E770" s="10"/>
      <c r="F770" s="11"/>
      <c r="G770" s="2"/>
      <c r="H770" s="2"/>
      <c r="I770" s="2"/>
      <c r="J770" s="67"/>
    </row>
    <row r="771" spans="1:10" x14ac:dyDescent="0.35">
      <c r="A771" s="61">
        <v>767</v>
      </c>
      <c r="B771" s="2"/>
      <c r="C771" s="2"/>
      <c r="D771" s="2"/>
      <c r="E771" s="10"/>
      <c r="F771" s="11"/>
      <c r="G771" s="2"/>
      <c r="H771" s="2"/>
      <c r="I771" s="2"/>
      <c r="J771" s="67"/>
    </row>
    <row r="772" spans="1:10" x14ac:dyDescent="0.35">
      <c r="A772" s="61">
        <v>768</v>
      </c>
      <c r="B772" s="2"/>
      <c r="C772" s="2"/>
      <c r="D772" s="2"/>
      <c r="E772" s="10"/>
      <c r="F772" s="11"/>
      <c r="G772" s="2"/>
      <c r="H772" s="2"/>
      <c r="I772" s="2"/>
      <c r="J772" s="67"/>
    </row>
    <row r="773" spans="1:10" x14ac:dyDescent="0.35">
      <c r="A773" s="61">
        <v>769</v>
      </c>
      <c r="B773" s="2"/>
      <c r="C773" s="2"/>
      <c r="D773" s="2"/>
      <c r="E773" s="10"/>
      <c r="F773" s="11"/>
      <c r="G773" s="2"/>
      <c r="H773" s="2"/>
      <c r="I773" s="2"/>
      <c r="J773" s="67"/>
    </row>
    <row r="774" spans="1:10" x14ac:dyDescent="0.35">
      <c r="A774" s="61">
        <v>770</v>
      </c>
      <c r="B774" s="2"/>
      <c r="C774" s="2"/>
      <c r="D774" s="2"/>
      <c r="E774" s="10"/>
      <c r="F774" s="11"/>
      <c r="G774" s="2"/>
      <c r="H774" s="2"/>
      <c r="I774" s="2"/>
      <c r="J774" s="67"/>
    </row>
    <row r="775" spans="1:10" x14ac:dyDescent="0.35">
      <c r="A775" s="61">
        <v>771</v>
      </c>
      <c r="B775" s="2"/>
      <c r="C775" s="2"/>
      <c r="D775" s="2"/>
      <c r="E775" s="10"/>
      <c r="F775" s="11"/>
      <c r="G775" s="2"/>
      <c r="H775" s="2"/>
      <c r="I775" s="2"/>
      <c r="J775" s="67"/>
    </row>
    <row r="776" spans="1:10" x14ac:dyDescent="0.35">
      <c r="A776" s="61">
        <v>772</v>
      </c>
      <c r="B776" s="2"/>
      <c r="C776" s="2"/>
      <c r="D776" s="2"/>
      <c r="E776" s="10"/>
      <c r="F776" s="11"/>
      <c r="G776" s="2"/>
      <c r="H776" s="2"/>
      <c r="I776" s="2"/>
      <c r="J776" s="67"/>
    </row>
    <row r="777" spans="1:10" x14ac:dyDescent="0.35">
      <c r="A777" s="61">
        <v>773</v>
      </c>
      <c r="B777" s="2"/>
      <c r="C777" s="2"/>
      <c r="D777" s="2"/>
      <c r="E777" s="10"/>
      <c r="F777" s="11"/>
      <c r="G777" s="2"/>
      <c r="H777" s="2"/>
      <c r="I777" s="2"/>
      <c r="J777" s="67"/>
    </row>
    <row r="778" spans="1:10" x14ac:dyDescent="0.35">
      <c r="A778" s="61">
        <v>774</v>
      </c>
      <c r="B778" s="2"/>
      <c r="C778" s="2"/>
      <c r="D778" s="2"/>
      <c r="E778" s="10"/>
      <c r="F778" s="11"/>
      <c r="G778" s="2"/>
      <c r="H778" s="2"/>
      <c r="I778" s="2"/>
      <c r="J778" s="67"/>
    </row>
    <row r="779" spans="1:10" x14ac:dyDescent="0.35">
      <c r="A779" s="61">
        <v>775</v>
      </c>
      <c r="B779" s="2"/>
      <c r="C779" s="2"/>
      <c r="D779" s="2"/>
      <c r="E779" s="10"/>
      <c r="F779" s="11"/>
      <c r="G779" s="2"/>
      <c r="H779" s="2"/>
      <c r="I779" s="2"/>
      <c r="J779" s="67"/>
    </row>
    <row r="780" spans="1:10" x14ac:dyDescent="0.35">
      <c r="A780" s="61">
        <v>776</v>
      </c>
      <c r="B780" s="2"/>
      <c r="C780" s="2"/>
      <c r="D780" s="2"/>
      <c r="E780" s="10"/>
      <c r="F780" s="11"/>
      <c r="G780" s="2"/>
      <c r="H780" s="2"/>
      <c r="I780" s="2"/>
      <c r="J780" s="67"/>
    </row>
    <row r="781" spans="1:10" x14ac:dyDescent="0.35">
      <c r="A781" s="61">
        <v>777</v>
      </c>
      <c r="B781" s="2"/>
      <c r="C781" s="2"/>
      <c r="D781" s="2"/>
      <c r="E781" s="10"/>
      <c r="F781" s="11"/>
      <c r="G781" s="2"/>
      <c r="H781" s="2"/>
      <c r="I781" s="2"/>
      <c r="J781" s="67"/>
    </row>
    <row r="782" spans="1:10" x14ac:dyDescent="0.35">
      <c r="A782" s="61">
        <v>778</v>
      </c>
      <c r="B782" s="2"/>
      <c r="C782" s="2"/>
      <c r="D782" s="2"/>
      <c r="E782" s="10"/>
      <c r="F782" s="11"/>
      <c r="G782" s="2"/>
      <c r="H782" s="2"/>
      <c r="I782" s="2"/>
      <c r="J782" s="67"/>
    </row>
    <row r="783" spans="1:10" x14ac:dyDescent="0.35">
      <c r="A783" s="61">
        <v>779</v>
      </c>
      <c r="B783" s="2"/>
      <c r="C783" s="2"/>
      <c r="D783" s="2"/>
      <c r="E783" s="10"/>
      <c r="F783" s="11"/>
      <c r="G783" s="2"/>
      <c r="H783" s="2"/>
      <c r="I783" s="2"/>
      <c r="J783" s="67"/>
    </row>
    <row r="784" spans="1:10" x14ac:dyDescent="0.35">
      <c r="A784" s="61">
        <v>780</v>
      </c>
      <c r="B784" s="2"/>
      <c r="C784" s="2"/>
      <c r="D784" s="2"/>
      <c r="E784" s="10"/>
      <c r="F784" s="11"/>
      <c r="G784" s="2"/>
      <c r="H784" s="2"/>
      <c r="I784" s="2"/>
      <c r="J784" s="67"/>
    </row>
    <row r="785" spans="1:10" x14ac:dyDescent="0.35">
      <c r="A785" s="61">
        <v>781</v>
      </c>
      <c r="B785" s="2"/>
      <c r="C785" s="2"/>
      <c r="D785" s="2"/>
      <c r="E785" s="10"/>
      <c r="F785" s="11"/>
      <c r="G785" s="2"/>
      <c r="H785" s="2"/>
      <c r="I785" s="2"/>
      <c r="J785" s="67"/>
    </row>
    <row r="786" spans="1:10" x14ac:dyDescent="0.35">
      <c r="A786" s="61">
        <v>782</v>
      </c>
      <c r="B786" s="2"/>
      <c r="C786" s="2"/>
      <c r="D786" s="2"/>
      <c r="E786" s="10"/>
      <c r="F786" s="11"/>
      <c r="G786" s="2"/>
      <c r="H786" s="2"/>
      <c r="I786" s="2"/>
      <c r="J786" s="67"/>
    </row>
    <row r="787" spans="1:10" x14ac:dyDescent="0.35">
      <c r="A787" s="61">
        <v>783</v>
      </c>
      <c r="B787" s="2"/>
      <c r="C787" s="2"/>
      <c r="D787" s="2"/>
      <c r="E787" s="10"/>
      <c r="F787" s="11"/>
      <c r="G787" s="2"/>
      <c r="H787" s="2"/>
      <c r="I787" s="2"/>
      <c r="J787" s="67"/>
    </row>
    <row r="788" spans="1:10" x14ac:dyDescent="0.35">
      <c r="A788" s="61">
        <v>784</v>
      </c>
      <c r="B788" s="2"/>
      <c r="C788" s="2"/>
      <c r="D788" s="2"/>
      <c r="E788" s="10"/>
      <c r="F788" s="11"/>
      <c r="G788" s="2"/>
      <c r="H788" s="2"/>
      <c r="I788" s="2"/>
      <c r="J788" s="67"/>
    </row>
    <row r="789" spans="1:10" x14ac:dyDescent="0.35">
      <c r="A789" s="61">
        <v>785</v>
      </c>
      <c r="B789" s="2"/>
      <c r="C789" s="2"/>
      <c r="D789" s="2"/>
      <c r="E789" s="10"/>
      <c r="F789" s="11"/>
      <c r="G789" s="2"/>
      <c r="H789" s="2"/>
      <c r="I789" s="2"/>
      <c r="J789" s="67"/>
    </row>
    <row r="790" spans="1:10" x14ac:dyDescent="0.35">
      <c r="A790" s="61">
        <v>786</v>
      </c>
      <c r="B790" s="2"/>
      <c r="C790" s="2"/>
      <c r="D790" s="2"/>
      <c r="E790" s="10"/>
      <c r="F790" s="11"/>
      <c r="G790" s="2"/>
      <c r="H790" s="2"/>
      <c r="I790" s="2"/>
      <c r="J790" s="67"/>
    </row>
    <row r="791" spans="1:10" x14ac:dyDescent="0.35">
      <c r="A791" s="61">
        <v>787</v>
      </c>
      <c r="B791" s="2"/>
      <c r="C791" s="2"/>
      <c r="D791" s="2"/>
      <c r="E791" s="10"/>
      <c r="F791" s="11"/>
      <c r="G791" s="2"/>
      <c r="H791" s="2"/>
      <c r="I791" s="2"/>
      <c r="J791" s="67"/>
    </row>
    <row r="792" spans="1:10" x14ac:dyDescent="0.35">
      <c r="A792" s="61">
        <v>788</v>
      </c>
      <c r="B792" s="2"/>
      <c r="C792" s="2"/>
      <c r="D792" s="2"/>
      <c r="E792" s="10"/>
      <c r="F792" s="11"/>
      <c r="G792" s="2"/>
      <c r="H792" s="2"/>
      <c r="I792" s="2"/>
      <c r="J792" s="67"/>
    </row>
    <row r="793" spans="1:10" x14ac:dyDescent="0.35">
      <c r="A793" s="61">
        <v>789</v>
      </c>
      <c r="B793" s="2"/>
      <c r="C793" s="2"/>
      <c r="D793" s="2"/>
      <c r="E793" s="10"/>
      <c r="F793" s="11"/>
      <c r="G793" s="2"/>
      <c r="H793" s="2"/>
      <c r="I793" s="2"/>
      <c r="J793" s="67"/>
    </row>
    <row r="794" spans="1:10" x14ac:dyDescent="0.35">
      <c r="A794" s="61">
        <v>790</v>
      </c>
      <c r="B794" s="2"/>
      <c r="C794" s="2"/>
      <c r="D794" s="2"/>
      <c r="E794" s="10"/>
      <c r="F794" s="11"/>
      <c r="G794" s="2"/>
      <c r="H794" s="2"/>
      <c r="I794" s="2"/>
      <c r="J794" s="67"/>
    </row>
    <row r="795" spans="1:10" x14ac:dyDescent="0.35">
      <c r="A795" s="61">
        <v>791</v>
      </c>
      <c r="B795" s="2"/>
      <c r="C795" s="2"/>
      <c r="D795" s="2"/>
      <c r="E795" s="10"/>
      <c r="F795" s="11"/>
      <c r="G795" s="2"/>
      <c r="H795" s="2"/>
      <c r="I795" s="2"/>
      <c r="J795" s="67"/>
    </row>
    <row r="796" spans="1:10" x14ac:dyDescent="0.35">
      <c r="A796" s="61">
        <v>792</v>
      </c>
      <c r="B796" s="2"/>
      <c r="C796" s="2"/>
      <c r="D796" s="2"/>
      <c r="E796" s="10"/>
      <c r="F796" s="11"/>
      <c r="G796" s="2"/>
      <c r="H796" s="2"/>
      <c r="I796" s="2"/>
      <c r="J796" s="67"/>
    </row>
    <row r="797" spans="1:10" x14ac:dyDescent="0.35">
      <c r="A797" s="61">
        <v>793</v>
      </c>
      <c r="B797" s="2"/>
      <c r="C797" s="2"/>
      <c r="D797" s="2"/>
      <c r="E797" s="10"/>
      <c r="F797" s="11"/>
      <c r="G797" s="2"/>
      <c r="H797" s="2"/>
      <c r="I797" s="2"/>
      <c r="J797" s="67"/>
    </row>
    <row r="798" spans="1:10" x14ac:dyDescent="0.35">
      <c r="A798" s="61">
        <v>794</v>
      </c>
      <c r="B798" s="2"/>
      <c r="C798" s="2"/>
      <c r="D798" s="2"/>
      <c r="E798" s="10"/>
      <c r="F798" s="11"/>
      <c r="G798" s="2"/>
      <c r="H798" s="2"/>
      <c r="I798" s="2"/>
      <c r="J798" s="67"/>
    </row>
    <row r="799" spans="1:10" x14ac:dyDescent="0.35">
      <c r="A799" s="61">
        <v>795</v>
      </c>
      <c r="B799" s="2"/>
      <c r="C799" s="2"/>
      <c r="D799" s="2"/>
      <c r="E799" s="10"/>
      <c r="F799" s="11"/>
      <c r="G799" s="2"/>
      <c r="H799" s="2"/>
      <c r="I799" s="2"/>
      <c r="J799" s="67"/>
    </row>
    <row r="800" spans="1:10" x14ac:dyDescent="0.35">
      <c r="A800" s="61">
        <v>796</v>
      </c>
      <c r="B800" s="2"/>
      <c r="C800" s="2"/>
      <c r="D800" s="2"/>
      <c r="E800" s="10"/>
      <c r="F800" s="11"/>
      <c r="G800" s="2"/>
      <c r="H800" s="2"/>
      <c r="I800" s="2"/>
      <c r="J800" s="67"/>
    </row>
    <row r="801" spans="1:10" x14ac:dyDescent="0.35">
      <c r="A801" s="61">
        <v>797</v>
      </c>
      <c r="B801" s="2"/>
      <c r="C801" s="2"/>
      <c r="D801" s="2"/>
      <c r="E801" s="10"/>
      <c r="F801" s="11"/>
      <c r="G801" s="2"/>
      <c r="H801" s="2"/>
      <c r="I801" s="2"/>
      <c r="J801" s="67"/>
    </row>
    <row r="802" spans="1:10" x14ac:dyDescent="0.35">
      <c r="A802" s="61">
        <v>798</v>
      </c>
      <c r="B802" s="2"/>
      <c r="C802" s="2"/>
      <c r="D802" s="2"/>
      <c r="E802" s="10"/>
      <c r="F802" s="11"/>
      <c r="G802" s="2"/>
      <c r="H802" s="2"/>
      <c r="I802" s="2"/>
      <c r="J802" s="67"/>
    </row>
    <row r="803" spans="1:10" x14ac:dyDescent="0.35">
      <c r="A803" s="61">
        <v>799</v>
      </c>
      <c r="B803" s="2"/>
      <c r="C803" s="2"/>
      <c r="D803" s="2"/>
      <c r="E803" s="10"/>
      <c r="F803" s="11"/>
      <c r="G803" s="2"/>
      <c r="H803" s="2"/>
      <c r="I803" s="2"/>
      <c r="J803" s="67"/>
    </row>
    <row r="804" spans="1:10" x14ac:dyDescent="0.35">
      <c r="A804" s="61">
        <v>800</v>
      </c>
      <c r="B804" s="2"/>
      <c r="C804" s="2"/>
      <c r="D804" s="2"/>
      <c r="E804" s="10"/>
      <c r="F804" s="11"/>
      <c r="G804" s="2"/>
      <c r="H804" s="2"/>
      <c r="I804" s="2"/>
      <c r="J804" s="67"/>
    </row>
    <row r="805" spans="1:10" x14ac:dyDescent="0.35">
      <c r="A805" s="61">
        <v>801</v>
      </c>
      <c r="B805" s="2"/>
      <c r="C805" s="2"/>
      <c r="D805" s="2"/>
      <c r="E805" s="10"/>
      <c r="F805" s="11"/>
      <c r="G805" s="2"/>
      <c r="H805" s="2"/>
      <c r="I805" s="2"/>
      <c r="J805" s="67"/>
    </row>
    <row r="806" spans="1:10" x14ac:dyDescent="0.35">
      <c r="A806" s="61">
        <v>802</v>
      </c>
      <c r="B806" s="2"/>
      <c r="C806" s="2"/>
      <c r="D806" s="2"/>
      <c r="E806" s="10"/>
      <c r="F806" s="11"/>
      <c r="G806" s="2"/>
      <c r="H806" s="2"/>
      <c r="I806" s="2"/>
      <c r="J806" s="67"/>
    </row>
    <row r="807" spans="1:10" x14ac:dyDescent="0.35">
      <c r="A807" s="61">
        <v>803</v>
      </c>
      <c r="B807" s="2"/>
      <c r="C807" s="2"/>
      <c r="D807" s="2"/>
      <c r="E807" s="10"/>
      <c r="F807" s="11"/>
      <c r="G807" s="2"/>
      <c r="H807" s="2"/>
      <c r="I807" s="2"/>
      <c r="J807" s="67"/>
    </row>
    <row r="808" spans="1:10" x14ac:dyDescent="0.35">
      <c r="A808" s="61">
        <v>804</v>
      </c>
      <c r="B808" s="2"/>
      <c r="C808" s="2"/>
      <c r="D808" s="2"/>
      <c r="E808" s="10"/>
      <c r="F808" s="11"/>
      <c r="G808" s="2"/>
      <c r="H808" s="2"/>
      <c r="I808" s="2"/>
      <c r="J808" s="67"/>
    </row>
    <row r="809" spans="1:10" x14ac:dyDescent="0.35">
      <c r="A809" s="61">
        <v>805</v>
      </c>
      <c r="B809" s="2"/>
      <c r="C809" s="2"/>
      <c r="D809" s="2"/>
      <c r="E809" s="10"/>
      <c r="F809" s="11"/>
      <c r="G809" s="2"/>
      <c r="H809" s="2"/>
      <c r="I809" s="2"/>
      <c r="J809" s="67"/>
    </row>
    <row r="810" spans="1:10" x14ac:dyDescent="0.35">
      <c r="A810" s="61">
        <v>806</v>
      </c>
      <c r="B810" s="2"/>
      <c r="C810" s="2"/>
      <c r="D810" s="2"/>
      <c r="E810" s="10"/>
      <c r="F810" s="11"/>
      <c r="G810" s="2"/>
      <c r="H810" s="2"/>
      <c r="I810" s="2"/>
      <c r="J810" s="67"/>
    </row>
    <row r="811" spans="1:10" x14ac:dyDescent="0.35">
      <c r="A811" s="61">
        <v>807</v>
      </c>
      <c r="B811" s="2"/>
      <c r="C811" s="2"/>
      <c r="D811" s="2"/>
      <c r="E811" s="10"/>
      <c r="F811" s="11"/>
      <c r="G811" s="2"/>
      <c r="H811" s="2"/>
      <c r="I811" s="2"/>
      <c r="J811" s="67"/>
    </row>
    <row r="812" spans="1:10" x14ac:dyDescent="0.35">
      <c r="A812" s="61">
        <v>808</v>
      </c>
      <c r="B812" s="2"/>
      <c r="C812" s="2"/>
      <c r="D812" s="2"/>
      <c r="E812" s="10"/>
      <c r="F812" s="11"/>
      <c r="G812" s="2"/>
      <c r="H812" s="2"/>
      <c r="I812" s="2"/>
      <c r="J812" s="67"/>
    </row>
    <row r="813" spans="1:10" x14ac:dyDescent="0.35">
      <c r="A813" s="61">
        <v>809</v>
      </c>
      <c r="B813" s="2"/>
      <c r="C813" s="2"/>
      <c r="D813" s="2"/>
      <c r="E813" s="10"/>
      <c r="F813" s="11"/>
      <c r="G813" s="2"/>
      <c r="H813" s="2"/>
      <c r="I813" s="2"/>
      <c r="J813" s="67"/>
    </row>
    <row r="814" spans="1:10" x14ac:dyDescent="0.35">
      <c r="A814" s="61">
        <v>810</v>
      </c>
      <c r="B814" s="2"/>
      <c r="C814" s="2"/>
      <c r="D814" s="2"/>
      <c r="E814" s="10"/>
      <c r="F814" s="11"/>
      <c r="G814" s="2"/>
      <c r="H814" s="2"/>
      <c r="I814" s="2"/>
      <c r="J814" s="67"/>
    </row>
    <row r="815" spans="1:10" x14ac:dyDescent="0.35">
      <c r="A815" s="61">
        <v>811</v>
      </c>
      <c r="B815" s="2"/>
      <c r="C815" s="2"/>
      <c r="D815" s="2"/>
      <c r="E815" s="10"/>
      <c r="F815" s="11"/>
      <c r="G815" s="2"/>
      <c r="H815" s="2"/>
      <c r="I815" s="2"/>
      <c r="J815" s="67"/>
    </row>
    <row r="816" spans="1:10" x14ac:dyDescent="0.35">
      <c r="A816" s="61">
        <v>812</v>
      </c>
      <c r="B816" s="2"/>
      <c r="C816" s="2"/>
      <c r="D816" s="2"/>
      <c r="E816" s="10"/>
      <c r="F816" s="11"/>
      <c r="G816" s="2"/>
      <c r="H816" s="2"/>
      <c r="I816" s="2"/>
      <c r="J816" s="67"/>
    </row>
    <row r="817" spans="1:10" x14ac:dyDescent="0.35">
      <c r="A817" s="61">
        <v>813</v>
      </c>
      <c r="B817" s="2"/>
      <c r="C817" s="2"/>
      <c r="D817" s="2"/>
      <c r="E817" s="10"/>
      <c r="F817" s="11"/>
      <c r="G817" s="2"/>
      <c r="H817" s="2"/>
      <c r="I817" s="2"/>
      <c r="J817" s="67"/>
    </row>
    <row r="818" spans="1:10" x14ac:dyDescent="0.35">
      <c r="A818" s="61">
        <v>814</v>
      </c>
      <c r="B818" s="2"/>
      <c r="C818" s="2"/>
      <c r="D818" s="2"/>
      <c r="E818" s="10"/>
      <c r="F818" s="11"/>
      <c r="G818" s="2"/>
      <c r="H818" s="2"/>
      <c r="I818" s="2"/>
      <c r="J818" s="67"/>
    </row>
    <row r="819" spans="1:10" x14ac:dyDescent="0.35">
      <c r="A819" s="61">
        <v>815</v>
      </c>
      <c r="B819" s="2"/>
      <c r="C819" s="2"/>
      <c r="D819" s="2"/>
      <c r="E819" s="10"/>
      <c r="F819" s="11"/>
      <c r="G819" s="2"/>
      <c r="H819" s="2"/>
      <c r="I819" s="2"/>
      <c r="J819" s="67"/>
    </row>
    <row r="820" spans="1:10" x14ac:dyDescent="0.35">
      <c r="A820" s="61">
        <v>816</v>
      </c>
      <c r="B820" s="2"/>
      <c r="C820" s="2"/>
      <c r="D820" s="2"/>
      <c r="E820" s="10"/>
      <c r="F820" s="11"/>
      <c r="G820" s="2"/>
      <c r="H820" s="2"/>
      <c r="I820" s="2"/>
      <c r="J820" s="67"/>
    </row>
    <row r="821" spans="1:10" x14ac:dyDescent="0.35">
      <c r="A821" s="61">
        <v>817</v>
      </c>
      <c r="B821" s="2"/>
      <c r="C821" s="2"/>
      <c r="D821" s="2"/>
      <c r="E821" s="10"/>
      <c r="F821" s="11"/>
      <c r="G821" s="2"/>
      <c r="H821" s="2"/>
      <c r="I821" s="2"/>
      <c r="J821" s="67"/>
    </row>
    <row r="822" spans="1:10" x14ac:dyDescent="0.35">
      <c r="A822" s="61">
        <v>818</v>
      </c>
      <c r="B822" s="2"/>
      <c r="C822" s="2"/>
      <c r="D822" s="2"/>
      <c r="E822" s="10"/>
      <c r="F822" s="11"/>
      <c r="G822" s="2"/>
      <c r="H822" s="2"/>
      <c r="I822" s="2"/>
      <c r="J822" s="67"/>
    </row>
    <row r="823" spans="1:10" x14ac:dyDescent="0.35">
      <c r="A823" s="61">
        <v>819</v>
      </c>
      <c r="B823" s="2"/>
      <c r="C823" s="2"/>
      <c r="D823" s="2"/>
      <c r="E823" s="10"/>
      <c r="F823" s="11"/>
      <c r="G823" s="2"/>
      <c r="H823" s="2"/>
      <c r="I823" s="2"/>
      <c r="J823" s="67"/>
    </row>
    <row r="824" spans="1:10" x14ac:dyDescent="0.35">
      <c r="A824" s="61">
        <v>820</v>
      </c>
      <c r="B824" s="2"/>
      <c r="C824" s="2"/>
      <c r="D824" s="2"/>
      <c r="E824" s="10"/>
      <c r="F824" s="11"/>
      <c r="G824" s="2"/>
      <c r="H824" s="2"/>
      <c r="I824" s="2"/>
      <c r="J824" s="67"/>
    </row>
    <row r="825" spans="1:10" x14ac:dyDescent="0.35">
      <c r="A825" s="61">
        <v>821</v>
      </c>
      <c r="B825" s="2"/>
      <c r="C825" s="2"/>
      <c r="D825" s="2"/>
      <c r="E825" s="10"/>
      <c r="F825" s="11"/>
      <c r="G825" s="2"/>
      <c r="H825" s="2"/>
      <c r="I825" s="2"/>
      <c r="J825" s="67"/>
    </row>
    <row r="826" spans="1:10" x14ac:dyDescent="0.35">
      <c r="A826" s="61">
        <v>822</v>
      </c>
      <c r="B826" s="2"/>
      <c r="C826" s="2"/>
      <c r="D826" s="2"/>
      <c r="E826" s="10"/>
      <c r="F826" s="11"/>
      <c r="G826" s="2"/>
      <c r="H826" s="2"/>
      <c r="I826" s="2"/>
      <c r="J826" s="67"/>
    </row>
    <row r="827" spans="1:10" x14ac:dyDescent="0.35">
      <c r="A827" s="61">
        <v>823</v>
      </c>
      <c r="B827" s="2"/>
      <c r="C827" s="2"/>
      <c r="D827" s="2"/>
      <c r="E827" s="10"/>
      <c r="F827" s="11"/>
      <c r="G827" s="2"/>
      <c r="H827" s="2"/>
      <c r="I827" s="2"/>
      <c r="J827" s="67"/>
    </row>
    <row r="828" spans="1:10" x14ac:dyDescent="0.35">
      <c r="A828" s="61">
        <v>824</v>
      </c>
      <c r="B828" s="2"/>
      <c r="C828" s="2"/>
      <c r="D828" s="2"/>
      <c r="E828" s="10"/>
      <c r="F828" s="11"/>
      <c r="G828" s="2"/>
      <c r="H828" s="2"/>
      <c r="I828" s="2"/>
      <c r="J828" s="67"/>
    </row>
    <row r="829" spans="1:10" x14ac:dyDescent="0.35">
      <c r="A829" s="61">
        <v>825</v>
      </c>
      <c r="B829" s="2"/>
      <c r="C829" s="2"/>
      <c r="D829" s="2"/>
      <c r="E829" s="10"/>
      <c r="F829" s="11"/>
      <c r="G829" s="2"/>
      <c r="H829" s="2"/>
      <c r="I829" s="2"/>
      <c r="J829" s="67"/>
    </row>
    <row r="830" spans="1:10" x14ac:dyDescent="0.35">
      <c r="A830" s="61">
        <v>826</v>
      </c>
      <c r="B830" s="2"/>
      <c r="C830" s="2"/>
      <c r="D830" s="2"/>
      <c r="E830" s="10"/>
      <c r="F830" s="11"/>
      <c r="G830" s="2"/>
      <c r="H830" s="2"/>
      <c r="I830" s="2"/>
      <c r="J830" s="67"/>
    </row>
    <row r="831" spans="1:10" x14ac:dyDescent="0.35">
      <c r="A831" s="61">
        <v>827</v>
      </c>
      <c r="B831" s="2"/>
      <c r="C831" s="2"/>
      <c r="D831" s="2"/>
      <c r="E831" s="10"/>
      <c r="F831" s="11"/>
      <c r="G831" s="2"/>
      <c r="H831" s="2"/>
      <c r="I831" s="2"/>
      <c r="J831" s="67"/>
    </row>
    <row r="832" spans="1:10" x14ac:dyDescent="0.35">
      <c r="A832" s="61">
        <v>828</v>
      </c>
      <c r="B832" s="2"/>
      <c r="C832" s="2"/>
      <c r="D832" s="2"/>
      <c r="E832" s="10"/>
      <c r="F832" s="11"/>
      <c r="G832" s="2"/>
      <c r="H832" s="2"/>
      <c r="I832" s="2"/>
      <c r="J832" s="67"/>
    </row>
    <row r="833" spans="1:10" x14ac:dyDescent="0.35">
      <c r="A833" s="61">
        <v>829</v>
      </c>
      <c r="B833" s="2"/>
      <c r="C833" s="2"/>
      <c r="D833" s="2"/>
      <c r="E833" s="10"/>
      <c r="F833" s="11"/>
      <c r="G833" s="2"/>
      <c r="H833" s="2"/>
      <c r="I833" s="2"/>
      <c r="J833" s="67"/>
    </row>
    <row r="834" spans="1:10" x14ac:dyDescent="0.35">
      <c r="A834" s="61">
        <v>830</v>
      </c>
      <c r="B834" s="2"/>
      <c r="C834" s="2"/>
      <c r="D834" s="2"/>
      <c r="E834" s="10"/>
      <c r="F834" s="11"/>
      <c r="G834" s="2"/>
      <c r="H834" s="2"/>
      <c r="I834" s="2"/>
      <c r="J834" s="67"/>
    </row>
    <row r="835" spans="1:10" x14ac:dyDescent="0.35">
      <c r="A835" s="61">
        <v>831</v>
      </c>
      <c r="B835" s="2"/>
      <c r="C835" s="2"/>
      <c r="D835" s="2"/>
      <c r="E835" s="10"/>
      <c r="F835" s="11"/>
      <c r="G835" s="2"/>
      <c r="H835" s="2"/>
      <c r="I835" s="2"/>
      <c r="J835" s="67"/>
    </row>
    <row r="836" spans="1:10" x14ac:dyDescent="0.35">
      <c r="A836" s="61">
        <v>832</v>
      </c>
      <c r="B836" s="2"/>
      <c r="C836" s="2"/>
      <c r="D836" s="2"/>
      <c r="E836" s="10"/>
      <c r="F836" s="11"/>
      <c r="G836" s="2"/>
      <c r="H836" s="2"/>
      <c r="I836" s="2"/>
      <c r="J836" s="67"/>
    </row>
    <row r="837" spans="1:10" x14ac:dyDescent="0.35">
      <c r="A837" s="61">
        <v>833</v>
      </c>
      <c r="B837" s="2"/>
      <c r="C837" s="2"/>
      <c r="D837" s="2"/>
      <c r="E837" s="10"/>
      <c r="F837" s="11"/>
      <c r="G837" s="2"/>
      <c r="H837" s="2"/>
      <c r="I837" s="2"/>
      <c r="J837" s="67"/>
    </row>
    <row r="838" spans="1:10" x14ac:dyDescent="0.35">
      <c r="A838" s="61">
        <v>834</v>
      </c>
      <c r="B838" s="2"/>
      <c r="C838" s="2"/>
      <c r="D838" s="2"/>
      <c r="E838" s="10"/>
      <c r="F838" s="11"/>
      <c r="G838" s="2"/>
      <c r="H838" s="2"/>
      <c r="I838" s="2"/>
      <c r="J838" s="67"/>
    </row>
    <row r="839" spans="1:10" x14ac:dyDescent="0.35">
      <c r="A839" s="61">
        <v>835</v>
      </c>
      <c r="B839" s="2"/>
      <c r="C839" s="2"/>
      <c r="D839" s="2"/>
      <c r="E839" s="10"/>
      <c r="F839" s="11"/>
      <c r="G839" s="2"/>
      <c r="H839" s="2"/>
      <c r="I839" s="2"/>
      <c r="J839" s="67"/>
    </row>
    <row r="840" spans="1:10" x14ac:dyDescent="0.35">
      <c r="A840" s="61">
        <v>836</v>
      </c>
      <c r="B840" s="2"/>
      <c r="C840" s="2"/>
      <c r="D840" s="2"/>
      <c r="E840" s="10"/>
      <c r="F840" s="11"/>
      <c r="G840" s="2"/>
      <c r="H840" s="2"/>
      <c r="I840" s="2"/>
      <c r="J840" s="67"/>
    </row>
    <row r="841" spans="1:10" x14ac:dyDescent="0.35">
      <c r="A841" s="61">
        <v>837</v>
      </c>
      <c r="B841" s="2"/>
      <c r="C841" s="2"/>
      <c r="D841" s="2"/>
      <c r="E841" s="10"/>
      <c r="F841" s="11"/>
      <c r="G841" s="2"/>
      <c r="H841" s="2"/>
      <c r="I841" s="2"/>
      <c r="J841" s="67"/>
    </row>
    <row r="842" spans="1:10" x14ac:dyDescent="0.35">
      <c r="A842" s="61">
        <v>838</v>
      </c>
      <c r="B842" s="2"/>
      <c r="C842" s="2"/>
      <c r="D842" s="2"/>
      <c r="E842" s="10"/>
      <c r="F842" s="11"/>
      <c r="G842" s="2"/>
      <c r="H842" s="2"/>
      <c r="I842" s="2"/>
      <c r="J842" s="67"/>
    </row>
    <row r="843" spans="1:10" x14ac:dyDescent="0.35">
      <c r="A843" s="61">
        <v>839</v>
      </c>
      <c r="B843" s="2"/>
      <c r="C843" s="2"/>
      <c r="D843" s="2"/>
      <c r="E843" s="10"/>
      <c r="F843" s="11"/>
      <c r="G843" s="2"/>
      <c r="H843" s="2"/>
      <c r="I843" s="2"/>
      <c r="J843" s="67"/>
    </row>
    <row r="844" spans="1:10" x14ac:dyDescent="0.35">
      <c r="A844" s="61">
        <v>840</v>
      </c>
      <c r="B844" s="2"/>
      <c r="C844" s="2"/>
      <c r="D844" s="2"/>
      <c r="E844" s="10"/>
      <c r="F844" s="11"/>
      <c r="G844" s="2"/>
      <c r="H844" s="2"/>
      <c r="I844" s="2"/>
      <c r="J844" s="67"/>
    </row>
    <row r="845" spans="1:10" x14ac:dyDescent="0.35">
      <c r="A845" s="61">
        <v>841</v>
      </c>
      <c r="B845" s="2"/>
      <c r="C845" s="2"/>
      <c r="D845" s="2"/>
      <c r="E845" s="10"/>
      <c r="F845" s="11"/>
      <c r="G845" s="2"/>
      <c r="H845" s="2"/>
      <c r="I845" s="2"/>
      <c r="J845" s="67"/>
    </row>
    <row r="846" spans="1:10" x14ac:dyDescent="0.35">
      <c r="A846" s="61">
        <v>842</v>
      </c>
      <c r="B846" s="2"/>
      <c r="C846" s="2"/>
      <c r="D846" s="2"/>
      <c r="E846" s="10"/>
      <c r="F846" s="11"/>
      <c r="G846" s="2"/>
      <c r="H846" s="2"/>
      <c r="I846" s="2"/>
      <c r="J846" s="67"/>
    </row>
    <row r="847" spans="1:10" x14ac:dyDescent="0.35">
      <c r="A847" s="61">
        <v>843</v>
      </c>
      <c r="B847" s="2"/>
      <c r="C847" s="2"/>
      <c r="D847" s="2"/>
      <c r="E847" s="10"/>
      <c r="F847" s="11"/>
      <c r="G847" s="2"/>
      <c r="H847" s="2"/>
      <c r="I847" s="2"/>
      <c r="J847" s="67"/>
    </row>
    <row r="848" spans="1:10" x14ac:dyDescent="0.35">
      <c r="A848" s="61">
        <v>844</v>
      </c>
      <c r="B848" s="2"/>
      <c r="C848" s="2"/>
      <c r="D848" s="2"/>
      <c r="E848" s="10"/>
      <c r="F848" s="11"/>
      <c r="G848" s="2"/>
      <c r="H848" s="2"/>
      <c r="I848" s="2"/>
      <c r="J848" s="67"/>
    </row>
    <row r="849" spans="1:10" x14ac:dyDescent="0.35">
      <c r="A849" s="61">
        <v>845</v>
      </c>
      <c r="B849" s="2"/>
      <c r="C849" s="2"/>
      <c r="D849" s="2"/>
      <c r="E849" s="10"/>
      <c r="F849" s="11"/>
      <c r="G849" s="2"/>
      <c r="H849" s="2"/>
      <c r="I849" s="2"/>
      <c r="J849" s="67"/>
    </row>
    <row r="850" spans="1:10" x14ac:dyDescent="0.35">
      <c r="A850" s="61">
        <v>846</v>
      </c>
      <c r="B850" s="2"/>
      <c r="C850" s="2"/>
      <c r="D850" s="2"/>
      <c r="E850" s="10"/>
      <c r="F850" s="11"/>
      <c r="G850" s="2"/>
      <c r="H850" s="2"/>
      <c r="I850" s="2"/>
      <c r="J850" s="67"/>
    </row>
    <row r="851" spans="1:10" x14ac:dyDescent="0.35">
      <c r="A851" s="61">
        <v>847</v>
      </c>
      <c r="B851" s="2"/>
      <c r="C851" s="2"/>
      <c r="D851" s="2"/>
      <c r="E851" s="10"/>
      <c r="F851" s="11"/>
      <c r="G851" s="2"/>
      <c r="H851" s="2"/>
      <c r="I851" s="2"/>
      <c r="J851" s="67"/>
    </row>
    <row r="852" spans="1:10" x14ac:dyDescent="0.35">
      <c r="A852" s="61">
        <v>848</v>
      </c>
      <c r="B852" s="2"/>
      <c r="C852" s="2"/>
      <c r="D852" s="2"/>
      <c r="E852" s="10"/>
      <c r="F852" s="11"/>
      <c r="G852" s="2"/>
      <c r="H852" s="2"/>
      <c r="I852" s="2"/>
      <c r="J852" s="67"/>
    </row>
    <row r="853" spans="1:10" x14ac:dyDescent="0.35">
      <c r="A853" s="61">
        <v>849</v>
      </c>
      <c r="B853" s="2"/>
      <c r="C853" s="2"/>
      <c r="D853" s="2"/>
      <c r="E853" s="10"/>
      <c r="F853" s="11"/>
      <c r="G853" s="2"/>
      <c r="H853" s="2"/>
      <c r="I853" s="2"/>
      <c r="J853" s="67"/>
    </row>
    <row r="854" spans="1:10" x14ac:dyDescent="0.35">
      <c r="A854" s="61">
        <v>850</v>
      </c>
      <c r="B854" s="2"/>
      <c r="C854" s="2"/>
      <c r="D854" s="2"/>
      <c r="E854" s="10"/>
      <c r="F854" s="11"/>
      <c r="G854" s="2"/>
      <c r="H854" s="2"/>
      <c r="I854" s="2"/>
      <c r="J854" s="67"/>
    </row>
    <row r="855" spans="1:10" x14ac:dyDescent="0.35">
      <c r="A855" s="61">
        <v>851</v>
      </c>
      <c r="B855" s="2"/>
      <c r="C855" s="2"/>
      <c r="D855" s="2"/>
      <c r="E855" s="10"/>
      <c r="F855" s="11"/>
      <c r="G855" s="2"/>
      <c r="H855" s="2"/>
      <c r="I855" s="2"/>
      <c r="J855" s="67"/>
    </row>
    <row r="856" spans="1:10" x14ac:dyDescent="0.35">
      <c r="A856" s="61">
        <v>852</v>
      </c>
      <c r="B856" s="2"/>
      <c r="C856" s="2"/>
      <c r="D856" s="2"/>
      <c r="E856" s="10"/>
      <c r="F856" s="11"/>
      <c r="G856" s="2"/>
      <c r="H856" s="2"/>
      <c r="I856" s="2"/>
      <c r="J856" s="67"/>
    </row>
    <row r="857" spans="1:10" x14ac:dyDescent="0.35">
      <c r="A857" s="61">
        <v>853</v>
      </c>
      <c r="B857" s="2"/>
      <c r="C857" s="2"/>
      <c r="D857" s="2"/>
      <c r="E857" s="10"/>
      <c r="F857" s="11"/>
      <c r="G857" s="2"/>
      <c r="H857" s="2"/>
      <c r="I857" s="2"/>
      <c r="J857" s="67"/>
    </row>
    <row r="858" spans="1:10" x14ac:dyDescent="0.35">
      <c r="A858" s="61">
        <v>854</v>
      </c>
      <c r="B858" s="2"/>
      <c r="C858" s="2"/>
      <c r="D858" s="2"/>
      <c r="E858" s="10"/>
      <c r="F858" s="11"/>
      <c r="G858" s="2"/>
      <c r="H858" s="2"/>
      <c r="I858" s="2"/>
      <c r="J858" s="67"/>
    </row>
    <row r="859" spans="1:10" x14ac:dyDescent="0.35">
      <c r="A859" s="61">
        <v>855</v>
      </c>
      <c r="B859" s="2"/>
      <c r="C859" s="2"/>
      <c r="D859" s="2"/>
      <c r="E859" s="10"/>
      <c r="F859" s="11"/>
      <c r="G859" s="2"/>
      <c r="H859" s="2"/>
      <c r="I859" s="2"/>
      <c r="J859" s="67"/>
    </row>
    <row r="860" spans="1:10" x14ac:dyDescent="0.35">
      <c r="A860" s="61">
        <v>856</v>
      </c>
      <c r="B860" s="2"/>
      <c r="C860" s="2"/>
      <c r="D860" s="2"/>
      <c r="E860" s="10"/>
      <c r="F860" s="11"/>
      <c r="G860" s="2"/>
      <c r="H860" s="2"/>
      <c r="I860" s="2"/>
      <c r="J860" s="67"/>
    </row>
    <row r="861" spans="1:10" x14ac:dyDescent="0.35">
      <c r="A861" s="61">
        <v>857</v>
      </c>
      <c r="B861" s="2"/>
      <c r="C861" s="2"/>
      <c r="D861" s="2"/>
      <c r="E861" s="10"/>
      <c r="F861" s="11"/>
      <c r="G861" s="2"/>
      <c r="H861" s="2"/>
      <c r="I861" s="2"/>
      <c r="J861" s="67"/>
    </row>
    <row r="862" spans="1:10" x14ac:dyDescent="0.35">
      <c r="A862" s="61">
        <v>858</v>
      </c>
      <c r="B862" s="2"/>
      <c r="C862" s="2"/>
      <c r="D862" s="2"/>
      <c r="E862" s="10"/>
      <c r="F862" s="11"/>
      <c r="G862" s="2"/>
      <c r="H862" s="2"/>
      <c r="I862" s="2"/>
      <c r="J862" s="67"/>
    </row>
    <row r="863" spans="1:10" x14ac:dyDescent="0.35">
      <c r="A863" s="61">
        <v>859</v>
      </c>
      <c r="B863" s="2"/>
      <c r="C863" s="2"/>
      <c r="D863" s="2"/>
      <c r="E863" s="10"/>
      <c r="F863" s="11"/>
      <c r="G863" s="2"/>
      <c r="H863" s="2"/>
      <c r="I863" s="2"/>
      <c r="J863" s="67"/>
    </row>
    <row r="864" spans="1:10" x14ac:dyDescent="0.35">
      <c r="A864" s="61">
        <v>860</v>
      </c>
      <c r="B864" s="2"/>
      <c r="C864" s="2"/>
      <c r="D864" s="2"/>
      <c r="E864" s="10"/>
      <c r="F864" s="11"/>
      <c r="G864" s="2"/>
      <c r="H864" s="2"/>
      <c r="I864" s="2"/>
      <c r="J864" s="67"/>
    </row>
    <row r="865" spans="1:10" x14ac:dyDescent="0.35">
      <c r="A865" s="61">
        <v>861</v>
      </c>
      <c r="B865" s="2"/>
      <c r="C865" s="2"/>
      <c r="D865" s="2"/>
      <c r="E865" s="10"/>
      <c r="F865" s="11"/>
      <c r="G865" s="2"/>
      <c r="H865" s="2"/>
      <c r="I865" s="2"/>
      <c r="J865" s="67"/>
    </row>
    <row r="866" spans="1:10" x14ac:dyDescent="0.35">
      <c r="A866" s="61">
        <v>862</v>
      </c>
      <c r="B866" s="2"/>
      <c r="C866" s="2"/>
      <c r="D866" s="2"/>
      <c r="E866" s="10"/>
      <c r="F866" s="11"/>
      <c r="G866" s="2"/>
      <c r="H866" s="2"/>
      <c r="I866" s="2"/>
      <c r="J866" s="67"/>
    </row>
    <row r="867" spans="1:10" x14ac:dyDescent="0.35">
      <c r="A867" s="61">
        <v>863</v>
      </c>
      <c r="B867" s="2"/>
      <c r="C867" s="2"/>
      <c r="D867" s="2"/>
      <c r="E867" s="10"/>
      <c r="F867" s="11"/>
      <c r="G867" s="2"/>
      <c r="H867" s="2"/>
      <c r="I867" s="2"/>
      <c r="J867" s="67"/>
    </row>
    <row r="868" spans="1:10" x14ac:dyDescent="0.35">
      <c r="A868" s="61">
        <v>864</v>
      </c>
      <c r="B868" s="2"/>
      <c r="C868" s="2"/>
      <c r="D868" s="2"/>
      <c r="E868" s="10"/>
      <c r="F868" s="11"/>
      <c r="G868" s="2"/>
      <c r="H868" s="2"/>
      <c r="I868" s="2"/>
      <c r="J868" s="67"/>
    </row>
    <row r="869" spans="1:10" x14ac:dyDescent="0.35">
      <c r="A869" s="61">
        <v>865</v>
      </c>
      <c r="B869" s="2"/>
      <c r="C869" s="2"/>
      <c r="D869" s="2"/>
      <c r="E869" s="10"/>
      <c r="F869" s="11"/>
      <c r="G869" s="2"/>
      <c r="H869" s="2"/>
      <c r="I869" s="2"/>
      <c r="J869" s="67"/>
    </row>
    <row r="870" spans="1:10" x14ac:dyDescent="0.35">
      <c r="A870" s="61">
        <v>866</v>
      </c>
      <c r="B870" s="2"/>
      <c r="C870" s="2"/>
      <c r="D870" s="2"/>
      <c r="E870" s="10"/>
      <c r="F870" s="11"/>
      <c r="G870" s="2"/>
      <c r="H870" s="2"/>
      <c r="I870" s="2"/>
      <c r="J870" s="67"/>
    </row>
    <row r="871" spans="1:10" x14ac:dyDescent="0.35">
      <c r="A871" s="61">
        <v>867</v>
      </c>
      <c r="B871" s="2"/>
      <c r="C871" s="2"/>
      <c r="D871" s="2"/>
      <c r="E871" s="10"/>
      <c r="F871" s="11"/>
      <c r="G871" s="2"/>
      <c r="H871" s="2"/>
      <c r="I871" s="2"/>
      <c r="J871" s="67"/>
    </row>
    <row r="872" spans="1:10" x14ac:dyDescent="0.35">
      <c r="A872" s="61">
        <v>868</v>
      </c>
      <c r="B872" s="2"/>
      <c r="C872" s="2"/>
      <c r="D872" s="2"/>
      <c r="E872" s="10"/>
      <c r="F872" s="11"/>
      <c r="G872" s="2"/>
      <c r="H872" s="2"/>
      <c r="I872" s="2"/>
      <c r="J872" s="67"/>
    </row>
    <row r="873" spans="1:10" x14ac:dyDescent="0.35">
      <c r="A873" s="61">
        <v>869</v>
      </c>
      <c r="B873" s="2"/>
      <c r="C873" s="2"/>
      <c r="D873" s="2"/>
      <c r="E873" s="10"/>
      <c r="F873" s="11"/>
      <c r="G873" s="2"/>
      <c r="H873" s="2"/>
      <c r="I873" s="2"/>
      <c r="J873" s="67"/>
    </row>
    <row r="874" spans="1:10" x14ac:dyDescent="0.35">
      <c r="A874" s="61">
        <v>870</v>
      </c>
      <c r="B874" s="2"/>
      <c r="C874" s="2"/>
      <c r="D874" s="2"/>
      <c r="E874" s="10"/>
      <c r="F874" s="11"/>
      <c r="G874" s="2"/>
      <c r="H874" s="2"/>
      <c r="I874" s="2"/>
      <c r="J874" s="67"/>
    </row>
    <row r="875" spans="1:10" x14ac:dyDescent="0.35">
      <c r="A875" s="61">
        <v>871</v>
      </c>
      <c r="B875" s="2"/>
      <c r="C875" s="2"/>
      <c r="D875" s="2"/>
      <c r="E875" s="10"/>
      <c r="F875" s="11"/>
      <c r="G875" s="2"/>
      <c r="H875" s="2"/>
      <c r="I875" s="2"/>
      <c r="J875" s="67"/>
    </row>
    <row r="876" spans="1:10" x14ac:dyDescent="0.35">
      <c r="A876" s="61">
        <v>872</v>
      </c>
      <c r="B876" s="2"/>
      <c r="C876" s="2"/>
      <c r="D876" s="2"/>
      <c r="E876" s="10"/>
      <c r="F876" s="11"/>
      <c r="G876" s="2"/>
      <c r="H876" s="2"/>
      <c r="I876" s="2"/>
      <c r="J876" s="67"/>
    </row>
    <row r="877" spans="1:10" x14ac:dyDescent="0.35">
      <c r="A877" s="61">
        <v>873</v>
      </c>
      <c r="B877" s="2"/>
      <c r="C877" s="2"/>
      <c r="D877" s="2"/>
      <c r="E877" s="10"/>
      <c r="F877" s="11"/>
      <c r="G877" s="2"/>
      <c r="H877" s="2"/>
      <c r="I877" s="2"/>
      <c r="J877" s="67"/>
    </row>
    <row r="878" spans="1:10" x14ac:dyDescent="0.35">
      <c r="A878" s="61">
        <v>874</v>
      </c>
      <c r="B878" s="2"/>
      <c r="C878" s="2"/>
      <c r="D878" s="2"/>
      <c r="E878" s="10"/>
      <c r="F878" s="11"/>
      <c r="G878" s="2"/>
      <c r="H878" s="2"/>
      <c r="I878" s="2"/>
      <c r="J878" s="67"/>
    </row>
    <row r="879" spans="1:10" x14ac:dyDescent="0.35">
      <c r="A879" s="61">
        <v>875</v>
      </c>
      <c r="B879" s="2"/>
      <c r="C879" s="2"/>
      <c r="D879" s="2"/>
      <c r="E879" s="10"/>
      <c r="F879" s="11"/>
      <c r="G879" s="2"/>
      <c r="H879" s="2"/>
      <c r="I879" s="2"/>
      <c r="J879" s="67"/>
    </row>
    <row r="880" spans="1:10" x14ac:dyDescent="0.35">
      <c r="A880" s="61">
        <v>876</v>
      </c>
      <c r="B880" s="2"/>
      <c r="C880" s="2"/>
      <c r="D880" s="2"/>
      <c r="E880" s="10"/>
      <c r="F880" s="11"/>
      <c r="G880" s="2"/>
      <c r="H880" s="2"/>
      <c r="I880" s="2"/>
      <c r="J880" s="67"/>
    </row>
    <row r="881" spans="1:10" x14ac:dyDescent="0.35">
      <c r="A881" s="61">
        <v>877</v>
      </c>
      <c r="B881" s="2"/>
      <c r="C881" s="2"/>
      <c r="D881" s="2"/>
      <c r="E881" s="10"/>
      <c r="F881" s="11"/>
      <c r="G881" s="2"/>
      <c r="H881" s="2"/>
      <c r="I881" s="2"/>
      <c r="J881" s="67"/>
    </row>
    <row r="882" spans="1:10" x14ac:dyDescent="0.35">
      <c r="A882" s="61">
        <v>878</v>
      </c>
      <c r="B882" s="2"/>
      <c r="C882" s="2"/>
      <c r="D882" s="2"/>
      <c r="E882" s="10"/>
      <c r="F882" s="11"/>
      <c r="G882" s="2"/>
      <c r="H882" s="2"/>
      <c r="I882" s="2"/>
      <c r="J882" s="67"/>
    </row>
    <row r="883" spans="1:10" x14ac:dyDescent="0.35">
      <c r="A883" s="61">
        <v>879</v>
      </c>
      <c r="B883" s="2"/>
      <c r="C883" s="2"/>
      <c r="D883" s="2"/>
      <c r="E883" s="10"/>
      <c r="F883" s="11"/>
      <c r="G883" s="2"/>
      <c r="H883" s="2"/>
      <c r="I883" s="2"/>
      <c r="J883" s="67"/>
    </row>
    <row r="884" spans="1:10" x14ac:dyDescent="0.35">
      <c r="A884" s="61">
        <v>880</v>
      </c>
      <c r="B884" s="2"/>
      <c r="C884" s="2"/>
      <c r="D884" s="2"/>
      <c r="E884" s="10"/>
      <c r="F884" s="11"/>
      <c r="G884" s="2"/>
      <c r="H884" s="2"/>
      <c r="I884" s="2"/>
      <c r="J884" s="67"/>
    </row>
    <row r="885" spans="1:10" x14ac:dyDescent="0.35">
      <c r="A885" s="61">
        <v>881</v>
      </c>
      <c r="B885" s="2"/>
      <c r="C885" s="2"/>
      <c r="D885" s="2"/>
      <c r="E885" s="10"/>
      <c r="F885" s="11"/>
      <c r="G885" s="2"/>
      <c r="H885" s="2"/>
      <c r="I885" s="2"/>
      <c r="J885" s="67"/>
    </row>
    <row r="886" spans="1:10" x14ac:dyDescent="0.35">
      <c r="A886" s="61">
        <v>882</v>
      </c>
      <c r="B886" s="2"/>
      <c r="C886" s="2"/>
      <c r="D886" s="2"/>
      <c r="E886" s="10"/>
      <c r="F886" s="11"/>
      <c r="G886" s="2"/>
      <c r="H886" s="2"/>
      <c r="I886" s="2"/>
      <c r="J886" s="67"/>
    </row>
    <row r="887" spans="1:10" x14ac:dyDescent="0.35">
      <c r="A887" s="61">
        <v>883</v>
      </c>
      <c r="B887" s="2"/>
      <c r="C887" s="2"/>
      <c r="D887" s="2"/>
      <c r="E887" s="10"/>
      <c r="F887" s="11"/>
      <c r="G887" s="2"/>
      <c r="H887" s="2"/>
      <c r="I887" s="2"/>
      <c r="J887" s="67"/>
    </row>
    <row r="888" spans="1:10" x14ac:dyDescent="0.35">
      <c r="A888" s="61">
        <v>884</v>
      </c>
      <c r="B888" s="2"/>
      <c r="C888" s="2"/>
      <c r="D888" s="2"/>
      <c r="E888" s="10"/>
      <c r="F888" s="11"/>
      <c r="G888" s="2"/>
      <c r="H888" s="2"/>
      <c r="I888" s="2"/>
      <c r="J888" s="67"/>
    </row>
    <row r="889" spans="1:10" x14ac:dyDescent="0.35">
      <c r="A889" s="61">
        <v>885</v>
      </c>
      <c r="B889" s="2"/>
      <c r="C889" s="2"/>
      <c r="D889" s="2"/>
      <c r="E889" s="10"/>
      <c r="F889" s="11"/>
      <c r="G889" s="2"/>
      <c r="H889" s="2"/>
      <c r="I889" s="2"/>
      <c r="J889" s="67"/>
    </row>
    <row r="890" spans="1:10" x14ac:dyDescent="0.35">
      <c r="A890" s="61">
        <v>886</v>
      </c>
      <c r="B890" s="2"/>
      <c r="C890" s="2"/>
      <c r="D890" s="2"/>
      <c r="E890" s="10"/>
      <c r="F890" s="11"/>
      <c r="G890" s="2"/>
      <c r="H890" s="2"/>
      <c r="I890" s="2"/>
      <c r="J890" s="67"/>
    </row>
    <row r="891" spans="1:10" x14ac:dyDescent="0.35">
      <c r="A891" s="61">
        <v>887</v>
      </c>
      <c r="B891" s="2"/>
      <c r="C891" s="2"/>
      <c r="D891" s="2"/>
      <c r="E891" s="10"/>
      <c r="F891" s="11"/>
      <c r="G891" s="2"/>
      <c r="H891" s="2"/>
      <c r="I891" s="2"/>
      <c r="J891" s="67"/>
    </row>
    <row r="892" spans="1:10" x14ac:dyDescent="0.35">
      <c r="A892" s="61">
        <v>888</v>
      </c>
      <c r="B892" s="2"/>
      <c r="C892" s="2"/>
      <c r="D892" s="2"/>
      <c r="E892" s="10"/>
      <c r="F892" s="11"/>
      <c r="G892" s="2"/>
      <c r="H892" s="2"/>
      <c r="I892" s="2"/>
      <c r="J892" s="67"/>
    </row>
    <row r="893" spans="1:10" x14ac:dyDescent="0.35">
      <c r="A893" s="61">
        <v>889</v>
      </c>
      <c r="B893" s="2"/>
      <c r="C893" s="2"/>
      <c r="D893" s="2"/>
      <c r="E893" s="10"/>
      <c r="F893" s="11"/>
      <c r="G893" s="2"/>
      <c r="H893" s="2"/>
      <c r="I893" s="2"/>
      <c r="J893" s="67"/>
    </row>
    <row r="894" spans="1:10" x14ac:dyDescent="0.35">
      <c r="A894" s="61">
        <v>890</v>
      </c>
      <c r="B894" s="2"/>
      <c r="C894" s="2"/>
      <c r="D894" s="2"/>
      <c r="E894" s="10"/>
      <c r="F894" s="11"/>
      <c r="G894" s="2"/>
      <c r="H894" s="2"/>
      <c r="I894" s="2"/>
      <c r="J894" s="67"/>
    </row>
    <row r="895" spans="1:10" x14ac:dyDescent="0.35">
      <c r="A895" s="61">
        <v>891</v>
      </c>
      <c r="B895" s="2"/>
      <c r="C895" s="2"/>
      <c r="D895" s="2"/>
      <c r="E895" s="10"/>
      <c r="F895" s="11"/>
      <c r="G895" s="2"/>
      <c r="H895" s="2"/>
      <c r="I895" s="2"/>
      <c r="J895" s="67"/>
    </row>
    <row r="896" spans="1:10" x14ac:dyDescent="0.35">
      <c r="A896" s="61">
        <v>892</v>
      </c>
      <c r="B896" s="2"/>
      <c r="C896" s="2"/>
      <c r="D896" s="2"/>
      <c r="E896" s="10"/>
      <c r="F896" s="11"/>
      <c r="G896" s="2"/>
      <c r="H896" s="2"/>
      <c r="I896" s="2"/>
      <c r="J896" s="67"/>
    </row>
    <row r="897" spans="1:10" x14ac:dyDescent="0.35">
      <c r="A897" s="61">
        <v>893</v>
      </c>
      <c r="B897" s="2"/>
      <c r="C897" s="2"/>
      <c r="D897" s="2"/>
      <c r="E897" s="10"/>
      <c r="F897" s="11"/>
      <c r="G897" s="2"/>
      <c r="H897" s="2"/>
      <c r="I897" s="2"/>
      <c r="J897" s="67"/>
    </row>
    <row r="898" spans="1:10" x14ac:dyDescent="0.35">
      <c r="A898" s="61">
        <v>894</v>
      </c>
      <c r="B898" s="2"/>
      <c r="C898" s="2"/>
      <c r="D898" s="2"/>
      <c r="E898" s="10"/>
      <c r="F898" s="11"/>
      <c r="G898" s="2"/>
      <c r="H898" s="2"/>
      <c r="I898" s="2"/>
      <c r="J898" s="67"/>
    </row>
    <row r="899" spans="1:10" x14ac:dyDescent="0.35">
      <c r="A899" s="61">
        <v>895</v>
      </c>
      <c r="B899" s="2"/>
      <c r="C899" s="2"/>
      <c r="D899" s="2"/>
      <c r="E899" s="10"/>
      <c r="F899" s="11"/>
      <c r="G899" s="2"/>
      <c r="H899" s="2"/>
      <c r="I899" s="2"/>
      <c r="J899" s="67"/>
    </row>
    <row r="900" spans="1:10" x14ac:dyDescent="0.35">
      <c r="A900" s="61">
        <v>896</v>
      </c>
      <c r="B900" s="2"/>
      <c r="C900" s="2"/>
      <c r="D900" s="2"/>
      <c r="E900" s="10"/>
      <c r="F900" s="11"/>
      <c r="G900" s="2"/>
      <c r="H900" s="2"/>
      <c r="I900" s="2"/>
      <c r="J900" s="67"/>
    </row>
    <row r="901" spans="1:10" x14ac:dyDescent="0.35">
      <c r="A901" s="61">
        <v>897</v>
      </c>
      <c r="B901" s="2"/>
      <c r="C901" s="2"/>
      <c r="D901" s="2"/>
      <c r="E901" s="10"/>
      <c r="F901" s="11"/>
      <c r="G901" s="2"/>
      <c r="H901" s="2"/>
      <c r="I901" s="2"/>
      <c r="J901" s="67"/>
    </row>
    <row r="902" spans="1:10" x14ac:dyDescent="0.35">
      <c r="A902" s="61">
        <v>898</v>
      </c>
      <c r="B902" s="2"/>
      <c r="C902" s="2"/>
      <c r="D902" s="2"/>
      <c r="E902" s="10"/>
      <c r="F902" s="11"/>
      <c r="G902" s="2"/>
      <c r="H902" s="2"/>
      <c r="I902" s="2"/>
      <c r="J902" s="67"/>
    </row>
    <row r="903" spans="1:10" x14ac:dyDescent="0.35">
      <c r="A903" s="61">
        <v>899</v>
      </c>
      <c r="B903" s="2"/>
      <c r="C903" s="2"/>
      <c r="D903" s="2"/>
      <c r="E903" s="10"/>
      <c r="F903" s="11"/>
      <c r="G903" s="2"/>
      <c r="H903" s="2"/>
      <c r="I903" s="2"/>
      <c r="J903" s="67"/>
    </row>
    <row r="904" spans="1:10" x14ac:dyDescent="0.35">
      <c r="A904" s="61">
        <v>900</v>
      </c>
      <c r="B904" s="2"/>
      <c r="C904" s="2"/>
      <c r="D904" s="2"/>
      <c r="E904" s="10"/>
      <c r="F904" s="11"/>
      <c r="G904" s="2"/>
      <c r="H904" s="2"/>
      <c r="I904" s="2"/>
      <c r="J904" s="67"/>
    </row>
    <row r="905" spans="1:10" x14ac:dyDescent="0.35">
      <c r="A905" s="61">
        <v>901</v>
      </c>
      <c r="B905" s="2"/>
      <c r="C905" s="2"/>
      <c r="D905" s="2"/>
      <c r="E905" s="10"/>
      <c r="F905" s="11"/>
      <c r="G905" s="2"/>
      <c r="H905" s="2"/>
      <c r="I905" s="2"/>
      <c r="J905" s="67"/>
    </row>
    <row r="906" spans="1:10" x14ac:dyDescent="0.35">
      <c r="A906" s="61">
        <v>902</v>
      </c>
      <c r="B906" s="2"/>
      <c r="C906" s="2"/>
      <c r="D906" s="2"/>
      <c r="E906" s="10"/>
      <c r="F906" s="11"/>
      <c r="G906" s="2"/>
      <c r="H906" s="2"/>
      <c r="I906" s="2"/>
      <c r="J906" s="67"/>
    </row>
    <row r="907" spans="1:10" x14ac:dyDescent="0.35">
      <c r="A907" s="61">
        <v>903</v>
      </c>
      <c r="B907" s="2"/>
      <c r="C907" s="2"/>
      <c r="D907" s="2"/>
      <c r="E907" s="10"/>
      <c r="F907" s="11"/>
      <c r="G907" s="2"/>
      <c r="H907" s="2"/>
      <c r="I907" s="2"/>
      <c r="J907" s="67"/>
    </row>
    <row r="908" spans="1:10" x14ac:dyDescent="0.35">
      <c r="A908" s="61">
        <v>904</v>
      </c>
      <c r="B908" s="2"/>
      <c r="C908" s="2"/>
      <c r="D908" s="2"/>
      <c r="E908" s="10"/>
      <c r="F908" s="11"/>
      <c r="G908" s="2"/>
      <c r="H908" s="2"/>
      <c r="I908" s="2"/>
      <c r="J908" s="67"/>
    </row>
    <row r="909" spans="1:10" x14ac:dyDescent="0.35">
      <c r="A909" s="61">
        <v>905</v>
      </c>
      <c r="B909" s="2"/>
      <c r="C909" s="2"/>
      <c r="D909" s="2"/>
      <c r="E909" s="10"/>
      <c r="F909" s="11"/>
      <c r="G909" s="2"/>
      <c r="H909" s="2"/>
      <c r="I909" s="2"/>
      <c r="J909" s="67"/>
    </row>
    <row r="910" spans="1:10" x14ac:dyDescent="0.35">
      <c r="A910" s="61">
        <v>906</v>
      </c>
      <c r="B910" s="2"/>
      <c r="C910" s="2"/>
      <c r="D910" s="2"/>
      <c r="E910" s="10"/>
      <c r="F910" s="11"/>
      <c r="G910" s="2"/>
      <c r="H910" s="2"/>
      <c r="I910" s="2"/>
      <c r="J910" s="67"/>
    </row>
    <row r="911" spans="1:10" x14ac:dyDescent="0.35">
      <c r="A911" s="61">
        <v>907</v>
      </c>
      <c r="B911" s="2"/>
      <c r="C911" s="2"/>
      <c r="D911" s="2"/>
      <c r="E911" s="10"/>
      <c r="F911" s="11"/>
      <c r="G911" s="2"/>
      <c r="H911" s="2"/>
      <c r="I911" s="2"/>
      <c r="J911" s="67"/>
    </row>
    <row r="912" spans="1:10" x14ac:dyDescent="0.35">
      <c r="A912" s="61">
        <v>908</v>
      </c>
      <c r="B912" s="2"/>
      <c r="C912" s="2"/>
      <c r="D912" s="2"/>
      <c r="E912" s="10"/>
      <c r="F912" s="11"/>
      <c r="G912" s="2"/>
      <c r="H912" s="2"/>
      <c r="I912" s="2"/>
      <c r="J912" s="67"/>
    </row>
    <row r="913" spans="1:10" x14ac:dyDescent="0.35">
      <c r="A913" s="61">
        <v>909</v>
      </c>
      <c r="B913" s="2"/>
      <c r="C913" s="2"/>
      <c r="D913" s="2"/>
      <c r="E913" s="10"/>
      <c r="F913" s="11"/>
      <c r="G913" s="2"/>
      <c r="H913" s="2"/>
      <c r="I913" s="2"/>
      <c r="J913" s="67"/>
    </row>
    <row r="914" spans="1:10" x14ac:dyDescent="0.35">
      <c r="A914" s="61">
        <v>910</v>
      </c>
      <c r="B914" s="2"/>
      <c r="C914" s="2"/>
      <c r="D914" s="2"/>
      <c r="E914" s="10"/>
      <c r="F914" s="11"/>
      <c r="G914" s="2"/>
      <c r="H914" s="2"/>
      <c r="I914" s="2"/>
      <c r="J914" s="67"/>
    </row>
    <row r="915" spans="1:10" x14ac:dyDescent="0.35">
      <c r="A915" s="61">
        <v>911</v>
      </c>
      <c r="B915" s="2"/>
      <c r="C915" s="2"/>
      <c r="D915" s="2"/>
      <c r="E915" s="10"/>
      <c r="F915" s="11"/>
      <c r="G915" s="2"/>
      <c r="H915" s="2"/>
      <c r="I915" s="2"/>
      <c r="J915" s="67"/>
    </row>
    <row r="916" spans="1:10" x14ac:dyDescent="0.35">
      <c r="A916" s="61">
        <v>912</v>
      </c>
      <c r="B916" s="2"/>
      <c r="C916" s="2"/>
      <c r="D916" s="2"/>
      <c r="E916" s="10"/>
      <c r="F916" s="11"/>
      <c r="G916" s="2"/>
      <c r="H916" s="2"/>
      <c r="I916" s="2"/>
      <c r="J916" s="67"/>
    </row>
    <row r="917" spans="1:10" x14ac:dyDescent="0.35">
      <c r="A917" s="61">
        <v>913</v>
      </c>
      <c r="B917" s="2"/>
      <c r="C917" s="2"/>
      <c r="D917" s="2"/>
      <c r="E917" s="10"/>
      <c r="F917" s="11"/>
      <c r="G917" s="2"/>
      <c r="H917" s="2"/>
      <c r="I917" s="2"/>
      <c r="J917" s="67"/>
    </row>
    <row r="918" spans="1:10" x14ac:dyDescent="0.35">
      <c r="A918" s="61">
        <v>914</v>
      </c>
      <c r="B918" s="2"/>
      <c r="C918" s="2"/>
      <c r="D918" s="2"/>
      <c r="E918" s="10"/>
      <c r="F918" s="11"/>
      <c r="G918" s="2"/>
      <c r="H918" s="2"/>
      <c r="I918" s="2"/>
      <c r="J918" s="67"/>
    </row>
    <row r="919" spans="1:10" x14ac:dyDescent="0.35">
      <c r="A919" s="61">
        <v>915</v>
      </c>
      <c r="B919" s="2"/>
      <c r="C919" s="2"/>
      <c r="D919" s="2"/>
      <c r="E919" s="10"/>
      <c r="F919" s="11"/>
      <c r="G919" s="2"/>
      <c r="H919" s="2"/>
      <c r="I919" s="2"/>
      <c r="J919" s="67"/>
    </row>
    <row r="920" spans="1:10" x14ac:dyDescent="0.35">
      <c r="A920" s="61">
        <v>916</v>
      </c>
      <c r="B920" s="2"/>
      <c r="C920" s="2"/>
      <c r="D920" s="2"/>
      <c r="E920" s="10"/>
      <c r="F920" s="11"/>
      <c r="G920" s="2"/>
      <c r="H920" s="2"/>
      <c r="I920" s="2"/>
      <c r="J920" s="67"/>
    </row>
    <row r="921" spans="1:10" x14ac:dyDescent="0.35">
      <c r="A921" s="61">
        <v>917</v>
      </c>
      <c r="B921" s="2"/>
      <c r="C921" s="2"/>
      <c r="D921" s="2"/>
      <c r="E921" s="10"/>
      <c r="F921" s="11"/>
      <c r="G921" s="2"/>
      <c r="H921" s="2"/>
      <c r="I921" s="2"/>
      <c r="J921" s="67"/>
    </row>
    <row r="922" spans="1:10" x14ac:dyDescent="0.35">
      <c r="A922" s="61">
        <v>918</v>
      </c>
      <c r="B922" s="2"/>
      <c r="C922" s="2"/>
      <c r="D922" s="2"/>
      <c r="E922" s="10"/>
      <c r="F922" s="11"/>
      <c r="G922" s="2"/>
      <c r="H922" s="2"/>
      <c r="I922" s="2"/>
      <c r="J922" s="67"/>
    </row>
    <row r="923" spans="1:10" x14ac:dyDescent="0.35">
      <c r="A923" s="61">
        <v>919</v>
      </c>
      <c r="B923" s="2"/>
      <c r="C923" s="2"/>
      <c r="D923" s="2"/>
      <c r="E923" s="10"/>
      <c r="F923" s="11"/>
      <c r="G923" s="2"/>
      <c r="H923" s="2"/>
      <c r="I923" s="2"/>
      <c r="J923" s="67"/>
    </row>
    <row r="924" spans="1:10" x14ac:dyDescent="0.35">
      <c r="A924" s="61">
        <v>920</v>
      </c>
      <c r="B924" s="2"/>
      <c r="C924" s="2"/>
      <c r="D924" s="2"/>
      <c r="E924" s="10"/>
      <c r="F924" s="11"/>
      <c r="G924" s="2"/>
      <c r="H924" s="2"/>
      <c r="I924" s="2"/>
      <c r="J924" s="67"/>
    </row>
    <row r="925" spans="1:10" x14ac:dyDescent="0.35">
      <c r="A925" s="61">
        <v>921</v>
      </c>
      <c r="B925" s="2"/>
      <c r="C925" s="2"/>
      <c r="D925" s="2"/>
      <c r="E925" s="10"/>
      <c r="F925" s="11"/>
      <c r="G925" s="2"/>
      <c r="H925" s="2"/>
      <c r="I925" s="2"/>
      <c r="J925" s="67"/>
    </row>
    <row r="926" spans="1:10" x14ac:dyDescent="0.35">
      <c r="A926" s="61">
        <v>922</v>
      </c>
      <c r="B926" s="2"/>
      <c r="C926" s="2"/>
      <c r="D926" s="2"/>
      <c r="E926" s="10"/>
      <c r="F926" s="11"/>
      <c r="G926" s="2"/>
      <c r="H926" s="2"/>
      <c r="I926" s="2"/>
      <c r="J926" s="67"/>
    </row>
    <row r="927" spans="1:10" x14ac:dyDescent="0.35">
      <c r="A927" s="61">
        <v>923</v>
      </c>
      <c r="B927" s="2"/>
      <c r="C927" s="2"/>
      <c r="D927" s="2"/>
      <c r="E927" s="10"/>
      <c r="F927" s="11"/>
      <c r="G927" s="2"/>
      <c r="H927" s="2"/>
      <c r="I927" s="2"/>
      <c r="J927" s="67"/>
    </row>
    <row r="928" spans="1:10" x14ac:dyDescent="0.35">
      <c r="A928" s="61">
        <v>924</v>
      </c>
      <c r="B928" s="2"/>
      <c r="C928" s="2"/>
      <c r="D928" s="2"/>
      <c r="E928" s="10"/>
      <c r="F928" s="11"/>
      <c r="G928" s="2"/>
      <c r="H928" s="2"/>
      <c r="I928" s="2"/>
      <c r="J928" s="67"/>
    </row>
    <row r="929" spans="1:10" x14ac:dyDescent="0.35">
      <c r="A929" s="61">
        <v>925</v>
      </c>
      <c r="B929" s="2"/>
      <c r="C929" s="2"/>
      <c r="D929" s="2"/>
      <c r="E929" s="10"/>
      <c r="F929" s="11"/>
      <c r="G929" s="2"/>
      <c r="H929" s="2"/>
      <c r="I929" s="2"/>
      <c r="J929" s="67"/>
    </row>
    <row r="930" spans="1:10" x14ac:dyDescent="0.35">
      <c r="A930" s="61">
        <v>926</v>
      </c>
      <c r="B930" s="2"/>
      <c r="C930" s="2"/>
      <c r="D930" s="2"/>
      <c r="E930" s="10"/>
      <c r="F930" s="11"/>
      <c r="G930" s="2"/>
      <c r="H930" s="2"/>
      <c r="I930" s="2"/>
      <c r="J930" s="67"/>
    </row>
    <row r="931" spans="1:10" x14ac:dyDescent="0.35">
      <c r="A931" s="61">
        <v>927</v>
      </c>
      <c r="B931" s="2"/>
      <c r="C931" s="2"/>
      <c r="D931" s="2"/>
      <c r="E931" s="10"/>
      <c r="F931" s="11"/>
      <c r="G931" s="2"/>
      <c r="H931" s="2"/>
      <c r="I931" s="2"/>
      <c r="J931" s="67"/>
    </row>
    <row r="932" spans="1:10" x14ac:dyDescent="0.35">
      <c r="A932" s="61">
        <v>928</v>
      </c>
      <c r="B932" s="2"/>
      <c r="C932" s="2"/>
      <c r="D932" s="2"/>
      <c r="E932" s="10"/>
      <c r="F932" s="11"/>
      <c r="G932" s="2"/>
      <c r="H932" s="2"/>
      <c r="I932" s="2"/>
      <c r="J932" s="67"/>
    </row>
    <row r="933" spans="1:10" x14ac:dyDescent="0.35">
      <c r="A933" s="61">
        <v>929</v>
      </c>
      <c r="B933" s="2"/>
      <c r="C933" s="2"/>
      <c r="D933" s="2"/>
      <c r="E933" s="10"/>
      <c r="F933" s="11"/>
      <c r="G933" s="2"/>
      <c r="H933" s="2"/>
      <c r="I933" s="2"/>
      <c r="J933" s="67"/>
    </row>
    <row r="934" spans="1:10" x14ac:dyDescent="0.35">
      <c r="A934" s="61">
        <v>930</v>
      </c>
      <c r="B934" s="2"/>
      <c r="C934" s="2"/>
      <c r="D934" s="2"/>
      <c r="E934" s="10"/>
      <c r="F934" s="11"/>
      <c r="G934" s="2"/>
      <c r="H934" s="2"/>
      <c r="I934" s="2"/>
      <c r="J934" s="67"/>
    </row>
    <row r="935" spans="1:10" x14ac:dyDescent="0.35">
      <c r="A935" s="61">
        <v>931</v>
      </c>
      <c r="B935" s="2"/>
      <c r="C935" s="2"/>
      <c r="D935" s="2"/>
      <c r="E935" s="10"/>
      <c r="F935" s="11"/>
      <c r="G935" s="2"/>
      <c r="H935" s="2"/>
      <c r="I935" s="2"/>
      <c r="J935" s="67"/>
    </row>
    <row r="936" spans="1:10" x14ac:dyDescent="0.35">
      <c r="A936" s="61">
        <v>932</v>
      </c>
      <c r="B936" s="2"/>
      <c r="C936" s="2"/>
      <c r="D936" s="2"/>
      <c r="E936" s="10"/>
      <c r="F936" s="11"/>
      <c r="G936" s="2"/>
      <c r="H936" s="2"/>
      <c r="I936" s="2"/>
      <c r="J936" s="67"/>
    </row>
    <row r="937" spans="1:10" x14ac:dyDescent="0.35">
      <c r="A937" s="61">
        <v>933</v>
      </c>
      <c r="B937" s="2"/>
      <c r="C937" s="2"/>
      <c r="D937" s="2"/>
      <c r="E937" s="10"/>
      <c r="F937" s="11"/>
      <c r="G937" s="2"/>
      <c r="H937" s="2"/>
      <c r="I937" s="2"/>
      <c r="J937" s="67"/>
    </row>
    <row r="938" spans="1:10" x14ac:dyDescent="0.35">
      <c r="A938" s="61">
        <v>934</v>
      </c>
      <c r="B938" s="2"/>
      <c r="C938" s="2"/>
      <c r="D938" s="2"/>
      <c r="E938" s="10"/>
      <c r="F938" s="11"/>
      <c r="G938" s="2"/>
      <c r="H938" s="2"/>
      <c r="I938" s="2"/>
      <c r="J938" s="67"/>
    </row>
    <row r="939" spans="1:10" x14ac:dyDescent="0.35">
      <c r="A939" s="61">
        <v>935</v>
      </c>
      <c r="B939" s="2"/>
      <c r="C939" s="2"/>
      <c r="D939" s="2"/>
      <c r="E939" s="10"/>
      <c r="F939" s="11"/>
      <c r="G939" s="2"/>
      <c r="H939" s="2"/>
      <c r="I939" s="2"/>
      <c r="J939" s="67"/>
    </row>
    <row r="940" spans="1:10" x14ac:dyDescent="0.35">
      <c r="A940" s="61">
        <v>936</v>
      </c>
      <c r="B940" s="2"/>
      <c r="C940" s="2"/>
      <c r="D940" s="2"/>
      <c r="E940" s="10"/>
      <c r="F940" s="11"/>
      <c r="G940" s="2"/>
      <c r="H940" s="2"/>
      <c r="I940" s="2"/>
      <c r="J940" s="67"/>
    </row>
    <row r="941" spans="1:10" x14ac:dyDescent="0.35">
      <c r="A941" s="61">
        <v>937</v>
      </c>
      <c r="B941" s="2"/>
      <c r="C941" s="2"/>
      <c r="D941" s="2"/>
      <c r="E941" s="10"/>
      <c r="F941" s="11"/>
      <c r="G941" s="2"/>
      <c r="H941" s="2"/>
      <c r="I941" s="2"/>
      <c r="J941" s="67"/>
    </row>
    <row r="942" spans="1:10" x14ac:dyDescent="0.35">
      <c r="A942" s="61">
        <v>938</v>
      </c>
      <c r="B942" s="2"/>
      <c r="C942" s="2"/>
      <c r="D942" s="2"/>
      <c r="E942" s="10"/>
      <c r="F942" s="11"/>
      <c r="G942" s="2"/>
      <c r="H942" s="2"/>
      <c r="I942" s="2"/>
      <c r="J942" s="67"/>
    </row>
    <row r="943" spans="1:10" x14ac:dyDescent="0.35">
      <c r="A943" s="61">
        <v>939</v>
      </c>
      <c r="B943" s="2"/>
      <c r="C943" s="2"/>
      <c r="D943" s="2"/>
      <c r="E943" s="10"/>
      <c r="F943" s="11"/>
      <c r="G943" s="2"/>
      <c r="H943" s="2"/>
      <c r="I943" s="2"/>
      <c r="J943" s="67"/>
    </row>
    <row r="944" spans="1:10" x14ac:dyDescent="0.35">
      <c r="A944" s="61">
        <v>940</v>
      </c>
      <c r="B944" s="2"/>
      <c r="C944" s="2"/>
      <c r="D944" s="2"/>
      <c r="E944" s="10"/>
      <c r="F944" s="11"/>
      <c r="G944" s="2"/>
      <c r="H944" s="2"/>
      <c r="I944" s="2"/>
      <c r="J944" s="67"/>
    </row>
    <row r="945" spans="1:10" x14ac:dyDescent="0.35">
      <c r="A945" s="61">
        <v>941</v>
      </c>
      <c r="B945" s="2"/>
      <c r="C945" s="2"/>
      <c r="D945" s="2"/>
      <c r="E945" s="10"/>
      <c r="F945" s="11"/>
      <c r="G945" s="2"/>
      <c r="H945" s="2"/>
      <c r="I945" s="2"/>
      <c r="J945" s="67"/>
    </row>
    <row r="946" spans="1:10" x14ac:dyDescent="0.35">
      <c r="A946" s="61">
        <v>942</v>
      </c>
      <c r="B946" s="2"/>
      <c r="C946" s="2"/>
      <c r="D946" s="2"/>
      <c r="E946" s="10"/>
      <c r="F946" s="11"/>
      <c r="G946" s="2"/>
      <c r="H946" s="2"/>
      <c r="I946" s="2"/>
      <c r="J946" s="67"/>
    </row>
    <row r="947" spans="1:10" x14ac:dyDescent="0.35">
      <c r="A947" s="61">
        <v>943</v>
      </c>
      <c r="B947" s="2"/>
      <c r="C947" s="2"/>
      <c r="D947" s="2"/>
      <c r="E947" s="10"/>
      <c r="F947" s="11"/>
      <c r="G947" s="2"/>
      <c r="H947" s="2"/>
      <c r="I947" s="2"/>
      <c r="J947" s="67"/>
    </row>
    <row r="948" spans="1:10" x14ac:dyDescent="0.35">
      <c r="A948" s="61">
        <v>944</v>
      </c>
      <c r="B948" s="2"/>
      <c r="C948" s="2"/>
      <c r="D948" s="2"/>
      <c r="E948" s="10"/>
      <c r="F948" s="11"/>
      <c r="G948" s="2"/>
      <c r="H948" s="2"/>
      <c r="I948" s="2"/>
      <c r="J948" s="67"/>
    </row>
    <row r="949" spans="1:10" x14ac:dyDescent="0.35">
      <c r="A949" s="61">
        <v>945</v>
      </c>
      <c r="B949" s="2"/>
      <c r="C949" s="2"/>
      <c r="D949" s="2"/>
      <c r="E949" s="10"/>
      <c r="F949" s="11"/>
      <c r="G949" s="2"/>
      <c r="H949" s="2"/>
      <c r="I949" s="2"/>
      <c r="J949" s="67"/>
    </row>
    <row r="950" spans="1:10" x14ac:dyDescent="0.35">
      <c r="A950" s="61">
        <v>946</v>
      </c>
      <c r="B950" s="2"/>
      <c r="C950" s="2"/>
      <c r="D950" s="2"/>
      <c r="E950" s="10"/>
      <c r="F950" s="11"/>
      <c r="G950" s="2"/>
      <c r="H950" s="2"/>
      <c r="I950" s="2"/>
      <c r="J950" s="67"/>
    </row>
    <row r="951" spans="1:10" x14ac:dyDescent="0.35">
      <c r="A951" s="61">
        <v>947</v>
      </c>
      <c r="B951" s="2"/>
      <c r="C951" s="2"/>
      <c r="D951" s="2"/>
      <c r="E951" s="10"/>
      <c r="F951" s="11"/>
      <c r="G951" s="2"/>
      <c r="H951" s="2"/>
      <c r="I951" s="2"/>
      <c r="J951" s="67"/>
    </row>
    <row r="952" spans="1:10" x14ac:dyDescent="0.35">
      <c r="A952" s="61">
        <v>948</v>
      </c>
      <c r="B952" s="2"/>
      <c r="C952" s="2"/>
      <c r="D952" s="2"/>
      <c r="E952" s="10"/>
      <c r="F952" s="11"/>
      <c r="G952" s="2"/>
      <c r="H952" s="2"/>
      <c r="I952" s="2"/>
      <c r="J952" s="67"/>
    </row>
    <row r="953" spans="1:10" x14ac:dyDescent="0.35">
      <c r="A953" s="61">
        <v>949</v>
      </c>
      <c r="B953" s="2"/>
      <c r="C953" s="2"/>
      <c r="D953" s="2"/>
      <c r="E953" s="10"/>
      <c r="F953" s="11"/>
      <c r="G953" s="2"/>
      <c r="H953" s="2"/>
      <c r="I953" s="2"/>
      <c r="J953" s="67"/>
    </row>
    <row r="954" spans="1:10" x14ac:dyDescent="0.35">
      <c r="A954" s="61">
        <v>950</v>
      </c>
      <c r="B954" s="2"/>
      <c r="C954" s="2"/>
      <c r="D954" s="2"/>
      <c r="E954" s="10"/>
      <c r="F954" s="11"/>
      <c r="G954" s="2"/>
      <c r="H954" s="2"/>
      <c r="I954" s="2"/>
      <c r="J954" s="67"/>
    </row>
    <row r="955" spans="1:10" x14ac:dyDescent="0.35">
      <c r="A955" s="61">
        <v>951</v>
      </c>
      <c r="B955" s="2"/>
      <c r="C955" s="2"/>
      <c r="D955" s="2"/>
      <c r="E955" s="10"/>
      <c r="F955" s="11"/>
      <c r="G955" s="2"/>
      <c r="H955" s="2"/>
      <c r="I955" s="2"/>
      <c r="J955" s="67"/>
    </row>
    <row r="956" spans="1:10" x14ac:dyDescent="0.35">
      <c r="A956" s="61">
        <v>952</v>
      </c>
      <c r="B956" s="2"/>
      <c r="C956" s="2"/>
      <c r="D956" s="2"/>
      <c r="E956" s="10"/>
      <c r="F956" s="11"/>
      <c r="G956" s="2"/>
      <c r="H956" s="2"/>
      <c r="I956" s="2"/>
      <c r="J956" s="67"/>
    </row>
    <row r="957" spans="1:10" x14ac:dyDescent="0.35">
      <c r="A957" s="61">
        <v>953</v>
      </c>
      <c r="B957" s="2"/>
      <c r="C957" s="2"/>
      <c r="D957" s="2"/>
      <c r="E957" s="10"/>
      <c r="F957" s="11"/>
      <c r="G957" s="2"/>
      <c r="H957" s="2"/>
      <c r="I957" s="2"/>
      <c r="J957" s="67"/>
    </row>
    <row r="958" spans="1:10" x14ac:dyDescent="0.35">
      <c r="A958" s="61">
        <v>954</v>
      </c>
      <c r="B958" s="2"/>
      <c r="C958" s="2"/>
      <c r="D958" s="2"/>
      <c r="E958" s="10"/>
      <c r="F958" s="11"/>
      <c r="G958" s="2"/>
      <c r="H958" s="2"/>
      <c r="I958" s="2"/>
      <c r="J958" s="67"/>
    </row>
    <row r="959" spans="1:10" x14ac:dyDescent="0.35">
      <c r="A959" s="61">
        <v>955</v>
      </c>
      <c r="B959" s="2"/>
      <c r="C959" s="2"/>
      <c r="D959" s="2"/>
      <c r="E959" s="10"/>
      <c r="F959" s="11"/>
      <c r="G959" s="2"/>
      <c r="H959" s="2"/>
      <c r="I959" s="2"/>
      <c r="J959" s="67"/>
    </row>
    <row r="960" spans="1:10" x14ac:dyDescent="0.35">
      <c r="A960" s="61">
        <v>956</v>
      </c>
      <c r="B960" s="2"/>
      <c r="C960" s="2"/>
      <c r="D960" s="2"/>
      <c r="E960" s="10"/>
      <c r="F960" s="11"/>
      <c r="G960" s="2"/>
      <c r="H960" s="2"/>
      <c r="I960" s="2"/>
      <c r="J960" s="67"/>
    </row>
    <row r="961" spans="1:10" x14ac:dyDescent="0.35">
      <c r="A961" s="61">
        <v>957</v>
      </c>
      <c r="B961" s="2"/>
      <c r="C961" s="2"/>
      <c r="D961" s="2"/>
      <c r="E961" s="10"/>
      <c r="F961" s="11"/>
      <c r="G961" s="2"/>
      <c r="H961" s="2"/>
      <c r="I961" s="2"/>
      <c r="J961" s="67"/>
    </row>
    <row r="962" spans="1:10" x14ac:dyDescent="0.35">
      <c r="A962" s="61">
        <v>958</v>
      </c>
      <c r="B962" s="2"/>
      <c r="C962" s="2"/>
      <c r="D962" s="2"/>
      <c r="E962" s="10"/>
      <c r="F962" s="11"/>
      <c r="G962" s="2"/>
      <c r="H962" s="2"/>
      <c r="I962" s="2"/>
      <c r="J962" s="67"/>
    </row>
    <row r="963" spans="1:10" x14ac:dyDescent="0.35">
      <c r="A963" s="61">
        <v>959</v>
      </c>
      <c r="B963" s="2"/>
      <c r="C963" s="2"/>
      <c r="D963" s="2"/>
      <c r="E963" s="10"/>
      <c r="F963" s="11"/>
      <c r="G963" s="2"/>
      <c r="H963" s="2"/>
      <c r="I963" s="2"/>
      <c r="J963" s="67"/>
    </row>
    <row r="964" spans="1:10" x14ac:dyDescent="0.35">
      <c r="A964" s="61">
        <v>960</v>
      </c>
      <c r="B964" s="2"/>
      <c r="C964" s="2"/>
      <c r="D964" s="2"/>
      <c r="E964" s="10"/>
      <c r="F964" s="11"/>
      <c r="G964" s="2"/>
      <c r="H964" s="2"/>
      <c r="I964" s="2"/>
      <c r="J964" s="67"/>
    </row>
    <row r="965" spans="1:10" x14ac:dyDescent="0.35">
      <c r="A965" s="61">
        <v>961</v>
      </c>
      <c r="B965" s="2"/>
      <c r="C965" s="2"/>
      <c r="D965" s="2"/>
      <c r="E965" s="10"/>
      <c r="F965" s="11"/>
      <c r="G965" s="2"/>
      <c r="H965" s="2"/>
      <c r="I965" s="2"/>
      <c r="J965" s="67"/>
    </row>
    <row r="966" spans="1:10" x14ac:dyDescent="0.35">
      <c r="A966" s="61">
        <v>962</v>
      </c>
      <c r="B966" s="2"/>
      <c r="C966" s="2"/>
      <c r="D966" s="2"/>
      <c r="E966" s="10"/>
      <c r="F966" s="11"/>
      <c r="G966" s="2"/>
      <c r="H966" s="2"/>
      <c r="I966" s="2"/>
      <c r="J966" s="67"/>
    </row>
    <row r="967" spans="1:10" x14ac:dyDescent="0.35">
      <c r="A967" s="61">
        <v>963</v>
      </c>
      <c r="B967" s="2"/>
      <c r="C967" s="2"/>
      <c r="D967" s="2"/>
      <c r="E967" s="10"/>
      <c r="F967" s="11"/>
      <c r="G967" s="2"/>
      <c r="H967" s="2"/>
      <c r="I967" s="2"/>
      <c r="J967" s="67"/>
    </row>
    <row r="968" spans="1:10" x14ac:dyDescent="0.35">
      <c r="A968" s="61">
        <v>964</v>
      </c>
      <c r="B968" s="2"/>
      <c r="C968" s="2"/>
      <c r="D968" s="2"/>
      <c r="E968" s="10"/>
      <c r="F968" s="11"/>
      <c r="G968" s="2"/>
      <c r="H968" s="2"/>
      <c r="I968" s="2"/>
      <c r="J968" s="67"/>
    </row>
    <row r="969" spans="1:10" x14ac:dyDescent="0.35">
      <c r="A969" s="61">
        <v>965</v>
      </c>
      <c r="B969" s="2"/>
      <c r="C969" s="2"/>
      <c r="D969" s="2"/>
      <c r="E969" s="10"/>
      <c r="F969" s="11"/>
      <c r="G969" s="2"/>
      <c r="H969" s="2"/>
      <c r="I969" s="2"/>
      <c r="J969" s="67"/>
    </row>
    <row r="970" spans="1:10" x14ac:dyDescent="0.35">
      <c r="A970" s="61">
        <v>966</v>
      </c>
      <c r="B970" s="2"/>
      <c r="C970" s="2"/>
      <c r="D970" s="2"/>
      <c r="E970" s="10"/>
      <c r="F970" s="11"/>
      <c r="G970" s="2"/>
      <c r="H970" s="2"/>
      <c r="I970" s="2"/>
      <c r="J970" s="67"/>
    </row>
    <row r="971" spans="1:10" x14ac:dyDescent="0.35">
      <c r="A971" s="61">
        <v>967</v>
      </c>
      <c r="B971" s="2"/>
      <c r="C971" s="2"/>
      <c r="D971" s="2"/>
      <c r="E971" s="10"/>
      <c r="F971" s="11"/>
      <c r="G971" s="2"/>
      <c r="H971" s="2"/>
      <c r="I971" s="2"/>
      <c r="J971" s="67"/>
    </row>
    <row r="972" spans="1:10" x14ac:dyDescent="0.35">
      <c r="A972" s="61">
        <v>968</v>
      </c>
      <c r="B972" s="2"/>
      <c r="C972" s="2"/>
      <c r="D972" s="2"/>
      <c r="E972" s="10"/>
      <c r="F972" s="11"/>
      <c r="G972" s="2"/>
      <c r="H972" s="2"/>
      <c r="I972" s="2"/>
      <c r="J972" s="67"/>
    </row>
    <row r="973" spans="1:10" x14ac:dyDescent="0.35">
      <c r="A973" s="61">
        <v>969</v>
      </c>
      <c r="B973" s="2"/>
      <c r="C973" s="2"/>
      <c r="D973" s="2"/>
      <c r="E973" s="10"/>
      <c r="F973" s="11"/>
      <c r="G973" s="2"/>
      <c r="H973" s="2"/>
      <c r="I973" s="2"/>
      <c r="J973" s="67"/>
    </row>
    <row r="974" spans="1:10" x14ac:dyDescent="0.35">
      <c r="A974" s="61">
        <v>970</v>
      </c>
      <c r="B974" s="2"/>
      <c r="C974" s="2"/>
      <c r="D974" s="2"/>
      <c r="E974" s="10"/>
      <c r="F974" s="11"/>
      <c r="G974" s="2"/>
      <c r="H974" s="2"/>
      <c r="I974" s="2"/>
      <c r="J974" s="67"/>
    </row>
    <row r="975" spans="1:10" x14ac:dyDescent="0.35">
      <c r="A975" s="61">
        <v>971</v>
      </c>
      <c r="B975" s="2"/>
      <c r="C975" s="2"/>
      <c r="D975" s="2"/>
      <c r="E975" s="10"/>
      <c r="F975" s="11"/>
      <c r="G975" s="2"/>
      <c r="H975" s="2"/>
      <c r="I975" s="2"/>
      <c r="J975" s="67"/>
    </row>
    <row r="976" spans="1:10" x14ac:dyDescent="0.35">
      <c r="A976" s="61">
        <v>972</v>
      </c>
      <c r="B976" s="2"/>
      <c r="C976" s="2"/>
      <c r="D976" s="2"/>
      <c r="E976" s="10"/>
      <c r="F976" s="11"/>
      <c r="G976" s="2"/>
      <c r="H976" s="2"/>
      <c r="I976" s="2"/>
      <c r="J976" s="67"/>
    </row>
    <row r="977" spans="1:10" x14ac:dyDescent="0.35">
      <c r="A977" s="61">
        <v>973</v>
      </c>
      <c r="B977" s="2"/>
      <c r="C977" s="2"/>
      <c r="D977" s="2"/>
      <c r="E977" s="10"/>
      <c r="F977" s="11"/>
      <c r="G977" s="2"/>
      <c r="H977" s="2"/>
      <c r="I977" s="2"/>
      <c r="J977" s="67"/>
    </row>
    <row r="978" spans="1:10" x14ac:dyDescent="0.35">
      <c r="A978" s="61">
        <v>974</v>
      </c>
      <c r="B978" s="2"/>
      <c r="C978" s="2"/>
      <c r="D978" s="2"/>
      <c r="E978" s="10"/>
      <c r="F978" s="11"/>
      <c r="G978" s="2"/>
      <c r="H978" s="2"/>
      <c r="I978" s="2"/>
      <c r="J978" s="67"/>
    </row>
    <row r="979" spans="1:10" x14ac:dyDescent="0.35">
      <c r="A979" s="61">
        <v>975</v>
      </c>
      <c r="B979" s="2"/>
      <c r="C979" s="2"/>
      <c r="D979" s="2"/>
      <c r="E979" s="10"/>
      <c r="F979" s="11"/>
      <c r="G979" s="2"/>
      <c r="H979" s="2"/>
      <c r="I979" s="2"/>
      <c r="J979" s="67"/>
    </row>
    <row r="980" spans="1:10" x14ac:dyDescent="0.35">
      <c r="A980" s="61">
        <v>976</v>
      </c>
      <c r="B980" s="2"/>
      <c r="C980" s="2"/>
      <c r="D980" s="2"/>
      <c r="E980" s="10"/>
      <c r="F980" s="11"/>
      <c r="G980" s="2"/>
      <c r="H980" s="2"/>
      <c r="I980" s="2"/>
      <c r="J980" s="67"/>
    </row>
    <row r="981" spans="1:10" x14ac:dyDescent="0.35">
      <c r="A981" s="61">
        <v>977</v>
      </c>
      <c r="B981" s="2"/>
      <c r="C981" s="2"/>
      <c r="D981" s="2"/>
      <c r="E981" s="10"/>
      <c r="F981" s="11"/>
      <c r="G981" s="2"/>
      <c r="H981" s="2"/>
      <c r="I981" s="2"/>
      <c r="J981" s="67"/>
    </row>
    <row r="982" spans="1:10" x14ac:dyDescent="0.35">
      <c r="A982" s="61">
        <v>978</v>
      </c>
      <c r="B982" s="2"/>
      <c r="C982" s="2"/>
      <c r="D982" s="2"/>
      <c r="E982" s="10"/>
      <c r="F982" s="11"/>
      <c r="G982" s="2"/>
      <c r="H982" s="2"/>
      <c r="I982" s="2"/>
      <c r="J982" s="67"/>
    </row>
    <row r="983" spans="1:10" x14ac:dyDescent="0.35">
      <c r="A983" s="61">
        <v>979</v>
      </c>
      <c r="B983" s="2"/>
      <c r="C983" s="2"/>
      <c r="D983" s="2"/>
      <c r="E983" s="10"/>
      <c r="F983" s="11"/>
      <c r="G983" s="2"/>
      <c r="H983" s="2"/>
      <c r="I983" s="2"/>
      <c r="J983" s="67"/>
    </row>
    <row r="984" spans="1:10" x14ac:dyDescent="0.35">
      <c r="A984" s="61">
        <v>980</v>
      </c>
      <c r="B984" s="2"/>
      <c r="C984" s="2"/>
      <c r="D984" s="2"/>
      <c r="E984" s="10"/>
      <c r="F984" s="11"/>
      <c r="G984" s="2"/>
      <c r="H984" s="2"/>
      <c r="I984" s="2"/>
      <c r="J984" s="67"/>
    </row>
    <row r="985" spans="1:10" x14ac:dyDescent="0.35">
      <c r="A985" s="61">
        <v>981</v>
      </c>
      <c r="B985" s="2"/>
      <c r="C985" s="2"/>
      <c r="D985" s="2"/>
      <c r="E985" s="10"/>
      <c r="F985" s="11"/>
      <c r="G985" s="2"/>
      <c r="H985" s="2"/>
      <c r="I985" s="2"/>
      <c r="J985" s="67"/>
    </row>
    <row r="986" spans="1:10" x14ac:dyDescent="0.35">
      <c r="A986" s="61">
        <v>982</v>
      </c>
      <c r="B986" s="2"/>
      <c r="C986" s="2"/>
      <c r="D986" s="2"/>
      <c r="E986" s="10"/>
      <c r="F986" s="11"/>
      <c r="G986" s="2"/>
      <c r="H986" s="2"/>
      <c r="I986" s="2"/>
      <c r="J986" s="67"/>
    </row>
    <row r="987" spans="1:10" x14ac:dyDescent="0.35">
      <c r="A987" s="61">
        <v>983</v>
      </c>
      <c r="B987" s="2"/>
      <c r="C987" s="2"/>
      <c r="D987" s="2"/>
      <c r="E987" s="10"/>
      <c r="F987" s="11"/>
      <c r="G987" s="2"/>
      <c r="H987" s="2"/>
      <c r="I987" s="2"/>
      <c r="J987" s="67"/>
    </row>
    <row r="988" spans="1:10" x14ac:dyDescent="0.35">
      <c r="A988" s="61">
        <v>984</v>
      </c>
      <c r="B988" s="2"/>
      <c r="C988" s="2"/>
      <c r="D988" s="2"/>
      <c r="E988" s="10"/>
      <c r="F988" s="11"/>
      <c r="G988" s="2"/>
      <c r="H988" s="2"/>
      <c r="I988" s="2"/>
      <c r="J988" s="67"/>
    </row>
    <row r="989" spans="1:10" x14ac:dyDescent="0.35">
      <c r="A989" s="61">
        <v>985</v>
      </c>
      <c r="B989" s="2"/>
      <c r="C989" s="2"/>
      <c r="D989" s="2"/>
      <c r="E989" s="10"/>
      <c r="F989" s="11"/>
      <c r="G989" s="2"/>
      <c r="H989" s="2"/>
      <c r="I989" s="2"/>
      <c r="J989" s="67"/>
    </row>
    <row r="990" spans="1:10" x14ac:dyDescent="0.35">
      <c r="A990" s="61">
        <v>986</v>
      </c>
      <c r="B990" s="2"/>
      <c r="C990" s="2"/>
      <c r="D990" s="2"/>
      <c r="E990" s="10"/>
      <c r="F990" s="11"/>
      <c r="G990" s="2"/>
      <c r="H990" s="2"/>
      <c r="I990" s="2"/>
      <c r="J990" s="67"/>
    </row>
    <row r="991" spans="1:10" x14ac:dyDescent="0.35">
      <c r="A991" s="61">
        <v>987</v>
      </c>
      <c r="B991" s="2"/>
      <c r="C991" s="2"/>
      <c r="D991" s="2"/>
      <c r="E991" s="10"/>
      <c r="F991" s="11"/>
      <c r="G991" s="2"/>
      <c r="H991" s="2"/>
      <c r="I991" s="2"/>
      <c r="J991" s="67"/>
    </row>
    <row r="992" spans="1:10" x14ac:dyDescent="0.35">
      <c r="A992" s="61">
        <v>988</v>
      </c>
      <c r="B992" s="2"/>
      <c r="C992" s="2"/>
      <c r="D992" s="2"/>
      <c r="E992" s="10"/>
      <c r="F992" s="11"/>
      <c r="G992" s="2"/>
      <c r="H992" s="2"/>
      <c r="I992" s="2"/>
      <c r="J992" s="67"/>
    </row>
    <row r="993" spans="1:10" x14ac:dyDescent="0.35">
      <c r="A993" s="61">
        <v>989</v>
      </c>
      <c r="B993" s="2"/>
      <c r="C993" s="2"/>
      <c r="D993" s="2"/>
      <c r="E993" s="10"/>
      <c r="F993" s="11"/>
      <c r="G993" s="2"/>
      <c r="H993" s="2"/>
      <c r="I993" s="2"/>
      <c r="J993" s="67"/>
    </row>
    <row r="994" spans="1:10" x14ac:dyDescent="0.35">
      <c r="A994" s="61">
        <v>990</v>
      </c>
      <c r="B994" s="2"/>
      <c r="C994" s="2"/>
      <c r="D994" s="2"/>
      <c r="E994" s="10"/>
      <c r="F994" s="11"/>
      <c r="G994" s="2"/>
      <c r="H994" s="2"/>
      <c r="I994" s="2"/>
      <c r="J994" s="67"/>
    </row>
    <row r="995" spans="1:10" x14ac:dyDescent="0.35">
      <c r="A995" s="61">
        <v>991</v>
      </c>
      <c r="B995" s="2"/>
      <c r="C995" s="2"/>
      <c r="D995" s="2"/>
      <c r="E995" s="10"/>
      <c r="F995" s="11"/>
      <c r="G995" s="2"/>
      <c r="H995" s="2"/>
      <c r="I995" s="2"/>
      <c r="J995" s="67"/>
    </row>
    <row r="996" spans="1:10" x14ac:dyDescent="0.35">
      <c r="A996" s="61">
        <v>992</v>
      </c>
      <c r="B996" s="2"/>
      <c r="C996" s="2"/>
      <c r="D996" s="2"/>
      <c r="E996" s="10"/>
      <c r="F996" s="11"/>
      <c r="G996" s="2"/>
      <c r="H996" s="2"/>
      <c r="I996" s="2"/>
      <c r="J996" s="67"/>
    </row>
    <row r="997" spans="1:10" x14ac:dyDescent="0.35">
      <c r="A997" s="61">
        <v>993</v>
      </c>
      <c r="B997" s="2"/>
      <c r="C997" s="2"/>
      <c r="D997" s="2"/>
      <c r="E997" s="10"/>
      <c r="F997" s="11"/>
      <c r="G997" s="2"/>
      <c r="H997" s="2"/>
      <c r="I997" s="2"/>
      <c r="J997" s="67"/>
    </row>
    <row r="998" spans="1:10" x14ac:dyDescent="0.35">
      <c r="A998" s="61">
        <v>994</v>
      </c>
      <c r="B998" s="2"/>
      <c r="C998" s="2"/>
      <c r="D998" s="2"/>
      <c r="E998" s="10"/>
      <c r="F998" s="11"/>
      <c r="G998" s="2"/>
      <c r="H998" s="2"/>
      <c r="I998" s="2"/>
      <c r="J998" s="67"/>
    </row>
    <row r="999" spans="1:10" x14ac:dyDescent="0.35">
      <c r="A999" s="61">
        <v>995</v>
      </c>
      <c r="B999" s="2"/>
      <c r="C999" s="2"/>
      <c r="D999" s="2"/>
      <c r="E999" s="10"/>
      <c r="F999" s="11"/>
      <c r="G999" s="2"/>
      <c r="H999" s="2"/>
      <c r="I999" s="2"/>
      <c r="J999" s="67"/>
    </row>
    <row r="1000" spans="1:10" x14ac:dyDescent="0.35">
      <c r="A1000" s="61">
        <v>996</v>
      </c>
      <c r="B1000" s="2"/>
      <c r="C1000" s="2"/>
      <c r="D1000" s="2"/>
      <c r="E1000" s="10"/>
      <c r="F1000" s="11"/>
      <c r="G1000" s="2"/>
      <c r="H1000" s="2"/>
      <c r="I1000" s="2"/>
      <c r="J1000" s="67"/>
    </row>
    <row r="1001" spans="1:10" x14ac:dyDescent="0.35">
      <c r="A1001" s="61">
        <v>997</v>
      </c>
      <c r="B1001" s="2"/>
      <c r="C1001" s="2"/>
      <c r="D1001" s="2"/>
      <c r="E1001" s="10"/>
      <c r="F1001" s="11"/>
      <c r="G1001" s="2"/>
      <c r="H1001" s="2"/>
      <c r="I1001" s="2"/>
      <c r="J1001" s="67"/>
    </row>
    <row r="1002" spans="1:10" x14ac:dyDescent="0.35">
      <c r="A1002" s="61">
        <v>998</v>
      </c>
      <c r="B1002" s="2"/>
      <c r="C1002" s="2"/>
      <c r="D1002" s="2"/>
      <c r="E1002" s="10"/>
      <c r="F1002" s="11"/>
      <c r="G1002" s="2"/>
      <c r="H1002" s="2"/>
      <c r="I1002" s="2"/>
      <c r="J1002" s="67"/>
    </row>
    <row r="1003" spans="1:10" x14ac:dyDescent="0.35">
      <c r="A1003" s="61">
        <v>999</v>
      </c>
      <c r="B1003" s="2"/>
      <c r="C1003" s="2"/>
      <c r="D1003" s="2"/>
      <c r="E1003" s="10"/>
      <c r="F1003" s="11"/>
      <c r="G1003" s="2"/>
      <c r="H1003" s="2"/>
      <c r="I1003" s="2"/>
      <c r="J1003" s="67"/>
    </row>
    <row r="1004" spans="1:10" x14ac:dyDescent="0.35">
      <c r="A1004" s="61">
        <v>1000</v>
      </c>
      <c r="B1004" s="2"/>
      <c r="C1004" s="2"/>
      <c r="D1004" s="2"/>
      <c r="E1004" s="10"/>
      <c r="F1004" s="11"/>
      <c r="G1004" s="2"/>
      <c r="H1004" s="2"/>
      <c r="I1004" s="2"/>
      <c r="J1004" s="67"/>
    </row>
    <row r="1005" spans="1:10" x14ac:dyDescent="0.35">
      <c r="A1005" s="61">
        <v>1001</v>
      </c>
      <c r="B1005" s="2"/>
      <c r="C1005" s="2"/>
      <c r="D1005" s="2"/>
      <c r="E1005" s="10"/>
      <c r="F1005" s="11"/>
      <c r="G1005" s="2"/>
      <c r="H1005" s="2"/>
      <c r="I1005" s="2"/>
      <c r="J1005" s="67"/>
    </row>
    <row r="1006" spans="1:10" x14ac:dyDescent="0.35">
      <c r="A1006" s="61">
        <v>1002</v>
      </c>
      <c r="B1006" s="2"/>
      <c r="C1006" s="2"/>
      <c r="D1006" s="2"/>
      <c r="E1006" s="10"/>
      <c r="F1006" s="11"/>
      <c r="G1006" s="2"/>
      <c r="H1006" s="2"/>
      <c r="I1006" s="2"/>
      <c r="J1006" s="67"/>
    </row>
    <row r="1007" spans="1:10" x14ac:dyDescent="0.35">
      <c r="A1007" s="61">
        <v>1003</v>
      </c>
      <c r="B1007" s="2"/>
      <c r="C1007" s="2"/>
      <c r="D1007" s="2"/>
      <c r="E1007" s="10"/>
      <c r="F1007" s="11"/>
      <c r="G1007" s="2"/>
      <c r="H1007" s="2"/>
      <c r="I1007" s="2"/>
      <c r="J1007" s="67"/>
    </row>
    <row r="1008" spans="1:10" x14ac:dyDescent="0.35">
      <c r="A1008" s="61">
        <v>1004</v>
      </c>
      <c r="B1008" s="2"/>
      <c r="C1008" s="2"/>
      <c r="D1008" s="2"/>
      <c r="E1008" s="10"/>
      <c r="F1008" s="11"/>
      <c r="G1008" s="2"/>
      <c r="H1008" s="2"/>
      <c r="I1008" s="2"/>
      <c r="J1008" s="67"/>
    </row>
    <row r="1009" spans="1:10" x14ac:dyDescent="0.35">
      <c r="A1009" s="61">
        <v>1005</v>
      </c>
      <c r="B1009" s="2"/>
      <c r="C1009" s="2"/>
      <c r="D1009" s="2"/>
      <c r="E1009" s="10"/>
      <c r="F1009" s="11"/>
      <c r="G1009" s="2"/>
      <c r="H1009" s="2"/>
      <c r="I1009" s="2"/>
      <c r="J1009" s="67"/>
    </row>
    <row r="1010" spans="1:10" x14ac:dyDescent="0.35">
      <c r="A1010" s="61">
        <v>1006</v>
      </c>
      <c r="B1010" s="2"/>
      <c r="C1010" s="2"/>
      <c r="D1010" s="2"/>
      <c r="E1010" s="10"/>
      <c r="F1010" s="11"/>
      <c r="G1010" s="2"/>
      <c r="H1010" s="2"/>
      <c r="I1010" s="2"/>
      <c r="J1010" s="67"/>
    </row>
    <row r="1011" spans="1:10" x14ac:dyDescent="0.35">
      <c r="A1011" s="61">
        <v>1007</v>
      </c>
      <c r="B1011" s="2"/>
      <c r="C1011" s="2"/>
      <c r="D1011" s="2"/>
      <c r="E1011" s="10"/>
      <c r="F1011" s="11"/>
      <c r="G1011" s="2"/>
      <c r="H1011" s="2"/>
      <c r="I1011" s="2"/>
      <c r="J1011" s="67"/>
    </row>
    <row r="1012" spans="1:10" x14ac:dyDescent="0.35">
      <c r="A1012" s="61">
        <v>1008</v>
      </c>
      <c r="B1012" s="2"/>
      <c r="C1012" s="2"/>
      <c r="D1012" s="2"/>
      <c r="E1012" s="10"/>
      <c r="F1012" s="11"/>
      <c r="G1012" s="2"/>
      <c r="H1012" s="2"/>
      <c r="I1012" s="2"/>
      <c r="J1012" s="67"/>
    </row>
    <row r="1013" spans="1:10" x14ac:dyDescent="0.35">
      <c r="A1013" s="61">
        <v>1009</v>
      </c>
      <c r="B1013" s="2"/>
      <c r="C1013" s="2"/>
      <c r="D1013" s="2"/>
      <c r="E1013" s="10"/>
      <c r="F1013" s="11"/>
      <c r="G1013" s="2"/>
      <c r="H1013" s="2"/>
      <c r="I1013" s="2"/>
      <c r="J1013" s="67"/>
    </row>
    <row r="1014" spans="1:10" x14ac:dyDescent="0.35">
      <c r="A1014" s="61">
        <v>1010</v>
      </c>
      <c r="B1014" s="2"/>
      <c r="C1014" s="2"/>
      <c r="D1014" s="2"/>
      <c r="E1014" s="10"/>
      <c r="F1014" s="11"/>
      <c r="G1014" s="2"/>
      <c r="H1014" s="2"/>
      <c r="I1014" s="2"/>
      <c r="J1014" s="67"/>
    </row>
    <row r="1015" spans="1:10" x14ac:dyDescent="0.35">
      <c r="A1015" s="61">
        <v>1011</v>
      </c>
      <c r="B1015" s="2"/>
      <c r="C1015" s="2"/>
      <c r="D1015" s="2"/>
      <c r="E1015" s="10"/>
      <c r="F1015" s="11"/>
      <c r="G1015" s="2"/>
      <c r="H1015" s="2"/>
      <c r="I1015" s="2"/>
      <c r="J1015" s="67"/>
    </row>
    <row r="1016" spans="1:10" x14ac:dyDescent="0.35">
      <c r="A1016" s="61">
        <v>1012</v>
      </c>
      <c r="B1016" s="2"/>
      <c r="C1016" s="2"/>
      <c r="D1016" s="2"/>
      <c r="E1016" s="10"/>
      <c r="F1016" s="11"/>
      <c r="G1016" s="2"/>
      <c r="H1016" s="2"/>
      <c r="I1016" s="2"/>
      <c r="J1016" s="67"/>
    </row>
    <row r="1017" spans="1:10" x14ac:dyDescent="0.35">
      <c r="A1017" s="61">
        <v>1013</v>
      </c>
      <c r="B1017" s="2"/>
      <c r="C1017" s="2"/>
      <c r="D1017" s="2"/>
      <c r="E1017" s="10"/>
      <c r="F1017" s="11"/>
      <c r="G1017" s="2"/>
      <c r="H1017" s="2"/>
      <c r="I1017" s="2"/>
      <c r="J1017" s="67"/>
    </row>
    <row r="1018" spans="1:10" x14ac:dyDescent="0.35">
      <c r="A1018" s="61">
        <v>1014</v>
      </c>
      <c r="B1018" s="2"/>
      <c r="C1018" s="2"/>
      <c r="D1018" s="2"/>
      <c r="E1018" s="10"/>
      <c r="F1018" s="11"/>
      <c r="G1018" s="2"/>
      <c r="H1018" s="2"/>
      <c r="I1018" s="2"/>
      <c r="J1018" s="67"/>
    </row>
    <row r="1019" spans="1:10" x14ac:dyDescent="0.35">
      <c r="A1019" s="61">
        <v>1015</v>
      </c>
      <c r="B1019" s="2"/>
      <c r="C1019" s="2"/>
      <c r="D1019" s="2"/>
      <c r="E1019" s="10"/>
      <c r="F1019" s="11"/>
      <c r="G1019" s="2"/>
      <c r="H1019" s="2"/>
      <c r="I1019" s="2"/>
      <c r="J1019" s="67"/>
    </row>
    <row r="1020" spans="1:10" x14ac:dyDescent="0.35">
      <c r="A1020" s="61">
        <v>1016</v>
      </c>
      <c r="B1020" s="2"/>
      <c r="C1020" s="2"/>
      <c r="D1020" s="2"/>
      <c r="E1020" s="10"/>
      <c r="F1020" s="11"/>
      <c r="G1020" s="2"/>
      <c r="H1020" s="2"/>
      <c r="I1020" s="2"/>
      <c r="J1020" s="67"/>
    </row>
    <row r="1021" spans="1:10" x14ac:dyDescent="0.35">
      <c r="A1021" s="61">
        <v>1017</v>
      </c>
      <c r="B1021" s="2"/>
      <c r="C1021" s="2"/>
      <c r="D1021" s="2"/>
      <c r="E1021" s="10"/>
      <c r="F1021" s="11"/>
      <c r="G1021" s="2"/>
      <c r="H1021" s="2"/>
      <c r="I1021" s="2"/>
      <c r="J1021" s="67"/>
    </row>
    <row r="1022" spans="1:10" x14ac:dyDescent="0.35">
      <c r="A1022" s="61">
        <v>1018</v>
      </c>
      <c r="B1022" s="2"/>
      <c r="C1022" s="2"/>
      <c r="D1022" s="2"/>
      <c r="E1022" s="10"/>
      <c r="F1022" s="11"/>
      <c r="G1022" s="2"/>
      <c r="H1022" s="2"/>
      <c r="I1022" s="2"/>
      <c r="J1022" s="67"/>
    </row>
    <row r="1023" spans="1:10" x14ac:dyDescent="0.35">
      <c r="A1023" s="61">
        <v>1019</v>
      </c>
      <c r="B1023" s="2"/>
      <c r="C1023" s="2"/>
      <c r="D1023" s="2"/>
      <c r="E1023" s="10"/>
      <c r="F1023" s="11"/>
      <c r="G1023" s="2"/>
      <c r="H1023" s="2"/>
      <c r="I1023" s="2"/>
      <c r="J1023" s="67"/>
    </row>
    <row r="1024" spans="1:10" x14ac:dyDescent="0.35">
      <c r="A1024" s="61">
        <v>1020</v>
      </c>
      <c r="B1024" s="2"/>
      <c r="C1024" s="2"/>
      <c r="D1024" s="2"/>
      <c r="E1024" s="10"/>
      <c r="F1024" s="11"/>
      <c r="G1024" s="2"/>
      <c r="H1024" s="2"/>
      <c r="I1024" s="2"/>
      <c r="J1024" s="67"/>
    </row>
    <row r="1025" spans="1:10" x14ac:dyDescent="0.35">
      <c r="A1025" s="61">
        <v>1021</v>
      </c>
      <c r="B1025" s="2"/>
      <c r="C1025" s="2"/>
      <c r="D1025" s="2"/>
      <c r="E1025" s="10"/>
      <c r="F1025" s="11"/>
      <c r="G1025" s="2"/>
      <c r="H1025" s="2"/>
      <c r="I1025" s="2"/>
      <c r="J1025" s="67"/>
    </row>
    <row r="1026" spans="1:10" x14ac:dyDescent="0.35">
      <c r="A1026" s="61">
        <v>1022</v>
      </c>
      <c r="B1026" s="2"/>
      <c r="C1026" s="2"/>
      <c r="D1026" s="2"/>
      <c r="E1026" s="10"/>
      <c r="F1026" s="11"/>
      <c r="G1026" s="2"/>
      <c r="H1026" s="2"/>
      <c r="I1026" s="2"/>
      <c r="J1026" s="67"/>
    </row>
    <row r="1027" spans="1:10" x14ac:dyDescent="0.35">
      <c r="A1027" s="61">
        <v>1023</v>
      </c>
      <c r="B1027" s="2"/>
      <c r="C1027" s="2"/>
      <c r="D1027" s="2"/>
      <c r="E1027" s="10"/>
      <c r="F1027" s="11"/>
      <c r="G1027" s="2"/>
      <c r="H1027" s="2"/>
      <c r="I1027" s="2"/>
      <c r="J1027" s="67"/>
    </row>
    <row r="1028" spans="1:10" x14ac:dyDescent="0.35">
      <c r="A1028" s="61">
        <v>1024</v>
      </c>
      <c r="B1028" s="2"/>
      <c r="C1028" s="2"/>
      <c r="D1028" s="2"/>
      <c r="E1028" s="10"/>
      <c r="F1028" s="11"/>
      <c r="G1028" s="2"/>
      <c r="H1028" s="2"/>
      <c r="I1028" s="2"/>
      <c r="J1028" s="67"/>
    </row>
    <row r="1029" spans="1:10" x14ac:dyDescent="0.35">
      <c r="A1029" s="61">
        <v>1025</v>
      </c>
      <c r="B1029" s="2"/>
      <c r="C1029" s="2"/>
      <c r="D1029" s="2"/>
      <c r="E1029" s="10"/>
      <c r="F1029" s="11"/>
      <c r="G1029" s="2"/>
      <c r="H1029" s="2"/>
      <c r="I1029" s="2"/>
      <c r="J1029" s="67"/>
    </row>
    <row r="1030" spans="1:10" x14ac:dyDescent="0.35">
      <c r="A1030" s="61">
        <v>1026</v>
      </c>
      <c r="B1030" s="2"/>
      <c r="C1030" s="2"/>
      <c r="D1030" s="2"/>
      <c r="E1030" s="10"/>
      <c r="F1030" s="11"/>
      <c r="G1030" s="2"/>
      <c r="H1030" s="2"/>
      <c r="I1030" s="2"/>
      <c r="J1030" s="67"/>
    </row>
    <row r="1031" spans="1:10" x14ac:dyDescent="0.35">
      <c r="A1031" s="61">
        <v>1027</v>
      </c>
      <c r="B1031" s="2"/>
      <c r="C1031" s="2"/>
      <c r="D1031" s="2"/>
      <c r="E1031" s="10"/>
      <c r="F1031" s="11"/>
      <c r="G1031" s="2"/>
      <c r="H1031" s="2"/>
      <c r="I1031" s="2"/>
      <c r="J1031" s="67"/>
    </row>
    <row r="1032" spans="1:10" x14ac:dyDescent="0.35">
      <c r="A1032" s="61">
        <v>1028</v>
      </c>
      <c r="B1032" s="2"/>
      <c r="C1032" s="2"/>
      <c r="D1032" s="2"/>
      <c r="E1032" s="10"/>
      <c r="F1032" s="11"/>
      <c r="G1032" s="2"/>
      <c r="H1032" s="2"/>
      <c r="I1032" s="2"/>
      <c r="J1032" s="67"/>
    </row>
    <row r="1033" spans="1:10" x14ac:dyDescent="0.35">
      <c r="A1033" s="61">
        <v>1029</v>
      </c>
      <c r="B1033" s="2"/>
      <c r="C1033" s="2"/>
      <c r="D1033" s="2"/>
      <c r="E1033" s="10"/>
      <c r="F1033" s="11"/>
      <c r="G1033" s="2"/>
      <c r="H1033" s="2"/>
      <c r="I1033" s="2"/>
      <c r="J1033" s="67"/>
    </row>
    <row r="1034" spans="1:10" x14ac:dyDescent="0.35">
      <c r="A1034" s="61">
        <v>1030</v>
      </c>
      <c r="B1034" s="2"/>
      <c r="C1034" s="2"/>
      <c r="D1034" s="2"/>
      <c r="E1034" s="10"/>
      <c r="F1034" s="11"/>
      <c r="G1034" s="2"/>
      <c r="H1034" s="2"/>
      <c r="I1034" s="2"/>
      <c r="J1034" s="67"/>
    </row>
    <row r="1035" spans="1:10" x14ac:dyDescent="0.35">
      <c r="A1035" s="61">
        <v>1031</v>
      </c>
      <c r="B1035" s="2"/>
      <c r="C1035" s="2"/>
      <c r="D1035" s="2"/>
      <c r="E1035" s="10"/>
      <c r="F1035" s="11"/>
      <c r="G1035" s="2"/>
      <c r="H1035" s="2"/>
      <c r="I1035" s="2"/>
      <c r="J1035" s="67"/>
    </row>
    <row r="1036" spans="1:10" x14ac:dyDescent="0.35">
      <c r="A1036" s="61">
        <v>1032</v>
      </c>
      <c r="B1036" s="2"/>
      <c r="C1036" s="2"/>
      <c r="D1036" s="2"/>
      <c r="E1036" s="10"/>
      <c r="F1036" s="11"/>
      <c r="G1036" s="2"/>
      <c r="H1036" s="2"/>
      <c r="I1036" s="2"/>
      <c r="J1036" s="67"/>
    </row>
    <row r="1037" spans="1:10" x14ac:dyDescent="0.35">
      <c r="A1037" s="61">
        <v>1033</v>
      </c>
      <c r="B1037" s="2"/>
      <c r="C1037" s="2"/>
      <c r="D1037" s="2"/>
      <c r="E1037" s="10"/>
      <c r="F1037" s="11"/>
      <c r="G1037" s="2"/>
      <c r="H1037" s="2"/>
      <c r="I1037" s="2"/>
      <c r="J1037" s="67"/>
    </row>
    <row r="1038" spans="1:10" x14ac:dyDescent="0.35">
      <c r="A1038" s="61">
        <v>1034</v>
      </c>
      <c r="B1038" s="2"/>
      <c r="C1038" s="2"/>
      <c r="D1038" s="2"/>
      <c r="E1038" s="10"/>
      <c r="F1038" s="11"/>
      <c r="G1038" s="2"/>
      <c r="H1038" s="2"/>
      <c r="I1038" s="2"/>
      <c r="J1038" s="67"/>
    </row>
    <row r="1039" spans="1:10" x14ac:dyDescent="0.35">
      <c r="A1039" s="61">
        <v>1035</v>
      </c>
      <c r="B1039" s="2"/>
      <c r="C1039" s="2"/>
      <c r="D1039" s="2"/>
      <c r="E1039" s="10"/>
      <c r="F1039" s="11"/>
      <c r="G1039" s="2"/>
      <c r="H1039" s="2"/>
      <c r="I1039" s="2"/>
      <c r="J1039" s="67"/>
    </row>
    <row r="1040" spans="1:10" x14ac:dyDescent="0.35">
      <c r="A1040" s="61">
        <v>1036</v>
      </c>
      <c r="B1040" s="2"/>
      <c r="C1040" s="2"/>
      <c r="D1040" s="2"/>
      <c r="E1040" s="10"/>
      <c r="F1040" s="11"/>
      <c r="G1040" s="2"/>
      <c r="H1040" s="2"/>
      <c r="I1040" s="2"/>
      <c r="J1040" s="67"/>
    </row>
    <row r="1041" spans="1:10" x14ac:dyDescent="0.35">
      <c r="A1041" s="61">
        <v>1037</v>
      </c>
      <c r="B1041" s="2"/>
      <c r="C1041" s="2"/>
      <c r="D1041" s="2"/>
      <c r="E1041" s="10"/>
      <c r="F1041" s="11"/>
      <c r="G1041" s="2"/>
      <c r="H1041" s="2"/>
      <c r="I1041" s="2"/>
      <c r="J1041" s="67"/>
    </row>
    <row r="1042" spans="1:10" x14ac:dyDescent="0.35">
      <c r="A1042" s="61">
        <v>1038</v>
      </c>
      <c r="B1042" s="2"/>
      <c r="C1042" s="2"/>
      <c r="D1042" s="2"/>
      <c r="E1042" s="10"/>
      <c r="F1042" s="11"/>
      <c r="G1042" s="2"/>
      <c r="H1042" s="2"/>
      <c r="I1042" s="2"/>
      <c r="J1042" s="67"/>
    </row>
    <row r="1043" spans="1:10" x14ac:dyDescent="0.35">
      <c r="A1043" s="61">
        <v>1039</v>
      </c>
      <c r="B1043" s="2"/>
      <c r="C1043" s="2"/>
      <c r="D1043" s="2"/>
      <c r="E1043" s="10"/>
      <c r="F1043" s="11"/>
      <c r="G1043" s="2"/>
      <c r="H1043" s="2"/>
      <c r="I1043" s="2"/>
      <c r="J1043" s="67"/>
    </row>
    <row r="1044" spans="1:10" x14ac:dyDescent="0.35">
      <c r="A1044" s="61">
        <v>1040</v>
      </c>
      <c r="B1044" s="2"/>
      <c r="C1044" s="2"/>
      <c r="D1044" s="2"/>
      <c r="E1044" s="10"/>
      <c r="F1044" s="11"/>
      <c r="G1044" s="2"/>
      <c r="H1044" s="2"/>
      <c r="I1044" s="2"/>
      <c r="J1044" s="67"/>
    </row>
    <row r="1045" spans="1:10" x14ac:dyDescent="0.35">
      <c r="A1045" s="61">
        <v>1041</v>
      </c>
      <c r="B1045" s="2"/>
      <c r="C1045" s="2"/>
      <c r="D1045" s="2"/>
      <c r="E1045" s="10"/>
      <c r="F1045" s="11"/>
      <c r="G1045" s="2"/>
      <c r="H1045" s="2"/>
      <c r="I1045" s="2"/>
      <c r="J1045" s="67"/>
    </row>
    <row r="1046" spans="1:10" x14ac:dyDescent="0.35">
      <c r="A1046" s="61">
        <v>1042</v>
      </c>
      <c r="B1046" s="2"/>
      <c r="C1046" s="2"/>
      <c r="D1046" s="2"/>
      <c r="E1046" s="10"/>
      <c r="F1046" s="11"/>
      <c r="G1046" s="2"/>
      <c r="H1046" s="2"/>
      <c r="I1046" s="2"/>
      <c r="J1046" s="67"/>
    </row>
    <row r="1047" spans="1:10" x14ac:dyDescent="0.35">
      <c r="A1047" s="61">
        <v>1043</v>
      </c>
      <c r="B1047" s="2"/>
      <c r="C1047" s="2"/>
      <c r="D1047" s="2"/>
      <c r="E1047" s="10"/>
      <c r="F1047" s="11"/>
      <c r="G1047" s="2"/>
      <c r="H1047" s="2"/>
      <c r="I1047" s="2"/>
      <c r="J1047" s="67"/>
    </row>
    <row r="1048" spans="1:10" x14ac:dyDescent="0.35">
      <c r="A1048" s="61">
        <v>1044</v>
      </c>
      <c r="B1048" s="2"/>
      <c r="C1048" s="2"/>
      <c r="D1048" s="2"/>
      <c r="E1048" s="10"/>
      <c r="F1048" s="11"/>
      <c r="G1048" s="2"/>
      <c r="H1048" s="2"/>
      <c r="I1048" s="2"/>
      <c r="J1048" s="67"/>
    </row>
    <row r="1049" spans="1:10" x14ac:dyDescent="0.35">
      <c r="A1049" s="61">
        <v>1045</v>
      </c>
      <c r="B1049" s="2"/>
      <c r="C1049" s="2"/>
      <c r="D1049" s="2"/>
      <c r="E1049" s="10"/>
      <c r="F1049" s="11"/>
      <c r="G1049" s="2"/>
      <c r="H1049" s="2"/>
      <c r="I1049" s="2"/>
      <c r="J1049" s="67"/>
    </row>
    <row r="1050" spans="1:10" x14ac:dyDescent="0.35">
      <c r="A1050" s="61">
        <v>1046</v>
      </c>
      <c r="B1050" s="2"/>
      <c r="C1050" s="2"/>
      <c r="D1050" s="2"/>
      <c r="E1050" s="10"/>
      <c r="F1050" s="11"/>
      <c r="G1050" s="2"/>
      <c r="H1050" s="2"/>
      <c r="I1050" s="2"/>
      <c r="J1050" s="67"/>
    </row>
    <row r="1051" spans="1:10" x14ac:dyDescent="0.35">
      <c r="A1051" s="61">
        <v>1047</v>
      </c>
      <c r="B1051" s="2"/>
      <c r="C1051" s="2"/>
      <c r="D1051" s="2"/>
      <c r="E1051" s="10"/>
      <c r="F1051" s="11"/>
      <c r="G1051" s="2"/>
      <c r="H1051" s="2"/>
      <c r="I1051" s="2"/>
      <c r="J1051" s="67"/>
    </row>
    <row r="1052" spans="1:10" x14ac:dyDescent="0.35">
      <c r="A1052" s="61">
        <v>1048</v>
      </c>
      <c r="B1052" s="2"/>
      <c r="C1052" s="2"/>
      <c r="D1052" s="2"/>
      <c r="E1052" s="10"/>
      <c r="F1052" s="11"/>
      <c r="G1052" s="2"/>
      <c r="H1052" s="2"/>
      <c r="I1052" s="2"/>
      <c r="J1052" s="67"/>
    </row>
    <row r="1053" spans="1:10" x14ac:dyDescent="0.35">
      <c r="A1053" s="61">
        <v>1049</v>
      </c>
      <c r="B1053" s="2"/>
      <c r="C1053" s="2"/>
      <c r="D1053" s="2"/>
      <c r="E1053" s="10"/>
      <c r="F1053" s="11"/>
      <c r="G1053" s="2"/>
      <c r="H1053" s="2"/>
      <c r="I1053" s="2"/>
      <c r="J1053" s="67"/>
    </row>
    <row r="1054" spans="1:10" x14ac:dyDescent="0.35">
      <c r="A1054" s="61">
        <v>1050</v>
      </c>
      <c r="B1054" s="2"/>
      <c r="C1054" s="2"/>
      <c r="D1054" s="2"/>
      <c r="E1054" s="10"/>
      <c r="F1054" s="11"/>
      <c r="G1054" s="2"/>
      <c r="H1054" s="2"/>
      <c r="I1054" s="2"/>
      <c r="J1054" s="67"/>
    </row>
    <row r="1055" spans="1:10" x14ac:dyDescent="0.35">
      <c r="A1055" s="61">
        <v>1051</v>
      </c>
      <c r="B1055" s="2"/>
      <c r="C1055" s="2"/>
      <c r="D1055" s="2"/>
      <c r="E1055" s="10"/>
      <c r="F1055" s="11"/>
      <c r="G1055" s="2"/>
      <c r="H1055" s="2"/>
      <c r="I1055" s="2"/>
      <c r="J1055" s="67"/>
    </row>
    <row r="1056" spans="1:10" x14ac:dyDescent="0.35">
      <c r="A1056" s="61">
        <v>1052</v>
      </c>
      <c r="B1056" s="2"/>
      <c r="C1056" s="2"/>
      <c r="D1056" s="2"/>
      <c r="E1056" s="10"/>
      <c r="F1056" s="11"/>
      <c r="G1056" s="2"/>
      <c r="H1056" s="2"/>
      <c r="I1056" s="2"/>
      <c r="J1056" s="67"/>
    </row>
    <row r="1057" spans="1:10" x14ac:dyDescent="0.35">
      <c r="A1057" s="61">
        <v>1053</v>
      </c>
      <c r="B1057" s="2"/>
      <c r="C1057" s="2"/>
      <c r="D1057" s="2"/>
      <c r="E1057" s="10"/>
      <c r="F1057" s="11"/>
      <c r="G1057" s="2"/>
      <c r="H1057" s="2"/>
      <c r="I1057" s="2"/>
      <c r="J1057" s="67"/>
    </row>
    <row r="1058" spans="1:10" x14ac:dyDescent="0.35">
      <c r="A1058" s="61">
        <v>1054</v>
      </c>
      <c r="B1058" s="2"/>
      <c r="C1058" s="2"/>
      <c r="D1058" s="2"/>
      <c r="E1058" s="10"/>
      <c r="F1058" s="11"/>
      <c r="G1058" s="2"/>
      <c r="H1058" s="2"/>
      <c r="I1058" s="2"/>
      <c r="J1058" s="67"/>
    </row>
    <row r="1059" spans="1:10" x14ac:dyDescent="0.35">
      <c r="A1059" s="61">
        <v>1055</v>
      </c>
      <c r="B1059" s="2"/>
      <c r="C1059" s="2"/>
      <c r="D1059" s="2"/>
      <c r="E1059" s="10"/>
      <c r="F1059" s="11"/>
      <c r="G1059" s="2"/>
      <c r="H1059" s="2"/>
      <c r="I1059" s="2"/>
      <c r="J1059" s="67"/>
    </row>
    <row r="1060" spans="1:10" x14ac:dyDescent="0.35">
      <c r="A1060" s="61">
        <v>1056</v>
      </c>
      <c r="B1060" s="2"/>
      <c r="C1060" s="2"/>
      <c r="D1060" s="2"/>
      <c r="E1060" s="10"/>
      <c r="F1060" s="11"/>
      <c r="G1060" s="2"/>
      <c r="H1060" s="2"/>
      <c r="I1060" s="2"/>
      <c r="J1060" s="67"/>
    </row>
    <row r="1061" spans="1:10" x14ac:dyDescent="0.35">
      <c r="A1061" s="61">
        <v>1057</v>
      </c>
      <c r="B1061" s="2"/>
      <c r="C1061" s="2"/>
      <c r="D1061" s="2"/>
      <c r="E1061" s="10"/>
      <c r="F1061" s="11"/>
      <c r="G1061" s="2"/>
      <c r="H1061" s="2"/>
      <c r="I1061" s="2"/>
      <c r="J1061" s="67"/>
    </row>
    <row r="1062" spans="1:10" x14ac:dyDescent="0.35">
      <c r="A1062" s="61">
        <v>1058</v>
      </c>
      <c r="B1062" s="2"/>
      <c r="C1062" s="2"/>
      <c r="D1062" s="2"/>
      <c r="E1062" s="10"/>
      <c r="F1062" s="11"/>
      <c r="G1062" s="2"/>
      <c r="H1062" s="2"/>
      <c r="I1062" s="2"/>
      <c r="J1062" s="67"/>
    </row>
    <row r="1063" spans="1:10" x14ac:dyDescent="0.35">
      <c r="A1063" s="61">
        <v>1059</v>
      </c>
      <c r="B1063" s="2"/>
      <c r="C1063" s="2"/>
      <c r="D1063" s="2"/>
      <c r="E1063" s="10"/>
      <c r="F1063" s="11"/>
      <c r="G1063" s="2"/>
      <c r="H1063" s="2"/>
      <c r="I1063" s="2"/>
      <c r="J1063" s="67"/>
    </row>
    <row r="1064" spans="1:10" x14ac:dyDescent="0.35">
      <c r="A1064" s="61">
        <v>1060</v>
      </c>
      <c r="B1064" s="2"/>
      <c r="C1064" s="2"/>
      <c r="D1064" s="2"/>
      <c r="E1064" s="10"/>
      <c r="F1064" s="11"/>
      <c r="G1064" s="2"/>
      <c r="H1064" s="2"/>
      <c r="I1064" s="2"/>
      <c r="J1064" s="67"/>
    </row>
    <row r="1065" spans="1:10" x14ac:dyDescent="0.35">
      <c r="A1065" s="61">
        <v>1061</v>
      </c>
      <c r="B1065" s="2"/>
      <c r="C1065" s="2"/>
      <c r="D1065" s="2"/>
      <c r="E1065" s="10"/>
      <c r="F1065" s="11"/>
      <c r="G1065" s="2"/>
      <c r="H1065" s="2"/>
      <c r="I1065" s="2"/>
      <c r="J1065" s="67"/>
    </row>
    <row r="1066" spans="1:10" x14ac:dyDescent="0.35">
      <c r="A1066" s="61">
        <v>1062</v>
      </c>
      <c r="B1066" s="2"/>
      <c r="C1066" s="2"/>
      <c r="D1066" s="2"/>
      <c r="E1066" s="10"/>
      <c r="F1066" s="11"/>
      <c r="G1066" s="2"/>
      <c r="H1066" s="2"/>
      <c r="I1066" s="2"/>
      <c r="J1066" s="67"/>
    </row>
    <row r="1067" spans="1:10" x14ac:dyDescent="0.35">
      <c r="A1067" s="61">
        <v>1063</v>
      </c>
      <c r="B1067" s="2"/>
      <c r="C1067" s="2"/>
      <c r="D1067" s="2"/>
      <c r="E1067" s="10"/>
      <c r="F1067" s="11"/>
      <c r="G1067" s="2"/>
      <c r="H1067" s="2"/>
      <c r="I1067" s="2"/>
      <c r="J1067" s="67"/>
    </row>
    <row r="1068" spans="1:10" x14ac:dyDescent="0.35">
      <c r="A1068" s="61">
        <v>1064</v>
      </c>
      <c r="B1068" s="2"/>
      <c r="C1068" s="2"/>
      <c r="D1068" s="2"/>
      <c r="E1068" s="10"/>
      <c r="F1068" s="11"/>
      <c r="G1068" s="2"/>
      <c r="H1068" s="2"/>
      <c r="I1068" s="2"/>
      <c r="J1068" s="67"/>
    </row>
    <row r="1069" spans="1:10" x14ac:dyDescent="0.35">
      <c r="A1069" s="61">
        <v>1065</v>
      </c>
      <c r="B1069" s="2"/>
      <c r="C1069" s="2"/>
      <c r="D1069" s="2"/>
      <c r="E1069" s="10"/>
      <c r="F1069" s="11"/>
      <c r="G1069" s="2"/>
      <c r="H1069" s="2"/>
      <c r="I1069" s="2"/>
      <c r="J1069" s="67"/>
    </row>
    <row r="1070" spans="1:10" x14ac:dyDescent="0.35">
      <c r="A1070" s="61">
        <v>1066</v>
      </c>
      <c r="B1070" s="2"/>
      <c r="C1070" s="2"/>
      <c r="D1070" s="2"/>
      <c r="E1070" s="10"/>
      <c r="F1070" s="11"/>
      <c r="G1070" s="2"/>
      <c r="H1070" s="2"/>
      <c r="I1070" s="2"/>
      <c r="J1070" s="67"/>
    </row>
    <row r="1071" spans="1:10" x14ac:dyDescent="0.35">
      <c r="A1071" s="61">
        <v>1067</v>
      </c>
      <c r="B1071" s="2"/>
      <c r="C1071" s="2"/>
      <c r="D1071" s="2"/>
      <c r="E1071" s="10"/>
      <c r="F1071" s="11"/>
      <c r="G1071" s="2"/>
      <c r="H1071" s="2"/>
      <c r="I1071" s="2"/>
      <c r="J1071" s="67"/>
    </row>
    <row r="1072" spans="1:10" x14ac:dyDescent="0.35">
      <c r="A1072" s="61">
        <v>1068</v>
      </c>
      <c r="B1072" s="2"/>
      <c r="C1072" s="2"/>
      <c r="D1072" s="2"/>
      <c r="E1072" s="10"/>
      <c r="F1072" s="11"/>
      <c r="G1072" s="2"/>
      <c r="H1072" s="2"/>
      <c r="I1072" s="2"/>
      <c r="J1072" s="67"/>
    </row>
    <row r="1073" spans="1:10" x14ac:dyDescent="0.35">
      <c r="A1073" s="61">
        <v>1069</v>
      </c>
      <c r="B1073" s="2"/>
      <c r="C1073" s="2"/>
      <c r="D1073" s="2"/>
      <c r="E1073" s="10"/>
      <c r="F1073" s="11"/>
      <c r="G1073" s="2"/>
      <c r="H1073" s="2"/>
      <c r="I1073" s="2"/>
      <c r="J1073" s="67"/>
    </row>
    <row r="1074" spans="1:10" x14ac:dyDescent="0.35">
      <c r="A1074" s="61">
        <v>1070</v>
      </c>
      <c r="B1074" s="2"/>
      <c r="C1074" s="2"/>
      <c r="D1074" s="2"/>
      <c r="E1074" s="10"/>
      <c r="F1074" s="11"/>
      <c r="G1074" s="2"/>
      <c r="H1074" s="2"/>
      <c r="I1074" s="2"/>
      <c r="J1074" s="67"/>
    </row>
    <row r="1075" spans="1:10" x14ac:dyDescent="0.35">
      <c r="A1075" s="61">
        <v>1071</v>
      </c>
      <c r="B1075" s="2"/>
      <c r="C1075" s="2"/>
      <c r="D1075" s="2"/>
      <c r="E1075" s="10"/>
      <c r="F1075" s="11"/>
      <c r="G1075" s="2"/>
      <c r="H1075" s="2"/>
      <c r="I1075" s="2"/>
      <c r="J1075" s="67"/>
    </row>
    <row r="1076" spans="1:10" x14ac:dyDescent="0.35">
      <c r="A1076" s="61">
        <v>1072</v>
      </c>
      <c r="B1076" s="2"/>
      <c r="C1076" s="2"/>
      <c r="D1076" s="2"/>
      <c r="E1076" s="10"/>
      <c r="F1076" s="11"/>
      <c r="G1076" s="2"/>
      <c r="H1076" s="2"/>
      <c r="I1076" s="2"/>
      <c r="J1076" s="67"/>
    </row>
    <row r="1077" spans="1:10" x14ac:dyDescent="0.35">
      <c r="A1077" s="61">
        <v>1073</v>
      </c>
      <c r="B1077" s="2"/>
      <c r="C1077" s="2"/>
      <c r="D1077" s="2"/>
      <c r="E1077" s="10"/>
      <c r="F1077" s="11"/>
      <c r="G1077" s="2"/>
      <c r="H1077" s="2"/>
      <c r="I1077" s="2"/>
      <c r="J1077" s="67"/>
    </row>
    <row r="1078" spans="1:10" x14ac:dyDescent="0.35">
      <c r="A1078" s="61">
        <v>1074</v>
      </c>
      <c r="B1078" s="2"/>
      <c r="C1078" s="2"/>
      <c r="D1078" s="2"/>
      <c r="E1078" s="10"/>
      <c r="F1078" s="11"/>
      <c r="G1078" s="2"/>
      <c r="H1078" s="2"/>
      <c r="I1078" s="2"/>
      <c r="J1078" s="67"/>
    </row>
    <row r="1079" spans="1:10" x14ac:dyDescent="0.35">
      <c r="A1079" s="61">
        <v>1075</v>
      </c>
      <c r="B1079" s="2"/>
      <c r="C1079" s="2"/>
      <c r="D1079" s="2"/>
      <c r="E1079" s="10"/>
      <c r="F1079" s="11"/>
      <c r="G1079" s="2"/>
      <c r="H1079" s="2"/>
      <c r="I1079" s="2"/>
      <c r="J1079" s="67"/>
    </row>
    <row r="1080" spans="1:10" x14ac:dyDescent="0.35">
      <c r="A1080" s="61">
        <v>1076</v>
      </c>
      <c r="B1080" s="2"/>
      <c r="C1080" s="2"/>
      <c r="D1080" s="2"/>
      <c r="E1080" s="10"/>
      <c r="F1080" s="11"/>
      <c r="G1080" s="2"/>
      <c r="H1080" s="2"/>
      <c r="I1080" s="2"/>
      <c r="J1080" s="67"/>
    </row>
    <row r="1081" spans="1:10" x14ac:dyDescent="0.35">
      <c r="A1081" s="61">
        <v>1077</v>
      </c>
      <c r="B1081" s="2"/>
      <c r="C1081" s="2"/>
      <c r="D1081" s="2"/>
      <c r="E1081" s="10"/>
      <c r="F1081" s="11"/>
      <c r="G1081" s="2"/>
      <c r="H1081" s="2"/>
      <c r="I1081" s="2"/>
      <c r="J1081" s="67"/>
    </row>
    <row r="1082" spans="1:10" x14ac:dyDescent="0.35">
      <c r="A1082" s="61">
        <v>1078</v>
      </c>
      <c r="B1082" s="2"/>
      <c r="C1082" s="2"/>
      <c r="D1082" s="2"/>
      <c r="E1082" s="10"/>
      <c r="F1082" s="11"/>
      <c r="G1082" s="2"/>
      <c r="H1082" s="2"/>
      <c r="I1082" s="2"/>
      <c r="J1082" s="67"/>
    </row>
    <row r="1083" spans="1:10" x14ac:dyDescent="0.35">
      <c r="A1083" s="61">
        <v>1079</v>
      </c>
      <c r="B1083" s="2"/>
      <c r="C1083" s="2"/>
      <c r="D1083" s="2"/>
      <c r="E1083" s="10"/>
      <c r="F1083" s="11"/>
      <c r="G1083" s="2"/>
      <c r="H1083" s="2"/>
      <c r="I1083" s="2"/>
      <c r="J1083" s="67"/>
    </row>
    <row r="1084" spans="1:10" x14ac:dyDescent="0.35">
      <c r="A1084" s="61">
        <v>1080</v>
      </c>
      <c r="B1084" s="2"/>
      <c r="C1084" s="2"/>
      <c r="D1084" s="2"/>
      <c r="E1084" s="10"/>
      <c r="F1084" s="11"/>
      <c r="G1084" s="2"/>
      <c r="H1084" s="2"/>
      <c r="I1084" s="2"/>
      <c r="J1084" s="67"/>
    </row>
    <row r="1085" spans="1:10" x14ac:dyDescent="0.35">
      <c r="A1085" s="61">
        <v>1081</v>
      </c>
      <c r="B1085" s="2"/>
      <c r="C1085" s="2"/>
      <c r="D1085" s="2"/>
      <c r="E1085" s="10"/>
      <c r="F1085" s="11"/>
      <c r="G1085" s="2"/>
      <c r="H1085" s="2"/>
      <c r="I1085" s="2"/>
      <c r="J1085" s="67"/>
    </row>
    <row r="1086" spans="1:10" x14ac:dyDescent="0.35">
      <c r="A1086" s="61">
        <v>1082</v>
      </c>
      <c r="B1086" s="2"/>
      <c r="C1086" s="2"/>
      <c r="D1086" s="2"/>
      <c r="E1086" s="10"/>
      <c r="F1086" s="11"/>
      <c r="G1086" s="2"/>
      <c r="H1086" s="2"/>
      <c r="I1086" s="2"/>
      <c r="J1086" s="67"/>
    </row>
    <row r="1087" spans="1:10" x14ac:dyDescent="0.35">
      <c r="A1087" s="61">
        <v>1083</v>
      </c>
      <c r="B1087" s="2"/>
      <c r="C1087" s="2"/>
      <c r="D1087" s="2"/>
      <c r="E1087" s="10"/>
      <c r="F1087" s="11"/>
      <c r="G1087" s="2"/>
      <c r="H1087" s="2"/>
      <c r="I1087" s="2"/>
      <c r="J1087" s="67"/>
    </row>
    <row r="1088" spans="1:10" x14ac:dyDescent="0.35">
      <c r="A1088" s="61">
        <v>1084</v>
      </c>
      <c r="B1088" s="2"/>
      <c r="C1088" s="2"/>
      <c r="D1088" s="2"/>
      <c r="E1088" s="10"/>
      <c r="F1088" s="11"/>
      <c r="G1088" s="2"/>
      <c r="H1088" s="2"/>
      <c r="I1088" s="2"/>
      <c r="J1088" s="67"/>
    </row>
    <row r="1089" spans="1:10" x14ac:dyDescent="0.35">
      <c r="A1089" s="61">
        <v>1085</v>
      </c>
      <c r="B1089" s="2"/>
      <c r="C1089" s="2"/>
      <c r="D1089" s="2"/>
      <c r="E1089" s="10"/>
      <c r="F1089" s="11"/>
      <c r="G1089" s="2"/>
      <c r="H1089" s="2"/>
      <c r="I1089" s="2"/>
      <c r="J1089" s="67"/>
    </row>
    <row r="1090" spans="1:10" x14ac:dyDescent="0.35">
      <c r="A1090" s="61">
        <v>1086</v>
      </c>
      <c r="B1090" s="2"/>
      <c r="C1090" s="2"/>
      <c r="D1090" s="2"/>
      <c r="E1090" s="10"/>
      <c r="F1090" s="11"/>
      <c r="G1090" s="2"/>
      <c r="H1090" s="2"/>
      <c r="I1090" s="2"/>
      <c r="J1090" s="67"/>
    </row>
    <row r="1091" spans="1:10" x14ac:dyDescent="0.35">
      <c r="A1091" s="61">
        <v>1087</v>
      </c>
      <c r="B1091" s="2"/>
      <c r="C1091" s="2"/>
      <c r="D1091" s="2"/>
      <c r="E1091" s="10"/>
      <c r="F1091" s="11"/>
      <c r="G1091" s="2"/>
      <c r="H1091" s="2"/>
      <c r="I1091" s="2"/>
      <c r="J1091" s="67"/>
    </row>
    <row r="1092" spans="1:10" x14ac:dyDescent="0.35">
      <c r="A1092" s="61">
        <v>1088</v>
      </c>
      <c r="B1092" s="2"/>
      <c r="C1092" s="2"/>
      <c r="D1092" s="2"/>
      <c r="E1092" s="10"/>
      <c r="F1092" s="11"/>
      <c r="G1092" s="2"/>
      <c r="H1092" s="2"/>
      <c r="I1092" s="2"/>
      <c r="J1092" s="67"/>
    </row>
    <row r="1093" spans="1:10" x14ac:dyDescent="0.35">
      <c r="A1093" s="61">
        <v>1089</v>
      </c>
      <c r="B1093" s="2"/>
      <c r="C1093" s="2"/>
      <c r="D1093" s="2"/>
      <c r="E1093" s="10"/>
      <c r="F1093" s="11"/>
      <c r="G1093" s="2"/>
      <c r="H1093" s="2"/>
      <c r="I1093" s="2"/>
      <c r="J1093" s="67"/>
    </row>
    <row r="1094" spans="1:10" x14ac:dyDescent="0.35">
      <c r="A1094" s="61">
        <v>1090</v>
      </c>
      <c r="B1094" s="2"/>
      <c r="C1094" s="2"/>
      <c r="D1094" s="2"/>
      <c r="E1094" s="10"/>
      <c r="F1094" s="11"/>
      <c r="G1094" s="2"/>
      <c r="H1094" s="2"/>
      <c r="I1094" s="2"/>
      <c r="J1094" s="67"/>
    </row>
    <row r="1095" spans="1:10" x14ac:dyDescent="0.35">
      <c r="A1095" s="61">
        <v>1091</v>
      </c>
      <c r="B1095" s="2"/>
      <c r="C1095" s="2"/>
      <c r="D1095" s="2"/>
      <c r="E1095" s="10"/>
      <c r="F1095" s="11"/>
      <c r="G1095" s="2"/>
      <c r="H1095" s="2"/>
      <c r="I1095" s="2"/>
      <c r="J1095" s="67"/>
    </row>
    <row r="1096" spans="1:10" x14ac:dyDescent="0.35">
      <c r="A1096" s="61">
        <v>1092</v>
      </c>
      <c r="B1096" s="2"/>
      <c r="C1096" s="2"/>
      <c r="D1096" s="2"/>
      <c r="E1096" s="10"/>
      <c r="F1096" s="11"/>
      <c r="G1096" s="2"/>
      <c r="H1096" s="2"/>
      <c r="I1096" s="2"/>
      <c r="J1096" s="67"/>
    </row>
    <row r="1097" spans="1:10" x14ac:dyDescent="0.35">
      <c r="A1097" s="61">
        <v>1093</v>
      </c>
      <c r="B1097" s="2"/>
      <c r="C1097" s="2"/>
      <c r="D1097" s="2"/>
      <c r="E1097" s="10"/>
      <c r="F1097" s="11"/>
      <c r="G1097" s="2"/>
      <c r="H1097" s="2"/>
      <c r="I1097" s="2"/>
      <c r="J1097" s="67"/>
    </row>
    <row r="1098" spans="1:10" x14ac:dyDescent="0.35">
      <c r="A1098" s="61">
        <v>1094</v>
      </c>
      <c r="B1098" s="2"/>
      <c r="C1098" s="2"/>
      <c r="D1098" s="2"/>
      <c r="E1098" s="10"/>
      <c r="F1098" s="11"/>
      <c r="G1098" s="2"/>
      <c r="H1098" s="2"/>
      <c r="I1098" s="2"/>
      <c r="J1098" s="67"/>
    </row>
    <row r="1099" spans="1:10" x14ac:dyDescent="0.35">
      <c r="A1099" s="61">
        <v>1095</v>
      </c>
      <c r="B1099" s="2"/>
      <c r="C1099" s="2"/>
      <c r="D1099" s="2"/>
      <c r="E1099" s="10"/>
      <c r="F1099" s="11"/>
      <c r="G1099" s="2"/>
      <c r="H1099" s="2"/>
      <c r="I1099" s="2"/>
      <c r="J1099" s="67"/>
    </row>
    <row r="1100" spans="1:10" x14ac:dyDescent="0.35">
      <c r="A1100" s="61">
        <v>1096</v>
      </c>
      <c r="B1100" s="2"/>
      <c r="C1100" s="2"/>
      <c r="D1100" s="2"/>
      <c r="E1100" s="10"/>
      <c r="F1100" s="11"/>
      <c r="G1100" s="2"/>
      <c r="H1100" s="2"/>
      <c r="I1100" s="2"/>
      <c r="J1100" s="67"/>
    </row>
    <row r="1101" spans="1:10" x14ac:dyDescent="0.35">
      <c r="A1101" s="61">
        <v>1097</v>
      </c>
      <c r="B1101" s="2"/>
      <c r="C1101" s="2"/>
      <c r="D1101" s="2"/>
      <c r="E1101" s="10"/>
      <c r="F1101" s="11"/>
      <c r="G1101" s="2"/>
      <c r="H1101" s="2"/>
      <c r="I1101" s="2"/>
      <c r="J1101" s="67"/>
    </row>
    <row r="1102" spans="1:10" x14ac:dyDescent="0.35">
      <c r="A1102" s="61">
        <v>1098</v>
      </c>
      <c r="B1102" s="2"/>
      <c r="C1102" s="2"/>
      <c r="D1102" s="2"/>
      <c r="E1102" s="10"/>
      <c r="F1102" s="11"/>
      <c r="G1102" s="2"/>
      <c r="H1102" s="2"/>
      <c r="I1102" s="2"/>
      <c r="J1102" s="67"/>
    </row>
    <row r="1103" spans="1:10" x14ac:dyDescent="0.35">
      <c r="A1103" s="61">
        <v>1099</v>
      </c>
      <c r="B1103" s="2"/>
      <c r="C1103" s="2"/>
      <c r="D1103" s="2"/>
      <c r="E1103" s="10"/>
      <c r="F1103" s="11"/>
      <c r="G1103" s="2"/>
      <c r="H1103" s="2"/>
      <c r="I1103" s="2"/>
      <c r="J1103" s="67"/>
    </row>
    <row r="1104" spans="1:10" x14ac:dyDescent="0.35">
      <c r="A1104" s="61">
        <v>1100</v>
      </c>
      <c r="B1104" s="2"/>
      <c r="C1104" s="2"/>
      <c r="D1104" s="2"/>
      <c r="E1104" s="10"/>
      <c r="F1104" s="11"/>
      <c r="G1104" s="2"/>
      <c r="H1104" s="2"/>
      <c r="I1104" s="2"/>
      <c r="J1104" s="67"/>
    </row>
    <row r="1105" spans="1:10" x14ac:dyDescent="0.35">
      <c r="A1105" s="61">
        <v>1101</v>
      </c>
      <c r="B1105" s="2"/>
      <c r="C1105" s="2"/>
      <c r="D1105" s="2"/>
      <c r="E1105" s="10"/>
      <c r="F1105" s="11"/>
      <c r="G1105" s="2"/>
      <c r="H1105" s="2"/>
      <c r="I1105" s="2"/>
      <c r="J1105" s="67"/>
    </row>
    <row r="1106" spans="1:10" x14ac:dyDescent="0.35">
      <c r="A1106" s="61">
        <v>1102</v>
      </c>
      <c r="B1106" s="2"/>
      <c r="C1106" s="2"/>
      <c r="D1106" s="2"/>
      <c r="E1106" s="10"/>
      <c r="F1106" s="11"/>
      <c r="G1106" s="2"/>
      <c r="H1106" s="2"/>
      <c r="I1106" s="2"/>
      <c r="J1106" s="67"/>
    </row>
    <row r="1107" spans="1:10" x14ac:dyDescent="0.35">
      <c r="A1107" s="61">
        <v>1103</v>
      </c>
      <c r="B1107" s="2"/>
      <c r="C1107" s="2"/>
      <c r="D1107" s="2"/>
      <c r="E1107" s="10"/>
      <c r="F1107" s="11"/>
      <c r="G1107" s="2"/>
      <c r="H1107" s="2"/>
      <c r="I1107" s="2"/>
      <c r="J1107" s="67"/>
    </row>
    <row r="1108" spans="1:10" x14ac:dyDescent="0.35">
      <c r="A1108" s="61">
        <v>1104</v>
      </c>
      <c r="B1108" s="2"/>
      <c r="C1108" s="2"/>
      <c r="D1108" s="2"/>
      <c r="E1108" s="10"/>
      <c r="F1108" s="11"/>
      <c r="G1108" s="2"/>
      <c r="H1108" s="2"/>
      <c r="I1108" s="2"/>
      <c r="J1108" s="67"/>
    </row>
    <row r="1109" spans="1:10" x14ac:dyDescent="0.35">
      <c r="A1109" s="61">
        <v>1105</v>
      </c>
      <c r="B1109" s="2"/>
      <c r="C1109" s="2"/>
      <c r="D1109" s="2"/>
      <c r="E1109" s="10"/>
      <c r="F1109" s="11"/>
      <c r="G1109" s="2"/>
      <c r="H1109" s="2"/>
      <c r="I1109" s="2"/>
      <c r="J1109" s="67"/>
    </row>
    <row r="1110" spans="1:10" x14ac:dyDescent="0.35">
      <c r="A1110" s="61">
        <v>1106</v>
      </c>
      <c r="B1110" s="2"/>
      <c r="C1110" s="2"/>
      <c r="D1110" s="2"/>
      <c r="E1110" s="10"/>
      <c r="F1110" s="11"/>
      <c r="G1110" s="2"/>
      <c r="H1110" s="2"/>
      <c r="I1110" s="2"/>
      <c r="J1110" s="67"/>
    </row>
    <row r="1111" spans="1:10" x14ac:dyDescent="0.35">
      <c r="A1111" s="61">
        <v>1107</v>
      </c>
      <c r="B1111" s="2"/>
      <c r="C1111" s="2"/>
      <c r="D1111" s="2"/>
      <c r="E1111" s="10"/>
      <c r="F1111" s="11"/>
      <c r="G1111" s="2"/>
      <c r="H1111" s="2"/>
      <c r="I1111" s="2"/>
      <c r="J1111" s="67"/>
    </row>
    <row r="1112" spans="1:10" x14ac:dyDescent="0.35">
      <c r="A1112" s="61">
        <v>1108</v>
      </c>
      <c r="B1112" s="2"/>
      <c r="C1112" s="2"/>
      <c r="D1112" s="2"/>
      <c r="E1112" s="10"/>
      <c r="F1112" s="11"/>
      <c r="G1112" s="2"/>
      <c r="H1112" s="2"/>
      <c r="I1112" s="2"/>
      <c r="J1112" s="67"/>
    </row>
    <row r="1113" spans="1:10" x14ac:dyDescent="0.35">
      <c r="A1113" s="61">
        <v>1109</v>
      </c>
      <c r="B1113" s="2"/>
      <c r="C1113" s="2"/>
      <c r="D1113" s="2"/>
      <c r="E1113" s="10"/>
      <c r="F1113" s="11"/>
      <c r="G1113" s="2"/>
      <c r="H1113" s="2"/>
      <c r="I1113" s="2"/>
      <c r="J1113" s="67"/>
    </row>
    <row r="1114" spans="1:10" x14ac:dyDescent="0.35">
      <c r="A1114" s="61">
        <v>1110</v>
      </c>
      <c r="B1114" s="2"/>
      <c r="C1114" s="2"/>
      <c r="D1114" s="2"/>
      <c r="E1114" s="10"/>
      <c r="F1114" s="11"/>
      <c r="G1114" s="2"/>
      <c r="H1114" s="2"/>
      <c r="I1114" s="2"/>
      <c r="J1114" s="67"/>
    </row>
    <row r="1115" spans="1:10" x14ac:dyDescent="0.35">
      <c r="A1115" s="61">
        <v>1111</v>
      </c>
      <c r="B1115" s="2"/>
      <c r="C1115" s="2"/>
      <c r="D1115" s="2"/>
      <c r="E1115" s="10"/>
      <c r="F1115" s="11"/>
      <c r="G1115" s="2"/>
      <c r="H1115" s="2"/>
      <c r="I1115" s="2"/>
      <c r="J1115" s="67"/>
    </row>
    <row r="1116" spans="1:10" x14ac:dyDescent="0.35">
      <c r="A1116" s="61">
        <v>1112</v>
      </c>
      <c r="B1116" s="2"/>
      <c r="C1116" s="2"/>
      <c r="D1116" s="2"/>
      <c r="E1116" s="10"/>
      <c r="F1116" s="11"/>
      <c r="G1116" s="2"/>
      <c r="H1116" s="2"/>
      <c r="I1116" s="2"/>
      <c r="J1116" s="67"/>
    </row>
    <row r="1117" spans="1:10" x14ac:dyDescent="0.35">
      <c r="A1117" s="61">
        <v>1113</v>
      </c>
      <c r="B1117" s="2"/>
      <c r="C1117" s="2"/>
      <c r="D1117" s="2"/>
      <c r="E1117" s="10"/>
      <c r="F1117" s="11"/>
      <c r="G1117" s="2"/>
      <c r="H1117" s="2"/>
      <c r="I1117" s="2"/>
      <c r="J1117" s="67"/>
    </row>
    <row r="1118" spans="1:10" x14ac:dyDescent="0.35">
      <c r="A1118" s="61">
        <v>1114</v>
      </c>
      <c r="B1118" s="2"/>
      <c r="C1118" s="2"/>
      <c r="D1118" s="2"/>
      <c r="E1118" s="10"/>
      <c r="F1118" s="11"/>
      <c r="G1118" s="2"/>
      <c r="H1118" s="2"/>
      <c r="I1118" s="2"/>
      <c r="J1118" s="67"/>
    </row>
    <row r="1119" spans="1:10" x14ac:dyDescent="0.35">
      <c r="A1119" s="61">
        <v>1115</v>
      </c>
      <c r="B1119" s="2"/>
      <c r="C1119" s="2"/>
      <c r="D1119" s="2"/>
      <c r="E1119" s="10"/>
      <c r="F1119" s="11"/>
      <c r="G1119" s="2"/>
      <c r="H1119" s="2"/>
      <c r="I1119" s="2"/>
      <c r="J1119" s="67"/>
    </row>
    <row r="1120" spans="1:10" x14ac:dyDescent="0.35">
      <c r="A1120" s="61">
        <v>1116</v>
      </c>
      <c r="B1120" s="2"/>
      <c r="C1120" s="2"/>
      <c r="D1120" s="2"/>
      <c r="E1120" s="10"/>
      <c r="F1120" s="11"/>
      <c r="G1120" s="2"/>
      <c r="H1120" s="2"/>
      <c r="I1120" s="2"/>
      <c r="J1120" s="67"/>
    </row>
    <row r="1121" spans="1:10" x14ac:dyDescent="0.35">
      <c r="A1121" s="61">
        <v>1117</v>
      </c>
      <c r="B1121" s="2"/>
      <c r="C1121" s="2"/>
      <c r="D1121" s="2"/>
      <c r="E1121" s="10"/>
      <c r="F1121" s="11"/>
      <c r="G1121" s="2"/>
      <c r="H1121" s="2"/>
      <c r="I1121" s="2"/>
      <c r="J1121" s="67"/>
    </row>
    <row r="1122" spans="1:10" x14ac:dyDescent="0.35">
      <c r="A1122" s="61">
        <v>1118</v>
      </c>
      <c r="B1122" s="2"/>
      <c r="C1122" s="2"/>
      <c r="D1122" s="2"/>
      <c r="E1122" s="10"/>
      <c r="F1122" s="11"/>
      <c r="G1122" s="2"/>
      <c r="H1122" s="2"/>
      <c r="I1122" s="2"/>
      <c r="J1122" s="67"/>
    </row>
    <row r="1123" spans="1:10" x14ac:dyDescent="0.35">
      <c r="A1123" s="61">
        <v>1119</v>
      </c>
      <c r="B1123" s="2"/>
      <c r="C1123" s="2"/>
      <c r="D1123" s="2"/>
      <c r="E1123" s="10"/>
      <c r="F1123" s="11"/>
      <c r="G1123" s="2"/>
      <c r="H1123" s="2"/>
      <c r="I1123" s="2"/>
      <c r="J1123" s="67"/>
    </row>
    <row r="1124" spans="1:10" x14ac:dyDescent="0.35">
      <c r="A1124" s="61">
        <v>1120</v>
      </c>
      <c r="B1124" s="2"/>
      <c r="C1124" s="2"/>
      <c r="D1124" s="2"/>
      <c r="E1124" s="10"/>
      <c r="F1124" s="11"/>
      <c r="G1124" s="2"/>
      <c r="H1124" s="2"/>
      <c r="I1124" s="2"/>
      <c r="J1124" s="67"/>
    </row>
    <row r="1125" spans="1:10" x14ac:dyDescent="0.35">
      <c r="A1125" s="61">
        <v>1121</v>
      </c>
      <c r="B1125" s="2"/>
      <c r="C1125" s="2"/>
      <c r="D1125" s="2"/>
      <c r="E1125" s="10"/>
      <c r="F1125" s="11"/>
      <c r="G1125" s="2"/>
      <c r="H1125" s="2"/>
      <c r="I1125" s="2"/>
      <c r="J1125" s="67"/>
    </row>
    <row r="1126" spans="1:10" x14ac:dyDescent="0.35">
      <c r="A1126" s="61">
        <v>1122</v>
      </c>
      <c r="B1126" s="2"/>
      <c r="C1126" s="2"/>
      <c r="D1126" s="2"/>
      <c r="E1126" s="10"/>
      <c r="F1126" s="11"/>
      <c r="G1126" s="2"/>
      <c r="H1126" s="2"/>
      <c r="I1126" s="2"/>
      <c r="J1126" s="67"/>
    </row>
    <row r="1127" spans="1:10" x14ac:dyDescent="0.35">
      <c r="A1127" s="61">
        <v>1123</v>
      </c>
      <c r="B1127" s="2"/>
      <c r="C1127" s="2"/>
      <c r="D1127" s="2"/>
      <c r="E1127" s="10"/>
      <c r="F1127" s="11"/>
      <c r="G1127" s="2"/>
      <c r="H1127" s="2"/>
      <c r="I1127" s="2"/>
      <c r="J1127" s="67"/>
    </row>
    <row r="1128" spans="1:10" x14ac:dyDescent="0.35">
      <c r="A1128" s="61">
        <v>1124</v>
      </c>
      <c r="B1128" s="2"/>
      <c r="C1128" s="2"/>
      <c r="D1128" s="2"/>
      <c r="E1128" s="10"/>
      <c r="F1128" s="11"/>
      <c r="G1128" s="2"/>
      <c r="H1128" s="2"/>
      <c r="I1128" s="2"/>
      <c r="J1128" s="67"/>
    </row>
    <row r="1129" spans="1:10" x14ac:dyDescent="0.35">
      <c r="A1129" s="61">
        <v>1125</v>
      </c>
      <c r="B1129" s="2"/>
      <c r="C1129" s="2"/>
      <c r="D1129" s="2"/>
      <c r="E1129" s="10"/>
      <c r="F1129" s="11"/>
      <c r="G1129" s="2"/>
      <c r="H1129" s="2"/>
      <c r="I1129" s="2"/>
      <c r="J1129" s="67"/>
    </row>
    <row r="1130" spans="1:10" x14ac:dyDescent="0.35">
      <c r="A1130" s="61">
        <v>1126</v>
      </c>
      <c r="B1130" s="2"/>
      <c r="C1130" s="2"/>
      <c r="D1130" s="2"/>
      <c r="E1130" s="10"/>
      <c r="F1130" s="11"/>
      <c r="G1130" s="2"/>
      <c r="H1130" s="2"/>
      <c r="I1130" s="2"/>
      <c r="J1130" s="67"/>
    </row>
    <row r="1131" spans="1:10" x14ac:dyDescent="0.35">
      <c r="A1131" s="61">
        <v>1127</v>
      </c>
      <c r="B1131" s="2"/>
      <c r="C1131" s="2"/>
      <c r="D1131" s="2"/>
      <c r="E1131" s="10"/>
      <c r="F1131" s="11"/>
      <c r="G1131" s="2"/>
      <c r="H1131" s="2"/>
      <c r="I1131" s="2"/>
      <c r="J1131" s="67"/>
    </row>
    <row r="1132" spans="1:10" x14ac:dyDescent="0.35">
      <c r="A1132" s="61">
        <v>1128</v>
      </c>
      <c r="B1132" s="2"/>
      <c r="C1132" s="2"/>
      <c r="D1132" s="2"/>
      <c r="E1132" s="10"/>
      <c r="F1132" s="11"/>
      <c r="G1132" s="2"/>
      <c r="H1132" s="2"/>
      <c r="I1132" s="2"/>
      <c r="J1132" s="67"/>
    </row>
    <row r="1133" spans="1:10" x14ac:dyDescent="0.35">
      <c r="A1133" s="61">
        <v>1129</v>
      </c>
      <c r="B1133" s="2"/>
      <c r="C1133" s="2"/>
      <c r="D1133" s="2"/>
      <c r="E1133" s="10"/>
      <c r="F1133" s="11"/>
      <c r="G1133" s="2"/>
      <c r="H1133" s="2"/>
      <c r="I1133" s="2"/>
      <c r="J1133" s="67"/>
    </row>
    <row r="1134" spans="1:10" x14ac:dyDescent="0.35">
      <c r="A1134" s="61">
        <v>1130</v>
      </c>
      <c r="B1134" s="2"/>
      <c r="C1134" s="2"/>
      <c r="D1134" s="2"/>
      <c r="E1134" s="10"/>
      <c r="F1134" s="11"/>
      <c r="G1134" s="2"/>
      <c r="H1134" s="2"/>
      <c r="I1134" s="2"/>
      <c r="J1134" s="67"/>
    </row>
    <row r="1135" spans="1:10" x14ac:dyDescent="0.35">
      <c r="A1135" s="61">
        <v>1131</v>
      </c>
      <c r="B1135" s="2"/>
      <c r="C1135" s="2"/>
      <c r="D1135" s="2"/>
      <c r="E1135" s="10"/>
      <c r="F1135" s="11"/>
      <c r="G1135" s="2"/>
      <c r="H1135" s="2"/>
      <c r="I1135" s="2"/>
      <c r="J1135" s="67"/>
    </row>
    <row r="1136" spans="1:10" x14ac:dyDescent="0.35">
      <c r="A1136" s="61">
        <v>1132</v>
      </c>
      <c r="B1136" s="2"/>
      <c r="C1136" s="2"/>
      <c r="D1136" s="2"/>
      <c r="E1136" s="10"/>
      <c r="F1136" s="11"/>
      <c r="G1136" s="2"/>
      <c r="H1136" s="2"/>
      <c r="I1136" s="2"/>
      <c r="J1136" s="67"/>
    </row>
    <row r="1137" spans="1:10" x14ac:dyDescent="0.35">
      <c r="A1137" s="61">
        <v>1133</v>
      </c>
      <c r="B1137" s="2"/>
      <c r="C1137" s="2"/>
      <c r="D1137" s="2"/>
      <c r="E1137" s="10"/>
      <c r="F1137" s="11"/>
      <c r="G1137" s="2"/>
      <c r="H1137" s="2"/>
      <c r="I1137" s="2"/>
      <c r="J1137" s="67"/>
    </row>
    <row r="1138" spans="1:10" x14ac:dyDescent="0.35">
      <c r="A1138" s="61">
        <v>1134</v>
      </c>
      <c r="B1138" s="2"/>
      <c r="C1138" s="2"/>
      <c r="D1138" s="2"/>
      <c r="E1138" s="10"/>
      <c r="F1138" s="11"/>
      <c r="G1138" s="2"/>
      <c r="H1138" s="2"/>
      <c r="I1138" s="2"/>
      <c r="J1138" s="67"/>
    </row>
    <row r="1139" spans="1:10" x14ac:dyDescent="0.35">
      <c r="A1139" s="61">
        <v>1135</v>
      </c>
      <c r="B1139" s="2"/>
      <c r="C1139" s="2"/>
      <c r="D1139" s="2"/>
      <c r="E1139" s="10"/>
      <c r="F1139" s="11"/>
      <c r="G1139" s="2"/>
      <c r="H1139" s="2"/>
      <c r="I1139" s="2"/>
      <c r="J1139" s="67"/>
    </row>
    <row r="1140" spans="1:10" x14ac:dyDescent="0.35">
      <c r="A1140" s="61">
        <v>1136</v>
      </c>
      <c r="B1140" s="2"/>
      <c r="C1140" s="2"/>
      <c r="D1140" s="2"/>
      <c r="E1140" s="10"/>
      <c r="F1140" s="11"/>
      <c r="G1140" s="2"/>
      <c r="H1140" s="2"/>
      <c r="I1140" s="2"/>
      <c r="J1140" s="67"/>
    </row>
    <row r="1141" spans="1:10" x14ac:dyDescent="0.35">
      <c r="A1141" s="61">
        <v>1137</v>
      </c>
      <c r="B1141" s="2"/>
      <c r="C1141" s="2"/>
      <c r="D1141" s="2"/>
      <c r="E1141" s="10"/>
      <c r="F1141" s="11"/>
      <c r="G1141" s="2"/>
      <c r="H1141" s="2"/>
      <c r="I1141" s="2"/>
      <c r="J1141" s="67"/>
    </row>
    <row r="1142" spans="1:10" x14ac:dyDescent="0.35">
      <c r="A1142" s="61">
        <v>1138</v>
      </c>
      <c r="B1142" s="2"/>
      <c r="C1142" s="2"/>
      <c r="D1142" s="2"/>
      <c r="E1142" s="10"/>
      <c r="F1142" s="11"/>
      <c r="G1142" s="2"/>
      <c r="H1142" s="2"/>
      <c r="I1142" s="2"/>
      <c r="J1142" s="67"/>
    </row>
    <row r="1143" spans="1:10" x14ac:dyDescent="0.35">
      <c r="A1143" s="61">
        <v>1139</v>
      </c>
      <c r="B1143" s="2"/>
      <c r="C1143" s="2"/>
      <c r="D1143" s="2"/>
      <c r="E1143" s="10"/>
      <c r="F1143" s="11"/>
      <c r="G1143" s="2"/>
      <c r="H1143" s="2"/>
      <c r="I1143" s="2"/>
      <c r="J1143" s="67"/>
    </row>
    <row r="1144" spans="1:10" x14ac:dyDescent="0.35">
      <c r="A1144" s="61">
        <v>1140</v>
      </c>
      <c r="B1144" s="2"/>
      <c r="C1144" s="2"/>
      <c r="D1144" s="2"/>
      <c r="E1144" s="10"/>
      <c r="F1144" s="11"/>
      <c r="G1144" s="2"/>
      <c r="H1144" s="2"/>
      <c r="I1144" s="2"/>
      <c r="J1144" s="67"/>
    </row>
    <row r="1145" spans="1:10" x14ac:dyDescent="0.35">
      <c r="A1145" s="61">
        <v>1141</v>
      </c>
      <c r="B1145" s="2"/>
      <c r="C1145" s="2"/>
      <c r="D1145" s="2"/>
      <c r="E1145" s="10"/>
      <c r="F1145" s="11"/>
      <c r="G1145" s="2"/>
      <c r="H1145" s="2"/>
      <c r="I1145" s="2"/>
      <c r="J1145" s="67"/>
    </row>
    <row r="1146" spans="1:10" x14ac:dyDescent="0.35">
      <c r="A1146" s="61">
        <v>1142</v>
      </c>
      <c r="B1146" s="2"/>
      <c r="C1146" s="2"/>
      <c r="D1146" s="2"/>
      <c r="E1146" s="10"/>
      <c r="F1146" s="11"/>
      <c r="G1146" s="2"/>
      <c r="H1146" s="2"/>
      <c r="I1146" s="2"/>
      <c r="J1146" s="67"/>
    </row>
    <row r="1147" spans="1:10" x14ac:dyDescent="0.35">
      <c r="A1147" s="61">
        <v>1143</v>
      </c>
      <c r="B1147" s="2"/>
      <c r="C1147" s="2"/>
      <c r="D1147" s="2"/>
      <c r="E1147" s="10"/>
      <c r="F1147" s="11"/>
      <c r="G1147" s="2"/>
      <c r="H1147" s="2"/>
      <c r="I1147" s="2"/>
      <c r="J1147" s="67"/>
    </row>
    <row r="1148" spans="1:10" x14ac:dyDescent="0.35">
      <c r="A1148" s="61">
        <v>1144</v>
      </c>
      <c r="B1148" s="2"/>
      <c r="C1148" s="2"/>
      <c r="D1148" s="2"/>
      <c r="E1148" s="10"/>
      <c r="F1148" s="11"/>
      <c r="G1148" s="2"/>
      <c r="H1148" s="2"/>
      <c r="I1148" s="2"/>
      <c r="J1148" s="67"/>
    </row>
    <row r="1149" spans="1:10" x14ac:dyDescent="0.35">
      <c r="A1149" s="61">
        <v>1145</v>
      </c>
      <c r="B1149" s="2"/>
      <c r="C1149" s="2"/>
      <c r="D1149" s="2"/>
      <c r="E1149" s="10"/>
      <c r="F1149" s="11"/>
      <c r="G1149" s="2"/>
      <c r="H1149" s="2"/>
      <c r="I1149" s="2"/>
      <c r="J1149" s="67"/>
    </row>
    <row r="1150" spans="1:10" x14ac:dyDescent="0.35">
      <c r="A1150" s="61">
        <v>1146</v>
      </c>
      <c r="B1150" s="2"/>
      <c r="C1150" s="2"/>
      <c r="D1150" s="2"/>
      <c r="E1150" s="10"/>
      <c r="F1150" s="11"/>
      <c r="G1150" s="2"/>
      <c r="H1150" s="2"/>
      <c r="I1150" s="2"/>
      <c r="J1150" s="67"/>
    </row>
    <row r="1151" spans="1:10" x14ac:dyDescent="0.35">
      <c r="A1151" s="61">
        <v>1147</v>
      </c>
      <c r="B1151" s="2"/>
      <c r="C1151" s="2"/>
      <c r="D1151" s="2"/>
      <c r="E1151" s="10"/>
      <c r="F1151" s="11"/>
      <c r="G1151" s="2"/>
      <c r="H1151" s="2"/>
      <c r="I1151" s="2"/>
      <c r="J1151" s="67"/>
    </row>
    <row r="1152" spans="1:10" x14ac:dyDescent="0.35">
      <c r="A1152" s="61">
        <v>1148</v>
      </c>
      <c r="B1152" s="2"/>
      <c r="C1152" s="2"/>
      <c r="D1152" s="2"/>
      <c r="E1152" s="10"/>
      <c r="F1152" s="11"/>
      <c r="G1152" s="2"/>
      <c r="H1152" s="2"/>
      <c r="I1152" s="2"/>
      <c r="J1152" s="67"/>
    </row>
    <row r="1153" spans="1:10" x14ac:dyDescent="0.35">
      <c r="A1153" s="61">
        <v>1149</v>
      </c>
      <c r="B1153" s="2"/>
      <c r="C1153" s="2"/>
      <c r="D1153" s="2"/>
      <c r="E1153" s="10"/>
      <c r="F1153" s="11"/>
      <c r="G1153" s="2"/>
      <c r="H1153" s="2"/>
      <c r="I1153" s="2"/>
      <c r="J1153" s="67"/>
    </row>
    <row r="1154" spans="1:10" x14ac:dyDescent="0.35">
      <c r="A1154" s="61">
        <v>1150</v>
      </c>
      <c r="B1154" s="2"/>
      <c r="C1154" s="2"/>
      <c r="D1154" s="2"/>
      <c r="E1154" s="10"/>
      <c r="F1154" s="11"/>
      <c r="G1154" s="2"/>
      <c r="H1154" s="2"/>
      <c r="I1154" s="2"/>
      <c r="J1154" s="67"/>
    </row>
    <row r="1155" spans="1:10" x14ac:dyDescent="0.35">
      <c r="A1155" s="61">
        <v>1151</v>
      </c>
      <c r="B1155" s="2"/>
      <c r="C1155" s="2"/>
      <c r="D1155" s="2"/>
      <c r="E1155" s="10"/>
      <c r="F1155" s="11"/>
      <c r="G1155" s="2"/>
      <c r="H1155" s="2"/>
      <c r="I1155" s="2"/>
      <c r="J1155" s="67"/>
    </row>
    <row r="1156" spans="1:10" x14ac:dyDescent="0.35">
      <c r="A1156" s="61">
        <v>1152</v>
      </c>
      <c r="B1156" s="2"/>
      <c r="C1156" s="2"/>
      <c r="D1156" s="2"/>
      <c r="E1156" s="10"/>
      <c r="F1156" s="11"/>
      <c r="G1156" s="2"/>
      <c r="H1156" s="2"/>
      <c r="I1156" s="2"/>
      <c r="J1156" s="67"/>
    </row>
    <row r="1157" spans="1:10" x14ac:dyDescent="0.35">
      <c r="A1157" s="61">
        <v>1153</v>
      </c>
      <c r="B1157" s="2"/>
      <c r="C1157" s="2"/>
      <c r="D1157" s="2"/>
      <c r="E1157" s="10"/>
      <c r="F1157" s="11"/>
      <c r="G1157" s="2"/>
      <c r="H1157" s="2"/>
      <c r="I1157" s="2"/>
      <c r="J1157" s="67"/>
    </row>
    <row r="1158" spans="1:10" x14ac:dyDescent="0.35">
      <c r="A1158" s="61">
        <v>1154</v>
      </c>
      <c r="B1158" s="2"/>
      <c r="C1158" s="2"/>
      <c r="D1158" s="2"/>
      <c r="E1158" s="10"/>
      <c r="F1158" s="11"/>
      <c r="G1158" s="2"/>
      <c r="H1158" s="2"/>
      <c r="I1158" s="2"/>
      <c r="J1158" s="67"/>
    </row>
    <row r="1159" spans="1:10" x14ac:dyDescent="0.35">
      <c r="A1159" s="61">
        <v>1155</v>
      </c>
      <c r="B1159" s="2"/>
      <c r="C1159" s="2"/>
      <c r="D1159" s="2"/>
      <c r="E1159" s="10"/>
      <c r="F1159" s="11"/>
      <c r="G1159" s="2"/>
      <c r="H1159" s="2"/>
      <c r="I1159" s="2"/>
      <c r="J1159" s="67"/>
    </row>
    <row r="1160" spans="1:10" x14ac:dyDescent="0.35">
      <c r="A1160" s="61">
        <v>1156</v>
      </c>
      <c r="B1160" s="2"/>
      <c r="C1160" s="2"/>
      <c r="D1160" s="2"/>
      <c r="E1160" s="10"/>
      <c r="F1160" s="11"/>
      <c r="G1160" s="2"/>
      <c r="H1160" s="2"/>
      <c r="I1160" s="2"/>
      <c r="J1160" s="67"/>
    </row>
    <row r="1161" spans="1:10" x14ac:dyDescent="0.35">
      <c r="A1161" s="61">
        <v>1157</v>
      </c>
      <c r="B1161" s="2"/>
      <c r="C1161" s="2"/>
      <c r="D1161" s="2"/>
      <c r="E1161" s="10"/>
      <c r="F1161" s="11"/>
      <c r="G1161" s="2"/>
      <c r="H1161" s="2"/>
      <c r="I1161" s="2"/>
      <c r="J1161" s="67"/>
    </row>
    <row r="1162" spans="1:10" x14ac:dyDescent="0.35">
      <c r="A1162" s="61">
        <v>1158</v>
      </c>
      <c r="B1162" s="2"/>
      <c r="C1162" s="2"/>
      <c r="D1162" s="2"/>
      <c r="E1162" s="10"/>
      <c r="F1162" s="11"/>
      <c r="G1162" s="2"/>
      <c r="H1162" s="2"/>
      <c r="I1162" s="2"/>
      <c r="J1162" s="67"/>
    </row>
    <row r="1163" spans="1:10" x14ac:dyDescent="0.35">
      <c r="A1163" s="61">
        <v>1159</v>
      </c>
      <c r="B1163" s="2"/>
      <c r="C1163" s="2"/>
      <c r="D1163" s="2"/>
      <c r="E1163" s="10"/>
      <c r="F1163" s="11"/>
      <c r="G1163" s="2"/>
      <c r="H1163" s="2"/>
      <c r="I1163" s="2"/>
      <c r="J1163" s="67"/>
    </row>
    <row r="1164" spans="1:10" x14ac:dyDescent="0.35">
      <c r="A1164" s="61">
        <v>1160</v>
      </c>
      <c r="B1164" s="2"/>
      <c r="C1164" s="2"/>
      <c r="D1164" s="2"/>
      <c r="E1164" s="10"/>
      <c r="F1164" s="11"/>
      <c r="G1164" s="2"/>
      <c r="H1164" s="2"/>
      <c r="I1164" s="2"/>
      <c r="J1164" s="67"/>
    </row>
    <row r="1165" spans="1:10" x14ac:dyDescent="0.35">
      <c r="A1165" s="61">
        <v>1161</v>
      </c>
      <c r="B1165" s="2"/>
      <c r="C1165" s="2"/>
      <c r="D1165" s="2"/>
      <c r="E1165" s="10"/>
      <c r="F1165" s="11"/>
      <c r="G1165" s="2"/>
      <c r="H1165" s="2"/>
      <c r="I1165" s="2"/>
      <c r="J1165" s="67"/>
    </row>
    <row r="1166" spans="1:10" x14ac:dyDescent="0.35">
      <c r="A1166" s="61">
        <v>1162</v>
      </c>
      <c r="B1166" s="2"/>
      <c r="C1166" s="2"/>
      <c r="D1166" s="2"/>
      <c r="E1166" s="10"/>
      <c r="F1166" s="11"/>
      <c r="G1166" s="2"/>
      <c r="H1166" s="2"/>
      <c r="I1166" s="2"/>
      <c r="J1166" s="67"/>
    </row>
    <row r="1167" spans="1:10" x14ac:dyDescent="0.35">
      <c r="A1167" s="61">
        <v>1163</v>
      </c>
      <c r="B1167" s="2"/>
      <c r="C1167" s="2"/>
      <c r="D1167" s="2"/>
      <c r="E1167" s="10"/>
      <c r="F1167" s="11"/>
      <c r="G1167" s="2"/>
      <c r="H1167" s="2"/>
      <c r="I1167" s="2"/>
      <c r="J1167" s="67"/>
    </row>
    <row r="1168" spans="1:10" x14ac:dyDescent="0.35">
      <c r="A1168" s="61">
        <v>1164</v>
      </c>
      <c r="B1168" s="2"/>
      <c r="C1168" s="2"/>
      <c r="D1168" s="2"/>
      <c r="E1168" s="10"/>
      <c r="F1168" s="11"/>
      <c r="G1168" s="2"/>
      <c r="H1168" s="2"/>
      <c r="I1168" s="2"/>
      <c r="J1168" s="67"/>
    </row>
    <row r="1169" spans="1:10" x14ac:dyDescent="0.35">
      <c r="A1169" s="61">
        <v>1165</v>
      </c>
      <c r="B1169" s="2"/>
      <c r="C1169" s="2"/>
      <c r="D1169" s="2"/>
      <c r="E1169" s="10"/>
      <c r="F1169" s="11"/>
      <c r="G1169" s="2"/>
      <c r="H1169" s="2"/>
      <c r="I1169" s="2"/>
      <c r="J1169" s="67"/>
    </row>
    <row r="1170" spans="1:10" x14ac:dyDescent="0.35">
      <c r="A1170" s="61">
        <v>1166</v>
      </c>
      <c r="B1170" s="2"/>
      <c r="C1170" s="2"/>
      <c r="D1170" s="2"/>
      <c r="E1170" s="10"/>
      <c r="F1170" s="11"/>
      <c r="G1170" s="2"/>
      <c r="H1170" s="2"/>
      <c r="I1170" s="2"/>
      <c r="J1170" s="67"/>
    </row>
    <row r="1171" spans="1:10" x14ac:dyDescent="0.35">
      <c r="A1171" s="61">
        <v>1167</v>
      </c>
      <c r="B1171" s="2"/>
      <c r="C1171" s="2"/>
      <c r="D1171" s="2"/>
      <c r="E1171" s="10"/>
      <c r="F1171" s="11"/>
      <c r="G1171" s="2"/>
      <c r="H1171" s="2"/>
      <c r="I1171" s="2"/>
      <c r="J1171" s="67"/>
    </row>
    <row r="1172" spans="1:10" x14ac:dyDescent="0.35">
      <c r="A1172" s="61">
        <v>1168</v>
      </c>
      <c r="B1172" s="2"/>
      <c r="C1172" s="2"/>
      <c r="D1172" s="2"/>
      <c r="E1172" s="10"/>
      <c r="F1172" s="11"/>
      <c r="G1172" s="2"/>
      <c r="H1172" s="2"/>
      <c r="I1172" s="2"/>
      <c r="J1172" s="67"/>
    </row>
    <row r="1173" spans="1:10" x14ac:dyDescent="0.35">
      <c r="A1173" s="61">
        <v>1169</v>
      </c>
      <c r="B1173" s="2"/>
      <c r="C1173" s="2"/>
      <c r="D1173" s="2"/>
      <c r="E1173" s="10"/>
      <c r="F1173" s="11"/>
      <c r="G1173" s="2"/>
      <c r="H1173" s="2"/>
      <c r="I1173" s="2"/>
      <c r="J1173" s="67"/>
    </row>
    <row r="1174" spans="1:10" x14ac:dyDescent="0.35">
      <c r="A1174" s="61">
        <v>1170</v>
      </c>
      <c r="B1174" s="2"/>
      <c r="C1174" s="2"/>
      <c r="D1174" s="2"/>
      <c r="E1174" s="10"/>
      <c r="F1174" s="11"/>
      <c r="G1174" s="2"/>
      <c r="H1174" s="2"/>
      <c r="I1174" s="2"/>
      <c r="J1174" s="67"/>
    </row>
    <row r="1175" spans="1:10" x14ac:dyDescent="0.35">
      <c r="A1175" s="61">
        <v>1171</v>
      </c>
      <c r="B1175" s="2"/>
      <c r="C1175" s="2"/>
      <c r="D1175" s="2"/>
      <c r="E1175" s="10"/>
      <c r="F1175" s="11"/>
      <c r="G1175" s="2"/>
      <c r="H1175" s="2"/>
      <c r="I1175" s="2"/>
      <c r="J1175" s="67"/>
    </row>
    <row r="1176" spans="1:10" x14ac:dyDescent="0.35">
      <c r="A1176" s="61">
        <v>1172</v>
      </c>
      <c r="B1176" s="2"/>
      <c r="C1176" s="2"/>
      <c r="D1176" s="2"/>
      <c r="E1176" s="10"/>
      <c r="F1176" s="11"/>
      <c r="G1176" s="2"/>
      <c r="H1176" s="2"/>
      <c r="I1176" s="2"/>
      <c r="J1176" s="67"/>
    </row>
    <row r="1177" spans="1:10" x14ac:dyDescent="0.35">
      <c r="A1177" s="61">
        <v>1173</v>
      </c>
      <c r="B1177" s="2"/>
      <c r="C1177" s="2"/>
      <c r="D1177" s="2"/>
      <c r="E1177" s="10"/>
      <c r="F1177" s="11"/>
      <c r="G1177" s="2"/>
      <c r="H1177" s="2"/>
      <c r="I1177" s="2"/>
      <c r="J1177" s="67"/>
    </row>
    <row r="1178" spans="1:10" x14ac:dyDescent="0.35">
      <c r="A1178" s="61">
        <v>1174</v>
      </c>
      <c r="B1178" s="2"/>
      <c r="C1178" s="2"/>
      <c r="D1178" s="2"/>
      <c r="E1178" s="10"/>
      <c r="F1178" s="11"/>
      <c r="G1178" s="2"/>
      <c r="H1178" s="2"/>
      <c r="I1178" s="2"/>
      <c r="J1178" s="67"/>
    </row>
    <row r="1179" spans="1:10" x14ac:dyDescent="0.35">
      <c r="A1179" s="61">
        <v>1175</v>
      </c>
      <c r="B1179" s="2"/>
      <c r="C1179" s="2"/>
      <c r="D1179" s="2"/>
      <c r="E1179" s="10"/>
      <c r="F1179" s="11"/>
      <c r="G1179" s="2"/>
      <c r="H1179" s="2"/>
      <c r="I1179" s="2"/>
      <c r="J1179" s="67"/>
    </row>
    <row r="1180" spans="1:10" x14ac:dyDescent="0.35">
      <c r="A1180" s="61">
        <v>1176</v>
      </c>
      <c r="B1180" s="2"/>
      <c r="C1180" s="2"/>
      <c r="D1180" s="2"/>
      <c r="E1180" s="10"/>
      <c r="F1180" s="11"/>
      <c r="G1180" s="2"/>
      <c r="H1180" s="2"/>
      <c r="I1180" s="2"/>
      <c r="J1180" s="67"/>
    </row>
    <row r="1181" spans="1:10" x14ac:dyDescent="0.35">
      <c r="A1181" s="61">
        <v>1177</v>
      </c>
      <c r="B1181" s="2"/>
      <c r="C1181" s="2"/>
      <c r="D1181" s="2"/>
      <c r="E1181" s="10"/>
      <c r="F1181" s="11"/>
      <c r="G1181" s="2"/>
      <c r="H1181" s="2"/>
      <c r="I1181" s="2"/>
      <c r="J1181" s="67"/>
    </row>
    <row r="1182" spans="1:10" x14ac:dyDescent="0.35">
      <c r="A1182" s="61">
        <v>1178</v>
      </c>
      <c r="B1182" s="2"/>
      <c r="C1182" s="2"/>
      <c r="D1182" s="2"/>
      <c r="E1182" s="10"/>
      <c r="F1182" s="11"/>
      <c r="G1182" s="2"/>
      <c r="H1182" s="2"/>
      <c r="I1182" s="2"/>
      <c r="J1182" s="67"/>
    </row>
    <row r="1183" spans="1:10" x14ac:dyDescent="0.35">
      <c r="A1183" s="61">
        <v>1179</v>
      </c>
      <c r="B1183" s="2"/>
      <c r="C1183" s="2"/>
      <c r="D1183" s="2"/>
      <c r="E1183" s="10"/>
      <c r="F1183" s="11"/>
      <c r="G1183" s="2"/>
      <c r="H1183" s="2"/>
      <c r="I1183" s="2"/>
      <c r="J1183" s="67"/>
    </row>
    <row r="1184" spans="1:10" x14ac:dyDescent="0.35">
      <c r="A1184" s="61">
        <v>1180</v>
      </c>
      <c r="B1184" s="2"/>
      <c r="C1184" s="2"/>
      <c r="D1184" s="2"/>
      <c r="E1184" s="10"/>
      <c r="F1184" s="11"/>
      <c r="G1184" s="2"/>
      <c r="H1184" s="2"/>
      <c r="I1184" s="2"/>
      <c r="J1184" s="67"/>
    </row>
    <row r="1185" spans="1:10" x14ac:dyDescent="0.35">
      <c r="A1185" s="61">
        <v>1181</v>
      </c>
      <c r="B1185" s="2"/>
      <c r="C1185" s="2"/>
      <c r="D1185" s="2"/>
      <c r="E1185" s="10"/>
      <c r="F1185" s="11"/>
      <c r="G1185" s="2"/>
      <c r="H1185" s="2"/>
      <c r="I1185" s="2"/>
      <c r="J1185" s="67"/>
    </row>
    <row r="1186" spans="1:10" x14ac:dyDescent="0.35">
      <c r="A1186" s="61">
        <v>1182</v>
      </c>
      <c r="B1186" s="2"/>
      <c r="C1186" s="2"/>
      <c r="D1186" s="2"/>
      <c r="E1186" s="10"/>
      <c r="F1186" s="11"/>
      <c r="G1186" s="2"/>
      <c r="H1186" s="2"/>
      <c r="I1186" s="2"/>
      <c r="J1186" s="67"/>
    </row>
    <row r="1187" spans="1:10" x14ac:dyDescent="0.35">
      <c r="A1187" s="61">
        <v>1183</v>
      </c>
      <c r="B1187" s="2"/>
      <c r="C1187" s="2"/>
      <c r="D1187" s="2"/>
      <c r="E1187" s="10"/>
      <c r="F1187" s="11"/>
      <c r="G1187" s="2"/>
      <c r="H1187" s="2"/>
      <c r="I1187" s="2"/>
      <c r="J1187" s="67"/>
    </row>
    <row r="1188" spans="1:10" x14ac:dyDescent="0.35">
      <c r="A1188" s="61">
        <v>1184</v>
      </c>
      <c r="B1188" s="2"/>
      <c r="C1188" s="2"/>
      <c r="D1188" s="2"/>
      <c r="E1188" s="10"/>
      <c r="F1188" s="11"/>
      <c r="G1188" s="2"/>
      <c r="H1188" s="2"/>
      <c r="I1188" s="2"/>
      <c r="J1188" s="67"/>
    </row>
    <row r="1189" spans="1:10" x14ac:dyDescent="0.35">
      <c r="A1189" s="61">
        <v>1185</v>
      </c>
      <c r="B1189" s="2"/>
      <c r="C1189" s="2"/>
      <c r="D1189" s="2"/>
      <c r="E1189" s="10"/>
      <c r="F1189" s="11"/>
      <c r="G1189" s="2"/>
      <c r="H1189" s="2"/>
      <c r="I1189" s="2"/>
      <c r="J1189" s="67"/>
    </row>
    <row r="1190" spans="1:10" x14ac:dyDescent="0.35">
      <c r="A1190" s="61">
        <v>1186</v>
      </c>
      <c r="B1190" s="2"/>
      <c r="C1190" s="2"/>
      <c r="D1190" s="2"/>
      <c r="E1190" s="10"/>
      <c r="F1190" s="11"/>
      <c r="G1190" s="2"/>
      <c r="H1190" s="2"/>
      <c r="I1190" s="2"/>
      <c r="J1190" s="67"/>
    </row>
    <row r="1191" spans="1:10" x14ac:dyDescent="0.35">
      <c r="A1191" s="61">
        <v>1187</v>
      </c>
      <c r="B1191" s="2"/>
      <c r="C1191" s="2"/>
      <c r="D1191" s="2"/>
      <c r="E1191" s="10"/>
      <c r="F1191" s="11"/>
      <c r="G1191" s="2"/>
      <c r="H1191" s="2"/>
      <c r="I1191" s="2"/>
      <c r="J1191" s="67"/>
    </row>
    <row r="1192" spans="1:10" x14ac:dyDescent="0.35">
      <c r="A1192" s="61">
        <v>1188</v>
      </c>
      <c r="B1192" s="2"/>
      <c r="C1192" s="2"/>
      <c r="D1192" s="2"/>
      <c r="E1192" s="10"/>
      <c r="F1192" s="11"/>
      <c r="G1192" s="2"/>
      <c r="H1192" s="2"/>
      <c r="I1192" s="2"/>
      <c r="J1192" s="67"/>
    </row>
    <row r="1193" spans="1:10" x14ac:dyDescent="0.35">
      <c r="A1193" s="61">
        <v>1189</v>
      </c>
      <c r="B1193" s="2"/>
      <c r="C1193" s="2"/>
      <c r="D1193" s="2"/>
      <c r="E1193" s="10"/>
      <c r="F1193" s="11"/>
      <c r="G1193" s="2"/>
      <c r="H1193" s="2"/>
      <c r="I1193" s="2"/>
      <c r="J1193" s="67"/>
    </row>
    <row r="1194" spans="1:10" x14ac:dyDescent="0.35">
      <c r="A1194" s="61">
        <v>1190</v>
      </c>
      <c r="B1194" s="2"/>
      <c r="C1194" s="2"/>
      <c r="D1194" s="2"/>
      <c r="E1194" s="10"/>
      <c r="F1194" s="11"/>
      <c r="G1194" s="2"/>
      <c r="H1194" s="2"/>
      <c r="I1194" s="2"/>
      <c r="J1194" s="67"/>
    </row>
    <row r="1195" spans="1:10" x14ac:dyDescent="0.35">
      <c r="A1195" s="61">
        <v>1191</v>
      </c>
      <c r="B1195" s="2"/>
      <c r="C1195" s="2"/>
      <c r="D1195" s="2"/>
      <c r="E1195" s="10"/>
      <c r="F1195" s="11"/>
      <c r="G1195" s="2"/>
      <c r="H1195" s="2"/>
      <c r="I1195" s="2"/>
      <c r="J1195" s="67"/>
    </row>
    <row r="1196" spans="1:10" x14ac:dyDescent="0.35">
      <c r="A1196" s="61">
        <v>1192</v>
      </c>
      <c r="B1196" s="2"/>
      <c r="C1196" s="2"/>
      <c r="D1196" s="2"/>
      <c r="E1196" s="10"/>
      <c r="F1196" s="11"/>
      <c r="G1196" s="2"/>
      <c r="H1196" s="2"/>
      <c r="I1196" s="2"/>
      <c r="J1196" s="67"/>
    </row>
    <row r="1197" spans="1:10" x14ac:dyDescent="0.35">
      <c r="A1197" s="61">
        <v>1193</v>
      </c>
      <c r="B1197" s="2"/>
      <c r="C1197" s="2"/>
      <c r="D1197" s="2"/>
      <c r="E1197" s="10"/>
      <c r="F1197" s="11"/>
      <c r="G1197" s="2"/>
      <c r="H1197" s="2"/>
      <c r="I1197" s="2"/>
      <c r="J1197" s="67"/>
    </row>
    <row r="1198" spans="1:10" x14ac:dyDescent="0.35">
      <c r="A1198" s="61">
        <v>1194</v>
      </c>
      <c r="B1198" s="2"/>
      <c r="C1198" s="2"/>
      <c r="D1198" s="2"/>
      <c r="E1198" s="10"/>
      <c r="F1198" s="11"/>
      <c r="G1198" s="2"/>
      <c r="H1198" s="2"/>
      <c r="I1198" s="2"/>
      <c r="J1198" s="67"/>
    </row>
    <row r="1199" spans="1:10" x14ac:dyDescent="0.35">
      <c r="A1199" s="61">
        <v>1195</v>
      </c>
      <c r="B1199" s="2"/>
      <c r="C1199" s="2"/>
      <c r="D1199" s="2"/>
      <c r="E1199" s="10"/>
      <c r="F1199" s="11"/>
      <c r="G1199" s="2"/>
      <c r="H1199" s="2"/>
      <c r="I1199" s="2"/>
      <c r="J1199" s="67"/>
    </row>
    <row r="1200" spans="1:10" x14ac:dyDescent="0.35">
      <c r="A1200" s="61">
        <v>1196</v>
      </c>
      <c r="B1200" s="2"/>
      <c r="C1200" s="2"/>
      <c r="D1200" s="2"/>
      <c r="E1200" s="10"/>
      <c r="F1200" s="11"/>
      <c r="G1200" s="2"/>
      <c r="H1200" s="2"/>
      <c r="I1200" s="2"/>
      <c r="J1200" s="67"/>
    </row>
    <row r="1201" spans="1:10" x14ac:dyDescent="0.35">
      <c r="A1201" s="61">
        <v>1197</v>
      </c>
      <c r="B1201" s="2"/>
      <c r="C1201" s="2"/>
      <c r="D1201" s="2"/>
      <c r="E1201" s="10"/>
      <c r="F1201" s="11"/>
      <c r="G1201" s="2"/>
      <c r="H1201" s="2"/>
      <c r="I1201" s="2"/>
      <c r="J1201" s="67"/>
    </row>
    <row r="1202" spans="1:10" x14ac:dyDescent="0.35">
      <c r="A1202" s="61">
        <v>1198</v>
      </c>
      <c r="B1202" s="2"/>
      <c r="C1202" s="2"/>
      <c r="D1202" s="2"/>
      <c r="E1202" s="10"/>
      <c r="F1202" s="11"/>
      <c r="G1202" s="2"/>
      <c r="H1202" s="2"/>
      <c r="I1202" s="2"/>
      <c r="J1202" s="67"/>
    </row>
    <row r="1203" spans="1:10" x14ac:dyDescent="0.35">
      <c r="A1203" s="61">
        <v>1199</v>
      </c>
      <c r="B1203" s="2"/>
      <c r="C1203" s="2"/>
      <c r="D1203" s="2"/>
      <c r="E1203" s="10"/>
      <c r="F1203" s="11"/>
      <c r="G1203" s="2"/>
      <c r="H1203" s="2"/>
      <c r="I1203" s="2"/>
      <c r="J1203" s="67"/>
    </row>
    <row r="1204" spans="1:10" x14ac:dyDescent="0.35">
      <c r="A1204" s="61">
        <v>1200</v>
      </c>
      <c r="B1204" s="2"/>
      <c r="C1204" s="2"/>
      <c r="D1204" s="2"/>
      <c r="E1204" s="10"/>
      <c r="F1204" s="11"/>
      <c r="G1204" s="2"/>
      <c r="H1204" s="2"/>
      <c r="I1204" s="2"/>
      <c r="J1204" s="67"/>
    </row>
    <row r="1205" spans="1:10" x14ac:dyDescent="0.35">
      <c r="A1205" s="61">
        <v>1201</v>
      </c>
      <c r="B1205" s="2"/>
      <c r="C1205" s="2"/>
      <c r="D1205" s="2"/>
      <c r="E1205" s="10"/>
      <c r="F1205" s="11"/>
      <c r="G1205" s="2"/>
      <c r="H1205" s="2"/>
      <c r="I1205" s="2"/>
      <c r="J1205" s="67"/>
    </row>
    <row r="1206" spans="1:10" x14ac:dyDescent="0.35">
      <c r="A1206" s="61">
        <v>1202</v>
      </c>
      <c r="B1206" s="2"/>
      <c r="C1206" s="2"/>
      <c r="D1206" s="2"/>
      <c r="E1206" s="10"/>
      <c r="F1206" s="11"/>
      <c r="G1206" s="2"/>
      <c r="H1206" s="2"/>
      <c r="I1206" s="2"/>
      <c r="J1206" s="67"/>
    </row>
    <row r="1207" spans="1:10" x14ac:dyDescent="0.35">
      <c r="A1207" s="61">
        <v>1203</v>
      </c>
      <c r="B1207" s="2"/>
      <c r="C1207" s="2"/>
      <c r="D1207" s="2"/>
      <c r="E1207" s="10"/>
      <c r="F1207" s="11"/>
      <c r="G1207" s="2"/>
      <c r="H1207" s="2"/>
      <c r="I1207" s="2"/>
      <c r="J1207" s="67"/>
    </row>
    <row r="1208" spans="1:10" x14ac:dyDescent="0.35">
      <c r="A1208" s="61">
        <v>1204</v>
      </c>
      <c r="B1208" s="2"/>
      <c r="C1208" s="2"/>
      <c r="D1208" s="2"/>
      <c r="E1208" s="10"/>
      <c r="F1208" s="11"/>
      <c r="G1208" s="2"/>
      <c r="H1208" s="2"/>
      <c r="I1208" s="2"/>
      <c r="J1208" s="67"/>
    </row>
    <row r="1209" spans="1:10" x14ac:dyDescent="0.35">
      <c r="A1209" s="61">
        <v>1205</v>
      </c>
      <c r="B1209" s="2"/>
      <c r="C1209" s="2"/>
      <c r="D1209" s="2"/>
      <c r="E1209" s="10"/>
      <c r="F1209" s="11"/>
      <c r="G1209" s="2"/>
      <c r="H1209" s="2"/>
      <c r="I1209" s="2"/>
      <c r="J1209" s="67"/>
    </row>
    <row r="1210" spans="1:10" x14ac:dyDescent="0.35">
      <c r="A1210" s="61">
        <v>1206</v>
      </c>
      <c r="B1210" s="2"/>
      <c r="C1210" s="2"/>
      <c r="D1210" s="2"/>
      <c r="E1210" s="10"/>
      <c r="F1210" s="11"/>
      <c r="G1210" s="2"/>
      <c r="H1210" s="2"/>
      <c r="I1210" s="2"/>
      <c r="J1210" s="67"/>
    </row>
    <row r="1211" spans="1:10" x14ac:dyDescent="0.35">
      <c r="A1211" s="61">
        <v>1207</v>
      </c>
      <c r="B1211" s="2"/>
      <c r="C1211" s="2"/>
      <c r="D1211" s="2"/>
      <c r="E1211" s="10"/>
      <c r="F1211" s="11"/>
      <c r="G1211" s="2"/>
      <c r="H1211" s="2"/>
      <c r="I1211" s="2"/>
      <c r="J1211" s="67"/>
    </row>
    <row r="1212" spans="1:10" x14ac:dyDescent="0.35">
      <c r="A1212" s="61">
        <v>1208</v>
      </c>
      <c r="B1212" s="2"/>
      <c r="C1212" s="2"/>
      <c r="D1212" s="2"/>
      <c r="E1212" s="10"/>
      <c r="F1212" s="11"/>
      <c r="G1212" s="2"/>
      <c r="H1212" s="2"/>
      <c r="I1212" s="2"/>
      <c r="J1212" s="67"/>
    </row>
    <row r="1213" spans="1:10" x14ac:dyDescent="0.35">
      <c r="A1213" s="61">
        <v>1209</v>
      </c>
      <c r="B1213" s="2"/>
      <c r="C1213" s="2"/>
      <c r="D1213" s="2"/>
      <c r="E1213" s="10"/>
      <c r="F1213" s="11"/>
      <c r="G1213" s="2"/>
      <c r="H1213" s="2"/>
      <c r="I1213" s="2"/>
      <c r="J1213" s="67"/>
    </row>
    <row r="1214" spans="1:10" x14ac:dyDescent="0.35">
      <c r="A1214" s="61">
        <v>1210</v>
      </c>
      <c r="B1214" s="2"/>
      <c r="C1214" s="2"/>
      <c r="D1214" s="2"/>
      <c r="E1214" s="10"/>
      <c r="F1214" s="11"/>
      <c r="G1214" s="2"/>
      <c r="H1214" s="2"/>
      <c r="I1214" s="2"/>
      <c r="J1214" s="67"/>
    </row>
    <row r="1215" spans="1:10" x14ac:dyDescent="0.35">
      <c r="A1215" s="61">
        <v>1211</v>
      </c>
      <c r="B1215" s="2"/>
      <c r="C1215" s="2"/>
      <c r="D1215" s="2"/>
      <c r="E1215" s="10"/>
      <c r="F1215" s="11"/>
      <c r="G1215" s="2"/>
      <c r="H1215" s="2"/>
      <c r="I1215" s="2"/>
      <c r="J1215" s="67"/>
    </row>
    <row r="1216" spans="1:10" x14ac:dyDescent="0.35">
      <c r="A1216" s="61">
        <v>1212</v>
      </c>
      <c r="B1216" s="2"/>
      <c r="C1216" s="2"/>
      <c r="D1216" s="2"/>
      <c r="E1216" s="10"/>
      <c r="F1216" s="11"/>
      <c r="G1216" s="2"/>
      <c r="H1216" s="2"/>
      <c r="I1216" s="2"/>
      <c r="J1216" s="67"/>
    </row>
    <row r="1217" spans="1:10" x14ac:dyDescent="0.35">
      <c r="A1217" s="61">
        <v>1213</v>
      </c>
      <c r="B1217" s="2"/>
      <c r="C1217" s="2"/>
      <c r="D1217" s="2"/>
      <c r="E1217" s="10"/>
      <c r="F1217" s="11"/>
      <c r="G1217" s="2"/>
      <c r="H1217" s="2"/>
      <c r="I1217" s="2"/>
      <c r="J1217" s="67"/>
    </row>
    <row r="1218" spans="1:10" x14ac:dyDescent="0.35">
      <c r="A1218" s="61">
        <v>1214</v>
      </c>
      <c r="B1218" s="2"/>
      <c r="C1218" s="2"/>
      <c r="D1218" s="2"/>
      <c r="E1218" s="10"/>
      <c r="F1218" s="11"/>
      <c r="G1218" s="2"/>
      <c r="H1218" s="2"/>
      <c r="I1218" s="2"/>
      <c r="J1218" s="67"/>
    </row>
    <row r="1219" spans="1:10" x14ac:dyDescent="0.35">
      <c r="A1219" s="61">
        <v>1215</v>
      </c>
      <c r="B1219" s="2"/>
      <c r="C1219" s="2"/>
      <c r="D1219" s="2"/>
      <c r="E1219" s="10"/>
      <c r="F1219" s="11"/>
      <c r="G1219" s="2"/>
      <c r="H1219" s="2"/>
      <c r="I1219" s="2"/>
      <c r="J1219" s="67"/>
    </row>
    <row r="1220" spans="1:10" x14ac:dyDescent="0.35">
      <c r="A1220" s="61">
        <v>1216</v>
      </c>
      <c r="B1220" s="2"/>
      <c r="C1220" s="2"/>
      <c r="D1220" s="2"/>
      <c r="E1220" s="10"/>
      <c r="F1220" s="11"/>
      <c r="G1220" s="2"/>
      <c r="H1220" s="2"/>
      <c r="I1220" s="2"/>
      <c r="J1220" s="67"/>
    </row>
    <row r="1221" spans="1:10" x14ac:dyDescent="0.35">
      <c r="A1221" s="61">
        <v>1217</v>
      </c>
      <c r="B1221" s="2"/>
      <c r="C1221" s="2"/>
      <c r="D1221" s="2"/>
      <c r="E1221" s="10"/>
      <c r="F1221" s="11"/>
      <c r="G1221" s="2"/>
      <c r="H1221" s="2"/>
      <c r="I1221" s="2"/>
      <c r="J1221" s="67"/>
    </row>
    <row r="1222" spans="1:10" x14ac:dyDescent="0.35">
      <c r="A1222" s="61">
        <v>1218</v>
      </c>
      <c r="B1222" s="2"/>
      <c r="C1222" s="2"/>
      <c r="D1222" s="2"/>
      <c r="E1222" s="10"/>
      <c r="F1222" s="11"/>
      <c r="G1222" s="2"/>
      <c r="H1222" s="2"/>
      <c r="I1222" s="2"/>
      <c r="J1222" s="67"/>
    </row>
    <row r="1223" spans="1:10" x14ac:dyDescent="0.35">
      <c r="A1223" s="61">
        <v>1219</v>
      </c>
      <c r="B1223" s="2"/>
      <c r="C1223" s="2"/>
      <c r="D1223" s="2"/>
      <c r="E1223" s="10"/>
      <c r="F1223" s="11"/>
      <c r="G1223" s="2"/>
      <c r="H1223" s="2"/>
      <c r="I1223" s="2"/>
      <c r="J1223" s="67"/>
    </row>
    <row r="1224" spans="1:10" x14ac:dyDescent="0.35">
      <c r="A1224" s="61">
        <v>1220</v>
      </c>
      <c r="B1224" s="2"/>
      <c r="C1224" s="2"/>
      <c r="D1224" s="2"/>
      <c r="E1224" s="10"/>
      <c r="F1224" s="11"/>
      <c r="G1224" s="2"/>
      <c r="H1224" s="2"/>
      <c r="I1224" s="2"/>
      <c r="J1224" s="67"/>
    </row>
    <row r="1225" spans="1:10" x14ac:dyDescent="0.35">
      <c r="A1225" s="61">
        <v>1221</v>
      </c>
      <c r="B1225" s="2"/>
      <c r="C1225" s="2"/>
      <c r="D1225" s="2"/>
      <c r="E1225" s="10"/>
      <c r="F1225" s="11"/>
      <c r="G1225" s="2"/>
      <c r="H1225" s="2"/>
      <c r="I1225" s="2"/>
      <c r="J1225" s="67"/>
    </row>
    <row r="1226" spans="1:10" x14ac:dyDescent="0.35">
      <c r="A1226" s="61">
        <v>1222</v>
      </c>
      <c r="B1226" s="2"/>
      <c r="C1226" s="2"/>
      <c r="D1226" s="2"/>
      <c r="E1226" s="10"/>
      <c r="F1226" s="11"/>
      <c r="G1226" s="2"/>
      <c r="H1226" s="2"/>
      <c r="I1226" s="2"/>
      <c r="J1226" s="67"/>
    </row>
    <row r="1227" spans="1:10" x14ac:dyDescent="0.35">
      <c r="A1227" s="61">
        <v>1223</v>
      </c>
      <c r="B1227" s="2"/>
      <c r="C1227" s="2"/>
      <c r="D1227" s="2"/>
      <c r="E1227" s="10"/>
      <c r="F1227" s="11"/>
      <c r="G1227" s="2"/>
      <c r="H1227" s="2"/>
      <c r="I1227" s="2"/>
      <c r="J1227" s="67"/>
    </row>
    <row r="1228" spans="1:10" x14ac:dyDescent="0.35">
      <c r="A1228" s="61">
        <v>1224</v>
      </c>
      <c r="B1228" s="2"/>
      <c r="C1228" s="2"/>
      <c r="D1228" s="2"/>
      <c r="E1228" s="10"/>
      <c r="F1228" s="11"/>
      <c r="G1228" s="2"/>
      <c r="H1228" s="2"/>
      <c r="I1228" s="2"/>
      <c r="J1228" s="67"/>
    </row>
    <row r="1229" spans="1:10" x14ac:dyDescent="0.35">
      <c r="A1229" s="61">
        <v>1225</v>
      </c>
      <c r="B1229" s="2"/>
      <c r="C1229" s="2"/>
      <c r="D1229" s="2"/>
      <c r="E1229" s="10"/>
      <c r="F1229" s="11"/>
      <c r="G1229" s="2"/>
      <c r="H1229" s="2"/>
      <c r="I1229" s="2"/>
      <c r="J1229" s="67"/>
    </row>
    <row r="1230" spans="1:10" x14ac:dyDescent="0.35">
      <c r="A1230" s="61">
        <v>1226</v>
      </c>
      <c r="B1230" s="2"/>
      <c r="C1230" s="2"/>
      <c r="D1230" s="2"/>
      <c r="E1230" s="10"/>
      <c r="F1230" s="11"/>
      <c r="G1230" s="2"/>
      <c r="H1230" s="2"/>
      <c r="I1230" s="2"/>
      <c r="J1230" s="67"/>
    </row>
    <row r="1231" spans="1:10" x14ac:dyDescent="0.35">
      <c r="A1231" s="61">
        <v>1227</v>
      </c>
      <c r="B1231" s="2"/>
      <c r="C1231" s="2"/>
      <c r="D1231" s="2"/>
      <c r="E1231" s="10"/>
      <c r="F1231" s="11"/>
      <c r="G1231" s="2"/>
      <c r="H1231" s="2"/>
      <c r="I1231" s="2"/>
      <c r="J1231" s="67"/>
    </row>
    <row r="1232" spans="1:10" x14ac:dyDescent="0.35">
      <c r="A1232" s="61">
        <v>1228</v>
      </c>
      <c r="B1232" s="2"/>
      <c r="C1232" s="2"/>
      <c r="D1232" s="2"/>
      <c r="E1232" s="10"/>
      <c r="F1232" s="11"/>
      <c r="G1232" s="2"/>
      <c r="H1232" s="2"/>
      <c r="I1232" s="2"/>
      <c r="J1232" s="67"/>
    </row>
    <row r="1233" spans="1:10" x14ac:dyDescent="0.35">
      <c r="A1233" s="61">
        <v>1229</v>
      </c>
      <c r="B1233" s="2"/>
      <c r="C1233" s="2"/>
      <c r="D1233" s="2"/>
      <c r="E1233" s="10"/>
      <c r="F1233" s="11"/>
      <c r="G1233" s="2"/>
      <c r="H1233" s="2"/>
      <c r="I1233" s="2"/>
      <c r="J1233" s="67"/>
    </row>
    <row r="1234" spans="1:10" x14ac:dyDescent="0.35">
      <c r="A1234" s="61">
        <v>1230</v>
      </c>
      <c r="B1234" s="2"/>
      <c r="C1234" s="2"/>
      <c r="D1234" s="2"/>
      <c r="E1234" s="10"/>
      <c r="F1234" s="11"/>
      <c r="G1234" s="2"/>
      <c r="H1234" s="2"/>
      <c r="I1234" s="2"/>
      <c r="J1234" s="67"/>
    </row>
    <row r="1235" spans="1:10" x14ac:dyDescent="0.35">
      <c r="A1235" s="61">
        <v>1231</v>
      </c>
      <c r="B1235" s="2"/>
      <c r="C1235" s="2"/>
      <c r="D1235" s="2"/>
      <c r="E1235" s="10"/>
      <c r="F1235" s="11"/>
      <c r="G1235" s="2"/>
      <c r="H1235" s="2"/>
      <c r="I1235" s="2"/>
      <c r="J1235" s="67"/>
    </row>
    <row r="1236" spans="1:10" x14ac:dyDescent="0.35">
      <c r="A1236" s="61">
        <v>1232</v>
      </c>
      <c r="B1236" s="2"/>
      <c r="C1236" s="2"/>
      <c r="D1236" s="2"/>
      <c r="E1236" s="10"/>
      <c r="F1236" s="11"/>
      <c r="G1236" s="2"/>
      <c r="H1236" s="2"/>
      <c r="I1236" s="2"/>
      <c r="J1236" s="67"/>
    </row>
    <row r="1237" spans="1:10" x14ac:dyDescent="0.35">
      <c r="A1237" s="61">
        <v>1233</v>
      </c>
      <c r="B1237" s="2"/>
      <c r="C1237" s="2"/>
      <c r="D1237" s="2"/>
      <c r="E1237" s="10"/>
      <c r="F1237" s="11"/>
      <c r="G1237" s="2"/>
      <c r="H1237" s="2"/>
      <c r="I1237" s="2"/>
      <c r="J1237" s="67"/>
    </row>
    <row r="1238" spans="1:10" x14ac:dyDescent="0.35">
      <c r="A1238" s="61">
        <v>1234</v>
      </c>
      <c r="B1238" s="2"/>
      <c r="C1238" s="2"/>
      <c r="D1238" s="2"/>
      <c r="E1238" s="10"/>
      <c r="F1238" s="11"/>
      <c r="G1238" s="2"/>
      <c r="H1238" s="2"/>
      <c r="I1238" s="2"/>
      <c r="J1238" s="67"/>
    </row>
    <row r="1239" spans="1:10" x14ac:dyDescent="0.35">
      <c r="A1239" s="61">
        <v>1235</v>
      </c>
      <c r="B1239" s="2"/>
      <c r="C1239" s="2"/>
      <c r="D1239" s="2"/>
      <c r="E1239" s="10"/>
      <c r="F1239" s="11"/>
      <c r="G1239" s="2"/>
      <c r="H1239" s="2"/>
      <c r="I1239" s="2"/>
      <c r="J1239" s="67"/>
    </row>
    <row r="1240" spans="1:10" x14ac:dyDescent="0.35">
      <c r="A1240" s="61">
        <v>1236</v>
      </c>
      <c r="B1240" s="2"/>
      <c r="C1240" s="2"/>
      <c r="D1240" s="2"/>
      <c r="E1240" s="10"/>
      <c r="F1240" s="11"/>
      <c r="G1240" s="2"/>
      <c r="H1240" s="2"/>
      <c r="I1240" s="2"/>
      <c r="J1240" s="67"/>
    </row>
    <row r="1241" spans="1:10" x14ac:dyDescent="0.35">
      <c r="A1241" s="61">
        <v>1237</v>
      </c>
      <c r="B1241" s="2"/>
      <c r="C1241" s="2"/>
      <c r="D1241" s="2"/>
      <c r="E1241" s="10"/>
      <c r="F1241" s="11"/>
      <c r="G1241" s="2"/>
      <c r="H1241" s="2"/>
      <c r="I1241" s="2"/>
      <c r="J1241" s="67"/>
    </row>
    <row r="1242" spans="1:10" x14ac:dyDescent="0.35">
      <c r="A1242" s="61">
        <v>1238</v>
      </c>
      <c r="B1242" s="2"/>
      <c r="C1242" s="2"/>
      <c r="D1242" s="2"/>
      <c r="E1242" s="10"/>
      <c r="F1242" s="11"/>
      <c r="G1242" s="2"/>
      <c r="H1242" s="2"/>
      <c r="I1242" s="2"/>
      <c r="J1242" s="67"/>
    </row>
    <row r="1243" spans="1:10" x14ac:dyDescent="0.35">
      <c r="A1243" s="61">
        <v>1239</v>
      </c>
      <c r="B1243" s="2"/>
      <c r="C1243" s="2"/>
      <c r="D1243" s="2"/>
      <c r="E1243" s="10"/>
      <c r="F1243" s="11"/>
      <c r="G1243" s="2"/>
      <c r="H1243" s="2"/>
      <c r="I1243" s="2"/>
      <c r="J1243" s="67"/>
    </row>
    <row r="1244" spans="1:10" x14ac:dyDescent="0.35">
      <c r="A1244" s="61">
        <v>1240</v>
      </c>
      <c r="B1244" s="2"/>
      <c r="C1244" s="2"/>
      <c r="D1244" s="2"/>
      <c r="E1244" s="10"/>
      <c r="F1244" s="11"/>
      <c r="G1244" s="2"/>
      <c r="H1244" s="2"/>
      <c r="I1244" s="2"/>
      <c r="J1244" s="67"/>
    </row>
    <row r="1245" spans="1:10" x14ac:dyDescent="0.35">
      <c r="A1245" s="61">
        <v>1241</v>
      </c>
      <c r="B1245" s="2"/>
      <c r="C1245" s="2"/>
      <c r="D1245" s="2"/>
      <c r="E1245" s="10"/>
      <c r="F1245" s="11"/>
      <c r="G1245" s="2"/>
      <c r="H1245" s="2"/>
      <c r="I1245" s="2"/>
      <c r="J1245" s="67"/>
    </row>
    <row r="1246" spans="1:10" x14ac:dyDescent="0.35">
      <c r="A1246" s="61">
        <v>1242</v>
      </c>
      <c r="B1246" s="2"/>
      <c r="C1246" s="2"/>
      <c r="D1246" s="2"/>
      <c r="E1246" s="10"/>
      <c r="F1246" s="11"/>
      <c r="G1246" s="2"/>
      <c r="H1246" s="2"/>
      <c r="I1246" s="2"/>
      <c r="J1246" s="67"/>
    </row>
    <row r="1247" spans="1:10" x14ac:dyDescent="0.35">
      <c r="A1247" s="61">
        <v>1243</v>
      </c>
      <c r="B1247" s="2"/>
      <c r="C1247" s="2"/>
      <c r="D1247" s="2"/>
      <c r="E1247" s="10"/>
      <c r="F1247" s="11"/>
      <c r="G1247" s="2"/>
      <c r="H1247" s="2"/>
      <c r="I1247" s="2"/>
      <c r="J1247" s="67"/>
    </row>
    <row r="1248" spans="1:10" x14ac:dyDescent="0.35">
      <c r="A1248" s="61">
        <v>1244</v>
      </c>
      <c r="B1248" s="2"/>
      <c r="C1248" s="2"/>
      <c r="D1248" s="2"/>
      <c r="E1248" s="10"/>
      <c r="F1248" s="11"/>
      <c r="G1248" s="2"/>
      <c r="H1248" s="2"/>
      <c r="I1248" s="2"/>
      <c r="J1248" s="67"/>
    </row>
    <row r="1249" spans="1:10" x14ac:dyDescent="0.35">
      <c r="A1249" s="61">
        <v>1245</v>
      </c>
      <c r="B1249" s="2"/>
      <c r="C1249" s="2"/>
      <c r="D1249" s="2"/>
      <c r="E1249" s="10"/>
      <c r="F1249" s="11"/>
      <c r="G1249" s="2"/>
      <c r="H1249" s="2"/>
      <c r="I1249" s="2"/>
      <c r="J1249" s="67"/>
    </row>
    <row r="1250" spans="1:10" x14ac:dyDescent="0.35">
      <c r="A1250" s="61">
        <v>1246</v>
      </c>
      <c r="B1250" s="2"/>
      <c r="C1250" s="2"/>
      <c r="D1250" s="2"/>
      <c r="E1250" s="10"/>
      <c r="F1250" s="11"/>
      <c r="G1250" s="2"/>
      <c r="H1250" s="2"/>
      <c r="I1250" s="2"/>
      <c r="J1250" s="67"/>
    </row>
    <row r="1251" spans="1:10" x14ac:dyDescent="0.35">
      <c r="A1251" s="61">
        <v>1247</v>
      </c>
      <c r="B1251" s="2"/>
      <c r="C1251" s="2"/>
      <c r="D1251" s="2"/>
      <c r="E1251" s="10"/>
      <c r="F1251" s="11"/>
      <c r="G1251" s="2"/>
      <c r="H1251" s="2"/>
      <c r="I1251" s="2"/>
      <c r="J1251" s="67"/>
    </row>
    <row r="1252" spans="1:10" x14ac:dyDescent="0.35">
      <c r="A1252" s="61">
        <v>1248</v>
      </c>
      <c r="B1252" s="2"/>
      <c r="C1252" s="2"/>
      <c r="D1252" s="2"/>
      <c r="E1252" s="10"/>
      <c r="F1252" s="11"/>
      <c r="G1252" s="2"/>
      <c r="H1252" s="2"/>
      <c r="I1252" s="2"/>
      <c r="J1252" s="67"/>
    </row>
    <row r="1253" spans="1:10" x14ac:dyDescent="0.35">
      <c r="A1253" s="61">
        <v>1249</v>
      </c>
      <c r="B1253" s="2"/>
      <c r="C1253" s="2"/>
      <c r="D1253" s="2"/>
      <c r="E1253" s="10"/>
      <c r="F1253" s="11"/>
      <c r="G1253" s="2"/>
      <c r="H1253" s="2"/>
      <c r="I1253" s="2"/>
      <c r="J1253" s="67"/>
    </row>
    <row r="1254" spans="1:10" x14ac:dyDescent="0.35">
      <c r="A1254" s="61">
        <v>1250</v>
      </c>
      <c r="B1254" s="2"/>
      <c r="C1254" s="2"/>
      <c r="D1254" s="2"/>
      <c r="E1254" s="10"/>
      <c r="F1254" s="11"/>
      <c r="G1254" s="2"/>
      <c r="H1254" s="2"/>
      <c r="I1254" s="2"/>
      <c r="J1254" s="67"/>
    </row>
    <row r="1255" spans="1:10" x14ac:dyDescent="0.35">
      <c r="A1255" s="61">
        <v>1251</v>
      </c>
      <c r="B1255" s="2"/>
      <c r="C1255" s="2"/>
      <c r="D1255" s="2"/>
      <c r="E1255" s="10"/>
      <c r="F1255" s="11"/>
      <c r="G1255" s="2"/>
      <c r="H1255" s="2"/>
      <c r="I1255" s="2"/>
      <c r="J1255" s="67"/>
    </row>
    <row r="1256" spans="1:10" x14ac:dyDescent="0.35">
      <c r="A1256" s="61">
        <v>1252</v>
      </c>
      <c r="B1256" s="2"/>
      <c r="C1256" s="2"/>
      <c r="D1256" s="2"/>
      <c r="E1256" s="10"/>
      <c r="F1256" s="11"/>
      <c r="G1256" s="2"/>
      <c r="H1256" s="2"/>
      <c r="I1256" s="2"/>
      <c r="J1256" s="67"/>
    </row>
    <row r="1257" spans="1:10" x14ac:dyDescent="0.35">
      <c r="A1257" s="61">
        <v>1253</v>
      </c>
      <c r="B1257" s="2"/>
      <c r="C1257" s="2"/>
      <c r="D1257" s="2"/>
      <c r="E1257" s="10"/>
      <c r="F1257" s="11"/>
      <c r="G1257" s="2"/>
      <c r="H1257" s="2"/>
      <c r="I1257" s="2"/>
      <c r="J1257" s="67"/>
    </row>
    <row r="1258" spans="1:10" x14ac:dyDescent="0.35">
      <c r="A1258" s="61">
        <v>1254</v>
      </c>
      <c r="B1258" s="2"/>
      <c r="C1258" s="2"/>
      <c r="D1258" s="2"/>
      <c r="E1258" s="10"/>
      <c r="F1258" s="11"/>
      <c r="G1258" s="2"/>
      <c r="H1258" s="2"/>
      <c r="I1258" s="2"/>
      <c r="J1258" s="67"/>
    </row>
    <row r="1259" spans="1:10" x14ac:dyDescent="0.35">
      <c r="A1259" s="61">
        <v>1255</v>
      </c>
      <c r="B1259" s="2"/>
      <c r="C1259" s="2"/>
      <c r="D1259" s="2"/>
      <c r="E1259" s="10"/>
      <c r="F1259" s="11"/>
      <c r="G1259" s="2"/>
      <c r="H1259" s="2"/>
      <c r="I1259" s="2"/>
      <c r="J1259" s="67"/>
    </row>
    <row r="1260" spans="1:10" x14ac:dyDescent="0.35">
      <c r="A1260" s="61">
        <v>1256</v>
      </c>
      <c r="B1260" s="2"/>
      <c r="C1260" s="2"/>
      <c r="D1260" s="2"/>
      <c r="E1260" s="10"/>
      <c r="F1260" s="11"/>
      <c r="G1260" s="2"/>
      <c r="H1260" s="2"/>
      <c r="I1260" s="2"/>
      <c r="J1260" s="67"/>
    </row>
    <row r="1261" spans="1:10" x14ac:dyDescent="0.35">
      <c r="A1261" s="61">
        <v>1257</v>
      </c>
      <c r="B1261" s="2"/>
      <c r="C1261" s="2"/>
      <c r="D1261" s="2"/>
      <c r="E1261" s="10"/>
      <c r="F1261" s="11"/>
      <c r="G1261" s="2"/>
      <c r="H1261" s="2"/>
      <c r="I1261" s="2"/>
      <c r="J1261" s="67"/>
    </row>
    <row r="1262" spans="1:10" x14ac:dyDescent="0.35">
      <c r="A1262" s="61">
        <v>1258</v>
      </c>
      <c r="B1262" s="2"/>
      <c r="C1262" s="2"/>
      <c r="D1262" s="2"/>
      <c r="E1262" s="10"/>
      <c r="F1262" s="11"/>
      <c r="G1262" s="2"/>
      <c r="H1262" s="2"/>
      <c r="I1262" s="2"/>
      <c r="J1262" s="67"/>
    </row>
    <row r="1263" spans="1:10" x14ac:dyDescent="0.35">
      <c r="A1263" s="61">
        <v>1259</v>
      </c>
      <c r="B1263" s="2"/>
      <c r="C1263" s="2"/>
      <c r="D1263" s="2"/>
      <c r="E1263" s="10"/>
      <c r="F1263" s="11"/>
      <c r="G1263" s="2"/>
      <c r="H1263" s="2"/>
      <c r="I1263" s="2"/>
      <c r="J1263" s="67"/>
    </row>
    <row r="1264" spans="1:10" x14ac:dyDescent="0.35">
      <c r="A1264" s="61">
        <v>1260</v>
      </c>
      <c r="B1264" s="2"/>
      <c r="C1264" s="2"/>
      <c r="D1264" s="2"/>
      <c r="E1264" s="10"/>
      <c r="F1264" s="11"/>
      <c r="G1264" s="2"/>
      <c r="H1264" s="2"/>
      <c r="I1264" s="2"/>
      <c r="J1264" s="67"/>
    </row>
    <row r="1265" spans="1:10" x14ac:dyDescent="0.35">
      <c r="A1265" s="61">
        <v>1261</v>
      </c>
      <c r="B1265" s="2"/>
      <c r="C1265" s="2"/>
      <c r="D1265" s="2"/>
      <c r="E1265" s="10"/>
      <c r="F1265" s="11"/>
      <c r="G1265" s="2"/>
      <c r="H1265" s="2"/>
      <c r="I1265" s="2"/>
      <c r="J1265" s="67"/>
    </row>
    <row r="1266" spans="1:10" x14ac:dyDescent="0.35">
      <c r="A1266" s="61">
        <v>1262</v>
      </c>
      <c r="B1266" s="2"/>
      <c r="C1266" s="2"/>
      <c r="D1266" s="2"/>
      <c r="E1266" s="10"/>
      <c r="F1266" s="11"/>
      <c r="G1266" s="2"/>
      <c r="H1266" s="2"/>
      <c r="I1266" s="2"/>
      <c r="J1266" s="67"/>
    </row>
    <row r="1267" spans="1:10" x14ac:dyDescent="0.35">
      <c r="A1267" s="61">
        <v>1263</v>
      </c>
      <c r="B1267" s="2"/>
      <c r="C1267" s="2"/>
      <c r="D1267" s="2"/>
      <c r="E1267" s="10"/>
      <c r="F1267" s="11"/>
      <c r="G1267" s="2"/>
      <c r="H1267" s="2"/>
      <c r="I1267" s="2"/>
      <c r="J1267" s="67"/>
    </row>
    <row r="1268" spans="1:10" x14ac:dyDescent="0.35">
      <c r="A1268" s="61">
        <v>1264</v>
      </c>
      <c r="B1268" s="2"/>
      <c r="C1268" s="2"/>
      <c r="D1268" s="2"/>
      <c r="E1268" s="10"/>
      <c r="F1268" s="11"/>
      <c r="G1268" s="2"/>
      <c r="H1268" s="2"/>
      <c r="I1268" s="2"/>
      <c r="J1268" s="67"/>
    </row>
    <row r="1269" spans="1:10" x14ac:dyDescent="0.35">
      <c r="A1269" s="61">
        <v>1265</v>
      </c>
      <c r="B1269" s="2"/>
      <c r="C1269" s="2"/>
      <c r="D1269" s="2"/>
      <c r="E1269" s="10"/>
      <c r="F1269" s="11"/>
      <c r="G1269" s="2"/>
      <c r="H1269" s="2"/>
      <c r="I1269" s="2"/>
      <c r="J1269" s="67"/>
    </row>
    <row r="1270" spans="1:10" x14ac:dyDescent="0.35">
      <c r="A1270" s="61">
        <v>1266</v>
      </c>
      <c r="B1270" s="2"/>
      <c r="C1270" s="2"/>
      <c r="D1270" s="2"/>
      <c r="E1270" s="10"/>
      <c r="F1270" s="11"/>
      <c r="G1270" s="2"/>
      <c r="H1270" s="2"/>
      <c r="I1270" s="2"/>
      <c r="J1270" s="67"/>
    </row>
    <row r="1271" spans="1:10" x14ac:dyDescent="0.35">
      <c r="A1271" s="61">
        <v>1267</v>
      </c>
      <c r="B1271" s="2"/>
      <c r="C1271" s="2"/>
      <c r="D1271" s="2"/>
      <c r="E1271" s="10"/>
      <c r="F1271" s="11"/>
      <c r="G1271" s="2"/>
      <c r="H1271" s="2"/>
      <c r="I1271" s="2"/>
      <c r="J1271" s="67"/>
    </row>
    <row r="1272" spans="1:10" x14ac:dyDescent="0.35">
      <c r="A1272" s="61">
        <v>1268</v>
      </c>
      <c r="B1272" s="2"/>
      <c r="C1272" s="2"/>
      <c r="D1272" s="2"/>
      <c r="E1272" s="10"/>
      <c r="F1272" s="11"/>
      <c r="G1272" s="2"/>
      <c r="H1272" s="2"/>
      <c r="I1272" s="2"/>
      <c r="J1272" s="67"/>
    </row>
    <row r="1273" spans="1:10" x14ac:dyDescent="0.35">
      <c r="A1273" s="61">
        <v>1269</v>
      </c>
      <c r="B1273" s="2"/>
      <c r="C1273" s="2"/>
      <c r="D1273" s="2"/>
      <c r="E1273" s="10"/>
      <c r="F1273" s="11"/>
      <c r="G1273" s="2"/>
      <c r="H1273" s="2"/>
      <c r="I1273" s="2"/>
      <c r="J1273" s="67"/>
    </row>
    <row r="1274" spans="1:10" x14ac:dyDescent="0.35">
      <c r="A1274" s="61">
        <v>1270</v>
      </c>
      <c r="B1274" s="2"/>
      <c r="C1274" s="2"/>
      <c r="D1274" s="2"/>
      <c r="E1274" s="10"/>
      <c r="F1274" s="11"/>
      <c r="G1274" s="2"/>
      <c r="H1274" s="2"/>
      <c r="I1274" s="2"/>
      <c r="J1274" s="67"/>
    </row>
    <row r="1275" spans="1:10" x14ac:dyDescent="0.35">
      <c r="A1275" s="61">
        <v>1271</v>
      </c>
      <c r="B1275" s="2"/>
      <c r="C1275" s="2"/>
      <c r="D1275" s="2"/>
      <c r="E1275" s="10"/>
      <c r="F1275" s="11"/>
      <c r="G1275" s="2"/>
      <c r="H1275" s="2"/>
      <c r="I1275" s="2"/>
      <c r="J1275" s="67"/>
    </row>
    <row r="1276" spans="1:10" x14ac:dyDescent="0.35">
      <c r="A1276" s="61">
        <v>1272</v>
      </c>
      <c r="B1276" s="2"/>
      <c r="C1276" s="2"/>
      <c r="D1276" s="2"/>
      <c r="E1276" s="10"/>
      <c r="F1276" s="11"/>
      <c r="G1276" s="2"/>
      <c r="H1276" s="2"/>
      <c r="I1276" s="2"/>
      <c r="J1276" s="67"/>
    </row>
    <row r="1277" spans="1:10" x14ac:dyDescent="0.35">
      <c r="A1277" s="61">
        <v>1273</v>
      </c>
      <c r="B1277" s="2"/>
      <c r="C1277" s="2"/>
      <c r="D1277" s="2"/>
      <c r="E1277" s="10"/>
      <c r="F1277" s="11"/>
      <c r="G1277" s="2"/>
      <c r="H1277" s="2"/>
      <c r="I1277" s="2"/>
      <c r="J1277" s="67"/>
    </row>
    <row r="1278" spans="1:10" x14ac:dyDescent="0.35">
      <c r="A1278" s="61">
        <v>1274</v>
      </c>
      <c r="B1278" s="2"/>
      <c r="C1278" s="2"/>
      <c r="D1278" s="2"/>
      <c r="E1278" s="10"/>
      <c r="F1278" s="11"/>
      <c r="G1278" s="2"/>
      <c r="H1278" s="2"/>
      <c r="I1278" s="2"/>
      <c r="J1278" s="67"/>
    </row>
    <row r="1279" spans="1:10" x14ac:dyDescent="0.35">
      <c r="A1279" s="61">
        <v>1275</v>
      </c>
      <c r="B1279" s="2"/>
      <c r="C1279" s="2"/>
      <c r="D1279" s="2"/>
      <c r="E1279" s="10"/>
      <c r="F1279" s="11"/>
      <c r="G1279" s="2"/>
      <c r="H1279" s="2"/>
      <c r="I1279" s="2"/>
      <c r="J1279" s="67"/>
    </row>
    <row r="1280" spans="1:10" x14ac:dyDescent="0.35">
      <c r="A1280" s="61">
        <v>1276</v>
      </c>
      <c r="B1280" s="2"/>
      <c r="C1280" s="2"/>
      <c r="D1280" s="2"/>
      <c r="E1280" s="10"/>
      <c r="F1280" s="11"/>
      <c r="G1280" s="2"/>
      <c r="H1280" s="2"/>
      <c r="I1280" s="2"/>
      <c r="J1280" s="67"/>
    </row>
    <row r="1281" spans="1:10" x14ac:dyDescent="0.35">
      <c r="A1281" s="61">
        <v>1277</v>
      </c>
      <c r="B1281" s="2"/>
      <c r="C1281" s="2"/>
      <c r="D1281" s="2"/>
      <c r="E1281" s="10"/>
      <c r="F1281" s="11"/>
      <c r="G1281" s="2"/>
      <c r="H1281" s="2"/>
      <c r="I1281" s="2"/>
      <c r="J1281" s="67"/>
    </row>
    <row r="1282" spans="1:10" x14ac:dyDescent="0.35">
      <c r="A1282" s="61">
        <v>1278</v>
      </c>
      <c r="B1282" s="2"/>
      <c r="C1282" s="2"/>
      <c r="D1282" s="2"/>
      <c r="E1282" s="10"/>
      <c r="F1282" s="11"/>
      <c r="G1282" s="2"/>
      <c r="H1282" s="2"/>
      <c r="I1282" s="2"/>
      <c r="J1282" s="67"/>
    </row>
    <row r="1283" spans="1:10" x14ac:dyDescent="0.35">
      <c r="A1283" s="61">
        <v>1279</v>
      </c>
      <c r="B1283" s="2"/>
      <c r="C1283" s="2"/>
      <c r="D1283" s="2"/>
      <c r="E1283" s="10"/>
      <c r="F1283" s="11"/>
      <c r="G1283" s="2"/>
      <c r="H1283" s="2"/>
      <c r="I1283" s="2"/>
      <c r="J1283" s="67"/>
    </row>
    <row r="1284" spans="1:10" x14ac:dyDescent="0.35">
      <c r="A1284" s="61">
        <v>1280</v>
      </c>
      <c r="B1284" s="2"/>
      <c r="C1284" s="2"/>
      <c r="D1284" s="2"/>
      <c r="E1284" s="10"/>
      <c r="F1284" s="11"/>
      <c r="G1284" s="2"/>
      <c r="H1284" s="2"/>
      <c r="I1284" s="2"/>
      <c r="J1284" s="67"/>
    </row>
    <row r="1285" spans="1:10" x14ac:dyDescent="0.35">
      <c r="A1285" s="61">
        <v>1281</v>
      </c>
      <c r="B1285" s="2"/>
      <c r="C1285" s="2"/>
      <c r="D1285" s="2"/>
      <c r="E1285" s="10"/>
      <c r="F1285" s="11"/>
      <c r="G1285" s="2"/>
      <c r="H1285" s="2"/>
      <c r="I1285" s="2"/>
      <c r="J1285" s="67"/>
    </row>
    <row r="1286" spans="1:10" x14ac:dyDescent="0.35">
      <c r="A1286" s="61">
        <v>1282</v>
      </c>
      <c r="B1286" s="2"/>
      <c r="C1286" s="2"/>
      <c r="D1286" s="2"/>
      <c r="E1286" s="10"/>
      <c r="F1286" s="11"/>
      <c r="G1286" s="2"/>
      <c r="H1286" s="2"/>
      <c r="I1286" s="2"/>
      <c r="J1286" s="67"/>
    </row>
    <row r="1287" spans="1:10" x14ac:dyDescent="0.35">
      <c r="A1287" s="61">
        <v>1283</v>
      </c>
      <c r="B1287" s="2"/>
      <c r="C1287" s="2"/>
      <c r="D1287" s="2"/>
      <c r="E1287" s="10"/>
      <c r="F1287" s="11"/>
      <c r="G1287" s="2"/>
      <c r="H1287" s="2"/>
      <c r="I1287" s="2"/>
      <c r="J1287" s="67"/>
    </row>
    <row r="1288" spans="1:10" x14ac:dyDescent="0.35">
      <c r="A1288" s="61">
        <v>1284</v>
      </c>
      <c r="B1288" s="2"/>
      <c r="C1288" s="2"/>
      <c r="D1288" s="2"/>
      <c r="E1288" s="10"/>
      <c r="F1288" s="11"/>
      <c r="G1288" s="2"/>
      <c r="H1288" s="2"/>
      <c r="I1288" s="2"/>
      <c r="J1288" s="67"/>
    </row>
    <row r="1289" spans="1:10" x14ac:dyDescent="0.35">
      <c r="A1289" s="61">
        <v>1285</v>
      </c>
      <c r="B1289" s="2"/>
      <c r="C1289" s="2"/>
      <c r="D1289" s="2"/>
      <c r="E1289" s="10"/>
      <c r="F1289" s="11"/>
      <c r="G1289" s="2"/>
      <c r="H1289" s="2"/>
      <c r="I1289" s="2"/>
      <c r="J1289" s="67"/>
    </row>
    <row r="1290" spans="1:10" x14ac:dyDescent="0.35">
      <c r="A1290" s="61">
        <v>1286</v>
      </c>
      <c r="B1290" s="2"/>
      <c r="C1290" s="2"/>
      <c r="D1290" s="2"/>
      <c r="E1290" s="10"/>
      <c r="F1290" s="11"/>
      <c r="G1290" s="2"/>
      <c r="H1290" s="2"/>
      <c r="I1290" s="2"/>
      <c r="J1290" s="67"/>
    </row>
    <row r="1291" spans="1:10" x14ac:dyDescent="0.35">
      <c r="A1291" s="61">
        <v>1287</v>
      </c>
      <c r="B1291" s="2"/>
      <c r="C1291" s="2"/>
      <c r="D1291" s="2"/>
      <c r="E1291" s="10"/>
      <c r="F1291" s="11"/>
      <c r="G1291" s="2"/>
      <c r="H1291" s="2"/>
      <c r="I1291" s="2"/>
      <c r="J1291" s="67"/>
    </row>
    <row r="1292" spans="1:10" x14ac:dyDescent="0.35">
      <c r="A1292" s="61">
        <v>1288</v>
      </c>
      <c r="B1292" s="2"/>
      <c r="C1292" s="2"/>
      <c r="D1292" s="2"/>
      <c r="E1292" s="10"/>
      <c r="F1292" s="11"/>
      <c r="G1292" s="2"/>
      <c r="H1292" s="2"/>
      <c r="I1292" s="2"/>
      <c r="J1292" s="67"/>
    </row>
    <row r="1293" spans="1:10" x14ac:dyDescent="0.35">
      <c r="A1293" s="61">
        <v>1289</v>
      </c>
      <c r="B1293" s="2"/>
      <c r="C1293" s="2"/>
      <c r="D1293" s="2"/>
      <c r="E1293" s="10"/>
      <c r="F1293" s="11"/>
      <c r="G1293" s="2"/>
      <c r="H1293" s="2"/>
      <c r="I1293" s="2"/>
      <c r="J1293" s="67"/>
    </row>
    <row r="1294" spans="1:10" x14ac:dyDescent="0.35">
      <c r="A1294" s="61">
        <v>1290</v>
      </c>
      <c r="B1294" s="2"/>
      <c r="C1294" s="2"/>
      <c r="D1294" s="2"/>
      <c r="E1294" s="10"/>
      <c r="F1294" s="11"/>
      <c r="G1294" s="2"/>
      <c r="H1294" s="2"/>
      <c r="I1294" s="2"/>
      <c r="J1294" s="67"/>
    </row>
    <row r="1295" spans="1:10" x14ac:dyDescent="0.35">
      <c r="A1295" s="61">
        <v>1291</v>
      </c>
      <c r="B1295" s="2"/>
      <c r="C1295" s="2"/>
      <c r="D1295" s="2"/>
      <c r="E1295" s="10"/>
      <c r="F1295" s="11"/>
      <c r="G1295" s="2"/>
      <c r="H1295" s="2"/>
      <c r="I1295" s="2"/>
      <c r="J1295" s="67"/>
    </row>
    <row r="1296" spans="1:10" x14ac:dyDescent="0.35">
      <c r="A1296" s="61">
        <v>1292</v>
      </c>
      <c r="B1296" s="2"/>
      <c r="C1296" s="2"/>
      <c r="D1296" s="2"/>
      <c r="E1296" s="10"/>
      <c r="F1296" s="11"/>
      <c r="G1296" s="2"/>
      <c r="H1296" s="2"/>
      <c r="I1296" s="2"/>
      <c r="J1296" s="67"/>
    </row>
    <row r="1297" spans="1:10" x14ac:dyDescent="0.35">
      <c r="A1297" s="61">
        <v>1293</v>
      </c>
      <c r="B1297" s="2"/>
      <c r="C1297" s="2"/>
      <c r="D1297" s="2"/>
      <c r="E1297" s="10"/>
      <c r="F1297" s="11"/>
      <c r="G1297" s="2"/>
      <c r="H1297" s="2"/>
      <c r="I1297" s="2"/>
      <c r="J1297" s="67"/>
    </row>
    <row r="1298" spans="1:10" x14ac:dyDescent="0.35">
      <c r="A1298" s="61">
        <v>1294</v>
      </c>
      <c r="B1298" s="2"/>
      <c r="C1298" s="2"/>
      <c r="D1298" s="2"/>
      <c r="E1298" s="10"/>
      <c r="F1298" s="11"/>
      <c r="G1298" s="2"/>
      <c r="H1298" s="2"/>
      <c r="I1298" s="2"/>
      <c r="J1298" s="67"/>
    </row>
    <row r="1299" spans="1:10" x14ac:dyDescent="0.35">
      <c r="A1299" s="61">
        <v>1295</v>
      </c>
      <c r="B1299" s="2"/>
      <c r="C1299" s="2"/>
      <c r="D1299" s="2"/>
      <c r="E1299" s="10"/>
      <c r="F1299" s="11"/>
      <c r="G1299" s="2"/>
      <c r="H1299" s="2"/>
      <c r="I1299" s="2"/>
      <c r="J1299" s="67"/>
    </row>
    <row r="1300" spans="1:10" x14ac:dyDescent="0.35">
      <c r="A1300" s="61">
        <v>1296</v>
      </c>
      <c r="B1300" s="2"/>
      <c r="C1300" s="2"/>
      <c r="D1300" s="2"/>
      <c r="E1300" s="10"/>
      <c r="F1300" s="11"/>
      <c r="G1300" s="2"/>
      <c r="H1300" s="2"/>
      <c r="I1300" s="2"/>
      <c r="J1300" s="67"/>
    </row>
    <row r="1301" spans="1:10" x14ac:dyDescent="0.35">
      <c r="A1301" s="61">
        <v>1297</v>
      </c>
      <c r="B1301" s="2"/>
      <c r="C1301" s="2"/>
      <c r="D1301" s="2"/>
      <c r="E1301" s="10"/>
      <c r="F1301" s="11"/>
      <c r="G1301" s="2"/>
      <c r="H1301" s="2"/>
      <c r="I1301" s="2"/>
      <c r="J1301" s="67"/>
    </row>
    <row r="1302" spans="1:10" x14ac:dyDescent="0.35">
      <c r="A1302" s="61">
        <v>1298</v>
      </c>
      <c r="B1302" s="2"/>
      <c r="C1302" s="2"/>
      <c r="D1302" s="2"/>
      <c r="E1302" s="10"/>
      <c r="F1302" s="11"/>
      <c r="G1302" s="2"/>
      <c r="H1302" s="2"/>
      <c r="I1302" s="2"/>
      <c r="J1302" s="67"/>
    </row>
    <row r="1303" spans="1:10" x14ac:dyDescent="0.35">
      <c r="A1303" s="61">
        <v>1299</v>
      </c>
      <c r="B1303" s="2"/>
      <c r="C1303" s="2"/>
      <c r="D1303" s="2"/>
      <c r="E1303" s="10"/>
      <c r="F1303" s="11"/>
      <c r="G1303" s="2"/>
      <c r="H1303" s="2"/>
      <c r="I1303" s="2"/>
      <c r="J1303" s="67"/>
    </row>
    <row r="1304" spans="1:10" x14ac:dyDescent="0.35">
      <c r="A1304" s="61">
        <v>1300</v>
      </c>
      <c r="B1304" s="2"/>
      <c r="C1304" s="2"/>
      <c r="D1304" s="2"/>
      <c r="E1304" s="10"/>
      <c r="F1304" s="11"/>
      <c r="G1304" s="2"/>
      <c r="H1304" s="2"/>
      <c r="I1304" s="2"/>
      <c r="J1304" s="67"/>
    </row>
    <row r="1305" spans="1:10" x14ac:dyDescent="0.35">
      <c r="A1305" s="61">
        <v>1301</v>
      </c>
      <c r="B1305" s="2"/>
      <c r="C1305" s="2"/>
      <c r="D1305" s="2"/>
      <c r="E1305" s="10"/>
      <c r="F1305" s="11"/>
      <c r="G1305" s="2"/>
      <c r="H1305" s="2"/>
      <c r="I1305" s="2"/>
      <c r="J1305" s="67"/>
    </row>
    <row r="1306" spans="1:10" x14ac:dyDescent="0.35">
      <c r="A1306" s="61">
        <v>1302</v>
      </c>
      <c r="B1306" s="2"/>
      <c r="C1306" s="2"/>
      <c r="D1306" s="2"/>
      <c r="E1306" s="10"/>
      <c r="F1306" s="11"/>
      <c r="G1306" s="2"/>
      <c r="H1306" s="2"/>
      <c r="I1306" s="2"/>
      <c r="J1306" s="67"/>
    </row>
    <row r="1307" spans="1:10" x14ac:dyDescent="0.35">
      <c r="A1307" s="61">
        <v>1303</v>
      </c>
      <c r="B1307" s="2"/>
      <c r="C1307" s="2"/>
      <c r="D1307" s="2"/>
      <c r="E1307" s="10"/>
      <c r="F1307" s="11"/>
      <c r="G1307" s="2"/>
      <c r="H1307" s="2"/>
      <c r="I1307" s="2"/>
      <c r="J1307" s="67"/>
    </row>
    <row r="1308" spans="1:10" x14ac:dyDescent="0.35">
      <c r="A1308" s="61">
        <v>1304</v>
      </c>
      <c r="B1308" s="2"/>
      <c r="C1308" s="2"/>
      <c r="D1308" s="2"/>
      <c r="E1308" s="10"/>
      <c r="F1308" s="11"/>
      <c r="G1308" s="2"/>
      <c r="H1308" s="2"/>
      <c r="I1308" s="2"/>
      <c r="J1308" s="67"/>
    </row>
    <row r="1309" spans="1:10" x14ac:dyDescent="0.35">
      <c r="A1309" s="61">
        <v>1305</v>
      </c>
      <c r="B1309" s="2"/>
      <c r="C1309" s="2"/>
      <c r="D1309" s="2"/>
      <c r="E1309" s="10"/>
      <c r="F1309" s="11"/>
      <c r="G1309" s="2"/>
      <c r="H1309" s="2"/>
      <c r="I1309" s="2"/>
      <c r="J1309" s="67"/>
    </row>
    <row r="1310" spans="1:10" x14ac:dyDescent="0.35">
      <c r="A1310" s="61">
        <v>1306</v>
      </c>
      <c r="B1310" s="2"/>
      <c r="C1310" s="2"/>
      <c r="D1310" s="2"/>
      <c r="E1310" s="10"/>
      <c r="F1310" s="11"/>
      <c r="G1310" s="2"/>
      <c r="H1310" s="2"/>
      <c r="I1310" s="2"/>
      <c r="J1310" s="67"/>
    </row>
    <row r="1311" spans="1:10" x14ac:dyDescent="0.35">
      <c r="A1311" s="61">
        <v>1307</v>
      </c>
      <c r="B1311" s="2"/>
      <c r="C1311" s="2"/>
      <c r="D1311" s="2"/>
      <c r="E1311" s="10"/>
      <c r="F1311" s="11"/>
      <c r="G1311" s="2"/>
      <c r="H1311" s="2"/>
      <c r="I1311" s="2"/>
      <c r="J1311" s="67"/>
    </row>
    <row r="1312" spans="1:10" x14ac:dyDescent="0.35">
      <c r="A1312" s="61">
        <v>1308</v>
      </c>
      <c r="B1312" s="2"/>
      <c r="C1312" s="2"/>
      <c r="D1312" s="2"/>
      <c r="E1312" s="10"/>
      <c r="F1312" s="11"/>
      <c r="G1312" s="2"/>
      <c r="H1312" s="2"/>
      <c r="I1312" s="2"/>
      <c r="J1312" s="67"/>
    </row>
    <row r="1313" spans="1:10" x14ac:dyDescent="0.35">
      <c r="A1313" s="61">
        <v>1309</v>
      </c>
      <c r="B1313" s="2"/>
      <c r="C1313" s="2"/>
      <c r="D1313" s="2"/>
      <c r="E1313" s="10"/>
      <c r="F1313" s="11"/>
      <c r="G1313" s="2"/>
      <c r="H1313" s="2"/>
      <c r="I1313" s="2"/>
      <c r="J1313" s="67"/>
    </row>
    <row r="1314" spans="1:10" x14ac:dyDescent="0.35">
      <c r="A1314" s="61">
        <v>1310</v>
      </c>
      <c r="B1314" s="2"/>
      <c r="C1314" s="2"/>
      <c r="D1314" s="2"/>
      <c r="E1314" s="10"/>
      <c r="F1314" s="11"/>
      <c r="G1314" s="2"/>
      <c r="H1314" s="2"/>
      <c r="I1314" s="2"/>
      <c r="J1314" s="67"/>
    </row>
    <row r="1315" spans="1:10" x14ac:dyDescent="0.35">
      <c r="A1315" s="61">
        <v>1311</v>
      </c>
      <c r="B1315" s="2"/>
      <c r="C1315" s="2"/>
      <c r="D1315" s="2"/>
      <c r="E1315" s="10"/>
      <c r="F1315" s="11"/>
      <c r="G1315" s="2"/>
      <c r="H1315" s="2"/>
      <c r="I1315" s="2"/>
      <c r="J1315" s="67"/>
    </row>
    <row r="1316" spans="1:10" x14ac:dyDescent="0.35">
      <c r="A1316" s="61">
        <v>1312</v>
      </c>
      <c r="B1316" s="2"/>
      <c r="C1316" s="2"/>
      <c r="D1316" s="2"/>
      <c r="E1316" s="10"/>
      <c r="F1316" s="11"/>
      <c r="G1316" s="2"/>
      <c r="H1316" s="2"/>
      <c r="I1316" s="2"/>
      <c r="J1316" s="67"/>
    </row>
    <row r="1317" spans="1:10" x14ac:dyDescent="0.35">
      <c r="A1317" s="61">
        <v>1313</v>
      </c>
      <c r="B1317" s="2"/>
      <c r="C1317" s="2"/>
      <c r="D1317" s="2"/>
      <c r="E1317" s="10"/>
      <c r="F1317" s="11"/>
      <c r="G1317" s="2"/>
      <c r="H1317" s="2"/>
      <c r="I1317" s="2"/>
      <c r="J1317" s="67"/>
    </row>
    <row r="1318" spans="1:10" x14ac:dyDescent="0.35">
      <c r="A1318" s="61">
        <v>1314</v>
      </c>
      <c r="B1318" s="2"/>
      <c r="C1318" s="2"/>
      <c r="D1318" s="2"/>
      <c r="E1318" s="10"/>
      <c r="F1318" s="11"/>
      <c r="G1318" s="2"/>
      <c r="H1318" s="2"/>
      <c r="I1318" s="2"/>
      <c r="J1318" s="67"/>
    </row>
    <row r="1319" spans="1:10" x14ac:dyDescent="0.35">
      <c r="A1319" s="61">
        <v>1315</v>
      </c>
      <c r="B1319" s="2"/>
      <c r="C1319" s="2"/>
      <c r="D1319" s="2"/>
      <c r="E1319" s="10"/>
      <c r="F1319" s="11"/>
      <c r="G1319" s="2"/>
      <c r="H1319" s="2"/>
      <c r="I1319" s="2"/>
      <c r="J1319" s="67"/>
    </row>
    <row r="1320" spans="1:10" x14ac:dyDescent="0.35">
      <c r="A1320" s="61">
        <v>1316</v>
      </c>
      <c r="B1320" s="2"/>
      <c r="C1320" s="2"/>
      <c r="D1320" s="2"/>
      <c r="E1320" s="10"/>
      <c r="F1320" s="11"/>
      <c r="G1320" s="2"/>
      <c r="H1320" s="2"/>
      <c r="I1320" s="2"/>
      <c r="J1320" s="67"/>
    </row>
    <row r="1321" spans="1:10" x14ac:dyDescent="0.35">
      <c r="A1321" s="61">
        <v>1317</v>
      </c>
      <c r="B1321" s="2"/>
      <c r="C1321" s="2"/>
      <c r="D1321" s="2"/>
      <c r="E1321" s="10"/>
      <c r="F1321" s="11"/>
      <c r="G1321" s="2"/>
      <c r="H1321" s="2"/>
      <c r="I1321" s="2"/>
      <c r="J1321" s="67"/>
    </row>
    <row r="1322" spans="1:10" x14ac:dyDescent="0.35">
      <c r="A1322" s="61">
        <v>1318</v>
      </c>
      <c r="B1322" s="2"/>
      <c r="C1322" s="2"/>
      <c r="D1322" s="2"/>
      <c r="E1322" s="10"/>
      <c r="F1322" s="11"/>
      <c r="G1322" s="2"/>
      <c r="H1322" s="2"/>
      <c r="I1322" s="2"/>
      <c r="J1322" s="67"/>
    </row>
    <row r="1323" spans="1:10" x14ac:dyDescent="0.35">
      <c r="A1323" s="61">
        <v>1319</v>
      </c>
      <c r="B1323" s="2"/>
      <c r="C1323" s="2"/>
      <c r="D1323" s="2"/>
      <c r="E1323" s="10"/>
      <c r="F1323" s="11"/>
      <c r="G1323" s="2"/>
      <c r="H1323" s="2"/>
      <c r="I1323" s="2"/>
      <c r="J1323" s="67"/>
    </row>
    <row r="1324" spans="1:10" x14ac:dyDescent="0.35">
      <c r="A1324" s="61">
        <v>1320</v>
      </c>
      <c r="B1324" s="2"/>
      <c r="C1324" s="2"/>
      <c r="D1324" s="2"/>
      <c r="E1324" s="10"/>
      <c r="F1324" s="11"/>
      <c r="G1324" s="2"/>
      <c r="H1324" s="2"/>
      <c r="I1324" s="2"/>
      <c r="J1324" s="67"/>
    </row>
    <row r="1325" spans="1:10" x14ac:dyDescent="0.35">
      <c r="A1325" s="61">
        <v>1321</v>
      </c>
      <c r="B1325" s="2"/>
      <c r="C1325" s="2"/>
      <c r="D1325" s="2"/>
      <c r="E1325" s="10"/>
      <c r="F1325" s="11"/>
      <c r="G1325" s="2"/>
      <c r="H1325" s="2"/>
      <c r="I1325" s="2"/>
      <c r="J1325" s="67"/>
    </row>
    <row r="1326" spans="1:10" x14ac:dyDescent="0.35">
      <c r="A1326" s="61">
        <v>1322</v>
      </c>
      <c r="B1326" s="2"/>
      <c r="C1326" s="2"/>
      <c r="D1326" s="2"/>
      <c r="E1326" s="10"/>
      <c r="F1326" s="11"/>
      <c r="G1326" s="2"/>
      <c r="H1326" s="2"/>
      <c r="I1326" s="2"/>
      <c r="J1326" s="67"/>
    </row>
    <row r="1327" spans="1:10" x14ac:dyDescent="0.35">
      <c r="A1327" s="61">
        <v>1323</v>
      </c>
      <c r="B1327" s="2"/>
      <c r="C1327" s="2"/>
      <c r="D1327" s="2"/>
      <c r="E1327" s="10"/>
      <c r="F1327" s="11"/>
      <c r="G1327" s="2"/>
      <c r="H1327" s="2"/>
      <c r="I1327" s="2"/>
      <c r="J1327" s="67"/>
    </row>
    <row r="1328" spans="1:10" x14ac:dyDescent="0.35">
      <c r="A1328" s="61">
        <v>1324</v>
      </c>
      <c r="B1328" s="2"/>
      <c r="C1328" s="2"/>
      <c r="D1328" s="2"/>
      <c r="E1328" s="10"/>
      <c r="F1328" s="11"/>
      <c r="G1328" s="2"/>
      <c r="H1328" s="2"/>
      <c r="I1328" s="2"/>
      <c r="J1328" s="67"/>
    </row>
    <row r="1329" spans="1:10" x14ac:dyDescent="0.35">
      <c r="A1329" s="61">
        <v>1325</v>
      </c>
      <c r="B1329" s="2"/>
      <c r="C1329" s="2"/>
      <c r="D1329" s="2"/>
      <c r="E1329" s="10"/>
      <c r="F1329" s="11"/>
      <c r="G1329" s="2"/>
      <c r="H1329" s="2"/>
      <c r="I1329" s="2"/>
      <c r="J1329" s="67"/>
    </row>
    <row r="1330" spans="1:10" x14ac:dyDescent="0.35">
      <c r="A1330" s="61">
        <v>1326</v>
      </c>
      <c r="B1330" s="2"/>
      <c r="C1330" s="2"/>
      <c r="D1330" s="2"/>
      <c r="E1330" s="10"/>
      <c r="F1330" s="11"/>
      <c r="G1330" s="2"/>
      <c r="H1330" s="2"/>
      <c r="I1330" s="2"/>
      <c r="J1330" s="67"/>
    </row>
    <row r="1331" spans="1:10" x14ac:dyDescent="0.35">
      <c r="A1331" s="61">
        <v>1327</v>
      </c>
      <c r="B1331" s="2"/>
      <c r="C1331" s="2"/>
      <c r="D1331" s="2"/>
      <c r="E1331" s="10"/>
      <c r="F1331" s="11"/>
      <c r="G1331" s="2"/>
      <c r="H1331" s="2"/>
      <c r="I1331" s="2"/>
      <c r="J1331" s="67"/>
    </row>
    <row r="1332" spans="1:10" x14ac:dyDescent="0.35">
      <c r="A1332" s="61">
        <v>1328</v>
      </c>
      <c r="B1332" s="2"/>
      <c r="C1332" s="2"/>
      <c r="D1332" s="2"/>
      <c r="E1332" s="10"/>
      <c r="F1332" s="11"/>
      <c r="G1332" s="2"/>
      <c r="H1332" s="2"/>
      <c r="I1332" s="2"/>
      <c r="J1332" s="67"/>
    </row>
    <row r="1333" spans="1:10" x14ac:dyDescent="0.35">
      <c r="A1333" s="61">
        <v>1329</v>
      </c>
      <c r="B1333" s="2"/>
      <c r="C1333" s="2"/>
      <c r="D1333" s="2"/>
      <c r="E1333" s="10"/>
      <c r="F1333" s="11"/>
      <c r="G1333" s="2"/>
      <c r="H1333" s="2"/>
      <c r="I1333" s="2"/>
      <c r="J1333" s="67"/>
    </row>
    <row r="1334" spans="1:10" x14ac:dyDescent="0.35">
      <c r="A1334" s="61">
        <v>1330</v>
      </c>
      <c r="B1334" s="2"/>
      <c r="C1334" s="2"/>
      <c r="D1334" s="2"/>
      <c r="E1334" s="10"/>
      <c r="F1334" s="11"/>
      <c r="G1334" s="2"/>
      <c r="H1334" s="2"/>
      <c r="I1334" s="2"/>
      <c r="J1334" s="67"/>
    </row>
    <row r="1335" spans="1:10" x14ac:dyDescent="0.35">
      <c r="A1335" s="61">
        <v>1331</v>
      </c>
      <c r="B1335" s="2"/>
      <c r="C1335" s="2"/>
      <c r="D1335" s="2"/>
      <c r="E1335" s="10"/>
      <c r="F1335" s="11"/>
      <c r="G1335" s="2"/>
      <c r="H1335" s="2"/>
      <c r="I1335" s="2"/>
      <c r="J1335" s="67"/>
    </row>
    <row r="1336" spans="1:10" x14ac:dyDescent="0.35">
      <c r="A1336" s="61">
        <v>1332</v>
      </c>
      <c r="B1336" s="2"/>
      <c r="C1336" s="2"/>
      <c r="D1336" s="2"/>
      <c r="E1336" s="10"/>
      <c r="F1336" s="11"/>
      <c r="G1336" s="2"/>
      <c r="H1336" s="2"/>
      <c r="I1336" s="2"/>
      <c r="J1336" s="67"/>
    </row>
    <row r="1337" spans="1:10" x14ac:dyDescent="0.35">
      <c r="A1337" s="61">
        <v>1333</v>
      </c>
      <c r="B1337" s="2"/>
      <c r="C1337" s="2"/>
      <c r="D1337" s="2"/>
      <c r="E1337" s="10"/>
      <c r="F1337" s="11"/>
      <c r="G1337" s="2"/>
      <c r="H1337" s="2"/>
      <c r="I1337" s="2"/>
      <c r="J1337" s="67"/>
    </row>
    <row r="1338" spans="1:10" x14ac:dyDescent="0.35">
      <c r="A1338" s="61">
        <v>1334</v>
      </c>
      <c r="B1338" s="2"/>
      <c r="C1338" s="2"/>
      <c r="D1338" s="2"/>
      <c r="E1338" s="10"/>
      <c r="F1338" s="11"/>
      <c r="G1338" s="2"/>
      <c r="H1338" s="2"/>
      <c r="I1338" s="2"/>
      <c r="J1338" s="67"/>
    </row>
    <row r="1339" spans="1:10" x14ac:dyDescent="0.35">
      <c r="A1339" s="61">
        <v>1335</v>
      </c>
      <c r="B1339" s="2"/>
      <c r="C1339" s="2"/>
      <c r="D1339" s="2"/>
      <c r="E1339" s="10"/>
      <c r="F1339" s="11"/>
      <c r="G1339" s="2"/>
      <c r="H1339" s="2"/>
      <c r="I1339" s="2"/>
      <c r="J1339" s="67"/>
    </row>
    <row r="1340" spans="1:10" x14ac:dyDescent="0.35">
      <c r="A1340" s="61">
        <v>1336</v>
      </c>
      <c r="B1340" s="2"/>
      <c r="C1340" s="2"/>
      <c r="D1340" s="2"/>
      <c r="E1340" s="10"/>
      <c r="F1340" s="11"/>
      <c r="G1340" s="2"/>
      <c r="H1340" s="2"/>
      <c r="I1340" s="2"/>
      <c r="J1340" s="67"/>
    </row>
    <row r="1341" spans="1:10" x14ac:dyDescent="0.35">
      <c r="A1341" s="61">
        <v>1337</v>
      </c>
      <c r="B1341" s="2"/>
      <c r="C1341" s="2"/>
      <c r="D1341" s="2"/>
      <c r="E1341" s="10"/>
      <c r="F1341" s="11"/>
      <c r="G1341" s="2"/>
      <c r="H1341" s="2"/>
      <c r="I1341" s="2"/>
      <c r="J1341" s="67"/>
    </row>
    <row r="1342" spans="1:10" x14ac:dyDescent="0.35">
      <c r="A1342" s="61">
        <v>1338</v>
      </c>
      <c r="B1342" s="2"/>
      <c r="C1342" s="2"/>
      <c r="D1342" s="2"/>
      <c r="E1342" s="10"/>
      <c r="F1342" s="11"/>
      <c r="G1342" s="2"/>
      <c r="H1342" s="2"/>
      <c r="I1342" s="2"/>
      <c r="J1342" s="67"/>
    </row>
    <row r="1343" spans="1:10" x14ac:dyDescent="0.35">
      <c r="A1343" s="61">
        <v>1339</v>
      </c>
      <c r="B1343" s="2"/>
      <c r="C1343" s="2"/>
      <c r="D1343" s="2"/>
      <c r="E1343" s="10"/>
      <c r="F1343" s="11"/>
      <c r="G1343" s="2"/>
      <c r="H1343" s="2"/>
      <c r="I1343" s="2"/>
      <c r="J1343" s="67"/>
    </row>
    <row r="1344" spans="1:10" x14ac:dyDescent="0.35">
      <c r="A1344" s="61">
        <v>1340</v>
      </c>
      <c r="B1344" s="2"/>
      <c r="C1344" s="2"/>
      <c r="D1344" s="2"/>
      <c r="E1344" s="10"/>
      <c r="F1344" s="11"/>
      <c r="G1344" s="2"/>
      <c r="H1344" s="2"/>
      <c r="I1344" s="2"/>
      <c r="J1344" s="67"/>
    </row>
    <row r="1345" spans="1:10" x14ac:dyDescent="0.35">
      <c r="A1345" s="61">
        <v>1341</v>
      </c>
      <c r="B1345" s="2"/>
      <c r="C1345" s="2"/>
      <c r="D1345" s="2"/>
      <c r="E1345" s="10"/>
      <c r="F1345" s="11"/>
      <c r="G1345" s="2"/>
      <c r="H1345" s="2"/>
      <c r="I1345" s="2"/>
      <c r="J1345" s="67"/>
    </row>
    <row r="1346" spans="1:10" x14ac:dyDescent="0.35">
      <c r="A1346" s="61">
        <v>1342</v>
      </c>
      <c r="B1346" s="2"/>
      <c r="C1346" s="2"/>
      <c r="D1346" s="2"/>
      <c r="E1346" s="10"/>
      <c r="F1346" s="11"/>
      <c r="G1346" s="2"/>
      <c r="H1346" s="2"/>
      <c r="I1346" s="2"/>
      <c r="J1346" s="67"/>
    </row>
    <row r="1347" spans="1:10" x14ac:dyDescent="0.35">
      <c r="A1347" s="61">
        <v>1343</v>
      </c>
      <c r="B1347" s="2"/>
      <c r="C1347" s="2"/>
      <c r="D1347" s="2"/>
      <c r="E1347" s="10"/>
      <c r="F1347" s="11"/>
      <c r="G1347" s="2"/>
      <c r="H1347" s="2"/>
      <c r="I1347" s="2"/>
      <c r="J1347" s="67"/>
    </row>
    <row r="1348" spans="1:10" x14ac:dyDescent="0.35">
      <c r="A1348" s="61">
        <v>1344</v>
      </c>
      <c r="B1348" s="2"/>
      <c r="C1348" s="2"/>
      <c r="D1348" s="2"/>
      <c r="E1348" s="10"/>
      <c r="F1348" s="11"/>
      <c r="G1348" s="2"/>
      <c r="H1348" s="2"/>
      <c r="I1348" s="2"/>
      <c r="J1348" s="67"/>
    </row>
    <row r="1349" spans="1:10" x14ac:dyDescent="0.35">
      <c r="A1349" s="61">
        <v>1345</v>
      </c>
      <c r="B1349" s="2"/>
      <c r="C1349" s="2"/>
      <c r="D1349" s="2"/>
      <c r="E1349" s="10"/>
      <c r="F1349" s="11"/>
      <c r="G1349" s="2"/>
      <c r="H1349" s="2"/>
      <c r="I1349" s="2"/>
      <c r="J1349" s="67"/>
    </row>
    <row r="1350" spans="1:10" x14ac:dyDescent="0.35">
      <c r="A1350" s="61">
        <v>1346</v>
      </c>
      <c r="B1350" s="2"/>
      <c r="C1350" s="2"/>
      <c r="D1350" s="2"/>
      <c r="E1350" s="10"/>
      <c r="F1350" s="11"/>
      <c r="G1350" s="2"/>
      <c r="H1350" s="2"/>
      <c r="I1350" s="2"/>
      <c r="J1350" s="67"/>
    </row>
    <row r="1351" spans="1:10" x14ac:dyDescent="0.35">
      <c r="A1351" s="61">
        <v>1347</v>
      </c>
      <c r="B1351" s="2"/>
      <c r="C1351" s="2"/>
      <c r="D1351" s="2"/>
      <c r="E1351" s="10"/>
      <c r="F1351" s="11"/>
      <c r="G1351" s="2"/>
      <c r="H1351" s="2"/>
      <c r="I1351" s="2"/>
      <c r="J1351" s="67"/>
    </row>
    <row r="1352" spans="1:10" x14ac:dyDescent="0.35">
      <c r="A1352" s="61">
        <v>1348</v>
      </c>
      <c r="B1352" s="2"/>
      <c r="C1352" s="2"/>
      <c r="D1352" s="2"/>
      <c r="E1352" s="10"/>
      <c r="F1352" s="11"/>
      <c r="G1352" s="2"/>
      <c r="H1352" s="2"/>
      <c r="I1352" s="2"/>
      <c r="J1352" s="67"/>
    </row>
    <row r="1353" spans="1:10" x14ac:dyDescent="0.35">
      <c r="A1353" s="61">
        <v>1349</v>
      </c>
      <c r="B1353" s="2"/>
      <c r="C1353" s="2"/>
      <c r="D1353" s="2"/>
      <c r="E1353" s="10"/>
      <c r="F1353" s="11"/>
      <c r="G1353" s="2"/>
      <c r="H1353" s="2"/>
      <c r="I1353" s="2"/>
      <c r="J1353" s="67"/>
    </row>
    <row r="1354" spans="1:10" x14ac:dyDescent="0.35">
      <c r="A1354" s="61">
        <v>1350</v>
      </c>
      <c r="B1354" s="2"/>
      <c r="C1354" s="2"/>
      <c r="D1354" s="2"/>
      <c r="E1354" s="10"/>
      <c r="F1354" s="11"/>
      <c r="G1354" s="2"/>
      <c r="H1354" s="2"/>
      <c r="I1354" s="2"/>
      <c r="J1354" s="67"/>
    </row>
    <row r="1355" spans="1:10" x14ac:dyDescent="0.35">
      <c r="A1355" s="61">
        <v>1351</v>
      </c>
      <c r="B1355" s="2"/>
      <c r="C1355" s="2"/>
      <c r="D1355" s="2"/>
      <c r="E1355" s="10"/>
      <c r="F1355" s="11"/>
      <c r="G1355" s="2"/>
      <c r="H1355" s="2"/>
      <c r="I1355" s="2"/>
      <c r="J1355" s="67"/>
    </row>
    <row r="1356" spans="1:10" x14ac:dyDescent="0.35">
      <c r="A1356" s="61">
        <v>1352</v>
      </c>
      <c r="B1356" s="2"/>
      <c r="C1356" s="2"/>
      <c r="D1356" s="2"/>
      <c r="E1356" s="10"/>
      <c r="F1356" s="11"/>
      <c r="G1356" s="2"/>
      <c r="H1356" s="2"/>
      <c r="I1356" s="2"/>
      <c r="J1356" s="67"/>
    </row>
    <row r="1357" spans="1:10" x14ac:dyDescent="0.35">
      <c r="A1357" s="61">
        <v>1353</v>
      </c>
      <c r="B1357" s="2"/>
      <c r="C1357" s="2"/>
      <c r="D1357" s="2"/>
      <c r="E1357" s="10"/>
      <c r="F1357" s="11"/>
      <c r="G1357" s="2"/>
      <c r="H1357" s="2"/>
      <c r="I1357" s="2"/>
      <c r="J1357" s="67"/>
    </row>
    <row r="1358" spans="1:10" x14ac:dyDescent="0.35">
      <c r="A1358" s="61">
        <v>1354</v>
      </c>
      <c r="B1358" s="2"/>
      <c r="C1358" s="2"/>
      <c r="D1358" s="2"/>
      <c r="E1358" s="10"/>
      <c r="F1358" s="11"/>
      <c r="G1358" s="2"/>
      <c r="H1358" s="2"/>
      <c r="I1358" s="2"/>
      <c r="J1358" s="67"/>
    </row>
    <row r="1359" spans="1:10" x14ac:dyDescent="0.35">
      <c r="A1359" s="61">
        <v>1355</v>
      </c>
      <c r="B1359" s="2"/>
      <c r="C1359" s="2"/>
      <c r="D1359" s="2"/>
      <c r="E1359" s="10"/>
      <c r="F1359" s="11"/>
      <c r="G1359" s="2"/>
      <c r="H1359" s="2"/>
      <c r="I1359" s="2"/>
      <c r="J1359" s="67"/>
    </row>
    <row r="1360" spans="1:10" x14ac:dyDescent="0.35">
      <c r="A1360" s="61">
        <v>1356</v>
      </c>
      <c r="B1360" s="2"/>
      <c r="C1360" s="2"/>
      <c r="D1360" s="2"/>
      <c r="E1360" s="10"/>
      <c r="F1360" s="11"/>
      <c r="G1360" s="2"/>
      <c r="H1360" s="2"/>
      <c r="I1360" s="2"/>
      <c r="J1360" s="67"/>
    </row>
    <row r="1361" spans="1:10" x14ac:dyDescent="0.35">
      <c r="A1361" s="61">
        <v>1357</v>
      </c>
      <c r="B1361" s="2"/>
      <c r="C1361" s="2"/>
      <c r="D1361" s="2"/>
      <c r="E1361" s="10"/>
      <c r="F1361" s="11"/>
      <c r="G1361" s="2"/>
      <c r="H1361" s="2"/>
      <c r="I1361" s="2"/>
      <c r="J1361" s="67"/>
    </row>
    <row r="1362" spans="1:10" x14ac:dyDescent="0.35">
      <c r="A1362" s="61">
        <v>1358</v>
      </c>
      <c r="B1362" s="2"/>
      <c r="C1362" s="2"/>
      <c r="D1362" s="2"/>
      <c r="E1362" s="10"/>
      <c r="F1362" s="11"/>
      <c r="G1362" s="2"/>
      <c r="H1362" s="2"/>
      <c r="I1362" s="2"/>
      <c r="J1362" s="67"/>
    </row>
    <row r="1363" spans="1:10" x14ac:dyDescent="0.35">
      <c r="A1363" s="61">
        <v>1359</v>
      </c>
      <c r="B1363" s="2"/>
      <c r="C1363" s="2"/>
      <c r="D1363" s="2"/>
      <c r="E1363" s="10"/>
      <c r="F1363" s="11"/>
      <c r="G1363" s="2"/>
      <c r="H1363" s="2"/>
      <c r="I1363" s="2"/>
      <c r="J1363" s="67"/>
    </row>
    <row r="1364" spans="1:10" x14ac:dyDescent="0.35">
      <c r="A1364" s="61">
        <v>1360</v>
      </c>
      <c r="B1364" s="2"/>
      <c r="C1364" s="2"/>
      <c r="D1364" s="2"/>
      <c r="E1364" s="10"/>
      <c r="F1364" s="11"/>
      <c r="G1364" s="2"/>
      <c r="H1364" s="2"/>
      <c r="I1364" s="2"/>
      <c r="J1364" s="67"/>
    </row>
    <row r="1365" spans="1:10" x14ac:dyDescent="0.35">
      <c r="A1365" s="61">
        <v>1361</v>
      </c>
      <c r="B1365" s="2"/>
      <c r="C1365" s="2"/>
      <c r="D1365" s="2"/>
      <c r="E1365" s="10"/>
      <c r="F1365" s="11"/>
      <c r="G1365" s="2"/>
      <c r="H1365" s="2"/>
      <c r="I1365" s="2"/>
      <c r="J1365" s="67"/>
    </row>
    <row r="1366" spans="1:10" x14ac:dyDescent="0.35">
      <c r="A1366" s="61">
        <v>1362</v>
      </c>
      <c r="B1366" s="2"/>
      <c r="C1366" s="2"/>
      <c r="D1366" s="2"/>
      <c r="E1366" s="10"/>
      <c r="F1366" s="11"/>
      <c r="G1366" s="2"/>
      <c r="H1366" s="2"/>
      <c r="I1366" s="2"/>
      <c r="J1366" s="67"/>
    </row>
    <row r="1367" spans="1:10" x14ac:dyDescent="0.35">
      <c r="A1367" s="61">
        <v>1363</v>
      </c>
      <c r="B1367" s="2"/>
      <c r="C1367" s="2"/>
      <c r="D1367" s="2"/>
      <c r="E1367" s="10"/>
      <c r="F1367" s="11"/>
      <c r="G1367" s="2"/>
      <c r="H1367" s="2"/>
      <c r="I1367" s="2"/>
      <c r="J1367" s="67"/>
    </row>
    <row r="1368" spans="1:10" x14ac:dyDescent="0.35">
      <c r="A1368" s="61">
        <v>1364</v>
      </c>
      <c r="B1368" s="2"/>
      <c r="C1368" s="2"/>
      <c r="D1368" s="2"/>
      <c r="E1368" s="10"/>
      <c r="F1368" s="11"/>
      <c r="G1368" s="2"/>
      <c r="H1368" s="2"/>
      <c r="I1368" s="2"/>
      <c r="J1368" s="67"/>
    </row>
    <row r="1369" spans="1:10" x14ac:dyDescent="0.35">
      <c r="A1369" s="61">
        <v>1365</v>
      </c>
      <c r="B1369" s="2"/>
      <c r="C1369" s="2"/>
      <c r="D1369" s="2"/>
      <c r="E1369" s="10"/>
      <c r="F1369" s="11"/>
      <c r="G1369" s="2"/>
      <c r="H1369" s="2"/>
      <c r="I1369" s="2"/>
      <c r="J1369" s="67"/>
    </row>
    <row r="1370" spans="1:10" x14ac:dyDescent="0.35">
      <c r="A1370" s="61">
        <v>1366</v>
      </c>
      <c r="B1370" s="2"/>
      <c r="C1370" s="2"/>
      <c r="D1370" s="2"/>
      <c r="E1370" s="10"/>
      <c r="F1370" s="11"/>
      <c r="G1370" s="2"/>
      <c r="H1370" s="2"/>
      <c r="I1370" s="2"/>
      <c r="J1370" s="67"/>
    </row>
    <row r="1371" spans="1:10" x14ac:dyDescent="0.35">
      <c r="A1371" s="61">
        <v>1367</v>
      </c>
      <c r="B1371" s="2"/>
      <c r="C1371" s="2"/>
      <c r="D1371" s="2"/>
      <c r="E1371" s="10"/>
      <c r="F1371" s="11"/>
      <c r="G1371" s="2"/>
      <c r="H1371" s="2"/>
      <c r="I1371" s="2"/>
      <c r="J1371" s="67"/>
    </row>
    <row r="1372" spans="1:10" x14ac:dyDescent="0.35">
      <c r="A1372" s="61">
        <v>1368</v>
      </c>
      <c r="B1372" s="2"/>
      <c r="C1372" s="2"/>
      <c r="D1372" s="2"/>
      <c r="E1372" s="10"/>
      <c r="F1372" s="11"/>
      <c r="G1372" s="2"/>
      <c r="H1372" s="2"/>
      <c r="I1372" s="2"/>
      <c r="J1372" s="67"/>
    </row>
    <row r="1373" spans="1:10" x14ac:dyDescent="0.35">
      <c r="A1373" s="61">
        <v>1369</v>
      </c>
      <c r="B1373" s="2"/>
      <c r="C1373" s="2"/>
      <c r="D1373" s="2"/>
      <c r="E1373" s="10"/>
      <c r="F1373" s="11"/>
      <c r="G1373" s="2"/>
      <c r="H1373" s="2"/>
      <c r="I1373" s="2"/>
      <c r="J1373" s="67"/>
    </row>
    <row r="1374" spans="1:10" x14ac:dyDescent="0.35">
      <c r="A1374" s="61">
        <v>1370</v>
      </c>
      <c r="B1374" s="2"/>
      <c r="C1374" s="2"/>
      <c r="D1374" s="2"/>
      <c r="E1374" s="10"/>
      <c r="F1374" s="11"/>
      <c r="G1374" s="2"/>
      <c r="H1374" s="2"/>
      <c r="I1374" s="2"/>
      <c r="J1374" s="67"/>
    </row>
    <row r="1375" spans="1:10" x14ac:dyDescent="0.35">
      <c r="A1375" s="61">
        <v>1371</v>
      </c>
      <c r="B1375" s="2"/>
      <c r="C1375" s="2"/>
      <c r="D1375" s="2"/>
      <c r="E1375" s="10"/>
      <c r="F1375" s="11"/>
      <c r="G1375" s="2"/>
      <c r="H1375" s="2"/>
      <c r="I1375" s="2"/>
      <c r="J1375" s="67"/>
    </row>
    <row r="1376" spans="1:10" x14ac:dyDescent="0.35">
      <c r="A1376" s="61">
        <v>1372</v>
      </c>
      <c r="B1376" s="2"/>
      <c r="C1376" s="2"/>
      <c r="D1376" s="2"/>
      <c r="E1376" s="10"/>
      <c r="F1376" s="11"/>
      <c r="G1376" s="2"/>
      <c r="H1376" s="2"/>
      <c r="I1376" s="2"/>
      <c r="J1376" s="67"/>
    </row>
    <row r="1377" spans="1:10" x14ac:dyDescent="0.35">
      <c r="A1377" s="61">
        <v>1373</v>
      </c>
      <c r="B1377" s="2"/>
      <c r="C1377" s="2"/>
      <c r="D1377" s="2"/>
      <c r="E1377" s="10"/>
      <c r="F1377" s="11"/>
      <c r="G1377" s="2"/>
      <c r="H1377" s="2"/>
      <c r="I1377" s="2"/>
      <c r="J1377" s="67"/>
    </row>
    <row r="1378" spans="1:10" x14ac:dyDescent="0.35">
      <c r="A1378" s="61">
        <v>1374</v>
      </c>
      <c r="B1378" s="2"/>
      <c r="C1378" s="2"/>
      <c r="D1378" s="2"/>
      <c r="E1378" s="10"/>
      <c r="F1378" s="11"/>
      <c r="G1378" s="2"/>
      <c r="H1378" s="2"/>
      <c r="I1378" s="2"/>
      <c r="J1378" s="67"/>
    </row>
    <row r="1379" spans="1:10" x14ac:dyDescent="0.35">
      <c r="A1379" s="61">
        <v>1375</v>
      </c>
      <c r="B1379" s="2"/>
      <c r="C1379" s="2"/>
      <c r="D1379" s="2"/>
      <c r="E1379" s="10"/>
      <c r="F1379" s="11"/>
      <c r="G1379" s="2"/>
      <c r="H1379" s="2"/>
      <c r="I1379" s="2"/>
      <c r="J1379" s="67"/>
    </row>
    <row r="1380" spans="1:10" x14ac:dyDescent="0.35">
      <c r="A1380" s="61">
        <v>1376</v>
      </c>
      <c r="B1380" s="2"/>
      <c r="C1380" s="2"/>
      <c r="D1380" s="2"/>
      <c r="E1380" s="10"/>
      <c r="F1380" s="11"/>
      <c r="G1380" s="2"/>
      <c r="H1380" s="2"/>
      <c r="I1380" s="2"/>
      <c r="J1380" s="67"/>
    </row>
    <row r="1381" spans="1:10" x14ac:dyDescent="0.35">
      <c r="A1381" s="61">
        <v>1377</v>
      </c>
      <c r="B1381" s="2"/>
      <c r="C1381" s="2"/>
      <c r="D1381" s="2"/>
      <c r="E1381" s="10"/>
      <c r="F1381" s="11"/>
      <c r="G1381" s="2"/>
      <c r="H1381" s="2"/>
      <c r="I1381" s="2"/>
      <c r="J1381" s="67"/>
    </row>
    <row r="1382" spans="1:10" x14ac:dyDescent="0.35">
      <c r="A1382" s="61">
        <v>1378</v>
      </c>
      <c r="B1382" s="2"/>
      <c r="C1382" s="2"/>
      <c r="D1382" s="2"/>
      <c r="E1382" s="10"/>
      <c r="F1382" s="11"/>
      <c r="G1382" s="2"/>
      <c r="H1382" s="2"/>
      <c r="I1382" s="2"/>
      <c r="J1382" s="67"/>
    </row>
    <row r="1383" spans="1:10" x14ac:dyDescent="0.35">
      <c r="A1383" s="61">
        <v>1379</v>
      </c>
      <c r="B1383" s="2"/>
      <c r="C1383" s="2"/>
      <c r="D1383" s="2"/>
      <c r="E1383" s="10"/>
      <c r="F1383" s="11"/>
      <c r="G1383" s="2"/>
      <c r="H1383" s="2"/>
      <c r="I1383" s="2"/>
      <c r="J1383" s="67"/>
    </row>
    <row r="1384" spans="1:10" x14ac:dyDescent="0.35">
      <c r="A1384" s="61">
        <v>1380</v>
      </c>
      <c r="B1384" s="2"/>
      <c r="C1384" s="2"/>
      <c r="D1384" s="2"/>
      <c r="E1384" s="10"/>
      <c r="F1384" s="11"/>
      <c r="G1384" s="2"/>
      <c r="H1384" s="2"/>
      <c r="I1384" s="2"/>
      <c r="J1384" s="67"/>
    </row>
    <row r="1385" spans="1:10" x14ac:dyDescent="0.35">
      <c r="A1385" s="61">
        <v>1381</v>
      </c>
      <c r="B1385" s="2"/>
      <c r="C1385" s="2"/>
      <c r="D1385" s="2"/>
      <c r="E1385" s="10"/>
      <c r="F1385" s="11"/>
      <c r="G1385" s="2"/>
      <c r="H1385" s="2"/>
      <c r="I1385" s="2"/>
      <c r="J1385" s="67"/>
    </row>
    <row r="1386" spans="1:10" x14ac:dyDescent="0.35">
      <c r="A1386" s="61">
        <v>1382</v>
      </c>
      <c r="B1386" s="2"/>
      <c r="C1386" s="2"/>
      <c r="D1386" s="2"/>
      <c r="E1386" s="10"/>
      <c r="F1386" s="11"/>
      <c r="G1386" s="2"/>
      <c r="H1386" s="2"/>
      <c r="I1386" s="2"/>
      <c r="J1386" s="67"/>
    </row>
    <row r="1387" spans="1:10" x14ac:dyDescent="0.35">
      <c r="A1387" s="61">
        <v>1383</v>
      </c>
      <c r="B1387" s="2"/>
      <c r="C1387" s="2"/>
      <c r="D1387" s="2"/>
      <c r="E1387" s="10"/>
      <c r="F1387" s="11"/>
      <c r="G1387" s="2"/>
      <c r="H1387" s="2"/>
      <c r="I1387" s="2"/>
      <c r="J1387" s="67"/>
    </row>
    <row r="1388" spans="1:10" x14ac:dyDescent="0.35">
      <c r="A1388" s="61">
        <v>1384</v>
      </c>
      <c r="B1388" s="2"/>
      <c r="C1388" s="2"/>
      <c r="D1388" s="2"/>
      <c r="E1388" s="10"/>
      <c r="F1388" s="11"/>
      <c r="G1388" s="2"/>
      <c r="H1388" s="2"/>
      <c r="I1388" s="2"/>
      <c r="J1388" s="67"/>
    </row>
    <row r="1389" spans="1:10" x14ac:dyDescent="0.35">
      <c r="A1389" s="61">
        <v>1385</v>
      </c>
      <c r="B1389" s="2"/>
      <c r="C1389" s="2"/>
      <c r="D1389" s="2"/>
      <c r="E1389" s="10"/>
      <c r="F1389" s="11"/>
      <c r="G1389" s="2"/>
      <c r="H1389" s="2"/>
      <c r="I1389" s="2"/>
      <c r="J1389" s="67"/>
    </row>
    <row r="1390" spans="1:10" x14ac:dyDescent="0.35">
      <c r="A1390" s="61">
        <v>1386</v>
      </c>
      <c r="B1390" s="2"/>
      <c r="C1390" s="2"/>
      <c r="D1390" s="2"/>
      <c r="E1390" s="10"/>
      <c r="F1390" s="11"/>
      <c r="G1390" s="2"/>
      <c r="H1390" s="2"/>
      <c r="I1390" s="2"/>
      <c r="J1390" s="67"/>
    </row>
    <row r="1391" spans="1:10" x14ac:dyDescent="0.35">
      <c r="A1391" s="61">
        <v>1387</v>
      </c>
      <c r="B1391" s="2"/>
      <c r="C1391" s="2"/>
      <c r="D1391" s="2"/>
      <c r="E1391" s="10"/>
      <c r="F1391" s="11"/>
      <c r="G1391" s="2"/>
      <c r="H1391" s="2"/>
      <c r="I1391" s="2"/>
      <c r="J1391" s="67"/>
    </row>
    <row r="1392" spans="1:10" x14ac:dyDescent="0.35">
      <c r="A1392" s="61">
        <v>1388</v>
      </c>
      <c r="B1392" s="2"/>
      <c r="C1392" s="2"/>
      <c r="D1392" s="2"/>
      <c r="E1392" s="10"/>
      <c r="F1392" s="11"/>
      <c r="G1392" s="2"/>
      <c r="H1392" s="2"/>
      <c r="I1392" s="2"/>
      <c r="J1392" s="67"/>
    </row>
    <row r="1393" spans="1:10" x14ac:dyDescent="0.35">
      <c r="A1393" s="61">
        <v>1389</v>
      </c>
      <c r="B1393" s="2"/>
      <c r="C1393" s="2"/>
      <c r="D1393" s="2"/>
      <c r="E1393" s="10"/>
      <c r="F1393" s="11"/>
      <c r="G1393" s="2"/>
      <c r="H1393" s="2"/>
      <c r="I1393" s="2"/>
      <c r="J1393" s="67"/>
    </row>
    <row r="1394" spans="1:10" x14ac:dyDescent="0.35">
      <c r="A1394" s="61">
        <v>1390</v>
      </c>
      <c r="B1394" s="2"/>
      <c r="C1394" s="2"/>
      <c r="D1394" s="2"/>
      <c r="E1394" s="10"/>
      <c r="F1394" s="11"/>
      <c r="G1394" s="2"/>
      <c r="H1394" s="2"/>
      <c r="I1394" s="2"/>
      <c r="J1394" s="67"/>
    </row>
    <row r="1395" spans="1:10" x14ac:dyDescent="0.35">
      <c r="A1395" s="61">
        <v>1391</v>
      </c>
      <c r="B1395" s="2"/>
      <c r="C1395" s="2"/>
      <c r="D1395" s="2"/>
      <c r="E1395" s="10"/>
      <c r="F1395" s="11"/>
      <c r="G1395" s="2"/>
      <c r="H1395" s="2"/>
      <c r="I1395" s="2"/>
      <c r="J1395" s="67"/>
    </row>
    <row r="1396" spans="1:10" x14ac:dyDescent="0.35">
      <c r="A1396" s="61">
        <v>1392</v>
      </c>
      <c r="B1396" s="2"/>
      <c r="C1396" s="2"/>
      <c r="D1396" s="2"/>
      <c r="E1396" s="10"/>
      <c r="F1396" s="11"/>
      <c r="G1396" s="2"/>
      <c r="H1396" s="2"/>
      <c r="I1396" s="2"/>
      <c r="J1396" s="67"/>
    </row>
    <row r="1397" spans="1:10" x14ac:dyDescent="0.35">
      <c r="A1397" s="61">
        <v>1393</v>
      </c>
      <c r="B1397" s="2"/>
      <c r="C1397" s="2"/>
      <c r="D1397" s="2"/>
      <c r="E1397" s="10"/>
      <c r="F1397" s="11"/>
      <c r="G1397" s="2"/>
      <c r="H1397" s="2"/>
      <c r="I1397" s="2"/>
      <c r="J1397" s="67"/>
    </row>
    <row r="1398" spans="1:10" x14ac:dyDescent="0.35">
      <c r="A1398" s="61">
        <v>1394</v>
      </c>
      <c r="B1398" s="2"/>
      <c r="C1398" s="2"/>
      <c r="D1398" s="2"/>
      <c r="E1398" s="10"/>
      <c r="F1398" s="11"/>
      <c r="G1398" s="2"/>
      <c r="H1398" s="2"/>
      <c r="I1398" s="2"/>
      <c r="J1398" s="67"/>
    </row>
    <row r="1399" spans="1:10" x14ac:dyDescent="0.35">
      <c r="A1399" s="61">
        <v>1395</v>
      </c>
      <c r="B1399" s="2"/>
      <c r="C1399" s="2"/>
      <c r="D1399" s="2"/>
      <c r="E1399" s="10"/>
      <c r="F1399" s="11"/>
      <c r="G1399" s="2"/>
      <c r="H1399" s="2"/>
      <c r="I1399" s="2"/>
      <c r="J1399" s="67"/>
    </row>
    <row r="1400" spans="1:10" x14ac:dyDescent="0.35">
      <c r="A1400" s="61">
        <v>1396</v>
      </c>
      <c r="B1400" s="2"/>
      <c r="C1400" s="2"/>
      <c r="D1400" s="2"/>
      <c r="E1400" s="10"/>
      <c r="F1400" s="11"/>
      <c r="G1400" s="2"/>
      <c r="H1400" s="2"/>
      <c r="I1400" s="2"/>
      <c r="J1400" s="67"/>
    </row>
    <row r="1401" spans="1:10" x14ac:dyDescent="0.35">
      <c r="A1401" s="61">
        <v>1397</v>
      </c>
      <c r="B1401" s="2"/>
      <c r="C1401" s="2"/>
      <c r="D1401" s="2"/>
      <c r="E1401" s="10"/>
      <c r="F1401" s="11"/>
      <c r="G1401" s="2"/>
      <c r="H1401" s="2"/>
      <c r="I1401" s="2"/>
      <c r="J1401" s="67"/>
    </row>
    <row r="1402" spans="1:10" x14ac:dyDescent="0.35">
      <c r="A1402" s="61">
        <v>1398</v>
      </c>
      <c r="B1402" s="2"/>
      <c r="C1402" s="2"/>
      <c r="D1402" s="2"/>
      <c r="E1402" s="10"/>
      <c r="F1402" s="11"/>
      <c r="G1402" s="2"/>
      <c r="H1402" s="2"/>
      <c r="I1402" s="2"/>
      <c r="J1402" s="67"/>
    </row>
    <row r="1403" spans="1:10" x14ac:dyDescent="0.35">
      <c r="A1403" s="61">
        <v>1399</v>
      </c>
      <c r="B1403" s="2"/>
      <c r="C1403" s="2"/>
      <c r="D1403" s="2"/>
      <c r="E1403" s="10"/>
      <c r="F1403" s="11"/>
      <c r="G1403" s="2"/>
      <c r="H1403" s="2"/>
      <c r="I1403" s="2"/>
      <c r="J1403" s="67"/>
    </row>
    <row r="1404" spans="1:10" x14ac:dyDescent="0.35">
      <c r="A1404" s="61">
        <v>1400</v>
      </c>
      <c r="B1404" s="2"/>
      <c r="C1404" s="2"/>
      <c r="D1404" s="2"/>
      <c r="E1404" s="10"/>
      <c r="F1404" s="11"/>
      <c r="G1404" s="2"/>
      <c r="H1404" s="2"/>
      <c r="I1404" s="2"/>
      <c r="J1404" s="67"/>
    </row>
    <row r="1405" spans="1:10" x14ac:dyDescent="0.35">
      <c r="A1405" s="61">
        <v>1401</v>
      </c>
      <c r="B1405" s="2"/>
      <c r="C1405" s="2"/>
      <c r="D1405" s="2"/>
      <c r="E1405" s="10"/>
      <c r="F1405" s="11"/>
      <c r="G1405" s="2"/>
      <c r="H1405" s="2"/>
      <c r="I1405" s="2"/>
      <c r="J1405" s="67"/>
    </row>
    <row r="1406" spans="1:10" x14ac:dyDescent="0.35">
      <c r="A1406" s="61">
        <v>1402</v>
      </c>
      <c r="B1406" s="2"/>
      <c r="C1406" s="2"/>
      <c r="D1406" s="2"/>
      <c r="E1406" s="10"/>
      <c r="F1406" s="11"/>
      <c r="G1406" s="2"/>
      <c r="H1406" s="2"/>
      <c r="I1406" s="2"/>
      <c r="J1406" s="67"/>
    </row>
    <row r="1407" spans="1:10" x14ac:dyDescent="0.35">
      <c r="A1407" s="61">
        <v>1403</v>
      </c>
      <c r="B1407" s="2"/>
      <c r="C1407" s="2"/>
      <c r="D1407" s="2"/>
      <c r="E1407" s="10"/>
      <c r="F1407" s="11"/>
      <c r="G1407" s="2"/>
      <c r="H1407" s="2"/>
      <c r="I1407" s="2"/>
      <c r="J1407" s="67"/>
    </row>
    <row r="1408" spans="1:10" x14ac:dyDescent="0.35">
      <c r="A1408" s="61">
        <v>1404</v>
      </c>
      <c r="B1408" s="2"/>
      <c r="C1408" s="2"/>
      <c r="D1408" s="2"/>
      <c r="E1408" s="10"/>
      <c r="F1408" s="11"/>
      <c r="G1408" s="2"/>
      <c r="H1408" s="2"/>
      <c r="I1408" s="2"/>
      <c r="J1408" s="67"/>
    </row>
    <row r="1409" spans="1:10" x14ac:dyDescent="0.35">
      <c r="A1409" s="61">
        <v>1405</v>
      </c>
      <c r="B1409" s="2"/>
      <c r="C1409" s="2"/>
      <c r="D1409" s="2"/>
      <c r="E1409" s="10"/>
      <c r="F1409" s="11"/>
      <c r="G1409" s="2"/>
      <c r="H1409" s="2"/>
      <c r="I1409" s="2"/>
      <c r="J1409" s="67"/>
    </row>
    <row r="1410" spans="1:10" x14ac:dyDescent="0.35">
      <c r="A1410" s="61">
        <v>1406</v>
      </c>
      <c r="B1410" s="2"/>
      <c r="C1410" s="2"/>
      <c r="D1410" s="2"/>
      <c r="E1410" s="10"/>
      <c r="F1410" s="11"/>
      <c r="G1410" s="2"/>
      <c r="H1410" s="2"/>
      <c r="I1410" s="2"/>
      <c r="J1410" s="67"/>
    </row>
    <row r="1411" spans="1:10" x14ac:dyDescent="0.35">
      <c r="A1411" s="61">
        <v>1407</v>
      </c>
      <c r="B1411" s="2"/>
      <c r="C1411" s="2"/>
      <c r="D1411" s="2"/>
      <c r="E1411" s="10"/>
      <c r="F1411" s="11"/>
      <c r="G1411" s="2"/>
      <c r="H1411" s="2"/>
      <c r="I1411" s="2"/>
      <c r="J1411" s="67"/>
    </row>
    <row r="1412" spans="1:10" x14ac:dyDescent="0.35">
      <c r="A1412" s="61">
        <v>1408</v>
      </c>
      <c r="B1412" s="2"/>
      <c r="C1412" s="2"/>
      <c r="D1412" s="2"/>
      <c r="E1412" s="10"/>
      <c r="F1412" s="11"/>
      <c r="G1412" s="2"/>
      <c r="H1412" s="2"/>
      <c r="I1412" s="2"/>
      <c r="J1412" s="67"/>
    </row>
    <row r="1413" spans="1:10" x14ac:dyDescent="0.35">
      <c r="A1413" s="61">
        <v>1409</v>
      </c>
      <c r="B1413" s="2"/>
      <c r="C1413" s="2"/>
      <c r="D1413" s="2"/>
      <c r="E1413" s="10"/>
      <c r="F1413" s="11"/>
      <c r="G1413" s="2"/>
      <c r="H1413" s="2"/>
      <c r="I1413" s="2"/>
      <c r="J1413" s="67"/>
    </row>
    <row r="1414" spans="1:10" x14ac:dyDescent="0.35">
      <c r="A1414" s="61">
        <v>1410</v>
      </c>
      <c r="B1414" s="2"/>
      <c r="C1414" s="2"/>
      <c r="D1414" s="2"/>
      <c r="E1414" s="10"/>
      <c r="F1414" s="11"/>
      <c r="G1414" s="2"/>
      <c r="H1414" s="2"/>
      <c r="I1414" s="2"/>
      <c r="J1414" s="67"/>
    </row>
    <row r="1415" spans="1:10" x14ac:dyDescent="0.35">
      <c r="A1415" s="61">
        <v>1411</v>
      </c>
      <c r="B1415" s="2"/>
      <c r="C1415" s="2"/>
      <c r="D1415" s="2"/>
      <c r="E1415" s="10"/>
      <c r="F1415" s="11"/>
      <c r="G1415" s="2"/>
      <c r="H1415" s="2"/>
      <c r="I1415" s="2"/>
      <c r="J1415" s="67"/>
    </row>
    <row r="1416" spans="1:10" x14ac:dyDescent="0.35">
      <c r="A1416" s="61">
        <v>1412</v>
      </c>
      <c r="B1416" s="2"/>
      <c r="C1416" s="2"/>
      <c r="D1416" s="2"/>
      <c r="E1416" s="10"/>
      <c r="F1416" s="11"/>
      <c r="G1416" s="2"/>
      <c r="H1416" s="2"/>
      <c r="I1416" s="2"/>
      <c r="J1416" s="67"/>
    </row>
    <row r="1417" spans="1:10" x14ac:dyDescent="0.35">
      <c r="A1417" s="61">
        <v>1413</v>
      </c>
      <c r="B1417" s="2"/>
      <c r="C1417" s="2"/>
      <c r="D1417" s="2"/>
      <c r="E1417" s="10"/>
      <c r="F1417" s="11"/>
      <c r="G1417" s="2"/>
      <c r="H1417" s="2"/>
      <c r="I1417" s="2"/>
      <c r="J1417" s="67"/>
    </row>
    <row r="1418" spans="1:10" x14ac:dyDescent="0.35">
      <c r="A1418" s="61">
        <v>1414</v>
      </c>
      <c r="B1418" s="2"/>
      <c r="C1418" s="2"/>
      <c r="D1418" s="2"/>
      <c r="E1418" s="10"/>
      <c r="F1418" s="11"/>
      <c r="G1418" s="2"/>
      <c r="H1418" s="2"/>
      <c r="I1418" s="2"/>
      <c r="J1418" s="67"/>
    </row>
    <row r="1419" spans="1:10" x14ac:dyDescent="0.35">
      <c r="A1419" s="61">
        <v>1415</v>
      </c>
      <c r="B1419" s="2"/>
      <c r="C1419" s="2"/>
      <c r="D1419" s="2"/>
      <c r="E1419" s="10"/>
      <c r="F1419" s="11"/>
      <c r="G1419" s="2"/>
      <c r="H1419" s="2"/>
      <c r="I1419" s="2"/>
      <c r="J1419" s="67"/>
    </row>
    <row r="1420" spans="1:10" x14ac:dyDescent="0.35">
      <c r="A1420" s="61">
        <v>1416</v>
      </c>
      <c r="B1420" s="2"/>
      <c r="C1420" s="2"/>
      <c r="D1420" s="2"/>
      <c r="E1420" s="10"/>
      <c r="F1420" s="11"/>
      <c r="G1420" s="2"/>
      <c r="H1420" s="2"/>
      <c r="I1420" s="2"/>
      <c r="J1420" s="67"/>
    </row>
    <row r="1421" spans="1:10" x14ac:dyDescent="0.35">
      <c r="A1421" s="61">
        <v>1417</v>
      </c>
      <c r="B1421" s="2"/>
      <c r="C1421" s="2"/>
      <c r="D1421" s="2"/>
      <c r="E1421" s="10"/>
      <c r="F1421" s="11"/>
      <c r="G1421" s="2"/>
      <c r="H1421" s="2"/>
      <c r="I1421" s="2"/>
      <c r="J1421" s="67"/>
    </row>
    <row r="1422" spans="1:10" x14ac:dyDescent="0.35">
      <c r="A1422" s="61">
        <v>1418</v>
      </c>
      <c r="B1422" s="2"/>
      <c r="C1422" s="2"/>
      <c r="D1422" s="2"/>
      <c r="E1422" s="10"/>
      <c r="F1422" s="11"/>
      <c r="G1422" s="2"/>
      <c r="H1422" s="2"/>
      <c r="I1422" s="2"/>
      <c r="J1422" s="67"/>
    </row>
    <row r="1423" spans="1:10" x14ac:dyDescent="0.35">
      <c r="A1423" s="61">
        <v>1419</v>
      </c>
      <c r="B1423" s="2"/>
      <c r="C1423" s="2"/>
      <c r="D1423" s="2"/>
      <c r="E1423" s="10"/>
      <c r="F1423" s="11"/>
      <c r="G1423" s="2"/>
      <c r="H1423" s="2"/>
      <c r="I1423" s="2"/>
      <c r="J1423" s="67"/>
    </row>
    <row r="1424" spans="1:10" x14ac:dyDescent="0.35">
      <c r="A1424" s="61">
        <v>1420</v>
      </c>
      <c r="B1424" s="2"/>
      <c r="C1424" s="2"/>
      <c r="D1424" s="2"/>
      <c r="E1424" s="10"/>
      <c r="F1424" s="11"/>
      <c r="G1424" s="2"/>
      <c r="H1424" s="2"/>
      <c r="I1424" s="2"/>
      <c r="J1424" s="67"/>
    </row>
    <row r="1425" spans="1:10" x14ac:dyDescent="0.35">
      <c r="A1425" s="61">
        <v>1421</v>
      </c>
      <c r="B1425" s="2"/>
      <c r="C1425" s="2"/>
      <c r="D1425" s="2"/>
      <c r="E1425" s="10"/>
      <c r="F1425" s="11"/>
      <c r="G1425" s="2"/>
      <c r="H1425" s="2"/>
      <c r="I1425" s="2"/>
      <c r="J1425" s="67"/>
    </row>
    <row r="1426" spans="1:10" x14ac:dyDescent="0.35">
      <c r="A1426" s="61">
        <v>1422</v>
      </c>
      <c r="B1426" s="2"/>
      <c r="C1426" s="2"/>
      <c r="D1426" s="2"/>
      <c r="E1426" s="10"/>
      <c r="F1426" s="11"/>
      <c r="G1426" s="2"/>
      <c r="H1426" s="2"/>
      <c r="I1426" s="2"/>
      <c r="J1426" s="67"/>
    </row>
    <row r="1427" spans="1:10" x14ac:dyDescent="0.35">
      <c r="A1427" s="61">
        <v>1423</v>
      </c>
      <c r="B1427" s="2"/>
      <c r="C1427" s="2"/>
      <c r="D1427" s="2"/>
      <c r="E1427" s="10"/>
      <c r="F1427" s="11"/>
      <c r="G1427" s="2"/>
      <c r="H1427" s="2"/>
      <c r="I1427" s="2"/>
      <c r="J1427" s="67"/>
    </row>
    <row r="1428" spans="1:10" x14ac:dyDescent="0.35">
      <c r="A1428" s="61">
        <v>1424</v>
      </c>
      <c r="B1428" s="2"/>
      <c r="C1428" s="2"/>
      <c r="D1428" s="2"/>
      <c r="E1428" s="10"/>
      <c r="F1428" s="11"/>
      <c r="G1428" s="2"/>
      <c r="H1428" s="2"/>
      <c r="I1428" s="2"/>
      <c r="J1428" s="67"/>
    </row>
    <row r="1429" spans="1:10" x14ac:dyDescent="0.35">
      <c r="A1429" s="61">
        <v>1425</v>
      </c>
      <c r="B1429" s="2"/>
      <c r="C1429" s="2"/>
      <c r="D1429" s="2"/>
      <c r="E1429" s="10"/>
      <c r="F1429" s="11"/>
      <c r="G1429" s="2"/>
      <c r="H1429" s="2"/>
      <c r="I1429" s="2"/>
      <c r="J1429" s="67"/>
    </row>
    <row r="1430" spans="1:10" x14ac:dyDescent="0.35">
      <c r="A1430" s="61">
        <v>1426</v>
      </c>
      <c r="B1430" s="2"/>
      <c r="C1430" s="2"/>
      <c r="D1430" s="2"/>
      <c r="E1430" s="10"/>
      <c r="F1430" s="11"/>
      <c r="G1430" s="2"/>
      <c r="H1430" s="2"/>
      <c r="I1430" s="2"/>
      <c r="J1430" s="67"/>
    </row>
    <row r="1431" spans="1:10" x14ac:dyDescent="0.35">
      <c r="A1431" s="61">
        <v>1427</v>
      </c>
      <c r="B1431" s="2"/>
      <c r="C1431" s="2"/>
      <c r="D1431" s="2"/>
      <c r="E1431" s="10"/>
      <c r="F1431" s="11"/>
      <c r="G1431" s="2"/>
      <c r="H1431" s="2"/>
      <c r="I1431" s="2"/>
      <c r="J1431" s="67"/>
    </row>
    <row r="1432" spans="1:10" x14ac:dyDescent="0.35">
      <c r="A1432" s="61">
        <v>1428</v>
      </c>
      <c r="B1432" s="2"/>
      <c r="C1432" s="2"/>
      <c r="D1432" s="2"/>
      <c r="E1432" s="10"/>
      <c r="F1432" s="11"/>
      <c r="G1432" s="2"/>
      <c r="H1432" s="2"/>
      <c r="I1432" s="2"/>
      <c r="J1432" s="67"/>
    </row>
    <row r="1433" spans="1:10" x14ac:dyDescent="0.35">
      <c r="A1433" s="61">
        <v>1429</v>
      </c>
      <c r="B1433" s="2"/>
      <c r="C1433" s="2"/>
      <c r="D1433" s="2"/>
      <c r="E1433" s="10"/>
      <c r="F1433" s="11"/>
      <c r="G1433" s="2"/>
      <c r="H1433" s="2"/>
      <c r="I1433" s="2"/>
      <c r="J1433" s="67"/>
    </row>
    <row r="1434" spans="1:10" x14ac:dyDescent="0.35">
      <c r="A1434" s="61">
        <v>1430</v>
      </c>
      <c r="B1434" s="2"/>
      <c r="C1434" s="2"/>
      <c r="D1434" s="2"/>
      <c r="E1434" s="10"/>
      <c r="F1434" s="11"/>
      <c r="G1434" s="2"/>
      <c r="H1434" s="2"/>
      <c r="I1434" s="2"/>
      <c r="J1434" s="67"/>
    </row>
    <row r="1435" spans="1:10" x14ac:dyDescent="0.35">
      <c r="A1435" s="61">
        <v>1431</v>
      </c>
      <c r="B1435" s="2"/>
      <c r="C1435" s="2"/>
      <c r="D1435" s="2"/>
      <c r="E1435" s="10"/>
      <c r="F1435" s="11"/>
      <c r="G1435" s="2"/>
      <c r="H1435" s="2"/>
      <c r="I1435" s="2"/>
      <c r="J1435" s="67"/>
    </row>
    <row r="1436" spans="1:10" x14ac:dyDescent="0.35">
      <c r="A1436" s="61">
        <v>1432</v>
      </c>
      <c r="B1436" s="2"/>
      <c r="C1436" s="2"/>
      <c r="D1436" s="2"/>
      <c r="E1436" s="10"/>
      <c r="F1436" s="11"/>
      <c r="G1436" s="2"/>
      <c r="H1436" s="2"/>
      <c r="I1436" s="2"/>
      <c r="J1436" s="67"/>
    </row>
    <row r="1437" spans="1:10" x14ac:dyDescent="0.35">
      <c r="A1437" s="61">
        <v>1433</v>
      </c>
      <c r="B1437" s="2"/>
      <c r="C1437" s="2"/>
      <c r="D1437" s="2"/>
      <c r="E1437" s="10"/>
      <c r="F1437" s="11"/>
      <c r="G1437" s="2"/>
      <c r="H1437" s="2"/>
      <c r="I1437" s="2"/>
      <c r="J1437" s="67"/>
    </row>
    <row r="1438" spans="1:10" x14ac:dyDescent="0.35">
      <c r="A1438" s="61">
        <v>1434</v>
      </c>
      <c r="B1438" s="2"/>
      <c r="C1438" s="2"/>
      <c r="D1438" s="2"/>
      <c r="E1438" s="10"/>
      <c r="F1438" s="11"/>
      <c r="G1438" s="2"/>
      <c r="H1438" s="2"/>
      <c r="I1438" s="2"/>
      <c r="J1438" s="67"/>
    </row>
    <row r="1439" spans="1:10" x14ac:dyDescent="0.35">
      <c r="A1439" s="61">
        <v>1435</v>
      </c>
      <c r="B1439" s="2"/>
      <c r="C1439" s="2"/>
      <c r="D1439" s="2"/>
      <c r="E1439" s="10"/>
      <c r="F1439" s="11"/>
      <c r="G1439" s="2"/>
      <c r="H1439" s="2"/>
      <c r="I1439" s="2"/>
      <c r="J1439" s="67"/>
    </row>
    <row r="1440" spans="1:10" x14ac:dyDescent="0.35">
      <c r="A1440" s="61">
        <v>1436</v>
      </c>
      <c r="B1440" s="2"/>
      <c r="C1440" s="2"/>
      <c r="D1440" s="2"/>
      <c r="E1440" s="10"/>
      <c r="F1440" s="11"/>
      <c r="G1440" s="2"/>
      <c r="H1440" s="2"/>
      <c r="I1440" s="2"/>
      <c r="J1440" s="67"/>
    </row>
    <row r="1441" spans="1:10" x14ac:dyDescent="0.35">
      <c r="A1441" s="61">
        <v>1437</v>
      </c>
      <c r="B1441" s="2"/>
      <c r="C1441" s="2"/>
      <c r="D1441" s="2"/>
      <c r="E1441" s="10"/>
      <c r="F1441" s="11"/>
      <c r="G1441" s="2"/>
      <c r="H1441" s="2"/>
      <c r="I1441" s="2"/>
      <c r="J1441" s="67"/>
    </row>
    <row r="1442" spans="1:10" x14ac:dyDescent="0.35">
      <c r="A1442" s="61">
        <v>1438</v>
      </c>
      <c r="B1442" s="2"/>
      <c r="C1442" s="2"/>
      <c r="D1442" s="2"/>
      <c r="E1442" s="10"/>
      <c r="F1442" s="11"/>
      <c r="G1442" s="2"/>
      <c r="H1442" s="2"/>
      <c r="I1442" s="2"/>
      <c r="J1442" s="67"/>
    </row>
    <row r="1443" spans="1:10" x14ac:dyDescent="0.35">
      <c r="A1443" s="61">
        <v>1439</v>
      </c>
      <c r="B1443" s="2"/>
      <c r="C1443" s="2"/>
      <c r="D1443" s="2"/>
      <c r="E1443" s="10"/>
      <c r="F1443" s="11"/>
      <c r="G1443" s="2"/>
      <c r="H1443" s="2"/>
      <c r="I1443" s="2"/>
      <c r="J1443" s="67"/>
    </row>
    <row r="1444" spans="1:10" x14ac:dyDescent="0.35">
      <c r="A1444" s="61">
        <v>1440</v>
      </c>
      <c r="B1444" s="2"/>
      <c r="C1444" s="2"/>
      <c r="D1444" s="2"/>
      <c r="E1444" s="10"/>
      <c r="F1444" s="11"/>
      <c r="G1444" s="2"/>
      <c r="H1444" s="2"/>
      <c r="I1444" s="2"/>
      <c r="J1444" s="67"/>
    </row>
    <row r="1445" spans="1:10" x14ac:dyDescent="0.35">
      <c r="A1445" s="61">
        <v>1441</v>
      </c>
      <c r="B1445" s="2"/>
      <c r="C1445" s="2"/>
      <c r="D1445" s="2"/>
      <c r="E1445" s="10"/>
      <c r="F1445" s="11"/>
      <c r="G1445" s="2"/>
      <c r="H1445" s="2"/>
      <c r="I1445" s="2"/>
      <c r="J1445" s="67"/>
    </row>
    <row r="1446" spans="1:10" x14ac:dyDescent="0.35">
      <c r="A1446" s="61">
        <v>1442</v>
      </c>
      <c r="B1446" s="2"/>
      <c r="C1446" s="2"/>
      <c r="D1446" s="2"/>
      <c r="E1446" s="10"/>
      <c r="F1446" s="11"/>
      <c r="G1446" s="2"/>
      <c r="H1446" s="2"/>
      <c r="I1446" s="2"/>
      <c r="J1446" s="67"/>
    </row>
    <row r="1447" spans="1:10" x14ac:dyDescent="0.35">
      <c r="A1447" s="61">
        <v>1443</v>
      </c>
      <c r="B1447" s="2"/>
      <c r="C1447" s="2"/>
      <c r="D1447" s="2"/>
      <c r="E1447" s="10"/>
      <c r="F1447" s="11"/>
      <c r="G1447" s="2"/>
      <c r="H1447" s="2"/>
      <c r="I1447" s="2"/>
      <c r="J1447" s="67"/>
    </row>
    <row r="1448" spans="1:10" x14ac:dyDescent="0.35">
      <c r="A1448" s="61">
        <v>1444</v>
      </c>
      <c r="B1448" s="2"/>
      <c r="C1448" s="2"/>
      <c r="D1448" s="2"/>
      <c r="E1448" s="10"/>
      <c r="F1448" s="11"/>
      <c r="G1448" s="2"/>
      <c r="H1448" s="2"/>
      <c r="I1448" s="2"/>
      <c r="J1448" s="67"/>
    </row>
    <row r="1449" spans="1:10" x14ac:dyDescent="0.35">
      <c r="A1449" s="61">
        <v>1445</v>
      </c>
      <c r="B1449" s="2"/>
      <c r="C1449" s="2"/>
      <c r="D1449" s="2"/>
      <c r="E1449" s="10"/>
      <c r="F1449" s="11"/>
      <c r="G1449" s="2"/>
      <c r="H1449" s="2"/>
      <c r="I1449" s="2"/>
      <c r="J1449" s="67"/>
    </row>
    <row r="1450" spans="1:10" x14ac:dyDescent="0.35">
      <c r="A1450" s="61">
        <v>1446</v>
      </c>
      <c r="B1450" s="2"/>
      <c r="C1450" s="2"/>
      <c r="D1450" s="2"/>
      <c r="E1450" s="10"/>
      <c r="F1450" s="11"/>
      <c r="G1450" s="2"/>
      <c r="H1450" s="2"/>
      <c r="I1450" s="2"/>
      <c r="J1450" s="67"/>
    </row>
    <row r="1451" spans="1:10" x14ac:dyDescent="0.35">
      <c r="A1451" s="61">
        <v>1447</v>
      </c>
      <c r="B1451" s="2"/>
      <c r="C1451" s="2"/>
      <c r="D1451" s="2"/>
      <c r="E1451" s="10"/>
      <c r="F1451" s="11"/>
      <c r="G1451" s="2"/>
      <c r="H1451" s="2"/>
      <c r="I1451" s="2"/>
      <c r="J1451" s="67"/>
    </row>
    <row r="1452" spans="1:10" x14ac:dyDescent="0.35">
      <c r="A1452" s="61">
        <v>1448</v>
      </c>
      <c r="B1452" s="2"/>
      <c r="C1452" s="2"/>
      <c r="D1452" s="2"/>
      <c r="E1452" s="10"/>
      <c r="F1452" s="11"/>
      <c r="G1452" s="2"/>
      <c r="H1452" s="2"/>
      <c r="I1452" s="2"/>
      <c r="J1452" s="67"/>
    </row>
    <row r="1453" spans="1:10" x14ac:dyDescent="0.35">
      <c r="A1453" s="61">
        <v>1449</v>
      </c>
      <c r="B1453" s="2"/>
      <c r="C1453" s="2"/>
      <c r="D1453" s="2"/>
      <c r="E1453" s="10"/>
      <c r="F1453" s="11"/>
      <c r="G1453" s="2"/>
      <c r="H1453" s="2"/>
      <c r="I1453" s="2"/>
      <c r="J1453" s="67"/>
    </row>
    <row r="1454" spans="1:10" x14ac:dyDescent="0.35">
      <c r="A1454" s="61">
        <v>1450</v>
      </c>
      <c r="B1454" s="2"/>
      <c r="C1454" s="2"/>
      <c r="D1454" s="2"/>
      <c r="E1454" s="10"/>
      <c r="F1454" s="11"/>
      <c r="G1454" s="2"/>
      <c r="H1454" s="2"/>
      <c r="I1454" s="2"/>
      <c r="J1454" s="67"/>
    </row>
    <row r="1455" spans="1:10" x14ac:dyDescent="0.35">
      <c r="A1455" s="61">
        <v>1451</v>
      </c>
      <c r="B1455" s="2"/>
      <c r="C1455" s="2"/>
      <c r="D1455" s="2"/>
      <c r="E1455" s="10"/>
      <c r="F1455" s="11"/>
      <c r="G1455" s="2"/>
      <c r="H1455" s="2"/>
      <c r="I1455" s="2"/>
      <c r="J1455" s="67"/>
    </row>
    <row r="1456" spans="1:10" x14ac:dyDescent="0.35">
      <c r="A1456" s="61">
        <v>1452</v>
      </c>
      <c r="B1456" s="2"/>
      <c r="C1456" s="2"/>
      <c r="D1456" s="2"/>
      <c r="E1456" s="10"/>
      <c r="F1456" s="11"/>
      <c r="G1456" s="2"/>
      <c r="H1456" s="2"/>
      <c r="I1456" s="2"/>
      <c r="J1456" s="67"/>
    </row>
    <row r="1457" spans="1:10" x14ac:dyDescent="0.35">
      <c r="A1457" s="61">
        <v>1453</v>
      </c>
      <c r="B1457" s="2"/>
      <c r="C1457" s="2"/>
      <c r="D1457" s="2"/>
      <c r="E1457" s="10"/>
      <c r="F1457" s="11"/>
      <c r="G1457" s="2"/>
      <c r="H1457" s="2"/>
      <c r="I1457" s="2"/>
      <c r="J1457" s="67"/>
    </row>
    <row r="1458" spans="1:10" x14ac:dyDescent="0.35">
      <c r="A1458" s="61">
        <v>1454</v>
      </c>
      <c r="B1458" s="2"/>
      <c r="C1458" s="2"/>
      <c r="D1458" s="2"/>
      <c r="E1458" s="10"/>
      <c r="F1458" s="11"/>
      <c r="G1458" s="2"/>
      <c r="H1458" s="2"/>
      <c r="I1458" s="2"/>
      <c r="J1458" s="67"/>
    </row>
    <row r="1459" spans="1:10" x14ac:dyDescent="0.35">
      <c r="A1459" s="61">
        <v>1455</v>
      </c>
      <c r="B1459" s="2"/>
      <c r="C1459" s="2"/>
      <c r="D1459" s="2"/>
      <c r="E1459" s="10"/>
      <c r="F1459" s="11"/>
      <c r="G1459" s="2"/>
      <c r="H1459" s="2"/>
      <c r="I1459" s="2"/>
      <c r="J1459" s="67"/>
    </row>
    <row r="1460" spans="1:10" x14ac:dyDescent="0.35">
      <c r="A1460" s="61">
        <v>1456</v>
      </c>
      <c r="B1460" s="2"/>
      <c r="C1460" s="2"/>
      <c r="D1460" s="2"/>
      <c r="E1460" s="10"/>
      <c r="F1460" s="11"/>
      <c r="G1460" s="2"/>
      <c r="H1460" s="2"/>
      <c r="I1460" s="2"/>
      <c r="J1460" s="67"/>
    </row>
    <row r="1461" spans="1:10" x14ac:dyDescent="0.35">
      <c r="A1461" s="61">
        <v>1457</v>
      </c>
      <c r="B1461" s="2"/>
      <c r="C1461" s="2"/>
      <c r="D1461" s="2"/>
      <c r="E1461" s="10"/>
      <c r="F1461" s="11"/>
      <c r="G1461" s="2"/>
      <c r="H1461" s="2"/>
      <c r="I1461" s="2"/>
      <c r="J1461" s="67"/>
    </row>
    <row r="1462" spans="1:10" x14ac:dyDescent="0.35">
      <c r="A1462" s="61">
        <v>1458</v>
      </c>
      <c r="B1462" s="2"/>
      <c r="C1462" s="2"/>
      <c r="D1462" s="2"/>
      <c r="E1462" s="10"/>
      <c r="F1462" s="11"/>
      <c r="G1462" s="2"/>
      <c r="H1462" s="2"/>
      <c r="I1462" s="2"/>
      <c r="J1462" s="67"/>
    </row>
    <row r="1463" spans="1:10" x14ac:dyDescent="0.35">
      <c r="A1463" s="61">
        <v>1459</v>
      </c>
      <c r="B1463" s="2"/>
      <c r="C1463" s="2"/>
      <c r="D1463" s="2"/>
      <c r="E1463" s="10"/>
      <c r="F1463" s="11"/>
      <c r="G1463" s="2"/>
      <c r="H1463" s="2"/>
      <c r="I1463" s="2"/>
      <c r="J1463" s="67"/>
    </row>
    <row r="1464" spans="1:10" x14ac:dyDescent="0.35">
      <c r="A1464" s="61">
        <v>1460</v>
      </c>
      <c r="B1464" s="2"/>
      <c r="C1464" s="2"/>
      <c r="D1464" s="2"/>
      <c r="E1464" s="10"/>
      <c r="F1464" s="11"/>
      <c r="G1464" s="2"/>
      <c r="H1464" s="2"/>
      <c r="I1464" s="2"/>
      <c r="J1464" s="67"/>
    </row>
    <row r="1465" spans="1:10" x14ac:dyDescent="0.35">
      <c r="A1465" s="61">
        <v>1461</v>
      </c>
      <c r="B1465" s="2"/>
      <c r="C1465" s="2"/>
      <c r="D1465" s="2"/>
      <c r="E1465" s="10"/>
      <c r="F1465" s="11"/>
      <c r="G1465" s="2"/>
      <c r="H1465" s="2"/>
      <c r="I1465" s="2"/>
      <c r="J1465" s="67"/>
    </row>
    <row r="1466" spans="1:10" x14ac:dyDescent="0.35">
      <c r="A1466" s="61">
        <v>1462</v>
      </c>
      <c r="B1466" s="2"/>
      <c r="C1466" s="2"/>
      <c r="D1466" s="2"/>
      <c r="E1466" s="10"/>
      <c r="F1466" s="11"/>
      <c r="G1466" s="2"/>
      <c r="H1466" s="2"/>
      <c r="I1466" s="2"/>
      <c r="J1466" s="67"/>
    </row>
    <row r="1467" spans="1:10" x14ac:dyDescent="0.35">
      <c r="A1467" s="61">
        <v>1463</v>
      </c>
      <c r="B1467" s="2"/>
      <c r="C1467" s="2"/>
      <c r="D1467" s="2"/>
      <c r="E1467" s="10"/>
      <c r="F1467" s="11"/>
      <c r="G1467" s="2"/>
      <c r="H1467" s="2"/>
      <c r="I1467" s="2"/>
      <c r="J1467" s="67"/>
    </row>
    <row r="1468" spans="1:10" x14ac:dyDescent="0.35">
      <c r="A1468" s="61">
        <v>1464</v>
      </c>
      <c r="B1468" s="2"/>
      <c r="C1468" s="2"/>
      <c r="D1468" s="2"/>
      <c r="E1468" s="10"/>
      <c r="F1468" s="11"/>
      <c r="G1468" s="2"/>
      <c r="H1468" s="2"/>
      <c r="I1468" s="2"/>
      <c r="J1468" s="67"/>
    </row>
    <row r="1469" spans="1:10" x14ac:dyDescent="0.35">
      <c r="A1469" s="61">
        <v>1465</v>
      </c>
      <c r="B1469" s="2"/>
      <c r="C1469" s="2"/>
      <c r="D1469" s="2"/>
      <c r="E1469" s="10"/>
      <c r="F1469" s="11"/>
      <c r="G1469" s="2"/>
      <c r="H1469" s="2"/>
      <c r="I1469" s="2"/>
      <c r="J1469" s="67"/>
    </row>
    <row r="1470" spans="1:10" x14ac:dyDescent="0.35">
      <c r="A1470" s="61">
        <v>1466</v>
      </c>
      <c r="B1470" s="2"/>
      <c r="C1470" s="2"/>
      <c r="D1470" s="2"/>
      <c r="E1470" s="10"/>
      <c r="F1470" s="11"/>
      <c r="G1470" s="2"/>
      <c r="H1470" s="2"/>
      <c r="I1470" s="2"/>
      <c r="J1470" s="67"/>
    </row>
    <row r="1471" spans="1:10" x14ac:dyDescent="0.35">
      <c r="A1471" s="61">
        <v>1467</v>
      </c>
      <c r="B1471" s="2"/>
      <c r="C1471" s="2"/>
      <c r="D1471" s="2"/>
      <c r="E1471" s="10"/>
      <c r="F1471" s="11"/>
      <c r="G1471" s="2"/>
      <c r="H1471" s="2"/>
      <c r="I1471" s="2"/>
      <c r="J1471" s="67"/>
    </row>
    <row r="1472" spans="1:10" x14ac:dyDescent="0.35">
      <c r="A1472" s="61">
        <v>1468</v>
      </c>
      <c r="B1472" s="2"/>
      <c r="C1472" s="2"/>
      <c r="D1472" s="2"/>
      <c r="E1472" s="10"/>
      <c r="F1472" s="11"/>
      <c r="G1472" s="2"/>
      <c r="H1472" s="2"/>
      <c r="I1472" s="2"/>
      <c r="J1472" s="67"/>
    </row>
    <row r="1473" spans="1:10" x14ac:dyDescent="0.35">
      <c r="A1473" s="61">
        <v>1469</v>
      </c>
      <c r="B1473" s="2"/>
      <c r="C1473" s="2"/>
      <c r="D1473" s="2"/>
      <c r="E1473" s="10"/>
      <c r="F1473" s="11"/>
      <c r="G1473" s="2"/>
      <c r="H1473" s="2"/>
      <c r="I1473" s="2"/>
      <c r="J1473" s="67"/>
    </row>
    <row r="1474" spans="1:10" x14ac:dyDescent="0.35">
      <c r="A1474" s="61">
        <v>1470</v>
      </c>
      <c r="B1474" s="2"/>
      <c r="C1474" s="2"/>
      <c r="D1474" s="2"/>
      <c r="E1474" s="10"/>
      <c r="F1474" s="11"/>
      <c r="G1474" s="2"/>
      <c r="H1474" s="2"/>
      <c r="I1474" s="2"/>
      <c r="J1474" s="67"/>
    </row>
    <row r="1475" spans="1:10" x14ac:dyDescent="0.35">
      <c r="A1475" s="61">
        <v>1471</v>
      </c>
      <c r="B1475" s="2"/>
      <c r="C1475" s="2"/>
      <c r="D1475" s="2"/>
      <c r="E1475" s="10"/>
      <c r="F1475" s="11"/>
      <c r="G1475" s="2"/>
      <c r="H1475" s="2"/>
      <c r="I1475" s="2"/>
      <c r="J1475" s="67"/>
    </row>
    <row r="1476" spans="1:10" x14ac:dyDescent="0.35">
      <c r="A1476" s="61">
        <v>1472</v>
      </c>
      <c r="B1476" s="2"/>
      <c r="C1476" s="2"/>
      <c r="D1476" s="2"/>
      <c r="E1476" s="10"/>
      <c r="F1476" s="11"/>
      <c r="G1476" s="2"/>
      <c r="H1476" s="2"/>
      <c r="I1476" s="2"/>
      <c r="J1476" s="67"/>
    </row>
    <row r="1477" spans="1:10" x14ac:dyDescent="0.35">
      <c r="A1477" s="61">
        <v>1473</v>
      </c>
      <c r="B1477" s="2"/>
      <c r="C1477" s="2"/>
      <c r="D1477" s="2"/>
      <c r="E1477" s="10"/>
      <c r="F1477" s="11"/>
      <c r="G1477" s="2"/>
      <c r="H1477" s="2"/>
      <c r="I1477" s="2"/>
      <c r="J1477" s="67"/>
    </row>
    <row r="1478" spans="1:10" x14ac:dyDescent="0.35">
      <c r="A1478" s="61">
        <v>1474</v>
      </c>
      <c r="B1478" s="2"/>
      <c r="C1478" s="2"/>
      <c r="D1478" s="2"/>
      <c r="E1478" s="10"/>
      <c r="F1478" s="11"/>
      <c r="G1478" s="2"/>
      <c r="H1478" s="2"/>
      <c r="I1478" s="2"/>
      <c r="J1478" s="67"/>
    </row>
    <row r="1479" spans="1:10" x14ac:dyDescent="0.35">
      <c r="A1479" s="61">
        <v>1475</v>
      </c>
      <c r="B1479" s="2"/>
      <c r="C1479" s="2"/>
      <c r="D1479" s="2"/>
      <c r="E1479" s="10"/>
      <c r="F1479" s="11"/>
      <c r="G1479" s="2"/>
      <c r="H1479" s="2"/>
      <c r="I1479" s="2"/>
      <c r="J1479" s="67"/>
    </row>
    <row r="1480" spans="1:10" x14ac:dyDescent="0.35">
      <c r="A1480" s="61">
        <v>1476</v>
      </c>
      <c r="B1480" s="2"/>
      <c r="C1480" s="2"/>
      <c r="D1480" s="2"/>
      <c r="E1480" s="10"/>
      <c r="F1480" s="11"/>
      <c r="G1480" s="2"/>
      <c r="H1480" s="2"/>
      <c r="I1480" s="2"/>
      <c r="J1480" s="67"/>
    </row>
    <row r="1481" spans="1:10" x14ac:dyDescent="0.35">
      <c r="A1481" s="61">
        <v>1477</v>
      </c>
      <c r="B1481" s="2"/>
      <c r="C1481" s="2"/>
      <c r="D1481" s="2"/>
      <c r="E1481" s="10"/>
      <c r="F1481" s="11"/>
      <c r="G1481" s="2"/>
      <c r="H1481" s="2"/>
      <c r="I1481" s="2"/>
      <c r="J1481" s="67"/>
    </row>
    <row r="1482" spans="1:10" x14ac:dyDescent="0.35">
      <c r="A1482" s="61">
        <v>1478</v>
      </c>
      <c r="B1482" s="2"/>
      <c r="C1482" s="2"/>
      <c r="D1482" s="2"/>
      <c r="E1482" s="10"/>
      <c r="F1482" s="11"/>
      <c r="G1482" s="2"/>
      <c r="H1482" s="2"/>
      <c r="I1482" s="2"/>
      <c r="J1482" s="67"/>
    </row>
    <row r="1483" spans="1:10" x14ac:dyDescent="0.35">
      <c r="A1483" s="61">
        <v>1479</v>
      </c>
      <c r="B1483" s="2"/>
      <c r="C1483" s="2"/>
      <c r="D1483" s="2"/>
      <c r="E1483" s="10"/>
      <c r="F1483" s="11"/>
      <c r="G1483" s="2"/>
      <c r="H1483" s="2"/>
      <c r="I1483" s="2"/>
      <c r="J1483" s="67"/>
    </row>
    <row r="1484" spans="1:10" x14ac:dyDescent="0.35">
      <c r="A1484" s="61">
        <v>1480</v>
      </c>
      <c r="B1484" s="2"/>
      <c r="C1484" s="2"/>
      <c r="D1484" s="2"/>
      <c r="E1484" s="10"/>
      <c r="F1484" s="11"/>
      <c r="G1484" s="2"/>
      <c r="H1484" s="2"/>
      <c r="I1484" s="2"/>
      <c r="J1484" s="67"/>
    </row>
    <row r="1485" spans="1:10" x14ac:dyDescent="0.35">
      <c r="A1485" s="61">
        <v>1481</v>
      </c>
      <c r="B1485" s="2"/>
      <c r="C1485" s="2"/>
      <c r="D1485" s="2"/>
      <c r="E1485" s="10"/>
      <c r="F1485" s="11"/>
      <c r="G1485" s="2"/>
      <c r="H1485" s="2"/>
      <c r="I1485" s="2"/>
      <c r="J1485" s="67"/>
    </row>
    <row r="1486" spans="1:10" x14ac:dyDescent="0.35">
      <c r="A1486" s="61">
        <v>1482</v>
      </c>
      <c r="B1486" s="2"/>
      <c r="C1486" s="2"/>
      <c r="D1486" s="2"/>
      <c r="E1486" s="10"/>
      <c r="F1486" s="11"/>
      <c r="G1486" s="2"/>
      <c r="H1486" s="2"/>
      <c r="I1486" s="2"/>
      <c r="J1486" s="67"/>
    </row>
    <row r="1487" spans="1:10" x14ac:dyDescent="0.35">
      <c r="A1487" s="61">
        <v>1483</v>
      </c>
      <c r="B1487" s="2"/>
      <c r="C1487" s="2"/>
      <c r="D1487" s="2"/>
      <c r="E1487" s="10"/>
      <c r="F1487" s="11"/>
      <c r="G1487" s="2"/>
      <c r="H1487" s="2"/>
      <c r="I1487" s="2"/>
      <c r="J1487" s="67"/>
    </row>
    <row r="1488" spans="1:10" x14ac:dyDescent="0.35">
      <c r="A1488" s="61">
        <v>1484</v>
      </c>
      <c r="B1488" s="2"/>
      <c r="C1488" s="2"/>
      <c r="D1488" s="2"/>
      <c r="E1488" s="10"/>
      <c r="F1488" s="11"/>
      <c r="G1488" s="2"/>
      <c r="H1488" s="2"/>
      <c r="I1488" s="2"/>
      <c r="J1488" s="67"/>
    </row>
    <row r="1489" spans="1:10" x14ac:dyDescent="0.35">
      <c r="A1489" s="61">
        <v>1485</v>
      </c>
      <c r="B1489" s="2"/>
      <c r="C1489" s="2"/>
      <c r="D1489" s="2"/>
      <c r="E1489" s="10"/>
      <c r="F1489" s="11"/>
      <c r="G1489" s="2"/>
      <c r="H1489" s="2"/>
      <c r="I1489" s="2"/>
      <c r="J1489" s="67"/>
    </row>
    <row r="1490" spans="1:10" x14ac:dyDescent="0.35">
      <c r="A1490" s="61">
        <v>1486</v>
      </c>
      <c r="B1490" s="2"/>
      <c r="C1490" s="2"/>
      <c r="D1490" s="2"/>
      <c r="E1490" s="10"/>
      <c r="F1490" s="11"/>
      <c r="G1490" s="2"/>
      <c r="H1490" s="2"/>
      <c r="I1490" s="2"/>
      <c r="J1490" s="67"/>
    </row>
    <row r="1491" spans="1:10" x14ac:dyDescent="0.35">
      <c r="A1491" s="61">
        <v>1487</v>
      </c>
      <c r="B1491" s="2"/>
      <c r="C1491" s="2"/>
      <c r="D1491" s="2"/>
      <c r="E1491" s="10"/>
      <c r="F1491" s="11"/>
      <c r="G1491" s="2"/>
      <c r="H1491" s="2"/>
      <c r="I1491" s="2"/>
      <c r="J1491" s="67"/>
    </row>
    <row r="1492" spans="1:10" x14ac:dyDescent="0.35">
      <c r="A1492" s="61">
        <v>1488</v>
      </c>
      <c r="B1492" s="2"/>
      <c r="C1492" s="2"/>
      <c r="D1492" s="2"/>
      <c r="E1492" s="10"/>
      <c r="F1492" s="11"/>
      <c r="G1492" s="2"/>
      <c r="H1492" s="2"/>
      <c r="I1492" s="2"/>
      <c r="J1492" s="67"/>
    </row>
    <row r="1493" spans="1:10" x14ac:dyDescent="0.35">
      <c r="A1493" s="61">
        <v>1489</v>
      </c>
      <c r="B1493" s="2"/>
      <c r="C1493" s="2"/>
      <c r="D1493" s="2"/>
      <c r="E1493" s="10"/>
      <c r="F1493" s="11"/>
      <c r="G1493" s="2"/>
      <c r="H1493" s="2"/>
      <c r="I1493" s="2"/>
      <c r="J1493" s="67"/>
    </row>
    <row r="1494" spans="1:10" x14ac:dyDescent="0.35">
      <c r="A1494" s="61">
        <v>1490</v>
      </c>
      <c r="B1494" s="2"/>
      <c r="C1494" s="2"/>
      <c r="D1494" s="2"/>
      <c r="E1494" s="10"/>
      <c r="F1494" s="11"/>
      <c r="G1494" s="2"/>
      <c r="H1494" s="2"/>
      <c r="I1494" s="2"/>
      <c r="J1494" s="67"/>
    </row>
    <row r="1495" spans="1:10" x14ac:dyDescent="0.35">
      <c r="A1495" s="61">
        <v>1491</v>
      </c>
      <c r="B1495" s="2"/>
      <c r="C1495" s="2"/>
      <c r="D1495" s="2"/>
      <c r="E1495" s="10"/>
      <c r="F1495" s="11"/>
      <c r="G1495" s="2"/>
      <c r="H1495" s="2"/>
      <c r="I1495" s="2"/>
      <c r="J1495" s="67"/>
    </row>
    <row r="1496" spans="1:10" x14ac:dyDescent="0.35">
      <c r="A1496" s="61">
        <v>1492</v>
      </c>
      <c r="B1496" s="2"/>
      <c r="C1496" s="2"/>
      <c r="D1496" s="2"/>
      <c r="E1496" s="10"/>
      <c r="F1496" s="11"/>
      <c r="G1496" s="2"/>
      <c r="H1496" s="2"/>
      <c r="I1496" s="2"/>
      <c r="J1496" s="67"/>
    </row>
    <row r="1497" spans="1:10" x14ac:dyDescent="0.35">
      <c r="A1497" s="61">
        <v>1493</v>
      </c>
      <c r="B1497" s="2"/>
      <c r="C1497" s="2"/>
      <c r="D1497" s="2"/>
      <c r="E1497" s="10"/>
      <c r="F1497" s="11"/>
      <c r="G1497" s="2"/>
      <c r="H1497" s="2"/>
      <c r="I1497" s="2"/>
      <c r="J1497" s="67"/>
    </row>
    <row r="1498" spans="1:10" x14ac:dyDescent="0.35">
      <c r="A1498" s="61">
        <v>1494</v>
      </c>
      <c r="B1498" s="2"/>
      <c r="C1498" s="2"/>
      <c r="D1498" s="2"/>
      <c r="E1498" s="10"/>
      <c r="F1498" s="11"/>
      <c r="G1498" s="2"/>
      <c r="H1498" s="2"/>
      <c r="I1498" s="2"/>
      <c r="J1498" s="67"/>
    </row>
    <row r="1499" spans="1:10" x14ac:dyDescent="0.35">
      <c r="A1499" s="61">
        <v>1495</v>
      </c>
      <c r="B1499" s="2"/>
      <c r="C1499" s="2"/>
      <c r="D1499" s="2"/>
      <c r="E1499" s="10"/>
      <c r="F1499" s="11"/>
      <c r="G1499" s="2"/>
      <c r="H1499" s="2"/>
      <c r="I1499" s="2"/>
      <c r="J1499" s="67"/>
    </row>
    <row r="1500" spans="1:10" x14ac:dyDescent="0.35">
      <c r="A1500" s="61">
        <v>1496</v>
      </c>
      <c r="B1500" s="2"/>
      <c r="C1500" s="2"/>
      <c r="D1500" s="2"/>
      <c r="E1500" s="10"/>
      <c r="F1500" s="11"/>
      <c r="G1500" s="2"/>
      <c r="H1500" s="2"/>
      <c r="I1500" s="2"/>
      <c r="J1500" s="67"/>
    </row>
    <row r="1501" spans="1:10" x14ac:dyDescent="0.35">
      <c r="A1501" s="61">
        <v>1497</v>
      </c>
      <c r="B1501" s="2"/>
      <c r="C1501" s="2"/>
      <c r="D1501" s="2"/>
      <c r="E1501" s="10"/>
      <c r="F1501" s="11"/>
      <c r="G1501" s="2"/>
      <c r="H1501" s="2"/>
      <c r="I1501" s="2"/>
      <c r="J1501" s="67"/>
    </row>
    <row r="1502" spans="1:10" x14ac:dyDescent="0.35">
      <c r="A1502" s="61">
        <v>1498</v>
      </c>
      <c r="B1502" s="2"/>
      <c r="C1502" s="2"/>
      <c r="D1502" s="2"/>
      <c r="E1502" s="10"/>
      <c r="F1502" s="11"/>
      <c r="G1502" s="2"/>
      <c r="H1502" s="2"/>
      <c r="I1502" s="2"/>
      <c r="J1502" s="67"/>
    </row>
    <row r="1503" spans="1:10" x14ac:dyDescent="0.35">
      <c r="A1503" s="61">
        <v>1499</v>
      </c>
      <c r="B1503" s="2"/>
      <c r="C1503" s="2"/>
      <c r="D1503" s="2"/>
      <c r="E1503" s="10"/>
      <c r="F1503" s="11"/>
      <c r="G1503" s="2"/>
      <c r="H1503" s="2"/>
      <c r="I1503" s="2"/>
      <c r="J1503" s="67"/>
    </row>
    <row r="1504" spans="1:10" x14ac:dyDescent="0.35">
      <c r="A1504" s="61">
        <v>1500</v>
      </c>
      <c r="B1504" s="2"/>
      <c r="C1504" s="2"/>
      <c r="D1504" s="2"/>
      <c r="E1504" s="10"/>
      <c r="F1504" s="11"/>
      <c r="G1504" s="2"/>
      <c r="H1504" s="2"/>
      <c r="I1504" s="2"/>
      <c r="J1504" s="67"/>
    </row>
    <row r="1505" spans="1:10" x14ac:dyDescent="0.35">
      <c r="A1505" s="61">
        <v>1501</v>
      </c>
      <c r="B1505" s="2"/>
      <c r="C1505" s="2"/>
      <c r="D1505" s="2"/>
      <c r="E1505" s="10"/>
      <c r="F1505" s="11"/>
      <c r="G1505" s="2"/>
      <c r="H1505" s="2"/>
      <c r="I1505" s="2"/>
      <c r="J1505" s="67"/>
    </row>
    <row r="1506" spans="1:10" x14ac:dyDescent="0.35">
      <c r="A1506" s="61">
        <v>1502</v>
      </c>
      <c r="B1506" s="2"/>
      <c r="C1506" s="2"/>
      <c r="D1506" s="2"/>
      <c r="E1506" s="10"/>
      <c r="F1506" s="11"/>
      <c r="G1506" s="2"/>
      <c r="H1506" s="2"/>
      <c r="I1506" s="2"/>
      <c r="J1506" s="67"/>
    </row>
    <row r="1507" spans="1:10" x14ac:dyDescent="0.35">
      <c r="A1507" s="61">
        <v>1503</v>
      </c>
      <c r="B1507" s="2"/>
      <c r="C1507" s="2"/>
      <c r="D1507" s="2"/>
      <c r="E1507" s="10"/>
      <c r="F1507" s="11"/>
      <c r="G1507" s="2"/>
      <c r="H1507" s="2"/>
      <c r="I1507" s="2"/>
      <c r="J1507" s="67"/>
    </row>
    <row r="1508" spans="1:10" x14ac:dyDescent="0.35">
      <c r="A1508" s="61">
        <v>1504</v>
      </c>
      <c r="B1508" s="2"/>
      <c r="C1508" s="2"/>
      <c r="D1508" s="2"/>
      <c r="E1508" s="10"/>
      <c r="F1508" s="11"/>
      <c r="G1508" s="2"/>
      <c r="H1508" s="2"/>
      <c r="I1508" s="2"/>
      <c r="J1508" s="67"/>
    </row>
    <row r="1509" spans="1:10" x14ac:dyDescent="0.35">
      <c r="A1509" s="61">
        <v>1505</v>
      </c>
      <c r="B1509" s="2"/>
      <c r="C1509" s="2"/>
      <c r="D1509" s="2"/>
      <c r="E1509" s="10"/>
      <c r="F1509" s="11"/>
      <c r="G1509" s="2"/>
      <c r="H1509" s="2"/>
      <c r="I1509" s="2"/>
      <c r="J1509" s="67"/>
    </row>
    <row r="1510" spans="1:10" x14ac:dyDescent="0.35">
      <c r="A1510" s="61">
        <v>1506</v>
      </c>
      <c r="B1510" s="2"/>
      <c r="C1510" s="2"/>
      <c r="D1510" s="2"/>
      <c r="E1510" s="10"/>
      <c r="F1510" s="11"/>
      <c r="G1510" s="2"/>
      <c r="H1510" s="2"/>
      <c r="I1510" s="2"/>
      <c r="J1510" s="67"/>
    </row>
    <row r="1511" spans="1:10" x14ac:dyDescent="0.35">
      <c r="A1511" s="61">
        <v>1507</v>
      </c>
      <c r="B1511" s="2"/>
      <c r="C1511" s="2"/>
      <c r="D1511" s="2"/>
      <c r="E1511" s="10"/>
      <c r="F1511" s="11"/>
      <c r="G1511" s="2"/>
      <c r="H1511" s="2"/>
      <c r="I1511" s="2"/>
      <c r="J1511" s="67"/>
    </row>
    <row r="1512" spans="1:10" x14ac:dyDescent="0.35">
      <c r="A1512" s="61">
        <v>1508</v>
      </c>
      <c r="B1512" s="2"/>
      <c r="C1512" s="2"/>
      <c r="D1512" s="2"/>
      <c r="E1512" s="10"/>
      <c r="F1512" s="11"/>
      <c r="G1512" s="2"/>
      <c r="H1512" s="2"/>
      <c r="I1512" s="2"/>
      <c r="J1512" s="67"/>
    </row>
    <row r="1513" spans="1:10" x14ac:dyDescent="0.35">
      <c r="A1513" s="61">
        <v>1509</v>
      </c>
      <c r="B1513" s="2"/>
      <c r="C1513" s="2"/>
      <c r="D1513" s="2"/>
      <c r="E1513" s="10"/>
      <c r="F1513" s="11"/>
      <c r="G1513" s="2"/>
      <c r="H1513" s="2"/>
      <c r="I1513" s="2"/>
      <c r="J1513" s="67"/>
    </row>
    <row r="1514" spans="1:10" x14ac:dyDescent="0.35">
      <c r="A1514" s="61">
        <v>1510</v>
      </c>
      <c r="B1514" s="2"/>
      <c r="C1514" s="2"/>
      <c r="D1514" s="2"/>
      <c r="E1514" s="10"/>
      <c r="F1514" s="11"/>
      <c r="G1514" s="2"/>
      <c r="H1514" s="2"/>
      <c r="I1514" s="2"/>
      <c r="J1514" s="67"/>
    </row>
    <row r="1515" spans="1:10" x14ac:dyDescent="0.35">
      <c r="A1515" s="61">
        <v>1511</v>
      </c>
      <c r="B1515" s="2"/>
      <c r="C1515" s="2"/>
      <c r="D1515" s="2"/>
      <c r="E1515" s="10"/>
      <c r="F1515" s="11"/>
      <c r="G1515" s="2"/>
      <c r="H1515" s="2"/>
      <c r="I1515" s="2"/>
      <c r="J1515" s="67"/>
    </row>
    <row r="1516" spans="1:10" x14ac:dyDescent="0.35">
      <c r="A1516" s="61">
        <v>1512</v>
      </c>
      <c r="B1516" s="2"/>
      <c r="C1516" s="2"/>
      <c r="D1516" s="2"/>
      <c r="E1516" s="10"/>
      <c r="F1516" s="11"/>
      <c r="G1516" s="2"/>
      <c r="H1516" s="2"/>
      <c r="I1516" s="2"/>
      <c r="J1516" s="67"/>
    </row>
    <row r="1517" spans="1:10" x14ac:dyDescent="0.35">
      <c r="A1517" s="61">
        <v>1513</v>
      </c>
      <c r="B1517" s="2"/>
      <c r="C1517" s="2"/>
      <c r="D1517" s="2"/>
      <c r="E1517" s="10"/>
      <c r="F1517" s="11"/>
      <c r="G1517" s="2"/>
      <c r="H1517" s="2"/>
      <c r="I1517" s="2"/>
      <c r="J1517" s="67"/>
    </row>
    <row r="1518" spans="1:10" x14ac:dyDescent="0.35">
      <c r="A1518" s="61">
        <v>1514</v>
      </c>
      <c r="B1518" s="2"/>
      <c r="C1518" s="2"/>
      <c r="D1518" s="2"/>
      <c r="E1518" s="10"/>
      <c r="F1518" s="11"/>
      <c r="G1518" s="2"/>
      <c r="H1518" s="2"/>
      <c r="I1518" s="2"/>
      <c r="J1518" s="67"/>
    </row>
    <row r="1519" spans="1:10" x14ac:dyDescent="0.35">
      <c r="A1519" s="61">
        <v>1515</v>
      </c>
      <c r="B1519" s="2"/>
      <c r="C1519" s="2"/>
      <c r="D1519" s="2"/>
      <c r="E1519" s="10"/>
      <c r="F1519" s="11"/>
      <c r="G1519" s="2"/>
      <c r="H1519" s="2"/>
      <c r="I1519" s="2"/>
      <c r="J1519" s="67"/>
    </row>
    <row r="1520" spans="1:10" x14ac:dyDescent="0.35">
      <c r="A1520" s="61">
        <v>1516</v>
      </c>
      <c r="B1520" s="2"/>
      <c r="C1520" s="2"/>
      <c r="D1520" s="2"/>
      <c r="E1520" s="10"/>
      <c r="F1520" s="11"/>
      <c r="G1520" s="2"/>
      <c r="H1520" s="2"/>
      <c r="I1520" s="2"/>
      <c r="J1520" s="67"/>
    </row>
    <row r="1521" spans="1:10" x14ac:dyDescent="0.35">
      <c r="A1521" s="61">
        <v>1517</v>
      </c>
      <c r="B1521" s="2"/>
      <c r="C1521" s="2"/>
      <c r="D1521" s="2"/>
      <c r="E1521" s="10"/>
      <c r="F1521" s="11"/>
      <c r="G1521" s="2"/>
      <c r="H1521" s="2"/>
      <c r="I1521" s="2"/>
      <c r="J1521" s="67"/>
    </row>
    <row r="1522" spans="1:10" x14ac:dyDescent="0.35">
      <c r="A1522" s="61">
        <v>1518</v>
      </c>
      <c r="B1522" s="2"/>
      <c r="C1522" s="2"/>
      <c r="D1522" s="2"/>
      <c r="E1522" s="10"/>
      <c r="F1522" s="11"/>
      <c r="G1522" s="2"/>
      <c r="H1522" s="2"/>
      <c r="I1522" s="2"/>
      <c r="J1522" s="67"/>
    </row>
    <row r="1523" spans="1:10" x14ac:dyDescent="0.35">
      <c r="A1523" s="61">
        <v>1519</v>
      </c>
      <c r="B1523" s="2"/>
      <c r="C1523" s="2"/>
      <c r="D1523" s="2"/>
      <c r="E1523" s="10"/>
      <c r="F1523" s="11"/>
      <c r="G1523" s="2"/>
      <c r="H1523" s="2"/>
      <c r="I1523" s="2"/>
      <c r="J1523" s="67"/>
    </row>
    <row r="1524" spans="1:10" x14ac:dyDescent="0.35">
      <c r="A1524" s="61">
        <v>1520</v>
      </c>
      <c r="B1524" s="2"/>
      <c r="C1524" s="2"/>
      <c r="D1524" s="2"/>
      <c r="E1524" s="10"/>
      <c r="F1524" s="11"/>
      <c r="G1524" s="2"/>
      <c r="H1524" s="2"/>
      <c r="I1524" s="2"/>
      <c r="J1524" s="67"/>
    </row>
    <row r="1525" spans="1:10" x14ac:dyDescent="0.35">
      <c r="A1525" s="61">
        <v>1521</v>
      </c>
      <c r="B1525" s="2"/>
      <c r="C1525" s="2"/>
      <c r="D1525" s="2"/>
      <c r="E1525" s="10"/>
      <c r="F1525" s="11"/>
      <c r="G1525" s="2"/>
      <c r="H1525" s="2"/>
      <c r="I1525" s="2"/>
      <c r="J1525" s="67"/>
    </row>
    <row r="1526" spans="1:10" x14ac:dyDescent="0.35">
      <c r="A1526" s="61">
        <v>1522</v>
      </c>
      <c r="B1526" s="2"/>
      <c r="C1526" s="2"/>
      <c r="D1526" s="2"/>
      <c r="E1526" s="10"/>
      <c r="F1526" s="11"/>
      <c r="G1526" s="2"/>
      <c r="H1526" s="2"/>
      <c r="I1526" s="2"/>
      <c r="J1526" s="67"/>
    </row>
    <row r="1527" spans="1:10" x14ac:dyDescent="0.35">
      <c r="A1527" s="61">
        <v>1523</v>
      </c>
      <c r="B1527" s="2"/>
      <c r="C1527" s="2"/>
      <c r="D1527" s="2"/>
      <c r="E1527" s="10"/>
      <c r="F1527" s="11"/>
      <c r="G1527" s="2"/>
      <c r="H1527" s="2"/>
      <c r="I1527" s="2"/>
      <c r="J1527" s="67"/>
    </row>
    <row r="1528" spans="1:10" x14ac:dyDescent="0.35">
      <c r="A1528" s="61">
        <v>1524</v>
      </c>
      <c r="B1528" s="2"/>
      <c r="C1528" s="2"/>
      <c r="D1528" s="2"/>
      <c r="E1528" s="10"/>
      <c r="F1528" s="11"/>
      <c r="G1528" s="2"/>
      <c r="H1528" s="2"/>
      <c r="I1528" s="2"/>
      <c r="J1528" s="67"/>
    </row>
    <row r="1529" spans="1:10" x14ac:dyDescent="0.35">
      <c r="A1529" s="61">
        <v>1525</v>
      </c>
      <c r="B1529" s="2"/>
      <c r="C1529" s="2"/>
      <c r="D1529" s="2"/>
      <c r="E1529" s="10"/>
      <c r="F1529" s="11"/>
      <c r="G1529" s="2"/>
      <c r="H1529" s="2"/>
      <c r="I1529" s="2"/>
      <c r="J1529" s="67"/>
    </row>
    <row r="1530" spans="1:10" x14ac:dyDescent="0.35">
      <c r="A1530" s="61">
        <v>1526</v>
      </c>
      <c r="B1530" s="2"/>
      <c r="C1530" s="2"/>
      <c r="D1530" s="2"/>
      <c r="E1530" s="10"/>
      <c r="F1530" s="11"/>
      <c r="G1530" s="2"/>
      <c r="H1530" s="2"/>
      <c r="I1530" s="2"/>
      <c r="J1530" s="67"/>
    </row>
    <row r="1531" spans="1:10" x14ac:dyDescent="0.35">
      <c r="A1531" s="61">
        <v>1527</v>
      </c>
      <c r="B1531" s="2"/>
      <c r="C1531" s="2"/>
      <c r="D1531" s="2"/>
      <c r="E1531" s="10"/>
      <c r="F1531" s="11"/>
      <c r="G1531" s="2"/>
      <c r="H1531" s="2"/>
      <c r="I1531" s="2"/>
      <c r="J1531" s="67"/>
    </row>
    <row r="1532" spans="1:10" x14ac:dyDescent="0.35">
      <c r="A1532" s="61">
        <v>1528</v>
      </c>
      <c r="B1532" s="2"/>
      <c r="C1532" s="2"/>
      <c r="D1532" s="2"/>
      <c r="E1532" s="10"/>
      <c r="F1532" s="11"/>
      <c r="G1532" s="2"/>
      <c r="H1532" s="2"/>
      <c r="I1532" s="2"/>
      <c r="J1532" s="67"/>
    </row>
    <row r="1533" spans="1:10" x14ac:dyDescent="0.35">
      <c r="A1533" s="61">
        <v>1529</v>
      </c>
      <c r="B1533" s="2"/>
      <c r="C1533" s="2"/>
      <c r="D1533" s="2"/>
      <c r="E1533" s="10"/>
      <c r="F1533" s="11"/>
      <c r="G1533" s="2"/>
      <c r="H1533" s="2"/>
      <c r="I1533" s="2"/>
      <c r="J1533" s="67"/>
    </row>
    <row r="1534" spans="1:10" x14ac:dyDescent="0.35">
      <c r="A1534" s="61">
        <v>1530</v>
      </c>
      <c r="B1534" s="2"/>
      <c r="C1534" s="2"/>
      <c r="D1534" s="2"/>
      <c r="E1534" s="10"/>
      <c r="F1534" s="11"/>
      <c r="G1534" s="2"/>
      <c r="H1534" s="2"/>
      <c r="I1534" s="2"/>
      <c r="J1534" s="67"/>
    </row>
    <row r="1535" spans="1:10" x14ac:dyDescent="0.35">
      <c r="A1535" s="61">
        <v>1531</v>
      </c>
      <c r="B1535" s="2"/>
      <c r="C1535" s="2"/>
      <c r="D1535" s="2"/>
      <c r="E1535" s="10"/>
      <c r="F1535" s="11"/>
      <c r="G1535" s="2"/>
      <c r="H1535" s="2"/>
      <c r="I1535" s="2"/>
      <c r="J1535" s="67"/>
    </row>
    <row r="1536" spans="1:10" x14ac:dyDescent="0.35">
      <c r="A1536" s="61">
        <v>1532</v>
      </c>
      <c r="B1536" s="2"/>
      <c r="C1536" s="2"/>
      <c r="D1536" s="2"/>
      <c r="E1536" s="10"/>
      <c r="F1536" s="11"/>
      <c r="G1536" s="2"/>
      <c r="H1536" s="2"/>
      <c r="I1536" s="2"/>
      <c r="J1536" s="67"/>
    </row>
    <row r="1537" spans="1:10" x14ac:dyDescent="0.35">
      <c r="A1537" s="61">
        <v>1533</v>
      </c>
      <c r="B1537" s="2"/>
      <c r="C1537" s="2"/>
      <c r="D1537" s="2"/>
      <c r="E1537" s="10"/>
      <c r="F1537" s="11"/>
      <c r="G1537" s="2"/>
      <c r="H1537" s="2"/>
      <c r="I1537" s="2"/>
      <c r="J1537" s="67"/>
    </row>
    <row r="1538" spans="1:10" x14ac:dyDescent="0.35">
      <c r="A1538" s="61">
        <v>1534</v>
      </c>
      <c r="B1538" s="2"/>
      <c r="C1538" s="2"/>
      <c r="D1538" s="2"/>
      <c r="E1538" s="10"/>
      <c r="F1538" s="11"/>
      <c r="G1538" s="2"/>
      <c r="H1538" s="2"/>
      <c r="I1538" s="2"/>
      <c r="J1538" s="67"/>
    </row>
    <row r="1539" spans="1:10" x14ac:dyDescent="0.35">
      <c r="A1539" s="61">
        <v>1535</v>
      </c>
      <c r="B1539" s="2"/>
      <c r="C1539" s="2"/>
      <c r="D1539" s="2"/>
      <c r="E1539" s="10"/>
      <c r="F1539" s="11"/>
      <c r="G1539" s="2"/>
      <c r="H1539" s="2"/>
      <c r="I1539" s="2"/>
      <c r="J1539" s="67"/>
    </row>
    <row r="1540" spans="1:10" x14ac:dyDescent="0.35">
      <c r="A1540" s="61">
        <v>1536</v>
      </c>
      <c r="B1540" s="2"/>
      <c r="C1540" s="2"/>
      <c r="D1540" s="2"/>
      <c r="E1540" s="10"/>
      <c r="F1540" s="11"/>
      <c r="G1540" s="2"/>
      <c r="H1540" s="2"/>
      <c r="I1540" s="2"/>
      <c r="J1540" s="67"/>
    </row>
    <row r="1541" spans="1:10" x14ac:dyDescent="0.35">
      <c r="A1541" s="61">
        <v>1537</v>
      </c>
      <c r="B1541" s="2"/>
      <c r="C1541" s="2"/>
      <c r="D1541" s="2"/>
      <c r="E1541" s="10"/>
      <c r="F1541" s="11"/>
      <c r="G1541" s="2"/>
      <c r="H1541" s="2"/>
      <c r="I1541" s="2"/>
      <c r="J1541" s="67"/>
    </row>
    <row r="1542" spans="1:10" x14ac:dyDescent="0.35">
      <c r="A1542" s="61">
        <v>1538</v>
      </c>
      <c r="B1542" s="2"/>
      <c r="C1542" s="2"/>
      <c r="D1542" s="2"/>
      <c r="E1542" s="10"/>
      <c r="F1542" s="11"/>
      <c r="G1542" s="2"/>
      <c r="H1542" s="2"/>
      <c r="I1542" s="2"/>
      <c r="J1542" s="67"/>
    </row>
    <row r="1543" spans="1:10" x14ac:dyDescent="0.35">
      <c r="A1543" s="61">
        <v>1539</v>
      </c>
      <c r="B1543" s="2"/>
      <c r="C1543" s="2"/>
      <c r="D1543" s="2"/>
      <c r="E1543" s="10"/>
      <c r="F1543" s="11"/>
      <c r="G1543" s="2"/>
      <c r="H1543" s="2"/>
      <c r="I1543" s="2"/>
      <c r="J1543" s="67"/>
    </row>
    <row r="1544" spans="1:10" x14ac:dyDescent="0.35">
      <c r="A1544" s="61">
        <v>1540</v>
      </c>
      <c r="B1544" s="2"/>
      <c r="C1544" s="2"/>
      <c r="D1544" s="2"/>
      <c r="E1544" s="10"/>
      <c r="F1544" s="11"/>
      <c r="G1544" s="2"/>
      <c r="H1544" s="2"/>
      <c r="I1544" s="2"/>
      <c r="J1544" s="67"/>
    </row>
    <row r="1545" spans="1:10" x14ac:dyDescent="0.35">
      <c r="A1545" s="61">
        <v>1541</v>
      </c>
      <c r="B1545" s="2"/>
      <c r="C1545" s="2"/>
      <c r="D1545" s="2"/>
      <c r="E1545" s="10"/>
      <c r="F1545" s="11"/>
      <c r="G1545" s="2"/>
      <c r="H1545" s="2"/>
      <c r="I1545" s="2"/>
      <c r="J1545" s="67"/>
    </row>
    <row r="1546" spans="1:10" x14ac:dyDescent="0.35">
      <c r="A1546" s="61">
        <v>1542</v>
      </c>
      <c r="B1546" s="2"/>
      <c r="C1546" s="2"/>
      <c r="D1546" s="2"/>
      <c r="E1546" s="10"/>
      <c r="F1546" s="11"/>
      <c r="G1546" s="2"/>
      <c r="H1546" s="2"/>
      <c r="I1546" s="2"/>
      <c r="J1546" s="67"/>
    </row>
    <row r="1547" spans="1:10" x14ac:dyDescent="0.35">
      <c r="A1547" s="61">
        <v>1543</v>
      </c>
      <c r="B1547" s="2"/>
      <c r="C1547" s="2"/>
      <c r="D1547" s="2"/>
      <c r="E1547" s="10"/>
      <c r="F1547" s="11"/>
      <c r="G1547" s="2"/>
      <c r="H1547" s="2"/>
      <c r="I1547" s="2"/>
      <c r="J1547" s="67"/>
    </row>
    <row r="1548" spans="1:10" x14ac:dyDescent="0.35">
      <c r="A1548" s="61">
        <v>1544</v>
      </c>
      <c r="B1548" s="2"/>
      <c r="C1548" s="2"/>
      <c r="D1548" s="2"/>
      <c r="E1548" s="10"/>
      <c r="F1548" s="11"/>
      <c r="G1548" s="2"/>
      <c r="H1548" s="2"/>
      <c r="I1548" s="2"/>
      <c r="J1548" s="67"/>
    </row>
    <row r="1549" spans="1:10" x14ac:dyDescent="0.35">
      <c r="A1549" s="61">
        <v>1545</v>
      </c>
      <c r="B1549" s="2"/>
      <c r="C1549" s="2"/>
      <c r="D1549" s="2"/>
      <c r="E1549" s="10"/>
      <c r="F1549" s="11"/>
      <c r="G1549" s="2"/>
      <c r="H1549" s="2"/>
      <c r="I1549" s="2"/>
      <c r="J1549" s="67"/>
    </row>
    <row r="1550" spans="1:10" x14ac:dyDescent="0.35">
      <c r="A1550" s="61">
        <v>1546</v>
      </c>
      <c r="B1550" s="2"/>
      <c r="C1550" s="2"/>
      <c r="D1550" s="2"/>
      <c r="E1550" s="10"/>
      <c r="F1550" s="11"/>
      <c r="G1550" s="2"/>
      <c r="H1550" s="2"/>
      <c r="I1550" s="2"/>
      <c r="J1550" s="67"/>
    </row>
    <row r="1551" spans="1:10" x14ac:dyDescent="0.35">
      <c r="A1551" s="61">
        <v>1547</v>
      </c>
      <c r="B1551" s="2"/>
      <c r="C1551" s="2"/>
      <c r="D1551" s="2"/>
      <c r="E1551" s="10"/>
      <c r="F1551" s="11"/>
      <c r="G1551" s="2"/>
      <c r="H1551" s="2"/>
      <c r="I1551" s="2"/>
      <c r="J1551" s="67"/>
    </row>
    <row r="1552" spans="1:10" x14ac:dyDescent="0.35">
      <c r="A1552" s="61">
        <v>1548</v>
      </c>
      <c r="B1552" s="2"/>
      <c r="C1552" s="2"/>
      <c r="D1552" s="2"/>
      <c r="E1552" s="10"/>
      <c r="F1552" s="11"/>
      <c r="G1552" s="2"/>
      <c r="H1552" s="2"/>
      <c r="I1552" s="2"/>
      <c r="J1552" s="67"/>
    </row>
    <row r="1553" spans="1:10" x14ac:dyDescent="0.35">
      <c r="A1553" s="61">
        <v>1549</v>
      </c>
      <c r="B1553" s="2"/>
      <c r="C1553" s="2"/>
      <c r="D1553" s="2"/>
      <c r="E1553" s="10"/>
      <c r="F1553" s="11"/>
      <c r="G1553" s="2"/>
      <c r="H1553" s="2"/>
      <c r="I1553" s="2"/>
      <c r="J1553" s="67"/>
    </row>
    <row r="1554" spans="1:10" x14ac:dyDescent="0.35">
      <c r="A1554" s="61">
        <v>1550</v>
      </c>
      <c r="B1554" s="2"/>
      <c r="C1554" s="2"/>
      <c r="D1554" s="2"/>
      <c r="E1554" s="10"/>
      <c r="F1554" s="11"/>
      <c r="G1554" s="2"/>
      <c r="H1554" s="2"/>
      <c r="I1554" s="2"/>
      <c r="J1554" s="67"/>
    </row>
    <row r="1555" spans="1:10" x14ac:dyDescent="0.35">
      <c r="A1555" s="61">
        <v>1551</v>
      </c>
      <c r="B1555" s="2"/>
      <c r="C1555" s="2"/>
      <c r="D1555" s="2"/>
      <c r="E1555" s="10"/>
      <c r="F1555" s="11"/>
      <c r="G1555" s="2"/>
      <c r="H1555" s="2"/>
      <c r="I1555" s="2"/>
      <c r="J1555" s="67"/>
    </row>
    <row r="1556" spans="1:10" x14ac:dyDescent="0.35">
      <c r="A1556" s="61">
        <v>1552</v>
      </c>
      <c r="B1556" s="2"/>
      <c r="C1556" s="2"/>
      <c r="D1556" s="2"/>
      <c r="E1556" s="10"/>
      <c r="F1556" s="11"/>
      <c r="G1556" s="2"/>
      <c r="H1556" s="2"/>
      <c r="I1556" s="2"/>
      <c r="J1556" s="67"/>
    </row>
    <row r="1557" spans="1:10" x14ac:dyDescent="0.35">
      <c r="A1557" s="61">
        <v>1553</v>
      </c>
      <c r="B1557" s="2"/>
      <c r="C1557" s="2"/>
      <c r="D1557" s="2"/>
      <c r="E1557" s="10"/>
      <c r="F1557" s="11"/>
      <c r="G1557" s="2"/>
      <c r="H1557" s="2"/>
      <c r="I1557" s="2"/>
      <c r="J1557" s="67"/>
    </row>
    <row r="1558" spans="1:10" x14ac:dyDescent="0.35">
      <c r="A1558" s="61">
        <v>1554</v>
      </c>
      <c r="B1558" s="2"/>
      <c r="C1558" s="2"/>
      <c r="D1558" s="2"/>
      <c r="E1558" s="10"/>
      <c r="F1558" s="11"/>
      <c r="G1558" s="2"/>
      <c r="H1558" s="2"/>
      <c r="I1558" s="2"/>
      <c r="J1558" s="67"/>
    </row>
    <row r="1559" spans="1:10" x14ac:dyDescent="0.35">
      <c r="A1559" s="61">
        <v>1555</v>
      </c>
      <c r="B1559" s="2"/>
      <c r="C1559" s="2"/>
      <c r="D1559" s="2"/>
      <c r="E1559" s="10"/>
      <c r="F1559" s="11"/>
      <c r="G1559" s="2"/>
      <c r="H1559" s="2"/>
      <c r="I1559" s="2"/>
      <c r="J1559" s="67"/>
    </row>
    <row r="1560" spans="1:10" x14ac:dyDescent="0.35">
      <c r="A1560" s="61">
        <v>1556</v>
      </c>
      <c r="B1560" s="2"/>
      <c r="C1560" s="2"/>
      <c r="D1560" s="2"/>
      <c r="E1560" s="10"/>
      <c r="F1560" s="11"/>
      <c r="G1560" s="2"/>
      <c r="H1560" s="2"/>
      <c r="I1560" s="2"/>
      <c r="J1560" s="67"/>
    </row>
    <row r="1561" spans="1:10" x14ac:dyDescent="0.35">
      <c r="A1561" s="61">
        <v>1557</v>
      </c>
      <c r="B1561" s="2"/>
      <c r="C1561" s="2"/>
      <c r="D1561" s="2"/>
      <c r="E1561" s="10"/>
      <c r="F1561" s="11"/>
      <c r="G1561" s="2"/>
      <c r="H1561" s="2"/>
      <c r="I1561" s="2"/>
      <c r="J1561" s="67"/>
    </row>
    <row r="1562" spans="1:10" x14ac:dyDescent="0.35">
      <c r="A1562" s="61">
        <v>1558</v>
      </c>
      <c r="B1562" s="2"/>
      <c r="C1562" s="2"/>
      <c r="D1562" s="2"/>
      <c r="E1562" s="10"/>
      <c r="F1562" s="11"/>
      <c r="G1562" s="2"/>
      <c r="H1562" s="2"/>
      <c r="I1562" s="2"/>
      <c r="J1562" s="67"/>
    </row>
    <row r="1563" spans="1:10" x14ac:dyDescent="0.35">
      <c r="A1563" s="61">
        <v>1559</v>
      </c>
      <c r="B1563" s="2"/>
      <c r="C1563" s="2"/>
      <c r="D1563" s="2"/>
      <c r="E1563" s="10"/>
      <c r="F1563" s="11"/>
      <c r="G1563" s="2"/>
      <c r="H1563" s="2"/>
      <c r="I1563" s="2"/>
      <c r="J1563" s="67"/>
    </row>
    <row r="1564" spans="1:10" x14ac:dyDescent="0.35">
      <c r="A1564" s="61">
        <v>1560</v>
      </c>
      <c r="B1564" s="2"/>
      <c r="C1564" s="2"/>
      <c r="D1564" s="2"/>
      <c r="E1564" s="10"/>
      <c r="F1564" s="11"/>
      <c r="G1564" s="2"/>
      <c r="H1564" s="2"/>
      <c r="I1564" s="2"/>
      <c r="J1564" s="67"/>
    </row>
    <row r="1565" spans="1:10" x14ac:dyDescent="0.35">
      <c r="A1565" s="61">
        <v>1561</v>
      </c>
      <c r="B1565" s="2"/>
      <c r="C1565" s="2"/>
      <c r="D1565" s="2"/>
      <c r="E1565" s="10"/>
      <c r="F1565" s="11"/>
      <c r="G1565" s="2"/>
      <c r="H1565" s="2"/>
      <c r="I1565" s="2"/>
      <c r="J1565" s="67"/>
    </row>
    <row r="1566" spans="1:10" x14ac:dyDescent="0.35">
      <c r="A1566" s="61">
        <v>1562</v>
      </c>
      <c r="B1566" s="2"/>
      <c r="C1566" s="2"/>
      <c r="D1566" s="2"/>
      <c r="E1566" s="10"/>
      <c r="F1566" s="11"/>
      <c r="G1566" s="2"/>
      <c r="H1566" s="2"/>
      <c r="I1566" s="2"/>
      <c r="J1566" s="67"/>
    </row>
    <row r="1567" spans="1:10" x14ac:dyDescent="0.35">
      <c r="A1567" s="61">
        <v>1563</v>
      </c>
      <c r="B1567" s="2"/>
      <c r="C1567" s="2"/>
      <c r="D1567" s="2"/>
      <c r="E1567" s="10"/>
      <c r="F1567" s="11"/>
      <c r="G1567" s="2"/>
      <c r="H1567" s="2"/>
      <c r="I1567" s="2"/>
      <c r="J1567" s="67"/>
    </row>
    <row r="1568" spans="1:10" x14ac:dyDescent="0.35">
      <c r="A1568" s="61">
        <v>1564</v>
      </c>
      <c r="B1568" s="2"/>
      <c r="C1568" s="2"/>
      <c r="D1568" s="2"/>
      <c r="E1568" s="10"/>
      <c r="F1568" s="11"/>
      <c r="G1568" s="2"/>
      <c r="H1568" s="2"/>
      <c r="I1568" s="2"/>
      <c r="J1568" s="67"/>
    </row>
    <row r="1569" spans="1:10" x14ac:dyDescent="0.35">
      <c r="A1569" s="61">
        <v>1565</v>
      </c>
      <c r="B1569" s="2"/>
      <c r="C1569" s="2"/>
      <c r="D1569" s="2"/>
      <c r="E1569" s="10"/>
      <c r="F1569" s="11"/>
      <c r="G1569" s="2"/>
      <c r="H1569" s="2"/>
      <c r="I1569" s="2"/>
      <c r="J1569" s="67"/>
    </row>
    <row r="1570" spans="1:10" x14ac:dyDescent="0.35">
      <c r="A1570" s="61">
        <v>1566</v>
      </c>
      <c r="B1570" s="2"/>
      <c r="C1570" s="2"/>
      <c r="D1570" s="2"/>
      <c r="E1570" s="10"/>
      <c r="F1570" s="11"/>
      <c r="G1570" s="2"/>
      <c r="H1570" s="2"/>
      <c r="I1570" s="2"/>
      <c r="J1570" s="67"/>
    </row>
    <row r="1571" spans="1:10" x14ac:dyDescent="0.35">
      <c r="A1571" s="61">
        <v>1567</v>
      </c>
      <c r="B1571" s="2"/>
      <c r="C1571" s="2"/>
      <c r="D1571" s="2"/>
      <c r="E1571" s="10"/>
      <c r="F1571" s="11"/>
      <c r="G1571" s="2"/>
      <c r="H1571" s="2"/>
      <c r="I1571" s="2"/>
      <c r="J1571" s="67"/>
    </row>
    <row r="1572" spans="1:10" x14ac:dyDescent="0.35">
      <c r="A1572" s="61">
        <v>1568</v>
      </c>
      <c r="B1572" s="2"/>
      <c r="C1572" s="2"/>
      <c r="D1572" s="2"/>
      <c r="E1572" s="10"/>
      <c r="F1572" s="11"/>
      <c r="G1572" s="2"/>
      <c r="H1572" s="2"/>
      <c r="I1572" s="2"/>
      <c r="J1572" s="67"/>
    </row>
    <row r="1573" spans="1:10" x14ac:dyDescent="0.35">
      <c r="A1573" s="61">
        <v>1569</v>
      </c>
      <c r="B1573" s="2"/>
      <c r="C1573" s="2"/>
      <c r="D1573" s="2"/>
      <c r="E1573" s="10"/>
      <c r="F1573" s="11"/>
      <c r="G1573" s="2"/>
      <c r="H1573" s="2"/>
      <c r="I1573" s="2"/>
      <c r="J1573" s="67"/>
    </row>
    <row r="1574" spans="1:10" x14ac:dyDescent="0.35">
      <c r="A1574" s="61">
        <v>1570</v>
      </c>
      <c r="B1574" s="2"/>
      <c r="C1574" s="2"/>
      <c r="D1574" s="2"/>
      <c r="E1574" s="10"/>
      <c r="F1574" s="11"/>
      <c r="G1574" s="2"/>
      <c r="H1574" s="2"/>
      <c r="I1574" s="2"/>
      <c r="J1574" s="67"/>
    </row>
    <row r="1575" spans="1:10" x14ac:dyDescent="0.35">
      <c r="A1575" s="61">
        <v>1571</v>
      </c>
      <c r="B1575" s="2"/>
      <c r="C1575" s="2"/>
      <c r="D1575" s="2"/>
      <c r="E1575" s="10"/>
      <c r="F1575" s="11"/>
      <c r="G1575" s="2"/>
      <c r="H1575" s="2"/>
      <c r="I1575" s="2"/>
      <c r="J1575" s="67"/>
    </row>
    <row r="1576" spans="1:10" x14ac:dyDescent="0.35">
      <c r="A1576" s="61">
        <v>1572</v>
      </c>
      <c r="B1576" s="2"/>
      <c r="C1576" s="2"/>
      <c r="D1576" s="2"/>
      <c r="E1576" s="10"/>
      <c r="F1576" s="11"/>
      <c r="G1576" s="2"/>
      <c r="H1576" s="2"/>
      <c r="I1576" s="2"/>
      <c r="J1576" s="67"/>
    </row>
    <row r="1577" spans="1:10" x14ac:dyDescent="0.35">
      <c r="A1577" s="61">
        <v>1573</v>
      </c>
      <c r="B1577" s="2"/>
      <c r="C1577" s="2"/>
      <c r="D1577" s="2"/>
      <c r="E1577" s="10"/>
      <c r="F1577" s="11"/>
      <c r="G1577" s="2"/>
      <c r="H1577" s="2"/>
      <c r="I1577" s="2"/>
      <c r="J1577" s="67"/>
    </row>
    <row r="1578" spans="1:10" x14ac:dyDescent="0.35">
      <c r="A1578" s="61">
        <v>1574</v>
      </c>
      <c r="B1578" s="2"/>
      <c r="C1578" s="2"/>
      <c r="D1578" s="2"/>
      <c r="E1578" s="10"/>
      <c r="F1578" s="11"/>
      <c r="G1578" s="2"/>
      <c r="H1578" s="2"/>
      <c r="I1578" s="2"/>
      <c r="J1578" s="67"/>
    </row>
    <row r="1579" spans="1:10" x14ac:dyDescent="0.35">
      <c r="A1579" s="61">
        <v>1575</v>
      </c>
      <c r="B1579" s="2"/>
      <c r="C1579" s="2"/>
      <c r="D1579" s="2"/>
      <c r="E1579" s="10"/>
      <c r="F1579" s="11"/>
      <c r="G1579" s="2"/>
      <c r="H1579" s="2"/>
      <c r="I1579" s="2"/>
      <c r="J1579" s="67"/>
    </row>
    <row r="1580" spans="1:10" x14ac:dyDescent="0.35">
      <c r="A1580" s="61">
        <v>1576</v>
      </c>
      <c r="B1580" s="2"/>
      <c r="C1580" s="2"/>
      <c r="D1580" s="2"/>
      <c r="E1580" s="10"/>
      <c r="F1580" s="11"/>
      <c r="G1580" s="2"/>
      <c r="H1580" s="2"/>
      <c r="I1580" s="2"/>
      <c r="J1580" s="67"/>
    </row>
    <row r="1581" spans="1:10" x14ac:dyDescent="0.35">
      <c r="A1581" s="61">
        <v>1577</v>
      </c>
      <c r="B1581" s="2"/>
      <c r="C1581" s="2"/>
      <c r="D1581" s="2"/>
      <c r="E1581" s="10"/>
      <c r="F1581" s="11"/>
      <c r="G1581" s="2"/>
      <c r="H1581" s="2"/>
      <c r="I1581" s="2"/>
      <c r="J1581" s="67"/>
    </row>
    <row r="1582" spans="1:10" x14ac:dyDescent="0.35">
      <c r="A1582" s="61">
        <v>1578</v>
      </c>
      <c r="B1582" s="2"/>
      <c r="C1582" s="2"/>
      <c r="D1582" s="2"/>
      <c r="E1582" s="10"/>
      <c r="F1582" s="11"/>
      <c r="G1582" s="2"/>
      <c r="H1582" s="2"/>
      <c r="I1582" s="2"/>
      <c r="J1582" s="67"/>
    </row>
    <row r="1583" spans="1:10" x14ac:dyDescent="0.35">
      <c r="A1583" s="61">
        <v>1579</v>
      </c>
      <c r="B1583" s="2"/>
      <c r="C1583" s="2"/>
      <c r="D1583" s="2"/>
      <c r="E1583" s="10"/>
      <c r="F1583" s="11"/>
      <c r="G1583" s="2"/>
      <c r="H1583" s="2"/>
      <c r="I1583" s="2"/>
      <c r="J1583" s="67"/>
    </row>
    <row r="1584" spans="1:10" x14ac:dyDescent="0.35">
      <c r="A1584" s="61">
        <v>1580</v>
      </c>
      <c r="B1584" s="2"/>
      <c r="C1584" s="2"/>
      <c r="D1584" s="2"/>
      <c r="E1584" s="10"/>
      <c r="F1584" s="11"/>
      <c r="G1584" s="2"/>
      <c r="H1584" s="2"/>
      <c r="I1584" s="2"/>
      <c r="J1584" s="67"/>
    </row>
    <row r="1585" spans="1:10" x14ac:dyDescent="0.35">
      <c r="A1585" s="61">
        <v>1581</v>
      </c>
      <c r="B1585" s="2"/>
      <c r="C1585" s="2"/>
      <c r="D1585" s="2"/>
      <c r="E1585" s="10"/>
      <c r="F1585" s="11"/>
      <c r="G1585" s="2"/>
      <c r="H1585" s="2"/>
      <c r="I1585" s="2"/>
      <c r="J1585" s="67"/>
    </row>
    <row r="1586" spans="1:10" x14ac:dyDescent="0.35">
      <c r="A1586" s="61">
        <v>1582</v>
      </c>
      <c r="B1586" s="2"/>
      <c r="C1586" s="2"/>
      <c r="D1586" s="2"/>
      <c r="E1586" s="10"/>
      <c r="F1586" s="11"/>
      <c r="G1586" s="2"/>
      <c r="H1586" s="2"/>
      <c r="I1586" s="2"/>
      <c r="J1586" s="67"/>
    </row>
    <row r="1587" spans="1:10" x14ac:dyDescent="0.35">
      <c r="A1587" s="61">
        <v>1583</v>
      </c>
      <c r="B1587" s="2"/>
      <c r="C1587" s="2"/>
      <c r="D1587" s="2"/>
      <c r="E1587" s="10"/>
      <c r="F1587" s="11"/>
      <c r="G1587" s="2"/>
      <c r="H1587" s="2"/>
      <c r="I1587" s="2"/>
      <c r="J1587" s="67"/>
    </row>
    <row r="1588" spans="1:10" x14ac:dyDescent="0.35">
      <c r="A1588" s="61">
        <v>1584</v>
      </c>
      <c r="B1588" s="2"/>
      <c r="C1588" s="2"/>
      <c r="D1588" s="2"/>
      <c r="E1588" s="10"/>
      <c r="F1588" s="11"/>
      <c r="G1588" s="2"/>
      <c r="H1588" s="2"/>
      <c r="I1588" s="2"/>
      <c r="J1588" s="67"/>
    </row>
    <row r="1589" spans="1:10" x14ac:dyDescent="0.35">
      <c r="A1589" s="61">
        <v>1585</v>
      </c>
      <c r="B1589" s="2"/>
      <c r="C1589" s="2"/>
      <c r="D1589" s="2"/>
      <c r="E1589" s="10"/>
      <c r="F1589" s="11"/>
      <c r="G1589" s="2"/>
      <c r="H1589" s="2"/>
      <c r="I1589" s="2"/>
      <c r="J1589" s="67"/>
    </row>
    <row r="1590" spans="1:10" x14ac:dyDescent="0.35">
      <c r="A1590" s="61">
        <v>1586</v>
      </c>
      <c r="B1590" s="2"/>
      <c r="C1590" s="2"/>
      <c r="D1590" s="2"/>
      <c r="E1590" s="10"/>
      <c r="F1590" s="11"/>
      <c r="G1590" s="2"/>
      <c r="H1590" s="2"/>
      <c r="I1590" s="2"/>
      <c r="J1590" s="67"/>
    </row>
    <row r="1591" spans="1:10" x14ac:dyDescent="0.35">
      <c r="A1591" s="61">
        <v>1587</v>
      </c>
      <c r="B1591" s="2"/>
      <c r="C1591" s="2"/>
      <c r="D1591" s="2"/>
      <c r="E1591" s="10"/>
      <c r="F1591" s="11"/>
      <c r="G1591" s="2"/>
      <c r="H1591" s="2"/>
      <c r="I1591" s="2"/>
      <c r="J1591" s="67"/>
    </row>
    <row r="1592" spans="1:10" x14ac:dyDescent="0.35">
      <c r="A1592" s="61">
        <v>1588</v>
      </c>
      <c r="B1592" s="2"/>
      <c r="C1592" s="2"/>
      <c r="D1592" s="2"/>
      <c r="E1592" s="10"/>
      <c r="F1592" s="11"/>
      <c r="G1592" s="2"/>
      <c r="H1592" s="2"/>
      <c r="I1592" s="2"/>
      <c r="J1592" s="67"/>
    </row>
    <row r="1593" spans="1:10" x14ac:dyDescent="0.35">
      <c r="A1593" s="61">
        <v>1589</v>
      </c>
      <c r="B1593" s="2"/>
      <c r="C1593" s="2"/>
      <c r="D1593" s="2"/>
      <c r="E1593" s="10"/>
      <c r="F1593" s="11"/>
      <c r="G1593" s="2"/>
      <c r="H1593" s="2"/>
      <c r="I1593" s="2"/>
      <c r="J1593" s="67"/>
    </row>
    <row r="1594" spans="1:10" x14ac:dyDescent="0.35">
      <c r="A1594" s="61">
        <v>1590</v>
      </c>
      <c r="B1594" s="2"/>
      <c r="C1594" s="2"/>
      <c r="D1594" s="2"/>
      <c r="E1594" s="10"/>
      <c r="F1594" s="11"/>
      <c r="G1594" s="2"/>
      <c r="H1594" s="2"/>
      <c r="I1594" s="2"/>
      <c r="J1594" s="67"/>
    </row>
    <row r="1595" spans="1:10" x14ac:dyDescent="0.35">
      <c r="A1595" s="61">
        <v>1591</v>
      </c>
      <c r="B1595" s="2"/>
      <c r="C1595" s="2"/>
      <c r="D1595" s="2"/>
      <c r="E1595" s="10"/>
      <c r="F1595" s="11"/>
      <c r="G1595" s="2"/>
      <c r="H1595" s="2"/>
      <c r="I1595" s="2"/>
      <c r="J1595" s="67"/>
    </row>
    <row r="1596" spans="1:10" x14ac:dyDescent="0.35">
      <c r="A1596" s="61">
        <v>1592</v>
      </c>
      <c r="B1596" s="2"/>
      <c r="C1596" s="2"/>
      <c r="D1596" s="2"/>
      <c r="E1596" s="10"/>
      <c r="F1596" s="11"/>
      <c r="G1596" s="2"/>
      <c r="H1596" s="2"/>
      <c r="I1596" s="2"/>
      <c r="J1596" s="67"/>
    </row>
    <row r="1597" spans="1:10" x14ac:dyDescent="0.35">
      <c r="A1597" s="61">
        <v>1593</v>
      </c>
      <c r="B1597" s="2"/>
      <c r="C1597" s="2"/>
      <c r="D1597" s="2"/>
      <c r="E1597" s="10"/>
      <c r="F1597" s="11"/>
      <c r="G1597" s="2"/>
      <c r="H1597" s="2"/>
      <c r="I1597" s="2"/>
      <c r="J1597" s="67"/>
    </row>
    <row r="1598" spans="1:10" x14ac:dyDescent="0.35">
      <c r="A1598" s="61">
        <v>1594</v>
      </c>
      <c r="B1598" s="2"/>
      <c r="C1598" s="2"/>
      <c r="D1598" s="2"/>
      <c r="E1598" s="10"/>
      <c r="F1598" s="11"/>
      <c r="G1598" s="2"/>
      <c r="H1598" s="2"/>
      <c r="I1598" s="2"/>
      <c r="J1598" s="67"/>
    </row>
    <row r="1599" spans="1:10" x14ac:dyDescent="0.35">
      <c r="A1599" s="61">
        <v>1595</v>
      </c>
      <c r="B1599" s="2"/>
      <c r="C1599" s="2"/>
      <c r="D1599" s="2"/>
      <c r="E1599" s="10"/>
      <c r="F1599" s="11"/>
      <c r="G1599" s="2"/>
      <c r="H1599" s="2"/>
      <c r="I1599" s="2"/>
      <c r="J1599" s="67"/>
    </row>
    <row r="1600" spans="1:10" x14ac:dyDescent="0.35">
      <c r="A1600" s="61">
        <v>1596</v>
      </c>
      <c r="B1600" s="2"/>
      <c r="C1600" s="2"/>
      <c r="D1600" s="2"/>
      <c r="E1600" s="10"/>
      <c r="F1600" s="11"/>
      <c r="G1600" s="2"/>
      <c r="H1600" s="2"/>
      <c r="I1600" s="2"/>
      <c r="J1600" s="67"/>
    </row>
    <row r="1601" spans="1:10" x14ac:dyDescent="0.35">
      <c r="A1601" s="61">
        <v>1597</v>
      </c>
      <c r="B1601" s="2"/>
      <c r="C1601" s="2"/>
      <c r="D1601" s="2"/>
      <c r="E1601" s="10"/>
      <c r="F1601" s="11"/>
      <c r="G1601" s="2"/>
      <c r="H1601" s="2"/>
      <c r="I1601" s="2"/>
      <c r="J1601" s="67"/>
    </row>
    <row r="1602" spans="1:10" x14ac:dyDescent="0.35">
      <c r="A1602" s="61">
        <v>1598</v>
      </c>
      <c r="B1602" s="2"/>
      <c r="C1602" s="2"/>
      <c r="D1602" s="2"/>
      <c r="E1602" s="10"/>
      <c r="F1602" s="11"/>
      <c r="G1602" s="2"/>
      <c r="H1602" s="2"/>
      <c r="I1602" s="2"/>
      <c r="J1602" s="67"/>
    </row>
    <row r="1603" spans="1:10" x14ac:dyDescent="0.35">
      <c r="A1603" s="61">
        <v>1599</v>
      </c>
      <c r="B1603" s="2"/>
      <c r="C1603" s="2"/>
      <c r="D1603" s="2"/>
      <c r="E1603" s="10"/>
      <c r="F1603" s="11"/>
      <c r="G1603" s="2"/>
      <c r="H1603" s="2"/>
      <c r="I1603" s="2"/>
      <c r="J1603" s="67"/>
    </row>
    <row r="1604" spans="1:10" x14ac:dyDescent="0.35">
      <c r="A1604" s="61">
        <v>1600</v>
      </c>
      <c r="B1604" s="2"/>
      <c r="C1604" s="2"/>
      <c r="D1604" s="2"/>
      <c r="E1604" s="10"/>
      <c r="F1604" s="11"/>
      <c r="G1604" s="2"/>
      <c r="H1604" s="2"/>
      <c r="I1604" s="2"/>
      <c r="J1604" s="67"/>
    </row>
    <row r="1605" spans="1:10" x14ac:dyDescent="0.35">
      <c r="A1605" s="61">
        <v>1601</v>
      </c>
      <c r="B1605" s="2"/>
      <c r="C1605" s="2"/>
      <c r="D1605" s="2"/>
      <c r="E1605" s="10"/>
      <c r="F1605" s="11"/>
      <c r="G1605" s="2"/>
      <c r="H1605" s="2"/>
      <c r="I1605" s="2"/>
      <c r="J1605" s="67"/>
    </row>
    <row r="1606" spans="1:10" x14ac:dyDescent="0.35">
      <c r="A1606" s="61">
        <v>1602</v>
      </c>
      <c r="B1606" s="2"/>
      <c r="C1606" s="2"/>
      <c r="D1606" s="2"/>
      <c r="E1606" s="10"/>
      <c r="F1606" s="11"/>
      <c r="G1606" s="2"/>
      <c r="H1606" s="2"/>
      <c r="I1606" s="2"/>
      <c r="J1606" s="67"/>
    </row>
    <row r="1607" spans="1:10" x14ac:dyDescent="0.35">
      <c r="A1607" s="61">
        <v>1603</v>
      </c>
      <c r="B1607" s="2"/>
      <c r="C1607" s="2"/>
      <c r="D1607" s="2"/>
      <c r="E1607" s="10"/>
      <c r="F1607" s="11"/>
      <c r="G1607" s="2"/>
      <c r="H1607" s="2"/>
      <c r="I1607" s="2"/>
      <c r="J1607" s="67"/>
    </row>
    <row r="1608" spans="1:10" x14ac:dyDescent="0.35">
      <c r="A1608" s="61">
        <v>1604</v>
      </c>
      <c r="B1608" s="2"/>
      <c r="C1608" s="2"/>
      <c r="D1608" s="2"/>
      <c r="E1608" s="10"/>
      <c r="F1608" s="11"/>
      <c r="G1608" s="2"/>
      <c r="H1608" s="2"/>
      <c r="I1608" s="2"/>
      <c r="J1608" s="67"/>
    </row>
    <row r="1609" spans="1:10" x14ac:dyDescent="0.35">
      <c r="A1609" s="61">
        <v>1605</v>
      </c>
      <c r="B1609" s="2"/>
      <c r="C1609" s="2"/>
      <c r="D1609" s="2"/>
      <c r="E1609" s="10"/>
      <c r="F1609" s="11"/>
      <c r="G1609" s="2"/>
      <c r="H1609" s="2"/>
      <c r="I1609" s="2"/>
      <c r="J1609" s="67"/>
    </row>
    <row r="1610" spans="1:10" x14ac:dyDescent="0.35">
      <c r="A1610" s="61">
        <v>1606</v>
      </c>
      <c r="B1610" s="2"/>
      <c r="C1610" s="2"/>
      <c r="D1610" s="2"/>
      <c r="E1610" s="10"/>
      <c r="F1610" s="11"/>
      <c r="G1610" s="2"/>
      <c r="H1610" s="2"/>
      <c r="I1610" s="2"/>
      <c r="J1610" s="67"/>
    </row>
    <row r="1611" spans="1:10" x14ac:dyDescent="0.35">
      <c r="A1611" s="61">
        <v>1607</v>
      </c>
      <c r="B1611" s="2"/>
      <c r="C1611" s="2"/>
      <c r="D1611" s="2"/>
      <c r="E1611" s="10"/>
      <c r="F1611" s="11"/>
      <c r="G1611" s="2"/>
      <c r="H1611" s="2"/>
      <c r="I1611" s="2"/>
      <c r="J1611" s="67"/>
    </row>
    <row r="1612" spans="1:10" x14ac:dyDescent="0.35">
      <c r="A1612" s="61">
        <v>1608</v>
      </c>
      <c r="B1612" s="2"/>
      <c r="C1612" s="2"/>
      <c r="D1612" s="2"/>
      <c r="E1612" s="10"/>
      <c r="F1612" s="11"/>
      <c r="G1612" s="2"/>
      <c r="H1612" s="2"/>
      <c r="I1612" s="2"/>
      <c r="J1612" s="67"/>
    </row>
    <row r="1613" spans="1:10" x14ac:dyDescent="0.35">
      <c r="A1613" s="61">
        <v>1609</v>
      </c>
      <c r="B1613" s="2"/>
      <c r="C1613" s="2"/>
      <c r="D1613" s="2"/>
      <c r="E1613" s="10"/>
      <c r="F1613" s="11"/>
      <c r="G1613" s="2"/>
      <c r="H1613" s="2"/>
      <c r="I1613" s="2"/>
      <c r="J1613" s="67"/>
    </row>
    <row r="1614" spans="1:10" x14ac:dyDescent="0.35">
      <c r="A1614" s="61">
        <v>1610</v>
      </c>
      <c r="B1614" s="2"/>
      <c r="C1614" s="2"/>
      <c r="D1614" s="2"/>
      <c r="E1614" s="10"/>
      <c r="F1614" s="11"/>
      <c r="G1614" s="2"/>
      <c r="H1614" s="2"/>
      <c r="I1614" s="2"/>
      <c r="J1614" s="67"/>
    </row>
    <row r="1615" spans="1:10" x14ac:dyDescent="0.35">
      <c r="A1615" s="61">
        <v>1611</v>
      </c>
      <c r="B1615" s="2"/>
      <c r="C1615" s="2"/>
      <c r="D1615" s="2"/>
      <c r="E1615" s="10"/>
      <c r="F1615" s="11"/>
      <c r="G1615" s="2"/>
      <c r="H1615" s="2"/>
      <c r="I1615" s="2"/>
      <c r="J1615" s="67"/>
    </row>
    <row r="1616" spans="1:10" x14ac:dyDescent="0.35">
      <c r="A1616" s="61">
        <v>1612</v>
      </c>
      <c r="B1616" s="2"/>
      <c r="C1616" s="2"/>
      <c r="D1616" s="2"/>
      <c r="E1616" s="10"/>
      <c r="F1616" s="11"/>
      <c r="G1616" s="2"/>
      <c r="H1616" s="2"/>
      <c r="I1616" s="2"/>
      <c r="J1616" s="67"/>
    </row>
    <row r="1617" spans="1:10" x14ac:dyDescent="0.35">
      <c r="A1617" s="61">
        <v>1613</v>
      </c>
      <c r="B1617" s="2"/>
      <c r="C1617" s="2"/>
      <c r="D1617" s="2"/>
      <c r="E1617" s="10"/>
      <c r="F1617" s="11"/>
      <c r="G1617" s="2"/>
      <c r="H1617" s="2"/>
      <c r="I1617" s="2"/>
      <c r="J1617" s="67"/>
    </row>
    <row r="1618" spans="1:10" x14ac:dyDescent="0.35">
      <c r="A1618" s="61">
        <v>1614</v>
      </c>
      <c r="B1618" s="2"/>
      <c r="C1618" s="2"/>
      <c r="D1618" s="2"/>
      <c r="E1618" s="10"/>
      <c r="F1618" s="11"/>
      <c r="G1618" s="2"/>
      <c r="H1618" s="2"/>
      <c r="I1618" s="2"/>
      <c r="J1618" s="67"/>
    </row>
    <row r="1619" spans="1:10" x14ac:dyDescent="0.35">
      <c r="A1619" s="61">
        <v>1615</v>
      </c>
      <c r="B1619" s="2"/>
      <c r="C1619" s="2"/>
      <c r="D1619" s="2"/>
      <c r="E1619" s="10"/>
      <c r="F1619" s="11"/>
      <c r="G1619" s="2"/>
      <c r="H1619" s="2"/>
      <c r="I1619" s="2"/>
      <c r="J1619" s="67"/>
    </row>
    <row r="1620" spans="1:10" x14ac:dyDescent="0.35">
      <c r="A1620" s="61">
        <v>1616</v>
      </c>
      <c r="B1620" s="2"/>
      <c r="C1620" s="2"/>
      <c r="D1620" s="2"/>
      <c r="E1620" s="10"/>
      <c r="F1620" s="11"/>
      <c r="G1620" s="2"/>
      <c r="H1620" s="2"/>
      <c r="I1620" s="2"/>
      <c r="J1620" s="67"/>
    </row>
    <row r="1621" spans="1:10" x14ac:dyDescent="0.35">
      <c r="A1621" s="61">
        <v>1617</v>
      </c>
      <c r="B1621" s="2"/>
      <c r="C1621" s="2"/>
      <c r="D1621" s="2"/>
      <c r="E1621" s="10"/>
      <c r="F1621" s="11"/>
      <c r="G1621" s="2"/>
      <c r="H1621" s="2"/>
      <c r="I1621" s="2"/>
      <c r="J1621" s="67"/>
    </row>
    <row r="1622" spans="1:10" x14ac:dyDescent="0.35">
      <c r="A1622" s="61">
        <v>1618</v>
      </c>
      <c r="B1622" s="2"/>
      <c r="C1622" s="2"/>
      <c r="D1622" s="2"/>
      <c r="E1622" s="10"/>
      <c r="F1622" s="11"/>
      <c r="G1622" s="2"/>
      <c r="H1622" s="2"/>
      <c r="I1622" s="2"/>
      <c r="J1622" s="67"/>
    </row>
    <row r="1623" spans="1:10" x14ac:dyDescent="0.35">
      <c r="A1623" s="61">
        <v>1619</v>
      </c>
      <c r="B1623" s="2"/>
      <c r="C1623" s="2"/>
      <c r="D1623" s="2"/>
      <c r="E1623" s="10"/>
      <c r="F1623" s="11"/>
      <c r="G1623" s="2"/>
      <c r="H1623" s="2"/>
      <c r="I1623" s="2"/>
      <c r="J1623" s="67"/>
    </row>
    <row r="1624" spans="1:10" x14ac:dyDescent="0.35">
      <c r="A1624" s="61">
        <v>1620</v>
      </c>
      <c r="B1624" s="2"/>
      <c r="C1624" s="2"/>
      <c r="D1624" s="2"/>
      <c r="E1624" s="10"/>
      <c r="F1624" s="11"/>
      <c r="G1624" s="2"/>
      <c r="H1624" s="2"/>
      <c r="I1624" s="2"/>
      <c r="J1624" s="67"/>
    </row>
    <row r="1625" spans="1:10" x14ac:dyDescent="0.35">
      <c r="A1625" s="61">
        <v>1621</v>
      </c>
      <c r="B1625" s="2"/>
      <c r="C1625" s="2"/>
      <c r="D1625" s="2"/>
      <c r="E1625" s="10"/>
      <c r="F1625" s="11"/>
      <c r="G1625" s="2"/>
      <c r="H1625" s="2"/>
      <c r="I1625" s="2"/>
      <c r="J1625" s="67"/>
    </row>
    <row r="1626" spans="1:10" x14ac:dyDescent="0.35">
      <c r="A1626" s="61">
        <v>1622</v>
      </c>
      <c r="B1626" s="2"/>
      <c r="C1626" s="2"/>
      <c r="D1626" s="2"/>
      <c r="E1626" s="10"/>
      <c r="F1626" s="11"/>
      <c r="G1626" s="2"/>
      <c r="H1626" s="2"/>
      <c r="I1626" s="2"/>
      <c r="J1626" s="67"/>
    </row>
    <row r="1627" spans="1:10" x14ac:dyDescent="0.35">
      <c r="A1627" s="61">
        <v>1623</v>
      </c>
      <c r="B1627" s="2"/>
      <c r="C1627" s="2"/>
      <c r="D1627" s="2"/>
      <c r="E1627" s="10"/>
      <c r="F1627" s="11"/>
      <c r="G1627" s="2"/>
      <c r="H1627" s="2"/>
      <c r="I1627" s="2"/>
      <c r="J1627" s="67"/>
    </row>
    <row r="1628" spans="1:10" x14ac:dyDescent="0.35">
      <c r="A1628" s="61">
        <v>1624</v>
      </c>
      <c r="B1628" s="2"/>
      <c r="C1628" s="2"/>
      <c r="D1628" s="2"/>
      <c r="E1628" s="10"/>
      <c r="F1628" s="11"/>
      <c r="G1628" s="2"/>
      <c r="H1628" s="2"/>
      <c r="I1628" s="2"/>
      <c r="J1628" s="67"/>
    </row>
    <row r="1629" spans="1:10" x14ac:dyDescent="0.35">
      <c r="A1629" s="61">
        <v>1625</v>
      </c>
      <c r="B1629" s="2"/>
      <c r="C1629" s="2"/>
      <c r="D1629" s="2"/>
      <c r="E1629" s="10"/>
      <c r="F1629" s="11"/>
      <c r="G1629" s="2"/>
      <c r="H1629" s="2"/>
      <c r="I1629" s="2"/>
      <c r="J1629" s="67"/>
    </row>
    <row r="1630" spans="1:10" x14ac:dyDescent="0.35">
      <c r="A1630" s="61">
        <v>1626</v>
      </c>
      <c r="B1630" s="2"/>
      <c r="C1630" s="2"/>
      <c r="D1630" s="2"/>
      <c r="E1630" s="10"/>
      <c r="F1630" s="11"/>
      <c r="G1630" s="2"/>
      <c r="H1630" s="2"/>
      <c r="I1630" s="2"/>
      <c r="J1630" s="67"/>
    </row>
    <row r="1631" spans="1:10" x14ac:dyDescent="0.35">
      <c r="A1631" s="61">
        <v>1627</v>
      </c>
      <c r="B1631" s="2"/>
      <c r="C1631" s="2"/>
      <c r="D1631" s="2"/>
      <c r="E1631" s="10"/>
      <c r="F1631" s="11"/>
      <c r="G1631" s="2"/>
      <c r="H1631" s="2"/>
      <c r="I1631" s="2"/>
      <c r="J1631" s="67"/>
    </row>
    <row r="1632" spans="1:10" x14ac:dyDescent="0.35">
      <c r="A1632" s="61">
        <v>1628</v>
      </c>
      <c r="B1632" s="2"/>
      <c r="C1632" s="2"/>
      <c r="D1632" s="2"/>
      <c r="E1632" s="10"/>
      <c r="F1632" s="11"/>
      <c r="G1632" s="2"/>
      <c r="H1632" s="2"/>
      <c r="I1632" s="2"/>
      <c r="J1632" s="67"/>
    </row>
    <row r="1633" spans="1:10" x14ac:dyDescent="0.35">
      <c r="A1633" s="61">
        <v>1629</v>
      </c>
      <c r="B1633" s="2"/>
      <c r="C1633" s="2"/>
      <c r="D1633" s="2"/>
      <c r="E1633" s="10"/>
      <c r="F1633" s="11"/>
      <c r="G1633" s="2"/>
      <c r="H1633" s="2"/>
      <c r="I1633" s="2"/>
      <c r="J1633" s="67"/>
    </row>
    <row r="1634" spans="1:10" x14ac:dyDescent="0.35">
      <c r="A1634" s="61">
        <v>1630</v>
      </c>
      <c r="B1634" s="2"/>
      <c r="C1634" s="2"/>
      <c r="D1634" s="2"/>
      <c r="E1634" s="10"/>
      <c r="F1634" s="11"/>
      <c r="G1634" s="2"/>
      <c r="H1634" s="2"/>
      <c r="I1634" s="2"/>
      <c r="J1634" s="67"/>
    </row>
    <row r="1635" spans="1:10" x14ac:dyDescent="0.35">
      <c r="A1635" s="61">
        <v>1631</v>
      </c>
      <c r="B1635" s="2"/>
      <c r="C1635" s="2"/>
      <c r="D1635" s="2"/>
      <c r="E1635" s="10"/>
      <c r="F1635" s="11"/>
      <c r="G1635" s="2"/>
      <c r="H1635" s="2"/>
      <c r="I1635" s="2"/>
      <c r="J1635" s="67"/>
    </row>
    <row r="1636" spans="1:10" x14ac:dyDescent="0.35">
      <c r="A1636" s="61">
        <v>1632</v>
      </c>
      <c r="B1636" s="2"/>
      <c r="C1636" s="2"/>
      <c r="D1636" s="2"/>
      <c r="E1636" s="10"/>
      <c r="F1636" s="11"/>
      <c r="G1636" s="2"/>
      <c r="H1636" s="2"/>
      <c r="I1636" s="2"/>
      <c r="J1636" s="67"/>
    </row>
    <row r="1637" spans="1:10" x14ac:dyDescent="0.35">
      <c r="A1637" s="61">
        <v>1633</v>
      </c>
      <c r="B1637" s="2"/>
      <c r="C1637" s="2"/>
      <c r="D1637" s="2"/>
      <c r="E1637" s="10"/>
      <c r="F1637" s="11"/>
      <c r="G1637" s="2"/>
      <c r="H1637" s="2"/>
      <c r="I1637" s="2"/>
      <c r="J1637" s="67"/>
    </row>
    <row r="1638" spans="1:10" x14ac:dyDescent="0.35">
      <c r="A1638" s="61">
        <v>1634</v>
      </c>
      <c r="B1638" s="2"/>
      <c r="C1638" s="2"/>
      <c r="D1638" s="2"/>
      <c r="E1638" s="10"/>
      <c r="F1638" s="11"/>
      <c r="G1638" s="2"/>
      <c r="H1638" s="2"/>
      <c r="I1638" s="2"/>
      <c r="J1638" s="67"/>
    </row>
    <row r="1639" spans="1:10" x14ac:dyDescent="0.35">
      <c r="A1639" s="61">
        <v>1635</v>
      </c>
      <c r="B1639" s="2"/>
      <c r="C1639" s="2"/>
      <c r="D1639" s="2"/>
      <c r="E1639" s="10"/>
      <c r="F1639" s="11"/>
      <c r="G1639" s="2"/>
      <c r="H1639" s="2"/>
      <c r="I1639" s="2"/>
      <c r="J1639" s="67"/>
    </row>
    <row r="1640" spans="1:10" x14ac:dyDescent="0.35">
      <c r="A1640" s="61">
        <v>1636</v>
      </c>
      <c r="B1640" s="2"/>
      <c r="C1640" s="2"/>
      <c r="D1640" s="2"/>
      <c r="E1640" s="10"/>
      <c r="F1640" s="11"/>
      <c r="G1640" s="2"/>
      <c r="H1640" s="2"/>
      <c r="I1640" s="2"/>
      <c r="J1640" s="67"/>
    </row>
    <row r="1641" spans="1:10" x14ac:dyDescent="0.35">
      <c r="A1641" s="61">
        <v>1637</v>
      </c>
      <c r="B1641" s="2"/>
      <c r="C1641" s="2"/>
      <c r="D1641" s="2"/>
      <c r="E1641" s="10"/>
      <c r="F1641" s="11"/>
      <c r="G1641" s="2"/>
      <c r="H1641" s="2"/>
      <c r="I1641" s="2"/>
      <c r="J1641" s="67"/>
    </row>
    <row r="1642" spans="1:10" x14ac:dyDescent="0.35">
      <c r="A1642" s="61">
        <v>1638</v>
      </c>
      <c r="B1642" s="2"/>
      <c r="C1642" s="2"/>
      <c r="D1642" s="2"/>
      <c r="E1642" s="10"/>
      <c r="F1642" s="11"/>
      <c r="G1642" s="2"/>
      <c r="H1642" s="2"/>
      <c r="I1642" s="2"/>
      <c r="J1642" s="67"/>
    </row>
    <row r="1643" spans="1:10" x14ac:dyDescent="0.35">
      <c r="A1643" s="61">
        <v>1639</v>
      </c>
      <c r="B1643" s="2"/>
      <c r="C1643" s="2"/>
      <c r="D1643" s="2"/>
      <c r="E1643" s="10"/>
      <c r="F1643" s="11"/>
      <c r="G1643" s="2"/>
      <c r="H1643" s="2"/>
      <c r="I1643" s="2"/>
      <c r="J1643" s="67"/>
    </row>
    <row r="1644" spans="1:10" x14ac:dyDescent="0.35">
      <c r="A1644" s="61">
        <v>1640</v>
      </c>
      <c r="B1644" s="2"/>
      <c r="C1644" s="2"/>
      <c r="D1644" s="2"/>
      <c r="E1644" s="10"/>
      <c r="F1644" s="11"/>
      <c r="G1644" s="2"/>
      <c r="H1644" s="2"/>
      <c r="I1644" s="2"/>
      <c r="J1644" s="67"/>
    </row>
    <row r="1645" spans="1:10" x14ac:dyDescent="0.35">
      <c r="A1645" s="61">
        <v>1641</v>
      </c>
      <c r="B1645" s="2"/>
      <c r="C1645" s="2"/>
      <c r="D1645" s="2"/>
      <c r="E1645" s="10"/>
      <c r="F1645" s="11"/>
      <c r="G1645" s="2"/>
      <c r="H1645" s="2"/>
      <c r="I1645" s="2"/>
      <c r="J1645" s="67"/>
    </row>
    <row r="1646" spans="1:10" x14ac:dyDescent="0.35">
      <c r="A1646" s="61">
        <v>1642</v>
      </c>
      <c r="B1646" s="2"/>
      <c r="C1646" s="2"/>
      <c r="D1646" s="2"/>
      <c r="E1646" s="10"/>
      <c r="F1646" s="11"/>
      <c r="G1646" s="2"/>
      <c r="H1646" s="2"/>
      <c r="I1646" s="2"/>
      <c r="J1646" s="67"/>
    </row>
    <row r="1647" spans="1:10" x14ac:dyDescent="0.35">
      <c r="A1647" s="61">
        <v>1643</v>
      </c>
      <c r="B1647" s="2"/>
      <c r="C1647" s="2"/>
      <c r="D1647" s="2"/>
      <c r="E1647" s="10"/>
      <c r="F1647" s="11"/>
      <c r="G1647" s="2"/>
      <c r="H1647" s="2"/>
      <c r="I1647" s="2"/>
      <c r="J1647" s="67"/>
    </row>
    <row r="1648" spans="1:10" x14ac:dyDescent="0.35">
      <c r="A1648" s="61">
        <v>1644</v>
      </c>
      <c r="B1648" s="2"/>
      <c r="C1648" s="2"/>
      <c r="D1648" s="2"/>
      <c r="E1648" s="10"/>
      <c r="F1648" s="11"/>
      <c r="G1648" s="2"/>
      <c r="H1648" s="2"/>
      <c r="I1648" s="2"/>
      <c r="J1648" s="67"/>
    </row>
    <row r="1649" spans="1:10" x14ac:dyDescent="0.35">
      <c r="A1649" s="61">
        <v>1645</v>
      </c>
      <c r="B1649" s="2"/>
      <c r="C1649" s="2"/>
      <c r="D1649" s="2"/>
      <c r="E1649" s="10"/>
      <c r="F1649" s="11"/>
      <c r="G1649" s="2"/>
      <c r="H1649" s="2"/>
      <c r="I1649" s="2"/>
      <c r="J1649" s="67"/>
    </row>
    <row r="1650" spans="1:10" x14ac:dyDescent="0.35">
      <c r="A1650" s="61">
        <v>1646</v>
      </c>
      <c r="B1650" s="2"/>
      <c r="C1650" s="2"/>
      <c r="D1650" s="2"/>
      <c r="E1650" s="10"/>
      <c r="F1650" s="11"/>
      <c r="G1650" s="2"/>
      <c r="H1650" s="2"/>
      <c r="I1650" s="2"/>
      <c r="J1650" s="67"/>
    </row>
    <row r="1651" spans="1:10" x14ac:dyDescent="0.35">
      <c r="A1651" s="61">
        <v>1647</v>
      </c>
      <c r="B1651" s="2"/>
      <c r="C1651" s="2"/>
      <c r="D1651" s="2"/>
      <c r="E1651" s="10"/>
      <c r="F1651" s="11"/>
      <c r="G1651" s="2"/>
      <c r="H1651" s="2"/>
      <c r="I1651" s="2"/>
      <c r="J1651" s="67"/>
    </row>
    <row r="1652" spans="1:10" x14ac:dyDescent="0.35">
      <c r="A1652" s="61">
        <v>1648</v>
      </c>
      <c r="B1652" s="2"/>
      <c r="C1652" s="2"/>
      <c r="D1652" s="2"/>
      <c r="E1652" s="10"/>
      <c r="F1652" s="11"/>
      <c r="G1652" s="2"/>
      <c r="H1652" s="2"/>
      <c r="I1652" s="2"/>
      <c r="J1652" s="67"/>
    </row>
    <row r="1653" spans="1:10" x14ac:dyDescent="0.35">
      <c r="A1653" s="61">
        <v>1649</v>
      </c>
      <c r="B1653" s="2"/>
      <c r="C1653" s="2"/>
      <c r="D1653" s="2"/>
      <c r="E1653" s="10"/>
      <c r="F1653" s="11"/>
      <c r="G1653" s="2"/>
      <c r="H1653" s="2"/>
      <c r="I1653" s="2"/>
      <c r="J1653" s="67"/>
    </row>
    <row r="1654" spans="1:10" x14ac:dyDescent="0.35">
      <c r="A1654" s="61">
        <v>1650</v>
      </c>
      <c r="B1654" s="2"/>
      <c r="C1654" s="2"/>
      <c r="D1654" s="2"/>
      <c r="E1654" s="10"/>
      <c r="F1654" s="11"/>
      <c r="G1654" s="2"/>
      <c r="H1654" s="2"/>
      <c r="I1654" s="2"/>
      <c r="J1654" s="67"/>
    </row>
    <row r="1655" spans="1:10" x14ac:dyDescent="0.35">
      <c r="A1655" s="61">
        <v>1651</v>
      </c>
      <c r="B1655" s="2"/>
      <c r="C1655" s="2"/>
      <c r="D1655" s="2"/>
      <c r="E1655" s="10"/>
      <c r="F1655" s="11"/>
      <c r="G1655" s="2"/>
      <c r="H1655" s="2"/>
      <c r="I1655" s="2"/>
      <c r="J1655" s="67"/>
    </row>
    <row r="1656" spans="1:10" x14ac:dyDescent="0.35">
      <c r="A1656" s="61">
        <v>1652</v>
      </c>
      <c r="B1656" s="2"/>
      <c r="C1656" s="2"/>
      <c r="D1656" s="2"/>
      <c r="E1656" s="10"/>
      <c r="F1656" s="11"/>
      <c r="G1656" s="2"/>
      <c r="H1656" s="2"/>
      <c r="I1656" s="2"/>
      <c r="J1656" s="67"/>
    </row>
    <row r="1657" spans="1:10" x14ac:dyDescent="0.35">
      <c r="A1657" s="61">
        <v>1653</v>
      </c>
      <c r="B1657" s="2"/>
      <c r="C1657" s="2"/>
      <c r="D1657" s="2"/>
      <c r="E1657" s="10"/>
      <c r="F1657" s="11"/>
      <c r="G1657" s="2"/>
      <c r="H1657" s="2"/>
      <c r="I1657" s="2"/>
      <c r="J1657" s="67"/>
    </row>
    <row r="1658" spans="1:10" x14ac:dyDescent="0.35">
      <c r="A1658" s="61">
        <v>1654</v>
      </c>
      <c r="B1658" s="2"/>
      <c r="C1658" s="2"/>
      <c r="D1658" s="2"/>
      <c r="E1658" s="10"/>
      <c r="F1658" s="11"/>
      <c r="G1658" s="2"/>
      <c r="H1658" s="2"/>
      <c r="I1658" s="2"/>
      <c r="J1658" s="67"/>
    </row>
    <row r="1659" spans="1:10" x14ac:dyDescent="0.35">
      <c r="A1659" s="61">
        <v>1655</v>
      </c>
      <c r="B1659" s="2"/>
      <c r="C1659" s="2"/>
      <c r="D1659" s="2"/>
      <c r="E1659" s="10"/>
      <c r="F1659" s="11"/>
      <c r="G1659" s="2"/>
      <c r="H1659" s="2"/>
      <c r="I1659" s="2"/>
      <c r="J1659" s="67"/>
    </row>
    <row r="1660" spans="1:10" x14ac:dyDescent="0.35">
      <c r="A1660" s="61">
        <v>1656</v>
      </c>
      <c r="B1660" s="2"/>
      <c r="C1660" s="2"/>
      <c r="D1660" s="2"/>
      <c r="E1660" s="10"/>
      <c r="F1660" s="11"/>
      <c r="G1660" s="2"/>
      <c r="H1660" s="2"/>
      <c r="I1660" s="2"/>
      <c r="J1660" s="67"/>
    </row>
    <row r="1661" spans="1:10" x14ac:dyDescent="0.35">
      <c r="A1661" s="61">
        <v>1657</v>
      </c>
      <c r="B1661" s="2"/>
      <c r="C1661" s="2"/>
      <c r="D1661" s="2"/>
      <c r="E1661" s="10"/>
      <c r="F1661" s="11"/>
      <c r="G1661" s="2"/>
      <c r="H1661" s="2"/>
      <c r="I1661" s="2"/>
      <c r="J1661" s="67"/>
    </row>
    <row r="1662" spans="1:10" x14ac:dyDescent="0.35">
      <c r="A1662" s="61">
        <v>1658</v>
      </c>
      <c r="B1662" s="2"/>
      <c r="C1662" s="2"/>
      <c r="D1662" s="2"/>
      <c r="E1662" s="10"/>
      <c r="F1662" s="11"/>
      <c r="G1662" s="2"/>
      <c r="H1662" s="2"/>
      <c r="I1662" s="2"/>
      <c r="J1662" s="67"/>
    </row>
    <row r="1663" spans="1:10" x14ac:dyDescent="0.35">
      <c r="A1663" s="61">
        <v>1659</v>
      </c>
      <c r="B1663" s="2"/>
      <c r="C1663" s="2"/>
      <c r="D1663" s="2"/>
      <c r="E1663" s="10"/>
      <c r="F1663" s="11"/>
      <c r="G1663" s="2"/>
      <c r="H1663" s="2"/>
      <c r="I1663" s="2"/>
      <c r="J1663" s="67"/>
    </row>
    <row r="1664" spans="1:10" x14ac:dyDescent="0.35">
      <c r="A1664" s="61">
        <v>1660</v>
      </c>
      <c r="B1664" s="2"/>
      <c r="C1664" s="2"/>
      <c r="D1664" s="2"/>
      <c r="E1664" s="10"/>
      <c r="F1664" s="11"/>
      <c r="G1664" s="2"/>
      <c r="H1664" s="2"/>
      <c r="I1664" s="2"/>
      <c r="J1664" s="67"/>
    </row>
    <row r="1665" spans="1:10" x14ac:dyDescent="0.35">
      <c r="A1665" s="61">
        <v>1661</v>
      </c>
      <c r="B1665" s="2"/>
      <c r="C1665" s="2"/>
      <c r="D1665" s="2"/>
      <c r="E1665" s="10"/>
      <c r="F1665" s="11"/>
      <c r="G1665" s="2"/>
      <c r="H1665" s="2"/>
      <c r="I1665" s="2"/>
      <c r="J1665" s="67"/>
    </row>
    <row r="1666" spans="1:10" x14ac:dyDescent="0.35">
      <c r="A1666" s="61">
        <v>1662</v>
      </c>
      <c r="B1666" s="2"/>
      <c r="C1666" s="2"/>
      <c r="D1666" s="2"/>
      <c r="E1666" s="10"/>
      <c r="F1666" s="11"/>
      <c r="G1666" s="2"/>
      <c r="H1666" s="2"/>
      <c r="I1666" s="2"/>
      <c r="J1666" s="67"/>
    </row>
    <row r="1667" spans="1:10" x14ac:dyDescent="0.35">
      <c r="A1667" s="61">
        <v>1663</v>
      </c>
      <c r="B1667" s="2"/>
      <c r="C1667" s="2"/>
      <c r="D1667" s="2"/>
      <c r="E1667" s="10"/>
      <c r="F1667" s="11"/>
      <c r="G1667" s="2"/>
      <c r="H1667" s="2"/>
      <c r="I1667" s="2"/>
      <c r="J1667" s="67"/>
    </row>
    <row r="1668" spans="1:10" x14ac:dyDescent="0.35">
      <c r="A1668" s="61">
        <v>1664</v>
      </c>
      <c r="B1668" s="2"/>
      <c r="C1668" s="2"/>
      <c r="D1668" s="2"/>
      <c r="E1668" s="10"/>
      <c r="F1668" s="11"/>
      <c r="G1668" s="2"/>
      <c r="H1668" s="2"/>
      <c r="I1668" s="2"/>
      <c r="J1668" s="67"/>
    </row>
    <row r="1669" spans="1:10" x14ac:dyDescent="0.35">
      <c r="A1669" s="61">
        <v>1665</v>
      </c>
      <c r="B1669" s="2"/>
      <c r="C1669" s="2"/>
      <c r="D1669" s="2"/>
      <c r="E1669" s="10"/>
      <c r="F1669" s="11"/>
      <c r="G1669" s="2"/>
      <c r="H1669" s="2"/>
      <c r="I1669" s="2"/>
      <c r="J1669" s="67"/>
    </row>
    <row r="1670" spans="1:10" x14ac:dyDescent="0.35">
      <c r="A1670" s="61">
        <v>1666</v>
      </c>
      <c r="B1670" s="2"/>
      <c r="C1670" s="2"/>
      <c r="D1670" s="2"/>
      <c r="E1670" s="10"/>
      <c r="F1670" s="11"/>
      <c r="G1670" s="2"/>
      <c r="H1670" s="2"/>
      <c r="I1670" s="2"/>
      <c r="J1670" s="67"/>
    </row>
    <row r="1671" spans="1:10" x14ac:dyDescent="0.35">
      <c r="A1671" s="61">
        <v>1667</v>
      </c>
      <c r="B1671" s="2"/>
      <c r="C1671" s="2"/>
      <c r="D1671" s="2"/>
      <c r="E1671" s="10"/>
      <c r="F1671" s="11"/>
      <c r="G1671" s="2"/>
      <c r="H1671" s="2"/>
      <c r="I1671" s="2"/>
      <c r="J1671" s="67"/>
    </row>
    <row r="1672" spans="1:10" x14ac:dyDescent="0.35">
      <c r="A1672" s="61">
        <v>1668</v>
      </c>
      <c r="B1672" s="2"/>
      <c r="C1672" s="2"/>
      <c r="D1672" s="2"/>
      <c r="E1672" s="10"/>
      <c r="F1672" s="11"/>
      <c r="G1672" s="2"/>
      <c r="H1672" s="2"/>
      <c r="I1672" s="2"/>
      <c r="J1672" s="67"/>
    </row>
    <row r="1673" spans="1:10" x14ac:dyDescent="0.35">
      <c r="A1673" s="61">
        <v>1669</v>
      </c>
      <c r="B1673" s="2"/>
      <c r="C1673" s="2"/>
      <c r="D1673" s="2"/>
      <c r="E1673" s="10"/>
      <c r="F1673" s="11"/>
      <c r="G1673" s="2"/>
      <c r="H1673" s="2"/>
      <c r="I1673" s="2"/>
      <c r="J1673" s="67"/>
    </row>
    <row r="1674" spans="1:10" x14ac:dyDescent="0.35">
      <c r="A1674" s="61">
        <v>1670</v>
      </c>
      <c r="B1674" s="2"/>
      <c r="C1674" s="2"/>
      <c r="D1674" s="2"/>
      <c r="E1674" s="10"/>
      <c r="F1674" s="11"/>
      <c r="G1674" s="2"/>
      <c r="H1674" s="2"/>
      <c r="I1674" s="2"/>
      <c r="J1674" s="67"/>
    </row>
    <row r="1675" spans="1:10" x14ac:dyDescent="0.35">
      <c r="A1675" s="61">
        <v>1671</v>
      </c>
      <c r="B1675" s="2"/>
      <c r="C1675" s="2"/>
      <c r="D1675" s="2"/>
      <c r="E1675" s="10"/>
      <c r="F1675" s="11"/>
      <c r="G1675" s="2"/>
      <c r="H1675" s="2"/>
      <c r="I1675" s="2"/>
      <c r="J1675" s="67"/>
    </row>
    <row r="1676" spans="1:10" x14ac:dyDescent="0.35">
      <c r="A1676" s="61">
        <v>1672</v>
      </c>
      <c r="B1676" s="2"/>
      <c r="C1676" s="2"/>
      <c r="D1676" s="2"/>
      <c r="E1676" s="10"/>
      <c r="F1676" s="11"/>
      <c r="G1676" s="2"/>
      <c r="H1676" s="2"/>
      <c r="I1676" s="2"/>
      <c r="J1676" s="67"/>
    </row>
    <row r="1677" spans="1:10" x14ac:dyDescent="0.35">
      <c r="A1677" s="61">
        <v>1673</v>
      </c>
      <c r="B1677" s="2"/>
      <c r="C1677" s="2"/>
      <c r="D1677" s="2"/>
      <c r="E1677" s="10"/>
      <c r="F1677" s="11"/>
      <c r="G1677" s="2"/>
      <c r="H1677" s="2"/>
      <c r="I1677" s="2"/>
      <c r="J1677" s="67"/>
    </row>
    <row r="1678" spans="1:10" x14ac:dyDescent="0.35">
      <c r="A1678" s="61">
        <v>1674</v>
      </c>
      <c r="B1678" s="2"/>
      <c r="C1678" s="2"/>
      <c r="D1678" s="2"/>
      <c r="E1678" s="10"/>
      <c r="F1678" s="11"/>
      <c r="G1678" s="2"/>
      <c r="H1678" s="2"/>
      <c r="I1678" s="2"/>
      <c r="J1678" s="67"/>
    </row>
    <row r="1679" spans="1:10" x14ac:dyDescent="0.35">
      <c r="A1679" s="61">
        <v>1675</v>
      </c>
      <c r="B1679" s="2"/>
      <c r="C1679" s="2"/>
      <c r="D1679" s="2"/>
      <c r="E1679" s="10"/>
      <c r="F1679" s="11"/>
      <c r="G1679" s="2"/>
      <c r="H1679" s="2"/>
      <c r="I1679" s="2"/>
      <c r="J1679" s="67"/>
    </row>
    <row r="1680" spans="1:10" x14ac:dyDescent="0.35">
      <c r="A1680" s="61">
        <v>1676</v>
      </c>
      <c r="B1680" s="2"/>
      <c r="C1680" s="2"/>
      <c r="D1680" s="2"/>
      <c r="E1680" s="10"/>
      <c r="F1680" s="11"/>
      <c r="G1680" s="2"/>
      <c r="H1680" s="2"/>
      <c r="I1680" s="2"/>
      <c r="J1680" s="67"/>
    </row>
    <row r="1681" spans="1:10" x14ac:dyDescent="0.35">
      <c r="A1681" s="61">
        <v>1677</v>
      </c>
      <c r="B1681" s="2"/>
      <c r="C1681" s="2"/>
      <c r="D1681" s="2"/>
      <c r="E1681" s="10"/>
      <c r="F1681" s="11"/>
      <c r="G1681" s="2"/>
      <c r="H1681" s="2"/>
      <c r="I1681" s="2"/>
      <c r="J1681" s="67"/>
    </row>
    <row r="1682" spans="1:10" x14ac:dyDescent="0.35">
      <c r="A1682" s="61">
        <v>1678</v>
      </c>
      <c r="B1682" s="2"/>
      <c r="C1682" s="2"/>
      <c r="D1682" s="2"/>
      <c r="E1682" s="10"/>
      <c r="F1682" s="11"/>
      <c r="G1682" s="2"/>
      <c r="H1682" s="2"/>
      <c r="I1682" s="2"/>
      <c r="J1682" s="67"/>
    </row>
    <row r="1683" spans="1:10" x14ac:dyDescent="0.35">
      <c r="A1683" s="61">
        <v>1679</v>
      </c>
      <c r="B1683" s="2"/>
      <c r="C1683" s="2"/>
      <c r="D1683" s="2"/>
      <c r="E1683" s="10"/>
      <c r="F1683" s="11"/>
      <c r="G1683" s="2"/>
      <c r="H1683" s="2"/>
      <c r="I1683" s="2"/>
      <c r="J1683" s="67"/>
    </row>
    <row r="1684" spans="1:10" x14ac:dyDescent="0.35">
      <c r="A1684" s="61">
        <v>1680</v>
      </c>
      <c r="B1684" s="2"/>
      <c r="C1684" s="2"/>
      <c r="D1684" s="2"/>
      <c r="E1684" s="10"/>
      <c r="F1684" s="11"/>
      <c r="G1684" s="2"/>
      <c r="H1684" s="2"/>
      <c r="I1684" s="2"/>
      <c r="J1684" s="67"/>
    </row>
    <row r="1685" spans="1:10" x14ac:dyDescent="0.35">
      <c r="A1685" s="61">
        <v>1681</v>
      </c>
      <c r="B1685" s="2"/>
      <c r="C1685" s="2"/>
      <c r="D1685" s="2"/>
      <c r="E1685" s="10"/>
      <c r="F1685" s="11"/>
      <c r="G1685" s="2"/>
      <c r="H1685" s="2"/>
      <c r="I1685" s="2"/>
      <c r="J1685" s="67"/>
    </row>
    <row r="1686" spans="1:10" x14ac:dyDescent="0.35">
      <c r="A1686" s="61">
        <v>1682</v>
      </c>
      <c r="B1686" s="2"/>
      <c r="C1686" s="2"/>
      <c r="D1686" s="2"/>
      <c r="E1686" s="10"/>
      <c r="F1686" s="11"/>
      <c r="G1686" s="2"/>
      <c r="H1686" s="2"/>
      <c r="I1686" s="2"/>
      <c r="J1686" s="67"/>
    </row>
    <row r="1687" spans="1:10" x14ac:dyDescent="0.35">
      <c r="A1687" s="61">
        <v>1683</v>
      </c>
      <c r="B1687" s="2"/>
      <c r="C1687" s="2"/>
      <c r="D1687" s="2"/>
      <c r="E1687" s="10"/>
      <c r="F1687" s="11"/>
      <c r="G1687" s="2"/>
      <c r="H1687" s="2"/>
      <c r="I1687" s="2"/>
      <c r="J1687" s="67"/>
    </row>
    <row r="1688" spans="1:10" x14ac:dyDescent="0.35">
      <c r="A1688" s="61">
        <v>1684</v>
      </c>
      <c r="B1688" s="2"/>
      <c r="C1688" s="2"/>
      <c r="D1688" s="2"/>
      <c r="E1688" s="10"/>
      <c r="F1688" s="11"/>
      <c r="G1688" s="2"/>
      <c r="H1688" s="2"/>
      <c r="I1688" s="2"/>
      <c r="J1688" s="67"/>
    </row>
    <row r="1689" spans="1:10" x14ac:dyDescent="0.35">
      <c r="A1689" s="61">
        <v>1685</v>
      </c>
      <c r="B1689" s="2"/>
      <c r="C1689" s="2"/>
      <c r="D1689" s="2"/>
      <c r="E1689" s="10"/>
      <c r="F1689" s="11"/>
      <c r="G1689" s="2"/>
      <c r="H1689" s="2"/>
      <c r="I1689" s="2"/>
      <c r="J1689" s="67"/>
    </row>
    <row r="1690" spans="1:10" x14ac:dyDescent="0.35">
      <c r="A1690" s="61">
        <v>1686</v>
      </c>
      <c r="B1690" s="2"/>
      <c r="C1690" s="2"/>
      <c r="D1690" s="2"/>
      <c r="E1690" s="10"/>
      <c r="F1690" s="11"/>
      <c r="G1690" s="2"/>
      <c r="H1690" s="2"/>
      <c r="I1690" s="2"/>
      <c r="J1690" s="67"/>
    </row>
    <row r="1691" spans="1:10" x14ac:dyDescent="0.35">
      <c r="A1691" s="61">
        <v>1687</v>
      </c>
      <c r="B1691" s="2"/>
      <c r="C1691" s="2"/>
      <c r="D1691" s="2"/>
      <c r="E1691" s="10"/>
      <c r="F1691" s="11"/>
      <c r="G1691" s="2"/>
      <c r="H1691" s="2"/>
      <c r="I1691" s="2"/>
      <c r="J1691" s="67"/>
    </row>
    <row r="1692" spans="1:10" x14ac:dyDescent="0.35">
      <c r="A1692" s="61">
        <v>1688</v>
      </c>
      <c r="B1692" s="2"/>
      <c r="C1692" s="2"/>
      <c r="D1692" s="2"/>
      <c r="E1692" s="10"/>
      <c r="F1692" s="11"/>
      <c r="G1692" s="2"/>
      <c r="H1692" s="2"/>
      <c r="I1692" s="2"/>
      <c r="J1692" s="67"/>
    </row>
    <row r="1693" spans="1:10" x14ac:dyDescent="0.35">
      <c r="A1693" s="61">
        <v>1689</v>
      </c>
      <c r="B1693" s="2"/>
      <c r="C1693" s="2"/>
      <c r="D1693" s="2"/>
      <c r="E1693" s="10"/>
      <c r="F1693" s="11"/>
      <c r="G1693" s="2"/>
      <c r="H1693" s="2"/>
      <c r="I1693" s="2"/>
      <c r="J1693" s="67"/>
    </row>
    <row r="1694" spans="1:10" x14ac:dyDescent="0.35">
      <c r="A1694" s="61">
        <v>1690</v>
      </c>
      <c r="B1694" s="2"/>
      <c r="C1694" s="2"/>
      <c r="D1694" s="2"/>
      <c r="E1694" s="10"/>
      <c r="F1694" s="11"/>
      <c r="G1694" s="2"/>
      <c r="H1694" s="2"/>
      <c r="I1694" s="2"/>
      <c r="J1694" s="67"/>
    </row>
    <row r="1695" spans="1:10" x14ac:dyDescent="0.35">
      <c r="A1695" s="61">
        <v>1691</v>
      </c>
      <c r="B1695" s="2"/>
      <c r="C1695" s="2"/>
      <c r="D1695" s="2"/>
      <c r="E1695" s="10"/>
      <c r="F1695" s="11"/>
      <c r="G1695" s="2"/>
      <c r="H1695" s="2"/>
      <c r="I1695" s="2"/>
      <c r="J1695" s="67"/>
    </row>
    <row r="1696" spans="1:10" x14ac:dyDescent="0.35">
      <c r="A1696" s="61">
        <v>1692</v>
      </c>
      <c r="B1696" s="2"/>
      <c r="C1696" s="2"/>
      <c r="D1696" s="2"/>
      <c r="E1696" s="10"/>
      <c r="F1696" s="11"/>
      <c r="G1696" s="2"/>
      <c r="H1696" s="2"/>
      <c r="I1696" s="2"/>
      <c r="J1696" s="67"/>
    </row>
    <row r="1697" spans="1:10" x14ac:dyDescent="0.35">
      <c r="A1697" s="61">
        <v>1693</v>
      </c>
      <c r="B1697" s="2"/>
      <c r="C1697" s="2"/>
      <c r="D1697" s="2"/>
      <c r="E1697" s="10"/>
      <c r="F1697" s="11"/>
      <c r="G1697" s="2"/>
      <c r="H1697" s="2"/>
      <c r="I1697" s="2"/>
      <c r="J1697" s="67"/>
    </row>
    <row r="1698" spans="1:10" x14ac:dyDescent="0.35">
      <c r="A1698" s="61">
        <v>1694</v>
      </c>
      <c r="B1698" s="2"/>
      <c r="C1698" s="2"/>
      <c r="D1698" s="2"/>
      <c r="E1698" s="10"/>
      <c r="F1698" s="11"/>
      <c r="G1698" s="2"/>
      <c r="H1698" s="2"/>
      <c r="I1698" s="2"/>
      <c r="J1698" s="67"/>
    </row>
    <row r="1699" spans="1:10" x14ac:dyDescent="0.35">
      <c r="A1699" s="61">
        <v>1695</v>
      </c>
      <c r="B1699" s="2"/>
      <c r="C1699" s="2"/>
      <c r="D1699" s="2"/>
      <c r="E1699" s="10"/>
      <c r="F1699" s="11"/>
      <c r="G1699" s="2"/>
      <c r="H1699" s="2"/>
      <c r="I1699" s="2"/>
      <c r="J1699" s="67"/>
    </row>
    <row r="1700" spans="1:10" x14ac:dyDescent="0.35">
      <c r="A1700" s="61">
        <v>1696</v>
      </c>
      <c r="B1700" s="2"/>
      <c r="C1700" s="2"/>
      <c r="D1700" s="2"/>
      <c r="E1700" s="10"/>
      <c r="F1700" s="11"/>
      <c r="G1700" s="2"/>
      <c r="H1700" s="2"/>
      <c r="I1700" s="2"/>
      <c r="J1700" s="67"/>
    </row>
    <row r="1701" spans="1:10" x14ac:dyDescent="0.35">
      <c r="A1701" s="61">
        <v>1697</v>
      </c>
      <c r="B1701" s="2"/>
      <c r="C1701" s="2"/>
      <c r="D1701" s="2"/>
      <c r="E1701" s="10"/>
      <c r="F1701" s="11"/>
      <c r="G1701" s="2"/>
      <c r="H1701" s="2"/>
      <c r="I1701" s="2"/>
      <c r="J1701" s="67"/>
    </row>
    <row r="1702" spans="1:10" x14ac:dyDescent="0.35">
      <c r="A1702" s="61">
        <v>1698</v>
      </c>
      <c r="B1702" s="2"/>
      <c r="C1702" s="2"/>
      <c r="D1702" s="2"/>
      <c r="E1702" s="10"/>
      <c r="F1702" s="11"/>
      <c r="G1702" s="2"/>
      <c r="H1702" s="2"/>
      <c r="I1702" s="2"/>
      <c r="J1702" s="67"/>
    </row>
    <row r="1703" spans="1:10" x14ac:dyDescent="0.35">
      <c r="A1703" s="61">
        <v>1699</v>
      </c>
      <c r="B1703" s="2"/>
      <c r="C1703" s="2"/>
      <c r="D1703" s="2"/>
      <c r="E1703" s="10"/>
      <c r="F1703" s="11"/>
      <c r="G1703" s="2"/>
      <c r="H1703" s="2"/>
      <c r="I1703" s="2"/>
      <c r="J1703" s="67"/>
    </row>
    <row r="1704" spans="1:10" x14ac:dyDescent="0.35">
      <c r="A1704" s="61">
        <v>1700</v>
      </c>
      <c r="B1704" s="2"/>
      <c r="C1704" s="2"/>
      <c r="D1704" s="2"/>
      <c r="E1704" s="10"/>
      <c r="F1704" s="11"/>
      <c r="G1704" s="2"/>
      <c r="H1704" s="2"/>
      <c r="I1704" s="2"/>
      <c r="J1704" s="67"/>
    </row>
    <row r="1705" spans="1:10" x14ac:dyDescent="0.35">
      <c r="A1705" s="61">
        <v>1701</v>
      </c>
      <c r="B1705" s="2"/>
      <c r="C1705" s="2"/>
      <c r="D1705" s="2"/>
      <c r="E1705" s="10"/>
      <c r="F1705" s="11"/>
      <c r="G1705" s="2"/>
      <c r="H1705" s="2"/>
      <c r="I1705" s="2"/>
      <c r="J1705" s="67"/>
    </row>
    <row r="1706" spans="1:10" x14ac:dyDescent="0.35">
      <c r="A1706" s="61">
        <v>1702</v>
      </c>
      <c r="B1706" s="2"/>
      <c r="C1706" s="2"/>
      <c r="D1706" s="2"/>
      <c r="E1706" s="10"/>
      <c r="F1706" s="11"/>
      <c r="G1706" s="2"/>
      <c r="H1706" s="2"/>
      <c r="I1706" s="2"/>
      <c r="J1706" s="67"/>
    </row>
    <row r="1707" spans="1:10" x14ac:dyDescent="0.35">
      <c r="A1707" s="61">
        <v>1703</v>
      </c>
      <c r="B1707" s="2"/>
      <c r="C1707" s="2"/>
      <c r="D1707" s="2"/>
      <c r="E1707" s="10"/>
      <c r="F1707" s="11"/>
      <c r="G1707" s="2"/>
      <c r="H1707" s="2"/>
      <c r="I1707" s="2"/>
      <c r="J1707" s="67"/>
    </row>
    <row r="1708" spans="1:10" x14ac:dyDescent="0.35">
      <c r="A1708" s="61">
        <v>1704</v>
      </c>
      <c r="B1708" s="2"/>
      <c r="C1708" s="2"/>
      <c r="D1708" s="2"/>
      <c r="E1708" s="10"/>
      <c r="F1708" s="11"/>
      <c r="G1708" s="2"/>
      <c r="H1708" s="2"/>
      <c r="I1708" s="2"/>
      <c r="J1708" s="67"/>
    </row>
    <row r="1709" spans="1:10" x14ac:dyDescent="0.35">
      <c r="A1709" s="61">
        <v>1705</v>
      </c>
      <c r="B1709" s="2"/>
      <c r="C1709" s="2"/>
      <c r="D1709" s="2"/>
      <c r="E1709" s="10"/>
      <c r="F1709" s="11"/>
      <c r="G1709" s="2"/>
      <c r="H1709" s="2"/>
      <c r="I1709" s="2"/>
      <c r="J1709" s="67"/>
    </row>
    <row r="1710" spans="1:10" x14ac:dyDescent="0.35">
      <c r="A1710" s="61">
        <v>1706</v>
      </c>
      <c r="B1710" s="2"/>
      <c r="C1710" s="2"/>
      <c r="D1710" s="2"/>
      <c r="E1710" s="10"/>
      <c r="F1710" s="11"/>
      <c r="G1710" s="2"/>
      <c r="H1710" s="2"/>
      <c r="I1710" s="2"/>
      <c r="J1710" s="67"/>
    </row>
    <row r="1711" spans="1:10" x14ac:dyDescent="0.35">
      <c r="A1711" s="61">
        <v>1707</v>
      </c>
      <c r="B1711" s="2"/>
      <c r="C1711" s="2"/>
      <c r="D1711" s="2"/>
      <c r="E1711" s="10"/>
      <c r="F1711" s="11"/>
      <c r="G1711" s="2"/>
      <c r="H1711" s="2"/>
      <c r="I1711" s="2"/>
      <c r="J1711" s="67"/>
    </row>
    <row r="1712" spans="1:10" x14ac:dyDescent="0.35">
      <c r="A1712" s="61">
        <v>1708</v>
      </c>
      <c r="B1712" s="2"/>
      <c r="C1712" s="2"/>
      <c r="D1712" s="2"/>
      <c r="E1712" s="10"/>
      <c r="F1712" s="11"/>
      <c r="G1712" s="2"/>
      <c r="H1712" s="2"/>
      <c r="I1712" s="2"/>
      <c r="J1712" s="67"/>
    </row>
    <row r="1713" spans="1:10" x14ac:dyDescent="0.35">
      <c r="A1713" s="61">
        <v>1709</v>
      </c>
      <c r="B1713" s="2"/>
      <c r="C1713" s="2"/>
      <c r="D1713" s="2"/>
      <c r="E1713" s="10"/>
      <c r="F1713" s="11"/>
      <c r="G1713" s="2"/>
      <c r="H1713" s="2"/>
      <c r="I1713" s="2"/>
      <c r="J1713" s="67"/>
    </row>
    <row r="1714" spans="1:10" x14ac:dyDescent="0.35">
      <c r="A1714" s="61">
        <v>1710</v>
      </c>
      <c r="B1714" s="2"/>
      <c r="C1714" s="2"/>
      <c r="D1714" s="2"/>
      <c r="E1714" s="10"/>
      <c r="F1714" s="11"/>
      <c r="G1714" s="2"/>
      <c r="H1714" s="2"/>
      <c r="I1714" s="2"/>
      <c r="J1714" s="67"/>
    </row>
    <row r="1715" spans="1:10" x14ac:dyDescent="0.35">
      <c r="A1715" s="61">
        <v>1711</v>
      </c>
      <c r="B1715" s="2"/>
      <c r="C1715" s="2"/>
      <c r="D1715" s="2"/>
      <c r="E1715" s="10"/>
      <c r="F1715" s="11"/>
      <c r="G1715" s="2"/>
      <c r="H1715" s="2"/>
      <c r="I1715" s="2"/>
      <c r="J1715" s="67"/>
    </row>
    <row r="1716" spans="1:10" x14ac:dyDescent="0.35">
      <c r="A1716" s="61">
        <v>1712</v>
      </c>
      <c r="B1716" s="2"/>
      <c r="C1716" s="2"/>
      <c r="D1716" s="2"/>
      <c r="E1716" s="10"/>
      <c r="F1716" s="11"/>
      <c r="G1716" s="2"/>
      <c r="H1716" s="2"/>
      <c r="I1716" s="2"/>
      <c r="J1716" s="67"/>
    </row>
    <row r="1717" spans="1:10" x14ac:dyDescent="0.35">
      <c r="A1717" s="61">
        <v>1713</v>
      </c>
      <c r="B1717" s="2"/>
      <c r="C1717" s="2"/>
      <c r="D1717" s="2"/>
      <c r="E1717" s="10"/>
      <c r="F1717" s="11"/>
      <c r="G1717" s="2"/>
      <c r="H1717" s="2"/>
      <c r="I1717" s="2"/>
      <c r="J1717" s="67"/>
    </row>
    <row r="1718" spans="1:10" x14ac:dyDescent="0.35">
      <c r="A1718" s="61">
        <v>1714</v>
      </c>
      <c r="B1718" s="2"/>
      <c r="C1718" s="2"/>
      <c r="D1718" s="2"/>
      <c r="E1718" s="10"/>
      <c r="F1718" s="11"/>
      <c r="G1718" s="2"/>
      <c r="H1718" s="2"/>
      <c r="I1718" s="2"/>
      <c r="J1718" s="67"/>
    </row>
    <row r="1719" spans="1:10" x14ac:dyDescent="0.35">
      <c r="A1719" s="61">
        <v>1715</v>
      </c>
      <c r="B1719" s="2"/>
      <c r="C1719" s="2"/>
      <c r="D1719" s="2"/>
      <c r="E1719" s="10"/>
      <c r="F1719" s="11"/>
      <c r="G1719" s="2"/>
      <c r="H1719" s="2"/>
      <c r="I1719" s="2"/>
      <c r="J1719" s="67"/>
    </row>
    <row r="1720" spans="1:10" x14ac:dyDescent="0.35">
      <c r="A1720" s="61">
        <v>1716</v>
      </c>
      <c r="B1720" s="2"/>
      <c r="C1720" s="2"/>
      <c r="D1720" s="2"/>
      <c r="E1720" s="10"/>
      <c r="F1720" s="11"/>
      <c r="G1720" s="2"/>
      <c r="H1720" s="2"/>
      <c r="I1720" s="2"/>
      <c r="J1720" s="67"/>
    </row>
    <row r="1721" spans="1:10" x14ac:dyDescent="0.35">
      <c r="A1721" s="61">
        <v>1717</v>
      </c>
      <c r="B1721" s="2"/>
      <c r="C1721" s="2"/>
      <c r="D1721" s="2"/>
      <c r="E1721" s="10"/>
      <c r="F1721" s="11"/>
      <c r="G1721" s="2"/>
      <c r="H1721" s="2"/>
      <c r="I1721" s="2"/>
      <c r="J1721" s="67"/>
    </row>
    <row r="1722" spans="1:10" x14ac:dyDescent="0.35">
      <c r="A1722" s="61">
        <v>1718</v>
      </c>
      <c r="B1722" s="2"/>
      <c r="C1722" s="2"/>
      <c r="D1722" s="2"/>
      <c r="E1722" s="10"/>
      <c r="F1722" s="11"/>
      <c r="G1722" s="2"/>
      <c r="H1722" s="2"/>
      <c r="I1722" s="2"/>
      <c r="J1722" s="67"/>
    </row>
    <row r="1723" spans="1:10" x14ac:dyDescent="0.35">
      <c r="A1723" s="61">
        <v>1719</v>
      </c>
      <c r="B1723" s="2"/>
      <c r="C1723" s="2"/>
      <c r="D1723" s="2"/>
      <c r="E1723" s="10"/>
      <c r="F1723" s="11"/>
      <c r="G1723" s="2"/>
      <c r="H1723" s="2"/>
      <c r="I1723" s="2"/>
      <c r="J1723" s="67"/>
    </row>
    <row r="1724" spans="1:10" x14ac:dyDescent="0.35">
      <c r="A1724" s="61">
        <v>1720</v>
      </c>
      <c r="B1724" s="2"/>
      <c r="C1724" s="2"/>
      <c r="D1724" s="2"/>
      <c r="E1724" s="10"/>
      <c r="F1724" s="11"/>
      <c r="G1724" s="2"/>
      <c r="H1724" s="2"/>
      <c r="I1724" s="2"/>
      <c r="J1724" s="67"/>
    </row>
    <row r="1725" spans="1:10" x14ac:dyDescent="0.35">
      <c r="A1725" s="61">
        <v>1721</v>
      </c>
      <c r="B1725" s="2"/>
      <c r="C1725" s="2"/>
      <c r="D1725" s="2"/>
      <c r="E1725" s="10"/>
      <c r="F1725" s="11"/>
      <c r="G1725" s="2"/>
      <c r="H1725" s="2"/>
      <c r="I1725" s="2"/>
      <c r="J1725" s="67"/>
    </row>
    <row r="1726" spans="1:10" x14ac:dyDescent="0.35">
      <c r="A1726" s="61">
        <v>1722</v>
      </c>
      <c r="B1726" s="2"/>
      <c r="C1726" s="2"/>
      <c r="D1726" s="2"/>
      <c r="E1726" s="10"/>
      <c r="F1726" s="11"/>
      <c r="G1726" s="2"/>
      <c r="H1726" s="2"/>
      <c r="I1726" s="2"/>
      <c r="J1726" s="67"/>
    </row>
    <row r="1727" spans="1:10" x14ac:dyDescent="0.35">
      <c r="A1727" s="61">
        <v>1723</v>
      </c>
      <c r="B1727" s="2"/>
      <c r="C1727" s="2"/>
      <c r="D1727" s="2"/>
      <c r="E1727" s="10"/>
      <c r="F1727" s="11"/>
      <c r="G1727" s="2"/>
      <c r="H1727" s="2"/>
      <c r="I1727" s="2"/>
      <c r="J1727" s="67"/>
    </row>
    <row r="1728" spans="1:10" x14ac:dyDescent="0.35">
      <c r="A1728" s="61">
        <v>1724</v>
      </c>
      <c r="B1728" s="2"/>
      <c r="C1728" s="2"/>
      <c r="D1728" s="2"/>
      <c r="E1728" s="10"/>
      <c r="F1728" s="11"/>
      <c r="G1728" s="2"/>
      <c r="H1728" s="2"/>
      <c r="I1728" s="2"/>
      <c r="J1728" s="67"/>
    </row>
    <row r="1729" spans="1:10" x14ac:dyDescent="0.35">
      <c r="A1729" s="61">
        <v>1725</v>
      </c>
      <c r="B1729" s="2"/>
      <c r="C1729" s="2"/>
      <c r="D1729" s="2"/>
      <c r="E1729" s="10"/>
      <c r="F1729" s="11"/>
      <c r="G1729" s="2"/>
      <c r="H1729" s="2"/>
      <c r="I1729" s="2"/>
      <c r="J1729" s="67"/>
    </row>
    <row r="1730" spans="1:10" x14ac:dyDescent="0.35">
      <c r="A1730" s="61">
        <v>1726</v>
      </c>
      <c r="B1730" s="2"/>
      <c r="C1730" s="2"/>
      <c r="D1730" s="2"/>
      <c r="E1730" s="10"/>
      <c r="F1730" s="11"/>
      <c r="G1730" s="2"/>
      <c r="H1730" s="2"/>
      <c r="I1730" s="2"/>
      <c r="J1730" s="67"/>
    </row>
    <row r="1731" spans="1:10" x14ac:dyDescent="0.35">
      <c r="A1731" s="61">
        <v>1727</v>
      </c>
      <c r="B1731" s="2"/>
      <c r="C1731" s="2"/>
      <c r="D1731" s="2"/>
      <c r="E1731" s="10"/>
      <c r="F1731" s="11"/>
      <c r="G1731" s="2"/>
      <c r="H1731" s="2"/>
      <c r="I1731" s="2"/>
      <c r="J1731" s="67"/>
    </row>
    <row r="1732" spans="1:10" x14ac:dyDescent="0.35">
      <c r="A1732" s="61">
        <v>1728</v>
      </c>
      <c r="B1732" s="2"/>
      <c r="C1732" s="2"/>
      <c r="D1732" s="2"/>
      <c r="E1732" s="10"/>
      <c r="F1732" s="11"/>
      <c r="G1732" s="2"/>
      <c r="H1732" s="2"/>
      <c r="I1732" s="2"/>
      <c r="J1732" s="67"/>
    </row>
    <row r="1733" spans="1:10" x14ac:dyDescent="0.35">
      <c r="A1733" s="61">
        <v>1729</v>
      </c>
      <c r="B1733" s="2"/>
      <c r="C1733" s="2"/>
      <c r="D1733" s="2"/>
      <c r="E1733" s="10"/>
      <c r="F1733" s="11"/>
      <c r="G1733" s="2"/>
      <c r="H1733" s="2"/>
      <c r="I1733" s="2"/>
      <c r="J1733" s="67"/>
    </row>
    <row r="1734" spans="1:10" x14ac:dyDescent="0.35">
      <c r="A1734" s="61">
        <v>1730</v>
      </c>
      <c r="B1734" s="2"/>
      <c r="C1734" s="2"/>
      <c r="D1734" s="2"/>
      <c r="E1734" s="10"/>
      <c r="F1734" s="11"/>
      <c r="G1734" s="2"/>
      <c r="H1734" s="2"/>
      <c r="I1734" s="2"/>
      <c r="J1734" s="67"/>
    </row>
    <row r="1735" spans="1:10" x14ac:dyDescent="0.35">
      <c r="A1735" s="61">
        <v>1731</v>
      </c>
      <c r="B1735" s="2"/>
      <c r="C1735" s="2"/>
      <c r="D1735" s="2"/>
      <c r="E1735" s="10"/>
      <c r="F1735" s="11"/>
      <c r="G1735" s="2"/>
      <c r="H1735" s="2"/>
      <c r="I1735" s="2"/>
      <c r="J1735" s="67"/>
    </row>
    <row r="1736" spans="1:10" x14ac:dyDescent="0.35">
      <c r="A1736" s="61">
        <v>1732</v>
      </c>
      <c r="B1736" s="2"/>
      <c r="C1736" s="2"/>
      <c r="D1736" s="2"/>
      <c r="E1736" s="10"/>
      <c r="F1736" s="11"/>
      <c r="G1736" s="2"/>
      <c r="H1736" s="2"/>
      <c r="I1736" s="2"/>
      <c r="J1736" s="67"/>
    </row>
    <row r="1737" spans="1:10" x14ac:dyDescent="0.35">
      <c r="A1737" s="61">
        <v>1733</v>
      </c>
      <c r="B1737" s="2"/>
      <c r="C1737" s="2"/>
      <c r="D1737" s="2"/>
      <c r="E1737" s="10"/>
      <c r="F1737" s="11"/>
      <c r="G1737" s="2"/>
      <c r="H1737" s="2"/>
      <c r="I1737" s="2"/>
      <c r="J1737" s="67"/>
    </row>
    <row r="1738" spans="1:10" x14ac:dyDescent="0.35">
      <c r="A1738" s="61">
        <v>1734</v>
      </c>
      <c r="B1738" s="2"/>
      <c r="C1738" s="2"/>
      <c r="D1738" s="2"/>
      <c r="E1738" s="10"/>
      <c r="F1738" s="11"/>
      <c r="G1738" s="2"/>
      <c r="H1738" s="2"/>
      <c r="I1738" s="2"/>
      <c r="J1738" s="67"/>
    </row>
    <row r="1739" spans="1:10" x14ac:dyDescent="0.35">
      <c r="A1739" s="61">
        <v>1735</v>
      </c>
      <c r="B1739" s="2"/>
      <c r="C1739" s="2"/>
      <c r="D1739" s="2"/>
      <c r="E1739" s="10"/>
      <c r="F1739" s="11"/>
      <c r="G1739" s="2"/>
      <c r="H1739" s="2"/>
      <c r="I1739" s="2"/>
      <c r="J1739" s="67"/>
    </row>
    <row r="1740" spans="1:10" x14ac:dyDescent="0.35">
      <c r="A1740" s="61">
        <v>1736</v>
      </c>
      <c r="B1740" s="2"/>
      <c r="C1740" s="2"/>
      <c r="D1740" s="2"/>
      <c r="E1740" s="10"/>
      <c r="F1740" s="11"/>
      <c r="G1740" s="2"/>
      <c r="H1740" s="2"/>
      <c r="I1740" s="2"/>
      <c r="J1740" s="67"/>
    </row>
    <row r="1741" spans="1:10" x14ac:dyDescent="0.35">
      <c r="A1741" s="61">
        <v>1737</v>
      </c>
      <c r="B1741" s="2"/>
      <c r="C1741" s="2"/>
      <c r="D1741" s="2"/>
      <c r="E1741" s="10"/>
      <c r="F1741" s="11"/>
      <c r="G1741" s="2"/>
      <c r="H1741" s="2"/>
      <c r="I1741" s="2"/>
      <c r="J1741" s="67"/>
    </row>
    <row r="1742" spans="1:10" x14ac:dyDescent="0.35">
      <c r="A1742" s="61">
        <v>1738</v>
      </c>
      <c r="B1742" s="2"/>
      <c r="C1742" s="2"/>
      <c r="D1742" s="2"/>
      <c r="E1742" s="10"/>
      <c r="F1742" s="11"/>
      <c r="G1742" s="2"/>
      <c r="H1742" s="2"/>
      <c r="I1742" s="2"/>
      <c r="J1742" s="67"/>
    </row>
    <row r="1743" spans="1:10" x14ac:dyDescent="0.35">
      <c r="A1743" s="61">
        <v>1739</v>
      </c>
      <c r="B1743" s="2"/>
      <c r="C1743" s="2"/>
      <c r="D1743" s="2"/>
      <c r="E1743" s="10"/>
      <c r="F1743" s="11"/>
      <c r="G1743" s="2"/>
      <c r="H1743" s="2"/>
      <c r="I1743" s="2"/>
      <c r="J1743" s="67"/>
    </row>
    <row r="1744" spans="1:10" x14ac:dyDescent="0.35">
      <c r="A1744" s="61">
        <v>1740</v>
      </c>
      <c r="B1744" s="2"/>
      <c r="C1744" s="2"/>
      <c r="D1744" s="2"/>
      <c r="E1744" s="10"/>
      <c r="F1744" s="11"/>
      <c r="G1744" s="2"/>
      <c r="H1744" s="2"/>
      <c r="I1744" s="2"/>
      <c r="J1744" s="67"/>
    </row>
    <row r="1745" spans="1:10" x14ac:dyDescent="0.35">
      <c r="A1745" s="61">
        <v>1741</v>
      </c>
      <c r="B1745" s="2"/>
      <c r="C1745" s="2"/>
      <c r="D1745" s="2"/>
      <c r="E1745" s="10"/>
      <c r="F1745" s="11"/>
      <c r="G1745" s="2"/>
      <c r="H1745" s="2"/>
      <c r="I1745" s="2"/>
      <c r="J1745" s="67"/>
    </row>
    <row r="1746" spans="1:10" x14ac:dyDescent="0.35">
      <c r="A1746" s="61">
        <v>1742</v>
      </c>
      <c r="B1746" s="2"/>
      <c r="C1746" s="2"/>
      <c r="D1746" s="2"/>
      <c r="E1746" s="10"/>
      <c r="F1746" s="11"/>
      <c r="G1746" s="2"/>
      <c r="H1746" s="2"/>
      <c r="I1746" s="2"/>
      <c r="J1746" s="67"/>
    </row>
    <row r="1747" spans="1:10" x14ac:dyDescent="0.35">
      <c r="A1747" s="61">
        <v>1743</v>
      </c>
      <c r="B1747" s="2"/>
      <c r="C1747" s="2"/>
      <c r="D1747" s="2"/>
      <c r="E1747" s="10"/>
      <c r="F1747" s="11"/>
      <c r="G1747" s="2"/>
      <c r="H1747" s="2"/>
      <c r="I1747" s="2"/>
      <c r="J1747" s="67"/>
    </row>
    <row r="1748" spans="1:10" x14ac:dyDescent="0.35">
      <c r="A1748" s="61">
        <v>1744</v>
      </c>
      <c r="B1748" s="2"/>
      <c r="C1748" s="2"/>
      <c r="D1748" s="2"/>
      <c r="E1748" s="10"/>
      <c r="F1748" s="11"/>
      <c r="G1748" s="2"/>
      <c r="H1748" s="2"/>
      <c r="I1748" s="2"/>
      <c r="J1748" s="67"/>
    </row>
    <row r="1749" spans="1:10" x14ac:dyDescent="0.35">
      <c r="A1749" s="61">
        <v>1745</v>
      </c>
      <c r="B1749" s="2"/>
      <c r="C1749" s="2"/>
      <c r="D1749" s="2"/>
      <c r="E1749" s="10"/>
      <c r="F1749" s="11"/>
      <c r="G1749" s="2"/>
      <c r="H1749" s="2"/>
      <c r="I1749" s="2"/>
      <c r="J1749" s="67"/>
    </row>
    <row r="1750" spans="1:10" x14ac:dyDescent="0.35">
      <c r="A1750" s="61">
        <v>1746</v>
      </c>
      <c r="B1750" s="2"/>
      <c r="C1750" s="2"/>
      <c r="D1750" s="2"/>
      <c r="E1750" s="10"/>
      <c r="F1750" s="11"/>
      <c r="G1750" s="2"/>
      <c r="H1750" s="2"/>
      <c r="I1750" s="2"/>
      <c r="J1750" s="67"/>
    </row>
    <row r="1751" spans="1:10" x14ac:dyDescent="0.35">
      <c r="A1751" s="61">
        <v>1747</v>
      </c>
      <c r="B1751" s="2"/>
      <c r="C1751" s="2"/>
      <c r="D1751" s="2"/>
      <c r="E1751" s="10"/>
      <c r="F1751" s="11"/>
      <c r="G1751" s="2"/>
      <c r="H1751" s="2"/>
      <c r="I1751" s="2"/>
      <c r="J1751" s="67"/>
    </row>
    <row r="1752" spans="1:10" x14ac:dyDescent="0.35">
      <c r="A1752" s="61">
        <v>1748</v>
      </c>
      <c r="B1752" s="2"/>
      <c r="C1752" s="2"/>
      <c r="D1752" s="2"/>
      <c r="E1752" s="10"/>
      <c r="F1752" s="11"/>
      <c r="G1752" s="2"/>
      <c r="H1752" s="2"/>
      <c r="I1752" s="2"/>
      <c r="J1752" s="67"/>
    </row>
    <row r="1753" spans="1:10" x14ac:dyDescent="0.35">
      <c r="A1753" s="61">
        <v>1749</v>
      </c>
      <c r="B1753" s="2"/>
      <c r="C1753" s="2"/>
      <c r="D1753" s="2"/>
      <c r="E1753" s="10"/>
      <c r="F1753" s="11"/>
      <c r="G1753" s="2"/>
      <c r="H1753" s="2"/>
      <c r="I1753" s="2"/>
      <c r="J1753" s="67"/>
    </row>
    <row r="1754" spans="1:10" x14ac:dyDescent="0.35">
      <c r="A1754" s="61">
        <v>1750</v>
      </c>
      <c r="B1754" s="2"/>
      <c r="C1754" s="2"/>
      <c r="D1754" s="2"/>
      <c r="E1754" s="10"/>
      <c r="F1754" s="11"/>
      <c r="G1754" s="2"/>
      <c r="H1754" s="2"/>
      <c r="I1754" s="2"/>
      <c r="J1754" s="67"/>
    </row>
    <row r="1755" spans="1:10" x14ac:dyDescent="0.35">
      <c r="A1755" s="61">
        <v>1751</v>
      </c>
      <c r="B1755" s="2"/>
      <c r="C1755" s="2"/>
      <c r="D1755" s="2"/>
      <c r="E1755" s="10"/>
      <c r="F1755" s="11"/>
      <c r="G1755" s="2"/>
      <c r="H1755" s="2"/>
      <c r="I1755" s="2"/>
      <c r="J1755" s="67"/>
    </row>
    <row r="1756" spans="1:10" x14ac:dyDescent="0.35">
      <c r="A1756" s="61">
        <v>1752</v>
      </c>
      <c r="B1756" s="2"/>
      <c r="C1756" s="2"/>
      <c r="D1756" s="2"/>
      <c r="E1756" s="10"/>
      <c r="F1756" s="11"/>
      <c r="G1756" s="2"/>
      <c r="H1756" s="2"/>
      <c r="I1756" s="2"/>
      <c r="J1756" s="67"/>
    </row>
    <row r="1757" spans="1:10" x14ac:dyDescent="0.35">
      <c r="A1757" s="61">
        <v>1753</v>
      </c>
      <c r="B1757" s="2"/>
      <c r="C1757" s="2"/>
      <c r="D1757" s="2"/>
      <c r="E1757" s="10"/>
      <c r="F1757" s="11"/>
      <c r="G1757" s="2"/>
      <c r="H1757" s="2"/>
      <c r="I1757" s="2"/>
      <c r="J1757" s="67"/>
    </row>
    <row r="1758" spans="1:10" x14ac:dyDescent="0.35">
      <c r="A1758" s="61">
        <v>1754</v>
      </c>
      <c r="B1758" s="2"/>
      <c r="C1758" s="2"/>
      <c r="D1758" s="2"/>
      <c r="E1758" s="10"/>
      <c r="F1758" s="11"/>
      <c r="G1758" s="2"/>
      <c r="H1758" s="2"/>
      <c r="I1758" s="2"/>
      <c r="J1758" s="67"/>
    </row>
    <row r="1759" spans="1:10" x14ac:dyDescent="0.35">
      <c r="A1759" s="61">
        <v>1755</v>
      </c>
      <c r="B1759" s="2"/>
      <c r="C1759" s="2"/>
      <c r="D1759" s="2"/>
      <c r="E1759" s="10"/>
      <c r="F1759" s="11"/>
      <c r="G1759" s="2"/>
      <c r="H1759" s="2"/>
      <c r="I1759" s="2"/>
      <c r="J1759" s="67"/>
    </row>
    <row r="1760" spans="1:10" x14ac:dyDescent="0.35">
      <c r="A1760" s="61">
        <v>1756</v>
      </c>
      <c r="B1760" s="2"/>
      <c r="C1760" s="2"/>
      <c r="D1760" s="2"/>
      <c r="E1760" s="10"/>
      <c r="F1760" s="11"/>
      <c r="G1760" s="2"/>
      <c r="H1760" s="2"/>
      <c r="I1760" s="2"/>
      <c r="J1760" s="67"/>
    </row>
    <row r="1761" spans="1:10" x14ac:dyDescent="0.35">
      <c r="A1761" s="61">
        <v>1757</v>
      </c>
      <c r="B1761" s="2"/>
      <c r="C1761" s="2"/>
      <c r="D1761" s="2"/>
      <c r="E1761" s="10"/>
      <c r="F1761" s="11"/>
      <c r="G1761" s="2"/>
      <c r="H1761" s="2"/>
      <c r="I1761" s="2"/>
      <c r="J1761" s="67"/>
    </row>
    <row r="1762" spans="1:10" x14ac:dyDescent="0.35">
      <c r="A1762" s="61">
        <v>1758</v>
      </c>
      <c r="B1762" s="2"/>
      <c r="C1762" s="2"/>
      <c r="D1762" s="2"/>
      <c r="E1762" s="10"/>
      <c r="F1762" s="11"/>
      <c r="G1762" s="2"/>
      <c r="H1762" s="2"/>
      <c r="I1762" s="2"/>
      <c r="J1762" s="67"/>
    </row>
    <row r="1763" spans="1:10" x14ac:dyDescent="0.35">
      <c r="A1763" s="61">
        <v>1759</v>
      </c>
      <c r="B1763" s="2"/>
      <c r="C1763" s="2"/>
      <c r="D1763" s="2"/>
      <c r="E1763" s="10"/>
      <c r="F1763" s="11"/>
      <c r="G1763" s="2"/>
      <c r="H1763" s="2"/>
      <c r="I1763" s="2"/>
      <c r="J1763" s="67"/>
    </row>
    <row r="1764" spans="1:10" x14ac:dyDescent="0.35">
      <c r="A1764" s="61">
        <v>1760</v>
      </c>
      <c r="B1764" s="2"/>
      <c r="C1764" s="2"/>
      <c r="D1764" s="2"/>
      <c r="E1764" s="10"/>
      <c r="F1764" s="11"/>
      <c r="G1764" s="2"/>
      <c r="H1764" s="2"/>
      <c r="I1764" s="2"/>
      <c r="J1764" s="67"/>
    </row>
    <row r="1765" spans="1:10" x14ac:dyDescent="0.35">
      <c r="A1765" s="61">
        <v>1761</v>
      </c>
      <c r="B1765" s="2"/>
      <c r="C1765" s="2"/>
      <c r="D1765" s="2"/>
      <c r="E1765" s="10"/>
      <c r="F1765" s="11"/>
      <c r="G1765" s="2"/>
      <c r="H1765" s="2"/>
      <c r="I1765" s="2"/>
      <c r="J1765" s="67"/>
    </row>
    <row r="1766" spans="1:10" x14ac:dyDescent="0.35">
      <c r="A1766" s="61">
        <v>1762</v>
      </c>
      <c r="B1766" s="2"/>
      <c r="C1766" s="2"/>
      <c r="D1766" s="2"/>
      <c r="E1766" s="10"/>
      <c r="F1766" s="11"/>
      <c r="G1766" s="2"/>
      <c r="H1766" s="2"/>
      <c r="I1766" s="2"/>
      <c r="J1766" s="67"/>
    </row>
    <row r="1767" spans="1:10" x14ac:dyDescent="0.35">
      <c r="A1767" s="61">
        <v>1763</v>
      </c>
      <c r="B1767" s="2"/>
      <c r="C1767" s="2"/>
      <c r="D1767" s="2"/>
      <c r="E1767" s="10"/>
      <c r="F1767" s="11"/>
      <c r="G1767" s="2"/>
      <c r="H1767" s="2"/>
      <c r="I1767" s="2"/>
      <c r="J1767" s="67"/>
    </row>
    <row r="1768" spans="1:10" x14ac:dyDescent="0.35">
      <c r="A1768" s="61">
        <v>1764</v>
      </c>
      <c r="B1768" s="2"/>
      <c r="C1768" s="2"/>
      <c r="D1768" s="2"/>
      <c r="E1768" s="10"/>
      <c r="F1768" s="11"/>
      <c r="G1768" s="2"/>
      <c r="H1768" s="2"/>
      <c r="I1768" s="2"/>
      <c r="J1768" s="67"/>
    </row>
    <row r="1769" spans="1:10" x14ac:dyDescent="0.35">
      <c r="A1769" s="61">
        <v>1765</v>
      </c>
      <c r="B1769" s="2"/>
      <c r="C1769" s="2"/>
      <c r="D1769" s="2"/>
      <c r="E1769" s="10"/>
      <c r="F1769" s="11"/>
      <c r="G1769" s="2"/>
      <c r="H1769" s="2"/>
      <c r="I1769" s="2"/>
      <c r="J1769" s="67"/>
    </row>
    <row r="1770" spans="1:10" x14ac:dyDescent="0.35">
      <c r="A1770" s="61">
        <v>1766</v>
      </c>
      <c r="B1770" s="2"/>
      <c r="C1770" s="2"/>
      <c r="D1770" s="2"/>
      <c r="E1770" s="10"/>
      <c r="F1770" s="11"/>
      <c r="G1770" s="2"/>
      <c r="H1770" s="2"/>
      <c r="I1770" s="2"/>
      <c r="J1770" s="67"/>
    </row>
    <row r="1771" spans="1:10" x14ac:dyDescent="0.35">
      <c r="A1771" s="61">
        <v>1767</v>
      </c>
      <c r="B1771" s="2"/>
      <c r="C1771" s="2"/>
      <c r="D1771" s="2"/>
      <c r="E1771" s="10"/>
      <c r="F1771" s="11"/>
      <c r="G1771" s="2"/>
      <c r="H1771" s="2"/>
      <c r="I1771" s="2"/>
      <c r="J1771" s="67"/>
    </row>
    <row r="1772" spans="1:10" x14ac:dyDescent="0.35">
      <c r="A1772" s="61">
        <v>1768</v>
      </c>
      <c r="B1772" s="2"/>
      <c r="C1772" s="2"/>
      <c r="D1772" s="2"/>
      <c r="E1772" s="10"/>
      <c r="F1772" s="11"/>
      <c r="G1772" s="2"/>
      <c r="H1772" s="2"/>
      <c r="I1772" s="2"/>
      <c r="J1772" s="67"/>
    </row>
    <row r="1773" spans="1:10" x14ac:dyDescent="0.35">
      <c r="A1773" s="61">
        <v>1769</v>
      </c>
      <c r="B1773" s="2"/>
      <c r="C1773" s="2"/>
      <c r="D1773" s="2"/>
      <c r="E1773" s="10"/>
      <c r="F1773" s="11"/>
      <c r="G1773" s="2"/>
      <c r="H1773" s="2"/>
      <c r="I1773" s="2"/>
      <c r="J1773" s="67"/>
    </row>
    <row r="1774" spans="1:10" x14ac:dyDescent="0.35">
      <c r="A1774" s="61">
        <v>1770</v>
      </c>
      <c r="B1774" s="2"/>
      <c r="C1774" s="2"/>
      <c r="D1774" s="2"/>
      <c r="E1774" s="10"/>
      <c r="F1774" s="11"/>
      <c r="G1774" s="2"/>
      <c r="H1774" s="2"/>
      <c r="I1774" s="2"/>
      <c r="J1774" s="67"/>
    </row>
    <row r="1775" spans="1:10" x14ac:dyDescent="0.35">
      <c r="A1775" s="61">
        <v>1771</v>
      </c>
      <c r="B1775" s="2"/>
      <c r="C1775" s="2"/>
      <c r="D1775" s="2"/>
      <c r="E1775" s="10"/>
      <c r="F1775" s="11"/>
      <c r="G1775" s="2"/>
      <c r="H1775" s="2"/>
      <c r="I1775" s="2"/>
      <c r="J1775" s="67"/>
    </row>
    <row r="1776" spans="1:10" x14ac:dyDescent="0.35">
      <c r="A1776" s="61">
        <v>1772</v>
      </c>
      <c r="B1776" s="2"/>
      <c r="C1776" s="2"/>
      <c r="D1776" s="2"/>
      <c r="E1776" s="10"/>
      <c r="F1776" s="11"/>
      <c r="G1776" s="2"/>
      <c r="H1776" s="2"/>
      <c r="I1776" s="2"/>
      <c r="J1776" s="67"/>
    </row>
    <row r="1777" spans="1:10" x14ac:dyDescent="0.35">
      <c r="A1777" s="61">
        <v>1773</v>
      </c>
      <c r="B1777" s="2"/>
      <c r="C1777" s="2"/>
      <c r="D1777" s="2"/>
      <c r="E1777" s="10"/>
      <c r="F1777" s="11"/>
      <c r="G1777" s="2"/>
      <c r="H1777" s="2"/>
      <c r="I1777" s="2"/>
      <c r="J1777" s="67"/>
    </row>
    <row r="1778" spans="1:10" x14ac:dyDescent="0.35">
      <c r="A1778" s="61">
        <v>1774</v>
      </c>
      <c r="B1778" s="2"/>
      <c r="C1778" s="2"/>
      <c r="D1778" s="2"/>
      <c r="E1778" s="10"/>
      <c r="F1778" s="11"/>
      <c r="G1778" s="2"/>
      <c r="H1778" s="2"/>
      <c r="I1778" s="2"/>
      <c r="J1778" s="67"/>
    </row>
    <row r="1779" spans="1:10" x14ac:dyDescent="0.35">
      <c r="A1779" s="61">
        <v>1775</v>
      </c>
      <c r="B1779" s="2"/>
      <c r="C1779" s="2"/>
      <c r="D1779" s="2"/>
      <c r="E1779" s="10"/>
      <c r="F1779" s="11"/>
      <c r="G1779" s="2"/>
      <c r="H1779" s="2"/>
      <c r="I1779" s="2"/>
      <c r="J1779" s="67"/>
    </row>
    <row r="1780" spans="1:10" x14ac:dyDescent="0.35">
      <c r="A1780" s="61">
        <v>1776</v>
      </c>
      <c r="B1780" s="2"/>
      <c r="C1780" s="2"/>
      <c r="D1780" s="2"/>
      <c r="E1780" s="10"/>
      <c r="F1780" s="11"/>
      <c r="G1780" s="2"/>
      <c r="H1780" s="2"/>
      <c r="I1780" s="2"/>
      <c r="J1780" s="67"/>
    </row>
    <row r="1781" spans="1:10" x14ac:dyDescent="0.35">
      <c r="A1781" s="61">
        <v>1777</v>
      </c>
      <c r="B1781" s="2"/>
      <c r="C1781" s="2"/>
      <c r="D1781" s="2"/>
      <c r="E1781" s="10"/>
      <c r="F1781" s="11"/>
      <c r="G1781" s="2"/>
      <c r="H1781" s="2"/>
      <c r="I1781" s="2"/>
      <c r="J1781" s="67"/>
    </row>
    <row r="1782" spans="1:10" x14ac:dyDescent="0.35">
      <c r="A1782" s="61">
        <v>1778</v>
      </c>
      <c r="B1782" s="2"/>
      <c r="C1782" s="2"/>
      <c r="D1782" s="2"/>
      <c r="E1782" s="10"/>
      <c r="F1782" s="11"/>
      <c r="G1782" s="2"/>
      <c r="H1782" s="2"/>
      <c r="I1782" s="2"/>
      <c r="J1782" s="67"/>
    </row>
    <row r="1783" spans="1:10" x14ac:dyDescent="0.35">
      <c r="A1783" s="61">
        <v>1779</v>
      </c>
      <c r="B1783" s="2"/>
      <c r="C1783" s="2"/>
      <c r="D1783" s="2"/>
      <c r="E1783" s="10"/>
      <c r="F1783" s="11"/>
      <c r="G1783" s="2"/>
      <c r="H1783" s="2"/>
      <c r="I1783" s="2"/>
      <c r="J1783" s="67"/>
    </row>
    <row r="1784" spans="1:10" x14ac:dyDescent="0.35">
      <c r="A1784" s="61">
        <v>1780</v>
      </c>
      <c r="B1784" s="2"/>
      <c r="C1784" s="2"/>
      <c r="D1784" s="2"/>
      <c r="E1784" s="10"/>
      <c r="F1784" s="11"/>
      <c r="G1784" s="2"/>
      <c r="H1784" s="2"/>
      <c r="I1784" s="2"/>
      <c r="J1784" s="67"/>
    </row>
    <row r="1785" spans="1:10" x14ac:dyDescent="0.35">
      <c r="A1785" s="61">
        <v>1781</v>
      </c>
      <c r="B1785" s="2"/>
      <c r="C1785" s="2"/>
      <c r="D1785" s="2"/>
      <c r="E1785" s="10"/>
      <c r="F1785" s="11"/>
      <c r="G1785" s="2"/>
      <c r="H1785" s="2"/>
      <c r="I1785" s="2"/>
      <c r="J1785" s="67"/>
    </row>
    <row r="1786" spans="1:10" x14ac:dyDescent="0.35">
      <c r="A1786" s="61">
        <v>1782</v>
      </c>
      <c r="B1786" s="2"/>
      <c r="C1786" s="2"/>
      <c r="D1786" s="2"/>
      <c r="E1786" s="10"/>
      <c r="F1786" s="11"/>
      <c r="G1786" s="2"/>
      <c r="H1786" s="2"/>
      <c r="I1786" s="2"/>
      <c r="J1786" s="67"/>
    </row>
    <row r="1787" spans="1:10" x14ac:dyDescent="0.35">
      <c r="A1787" s="61">
        <v>1783</v>
      </c>
      <c r="B1787" s="2"/>
      <c r="C1787" s="2"/>
      <c r="D1787" s="2"/>
      <c r="E1787" s="10"/>
      <c r="F1787" s="11"/>
      <c r="G1787" s="2"/>
      <c r="H1787" s="2"/>
      <c r="I1787" s="2"/>
      <c r="J1787" s="67"/>
    </row>
    <row r="1788" spans="1:10" x14ac:dyDescent="0.35">
      <c r="A1788" s="61">
        <v>1784</v>
      </c>
      <c r="B1788" s="2"/>
      <c r="C1788" s="2"/>
      <c r="D1788" s="2"/>
      <c r="E1788" s="10"/>
      <c r="F1788" s="11"/>
      <c r="G1788" s="2"/>
      <c r="H1788" s="2"/>
      <c r="I1788" s="2"/>
      <c r="J1788" s="67"/>
    </row>
    <row r="1789" spans="1:10" x14ac:dyDescent="0.35">
      <c r="A1789" s="61">
        <v>1785</v>
      </c>
      <c r="B1789" s="2"/>
      <c r="C1789" s="2"/>
      <c r="D1789" s="2"/>
      <c r="E1789" s="10"/>
      <c r="F1789" s="11"/>
      <c r="G1789" s="2"/>
      <c r="H1789" s="2"/>
      <c r="I1789" s="2"/>
      <c r="J1789" s="67"/>
    </row>
    <row r="1790" spans="1:10" x14ac:dyDescent="0.35">
      <c r="A1790" s="61">
        <v>1786</v>
      </c>
      <c r="B1790" s="2"/>
      <c r="C1790" s="2"/>
      <c r="D1790" s="2"/>
      <c r="E1790" s="10"/>
      <c r="F1790" s="11"/>
      <c r="G1790" s="2"/>
      <c r="H1790" s="2"/>
      <c r="I1790" s="2"/>
      <c r="J1790" s="67"/>
    </row>
    <row r="1791" spans="1:10" x14ac:dyDescent="0.35">
      <c r="A1791" s="61">
        <v>1787</v>
      </c>
      <c r="B1791" s="2"/>
      <c r="C1791" s="2"/>
      <c r="D1791" s="2"/>
      <c r="E1791" s="10"/>
      <c r="F1791" s="11"/>
      <c r="G1791" s="2"/>
      <c r="H1791" s="2"/>
      <c r="I1791" s="2"/>
      <c r="J1791" s="67"/>
    </row>
    <row r="1792" spans="1:10" x14ac:dyDescent="0.35">
      <c r="A1792" s="61">
        <v>1788</v>
      </c>
      <c r="B1792" s="2"/>
      <c r="C1792" s="2"/>
      <c r="D1792" s="2"/>
      <c r="E1792" s="10"/>
      <c r="F1792" s="11"/>
      <c r="G1792" s="2"/>
      <c r="H1792" s="2"/>
      <c r="I1792" s="2"/>
      <c r="J1792" s="67"/>
    </row>
    <row r="1793" spans="1:10" x14ac:dyDescent="0.35">
      <c r="A1793" s="61">
        <v>1789</v>
      </c>
      <c r="B1793" s="2"/>
      <c r="C1793" s="2"/>
      <c r="D1793" s="2"/>
      <c r="E1793" s="10"/>
      <c r="F1793" s="11"/>
      <c r="G1793" s="2"/>
      <c r="H1793" s="2"/>
      <c r="I1793" s="2"/>
      <c r="J1793" s="67"/>
    </row>
    <row r="1794" spans="1:10" x14ac:dyDescent="0.35">
      <c r="A1794" s="61">
        <v>1790</v>
      </c>
      <c r="B1794" s="2"/>
      <c r="C1794" s="2"/>
      <c r="D1794" s="2"/>
      <c r="E1794" s="10"/>
      <c r="F1794" s="11"/>
      <c r="G1794" s="2"/>
      <c r="H1794" s="2"/>
      <c r="I1794" s="2"/>
      <c r="J1794" s="67"/>
    </row>
    <row r="1795" spans="1:10" x14ac:dyDescent="0.35">
      <c r="A1795" s="61">
        <v>1791</v>
      </c>
      <c r="B1795" s="2"/>
      <c r="C1795" s="2"/>
      <c r="D1795" s="2"/>
      <c r="E1795" s="10"/>
      <c r="F1795" s="11"/>
      <c r="G1795" s="2"/>
      <c r="H1795" s="2"/>
      <c r="I1795" s="2"/>
      <c r="J1795" s="67"/>
    </row>
    <row r="1796" spans="1:10" x14ac:dyDescent="0.35">
      <c r="A1796" s="61">
        <v>1792</v>
      </c>
      <c r="B1796" s="2"/>
      <c r="C1796" s="2"/>
      <c r="D1796" s="2"/>
      <c r="E1796" s="10"/>
      <c r="F1796" s="11"/>
      <c r="G1796" s="2"/>
      <c r="H1796" s="2"/>
      <c r="I1796" s="2"/>
      <c r="J1796" s="67"/>
    </row>
    <row r="1797" spans="1:10" x14ac:dyDescent="0.35">
      <c r="A1797" s="61">
        <v>1793</v>
      </c>
      <c r="B1797" s="2"/>
      <c r="C1797" s="2"/>
      <c r="D1797" s="2"/>
      <c r="E1797" s="10"/>
      <c r="F1797" s="11"/>
      <c r="G1797" s="2"/>
      <c r="H1797" s="2"/>
      <c r="I1797" s="2"/>
      <c r="J1797" s="67"/>
    </row>
    <row r="1798" spans="1:10" x14ac:dyDescent="0.35">
      <c r="A1798" s="61">
        <v>1794</v>
      </c>
      <c r="B1798" s="2"/>
      <c r="C1798" s="2"/>
      <c r="D1798" s="2"/>
      <c r="E1798" s="10"/>
      <c r="F1798" s="11"/>
      <c r="G1798" s="2"/>
      <c r="H1798" s="2"/>
      <c r="I1798" s="2"/>
      <c r="J1798" s="67"/>
    </row>
    <row r="1799" spans="1:10" x14ac:dyDescent="0.35">
      <c r="A1799" s="61">
        <v>1795</v>
      </c>
      <c r="B1799" s="2"/>
      <c r="C1799" s="2"/>
      <c r="D1799" s="2"/>
      <c r="E1799" s="10"/>
      <c r="F1799" s="11"/>
      <c r="G1799" s="2"/>
      <c r="H1799" s="2"/>
      <c r="I1799" s="2"/>
      <c r="J1799" s="67"/>
    </row>
    <row r="1800" spans="1:10" x14ac:dyDescent="0.35">
      <c r="A1800" s="61">
        <v>1796</v>
      </c>
      <c r="B1800" s="2"/>
      <c r="C1800" s="2"/>
      <c r="D1800" s="2"/>
      <c r="E1800" s="10"/>
      <c r="F1800" s="11"/>
      <c r="G1800" s="2"/>
      <c r="H1800" s="2"/>
      <c r="I1800" s="2"/>
      <c r="J1800" s="67"/>
    </row>
    <row r="1801" spans="1:10" x14ac:dyDescent="0.35">
      <c r="A1801" s="61">
        <v>1797</v>
      </c>
      <c r="B1801" s="2"/>
      <c r="C1801" s="2"/>
      <c r="D1801" s="2"/>
      <c r="E1801" s="10"/>
      <c r="F1801" s="11"/>
      <c r="G1801" s="2"/>
      <c r="H1801" s="2"/>
      <c r="I1801" s="2"/>
      <c r="J1801" s="67"/>
    </row>
    <row r="1802" spans="1:10" x14ac:dyDescent="0.35">
      <c r="A1802" s="61">
        <v>1798</v>
      </c>
      <c r="B1802" s="2"/>
      <c r="C1802" s="2"/>
      <c r="D1802" s="2"/>
      <c r="E1802" s="10"/>
      <c r="F1802" s="11"/>
      <c r="G1802" s="2"/>
      <c r="H1802" s="2"/>
      <c r="I1802" s="2"/>
      <c r="J1802" s="67"/>
    </row>
    <row r="1803" spans="1:10" x14ac:dyDescent="0.35">
      <c r="A1803" s="61">
        <v>1799</v>
      </c>
      <c r="B1803" s="2"/>
      <c r="C1803" s="2"/>
      <c r="D1803" s="2"/>
      <c r="E1803" s="10"/>
      <c r="F1803" s="11"/>
      <c r="G1803" s="2"/>
      <c r="H1803" s="2"/>
      <c r="I1803" s="2"/>
      <c r="J1803" s="67"/>
    </row>
    <row r="1804" spans="1:10" x14ac:dyDescent="0.35">
      <c r="A1804" s="61">
        <v>1800</v>
      </c>
      <c r="B1804" s="2"/>
      <c r="C1804" s="2"/>
      <c r="D1804" s="2"/>
      <c r="E1804" s="10"/>
      <c r="F1804" s="11"/>
      <c r="G1804" s="2"/>
      <c r="H1804" s="2"/>
      <c r="I1804" s="2"/>
      <c r="J1804" s="67"/>
    </row>
    <row r="1805" spans="1:10" x14ac:dyDescent="0.35">
      <c r="A1805" s="61">
        <v>1801</v>
      </c>
      <c r="B1805" s="2"/>
      <c r="C1805" s="2"/>
      <c r="D1805" s="2"/>
      <c r="E1805" s="10"/>
      <c r="F1805" s="11"/>
      <c r="G1805" s="2"/>
      <c r="H1805" s="2"/>
      <c r="I1805" s="2"/>
      <c r="J1805" s="67"/>
    </row>
    <row r="1806" spans="1:10" x14ac:dyDescent="0.35">
      <c r="A1806" s="61">
        <v>1802</v>
      </c>
      <c r="B1806" s="2"/>
      <c r="C1806" s="2"/>
      <c r="D1806" s="2"/>
      <c r="E1806" s="10"/>
      <c r="F1806" s="11"/>
      <c r="G1806" s="2"/>
      <c r="H1806" s="2"/>
      <c r="I1806" s="2"/>
      <c r="J1806" s="67"/>
    </row>
    <row r="1807" spans="1:10" x14ac:dyDescent="0.35">
      <c r="A1807" s="61">
        <v>1803</v>
      </c>
      <c r="B1807" s="2"/>
      <c r="C1807" s="2"/>
      <c r="D1807" s="2"/>
      <c r="E1807" s="10"/>
      <c r="F1807" s="11"/>
      <c r="G1807" s="2"/>
      <c r="H1807" s="2"/>
      <c r="I1807" s="2"/>
      <c r="J1807" s="67"/>
    </row>
    <row r="1808" spans="1:10" x14ac:dyDescent="0.35">
      <c r="A1808" s="61">
        <v>1804</v>
      </c>
      <c r="B1808" s="2"/>
      <c r="C1808" s="2"/>
      <c r="D1808" s="2"/>
      <c r="E1808" s="10"/>
      <c r="F1808" s="11"/>
      <c r="G1808" s="2"/>
      <c r="H1808" s="2"/>
      <c r="I1808" s="2"/>
      <c r="J1808" s="67"/>
    </row>
    <row r="1809" spans="1:10" x14ac:dyDescent="0.35">
      <c r="A1809" s="61">
        <v>1805</v>
      </c>
      <c r="B1809" s="2"/>
      <c r="C1809" s="2"/>
      <c r="D1809" s="2"/>
      <c r="E1809" s="10"/>
      <c r="F1809" s="11"/>
      <c r="G1809" s="2"/>
      <c r="H1809" s="2"/>
      <c r="I1809" s="2"/>
      <c r="J1809" s="67"/>
    </row>
    <row r="1810" spans="1:10" x14ac:dyDescent="0.35">
      <c r="A1810" s="61">
        <v>1806</v>
      </c>
      <c r="B1810" s="2"/>
      <c r="C1810" s="2"/>
      <c r="D1810" s="2"/>
      <c r="E1810" s="10"/>
      <c r="F1810" s="11"/>
      <c r="G1810" s="2"/>
      <c r="H1810" s="2"/>
      <c r="I1810" s="2"/>
      <c r="J1810" s="67"/>
    </row>
    <row r="1811" spans="1:10" x14ac:dyDescent="0.35">
      <c r="A1811" s="61">
        <v>1807</v>
      </c>
      <c r="B1811" s="2"/>
      <c r="C1811" s="2"/>
      <c r="D1811" s="2"/>
      <c r="E1811" s="10"/>
      <c r="F1811" s="11"/>
      <c r="G1811" s="2"/>
      <c r="H1811" s="2"/>
      <c r="I1811" s="2"/>
      <c r="J1811" s="67"/>
    </row>
    <row r="1812" spans="1:10" x14ac:dyDescent="0.35">
      <c r="A1812" s="61">
        <v>1808</v>
      </c>
      <c r="B1812" s="2"/>
      <c r="C1812" s="2"/>
      <c r="D1812" s="2"/>
      <c r="E1812" s="10"/>
      <c r="F1812" s="11"/>
      <c r="G1812" s="2"/>
      <c r="H1812" s="2"/>
      <c r="I1812" s="2"/>
      <c r="J1812" s="67"/>
    </row>
    <row r="1813" spans="1:10" x14ac:dyDescent="0.35">
      <c r="A1813" s="61">
        <v>1809</v>
      </c>
      <c r="B1813" s="2"/>
      <c r="C1813" s="2"/>
      <c r="D1813" s="2"/>
      <c r="E1813" s="10"/>
      <c r="F1813" s="11"/>
      <c r="G1813" s="2"/>
      <c r="H1813" s="2"/>
      <c r="I1813" s="2"/>
      <c r="J1813" s="67"/>
    </row>
    <row r="1814" spans="1:10" x14ac:dyDescent="0.35">
      <c r="A1814" s="61">
        <v>1810</v>
      </c>
      <c r="B1814" s="2"/>
      <c r="C1814" s="2"/>
      <c r="D1814" s="2"/>
      <c r="E1814" s="10"/>
      <c r="F1814" s="11"/>
      <c r="G1814" s="2"/>
      <c r="H1814" s="2"/>
      <c r="I1814" s="2"/>
      <c r="J1814" s="67"/>
    </row>
    <row r="1815" spans="1:10" x14ac:dyDescent="0.35">
      <c r="A1815" s="61">
        <v>1811</v>
      </c>
      <c r="B1815" s="2"/>
      <c r="C1815" s="2"/>
      <c r="D1815" s="2"/>
      <c r="E1815" s="10"/>
      <c r="F1815" s="11"/>
      <c r="G1815" s="2"/>
      <c r="H1815" s="2"/>
      <c r="I1815" s="2"/>
      <c r="J1815" s="67"/>
    </row>
    <row r="1816" spans="1:10" x14ac:dyDescent="0.35">
      <c r="A1816" s="61">
        <v>1812</v>
      </c>
      <c r="B1816" s="2"/>
      <c r="C1816" s="2"/>
      <c r="D1816" s="2"/>
      <c r="E1816" s="10"/>
      <c r="F1816" s="11"/>
      <c r="G1816" s="2"/>
      <c r="H1816" s="2"/>
      <c r="I1816" s="2"/>
      <c r="J1816" s="67"/>
    </row>
    <row r="1817" spans="1:10" x14ac:dyDescent="0.35">
      <c r="A1817" s="61">
        <v>1813</v>
      </c>
      <c r="B1817" s="2"/>
      <c r="C1817" s="2"/>
      <c r="D1817" s="2"/>
      <c r="E1817" s="10"/>
      <c r="F1817" s="11"/>
      <c r="G1817" s="2"/>
      <c r="H1817" s="2"/>
      <c r="I1817" s="2"/>
      <c r="J1817" s="67"/>
    </row>
    <row r="1818" spans="1:10" x14ac:dyDescent="0.35">
      <c r="A1818" s="61">
        <v>1814</v>
      </c>
      <c r="B1818" s="2"/>
      <c r="C1818" s="2"/>
      <c r="D1818" s="2"/>
      <c r="E1818" s="10"/>
      <c r="F1818" s="11"/>
      <c r="G1818" s="2"/>
      <c r="H1818" s="2"/>
      <c r="I1818" s="2"/>
      <c r="J1818" s="67"/>
    </row>
    <row r="1819" spans="1:10" x14ac:dyDescent="0.35">
      <c r="A1819" s="61">
        <v>1815</v>
      </c>
      <c r="B1819" s="2"/>
      <c r="C1819" s="2"/>
      <c r="D1819" s="2"/>
      <c r="E1819" s="10"/>
      <c r="F1819" s="11"/>
      <c r="G1819" s="2"/>
      <c r="H1819" s="2"/>
      <c r="I1819" s="2"/>
      <c r="J1819" s="67"/>
    </row>
    <row r="1820" spans="1:10" x14ac:dyDescent="0.35">
      <c r="A1820" s="61">
        <v>1816</v>
      </c>
      <c r="B1820" s="2"/>
      <c r="C1820" s="2"/>
      <c r="D1820" s="2"/>
      <c r="E1820" s="10"/>
      <c r="F1820" s="11"/>
      <c r="G1820" s="2"/>
      <c r="H1820" s="2"/>
      <c r="I1820" s="2"/>
      <c r="J1820" s="67"/>
    </row>
    <row r="1821" spans="1:10" x14ac:dyDescent="0.35">
      <c r="A1821" s="61">
        <v>1817</v>
      </c>
      <c r="B1821" s="2"/>
      <c r="C1821" s="2"/>
      <c r="D1821" s="2"/>
      <c r="E1821" s="10"/>
      <c r="F1821" s="11"/>
      <c r="G1821" s="2"/>
      <c r="H1821" s="2"/>
      <c r="I1821" s="2"/>
      <c r="J1821" s="67"/>
    </row>
    <row r="1822" spans="1:10" x14ac:dyDescent="0.35">
      <c r="A1822" s="61">
        <v>1818</v>
      </c>
      <c r="B1822" s="2"/>
      <c r="C1822" s="2"/>
      <c r="D1822" s="2"/>
      <c r="E1822" s="10"/>
      <c r="F1822" s="11"/>
      <c r="G1822" s="2"/>
      <c r="H1822" s="2"/>
      <c r="I1822" s="2"/>
      <c r="J1822" s="67"/>
    </row>
    <row r="1823" spans="1:10" x14ac:dyDescent="0.35">
      <c r="A1823" s="61">
        <v>1819</v>
      </c>
      <c r="B1823" s="2"/>
      <c r="C1823" s="2"/>
      <c r="D1823" s="2"/>
      <c r="E1823" s="10"/>
      <c r="F1823" s="11"/>
      <c r="G1823" s="2"/>
      <c r="H1823" s="2"/>
      <c r="I1823" s="2"/>
      <c r="J1823" s="67"/>
    </row>
    <row r="1824" spans="1:10" x14ac:dyDescent="0.35">
      <c r="A1824" s="61">
        <v>1820</v>
      </c>
      <c r="B1824" s="2"/>
      <c r="C1824" s="2"/>
      <c r="D1824" s="2"/>
      <c r="E1824" s="10"/>
      <c r="F1824" s="11"/>
      <c r="G1824" s="2"/>
      <c r="H1824" s="2"/>
      <c r="I1824" s="2"/>
      <c r="J1824" s="67"/>
    </row>
    <row r="1825" spans="1:10" x14ac:dyDescent="0.35">
      <c r="A1825" s="61">
        <v>1821</v>
      </c>
      <c r="B1825" s="2"/>
      <c r="C1825" s="2"/>
      <c r="D1825" s="2"/>
      <c r="E1825" s="10"/>
      <c r="F1825" s="11"/>
      <c r="G1825" s="2"/>
      <c r="H1825" s="2"/>
      <c r="I1825" s="2"/>
      <c r="J1825" s="67"/>
    </row>
    <row r="1826" spans="1:10" x14ac:dyDescent="0.35">
      <c r="A1826" s="61">
        <v>1822</v>
      </c>
      <c r="B1826" s="2"/>
      <c r="C1826" s="2"/>
      <c r="D1826" s="2"/>
      <c r="E1826" s="10"/>
      <c r="F1826" s="11"/>
      <c r="G1826" s="2"/>
      <c r="H1826" s="2"/>
      <c r="I1826" s="2"/>
      <c r="J1826" s="67"/>
    </row>
    <row r="1827" spans="1:10" x14ac:dyDescent="0.35">
      <c r="A1827" s="61">
        <v>1823</v>
      </c>
      <c r="B1827" s="2"/>
      <c r="C1827" s="2"/>
      <c r="D1827" s="2"/>
      <c r="E1827" s="10"/>
      <c r="F1827" s="11"/>
      <c r="G1827" s="2"/>
      <c r="H1827" s="2"/>
      <c r="I1827" s="2"/>
      <c r="J1827" s="67"/>
    </row>
    <row r="1828" spans="1:10" x14ac:dyDescent="0.35">
      <c r="A1828" s="61">
        <v>1824</v>
      </c>
      <c r="B1828" s="2"/>
      <c r="C1828" s="2"/>
      <c r="D1828" s="2"/>
      <c r="E1828" s="10"/>
      <c r="F1828" s="11"/>
      <c r="G1828" s="2"/>
      <c r="H1828" s="2"/>
      <c r="I1828" s="2"/>
      <c r="J1828" s="67"/>
    </row>
    <row r="1829" spans="1:10" x14ac:dyDescent="0.35">
      <c r="A1829" s="61">
        <v>1825</v>
      </c>
      <c r="B1829" s="2"/>
      <c r="C1829" s="2"/>
      <c r="D1829" s="2"/>
      <c r="E1829" s="10"/>
      <c r="F1829" s="11"/>
      <c r="G1829" s="2"/>
      <c r="H1829" s="2"/>
      <c r="I1829" s="2"/>
      <c r="J1829" s="67"/>
    </row>
    <row r="1830" spans="1:10" x14ac:dyDescent="0.35">
      <c r="A1830" s="61">
        <v>1826</v>
      </c>
      <c r="B1830" s="2"/>
      <c r="C1830" s="2"/>
      <c r="D1830" s="2"/>
      <c r="E1830" s="10"/>
      <c r="F1830" s="11"/>
      <c r="G1830" s="2"/>
      <c r="H1830" s="2"/>
      <c r="I1830" s="2"/>
      <c r="J1830" s="67"/>
    </row>
    <row r="1831" spans="1:10" x14ac:dyDescent="0.35">
      <c r="A1831" s="61">
        <v>1827</v>
      </c>
      <c r="B1831" s="2"/>
      <c r="C1831" s="2"/>
      <c r="D1831" s="2"/>
      <c r="E1831" s="10"/>
      <c r="F1831" s="11"/>
      <c r="G1831" s="2"/>
      <c r="H1831" s="2"/>
      <c r="I1831" s="2"/>
      <c r="J1831" s="67"/>
    </row>
    <row r="1832" spans="1:10" x14ac:dyDescent="0.35">
      <c r="A1832" s="61">
        <v>1828</v>
      </c>
      <c r="B1832" s="2"/>
      <c r="C1832" s="2"/>
      <c r="D1832" s="2"/>
      <c r="E1832" s="10"/>
      <c r="F1832" s="11"/>
      <c r="G1832" s="2"/>
      <c r="H1832" s="2"/>
      <c r="I1832" s="2"/>
      <c r="J1832" s="67"/>
    </row>
    <row r="1833" spans="1:10" x14ac:dyDescent="0.35">
      <c r="A1833" s="61">
        <v>1829</v>
      </c>
      <c r="B1833" s="2"/>
      <c r="C1833" s="2"/>
      <c r="D1833" s="2"/>
      <c r="E1833" s="10"/>
      <c r="F1833" s="11"/>
      <c r="G1833" s="2"/>
      <c r="H1833" s="2"/>
      <c r="I1833" s="2"/>
      <c r="J1833" s="67"/>
    </row>
    <row r="1834" spans="1:10" x14ac:dyDescent="0.35">
      <c r="A1834" s="61">
        <v>1830</v>
      </c>
      <c r="B1834" s="2"/>
      <c r="C1834" s="2"/>
      <c r="D1834" s="2"/>
      <c r="E1834" s="10"/>
      <c r="F1834" s="11"/>
      <c r="G1834" s="2"/>
      <c r="H1834" s="2"/>
      <c r="I1834" s="2"/>
      <c r="J1834" s="67"/>
    </row>
    <row r="1835" spans="1:10" x14ac:dyDescent="0.35">
      <c r="A1835" s="61">
        <v>1831</v>
      </c>
      <c r="B1835" s="2"/>
      <c r="C1835" s="2"/>
      <c r="D1835" s="2"/>
      <c r="E1835" s="10"/>
      <c r="F1835" s="11"/>
      <c r="G1835" s="2"/>
      <c r="H1835" s="2"/>
      <c r="I1835" s="2"/>
      <c r="J1835" s="67"/>
    </row>
    <row r="1836" spans="1:10" x14ac:dyDescent="0.35">
      <c r="A1836" s="61">
        <v>1832</v>
      </c>
      <c r="B1836" s="2"/>
      <c r="C1836" s="2"/>
      <c r="D1836" s="2"/>
      <c r="E1836" s="10"/>
      <c r="F1836" s="11"/>
      <c r="G1836" s="2"/>
      <c r="H1836" s="2"/>
      <c r="I1836" s="2"/>
      <c r="J1836" s="67"/>
    </row>
    <row r="1837" spans="1:10" x14ac:dyDescent="0.35">
      <c r="A1837" s="61">
        <v>1833</v>
      </c>
      <c r="B1837" s="2"/>
      <c r="C1837" s="2"/>
      <c r="D1837" s="2"/>
      <c r="E1837" s="10"/>
      <c r="F1837" s="11"/>
      <c r="G1837" s="2"/>
      <c r="H1837" s="2"/>
      <c r="I1837" s="2"/>
      <c r="J1837" s="67"/>
    </row>
    <row r="1838" spans="1:10" x14ac:dyDescent="0.35">
      <c r="A1838" s="61">
        <v>1834</v>
      </c>
      <c r="B1838" s="2"/>
      <c r="C1838" s="2"/>
      <c r="D1838" s="2"/>
      <c r="E1838" s="10"/>
      <c r="F1838" s="11"/>
      <c r="G1838" s="2"/>
      <c r="H1838" s="2"/>
      <c r="I1838" s="2"/>
      <c r="J1838" s="67"/>
    </row>
    <row r="1839" spans="1:10" x14ac:dyDescent="0.35">
      <c r="A1839" s="61">
        <v>1835</v>
      </c>
      <c r="B1839" s="2"/>
      <c r="C1839" s="2"/>
      <c r="D1839" s="2"/>
      <c r="E1839" s="10"/>
      <c r="F1839" s="11"/>
      <c r="G1839" s="2"/>
      <c r="H1839" s="2"/>
      <c r="I1839" s="2"/>
      <c r="J1839" s="67"/>
    </row>
    <row r="1840" spans="1:10" x14ac:dyDescent="0.35">
      <c r="A1840" s="61">
        <v>1836</v>
      </c>
      <c r="B1840" s="2"/>
      <c r="C1840" s="2"/>
      <c r="D1840" s="2"/>
      <c r="E1840" s="10"/>
      <c r="F1840" s="11"/>
      <c r="G1840" s="2"/>
      <c r="H1840" s="2"/>
      <c r="I1840" s="2"/>
      <c r="J1840" s="67"/>
    </row>
    <row r="1841" spans="1:10" x14ac:dyDescent="0.35">
      <c r="A1841" s="61">
        <v>1837</v>
      </c>
      <c r="B1841" s="2"/>
      <c r="C1841" s="2"/>
      <c r="D1841" s="2"/>
      <c r="E1841" s="10"/>
      <c r="F1841" s="11"/>
      <c r="G1841" s="2"/>
      <c r="H1841" s="2"/>
      <c r="I1841" s="2"/>
      <c r="J1841" s="67"/>
    </row>
    <row r="1842" spans="1:10" x14ac:dyDescent="0.35">
      <c r="A1842" s="61">
        <v>1838</v>
      </c>
      <c r="B1842" s="2"/>
      <c r="C1842" s="2"/>
      <c r="D1842" s="2"/>
      <c r="E1842" s="10"/>
      <c r="F1842" s="11"/>
      <c r="G1842" s="2"/>
      <c r="H1842" s="2"/>
      <c r="I1842" s="2"/>
      <c r="J1842" s="67"/>
    </row>
    <row r="1843" spans="1:10" x14ac:dyDescent="0.35">
      <c r="A1843" s="61">
        <v>1839</v>
      </c>
      <c r="B1843" s="2"/>
      <c r="C1843" s="2"/>
      <c r="D1843" s="2"/>
      <c r="E1843" s="10"/>
      <c r="F1843" s="11"/>
      <c r="G1843" s="2"/>
      <c r="H1843" s="2"/>
      <c r="I1843" s="2"/>
      <c r="J1843" s="67"/>
    </row>
    <row r="1844" spans="1:10" x14ac:dyDescent="0.35">
      <c r="A1844" s="61">
        <v>1840</v>
      </c>
      <c r="B1844" s="2"/>
      <c r="C1844" s="2"/>
      <c r="D1844" s="2"/>
      <c r="E1844" s="10"/>
      <c r="F1844" s="11"/>
      <c r="G1844" s="2"/>
      <c r="H1844" s="2"/>
      <c r="I1844" s="2"/>
      <c r="J1844" s="67"/>
    </row>
    <row r="1845" spans="1:10" x14ac:dyDescent="0.35">
      <c r="A1845" s="61">
        <v>1841</v>
      </c>
      <c r="B1845" s="2"/>
      <c r="C1845" s="2"/>
      <c r="D1845" s="2"/>
      <c r="E1845" s="10"/>
      <c r="F1845" s="11"/>
      <c r="G1845" s="2"/>
      <c r="H1845" s="2"/>
      <c r="I1845" s="2"/>
      <c r="J1845" s="67"/>
    </row>
    <row r="1846" spans="1:10" x14ac:dyDescent="0.35">
      <c r="A1846" s="61">
        <v>1842</v>
      </c>
      <c r="B1846" s="2"/>
      <c r="C1846" s="2"/>
      <c r="D1846" s="2"/>
      <c r="E1846" s="10"/>
      <c r="F1846" s="11"/>
      <c r="G1846" s="2"/>
      <c r="H1846" s="2"/>
      <c r="I1846" s="2"/>
      <c r="J1846" s="67"/>
    </row>
    <row r="1847" spans="1:10" x14ac:dyDescent="0.35">
      <c r="A1847" s="61">
        <v>1843</v>
      </c>
      <c r="B1847" s="2"/>
      <c r="C1847" s="2"/>
      <c r="D1847" s="2"/>
      <c r="E1847" s="10"/>
      <c r="F1847" s="11"/>
      <c r="G1847" s="2"/>
      <c r="H1847" s="2"/>
      <c r="I1847" s="2"/>
      <c r="J1847" s="67"/>
    </row>
    <row r="1848" spans="1:10" x14ac:dyDescent="0.35">
      <c r="A1848" s="61">
        <v>1844</v>
      </c>
      <c r="B1848" s="2"/>
      <c r="C1848" s="2"/>
      <c r="D1848" s="2"/>
      <c r="E1848" s="10"/>
      <c r="F1848" s="11"/>
      <c r="G1848" s="2"/>
      <c r="H1848" s="2"/>
      <c r="I1848" s="2"/>
      <c r="J1848" s="67"/>
    </row>
    <row r="1849" spans="1:10" x14ac:dyDescent="0.35">
      <c r="A1849" s="61">
        <v>1845</v>
      </c>
      <c r="B1849" s="2"/>
      <c r="C1849" s="2"/>
      <c r="D1849" s="2"/>
      <c r="E1849" s="10"/>
      <c r="F1849" s="11"/>
      <c r="G1849" s="2"/>
      <c r="H1849" s="2"/>
      <c r="I1849" s="2"/>
      <c r="J1849" s="67"/>
    </row>
    <row r="1850" spans="1:10" x14ac:dyDescent="0.35">
      <c r="A1850" s="61">
        <v>1846</v>
      </c>
      <c r="B1850" s="2"/>
      <c r="C1850" s="2"/>
      <c r="D1850" s="2"/>
      <c r="E1850" s="10"/>
      <c r="F1850" s="11"/>
      <c r="G1850" s="2"/>
      <c r="H1850" s="2"/>
      <c r="I1850" s="2"/>
      <c r="J1850" s="67"/>
    </row>
    <row r="1851" spans="1:10" x14ac:dyDescent="0.35">
      <c r="A1851" s="61">
        <v>1847</v>
      </c>
      <c r="B1851" s="2"/>
      <c r="C1851" s="2"/>
      <c r="D1851" s="2"/>
      <c r="E1851" s="10"/>
      <c r="F1851" s="11"/>
      <c r="G1851" s="2"/>
      <c r="H1851" s="2"/>
      <c r="I1851" s="2"/>
      <c r="J1851" s="67"/>
    </row>
    <row r="1852" spans="1:10" x14ac:dyDescent="0.35">
      <c r="A1852" s="61">
        <v>1848</v>
      </c>
      <c r="B1852" s="2"/>
      <c r="C1852" s="2"/>
      <c r="D1852" s="2"/>
      <c r="E1852" s="10"/>
      <c r="F1852" s="11"/>
      <c r="G1852" s="2"/>
      <c r="H1852" s="2"/>
      <c r="I1852" s="2"/>
      <c r="J1852" s="67"/>
    </row>
    <row r="1853" spans="1:10" x14ac:dyDescent="0.35">
      <c r="A1853" s="61">
        <v>1849</v>
      </c>
      <c r="B1853" s="2"/>
      <c r="C1853" s="2"/>
      <c r="D1853" s="2"/>
      <c r="E1853" s="10"/>
      <c r="F1853" s="11"/>
      <c r="G1853" s="2"/>
      <c r="H1853" s="2"/>
      <c r="I1853" s="2"/>
      <c r="J1853" s="67"/>
    </row>
    <row r="1854" spans="1:10" x14ac:dyDescent="0.35">
      <c r="A1854" s="61">
        <v>1850</v>
      </c>
      <c r="B1854" s="2"/>
      <c r="C1854" s="2"/>
      <c r="D1854" s="2"/>
      <c r="E1854" s="10"/>
      <c r="F1854" s="11"/>
      <c r="G1854" s="2"/>
      <c r="H1854" s="2"/>
      <c r="I1854" s="2"/>
      <c r="J1854" s="67"/>
    </row>
    <row r="1855" spans="1:10" x14ac:dyDescent="0.35">
      <c r="A1855" s="61">
        <v>1851</v>
      </c>
      <c r="B1855" s="2"/>
      <c r="C1855" s="2"/>
      <c r="D1855" s="2"/>
      <c r="E1855" s="10"/>
      <c r="F1855" s="11"/>
      <c r="G1855" s="2"/>
      <c r="H1855" s="2"/>
      <c r="I1855" s="2"/>
      <c r="J1855" s="67"/>
    </row>
    <row r="1856" spans="1:10" x14ac:dyDescent="0.35">
      <c r="A1856" s="61">
        <v>1852</v>
      </c>
      <c r="B1856" s="2"/>
      <c r="C1856" s="2"/>
      <c r="D1856" s="2"/>
      <c r="E1856" s="10"/>
      <c r="F1856" s="11"/>
      <c r="G1856" s="2"/>
      <c r="H1856" s="2"/>
      <c r="I1856" s="2"/>
      <c r="J1856" s="67"/>
    </row>
    <row r="1857" spans="1:10" x14ac:dyDescent="0.35">
      <c r="A1857" s="61">
        <v>1853</v>
      </c>
      <c r="B1857" s="2"/>
      <c r="C1857" s="2"/>
      <c r="D1857" s="2"/>
      <c r="E1857" s="10"/>
      <c r="F1857" s="11"/>
      <c r="G1857" s="2"/>
      <c r="H1857" s="2"/>
      <c r="I1857" s="2"/>
      <c r="J1857" s="67"/>
    </row>
    <row r="1858" spans="1:10" x14ac:dyDescent="0.35">
      <c r="A1858" s="61">
        <v>1854</v>
      </c>
      <c r="B1858" s="2"/>
      <c r="C1858" s="2"/>
      <c r="D1858" s="2"/>
      <c r="E1858" s="10"/>
      <c r="F1858" s="11"/>
      <c r="G1858" s="2"/>
      <c r="H1858" s="2"/>
      <c r="I1858" s="2"/>
      <c r="J1858" s="67"/>
    </row>
    <row r="1859" spans="1:10" x14ac:dyDescent="0.35">
      <c r="A1859" s="61">
        <v>1855</v>
      </c>
      <c r="B1859" s="2"/>
      <c r="C1859" s="2"/>
      <c r="D1859" s="2"/>
      <c r="E1859" s="10"/>
      <c r="F1859" s="11"/>
      <c r="G1859" s="2"/>
      <c r="H1859" s="2"/>
      <c r="I1859" s="2"/>
      <c r="J1859" s="67"/>
    </row>
    <row r="1860" spans="1:10" x14ac:dyDescent="0.35">
      <c r="A1860" s="61">
        <v>1856</v>
      </c>
      <c r="B1860" s="2"/>
      <c r="C1860" s="2"/>
      <c r="D1860" s="2"/>
      <c r="E1860" s="10"/>
      <c r="F1860" s="11"/>
      <c r="G1860" s="2"/>
      <c r="H1860" s="2"/>
      <c r="I1860" s="2"/>
      <c r="J1860" s="67"/>
    </row>
    <row r="1861" spans="1:10" x14ac:dyDescent="0.35">
      <c r="A1861" s="61">
        <v>1857</v>
      </c>
      <c r="B1861" s="2"/>
      <c r="C1861" s="2"/>
      <c r="D1861" s="2"/>
      <c r="E1861" s="10"/>
      <c r="F1861" s="11"/>
      <c r="G1861" s="2"/>
      <c r="H1861" s="2"/>
      <c r="I1861" s="2"/>
      <c r="J1861" s="67"/>
    </row>
    <row r="1862" spans="1:10" x14ac:dyDescent="0.35">
      <c r="A1862" s="61">
        <v>1858</v>
      </c>
      <c r="B1862" s="2"/>
      <c r="C1862" s="2"/>
      <c r="D1862" s="2"/>
      <c r="E1862" s="10"/>
      <c r="F1862" s="11"/>
      <c r="G1862" s="2"/>
      <c r="H1862" s="2"/>
      <c r="I1862" s="2"/>
      <c r="J1862" s="67"/>
    </row>
    <row r="1863" spans="1:10" x14ac:dyDescent="0.35">
      <c r="A1863" s="61">
        <v>1859</v>
      </c>
      <c r="B1863" s="2"/>
      <c r="C1863" s="2"/>
      <c r="D1863" s="2"/>
      <c r="E1863" s="10"/>
      <c r="F1863" s="11"/>
      <c r="G1863" s="2"/>
      <c r="H1863" s="2"/>
      <c r="I1863" s="2"/>
      <c r="J1863" s="67"/>
    </row>
    <row r="1864" spans="1:10" x14ac:dyDescent="0.35">
      <c r="A1864" s="61">
        <v>1860</v>
      </c>
      <c r="B1864" s="2"/>
      <c r="C1864" s="2"/>
      <c r="D1864" s="2"/>
      <c r="E1864" s="10"/>
      <c r="F1864" s="11"/>
      <c r="G1864" s="2"/>
      <c r="H1864" s="2"/>
      <c r="I1864" s="2"/>
      <c r="J1864" s="67"/>
    </row>
    <row r="1865" spans="1:10" x14ac:dyDescent="0.35">
      <c r="A1865" s="61">
        <v>1861</v>
      </c>
      <c r="B1865" s="2"/>
      <c r="C1865" s="2"/>
      <c r="D1865" s="2"/>
      <c r="E1865" s="10"/>
      <c r="F1865" s="11"/>
      <c r="G1865" s="2"/>
      <c r="H1865" s="2"/>
      <c r="I1865" s="2"/>
      <c r="J1865" s="67"/>
    </row>
    <row r="1866" spans="1:10" x14ac:dyDescent="0.35">
      <c r="A1866" s="61">
        <v>1862</v>
      </c>
      <c r="B1866" s="2"/>
      <c r="C1866" s="2"/>
      <c r="D1866" s="2"/>
      <c r="E1866" s="10"/>
      <c r="F1866" s="11"/>
      <c r="G1866" s="2"/>
      <c r="H1866" s="2"/>
      <c r="I1866" s="2"/>
      <c r="J1866" s="67"/>
    </row>
    <row r="1867" spans="1:10" x14ac:dyDescent="0.35">
      <c r="A1867" s="61">
        <v>1863</v>
      </c>
      <c r="B1867" s="2"/>
      <c r="C1867" s="2"/>
      <c r="D1867" s="2"/>
      <c r="E1867" s="10"/>
      <c r="F1867" s="11"/>
      <c r="G1867" s="2"/>
      <c r="H1867" s="2"/>
      <c r="I1867" s="2"/>
      <c r="J1867" s="67"/>
    </row>
    <row r="1868" spans="1:10" x14ac:dyDescent="0.35">
      <c r="A1868" s="61">
        <v>1864</v>
      </c>
      <c r="B1868" s="2"/>
      <c r="C1868" s="2"/>
      <c r="D1868" s="2"/>
      <c r="E1868" s="10"/>
      <c r="F1868" s="11"/>
      <c r="G1868" s="2"/>
      <c r="H1868" s="2"/>
      <c r="I1868" s="2"/>
      <c r="J1868" s="67"/>
    </row>
    <row r="1869" spans="1:10" x14ac:dyDescent="0.35">
      <c r="A1869" s="61">
        <v>1865</v>
      </c>
      <c r="B1869" s="2"/>
      <c r="C1869" s="2"/>
      <c r="D1869" s="2"/>
      <c r="E1869" s="10"/>
      <c r="F1869" s="11"/>
      <c r="G1869" s="2"/>
      <c r="H1869" s="2"/>
      <c r="I1869" s="2"/>
      <c r="J1869" s="67"/>
    </row>
    <row r="1870" spans="1:10" x14ac:dyDescent="0.35">
      <c r="A1870" s="61">
        <v>1866</v>
      </c>
      <c r="B1870" s="2"/>
      <c r="C1870" s="2"/>
      <c r="D1870" s="2"/>
      <c r="E1870" s="10"/>
      <c r="F1870" s="11"/>
      <c r="G1870" s="2"/>
      <c r="H1870" s="2"/>
      <c r="I1870" s="2"/>
      <c r="J1870" s="67"/>
    </row>
    <row r="1871" spans="1:10" x14ac:dyDescent="0.35">
      <c r="A1871" s="61">
        <v>1867</v>
      </c>
      <c r="B1871" s="2"/>
      <c r="C1871" s="2"/>
      <c r="D1871" s="2"/>
      <c r="E1871" s="10"/>
      <c r="F1871" s="11"/>
      <c r="G1871" s="2"/>
      <c r="H1871" s="2"/>
      <c r="I1871" s="2"/>
      <c r="J1871" s="67"/>
    </row>
    <row r="1872" spans="1:10" x14ac:dyDescent="0.35">
      <c r="A1872" s="61">
        <v>1868</v>
      </c>
      <c r="B1872" s="2"/>
      <c r="C1872" s="2"/>
      <c r="D1872" s="2"/>
      <c r="E1872" s="10"/>
      <c r="F1872" s="11"/>
      <c r="G1872" s="2"/>
      <c r="H1872" s="2"/>
      <c r="I1872" s="2"/>
      <c r="J1872" s="67"/>
    </row>
    <row r="1873" spans="1:10" x14ac:dyDescent="0.35">
      <c r="A1873" s="61">
        <v>1869</v>
      </c>
      <c r="B1873" s="2"/>
      <c r="C1873" s="2"/>
      <c r="D1873" s="2"/>
      <c r="E1873" s="10"/>
      <c r="F1873" s="11"/>
      <c r="G1873" s="2"/>
      <c r="H1873" s="2"/>
      <c r="I1873" s="2"/>
      <c r="J1873" s="67"/>
    </row>
    <row r="1874" spans="1:10" x14ac:dyDescent="0.35">
      <c r="A1874" s="61">
        <v>1870</v>
      </c>
      <c r="B1874" s="2"/>
      <c r="C1874" s="2"/>
      <c r="D1874" s="2"/>
      <c r="E1874" s="10"/>
      <c r="F1874" s="11"/>
      <c r="G1874" s="2"/>
      <c r="H1874" s="2"/>
      <c r="I1874" s="2"/>
      <c r="J1874" s="67"/>
    </row>
    <row r="1875" spans="1:10" x14ac:dyDescent="0.35">
      <c r="A1875" s="61">
        <v>1871</v>
      </c>
      <c r="B1875" s="2"/>
      <c r="C1875" s="2"/>
      <c r="D1875" s="2"/>
      <c r="E1875" s="10"/>
      <c r="F1875" s="11"/>
      <c r="G1875" s="2"/>
      <c r="H1875" s="2"/>
      <c r="I1875" s="2"/>
      <c r="J1875" s="67"/>
    </row>
    <row r="1876" spans="1:10" x14ac:dyDescent="0.35">
      <c r="A1876" s="61">
        <v>1872</v>
      </c>
      <c r="B1876" s="2"/>
      <c r="C1876" s="2"/>
      <c r="D1876" s="2"/>
      <c r="E1876" s="10"/>
      <c r="F1876" s="11"/>
      <c r="G1876" s="2"/>
      <c r="H1876" s="2"/>
      <c r="I1876" s="2"/>
      <c r="J1876" s="67"/>
    </row>
    <row r="1877" spans="1:10" x14ac:dyDescent="0.35">
      <c r="A1877" s="61">
        <v>1873</v>
      </c>
      <c r="B1877" s="2"/>
      <c r="C1877" s="2"/>
      <c r="D1877" s="2"/>
      <c r="E1877" s="10"/>
      <c r="F1877" s="11"/>
      <c r="G1877" s="2"/>
      <c r="H1877" s="2"/>
      <c r="I1877" s="2"/>
      <c r="J1877" s="67"/>
    </row>
    <row r="1878" spans="1:10" x14ac:dyDescent="0.35">
      <c r="A1878" s="61">
        <v>1874</v>
      </c>
      <c r="B1878" s="2"/>
      <c r="C1878" s="2"/>
      <c r="D1878" s="2"/>
      <c r="E1878" s="10"/>
      <c r="F1878" s="11"/>
      <c r="G1878" s="2"/>
      <c r="H1878" s="2"/>
      <c r="I1878" s="2"/>
      <c r="J1878" s="67"/>
    </row>
    <row r="1879" spans="1:10" x14ac:dyDescent="0.35">
      <c r="A1879" s="61">
        <v>1875</v>
      </c>
      <c r="B1879" s="2"/>
      <c r="C1879" s="2"/>
      <c r="D1879" s="2"/>
      <c r="E1879" s="10"/>
      <c r="F1879" s="11"/>
      <c r="G1879" s="2"/>
      <c r="H1879" s="2"/>
      <c r="I1879" s="2"/>
      <c r="J1879" s="67"/>
    </row>
    <row r="1880" spans="1:10" x14ac:dyDescent="0.35">
      <c r="A1880" s="61">
        <v>1876</v>
      </c>
      <c r="B1880" s="2"/>
      <c r="C1880" s="2"/>
      <c r="D1880" s="2"/>
      <c r="E1880" s="10"/>
      <c r="F1880" s="11"/>
      <c r="G1880" s="2"/>
      <c r="H1880" s="2"/>
      <c r="I1880" s="2"/>
      <c r="J1880" s="67"/>
    </row>
    <row r="1881" spans="1:10" x14ac:dyDescent="0.35">
      <c r="A1881" s="61">
        <v>1877</v>
      </c>
      <c r="B1881" s="2"/>
      <c r="C1881" s="2"/>
      <c r="D1881" s="2"/>
      <c r="E1881" s="10"/>
      <c r="F1881" s="11"/>
      <c r="G1881" s="2"/>
      <c r="H1881" s="2"/>
      <c r="I1881" s="2"/>
      <c r="J1881" s="67"/>
    </row>
    <row r="1882" spans="1:10" x14ac:dyDescent="0.35">
      <c r="A1882" s="61">
        <v>1878</v>
      </c>
      <c r="B1882" s="2"/>
      <c r="C1882" s="2"/>
      <c r="D1882" s="2"/>
      <c r="E1882" s="10"/>
      <c r="F1882" s="11"/>
      <c r="G1882" s="2"/>
      <c r="H1882" s="2"/>
      <c r="I1882" s="2"/>
      <c r="J1882" s="67"/>
    </row>
    <row r="1883" spans="1:10" x14ac:dyDescent="0.35">
      <c r="A1883" s="61">
        <v>1879</v>
      </c>
      <c r="B1883" s="2"/>
      <c r="C1883" s="2"/>
      <c r="D1883" s="2"/>
      <c r="E1883" s="10"/>
      <c r="F1883" s="11"/>
      <c r="G1883" s="2"/>
      <c r="H1883" s="2"/>
      <c r="I1883" s="2"/>
      <c r="J1883" s="67"/>
    </row>
    <row r="1884" spans="1:10" x14ac:dyDescent="0.35">
      <c r="A1884" s="61">
        <v>1880</v>
      </c>
      <c r="B1884" s="2"/>
      <c r="C1884" s="2"/>
      <c r="D1884" s="2"/>
      <c r="E1884" s="10"/>
      <c r="F1884" s="11"/>
      <c r="G1884" s="2"/>
      <c r="H1884" s="2"/>
      <c r="I1884" s="2"/>
      <c r="J1884" s="67"/>
    </row>
    <row r="1885" spans="1:10" x14ac:dyDescent="0.35">
      <c r="A1885" s="61">
        <v>1881</v>
      </c>
      <c r="B1885" s="2"/>
      <c r="C1885" s="2"/>
      <c r="D1885" s="2"/>
      <c r="E1885" s="10"/>
      <c r="F1885" s="11"/>
      <c r="G1885" s="2"/>
      <c r="H1885" s="2"/>
      <c r="I1885" s="2"/>
      <c r="J1885" s="67"/>
    </row>
    <row r="1886" spans="1:10" x14ac:dyDescent="0.35">
      <c r="A1886" s="61">
        <v>1882</v>
      </c>
      <c r="B1886" s="2"/>
      <c r="C1886" s="2"/>
      <c r="D1886" s="2"/>
      <c r="E1886" s="10"/>
      <c r="F1886" s="11"/>
      <c r="G1886" s="2"/>
      <c r="H1886" s="2"/>
      <c r="I1886" s="2"/>
      <c r="J1886" s="67"/>
    </row>
    <row r="1887" spans="1:10" x14ac:dyDescent="0.35">
      <c r="A1887" s="61">
        <v>1883</v>
      </c>
      <c r="B1887" s="2"/>
      <c r="C1887" s="2"/>
      <c r="D1887" s="2"/>
      <c r="E1887" s="10"/>
      <c r="F1887" s="11"/>
      <c r="G1887" s="2"/>
      <c r="H1887" s="2"/>
      <c r="I1887" s="2"/>
      <c r="J1887" s="67"/>
    </row>
    <row r="1888" spans="1:10" x14ac:dyDescent="0.35">
      <c r="A1888" s="61">
        <v>1884</v>
      </c>
      <c r="B1888" s="2"/>
      <c r="C1888" s="2"/>
      <c r="D1888" s="2"/>
      <c r="E1888" s="10"/>
      <c r="F1888" s="11"/>
      <c r="G1888" s="2"/>
      <c r="H1888" s="2"/>
      <c r="I1888" s="2"/>
      <c r="J1888" s="67"/>
    </row>
    <row r="1889" spans="1:10" x14ac:dyDescent="0.35">
      <c r="A1889" s="61">
        <v>1885</v>
      </c>
      <c r="B1889" s="2"/>
      <c r="C1889" s="2"/>
      <c r="D1889" s="2"/>
      <c r="E1889" s="10"/>
      <c r="F1889" s="11"/>
      <c r="G1889" s="2"/>
      <c r="H1889" s="2"/>
      <c r="I1889" s="2"/>
      <c r="J1889" s="67"/>
    </row>
    <row r="1890" spans="1:10" x14ac:dyDescent="0.35">
      <c r="A1890" s="61">
        <v>1886</v>
      </c>
      <c r="B1890" s="2"/>
      <c r="C1890" s="2"/>
      <c r="D1890" s="2"/>
      <c r="E1890" s="10"/>
      <c r="F1890" s="11"/>
      <c r="G1890" s="2"/>
      <c r="H1890" s="2"/>
      <c r="I1890" s="2"/>
      <c r="J1890" s="67"/>
    </row>
    <row r="1891" spans="1:10" x14ac:dyDescent="0.35">
      <c r="A1891" s="61">
        <v>1887</v>
      </c>
      <c r="B1891" s="2"/>
      <c r="C1891" s="2"/>
      <c r="D1891" s="2"/>
      <c r="E1891" s="10"/>
      <c r="F1891" s="11"/>
      <c r="G1891" s="2"/>
      <c r="H1891" s="2"/>
      <c r="I1891" s="2"/>
      <c r="J1891" s="67"/>
    </row>
    <row r="1892" spans="1:10" x14ac:dyDescent="0.35">
      <c r="A1892" s="61">
        <v>1888</v>
      </c>
      <c r="B1892" s="2"/>
      <c r="C1892" s="2"/>
      <c r="D1892" s="2"/>
      <c r="E1892" s="10"/>
      <c r="F1892" s="11"/>
      <c r="G1892" s="2"/>
      <c r="H1892" s="2"/>
      <c r="I1892" s="2"/>
      <c r="J1892" s="67"/>
    </row>
    <row r="1893" spans="1:10" x14ac:dyDescent="0.35">
      <c r="A1893" s="61">
        <v>1889</v>
      </c>
      <c r="B1893" s="2"/>
      <c r="C1893" s="2"/>
      <c r="D1893" s="2"/>
      <c r="E1893" s="10"/>
      <c r="F1893" s="11"/>
      <c r="G1893" s="2"/>
      <c r="H1893" s="2"/>
      <c r="I1893" s="2"/>
      <c r="J1893" s="67"/>
    </row>
    <row r="1894" spans="1:10" x14ac:dyDescent="0.35">
      <c r="A1894" s="61">
        <v>1890</v>
      </c>
      <c r="B1894" s="2"/>
      <c r="C1894" s="2"/>
      <c r="D1894" s="2"/>
      <c r="E1894" s="10"/>
      <c r="F1894" s="11"/>
      <c r="G1894" s="2"/>
      <c r="H1894" s="2"/>
      <c r="I1894" s="2"/>
      <c r="J1894" s="67"/>
    </row>
    <row r="1895" spans="1:10" x14ac:dyDescent="0.35">
      <c r="A1895" s="61">
        <v>1891</v>
      </c>
      <c r="B1895" s="2"/>
      <c r="C1895" s="2"/>
      <c r="D1895" s="2"/>
      <c r="E1895" s="10"/>
      <c r="F1895" s="11"/>
      <c r="G1895" s="2"/>
      <c r="H1895" s="2"/>
      <c r="I1895" s="2"/>
      <c r="J1895" s="67"/>
    </row>
    <row r="1896" spans="1:10" x14ac:dyDescent="0.35">
      <c r="A1896" s="61">
        <v>1892</v>
      </c>
      <c r="B1896" s="2"/>
      <c r="C1896" s="2"/>
      <c r="D1896" s="2"/>
      <c r="E1896" s="10"/>
      <c r="F1896" s="11"/>
      <c r="G1896" s="2"/>
      <c r="H1896" s="2"/>
      <c r="I1896" s="2"/>
      <c r="J1896" s="67"/>
    </row>
    <row r="1897" spans="1:10" x14ac:dyDescent="0.35">
      <c r="A1897" s="61">
        <v>1893</v>
      </c>
      <c r="B1897" s="2"/>
      <c r="C1897" s="2"/>
      <c r="D1897" s="2"/>
      <c r="E1897" s="10"/>
      <c r="F1897" s="11"/>
      <c r="G1897" s="2"/>
      <c r="H1897" s="2"/>
      <c r="I1897" s="2"/>
      <c r="J1897" s="67"/>
    </row>
    <row r="1898" spans="1:10" x14ac:dyDescent="0.35">
      <c r="A1898" s="61">
        <v>1894</v>
      </c>
      <c r="B1898" s="2"/>
      <c r="C1898" s="2"/>
      <c r="D1898" s="2"/>
      <c r="E1898" s="10"/>
      <c r="F1898" s="11"/>
      <c r="G1898" s="2"/>
      <c r="H1898" s="2"/>
      <c r="I1898" s="2"/>
      <c r="J1898" s="67"/>
    </row>
    <row r="1899" spans="1:10" x14ac:dyDescent="0.35">
      <c r="A1899" s="61">
        <v>1895</v>
      </c>
      <c r="B1899" s="2"/>
      <c r="C1899" s="2"/>
      <c r="D1899" s="2"/>
      <c r="E1899" s="10"/>
      <c r="F1899" s="11"/>
      <c r="G1899" s="2"/>
      <c r="H1899" s="2"/>
      <c r="I1899" s="2"/>
      <c r="J1899" s="67"/>
    </row>
    <row r="1900" spans="1:10" x14ac:dyDescent="0.35">
      <c r="A1900" s="61">
        <v>1896</v>
      </c>
      <c r="B1900" s="2"/>
      <c r="C1900" s="2"/>
      <c r="D1900" s="2"/>
      <c r="E1900" s="10"/>
      <c r="F1900" s="11"/>
      <c r="G1900" s="2"/>
      <c r="H1900" s="2"/>
      <c r="I1900" s="2"/>
      <c r="J1900" s="67"/>
    </row>
    <row r="1901" spans="1:10" x14ac:dyDescent="0.35">
      <c r="A1901" s="61">
        <v>1897</v>
      </c>
      <c r="B1901" s="2"/>
      <c r="C1901" s="2"/>
      <c r="D1901" s="2"/>
      <c r="E1901" s="10"/>
      <c r="F1901" s="11"/>
      <c r="G1901" s="2"/>
      <c r="H1901" s="2"/>
      <c r="I1901" s="2"/>
      <c r="J1901" s="67"/>
    </row>
    <row r="1902" spans="1:10" x14ac:dyDescent="0.35">
      <c r="A1902" s="61">
        <v>1898</v>
      </c>
      <c r="B1902" s="2"/>
      <c r="C1902" s="2"/>
      <c r="D1902" s="2"/>
      <c r="E1902" s="10"/>
      <c r="F1902" s="11"/>
      <c r="G1902" s="2"/>
      <c r="H1902" s="2"/>
      <c r="I1902" s="2"/>
      <c r="J1902" s="67"/>
    </row>
    <row r="1903" spans="1:10" x14ac:dyDescent="0.35">
      <c r="A1903" s="61">
        <v>1899</v>
      </c>
      <c r="B1903" s="2"/>
      <c r="C1903" s="2"/>
      <c r="D1903" s="2"/>
      <c r="E1903" s="10"/>
      <c r="F1903" s="11"/>
      <c r="G1903" s="2"/>
      <c r="H1903" s="2"/>
      <c r="I1903" s="2"/>
      <c r="J1903" s="67"/>
    </row>
    <row r="1904" spans="1:10" x14ac:dyDescent="0.35">
      <c r="A1904" s="61">
        <v>1900</v>
      </c>
      <c r="B1904" s="2"/>
      <c r="C1904" s="2"/>
      <c r="D1904" s="2"/>
      <c r="E1904" s="10"/>
      <c r="F1904" s="11"/>
      <c r="G1904" s="2"/>
      <c r="H1904" s="2"/>
      <c r="I1904" s="2"/>
      <c r="J1904" s="67"/>
    </row>
    <row r="1905" spans="1:10" x14ac:dyDescent="0.35">
      <c r="A1905" s="61">
        <v>1901</v>
      </c>
      <c r="B1905" s="2"/>
      <c r="C1905" s="2"/>
      <c r="D1905" s="2"/>
      <c r="E1905" s="10"/>
      <c r="F1905" s="11"/>
      <c r="G1905" s="2"/>
      <c r="H1905" s="2"/>
      <c r="I1905" s="2"/>
      <c r="J1905" s="67"/>
    </row>
    <row r="1906" spans="1:10" x14ac:dyDescent="0.35">
      <c r="A1906" s="61">
        <v>1902</v>
      </c>
      <c r="B1906" s="2"/>
      <c r="C1906" s="2"/>
      <c r="D1906" s="2"/>
      <c r="E1906" s="10"/>
      <c r="F1906" s="11"/>
      <c r="G1906" s="2"/>
      <c r="H1906" s="2"/>
      <c r="I1906" s="2"/>
      <c r="J1906" s="67"/>
    </row>
    <row r="1907" spans="1:10" x14ac:dyDescent="0.35">
      <c r="A1907" s="61">
        <v>1903</v>
      </c>
      <c r="B1907" s="2"/>
      <c r="C1907" s="2"/>
      <c r="D1907" s="2"/>
      <c r="E1907" s="10"/>
      <c r="F1907" s="11"/>
      <c r="G1907" s="2"/>
      <c r="H1907" s="2"/>
      <c r="I1907" s="2"/>
      <c r="J1907" s="67"/>
    </row>
    <row r="1908" spans="1:10" x14ac:dyDescent="0.35">
      <c r="A1908" s="61">
        <v>1904</v>
      </c>
      <c r="B1908" s="2"/>
      <c r="C1908" s="2"/>
      <c r="D1908" s="2"/>
      <c r="E1908" s="10"/>
      <c r="F1908" s="11"/>
      <c r="G1908" s="2"/>
      <c r="H1908" s="2"/>
      <c r="I1908" s="2"/>
      <c r="J1908" s="67"/>
    </row>
    <row r="1909" spans="1:10" x14ac:dyDescent="0.35">
      <c r="A1909" s="61">
        <v>1905</v>
      </c>
      <c r="B1909" s="2"/>
      <c r="C1909" s="2"/>
      <c r="D1909" s="2"/>
      <c r="E1909" s="10"/>
      <c r="F1909" s="11"/>
      <c r="G1909" s="2"/>
      <c r="H1909" s="2"/>
      <c r="I1909" s="2"/>
      <c r="J1909" s="67"/>
    </row>
    <row r="1910" spans="1:10" x14ac:dyDescent="0.35">
      <c r="A1910" s="61">
        <v>1906</v>
      </c>
      <c r="B1910" s="2"/>
      <c r="C1910" s="2"/>
      <c r="D1910" s="2"/>
      <c r="E1910" s="10"/>
      <c r="F1910" s="11"/>
      <c r="G1910" s="2"/>
      <c r="H1910" s="2"/>
      <c r="I1910" s="2"/>
      <c r="J1910" s="67"/>
    </row>
    <row r="1911" spans="1:10" x14ac:dyDescent="0.35">
      <c r="A1911" s="61">
        <v>1907</v>
      </c>
      <c r="B1911" s="2"/>
      <c r="C1911" s="2"/>
      <c r="D1911" s="2"/>
      <c r="E1911" s="10"/>
      <c r="F1911" s="11"/>
      <c r="G1911" s="2"/>
      <c r="H1911" s="2"/>
      <c r="I1911" s="2"/>
      <c r="J1911" s="67"/>
    </row>
    <row r="1912" spans="1:10" x14ac:dyDescent="0.35">
      <c r="A1912" s="61">
        <v>1908</v>
      </c>
      <c r="B1912" s="2"/>
      <c r="C1912" s="2"/>
      <c r="D1912" s="2"/>
      <c r="E1912" s="10"/>
      <c r="F1912" s="11"/>
      <c r="G1912" s="2"/>
      <c r="H1912" s="2"/>
      <c r="I1912" s="2"/>
      <c r="J1912" s="67"/>
    </row>
    <row r="1913" spans="1:10" x14ac:dyDescent="0.35">
      <c r="A1913" s="61">
        <v>1909</v>
      </c>
      <c r="B1913" s="2"/>
      <c r="C1913" s="2"/>
      <c r="D1913" s="2"/>
      <c r="E1913" s="10"/>
      <c r="F1913" s="11"/>
      <c r="G1913" s="2"/>
      <c r="H1913" s="2"/>
      <c r="I1913" s="2"/>
      <c r="J1913" s="67"/>
    </row>
    <row r="1914" spans="1:10" x14ac:dyDescent="0.35">
      <c r="A1914" s="61">
        <v>1910</v>
      </c>
      <c r="B1914" s="2"/>
      <c r="C1914" s="2"/>
      <c r="D1914" s="2"/>
      <c r="E1914" s="10"/>
      <c r="F1914" s="11"/>
      <c r="G1914" s="2"/>
      <c r="H1914" s="2"/>
      <c r="I1914" s="2"/>
      <c r="J1914" s="67"/>
    </row>
    <row r="1915" spans="1:10" x14ac:dyDescent="0.35">
      <c r="A1915" s="61">
        <v>1911</v>
      </c>
      <c r="B1915" s="2"/>
      <c r="C1915" s="2"/>
      <c r="D1915" s="2"/>
      <c r="E1915" s="10"/>
      <c r="F1915" s="11"/>
      <c r="G1915" s="2"/>
      <c r="H1915" s="2"/>
      <c r="I1915" s="2"/>
      <c r="J1915" s="67"/>
    </row>
    <row r="1916" spans="1:10" x14ac:dyDescent="0.35">
      <c r="A1916" s="61">
        <v>1912</v>
      </c>
      <c r="B1916" s="2"/>
      <c r="C1916" s="2"/>
      <c r="D1916" s="2"/>
      <c r="E1916" s="10"/>
      <c r="F1916" s="11"/>
      <c r="G1916" s="2"/>
      <c r="H1916" s="2"/>
      <c r="I1916" s="2"/>
      <c r="J1916" s="67"/>
    </row>
    <row r="1917" spans="1:10" x14ac:dyDescent="0.35">
      <c r="A1917" s="61">
        <v>1913</v>
      </c>
      <c r="B1917" s="2"/>
      <c r="C1917" s="2"/>
      <c r="D1917" s="2"/>
      <c r="E1917" s="10"/>
      <c r="F1917" s="11"/>
      <c r="G1917" s="2"/>
      <c r="H1917" s="2"/>
      <c r="I1917" s="2"/>
      <c r="J1917" s="67"/>
    </row>
    <row r="1918" spans="1:10" x14ac:dyDescent="0.35">
      <c r="A1918" s="61">
        <v>1914</v>
      </c>
      <c r="B1918" s="2"/>
      <c r="C1918" s="2"/>
      <c r="D1918" s="2"/>
      <c r="E1918" s="10"/>
      <c r="F1918" s="11"/>
      <c r="G1918" s="2"/>
      <c r="H1918" s="2"/>
      <c r="I1918" s="2"/>
      <c r="J1918" s="67"/>
    </row>
    <row r="1919" spans="1:10" x14ac:dyDescent="0.35">
      <c r="A1919" s="61">
        <v>1915</v>
      </c>
      <c r="B1919" s="2"/>
      <c r="C1919" s="2"/>
      <c r="D1919" s="2"/>
      <c r="E1919" s="10"/>
      <c r="F1919" s="11"/>
      <c r="G1919" s="2"/>
      <c r="H1919" s="2"/>
      <c r="I1919" s="2"/>
      <c r="J1919" s="67"/>
    </row>
    <row r="1920" spans="1:10" x14ac:dyDescent="0.35">
      <c r="A1920" s="61">
        <v>1916</v>
      </c>
      <c r="B1920" s="2"/>
      <c r="C1920" s="2"/>
      <c r="D1920" s="2"/>
      <c r="E1920" s="10"/>
      <c r="F1920" s="11"/>
      <c r="G1920" s="2"/>
      <c r="H1920" s="2"/>
      <c r="I1920" s="2"/>
      <c r="J1920" s="67"/>
    </row>
    <row r="1921" spans="1:10" x14ac:dyDescent="0.35">
      <c r="A1921" s="61">
        <v>1917</v>
      </c>
      <c r="B1921" s="2"/>
      <c r="C1921" s="2"/>
      <c r="D1921" s="2"/>
      <c r="E1921" s="10"/>
      <c r="F1921" s="11"/>
      <c r="G1921" s="2"/>
      <c r="H1921" s="2"/>
      <c r="I1921" s="2"/>
      <c r="J1921" s="67"/>
    </row>
    <row r="1922" spans="1:10" x14ac:dyDescent="0.35">
      <c r="A1922" s="61">
        <v>1918</v>
      </c>
      <c r="B1922" s="2"/>
      <c r="C1922" s="2"/>
      <c r="D1922" s="2"/>
      <c r="E1922" s="10"/>
      <c r="F1922" s="11"/>
      <c r="G1922" s="2"/>
      <c r="H1922" s="2"/>
      <c r="I1922" s="2"/>
      <c r="J1922" s="67"/>
    </row>
    <row r="1923" spans="1:10" x14ac:dyDescent="0.35">
      <c r="A1923" s="61">
        <v>1919</v>
      </c>
      <c r="B1923" s="2"/>
      <c r="C1923" s="2"/>
      <c r="D1923" s="2"/>
      <c r="E1923" s="10"/>
      <c r="F1923" s="11"/>
      <c r="G1923" s="2"/>
      <c r="H1923" s="2"/>
      <c r="I1923" s="2"/>
      <c r="J1923" s="67"/>
    </row>
    <row r="1924" spans="1:10" x14ac:dyDescent="0.35">
      <c r="A1924" s="61">
        <v>1920</v>
      </c>
      <c r="B1924" s="2"/>
      <c r="C1924" s="2"/>
      <c r="D1924" s="2"/>
      <c r="E1924" s="10"/>
      <c r="F1924" s="11"/>
      <c r="G1924" s="2"/>
      <c r="H1924" s="2"/>
      <c r="I1924" s="2"/>
      <c r="J1924" s="67"/>
    </row>
    <row r="1925" spans="1:10" x14ac:dyDescent="0.35">
      <c r="A1925" s="61">
        <v>1921</v>
      </c>
      <c r="B1925" s="2"/>
      <c r="C1925" s="2"/>
      <c r="D1925" s="2"/>
      <c r="E1925" s="10"/>
      <c r="F1925" s="11"/>
      <c r="G1925" s="2"/>
      <c r="H1925" s="2"/>
      <c r="I1925" s="2"/>
      <c r="J1925" s="67"/>
    </row>
    <row r="1926" spans="1:10" x14ac:dyDescent="0.35">
      <c r="A1926" s="61">
        <v>1922</v>
      </c>
      <c r="B1926" s="2"/>
      <c r="C1926" s="2"/>
      <c r="D1926" s="2"/>
      <c r="E1926" s="10"/>
      <c r="F1926" s="11"/>
      <c r="G1926" s="2"/>
      <c r="H1926" s="2"/>
      <c r="I1926" s="2"/>
      <c r="J1926" s="67"/>
    </row>
    <row r="1927" spans="1:10" x14ac:dyDescent="0.35">
      <c r="A1927" s="61">
        <v>1923</v>
      </c>
      <c r="B1927" s="2"/>
      <c r="C1927" s="2"/>
      <c r="D1927" s="2"/>
      <c r="E1927" s="10"/>
      <c r="F1927" s="11"/>
      <c r="G1927" s="2"/>
      <c r="H1927" s="2"/>
      <c r="I1927" s="2"/>
      <c r="J1927" s="67"/>
    </row>
    <row r="1928" spans="1:10" x14ac:dyDescent="0.35">
      <c r="A1928" s="61">
        <v>1924</v>
      </c>
      <c r="B1928" s="2"/>
      <c r="C1928" s="2"/>
      <c r="D1928" s="2"/>
      <c r="E1928" s="10"/>
      <c r="F1928" s="11"/>
      <c r="G1928" s="2"/>
      <c r="H1928" s="2"/>
      <c r="I1928" s="2"/>
      <c r="J1928" s="67"/>
    </row>
    <row r="1929" spans="1:10" x14ac:dyDescent="0.35">
      <c r="A1929" s="61">
        <v>1925</v>
      </c>
      <c r="B1929" s="2"/>
      <c r="C1929" s="2"/>
      <c r="D1929" s="2"/>
      <c r="E1929" s="10"/>
      <c r="F1929" s="11"/>
      <c r="G1929" s="2"/>
      <c r="H1929" s="2"/>
      <c r="I1929" s="2"/>
      <c r="J1929" s="67"/>
    </row>
    <row r="1930" spans="1:10" x14ac:dyDescent="0.35">
      <c r="A1930" s="61">
        <v>1926</v>
      </c>
      <c r="B1930" s="2"/>
      <c r="C1930" s="2"/>
      <c r="D1930" s="2"/>
      <c r="E1930" s="10"/>
      <c r="F1930" s="11"/>
      <c r="G1930" s="2"/>
      <c r="H1930" s="2"/>
      <c r="I1930" s="2"/>
      <c r="J1930" s="67"/>
    </row>
    <row r="1931" spans="1:10" x14ac:dyDescent="0.35">
      <c r="A1931" s="61">
        <v>1927</v>
      </c>
      <c r="B1931" s="2"/>
      <c r="C1931" s="2"/>
      <c r="D1931" s="2"/>
      <c r="E1931" s="10"/>
      <c r="F1931" s="11"/>
      <c r="G1931" s="2"/>
      <c r="H1931" s="2"/>
      <c r="I1931" s="2"/>
      <c r="J1931" s="67"/>
    </row>
    <row r="1932" spans="1:10" x14ac:dyDescent="0.35">
      <c r="A1932" s="61">
        <v>1928</v>
      </c>
      <c r="B1932" s="2"/>
      <c r="C1932" s="2"/>
      <c r="D1932" s="2"/>
      <c r="E1932" s="10"/>
      <c r="F1932" s="11"/>
      <c r="G1932" s="2"/>
      <c r="H1932" s="2"/>
      <c r="I1932" s="2"/>
      <c r="J1932" s="67"/>
    </row>
    <row r="1933" spans="1:10" x14ac:dyDescent="0.35">
      <c r="A1933" s="61">
        <v>1929</v>
      </c>
      <c r="B1933" s="2"/>
      <c r="C1933" s="2"/>
      <c r="D1933" s="2"/>
      <c r="E1933" s="10"/>
      <c r="F1933" s="11"/>
      <c r="G1933" s="2"/>
      <c r="H1933" s="2"/>
      <c r="I1933" s="2"/>
      <c r="J1933" s="67"/>
    </row>
    <row r="1934" spans="1:10" x14ac:dyDescent="0.35">
      <c r="A1934" s="61">
        <v>1930</v>
      </c>
      <c r="B1934" s="2"/>
      <c r="C1934" s="2"/>
      <c r="D1934" s="2"/>
      <c r="E1934" s="10"/>
      <c r="F1934" s="11"/>
      <c r="G1934" s="2"/>
      <c r="H1934" s="2"/>
      <c r="I1934" s="2"/>
      <c r="J1934" s="67"/>
    </row>
    <row r="1935" spans="1:10" x14ac:dyDescent="0.35">
      <c r="A1935" s="61">
        <v>1931</v>
      </c>
      <c r="B1935" s="2"/>
      <c r="C1935" s="2"/>
      <c r="D1935" s="2"/>
      <c r="E1935" s="10"/>
      <c r="F1935" s="11"/>
      <c r="G1935" s="2"/>
      <c r="H1935" s="2"/>
      <c r="I1935" s="2"/>
      <c r="J1935" s="67"/>
    </row>
    <row r="1936" spans="1:10" x14ac:dyDescent="0.35">
      <c r="A1936" s="61">
        <v>1932</v>
      </c>
      <c r="B1936" s="2"/>
      <c r="C1936" s="2"/>
      <c r="D1936" s="2"/>
      <c r="E1936" s="10"/>
      <c r="F1936" s="11"/>
      <c r="G1936" s="2"/>
      <c r="H1936" s="2"/>
      <c r="I1936" s="2"/>
      <c r="J1936" s="67"/>
    </row>
    <row r="1937" spans="1:10" x14ac:dyDescent="0.35">
      <c r="A1937" s="61">
        <v>1933</v>
      </c>
      <c r="B1937" s="2"/>
      <c r="C1937" s="2"/>
      <c r="D1937" s="2"/>
      <c r="E1937" s="10"/>
      <c r="F1937" s="11"/>
      <c r="G1937" s="2"/>
      <c r="H1937" s="2"/>
      <c r="I1937" s="2"/>
      <c r="J1937" s="67"/>
    </row>
    <row r="1938" spans="1:10" x14ac:dyDescent="0.35">
      <c r="A1938" s="61">
        <v>1934</v>
      </c>
      <c r="B1938" s="2"/>
      <c r="C1938" s="2"/>
      <c r="D1938" s="2"/>
      <c r="E1938" s="10"/>
      <c r="F1938" s="11"/>
      <c r="G1938" s="2"/>
      <c r="H1938" s="2"/>
      <c r="I1938" s="2"/>
      <c r="J1938" s="67"/>
    </row>
    <row r="1939" spans="1:10" x14ac:dyDescent="0.35">
      <c r="A1939" s="61">
        <v>1935</v>
      </c>
      <c r="B1939" s="2"/>
      <c r="C1939" s="2"/>
      <c r="D1939" s="2"/>
      <c r="E1939" s="10"/>
      <c r="F1939" s="11"/>
      <c r="G1939" s="2"/>
      <c r="H1939" s="2"/>
      <c r="I1939" s="2"/>
      <c r="J1939" s="67"/>
    </row>
    <row r="1940" spans="1:10" x14ac:dyDescent="0.35">
      <c r="A1940" s="61">
        <v>1936</v>
      </c>
      <c r="B1940" s="2"/>
      <c r="C1940" s="2"/>
      <c r="D1940" s="2"/>
      <c r="E1940" s="10"/>
      <c r="F1940" s="11"/>
      <c r="G1940" s="2"/>
      <c r="H1940" s="2"/>
      <c r="I1940" s="2"/>
      <c r="J1940" s="67"/>
    </row>
    <row r="1941" spans="1:10" x14ac:dyDescent="0.35">
      <c r="A1941" s="61">
        <v>1937</v>
      </c>
      <c r="B1941" s="2"/>
      <c r="C1941" s="2"/>
      <c r="D1941" s="2"/>
      <c r="E1941" s="10"/>
      <c r="F1941" s="11"/>
      <c r="G1941" s="2"/>
      <c r="H1941" s="2"/>
      <c r="I1941" s="2"/>
      <c r="J1941" s="67"/>
    </row>
    <row r="1942" spans="1:10" x14ac:dyDescent="0.35">
      <c r="A1942" s="61">
        <v>1938</v>
      </c>
      <c r="B1942" s="2"/>
      <c r="C1942" s="2"/>
      <c r="D1942" s="2"/>
      <c r="E1942" s="10"/>
      <c r="F1942" s="11"/>
      <c r="G1942" s="2"/>
      <c r="H1942" s="2"/>
      <c r="I1942" s="2"/>
      <c r="J1942" s="67"/>
    </row>
    <row r="1943" spans="1:10" x14ac:dyDescent="0.35">
      <c r="A1943" s="61">
        <v>1939</v>
      </c>
      <c r="B1943" s="2"/>
      <c r="C1943" s="2"/>
      <c r="D1943" s="2"/>
      <c r="E1943" s="10"/>
      <c r="F1943" s="11"/>
      <c r="G1943" s="2"/>
      <c r="H1943" s="2"/>
      <c r="I1943" s="2"/>
      <c r="J1943" s="67"/>
    </row>
    <row r="1944" spans="1:10" x14ac:dyDescent="0.35">
      <c r="A1944" s="61">
        <v>1940</v>
      </c>
      <c r="B1944" s="2"/>
      <c r="C1944" s="2"/>
      <c r="D1944" s="2"/>
      <c r="E1944" s="10"/>
      <c r="F1944" s="11"/>
      <c r="G1944" s="2"/>
      <c r="H1944" s="2"/>
      <c r="I1944" s="2"/>
      <c r="J1944" s="67"/>
    </row>
    <row r="1945" spans="1:10" x14ac:dyDescent="0.35">
      <c r="A1945" s="61">
        <v>1941</v>
      </c>
      <c r="B1945" s="2"/>
      <c r="C1945" s="2"/>
      <c r="D1945" s="2"/>
      <c r="E1945" s="10"/>
      <c r="F1945" s="11"/>
      <c r="G1945" s="2"/>
      <c r="H1945" s="2"/>
      <c r="I1945" s="2"/>
      <c r="J1945" s="67"/>
    </row>
    <row r="1946" spans="1:10" x14ac:dyDescent="0.35">
      <c r="A1946" s="61">
        <v>1942</v>
      </c>
      <c r="B1946" s="2"/>
      <c r="C1946" s="2"/>
      <c r="D1946" s="2"/>
      <c r="E1946" s="10"/>
      <c r="F1946" s="11"/>
      <c r="G1946" s="2"/>
      <c r="H1946" s="2"/>
      <c r="I1946" s="2"/>
      <c r="J1946" s="67"/>
    </row>
    <row r="1947" spans="1:10" x14ac:dyDescent="0.35">
      <c r="A1947" s="61">
        <v>1943</v>
      </c>
      <c r="B1947" s="2"/>
      <c r="C1947" s="2"/>
      <c r="D1947" s="2"/>
      <c r="E1947" s="10"/>
      <c r="F1947" s="11"/>
      <c r="G1947" s="2"/>
      <c r="H1947" s="2"/>
      <c r="I1947" s="2"/>
      <c r="J1947" s="67"/>
    </row>
    <row r="1948" spans="1:10" x14ac:dyDescent="0.35">
      <c r="A1948" s="61">
        <v>1944</v>
      </c>
      <c r="B1948" s="2"/>
      <c r="C1948" s="2"/>
      <c r="D1948" s="2"/>
      <c r="E1948" s="10"/>
      <c r="F1948" s="11"/>
      <c r="G1948" s="2"/>
      <c r="H1948" s="2"/>
      <c r="I1948" s="2"/>
      <c r="J1948" s="67"/>
    </row>
    <row r="1949" spans="1:10" x14ac:dyDescent="0.35">
      <c r="A1949" s="61">
        <v>1945</v>
      </c>
      <c r="B1949" s="2"/>
      <c r="C1949" s="2"/>
      <c r="D1949" s="2"/>
      <c r="E1949" s="10"/>
      <c r="F1949" s="11"/>
      <c r="G1949" s="2"/>
      <c r="H1949" s="2"/>
      <c r="I1949" s="2"/>
      <c r="J1949" s="67"/>
    </row>
    <row r="1950" spans="1:10" x14ac:dyDescent="0.35">
      <c r="A1950" s="61">
        <v>1946</v>
      </c>
      <c r="B1950" s="2"/>
      <c r="C1950" s="2"/>
      <c r="D1950" s="2"/>
      <c r="E1950" s="10"/>
      <c r="F1950" s="11"/>
      <c r="G1950" s="2"/>
      <c r="H1950" s="2"/>
      <c r="I1950" s="2"/>
      <c r="J1950" s="67"/>
    </row>
    <row r="1951" spans="1:10" x14ac:dyDescent="0.35">
      <c r="A1951" s="61">
        <v>1947</v>
      </c>
      <c r="B1951" s="2"/>
      <c r="C1951" s="2"/>
      <c r="D1951" s="2"/>
      <c r="E1951" s="10"/>
      <c r="F1951" s="11"/>
      <c r="G1951" s="2"/>
      <c r="H1951" s="2"/>
      <c r="I1951" s="2"/>
      <c r="J1951" s="67"/>
    </row>
    <row r="1952" spans="1:10" x14ac:dyDescent="0.35">
      <c r="A1952" s="61">
        <v>1948</v>
      </c>
      <c r="B1952" s="2"/>
      <c r="C1952" s="2"/>
      <c r="D1952" s="2"/>
      <c r="E1952" s="10"/>
      <c r="F1952" s="11"/>
      <c r="G1952" s="2"/>
      <c r="H1952" s="2"/>
      <c r="I1952" s="2"/>
      <c r="J1952" s="67"/>
    </row>
    <row r="1953" spans="1:10" x14ac:dyDescent="0.35">
      <c r="A1953" s="61">
        <v>1949</v>
      </c>
      <c r="B1953" s="2"/>
      <c r="C1953" s="2"/>
      <c r="D1953" s="2"/>
      <c r="E1953" s="10"/>
      <c r="F1953" s="11"/>
      <c r="G1953" s="2"/>
      <c r="H1953" s="2"/>
      <c r="I1953" s="2"/>
      <c r="J1953" s="67"/>
    </row>
    <row r="1954" spans="1:10" x14ac:dyDescent="0.35">
      <c r="A1954" s="61">
        <v>1950</v>
      </c>
      <c r="B1954" s="2"/>
      <c r="C1954" s="2"/>
      <c r="D1954" s="2"/>
      <c r="E1954" s="10"/>
      <c r="F1954" s="11"/>
      <c r="G1954" s="2"/>
      <c r="H1954" s="2"/>
      <c r="I1954" s="2"/>
      <c r="J1954" s="67"/>
    </row>
    <row r="1955" spans="1:10" x14ac:dyDescent="0.35">
      <c r="A1955" s="61">
        <v>1951</v>
      </c>
      <c r="B1955" s="2"/>
      <c r="C1955" s="2"/>
      <c r="D1955" s="2"/>
      <c r="E1955" s="10"/>
      <c r="F1955" s="11"/>
      <c r="G1955" s="2"/>
      <c r="H1955" s="2"/>
      <c r="I1955" s="2"/>
      <c r="J1955" s="67"/>
    </row>
    <row r="1956" spans="1:10" x14ac:dyDescent="0.35">
      <c r="A1956" s="61">
        <v>1952</v>
      </c>
      <c r="B1956" s="2"/>
      <c r="C1956" s="2"/>
      <c r="D1956" s="2"/>
      <c r="E1956" s="10"/>
      <c r="F1956" s="11"/>
      <c r="G1956" s="2"/>
      <c r="H1956" s="2"/>
      <c r="I1956" s="2"/>
      <c r="J1956" s="67"/>
    </row>
    <row r="1957" spans="1:10" x14ac:dyDescent="0.35">
      <c r="A1957" s="61">
        <v>1953</v>
      </c>
      <c r="B1957" s="2"/>
      <c r="C1957" s="2"/>
      <c r="D1957" s="2"/>
      <c r="E1957" s="10"/>
      <c r="F1957" s="11"/>
      <c r="G1957" s="2"/>
      <c r="H1957" s="2"/>
      <c r="I1957" s="2"/>
      <c r="J1957" s="67"/>
    </row>
    <row r="1958" spans="1:10" x14ac:dyDescent="0.35">
      <c r="A1958" s="61">
        <v>1954</v>
      </c>
      <c r="B1958" s="2"/>
      <c r="C1958" s="2"/>
      <c r="D1958" s="2"/>
      <c r="E1958" s="10"/>
      <c r="F1958" s="11"/>
      <c r="G1958" s="2"/>
      <c r="H1958" s="2"/>
      <c r="I1958" s="2"/>
      <c r="J1958" s="67"/>
    </row>
    <row r="1959" spans="1:10" x14ac:dyDescent="0.35">
      <c r="A1959" s="61">
        <v>1955</v>
      </c>
      <c r="B1959" s="2"/>
      <c r="C1959" s="2"/>
      <c r="D1959" s="2"/>
      <c r="E1959" s="10"/>
      <c r="F1959" s="11"/>
      <c r="G1959" s="2"/>
      <c r="H1959" s="2"/>
      <c r="I1959" s="2"/>
      <c r="J1959" s="67"/>
    </row>
    <row r="1960" spans="1:10" x14ac:dyDescent="0.35">
      <c r="A1960" s="61">
        <v>1956</v>
      </c>
      <c r="B1960" s="2"/>
      <c r="C1960" s="2"/>
      <c r="D1960" s="2"/>
      <c r="E1960" s="10"/>
      <c r="F1960" s="11"/>
      <c r="G1960" s="2"/>
      <c r="H1960" s="2"/>
      <c r="I1960" s="2"/>
      <c r="J1960" s="67"/>
    </row>
    <row r="1961" spans="1:10" x14ac:dyDescent="0.35">
      <c r="A1961" s="61">
        <v>1957</v>
      </c>
      <c r="B1961" s="2"/>
      <c r="C1961" s="2"/>
      <c r="D1961" s="2"/>
      <c r="E1961" s="10"/>
      <c r="F1961" s="11"/>
      <c r="G1961" s="2"/>
      <c r="H1961" s="2"/>
      <c r="I1961" s="2"/>
      <c r="J1961" s="67"/>
    </row>
    <row r="1962" spans="1:10" x14ac:dyDescent="0.35">
      <c r="A1962" s="61">
        <v>1958</v>
      </c>
      <c r="B1962" s="2"/>
      <c r="C1962" s="2"/>
      <c r="D1962" s="2"/>
      <c r="E1962" s="10"/>
      <c r="F1962" s="11"/>
      <c r="G1962" s="2"/>
      <c r="H1962" s="2"/>
      <c r="I1962" s="2"/>
      <c r="J1962" s="67"/>
    </row>
    <row r="1963" spans="1:10" x14ac:dyDescent="0.35">
      <c r="A1963" s="61">
        <v>1959</v>
      </c>
      <c r="B1963" s="2"/>
      <c r="C1963" s="2"/>
      <c r="D1963" s="2"/>
      <c r="E1963" s="10"/>
      <c r="F1963" s="11"/>
      <c r="G1963" s="2"/>
      <c r="H1963" s="2"/>
      <c r="I1963" s="2"/>
      <c r="J1963" s="67"/>
    </row>
    <row r="1964" spans="1:10" x14ac:dyDescent="0.35">
      <c r="A1964" s="61">
        <v>1960</v>
      </c>
      <c r="B1964" s="2"/>
      <c r="C1964" s="2"/>
      <c r="D1964" s="2"/>
      <c r="E1964" s="10"/>
      <c r="F1964" s="11"/>
      <c r="G1964" s="2"/>
      <c r="H1964" s="2"/>
      <c r="I1964" s="2"/>
      <c r="J1964" s="67"/>
    </row>
    <row r="1965" spans="1:10" x14ac:dyDescent="0.35">
      <c r="A1965" s="61">
        <v>1961</v>
      </c>
      <c r="B1965" s="2"/>
      <c r="C1965" s="2"/>
      <c r="D1965" s="2"/>
      <c r="E1965" s="10"/>
      <c r="F1965" s="11"/>
      <c r="G1965" s="2"/>
      <c r="H1965" s="2"/>
      <c r="I1965" s="2"/>
      <c r="J1965" s="67"/>
    </row>
    <row r="1966" spans="1:10" x14ac:dyDescent="0.35">
      <c r="A1966" s="61">
        <v>1962</v>
      </c>
      <c r="B1966" s="2"/>
      <c r="C1966" s="2"/>
      <c r="D1966" s="2"/>
      <c r="E1966" s="10"/>
      <c r="F1966" s="11"/>
      <c r="G1966" s="2"/>
      <c r="H1966" s="2"/>
      <c r="I1966" s="2"/>
      <c r="J1966" s="67"/>
    </row>
    <row r="1967" spans="1:10" x14ac:dyDescent="0.35">
      <c r="A1967" s="61">
        <v>1963</v>
      </c>
      <c r="B1967" s="2"/>
      <c r="C1967" s="2"/>
      <c r="D1967" s="2"/>
      <c r="E1967" s="10"/>
      <c r="F1967" s="11"/>
      <c r="G1967" s="2"/>
      <c r="H1967" s="2"/>
      <c r="I1967" s="2"/>
      <c r="J1967" s="67"/>
    </row>
    <row r="1968" spans="1:10" x14ac:dyDescent="0.35">
      <c r="A1968" s="61">
        <v>1964</v>
      </c>
      <c r="B1968" s="2"/>
      <c r="C1968" s="2"/>
      <c r="D1968" s="2"/>
      <c r="E1968" s="10"/>
      <c r="F1968" s="11"/>
      <c r="G1968" s="2"/>
      <c r="H1968" s="2"/>
      <c r="I1968" s="2"/>
      <c r="J1968" s="67"/>
    </row>
    <row r="1969" spans="1:10" x14ac:dyDescent="0.35">
      <c r="A1969" s="61">
        <v>1965</v>
      </c>
      <c r="B1969" s="2"/>
      <c r="C1969" s="2"/>
      <c r="D1969" s="2"/>
      <c r="E1969" s="10"/>
      <c r="F1969" s="11"/>
      <c r="G1969" s="2"/>
      <c r="H1969" s="2"/>
      <c r="I1969" s="2"/>
      <c r="J1969" s="67"/>
    </row>
    <row r="1970" spans="1:10" x14ac:dyDescent="0.35">
      <c r="A1970" s="61">
        <v>1966</v>
      </c>
      <c r="B1970" s="2"/>
      <c r="C1970" s="2"/>
      <c r="D1970" s="2"/>
      <c r="E1970" s="10"/>
      <c r="F1970" s="11"/>
      <c r="G1970" s="2"/>
      <c r="H1970" s="2"/>
      <c r="I1970" s="2"/>
      <c r="J1970" s="67"/>
    </row>
    <row r="1971" spans="1:10" x14ac:dyDescent="0.35">
      <c r="A1971" s="61">
        <v>1967</v>
      </c>
      <c r="B1971" s="2"/>
      <c r="C1971" s="2"/>
      <c r="D1971" s="2"/>
      <c r="E1971" s="10"/>
      <c r="F1971" s="11"/>
      <c r="G1971" s="2"/>
      <c r="H1971" s="2"/>
      <c r="I1971" s="2"/>
      <c r="J1971" s="67"/>
    </row>
    <row r="1972" spans="1:10" x14ac:dyDescent="0.35">
      <c r="A1972" s="61">
        <v>1968</v>
      </c>
      <c r="B1972" s="2"/>
      <c r="C1972" s="2"/>
      <c r="D1972" s="2"/>
      <c r="E1972" s="10"/>
      <c r="F1972" s="11"/>
      <c r="G1972" s="2"/>
      <c r="H1972" s="2"/>
      <c r="I1972" s="2"/>
      <c r="J1972" s="67"/>
    </row>
    <row r="1973" spans="1:10" x14ac:dyDescent="0.35">
      <c r="A1973" s="61">
        <v>1969</v>
      </c>
      <c r="B1973" s="2"/>
      <c r="C1973" s="2"/>
      <c r="D1973" s="2"/>
      <c r="E1973" s="10"/>
      <c r="F1973" s="11"/>
      <c r="G1973" s="2"/>
      <c r="H1973" s="2"/>
      <c r="I1973" s="2"/>
      <c r="J1973" s="67"/>
    </row>
    <row r="1974" spans="1:10" x14ac:dyDescent="0.35">
      <c r="A1974" s="61">
        <v>1970</v>
      </c>
      <c r="B1974" s="2"/>
      <c r="C1974" s="2"/>
      <c r="D1974" s="2"/>
      <c r="E1974" s="10"/>
      <c r="F1974" s="11"/>
      <c r="G1974" s="2"/>
      <c r="H1974" s="2"/>
      <c r="I1974" s="2"/>
      <c r="J1974" s="67"/>
    </row>
    <row r="1975" spans="1:10" x14ac:dyDescent="0.35">
      <c r="A1975" s="61">
        <v>1971</v>
      </c>
      <c r="B1975" s="2"/>
      <c r="C1975" s="2"/>
      <c r="D1975" s="2"/>
      <c r="E1975" s="10"/>
      <c r="F1975" s="11"/>
      <c r="G1975" s="2"/>
      <c r="H1975" s="2"/>
      <c r="I1975" s="2"/>
      <c r="J1975" s="67"/>
    </row>
    <row r="1976" spans="1:10" x14ac:dyDescent="0.35">
      <c r="A1976" s="61">
        <v>1972</v>
      </c>
      <c r="B1976" s="2"/>
      <c r="C1976" s="2"/>
      <c r="D1976" s="2"/>
      <c r="E1976" s="10"/>
      <c r="F1976" s="11"/>
      <c r="G1976" s="2"/>
      <c r="H1976" s="2"/>
      <c r="I1976" s="2"/>
      <c r="J1976" s="67"/>
    </row>
    <row r="1977" spans="1:10" x14ac:dyDescent="0.35">
      <c r="A1977" s="61">
        <v>1973</v>
      </c>
      <c r="B1977" s="2"/>
      <c r="C1977" s="2"/>
      <c r="D1977" s="2"/>
      <c r="E1977" s="10"/>
      <c r="F1977" s="11"/>
      <c r="G1977" s="2"/>
      <c r="H1977" s="2"/>
      <c r="I1977" s="2"/>
      <c r="J1977" s="67"/>
    </row>
    <row r="1978" spans="1:10" x14ac:dyDescent="0.35">
      <c r="A1978" s="61">
        <v>1974</v>
      </c>
      <c r="B1978" s="2"/>
      <c r="C1978" s="2"/>
      <c r="D1978" s="2"/>
      <c r="E1978" s="10"/>
      <c r="F1978" s="11"/>
      <c r="G1978" s="2"/>
      <c r="H1978" s="2"/>
      <c r="I1978" s="2"/>
      <c r="J1978" s="67"/>
    </row>
    <row r="1979" spans="1:10" x14ac:dyDescent="0.35">
      <c r="A1979" s="61">
        <v>1975</v>
      </c>
      <c r="B1979" s="2"/>
      <c r="C1979" s="2"/>
      <c r="D1979" s="2"/>
      <c r="E1979" s="10"/>
      <c r="F1979" s="11"/>
      <c r="G1979" s="2"/>
      <c r="H1979" s="2"/>
      <c r="I1979" s="2"/>
      <c r="J1979" s="67"/>
    </row>
    <row r="1980" spans="1:10" x14ac:dyDescent="0.35">
      <c r="A1980" s="61">
        <v>1976</v>
      </c>
      <c r="B1980" s="2"/>
      <c r="C1980" s="2"/>
      <c r="D1980" s="2"/>
      <c r="E1980" s="10"/>
      <c r="F1980" s="11"/>
      <c r="G1980" s="2"/>
      <c r="H1980" s="2"/>
      <c r="I1980" s="2"/>
      <c r="J1980" s="67"/>
    </row>
    <row r="1981" spans="1:10" x14ac:dyDescent="0.35">
      <c r="A1981" s="61">
        <v>1977</v>
      </c>
      <c r="B1981" s="2"/>
      <c r="C1981" s="2"/>
      <c r="D1981" s="2"/>
      <c r="E1981" s="10"/>
      <c r="F1981" s="11"/>
      <c r="G1981" s="2"/>
      <c r="H1981" s="2"/>
      <c r="I1981" s="2"/>
      <c r="J1981" s="67"/>
    </row>
    <row r="1982" spans="1:10" x14ac:dyDescent="0.35">
      <c r="A1982" s="61">
        <v>1978</v>
      </c>
      <c r="B1982" s="2"/>
      <c r="C1982" s="2"/>
      <c r="D1982" s="2"/>
      <c r="E1982" s="10"/>
      <c r="F1982" s="11"/>
      <c r="G1982" s="2"/>
      <c r="H1982" s="2"/>
      <c r="I1982" s="2"/>
      <c r="J1982" s="67"/>
    </row>
    <row r="1983" spans="1:10" x14ac:dyDescent="0.35">
      <c r="A1983" s="61">
        <v>1979</v>
      </c>
      <c r="B1983" s="2"/>
      <c r="C1983" s="2"/>
      <c r="D1983" s="2"/>
      <c r="E1983" s="10"/>
      <c r="F1983" s="11"/>
      <c r="G1983" s="2"/>
      <c r="H1983" s="2"/>
      <c r="I1983" s="2"/>
      <c r="J1983" s="67"/>
    </row>
    <row r="1984" spans="1:10" x14ac:dyDescent="0.35">
      <c r="A1984" s="61">
        <v>1980</v>
      </c>
      <c r="B1984" s="2"/>
      <c r="C1984" s="2"/>
      <c r="D1984" s="2"/>
      <c r="E1984" s="10"/>
      <c r="F1984" s="11"/>
      <c r="G1984" s="2"/>
      <c r="H1984" s="2"/>
      <c r="I1984" s="2"/>
      <c r="J1984" s="67"/>
    </row>
    <row r="1985" spans="1:10" x14ac:dyDescent="0.35">
      <c r="A1985" s="61">
        <v>1981</v>
      </c>
      <c r="B1985" s="2"/>
      <c r="C1985" s="2"/>
      <c r="D1985" s="2"/>
      <c r="E1985" s="10"/>
      <c r="F1985" s="11"/>
      <c r="G1985" s="2"/>
      <c r="H1985" s="2"/>
      <c r="I1985" s="2"/>
      <c r="J1985" s="67"/>
    </row>
    <row r="1986" spans="1:10" x14ac:dyDescent="0.35">
      <c r="A1986" s="61">
        <v>1982</v>
      </c>
      <c r="B1986" s="2"/>
      <c r="C1986" s="2"/>
      <c r="D1986" s="2"/>
      <c r="E1986" s="10"/>
      <c r="F1986" s="11"/>
      <c r="G1986" s="2"/>
      <c r="H1986" s="2"/>
      <c r="I1986" s="2"/>
      <c r="J1986" s="67"/>
    </row>
    <row r="1987" spans="1:10" x14ac:dyDescent="0.35">
      <c r="A1987" s="61">
        <v>1983</v>
      </c>
      <c r="B1987" s="2"/>
      <c r="C1987" s="2"/>
      <c r="D1987" s="2"/>
      <c r="E1987" s="10"/>
      <c r="F1987" s="11"/>
      <c r="G1987" s="2"/>
      <c r="H1987" s="2"/>
      <c r="I1987" s="2"/>
      <c r="J1987" s="67"/>
    </row>
    <row r="1988" spans="1:10" x14ac:dyDescent="0.35">
      <c r="A1988" s="61">
        <v>1984</v>
      </c>
      <c r="B1988" s="2"/>
      <c r="C1988" s="2"/>
      <c r="D1988" s="2"/>
      <c r="E1988" s="10"/>
      <c r="F1988" s="11"/>
      <c r="G1988" s="2"/>
      <c r="H1988" s="2"/>
      <c r="I1988" s="2"/>
      <c r="J1988" s="67"/>
    </row>
    <row r="1989" spans="1:10" x14ac:dyDescent="0.35">
      <c r="A1989" s="61">
        <v>1985</v>
      </c>
      <c r="B1989" s="2"/>
      <c r="C1989" s="2"/>
      <c r="D1989" s="2"/>
      <c r="E1989" s="10"/>
      <c r="F1989" s="11"/>
      <c r="G1989" s="2"/>
      <c r="H1989" s="2"/>
      <c r="I1989" s="2"/>
      <c r="J1989" s="67"/>
    </row>
    <row r="1990" spans="1:10" x14ac:dyDescent="0.35">
      <c r="A1990" s="61">
        <v>1986</v>
      </c>
      <c r="B1990" s="2"/>
      <c r="C1990" s="2"/>
      <c r="D1990" s="2"/>
      <c r="E1990" s="10"/>
      <c r="F1990" s="11"/>
      <c r="G1990" s="2"/>
      <c r="H1990" s="2"/>
      <c r="I1990" s="2"/>
      <c r="J1990" s="67"/>
    </row>
    <row r="1991" spans="1:10" x14ac:dyDescent="0.35">
      <c r="A1991" s="61">
        <v>1987</v>
      </c>
      <c r="B1991" s="2"/>
      <c r="C1991" s="2"/>
      <c r="D1991" s="2"/>
      <c r="E1991" s="10"/>
      <c r="F1991" s="11"/>
      <c r="G1991" s="2"/>
      <c r="H1991" s="2"/>
      <c r="I1991" s="2"/>
      <c r="J1991" s="67"/>
    </row>
    <row r="1992" spans="1:10" x14ac:dyDescent="0.35">
      <c r="A1992" s="61">
        <v>1988</v>
      </c>
      <c r="B1992" s="2"/>
      <c r="C1992" s="2"/>
      <c r="D1992" s="2"/>
      <c r="E1992" s="10"/>
      <c r="F1992" s="11"/>
      <c r="G1992" s="2"/>
      <c r="H1992" s="2"/>
      <c r="I1992" s="2"/>
      <c r="J1992" s="67"/>
    </row>
    <row r="1993" spans="1:10" x14ac:dyDescent="0.35">
      <c r="A1993" s="61">
        <v>1989</v>
      </c>
      <c r="B1993" s="2"/>
      <c r="C1993" s="2"/>
      <c r="D1993" s="2"/>
      <c r="E1993" s="10"/>
      <c r="F1993" s="11"/>
      <c r="G1993" s="2"/>
      <c r="H1993" s="2"/>
      <c r="I1993" s="2"/>
      <c r="J1993" s="67"/>
    </row>
    <row r="1994" spans="1:10" x14ac:dyDescent="0.35">
      <c r="A1994" s="61">
        <v>1990</v>
      </c>
      <c r="B1994" s="2"/>
      <c r="C1994" s="2"/>
      <c r="D1994" s="2"/>
      <c r="E1994" s="10"/>
      <c r="F1994" s="11"/>
      <c r="G1994" s="2"/>
      <c r="H1994" s="2"/>
      <c r="I1994" s="2"/>
      <c r="J1994" s="67"/>
    </row>
    <row r="1995" spans="1:10" x14ac:dyDescent="0.35">
      <c r="A1995" s="61">
        <v>1991</v>
      </c>
      <c r="B1995" s="2"/>
      <c r="C1995" s="2"/>
      <c r="D1995" s="2"/>
      <c r="E1995" s="10"/>
      <c r="F1995" s="11"/>
      <c r="G1995" s="2"/>
      <c r="H1995" s="2"/>
      <c r="I1995" s="2"/>
      <c r="J1995" s="67"/>
    </row>
    <row r="1996" spans="1:10" x14ac:dyDescent="0.35">
      <c r="A1996" s="61">
        <v>1992</v>
      </c>
      <c r="B1996" s="2"/>
      <c r="C1996" s="2"/>
      <c r="D1996" s="2"/>
      <c r="E1996" s="10"/>
      <c r="F1996" s="11"/>
      <c r="G1996" s="2"/>
      <c r="H1996" s="2"/>
      <c r="I1996" s="2"/>
      <c r="J1996" s="67"/>
    </row>
    <row r="1997" spans="1:10" x14ac:dyDescent="0.35">
      <c r="A1997" s="61">
        <v>1993</v>
      </c>
      <c r="B1997" s="2"/>
      <c r="C1997" s="2"/>
      <c r="D1997" s="2"/>
      <c r="E1997" s="10"/>
      <c r="F1997" s="11"/>
      <c r="G1997" s="2"/>
      <c r="H1997" s="2"/>
      <c r="I1997" s="2"/>
      <c r="J1997" s="67"/>
    </row>
    <row r="1998" spans="1:10" x14ac:dyDescent="0.35">
      <c r="A1998" s="61">
        <v>1994</v>
      </c>
      <c r="B1998" s="2"/>
      <c r="C1998" s="2"/>
      <c r="D1998" s="2"/>
      <c r="E1998" s="10"/>
      <c r="F1998" s="11"/>
      <c r="G1998" s="2"/>
      <c r="H1998" s="2"/>
      <c r="I1998" s="2"/>
      <c r="J1998" s="67"/>
    </row>
    <row r="1999" spans="1:10" x14ac:dyDescent="0.35">
      <c r="A1999" s="61">
        <v>1995</v>
      </c>
      <c r="B1999" s="2"/>
      <c r="C1999" s="2"/>
      <c r="D1999" s="2"/>
      <c r="E1999" s="10"/>
      <c r="F1999" s="11"/>
      <c r="G1999" s="2"/>
      <c r="H1999" s="2"/>
      <c r="I1999" s="2"/>
      <c r="J1999" s="67"/>
    </row>
    <row r="2000" spans="1:10" x14ac:dyDescent="0.35">
      <c r="A2000" s="61">
        <v>1996</v>
      </c>
      <c r="B2000" s="2"/>
      <c r="C2000" s="2"/>
      <c r="D2000" s="2"/>
      <c r="E2000" s="10"/>
      <c r="F2000" s="11"/>
      <c r="G2000" s="2"/>
      <c r="H2000" s="2"/>
      <c r="I2000" s="2"/>
      <c r="J2000" s="67"/>
    </row>
    <row r="2001" spans="1:10" x14ac:dyDescent="0.35">
      <c r="A2001" s="61">
        <v>1997</v>
      </c>
      <c r="B2001" s="2"/>
      <c r="C2001" s="2"/>
      <c r="D2001" s="2"/>
      <c r="E2001" s="10"/>
      <c r="F2001" s="11"/>
      <c r="G2001" s="2"/>
      <c r="H2001" s="2"/>
      <c r="I2001" s="2"/>
      <c r="J2001" s="67"/>
    </row>
    <row r="2002" spans="1:10" x14ac:dyDescent="0.35">
      <c r="A2002" s="61">
        <v>1998</v>
      </c>
      <c r="B2002" s="2"/>
      <c r="C2002" s="2"/>
      <c r="D2002" s="2"/>
      <c r="E2002" s="10"/>
      <c r="F2002" s="11"/>
      <c r="G2002" s="2"/>
      <c r="H2002" s="2"/>
      <c r="I2002" s="2"/>
      <c r="J2002" s="67"/>
    </row>
    <row r="2003" spans="1:10" x14ac:dyDescent="0.35">
      <c r="A2003" s="61">
        <v>1999</v>
      </c>
      <c r="B2003" s="2"/>
      <c r="C2003" s="2"/>
      <c r="D2003" s="2"/>
      <c r="E2003" s="10"/>
      <c r="F2003" s="11"/>
      <c r="G2003" s="2"/>
      <c r="H2003" s="2"/>
      <c r="I2003" s="2"/>
      <c r="J2003" s="67"/>
    </row>
    <row r="2004" spans="1:10" ht="15" customHeight="1" x14ac:dyDescent="0.35">
      <c r="A2004" s="61">
        <v>2000</v>
      </c>
      <c r="B2004" s="2"/>
      <c r="C2004" s="2"/>
      <c r="D2004" s="2"/>
      <c r="E2004" s="10"/>
      <c r="F2004" s="11"/>
      <c r="G2004" s="2"/>
      <c r="H2004" s="2"/>
      <c r="I2004" s="2"/>
      <c r="J2004" s="67"/>
    </row>
    <row r="2005" spans="1:10" x14ac:dyDescent="0.35">
      <c r="A2005" s="61">
        <v>2001</v>
      </c>
      <c r="B2005" s="2"/>
      <c r="C2005" s="2"/>
      <c r="D2005" s="2"/>
      <c r="E2005" s="10"/>
      <c r="F2005" s="11"/>
      <c r="G2005" s="2"/>
      <c r="H2005" s="2"/>
      <c r="I2005" s="2"/>
      <c r="J2005" s="67"/>
    </row>
    <row r="2006" spans="1:10" x14ac:dyDescent="0.35">
      <c r="A2006" s="61">
        <v>2002</v>
      </c>
      <c r="B2006" s="2"/>
      <c r="C2006" s="2"/>
      <c r="D2006" s="2"/>
      <c r="E2006" s="10"/>
      <c r="F2006" s="11"/>
      <c r="G2006" s="2"/>
      <c r="H2006" s="2"/>
      <c r="I2006" s="2"/>
      <c r="J2006" s="67"/>
    </row>
    <row r="2007" spans="1:10" x14ac:dyDescent="0.35">
      <c r="A2007" s="61">
        <v>2003</v>
      </c>
      <c r="B2007" s="2"/>
      <c r="C2007" s="2"/>
      <c r="D2007" s="2"/>
      <c r="E2007" s="10"/>
      <c r="F2007" s="11"/>
      <c r="G2007" s="2"/>
      <c r="H2007" s="2"/>
      <c r="I2007" s="2"/>
      <c r="J2007" s="67"/>
    </row>
    <row r="2008" spans="1:10" x14ac:dyDescent="0.35">
      <c r="A2008" s="61">
        <v>2004</v>
      </c>
      <c r="B2008" s="2"/>
      <c r="C2008" s="2"/>
      <c r="D2008" s="2"/>
      <c r="E2008" s="10"/>
      <c r="F2008" s="11"/>
      <c r="G2008" s="2"/>
      <c r="H2008" s="2"/>
      <c r="I2008" s="2"/>
      <c r="J2008" s="67"/>
    </row>
    <row r="2009" spans="1:10" x14ac:dyDescent="0.35">
      <c r="A2009" s="61">
        <v>2005</v>
      </c>
      <c r="B2009" s="2"/>
      <c r="C2009" s="2"/>
      <c r="D2009" s="2"/>
      <c r="E2009" s="10"/>
      <c r="F2009" s="11"/>
      <c r="G2009" s="2"/>
      <c r="H2009" s="2"/>
      <c r="I2009" s="2"/>
      <c r="J2009" s="67"/>
    </row>
    <row r="2010" spans="1:10" x14ac:dyDescent="0.35">
      <c r="A2010" s="61">
        <v>2006</v>
      </c>
      <c r="B2010" s="2"/>
      <c r="C2010" s="2"/>
      <c r="D2010" s="2"/>
      <c r="E2010" s="10"/>
      <c r="F2010" s="11"/>
      <c r="G2010" s="2"/>
      <c r="H2010" s="2"/>
      <c r="I2010" s="2"/>
      <c r="J2010" s="67"/>
    </row>
    <row r="2011" spans="1:10" x14ac:dyDescent="0.35">
      <c r="A2011" s="61">
        <v>2007</v>
      </c>
      <c r="B2011" s="2"/>
      <c r="C2011" s="2"/>
      <c r="D2011" s="2"/>
      <c r="E2011" s="10"/>
      <c r="F2011" s="11"/>
      <c r="G2011" s="2"/>
      <c r="H2011" s="2"/>
      <c r="I2011" s="2"/>
      <c r="J2011" s="67"/>
    </row>
    <row r="2012" spans="1:10" x14ac:dyDescent="0.35">
      <c r="A2012" s="61">
        <v>2008</v>
      </c>
      <c r="B2012" s="2"/>
      <c r="C2012" s="2"/>
      <c r="D2012" s="2"/>
      <c r="E2012" s="10"/>
      <c r="F2012" s="11"/>
      <c r="G2012" s="2"/>
      <c r="H2012" s="2"/>
      <c r="I2012" s="2"/>
      <c r="J2012" s="67"/>
    </row>
    <row r="2013" spans="1:10" x14ac:dyDescent="0.35">
      <c r="A2013" s="61">
        <v>2009</v>
      </c>
      <c r="B2013" s="2"/>
      <c r="C2013" s="2"/>
      <c r="D2013" s="2"/>
      <c r="E2013" s="10"/>
      <c r="F2013" s="11"/>
      <c r="G2013" s="2"/>
      <c r="H2013" s="2"/>
      <c r="I2013" s="2"/>
      <c r="J2013" s="67"/>
    </row>
    <row r="2014" spans="1:10" x14ac:dyDescent="0.35">
      <c r="A2014" s="61">
        <v>2010</v>
      </c>
      <c r="B2014" s="2"/>
      <c r="C2014" s="2"/>
      <c r="D2014" s="2"/>
      <c r="E2014" s="10"/>
      <c r="F2014" s="11"/>
      <c r="G2014" s="2"/>
      <c r="H2014" s="2"/>
      <c r="I2014" s="2"/>
      <c r="J2014" s="67"/>
    </row>
    <row r="2015" spans="1:10" x14ac:dyDescent="0.35">
      <c r="A2015" s="61">
        <v>2011</v>
      </c>
      <c r="B2015" s="2"/>
      <c r="C2015" s="2"/>
      <c r="D2015" s="2"/>
      <c r="E2015" s="10"/>
      <c r="F2015" s="11"/>
      <c r="G2015" s="2"/>
      <c r="H2015" s="2"/>
      <c r="I2015" s="2"/>
      <c r="J2015" s="67"/>
    </row>
    <row r="2016" spans="1:10" x14ac:dyDescent="0.35">
      <c r="A2016" s="61">
        <v>2012</v>
      </c>
      <c r="B2016" s="2"/>
      <c r="C2016" s="2"/>
      <c r="D2016" s="2"/>
      <c r="E2016" s="10"/>
      <c r="F2016" s="11"/>
      <c r="G2016" s="2"/>
      <c r="H2016" s="2"/>
      <c r="I2016" s="2"/>
      <c r="J2016" s="67"/>
    </row>
    <row r="2017" spans="1:10" x14ac:dyDescent="0.35">
      <c r="A2017" s="61">
        <v>2013</v>
      </c>
      <c r="B2017" s="2"/>
      <c r="C2017" s="2"/>
      <c r="D2017" s="2"/>
      <c r="E2017" s="10"/>
      <c r="F2017" s="11"/>
      <c r="G2017" s="2"/>
      <c r="H2017" s="2"/>
      <c r="I2017" s="2"/>
      <c r="J2017" s="67"/>
    </row>
    <row r="2018" spans="1:10" x14ac:dyDescent="0.35">
      <c r="A2018" s="61">
        <v>2014</v>
      </c>
      <c r="B2018" s="2"/>
      <c r="C2018" s="2"/>
      <c r="D2018" s="2"/>
      <c r="E2018" s="10"/>
      <c r="F2018" s="11"/>
      <c r="G2018" s="2"/>
      <c r="H2018" s="2"/>
      <c r="I2018" s="2"/>
      <c r="J2018" s="67"/>
    </row>
    <row r="2019" spans="1:10" x14ac:dyDescent="0.35">
      <c r="A2019" s="61">
        <v>2015</v>
      </c>
      <c r="B2019" s="2"/>
      <c r="C2019" s="2"/>
      <c r="D2019" s="2"/>
      <c r="E2019" s="10"/>
      <c r="F2019" s="11"/>
      <c r="G2019" s="2"/>
      <c r="H2019" s="2"/>
      <c r="I2019" s="2"/>
      <c r="J2019" s="67"/>
    </row>
    <row r="2020" spans="1:10" x14ac:dyDescent="0.35">
      <c r="A2020" s="61">
        <v>2016</v>
      </c>
      <c r="B2020" s="2"/>
      <c r="C2020" s="2"/>
      <c r="D2020" s="2"/>
      <c r="E2020" s="10"/>
      <c r="F2020" s="11"/>
      <c r="G2020" s="2"/>
      <c r="H2020" s="2"/>
      <c r="I2020" s="2"/>
      <c r="J2020" s="67"/>
    </row>
    <row r="2021" spans="1:10" x14ac:dyDescent="0.35">
      <c r="A2021" s="61">
        <v>2017</v>
      </c>
      <c r="B2021" s="2"/>
      <c r="C2021" s="2"/>
      <c r="D2021" s="2"/>
      <c r="E2021" s="10"/>
      <c r="F2021" s="11"/>
      <c r="G2021" s="2"/>
      <c r="H2021" s="2"/>
      <c r="I2021" s="2"/>
      <c r="J2021" s="67"/>
    </row>
    <row r="2022" spans="1:10" x14ac:dyDescent="0.35">
      <c r="A2022" s="61">
        <v>2018</v>
      </c>
      <c r="B2022" s="2"/>
      <c r="C2022" s="2"/>
      <c r="D2022" s="2"/>
      <c r="E2022" s="10"/>
      <c r="F2022" s="11"/>
      <c r="G2022" s="2"/>
      <c r="H2022" s="2"/>
      <c r="I2022" s="2"/>
      <c r="J2022" s="67"/>
    </row>
    <row r="2023" spans="1:10" x14ac:dyDescent="0.35">
      <c r="A2023" s="61">
        <v>2019</v>
      </c>
      <c r="B2023" s="2"/>
      <c r="C2023" s="2"/>
      <c r="D2023" s="2"/>
      <c r="E2023" s="10"/>
      <c r="F2023" s="11"/>
      <c r="G2023" s="2"/>
      <c r="H2023" s="2"/>
      <c r="I2023" s="2"/>
      <c r="J2023" s="67"/>
    </row>
    <row r="2024" spans="1:10" x14ac:dyDescent="0.35">
      <c r="A2024" s="61">
        <v>2020</v>
      </c>
      <c r="B2024" s="2"/>
      <c r="C2024" s="2"/>
      <c r="D2024" s="2"/>
      <c r="E2024" s="10"/>
      <c r="F2024" s="11"/>
      <c r="G2024" s="2"/>
      <c r="H2024" s="2"/>
      <c r="I2024" s="2"/>
      <c r="J2024" s="67"/>
    </row>
    <row r="2025" spans="1:10" x14ac:dyDescent="0.35">
      <c r="A2025" s="61">
        <v>2021</v>
      </c>
      <c r="B2025" s="2"/>
      <c r="C2025" s="2"/>
      <c r="D2025" s="2"/>
      <c r="E2025" s="10"/>
      <c r="F2025" s="11"/>
      <c r="G2025" s="2"/>
      <c r="H2025" s="2"/>
      <c r="I2025" s="2"/>
      <c r="J2025" s="67"/>
    </row>
    <row r="2026" spans="1:10" x14ac:dyDescent="0.35">
      <c r="A2026" s="61">
        <v>2022</v>
      </c>
      <c r="B2026" s="2"/>
      <c r="C2026" s="2"/>
      <c r="D2026" s="2"/>
      <c r="E2026" s="10"/>
      <c r="F2026" s="11"/>
      <c r="G2026" s="2"/>
      <c r="H2026" s="2"/>
      <c r="I2026" s="2"/>
      <c r="J2026" s="67"/>
    </row>
    <row r="2027" spans="1:10" x14ac:dyDescent="0.35">
      <c r="A2027" s="61">
        <v>2023</v>
      </c>
      <c r="B2027" s="2"/>
      <c r="C2027" s="2"/>
      <c r="D2027" s="2"/>
      <c r="E2027" s="10"/>
      <c r="F2027" s="11"/>
      <c r="G2027" s="2"/>
      <c r="H2027" s="2"/>
      <c r="I2027" s="2"/>
      <c r="J2027" s="67"/>
    </row>
    <row r="2028" spans="1:10" x14ac:dyDescent="0.35">
      <c r="A2028" s="61">
        <v>2024</v>
      </c>
      <c r="B2028" s="2"/>
      <c r="C2028" s="2"/>
      <c r="D2028" s="2"/>
      <c r="E2028" s="10"/>
      <c r="F2028" s="11"/>
      <c r="G2028" s="2"/>
      <c r="H2028" s="2"/>
      <c r="I2028" s="2"/>
      <c r="J2028" s="67"/>
    </row>
    <row r="2029" spans="1:10" x14ac:dyDescent="0.35">
      <c r="A2029" s="61">
        <v>2025</v>
      </c>
      <c r="B2029" s="2"/>
      <c r="C2029" s="2"/>
      <c r="D2029" s="2"/>
      <c r="E2029" s="10"/>
      <c r="F2029" s="11"/>
      <c r="G2029" s="2"/>
      <c r="H2029" s="2"/>
      <c r="I2029" s="2"/>
      <c r="J2029" s="67"/>
    </row>
    <row r="2030" spans="1:10" x14ac:dyDescent="0.35">
      <c r="A2030" s="61">
        <v>2026</v>
      </c>
      <c r="B2030" s="2"/>
      <c r="C2030" s="2"/>
      <c r="D2030" s="2"/>
      <c r="E2030" s="10"/>
      <c r="F2030" s="11"/>
      <c r="G2030" s="2"/>
      <c r="H2030" s="2"/>
      <c r="I2030" s="2"/>
      <c r="J2030" s="67"/>
    </row>
    <row r="2031" spans="1:10" x14ac:dyDescent="0.35">
      <c r="A2031" s="61">
        <v>2027</v>
      </c>
      <c r="B2031" s="2"/>
      <c r="C2031" s="2"/>
      <c r="D2031" s="2"/>
      <c r="E2031" s="10"/>
      <c r="F2031" s="11"/>
      <c r="G2031" s="2"/>
      <c r="H2031" s="2"/>
      <c r="I2031" s="2"/>
      <c r="J2031" s="67"/>
    </row>
    <row r="2032" spans="1:10" x14ac:dyDescent="0.35">
      <c r="A2032" s="61">
        <v>2028</v>
      </c>
      <c r="B2032" s="2"/>
      <c r="C2032" s="2"/>
      <c r="D2032" s="2"/>
      <c r="E2032" s="10"/>
      <c r="F2032" s="11"/>
      <c r="G2032" s="2"/>
      <c r="H2032" s="2"/>
      <c r="I2032" s="2"/>
      <c r="J2032" s="67"/>
    </row>
    <row r="2033" spans="1:10" x14ac:dyDescent="0.35">
      <c r="A2033" s="61">
        <v>2029</v>
      </c>
      <c r="B2033" s="2"/>
      <c r="C2033" s="2"/>
      <c r="D2033" s="2"/>
      <c r="E2033" s="10"/>
      <c r="F2033" s="11"/>
      <c r="G2033" s="2"/>
      <c r="H2033" s="2"/>
      <c r="I2033" s="2"/>
      <c r="J2033" s="67"/>
    </row>
    <row r="2034" spans="1:10" x14ac:dyDescent="0.35">
      <c r="A2034" s="61">
        <v>2030</v>
      </c>
      <c r="B2034" s="2"/>
      <c r="C2034" s="2"/>
      <c r="D2034" s="2"/>
      <c r="E2034" s="10"/>
      <c r="F2034" s="11"/>
      <c r="G2034" s="2"/>
      <c r="H2034" s="2"/>
      <c r="I2034" s="2"/>
      <c r="J2034" s="67"/>
    </row>
    <row r="2035" spans="1:10" x14ac:dyDescent="0.35">
      <c r="A2035" s="61">
        <v>2031</v>
      </c>
      <c r="B2035" s="2"/>
      <c r="C2035" s="2"/>
      <c r="D2035" s="2"/>
      <c r="E2035" s="10"/>
      <c r="F2035" s="11"/>
      <c r="G2035" s="2"/>
      <c r="H2035" s="2"/>
      <c r="I2035" s="2"/>
      <c r="J2035" s="67"/>
    </row>
    <row r="2036" spans="1:10" x14ac:dyDescent="0.35">
      <c r="A2036" s="61">
        <v>2032</v>
      </c>
      <c r="B2036" s="2"/>
      <c r="C2036" s="2"/>
      <c r="D2036" s="2"/>
      <c r="E2036" s="10"/>
      <c r="F2036" s="11"/>
      <c r="G2036" s="2"/>
      <c r="H2036" s="2"/>
      <c r="I2036" s="2"/>
      <c r="J2036" s="67"/>
    </row>
    <row r="2037" spans="1:10" x14ac:dyDescent="0.35">
      <c r="A2037" s="61">
        <v>2033</v>
      </c>
      <c r="B2037" s="2"/>
      <c r="C2037" s="2"/>
      <c r="D2037" s="2"/>
      <c r="E2037" s="10"/>
      <c r="F2037" s="11"/>
      <c r="G2037" s="2"/>
      <c r="H2037" s="2"/>
      <c r="I2037" s="2"/>
      <c r="J2037" s="67"/>
    </row>
    <row r="2038" spans="1:10" x14ac:dyDescent="0.35">
      <c r="A2038" s="61">
        <v>2034</v>
      </c>
      <c r="B2038" s="2"/>
      <c r="C2038" s="2"/>
      <c r="D2038" s="2"/>
      <c r="E2038" s="10"/>
      <c r="F2038" s="11"/>
      <c r="G2038" s="2"/>
      <c r="H2038" s="2"/>
      <c r="I2038" s="2"/>
      <c r="J2038" s="67"/>
    </row>
    <row r="2039" spans="1:10" x14ac:dyDescent="0.35">
      <c r="A2039" s="61">
        <v>2035</v>
      </c>
      <c r="B2039" s="2"/>
      <c r="C2039" s="2"/>
      <c r="D2039" s="2"/>
      <c r="E2039" s="10"/>
      <c r="F2039" s="11"/>
      <c r="G2039" s="2"/>
      <c r="H2039" s="2"/>
      <c r="I2039" s="2"/>
      <c r="J2039" s="67"/>
    </row>
    <row r="2040" spans="1:10" x14ac:dyDescent="0.35">
      <c r="A2040" s="61">
        <v>2036</v>
      </c>
      <c r="B2040" s="2"/>
      <c r="C2040" s="2"/>
      <c r="D2040" s="2"/>
      <c r="E2040" s="10"/>
      <c r="F2040" s="11"/>
      <c r="G2040" s="2"/>
      <c r="H2040" s="2"/>
      <c r="I2040" s="2"/>
      <c r="J2040" s="67"/>
    </row>
    <row r="2041" spans="1:10" x14ac:dyDescent="0.35">
      <c r="A2041" s="61">
        <v>2037</v>
      </c>
      <c r="B2041" s="2"/>
      <c r="C2041" s="2"/>
      <c r="D2041" s="2"/>
      <c r="E2041" s="10"/>
      <c r="F2041" s="11"/>
      <c r="G2041" s="2"/>
      <c r="H2041" s="2"/>
      <c r="I2041" s="2"/>
      <c r="J2041" s="67"/>
    </row>
    <row r="2042" spans="1:10" x14ac:dyDescent="0.35">
      <c r="A2042" s="61">
        <v>2038</v>
      </c>
      <c r="B2042" s="2"/>
      <c r="C2042" s="2"/>
      <c r="D2042" s="2"/>
      <c r="E2042" s="10"/>
      <c r="F2042" s="11"/>
      <c r="G2042" s="2"/>
      <c r="H2042" s="2"/>
      <c r="I2042" s="2"/>
      <c r="J2042" s="67"/>
    </row>
    <row r="2043" spans="1:10" x14ac:dyDescent="0.35">
      <c r="A2043" s="61">
        <v>2039</v>
      </c>
      <c r="B2043" s="2"/>
      <c r="C2043" s="2"/>
      <c r="D2043" s="2"/>
      <c r="E2043" s="10"/>
      <c r="F2043" s="11"/>
      <c r="G2043" s="2"/>
      <c r="H2043" s="2"/>
      <c r="I2043" s="2"/>
      <c r="J2043" s="67"/>
    </row>
    <row r="2044" spans="1:10" x14ac:dyDescent="0.35">
      <c r="A2044" s="61">
        <v>2040</v>
      </c>
      <c r="B2044" s="2"/>
      <c r="C2044" s="2"/>
      <c r="D2044" s="2"/>
      <c r="E2044" s="10"/>
      <c r="F2044" s="11"/>
      <c r="G2044" s="2"/>
      <c r="H2044" s="2"/>
      <c r="I2044" s="2"/>
      <c r="J2044" s="67"/>
    </row>
    <row r="2045" spans="1:10" x14ac:dyDescent="0.35">
      <c r="A2045" s="61">
        <v>2041</v>
      </c>
      <c r="B2045" s="2"/>
      <c r="C2045" s="2"/>
      <c r="D2045" s="2"/>
      <c r="E2045" s="10"/>
      <c r="F2045" s="11"/>
      <c r="G2045" s="2"/>
      <c r="H2045" s="2"/>
      <c r="I2045" s="2"/>
      <c r="J2045" s="67"/>
    </row>
    <row r="2046" spans="1:10" x14ac:dyDescent="0.35">
      <c r="A2046" s="61">
        <v>2042</v>
      </c>
      <c r="B2046" s="2"/>
      <c r="C2046" s="2"/>
      <c r="D2046" s="2"/>
      <c r="E2046" s="10"/>
      <c r="F2046" s="11"/>
      <c r="G2046" s="2"/>
      <c r="H2046" s="2"/>
      <c r="I2046" s="2"/>
      <c r="J2046" s="67"/>
    </row>
    <row r="2047" spans="1:10" x14ac:dyDescent="0.35">
      <c r="A2047" s="61">
        <v>2043</v>
      </c>
      <c r="B2047" s="2"/>
      <c r="C2047" s="2"/>
      <c r="D2047" s="2"/>
      <c r="E2047" s="10"/>
      <c r="F2047" s="11"/>
      <c r="G2047" s="2"/>
      <c r="H2047" s="2"/>
      <c r="I2047" s="2"/>
      <c r="J2047" s="67"/>
    </row>
    <row r="2048" spans="1:10" x14ac:dyDescent="0.35">
      <c r="A2048" s="61">
        <v>2044</v>
      </c>
      <c r="B2048" s="2"/>
      <c r="C2048" s="2"/>
      <c r="D2048" s="2"/>
      <c r="E2048" s="10"/>
      <c r="F2048" s="11"/>
      <c r="G2048" s="2"/>
      <c r="H2048" s="2"/>
      <c r="I2048" s="2"/>
      <c r="J2048" s="67"/>
    </row>
    <row r="2049" spans="1:10" x14ac:dyDescent="0.35">
      <c r="A2049" s="61">
        <v>2045</v>
      </c>
      <c r="B2049" s="2"/>
      <c r="C2049" s="2"/>
      <c r="D2049" s="2"/>
      <c r="E2049" s="10"/>
      <c r="F2049" s="11"/>
      <c r="G2049" s="2"/>
      <c r="H2049" s="2"/>
      <c r="I2049" s="2"/>
      <c r="J2049" s="67"/>
    </row>
    <row r="2050" spans="1:10" x14ac:dyDescent="0.35">
      <c r="A2050" s="61">
        <v>2046</v>
      </c>
      <c r="B2050" s="2"/>
      <c r="C2050" s="2"/>
      <c r="D2050" s="2"/>
      <c r="E2050" s="10"/>
      <c r="F2050" s="11"/>
      <c r="G2050" s="2"/>
      <c r="H2050" s="2"/>
      <c r="I2050" s="2"/>
      <c r="J2050" s="67"/>
    </row>
    <row r="2051" spans="1:10" x14ac:dyDescent="0.35">
      <c r="A2051" s="61">
        <v>2047</v>
      </c>
      <c r="B2051" s="2"/>
      <c r="C2051" s="2"/>
      <c r="D2051" s="2"/>
      <c r="E2051" s="10"/>
      <c r="F2051" s="11"/>
      <c r="G2051" s="2"/>
      <c r="H2051" s="2"/>
      <c r="I2051" s="2"/>
      <c r="J2051" s="67"/>
    </row>
    <row r="2052" spans="1:10" x14ac:dyDescent="0.35">
      <c r="A2052" s="61">
        <v>2048</v>
      </c>
      <c r="B2052" s="2"/>
      <c r="C2052" s="2"/>
      <c r="D2052" s="2"/>
      <c r="E2052" s="10"/>
      <c r="F2052" s="11"/>
      <c r="G2052" s="2"/>
      <c r="H2052" s="2"/>
      <c r="I2052" s="2"/>
      <c r="J2052" s="67"/>
    </row>
    <row r="2053" spans="1:10" x14ac:dyDescent="0.35">
      <c r="A2053" s="61">
        <v>2049</v>
      </c>
      <c r="B2053" s="2"/>
      <c r="C2053" s="2"/>
      <c r="D2053" s="2"/>
      <c r="E2053" s="10"/>
      <c r="F2053" s="11"/>
      <c r="G2053" s="2"/>
      <c r="H2053" s="2"/>
      <c r="I2053" s="2"/>
      <c r="J2053" s="67"/>
    </row>
    <row r="2054" spans="1:10" x14ac:dyDescent="0.35">
      <c r="A2054" s="61">
        <v>2050</v>
      </c>
      <c r="B2054" s="2"/>
      <c r="C2054" s="2"/>
      <c r="D2054" s="2"/>
      <c r="E2054" s="10"/>
      <c r="F2054" s="11"/>
      <c r="G2054" s="2"/>
      <c r="H2054" s="2"/>
      <c r="I2054" s="2"/>
      <c r="J2054" s="67"/>
    </row>
    <row r="2055" spans="1:10" x14ac:dyDescent="0.35">
      <c r="A2055" s="61">
        <v>2051</v>
      </c>
      <c r="B2055" s="2"/>
      <c r="C2055" s="2"/>
      <c r="D2055" s="2"/>
      <c r="E2055" s="10"/>
      <c r="F2055" s="11"/>
      <c r="G2055" s="2"/>
      <c r="H2055" s="2"/>
      <c r="I2055" s="2"/>
      <c r="J2055" s="67"/>
    </row>
    <row r="2056" spans="1:10" x14ac:dyDescent="0.35">
      <c r="A2056" s="61">
        <v>2052</v>
      </c>
      <c r="B2056" s="2"/>
      <c r="C2056" s="2"/>
      <c r="D2056" s="2"/>
      <c r="E2056" s="10"/>
      <c r="F2056" s="11"/>
      <c r="G2056" s="2"/>
      <c r="H2056" s="2"/>
      <c r="I2056" s="2"/>
      <c r="J2056" s="67"/>
    </row>
    <row r="2057" spans="1:10" x14ac:dyDescent="0.35">
      <c r="A2057" s="61">
        <v>2053</v>
      </c>
      <c r="B2057" s="2"/>
      <c r="C2057" s="2"/>
      <c r="D2057" s="2"/>
      <c r="E2057" s="10"/>
      <c r="F2057" s="11"/>
      <c r="G2057" s="2"/>
      <c r="H2057" s="2"/>
      <c r="I2057" s="2"/>
      <c r="J2057" s="67"/>
    </row>
    <row r="2058" spans="1:10" x14ac:dyDescent="0.35">
      <c r="A2058" s="61">
        <v>2054</v>
      </c>
      <c r="B2058" s="2"/>
      <c r="C2058" s="2"/>
      <c r="D2058" s="2"/>
      <c r="E2058" s="10"/>
      <c r="F2058" s="11"/>
      <c r="G2058" s="2"/>
      <c r="H2058" s="2"/>
      <c r="I2058" s="2"/>
      <c r="J2058" s="67"/>
    </row>
    <row r="2059" spans="1:10" x14ac:dyDescent="0.35">
      <c r="A2059" s="61">
        <v>2055</v>
      </c>
      <c r="B2059" s="2"/>
      <c r="C2059" s="2"/>
      <c r="D2059" s="2"/>
      <c r="E2059" s="10"/>
      <c r="F2059" s="11"/>
      <c r="G2059" s="2"/>
      <c r="H2059" s="2"/>
      <c r="I2059" s="2"/>
      <c r="J2059" s="67"/>
    </row>
    <row r="2060" spans="1:10" x14ac:dyDescent="0.35">
      <c r="A2060" s="61">
        <v>2056</v>
      </c>
      <c r="B2060" s="2"/>
      <c r="C2060" s="2"/>
      <c r="D2060" s="2"/>
      <c r="E2060" s="10"/>
      <c r="F2060" s="11"/>
      <c r="G2060" s="2"/>
      <c r="H2060" s="2"/>
      <c r="I2060" s="2"/>
      <c r="J2060" s="67"/>
    </row>
    <row r="2061" spans="1:10" x14ac:dyDescent="0.35">
      <c r="A2061" s="61">
        <v>2057</v>
      </c>
      <c r="B2061" s="2"/>
      <c r="C2061" s="2"/>
      <c r="D2061" s="2"/>
      <c r="E2061" s="10"/>
      <c r="F2061" s="11"/>
      <c r="G2061" s="2"/>
      <c r="H2061" s="2"/>
      <c r="I2061" s="2"/>
      <c r="J2061" s="67"/>
    </row>
    <row r="2062" spans="1:10" x14ac:dyDescent="0.35">
      <c r="A2062" s="61">
        <v>2058</v>
      </c>
      <c r="B2062" s="2"/>
      <c r="C2062" s="2"/>
      <c r="D2062" s="2"/>
      <c r="E2062" s="10"/>
      <c r="F2062" s="11"/>
      <c r="G2062" s="2"/>
      <c r="H2062" s="2"/>
      <c r="I2062" s="2"/>
      <c r="J2062" s="67"/>
    </row>
    <row r="2063" spans="1:10" x14ac:dyDescent="0.35">
      <c r="A2063" s="61">
        <v>2059</v>
      </c>
      <c r="B2063" s="2"/>
      <c r="C2063" s="2"/>
      <c r="D2063" s="2"/>
      <c r="E2063" s="10"/>
      <c r="F2063" s="11"/>
      <c r="G2063" s="2"/>
      <c r="H2063" s="2"/>
      <c r="I2063" s="2"/>
      <c r="J2063" s="67"/>
    </row>
    <row r="2064" spans="1:10" x14ac:dyDescent="0.35">
      <c r="A2064" s="61">
        <v>2060</v>
      </c>
      <c r="B2064" s="2"/>
      <c r="C2064" s="2"/>
      <c r="D2064" s="2"/>
      <c r="E2064" s="10"/>
      <c r="F2064" s="11"/>
      <c r="G2064" s="2"/>
      <c r="H2064" s="2"/>
      <c r="I2064" s="2"/>
      <c r="J2064" s="67"/>
    </row>
    <row r="2065" spans="1:10" x14ac:dyDescent="0.35">
      <c r="A2065" s="61">
        <v>2061</v>
      </c>
      <c r="B2065" s="2"/>
      <c r="C2065" s="2"/>
      <c r="D2065" s="2"/>
      <c r="E2065" s="10"/>
      <c r="F2065" s="11"/>
      <c r="G2065" s="2"/>
      <c r="H2065" s="2"/>
      <c r="I2065" s="2"/>
      <c r="J2065" s="67"/>
    </row>
    <row r="2066" spans="1:10" x14ac:dyDescent="0.35">
      <c r="A2066" s="61">
        <v>2062</v>
      </c>
      <c r="B2066" s="2"/>
      <c r="C2066" s="2"/>
      <c r="D2066" s="2"/>
      <c r="E2066" s="10"/>
      <c r="F2066" s="11"/>
      <c r="G2066" s="2"/>
      <c r="H2066" s="2"/>
      <c r="I2066" s="2"/>
      <c r="J2066" s="67"/>
    </row>
    <row r="2067" spans="1:10" x14ac:dyDescent="0.35">
      <c r="A2067" s="61">
        <v>2063</v>
      </c>
      <c r="B2067" s="2"/>
      <c r="C2067" s="2"/>
      <c r="D2067" s="2"/>
      <c r="E2067" s="10"/>
      <c r="F2067" s="11"/>
      <c r="G2067" s="2"/>
      <c r="H2067" s="2"/>
      <c r="I2067" s="2"/>
      <c r="J2067" s="67"/>
    </row>
    <row r="2068" spans="1:10" x14ac:dyDescent="0.35">
      <c r="A2068" s="61">
        <v>2064</v>
      </c>
      <c r="B2068" s="2"/>
      <c r="C2068" s="2"/>
      <c r="D2068" s="2"/>
      <c r="E2068" s="10"/>
      <c r="F2068" s="11"/>
      <c r="G2068" s="2"/>
      <c r="H2068" s="2"/>
      <c r="I2068" s="2"/>
      <c r="J2068" s="67"/>
    </row>
    <row r="2069" spans="1:10" x14ac:dyDescent="0.35">
      <c r="A2069" s="61">
        <v>2065</v>
      </c>
      <c r="B2069" s="2"/>
      <c r="C2069" s="2"/>
      <c r="D2069" s="2"/>
      <c r="E2069" s="10"/>
      <c r="F2069" s="11"/>
      <c r="G2069" s="2"/>
      <c r="H2069" s="2"/>
      <c r="I2069" s="2"/>
      <c r="J2069" s="67"/>
    </row>
    <row r="2070" spans="1:10" x14ac:dyDescent="0.35">
      <c r="A2070" s="61">
        <v>2066</v>
      </c>
      <c r="B2070" s="2"/>
      <c r="C2070" s="2"/>
      <c r="D2070" s="2"/>
      <c r="E2070" s="10"/>
      <c r="F2070" s="11"/>
      <c r="G2070" s="2"/>
      <c r="H2070" s="2"/>
      <c r="I2070" s="2"/>
      <c r="J2070" s="67"/>
    </row>
    <row r="2071" spans="1:10" x14ac:dyDescent="0.35">
      <c r="A2071" s="61">
        <v>2067</v>
      </c>
      <c r="B2071" s="2"/>
      <c r="C2071" s="2"/>
      <c r="D2071" s="2"/>
      <c r="E2071" s="10"/>
      <c r="F2071" s="11"/>
      <c r="G2071" s="2"/>
      <c r="H2071" s="2"/>
      <c r="I2071" s="2"/>
      <c r="J2071" s="67"/>
    </row>
    <row r="2072" spans="1:10" x14ac:dyDescent="0.35">
      <c r="A2072" s="61">
        <v>2068</v>
      </c>
      <c r="B2072" s="2"/>
      <c r="C2072" s="2"/>
      <c r="D2072" s="2"/>
      <c r="E2072" s="10"/>
      <c r="F2072" s="11"/>
      <c r="G2072" s="2"/>
      <c r="H2072" s="2"/>
      <c r="I2072" s="2"/>
      <c r="J2072" s="67"/>
    </row>
    <row r="2073" spans="1:10" x14ac:dyDescent="0.35">
      <c r="A2073" s="61">
        <v>2069</v>
      </c>
      <c r="B2073" s="2"/>
      <c r="C2073" s="2"/>
      <c r="D2073" s="2"/>
      <c r="E2073" s="10"/>
      <c r="F2073" s="11"/>
      <c r="G2073" s="2"/>
      <c r="H2073" s="2"/>
      <c r="I2073" s="2"/>
      <c r="J2073" s="67"/>
    </row>
    <row r="2074" spans="1:10" x14ac:dyDescent="0.35">
      <c r="A2074" s="61">
        <v>2070</v>
      </c>
      <c r="B2074" s="2"/>
      <c r="C2074" s="2"/>
      <c r="D2074" s="2"/>
      <c r="E2074" s="10"/>
      <c r="F2074" s="11"/>
      <c r="G2074" s="2"/>
      <c r="H2074" s="2"/>
      <c r="I2074" s="2"/>
      <c r="J2074" s="67"/>
    </row>
    <row r="2075" spans="1:10" x14ac:dyDescent="0.35">
      <c r="A2075" s="61">
        <v>2071</v>
      </c>
      <c r="B2075" s="2"/>
      <c r="C2075" s="2"/>
      <c r="D2075" s="2"/>
      <c r="E2075" s="10"/>
      <c r="F2075" s="11"/>
      <c r="G2075" s="2"/>
      <c r="H2075" s="2"/>
      <c r="I2075" s="2"/>
      <c r="J2075" s="67"/>
    </row>
    <row r="2076" spans="1:10" x14ac:dyDescent="0.35">
      <c r="A2076" s="61">
        <v>2072</v>
      </c>
      <c r="B2076" s="2"/>
      <c r="C2076" s="2"/>
      <c r="D2076" s="2"/>
      <c r="E2076" s="10"/>
      <c r="F2076" s="11"/>
      <c r="G2076" s="2"/>
      <c r="H2076" s="2"/>
      <c r="I2076" s="2"/>
      <c r="J2076" s="67"/>
    </row>
    <row r="2077" spans="1:10" x14ac:dyDescent="0.35">
      <c r="A2077" s="61">
        <v>2073</v>
      </c>
      <c r="B2077" s="2"/>
      <c r="C2077" s="2"/>
      <c r="D2077" s="2"/>
      <c r="E2077" s="10"/>
      <c r="F2077" s="11"/>
      <c r="G2077" s="2"/>
      <c r="H2077" s="2"/>
      <c r="I2077" s="2"/>
      <c r="J2077" s="67"/>
    </row>
    <row r="2078" spans="1:10" x14ac:dyDescent="0.35">
      <c r="A2078" s="61">
        <v>2074</v>
      </c>
      <c r="B2078" s="2"/>
      <c r="C2078" s="2"/>
      <c r="D2078" s="2"/>
      <c r="E2078" s="10"/>
      <c r="F2078" s="11"/>
      <c r="G2078" s="2"/>
      <c r="H2078" s="2"/>
      <c r="I2078" s="2"/>
      <c r="J2078" s="67"/>
    </row>
    <row r="2079" spans="1:10" x14ac:dyDescent="0.35">
      <c r="A2079" s="61">
        <v>2075</v>
      </c>
      <c r="B2079" s="2"/>
      <c r="C2079" s="2"/>
      <c r="D2079" s="2"/>
      <c r="E2079" s="10"/>
      <c r="F2079" s="11"/>
      <c r="G2079" s="2"/>
      <c r="H2079" s="2"/>
      <c r="I2079" s="2"/>
      <c r="J2079" s="67"/>
    </row>
    <row r="2080" spans="1:10" x14ac:dyDescent="0.35">
      <c r="A2080" s="61">
        <v>2076</v>
      </c>
      <c r="B2080" s="2"/>
      <c r="C2080" s="2"/>
      <c r="D2080" s="2"/>
      <c r="E2080" s="10"/>
      <c r="F2080" s="11"/>
      <c r="G2080" s="2"/>
      <c r="H2080" s="2"/>
      <c r="I2080" s="2"/>
      <c r="J2080" s="67"/>
    </row>
    <row r="2081" spans="1:10" x14ac:dyDescent="0.35">
      <c r="A2081" s="61">
        <v>2077</v>
      </c>
      <c r="B2081" s="2"/>
      <c r="C2081" s="2"/>
      <c r="D2081" s="2"/>
      <c r="E2081" s="10"/>
      <c r="F2081" s="11"/>
      <c r="G2081" s="2"/>
      <c r="H2081" s="2"/>
      <c r="I2081" s="2"/>
      <c r="J2081" s="67"/>
    </row>
    <row r="2082" spans="1:10" x14ac:dyDescent="0.35">
      <c r="A2082" s="61">
        <v>2078</v>
      </c>
      <c r="B2082" s="2"/>
      <c r="C2082" s="2"/>
      <c r="D2082" s="2"/>
      <c r="E2082" s="10"/>
      <c r="F2082" s="11"/>
      <c r="G2082" s="2"/>
      <c r="H2082" s="2"/>
      <c r="I2082" s="2"/>
      <c r="J2082" s="67"/>
    </row>
    <row r="2083" spans="1:10" x14ac:dyDescent="0.35">
      <c r="A2083" s="61">
        <v>2079</v>
      </c>
      <c r="B2083" s="2"/>
      <c r="C2083" s="2"/>
      <c r="D2083" s="2"/>
      <c r="E2083" s="10"/>
      <c r="F2083" s="11"/>
      <c r="G2083" s="2"/>
      <c r="H2083" s="2"/>
      <c r="I2083" s="2"/>
      <c r="J2083" s="67"/>
    </row>
    <row r="2084" spans="1:10" x14ac:dyDescent="0.35">
      <c r="A2084" s="61">
        <v>2080</v>
      </c>
      <c r="B2084" s="2"/>
      <c r="C2084" s="2"/>
      <c r="D2084" s="2"/>
      <c r="E2084" s="10"/>
      <c r="F2084" s="11"/>
      <c r="G2084" s="2"/>
      <c r="H2084" s="2"/>
      <c r="I2084" s="2"/>
      <c r="J2084" s="67"/>
    </row>
    <row r="2085" spans="1:10" x14ac:dyDescent="0.35">
      <c r="A2085" s="61">
        <v>2081</v>
      </c>
      <c r="B2085" s="2"/>
      <c r="C2085" s="2"/>
      <c r="D2085" s="2"/>
      <c r="E2085" s="10"/>
      <c r="F2085" s="11"/>
      <c r="G2085" s="2"/>
      <c r="H2085" s="2"/>
      <c r="I2085" s="2"/>
      <c r="J2085" s="67"/>
    </row>
    <row r="2086" spans="1:10" x14ac:dyDescent="0.35">
      <c r="A2086" s="61">
        <v>2082</v>
      </c>
      <c r="B2086" s="2"/>
      <c r="C2086" s="2"/>
      <c r="D2086" s="2"/>
      <c r="E2086" s="10"/>
      <c r="F2086" s="11"/>
      <c r="G2086" s="2"/>
      <c r="H2086" s="2"/>
      <c r="I2086" s="2"/>
      <c r="J2086" s="67"/>
    </row>
    <row r="2087" spans="1:10" x14ac:dyDescent="0.35">
      <c r="A2087" s="61">
        <v>2083</v>
      </c>
      <c r="B2087" s="2"/>
      <c r="C2087" s="2"/>
      <c r="D2087" s="2"/>
      <c r="E2087" s="10"/>
      <c r="F2087" s="11"/>
      <c r="G2087" s="2"/>
      <c r="H2087" s="2"/>
      <c r="I2087" s="2"/>
      <c r="J2087" s="67"/>
    </row>
    <row r="2088" spans="1:10" x14ac:dyDescent="0.35">
      <c r="A2088" s="61">
        <v>2084</v>
      </c>
      <c r="B2088" s="2"/>
      <c r="C2088" s="2"/>
      <c r="D2088" s="2"/>
      <c r="E2088" s="10"/>
      <c r="F2088" s="11"/>
      <c r="G2088" s="2"/>
      <c r="H2088" s="2"/>
      <c r="I2088" s="2"/>
      <c r="J2088" s="67"/>
    </row>
    <row r="2089" spans="1:10" x14ac:dyDescent="0.35">
      <c r="A2089" s="61">
        <v>2085</v>
      </c>
      <c r="B2089" s="2"/>
      <c r="C2089" s="2"/>
      <c r="D2089" s="2"/>
      <c r="E2089" s="10"/>
      <c r="F2089" s="11"/>
      <c r="G2089" s="2"/>
      <c r="H2089" s="2"/>
      <c r="I2089" s="2"/>
      <c r="J2089" s="67"/>
    </row>
    <row r="2090" spans="1:10" x14ac:dyDescent="0.35">
      <c r="A2090" s="61">
        <v>2086</v>
      </c>
      <c r="B2090" s="2"/>
      <c r="C2090" s="2"/>
      <c r="D2090" s="2"/>
      <c r="E2090" s="10"/>
      <c r="F2090" s="11"/>
      <c r="G2090" s="2"/>
      <c r="H2090" s="2"/>
      <c r="I2090" s="2"/>
      <c r="J2090" s="67"/>
    </row>
    <row r="2091" spans="1:10" x14ac:dyDescent="0.35">
      <c r="A2091" s="61">
        <v>2087</v>
      </c>
      <c r="B2091" s="2"/>
      <c r="C2091" s="2"/>
      <c r="D2091" s="2"/>
      <c r="E2091" s="10"/>
      <c r="F2091" s="11"/>
      <c r="G2091" s="2"/>
      <c r="H2091" s="2"/>
      <c r="I2091" s="2"/>
      <c r="J2091" s="67"/>
    </row>
    <row r="2092" spans="1:10" x14ac:dyDescent="0.35">
      <c r="A2092" s="61">
        <v>2088</v>
      </c>
      <c r="B2092" s="2"/>
      <c r="C2092" s="2"/>
      <c r="D2092" s="2"/>
      <c r="E2092" s="10"/>
      <c r="F2092" s="11"/>
      <c r="G2092" s="2"/>
      <c r="H2092" s="2"/>
      <c r="I2092" s="2"/>
      <c r="J2092" s="67"/>
    </row>
    <row r="2093" spans="1:10" x14ac:dyDescent="0.35">
      <c r="A2093" s="61">
        <v>2089</v>
      </c>
      <c r="B2093" s="2"/>
      <c r="C2093" s="2"/>
      <c r="D2093" s="2"/>
      <c r="E2093" s="10"/>
      <c r="F2093" s="11"/>
      <c r="G2093" s="2"/>
      <c r="H2093" s="2"/>
      <c r="I2093" s="2"/>
      <c r="J2093" s="67"/>
    </row>
    <row r="2094" spans="1:10" x14ac:dyDescent="0.35">
      <c r="A2094" s="61">
        <v>2090</v>
      </c>
      <c r="B2094" s="2"/>
      <c r="C2094" s="2"/>
      <c r="D2094" s="2"/>
      <c r="E2094" s="10"/>
      <c r="F2094" s="11"/>
      <c r="G2094" s="2"/>
      <c r="H2094" s="2"/>
      <c r="I2094" s="2"/>
      <c r="J2094" s="67"/>
    </row>
    <row r="2095" spans="1:10" x14ac:dyDescent="0.35">
      <c r="A2095" s="61">
        <v>2091</v>
      </c>
      <c r="B2095" s="2"/>
      <c r="C2095" s="2"/>
      <c r="D2095" s="2"/>
      <c r="E2095" s="10"/>
      <c r="F2095" s="11"/>
      <c r="G2095" s="2"/>
      <c r="H2095" s="2"/>
      <c r="I2095" s="2"/>
      <c r="J2095" s="67"/>
    </row>
    <row r="2096" spans="1:10" x14ac:dyDescent="0.35">
      <c r="A2096" s="61">
        <v>2092</v>
      </c>
      <c r="B2096" s="2"/>
      <c r="C2096" s="2"/>
      <c r="D2096" s="2"/>
      <c r="E2096" s="10"/>
      <c r="F2096" s="11"/>
      <c r="G2096" s="2"/>
      <c r="H2096" s="2"/>
      <c r="I2096" s="2"/>
      <c r="J2096" s="67"/>
    </row>
    <row r="2097" spans="1:10" x14ac:dyDescent="0.35">
      <c r="A2097" s="61">
        <v>2093</v>
      </c>
      <c r="B2097" s="2"/>
      <c r="C2097" s="2"/>
      <c r="D2097" s="2"/>
      <c r="E2097" s="10"/>
      <c r="F2097" s="11"/>
      <c r="G2097" s="2"/>
      <c r="H2097" s="2"/>
      <c r="I2097" s="2"/>
      <c r="J2097" s="67"/>
    </row>
    <row r="2098" spans="1:10" x14ac:dyDescent="0.35">
      <c r="A2098" s="61">
        <v>2094</v>
      </c>
      <c r="B2098" s="2"/>
      <c r="C2098" s="2"/>
      <c r="D2098" s="2"/>
      <c r="E2098" s="10"/>
      <c r="F2098" s="11"/>
      <c r="G2098" s="2"/>
      <c r="H2098" s="2"/>
      <c r="I2098" s="2"/>
      <c r="J2098" s="67"/>
    </row>
    <row r="2099" spans="1:10" x14ac:dyDescent="0.35">
      <c r="A2099" s="61">
        <v>2095</v>
      </c>
      <c r="B2099" s="2"/>
      <c r="C2099" s="2"/>
      <c r="D2099" s="2"/>
      <c r="E2099" s="10"/>
      <c r="F2099" s="11"/>
      <c r="G2099" s="2"/>
      <c r="H2099" s="2"/>
      <c r="I2099" s="2"/>
      <c r="J2099" s="67"/>
    </row>
    <row r="2100" spans="1:10" x14ac:dyDescent="0.35">
      <c r="A2100" s="61">
        <v>2096</v>
      </c>
      <c r="B2100" s="2"/>
      <c r="C2100" s="2"/>
      <c r="D2100" s="2"/>
      <c r="E2100" s="10"/>
      <c r="F2100" s="11"/>
      <c r="G2100" s="2"/>
      <c r="H2100" s="2"/>
      <c r="I2100" s="2"/>
      <c r="J2100" s="67"/>
    </row>
    <row r="2101" spans="1:10" x14ac:dyDescent="0.35">
      <c r="A2101" s="61">
        <v>2097</v>
      </c>
      <c r="B2101" s="2"/>
      <c r="C2101" s="2"/>
      <c r="D2101" s="2"/>
      <c r="E2101" s="10"/>
      <c r="F2101" s="11"/>
      <c r="G2101" s="2"/>
      <c r="H2101" s="2"/>
      <c r="I2101" s="2"/>
      <c r="J2101" s="67"/>
    </row>
    <row r="2102" spans="1:10" x14ac:dyDescent="0.35">
      <c r="A2102" s="61">
        <v>2098</v>
      </c>
      <c r="B2102" s="2"/>
      <c r="C2102" s="2"/>
      <c r="D2102" s="2"/>
      <c r="E2102" s="10"/>
      <c r="F2102" s="11"/>
      <c r="G2102" s="2"/>
      <c r="H2102" s="2"/>
      <c r="I2102" s="2"/>
      <c r="J2102" s="67"/>
    </row>
    <row r="2103" spans="1:10" x14ac:dyDescent="0.35">
      <c r="A2103" s="61">
        <v>2099</v>
      </c>
      <c r="B2103" s="2"/>
      <c r="C2103" s="2"/>
      <c r="D2103" s="2"/>
      <c r="E2103" s="10"/>
      <c r="F2103" s="11"/>
      <c r="G2103" s="2"/>
      <c r="H2103" s="2"/>
      <c r="I2103" s="2"/>
      <c r="J2103" s="67"/>
    </row>
    <row r="2104" spans="1:10" x14ac:dyDescent="0.35">
      <c r="A2104" s="61">
        <v>2100</v>
      </c>
      <c r="B2104" s="2"/>
      <c r="C2104" s="2"/>
      <c r="D2104" s="2"/>
      <c r="E2104" s="10"/>
      <c r="F2104" s="11"/>
      <c r="G2104" s="2"/>
      <c r="H2104" s="2"/>
      <c r="I2104" s="2"/>
      <c r="J2104" s="67"/>
    </row>
    <row r="2105" spans="1:10" x14ac:dyDescent="0.35">
      <c r="A2105" s="61">
        <v>2101</v>
      </c>
      <c r="B2105" s="2"/>
      <c r="C2105" s="2"/>
      <c r="D2105" s="2"/>
      <c r="E2105" s="10"/>
      <c r="F2105" s="11"/>
      <c r="G2105" s="2"/>
      <c r="H2105" s="2"/>
      <c r="I2105" s="2"/>
      <c r="J2105" s="67"/>
    </row>
    <row r="2106" spans="1:10" x14ac:dyDescent="0.35">
      <c r="A2106" s="61">
        <v>2102</v>
      </c>
      <c r="B2106" s="2"/>
      <c r="C2106" s="2"/>
      <c r="D2106" s="2"/>
      <c r="E2106" s="10"/>
      <c r="F2106" s="11"/>
      <c r="G2106" s="2"/>
      <c r="H2106" s="2"/>
      <c r="I2106" s="2"/>
      <c r="J2106" s="67"/>
    </row>
    <row r="2107" spans="1:10" x14ac:dyDescent="0.35">
      <c r="A2107" s="61">
        <v>2103</v>
      </c>
      <c r="B2107" s="2"/>
      <c r="C2107" s="2"/>
      <c r="D2107" s="2"/>
      <c r="E2107" s="10"/>
      <c r="F2107" s="11"/>
      <c r="G2107" s="2"/>
      <c r="H2107" s="2"/>
      <c r="I2107" s="2"/>
      <c r="J2107" s="67"/>
    </row>
    <row r="2108" spans="1:10" x14ac:dyDescent="0.35">
      <c r="A2108" s="61">
        <v>2104</v>
      </c>
      <c r="B2108" s="2"/>
      <c r="C2108" s="2"/>
      <c r="D2108" s="2"/>
      <c r="E2108" s="10"/>
      <c r="F2108" s="11"/>
      <c r="G2108" s="2"/>
      <c r="H2108" s="2"/>
      <c r="I2108" s="2"/>
      <c r="J2108" s="67"/>
    </row>
    <row r="2109" spans="1:10" x14ac:dyDescent="0.35">
      <c r="A2109" s="61">
        <v>2105</v>
      </c>
      <c r="B2109" s="2"/>
      <c r="C2109" s="2"/>
      <c r="D2109" s="2"/>
      <c r="E2109" s="10"/>
      <c r="F2109" s="11"/>
      <c r="G2109" s="2"/>
      <c r="H2109" s="2"/>
      <c r="I2109" s="2"/>
      <c r="J2109" s="67"/>
    </row>
    <row r="2110" spans="1:10" x14ac:dyDescent="0.35">
      <c r="A2110" s="61">
        <v>2106</v>
      </c>
      <c r="B2110" s="2"/>
      <c r="C2110" s="2"/>
      <c r="D2110" s="2"/>
      <c r="E2110" s="10"/>
      <c r="F2110" s="11"/>
      <c r="G2110" s="2"/>
      <c r="H2110" s="2"/>
      <c r="I2110" s="2"/>
      <c r="J2110" s="67"/>
    </row>
    <row r="2111" spans="1:10" x14ac:dyDescent="0.35">
      <c r="A2111" s="61">
        <v>2107</v>
      </c>
      <c r="B2111" s="2"/>
      <c r="C2111" s="2"/>
      <c r="D2111" s="2"/>
      <c r="E2111" s="10"/>
      <c r="F2111" s="11"/>
      <c r="G2111" s="2"/>
      <c r="H2111" s="2"/>
      <c r="I2111" s="2"/>
      <c r="J2111" s="67"/>
    </row>
    <row r="2112" spans="1:10" x14ac:dyDescent="0.35">
      <c r="A2112" s="61">
        <v>2108</v>
      </c>
      <c r="B2112" s="2"/>
      <c r="C2112" s="2"/>
      <c r="D2112" s="2"/>
      <c r="E2112" s="10"/>
      <c r="F2112" s="11"/>
      <c r="G2112" s="2"/>
      <c r="H2112" s="2"/>
      <c r="I2112" s="2"/>
      <c r="J2112" s="67"/>
    </row>
    <row r="2113" spans="1:10" x14ac:dyDescent="0.35">
      <c r="A2113" s="61">
        <v>2109</v>
      </c>
      <c r="B2113" s="2"/>
      <c r="C2113" s="2"/>
      <c r="D2113" s="2"/>
      <c r="E2113" s="10"/>
      <c r="F2113" s="11"/>
      <c r="G2113" s="2"/>
      <c r="H2113" s="2"/>
      <c r="I2113" s="2"/>
      <c r="J2113" s="67"/>
    </row>
    <row r="2114" spans="1:10" x14ac:dyDescent="0.35">
      <c r="A2114" s="61">
        <v>2110</v>
      </c>
      <c r="B2114" s="2"/>
      <c r="C2114" s="2"/>
      <c r="D2114" s="2"/>
      <c r="E2114" s="10"/>
      <c r="F2114" s="11"/>
      <c r="G2114" s="2"/>
      <c r="H2114" s="2"/>
      <c r="I2114" s="2"/>
      <c r="J2114" s="67"/>
    </row>
    <row r="2115" spans="1:10" x14ac:dyDescent="0.35">
      <c r="A2115" s="61">
        <v>2111</v>
      </c>
      <c r="B2115" s="2"/>
      <c r="C2115" s="2"/>
      <c r="D2115" s="2"/>
      <c r="E2115" s="10"/>
      <c r="F2115" s="11"/>
      <c r="G2115" s="2"/>
      <c r="H2115" s="2"/>
      <c r="I2115" s="2"/>
      <c r="J2115" s="67"/>
    </row>
    <row r="2116" spans="1:10" x14ac:dyDescent="0.35">
      <c r="A2116" s="61">
        <v>2112</v>
      </c>
      <c r="B2116" s="2"/>
      <c r="C2116" s="2"/>
      <c r="D2116" s="2"/>
      <c r="E2116" s="10"/>
      <c r="F2116" s="11"/>
      <c r="G2116" s="2"/>
      <c r="H2116" s="2"/>
      <c r="I2116" s="2"/>
      <c r="J2116" s="67"/>
    </row>
    <row r="2117" spans="1:10" x14ac:dyDescent="0.35">
      <c r="A2117" s="61">
        <v>2113</v>
      </c>
      <c r="B2117" s="2"/>
      <c r="C2117" s="2"/>
      <c r="D2117" s="2"/>
      <c r="E2117" s="10"/>
      <c r="F2117" s="11"/>
      <c r="G2117" s="2"/>
      <c r="H2117" s="2"/>
      <c r="I2117" s="2"/>
      <c r="J2117" s="67"/>
    </row>
    <row r="2118" spans="1:10" x14ac:dyDescent="0.35">
      <c r="A2118" s="61">
        <v>2114</v>
      </c>
      <c r="B2118" s="2"/>
      <c r="C2118" s="2"/>
      <c r="D2118" s="2"/>
      <c r="E2118" s="10"/>
      <c r="F2118" s="11"/>
      <c r="G2118" s="2"/>
      <c r="H2118" s="2"/>
      <c r="I2118" s="2"/>
      <c r="J2118" s="67"/>
    </row>
    <row r="2119" spans="1:10" x14ac:dyDescent="0.35">
      <c r="A2119" s="61">
        <v>2115</v>
      </c>
      <c r="B2119" s="2"/>
      <c r="C2119" s="2"/>
      <c r="D2119" s="2"/>
      <c r="E2119" s="10"/>
      <c r="F2119" s="11"/>
      <c r="G2119" s="2"/>
      <c r="H2119" s="2"/>
      <c r="I2119" s="2"/>
      <c r="J2119" s="67"/>
    </row>
    <row r="2120" spans="1:10" x14ac:dyDescent="0.35">
      <c r="A2120" s="61">
        <v>2116</v>
      </c>
      <c r="B2120" s="2"/>
      <c r="C2120" s="2"/>
      <c r="D2120" s="2"/>
      <c r="E2120" s="10"/>
      <c r="F2120" s="11"/>
      <c r="G2120" s="2"/>
      <c r="H2120" s="2"/>
      <c r="I2120" s="2"/>
      <c r="J2120" s="67"/>
    </row>
    <row r="2121" spans="1:10" x14ac:dyDescent="0.35">
      <c r="A2121" s="61">
        <v>2117</v>
      </c>
      <c r="B2121" s="2"/>
      <c r="C2121" s="2"/>
      <c r="D2121" s="2"/>
      <c r="E2121" s="10"/>
      <c r="F2121" s="11"/>
      <c r="G2121" s="2"/>
      <c r="H2121" s="2"/>
      <c r="I2121" s="2"/>
      <c r="J2121" s="67"/>
    </row>
    <row r="2122" spans="1:10" x14ac:dyDescent="0.35">
      <c r="A2122" s="61">
        <v>2118</v>
      </c>
      <c r="B2122" s="2"/>
      <c r="C2122" s="2"/>
      <c r="D2122" s="2"/>
      <c r="E2122" s="10"/>
      <c r="F2122" s="11"/>
      <c r="G2122" s="2"/>
      <c r="H2122" s="2"/>
      <c r="I2122" s="2"/>
      <c r="J2122" s="67"/>
    </row>
    <row r="2123" spans="1:10" x14ac:dyDescent="0.35">
      <c r="A2123" s="61">
        <v>2119</v>
      </c>
      <c r="B2123" s="2"/>
      <c r="C2123" s="2"/>
      <c r="D2123" s="2"/>
      <c r="E2123" s="10"/>
      <c r="F2123" s="11"/>
      <c r="G2123" s="2"/>
      <c r="H2123" s="2"/>
      <c r="I2123" s="2"/>
      <c r="J2123" s="67"/>
    </row>
    <row r="2124" spans="1:10" x14ac:dyDescent="0.35">
      <c r="A2124" s="61">
        <v>2120</v>
      </c>
      <c r="B2124" s="2"/>
      <c r="C2124" s="2"/>
      <c r="D2124" s="2"/>
      <c r="E2124" s="10"/>
      <c r="F2124" s="11"/>
      <c r="G2124" s="2"/>
      <c r="H2124" s="2"/>
      <c r="I2124" s="2"/>
      <c r="J2124" s="67"/>
    </row>
    <row r="2125" spans="1:10" x14ac:dyDescent="0.35">
      <c r="A2125" s="61">
        <v>2121</v>
      </c>
      <c r="B2125" s="2"/>
      <c r="C2125" s="2"/>
      <c r="D2125" s="2"/>
      <c r="E2125" s="10"/>
      <c r="F2125" s="11"/>
      <c r="G2125" s="2"/>
      <c r="H2125" s="2"/>
      <c r="I2125" s="2"/>
      <c r="J2125" s="67"/>
    </row>
    <row r="2126" spans="1:10" x14ac:dyDescent="0.35">
      <c r="A2126" s="61">
        <v>2122</v>
      </c>
      <c r="B2126" s="2"/>
      <c r="C2126" s="2"/>
      <c r="D2126" s="2"/>
      <c r="E2126" s="10"/>
      <c r="F2126" s="11"/>
      <c r="G2126" s="2"/>
      <c r="H2126" s="2"/>
      <c r="I2126" s="2"/>
      <c r="J2126" s="67"/>
    </row>
    <row r="2127" spans="1:10" x14ac:dyDescent="0.35">
      <c r="A2127" s="61">
        <v>2123</v>
      </c>
      <c r="B2127" s="2"/>
      <c r="C2127" s="2"/>
      <c r="D2127" s="2"/>
      <c r="E2127" s="10"/>
      <c r="F2127" s="11"/>
      <c r="G2127" s="2"/>
      <c r="H2127" s="2"/>
      <c r="I2127" s="2"/>
      <c r="J2127" s="67"/>
    </row>
    <row r="2128" spans="1:10" x14ac:dyDescent="0.35">
      <c r="A2128" s="61">
        <v>2124</v>
      </c>
      <c r="B2128" s="2"/>
      <c r="C2128" s="2"/>
      <c r="D2128" s="2"/>
      <c r="E2128" s="10"/>
      <c r="F2128" s="11"/>
      <c r="G2128" s="2"/>
      <c r="H2128" s="2"/>
      <c r="I2128" s="2"/>
      <c r="J2128" s="67"/>
    </row>
    <row r="2129" spans="1:10" x14ac:dyDescent="0.35">
      <c r="A2129" s="61">
        <v>2125</v>
      </c>
      <c r="B2129" s="2"/>
      <c r="C2129" s="2"/>
      <c r="D2129" s="2"/>
      <c r="E2129" s="10"/>
      <c r="F2129" s="11"/>
      <c r="G2129" s="2"/>
      <c r="H2129" s="2"/>
      <c r="I2129" s="2"/>
      <c r="J2129" s="67"/>
    </row>
    <row r="2130" spans="1:10" x14ac:dyDescent="0.35">
      <c r="A2130" s="61">
        <v>2126</v>
      </c>
      <c r="B2130" s="2"/>
      <c r="C2130" s="2"/>
      <c r="D2130" s="2"/>
      <c r="E2130" s="10"/>
      <c r="F2130" s="11"/>
      <c r="G2130" s="2"/>
      <c r="H2130" s="2"/>
      <c r="I2130" s="2"/>
      <c r="J2130" s="67"/>
    </row>
    <row r="2131" spans="1:10" x14ac:dyDescent="0.35">
      <c r="A2131" s="61">
        <v>2127</v>
      </c>
      <c r="B2131" s="2"/>
      <c r="C2131" s="2"/>
      <c r="D2131" s="2"/>
      <c r="E2131" s="10"/>
      <c r="F2131" s="11"/>
      <c r="G2131" s="2"/>
      <c r="H2131" s="2"/>
      <c r="I2131" s="2"/>
      <c r="J2131" s="67"/>
    </row>
    <row r="2132" spans="1:10" x14ac:dyDescent="0.35">
      <c r="A2132" s="61">
        <v>2128</v>
      </c>
      <c r="B2132" s="2"/>
      <c r="C2132" s="2"/>
      <c r="D2132" s="2"/>
      <c r="E2132" s="10"/>
      <c r="F2132" s="11"/>
      <c r="G2132" s="2"/>
      <c r="H2132" s="2"/>
      <c r="I2132" s="2"/>
      <c r="J2132" s="67"/>
    </row>
    <row r="2133" spans="1:10" x14ac:dyDescent="0.35">
      <c r="A2133" s="61">
        <v>2129</v>
      </c>
      <c r="B2133" s="2"/>
      <c r="C2133" s="2"/>
      <c r="D2133" s="2"/>
      <c r="E2133" s="10"/>
      <c r="F2133" s="11"/>
      <c r="G2133" s="2"/>
      <c r="H2133" s="2"/>
      <c r="I2133" s="2"/>
      <c r="J2133" s="67"/>
    </row>
    <row r="2134" spans="1:10" x14ac:dyDescent="0.35">
      <c r="A2134" s="61">
        <v>2130</v>
      </c>
      <c r="B2134" s="2"/>
      <c r="C2134" s="2"/>
      <c r="D2134" s="2"/>
      <c r="E2134" s="10"/>
      <c r="F2134" s="11"/>
      <c r="G2134" s="2"/>
      <c r="H2134" s="2"/>
      <c r="I2134" s="2"/>
      <c r="J2134" s="67"/>
    </row>
    <row r="2135" spans="1:10" x14ac:dyDescent="0.35">
      <c r="A2135" s="61">
        <v>2131</v>
      </c>
      <c r="B2135" s="2"/>
      <c r="C2135" s="2"/>
      <c r="D2135" s="2"/>
      <c r="E2135" s="10"/>
      <c r="F2135" s="11"/>
      <c r="G2135" s="2"/>
      <c r="H2135" s="2"/>
      <c r="I2135" s="2"/>
      <c r="J2135" s="67"/>
    </row>
    <row r="2136" spans="1:10" x14ac:dyDescent="0.35">
      <c r="A2136" s="61">
        <v>2132</v>
      </c>
      <c r="B2136" s="2"/>
      <c r="C2136" s="2"/>
      <c r="D2136" s="2"/>
      <c r="E2136" s="10"/>
      <c r="F2136" s="11"/>
      <c r="G2136" s="2"/>
      <c r="H2136" s="2"/>
      <c r="I2136" s="2"/>
      <c r="J2136" s="67"/>
    </row>
    <row r="2137" spans="1:10" x14ac:dyDescent="0.35">
      <c r="A2137" s="61">
        <v>2133</v>
      </c>
      <c r="B2137" s="2"/>
      <c r="C2137" s="2"/>
      <c r="D2137" s="2"/>
      <c r="E2137" s="10"/>
      <c r="F2137" s="11"/>
      <c r="G2137" s="2"/>
      <c r="H2137" s="2"/>
      <c r="I2137" s="2"/>
      <c r="J2137" s="67"/>
    </row>
    <row r="2138" spans="1:10" x14ac:dyDescent="0.35">
      <c r="A2138" s="61">
        <v>2134</v>
      </c>
      <c r="B2138" s="2"/>
      <c r="C2138" s="2"/>
      <c r="D2138" s="2"/>
      <c r="E2138" s="10"/>
      <c r="F2138" s="11"/>
      <c r="G2138" s="2"/>
      <c r="H2138" s="2"/>
      <c r="I2138" s="2"/>
      <c r="J2138" s="67"/>
    </row>
    <row r="2139" spans="1:10" x14ac:dyDescent="0.35">
      <c r="A2139" s="61">
        <v>2135</v>
      </c>
      <c r="B2139" s="2"/>
      <c r="C2139" s="2"/>
      <c r="D2139" s="2"/>
      <c r="E2139" s="10"/>
      <c r="F2139" s="11"/>
      <c r="G2139" s="2"/>
      <c r="H2139" s="2"/>
      <c r="I2139" s="2"/>
      <c r="J2139" s="67"/>
    </row>
    <row r="2140" spans="1:10" x14ac:dyDescent="0.35">
      <c r="A2140" s="61">
        <v>2136</v>
      </c>
      <c r="B2140" s="2"/>
      <c r="C2140" s="2"/>
      <c r="D2140" s="2"/>
      <c r="E2140" s="10"/>
      <c r="F2140" s="11"/>
      <c r="G2140" s="2"/>
      <c r="H2140" s="2"/>
      <c r="I2140" s="2"/>
      <c r="J2140" s="67"/>
    </row>
    <row r="2141" spans="1:10" x14ac:dyDescent="0.35">
      <c r="A2141" s="61">
        <v>2137</v>
      </c>
      <c r="B2141" s="2"/>
      <c r="C2141" s="2"/>
      <c r="D2141" s="2"/>
      <c r="E2141" s="10"/>
      <c r="F2141" s="11"/>
      <c r="G2141" s="2"/>
      <c r="H2141" s="2"/>
      <c r="I2141" s="2"/>
      <c r="J2141" s="67"/>
    </row>
    <row r="2142" spans="1:10" x14ac:dyDescent="0.35">
      <c r="A2142" s="61">
        <v>2138</v>
      </c>
      <c r="B2142" s="2"/>
      <c r="C2142" s="2"/>
      <c r="D2142" s="2"/>
      <c r="E2142" s="10"/>
      <c r="F2142" s="11"/>
      <c r="G2142" s="2"/>
      <c r="H2142" s="2"/>
      <c r="I2142" s="2"/>
      <c r="J2142" s="67"/>
    </row>
    <row r="2143" spans="1:10" x14ac:dyDescent="0.35">
      <c r="A2143" s="61">
        <v>2139</v>
      </c>
      <c r="B2143" s="2"/>
      <c r="C2143" s="2"/>
      <c r="D2143" s="2"/>
      <c r="E2143" s="10"/>
      <c r="F2143" s="11"/>
      <c r="G2143" s="2"/>
      <c r="H2143" s="2"/>
      <c r="I2143" s="2"/>
      <c r="J2143" s="67"/>
    </row>
    <row r="2144" spans="1:10" x14ac:dyDescent="0.35">
      <c r="A2144" s="61">
        <v>2140</v>
      </c>
      <c r="B2144" s="2"/>
      <c r="C2144" s="2"/>
      <c r="D2144" s="2"/>
      <c r="E2144" s="10"/>
      <c r="F2144" s="11"/>
      <c r="G2144" s="2"/>
      <c r="H2144" s="2"/>
      <c r="I2144" s="2"/>
      <c r="J2144" s="67"/>
    </row>
    <row r="2145" spans="1:10" x14ac:dyDescent="0.35">
      <c r="A2145" s="61">
        <v>2141</v>
      </c>
      <c r="B2145" s="2"/>
      <c r="C2145" s="2"/>
      <c r="D2145" s="2"/>
      <c r="E2145" s="10"/>
      <c r="F2145" s="11"/>
      <c r="G2145" s="2"/>
      <c r="H2145" s="2"/>
      <c r="I2145" s="2"/>
      <c r="J2145" s="67"/>
    </row>
    <row r="2146" spans="1:10" x14ac:dyDescent="0.35">
      <c r="A2146" s="61">
        <v>2142</v>
      </c>
      <c r="B2146" s="2"/>
      <c r="C2146" s="2"/>
      <c r="D2146" s="2"/>
      <c r="E2146" s="10"/>
      <c r="F2146" s="11"/>
      <c r="G2146" s="2"/>
      <c r="H2146" s="2"/>
      <c r="I2146" s="2"/>
      <c r="J2146" s="67"/>
    </row>
    <row r="2147" spans="1:10" x14ac:dyDescent="0.35">
      <c r="A2147" s="61">
        <v>2143</v>
      </c>
      <c r="B2147" s="2"/>
      <c r="C2147" s="2"/>
      <c r="D2147" s="2"/>
      <c r="E2147" s="10"/>
      <c r="F2147" s="11"/>
      <c r="G2147" s="2"/>
      <c r="H2147" s="2"/>
      <c r="I2147" s="2"/>
      <c r="J2147" s="67"/>
    </row>
    <row r="2148" spans="1:10" x14ac:dyDescent="0.35">
      <c r="A2148" s="61">
        <v>2144</v>
      </c>
      <c r="B2148" s="2"/>
      <c r="C2148" s="2"/>
      <c r="D2148" s="2"/>
      <c r="E2148" s="10"/>
      <c r="F2148" s="11"/>
      <c r="G2148" s="2"/>
      <c r="H2148" s="2"/>
      <c r="I2148" s="2"/>
      <c r="J2148" s="67"/>
    </row>
    <row r="2149" spans="1:10" x14ac:dyDescent="0.35">
      <c r="A2149" s="61">
        <v>2145</v>
      </c>
      <c r="B2149" s="2"/>
      <c r="C2149" s="2"/>
      <c r="D2149" s="2"/>
      <c r="E2149" s="10"/>
      <c r="F2149" s="11"/>
      <c r="G2149" s="2"/>
      <c r="H2149" s="2"/>
      <c r="I2149" s="2"/>
      <c r="J2149" s="67"/>
    </row>
    <row r="2150" spans="1:10" x14ac:dyDescent="0.35">
      <c r="A2150" s="61">
        <v>2146</v>
      </c>
      <c r="B2150" s="2"/>
      <c r="C2150" s="2"/>
      <c r="D2150" s="2"/>
      <c r="E2150" s="10"/>
      <c r="F2150" s="11"/>
      <c r="G2150" s="2"/>
      <c r="H2150" s="2"/>
      <c r="I2150" s="2"/>
      <c r="J2150" s="67"/>
    </row>
    <row r="2151" spans="1:10" x14ac:dyDescent="0.35">
      <c r="A2151" s="61">
        <v>2147</v>
      </c>
      <c r="B2151" s="2"/>
      <c r="C2151" s="2"/>
      <c r="D2151" s="2"/>
      <c r="E2151" s="10"/>
      <c r="F2151" s="11"/>
      <c r="G2151" s="2"/>
      <c r="H2151" s="2"/>
      <c r="I2151" s="2"/>
      <c r="J2151" s="67"/>
    </row>
    <row r="2152" spans="1:10" x14ac:dyDescent="0.35">
      <c r="A2152" s="61">
        <v>2148</v>
      </c>
      <c r="B2152" s="2"/>
      <c r="C2152" s="2"/>
      <c r="D2152" s="2"/>
      <c r="E2152" s="10"/>
      <c r="F2152" s="11"/>
      <c r="G2152" s="2"/>
      <c r="H2152" s="2"/>
      <c r="I2152" s="2"/>
      <c r="J2152" s="67"/>
    </row>
    <row r="2153" spans="1:10" x14ac:dyDescent="0.35">
      <c r="A2153" s="61">
        <v>2149</v>
      </c>
      <c r="B2153" s="2"/>
      <c r="C2153" s="2"/>
      <c r="D2153" s="2"/>
      <c r="E2153" s="10"/>
      <c r="F2153" s="11"/>
      <c r="G2153" s="2"/>
      <c r="H2153" s="2"/>
      <c r="I2153" s="2"/>
      <c r="J2153" s="67"/>
    </row>
    <row r="2154" spans="1:10" x14ac:dyDescent="0.35">
      <c r="A2154" s="61">
        <v>2150</v>
      </c>
      <c r="B2154" s="2"/>
      <c r="C2154" s="2"/>
      <c r="D2154" s="2"/>
      <c r="E2154" s="10"/>
      <c r="F2154" s="11"/>
      <c r="G2154" s="2"/>
      <c r="H2154" s="2"/>
      <c r="I2154" s="2"/>
      <c r="J2154" s="67"/>
    </row>
    <row r="2155" spans="1:10" x14ac:dyDescent="0.35">
      <c r="A2155" s="61">
        <v>2151</v>
      </c>
      <c r="B2155" s="2"/>
      <c r="C2155" s="2"/>
      <c r="D2155" s="2"/>
      <c r="E2155" s="10"/>
      <c r="F2155" s="11"/>
      <c r="G2155" s="2"/>
      <c r="H2155" s="2"/>
      <c r="I2155" s="2"/>
      <c r="J2155" s="67"/>
    </row>
    <row r="2156" spans="1:10" x14ac:dyDescent="0.35">
      <c r="A2156" s="61">
        <v>2152</v>
      </c>
      <c r="B2156" s="2"/>
      <c r="C2156" s="2"/>
      <c r="D2156" s="2"/>
      <c r="E2156" s="10"/>
      <c r="F2156" s="11"/>
      <c r="G2156" s="2"/>
      <c r="H2156" s="2"/>
      <c r="I2156" s="2"/>
      <c r="J2156" s="67"/>
    </row>
    <row r="2157" spans="1:10" x14ac:dyDescent="0.35">
      <c r="A2157" s="61">
        <v>2153</v>
      </c>
      <c r="B2157" s="2"/>
      <c r="C2157" s="2"/>
      <c r="D2157" s="2"/>
      <c r="E2157" s="10"/>
      <c r="F2157" s="11"/>
      <c r="G2157" s="2"/>
      <c r="H2157" s="2"/>
      <c r="I2157" s="2"/>
      <c r="J2157" s="67"/>
    </row>
    <row r="2158" spans="1:10" x14ac:dyDescent="0.35">
      <c r="A2158" s="61">
        <v>2154</v>
      </c>
      <c r="B2158" s="2"/>
      <c r="C2158" s="2"/>
      <c r="D2158" s="2"/>
      <c r="E2158" s="10"/>
      <c r="F2158" s="11"/>
      <c r="G2158" s="2"/>
      <c r="H2158" s="2"/>
      <c r="I2158" s="2"/>
      <c r="J2158" s="67"/>
    </row>
    <row r="2159" spans="1:10" x14ac:dyDescent="0.35">
      <c r="A2159" s="61">
        <v>2155</v>
      </c>
      <c r="B2159" s="2"/>
      <c r="C2159" s="2"/>
      <c r="D2159" s="2"/>
      <c r="E2159" s="10"/>
      <c r="F2159" s="11"/>
      <c r="G2159" s="2"/>
      <c r="H2159" s="2"/>
      <c r="I2159" s="2"/>
      <c r="J2159" s="67"/>
    </row>
    <row r="2160" spans="1:10" x14ac:dyDescent="0.35">
      <c r="A2160" s="61">
        <v>2156</v>
      </c>
      <c r="B2160" s="2"/>
      <c r="C2160" s="2"/>
      <c r="D2160" s="2"/>
      <c r="E2160" s="10"/>
      <c r="F2160" s="11"/>
      <c r="G2160" s="2"/>
      <c r="H2160" s="2"/>
      <c r="I2160" s="2"/>
      <c r="J2160" s="67"/>
    </row>
    <row r="2161" spans="1:10" x14ac:dyDescent="0.35">
      <c r="A2161" s="61">
        <v>2157</v>
      </c>
      <c r="B2161" s="2"/>
      <c r="C2161" s="2"/>
      <c r="D2161" s="2"/>
      <c r="E2161" s="10"/>
      <c r="F2161" s="11"/>
      <c r="G2161" s="2"/>
      <c r="H2161" s="2"/>
      <c r="I2161" s="2"/>
      <c r="J2161" s="67"/>
    </row>
    <row r="2162" spans="1:10" x14ac:dyDescent="0.35">
      <c r="A2162" s="61">
        <v>2158</v>
      </c>
      <c r="B2162" s="2"/>
      <c r="C2162" s="2"/>
      <c r="D2162" s="2"/>
      <c r="E2162" s="10"/>
      <c r="F2162" s="11"/>
      <c r="G2162" s="2"/>
      <c r="H2162" s="2"/>
      <c r="I2162" s="2"/>
      <c r="J2162" s="67"/>
    </row>
    <row r="2163" spans="1:10" x14ac:dyDescent="0.35">
      <c r="A2163" s="61">
        <v>2159</v>
      </c>
      <c r="B2163" s="2"/>
      <c r="C2163" s="2"/>
      <c r="D2163" s="2"/>
      <c r="E2163" s="10"/>
      <c r="F2163" s="11"/>
      <c r="G2163" s="2"/>
      <c r="H2163" s="2"/>
      <c r="I2163" s="2"/>
      <c r="J2163" s="67"/>
    </row>
    <row r="2164" spans="1:10" x14ac:dyDescent="0.35">
      <c r="A2164" s="61">
        <v>2160</v>
      </c>
      <c r="B2164" s="2"/>
      <c r="C2164" s="2"/>
      <c r="D2164" s="2"/>
      <c r="E2164" s="10"/>
      <c r="F2164" s="11"/>
      <c r="G2164" s="2"/>
      <c r="H2164" s="2"/>
      <c r="I2164" s="2"/>
      <c r="J2164" s="67"/>
    </row>
    <row r="2165" spans="1:10" x14ac:dyDescent="0.35">
      <c r="A2165" s="61">
        <v>2161</v>
      </c>
      <c r="B2165" s="2"/>
      <c r="C2165" s="2"/>
      <c r="D2165" s="2"/>
      <c r="E2165" s="10"/>
      <c r="F2165" s="11"/>
      <c r="G2165" s="2"/>
      <c r="H2165" s="2"/>
      <c r="I2165" s="2"/>
      <c r="J2165" s="67"/>
    </row>
    <row r="2166" spans="1:10" x14ac:dyDescent="0.35">
      <c r="A2166" s="61">
        <v>2162</v>
      </c>
      <c r="B2166" s="2"/>
      <c r="C2166" s="2"/>
      <c r="D2166" s="2"/>
      <c r="E2166" s="10"/>
      <c r="F2166" s="11"/>
      <c r="G2166" s="2"/>
      <c r="H2166" s="2"/>
      <c r="I2166" s="2"/>
      <c r="J2166" s="67"/>
    </row>
    <row r="2167" spans="1:10" x14ac:dyDescent="0.35">
      <c r="A2167" s="61">
        <v>2163</v>
      </c>
      <c r="B2167" s="2"/>
      <c r="C2167" s="2"/>
      <c r="D2167" s="2"/>
      <c r="E2167" s="10"/>
      <c r="F2167" s="11"/>
      <c r="G2167" s="2"/>
      <c r="H2167" s="2"/>
      <c r="I2167" s="2"/>
      <c r="J2167" s="67"/>
    </row>
    <row r="2168" spans="1:10" x14ac:dyDescent="0.35">
      <c r="A2168" s="61">
        <v>2164</v>
      </c>
      <c r="B2168" s="2"/>
      <c r="C2168" s="2"/>
      <c r="D2168" s="2"/>
      <c r="E2168" s="10"/>
      <c r="F2168" s="11"/>
      <c r="G2168" s="2"/>
      <c r="H2168" s="2"/>
      <c r="I2168" s="2"/>
      <c r="J2168" s="67"/>
    </row>
    <row r="2169" spans="1:10" x14ac:dyDescent="0.35">
      <c r="A2169" s="61">
        <v>2165</v>
      </c>
      <c r="B2169" s="2"/>
      <c r="C2169" s="2"/>
      <c r="D2169" s="2"/>
      <c r="E2169" s="10"/>
      <c r="F2169" s="11"/>
      <c r="G2169" s="2"/>
      <c r="H2169" s="2"/>
      <c r="I2169" s="2"/>
      <c r="J2169" s="67"/>
    </row>
    <row r="2170" spans="1:10" x14ac:dyDescent="0.35">
      <c r="A2170" s="61">
        <v>2166</v>
      </c>
      <c r="B2170" s="2"/>
      <c r="C2170" s="2"/>
      <c r="D2170" s="2"/>
      <c r="E2170" s="10"/>
      <c r="F2170" s="11"/>
      <c r="G2170" s="2"/>
      <c r="H2170" s="2"/>
      <c r="I2170" s="2"/>
      <c r="J2170" s="67"/>
    </row>
    <row r="2171" spans="1:10" x14ac:dyDescent="0.35">
      <c r="A2171" s="61">
        <v>2167</v>
      </c>
      <c r="B2171" s="2"/>
      <c r="C2171" s="2"/>
      <c r="D2171" s="2"/>
      <c r="E2171" s="10"/>
      <c r="F2171" s="11"/>
      <c r="G2171" s="2"/>
      <c r="H2171" s="2"/>
      <c r="I2171" s="2"/>
      <c r="J2171" s="67"/>
    </row>
    <row r="2172" spans="1:10" x14ac:dyDescent="0.35">
      <c r="A2172" s="61">
        <v>2168</v>
      </c>
      <c r="B2172" s="2"/>
      <c r="C2172" s="2"/>
      <c r="D2172" s="2"/>
      <c r="E2172" s="10"/>
      <c r="F2172" s="11"/>
      <c r="G2172" s="2"/>
      <c r="H2172" s="2"/>
      <c r="I2172" s="2"/>
      <c r="J2172" s="67"/>
    </row>
    <row r="2173" spans="1:10" x14ac:dyDescent="0.35">
      <c r="A2173" s="61">
        <v>2169</v>
      </c>
      <c r="B2173" s="2"/>
      <c r="C2173" s="2"/>
      <c r="D2173" s="2"/>
      <c r="E2173" s="10"/>
      <c r="F2173" s="11"/>
      <c r="G2173" s="2"/>
      <c r="H2173" s="2"/>
      <c r="I2173" s="2"/>
      <c r="J2173" s="67"/>
    </row>
    <row r="2174" spans="1:10" x14ac:dyDescent="0.35">
      <c r="A2174" s="61">
        <v>2170</v>
      </c>
      <c r="B2174" s="2"/>
      <c r="C2174" s="2"/>
      <c r="D2174" s="2"/>
      <c r="E2174" s="10"/>
      <c r="F2174" s="11"/>
      <c r="G2174" s="2"/>
      <c r="H2174" s="2"/>
      <c r="I2174" s="2"/>
      <c r="J2174" s="67"/>
    </row>
    <row r="2175" spans="1:10" x14ac:dyDescent="0.35">
      <c r="A2175" s="61">
        <v>2171</v>
      </c>
      <c r="B2175" s="2"/>
      <c r="C2175" s="2"/>
      <c r="D2175" s="2"/>
      <c r="E2175" s="10"/>
      <c r="F2175" s="11"/>
      <c r="G2175" s="2"/>
      <c r="H2175" s="2"/>
      <c r="I2175" s="2"/>
      <c r="J2175" s="67"/>
    </row>
    <row r="2176" spans="1:10" x14ac:dyDescent="0.35">
      <c r="A2176" s="61">
        <v>2172</v>
      </c>
      <c r="B2176" s="2"/>
      <c r="C2176" s="2"/>
      <c r="D2176" s="2"/>
      <c r="E2176" s="10"/>
      <c r="F2176" s="11"/>
      <c r="G2176" s="2"/>
      <c r="H2176" s="2"/>
      <c r="I2176" s="2"/>
      <c r="J2176" s="67"/>
    </row>
    <row r="2177" spans="1:10" x14ac:dyDescent="0.35">
      <c r="A2177" s="61">
        <v>2173</v>
      </c>
      <c r="B2177" s="2"/>
      <c r="C2177" s="2"/>
      <c r="D2177" s="2"/>
      <c r="E2177" s="10"/>
      <c r="F2177" s="11"/>
      <c r="G2177" s="2"/>
      <c r="H2177" s="2"/>
      <c r="I2177" s="2"/>
      <c r="J2177" s="67"/>
    </row>
    <row r="2178" spans="1:10" x14ac:dyDescent="0.35">
      <c r="A2178" s="61">
        <v>2174</v>
      </c>
      <c r="B2178" s="2"/>
      <c r="C2178" s="2"/>
      <c r="D2178" s="2"/>
      <c r="E2178" s="10"/>
      <c r="F2178" s="11"/>
      <c r="G2178" s="2"/>
      <c r="H2178" s="2"/>
      <c r="I2178" s="2"/>
      <c r="J2178" s="67"/>
    </row>
    <row r="2179" spans="1:10" x14ac:dyDescent="0.35">
      <c r="A2179" s="61">
        <v>2175</v>
      </c>
      <c r="B2179" s="2"/>
      <c r="C2179" s="2"/>
      <c r="D2179" s="2"/>
      <c r="E2179" s="10"/>
      <c r="F2179" s="11"/>
      <c r="G2179" s="2"/>
      <c r="H2179" s="2"/>
      <c r="I2179" s="2"/>
      <c r="J2179" s="67"/>
    </row>
    <row r="2180" spans="1:10" x14ac:dyDescent="0.35">
      <c r="A2180" s="61">
        <v>2176</v>
      </c>
      <c r="B2180" s="2"/>
      <c r="C2180" s="2"/>
      <c r="D2180" s="2"/>
      <c r="E2180" s="10"/>
      <c r="F2180" s="11"/>
      <c r="G2180" s="2"/>
      <c r="H2180" s="2"/>
      <c r="I2180" s="2"/>
      <c r="J2180" s="67"/>
    </row>
    <row r="2181" spans="1:10" x14ac:dyDescent="0.35">
      <c r="A2181" s="61">
        <v>2177</v>
      </c>
      <c r="B2181" s="2"/>
      <c r="C2181" s="2"/>
      <c r="D2181" s="2"/>
      <c r="E2181" s="10"/>
      <c r="F2181" s="11"/>
      <c r="G2181" s="2"/>
      <c r="H2181" s="2"/>
      <c r="I2181" s="2"/>
      <c r="J2181" s="67"/>
    </row>
    <row r="2182" spans="1:10" x14ac:dyDescent="0.35">
      <c r="A2182" s="61">
        <v>2178</v>
      </c>
      <c r="B2182" s="2"/>
      <c r="C2182" s="2"/>
      <c r="D2182" s="2"/>
      <c r="E2182" s="10"/>
      <c r="F2182" s="11"/>
      <c r="G2182" s="2"/>
      <c r="H2182" s="2"/>
      <c r="I2182" s="2"/>
      <c r="J2182" s="67"/>
    </row>
    <row r="2183" spans="1:10" x14ac:dyDescent="0.35">
      <c r="A2183" s="61">
        <v>2179</v>
      </c>
      <c r="B2183" s="2"/>
      <c r="C2183" s="2"/>
      <c r="D2183" s="2"/>
      <c r="E2183" s="10"/>
      <c r="F2183" s="11"/>
      <c r="G2183" s="2"/>
      <c r="H2183" s="2"/>
      <c r="I2183" s="2"/>
      <c r="J2183" s="67"/>
    </row>
    <row r="2184" spans="1:10" x14ac:dyDescent="0.35">
      <c r="A2184" s="61">
        <v>2180</v>
      </c>
      <c r="B2184" s="2"/>
      <c r="C2184" s="2"/>
      <c r="D2184" s="2"/>
      <c r="E2184" s="10"/>
      <c r="F2184" s="11"/>
      <c r="G2184" s="2"/>
      <c r="H2184" s="2"/>
      <c r="I2184" s="2"/>
      <c r="J2184" s="67"/>
    </row>
    <row r="2185" spans="1:10" x14ac:dyDescent="0.35">
      <c r="A2185" s="61">
        <v>2181</v>
      </c>
      <c r="B2185" s="2"/>
      <c r="C2185" s="2"/>
      <c r="D2185" s="2"/>
      <c r="E2185" s="10"/>
      <c r="F2185" s="11"/>
      <c r="G2185" s="2"/>
      <c r="H2185" s="2"/>
      <c r="I2185" s="2"/>
      <c r="J2185" s="67"/>
    </row>
    <row r="2186" spans="1:10" x14ac:dyDescent="0.35">
      <c r="A2186" s="61">
        <v>2182</v>
      </c>
      <c r="B2186" s="2"/>
      <c r="C2186" s="2"/>
      <c r="D2186" s="2"/>
      <c r="E2186" s="10"/>
      <c r="F2186" s="11"/>
      <c r="G2186" s="2"/>
      <c r="H2186" s="2"/>
      <c r="I2186" s="2"/>
      <c r="J2186" s="67"/>
    </row>
    <row r="2187" spans="1:10" x14ac:dyDescent="0.35">
      <c r="A2187" s="61">
        <v>2183</v>
      </c>
      <c r="B2187" s="2"/>
      <c r="C2187" s="2"/>
      <c r="D2187" s="2"/>
      <c r="E2187" s="10"/>
      <c r="F2187" s="11"/>
      <c r="G2187" s="2"/>
      <c r="H2187" s="2"/>
      <c r="I2187" s="2"/>
      <c r="J2187" s="67"/>
    </row>
    <row r="2188" spans="1:10" x14ac:dyDescent="0.35">
      <c r="A2188" s="61">
        <v>2184</v>
      </c>
      <c r="B2188" s="2"/>
      <c r="C2188" s="2"/>
      <c r="D2188" s="2"/>
      <c r="E2188" s="10"/>
      <c r="F2188" s="11"/>
      <c r="G2188" s="2"/>
      <c r="H2188" s="2"/>
      <c r="I2188" s="2"/>
      <c r="J2188" s="67"/>
    </row>
    <row r="2189" spans="1:10" x14ac:dyDescent="0.35">
      <c r="A2189" s="61">
        <v>2185</v>
      </c>
      <c r="B2189" s="2"/>
      <c r="C2189" s="2"/>
      <c r="D2189" s="2"/>
      <c r="E2189" s="10"/>
      <c r="F2189" s="11"/>
      <c r="G2189" s="2"/>
      <c r="H2189" s="2"/>
      <c r="I2189" s="2"/>
      <c r="J2189" s="67"/>
    </row>
    <row r="2190" spans="1:10" x14ac:dyDescent="0.35">
      <c r="A2190" s="61">
        <v>2186</v>
      </c>
      <c r="B2190" s="2"/>
      <c r="C2190" s="2"/>
      <c r="D2190" s="2"/>
      <c r="E2190" s="10"/>
      <c r="F2190" s="11"/>
      <c r="G2190" s="2"/>
      <c r="H2190" s="2"/>
      <c r="I2190" s="2"/>
      <c r="J2190" s="67"/>
    </row>
    <row r="2191" spans="1:10" x14ac:dyDescent="0.35">
      <c r="A2191" s="61">
        <v>2187</v>
      </c>
      <c r="B2191" s="2"/>
      <c r="C2191" s="2"/>
      <c r="D2191" s="2"/>
      <c r="E2191" s="10"/>
      <c r="F2191" s="11"/>
      <c r="G2191" s="2"/>
      <c r="H2191" s="2"/>
      <c r="I2191" s="2"/>
      <c r="J2191" s="67"/>
    </row>
    <row r="2192" spans="1:10" x14ac:dyDescent="0.35">
      <c r="A2192" s="61">
        <v>2188</v>
      </c>
      <c r="B2192" s="2"/>
      <c r="C2192" s="2"/>
      <c r="D2192" s="2"/>
      <c r="E2192" s="10"/>
      <c r="F2192" s="11"/>
      <c r="G2192" s="2"/>
      <c r="H2192" s="2"/>
      <c r="I2192" s="2"/>
      <c r="J2192" s="67"/>
    </row>
    <row r="2193" spans="1:10" x14ac:dyDescent="0.35">
      <c r="A2193" s="61">
        <v>2189</v>
      </c>
      <c r="B2193" s="2"/>
      <c r="C2193" s="2"/>
      <c r="D2193" s="2"/>
      <c r="E2193" s="10"/>
      <c r="F2193" s="11"/>
      <c r="G2193" s="2"/>
      <c r="H2193" s="2"/>
      <c r="I2193" s="2"/>
      <c r="J2193" s="67"/>
    </row>
    <row r="2194" spans="1:10" x14ac:dyDescent="0.35">
      <c r="A2194" s="61">
        <v>2190</v>
      </c>
      <c r="B2194" s="2"/>
      <c r="C2194" s="2"/>
      <c r="D2194" s="2"/>
      <c r="E2194" s="10"/>
      <c r="F2194" s="11"/>
      <c r="G2194" s="2"/>
      <c r="H2194" s="2"/>
      <c r="I2194" s="2"/>
      <c r="J2194" s="67"/>
    </row>
    <row r="2195" spans="1:10" x14ac:dyDescent="0.35">
      <c r="A2195" s="61">
        <v>2191</v>
      </c>
      <c r="B2195" s="2"/>
      <c r="C2195" s="2"/>
      <c r="D2195" s="2"/>
      <c r="E2195" s="10"/>
      <c r="F2195" s="11"/>
      <c r="G2195" s="2"/>
      <c r="H2195" s="2"/>
      <c r="I2195" s="2"/>
      <c r="J2195" s="67"/>
    </row>
    <row r="2196" spans="1:10" x14ac:dyDescent="0.35">
      <c r="A2196" s="61">
        <v>2192</v>
      </c>
      <c r="B2196" s="2"/>
      <c r="C2196" s="2"/>
      <c r="D2196" s="2"/>
      <c r="E2196" s="10"/>
      <c r="F2196" s="11"/>
      <c r="G2196" s="2"/>
      <c r="H2196" s="2"/>
      <c r="I2196" s="2"/>
      <c r="J2196" s="67"/>
    </row>
    <row r="2197" spans="1:10" x14ac:dyDescent="0.35">
      <c r="A2197" s="61">
        <v>2193</v>
      </c>
      <c r="B2197" s="2"/>
      <c r="C2197" s="2"/>
      <c r="D2197" s="2"/>
      <c r="E2197" s="10"/>
      <c r="F2197" s="11"/>
      <c r="G2197" s="2"/>
      <c r="H2197" s="2"/>
      <c r="I2197" s="2"/>
      <c r="J2197" s="67"/>
    </row>
    <row r="2198" spans="1:10" x14ac:dyDescent="0.35">
      <c r="A2198" s="61">
        <v>2194</v>
      </c>
      <c r="B2198" s="2"/>
      <c r="C2198" s="2"/>
      <c r="D2198" s="2"/>
      <c r="E2198" s="10"/>
      <c r="F2198" s="11"/>
      <c r="G2198" s="2"/>
      <c r="H2198" s="2"/>
      <c r="I2198" s="2"/>
      <c r="J2198" s="67"/>
    </row>
    <row r="2199" spans="1:10" x14ac:dyDescent="0.35">
      <c r="A2199" s="61">
        <v>2195</v>
      </c>
      <c r="B2199" s="2"/>
      <c r="C2199" s="2"/>
      <c r="D2199" s="2"/>
      <c r="E2199" s="10"/>
      <c r="F2199" s="11"/>
      <c r="G2199" s="2"/>
      <c r="H2199" s="2"/>
      <c r="I2199" s="2"/>
      <c r="J2199" s="67"/>
    </row>
    <row r="2200" spans="1:10" x14ac:dyDescent="0.35">
      <c r="A2200" s="61">
        <v>2196</v>
      </c>
      <c r="B2200" s="2"/>
      <c r="C2200" s="2"/>
      <c r="D2200" s="2"/>
      <c r="E2200" s="10"/>
      <c r="F2200" s="11"/>
      <c r="G2200" s="2"/>
      <c r="H2200" s="2"/>
      <c r="I2200" s="2"/>
      <c r="J2200" s="67"/>
    </row>
    <row r="2201" spans="1:10" x14ac:dyDescent="0.35">
      <c r="A2201" s="61">
        <v>2197</v>
      </c>
      <c r="B2201" s="2"/>
      <c r="C2201" s="2"/>
      <c r="D2201" s="2"/>
      <c r="E2201" s="10"/>
      <c r="F2201" s="11"/>
      <c r="G2201" s="2"/>
      <c r="H2201" s="2"/>
      <c r="I2201" s="2"/>
      <c r="J2201" s="67"/>
    </row>
    <row r="2202" spans="1:10" x14ac:dyDescent="0.35">
      <c r="A2202" s="61">
        <v>2198</v>
      </c>
      <c r="B2202" s="2"/>
      <c r="C2202" s="2"/>
      <c r="D2202" s="2"/>
      <c r="E2202" s="10"/>
      <c r="F2202" s="11"/>
      <c r="G2202" s="2"/>
      <c r="H2202" s="2"/>
      <c r="I2202" s="2"/>
      <c r="J2202" s="67"/>
    </row>
    <row r="2203" spans="1:10" x14ac:dyDescent="0.35">
      <c r="A2203" s="61">
        <v>2199</v>
      </c>
      <c r="B2203" s="2"/>
      <c r="C2203" s="2"/>
      <c r="D2203" s="2"/>
      <c r="E2203" s="10"/>
      <c r="F2203" s="11"/>
      <c r="G2203" s="2"/>
      <c r="H2203" s="2"/>
      <c r="I2203" s="2"/>
      <c r="J2203" s="67"/>
    </row>
    <row r="2204" spans="1:10" x14ac:dyDescent="0.35">
      <c r="A2204" s="61">
        <v>2200</v>
      </c>
      <c r="B2204" s="2"/>
      <c r="C2204" s="2"/>
      <c r="D2204" s="2"/>
      <c r="E2204" s="10"/>
      <c r="F2204" s="11"/>
      <c r="G2204" s="2"/>
      <c r="H2204" s="2"/>
      <c r="I2204" s="2"/>
      <c r="J2204" s="67"/>
    </row>
    <row r="2205" spans="1:10" x14ac:dyDescent="0.35">
      <c r="A2205" s="61">
        <v>2201</v>
      </c>
      <c r="B2205" s="2"/>
      <c r="C2205" s="2"/>
      <c r="D2205" s="2"/>
      <c r="E2205" s="10"/>
      <c r="F2205" s="11"/>
      <c r="G2205" s="2"/>
      <c r="H2205" s="2"/>
      <c r="I2205" s="2"/>
      <c r="J2205" s="67"/>
    </row>
    <row r="2206" spans="1:10" x14ac:dyDescent="0.35">
      <c r="A2206" s="61">
        <v>2202</v>
      </c>
      <c r="B2206" s="2"/>
      <c r="C2206" s="2"/>
      <c r="D2206" s="2"/>
      <c r="E2206" s="10"/>
      <c r="F2206" s="11"/>
      <c r="G2206" s="2"/>
      <c r="H2206" s="2"/>
      <c r="I2206" s="2"/>
      <c r="J2206" s="67"/>
    </row>
    <row r="2207" spans="1:10" x14ac:dyDescent="0.35">
      <c r="A2207" s="61">
        <v>2203</v>
      </c>
      <c r="B2207" s="2"/>
      <c r="C2207" s="2"/>
      <c r="D2207" s="2"/>
      <c r="E2207" s="10"/>
      <c r="F2207" s="11"/>
      <c r="G2207" s="2"/>
      <c r="H2207" s="2"/>
      <c r="I2207" s="2"/>
      <c r="J2207" s="67"/>
    </row>
    <row r="2208" spans="1:10" x14ac:dyDescent="0.35">
      <c r="A2208" s="61">
        <v>2204</v>
      </c>
      <c r="B2208" s="2"/>
      <c r="C2208" s="2"/>
      <c r="D2208" s="2"/>
      <c r="E2208" s="10"/>
      <c r="F2208" s="11"/>
      <c r="G2208" s="2"/>
      <c r="H2208" s="2"/>
      <c r="I2208" s="2"/>
      <c r="J2208" s="67"/>
    </row>
    <row r="2209" spans="1:10" x14ac:dyDescent="0.35">
      <c r="A2209" s="61">
        <v>2205</v>
      </c>
      <c r="B2209" s="2"/>
      <c r="C2209" s="2"/>
      <c r="D2209" s="2"/>
      <c r="E2209" s="10"/>
      <c r="F2209" s="11"/>
      <c r="G2209" s="2"/>
      <c r="H2209" s="2"/>
      <c r="I2209" s="2"/>
      <c r="J2209" s="67"/>
    </row>
    <row r="2210" spans="1:10" x14ac:dyDescent="0.35">
      <c r="A2210" s="61">
        <v>2206</v>
      </c>
      <c r="B2210" s="2"/>
      <c r="C2210" s="2"/>
      <c r="D2210" s="2"/>
      <c r="E2210" s="10"/>
      <c r="F2210" s="11"/>
      <c r="G2210" s="2"/>
      <c r="H2210" s="2"/>
      <c r="I2210" s="2"/>
      <c r="J2210" s="67"/>
    </row>
    <row r="2211" spans="1:10" x14ac:dyDescent="0.35">
      <c r="A2211" s="61">
        <v>2207</v>
      </c>
      <c r="B2211" s="2"/>
      <c r="C2211" s="2"/>
      <c r="D2211" s="2"/>
      <c r="E2211" s="10"/>
      <c r="F2211" s="11"/>
      <c r="G2211" s="2"/>
      <c r="H2211" s="2"/>
      <c r="I2211" s="2"/>
      <c r="J2211" s="67"/>
    </row>
    <row r="2212" spans="1:10" x14ac:dyDescent="0.35">
      <c r="A2212" s="61">
        <v>2208</v>
      </c>
      <c r="B2212" s="2"/>
      <c r="C2212" s="2"/>
      <c r="D2212" s="2"/>
      <c r="E2212" s="10"/>
      <c r="F2212" s="11"/>
      <c r="G2212" s="2"/>
      <c r="H2212" s="2"/>
      <c r="I2212" s="2"/>
      <c r="J2212" s="67"/>
    </row>
    <row r="2213" spans="1:10" x14ac:dyDescent="0.35">
      <c r="A2213" s="61">
        <v>2209</v>
      </c>
      <c r="B2213" s="2"/>
      <c r="C2213" s="2"/>
      <c r="D2213" s="2"/>
      <c r="E2213" s="10"/>
      <c r="F2213" s="11"/>
      <c r="G2213" s="2"/>
      <c r="H2213" s="2"/>
      <c r="I2213" s="2"/>
      <c r="J2213" s="67"/>
    </row>
    <row r="2214" spans="1:10" x14ac:dyDescent="0.35">
      <c r="A2214" s="61">
        <v>2210</v>
      </c>
      <c r="B2214" s="2"/>
      <c r="C2214" s="2"/>
      <c r="D2214" s="2"/>
      <c r="E2214" s="10"/>
      <c r="F2214" s="11"/>
      <c r="G2214" s="2"/>
      <c r="H2214" s="2"/>
      <c r="I2214" s="2"/>
      <c r="J2214" s="67"/>
    </row>
    <row r="2215" spans="1:10" x14ac:dyDescent="0.35">
      <c r="A2215" s="61">
        <v>2211</v>
      </c>
      <c r="B2215" s="2"/>
      <c r="C2215" s="2"/>
      <c r="D2215" s="2"/>
      <c r="E2215" s="10"/>
      <c r="F2215" s="11"/>
      <c r="G2215" s="2"/>
      <c r="H2215" s="2"/>
      <c r="I2215" s="2"/>
      <c r="J2215" s="67"/>
    </row>
    <row r="2216" spans="1:10" x14ac:dyDescent="0.35">
      <c r="A2216" s="61">
        <v>2212</v>
      </c>
      <c r="B2216" s="2"/>
      <c r="C2216" s="2"/>
      <c r="D2216" s="2"/>
      <c r="E2216" s="10"/>
      <c r="F2216" s="11"/>
      <c r="G2216" s="2"/>
      <c r="H2216" s="2"/>
      <c r="I2216" s="2"/>
      <c r="J2216" s="67"/>
    </row>
    <row r="2217" spans="1:10" x14ac:dyDescent="0.35">
      <c r="A2217" s="61">
        <v>2213</v>
      </c>
      <c r="B2217" s="2"/>
      <c r="C2217" s="2"/>
      <c r="D2217" s="2"/>
      <c r="E2217" s="10"/>
      <c r="F2217" s="11"/>
      <c r="G2217" s="2"/>
      <c r="H2217" s="2"/>
      <c r="I2217" s="2"/>
      <c r="J2217" s="67"/>
    </row>
    <row r="2218" spans="1:10" x14ac:dyDescent="0.35">
      <c r="A2218" s="61">
        <v>2214</v>
      </c>
      <c r="B2218" s="2"/>
      <c r="C2218" s="2"/>
      <c r="D2218" s="2"/>
      <c r="E2218" s="10"/>
      <c r="F2218" s="11"/>
      <c r="G2218" s="2"/>
      <c r="H2218" s="2"/>
      <c r="I2218" s="2"/>
      <c r="J2218" s="67"/>
    </row>
    <row r="2219" spans="1:10" x14ac:dyDescent="0.35">
      <c r="A2219" s="61">
        <v>2215</v>
      </c>
      <c r="B2219" s="2"/>
      <c r="C2219" s="2"/>
      <c r="D2219" s="2"/>
      <c r="E2219" s="10"/>
      <c r="F2219" s="11"/>
      <c r="G2219" s="2"/>
      <c r="H2219" s="2"/>
      <c r="I2219" s="2"/>
      <c r="J2219" s="67"/>
    </row>
    <row r="2220" spans="1:10" x14ac:dyDescent="0.35">
      <c r="A2220" s="61">
        <v>2216</v>
      </c>
      <c r="B2220" s="2"/>
      <c r="C2220" s="2"/>
      <c r="D2220" s="2"/>
      <c r="E2220" s="10"/>
      <c r="F2220" s="11"/>
      <c r="G2220" s="2"/>
      <c r="H2220" s="2"/>
      <c r="I2220" s="2"/>
      <c r="J2220" s="67"/>
    </row>
    <row r="2221" spans="1:10" x14ac:dyDescent="0.35">
      <c r="A2221" s="61">
        <v>2217</v>
      </c>
      <c r="B2221" s="2"/>
      <c r="C2221" s="2"/>
      <c r="D2221" s="2"/>
      <c r="E2221" s="10"/>
      <c r="F2221" s="11"/>
      <c r="G2221" s="2"/>
      <c r="H2221" s="2"/>
      <c r="I2221" s="2"/>
      <c r="J2221" s="67"/>
    </row>
    <row r="2222" spans="1:10" x14ac:dyDescent="0.35">
      <c r="A2222" s="61">
        <v>2218</v>
      </c>
      <c r="B2222" s="2"/>
      <c r="C2222" s="2"/>
      <c r="D2222" s="2"/>
      <c r="E2222" s="10"/>
      <c r="F2222" s="11"/>
      <c r="G2222" s="2"/>
      <c r="H2222" s="2"/>
      <c r="I2222" s="2"/>
      <c r="J2222" s="67"/>
    </row>
    <row r="2223" spans="1:10" x14ac:dyDescent="0.35">
      <c r="A2223" s="61">
        <v>2219</v>
      </c>
      <c r="B2223" s="2"/>
      <c r="C2223" s="2"/>
      <c r="D2223" s="2"/>
      <c r="E2223" s="10"/>
      <c r="F2223" s="11"/>
      <c r="G2223" s="2"/>
      <c r="H2223" s="2"/>
      <c r="I2223" s="2"/>
      <c r="J2223" s="67"/>
    </row>
    <row r="2224" spans="1:10" x14ac:dyDescent="0.35">
      <c r="A2224" s="61">
        <v>2220</v>
      </c>
      <c r="B2224" s="2"/>
      <c r="C2224" s="2"/>
      <c r="D2224" s="2"/>
      <c r="E2224" s="10"/>
      <c r="F2224" s="11"/>
      <c r="G2224" s="2"/>
      <c r="H2224" s="2"/>
      <c r="I2224" s="2"/>
      <c r="J2224" s="67"/>
    </row>
    <row r="2225" spans="1:10" x14ac:dyDescent="0.35">
      <c r="A2225" s="61">
        <v>2221</v>
      </c>
      <c r="B2225" s="2"/>
      <c r="C2225" s="2"/>
      <c r="D2225" s="2"/>
      <c r="E2225" s="10"/>
      <c r="F2225" s="11"/>
      <c r="G2225" s="2"/>
      <c r="H2225" s="2"/>
      <c r="I2225" s="2"/>
      <c r="J2225" s="67"/>
    </row>
    <row r="2226" spans="1:10" x14ac:dyDescent="0.35">
      <c r="A2226" s="61">
        <v>2222</v>
      </c>
      <c r="B2226" s="2"/>
      <c r="C2226" s="2"/>
      <c r="D2226" s="2"/>
      <c r="E2226" s="10"/>
      <c r="F2226" s="11"/>
      <c r="G2226" s="2"/>
      <c r="H2226" s="2"/>
      <c r="I2226" s="2"/>
      <c r="J2226" s="67"/>
    </row>
    <row r="2227" spans="1:10" x14ac:dyDescent="0.35">
      <c r="A2227" s="61">
        <v>2223</v>
      </c>
      <c r="B2227" s="2"/>
      <c r="C2227" s="2"/>
      <c r="D2227" s="2"/>
      <c r="E2227" s="10"/>
      <c r="F2227" s="11"/>
      <c r="G2227" s="2"/>
      <c r="H2227" s="2"/>
      <c r="I2227" s="2"/>
      <c r="J2227" s="67"/>
    </row>
    <row r="2228" spans="1:10" x14ac:dyDescent="0.35">
      <c r="A2228" s="61">
        <v>2224</v>
      </c>
      <c r="B2228" s="2"/>
      <c r="C2228" s="2"/>
      <c r="D2228" s="2"/>
      <c r="E2228" s="10"/>
      <c r="F2228" s="11"/>
      <c r="G2228" s="2"/>
      <c r="H2228" s="2"/>
      <c r="I2228" s="2"/>
      <c r="J2228" s="67"/>
    </row>
    <row r="2229" spans="1:10" x14ac:dyDescent="0.35">
      <c r="A2229" s="61">
        <v>2225</v>
      </c>
      <c r="B2229" s="2"/>
      <c r="C2229" s="2"/>
      <c r="D2229" s="2"/>
      <c r="E2229" s="10"/>
      <c r="F2229" s="11"/>
      <c r="G2229" s="2"/>
      <c r="H2229" s="2"/>
      <c r="I2229" s="2"/>
      <c r="J2229" s="67"/>
    </row>
    <row r="2230" spans="1:10" x14ac:dyDescent="0.35">
      <c r="A2230" s="61">
        <v>2226</v>
      </c>
      <c r="B2230" s="2"/>
      <c r="C2230" s="2"/>
      <c r="D2230" s="2"/>
      <c r="E2230" s="10"/>
      <c r="F2230" s="11"/>
      <c r="G2230" s="2"/>
      <c r="H2230" s="2"/>
      <c r="I2230" s="2"/>
      <c r="J2230" s="67"/>
    </row>
    <row r="2231" spans="1:10" x14ac:dyDescent="0.35">
      <c r="A2231" s="61">
        <v>2227</v>
      </c>
      <c r="B2231" s="2"/>
      <c r="C2231" s="2"/>
      <c r="D2231" s="2"/>
      <c r="E2231" s="10"/>
      <c r="F2231" s="11"/>
      <c r="G2231" s="2"/>
      <c r="H2231" s="2"/>
      <c r="I2231" s="2"/>
      <c r="J2231" s="67"/>
    </row>
    <row r="2232" spans="1:10" x14ac:dyDescent="0.35">
      <c r="A2232" s="61">
        <v>2228</v>
      </c>
      <c r="B2232" s="2"/>
      <c r="C2232" s="2"/>
      <c r="D2232" s="2"/>
      <c r="E2232" s="10"/>
      <c r="F2232" s="11"/>
      <c r="G2232" s="2"/>
      <c r="H2232" s="2"/>
      <c r="I2232" s="2"/>
      <c r="J2232" s="67"/>
    </row>
    <row r="2233" spans="1:10" x14ac:dyDescent="0.35">
      <c r="A2233" s="61">
        <v>2229</v>
      </c>
      <c r="B2233" s="2"/>
      <c r="C2233" s="2"/>
      <c r="D2233" s="2"/>
      <c r="E2233" s="10"/>
      <c r="F2233" s="11"/>
      <c r="G2233" s="2"/>
      <c r="H2233" s="2"/>
      <c r="I2233" s="2"/>
      <c r="J2233" s="67"/>
    </row>
    <row r="2234" spans="1:10" x14ac:dyDescent="0.35">
      <c r="A2234" s="61">
        <v>2230</v>
      </c>
      <c r="B2234" s="2"/>
      <c r="C2234" s="2"/>
      <c r="D2234" s="2"/>
      <c r="E2234" s="10"/>
      <c r="F2234" s="11"/>
      <c r="G2234" s="2"/>
      <c r="H2234" s="2"/>
      <c r="I2234" s="2"/>
      <c r="J2234" s="67"/>
    </row>
    <row r="2235" spans="1:10" x14ac:dyDescent="0.35">
      <c r="A2235" s="61">
        <v>2231</v>
      </c>
      <c r="B2235" s="2"/>
      <c r="C2235" s="2"/>
      <c r="D2235" s="2"/>
      <c r="E2235" s="10"/>
      <c r="F2235" s="11"/>
      <c r="G2235" s="2"/>
      <c r="H2235" s="2"/>
      <c r="I2235" s="2"/>
      <c r="J2235" s="67"/>
    </row>
    <row r="2236" spans="1:10" x14ac:dyDescent="0.35">
      <c r="A2236" s="61">
        <v>2232</v>
      </c>
      <c r="B2236" s="2"/>
      <c r="C2236" s="2"/>
      <c r="D2236" s="2"/>
      <c r="E2236" s="10"/>
      <c r="F2236" s="11"/>
      <c r="G2236" s="2"/>
      <c r="H2236" s="2"/>
      <c r="I2236" s="2"/>
      <c r="J2236" s="67"/>
    </row>
    <row r="2237" spans="1:10" x14ac:dyDescent="0.35">
      <c r="A2237" s="61">
        <v>2233</v>
      </c>
      <c r="B2237" s="2"/>
      <c r="C2237" s="2"/>
      <c r="D2237" s="2"/>
      <c r="E2237" s="10"/>
      <c r="F2237" s="11"/>
      <c r="G2237" s="2"/>
      <c r="H2237" s="2"/>
      <c r="I2237" s="2"/>
      <c r="J2237" s="67"/>
    </row>
    <row r="2238" spans="1:10" x14ac:dyDescent="0.35">
      <c r="A2238" s="61">
        <v>2234</v>
      </c>
      <c r="B2238" s="2"/>
      <c r="C2238" s="2"/>
      <c r="D2238" s="2"/>
      <c r="E2238" s="10"/>
      <c r="F2238" s="11"/>
      <c r="G2238" s="2"/>
      <c r="H2238" s="2"/>
      <c r="I2238" s="2"/>
      <c r="J2238" s="67"/>
    </row>
    <row r="2239" spans="1:10" x14ac:dyDescent="0.35">
      <c r="A2239" s="61">
        <v>2235</v>
      </c>
      <c r="B2239" s="2"/>
      <c r="C2239" s="2"/>
      <c r="D2239" s="2"/>
      <c r="E2239" s="10"/>
      <c r="F2239" s="11"/>
      <c r="G2239" s="2"/>
      <c r="H2239" s="2"/>
      <c r="I2239" s="2"/>
      <c r="J2239" s="67"/>
    </row>
    <row r="2240" spans="1:10" x14ac:dyDescent="0.35">
      <c r="A2240" s="61">
        <v>2236</v>
      </c>
      <c r="B2240" s="2"/>
      <c r="C2240" s="2"/>
      <c r="D2240" s="2"/>
      <c r="E2240" s="10"/>
      <c r="F2240" s="11"/>
      <c r="G2240" s="2"/>
      <c r="H2240" s="2"/>
      <c r="I2240" s="2"/>
      <c r="J2240" s="67"/>
    </row>
    <row r="2241" spans="1:10" x14ac:dyDescent="0.35">
      <c r="A2241" s="61">
        <v>2237</v>
      </c>
      <c r="B2241" s="2"/>
      <c r="C2241" s="2"/>
      <c r="D2241" s="2"/>
      <c r="E2241" s="10"/>
      <c r="F2241" s="11"/>
      <c r="G2241" s="2"/>
      <c r="H2241" s="2"/>
      <c r="I2241" s="2"/>
      <c r="J2241" s="67"/>
    </row>
    <row r="2242" spans="1:10" x14ac:dyDescent="0.35">
      <c r="A2242" s="61">
        <v>2238</v>
      </c>
      <c r="B2242" s="2"/>
      <c r="C2242" s="2"/>
      <c r="D2242" s="2"/>
      <c r="E2242" s="10"/>
      <c r="F2242" s="11"/>
      <c r="G2242" s="2"/>
      <c r="H2242" s="2"/>
      <c r="I2242" s="2"/>
      <c r="J2242" s="67"/>
    </row>
    <row r="2243" spans="1:10" x14ac:dyDescent="0.35">
      <c r="A2243" s="61">
        <v>2239</v>
      </c>
      <c r="B2243" s="2"/>
      <c r="C2243" s="2"/>
      <c r="D2243" s="2"/>
      <c r="E2243" s="10"/>
      <c r="F2243" s="11"/>
      <c r="G2243" s="2"/>
      <c r="H2243" s="2"/>
      <c r="I2243" s="2"/>
      <c r="J2243" s="67"/>
    </row>
    <row r="2244" spans="1:10" x14ac:dyDescent="0.35">
      <c r="A2244" s="61">
        <v>2240</v>
      </c>
      <c r="B2244" s="2"/>
      <c r="C2244" s="2"/>
      <c r="D2244" s="2"/>
      <c r="E2244" s="10"/>
      <c r="F2244" s="11"/>
      <c r="G2244" s="2"/>
      <c r="H2244" s="2"/>
      <c r="I2244" s="2"/>
      <c r="J2244" s="67"/>
    </row>
    <row r="2245" spans="1:10" x14ac:dyDescent="0.35">
      <c r="A2245" s="61">
        <v>2241</v>
      </c>
      <c r="B2245" s="2"/>
      <c r="C2245" s="2"/>
      <c r="D2245" s="2"/>
      <c r="E2245" s="10"/>
      <c r="F2245" s="11"/>
      <c r="G2245" s="2"/>
      <c r="H2245" s="2"/>
      <c r="I2245" s="2"/>
      <c r="J2245" s="67"/>
    </row>
    <row r="2246" spans="1:10" x14ac:dyDescent="0.35">
      <c r="A2246" s="61">
        <v>2242</v>
      </c>
      <c r="B2246" s="2"/>
      <c r="C2246" s="2"/>
      <c r="D2246" s="2"/>
      <c r="E2246" s="10"/>
      <c r="F2246" s="11"/>
      <c r="G2246" s="2"/>
      <c r="H2246" s="2"/>
      <c r="I2246" s="2"/>
      <c r="J2246" s="67"/>
    </row>
    <row r="2247" spans="1:10" x14ac:dyDescent="0.35">
      <c r="A2247" s="61">
        <v>2243</v>
      </c>
      <c r="B2247" s="2"/>
      <c r="C2247" s="2"/>
      <c r="D2247" s="2"/>
      <c r="E2247" s="10"/>
      <c r="F2247" s="11"/>
      <c r="G2247" s="2"/>
      <c r="H2247" s="2"/>
      <c r="I2247" s="2"/>
      <c r="J2247" s="67"/>
    </row>
    <row r="2248" spans="1:10" x14ac:dyDescent="0.35">
      <c r="A2248" s="61">
        <v>2244</v>
      </c>
      <c r="B2248" s="2"/>
      <c r="C2248" s="2"/>
      <c r="D2248" s="2"/>
      <c r="E2248" s="10"/>
      <c r="F2248" s="11"/>
      <c r="G2248" s="2"/>
      <c r="H2248" s="2"/>
      <c r="I2248" s="2"/>
      <c r="J2248" s="67"/>
    </row>
    <row r="2249" spans="1:10" x14ac:dyDescent="0.35">
      <c r="A2249" s="61">
        <v>2245</v>
      </c>
      <c r="B2249" s="2"/>
      <c r="C2249" s="2"/>
      <c r="D2249" s="2"/>
      <c r="E2249" s="10"/>
      <c r="F2249" s="11"/>
      <c r="G2249" s="2"/>
      <c r="H2249" s="2"/>
      <c r="I2249" s="2"/>
      <c r="J2249" s="67"/>
    </row>
    <row r="2250" spans="1:10" x14ac:dyDescent="0.35">
      <c r="A2250" s="61">
        <v>2246</v>
      </c>
      <c r="B2250" s="2"/>
      <c r="C2250" s="2"/>
      <c r="D2250" s="2"/>
      <c r="E2250" s="10"/>
      <c r="F2250" s="11"/>
      <c r="G2250" s="2"/>
      <c r="H2250" s="2"/>
      <c r="I2250" s="2"/>
      <c r="J2250" s="67"/>
    </row>
    <row r="2251" spans="1:10" x14ac:dyDescent="0.35">
      <c r="A2251" s="61">
        <v>2247</v>
      </c>
      <c r="B2251" s="2"/>
      <c r="C2251" s="2"/>
      <c r="D2251" s="2"/>
      <c r="E2251" s="10"/>
      <c r="F2251" s="11"/>
      <c r="G2251" s="2"/>
      <c r="H2251" s="2"/>
      <c r="I2251" s="2"/>
      <c r="J2251" s="67"/>
    </row>
    <row r="2252" spans="1:10" x14ac:dyDescent="0.35">
      <c r="A2252" s="61">
        <v>2248</v>
      </c>
      <c r="B2252" s="2"/>
      <c r="C2252" s="2"/>
      <c r="D2252" s="2"/>
      <c r="E2252" s="10"/>
      <c r="F2252" s="11"/>
      <c r="G2252" s="2"/>
      <c r="H2252" s="2"/>
      <c r="I2252" s="2"/>
      <c r="J2252" s="67"/>
    </row>
    <row r="2253" spans="1:10" x14ac:dyDescent="0.35">
      <c r="A2253" s="61">
        <v>2249</v>
      </c>
      <c r="B2253" s="2"/>
      <c r="C2253" s="2"/>
      <c r="D2253" s="2"/>
      <c r="E2253" s="10"/>
      <c r="F2253" s="11"/>
      <c r="G2253" s="2"/>
      <c r="H2253" s="2"/>
      <c r="I2253" s="2"/>
      <c r="J2253" s="67"/>
    </row>
    <row r="2254" spans="1:10" x14ac:dyDescent="0.35">
      <c r="A2254" s="61">
        <v>2250</v>
      </c>
      <c r="B2254" s="2"/>
      <c r="C2254" s="2"/>
      <c r="D2254" s="2"/>
      <c r="E2254" s="10"/>
      <c r="F2254" s="11"/>
      <c r="G2254" s="2"/>
      <c r="H2254" s="2"/>
      <c r="I2254" s="2"/>
      <c r="J2254" s="67"/>
    </row>
    <row r="2255" spans="1:10" x14ac:dyDescent="0.35">
      <c r="A2255" s="61">
        <v>2251</v>
      </c>
      <c r="B2255" s="2"/>
      <c r="C2255" s="2"/>
      <c r="D2255" s="2"/>
      <c r="E2255" s="10"/>
      <c r="F2255" s="11"/>
      <c r="G2255" s="2"/>
      <c r="H2255" s="2"/>
      <c r="I2255" s="2"/>
      <c r="J2255" s="67"/>
    </row>
    <row r="2256" spans="1:10" x14ac:dyDescent="0.35">
      <c r="A2256" s="61">
        <v>2252</v>
      </c>
      <c r="B2256" s="2"/>
      <c r="C2256" s="2"/>
      <c r="D2256" s="2"/>
      <c r="E2256" s="10"/>
      <c r="F2256" s="11"/>
      <c r="G2256" s="2"/>
      <c r="H2256" s="2"/>
      <c r="I2256" s="2"/>
      <c r="J2256" s="67"/>
    </row>
    <row r="2257" spans="1:10" x14ac:dyDescent="0.35">
      <c r="A2257" s="61">
        <v>2253</v>
      </c>
      <c r="B2257" s="2"/>
      <c r="C2257" s="2"/>
      <c r="D2257" s="2"/>
      <c r="E2257" s="10"/>
      <c r="F2257" s="11"/>
      <c r="G2257" s="2"/>
      <c r="H2257" s="2"/>
      <c r="I2257" s="2"/>
      <c r="J2257" s="67"/>
    </row>
    <row r="2258" spans="1:10" x14ac:dyDescent="0.35">
      <c r="A2258" s="61">
        <v>2254</v>
      </c>
      <c r="B2258" s="2"/>
      <c r="C2258" s="2"/>
      <c r="D2258" s="2"/>
      <c r="E2258" s="10"/>
      <c r="F2258" s="11"/>
      <c r="G2258" s="2"/>
      <c r="H2258" s="2"/>
      <c r="I2258" s="2"/>
      <c r="J2258" s="67"/>
    </row>
    <row r="2259" spans="1:10" x14ac:dyDescent="0.35">
      <c r="A2259" s="61">
        <v>2255</v>
      </c>
      <c r="B2259" s="2"/>
      <c r="C2259" s="2"/>
      <c r="D2259" s="2"/>
      <c r="E2259" s="10"/>
      <c r="F2259" s="11"/>
      <c r="G2259" s="2"/>
      <c r="H2259" s="2"/>
      <c r="I2259" s="2"/>
      <c r="J2259" s="67"/>
    </row>
    <row r="2260" spans="1:10" x14ac:dyDescent="0.35">
      <c r="A2260" s="61">
        <v>2256</v>
      </c>
      <c r="B2260" s="2"/>
      <c r="C2260" s="2"/>
      <c r="D2260" s="2"/>
      <c r="E2260" s="10"/>
      <c r="F2260" s="11"/>
      <c r="G2260" s="2"/>
      <c r="H2260" s="2"/>
      <c r="I2260" s="2"/>
      <c r="J2260" s="67"/>
    </row>
    <row r="2261" spans="1:10" x14ac:dyDescent="0.35">
      <c r="A2261" s="61">
        <v>2257</v>
      </c>
      <c r="B2261" s="2"/>
      <c r="C2261" s="2"/>
      <c r="D2261" s="2"/>
      <c r="E2261" s="10"/>
      <c r="F2261" s="11"/>
      <c r="G2261" s="2"/>
      <c r="H2261" s="2"/>
      <c r="I2261" s="2"/>
      <c r="J2261" s="67"/>
    </row>
    <row r="2262" spans="1:10" x14ac:dyDescent="0.35">
      <c r="A2262" s="61">
        <v>2258</v>
      </c>
      <c r="B2262" s="2"/>
      <c r="C2262" s="2"/>
      <c r="D2262" s="2"/>
      <c r="E2262" s="10"/>
      <c r="F2262" s="11"/>
      <c r="G2262" s="2"/>
      <c r="H2262" s="2"/>
      <c r="I2262" s="2"/>
      <c r="J2262" s="67"/>
    </row>
    <row r="2263" spans="1:10" x14ac:dyDescent="0.35">
      <c r="A2263" s="61">
        <v>2259</v>
      </c>
      <c r="B2263" s="2"/>
      <c r="C2263" s="2"/>
      <c r="D2263" s="2"/>
      <c r="E2263" s="10"/>
      <c r="F2263" s="11"/>
      <c r="G2263" s="2"/>
      <c r="H2263" s="2"/>
      <c r="I2263" s="2"/>
      <c r="J2263" s="67"/>
    </row>
    <row r="2264" spans="1:10" x14ac:dyDescent="0.35">
      <c r="A2264" s="61">
        <v>2260</v>
      </c>
      <c r="B2264" s="2"/>
      <c r="C2264" s="2"/>
      <c r="D2264" s="2"/>
      <c r="E2264" s="10"/>
      <c r="F2264" s="11"/>
      <c r="G2264" s="2"/>
      <c r="H2264" s="2"/>
      <c r="I2264" s="2"/>
      <c r="J2264" s="67"/>
    </row>
    <row r="2265" spans="1:10" x14ac:dyDescent="0.35">
      <c r="A2265" s="61">
        <v>2261</v>
      </c>
      <c r="B2265" s="2"/>
      <c r="C2265" s="2"/>
      <c r="D2265" s="2"/>
      <c r="E2265" s="10"/>
      <c r="F2265" s="11"/>
      <c r="G2265" s="2"/>
      <c r="H2265" s="2"/>
      <c r="I2265" s="2"/>
      <c r="J2265" s="67"/>
    </row>
    <row r="2266" spans="1:10" x14ac:dyDescent="0.35">
      <c r="A2266" s="61">
        <v>2262</v>
      </c>
      <c r="B2266" s="2"/>
      <c r="C2266" s="2"/>
      <c r="D2266" s="2"/>
      <c r="E2266" s="10"/>
      <c r="F2266" s="11"/>
      <c r="G2266" s="2"/>
      <c r="H2266" s="2"/>
      <c r="I2266" s="2"/>
      <c r="J2266" s="67"/>
    </row>
    <row r="2267" spans="1:10" x14ac:dyDescent="0.35">
      <c r="A2267" s="61">
        <v>2263</v>
      </c>
      <c r="B2267" s="2"/>
      <c r="C2267" s="2"/>
      <c r="D2267" s="2"/>
      <c r="E2267" s="10"/>
      <c r="F2267" s="11"/>
      <c r="G2267" s="2"/>
      <c r="H2267" s="2"/>
      <c r="I2267" s="2"/>
      <c r="J2267" s="67"/>
    </row>
    <row r="2268" spans="1:10" x14ac:dyDescent="0.35">
      <c r="A2268" s="61">
        <v>2264</v>
      </c>
      <c r="B2268" s="2"/>
      <c r="C2268" s="2"/>
      <c r="D2268" s="2"/>
      <c r="E2268" s="10"/>
      <c r="F2268" s="11"/>
      <c r="G2268" s="2"/>
      <c r="H2268" s="2"/>
      <c r="I2268" s="2"/>
      <c r="J2268" s="67"/>
    </row>
    <row r="2269" spans="1:10" x14ac:dyDescent="0.35">
      <c r="A2269" s="61">
        <v>2265</v>
      </c>
      <c r="B2269" s="2"/>
      <c r="C2269" s="2"/>
      <c r="D2269" s="2"/>
      <c r="E2269" s="10"/>
      <c r="F2269" s="11"/>
      <c r="G2269" s="2"/>
      <c r="H2269" s="2"/>
      <c r="I2269" s="2"/>
      <c r="J2269" s="67"/>
    </row>
    <row r="2270" spans="1:10" x14ac:dyDescent="0.35">
      <c r="A2270" s="61">
        <v>2266</v>
      </c>
      <c r="B2270" s="2"/>
      <c r="C2270" s="2"/>
      <c r="D2270" s="2"/>
      <c r="E2270" s="10"/>
      <c r="F2270" s="11"/>
      <c r="G2270" s="2"/>
      <c r="H2270" s="2"/>
      <c r="I2270" s="2"/>
      <c r="J2270" s="67"/>
    </row>
    <row r="2271" spans="1:10" x14ac:dyDescent="0.35">
      <c r="A2271" s="61">
        <v>2267</v>
      </c>
      <c r="B2271" s="2"/>
      <c r="C2271" s="2"/>
      <c r="D2271" s="2"/>
      <c r="E2271" s="10"/>
      <c r="F2271" s="11"/>
      <c r="G2271" s="2"/>
      <c r="H2271" s="2"/>
      <c r="I2271" s="2"/>
      <c r="J2271" s="67"/>
    </row>
    <row r="2272" spans="1:10" x14ac:dyDescent="0.35">
      <c r="A2272" s="61">
        <v>2268</v>
      </c>
      <c r="B2272" s="2"/>
      <c r="C2272" s="2"/>
      <c r="D2272" s="2"/>
      <c r="E2272" s="10"/>
      <c r="F2272" s="11"/>
      <c r="G2272" s="2"/>
      <c r="H2272" s="2"/>
      <c r="I2272" s="2"/>
      <c r="J2272" s="67"/>
    </row>
    <row r="2273" spans="1:10" x14ac:dyDescent="0.35">
      <c r="A2273" s="61">
        <v>2269</v>
      </c>
      <c r="B2273" s="2"/>
      <c r="C2273" s="2"/>
      <c r="D2273" s="2"/>
      <c r="E2273" s="10"/>
      <c r="F2273" s="11"/>
      <c r="G2273" s="2"/>
      <c r="H2273" s="2"/>
      <c r="I2273" s="2"/>
      <c r="J2273" s="67"/>
    </row>
    <row r="2274" spans="1:10" x14ac:dyDescent="0.35">
      <c r="A2274" s="61">
        <v>2270</v>
      </c>
      <c r="B2274" s="2"/>
      <c r="C2274" s="2"/>
      <c r="D2274" s="2"/>
      <c r="E2274" s="10"/>
      <c r="F2274" s="11"/>
      <c r="G2274" s="2"/>
      <c r="H2274" s="2"/>
      <c r="I2274" s="2"/>
      <c r="J2274" s="67"/>
    </row>
    <row r="2275" spans="1:10" x14ac:dyDescent="0.35">
      <c r="A2275" s="61">
        <v>2271</v>
      </c>
      <c r="B2275" s="2"/>
      <c r="C2275" s="2"/>
      <c r="D2275" s="2"/>
      <c r="E2275" s="10"/>
      <c r="F2275" s="11"/>
      <c r="G2275" s="2"/>
      <c r="H2275" s="2"/>
      <c r="I2275" s="2"/>
      <c r="J2275" s="67"/>
    </row>
    <row r="2276" spans="1:10" x14ac:dyDescent="0.35">
      <c r="A2276" s="61">
        <v>2272</v>
      </c>
      <c r="B2276" s="2"/>
      <c r="C2276" s="2"/>
      <c r="D2276" s="2"/>
      <c r="E2276" s="10"/>
      <c r="F2276" s="11"/>
      <c r="G2276" s="2"/>
      <c r="H2276" s="2"/>
      <c r="I2276" s="2"/>
      <c r="J2276" s="67"/>
    </row>
    <row r="2277" spans="1:10" x14ac:dyDescent="0.35">
      <c r="A2277" s="61">
        <v>2273</v>
      </c>
      <c r="B2277" s="2"/>
      <c r="C2277" s="2"/>
      <c r="D2277" s="2"/>
      <c r="E2277" s="10"/>
      <c r="F2277" s="11"/>
      <c r="G2277" s="2"/>
      <c r="H2277" s="2"/>
      <c r="I2277" s="2"/>
      <c r="J2277" s="67"/>
    </row>
    <row r="2278" spans="1:10" x14ac:dyDescent="0.35">
      <c r="A2278" s="61">
        <v>2274</v>
      </c>
      <c r="B2278" s="2"/>
      <c r="C2278" s="2"/>
      <c r="D2278" s="2"/>
      <c r="E2278" s="10"/>
      <c r="F2278" s="11"/>
      <c r="G2278" s="2"/>
      <c r="H2278" s="2"/>
      <c r="I2278" s="2"/>
      <c r="J2278" s="67"/>
    </row>
    <row r="2279" spans="1:10" x14ac:dyDescent="0.35">
      <c r="A2279" s="61">
        <v>2275</v>
      </c>
      <c r="B2279" s="2"/>
      <c r="C2279" s="2"/>
      <c r="D2279" s="2"/>
      <c r="E2279" s="10"/>
      <c r="F2279" s="11"/>
      <c r="G2279" s="2"/>
      <c r="H2279" s="2"/>
      <c r="I2279" s="2"/>
      <c r="J2279" s="67"/>
    </row>
    <row r="2280" spans="1:10" x14ac:dyDescent="0.35">
      <c r="A2280" s="61">
        <v>2276</v>
      </c>
      <c r="B2280" s="2"/>
      <c r="C2280" s="2"/>
      <c r="D2280" s="2"/>
      <c r="E2280" s="10"/>
      <c r="F2280" s="11"/>
      <c r="G2280" s="2"/>
      <c r="H2280" s="2"/>
      <c r="I2280" s="2"/>
      <c r="J2280" s="67"/>
    </row>
    <row r="2281" spans="1:10" x14ac:dyDescent="0.35">
      <c r="A2281" s="61">
        <v>2277</v>
      </c>
      <c r="B2281" s="2"/>
      <c r="C2281" s="2"/>
      <c r="D2281" s="2"/>
      <c r="E2281" s="10"/>
      <c r="F2281" s="11"/>
      <c r="G2281" s="2"/>
      <c r="H2281" s="2"/>
      <c r="I2281" s="2"/>
      <c r="J2281" s="67"/>
    </row>
    <row r="2282" spans="1:10" x14ac:dyDescent="0.35">
      <c r="A2282" s="61">
        <v>2278</v>
      </c>
      <c r="B2282" s="2"/>
      <c r="C2282" s="2"/>
      <c r="D2282" s="2"/>
      <c r="E2282" s="10"/>
      <c r="F2282" s="11"/>
      <c r="G2282" s="2"/>
      <c r="H2282" s="2"/>
      <c r="I2282" s="2"/>
      <c r="J2282" s="67"/>
    </row>
    <row r="2283" spans="1:10" x14ac:dyDescent="0.35">
      <c r="A2283" s="61">
        <v>2279</v>
      </c>
      <c r="B2283" s="2"/>
      <c r="C2283" s="2"/>
      <c r="D2283" s="2"/>
      <c r="E2283" s="10"/>
      <c r="F2283" s="11"/>
      <c r="G2283" s="2"/>
      <c r="H2283" s="2"/>
      <c r="I2283" s="2"/>
      <c r="J2283" s="67"/>
    </row>
    <row r="2284" spans="1:10" x14ac:dyDescent="0.35">
      <c r="A2284" s="61">
        <v>2280</v>
      </c>
      <c r="B2284" s="2"/>
      <c r="C2284" s="2"/>
      <c r="D2284" s="2"/>
      <c r="E2284" s="10"/>
      <c r="F2284" s="11"/>
      <c r="G2284" s="2"/>
      <c r="H2284" s="2"/>
      <c r="I2284" s="2"/>
      <c r="J2284" s="67"/>
    </row>
    <row r="2285" spans="1:10" x14ac:dyDescent="0.35">
      <c r="A2285" s="61">
        <v>2281</v>
      </c>
      <c r="B2285" s="2"/>
      <c r="C2285" s="2"/>
      <c r="D2285" s="2"/>
      <c r="E2285" s="10"/>
      <c r="F2285" s="11"/>
      <c r="G2285" s="2"/>
      <c r="H2285" s="2"/>
      <c r="I2285" s="2"/>
      <c r="J2285" s="67"/>
    </row>
    <row r="2286" spans="1:10" x14ac:dyDescent="0.35">
      <c r="A2286" s="61">
        <v>2282</v>
      </c>
      <c r="B2286" s="2"/>
      <c r="C2286" s="2"/>
      <c r="D2286" s="2"/>
      <c r="E2286" s="10"/>
      <c r="F2286" s="11"/>
      <c r="G2286" s="2"/>
      <c r="H2286" s="2"/>
      <c r="I2286" s="2"/>
      <c r="J2286" s="67"/>
    </row>
    <row r="2287" spans="1:10" x14ac:dyDescent="0.35">
      <c r="A2287" s="61">
        <v>2283</v>
      </c>
      <c r="B2287" s="2"/>
      <c r="C2287" s="2"/>
      <c r="D2287" s="2"/>
      <c r="E2287" s="10"/>
      <c r="F2287" s="11"/>
      <c r="G2287" s="2"/>
      <c r="H2287" s="2"/>
      <c r="I2287" s="2"/>
      <c r="J2287" s="67"/>
    </row>
    <row r="2288" spans="1:10" x14ac:dyDescent="0.35">
      <c r="A2288" s="61">
        <v>2284</v>
      </c>
      <c r="B2288" s="2"/>
      <c r="C2288" s="2"/>
      <c r="D2288" s="2"/>
      <c r="E2288" s="10"/>
      <c r="F2288" s="11"/>
      <c r="G2288" s="2"/>
      <c r="H2288" s="2"/>
      <c r="I2288" s="2"/>
      <c r="J2288" s="67"/>
    </row>
    <row r="2289" spans="1:10" x14ac:dyDescent="0.35">
      <c r="A2289" s="61">
        <v>2285</v>
      </c>
      <c r="B2289" s="2"/>
      <c r="C2289" s="2"/>
      <c r="D2289" s="2"/>
      <c r="E2289" s="10"/>
      <c r="F2289" s="11"/>
      <c r="G2289" s="2"/>
      <c r="H2289" s="2"/>
      <c r="I2289" s="2"/>
      <c r="J2289" s="67"/>
    </row>
    <row r="2290" spans="1:10" x14ac:dyDescent="0.35">
      <c r="A2290" s="61">
        <v>2286</v>
      </c>
      <c r="B2290" s="2"/>
      <c r="C2290" s="2"/>
      <c r="D2290" s="2"/>
      <c r="E2290" s="10"/>
      <c r="F2290" s="11"/>
      <c r="G2290" s="2"/>
      <c r="H2290" s="2"/>
      <c r="I2290" s="2"/>
      <c r="J2290" s="67"/>
    </row>
    <row r="2291" spans="1:10" x14ac:dyDescent="0.35">
      <c r="A2291" s="61">
        <v>2287</v>
      </c>
      <c r="B2291" s="2"/>
      <c r="C2291" s="2"/>
      <c r="D2291" s="2"/>
      <c r="E2291" s="10"/>
      <c r="F2291" s="11"/>
      <c r="G2291" s="2"/>
      <c r="H2291" s="2"/>
      <c r="I2291" s="2"/>
      <c r="J2291" s="67"/>
    </row>
    <row r="2292" spans="1:10" x14ac:dyDescent="0.35">
      <c r="A2292" s="61">
        <v>2288</v>
      </c>
      <c r="B2292" s="2"/>
      <c r="C2292" s="2"/>
      <c r="D2292" s="2"/>
      <c r="E2292" s="10"/>
      <c r="F2292" s="11"/>
      <c r="G2292" s="2"/>
      <c r="H2292" s="2"/>
      <c r="I2292" s="2"/>
      <c r="J2292" s="67"/>
    </row>
    <row r="2293" spans="1:10" x14ac:dyDescent="0.35">
      <c r="A2293" s="61">
        <v>2289</v>
      </c>
      <c r="B2293" s="2"/>
      <c r="C2293" s="2"/>
      <c r="D2293" s="2"/>
      <c r="E2293" s="10"/>
      <c r="F2293" s="11"/>
      <c r="G2293" s="2"/>
      <c r="H2293" s="2"/>
      <c r="I2293" s="2"/>
      <c r="J2293" s="67"/>
    </row>
    <row r="2294" spans="1:10" x14ac:dyDescent="0.35">
      <c r="A2294" s="61">
        <v>2290</v>
      </c>
      <c r="B2294" s="2"/>
      <c r="C2294" s="2"/>
      <c r="D2294" s="2"/>
      <c r="E2294" s="10"/>
      <c r="F2294" s="11"/>
      <c r="G2294" s="2"/>
      <c r="H2294" s="2"/>
      <c r="I2294" s="2"/>
      <c r="J2294" s="67"/>
    </row>
    <row r="2295" spans="1:10" x14ac:dyDescent="0.35">
      <c r="A2295" s="61">
        <v>2291</v>
      </c>
      <c r="B2295" s="2"/>
      <c r="C2295" s="2"/>
      <c r="D2295" s="2"/>
      <c r="E2295" s="10"/>
      <c r="F2295" s="11"/>
      <c r="G2295" s="2"/>
      <c r="H2295" s="2"/>
      <c r="I2295" s="2"/>
      <c r="J2295" s="67"/>
    </row>
    <row r="2296" spans="1:10" x14ac:dyDescent="0.35">
      <c r="A2296" s="61">
        <v>2292</v>
      </c>
      <c r="B2296" s="2"/>
      <c r="C2296" s="2"/>
      <c r="D2296" s="2"/>
      <c r="E2296" s="10"/>
      <c r="F2296" s="11"/>
      <c r="G2296" s="2"/>
      <c r="H2296" s="2"/>
      <c r="I2296" s="2"/>
      <c r="J2296" s="67"/>
    </row>
    <row r="2297" spans="1:10" x14ac:dyDescent="0.35">
      <c r="A2297" s="61">
        <v>2293</v>
      </c>
      <c r="B2297" s="2"/>
      <c r="C2297" s="2"/>
      <c r="D2297" s="2"/>
      <c r="E2297" s="10"/>
      <c r="F2297" s="11"/>
      <c r="G2297" s="2"/>
      <c r="H2297" s="2"/>
      <c r="I2297" s="2"/>
      <c r="J2297" s="67"/>
    </row>
    <row r="2298" spans="1:10" x14ac:dyDescent="0.35">
      <c r="A2298" s="61">
        <v>2294</v>
      </c>
      <c r="B2298" s="2"/>
      <c r="C2298" s="2"/>
      <c r="D2298" s="2"/>
      <c r="E2298" s="10"/>
      <c r="F2298" s="11"/>
      <c r="G2298" s="2"/>
      <c r="H2298" s="2"/>
      <c r="I2298" s="2"/>
      <c r="J2298" s="67"/>
    </row>
    <row r="2299" spans="1:10" x14ac:dyDescent="0.35">
      <c r="A2299" s="61">
        <v>2295</v>
      </c>
      <c r="B2299" s="2"/>
      <c r="C2299" s="2"/>
      <c r="D2299" s="2"/>
      <c r="E2299" s="10"/>
      <c r="F2299" s="11"/>
      <c r="G2299" s="2"/>
      <c r="H2299" s="2"/>
      <c r="I2299" s="2"/>
      <c r="J2299" s="67"/>
    </row>
    <row r="2300" spans="1:10" x14ac:dyDescent="0.35">
      <c r="A2300" s="61">
        <v>2296</v>
      </c>
      <c r="B2300" s="2"/>
      <c r="C2300" s="2"/>
      <c r="D2300" s="2"/>
      <c r="E2300" s="10"/>
      <c r="F2300" s="11"/>
      <c r="G2300" s="2"/>
      <c r="H2300" s="2"/>
      <c r="I2300" s="2"/>
      <c r="J2300" s="67"/>
    </row>
    <row r="2301" spans="1:10" x14ac:dyDescent="0.35">
      <c r="A2301" s="61">
        <v>2297</v>
      </c>
      <c r="B2301" s="2"/>
      <c r="C2301" s="2"/>
      <c r="D2301" s="2"/>
      <c r="E2301" s="10"/>
      <c r="F2301" s="11"/>
      <c r="G2301" s="2"/>
      <c r="H2301" s="2"/>
      <c r="I2301" s="2"/>
      <c r="J2301" s="67"/>
    </row>
    <row r="2302" spans="1:10" x14ac:dyDescent="0.35">
      <c r="A2302" s="61">
        <v>2298</v>
      </c>
      <c r="B2302" s="2"/>
      <c r="C2302" s="2"/>
      <c r="D2302" s="2"/>
      <c r="E2302" s="10"/>
      <c r="F2302" s="11"/>
      <c r="G2302" s="2"/>
      <c r="H2302" s="2"/>
      <c r="I2302" s="2"/>
      <c r="J2302" s="67"/>
    </row>
    <row r="2303" spans="1:10" x14ac:dyDescent="0.35">
      <c r="A2303" s="61">
        <v>2299</v>
      </c>
      <c r="B2303" s="2"/>
      <c r="C2303" s="2"/>
      <c r="D2303" s="2"/>
      <c r="E2303" s="10"/>
      <c r="F2303" s="11"/>
      <c r="G2303" s="2"/>
      <c r="H2303" s="2"/>
      <c r="I2303" s="2"/>
      <c r="J2303" s="67"/>
    </row>
    <row r="2304" spans="1:10" x14ac:dyDescent="0.35">
      <c r="A2304" s="61">
        <v>2300</v>
      </c>
      <c r="B2304" s="2"/>
      <c r="C2304" s="2"/>
      <c r="D2304" s="2"/>
      <c r="E2304" s="10"/>
      <c r="F2304" s="11"/>
      <c r="G2304" s="2"/>
      <c r="H2304" s="2"/>
      <c r="I2304" s="2"/>
      <c r="J2304" s="67"/>
    </row>
    <row r="2305" spans="1:10" x14ac:dyDescent="0.35">
      <c r="A2305" s="61">
        <v>2301</v>
      </c>
      <c r="B2305" s="2"/>
      <c r="C2305" s="2"/>
      <c r="D2305" s="2"/>
      <c r="E2305" s="10"/>
      <c r="F2305" s="11"/>
      <c r="G2305" s="2"/>
      <c r="H2305" s="2"/>
      <c r="I2305" s="2"/>
      <c r="J2305" s="67"/>
    </row>
    <row r="2306" spans="1:10" x14ac:dyDescent="0.35">
      <c r="A2306" s="61">
        <v>2302</v>
      </c>
      <c r="B2306" s="2"/>
      <c r="C2306" s="2"/>
      <c r="D2306" s="2"/>
      <c r="E2306" s="10"/>
      <c r="F2306" s="11"/>
      <c r="G2306" s="2"/>
      <c r="H2306" s="2"/>
      <c r="I2306" s="2"/>
      <c r="J2306" s="67"/>
    </row>
    <row r="2307" spans="1:10" x14ac:dyDescent="0.35">
      <c r="A2307" s="61">
        <v>2303</v>
      </c>
      <c r="B2307" s="2"/>
      <c r="C2307" s="2"/>
      <c r="D2307" s="2"/>
      <c r="E2307" s="10"/>
      <c r="F2307" s="11"/>
      <c r="G2307" s="2"/>
      <c r="H2307" s="2"/>
      <c r="I2307" s="2"/>
      <c r="J2307" s="67"/>
    </row>
    <row r="2308" spans="1:10" x14ac:dyDescent="0.35">
      <c r="A2308" s="61">
        <v>2304</v>
      </c>
      <c r="B2308" s="2"/>
      <c r="C2308" s="2"/>
      <c r="D2308" s="2"/>
      <c r="E2308" s="10"/>
      <c r="F2308" s="11"/>
      <c r="G2308" s="2"/>
      <c r="H2308" s="2"/>
      <c r="I2308" s="2"/>
      <c r="J2308" s="67"/>
    </row>
    <row r="2309" spans="1:10" x14ac:dyDescent="0.35">
      <c r="A2309" s="61">
        <v>2305</v>
      </c>
      <c r="B2309" s="2"/>
      <c r="C2309" s="2"/>
      <c r="D2309" s="2"/>
      <c r="E2309" s="10"/>
      <c r="F2309" s="11"/>
      <c r="G2309" s="2"/>
      <c r="H2309" s="2"/>
      <c r="I2309" s="2"/>
      <c r="J2309" s="67"/>
    </row>
    <row r="2310" spans="1:10" x14ac:dyDescent="0.35">
      <c r="A2310" s="61">
        <v>2306</v>
      </c>
      <c r="B2310" s="2"/>
      <c r="C2310" s="2"/>
      <c r="D2310" s="2"/>
      <c r="E2310" s="10"/>
      <c r="F2310" s="11"/>
      <c r="G2310" s="2"/>
      <c r="H2310" s="2"/>
      <c r="I2310" s="2"/>
      <c r="J2310" s="67"/>
    </row>
    <row r="2311" spans="1:10" x14ac:dyDescent="0.35">
      <c r="A2311" s="61">
        <v>2307</v>
      </c>
      <c r="B2311" s="2"/>
      <c r="C2311" s="2"/>
      <c r="D2311" s="2"/>
      <c r="E2311" s="10"/>
      <c r="F2311" s="11"/>
      <c r="G2311" s="2"/>
      <c r="H2311" s="2"/>
      <c r="I2311" s="2"/>
      <c r="J2311" s="67"/>
    </row>
    <row r="2312" spans="1:10" x14ac:dyDescent="0.35">
      <c r="A2312" s="61">
        <v>2308</v>
      </c>
      <c r="B2312" s="2"/>
      <c r="C2312" s="2"/>
      <c r="D2312" s="2"/>
      <c r="E2312" s="10"/>
      <c r="F2312" s="11"/>
      <c r="G2312" s="2"/>
      <c r="H2312" s="2"/>
      <c r="I2312" s="2"/>
      <c r="J2312" s="67"/>
    </row>
    <row r="2313" spans="1:10" x14ac:dyDescent="0.35">
      <c r="A2313" s="61">
        <v>2309</v>
      </c>
      <c r="B2313" s="2"/>
      <c r="C2313" s="2"/>
      <c r="D2313" s="2"/>
      <c r="E2313" s="10"/>
      <c r="F2313" s="11"/>
      <c r="G2313" s="2"/>
      <c r="H2313" s="2"/>
      <c r="I2313" s="2"/>
      <c r="J2313" s="67"/>
    </row>
    <row r="2314" spans="1:10" x14ac:dyDescent="0.35">
      <c r="A2314" s="61">
        <v>2310</v>
      </c>
      <c r="B2314" s="2"/>
      <c r="C2314" s="2"/>
      <c r="D2314" s="2"/>
      <c r="E2314" s="10"/>
      <c r="F2314" s="11"/>
      <c r="G2314" s="2"/>
      <c r="H2314" s="2"/>
      <c r="I2314" s="2"/>
      <c r="J2314" s="67"/>
    </row>
    <row r="2315" spans="1:10" x14ac:dyDescent="0.35">
      <c r="A2315" s="61">
        <v>2311</v>
      </c>
      <c r="B2315" s="2"/>
      <c r="C2315" s="2"/>
      <c r="D2315" s="2"/>
      <c r="E2315" s="10"/>
      <c r="F2315" s="11"/>
      <c r="G2315" s="2"/>
      <c r="H2315" s="2"/>
      <c r="I2315" s="2"/>
      <c r="J2315" s="67"/>
    </row>
    <row r="2316" spans="1:10" x14ac:dyDescent="0.35">
      <c r="A2316" s="61">
        <v>2312</v>
      </c>
      <c r="B2316" s="2"/>
      <c r="C2316" s="2"/>
      <c r="D2316" s="2"/>
      <c r="E2316" s="10"/>
      <c r="F2316" s="11"/>
      <c r="G2316" s="2"/>
      <c r="H2316" s="2"/>
      <c r="I2316" s="2"/>
      <c r="J2316" s="67"/>
    </row>
    <row r="2317" spans="1:10" x14ac:dyDescent="0.35">
      <c r="A2317" s="61">
        <v>2313</v>
      </c>
      <c r="B2317" s="2"/>
      <c r="C2317" s="2"/>
      <c r="D2317" s="2"/>
      <c r="E2317" s="10"/>
      <c r="F2317" s="11"/>
      <c r="G2317" s="2"/>
      <c r="H2317" s="2"/>
      <c r="I2317" s="2"/>
      <c r="J2317" s="67"/>
    </row>
    <row r="2318" spans="1:10" x14ac:dyDescent="0.35">
      <c r="A2318" s="61">
        <v>2314</v>
      </c>
      <c r="B2318" s="2"/>
      <c r="C2318" s="2"/>
      <c r="D2318" s="2"/>
      <c r="E2318" s="10"/>
      <c r="F2318" s="11"/>
      <c r="G2318" s="2"/>
      <c r="H2318" s="2"/>
      <c r="I2318" s="2"/>
      <c r="J2318" s="67"/>
    </row>
    <row r="2319" spans="1:10" x14ac:dyDescent="0.35">
      <c r="A2319" s="61">
        <v>2315</v>
      </c>
      <c r="B2319" s="2"/>
      <c r="C2319" s="2"/>
      <c r="D2319" s="2"/>
      <c r="E2319" s="10"/>
      <c r="F2319" s="11"/>
      <c r="G2319" s="2"/>
      <c r="H2319" s="2"/>
      <c r="I2319" s="2"/>
      <c r="J2319" s="67"/>
    </row>
    <row r="2320" spans="1:10" x14ac:dyDescent="0.35">
      <c r="A2320" s="61">
        <v>2316</v>
      </c>
      <c r="B2320" s="2"/>
      <c r="C2320" s="2"/>
      <c r="D2320" s="2"/>
      <c r="E2320" s="10"/>
      <c r="F2320" s="11"/>
      <c r="G2320" s="2"/>
      <c r="H2320" s="2"/>
      <c r="I2320" s="2"/>
      <c r="J2320" s="67"/>
    </row>
    <row r="2321" spans="1:10" x14ac:dyDescent="0.35">
      <c r="A2321" s="61">
        <v>2317</v>
      </c>
      <c r="B2321" s="2"/>
      <c r="C2321" s="2"/>
      <c r="D2321" s="2"/>
      <c r="E2321" s="10"/>
      <c r="F2321" s="11"/>
      <c r="G2321" s="2"/>
      <c r="H2321" s="2"/>
      <c r="I2321" s="2"/>
      <c r="J2321" s="67"/>
    </row>
    <row r="2322" spans="1:10" x14ac:dyDescent="0.35">
      <c r="A2322" s="61">
        <v>2318</v>
      </c>
      <c r="B2322" s="2"/>
      <c r="C2322" s="2"/>
      <c r="D2322" s="2"/>
      <c r="E2322" s="10"/>
      <c r="F2322" s="11"/>
      <c r="G2322" s="2"/>
      <c r="H2322" s="2"/>
      <c r="I2322" s="2"/>
      <c r="J2322" s="67"/>
    </row>
    <row r="2323" spans="1:10" x14ac:dyDescent="0.35">
      <c r="A2323" s="61">
        <v>2319</v>
      </c>
      <c r="B2323" s="2"/>
      <c r="C2323" s="2"/>
      <c r="D2323" s="2"/>
      <c r="E2323" s="10"/>
      <c r="F2323" s="11"/>
      <c r="G2323" s="2"/>
      <c r="H2323" s="2"/>
      <c r="I2323" s="2"/>
      <c r="J2323" s="67"/>
    </row>
    <row r="2324" spans="1:10" x14ac:dyDescent="0.35">
      <c r="A2324" s="61">
        <v>2320</v>
      </c>
      <c r="B2324" s="2"/>
      <c r="C2324" s="2"/>
      <c r="D2324" s="2"/>
      <c r="E2324" s="10"/>
      <c r="F2324" s="11"/>
      <c r="G2324" s="2"/>
      <c r="H2324" s="2"/>
      <c r="I2324" s="2"/>
      <c r="J2324" s="67"/>
    </row>
    <row r="2325" spans="1:10" x14ac:dyDescent="0.35">
      <c r="A2325" s="61">
        <v>2321</v>
      </c>
      <c r="B2325" s="2"/>
      <c r="C2325" s="2"/>
      <c r="D2325" s="2"/>
      <c r="E2325" s="10"/>
      <c r="F2325" s="11"/>
      <c r="G2325" s="2"/>
      <c r="H2325" s="2"/>
      <c r="I2325" s="2"/>
      <c r="J2325" s="67"/>
    </row>
    <row r="2326" spans="1:10" x14ac:dyDescent="0.35">
      <c r="A2326" s="61">
        <v>2322</v>
      </c>
      <c r="B2326" s="2"/>
      <c r="C2326" s="2"/>
      <c r="D2326" s="2"/>
      <c r="E2326" s="10"/>
      <c r="F2326" s="11"/>
      <c r="G2326" s="2"/>
      <c r="H2326" s="2"/>
      <c r="I2326" s="2"/>
      <c r="J2326" s="67"/>
    </row>
    <row r="2327" spans="1:10" x14ac:dyDescent="0.35">
      <c r="A2327" s="61">
        <v>2323</v>
      </c>
      <c r="B2327" s="2"/>
      <c r="C2327" s="2"/>
      <c r="D2327" s="2"/>
      <c r="E2327" s="10"/>
      <c r="F2327" s="11"/>
      <c r="G2327" s="2"/>
      <c r="H2327" s="2"/>
      <c r="I2327" s="2"/>
      <c r="J2327" s="67"/>
    </row>
    <row r="2328" spans="1:10" x14ac:dyDescent="0.35">
      <c r="A2328" s="61">
        <v>2324</v>
      </c>
      <c r="B2328" s="2"/>
      <c r="C2328" s="2"/>
      <c r="D2328" s="2"/>
      <c r="E2328" s="10"/>
      <c r="F2328" s="11"/>
      <c r="G2328" s="2"/>
      <c r="H2328" s="2"/>
      <c r="I2328" s="2"/>
      <c r="J2328" s="67"/>
    </row>
    <row r="2329" spans="1:10" x14ac:dyDescent="0.35">
      <c r="A2329" s="61">
        <v>2325</v>
      </c>
      <c r="B2329" s="2"/>
      <c r="C2329" s="2"/>
      <c r="D2329" s="2"/>
      <c r="E2329" s="10"/>
      <c r="F2329" s="11"/>
      <c r="G2329" s="2"/>
      <c r="H2329" s="2"/>
      <c r="I2329" s="2"/>
      <c r="J2329" s="67"/>
    </row>
    <row r="2330" spans="1:10" x14ac:dyDescent="0.35">
      <c r="A2330" s="61">
        <v>2326</v>
      </c>
      <c r="B2330" s="2"/>
      <c r="C2330" s="2"/>
      <c r="D2330" s="2"/>
      <c r="E2330" s="10"/>
      <c r="F2330" s="11"/>
      <c r="G2330" s="2"/>
      <c r="H2330" s="2"/>
      <c r="I2330" s="2"/>
      <c r="J2330" s="67"/>
    </row>
    <row r="2331" spans="1:10" x14ac:dyDescent="0.35">
      <c r="A2331" s="61">
        <v>2327</v>
      </c>
      <c r="B2331" s="2"/>
      <c r="C2331" s="2"/>
      <c r="D2331" s="2"/>
      <c r="E2331" s="10"/>
      <c r="F2331" s="11"/>
      <c r="G2331" s="2"/>
      <c r="H2331" s="2"/>
      <c r="I2331" s="2"/>
      <c r="J2331" s="67"/>
    </row>
    <row r="2332" spans="1:10" x14ac:dyDescent="0.35">
      <c r="A2332" s="61">
        <v>2328</v>
      </c>
      <c r="B2332" s="2"/>
      <c r="C2332" s="2"/>
      <c r="D2332" s="2"/>
      <c r="E2332" s="10"/>
      <c r="F2332" s="11"/>
      <c r="G2332" s="2"/>
      <c r="H2332" s="2"/>
      <c r="I2332" s="2"/>
      <c r="J2332" s="67"/>
    </row>
    <row r="2333" spans="1:10" x14ac:dyDescent="0.35">
      <c r="A2333" s="61">
        <v>2329</v>
      </c>
      <c r="B2333" s="2"/>
      <c r="C2333" s="2"/>
      <c r="D2333" s="2"/>
      <c r="E2333" s="10"/>
      <c r="F2333" s="11"/>
      <c r="G2333" s="2"/>
      <c r="H2333" s="2"/>
      <c r="I2333" s="2"/>
      <c r="J2333" s="67"/>
    </row>
    <row r="2334" spans="1:10" x14ac:dyDescent="0.35">
      <c r="A2334" s="61">
        <v>2330</v>
      </c>
      <c r="B2334" s="2"/>
      <c r="C2334" s="2"/>
      <c r="D2334" s="2"/>
      <c r="E2334" s="10"/>
      <c r="F2334" s="11"/>
      <c r="G2334" s="2"/>
      <c r="H2334" s="2"/>
      <c r="I2334" s="2"/>
      <c r="J2334" s="67"/>
    </row>
    <row r="2335" spans="1:10" x14ac:dyDescent="0.35">
      <c r="A2335" s="61">
        <v>2331</v>
      </c>
      <c r="B2335" s="2"/>
      <c r="C2335" s="2"/>
      <c r="D2335" s="2"/>
      <c r="E2335" s="10"/>
      <c r="F2335" s="11"/>
      <c r="G2335" s="2"/>
      <c r="H2335" s="2"/>
      <c r="I2335" s="2"/>
      <c r="J2335" s="67"/>
    </row>
    <row r="2336" spans="1:10" x14ac:dyDescent="0.35">
      <c r="A2336" s="61">
        <v>2332</v>
      </c>
      <c r="B2336" s="2"/>
      <c r="C2336" s="2"/>
      <c r="D2336" s="2"/>
      <c r="E2336" s="10"/>
      <c r="F2336" s="11"/>
      <c r="G2336" s="2"/>
      <c r="H2336" s="2"/>
      <c r="I2336" s="2"/>
      <c r="J2336" s="67"/>
    </row>
    <row r="2337" spans="1:10" x14ac:dyDescent="0.35">
      <c r="A2337" s="61">
        <v>2333</v>
      </c>
      <c r="B2337" s="2"/>
      <c r="C2337" s="2"/>
      <c r="D2337" s="2"/>
      <c r="E2337" s="10"/>
      <c r="F2337" s="11"/>
      <c r="G2337" s="2"/>
      <c r="H2337" s="2"/>
      <c r="I2337" s="2"/>
      <c r="J2337" s="67"/>
    </row>
    <row r="2338" spans="1:10" x14ac:dyDescent="0.35">
      <c r="A2338" s="61">
        <v>2334</v>
      </c>
      <c r="B2338" s="2"/>
      <c r="C2338" s="2"/>
      <c r="D2338" s="2"/>
      <c r="E2338" s="10"/>
      <c r="F2338" s="11"/>
      <c r="G2338" s="2"/>
      <c r="H2338" s="2"/>
      <c r="I2338" s="2"/>
      <c r="J2338" s="67"/>
    </row>
    <row r="2339" spans="1:10" x14ac:dyDescent="0.35">
      <c r="A2339" s="61">
        <v>2335</v>
      </c>
      <c r="B2339" s="2"/>
      <c r="C2339" s="2"/>
      <c r="D2339" s="2"/>
      <c r="E2339" s="10"/>
      <c r="F2339" s="11"/>
      <c r="G2339" s="2"/>
      <c r="H2339" s="2"/>
      <c r="I2339" s="2"/>
      <c r="J2339" s="67"/>
    </row>
    <row r="2340" spans="1:10" x14ac:dyDescent="0.35">
      <c r="A2340" s="61">
        <v>2336</v>
      </c>
      <c r="B2340" s="2"/>
      <c r="C2340" s="2"/>
      <c r="D2340" s="2"/>
      <c r="E2340" s="10"/>
      <c r="F2340" s="11"/>
      <c r="G2340" s="2"/>
      <c r="H2340" s="2"/>
      <c r="I2340" s="2"/>
      <c r="J2340" s="67"/>
    </row>
    <row r="2341" spans="1:10" x14ac:dyDescent="0.35">
      <c r="A2341" s="61">
        <v>2337</v>
      </c>
      <c r="B2341" s="2"/>
      <c r="C2341" s="2"/>
      <c r="D2341" s="2"/>
      <c r="E2341" s="10"/>
      <c r="F2341" s="11"/>
      <c r="G2341" s="2"/>
      <c r="H2341" s="2"/>
      <c r="I2341" s="2"/>
      <c r="J2341" s="67"/>
    </row>
    <row r="2342" spans="1:10" x14ac:dyDescent="0.35">
      <c r="A2342" s="61">
        <v>2338</v>
      </c>
      <c r="B2342" s="2"/>
      <c r="C2342" s="2"/>
      <c r="D2342" s="2"/>
      <c r="E2342" s="10"/>
      <c r="F2342" s="11"/>
      <c r="G2342" s="2"/>
      <c r="H2342" s="2"/>
      <c r="I2342" s="2"/>
      <c r="J2342" s="67"/>
    </row>
    <row r="2343" spans="1:10" x14ac:dyDescent="0.35">
      <c r="A2343" s="61">
        <v>2339</v>
      </c>
      <c r="B2343" s="2"/>
      <c r="C2343" s="2"/>
      <c r="D2343" s="2"/>
      <c r="E2343" s="10"/>
      <c r="F2343" s="11"/>
      <c r="G2343" s="2"/>
      <c r="H2343" s="2"/>
      <c r="I2343" s="2"/>
      <c r="J2343" s="67"/>
    </row>
    <row r="2344" spans="1:10" x14ac:dyDescent="0.35">
      <c r="A2344" s="61">
        <v>2340</v>
      </c>
      <c r="B2344" s="2"/>
      <c r="C2344" s="2"/>
      <c r="D2344" s="2"/>
      <c r="E2344" s="10"/>
      <c r="F2344" s="11"/>
      <c r="G2344" s="2"/>
      <c r="H2344" s="2"/>
      <c r="I2344" s="2"/>
      <c r="J2344" s="67"/>
    </row>
    <row r="2345" spans="1:10" x14ac:dyDescent="0.35">
      <c r="A2345" s="61">
        <v>2341</v>
      </c>
      <c r="B2345" s="2"/>
      <c r="C2345" s="2"/>
      <c r="D2345" s="2"/>
      <c r="E2345" s="10"/>
      <c r="F2345" s="11"/>
      <c r="G2345" s="2"/>
      <c r="H2345" s="2"/>
      <c r="I2345" s="2"/>
      <c r="J2345" s="67"/>
    </row>
    <row r="2346" spans="1:10" x14ac:dyDescent="0.35">
      <c r="A2346" s="61">
        <v>2342</v>
      </c>
      <c r="B2346" s="2"/>
      <c r="C2346" s="2"/>
      <c r="D2346" s="2"/>
      <c r="E2346" s="10"/>
      <c r="F2346" s="11"/>
      <c r="G2346" s="2"/>
      <c r="H2346" s="2"/>
      <c r="I2346" s="2"/>
      <c r="J2346" s="67"/>
    </row>
    <row r="2347" spans="1:10" x14ac:dyDescent="0.35">
      <c r="A2347" s="61">
        <v>2343</v>
      </c>
      <c r="B2347" s="2"/>
      <c r="C2347" s="2"/>
      <c r="D2347" s="2"/>
      <c r="E2347" s="10"/>
      <c r="F2347" s="11"/>
      <c r="G2347" s="2"/>
      <c r="H2347" s="2"/>
      <c r="I2347" s="2"/>
      <c r="J2347" s="67"/>
    </row>
    <row r="2348" spans="1:10" x14ac:dyDescent="0.35">
      <c r="A2348" s="61">
        <v>2344</v>
      </c>
      <c r="B2348" s="2"/>
      <c r="C2348" s="2"/>
      <c r="D2348" s="2"/>
      <c r="E2348" s="10"/>
      <c r="F2348" s="11"/>
      <c r="G2348" s="2"/>
      <c r="H2348" s="2"/>
      <c r="I2348" s="2"/>
      <c r="J2348" s="67"/>
    </row>
    <row r="2349" spans="1:10" x14ac:dyDescent="0.35">
      <c r="A2349" s="61">
        <v>2345</v>
      </c>
      <c r="B2349" s="2"/>
      <c r="C2349" s="2"/>
      <c r="D2349" s="2"/>
      <c r="E2349" s="10"/>
      <c r="F2349" s="11"/>
      <c r="G2349" s="2"/>
      <c r="H2349" s="2"/>
      <c r="I2349" s="2"/>
      <c r="J2349" s="67"/>
    </row>
    <row r="2350" spans="1:10" x14ac:dyDescent="0.35">
      <c r="A2350" s="61">
        <v>2346</v>
      </c>
      <c r="B2350" s="2"/>
      <c r="C2350" s="2"/>
      <c r="D2350" s="2"/>
      <c r="E2350" s="10"/>
      <c r="F2350" s="11"/>
      <c r="G2350" s="2"/>
      <c r="H2350" s="2"/>
      <c r="I2350" s="2"/>
      <c r="J2350" s="67"/>
    </row>
    <row r="2351" spans="1:10" x14ac:dyDescent="0.35">
      <c r="A2351" s="61">
        <v>2347</v>
      </c>
      <c r="B2351" s="2"/>
      <c r="C2351" s="2"/>
      <c r="D2351" s="2"/>
      <c r="E2351" s="10"/>
      <c r="F2351" s="11"/>
      <c r="G2351" s="2"/>
      <c r="H2351" s="2"/>
      <c r="I2351" s="2"/>
      <c r="J2351" s="67"/>
    </row>
    <row r="2352" spans="1:10" x14ac:dyDescent="0.35">
      <c r="A2352" s="61">
        <v>2348</v>
      </c>
      <c r="B2352" s="2"/>
      <c r="C2352" s="2"/>
      <c r="D2352" s="2"/>
      <c r="E2352" s="10"/>
      <c r="F2352" s="11"/>
      <c r="G2352" s="2"/>
      <c r="H2352" s="2"/>
      <c r="I2352" s="2"/>
      <c r="J2352" s="67"/>
    </row>
    <row r="2353" spans="1:10" x14ac:dyDescent="0.35">
      <c r="A2353" s="61">
        <v>2349</v>
      </c>
      <c r="B2353" s="2"/>
      <c r="C2353" s="2"/>
      <c r="D2353" s="2"/>
      <c r="E2353" s="10"/>
      <c r="F2353" s="11"/>
      <c r="G2353" s="2"/>
      <c r="H2353" s="2"/>
      <c r="I2353" s="2"/>
      <c r="J2353" s="67"/>
    </row>
    <row r="2354" spans="1:10" x14ac:dyDescent="0.35">
      <c r="A2354" s="61">
        <v>2350</v>
      </c>
      <c r="B2354" s="2"/>
      <c r="C2354" s="2"/>
      <c r="D2354" s="2"/>
      <c r="E2354" s="10"/>
      <c r="F2354" s="11"/>
      <c r="G2354" s="2"/>
      <c r="H2354" s="2"/>
      <c r="I2354" s="2"/>
      <c r="J2354" s="67"/>
    </row>
    <row r="2355" spans="1:10" x14ac:dyDescent="0.35">
      <c r="A2355" s="61">
        <v>2351</v>
      </c>
      <c r="B2355" s="2"/>
      <c r="C2355" s="2"/>
      <c r="D2355" s="2"/>
      <c r="E2355" s="10"/>
      <c r="F2355" s="11"/>
      <c r="G2355" s="2"/>
      <c r="H2355" s="2"/>
      <c r="I2355" s="2"/>
      <c r="J2355" s="67"/>
    </row>
    <row r="2356" spans="1:10" x14ac:dyDescent="0.35">
      <c r="A2356" s="61">
        <v>2352</v>
      </c>
      <c r="B2356" s="2"/>
      <c r="C2356" s="2"/>
      <c r="D2356" s="2"/>
      <c r="E2356" s="10"/>
      <c r="F2356" s="11"/>
      <c r="G2356" s="2"/>
      <c r="H2356" s="2"/>
      <c r="I2356" s="2"/>
      <c r="J2356" s="67"/>
    </row>
    <row r="2357" spans="1:10" x14ac:dyDescent="0.35">
      <c r="A2357" s="61">
        <v>2353</v>
      </c>
      <c r="B2357" s="2"/>
      <c r="C2357" s="2"/>
      <c r="D2357" s="2"/>
      <c r="E2357" s="10"/>
      <c r="F2357" s="11"/>
      <c r="G2357" s="2"/>
      <c r="H2357" s="2"/>
      <c r="I2357" s="2"/>
      <c r="J2357" s="67"/>
    </row>
    <row r="2358" spans="1:10" x14ac:dyDescent="0.35">
      <c r="A2358" s="61">
        <v>2354</v>
      </c>
      <c r="B2358" s="2"/>
      <c r="C2358" s="2"/>
      <c r="D2358" s="2"/>
      <c r="E2358" s="10"/>
      <c r="F2358" s="11"/>
      <c r="G2358" s="2"/>
      <c r="H2358" s="2"/>
      <c r="I2358" s="2"/>
      <c r="J2358" s="67"/>
    </row>
    <row r="2359" spans="1:10" x14ac:dyDescent="0.35">
      <c r="A2359" s="61">
        <v>2355</v>
      </c>
      <c r="B2359" s="2"/>
      <c r="C2359" s="2"/>
      <c r="D2359" s="2"/>
      <c r="E2359" s="10"/>
      <c r="F2359" s="11"/>
      <c r="G2359" s="2"/>
      <c r="H2359" s="2"/>
      <c r="I2359" s="2"/>
      <c r="J2359" s="67"/>
    </row>
    <row r="2360" spans="1:10" x14ac:dyDescent="0.35">
      <c r="A2360" s="61">
        <v>2356</v>
      </c>
      <c r="B2360" s="2"/>
      <c r="C2360" s="2"/>
      <c r="D2360" s="2"/>
      <c r="E2360" s="10"/>
      <c r="F2360" s="11"/>
      <c r="G2360" s="2"/>
      <c r="H2360" s="2"/>
      <c r="I2360" s="2"/>
      <c r="J2360" s="67"/>
    </row>
    <row r="2361" spans="1:10" x14ac:dyDescent="0.35">
      <c r="A2361" s="61">
        <v>2357</v>
      </c>
      <c r="B2361" s="2"/>
      <c r="C2361" s="2"/>
      <c r="D2361" s="2"/>
      <c r="E2361" s="10"/>
      <c r="F2361" s="11"/>
      <c r="G2361" s="2"/>
      <c r="H2361" s="2"/>
      <c r="I2361" s="2"/>
      <c r="J2361" s="67"/>
    </row>
    <row r="2362" spans="1:10" x14ac:dyDescent="0.35">
      <c r="A2362" s="61">
        <v>2358</v>
      </c>
      <c r="B2362" s="2"/>
      <c r="C2362" s="2"/>
      <c r="D2362" s="2"/>
      <c r="E2362" s="10"/>
      <c r="F2362" s="11"/>
      <c r="G2362" s="2"/>
      <c r="H2362" s="2"/>
      <c r="I2362" s="2"/>
      <c r="J2362" s="67"/>
    </row>
    <row r="2363" spans="1:10" x14ac:dyDescent="0.35">
      <c r="A2363" s="61">
        <v>2359</v>
      </c>
      <c r="B2363" s="2"/>
      <c r="C2363" s="2"/>
      <c r="D2363" s="2"/>
      <c r="E2363" s="10"/>
      <c r="F2363" s="11"/>
      <c r="G2363" s="2"/>
      <c r="H2363" s="2"/>
      <c r="I2363" s="2"/>
      <c r="J2363" s="67"/>
    </row>
    <row r="2364" spans="1:10" x14ac:dyDescent="0.35">
      <c r="A2364" s="61">
        <v>2360</v>
      </c>
      <c r="B2364" s="2"/>
      <c r="C2364" s="2"/>
      <c r="D2364" s="2"/>
      <c r="E2364" s="10"/>
      <c r="F2364" s="11"/>
      <c r="G2364" s="2"/>
      <c r="H2364" s="2"/>
      <c r="I2364" s="2"/>
      <c r="J2364" s="67"/>
    </row>
    <row r="2365" spans="1:10" x14ac:dyDescent="0.35">
      <c r="A2365" s="61">
        <v>2361</v>
      </c>
      <c r="B2365" s="2"/>
      <c r="C2365" s="2"/>
      <c r="D2365" s="2"/>
      <c r="E2365" s="10"/>
      <c r="F2365" s="11"/>
      <c r="G2365" s="2"/>
      <c r="H2365" s="2"/>
      <c r="I2365" s="2"/>
      <c r="J2365" s="67"/>
    </row>
    <row r="2366" spans="1:10" x14ac:dyDescent="0.35">
      <c r="A2366" s="61">
        <v>2362</v>
      </c>
      <c r="B2366" s="2"/>
      <c r="C2366" s="2"/>
      <c r="D2366" s="2"/>
      <c r="E2366" s="10"/>
      <c r="F2366" s="11"/>
      <c r="G2366" s="2"/>
      <c r="H2366" s="2"/>
      <c r="I2366" s="2"/>
      <c r="J2366" s="67"/>
    </row>
    <row r="2367" spans="1:10" x14ac:dyDescent="0.35">
      <c r="A2367" s="61">
        <v>2363</v>
      </c>
      <c r="B2367" s="2"/>
      <c r="C2367" s="2"/>
      <c r="D2367" s="2"/>
      <c r="E2367" s="10"/>
      <c r="F2367" s="11"/>
      <c r="G2367" s="2"/>
      <c r="H2367" s="2"/>
      <c r="I2367" s="2"/>
      <c r="J2367" s="67"/>
    </row>
    <row r="2368" spans="1:10" x14ac:dyDescent="0.35">
      <c r="A2368" s="61">
        <v>2364</v>
      </c>
      <c r="B2368" s="2"/>
      <c r="C2368" s="2"/>
      <c r="D2368" s="2"/>
      <c r="E2368" s="10"/>
      <c r="F2368" s="11"/>
      <c r="G2368" s="2"/>
      <c r="H2368" s="2"/>
      <c r="I2368" s="2"/>
      <c r="J2368" s="67"/>
    </row>
    <row r="2369" spans="1:10" x14ac:dyDescent="0.35">
      <c r="A2369" s="61">
        <v>2365</v>
      </c>
      <c r="B2369" s="2"/>
      <c r="C2369" s="2"/>
      <c r="D2369" s="2"/>
      <c r="E2369" s="10"/>
      <c r="F2369" s="11"/>
      <c r="G2369" s="2"/>
      <c r="H2369" s="2"/>
      <c r="I2369" s="2"/>
      <c r="J2369" s="67"/>
    </row>
    <row r="2370" spans="1:10" x14ac:dyDescent="0.35">
      <c r="A2370" s="61">
        <v>2366</v>
      </c>
      <c r="B2370" s="2"/>
      <c r="C2370" s="2"/>
      <c r="D2370" s="2"/>
      <c r="E2370" s="10"/>
      <c r="F2370" s="11"/>
      <c r="G2370" s="2"/>
      <c r="H2370" s="2"/>
      <c r="I2370" s="2"/>
      <c r="J2370" s="67"/>
    </row>
    <row r="2371" spans="1:10" x14ac:dyDescent="0.35">
      <c r="A2371" s="61">
        <v>2367</v>
      </c>
      <c r="B2371" s="2"/>
      <c r="C2371" s="2"/>
      <c r="D2371" s="2"/>
      <c r="E2371" s="10"/>
      <c r="F2371" s="11"/>
      <c r="G2371" s="2"/>
      <c r="H2371" s="2"/>
      <c r="I2371" s="2"/>
      <c r="J2371" s="67"/>
    </row>
    <row r="2372" spans="1:10" x14ac:dyDescent="0.35">
      <c r="A2372" s="61">
        <v>2368</v>
      </c>
      <c r="B2372" s="2"/>
      <c r="C2372" s="2"/>
      <c r="D2372" s="2"/>
      <c r="E2372" s="10"/>
      <c r="F2372" s="11"/>
      <c r="G2372" s="2"/>
      <c r="H2372" s="2"/>
      <c r="I2372" s="2"/>
      <c r="J2372" s="67"/>
    </row>
    <row r="2373" spans="1:10" x14ac:dyDescent="0.35">
      <c r="A2373" s="61">
        <v>2369</v>
      </c>
      <c r="B2373" s="2"/>
      <c r="C2373" s="2"/>
      <c r="D2373" s="2"/>
      <c r="E2373" s="10"/>
      <c r="F2373" s="11"/>
      <c r="G2373" s="2"/>
      <c r="H2373" s="2"/>
      <c r="I2373" s="2"/>
      <c r="J2373" s="67"/>
    </row>
    <row r="2374" spans="1:10" x14ac:dyDescent="0.35">
      <c r="A2374" s="61">
        <v>2370</v>
      </c>
      <c r="B2374" s="2"/>
      <c r="C2374" s="2"/>
      <c r="D2374" s="2"/>
      <c r="E2374" s="10"/>
      <c r="F2374" s="11"/>
      <c r="G2374" s="2"/>
      <c r="H2374" s="2"/>
      <c r="I2374" s="2"/>
      <c r="J2374" s="67"/>
    </row>
    <row r="2375" spans="1:10" x14ac:dyDescent="0.35">
      <c r="A2375" s="61">
        <v>2371</v>
      </c>
      <c r="B2375" s="2"/>
      <c r="C2375" s="2"/>
      <c r="D2375" s="2"/>
      <c r="E2375" s="10"/>
      <c r="F2375" s="11"/>
      <c r="G2375" s="2"/>
      <c r="H2375" s="2"/>
      <c r="I2375" s="2"/>
      <c r="J2375" s="67"/>
    </row>
    <row r="2376" spans="1:10" x14ac:dyDescent="0.35">
      <c r="A2376" s="61">
        <v>2372</v>
      </c>
      <c r="B2376" s="2"/>
      <c r="C2376" s="2"/>
      <c r="D2376" s="2"/>
      <c r="E2376" s="10"/>
      <c r="F2376" s="11"/>
      <c r="G2376" s="2"/>
      <c r="H2376" s="2"/>
      <c r="I2376" s="2"/>
      <c r="J2376" s="67"/>
    </row>
    <row r="2377" spans="1:10" x14ac:dyDescent="0.35">
      <c r="A2377" s="61">
        <v>2373</v>
      </c>
      <c r="B2377" s="2"/>
      <c r="C2377" s="2"/>
      <c r="D2377" s="2"/>
      <c r="E2377" s="10"/>
      <c r="F2377" s="11"/>
      <c r="G2377" s="2"/>
      <c r="H2377" s="2"/>
      <c r="I2377" s="2"/>
      <c r="J2377" s="67"/>
    </row>
    <row r="2378" spans="1:10" x14ac:dyDescent="0.35">
      <c r="A2378" s="61">
        <v>2374</v>
      </c>
      <c r="B2378" s="2"/>
      <c r="C2378" s="2"/>
      <c r="D2378" s="2"/>
      <c r="E2378" s="10"/>
      <c r="F2378" s="11"/>
      <c r="G2378" s="2"/>
      <c r="H2378" s="2"/>
      <c r="I2378" s="2"/>
      <c r="J2378" s="67"/>
    </row>
    <row r="2379" spans="1:10" x14ac:dyDescent="0.35">
      <c r="A2379" s="61">
        <v>2375</v>
      </c>
      <c r="B2379" s="2"/>
      <c r="C2379" s="2"/>
      <c r="D2379" s="2"/>
      <c r="E2379" s="10"/>
      <c r="F2379" s="11"/>
      <c r="G2379" s="2"/>
      <c r="H2379" s="2"/>
      <c r="I2379" s="2"/>
      <c r="J2379" s="67"/>
    </row>
    <row r="2380" spans="1:10" x14ac:dyDescent="0.35">
      <c r="A2380" s="61">
        <v>2376</v>
      </c>
      <c r="B2380" s="2"/>
      <c r="C2380" s="2"/>
      <c r="D2380" s="2"/>
      <c r="E2380" s="10"/>
      <c r="F2380" s="11"/>
      <c r="G2380" s="2"/>
      <c r="H2380" s="2"/>
      <c r="I2380" s="2"/>
      <c r="J2380" s="67"/>
    </row>
    <row r="2381" spans="1:10" x14ac:dyDescent="0.35">
      <c r="A2381" s="61">
        <v>2377</v>
      </c>
      <c r="B2381" s="2"/>
      <c r="C2381" s="2"/>
      <c r="D2381" s="2"/>
      <c r="E2381" s="10"/>
      <c r="F2381" s="11"/>
      <c r="G2381" s="2"/>
      <c r="H2381" s="2"/>
      <c r="I2381" s="2"/>
      <c r="J2381" s="67"/>
    </row>
    <row r="2382" spans="1:10" x14ac:dyDescent="0.35">
      <c r="A2382" s="61">
        <v>2378</v>
      </c>
      <c r="B2382" s="2"/>
      <c r="C2382" s="2"/>
      <c r="D2382" s="2"/>
      <c r="E2382" s="10"/>
      <c r="F2382" s="11"/>
      <c r="G2382" s="2"/>
      <c r="H2382" s="2"/>
      <c r="I2382" s="2"/>
      <c r="J2382" s="67"/>
    </row>
    <row r="2383" spans="1:10" x14ac:dyDescent="0.35">
      <c r="A2383" s="61">
        <v>2379</v>
      </c>
      <c r="B2383" s="2"/>
      <c r="C2383" s="2"/>
      <c r="D2383" s="2"/>
      <c r="E2383" s="10"/>
      <c r="F2383" s="11"/>
      <c r="G2383" s="2"/>
      <c r="H2383" s="2"/>
      <c r="I2383" s="2"/>
      <c r="J2383" s="67"/>
    </row>
    <row r="2384" spans="1:10" x14ac:dyDescent="0.35">
      <c r="A2384" s="61">
        <v>2380</v>
      </c>
      <c r="B2384" s="2"/>
      <c r="C2384" s="2"/>
      <c r="D2384" s="2"/>
      <c r="E2384" s="10"/>
      <c r="F2384" s="11"/>
      <c r="G2384" s="2"/>
      <c r="H2384" s="2"/>
      <c r="I2384" s="2"/>
      <c r="J2384" s="67"/>
    </row>
    <row r="2385" spans="1:10" x14ac:dyDescent="0.35">
      <c r="A2385" s="61">
        <v>2381</v>
      </c>
      <c r="B2385" s="2"/>
      <c r="C2385" s="2"/>
      <c r="D2385" s="2"/>
      <c r="E2385" s="10"/>
      <c r="F2385" s="11"/>
      <c r="G2385" s="2"/>
      <c r="H2385" s="2"/>
      <c r="I2385" s="2"/>
      <c r="J2385" s="67"/>
    </row>
    <row r="2386" spans="1:10" x14ac:dyDescent="0.35">
      <c r="A2386" s="61">
        <v>2382</v>
      </c>
      <c r="B2386" s="2"/>
      <c r="C2386" s="2"/>
      <c r="D2386" s="2"/>
      <c r="E2386" s="10"/>
      <c r="F2386" s="11"/>
      <c r="G2386" s="2"/>
      <c r="H2386" s="2"/>
      <c r="I2386" s="2"/>
      <c r="J2386" s="67"/>
    </row>
    <row r="2387" spans="1:10" x14ac:dyDescent="0.35">
      <c r="A2387" s="61">
        <v>2383</v>
      </c>
      <c r="B2387" s="2"/>
      <c r="C2387" s="2"/>
      <c r="D2387" s="2"/>
      <c r="E2387" s="10"/>
      <c r="F2387" s="11"/>
      <c r="G2387" s="2"/>
      <c r="H2387" s="2"/>
      <c r="I2387" s="2"/>
      <c r="J2387" s="67"/>
    </row>
    <row r="2388" spans="1:10" x14ac:dyDescent="0.35">
      <c r="A2388" s="61">
        <v>2384</v>
      </c>
      <c r="B2388" s="2"/>
      <c r="C2388" s="2"/>
      <c r="D2388" s="2"/>
      <c r="E2388" s="10"/>
      <c r="F2388" s="11"/>
      <c r="G2388" s="2"/>
      <c r="H2388" s="2"/>
      <c r="I2388" s="2"/>
      <c r="J2388" s="67"/>
    </row>
    <row r="2389" spans="1:10" x14ac:dyDescent="0.35">
      <c r="A2389" s="61">
        <v>2385</v>
      </c>
      <c r="B2389" s="2"/>
      <c r="C2389" s="2"/>
      <c r="D2389" s="2"/>
      <c r="E2389" s="10"/>
      <c r="F2389" s="11"/>
      <c r="G2389" s="2"/>
      <c r="H2389" s="2"/>
      <c r="I2389" s="2"/>
      <c r="J2389" s="67"/>
    </row>
    <row r="2390" spans="1:10" x14ac:dyDescent="0.35">
      <c r="A2390" s="61">
        <v>2386</v>
      </c>
      <c r="B2390" s="2"/>
      <c r="C2390" s="2"/>
      <c r="D2390" s="2"/>
      <c r="E2390" s="10"/>
      <c r="F2390" s="11"/>
      <c r="G2390" s="2"/>
      <c r="H2390" s="2"/>
      <c r="I2390" s="2"/>
      <c r="J2390" s="67"/>
    </row>
    <row r="2391" spans="1:10" x14ac:dyDescent="0.35">
      <c r="A2391" s="61">
        <v>2387</v>
      </c>
      <c r="B2391" s="2"/>
      <c r="C2391" s="2"/>
      <c r="D2391" s="2"/>
      <c r="E2391" s="10"/>
      <c r="F2391" s="11"/>
      <c r="G2391" s="2"/>
      <c r="H2391" s="2"/>
      <c r="I2391" s="2"/>
      <c r="J2391" s="67"/>
    </row>
    <row r="2392" spans="1:10" x14ac:dyDescent="0.35">
      <c r="A2392" s="61">
        <v>2388</v>
      </c>
      <c r="B2392" s="2"/>
      <c r="C2392" s="2"/>
      <c r="D2392" s="2"/>
      <c r="E2392" s="10"/>
      <c r="F2392" s="11"/>
      <c r="G2392" s="2"/>
      <c r="H2392" s="2"/>
      <c r="I2392" s="2"/>
      <c r="J2392" s="67"/>
    </row>
    <row r="2393" spans="1:10" x14ac:dyDescent="0.35">
      <c r="A2393" s="61">
        <v>2389</v>
      </c>
      <c r="B2393" s="2"/>
      <c r="C2393" s="2"/>
      <c r="D2393" s="2"/>
      <c r="E2393" s="10"/>
      <c r="F2393" s="11"/>
      <c r="G2393" s="2"/>
      <c r="H2393" s="2"/>
      <c r="I2393" s="2"/>
      <c r="J2393" s="67"/>
    </row>
    <row r="2394" spans="1:10" x14ac:dyDescent="0.35">
      <c r="A2394" s="61">
        <v>2390</v>
      </c>
      <c r="B2394" s="2"/>
      <c r="C2394" s="2"/>
      <c r="D2394" s="2"/>
      <c r="E2394" s="10"/>
      <c r="F2394" s="11"/>
      <c r="G2394" s="2"/>
      <c r="H2394" s="2"/>
      <c r="I2394" s="2"/>
      <c r="J2394" s="67"/>
    </row>
    <row r="2395" spans="1:10" x14ac:dyDescent="0.35">
      <c r="A2395" s="61">
        <v>2391</v>
      </c>
      <c r="B2395" s="2"/>
      <c r="C2395" s="2"/>
      <c r="D2395" s="2"/>
      <c r="E2395" s="10"/>
      <c r="F2395" s="11"/>
      <c r="G2395" s="2"/>
      <c r="H2395" s="2"/>
      <c r="I2395" s="2"/>
      <c r="J2395" s="67"/>
    </row>
    <row r="2396" spans="1:10" x14ac:dyDescent="0.35">
      <c r="A2396" s="61">
        <v>2392</v>
      </c>
      <c r="B2396" s="2"/>
      <c r="C2396" s="2"/>
      <c r="D2396" s="2"/>
      <c r="E2396" s="10"/>
      <c r="F2396" s="11"/>
      <c r="G2396" s="2"/>
      <c r="H2396" s="2"/>
      <c r="I2396" s="2"/>
      <c r="J2396" s="67"/>
    </row>
    <row r="2397" spans="1:10" x14ac:dyDescent="0.35">
      <c r="A2397" s="61">
        <v>2393</v>
      </c>
      <c r="B2397" s="2"/>
      <c r="C2397" s="2"/>
      <c r="D2397" s="2"/>
      <c r="E2397" s="10"/>
      <c r="F2397" s="11"/>
      <c r="G2397" s="2"/>
      <c r="H2397" s="2"/>
      <c r="I2397" s="2"/>
      <c r="J2397" s="67"/>
    </row>
    <row r="2398" spans="1:10" x14ac:dyDescent="0.35">
      <c r="A2398" s="61">
        <v>2394</v>
      </c>
      <c r="B2398" s="2"/>
      <c r="C2398" s="2"/>
      <c r="D2398" s="2"/>
      <c r="E2398" s="10"/>
      <c r="F2398" s="11"/>
      <c r="G2398" s="2"/>
      <c r="H2398" s="2"/>
      <c r="I2398" s="2"/>
      <c r="J2398" s="67"/>
    </row>
    <row r="2399" spans="1:10" x14ac:dyDescent="0.35">
      <c r="A2399" s="61">
        <v>2395</v>
      </c>
      <c r="B2399" s="2"/>
      <c r="C2399" s="2"/>
      <c r="D2399" s="2"/>
      <c r="E2399" s="10"/>
      <c r="F2399" s="11"/>
      <c r="G2399" s="2"/>
      <c r="H2399" s="2"/>
      <c r="I2399" s="2"/>
      <c r="J2399" s="67"/>
    </row>
    <row r="2400" spans="1:10" x14ac:dyDescent="0.35">
      <c r="A2400" s="61">
        <v>2396</v>
      </c>
      <c r="B2400" s="2"/>
      <c r="C2400" s="2"/>
      <c r="D2400" s="2"/>
      <c r="E2400" s="10"/>
      <c r="F2400" s="11"/>
      <c r="G2400" s="2"/>
      <c r="H2400" s="2"/>
      <c r="I2400" s="2"/>
      <c r="J2400" s="67"/>
    </row>
    <row r="2401" spans="1:10" x14ac:dyDescent="0.35">
      <c r="A2401" s="61">
        <v>2397</v>
      </c>
      <c r="B2401" s="2"/>
      <c r="C2401" s="2"/>
      <c r="D2401" s="2"/>
      <c r="E2401" s="10"/>
      <c r="F2401" s="11"/>
      <c r="G2401" s="2"/>
      <c r="H2401" s="2"/>
      <c r="I2401" s="2"/>
      <c r="J2401" s="67"/>
    </row>
    <row r="2402" spans="1:10" x14ac:dyDescent="0.35">
      <c r="A2402" s="61">
        <v>2398</v>
      </c>
      <c r="B2402" s="2"/>
      <c r="C2402" s="2"/>
      <c r="D2402" s="2"/>
      <c r="E2402" s="10"/>
      <c r="F2402" s="11"/>
      <c r="G2402" s="2"/>
      <c r="H2402" s="2"/>
      <c r="I2402" s="2"/>
      <c r="J2402" s="67"/>
    </row>
    <row r="2403" spans="1:10" x14ac:dyDescent="0.35">
      <c r="A2403" s="61">
        <v>2399</v>
      </c>
      <c r="B2403" s="2"/>
      <c r="C2403" s="2"/>
      <c r="D2403" s="2"/>
      <c r="E2403" s="10"/>
      <c r="F2403" s="11"/>
      <c r="G2403" s="2"/>
      <c r="H2403" s="2"/>
      <c r="I2403" s="2"/>
      <c r="J2403" s="67"/>
    </row>
    <row r="2404" spans="1:10" x14ac:dyDescent="0.35">
      <c r="A2404" s="61">
        <v>2400</v>
      </c>
      <c r="B2404" s="2"/>
      <c r="C2404" s="2"/>
      <c r="D2404" s="2"/>
      <c r="E2404" s="10"/>
      <c r="F2404" s="11"/>
      <c r="G2404" s="2"/>
      <c r="H2404" s="2"/>
      <c r="I2404" s="2"/>
      <c r="J2404" s="67"/>
    </row>
    <row r="2405" spans="1:10" x14ac:dyDescent="0.35">
      <c r="A2405" s="61">
        <v>2401</v>
      </c>
      <c r="B2405" s="2"/>
      <c r="C2405" s="2"/>
      <c r="D2405" s="2"/>
      <c r="E2405" s="10"/>
      <c r="F2405" s="11"/>
      <c r="G2405" s="2"/>
      <c r="H2405" s="2"/>
      <c r="I2405" s="2"/>
      <c r="J2405" s="67"/>
    </row>
    <row r="2406" spans="1:10" x14ac:dyDescent="0.35">
      <c r="A2406" s="61">
        <v>2402</v>
      </c>
      <c r="B2406" s="2"/>
      <c r="C2406" s="2"/>
      <c r="D2406" s="2"/>
      <c r="E2406" s="10"/>
      <c r="F2406" s="11"/>
      <c r="G2406" s="2"/>
      <c r="H2406" s="2"/>
      <c r="I2406" s="2"/>
      <c r="J2406" s="67"/>
    </row>
    <row r="2407" spans="1:10" x14ac:dyDescent="0.35">
      <c r="A2407" s="61">
        <v>2403</v>
      </c>
      <c r="B2407" s="2"/>
      <c r="C2407" s="2"/>
      <c r="D2407" s="2"/>
      <c r="E2407" s="10"/>
      <c r="F2407" s="11"/>
      <c r="G2407" s="2"/>
      <c r="H2407" s="2"/>
      <c r="I2407" s="2"/>
      <c r="J2407" s="67"/>
    </row>
    <row r="2408" spans="1:10" x14ac:dyDescent="0.35">
      <c r="A2408" s="61">
        <v>2404</v>
      </c>
      <c r="B2408" s="2"/>
      <c r="C2408" s="2"/>
      <c r="D2408" s="2"/>
      <c r="E2408" s="10"/>
      <c r="F2408" s="11"/>
      <c r="G2408" s="2"/>
      <c r="H2408" s="2"/>
      <c r="I2408" s="2"/>
      <c r="J2408" s="67"/>
    </row>
    <row r="2409" spans="1:10" x14ac:dyDescent="0.35">
      <c r="A2409" s="61">
        <v>2405</v>
      </c>
      <c r="B2409" s="2"/>
      <c r="C2409" s="2"/>
      <c r="D2409" s="2"/>
      <c r="E2409" s="10"/>
      <c r="F2409" s="11"/>
      <c r="G2409" s="2"/>
      <c r="H2409" s="2"/>
      <c r="I2409" s="2"/>
      <c r="J2409" s="67"/>
    </row>
    <row r="2410" spans="1:10" x14ac:dyDescent="0.35">
      <c r="A2410" s="61">
        <v>2406</v>
      </c>
      <c r="B2410" s="2"/>
      <c r="C2410" s="2"/>
      <c r="D2410" s="2"/>
      <c r="E2410" s="10"/>
      <c r="F2410" s="11"/>
      <c r="G2410" s="2"/>
      <c r="H2410" s="2"/>
      <c r="I2410" s="2"/>
      <c r="J2410" s="67"/>
    </row>
    <row r="2411" spans="1:10" x14ac:dyDescent="0.35">
      <c r="A2411" s="61">
        <v>2407</v>
      </c>
      <c r="B2411" s="2"/>
      <c r="C2411" s="2"/>
      <c r="D2411" s="2"/>
      <c r="E2411" s="10"/>
      <c r="F2411" s="11"/>
      <c r="G2411" s="2"/>
      <c r="H2411" s="2"/>
      <c r="I2411" s="2"/>
      <c r="J2411" s="67"/>
    </row>
    <row r="2412" spans="1:10" x14ac:dyDescent="0.35">
      <c r="A2412" s="61">
        <v>2408</v>
      </c>
      <c r="B2412" s="2"/>
      <c r="C2412" s="2"/>
      <c r="D2412" s="2"/>
      <c r="E2412" s="10"/>
      <c r="F2412" s="11"/>
      <c r="G2412" s="2"/>
      <c r="H2412" s="2"/>
      <c r="I2412" s="2"/>
      <c r="J2412" s="67"/>
    </row>
    <row r="2413" spans="1:10" x14ac:dyDescent="0.35">
      <c r="A2413" s="61">
        <v>2409</v>
      </c>
      <c r="B2413" s="2"/>
      <c r="C2413" s="2"/>
      <c r="D2413" s="2"/>
      <c r="E2413" s="10"/>
      <c r="F2413" s="11"/>
      <c r="G2413" s="2"/>
      <c r="H2413" s="2"/>
      <c r="I2413" s="2"/>
      <c r="J2413" s="67"/>
    </row>
    <row r="2414" spans="1:10" x14ac:dyDescent="0.35">
      <c r="A2414" s="61">
        <v>2410</v>
      </c>
      <c r="B2414" s="2"/>
      <c r="C2414" s="2"/>
      <c r="D2414" s="2"/>
      <c r="E2414" s="10"/>
      <c r="F2414" s="11"/>
      <c r="G2414" s="2"/>
      <c r="H2414" s="2"/>
      <c r="I2414" s="2"/>
      <c r="J2414" s="67"/>
    </row>
    <row r="2415" spans="1:10" x14ac:dyDescent="0.35">
      <c r="A2415" s="61">
        <v>2411</v>
      </c>
      <c r="B2415" s="2"/>
      <c r="C2415" s="2"/>
      <c r="D2415" s="2"/>
      <c r="E2415" s="10"/>
      <c r="F2415" s="11"/>
      <c r="G2415" s="2"/>
      <c r="H2415" s="2"/>
      <c r="I2415" s="2"/>
      <c r="J2415" s="67"/>
    </row>
    <row r="2416" spans="1:10" x14ac:dyDescent="0.35">
      <c r="A2416" s="61">
        <v>2412</v>
      </c>
      <c r="B2416" s="2"/>
      <c r="C2416" s="2"/>
      <c r="D2416" s="2"/>
      <c r="E2416" s="10"/>
      <c r="F2416" s="11"/>
      <c r="G2416" s="2"/>
      <c r="H2416" s="2"/>
      <c r="I2416" s="2"/>
      <c r="J2416" s="67"/>
    </row>
    <row r="2417" spans="1:10" x14ac:dyDescent="0.35">
      <c r="A2417" s="61">
        <v>2413</v>
      </c>
      <c r="B2417" s="2"/>
      <c r="C2417" s="2"/>
      <c r="D2417" s="2"/>
      <c r="E2417" s="10"/>
      <c r="F2417" s="11"/>
      <c r="G2417" s="2"/>
      <c r="H2417" s="2"/>
      <c r="I2417" s="2"/>
      <c r="J2417" s="67"/>
    </row>
    <row r="2418" spans="1:10" x14ac:dyDescent="0.35">
      <c r="A2418" s="61">
        <v>2414</v>
      </c>
      <c r="B2418" s="2"/>
      <c r="C2418" s="2"/>
      <c r="D2418" s="2"/>
      <c r="E2418" s="10"/>
      <c r="F2418" s="11"/>
      <c r="G2418" s="2"/>
      <c r="H2418" s="2"/>
      <c r="I2418" s="2"/>
      <c r="J2418" s="67"/>
    </row>
    <row r="2419" spans="1:10" x14ac:dyDescent="0.35">
      <c r="A2419" s="61">
        <v>2415</v>
      </c>
      <c r="B2419" s="2"/>
      <c r="C2419" s="2"/>
      <c r="D2419" s="2"/>
      <c r="E2419" s="10"/>
      <c r="F2419" s="11"/>
      <c r="G2419" s="2"/>
      <c r="H2419" s="2"/>
      <c r="I2419" s="2"/>
      <c r="J2419" s="67"/>
    </row>
    <row r="2420" spans="1:10" x14ac:dyDescent="0.35">
      <c r="A2420" s="61">
        <v>2416</v>
      </c>
      <c r="B2420" s="2"/>
      <c r="C2420" s="2"/>
      <c r="D2420" s="2"/>
      <c r="E2420" s="10"/>
      <c r="F2420" s="11"/>
      <c r="G2420" s="2"/>
      <c r="H2420" s="2"/>
      <c r="I2420" s="2"/>
      <c r="J2420" s="67"/>
    </row>
    <row r="2421" spans="1:10" x14ac:dyDescent="0.35">
      <c r="A2421" s="61">
        <v>2417</v>
      </c>
      <c r="B2421" s="2"/>
      <c r="C2421" s="2"/>
      <c r="D2421" s="2"/>
      <c r="E2421" s="10"/>
      <c r="F2421" s="11"/>
      <c r="G2421" s="2"/>
      <c r="H2421" s="2"/>
      <c r="I2421" s="2"/>
      <c r="J2421" s="67"/>
    </row>
    <row r="2422" spans="1:10" x14ac:dyDescent="0.35">
      <c r="A2422" s="61">
        <v>2418</v>
      </c>
      <c r="B2422" s="2"/>
      <c r="C2422" s="2"/>
      <c r="D2422" s="2"/>
      <c r="E2422" s="10"/>
      <c r="F2422" s="11"/>
      <c r="G2422" s="2"/>
      <c r="H2422" s="2"/>
      <c r="I2422" s="2"/>
      <c r="J2422" s="67"/>
    </row>
    <row r="2423" spans="1:10" x14ac:dyDescent="0.35">
      <c r="A2423" s="61">
        <v>2419</v>
      </c>
      <c r="B2423" s="2"/>
      <c r="C2423" s="2"/>
      <c r="D2423" s="2"/>
      <c r="E2423" s="10"/>
      <c r="F2423" s="11"/>
      <c r="G2423" s="2"/>
      <c r="H2423" s="2"/>
      <c r="I2423" s="2"/>
      <c r="J2423" s="67"/>
    </row>
    <row r="2424" spans="1:10" x14ac:dyDescent="0.35">
      <c r="A2424" s="61">
        <v>2420</v>
      </c>
      <c r="B2424" s="2"/>
      <c r="C2424" s="2"/>
      <c r="D2424" s="2"/>
      <c r="E2424" s="10"/>
      <c r="F2424" s="11"/>
      <c r="G2424" s="2"/>
      <c r="H2424" s="2"/>
      <c r="I2424" s="2"/>
      <c r="J2424" s="67"/>
    </row>
    <row r="2425" spans="1:10" x14ac:dyDescent="0.35">
      <c r="A2425" s="61">
        <v>2421</v>
      </c>
      <c r="B2425" s="2"/>
      <c r="C2425" s="2"/>
      <c r="D2425" s="2"/>
      <c r="E2425" s="10"/>
      <c r="F2425" s="11"/>
      <c r="G2425" s="2"/>
      <c r="H2425" s="2"/>
      <c r="I2425" s="2"/>
      <c r="J2425" s="67"/>
    </row>
    <row r="2426" spans="1:10" x14ac:dyDescent="0.35">
      <c r="A2426" s="61">
        <v>2422</v>
      </c>
      <c r="B2426" s="2"/>
      <c r="C2426" s="2"/>
      <c r="D2426" s="2"/>
      <c r="E2426" s="10"/>
      <c r="F2426" s="11"/>
      <c r="G2426" s="2"/>
      <c r="H2426" s="2"/>
      <c r="I2426" s="2"/>
      <c r="J2426" s="67"/>
    </row>
    <row r="2427" spans="1:10" x14ac:dyDescent="0.35">
      <c r="A2427" s="61">
        <v>2423</v>
      </c>
      <c r="B2427" s="2"/>
      <c r="C2427" s="2"/>
      <c r="D2427" s="2"/>
      <c r="E2427" s="10"/>
      <c r="F2427" s="11"/>
      <c r="G2427" s="2"/>
      <c r="H2427" s="2"/>
      <c r="I2427" s="2"/>
      <c r="J2427" s="67"/>
    </row>
    <row r="2428" spans="1:10" x14ac:dyDescent="0.35">
      <c r="A2428" s="61">
        <v>2424</v>
      </c>
      <c r="B2428" s="2"/>
      <c r="C2428" s="2"/>
      <c r="D2428" s="2"/>
      <c r="E2428" s="10"/>
      <c r="F2428" s="11"/>
      <c r="G2428" s="2"/>
      <c r="H2428" s="2"/>
      <c r="I2428" s="2"/>
      <c r="J2428" s="67"/>
    </row>
    <row r="2429" spans="1:10" x14ac:dyDescent="0.35">
      <c r="A2429" s="61">
        <v>2425</v>
      </c>
      <c r="B2429" s="2"/>
      <c r="C2429" s="2"/>
      <c r="D2429" s="2"/>
      <c r="E2429" s="10"/>
      <c r="F2429" s="11"/>
      <c r="G2429" s="2"/>
      <c r="H2429" s="2"/>
      <c r="I2429" s="2"/>
      <c r="J2429" s="67"/>
    </row>
    <row r="2430" spans="1:10" x14ac:dyDescent="0.35">
      <c r="A2430" s="61">
        <v>2426</v>
      </c>
      <c r="B2430" s="2"/>
      <c r="C2430" s="2"/>
      <c r="D2430" s="2"/>
      <c r="E2430" s="10"/>
      <c r="F2430" s="11"/>
      <c r="G2430" s="2"/>
      <c r="H2430" s="2"/>
      <c r="I2430" s="2"/>
      <c r="J2430" s="67"/>
    </row>
    <row r="2431" spans="1:10" x14ac:dyDescent="0.35">
      <c r="A2431" s="61">
        <v>2427</v>
      </c>
      <c r="B2431" s="2"/>
      <c r="C2431" s="2"/>
      <c r="D2431" s="2"/>
      <c r="E2431" s="10"/>
      <c r="F2431" s="11"/>
      <c r="G2431" s="2"/>
      <c r="H2431" s="2"/>
      <c r="I2431" s="2"/>
      <c r="J2431" s="67"/>
    </row>
    <row r="2432" spans="1:10" x14ac:dyDescent="0.35">
      <c r="A2432" s="61">
        <v>2428</v>
      </c>
      <c r="B2432" s="2"/>
      <c r="C2432" s="2"/>
      <c r="D2432" s="2"/>
      <c r="E2432" s="10"/>
      <c r="F2432" s="11"/>
      <c r="G2432" s="2"/>
      <c r="H2432" s="2"/>
      <c r="I2432" s="2"/>
      <c r="J2432" s="67"/>
    </row>
    <row r="2433" spans="1:10" x14ac:dyDescent="0.35">
      <c r="A2433" s="61">
        <v>2429</v>
      </c>
      <c r="B2433" s="2"/>
      <c r="C2433" s="2"/>
      <c r="D2433" s="2"/>
      <c r="E2433" s="10"/>
      <c r="F2433" s="11"/>
      <c r="G2433" s="2"/>
      <c r="H2433" s="2"/>
      <c r="I2433" s="2"/>
      <c r="J2433" s="67"/>
    </row>
    <row r="2434" spans="1:10" x14ac:dyDescent="0.35">
      <c r="A2434" s="61">
        <v>2430</v>
      </c>
      <c r="B2434" s="2"/>
      <c r="C2434" s="2"/>
      <c r="D2434" s="2"/>
      <c r="E2434" s="10"/>
      <c r="F2434" s="11"/>
      <c r="G2434" s="2"/>
      <c r="H2434" s="2"/>
      <c r="I2434" s="2"/>
      <c r="J2434" s="67"/>
    </row>
    <row r="2435" spans="1:10" x14ac:dyDescent="0.35">
      <c r="A2435" s="61">
        <v>2431</v>
      </c>
      <c r="B2435" s="2"/>
      <c r="C2435" s="2"/>
      <c r="D2435" s="2"/>
      <c r="E2435" s="10"/>
      <c r="F2435" s="11"/>
      <c r="G2435" s="2"/>
      <c r="H2435" s="2"/>
      <c r="I2435" s="2"/>
      <c r="J2435" s="67"/>
    </row>
    <row r="2436" spans="1:10" x14ac:dyDescent="0.35">
      <c r="A2436" s="61">
        <v>2432</v>
      </c>
      <c r="B2436" s="2"/>
      <c r="C2436" s="2"/>
      <c r="D2436" s="2"/>
      <c r="E2436" s="10"/>
      <c r="F2436" s="11"/>
      <c r="G2436" s="2"/>
      <c r="H2436" s="2"/>
      <c r="I2436" s="2"/>
      <c r="J2436" s="67"/>
    </row>
    <row r="2437" spans="1:10" x14ac:dyDescent="0.35">
      <c r="A2437" s="61">
        <v>2433</v>
      </c>
      <c r="B2437" s="2"/>
      <c r="C2437" s="2"/>
      <c r="D2437" s="2"/>
      <c r="E2437" s="10"/>
      <c r="F2437" s="11"/>
      <c r="G2437" s="2"/>
      <c r="H2437" s="2"/>
      <c r="I2437" s="2"/>
      <c r="J2437" s="67"/>
    </row>
    <row r="2438" spans="1:10" x14ac:dyDescent="0.35">
      <c r="A2438" s="61">
        <v>2434</v>
      </c>
      <c r="B2438" s="2"/>
      <c r="C2438" s="2"/>
      <c r="D2438" s="2"/>
      <c r="E2438" s="10"/>
      <c r="F2438" s="11"/>
      <c r="G2438" s="2"/>
      <c r="H2438" s="2"/>
      <c r="I2438" s="2"/>
      <c r="J2438" s="67"/>
    </row>
    <row r="2439" spans="1:10" x14ac:dyDescent="0.35">
      <c r="A2439" s="61">
        <v>2435</v>
      </c>
      <c r="B2439" s="2"/>
      <c r="C2439" s="2"/>
      <c r="D2439" s="2"/>
      <c r="E2439" s="10"/>
      <c r="F2439" s="11"/>
      <c r="G2439" s="2"/>
      <c r="H2439" s="2"/>
      <c r="I2439" s="2"/>
      <c r="J2439" s="67"/>
    </row>
    <row r="2440" spans="1:10" x14ac:dyDescent="0.35">
      <c r="A2440" s="61">
        <v>2436</v>
      </c>
      <c r="B2440" s="2"/>
      <c r="C2440" s="2"/>
      <c r="D2440" s="2"/>
      <c r="E2440" s="10"/>
      <c r="F2440" s="11"/>
      <c r="G2440" s="2"/>
      <c r="H2440" s="2"/>
      <c r="I2440" s="2"/>
      <c r="J2440" s="67"/>
    </row>
    <row r="2441" spans="1:10" x14ac:dyDescent="0.35">
      <c r="A2441" s="61">
        <v>2437</v>
      </c>
      <c r="B2441" s="2"/>
      <c r="C2441" s="2"/>
      <c r="D2441" s="2"/>
      <c r="E2441" s="10"/>
      <c r="F2441" s="11"/>
      <c r="G2441" s="2"/>
      <c r="H2441" s="2"/>
      <c r="I2441" s="2"/>
      <c r="J2441" s="67"/>
    </row>
    <row r="2442" spans="1:10" x14ac:dyDescent="0.35">
      <c r="A2442" s="61">
        <v>2438</v>
      </c>
      <c r="B2442" s="2"/>
      <c r="C2442" s="2"/>
      <c r="D2442" s="2"/>
      <c r="E2442" s="10"/>
      <c r="F2442" s="11"/>
      <c r="G2442" s="2"/>
      <c r="H2442" s="2"/>
      <c r="I2442" s="2"/>
      <c r="J2442" s="67"/>
    </row>
    <row r="2443" spans="1:10" x14ac:dyDescent="0.35">
      <c r="A2443" s="61">
        <v>2439</v>
      </c>
      <c r="B2443" s="2"/>
      <c r="C2443" s="2"/>
      <c r="D2443" s="2"/>
      <c r="E2443" s="10"/>
      <c r="F2443" s="11"/>
      <c r="G2443" s="2"/>
      <c r="H2443" s="2"/>
      <c r="I2443" s="2"/>
      <c r="J2443" s="67"/>
    </row>
    <row r="2444" spans="1:10" x14ac:dyDescent="0.35">
      <c r="A2444" s="61">
        <v>2440</v>
      </c>
      <c r="B2444" s="2"/>
      <c r="C2444" s="2"/>
      <c r="D2444" s="2"/>
      <c r="E2444" s="10"/>
      <c r="F2444" s="11"/>
      <c r="G2444" s="2"/>
      <c r="H2444" s="2"/>
      <c r="I2444" s="2"/>
      <c r="J2444" s="67"/>
    </row>
    <row r="2445" spans="1:10" x14ac:dyDescent="0.35">
      <c r="A2445" s="61">
        <v>2441</v>
      </c>
      <c r="B2445" s="2"/>
      <c r="C2445" s="2"/>
      <c r="D2445" s="2"/>
      <c r="E2445" s="10"/>
      <c r="F2445" s="11"/>
      <c r="G2445" s="2"/>
      <c r="H2445" s="2"/>
      <c r="I2445" s="2"/>
      <c r="J2445" s="67"/>
    </row>
    <row r="2446" spans="1:10" x14ac:dyDescent="0.35">
      <c r="A2446" s="61">
        <v>2442</v>
      </c>
      <c r="B2446" s="2"/>
      <c r="C2446" s="2"/>
      <c r="D2446" s="2"/>
      <c r="E2446" s="10"/>
      <c r="F2446" s="11"/>
      <c r="G2446" s="2"/>
      <c r="H2446" s="2"/>
      <c r="I2446" s="2"/>
      <c r="J2446" s="67"/>
    </row>
    <row r="2447" spans="1:10" x14ac:dyDescent="0.35">
      <c r="A2447" s="61">
        <v>2443</v>
      </c>
      <c r="B2447" s="2"/>
      <c r="C2447" s="2"/>
      <c r="D2447" s="2"/>
      <c r="E2447" s="10"/>
      <c r="F2447" s="11"/>
      <c r="G2447" s="2"/>
      <c r="H2447" s="2"/>
      <c r="I2447" s="2"/>
      <c r="J2447" s="67"/>
    </row>
    <row r="2448" spans="1:10" x14ac:dyDescent="0.35">
      <c r="A2448" s="61">
        <v>2444</v>
      </c>
      <c r="B2448" s="2"/>
      <c r="C2448" s="2"/>
      <c r="D2448" s="2"/>
      <c r="E2448" s="10"/>
      <c r="F2448" s="11"/>
      <c r="G2448" s="2"/>
      <c r="H2448" s="2"/>
      <c r="I2448" s="2"/>
      <c r="J2448" s="67"/>
    </row>
    <row r="2449" spans="1:10" x14ac:dyDescent="0.35">
      <c r="A2449" s="61">
        <v>2445</v>
      </c>
      <c r="B2449" s="2"/>
      <c r="C2449" s="2"/>
      <c r="D2449" s="2"/>
      <c r="E2449" s="10"/>
      <c r="F2449" s="11"/>
      <c r="G2449" s="2"/>
      <c r="H2449" s="2"/>
      <c r="I2449" s="2"/>
      <c r="J2449" s="67"/>
    </row>
    <row r="2450" spans="1:10" x14ac:dyDescent="0.35">
      <c r="A2450" s="61">
        <v>2446</v>
      </c>
      <c r="B2450" s="2"/>
      <c r="C2450" s="2"/>
      <c r="D2450" s="2"/>
      <c r="E2450" s="10"/>
      <c r="F2450" s="11"/>
      <c r="G2450" s="2"/>
      <c r="H2450" s="2"/>
      <c r="I2450" s="2"/>
      <c r="J2450" s="67"/>
    </row>
    <row r="2451" spans="1:10" x14ac:dyDescent="0.35">
      <c r="A2451" s="61">
        <v>2447</v>
      </c>
      <c r="B2451" s="2"/>
      <c r="C2451" s="2"/>
      <c r="D2451" s="2"/>
      <c r="E2451" s="10"/>
      <c r="F2451" s="11"/>
      <c r="G2451" s="2"/>
      <c r="H2451" s="2"/>
      <c r="I2451" s="2"/>
      <c r="J2451" s="67"/>
    </row>
    <row r="2452" spans="1:10" x14ac:dyDescent="0.35">
      <c r="A2452" s="61">
        <v>2448</v>
      </c>
      <c r="B2452" s="2"/>
      <c r="C2452" s="2"/>
      <c r="D2452" s="2"/>
      <c r="E2452" s="10"/>
      <c r="F2452" s="11"/>
      <c r="G2452" s="2"/>
      <c r="H2452" s="2"/>
      <c r="I2452" s="2"/>
      <c r="J2452" s="67"/>
    </row>
    <row r="2453" spans="1:10" x14ac:dyDescent="0.35">
      <c r="A2453" s="61">
        <v>2449</v>
      </c>
      <c r="B2453" s="2"/>
      <c r="C2453" s="2"/>
      <c r="D2453" s="2"/>
      <c r="E2453" s="10"/>
      <c r="F2453" s="11"/>
      <c r="G2453" s="2"/>
      <c r="H2453" s="2"/>
      <c r="I2453" s="2"/>
      <c r="J2453" s="67"/>
    </row>
    <row r="2454" spans="1:10" x14ac:dyDescent="0.35">
      <c r="A2454" s="61">
        <v>2450</v>
      </c>
      <c r="B2454" s="2"/>
      <c r="C2454" s="2"/>
      <c r="D2454" s="2"/>
      <c r="E2454" s="10"/>
      <c r="F2454" s="11"/>
      <c r="G2454" s="2"/>
      <c r="H2454" s="2"/>
      <c r="I2454" s="2"/>
      <c r="J2454" s="67"/>
    </row>
    <row r="2455" spans="1:10" x14ac:dyDescent="0.35">
      <c r="A2455" s="61">
        <v>2451</v>
      </c>
      <c r="B2455" s="2"/>
      <c r="C2455" s="2"/>
      <c r="D2455" s="2"/>
      <c r="E2455" s="10"/>
      <c r="F2455" s="11"/>
      <c r="G2455" s="2"/>
      <c r="H2455" s="2"/>
      <c r="I2455" s="2"/>
      <c r="J2455" s="67"/>
    </row>
    <row r="2456" spans="1:10" x14ac:dyDescent="0.35">
      <c r="A2456" s="61">
        <v>2452</v>
      </c>
      <c r="B2456" s="2"/>
      <c r="C2456" s="2"/>
      <c r="D2456" s="2"/>
      <c r="E2456" s="10"/>
      <c r="F2456" s="11"/>
      <c r="G2456" s="2"/>
      <c r="H2456" s="2"/>
      <c r="I2456" s="2"/>
      <c r="J2456" s="67"/>
    </row>
    <row r="2457" spans="1:10" x14ac:dyDescent="0.35">
      <c r="A2457" s="61">
        <v>2453</v>
      </c>
      <c r="B2457" s="2"/>
      <c r="C2457" s="2"/>
      <c r="D2457" s="2"/>
      <c r="E2457" s="10"/>
      <c r="F2457" s="11"/>
      <c r="G2457" s="2"/>
      <c r="H2457" s="2"/>
      <c r="I2457" s="2"/>
      <c r="J2457" s="67"/>
    </row>
    <row r="2458" spans="1:10" x14ac:dyDescent="0.35">
      <c r="A2458" s="61">
        <v>2454</v>
      </c>
      <c r="B2458" s="2"/>
      <c r="C2458" s="2"/>
      <c r="D2458" s="2"/>
      <c r="E2458" s="10"/>
      <c r="F2458" s="11"/>
      <c r="G2458" s="2"/>
      <c r="H2458" s="2"/>
      <c r="I2458" s="2"/>
      <c r="J2458" s="67"/>
    </row>
    <row r="2459" spans="1:10" x14ac:dyDescent="0.35">
      <c r="A2459" s="61">
        <v>2455</v>
      </c>
      <c r="B2459" s="2"/>
      <c r="C2459" s="2"/>
      <c r="D2459" s="2"/>
      <c r="E2459" s="10"/>
      <c r="F2459" s="11"/>
      <c r="G2459" s="2"/>
      <c r="H2459" s="2"/>
      <c r="I2459" s="2"/>
      <c r="J2459" s="67"/>
    </row>
    <row r="2460" spans="1:10" x14ac:dyDescent="0.35">
      <c r="A2460" s="61">
        <v>2456</v>
      </c>
      <c r="B2460" s="2"/>
      <c r="C2460" s="2"/>
      <c r="D2460" s="2"/>
      <c r="E2460" s="10"/>
      <c r="F2460" s="11"/>
      <c r="G2460" s="2"/>
      <c r="H2460" s="2"/>
      <c r="I2460" s="2"/>
      <c r="J2460" s="67"/>
    </row>
    <row r="2461" spans="1:10" x14ac:dyDescent="0.35">
      <c r="A2461" s="61">
        <v>2457</v>
      </c>
      <c r="B2461" s="2"/>
      <c r="C2461" s="2"/>
      <c r="D2461" s="2"/>
      <c r="E2461" s="10"/>
      <c r="F2461" s="11"/>
      <c r="G2461" s="2"/>
      <c r="H2461" s="2"/>
      <c r="I2461" s="2"/>
      <c r="J2461" s="67"/>
    </row>
    <row r="2462" spans="1:10" x14ac:dyDescent="0.35">
      <c r="A2462" s="61">
        <v>2458</v>
      </c>
      <c r="B2462" s="2"/>
      <c r="C2462" s="2"/>
      <c r="D2462" s="2"/>
      <c r="E2462" s="10"/>
      <c r="F2462" s="11"/>
      <c r="G2462" s="2"/>
      <c r="H2462" s="2"/>
      <c r="I2462" s="2"/>
      <c r="J2462" s="67"/>
    </row>
    <row r="2463" spans="1:10" x14ac:dyDescent="0.35">
      <c r="A2463" s="61">
        <v>2459</v>
      </c>
      <c r="B2463" s="2"/>
      <c r="C2463" s="2"/>
      <c r="D2463" s="2"/>
      <c r="E2463" s="10"/>
      <c r="F2463" s="11"/>
      <c r="G2463" s="2"/>
      <c r="H2463" s="2"/>
      <c r="I2463" s="2"/>
      <c r="J2463" s="67"/>
    </row>
    <row r="2464" spans="1:10" x14ac:dyDescent="0.35">
      <c r="A2464" s="61">
        <v>2460</v>
      </c>
      <c r="B2464" s="2"/>
      <c r="C2464" s="2"/>
      <c r="D2464" s="2"/>
      <c r="E2464" s="10"/>
      <c r="F2464" s="11"/>
      <c r="G2464" s="2"/>
      <c r="H2464" s="2"/>
      <c r="I2464" s="2"/>
      <c r="J2464" s="67"/>
    </row>
    <row r="2465" spans="1:10" x14ac:dyDescent="0.35">
      <c r="A2465" s="61">
        <v>2461</v>
      </c>
      <c r="B2465" s="2"/>
      <c r="C2465" s="2"/>
      <c r="D2465" s="2"/>
      <c r="E2465" s="10"/>
      <c r="F2465" s="11"/>
      <c r="G2465" s="2"/>
      <c r="H2465" s="2"/>
      <c r="I2465" s="2"/>
      <c r="J2465" s="67"/>
    </row>
    <row r="2466" spans="1:10" x14ac:dyDescent="0.35">
      <c r="A2466" s="61">
        <v>2462</v>
      </c>
      <c r="B2466" s="2"/>
      <c r="C2466" s="2"/>
      <c r="D2466" s="2"/>
      <c r="E2466" s="10"/>
      <c r="F2466" s="11"/>
      <c r="G2466" s="2"/>
      <c r="H2466" s="2"/>
      <c r="I2466" s="2"/>
      <c r="J2466" s="67"/>
    </row>
    <row r="2467" spans="1:10" x14ac:dyDescent="0.35">
      <c r="A2467" s="61">
        <v>2463</v>
      </c>
      <c r="B2467" s="2"/>
      <c r="C2467" s="2"/>
      <c r="D2467" s="2"/>
      <c r="E2467" s="10"/>
      <c r="F2467" s="11"/>
      <c r="G2467" s="2"/>
      <c r="H2467" s="2"/>
      <c r="I2467" s="2"/>
      <c r="J2467" s="67"/>
    </row>
    <row r="2468" spans="1:10" x14ac:dyDescent="0.35">
      <c r="A2468" s="61">
        <v>2464</v>
      </c>
      <c r="B2468" s="2"/>
      <c r="C2468" s="2"/>
      <c r="D2468" s="2"/>
      <c r="E2468" s="10"/>
      <c r="F2468" s="11"/>
      <c r="G2468" s="2"/>
      <c r="H2468" s="2"/>
      <c r="I2468" s="2"/>
      <c r="J2468" s="67"/>
    </row>
    <row r="2469" spans="1:10" x14ac:dyDescent="0.35">
      <c r="A2469" s="61">
        <v>2465</v>
      </c>
      <c r="B2469" s="2"/>
      <c r="C2469" s="2"/>
      <c r="D2469" s="2"/>
      <c r="E2469" s="10"/>
      <c r="F2469" s="11"/>
      <c r="G2469" s="2"/>
      <c r="H2469" s="2"/>
      <c r="I2469" s="2"/>
      <c r="J2469" s="67"/>
    </row>
    <row r="2470" spans="1:10" x14ac:dyDescent="0.35">
      <c r="A2470" s="61">
        <v>2466</v>
      </c>
      <c r="B2470" s="2"/>
      <c r="C2470" s="2"/>
      <c r="D2470" s="2"/>
      <c r="E2470" s="10"/>
      <c r="F2470" s="11"/>
      <c r="G2470" s="2"/>
      <c r="H2470" s="2"/>
      <c r="I2470" s="2"/>
      <c r="J2470" s="67"/>
    </row>
    <row r="2471" spans="1:10" x14ac:dyDescent="0.35">
      <c r="A2471" s="61">
        <v>2467</v>
      </c>
      <c r="B2471" s="2"/>
      <c r="C2471" s="2"/>
      <c r="D2471" s="2"/>
      <c r="E2471" s="10"/>
      <c r="F2471" s="11"/>
      <c r="G2471" s="2"/>
      <c r="H2471" s="2"/>
      <c r="I2471" s="2"/>
      <c r="J2471" s="67"/>
    </row>
    <row r="2472" spans="1:10" x14ac:dyDescent="0.35">
      <c r="A2472" s="61">
        <v>2468</v>
      </c>
      <c r="B2472" s="2"/>
      <c r="C2472" s="2"/>
      <c r="D2472" s="2"/>
      <c r="E2472" s="10"/>
      <c r="F2472" s="11"/>
      <c r="G2472" s="2"/>
      <c r="H2472" s="2"/>
      <c r="I2472" s="2"/>
      <c r="J2472" s="67"/>
    </row>
    <row r="2473" spans="1:10" x14ac:dyDescent="0.35">
      <c r="A2473" s="61">
        <v>2469</v>
      </c>
      <c r="B2473" s="2"/>
      <c r="C2473" s="2"/>
      <c r="D2473" s="2"/>
      <c r="E2473" s="10"/>
      <c r="F2473" s="11"/>
      <c r="G2473" s="2"/>
      <c r="H2473" s="2"/>
      <c r="I2473" s="2"/>
      <c r="J2473" s="67"/>
    </row>
    <row r="2474" spans="1:10" x14ac:dyDescent="0.35">
      <c r="A2474" s="61">
        <v>2470</v>
      </c>
      <c r="B2474" s="2"/>
      <c r="C2474" s="2"/>
      <c r="D2474" s="2"/>
      <c r="E2474" s="10"/>
      <c r="F2474" s="11"/>
      <c r="G2474" s="2"/>
      <c r="H2474" s="2"/>
      <c r="I2474" s="2"/>
      <c r="J2474" s="67"/>
    </row>
    <row r="2475" spans="1:10" x14ac:dyDescent="0.35">
      <c r="A2475" s="61">
        <v>2471</v>
      </c>
      <c r="B2475" s="2"/>
      <c r="C2475" s="2"/>
      <c r="D2475" s="2"/>
      <c r="E2475" s="10"/>
      <c r="F2475" s="11"/>
      <c r="G2475" s="2"/>
      <c r="H2475" s="2"/>
      <c r="I2475" s="2"/>
      <c r="J2475" s="67"/>
    </row>
    <row r="2476" spans="1:10" x14ac:dyDescent="0.35">
      <c r="A2476" s="61">
        <v>2472</v>
      </c>
      <c r="B2476" s="2"/>
      <c r="C2476" s="2"/>
      <c r="D2476" s="2"/>
      <c r="E2476" s="10"/>
      <c r="F2476" s="11"/>
      <c r="G2476" s="2"/>
      <c r="H2476" s="2"/>
      <c r="I2476" s="2"/>
      <c r="J2476" s="67"/>
    </row>
    <row r="2477" spans="1:10" x14ac:dyDescent="0.35">
      <c r="A2477" s="61">
        <v>2473</v>
      </c>
      <c r="B2477" s="2"/>
      <c r="C2477" s="2"/>
      <c r="D2477" s="2"/>
      <c r="E2477" s="10"/>
      <c r="F2477" s="11"/>
      <c r="G2477" s="2"/>
      <c r="H2477" s="2"/>
      <c r="I2477" s="2"/>
      <c r="J2477" s="67"/>
    </row>
    <row r="2478" spans="1:10" x14ac:dyDescent="0.35">
      <c r="A2478" s="61">
        <v>2474</v>
      </c>
      <c r="B2478" s="2"/>
      <c r="C2478" s="2"/>
      <c r="D2478" s="2"/>
      <c r="E2478" s="10"/>
      <c r="F2478" s="11"/>
      <c r="G2478" s="2"/>
      <c r="H2478" s="2"/>
      <c r="I2478" s="2"/>
      <c r="J2478" s="67"/>
    </row>
    <row r="2479" spans="1:10" x14ac:dyDescent="0.35">
      <c r="A2479" s="61">
        <v>2475</v>
      </c>
      <c r="B2479" s="2"/>
      <c r="C2479" s="2"/>
      <c r="D2479" s="2"/>
      <c r="E2479" s="10"/>
      <c r="F2479" s="11"/>
      <c r="G2479" s="2"/>
      <c r="H2479" s="2"/>
      <c r="I2479" s="2"/>
      <c r="J2479" s="67"/>
    </row>
    <row r="2480" spans="1:10" x14ac:dyDescent="0.35">
      <c r="A2480" s="61">
        <v>2476</v>
      </c>
      <c r="B2480" s="2"/>
      <c r="C2480" s="2"/>
      <c r="D2480" s="2"/>
      <c r="E2480" s="10"/>
      <c r="F2480" s="11"/>
      <c r="G2480" s="2"/>
      <c r="H2480" s="2"/>
      <c r="I2480" s="2"/>
      <c r="J2480" s="67"/>
    </row>
    <row r="2481" spans="1:10" x14ac:dyDescent="0.35">
      <c r="A2481" s="61">
        <v>2477</v>
      </c>
      <c r="B2481" s="2"/>
      <c r="C2481" s="2"/>
      <c r="D2481" s="2"/>
      <c r="E2481" s="10"/>
      <c r="F2481" s="11"/>
      <c r="G2481" s="2"/>
      <c r="H2481" s="2"/>
      <c r="I2481" s="2"/>
      <c r="J2481" s="67"/>
    </row>
    <row r="2482" spans="1:10" x14ac:dyDescent="0.35">
      <c r="A2482" s="61">
        <v>2478</v>
      </c>
      <c r="B2482" s="2"/>
      <c r="C2482" s="2"/>
      <c r="D2482" s="2"/>
      <c r="E2482" s="10"/>
      <c r="F2482" s="11"/>
      <c r="G2482" s="2"/>
      <c r="H2482" s="2"/>
      <c r="I2482" s="2"/>
      <c r="J2482" s="67"/>
    </row>
    <row r="2483" spans="1:10" x14ac:dyDescent="0.35">
      <c r="A2483" s="61">
        <v>2479</v>
      </c>
      <c r="B2483" s="2"/>
      <c r="C2483" s="2"/>
      <c r="D2483" s="2"/>
      <c r="E2483" s="10"/>
      <c r="F2483" s="11"/>
      <c r="G2483" s="2"/>
      <c r="H2483" s="2"/>
      <c r="I2483" s="2"/>
      <c r="J2483" s="67"/>
    </row>
    <row r="2484" spans="1:10" x14ac:dyDescent="0.35">
      <c r="A2484" s="61">
        <v>2480</v>
      </c>
      <c r="B2484" s="2"/>
      <c r="C2484" s="2"/>
      <c r="D2484" s="2"/>
      <c r="E2484" s="10"/>
      <c r="F2484" s="11"/>
      <c r="G2484" s="2"/>
      <c r="H2484" s="2"/>
      <c r="I2484" s="2"/>
      <c r="J2484" s="67"/>
    </row>
    <row r="2485" spans="1:10" x14ac:dyDescent="0.35">
      <c r="A2485" s="61">
        <v>2481</v>
      </c>
      <c r="B2485" s="2"/>
      <c r="C2485" s="2"/>
      <c r="D2485" s="2"/>
      <c r="E2485" s="10"/>
      <c r="F2485" s="11"/>
      <c r="G2485" s="2"/>
      <c r="H2485" s="2"/>
      <c r="I2485" s="2"/>
      <c r="J2485" s="67"/>
    </row>
    <row r="2486" spans="1:10" x14ac:dyDescent="0.35">
      <c r="A2486" s="61">
        <v>2482</v>
      </c>
      <c r="B2486" s="2"/>
      <c r="C2486" s="2"/>
      <c r="D2486" s="2"/>
      <c r="E2486" s="10"/>
      <c r="F2486" s="11"/>
      <c r="G2486" s="2"/>
      <c r="H2486" s="2"/>
      <c r="I2486" s="2"/>
      <c r="J2486" s="67"/>
    </row>
    <row r="2487" spans="1:10" x14ac:dyDescent="0.35">
      <c r="A2487" s="61">
        <v>2483</v>
      </c>
      <c r="B2487" s="2"/>
      <c r="C2487" s="2"/>
      <c r="D2487" s="2"/>
      <c r="E2487" s="10"/>
      <c r="F2487" s="11"/>
      <c r="G2487" s="2"/>
      <c r="H2487" s="2"/>
      <c r="I2487" s="2"/>
      <c r="J2487" s="67"/>
    </row>
    <row r="2488" spans="1:10" x14ac:dyDescent="0.35">
      <c r="A2488" s="61">
        <v>2484</v>
      </c>
      <c r="B2488" s="2"/>
      <c r="C2488" s="2"/>
      <c r="D2488" s="2"/>
      <c r="E2488" s="10"/>
      <c r="F2488" s="11"/>
      <c r="G2488" s="2"/>
      <c r="H2488" s="2"/>
      <c r="I2488" s="2"/>
      <c r="J2488" s="67"/>
    </row>
    <row r="2489" spans="1:10" x14ac:dyDescent="0.35">
      <c r="A2489" s="61">
        <v>2485</v>
      </c>
      <c r="B2489" s="2"/>
      <c r="C2489" s="2"/>
      <c r="D2489" s="2"/>
      <c r="E2489" s="10"/>
      <c r="F2489" s="11"/>
      <c r="G2489" s="2"/>
      <c r="H2489" s="2"/>
      <c r="I2489" s="2"/>
      <c r="J2489" s="67"/>
    </row>
    <row r="2490" spans="1:10" x14ac:dyDescent="0.35">
      <c r="A2490" s="61">
        <v>2486</v>
      </c>
      <c r="B2490" s="2"/>
      <c r="C2490" s="2"/>
      <c r="D2490" s="2"/>
      <c r="E2490" s="10"/>
      <c r="F2490" s="11"/>
      <c r="G2490" s="2"/>
      <c r="H2490" s="2"/>
      <c r="I2490" s="2"/>
      <c r="J2490" s="67"/>
    </row>
    <row r="2491" spans="1:10" x14ac:dyDescent="0.35">
      <c r="A2491" s="61">
        <v>2487</v>
      </c>
      <c r="B2491" s="2"/>
      <c r="C2491" s="2"/>
      <c r="D2491" s="2"/>
      <c r="E2491" s="10"/>
      <c r="F2491" s="11"/>
      <c r="G2491" s="2"/>
      <c r="H2491" s="2"/>
      <c r="I2491" s="2"/>
      <c r="J2491" s="67"/>
    </row>
    <row r="2492" spans="1:10" x14ac:dyDescent="0.35">
      <c r="A2492" s="61">
        <v>2488</v>
      </c>
      <c r="B2492" s="2"/>
      <c r="C2492" s="2"/>
      <c r="D2492" s="2"/>
      <c r="E2492" s="10"/>
      <c r="F2492" s="11"/>
      <c r="G2492" s="2"/>
      <c r="H2492" s="2"/>
      <c r="I2492" s="2"/>
      <c r="J2492" s="67"/>
    </row>
    <row r="2493" spans="1:10" x14ac:dyDescent="0.35">
      <c r="A2493" s="61">
        <v>2489</v>
      </c>
      <c r="B2493" s="2"/>
      <c r="C2493" s="2"/>
      <c r="D2493" s="2"/>
      <c r="E2493" s="10"/>
      <c r="F2493" s="11"/>
      <c r="G2493" s="2"/>
      <c r="H2493" s="2"/>
      <c r="I2493" s="2"/>
      <c r="J2493" s="67"/>
    </row>
    <row r="2494" spans="1:10" x14ac:dyDescent="0.35">
      <c r="A2494" s="61">
        <v>2490</v>
      </c>
      <c r="B2494" s="2"/>
      <c r="C2494" s="2"/>
      <c r="D2494" s="2"/>
      <c r="E2494" s="10"/>
      <c r="F2494" s="11"/>
      <c r="G2494" s="2"/>
      <c r="H2494" s="2"/>
      <c r="I2494" s="2"/>
      <c r="J2494" s="67"/>
    </row>
    <row r="2495" spans="1:10" x14ac:dyDescent="0.35">
      <c r="A2495" s="61">
        <v>2491</v>
      </c>
      <c r="B2495" s="2"/>
      <c r="C2495" s="2"/>
      <c r="D2495" s="2"/>
      <c r="E2495" s="10"/>
      <c r="F2495" s="11"/>
      <c r="G2495" s="2"/>
      <c r="H2495" s="2"/>
      <c r="I2495" s="2"/>
      <c r="J2495" s="67"/>
    </row>
    <row r="2496" spans="1:10" x14ac:dyDescent="0.35">
      <c r="A2496" s="61">
        <v>2492</v>
      </c>
      <c r="B2496" s="2"/>
      <c r="C2496" s="2"/>
      <c r="D2496" s="2"/>
      <c r="E2496" s="10"/>
      <c r="F2496" s="11"/>
      <c r="G2496" s="2"/>
      <c r="H2496" s="2"/>
      <c r="I2496" s="2"/>
      <c r="J2496" s="67"/>
    </row>
    <row r="2497" spans="1:10" x14ac:dyDescent="0.35">
      <c r="A2497" s="61">
        <v>2493</v>
      </c>
      <c r="B2497" s="2"/>
      <c r="C2497" s="2"/>
      <c r="D2497" s="2"/>
      <c r="E2497" s="10"/>
      <c r="F2497" s="11"/>
      <c r="G2497" s="2"/>
      <c r="H2497" s="2"/>
      <c r="I2497" s="2"/>
      <c r="J2497" s="67"/>
    </row>
    <row r="2498" spans="1:10" x14ac:dyDescent="0.35">
      <c r="A2498" s="61">
        <v>2494</v>
      </c>
      <c r="B2498" s="2"/>
      <c r="C2498" s="2"/>
      <c r="D2498" s="2"/>
      <c r="E2498" s="10"/>
      <c r="F2498" s="11"/>
      <c r="G2498" s="2"/>
      <c r="H2498" s="2"/>
      <c r="I2498" s="2"/>
      <c r="J2498" s="67"/>
    </row>
    <row r="2499" spans="1:10" x14ac:dyDescent="0.35">
      <c r="A2499" s="61">
        <v>2495</v>
      </c>
      <c r="B2499" s="2"/>
      <c r="C2499" s="2"/>
      <c r="D2499" s="2"/>
      <c r="E2499" s="10"/>
      <c r="F2499" s="11"/>
      <c r="G2499" s="2"/>
      <c r="H2499" s="2"/>
      <c r="I2499" s="2"/>
      <c r="J2499" s="67"/>
    </row>
    <row r="2500" spans="1:10" x14ac:dyDescent="0.35">
      <c r="A2500" s="61">
        <v>2496</v>
      </c>
      <c r="B2500" s="2"/>
      <c r="C2500" s="2"/>
      <c r="D2500" s="2"/>
      <c r="E2500" s="10"/>
      <c r="F2500" s="11"/>
      <c r="G2500" s="2"/>
      <c r="H2500" s="2"/>
      <c r="I2500" s="2"/>
      <c r="J2500" s="67"/>
    </row>
    <row r="2501" spans="1:10" x14ac:dyDescent="0.35">
      <c r="A2501" s="61">
        <v>2497</v>
      </c>
      <c r="B2501" s="2"/>
      <c r="C2501" s="2"/>
      <c r="D2501" s="2"/>
      <c r="E2501" s="10"/>
      <c r="F2501" s="11"/>
      <c r="G2501" s="2"/>
      <c r="H2501" s="2"/>
      <c r="I2501" s="2"/>
      <c r="J2501" s="67"/>
    </row>
    <row r="2502" spans="1:10" x14ac:dyDescent="0.35">
      <c r="A2502" s="61">
        <v>2498</v>
      </c>
      <c r="B2502" s="2"/>
      <c r="C2502" s="2"/>
      <c r="D2502" s="2"/>
      <c r="E2502" s="10"/>
      <c r="F2502" s="11"/>
      <c r="G2502" s="2"/>
      <c r="H2502" s="2"/>
      <c r="I2502" s="2"/>
      <c r="J2502" s="67"/>
    </row>
    <row r="2503" spans="1:10" x14ac:dyDescent="0.35">
      <c r="A2503" s="61">
        <v>2499</v>
      </c>
      <c r="B2503" s="2"/>
      <c r="C2503" s="2"/>
      <c r="D2503" s="2"/>
      <c r="E2503" s="10"/>
      <c r="F2503" s="11"/>
      <c r="G2503" s="2"/>
      <c r="H2503" s="2"/>
      <c r="I2503" s="2"/>
      <c r="J2503" s="67"/>
    </row>
    <row r="2504" spans="1:10" ht="15" customHeight="1" thickBot="1" x14ac:dyDescent="0.4">
      <c r="A2504" s="62">
        <v>2500</v>
      </c>
      <c r="B2504" s="20"/>
      <c r="C2504" s="20"/>
      <c r="D2504" s="20"/>
      <c r="E2504" s="25"/>
      <c r="F2504" s="26"/>
      <c r="G2504" s="20"/>
      <c r="H2504" s="20"/>
      <c r="I2504" s="20"/>
      <c r="J2504" s="68"/>
    </row>
    <row r="2505" spans="1:10" x14ac:dyDescent="0.35">
      <c r="G2505" s="14"/>
    </row>
  </sheetData>
  <mergeCells count="10">
    <mergeCell ref="A1:J1"/>
    <mergeCell ref="C3:C4"/>
    <mergeCell ref="B3:B4"/>
    <mergeCell ref="G3:G4"/>
    <mergeCell ref="A3:A4"/>
    <mergeCell ref="D3:D4"/>
    <mergeCell ref="J3:J4"/>
    <mergeCell ref="A2:J2"/>
    <mergeCell ref="E3:F3"/>
    <mergeCell ref="H3:I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R2504"/>
  <sheetViews>
    <sheetView topLeftCell="E1" zoomScale="91" zoomScaleNormal="65" workbookViewId="0">
      <selection activeCell="L5" sqref="L5"/>
    </sheetView>
  </sheetViews>
  <sheetFormatPr defaultRowHeight="14.5" x14ac:dyDescent="0.35"/>
  <cols>
    <col min="1" max="1" width="5.6328125" customWidth="1"/>
    <col min="2" max="2" width="20.6328125" customWidth="1"/>
    <col min="3" max="3" width="12.6328125" style="42" customWidth="1"/>
    <col min="4" max="4" width="28.6328125" customWidth="1"/>
    <col min="5" max="5" width="10.6328125" customWidth="1"/>
    <col min="6" max="6" width="16.6328125" style="15" customWidth="1"/>
    <col min="7" max="7" width="32.6328125" customWidth="1"/>
    <col min="8" max="8" width="12.6328125" customWidth="1"/>
    <col min="9" max="9" width="32.453125" customWidth="1"/>
    <col min="10" max="11" width="12.6328125" customWidth="1"/>
    <col min="12" max="13" width="12.6328125" style="15" customWidth="1"/>
    <col min="14" max="18" width="12.6328125" customWidth="1"/>
  </cols>
  <sheetData>
    <row r="1" spans="1:18" ht="75" customHeight="1" x14ac:dyDescent="0.35">
      <c r="A1" s="72" t="s">
        <v>63</v>
      </c>
      <c r="B1" s="73"/>
      <c r="C1" s="73"/>
      <c r="D1" s="73"/>
      <c r="E1" s="73"/>
      <c r="F1" s="73"/>
      <c r="G1" s="73"/>
      <c r="H1" s="73"/>
      <c r="I1" s="73"/>
      <c r="J1" s="73"/>
      <c r="K1" s="73"/>
      <c r="L1" s="73"/>
      <c r="M1" s="73"/>
      <c r="N1" s="73"/>
      <c r="O1" s="73"/>
      <c r="P1" s="73"/>
      <c r="Q1" s="73"/>
      <c r="R1" s="74"/>
    </row>
    <row r="2" spans="1:18" ht="8" customHeight="1" x14ac:dyDescent="0.35">
      <c r="A2" s="99"/>
      <c r="B2" s="96"/>
      <c r="C2" s="96"/>
      <c r="D2" s="96"/>
      <c r="E2" s="96"/>
      <c r="F2" s="96"/>
      <c r="G2" s="96"/>
      <c r="H2" s="96"/>
      <c r="I2" s="96"/>
      <c r="J2" s="96"/>
      <c r="K2" s="96"/>
      <c r="L2" s="96"/>
      <c r="M2" s="96"/>
      <c r="N2" s="96"/>
      <c r="O2" s="96"/>
      <c r="P2" s="96"/>
      <c r="Q2" s="96"/>
      <c r="R2" s="100"/>
    </row>
    <row r="3" spans="1:18" ht="25" customHeight="1" x14ac:dyDescent="0.35">
      <c r="A3" s="102" t="s">
        <v>1</v>
      </c>
      <c r="B3" s="101" t="s">
        <v>64</v>
      </c>
      <c r="C3" s="101" t="s">
        <v>65</v>
      </c>
      <c r="D3" s="101" t="s">
        <v>66</v>
      </c>
      <c r="E3" s="101" t="s">
        <v>67</v>
      </c>
      <c r="F3" s="101" t="s">
        <v>4</v>
      </c>
      <c r="G3" s="98" t="s">
        <v>68</v>
      </c>
      <c r="H3" s="96"/>
      <c r="I3" s="96"/>
      <c r="J3" s="97"/>
      <c r="K3" s="95" t="s">
        <v>49</v>
      </c>
      <c r="L3" s="96"/>
      <c r="M3" s="96"/>
      <c r="N3" s="96"/>
      <c r="O3" s="97"/>
      <c r="P3" s="95" t="s">
        <v>69</v>
      </c>
      <c r="Q3" s="96"/>
      <c r="R3" s="97"/>
    </row>
    <row r="4" spans="1:18" ht="50" customHeight="1" x14ac:dyDescent="0.35">
      <c r="A4" s="80"/>
      <c r="B4" s="78"/>
      <c r="C4" s="78"/>
      <c r="D4" s="78"/>
      <c r="E4" s="78"/>
      <c r="F4" s="78"/>
      <c r="G4" s="17" t="s">
        <v>70</v>
      </c>
      <c r="H4" s="17" t="s">
        <v>71</v>
      </c>
      <c r="I4" s="17" t="s">
        <v>72</v>
      </c>
      <c r="J4" s="17" t="s">
        <v>71</v>
      </c>
      <c r="K4" s="18" t="s">
        <v>73</v>
      </c>
      <c r="L4" s="18" t="s">
        <v>74</v>
      </c>
      <c r="M4" s="31" t="s">
        <v>75</v>
      </c>
      <c r="N4" s="19" t="s">
        <v>76</v>
      </c>
      <c r="O4" s="19" t="s">
        <v>77</v>
      </c>
      <c r="P4" s="34" t="s">
        <v>78</v>
      </c>
      <c r="Q4" s="19" t="s">
        <v>79</v>
      </c>
      <c r="R4" s="36" t="s">
        <v>80</v>
      </c>
    </row>
    <row r="5" spans="1:18" x14ac:dyDescent="0.35">
      <c r="A5" s="8">
        <v>1</v>
      </c>
      <c r="B5" s="9" t="str">
        <f t="shared" ref="B5:B68" si="0">IF(OR(C5="",F5=""),"",
"PRD-" &amp;
TEXT(DAY(C5),"00") &amp;
CHOOSE(MONTH(C5),"A","B","C","D","E","F","G","H","I","J","K","L") &amp;
TEXT(YEAR(C5),"00") &amp;
"-" &amp;
RIGHT(F5,4))</f>
        <v/>
      </c>
      <c r="C5" s="10"/>
      <c r="D5" s="9" t="str">
        <f>IF(F5="","",_xlfn.XLOOKUP(F5,purchase!D:D,purchase!#REF!,""))</f>
        <v/>
      </c>
      <c r="E5" s="9" t="str">
        <f>IF(F5="","",_xlfn.XLOOKUP(F5,purchase!D:D,purchase!B:B,""))</f>
        <v/>
      </c>
      <c r="F5" s="2"/>
      <c r="G5" s="4" t="str">
        <f t="shared" ref="G5:G68" si="1">IF(H5="NRFC","Natural Rubber Field Coagulam","")</f>
        <v/>
      </c>
      <c r="H5" s="4" t="str">
        <f>IF(F5="","",_xlfn.XLOOKUP(F5,purchase!D:D,purchase!#REF!,""))</f>
        <v/>
      </c>
      <c r="I5" s="4" t="str">
        <f t="shared" ref="I5:I68" si="2">IF(J5="ISNR20","Natural Rubber-TSNR (ISNR-20)","")</f>
        <v/>
      </c>
      <c r="J5" s="4" t="str">
        <f t="shared" ref="J5:J68" si="3">IF(H5="NRFC","ISNR20","")</f>
        <v/>
      </c>
      <c r="K5" s="13" t="str">
        <f>_xlfn.SINGLE(IF(F5="","",_xlfn.XLOOKUP(F5,purchase!D:D,purchase!#REF!,"")))</f>
        <v/>
      </c>
      <c r="L5" s="2"/>
      <c r="M5" s="32"/>
      <c r="N5" s="13" t="str">
        <f>IF(F5="","",
MAX(0,
_xlfn.XLOOKUP(F5,purchase!D:D,purchase!#REF!,"")
-
SUMIFS(L:L,F:F,F5)))</f>
        <v/>
      </c>
      <c r="O5" s="13" t="str">
        <f t="shared" ref="O5:O68" si="4">IF(OR(L5="",M5=""),"",L5-M5)</f>
        <v/>
      </c>
      <c r="P5" s="35" t="str">
        <f>_xlfn.SINGLE(IF(F5="","",_xlfn.XLOOKUP(F5,purchase!D:D,purchase!K:K,"")))</f>
        <v/>
      </c>
      <c r="Q5" s="29" t="str">
        <f t="shared" ref="Q5:Q68" si="5">IF(OR(L5="",M5=""),"",M5/L5)</f>
        <v/>
      </c>
      <c r="R5" s="37" t="str">
        <f t="shared" ref="R5:R68" si="6">IF(OR(P5="",Q5=""),"",Q5-P5)</f>
        <v/>
      </c>
    </row>
    <row r="6" spans="1:18" x14ac:dyDescent="0.35">
      <c r="A6" s="8">
        <v>2</v>
      </c>
      <c r="B6" s="9" t="str">
        <f t="shared" si="0"/>
        <v/>
      </c>
      <c r="C6" s="10"/>
      <c r="D6" s="9" t="str">
        <f>IF(F6="","",_xlfn.XLOOKUP(F6,purchase!D:D,purchase!#REF!,""))</f>
        <v/>
      </c>
      <c r="E6" s="9" t="str">
        <f>IF(F6="","",_xlfn.XLOOKUP(F6,purchase!D:D,purchase!B:B,""))</f>
        <v/>
      </c>
      <c r="F6" s="2"/>
      <c r="G6" s="4" t="str">
        <f t="shared" si="1"/>
        <v/>
      </c>
      <c r="H6" s="4" t="str">
        <f>IF(F6="","",_xlfn.XLOOKUP(F6,purchase!D:D,purchase!#REF!,""))</f>
        <v/>
      </c>
      <c r="I6" s="4" t="str">
        <f t="shared" si="2"/>
        <v/>
      </c>
      <c r="J6" s="4" t="str">
        <f t="shared" si="3"/>
        <v/>
      </c>
      <c r="K6" s="13" t="str">
        <f>_xlfn.SINGLE(IF(F6="","",_xlfn.XLOOKUP(F6,purchase!D:D,purchase!#REF!,"")))</f>
        <v/>
      </c>
      <c r="L6" s="2"/>
      <c r="M6" s="32"/>
      <c r="N6" s="13" t="str">
        <f>IF(F6="","",
MAX(0,
_xlfn.XLOOKUP(F6,purchase!D:D,purchase!#REF!,"")
-
SUMIFS(L:L,F:F,F6)))</f>
        <v/>
      </c>
      <c r="O6" s="13" t="str">
        <f t="shared" si="4"/>
        <v/>
      </c>
      <c r="P6" s="35" t="str">
        <f>_xlfn.SINGLE(IF(F6="","",_xlfn.XLOOKUP(F6,purchase!D:D,purchase!K:K,"")))</f>
        <v/>
      </c>
      <c r="Q6" s="29" t="str">
        <f t="shared" si="5"/>
        <v/>
      </c>
      <c r="R6" s="37" t="str">
        <f t="shared" si="6"/>
        <v/>
      </c>
    </row>
    <row r="7" spans="1:18" x14ac:dyDescent="0.35">
      <c r="A7" s="8">
        <v>3</v>
      </c>
      <c r="B7" s="9" t="str">
        <f t="shared" si="0"/>
        <v/>
      </c>
      <c r="C7" s="10"/>
      <c r="D7" s="9" t="str">
        <f>IF(F7="","",_xlfn.XLOOKUP(F7,purchase!D:D,purchase!#REF!,""))</f>
        <v/>
      </c>
      <c r="E7" s="9" t="str">
        <f>IF(F7="","",_xlfn.XLOOKUP(F7,purchase!D:D,purchase!B:B,""))</f>
        <v/>
      </c>
      <c r="F7" s="2"/>
      <c r="G7" s="4" t="str">
        <f t="shared" si="1"/>
        <v/>
      </c>
      <c r="H7" s="4" t="str">
        <f>IF(F7="","",_xlfn.XLOOKUP(F7,purchase!D:D,purchase!#REF!,""))</f>
        <v/>
      </c>
      <c r="I7" s="4" t="str">
        <f t="shared" si="2"/>
        <v/>
      </c>
      <c r="J7" s="4" t="str">
        <f t="shared" si="3"/>
        <v/>
      </c>
      <c r="K7" s="13" t="str">
        <f>_xlfn.SINGLE(IF(F7="","",_xlfn.XLOOKUP(F7,purchase!D:D,purchase!#REF!,"")))</f>
        <v/>
      </c>
      <c r="L7" s="2"/>
      <c r="M7" s="32"/>
      <c r="N7" s="13" t="str">
        <f>IF(F7="","",
MAX(0,
_xlfn.XLOOKUP(F7,purchase!D:D,purchase!#REF!,"")
-
SUMIFS(L:L,F:F,F7)))</f>
        <v/>
      </c>
      <c r="O7" s="13" t="str">
        <f t="shared" si="4"/>
        <v/>
      </c>
      <c r="P7" s="35" t="str">
        <f>_xlfn.SINGLE(IF(F7="","",_xlfn.XLOOKUP(F7,purchase!D:D,purchase!K:K,"")))</f>
        <v/>
      </c>
      <c r="Q7" s="29" t="str">
        <f t="shared" si="5"/>
        <v/>
      </c>
      <c r="R7" s="37" t="str">
        <f t="shared" si="6"/>
        <v/>
      </c>
    </row>
    <row r="8" spans="1:18" x14ac:dyDescent="0.35">
      <c r="A8" s="8">
        <v>4</v>
      </c>
      <c r="B8" s="9" t="str">
        <f t="shared" si="0"/>
        <v/>
      </c>
      <c r="C8" s="10"/>
      <c r="D8" s="9" t="str">
        <f>IF(F8="","",_xlfn.XLOOKUP(F8,purchase!D:D,purchase!#REF!,""))</f>
        <v/>
      </c>
      <c r="E8" s="9" t="str">
        <f>IF(F8="","",_xlfn.XLOOKUP(F8,purchase!D:D,purchase!B:B,""))</f>
        <v/>
      </c>
      <c r="F8" s="2"/>
      <c r="G8" s="4" t="str">
        <f t="shared" si="1"/>
        <v/>
      </c>
      <c r="H8" s="4" t="str">
        <f>IF(F8="","",_xlfn.XLOOKUP(F8,purchase!D:D,purchase!#REF!,""))</f>
        <v/>
      </c>
      <c r="I8" s="4" t="str">
        <f t="shared" si="2"/>
        <v/>
      </c>
      <c r="J8" s="4" t="str">
        <f t="shared" si="3"/>
        <v/>
      </c>
      <c r="K8" s="13" t="str">
        <f>_xlfn.SINGLE(IF(F8="","",_xlfn.XLOOKUP(F8,purchase!D:D,purchase!#REF!,"")))</f>
        <v/>
      </c>
      <c r="L8" s="2"/>
      <c r="M8" s="32"/>
      <c r="N8" s="13" t="str">
        <f>IF(F8="","",
MAX(0,
_xlfn.XLOOKUP(F8,purchase!D:D,purchase!#REF!,"")
-
SUMIFS(L:L,F:F,F8)))</f>
        <v/>
      </c>
      <c r="O8" s="13" t="str">
        <f t="shared" si="4"/>
        <v/>
      </c>
      <c r="P8" s="35" t="str">
        <f>_xlfn.SINGLE(IF(F8="","",_xlfn.XLOOKUP(F8,purchase!D:D,purchase!K:K,"")))</f>
        <v/>
      </c>
      <c r="Q8" s="29" t="str">
        <f t="shared" si="5"/>
        <v/>
      </c>
      <c r="R8" s="37" t="str">
        <f t="shared" si="6"/>
        <v/>
      </c>
    </row>
    <row r="9" spans="1:18" x14ac:dyDescent="0.35">
      <c r="A9" s="8">
        <v>5</v>
      </c>
      <c r="B9" s="9" t="str">
        <f t="shared" si="0"/>
        <v/>
      </c>
      <c r="C9" s="10"/>
      <c r="D9" s="9" t="str">
        <f>IF(F9="","",_xlfn.XLOOKUP(F9,purchase!D:D,purchase!#REF!,""))</f>
        <v/>
      </c>
      <c r="E9" s="9" t="str">
        <f>IF(F9="","",_xlfn.XLOOKUP(F9,purchase!D:D,purchase!B:B,""))</f>
        <v/>
      </c>
      <c r="F9" s="2"/>
      <c r="G9" s="4" t="str">
        <f t="shared" si="1"/>
        <v/>
      </c>
      <c r="H9" s="4" t="str">
        <f>IF(F9="","",_xlfn.XLOOKUP(F9,purchase!D:D,purchase!#REF!,""))</f>
        <v/>
      </c>
      <c r="I9" s="4" t="str">
        <f t="shared" si="2"/>
        <v/>
      </c>
      <c r="J9" s="4" t="str">
        <f t="shared" si="3"/>
        <v/>
      </c>
      <c r="K9" s="13" t="str">
        <f>_xlfn.SINGLE(IF(F9="","",_xlfn.XLOOKUP(F9,purchase!D:D,purchase!#REF!,"")))</f>
        <v/>
      </c>
      <c r="L9" s="2"/>
      <c r="M9" s="32"/>
      <c r="N9" s="13" t="str">
        <f>IF(F9="","",
MAX(0,
_xlfn.XLOOKUP(F9,purchase!D:D,purchase!#REF!,"")
-
SUMIFS(L:L,F:F,F9)))</f>
        <v/>
      </c>
      <c r="O9" s="13" t="str">
        <f t="shared" si="4"/>
        <v/>
      </c>
      <c r="P9" s="35" t="str">
        <f>_xlfn.SINGLE(IF(F9="","",_xlfn.XLOOKUP(F9,purchase!D:D,purchase!K:K,"")))</f>
        <v/>
      </c>
      <c r="Q9" s="29" t="str">
        <f t="shared" si="5"/>
        <v/>
      </c>
      <c r="R9" s="37" t="str">
        <f t="shared" si="6"/>
        <v/>
      </c>
    </row>
    <row r="10" spans="1:18" x14ac:dyDescent="0.35">
      <c r="A10" s="8">
        <v>6</v>
      </c>
      <c r="B10" s="9" t="str">
        <f t="shared" si="0"/>
        <v/>
      </c>
      <c r="C10" s="10"/>
      <c r="D10" s="9" t="str">
        <f>IF(F10="","",_xlfn.XLOOKUP(F10,purchase!D:D,purchase!#REF!,""))</f>
        <v/>
      </c>
      <c r="E10" s="9" t="str">
        <f>IF(F10="","",_xlfn.XLOOKUP(F10,purchase!D:D,purchase!B:B,""))</f>
        <v/>
      </c>
      <c r="F10" s="2"/>
      <c r="G10" s="4" t="str">
        <f t="shared" si="1"/>
        <v/>
      </c>
      <c r="H10" s="4" t="str">
        <f>IF(F10="","",_xlfn.XLOOKUP(F10,purchase!D:D,purchase!#REF!,""))</f>
        <v/>
      </c>
      <c r="I10" s="4" t="str">
        <f t="shared" si="2"/>
        <v/>
      </c>
      <c r="J10" s="4" t="str">
        <f t="shared" si="3"/>
        <v/>
      </c>
      <c r="K10" s="13" t="str">
        <f>_xlfn.SINGLE(IF(F10="","",_xlfn.XLOOKUP(F10,purchase!D:D,purchase!#REF!,"")))</f>
        <v/>
      </c>
      <c r="L10" s="2"/>
      <c r="M10" s="32"/>
      <c r="N10" s="13" t="str">
        <f>IF(F10="","",
MAX(0,
_xlfn.XLOOKUP(F10,purchase!D:D,purchase!#REF!,"")
-
SUMIFS(L:L,F:F,F10)))</f>
        <v/>
      </c>
      <c r="O10" s="13" t="str">
        <f t="shared" si="4"/>
        <v/>
      </c>
      <c r="P10" s="35" t="str">
        <f>_xlfn.SINGLE(IF(F10="","",_xlfn.XLOOKUP(F10,purchase!D:D,purchase!K:K,"")))</f>
        <v/>
      </c>
      <c r="Q10" s="29" t="str">
        <f t="shared" si="5"/>
        <v/>
      </c>
      <c r="R10" s="37" t="str">
        <f t="shared" si="6"/>
        <v/>
      </c>
    </row>
    <row r="11" spans="1:18" x14ac:dyDescent="0.35">
      <c r="A11" s="8">
        <v>7</v>
      </c>
      <c r="B11" s="9" t="str">
        <f t="shared" si="0"/>
        <v/>
      </c>
      <c r="C11" s="10"/>
      <c r="D11" s="9" t="str">
        <f>IF(F11="","",_xlfn.XLOOKUP(F11,purchase!D:D,purchase!#REF!,""))</f>
        <v/>
      </c>
      <c r="E11" s="9" t="str">
        <f>IF(F11="","",_xlfn.XLOOKUP(F11,purchase!D:D,purchase!B:B,""))</f>
        <v/>
      </c>
      <c r="F11" s="2"/>
      <c r="G11" s="4" t="str">
        <f t="shared" si="1"/>
        <v/>
      </c>
      <c r="H11" s="4" t="str">
        <f>IF(F11="","",_xlfn.XLOOKUP(F11,purchase!D:D,purchase!#REF!,""))</f>
        <v/>
      </c>
      <c r="I11" s="4" t="str">
        <f t="shared" si="2"/>
        <v/>
      </c>
      <c r="J11" s="4" t="str">
        <f t="shared" si="3"/>
        <v/>
      </c>
      <c r="K11" s="13" t="str">
        <f>_xlfn.SINGLE(IF(F11="","",_xlfn.XLOOKUP(F11,purchase!D:D,purchase!#REF!,"")))</f>
        <v/>
      </c>
      <c r="L11" s="2"/>
      <c r="M11" s="32"/>
      <c r="N11" s="13" t="str">
        <f>IF(F11="","",
MAX(0,
_xlfn.XLOOKUP(F11,purchase!D:D,purchase!#REF!,"")
-
SUMIFS(L:L,F:F,F11)))</f>
        <v/>
      </c>
      <c r="O11" s="13" t="str">
        <f t="shared" si="4"/>
        <v/>
      </c>
      <c r="P11" s="35" t="str">
        <f>_xlfn.SINGLE(IF(F11="","",_xlfn.XLOOKUP(F11,purchase!D:D,purchase!K:K,"")))</f>
        <v/>
      </c>
      <c r="Q11" s="29" t="str">
        <f t="shared" si="5"/>
        <v/>
      </c>
      <c r="R11" s="37" t="str">
        <f t="shared" si="6"/>
        <v/>
      </c>
    </row>
    <row r="12" spans="1:18" x14ac:dyDescent="0.35">
      <c r="A12" s="8">
        <v>8</v>
      </c>
      <c r="B12" s="9" t="str">
        <f t="shared" si="0"/>
        <v/>
      </c>
      <c r="C12" s="10"/>
      <c r="D12" s="9" t="str">
        <f>IF(F12="","",_xlfn.XLOOKUP(F12,purchase!D:D,purchase!#REF!,""))</f>
        <v/>
      </c>
      <c r="E12" s="9" t="str">
        <f>IF(F12="","",_xlfn.XLOOKUP(F12,purchase!D:D,purchase!B:B,""))</f>
        <v/>
      </c>
      <c r="F12" s="2"/>
      <c r="G12" s="4" t="str">
        <f t="shared" si="1"/>
        <v/>
      </c>
      <c r="H12" s="4" t="str">
        <f>IF(F12="","",_xlfn.XLOOKUP(F12,purchase!D:D,purchase!#REF!,""))</f>
        <v/>
      </c>
      <c r="I12" s="4" t="str">
        <f t="shared" si="2"/>
        <v/>
      </c>
      <c r="J12" s="4" t="str">
        <f t="shared" si="3"/>
        <v/>
      </c>
      <c r="K12" s="13" t="str">
        <f>_xlfn.SINGLE(IF(F12="","",_xlfn.XLOOKUP(F12,purchase!D:D,purchase!#REF!,"")))</f>
        <v/>
      </c>
      <c r="L12" s="2"/>
      <c r="M12" s="32"/>
      <c r="N12" s="13" t="str">
        <f>IF(F12="","",
MAX(0,
_xlfn.XLOOKUP(F12,purchase!D:D,purchase!#REF!,"")
-
SUMIFS(L:L,F:F,F12)))</f>
        <v/>
      </c>
      <c r="O12" s="13" t="str">
        <f t="shared" si="4"/>
        <v/>
      </c>
      <c r="P12" s="35" t="str">
        <f>_xlfn.SINGLE(IF(F12="","",_xlfn.XLOOKUP(F12,purchase!D:D,purchase!K:K,"")))</f>
        <v/>
      </c>
      <c r="Q12" s="29" t="str">
        <f t="shared" si="5"/>
        <v/>
      </c>
      <c r="R12" s="37" t="str">
        <f t="shared" si="6"/>
        <v/>
      </c>
    </row>
    <row r="13" spans="1:18" x14ac:dyDescent="0.35">
      <c r="A13" s="8">
        <v>9</v>
      </c>
      <c r="B13" s="9" t="str">
        <f t="shared" si="0"/>
        <v/>
      </c>
      <c r="C13" s="10"/>
      <c r="D13" s="9" t="str">
        <f>IF(F13="","",_xlfn.XLOOKUP(F13,purchase!D:D,purchase!#REF!,""))</f>
        <v/>
      </c>
      <c r="E13" s="9" t="str">
        <f>IF(F13="","",_xlfn.XLOOKUP(F13,purchase!D:D,purchase!B:B,""))</f>
        <v/>
      </c>
      <c r="F13" s="2"/>
      <c r="G13" s="4" t="str">
        <f t="shared" si="1"/>
        <v/>
      </c>
      <c r="H13" s="4" t="str">
        <f>IF(F13="","",_xlfn.XLOOKUP(F13,purchase!D:D,purchase!#REF!,""))</f>
        <v/>
      </c>
      <c r="I13" s="4" t="str">
        <f t="shared" si="2"/>
        <v/>
      </c>
      <c r="J13" s="4" t="str">
        <f t="shared" si="3"/>
        <v/>
      </c>
      <c r="K13" s="13" t="str">
        <f>_xlfn.SINGLE(IF(F13="","",_xlfn.XLOOKUP(F13,purchase!D:D,purchase!#REF!,"")))</f>
        <v/>
      </c>
      <c r="L13" s="2"/>
      <c r="M13" s="32"/>
      <c r="N13" s="13" t="str">
        <f>IF(F13="","",
MAX(0,
_xlfn.XLOOKUP(F13,purchase!D:D,purchase!#REF!,"")
-
SUMIFS(L:L,F:F,F13)))</f>
        <v/>
      </c>
      <c r="O13" s="13" t="str">
        <f t="shared" si="4"/>
        <v/>
      </c>
      <c r="P13" s="35" t="str">
        <f>_xlfn.SINGLE(IF(F13="","",_xlfn.XLOOKUP(F13,purchase!D:D,purchase!K:K,"")))</f>
        <v/>
      </c>
      <c r="Q13" s="29" t="str">
        <f t="shared" si="5"/>
        <v/>
      </c>
      <c r="R13" s="37" t="str">
        <f t="shared" si="6"/>
        <v/>
      </c>
    </row>
    <row r="14" spans="1:18" x14ac:dyDescent="0.35">
      <c r="A14" s="8">
        <v>10</v>
      </c>
      <c r="B14" s="9" t="str">
        <f t="shared" si="0"/>
        <v/>
      </c>
      <c r="C14" s="10"/>
      <c r="D14" s="9" t="str">
        <f>IF(F14="","",_xlfn.XLOOKUP(F14,purchase!D:D,purchase!#REF!,""))</f>
        <v/>
      </c>
      <c r="E14" s="9" t="str">
        <f>IF(F14="","",_xlfn.XLOOKUP(F14,purchase!D:D,purchase!B:B,""))</f>
        <v/>
      </c>
      <c r="F14" s="2"/>
      <c r="G14" s="4" t="str">
        <f t="shared" si="1"/>
        <v/>
      </c>
      <c r="H14" s="4" t="str">
        <f>IF(F14="","",_xlfn.XLOOKUP(F14,purchase!D:D,purchase!#REF!,""))</f>
        <v/>
      </c>
      <c r="I14" s="4" t="str">
        <f t="shared" si="2"/>
        <v/>
      </c>
      <c r="J14" s="4" t="str">
        <f t="shared" si="3"/>
        <v/>
      </c>
      <c r="K14" s="13" t="str">
        <f>_xlfn.SINGLE(IF(F14="","",_xlfn.XLOOKUP(F14,purchase!D:D,purchase!#REF!,"")))</f>
        <v/>
      </c>
      <c r="L14" s="2"/>
      <c r="M14" s="32"/>
      <c r="N14" s="13" t="str">
        <f>IF(F14="","",
MAX(0,
_xlfn.XLOOKUP(F14,purchase!D:D,purchase!#REF!,"")
-
SUMIFS(L:L,F:F,F14)))</f>
        <v/>
      </c>
      <c r="O14" s="13" t="str">
        <f t="shared" si="4"/>
        <v/>
      </c>
      <c r="P14" s="35" t="str">
        <f>_xlfn.SINGLE(IF(F14="","",_xlfn.XLOOKUP(F14,purchase!D:D,purchase!K:K,"")))</f>
        <v/>
      </c>
      <c r="Q14" s="29" t="str">
        <f t="shared" si="5"/>
        <v/>
      </c>
      <c r="R14" s="37" t="str">
        <f t="shared" si="6"/>
        <v/>
      </c>
    </row>
    <row r="15" spans="1:18" x14ac:dyDescent="0.35">
      <c r="A15" s="8">
        <v>11</v>
      </c>
      <c r="B15" s="9" t="str">
        <f t="shared" si="0"/>
        <v/>
      </c>
      <c r="C15" s="10"/>
      <c r="D15" s="9" t="str">
        <f>IF(F15="","",_xlfn.XLOOKUP(F15,purchase!D:D,purchase!#REF!,""))</f>
        <v/>
      </c>
      <c r="E15" s="9" t="str">
        <f>IF(F15="","",_xlfn.XLOOKUP(F15,purchase!D:D,purchase!B:B,""))</f>
        <v/>
      </c>
      <c r="F15" s="2"/>
      <c r="G15" s="4" t="str">
        <f t="shared" si="1"/>
        <v/>
      </c>
      <c r="H15" s="4" t="str">
        <f>IF(F15="","",_xlfn.XLOOKUP(F15,purchase!D:D,purchase!#REF!,""))</f>
        <v/>
      </c>
      <c r="I15" s="4" t="str">
        <f t="shared" si="2"/>
        <v/>
      </c>
      <c r="J15" s="4" t="str">
        <f t="shared" si="3"/>
        <v/>
      </c>
      <c r="K15" s="13" t="str">
        <f>_xlfn.SINGLE(IF(F15="","",_xlfn.XLOOKUP(F15,purchase!D:D,purchase!#REF!,"")))</f>
        <v/>
      </c>
      <c r="L15" s="2"/>
      <c r="M15" s="32"/>
      <c r="N15" s="13" t="str">
        <f>IF(F15="","",
MAX(0,
_xlfn.XLOOKUP(F15,purchase!D:D,purchase!#REF!,"")
-
SUMIFS(L:L,F:F,F15)))</f>
        <v/>
      </c>
      <c r="O15" s="13" t="str">
        <f t="shared" si="4"/>
        <v/>
      </c>
      <c r="P15" s="35" t="str">
        <f>_xlfn.SINGLE(IF(F15="","",_xlfn.XLOOKUP(F15,purchase!D:D,purchase!K:K,"")))</f>
        <v/>
      </c>
      <c r="Q15" s="29" t="str">
        <f t="shared" si="5"/>
        <v/>
      </c>
      <c r="R15" s="37" t="str">
        <f t="shared" si="6"/>
        <v/>
      </c>
    </row>
    <row r="16" spans="1:18" x14ac:dyDescent="0.35">
      <c r="A16" s="8">
        <v>12</v>
      </c>
      <c r="B16" s="9" t="str">
        <f t="shared" si="0"/>
        <v/>
      </c>
      <c r="C16" s="10"/>
      <c r="D16" s="9" t="str">
        <f>IF(F16="","",_xlfn.XLOOKUP(F16,purchase!D:D,purchase!#REF!,""))</f>
        <v/>
      </c>
      <c r="E16" s="9" t="str">
        <f>IF(F16="","",_xlfn.XLOOKUP(F16,purchase!D:D,purchase!B:B,""))</f>
        <v/>
      </c>
      <c r="F16" s="2"/>
      <c r="G16" s="4" t="str">
        <f t="shared" si="1"/>
        <v/>
      </c>
      <c r="H16" s="4" t="str">
        <f>IF(F16="","",_xlfn.XLOOKUP(F16,purchase!D:D,purchase!#REF!,""))</f>
        <v/>
      </c>
      <c r="I16" s="4" t="str">
        <f t="shared" si="2"/>
        <v/>
      </c>
      <c r="J16" s="4" t="str">
        <f t="shared" si="3"/>
        <v/>
      </c>
      <c r="K16" s="13" t="str">
        <f>_xlfn.SINGLE(IF(F16="","",_xlfn.XLOOKUP(F16,purchase!D:D,purchase!#REF!,"")))</f>
        <v/>
      </c>
      <c r="L16" s="2"/>
      <c r="M16" s="32"/>
      <c r="N16" s="13" t="str">
        <f>IF(F16="","",
MAX(0,
_xlfn.XLOOKUP(F16,purchase!D:D,purchase!#REF!,"")
-
SUMIFS(L:L,F:F,F16)))</f>
        <v/>
      </c>
      <c r="O16" s="13" t="str">
        <f t="shared" si="4"/>
        <v/>
      </c>
      <c r="P16" s="35" t="str">
        <f>_xlfn.SINGLE(IF(F16="","",_xlfn.XLOOKUP(F16,purchase!D:D,purchase!K:K,"")))</f>
        <v/>
      </c>
      <c r="Q16" s="29" t="str">
        <f t="shared" si="5"/>
        <v/>
      </c>
      <c r="R16" s="37" t="str">
        <f t="shared" si="6"/>
        <v/>
      </c>
    </row>
    <row r="17" spans="1:18" x14ac:dyDescent="0.35">
      <c r="A17" s="8">
        <v>13</v>
      </c>
      <c r="B17" s="9" t="str">
        <f t="shared" si="0"/>
        <v/>
      </c>
      <c r="C17" s="10"/>
      <c r="D17" s="9" t="str">
        <f>IF(F17="","",_xlfn.XLOOKUP(F17,purchase!D:D,purchase!#REF!,""))</f>
        <v/>
      </c>
      <c r="E17" s="9" t="str">
        <f>IF(F17="","",_xlfn.XLOOKUP(F17,purchase!D:D,purchase!B:B,""))</f>
        <v/>
      </c>
      <c r="F17" s="2"/>
      <c r="G17" s="4" t="str">
        <f t="shared" si="1"/>
        <v/>
      </c>
      <c r="H17" s="4" t="str">
        <f>IF(F17="","",_xlfn.XLOOKUP(F17,purchase!D:D,purchase!#REF!,""))</f>
        <v/>
      </c>
      <c r="I17" s="4" t="str">
        <f t="shared" si="2"/>
        <v/>
      </c>
      <c r="J17" s="4" t="str">
        <f t="shared" si="3"/>
        <v/>
      </c>
      <c r="K17" s="13" t="str">
        <f>_xlfn.SINGLE(IF(F17="","",_xlfn.XLOOKUP(F17,purchase!D:D,purchase!#REF!,"")))</f>
        <v/>
      </c>
      <c r="L17" s="2"/>
      <c r="M17" s="32"/>
      <c r="N17" s="13" t="str">
        <f>IF(F17="","",
MAX(0,
_xlfn.XLOOKUP(F17,purchase!D:D,purchase!#REF!,"")
-
SUMIFS(L:L,F:F,F17)))</f>
        <v/>
      </c>
      <c r="O17" s="13" t="str">
        <f t="shared" si="4"/>
        <v/>
      </c>
      <c r="P17" s="35" t="str">
        <f>_xlfn.SINGLE(IF(F17="","",_xlfn.XLOOKUP(F17,purchase!D:D,purchase!K:K,"")))</f>
        <v/>
      </c>
      <c r="Q17" s="29" t="str">
        <f t="shared" si="5"/>
        <v/>
      </c>
      <c r="R17" s="37" t="str">
        <f t="shared" si="6"/>
        <v/>
      </c>
    </row>
    <row r="18" spans="1:18" x14ac:dyDescent="0.35">
      <c r="A18" s="8">
        <v>14</v>
      </c>
      <c r="B18" s="9" t="str">
        <f t="shared" si="0"/>
        <v/>
      </c>
      <c r="C18" s="10"/>
      <c r="D18" s="9" t="str">
        <f>IF(F18="","",_xlfn.XLOOKUP(F18,purchase!D:D,purchase!#REF!,""))</f>
        <v/>
      </c>
      <c r="E18" s="9" t="str">
        <f>IF(F18="","",_xlfn.XLOOKUP(F18,purchase!D:D,purchase!B:B,""))</f>
        <v/>
      </c>
      <c r="F18" s="2"/>
      <c r="G18" s="4" t="str">
        <f t="shared" si="1"/>
        <v/>
      </c>
      <c r="H18" s="4" t="str">
        <f>IF(F18="","",_xlfn.XLOOKUP(F18,purchase!D:D,purchase!#REF!,""))</f>
        <v/>
      </c>
      <c r="I18" s="4" t="str">
        <f t="shared" si="2"/>
        <v/>
      </c>
      <c r="J18" s="4" t="str">
        <f t="shared" si="3"/>
        <v/>
      </c>
      <c r="K18" s="13" t="str">
        <f>_xlfn.SINGLE(IF(F18="","",_xlfn.XLOOKUP(F18,purchase!D:D,purchase!#REF!,"")))</f>
        <v/>
      </c>
      <c r="L18" s="2"/>
      <c r="M18" s="32"/>
      <c r="N18" s="13" t="str">
        <f>IF(F18="","",
MAX(0,
_xlfn.XLOOKUP(F18,purchase!D:D,purchase!#REF!,"")
-
SUMIFS(L:L,F:F,F18)))</f>
        <v/>
      </c>
      <c r="O18" s="13" t="str">
        <f t="shared" si="4"/>
        <v/>
      </c>
      <c r="P18" s="35" t="str">
        <f>_xlfn.SINGLE(IF(F18="","",_xlfn.XLOOKUP(F18,purchase!D:D,purchase!K:K,"")))</f>
        <v/>
      </c>
      <c r="Q18" s="29" t="str">
        <f t="shared" si="5"/>
        <v/>
      </c>
      <c r="R18" s="37" t="str">
        <f t="shared" si="6"/>
        <v/>
      </c>
    </row>
    <row r="19" spans="1:18" x14ac:dyDescent="0.35">
      <c r="A19" s="8">
        <v>15</v>
      </c>
      <c r="B19" s="9" t="str">
        <f t="shared" si="0"/>
        <v/>
      </c>
      <c r="C19" s="10"/>
      <c r="D19" s="9" t="str">
        <f>IF(F19="","",_xlfn.XLOOKUP(F19,purchase!D:D,purchase!#REF!,""))</f>
        <v/>
      </c>
      <c r="E19" s="9" t="str">
        <f>IF(F19="","",_xlfn.XLOOKUP(F19,purchase!D:D,purchase!B:B,""))</f>
        <v/>
      </c>
      <c r="F19" s="2"/>
      <c r="G19" s="4" t="str">
        <f t="shared" si="1"/>
        <v/>
      </c>
      <c r="H19" s="4" t="str">
        <f>IF(F19="","",_xlfn.XLOOKUP(F19,purchase!D:D,purchase!#REF!,""))</f>
        <v/>
      </c>
      <c r="I19" s="4" t="str">
        <f t="shared" si="2"/>
        <v/>
      </c>
      <c r="J19" s="4" t="str">
        <f t="shared" si="3"/>
        <v/>
      </c>
      <c r="K19" s="13" t="str">
        <f>_xlfn.SINGLE(IF(F19="","",_xlfn.XLOOKUP(F19,purchase!D:D,purchase!#REF!,"")))</f>
        <v/>
      </c>
      <c r="L19" s="2"/>
      <c r="M19" s="32"/>
      <c r="N19" s="13" t="str">
        <f>IF(F19="","",
MAX(0,
_xlfn.XLOOKUP(F19,purchase!D:D,purchase!#REF!,"")
-
SUMIFS(L:L,F:F,F19)))</f>
        <v/>
      </c>
      <c r="O19" s="13" t="str">
        <f t="shared" si="4"/>
        <v/>
      </c>
      <c r="P19" s="35" t="str">
        <f>_xlfn.SINGLE(IF(F19="","",_xlfn.XLOOKUP(F19,purchase!D:D,purchase!K:K,"")))</f>
        <v/>
      </c>
      <c r="Q19" s="29" t="str">
        <f t="shared" si="5"/>
        <v/>
      </c>
      <c r="R19" s="37" t="str">
        <f t="shared" si="6"/>
        <v/>
      </c>
    </row>
    <row r="20" spans="1:18" x14ac:dyDescent="0.35">
      <c r="A20" s="8">
        <v>16</v>
      </c>
      <c r="B20" s="9" t="str">
        <f t="shared" si="0"/>
        <v/>
      </c>
      <c r="C20" s="10"/>
      <c r="D20" s="9" t="str">
        <f>IF(F20="","",_xlfn.XLOOKUP(F20,purchase!D:D,purchase!#REF!,""))</f>
        <v/>
      </c>
      <c r="E20" s="9" t="str">
        <f>IF(F20="","",_xlfn.XLOOKUP(F20,purchase!D:D,purchase!B:B,""))</f>
        <v/>
      </c>
      <c r="F20" s="2"/>
      <c r="G20" s="4" t="str">
        <f t="shared" si="1"/>
        <v/>
      </c>
      <c r="H20" s="4" t="str">
        <f>IF(F20="","",_xlfn.XLOOKUP(F20,purchase!D:D,purchase!#REF!,""))</f>
        <v/>
      </c>
      <c r="I20" s="4" t="str">
        <f t="shared" si="2"/>
        <v/>
      </c>
      <c r="J20" s="4" t="str">
        <f t="shared" si="3"/>
        <v/>
      </c>
      <c r="K20" s="13" t="str">
        <f>_xlfn.SINGLE(IF(F20="","",_xlfn.XLOOKUP(F20,purchase!D:D,purchase!#REF!,"")))</f>
        <v/>
      </c>
      <c r="L20" s="2"/>
      <c r="M20" s="32"/>
      <c r="N20" s="13" t="str">
        <f>IF(F20="","",
MAX(0,
_xlfn.XLOOKUP(F20,purchase!D:D,purchase!#REF!,"")
-
SUMIFS(L:L,F:F,F20)))</f>
        <v/>
      </c>
      <c r="O20" s="13" t="str">
        <f t="shared" si="4"/>
        <v/>
      </c>
      <c r="P20" s="35" t="str">
        <f>_xlfn.SINGLE(IF(F20="","",_xlfn.XLOOKUP(F20,purchase!D:D,purchase!K:K,"")))</f>
        <v/>
      </c>
      <c r="Q20" s="29" t="str">
        <f t="shared" si="5"/>
        <v/>
      </c>
      <c r="R20" s="37" t="str">
        <f t="shared" si="6"/>
        <v/>
      </c>
    </row>
    <row r="21" spans="1:18" x14ac:dyDescent="0.35">
      <c r="A21" s="8">
        <v>17</v>
      </c>
      <c r="B21" s="9" t="str">
        <f t="shared" si="0"/>
        <v/>
      </c>
      <c r="C21" s="10"/>
      <c r="D21" s="9" t="str">
        <f>IF(F21="","",_xlfn.XLOOKUP(F21,purchase!D:D,purchase!#REF!,""))</f>
        <v/>
      </c>
      <c r="E21" s="9" t="str">
        <f>IF(F21="","",_xlfn.XLOOKUP(F21,purchase!D:D,purchase!B:B,""))</f>
        <v/>
      </c>
      <c r="F21" s="2"/>
      <c r="G21" s="4" t="str">
        <f t="shared" si="1"/>
        <v/>
      </c>
      <c r="H21" s="4" t="str">
        <f>IF(F21="","",_xlfn.XLOOKUP(F21,purchase!D:D,purchase!#REF!,""))</f>
        <v/>
      </c>
      <c r="I21" s="4" t="str">
        <f t="shared" si="2"/>
        <v/>
      </c>
      <c r="J21" s="4" t="str">
        <f t="shared" si="3"/>
        <v/>
      </c>
      <c r="K21" s="13" t="str">
        <f>_xlfn.SINGLE(IF(F21="","",_xlfn.XLOOKUP(F21,purchase!D:D,purchase!#REF!,"")))</f>
        <v/>
      </c>
      <c r="L21" s="2"/>
      <c r="M21" s="32"/>
      <c r="N21" s="13" t="str">
        <f>IF(F21="","",
MAX(0,
_xlfn.XLOOKUP(F21,purchase!D:D,purchase!#REF!,"")
-
SUMIFS(L:L,F:F,F21)))</f>
        <v/>
      </c>
      <c r="O21" s="13" t="str">
        <f t="shared" si="4"/>
        <v/>
      </c>
      <c r="P21" s="35" t="str">
        <f>_xlfn.SINGLE(IF(F21="","",_xlfn.XLOOKUP(F21,purchase!D:D,purchase!K:K,"")))</f>
        <v/>
      </c>
      <c r="Q21" s="29" t="str">
        <f t="shared" si="5"/>
        <v/>
      </c>
      <c r="R21" s="37" t="str">
        <f t="shared" si="6"/>
        <v/>
      </c>
    </row>
    <row r="22" spans="1:18" x14ac:dyDescent="0.35">
      <c r="A22" s="8">
        <v>18</v>
      </c>
      <c r="B22" s="9" t="str">
        <f t="shared" si="0"/>
        <v/>
      </c>
      <c r="C22" s="10"/>
      <c r="D22" s="9" t="str">
        <f>IF(F22="","",_xlfn.XLOOKUP(F22,purchase!D:D,purchase!#REF!,""))</f>
        <v/>
      </c>
      <c r="E22" s="9" t="str">
        <f>IF(F22="","",_xlfn.XLOOKUP(F22,purchase!D:D,purchase!B:B,""))</f>
        <v/>
      </c>
      <c r="F22" s="2"/>
      <c r="G22" s="4" t="str">
        <f t="shared" si="1"/>
        <v/>
      </c>
      <c r="H22" s="4" t="str">
        <f>IF(F22="","",_xlfn.XLOOKUP(F22,purchase!D:D,purchase!#REF!,""))</f>
        <v/>
      </c>
      <c r="I22" s="4" t="str">
        <f t="shared" si="2"/>
        <v/>
      </c>
      <c r="J22" s="4" t="str">
        <f t="shared" si="3"/>
        <v/>
      </c>
      <c r="K22" s="13" t="str">
        <f>_xlfn.SINGLE(IF(F22="","",_xlfn.XLOOKUP(F22,purchase!D:D,purchase!#REF!,"")))</f>
        <v/>
      </c>
      <c r="L22" s="2"/>
      <c r="M22" s="32"/>
      <c r="N22" s="13" t="str">
        <f>IF(F22="","",
MAX(0,
_xlfn.XLOOKUP(F22,purchase!D:D,purchase!#REF!,"")
-
SUMIFS(L:L,F:F,F22)))</f>
        <v/>
      </c>
      <c r="O22" s="13" t="str">
        <f t="shared" si="4"/>
        <v/>
      </c>
      <c r="P22" s="35" t="str">
        <f>_xlfn.SINGLE(IF(F22="","",_xlfn.XLOOKUP(F22,purchase!D:D,purchase!K:K,"")))</f>
        <v/>
      </c>
      <c r="Q22" s="29" t="str">
        <f t="shared" si="5"/>
        <v/>
      </c>
      <c r="R22" s="37" t="str">
        <f t="shared" si="6"/>
        <v/>
      </c>
    </row>
    <row r="23" spans="1:18" x14ac:dyDescent="0.35">
      <c r="A23" s="8">
        <v>19</v>
      </c>
      <c r="B23" s="9" t="str">
        <f t="shared" si="0"/>
        <v/>
      </c>
      <c r="C23" s="10"/>
      <c r="D23" s="9" t="str">
        <f>IF(F23="","",_xlfn.XLOOKUP(F23,purchase!D:D,purchase!#REF!,""))</f>
        <v/>
      </c>
      <c r="E23" s="9" t="str">
        <f>IF(F23="","",_xlfn.XLOOKUP(F23,purchase!D:D,purchase!B:B,""))</f>
        <v/>
      </c>
      <c r="F23" s="2"/>
      <c r="G23" s="4" t="str">
        <f t="shared" si="1"/>
        <v/>
      </c>
      <c r="H23" s="4" t="str">
        <f>IF(F23="","",_xlfn.XLOOKUP(F23,purchase!D:D,purchase!#REF!,""))</f>
        <v/>
      </c>
      <c r="I23" s="4" t="str">
        <f t="shared" si="2"/>
        <v/>
      </c>
      <c r="J23" s="4" t="str">
        <f t="shared" si="3"/>
        <v/>
      </c>
      <c r="K23" s="13" t="str">
        <f>_xlfn.SINGLE(IF(F23="","",_xlfn.XLOOKUP(F23,purchase!D:D,purchase!#REF!,"")))</f>
        <v/>
      </c>
      <c r="L23" s="2"/>
      <c r="M23" s="32"/>
      <c r="N23" s="13" t="str">
        <f>IF(F23="","",
MAX(0,
_xlfn.XLOOKUP(F23,purchase!D:D,purchase!#REF!,"")
-
SUMIFS(L:L,F:F,F23)))</f>
        <v/>
      </c>
      <c r="O23" s="13" t="str">
        <f t="shared" si="4"/>
        <v/>
      </c>
      <c r="P23" s="35" t="str">
        <f>_xlfn.SINGLE(IF(F23="","",_xlfn.XLOOKUP(F23,purchase!D:D,purchase!K:K,"")))</f>
        <v/>
      </c>
      <c r="Q23" s="29" t="str">
        <f t="shared" si="5"/>
        <v/>
      </c>
      <c r="R23" s="37" t="str">
        <f t="shared" si="6"/>
        <v/>
      </c>
    </row>
    <row r="24" spans="1:18" x14ac:dyDescent="0.35">
      <c r="A24" s="8">
        <v>20</v>
      </c>
      <c r="B24" s="9" t="str">
        <f t="shared" si="0"/>
        <v/>
      </c>
      <c r="C24" s="10"/>
      <c r="D24" s="9" t="str">
        <f>IF(F24="","",_xlfn.XLOOKUP(F24,purchase!D:D,purchase!#REF!,""))</f>
        <v/>
      </c>
      <c r="E24" s="9" t="str">
        <f>IF(F24="","",_xlfn.XLOOKUP(F24,purchase!D:D,purchase!B:B,""))</f>
        <v/>
      </c>
      <c r="F24" s="2"/>
      <c r="G24" s="4" t="str">
        <f t="shared" si="1"/>
        <v/>
      </c>
      <c r="H24" s="4" t="str">
        <f>IF(F24="","",_xlfn.XLOOKUP(F24,purchase!D:D,purchase!#REF!,""))</f>
        <v/>
      </c>
      <c r="I24" s="4" t="str">
        <f t="shared" si="2"/>
        <v/>
      </c>
      <c r="J24" s="4" t="str">
        <f t="shared" si="3"/>
        <v/>
      </c>
      <c r="K24" s="13" t="str">
        <f>_xlfn.SINGLE(IF(F24="","",_xlfn.XLOOKUP(F24,purchase!D:D,purchase!#REF!,"")))</f>
        <v/>
      </c>
      <c r="L24" s="2"/>
      <c r="M24" s="32"/>
      <c r="N24" s="13" t="str">
        <f>IF(F24="","",
MAX(0,
_xlfn.XLOOKUP(F24,purchase!D:D,purchase!#REF!,"")
-
SUMIFS(L:L,F:F,F24)))</f>
        <v/>
      </c>
      <c r="O24" s="13" t="str">
        <f t="shared" si="4"/>
        <v/>
      </c>
      <c r="P24" s="35" t="str">
        <f>_xlfn.SINGLE(IF(F24="","",_xlfn.XLOOKUP(F24,purchase!D:D,purchase!K:K,"")))</f>
        <v/>
      </c>
      <c r="Q24" s="29" t="str">
        <f t="shared" si="5"/>
        <v/>
      </c>
      <c r="R24" s="37" t="str">
        <f t="shared" si="6"/>
        <v/>
      </c>
    </row>
    <row r="25" spans="1:18" x14ac:dyDescent="0.35">
      <c r="A25" s="8">
        <v>21</v>
      </c>
      <c r="B25" s="9" t="str">
        <f t="shared" si="0"/>
        <v/>
      </c>
      <c r="C25" s="10"/>
      <c r="D25" s="9" t="str">
        <f>IF(F25="","",_xlfn.XLOOKUP(F25,purchase!D:D,purchase!#REF!,""))</f>
        <v/>
      </c>
      <c r="E25" s="9" t="str">
        <f>IF(F25="","",_xlfn.XLOOKUP(F25,purchase!D:D,purchase!B:B,""))</f>
        <v/>
      </c>
      <c r="F25" s="2"/>
      <c r="G25" s="4" t="str">
        <f t="shared" si="1"/>
        <v/>
      </c>
      <c r="H25" s="4" t="str">
        <f>IF(F25="","",_xlfn.XLOOKUP(F25,purchase!D:D,purchase!#REF!,""))</f>
        <v/>
      </c>
      <c r="I25" s="4" t="str">
        <f t="shared" si="2"/>
        <v/>
      </c>
      <c r="J25" s="4" t="str">
        <f t="shared" si="3"/>
        <v/>
      </c>
      <c r="K25" s="13" t="str">
        <f>_xlfn.SINGLE(IF(F25="","",_xlfn.XLOOKUP(F25,purchase!D:D,purchase!#REF!,"")))</f>
        <v/>
      </c>
      <c r="L25" s="2"/>
      <c r="M25" s="32"/>
      <c r="N25" s="13" t="str">
        <f>IF(F25="","",
MAX(0,
_xlfn.XLOOKUP(F25,purchase!D:D,purchase!#REF!,"")
-
SUMIFS(L:L,F:F,F25)))</f>
        <v/>
      </c>
      <c r="O25" s="13" t="str">
        <f t="shared" si="4"/>
        <v/>
      </c>
      <c r="P25" s="35" t="str">
        <f>_xlfn.SINGLE(IF(F25="","",_xlfn.XLOOKUP(F25,purchase!D:D,purchase!K:K,"")))</f>
        <v/>
      </c>
      <c r="Q25" s="29" t="str">
        <f t="shared" si="5"/>
        <v/>
      </c>
      <c r="R25" s="37" t="str">
        <f t="shared" si="6"/>
        <v/>
      </c>
    </row>
    <row r="26" spans="1:18" x14ac:dyDescent="0.35">
      <c r="A26" s="8">
        <v>22</v>
      </c>
      <c r="B26" s="9" t="str">
        <f t="shared" si="0"/>
        <v/>
      </c>
      <c r="C26" s="10"/>
      <c r="D26" s="9" t="str">
        <f>IF(F26="","",_xlfn.XLOOKUP(F26,purchase!D:D,purchase!#REF!,""))</f>
        <v/>
      </c>
      <c r="E26" s="9" t="str">
        <f>IF(F26="","",_xlfn.XLOOKUP(F26,purchase!D:D,purchase!B:B,""))</f>
        <v/>
      </c>
      <c r="F26" s="2"/>
      <c r="G26" s="4" t="str">
        <f t="shared" si="1"/>
        <v/>
      </c>
      <c r="H26" s="4" t="str">
        <f>IF(F26="","",_xlfn.XLOOKUP(F26,purchase!D:D,purchase!#REF!,""))</f>
        <v/>
      </c>
      <c r="I26" s="4" t="str">
        <f t="shared" si="2"/>
        <v/>
      </c>
      <c r="J26" s="4" t="str">
        <f t="shared" si="3"/>
        <v/>
      </c>
      <c r="K26" s="13" t="str">
        <f>_xlfn.SINGLE(IF(F26="","",_xlfn.XLOOKUP(F26,purchase!D:D,purchase!#REF!,"")))</f>
        <v/>
      </c>
      <c r="L26" s="2"/>
      <c r="M26" s="32"/>
      <c r="N26" s="13" t="str">
        <f>IF(F26="","",
MAX(0,
_xlfn.XLOOKUP(F26,purchase!D:D,purchase!#REF!,"")
-
SUMIFS(L:L,F:F,F26)))</f>
        <v/>
      </c>
      <c r="O26" s="13" t="str">
        <f t="shared" si="4"/>
        <v/>
      </c>
      <c r="P26" s="35" t="str">
        <f>_xlfn.SINGLE(IF(F26="","",_xlfn.XLOOKUP(F26,purchase!D:D,purchase!K:K,"")))</f>
        <v/>
      </c>
      <c r="Q26" s="29" t="str">
        <f t="shared" si="5"/>
        <v/>
      </c>
      <c r="R26" s="37" t="str">
        <f t="shared" si="6"/>
        <v/>
      </c>
    </row>
    <row r="27" spans="1:18" x14ac:dyDescent="0.35">
      <c r="A27" s="8">
        <v>23</v>
      </c>
      <c r="B27" s="9" t="str">
        <f t="shared" si="0"/>
        <v/>
      </c>
      <c r="C27" s="10"/>
      <c r="D27" s="9" t="str">
        <f>IF(F27="","",_xlfn.XLOOKUP(F27,purchase!D:D,purchase!#REF!,""))</f>
        <v/>
      </c>
      <c r="E27" s="9" t="str">
        <f>IF(F27="","",_xlfn.XLOOKUP(F27,purchase!D:D,purchase!B:B,""))</f>
        <v/>
      </c>
      <c r="F27" s="2"/>
      <c r="G27" s="4" t="str">
        <f t="shared" si="1"/>
        <v/>
      </c>
      <c r="H27" s="4" t="str">
        <f>IF(F27="","",_xlfn.XLOOKUP(F27,purchase!D:D,purchase!#REF!,""))</f>
        <v/>
      </c>
      <c r="I27" s="4" t="str">
        <f t="shared" si="2"/>
        <v/>
      </c>
      <c r="J27" s="4" t="str">
        <f t="shared" si="3"/>
        <v/>
      </c>
      <c r="K27" s="13" t="str">
        <f>_xlfn.SINGLE(IF(F27="","",_xlfn.XLOOKUP(F27,purchase!D:D,purchase!#REF!,"")))</f>
        <v/>
      </c>
      <c r="L27" s="2"/>
      <c r="M27" s="32"/>
      <c r="N27" s="13" t="str">
        <f>IF(F27="","",
MAX(0,
_xlfn.XLOOKUP(F27,purchase!D:D,purchase!#REF!,"")
-
SUMIFS(L:L,F:F,F27)))</f>
        <v/>
      </c>
      <c r="O27" s="13" t="str">
        <f t="shared" si="4"/>
        <v/>
      </c>
      <c r="P27" s="35" t="str">
        <f>_xlfn.SINGLE(IF(F27="","",_xlfn.XLOOKUP(F27,purchase!D:D,purchase!K:K,"")))</f>
        <v/>
      </c>
      <c r="Q27" s="29" t="str">
        <f t="shared" si="5"/>
        <v/>
      </c>
      <c r="R27" s="37" t="str">
        <f t="shared" si="6"/>
        <v/>
      </c>
    </row>
    <row r="28" spans="1:18" x14ac:dyDescent="0.35">
      <c r="A28" s="8">
        <v>24</v>
      </c>
      <c r="B28" s="9" t="str">
        <f t="shared" si="0"/>
        <v/>
      </c>
      <c r="C28" s="10"/>
      <c r="D28" s="9" t="str">
        <f>IF(F28="","",_xlfn.XLOOKUP(F28,purchase!D:D,purchase!#REF!,""))</f>
        <v/>
      </c>
      <c r="E28" s="9" t="str">
        <f>IF(F28="","",_xlfn.XLOOKUP(F28,purchase!D:D,purchase!B:B,""))</f>
        <v/>
      </c>
      <c r="F28" s="2"/>
      <c r="G28" s="4" t="str">
        <f t="shared" si="1"/>
        <v/>
      </c>
      <c r="H28" s="4" t="str">
        <f>IF(F28="","",_xlfn.XLOOKUP(F28,purchase!D:D,purchase!#REF!,""))</f>
        <v/>
      </c>
      <c r="I28" s="4" t="str">
        <f t="shared" si="2"/>
        <v/>
      </c>
      <c r="J28" s="4" t="str">
        <f t="shared" si="3"/>
        <v/>
      </c>
      <c r="K28" s="13" t="str">
        <f>_xlfn.SINGLE(IF(F28="","",_xlfn.XLOOKUP(F28,purchase!D:D,purchase!#REF!,"")))</f>
        <v/>
      </c>
      <c r="L28" s="2"/>
      <c r="M28" s="32"/>
      <c r="N28" s="13" t="str">
        <f>IF(F28="","",
MAX(0,
_xlfn.XLOOKUP(F28,purchase!D:D,purchase!#REF!,"")
-
SUMIFS(L:L,F:F,F28)))</f>
        <v/>
      </c>
      <c r="O28" s="13" t="str">
        <f t="shared" si="4"/>
        <v/>
      </c>
      <c r="P28" s="35" t="str">
        <f>_xlfn.SINGLE(IF(F28="","",_xlfn.XLOOKUP(F28,purchase!D:D,purchase!K:K,"")))</f>
        <v/>
      </c>
      <c r="Q28" s="29" t="str">
        <f t="shared" si="5"/>
        <v/>
      </c>
      <c r="R28" s="37" t="str">
        <f t="shared" si="6"/>
        <v/>
      </c>
    </row>
    <row r="29" spans="1:18" x14ac:dyDescent="0.35">
      <c r="A29" s="8">
        <v>25</v>
      </c>
      <c r="B29" s="9" t="str">
        <f t="shared" si="0"/>
        <v/>
      </c>
      <c r="C29" s="10"/>
      <c r="D29" s="9" t="str">
        <f>IF(F29="","",_xlfn.XLOOKUP(F29,purchase!D:D,purchase!#REF!,""))</f>
        <v/>
      </c>
      <c r="E29" s="9" t="str">
        <f>IF(F29="","",_xlfn.XLOOKUP(F29,purchase!D:D,purchase!B:B,""))</f>
        <v/>
      </c>
      <c r="F29" s="2"/>
      <c r="G29" s="4" t="str">
        <f t="shared" si="1"/>
        <v/>
      </c>
      <c r="H29" s="4" t="str">
        <f>IF(F29="","",_xlfn.XLOOKUP(F29,purchase!D:D,purchase!#REF!,""))</f>
        <v/>
      </c>
      <c r="I29" s="4" t="str">
        <f t="shared" si="2"/>
        <v/>
      </c>
      <c r="J29" s="4" t="str">
        <f t="shared" si="3"/>
        <v/>
      </c>
      <c r="K29" s="13" t="str">
        <f>_xlfn.SINGLE(IF(F29="","",_xlfn.XLOOKUP(F29,purchase!D:D,purchase!#REF!,"")))</f>
        <v/>
      </c>
      <c r="L29" s="2"/>
      <c r="M29" s="32"/>
      <c r="N29" s="13" t="str">
        <f>IF(F29="","",
MAX(0,
_xlfn.XLOOKUP(F29,purchase!D:D,purchase!#REF!,"")
-
SUMIFS(L:L,F:F,F29)))</f>
        <v/>
      </c>
      <c r="O29" s="13" t="str">
        <f t="shared" si="4"/>
        <v/>
      </c>
      <c r="P29" s="35" t="str">
        <f>_xlfn.SINGLE(IF(F29="","",_xlfn.XLOOKUP(F29,purchase!D:D,purchase!K:K,"")))</f>
        <v/>
      </c>
      <c r="Q29" s="29" t="str">
        <f t="shared" si="5"/>
        <v/>
      </c>
      <c r="R29" s="37" t="str">
        <f t="shared" si="6"/>
        <v/>
      </c>
    </row>
    <row r="30" spans="1:18" x14ac:dyDescent="0.35">
      <c r="A30" s="8">
        <v>26</v>
      </c>
      <c r="B30" s="9" t="str">
        <f t="shared" si="0"/>
        <v/>
      </c>
      <c r="C30" s="10"/>
      <c r="D30" s="9" t="str">
        <f>IF(F30="","",_xlfn.XLOOKUP(F30,purchase!D:D,purchase!#REF!,""))</f>
        <v/>
      </c>
      <c r="E30" s="9" t="str">
        <f>IF(F30="","",_xlfn.XLOOKUP(F30,purchase!D:D,purchase!B:B,""))</f>
        <v/>
      </c>
      <c r="F30" s="2"/>
      <c r="G30" s="4" t="str">
        <f t="shared" si="1"/>
        <v/>
      </c>
      <c r="H30" s="4" t="str">
        <f>IF(F30="","",_xlfn.XLOOKUP(F30,purchase!D:D,purchase!#REF!,""))</f>
        <v/>
      </c>
      <c r="I30" s="4" t="str">
        <f t="shared" si="2"/>
        <v/>
      </c>
      <c r="J30" s="4" t="str">
        <f t="shared" si="3"/>
        <v/>
      </c>
      <c r="K30" s="13" t="str">
        <f>_xlfn.SINGLE(IF(F30="","",_xlfn.XLOOKUP(F30,purchase!D:D,purchase!#REF!,"")))</f>
        <v/>
      </c>
      <c r="L30" s="2"/>
      <c r="M30" s="32"/>
      <c r="N30" s="13" t="str">
        <f>IF(F30="","",
MAX(0,
_xlfn.XLOOKUP(F30,purchase!D:D,purchase!#REF!,"")
-
SUMIFS(L:L,F:F,F30)))</f>
        <v/>
      </c>
      <c r="O30" s="13" t="str">
        <f t="shared" si="4"/>
        <v/>
      </c>
      <c r="P30" s="35" t="str">
        <f>_xlfn.SINGLE(IF(F30="","",_xlfn.XLOOKUP(F30,purchase!D:D,purchase!K:K,"")))</f>
        <v/>
      </c>
      <c r="Q30" s="29" t="str">
        <f t="shared" si="5"/>
        <v/>
      </c>
      <c r="R30" s="37" t="str">
        <f t="shared" si="6"/>
        <v/>
      </c>
    </row>
    <row r="31" spans="1:18" x14ac:dyDescent="0.35">
      <c r="A31" s="8">
        <v>27</v>
      </c>
      <c r="B31" s="9" t="str">
        <f t="shared" si="0"/>
        <v/>
      </c>
      <c r="C31" s="10"/>
      <c r="D31" s="9" t="str">
        <f>IF(F31="","",_xlfn.XLOOKUP(F31,purchase!D:D,purchase!#REF!,""))</f>
        <v/>
      </c>
      <c r="E31" s="9" t="str">
        <f>IF(F31="","",_xlfn.XLOOKUP(F31,purchase!D:D,purchase!B:B,""))</f>
        <v/>
      </c>
      <c r="F31" s="2"/>
      <c r="G31" s="4" t="str">
        <f t="shared" si="1"/>
        <v/>
      </c>
      <c r="H31" s="4" t="str">
        <f>IF(F31="","",_xlfn.XLOOKUP(F31,purchase!D:D,purchase!#REF!,""))</f>
        <v/>
      </c>
      <c r="I31" s="4" t="str">
        <f t="shared" si="2"/>
        <v/>
      </c>
      <c r="J31" s="4" t="str">
        <f t="shared" si="3"/>
        <v/>
      </c>
      <c r="K31" s="13" t="str">
        <f>_xlfn.SINGLE(IF(F31="","",_xlfn.XLOOKUP(F31,purchase!D:D,purchase!#REF!,"")))</f>
        <v/>
      </c>
      <c r="L31" s="2"/>
      <c r="M31" s="32"/>
      <c r="N31" s="13" t="str">
        <f>IF(F31="","",
MAX(0,
_xlfn.XLOOKUP(F31,purchase!D:D,purchase!#REF!,"")
-
SUMIFS(L:L,F:F,F31)))</f>
        <v/>
      </c>
      <c r="O31" s="13" t="str">
        <f t="shared" si="4"/>
        <v/>
      </c>
      <c r="P31" s="35" t="str">
        <f>_xlfn.SINGLE(IF(F31="","",_xlfn.XLOOKUP(F31,purchase!D:D,purchase!K:K,"")))</f>
        <v/>
      </c>
      <c r="Q31" s="29" t="str">
        <f t="shared" si="5"/>
        <v/>
      </c>
      <c r="R31" s="37" t="str">
        <f t="shared" si="6"/>
        <v/>
      </c>
    </row>
    <row r="32" spans="1:18" x14ac:dyDescent="0.35">
      <c r="A32" s="8">
        <v>28</v>
      </c>
      <c r="B32" s="9" t="str">
        <f t="shared" si="0"/>
        <v/>
      </c>
      <c r="C32" s="10"/>
      <c r="D32" s="9" t="str">
        <f>IF(F32="","",_xlfn.XLOOKUP(F32,purchase!D:D,purchase!#REF!,""))</f>
        <v/>
      </c>
      <c r="E32" s="9" t="str">
        <f>IF(F32="","",_xlfn.XLOOKUP(F32,purchase!D:D,purchase!B:B,""))</f>
        <v/>
      </c>
      <c r="F32" s="2"/>
      <c r="G32" s="4" t="str">
        <f t="shared" si="1"/>
        <v/>
      </c>
      <c r="H32" s="4" t="str">
        <f>IF(F32="","",_xlfn.XLOOKUP(F32,purchase!D:D,purchase!#REF!,""))</f>
        <v/>
      </c>
      <c r="I32" s="4" t="str">
        <f t="shared" si="2"/>
        <v/>
      </c>
      <c r="J32" s="4" t="str">
        <f t="shared" si="3"/>
        <v/>
      </c>
      <c r="K32" s="13" t="str">
        <f>_xlfn.SINGLE(IF(F32="","",_xlfn.XLOOKUP(F32,purchase!D:D,purchase!#REF!,"")))</f>
        <v/>
      </c>
      <c r="L32" s="2"/>
      <c r="M32" s="32"/>
      <c r="N32" s="13" t="str">
        <f>IF(F32="","",
MAX(0,
_xlfn.XLOOKUP(F32,purchase!D:D,purchase!#REF!,"")
-
SUMIFS(L:L,F:F,F32)))</f>
        <v/>
      </c>
      <c r="O32" s="13" t="str">
        <f t="shared" si="4"/>
        <v/>
      </c>
      <c r="P32" s="35" t="str">
        <f>_xlfn.SINGLE(IF(F32="","",_xlfn.XLOOKUP(F32,purchase!D:D,purchase!K:K,"")))</f>
        <v/>
      </c>
      <c r="Q32" s="29" t="str">
        <f t="shared" si="5"/>
        <v/>
      </c>
      <c r="R32" s="37" t="str">
        <f t="shared" si="6"/>
        <v/>
      </c>
    </row>
    <row r="33" spans="1:18" x14ac:dyDescent="0.35">
      <c r="A33" s="8">
        <v>29</v>
      </c>
      <c r="B33" s="9" t="str">
        <f t="shared" si="0"/>
        <v/>
      </c>
      <c r="C33" s="10"/>
      <c r="D33" s="9" t="str">
        <f>IF(F33="","",_xlfn.XLOOKUP(F33,purchase!D:D,purchase!#REF!,""))</f>
        <v/>
      </c>
      <c r="E33" s="9" t="str">
        <f>IF(F33="","",_xlfn.XLOOKUP(F33,purchase!D:D,purchase!B:B,""))</f>
        <v/>
      </c>
      <c r="F33" s="2"/>
      <c r="G33" s="4" t="str">
        <f t="shared" si="1"/>
        <v/>
      </c>
      <c r="H33" s="4" t="str">
        <f>IF(F33="","",_xlfn.XLOOKUP(F33,purchase!D:D,purchase!#REF!,""))</f>
        <v/>
      </c>
      <c r="I33" s="4" t="str">
        <f t="shared" si="2"/>
        <v/>
      </c>
      <c r="J33" s="4" t="str">
        <f t="shared" si="3"/>
        <v/>
      </c>
      <c r="K33" s="13" t="str">
        <f>_xlfn.SINGLE(IF(F33="","",_xlfn.XLOOKUP(F33,purchase!D:D,purchase!#REF!,"")))</f>
        <v/>
      </c>
      <c r="L33" s="2"/>
      <c r="M33" s="32"/>
      <c r="N33" s="13" t="str">
        <f>IF(F33="","",
MAX(0,
_xlfn.XLOOKUP(F33,purchase!D:D,purchase!#REF!,"")
-
SUMIFS(L:L,F:F,F33)))</f>
        <v/>
      </c>
      <c r="O33" s="13" t="str">
        <f t="shared" si="4"/>
        <v/>
      </c>
      <c r="P33" s="35" t="str">
        <f>_xlfn.SINGLE(IF(F33="","",_xlfn.XLOOKUP(F33,purchase!D:D,purchase!K:K,"")))</f>
        <v/>
      </c>
      <c r="Q33" s="29" t="str">
        <f t="shared" si="5"/>
        <v/>
      </c>
      <c r="R33" s="37" t="str">
        <f t="shared" si="6"/>
        <v/>
      </c>
    </row>
    <row r="34" spans="1:18" x14ac:dyDescent="0.35">
      <c r="A34" s="8">
        <v>30</v>
      </c>
      <c r="B34" s="9" t="str">
        <f t="shared" si="0"/>
        <v/>
      </c>
      <c r="C34" s="10"/>
      <c r="D34" s="9" t="str">
        <f>IF(F34="","",_xlfn.XLOOKUP(F34,purchase!D:D,purchase!#REF!,""))</f>
        <v/>
      </c>
      <c r="E34" s="9" t="str">
        <f>IF(F34="","",_xlfn.XLOOKUP(F34,purchase!D:D,purchase!B:B,""))</f>
        <v/>
      </c>
      <c r="F34" s="2"/>
      <c r="G34" s="4" t="str">
        <f t="shared" si="1"/>
        <v/>
      </c>
      <c r="H34" s="4" t="str">
        <f>IF(F34="","",_xlfn.XLOOKUP(F34,purchase!D:D,purchase!#REF!,""))</f>
        <v/>
      </c>
      <c r="I34" s="4" t="str">
        <f t="shared" si="2"/>
        <v/>
      </c>
      <c r="J34" s="4" t="str">
        <f t="shared" si="3"/>
        <v/>
      </c>
      <c r="K34" s="13" t="str">
        <f>_xlfn.SINGLE(IF(F34="","",_xlfn.XLOOKUP(F34,purchase!D:D,purchase!#REF!,"")))</f>
        <v/>
      </c>
      <c r="L34" s="2"/>
      <c r="M34" s="32"/>
      <c r="N34" s="13" t="str">
        <f>IF(F34="","",
MAX(0,
_xlfn.XLOOKUP(F34,purchase!D:D,purchase!#REF!,"")
-
SUMIFS(L:L,F:F,F34)))</f>
        <v/>
      </c>
      <c r="O34" s="13" t="str">
        <f t="shared" si="4"/>
        <v/>
      </c>
      <c r="P34" s="35" t="str">
        <f>_xlfn.SINGLE(IF(F34="","",_xlfn.XLOOKUP(F34,purchase!D:D,purchase!K:K,"")))</f>
        <v/>
      </c>
      <c r="Q34" s="29" t="str">
        <f t="shared" si="5"/>
        <v/>
      </c>
      <c r="R34" s="37" t="str">
        <f t="shared" si="6"/>
        <v/>
      </c>
    </row>
    <row r="35" spans="1:18" x14ac:dyDescent="0.35">
      <c r="A35" s="8">
        <v>31</v>
      </c>
      <c r="B35" s="9" t="str">
        <f t="shared" si="0"/>
        <v/>
      </c>
      <c r="C35" s="10"/>
      <c r="D35" s="9" t="str">
        <f>IF(F35="","",_xlfn.XLOOKUP(F35,purchase!D:D,purchase!#REF!,""))</f>
        <v/>
      </c>
      <c r="E35" s="9" t="str">
        <f>IF(F35="","",_xlfn.XLOOKUP(F35,purchase!D:D,purchase!B:B,""))</f>
        <v/>
      </c>
      <c r="F35" s="2"/>
      <c r="G35" s="4" t="str">
        <f t="shared" si="1"/>
        <v/>
      </c>
      <c r="H35" s="4" t="str">
        <f>IF(F35="","",_xlfn.XLOOKUP(F35,purchase!D:D,purchase!#REF!,""))</f>
        <v/>
      </c>
      <c r="I35" s="4" t="str">
        <f t="shared" si="2"/>
        <v/>
      </c>
      <c r="J35" s="4" t="str">
        <f t="shared" si="3"/>
        <v/>
      </c>
      <c r="K35" s="13" t="str">
        <f>_xlfn.SINGLE(IF(F35="","",_xlfn.XLOOKUP(F35,purchase!D:D,purchase!#REF!,"")))</f>
        <v/>
      </c>
      <c r="L35" s="2"/>
      <c r="M35" s="32"/>
      <c r="N35" s="13" t="str">
        <f>IF(F35="","",
MAX(0,
_xlfn.XLOOKUP(F35,purchase!D:D,purchase!#REF!,"")
-
SUMIFS(L:L,F:F,F35)))</f>
        <v/>
      </c>
      <c r="O35" s="13" t="str">
        <f t="shared" si="4"/>
        <v/>
      </c>
      <c r="P35" s="35" t="str">
        <f>_xlfn.SINGLE(IF(F35="","",_xlfn.XLOOKUP(F35,purchase!D:D,purchase!K:K,"")))</f>
        <v/>
      </c>
      <c r="Q35" s="29" t="str">
        <f t="shared" si="5"/>
        <v/>
      </c>
      <c r="R35" s="37" t="str">
        <f t="shared" si="6"/>
        <v/>
      </c>
    </row>
    <row r="36" spans="1:18" x14ac:dyDescent="0.35">
      <c r="A36" s="8">
        <v>32</v>
      </c>
      <c r="B36" s="9" t="str">
        <f t="shared" si="0"/>
        <v/>
      </c>
      <c r="C36" s="10"/>
      <c r="D36" s="9" t="str">
        <f>IF(F36="","",_xlfn.XLOOKUP(F36,purchase!D:D,purchase!#REF!,""))</f>
        <v/>
      </c>
      <c r="E36" s="9" t="str">
        <f>IF(F36="","",_xlfn.XLOOKUP(F36,purchase!D:D,purchase!B:B,""))</f>
        <v/>
      </c>
      <c r="F36" s="2"/>
      <c r="G36" s="4" t="str">
        <f t="shared" si="1"/>
        <v/>
      </c>
      <c r="H36" s="4" t="str">
        <f>IF(F36="","",_xlfn.XLOOKUP(F36,purchase!D:D,purchase!#REF!,""))</f>
        <v/>
      </c>
      <c r="I36" s="4" t="str">
        <f t="shared" si="2"/>
        <v/>
      </c>
      <c r="J36" s="4" t="str">
        <f t="shared" si="3"/>
        <v/>
      </c>
      <c r="K36" s="13" t="str">
        <f>_xlfn.SINGLE(IF(F36="","",_xlfn.XLOOKUP(F36,purchase!D:D,purchase!#REF!,"")))</f>
        <v/>
      </c>
      <c r="L36" s="2"/>
      <c r="M36" s="32"/>
      <c r="N36" s="13" t="str">
        <f>IF(F36="","",
MAX(0,
_xlfn.XLOOKUP(F36,purchase!D:D,purchase!#REF!,"")
-
SUMIFS(L:L,F:F,F36)))</f>
        <v/>
      </c>
      <c r="O36" s="13" t="str">
        <f t="shared" si="4"/>
        <v/>
      </c>
      <c r="P36" s="35" t="str">
        <f>_xlfn.SINGLE(IF(F36="","",_xlfn.XLOOKUP(F36,purchase!D:D,purchase!K:K,"")))</f>
        <v/>
      </c>
      <c r="Q36" s="29" t="str">
        <f t="shared" si="5"/>
        <v/>
      </c>
      <c r="R36" s="37" t="str">
        <f t="shared" si="6"/>
        <v/>
      </c>
    </row>
    <row r="37" spans="1:18" x14ac:dyDescent="0.35">
      <c r="A37" s="8">
        <v>33</v>
      </c>
      <c r="B37" s="9" t="str">
        <f t="shared" si="0"/>
        <v/>
      </c>
      <c r="C37" s="10"/>
      <c r="D37" s="9" t="str">
        <f>IF(F37="","",_xlfn.XLOOKUP(F37,purchase!D:D,purchase!#REF!,""))</f>
        <v/>
      </c>
      <c r="E37" s="9" t="str">
        <f>IF(F37="","",_xlfn.XLOOKUP(F37,purchase!D:D,purchase!B:B,""))</f>
        <v/>
      </c>
      <c r="F37" s="2"/>
      <c r="G37" s="4" t="str">
        <f t="shared" si="1"/>
        <v/>
      </c>
      <c r="H37" s="4" t="str">
        <f>IF(F37="","",_xlfn.XLOOKUP(F37,purchase!D:D,purchase!#REF!,""))</f>
        <v/>
      </c>
      <c r="I37" s="4" t="str">
        <f t="shared" si="2"/>
        <v/>
      </c>
      <c r="J37" s="4" t="str">
        <f t="shared" si="3"/>
        <v/>
      </c>
      <c r="K37" s="13" t="str">
        <f>_xlfn.SINGLE(IF(F37="","",_xlfn.XLOOKUP(F37,purchase!D:D,purchase!#REF!,"")))</f>
        <v/>
      </c>
      <c r="L37" s="2"/>
      <c r="M37" s="32"/>
      <c r="N37" s="13" t="str">
        <f>IF(F37="","",
MAX(0,
_xlfn.XLOOKUP(F37,purchase!D:D,purchase!#REF!,"")
-
SUMIFS(L:L,F:F,F37)))</f>
        <v/>
      </c>
      <c r="O37" s="13" t="str">
        <f t="shared" si="4"/>
        <v/>
      </c>
      <c r="P37" s="35" t="str">
        <f>_xlfn.SINGLE(IF(F37="","",_xlfn.XLOOKUP(F37,purchase!D:D,purchase!K:K,"")))</f>
        <v/>
      </c>
      <c r="Q37" s="29" t="str">
        <f t="shared" si="5"/>
        <v/>
      </c>
      <c r="R37" s="37" t="str">
        <f t="shared" si="6"/>
        <v/>
      </c>
    </row>
    <row r="38" spans="1:18" x14ac:dyDescent="0.35">
      <c r="A38" s="8">
        <v>34</v>
      </c>
      <c r="B38" s="9" t="str">
        <f t="shared" si="0"/>
        <v/>
      </c>
      <c r="C38" s="10"/>
      <c r="D38" s="9" t="str">
        <f>IF(F38="","",_xlfn.XLOOKUP(F38,purchase!D:D,purchase!#REF!,""))</f>
        <v/>
      </c>
      <c r="E38" s="9" t="str">
        <f>IF(F38="","",_xlfn.XLOOKUP(F38,purchase!D:D,purchase!B:B,""))</f>
        <v/>
      </c>
      <c r="F38" s="2"/>
      <c r="G38" s="4" t="str">
        <f t="shared" si="1"/>
        <v/>
      </c>
      <c r="H38" s="4" t="str">
        <f>IF(F38="","",_xlfn.XLOOKUP(F38,purchase!D:D,purchase!#REF!,""))</f>
        <v/>
      </c>
      <c r="I38" s="4" t="str">
        <f t="shared" si="2"/>
        <v/>
      </c>
      <c r="J38" s="4" t="str">
        <f t="shared" si="3"/>
        <v/>
      </c>
      <c r="K38" s="13" t="str">
        <f>_xlfn.SINGLE(IF(F38="","",_xlfn.XLOOKUP(F38,purchase!D:D,purchase!#REF!,"")))</f>
        <v/>
      </c>
      <c r="L38" s="2"/>
      <c r="M38" s="32"/>
      <c r="N38" s="13" t="str">
        <f>IF(F38="","",
MAX(0,
_xlfn.XLOOKUP(F38,purchase!D:D,purchase!#REF!,"")
-
SUMIFS(L:L,F:F,F38)))</f>
        <v/>
      </c>
      <c r="O38" s="13" t="str">
        <f t="shared" si="4"/>
        <v/>
      </c>
      <c r="P38" s="35" t="str">
        <f>_xlfn.SINGLE(IF(F38="","",_xlfn.XLOOKUP(F38,purchase!D:D,purchase!K:K,"")))</f>
        <v/>
      </c>
      <c r="Q38" s="29" t="str">
        <f t="shared" si="5"/>
        <v/>
      </c>
      <c r="R38" s="37" t="str">
        <f t="shared" si="6"/>
        <v/>
      </c>
    </row>
    <row r="39" spans="1:18" x14ac:dyDescent="0.35">
      <c r="A39" s="8">
        <v>35</v>
      </c>
      <c r="B39" s="9" t="str">
        <f t="shared" si="0"/>
        <v/>
      </c>
      <c r="C39" s="10"/>
      <c r="D39" s="9" t="str">
        <f>IF(F39="","",_xlfn.XLOOKUP(F39,purchase!D:D,purchase!#REF!,""))</f>
        <v/>
      </c>
      <c r="E39" s="9" t="str">
        <f>IF(F39="","",_xlfn.XLOOKUP(F39,purchase!D:D,purchase!B:B,""))</f>
        <v/>
      </c>
      <c r="F39" s="2"/>
      <c r="G39" s="4" t="str">
        <f t="shared" si="1"/>
        <v/>
      </c>
      <c r="H39" s="4" t="str">
        <f>IF(F39="","",_xlfn.XLOOKUP(F39,purchase!D:D,purchase!#REF!,""))</f>
        <v/>
      </c>
      <c r="I39" s="4" t="str">
        <f t="shared" si="2"/>
        <v/>
      </c>
      <c r="J39" s="4" t="str">
        <f t="shared" si="3"/>
        <v/>
      </c>
      <c r="K39" s="13" t="str">
        <f>_xlfn.SINGLE(IF(F39="","",_xlfn.XLOOKUP(F39,purchase!D:D,purchase!#REF!,"")))</f>
        <v/>
      </c>
      <c r="L39" s="2"/>
      <c r="M39" s="32"/>
      <c r="N39" s="13" t="str">
        <f>IF(F39="","",
MAX(0,
_xlfn.XLOOKUP(F39,purchase!D:D,purchase!#REF!,"")
-
SUMIFS(L:L,F:F,F39)))</f>
        <v/>
      </c>
      <c r="O39" s="13" t="str">
        <f t="shared" si="4"/>
        <v/>
      </c>
      <c r="P39" s="35" t="str">
        <f>_xlfn.SINGLE(IF(F39="","",_xlfn.XLOOKUP(F39,purchase!D:D,purchase!K:K,"")))</f>
        <v/>
      </c>
      <c r="Q39" s="29" t="str">
        <f t="shared" si="5"/>
        <v/>
      </c>
      <c r="R39" s="37" t="str">
        <f t="shared" si="6"/>
        <v/>
      </c>
    </row>
    <row r="40" spans="1:18" x14ac:dyDescent="0.35">
      <c r="A40" s="8">
        <v>36</v>
      </c>
      <c r="B40" s="9" t="str">
        <f t="shared" si="0"/>
        <v/>
      </c>
      <c r="C40" s="10"/>
      <c r="D40" s="9" t="str">
        <f>IF(F40="","",_xlfn.XLOOKUP(F40,purchase!D:D,purchase!#REF!,""))</f>
        <v/>
      </c>
      <c r="E40" s="9" t="str">
        <f>IF(F40="","",_xlfn.XLOOKUP(F40,purchase!D:D,purchase!B:B,""))</f>
        <v/>
      </c>
      <c r="F40" s="2"/>
      <c r="G40" s="4" t="str">
        <f t="shared" si="1"/>
        <v/>
      </c>
      <c r="H40" s="4" t="str">
        <f>IF(F40="","",_xlfn.XLOOKUP(F40,purchase!D:D,purchase!#REF!,""))</f>
        <v/>
      </c>
      <c r="I40" s="4" t="str">
        <f t="shared" si="2"/>
        <v/>
      </c>
      <c r="J40" s="4" t="str">
        <f t="shared" si="3"/>
        <v/>
      </c>
      <c r="K40" s="13" t="str">
        <f>_xlfn.SINGLE(IF(F40="","",_xlfn.XLOOKUP(F40,purchase!D:D,purchase!#REF!,"")))</f>
        <v/>
      </c>
      <c r="L40" s="2"/>
      <c r="M40" s="32"/>
      <c r="N40" s="13" t="str">
        <f>IF(F40="","",
MAX(0,
_xlfn.XLOOKUP(F40,purchase!D:D,purchase!#REF!,"")
-
SUMIFS(L:L,F:F,F40)))</f>
        <v/>
      </c>
      <c r="O40" s="13" t="str">
        <f t="shared" si="4"/>
        <v/>
      </c>
      <c r="P40" s="35" t="str">
        <f>_xlfn.SINGLE(IF(F40="","",_xlfn.XLOOKUP(F40,purchase!D:D,purchase!K:K,"")))</f>
        <v/>
      </c>
      <c r="Q40" s="29" t="str">
        <f t="shared" si="5"/>
        <v/>
      </c>
      <c r="R40" s="37" t="str">
        <f t="shared" si="6"/>
        <v/>
      </c>
    </row>
    <row r="41" spans="1:18" x14ac:dyDescent="0.35">
      <c r="A41" s="8">
        <v>37</v>
      </c>
      <c r="B41" s="9" t="str">
        <f t="shared" si="0"/>
        <v/>
      </c>
      <c r="C41" s="10"/>
      <c r="D41" s="9" t="str">
        <f>IF(F41="","",_xlfn.XLOOKUP(F41,purchase!D:D,purchase!#REF!,""))</f>
        <v/>
      </c>
      <c r="E41" s="9" t="str">
        <f>IF(F41="","",_xlfn.XLOOKUP(F41,purchase!D:D,purchase!B:B,""))</f>
        <v/>
      </c>
      <c r="F41" s="2"/>
      <c r="G41" s="4" t="str">
        <f t="shared" si="1"/>
        <v/>
      </c>
      <c r="H41" s="4" t="str">
        <f>IF(F41="","",_xlfn.XLOOKUP(F41,purchase!D:D,purchase!#REF!,""))</f>
        <v/>
      </c>
      <c r="I41" s="4" t="str">
        <f t="shared" si="2"/>
        <v/>
      </c>
      <c r="J41" s="4" t="str">
        <f t="shared" si="3"/>
        <v/>
      </c>
      <c r="K41" s="13" t="str">
        <f>_xlfn.SINGLE(IF(F41="","",_xlfn.XLOOKUP(F41,purchase!D:D,purchase!#REF!,"")))</f>
        <v/>
      </c>
      <c r="L41" s="2"/>
      <c r="M41" s="32"/>
      <c r="N41" s="13" t="str">
        <f>IF(F41="","",
MAX(0,
_xlfn.XLOOKUP(F41,purchase!D:D,purchase!#REF!,"")
-
SUMIFS(L:L,F:F,F41)))</f>
        <v/>
      </c>
      <c r="O41" s="13" t="str">
        <f t="shared" si="4"/>
        <v/>
      </c>
      <c r="P41" s="35" t="str">
        <f>_xlfn.SINGLE(IF(F41="","",_xlfn.XLOOKUP(F41,purchase!D:D,purchase!K:K,"")))</f>
        <v/>
      </c>
      <c r="Q41" s="29" t="str">
        <f t="shared" si="5"/>
        <v/>
      </c>
      <c r="R41" s="37" t="str">
        <f t="shared" si="6"/>
        <v/>
      </c>
    </row>
    <row r="42" spans="1:18" x14ac:dyDescent="0.35">
      <c r="A42" s="8">
        <v>38</v>
      </c>
      <c r="B42" s="9" t="str">
        <f t="shared" si="0"/>
        <v/>
      </c>
      <c r="C42" s="10"/>
      <c r="D42" s="9" t="str">
        <f>IF(F42="","",_xlfn.XLOOKUP(F42,purchase!D:D,purchase!#REF!,""))</f>
        <v/>
      </c>
      <c r="E42" s="9" t="str">
        <f>IF(F42="","",_xlfn.XLOOKUP(F42,purchase!D:D,purchase!B:B,""))</f>
        <v/>
      </c>
      <c r="F42" s="2"/>
      <c r="G42" s="4" t="str">
        <f t="shared" si="1"/>
        <v/>
      </c>
      <c r="H42" s="4" t="str">
        <f>IF(F42="","",_xlfn.XLOOKUP(F42,purchase!D:D,purchase!#REF!,""))</f>
        <v/>
      </c>
      <c r="I42" s="4" t="str">
        <f t="shared" si="2"/>
        <v/>
      </c>
      <c r="J42" s="4" t="str">
        <f t="shared" si="3"/>
        <v/>
      </c>
      <c r="K42" s="13" t="str">
        <f>_xlfn.SINGLE(IF(F42="","",_xlfn.XLOOKUP(F42,purchase!D:D,purchase!#REF!,"")))</f>
        <v/>
      </c>
      <c r="L42" s="2"/>
      <c r="M42" s="32"/>
      <c r="N42" s="13" t="str">
        <f>IF(F42="","",
MAX(0,
_xlfn.XLOOKUP(F42,purchase!D:D,purchase!#REF!,"")
-
SUMIFS(L:L,F:F,F42)))</f>
        <v/>
      </c>
      <c r="O42" s="13" t="str">
        <f t="shared" si="4"/>
        <v/>
      </c>
      <c r="P42" s="35" t="str">
        <f>_xlfn.SINGLE(IF(F42="","",_xlfn.XLOOKUP(F42,purchase!D:D,purchase!K:K,"")))</f>
        <v/>
      </c>
      <c r="Q42" s="29" t="str">
        <f t="shared" si="5"/>
        <v/>
      </c>
      <c r="R42" s="37" t="str">
        <f t="shared" si="6"/>
        <v/>
      </c>
    </row>
    <row r="43" spans="1:18" x14ac:dyDescent="0.35">
      <c r="A43" s="8">
        <v>39</v>
      </c>
      <c r="B43" s="9" t="str">
        <f t="shared" si="0"/>
        <v/>
      </c>
      <c r="C43" s="10"/>
      <c r="D43" s="9" t="str">
        <f>IF(F43="","",_xlfn.XLOOKUP(F43,purchase!D:D,purchase!#REF!,""))</f>
        <v/>
      </c>
      <c r="E43" s="9" t="str">
        <f>IF(F43="","",_xlfn.XLOOKUP(F43,purchase!D:D,purchase!B:B,""))</f>
        <v/>
      </c>
      <c r="F43" s="2"/>
      <c r="G43" s="4" t="str">
        <f t="shared" si="1"/>
        <v/>
      </c>
      <c r="H43" s="4" t="str">
        <f>IF(F43="","",_xlfn.XLOOKUP(F43,purchase!D:D,purchase!#REF!,""))</f>
        <v/>
      </c>
      <c r="I43" s="4" t="str">
        <f t="shared" si="2"/>
        <v/>
      </c>
      <c r="J43" s="4" t="str">
        <f t="shared" si="3"/>
        <v/>
      </c>
      <c r="K43" s="13" t="str">
        <f>_xlfn.SINGLE(IF(F43="","",_xlfn.XLOOKUP(F43,purchase!D:D,purchase!#REF!,"")))</f>
        <v/>
      </c>
      <c r="L43" s="2"/>
      <c r="M43" s="32"/>
      <c r="N43" s="13" t="str">
        <f>IF(F43="","",
MAX(0,
_xlfn.XLOOKUP(F43,purchase!D:D,purchase!#REF!,"")
-
SUMIFS(L:L,F:F,F43)))</f>
        <v/>
      </c>
      <c r="O43" s="13" t="str">
        <f t="shared" si="4"/>
        <v/>
      </c>
      <c r="P43" s="35" t="str">
        <f>_xlfn.SINGLE(IF(F43="","",_xlfn.XLOOKUP(F43,purchase!D:D,purchase!K:K,"")))</f>
        <v/>
      </c>
      <c r="Q43" s="29" t="str">
        <f t="shared" si="5"/>
        <v/>
      </c>
      <c r="R43" s="37" t="str">
        <f t="shared" si="6"/>
        <v/>
      </c>
    </row>
    <row r="44" spans="1:18" x14ac:dyDescent="0.35">
      <c r="A44" s="8">
        <v>40</v>
      </c>
      <c r="B44" s="9" t="str">
        <f t="shared" si="0"/>
        <v/>
      </c>
      <c r="C44" s="10"/>
      <c r="D44" s="9" t="str">
        <f>IF(F44="","",_xlfn.XLOOKUP(F44,purchase!D:D,purchase!#REF!,""))</f>
        <v/>
      </c>
      <c r="E44" s="9" t="str">
        <f>IF(F44="","",_xlfn.XLOOKUP(F44,purchase!D:D,purchase!B:B,""))</f>
        <v/>
      </c>
      <c r="F44" s="2"/>
      <c r="G44" s="4" t="str">
        <f t="shared" si="1"/>
        <v/>
      </c>
      <c r="H44" s="4" t="str">
        <f>IF(F44="","",_xlfn.XLOOKUP(F44,purchase!D:D,purchase!#REF!,""))</f>
        <v/>
      </c>
      <c r="I44" s="4" t="str">
        <f t="shared" si="2"/>
        <v/>
      </c>
      <c r="J44" s="4" t="str">
        <f t="shared" si="3"/>
        <v/>
      </c>
      <c r="K44" s="13" t="str">
        <f>_xlfn.SINGLE(IF(F44="","",_xlfn.XLOOKUP(F44,purchase!D:D,purchase!#REF!,"")))</f>
        <v/>
      </c>
      <c r="L44" s="2"/>
      <c r="M44" s="32"/>
      <c r="N44" s="13" t="str">
        <f>IF(F44="","",
MAX(0,
_xlfn.XLOOKUP(F44,purchase!D:D,purchase!#REF!,"")
-
SUMIFS(L:L,F:F,F44)))</f>
        <v/>
      </c>
      <c r="O44" s="13" t="str">
        <f t="shared" si="4"/>
        <v/>
      </c>
      <c r="P44" s="35" t="str">
        <f>_xlfn.SINGLE(IF(F44="","",_xlfn.XLOOKUP(F44,purchase!D:D,purchase!K:K,"")))</f>
        <v/>
      </c>
      <c r="Q44" s="29" t="str">
        <f t="shared" si="5"/>
        <v/>
      </c>
      <c r="R44" s="37" t="str">
        <f t="shared" si="6"/>
        <v/>
      </c>
    </row>
    <row r="45" spans="1:18" x14ac:dyDescent="0.35">
      <c r="A45" s="8">
        <v>41</v>
      </c>
      <c r="B45" s="9" t="str">
        <f t="shared" si="0"/>
        <v/>
      </c>
      <c r="C45" s="10"/>
      <c r="D45" s="9" t="str">
        <f>IF(F45="","",_xlfn.XLOOKUP(F45,purchase!D:D,purchase!#REF!,""))</f>
        <v/>
      </c>
      <c r="E45" s="9" t="str">
        <f>IF(F45="","",_xlfn.XLOOKUP(F45,purchase!D:D,purchase!B:B,""))</f>
        <v/>
      </c>
      <c r="F45" s="2"/>
      <c r="G45" s="4" t="str">
        <f t="shared" si="1"/>
        <v/>
      </c>
      <c r="H45" s="4" t="str">
        <f>IF(F45="","",_xlfn.XLOOKUP(F45,purchase!D:D,purchase!#REF!,""))</f>
        <v/>
      </c>
      <c r="I45" s="4" t="str">
        <f t="shared" si="2"/>
        <v/>
      </c>
      <c r="J45" s="4" t="str">
        <f t="shared" si="3"/>
        <v/>
      </c>
      <c r="K45" s="13" t="str">
        <f>_xlfn.SINGLE(IF(F45="","",_xlfn.XLOOKUP(F45,purchase!D:D,purchase!#REF!,"")))</f>
        <v/>
      </c>
      <c r="L45" s="2"/>
      <c r="M45" s="32"/>
      <c r="N45" s="13" t="str">
        <f>IF(F45="","",
MAX(0,
_xlfn.XLOOKUP(F45,purchase!D:D,purchase!#REF!,"")
-
SUMIFS(L:L,F:F,F45)))</f>
        <v/>
      </c>
      <c r="O45" s="13" t="str">
        <f t="shared" si="4"/>
        <v/>
      </c>
      <c r="P45" s="35" t="str">
        <f>_xlfn.SINGLE(IF(F45="","",_xlfn.XLOOKUP(F45,purchase!D:D,purchase!K:K,"")))</f>
        <v/>
      </c>
      <c r="Q45" s="29" t="str">
        <f t="shared" si="5"/>
        <v/>
      </c>
      <c r="R45" s="37" t="str">
        <f t="shared" si="6"/>
        <v/>
      </c>
    </row>
    <row r="46" spans="1:18" x14ac:dyDescent="0.35">
      <c r="A46" s="8">
        <v>42</v>
      </c>
      <c r="B46" s="9" t="str">
        <f t="shared" si="0"/>
        <v/>
      </c>
      <c r="C46" s="10"/>
      <c r="D46" s="9" t="str">
        <f>IF(F46="","",_xlfn.XLOOKUP(F46,purchase!D:D,purchase!#REF!,""))</f>
        <v/>
      </c>
      <c r="E46" s="9" t="str">
        <f>IF(F46="","",_xlfn.XLOOKUP(F46,purchase!D:D,purchase!B:B,""))</f>
        <v/>
      </c>
      <c r="F46" s="2"/>
      <c r="G46" s="4" t="str">
        <f t="shared" si="1"/>
        <v/>
      </c>
      <c r="H46" s="4" t="str">
        <f>IF(F46="","",_xlfn.XLOOKUP(F46,purchase!D:D,purchase!#REF!,""))</f>
        <v/>
      </c>
      <c r="I46" s="4" t="str">
        <f t="shared" si="2"/>
        <v/>
      </c>
      <c r="J46" s="4" t="str">
        <f t="shared" si="3"/>
        <v/>
      </c>
      <c r="K46" s="13" t="str">
        <f>_xlfn.SINGLE(IF(F46="","",_xlfn.XLOOKUP(F46,purchase!D:D,purchase!#REF!,"")))</f>
        <v/>
      </c>
      <c r="L46" s="2"/>
      <c r="M46" s="32"/>
      <c r="N46" s="13" t="str">
        <f>IF(F46="","",
MAX(0,
_xlfn.XLOOKUP(F46,purchase!D:D,purchase!#REF!,"")
-
SUMIFS(L:L,F:F,F46)))</f>
        <v/>
      </c>
      <c r="O46" s="13" t="str">
        <f t="shared" si="4"/>
        <v/>
      </c>
      <c r="P46" s="35" t="str">
        <f>_xlfn.SINGLE(IF(F46="","",_xlfn.XLOOKUP(F46,purchase!D:D,purchase!K:K,"")))</f>
        <v/>
      </c>
      <c r="Q46" s="29" t="str">
        <f t="shared" si="5"/>
        <v/>
      </c>
      <c r="R46" s="37" t="str">
        <f t="shared" si="6"/>
        <v/>
      </c>
    </row>
    <row r="47" spans="1:18" x14ac:dyDescent="0.35">
      <c r="A47" s="8">
        <v>43</v>
      </c>
      <c r="B47" s="9" t="str">
        <f t="shared" si="0"/>
        <v/>
      </c>
      <c r="C47" s="10"/>
      <c r="D47" s="9" t="str">
        <f>IF(F47="","",_xlfn.XLOOKUP(F47,purchase!D:D,purchase!#REF!,""))</f>
        <v/>
      </c>
      <c r="E47" s="9" t="str">
        <f>IF(F47="","",_xlfn.XLOOKUP(F47,purchase!D:D,purchase!B:B,""))</f>
        <v/>
      </c>
      <c r="F47" s="2"/>
      <c r="G47" s="4" t="str">
        <f t="shared" si="1"/>
        <v/>
      </c>
      <c r="H47" s="4" t="str">
        <f>IF(F47="","",_xlfn.XLOOKUP(F47,purchase!D:D,purchase!#REF!,""))</f>
        <v/>
      </c>
      <c r="I47" s="4" t="str">
        <f t="shared" si="2"/>
        <v/>
      </c>
      <c r="J47" s="4" t="str">
        <f t="shared" si="3"/>
        <v/>
      </c>
      <c r="K47" s="13" t="str">
        <f>_xlfn.SINGLE(IF(F47="","",_xlfn.XLOOKUP(F47,purchase!D:D,purchase!#REF!,"")))</f>
        <v/>
      </c>
      <c r="L47" s="2"/>
      <c r="M47" s="32"/>
      <c r="N47" s="13" t="str">
        <f>IF(F47="","",
MAX(0,
_xlfn.XLOOKUP(F47,purchase!D:D,purchase!#REF!,"")
-
SUMIFS(L:L,F:F,F47)))</f>
        <v/>
      </c>
      <c r="O47" s="13" t="str">
        <f t="shared" si="4"/>
        <v/>
      </c>
      <c r="P47" s="35" t="str">
        <f>_xlfn.SINGLE(IF(F47="","",_xlfn.XLOOKUP(F47,purchase!D:D,purchase!K:K,"")))</f>
        <v/>
      </c>
      <c r="Q47" s="29" t="str">
        <f t="shared" si="5"/>
        <v/>
      </c>
      <c r="R47" s="37" t="str">
        <f t="shared" si="6"/>
        <v/>
      </c>
    </row>
    <row r="48" spans="1:18" x14ac:dyDescent="0.35">
      <c r="A48" s="8">
        <v>44</v>
      </c>
      <c r="B48" s="9" t="str">
        <f t="shared" si="0"/>
        <v/>
      </c>
      <c r="C48" s="10"/>
      <c r="D48" s="9" t="str">
        <f>IF(F48="","",_xlfn.XLOOKUP(F48,purchase!D:D,purchase!#REF!,""))</f>
        <v/>
      </c>
      <c r="E48" s="9" t="str">
        <f>IF(F48="","",_xlfn.XLOOKUP(F48,purchase!D:D,purchase!B:B,""))</f>
        <v/>
      </c>
      <c r="F48" s="2"/>
      <c r="G48" s="4" t="str">
        <f t="shared" si="1"/>
        <v/>
      </c>
      <c r="H48" s="4" t="str">
        <f>IF(F48="","",_xlfn.XLOOKUP(F48,purchase!D:D,purchase!#REF!,""))</f>
        <v/>
      </c>
      <c r="I48" s="4" t="str">
        <f t="shared" si="2"/>
        <v/>
      </c>
      <c r="J48" s="4" t="str">
        <f t="shared" si="3"/>
        <v/>
      </c>
      <c r="K48" s="13" t="str">
        <f>_xlfn.SINGLE(IF(F48="","",_xlfn.XLOOKUP(F48,purchase!D:D,purchase!#REF!,"")))</f>
        <v/>
      </c>
      <c r="L48" s="2"/>
      <c r="M48" s="32"/>
      <c r="N48" s="13" t="str">
        <f>IF(F48="","",
MAX(0,
_xlfn.XLOOKUP(F48,purchase!D:D,purchase!#REF!,"")
-
SUMIFS(L:L,F:F,F48)))</f>
        <v/>
      </c>
      <c r="O48" s="13" t="str">
        <f t="shared" si="4"/>
        <v/>
      </c>
      <c r="P48" s="35" t="str">
        <f>_xlfn.SINGLE(IF(F48="","",_xlfn.XLOOKUP(F48,purchase!D:D,purchase!K:K,"")))</f>
        <v/>
      </c>
      <c r="Q48" s="29" t="str">
        <f t="shared" si="5"/>
        <v/>
      </c>
      <c r="R48" s="37" t="str">
        <f t="shared" si="6"/>
        <v/>
      </c>
    </row>
    <row r="49" spans="1:18" x14ac:dyDescent="0.35">
      <c r="A49" s="8">
        <v>45</v>
      </c>
      <c r="B49" s="9" t="str">
        <f t="shared" si="0"/>
        <v/>
      </c>
      <c r="C49" s="10"/>
      <c r="D49" s="9" t="str">
        <f>IF(F49="","",_xlfn.XLOOKUP(F49,purchase!D:D,purchase!#REF!,""))</f>
        <v/>
      </c>
      <c r="E49" s="9" t="str">
        <f>IF(F49="","",_xlfn.XLOOKUP(F49,purchase!D:D,purchase!B:B,""))</f>
        <v/>
      </c>
      <c r="F49" s="2"/>
      <c r="G49" s="4" t="str">
        <f t="shared" si="1"/>
        <v/>
      </c>
      <c r="H49" s="4" t="str">
        <f>IF(F49="","",_xlfn.XLOOKUP(F49,purchase!D:D,purchase!#REF!,""))</f>
        <v/>
      </c>
      <c r="I49" s="4" t="str">
        <f t="shared" si="2"/>
        <v/>
      </c>
      <c r="J49" s="4" t="str">
        <f t="shared" si="3"/>
        <v/>
      </c>
      <c r="K49" s="13" t="str">
        <f>_xlfn.SINGLE(IF(F49="","",_xlfn.XLOOKUP(F49,purchase!D:D,purchase!#REF!,"")))</f>
        <v/>
      </c>
      <c r="L49" s="2"/>
      <c r="M49" s="32"/>
      <c r="N49" s="13" t="str">
        <f>IF(F49="","",
MAX(0,
_xlfn.XLOOKUP(F49,purchase!D:D,purchase!#REF!,"")
-
SUMIFS(L:L,F:F,F49)))</f>
        <v/>
      </c>
      <c r="O49" s="13" t="str">
        <f t="shared" si="4"/>
        <v/>
      </c>
      <c r="P49" s="35" t="str">
        <f>_xlfn.SINGLE(IF(F49="","",_xlfn.XLOOKUP(F49,purchase!D:D,purchase!K:K,"")))</f>
        <v/>
      </c>
      <c r="Q49" s="29" t="str">
        <f t="shared" si="5"/>
        <v/>
      </c>
      <c r="R49" s="37" t="str">
        <f t="shared" si="6"/>
        <v/>
      </c>
    </row>
    <row r="50" spans="1:18" x14ac:dyDescent="0.35">
      <c r="A50" s="8">
        <v>46</v>
      </c>
      <c r="B50" s="9" t="str">
        <f t="shared" si="0"/>
        <v/>
      </c>
      <c r="C50" s="10"/>
      <c r="D50" s="9" t="str">
        <f>IF(F50="","",_xlfn.XLOOKUP(F50,purchase!D:D,purchase!#REF!,""))</f>
        <v/>
      </c>
      <c r="E50" s="9" t="str">
        <f>IF(F50="","",_xlfn.XLOOKUP(F50,purchase!D:D,purchase!B:B,""))</f>
        <v/>
      </c>
      <c r="F50" s="2"/>
      <c r="G50" s="4" t="str">
        <f t="shared" si="1"/>
        <v/>
      </c>
      <c r="H50" s="4" t="str">
        <f>IF(F50="","",_xlfn.XLOOKUP(F50,purchase!D:D,purchase!#REF!,""))</f>
        <v/>
      </c>
      <c r="I50" s="4" t="str">
        <f t="shared" si="2"/>
        <v/>
      </c>
      <c r="J50" s="4" t="str">
        <f t="shared" si="3"/>
        <v/>
      </c>
      <c r="K50" s="13" t="str">
        <f>_xlfn.SINGLE(IF(F50="","",_xlfn.XLOOKUP(F50,purchase!D:D,purchase!#REF!,"")))</f>
        <v/>
      </c>
      <c r="L50" s="2"/>
      <c r="M50" s="32"/>
      <c r="N50" s="13" t="str">
        <f>IF(F50="","",
MAX(0,
_xlfn.XLOOKUP(F50,purchase!D:D,purchase!#REF!,"")
-
SUMIFS(L:L,F:F,F50)))</f>
        <v/>
      </c>
      <c r="O50" s="13" t="str">
        <f t="shared" si="4"/>
        <v/>
      </c>
      <c r="P50" s="35" t="str">
        <f>_xlfn.SINGLE(IF(F50="","",_xlfn.XLOOKUP(F50,purchase!D:D,purchase!K:K,"")))</f>
        <v/>
      </c>
      <c r="Q50" s="29" t="str">
        <f t="shared" si="5"/>
        <v/>
      </c>
      <c r="R50" s="37" t="str">
        <f t="shared" si="6"/>
        <v/>
      </c>
    </row>
    <row r="51" spans="1:18" x14ac:dyDescent="0.35">
      <c r="A51" s="8">
        <v>47</v>
      </c>
      <c r="B51" s="9" t="str">
        <f t="shared" si="0"/>
        <v/>
      </c>
      <c r="C51" s="10"/>
      <c r="D51" s="9" t="str">
        <f>IF(F51="","",_xlfn.XLOOKUP(F51,purchase!D:D,purchase!#REF!,""))</f>
        <v/>
      </c>
      <c r="E51" s="9" t="str">
        <f>IF(F51="","",_xlfn.XLOOKUP(F51,purchase!D:D,purchase!B:B,""))</f>
        <v/>
      </c>
      <c r="F51" s="2"/>
      <c r="G51" s="4" t="str">
        <f t="shared" si="1"/>
        <v/>
      </c>
      <c r="H51" s="4" t="str">
        <f>IF(F51="","",_xlfn.XLOOKUP(F51,purchase!D:D,purchase!#REF!,""))</f>
        <v/>
      </c>
      <c r="I51" s="4" t="str">
        <f t="shared" si="2"/>
        <v/>
      </c>
      <c r="J51" s="4" t="str">
        <f t="shared" si="3"/>
        <v/>
      </c>
      <c r="K51" s="13" t="str">
        <f>_xlfn.SINGLE(IF(F51="","",_xlfn.XLOOKUP(F51,purchase!D:D,purchase!#REF!,"")))</f>
        <v/>
      </c>
      <c r="L51" s="2"/>
      <c r="M51" s="32"/>
      <c r="N51" s="13" t="str">
        <f>IF(F51="","",
MAX(0,
_xlfn.XLOOKUP(F51,purchase!D:D,purchase!#REF!,"")
-
SUMIFS(L:L,F:F,F51)))</f>
        <v/>
      </c>
      <c r="O51" s="13" t="str">
        <f t="shared" si="4"/>
        <v/>
      </c>
      <c r="P51" s="35" t="str">
        <f>_xlfn.SINGLE(IF(F51="","",_xlfn.XLOOKUP(F51,purchase!D:D,purchase!K:K,"")))</f>
        <v/>
      </c>
      <c r="Q51" s="29" t="str">
        <f t="shared" si="5"/>
        <v/>
      </c>
      <c r="R51" s="37" t="str">
        <f t="shared" si="6"/>
        <v/>
      </c>
    </row>
    <row r="52" spans="1:18" x14ac:dyDescent="0.35">
      <c r="A52" s="8">
        <v>48</v>
      </c>
      <c r="B52" s="9" t="str">
        <f t="shared" si="0"/>
        <v/>
      </c>
      <c r="C52" s="10"/>
      <c r="D52" s="9" t="str">
        <f>IF(F52="","",_xlfn.XLOOKUP(F52,purchase!D:D,purchase!#REF!,""))</f>
        <v/>
      </c>
      <c r="E52" s="9" t="str">
        <f>IF(F52="","",_xlfn.XLOOKUP(F52,purchase!D:D,purchase!B:B,""))</f>
        <v/>
      </c>
      <c r="F52" s="2"/>
      <c r="G52" s="4" t="str">
        <f t="shared" si="1"/>
        <v/>
      </c>
      <c r="H52" s="4" t="str">
        <f>IF(F52="","",_xlfn.XLOOKUP(F52,purchase!D:D,purchase!#REF!,""))</f>
        <v/>
      </c>
      <c r="I52" s="4" t="str">
        <f t="shared" si="2"/>
        <v/>
      </c>
      <c r="J52" s="4" t="str">
        <f t="shared" si="3"/>
        <v/>
      </c>
      <c r="K52" s="13" t="str">
        <f>_xlfn.SINGLE(IF(F52="","",_xlfn.XLOOKUP(F52,purchase!D:D,purchase!#REF!,"")))</f>
        <v/>
      </c>
      <c r="L52" s="2"/>
      <c r="M52" s="32"/>
      <c r="N52" s="13" t="str">
        <f>IF(F52="","",
MAX(0,
_xlfn.XLOOKUP(F52,purchase!D:D,purchase!#REF!,"")
-
SUMIFS(L:L,F:F,F52)))</f>
        <v/>
      </c>
      <c r="O52" s="13" t="str">
        <f t="shared" si="4"/>
        <v/>
      </c>
      <c r="P52" s="35" t="str">
        <f>_xlfn.SINGLE(IF(F52="","",_xlfn.XLOOKUP(F52,purchase!D:D,purchase!K:K,"")))</f>
        <v/>
      </c>
      <c r="Q52" s="29" t="str">
        <f t="shared" si="5"/>
        <v/>
      </c>
      <c r="R52" s="37" t="str">
        <f t="shared" si="6"/>
        <v/>
      </c>
    </row>
    <row r="53" spans="1:18" x14ac:dyDescent="0.35">
      <c r="A53" s="8">
        <v>49</v>
      </c>
      <c r="B53" s="9" t="str">
        <f t="shared" si="0"/>
        <v/>
      </c>
      <c r="C53" s="10"/>
      <c r="D53" s="9" t="str">
        <f>IF(F53="","",_xlfn.XLOOKUP(F53,purchase!D:D,purchase!#REF!,""))</f>
        <v/>
      </c>
      <c r="E53" s="9" t="str">
        <f>IF(F53="","",_xlfn.XLOOKUP(F53,purchase!D:D,purchase!B:B,""))</f>
        <v/>
      </c>
      <c r="F53" s="2"/>
      <c r="G53" s="4" t="str">
        <f t="shared" si="1"/>
        <v/>
      </c>
      <c r="H53" s="4" t="str">
        <f>IF(F53="","",_xlfn.XLOOKUP(F53,purchase!D:D,purchase!#REF!,""))</f>
        <v/>
      </c>
      <c r="I53" s="4" t="str">
        <f t="shared" si="2"/>
        <v/>
      </c>
      <c r="J53" s="4" t="str">
        <f t="shared" si="3"/>
        <v/>
      </c>
      <c r="K53" s="13" t="str">
        <f>_xlfn.SINGLE(IF(F53="","",_xlfn.XLOOKUP(F53,purchase!D:D,purchase!#REF!,"")))</f>
        <v/>
      </c>
      <c r="L53" s="2"/>
      <c r="M53" s="32"/>
      <c r="N53" s="13" t="str">
        <f>IF(F53="","",
MAX(0,
_xlfn.XLOOKUP(F53,purchase!D:D,purchase!#REF!,"")
-
SUMIFS(L:L,F:F,F53)))</f>
        <v/>
      </c>
      <c r="O53" s="13" t="str">
        <f t="shared" si="4"/>
        <v/>
      </c>
      <c r="P53" s="35" t="str">
        <f>_xlfn.SINGLE(IF(F53="","",_xlfn.XLOOKUP(F53,purchase!D:D,purchase!K:K,"")))</f>
        <v/>
      </c>
      <c r="Q53" s="29" t="str">
        <f t="shared" si="5"/>
        <v/>
      </c>
      <c r="R53" s="37" t="str">
        <f t="shared" si="6"/>
        <v/>
      </c>
    </row>
    <row r="54" spans="1:18" x14ac:dyDescent="0.35">
      <c r="A54" s="8">
        <v>50</v>
      </c>
      <c r="B54" s="9" t="str">
        <f t="shared" si="0"/>
        <v/>
      </c>
      <c r="C54" s="10"/>
      <c r="D54" s="9" t="str">
        <f>IF(F54="","",_xlfn.XLOOKUP(F54,purchase!D:D,purchase!#REF!,""))</f>
        <v/>
      </c>
      <c r="E54" s="9" t="str">
        <f>IF(F54="","",_xlfn.XLOOKUP(F54,purchase!D:D,purchase!B:B,""))</f>
        <v/>
      </c>
      <c r="F54" s="2"/>
      <c r="G54" s="4" t="str">
        <f t="shared" si="1"/>
        <v/>
      </c>
      <c r="H54" s="4" t="str">
        <f>IF(F54="","",_xlfn.XLOOKUP(F54,purchase!D:D,purchase!#REF!,""))</f>
        <v/>
      </c>
      <c r="I54" s="4" t="str">
        <f t="shared" si="2"/>
        <v/>
      </c>
      <c r="J54" s="4" t="str">
        <f t="shared" si="3"/>
        <v/>
      </c>
      <c r="K54" s="13" t="str">
        <f>_xlfn.SINGLE(IF(F54="","",_xlfn.XLOOKUP(F54,purchase!D:D,purchase!#REF!,"")))</f>
        <v/>
      </c>
      <c r="L54" s="2"/>
      <c r="M54" s="32"/>
      <c r="N54" s="13" t="str">
        <f>IF(F54="","",
MAX(0,
_xlfn.XLOOKUP(F54,purchase!D:D,purchase!#REF!,"")
-
SUMIFS(L:L,F:F,F54)))</f>
        <v/>
      </c>
      <c r="O54" s="13" t="str">
        <f t="shared" si="4"/>
        <v/>
      </c>
      <c r="P54" s="35" t="str">
        <f>_xlfn.SINGLE(IF(F54="","",_xlfn.XLOOKUP(F54,purchase!D:D,purchase!K:K,"")))</f>
        <v/>
      </c>
      <c r="Q54" s="29" t="str">
        <f t="shared" si="5"/>
        <v/>
      </c>
      <c r="R54" s="37" t="str">
        <f t="shared" si="6"/>
        <v/>
      </c>
    </row>
    <row r="55" spans="1:18" x14ac:dyDescent="0.35">
      <c r="A55" s="8">
        <v>51</v>
      </c>
      <c r="B55" s="9" t="str">
        <f t="shared" si="0"/>
        <v/>
      </c>
      <c r="C55" s="10"/>
      <c r="D55" s="9" t="str">
        <f>IF(F55="","",_xlfn.XLOOKUP(F55,purchase!D:D,purchase!#REF!,""))</f>
        <v/>
      </c>
      <c r="E55" s="9" t="str">
        <f>IF(F55="","",_xlfn.XLOOKUP(F55,purchase!D:D,purchase!B:B,""))</f>
        <v/>
      </c>
      <c r="F55" s="2"/>
      <c r="G55" s="4" t="str">
        <f t="shared" si="1"/>
        <v/>
      </c>
      <c r="H55" s="4" t="str">
        <f>IF(F55="","",_xlfn.XLOOKUP(F55,purchase!D:D,purchase!#REF!,""))</f>
        <v/>
      </c>
      <c r="I55" s="4" t="str">
        <f t="shared" si="2"/>
        <v/>
      </c>
      <c r="J55" s="4" t="str">
        <f t="shared" si="3"/>
        <v/>
      </c>
      <c r="K55" s="13" t="str">
        <f>_xlfn.SINGLE(IF(F55="","",_xlfn.XLOOKUP(F55,purchase!D:D,purchase!#REF!,"")))</f>
        <v/>
      </c>
      <c r="L55" s="2"/>
      <c r="M55" s="32"/>
      <c r="N55" s="13" t="str">
        <f>IF(F55="","",
MAX(0,
_xlfn.XLOOKUP(F55,purchase!D:D,purchase!#REF!,"")
-
SUMIFS(L:L,F:F,F55)))</f>
        <v/>
      </c>
      <c r="O55" s="13" t="str">
        <f t="shared" si="4"/>
        <v/>
      </c>
      <c r="P55" s="35" t="str">
        <f>_xlfn.SINGLE(IF(F55="","",_xlfn.XLOOKUP(F55,purchase!D:D,purchase!K:K,"")))</f>
        <v/>
      </c>
      <c r="Q55" s="29" t="str">
        <f t="shared" si="5"/>
        <v/>
      </c>
      <c r="R55" s="37" t="str">
        <f t="shared" si="6"/>
        <v/>
      </c>
    </row>
    <row r="56" spans="1:18" x14ac:dyDescent="0.35">
      <c r="A56" s="8">
        <v>52</v>
      </c>
      <c r="B56" s="9" t="str">
        <f t="shared" si="0"/>
        <v/>
      </c>
      <c r="C56" s="10"/>
      <c r="D56" s="9" t="str">
        <f>IF(F56="","",_xlfn.XLOOKUP(F56,purchase!D:D,purchase!#REF!,""))</f>
        <v/>
      </c>
      <c r="E56" s="9" t="str">
        <f>IF(F56="","",_xlfn.XLOOKUP(F56,purchase!D:D,purchase!B:B,""))</f>
        <v/>
      </c>
      <c r="F56" s="2"/>
      <c r="G56" s="4" t="str">
        <f t="shared" si="1"/>
        <v/>
      </c>
      <c r="H56" s="4" t="str">
        <f>IF(F56="","",_xlfn.XLOOKUP(F56,purchase!D:D,purchase!#REF!,""))</f>
        <v/>
      </c>
      <c r="I56" s="4" t="str">
        <f t="shared" si="2"/>
        <v/>
      </c>
      <c r="J56" s="4" t="str">
        <f t="shared" si="3"/>
        <v/>
      </c>
      <c r="K56" s="13" t="str">
        <f>_xlfn.SINGLE(IF(F56="","",_xlfn.XLOOKUP(F56,purchase!D:D,purchase!#REF!,"")))</f>
        <v/>
      </c>
      <c r="L56" s="2"/>
      <c r="M56" s="32"/>
      <c r="N56" s="13" t="str">
        <f>IF(F56="","",
MAX(0,
_xlfn.XLOOKUP(F56,purchase!D:D,purchase!#REF!,"")
-
SUMIFS(L:L,F:F,F56)))</f>
        <v/>
      </c>
      <c r="O56" s="13" t="str">
        <f t="shared" si="4"/>
        <v/>
      </c>
      <c r="P56" s="35" t="str">
        <f>_xlfn.SINGLE(IF(F56="","",_xlfn.XLOOKUP(F56,purchase!D:D,purchase!K:K,"")))</f>
        <v/>
      </c>
      <c r="Q56" s="29" t="str">
        <f t="shared" si="5"/>
        <v/>
      </c>
      <c r="R56" s="37" t="str">
        <f t="shared" si="6"/>
        <v/>
      </c>
    </row>
    <row r="57" spans="1:18" x14ac:dyDescent="0.35">
      <c r="A57" s="8">
        <v>53</v>
      </c>
      <c r="B57" s="9" t="str">
        <f t="shared" si="0"/>
        <v/>
      </c>
      <c r="C57" s="10"/>
      <c r="D57" s="9" t="str">
        <f>IF(F57="","",_xlfn.XLOOKUP(F57,purchase!D:D,purchase!#REF!,""))</f>
        <v/>
      </c>
      <c r="E57" s="9" t="str">
        <f>IF(F57="","",_xlfn.XLOOKUP(F57,purchase!D:D,purchase!B:B,""))</f>
        <v/>
      </c>
      <c r="F57" s="2"/>
      <c r="G57" s="4" t="str">
        <f t="shared" si="1"/>
        <v/>
      </c>
      <c r="H57" s="4" t="str">
        <f>IF(F57="","",_xlfn.XLOOKUP(F57,purchase!D:D,purchase!#REF!,""))</f>
        <v/>
      </c>
      <c r="I57" s="4" t="str">
        <f t="shared" si="2"/>
        <v/>
      </c>
      <c r="J57" s="4" t="str">
        <f t="shared" si="3"/>
        <v/>
      </c>
      <c r="K57" s="13" t="str">
        <f>_xlfn.SINGLE(IF(F57="","",_xlfn.XLOOKUP(F57,purchase!D:D,purchase!#REF!,"")))</f>
        <v/>
      </c>
      <c r="L57" s="2"/>
      <c r="M57" s="32"/>
      <c r="N57" s="13" t="str">
        <f>IF(F57="","",
MAX(0,
_xlfn.XLOOKUP(F57,purchase!D:D,purchase!#REF!,"")
-
SUMIFS(L:L,F:F,F57)))</f>
        <v/>
      </c>
      <c r="O57" s="13" t="str">
        <f t="shared" si="4"/>
        <v/>
      </c>
      <c r="P57" s="35" t="str">
        <f>_xlfn.SINGLE(IF(F57="","",_xlfn.XLOOKUP(F57,purchase!D:D,purchase!K:K,"")))</f>
        <v/>
      </c>
      <c r="Q57" s="29" t="str">
        <f t="shared" si="5"/>
        <v/>
      </c>
      <c r="R57" s="37" t="str">
        <f t="shared" si="6"/>
        <v/>
      </c>
    </row>
    <row r="58" spans="1:18" x14ac:dyDescent="0.35">
      <c r="A58" s="8">
        <v>54</v>
      </c>
      <c r="B58" s="9" t="str">
        <f t="shared" si="0"/>
        <v/>
      </c>
      <c r="C58" s="10"/>
      <c r="D58" s="9" t="str">
        <f>IF(F58="","",_xlfn.XLOOKUP(F58,purchase!D:D,purchase!#REF!,""))</f>
        <v/>
      </c>
      <c r="E58" s="9" t="str">
        <f>IF(F58="","",_xlfn.XLOOKUP(F58,purchase!D:D,purchase!B:B,""))</f>
        <v/>
      </c>
      <c r="F58" s="2"/>
      <c r="G58" s="4" t="str">
        <f t="shared" si="1"/>
        <v/>
      </c>
      <c r="H58" s="4" t="str">
        <f>IF(F58="","",_xlfn.XLOOKUP(F58,purchase!D:D,purchase!#REF!,""))</f>
        <v/>
      </c>
      <c r="I58" s="4" t="str">
        <f t="shared" si="2"/>
        <v/>
      </c>
      <c r="J58" s="4" t="str">
        <f t="shared" si="3"/>
        <v/>
      </c>
      <c r="K58" s="13" t="str">
        <f>_xlfn.SINGLE(IF(F58="","",_xlfn.XLOOKUP(F58,purchase!D:D,purchase!#REF!,"")))</f>
        <v/>
      </c>
      <c r="L58" s="2"/>
      <c r="M58" s="32"/>
      <c r="N58" s="13" t="str">
        <f>IF(F58="","",
MAX(0,
_xlfn.XLOOKUP(F58,purchase!D:D,purchase!#REF!,"")
-
SUMIFS(L:L,F:F,F58)))</f>
        <v/>
      </c>
      <c r="O58" s="13" t="str">
        <f t="shared" si="4"/>
        <v/>
      </c>
      <c r="P58" s="35" t="str">
        <f>_xlfn.SINGLE(IF(F58="","",_xlfn.XLOOKUP(F58,purchase!D:D,purchase!K:K,"")))</f>
        <v/>
      </c>
      <c r="Q58" s="29" t="str">
        <f t="shared" si="5"/>
        <v/>
      </c>
      <c r="R58" s="37" t="str">
        <f t="shared" si="6"/>
        <v/>
      </c>
    </row>
    <row r="59" spans="1:18" x14ac:dyDescent="0.35">
      <c r="A59" s="8">
        <v>55</v>
      </c>
      <c r="B59" s="9" t="str">
        <f t="shared" si="0"/>
        <v/>
      </c>
      <c r="C59" s="10"/>
      <c r="D59" s="9" t="str">
        <f>IF(F59="","",_xlfn.XLOOKUP(F59,purchase!D:D,purchase!#REF!,""))</f>
        <v/>
      </c>
      <c r="E59" s="9" t="str">
        <f>IF(F59="","",_xlfn.XLOOKUP(F59,purchase!D:D,purchase!B:B,""))</f>
        <v/>
      </c>
      <c r="F59" s="2"/>
      <c r="G59" s="4" t="str">
        <f t="shared" si="1"/>
        <v/>
      </c>
      <c r="H59" s="4" t="str">
        <f>IF(F59="","",_xlfn.XLOOKUP(F59,purchase!D:D,purchase!#REF!,""))</f>
        <v/>
      </c>
      <c r="I59" s="4" t="str">
        <f t="shared" si="2"/>
        <v/>
      </c>
      <c r="J59" s="4" t="str">
        <f t="shared" si="3"/>
        <v/>
      </c>
      <c r="K59" s="13" t="str">
        <f>_xlfn.SINGLE(IF(F59="","",_xlfn.XLOOKUP(F59,purchase!D:D,purchase!#REF!,"")))</f>
        <v/>
      </c>
      <c r="L59" s="2"/>
      <c r="M59" s="32"/>
      <c r="N59" s="13" t="str">
        <f>IF(F59="","",
MAX(0,
_xlfn.XLOOKUP(F59,purchase!D:D,purchase!#REF!,"")
-
SUMIFS(L:L,F:F,F59)))</f>
        <v/>
      </c>
      <c r="O59" s="13" t="str">
        <f t="shared" si="4"/>
        <v/>
      </c>
      <c r="P59" s="35" t="str">
        <f>_xlfn.SINGLE(IF(F59="","",_xlfn.XLOOKUP(F59,purchase!D:D,purchase!K:K,"")))</f>
        <v/>
      </c>
      <c r="Q59" s="29" t="str">
        <f t="shared" si="5"/>
        <v/>
      </c>
      <c r="R59" s="37" t="str">
        <f t="shared" si="6"/>
        <v/>
      </c>
    </row>
    <row r="60" spans="1:18" x14ac:dyDescent="0.35">
      <c r="A60" s="8">
        <v>56</v>
      </c>
      <c r="B60" s="9" t="str">
        <f t="shared" si="0"/>
        <v/>
      </c>
      <c r="C60" s="10"/>
      <c r="D60" s="9" t="str">
        <f>IF(F60="","",_xlfn.XLOOKUP(F60,purchase!D:D,purchase!#REF!,""))</f>
        <v/>
      </c>
      <c r="E60" s="9" t="str">
        <f>IF(F60="","",_xlfn.XLOOKUP(F60,purchase!D:D,purchase!B:B,""))</f>
        <v/>
      </c>
      <c r="F60" s="2"/>
      <c r="G60" s="4" t="str">
        <f t="shared" si="1"/>
        <v/>
      </c>
      <c r="H60" s="4" t="str">
        <f>IF(F60="","",_xlfn.XLOOKUP(F60,purchase!D:D,purchase!#REF!,""))</f>
        <v/>
      </c>
      <c r="I60" s="4" t="str">
        <f t="shared" si="2"/>
        <v/>
      </c>
      <c r="J60" s="4" t="str">
        <f t="shared" si="3"/>
        <v/>
      </c>
      <c r="K60" s="13" t="str">
        <f>_xlfn.SINGLE(IF(F60="","",_xlfn.XLOOKUP(F60,purchase!D:D,purchase!#REF!,"")))</f>
        <v/>
      </c>
      <c r="L60" s="2"/>
      <c r="M60" s="32"/>
      <c r="N60" s="13" t="str">
        <f>IF(F60="","",
MAX(0,
_xlfn.XLOOKUP(F60,purchase!D:D,purchase!#REF!,"")
-
SUMIFS(L:L,F:F,F60)))</f>
        <v/>
      </c>
      <c r="O60" s="13" t="str">
        <f t="shared" si="4"/>
        <v/>
      </c>
      <c r="P60" s="35" t="str">
        <f>_xlfn.SINGLE(IF(F60="","",_xlfn.XLOOKUP(F60,purchase!D:D,purchase!K:K,"")))</f>
        <v/>
      </c>
      <c r="Q60" s="29" t="str">
        <f t="shared" si="5"/>
        <v/>
      </c>
      <c r="R60" s="37" t="str">
        <f t="shared" si="6"/>
        <v/>
      </c>
    </row>
    <row r="61" spans="1:18" x14ac:dyDescent="0.35">
      <c r="A61" s="8">
        <v>57</v>
      </c>
      <c r="B61" s="9" t="str">
        <f t="shared" si="0"/>
        <v/>
      </c>
      <c r="C61" s="10"/>
      <c r="D61" s="9" t="str">
        <f>IF(F61="","",_xlfn.XLOOKUP(F61,purchase!D:D,purchase!#REF!,""))</f>
        <v/>
      </c>
      <c r="E61" s="9" t="str">
        <f>IF(F61="","",_xlfn.XLOOKUP(F61,purchase!D:D,purchase!B:B,""))</f>
        <v/>
      </c>
      <c r="F61" s="2"/>
      <c r="G61" s="4" t="str">
        <f t="shared" si="1"/>
        <v/>
      </c>
      <c r="H61" s="4" t="str">
        <f>IF(F61="","",_xlfn.XLOOKUP(F61,purchase!D:D,purchase!#REF!,""))</f>
        <v/>
      </c>
      <c r="I61" s="4" t="str">
        <f t="shared" si="2"/>
        <v/>
      </c>
      <c r="J61" s="4" t="str">
        <f t="shared" si="3"/>
        <v/>
      </c>
      <c r="K61" s="13" t="str">
        <f>_xlfn.SINGLE(IF(F61="","",_xlfn.XLOOKUP(F61,purchase!D:D,purchase!#REF!,"")))</f>
        <v/>
      </c>
      <c r="L61" s="2"/>
      <c r="M61" s="32"/>
      <c r="N61" s="13" t="str">
        <f>IF(F61="","",
MAX(0,
_xlfn.XLOOKUP(F61,purchase!D:D,purchase!#REF!,"")
-
SUMIFS(L:L,F:F,F61)))</f>
        <v/>
      </c>
      <c r="O61" s="13" t="str">
        <f t="shared" si="4"/>
        <v/>
      </c>
      <c r="P61" s="35" t="str">
        <f>_xlfn.SINGLE(IF(F61="","",_xlfn.XLOOKUP(F61,purchase!D:D,purchase!K:K,"")))</f>
        <v/>
      </c>
      <c r="Q61" s="29" t="str">
        <f t="shared" si="5"/>
        <v/>
      </c>
      <c r="R61" s="37" t="str">
        <f t="shared" si="6"/>
        <v/>
      </c>
    </row>
    <row r="62" spans="1:18" x14ac:dyDescent="0.35">
      <c r="A62" s="8">
        <v>58</v>
      </c>
      <c r="B62" s="9" t="str">
        <f t="shared" si="0"/>
        <v/>
      </c>
      <c r="C62" s="10"/>
      <c r="D62" s="9" t="str">
        <f>IF(F62="","",_xlfn.XLOOKUP(F62,purchase!D:D,purchase!#REF!,""))</f>
        <v/>
      </c>
      <c r="E62" s="9" t="str">
        <f>IF(F62="","",_xlfn.XLOOKUP(F62,purchase!D:D,purchase!B:B,""))</f>
        <v/>
      </c>
      <c r="F62" s="2"/>
      <c r="G62" s="4" t="str">
        <f t="shared" si="1"/>
        <v/>
      </c>
      <c r="H62" s="4" t="str">
        <f>IF(F62="","",_xlfn.XLOOKUP(F62,purchase!D:D,purchase!#REF!,""))</f>
        <v/>
      </c>
      <c r="I62" s="4" t="str">
        <f t="shared" si="2"/>
        <v/>
      </c>
      <c r="J62" s="4" t="str">
        <f t="shared" si="3"/>
        <v/>
      </c>
      <c r="K62" s="13" t="str">
        <f>_xlfn.SINGLE(IF(F62="","",_xlfn.XLOOKUP(F62,purchase!D:D,purchase!#REF!,"")))</f>
        <v/>
      </c>
      <c r="L62" s="2"/>
      <c r="M62" s="32"/>
      <c r="N62" s="13" t="str">
        <f>IF(F62="","",
MAX(0,
_xlfn.XLOOKUP(F62,purchase!D:D,purchase!#REF!,"")
-
SUMIFS(L:L,F:F,F62)))</f>
        <v/>
      </c>
      <c r="O62" s="13" t="str">
        <f t="shared" si="4"/>
        <v/>
      </c>
      <c r="P62" s="35" t="str">
        <f>_xlfn.SINGLE(IF(F62="","",_xlfn.XLOOKUP(F62,purchase!D:D,purchase!K:K,"")))</f>
        <v/>
      </c>
      <c r="Q62" s="29" t="str">
        <f t="shared" si="5"/>
        <v/>
      </c>
      <c r="R62" s="37" t="str">
        <f t="shared" si="6"/>
        <v/>
      </c>
    </row>
    <row r="63" spans="1:18" x14ac:dyDescent="0.35">
      <c r="A63" s="8">
        <v>59</v>
      </c>
      <c r="B63" s="9" t="str">
        <f t="shared" si="0"/>
        <v/>
      </c>
      <c r="C63" s="10"/>
      <c r="D63" s="9" t="str">
        <f>IF(F63="","",_xlfn.XLOOKUP(F63,purchase!D:D,purchase!#REF!,""))</f>
        <v/>
      </c>
      <c r="E63" s="9" t="str">
        <f>IF(F63="","",_xlfn.XLOOKUP(F63,purchase!D:D,purchase!B:B,""))</f>
        <v/>
      </c>
      <c r="F63" s="2"/>
      <c r="G63" s="4" t="str">
        <f t="shared" si="1"/>
        <v/>
      </c>
      <c r="H63" s="4" t="str">
        <f>IF(F63="","",_xlfn.XLOOKUP(F63,purchase!D:D,purchase!#REF!,""))</f>
        <v/>
      </c>
      <c r="I63" s="4" t="str">
        <f t="shared" si="2"/>
        <v/>
      </c>
      <c r="J63" s="4" t="str">
        <f t="shared" si="3"/>
        <v/>
      </c>
      <c r="K63" s="13" t="str">
        <f>_xlfn.SINGLE(IF(F63="","",_xlfn.XLOOKUP(F63,purchase!D:D,purchase!#REF!,"")))</f>
        <v/>
      </c>
      <c r="L63" s="2"/>
      <c r="M63" s="32"/>
      <c r="N63" s="13" t="str">
        <f>IF(F63="","",
MAX(0,
_xlfn.XLOOKUP(F63,purchase!D:D,purchase!#REF!,"")
-
SUMIFS(L:L,F:F,F63)))</f>
        <v/>
      </c>
      <c r="O63" s="13" t="str">
        <f t="shared" si="4"/>
        <v/>
      </c>
      <c r="P63" s="35" t="str">
        <f>_xlfn.SINGLE(IF(F63="","",_xlfn.XLOOKUP(F63,purchase!D:D,purchase!K:K,"")))</f>
        <v/>
      </c>
      <c r="Q63" s="29" t="str">
        <f t="shared" si="5"/>
        <v/>
      </c>
      <c r="R63" s="37" t="str">
        <f t="shared" si="6"/>
        <v/>
      </c>
    </row>
    <row r="64" spans="1:18" x14ac:dyDescent="0.35">
      <c r="A64" s="8">
        <v>60</v>
      </c>
      <c r="B64" s="9" t="str">
        <f t="shared" si="0"/>
        <v/>
      </c>
      <c r="C64" s="10"/>
      <c r="D64" s="9" t="str">
        <f>IF(F64="","",_xlfn.XLOOKUP(F64,purchase!D:D,purchase!#REF!,""))</f>
        <v/>
      </c>
      <c r="E64" s="9" t="str">
        <f>IF(F64="","",_xlfn.XLOOKUP(F64,purchase!D:D,purchase!B:B,""))</f>
        <v/>
      </c>
      <c r="F64" s="2"/>
      <c r="G64" s="4" t="str">
        <f t="shared" si="1"/>
        <v/>
      </c>
      <c r="H64" s="4" t="str">
        <f>IF(F64="","",_xlfn.XLOOKUP(F64,purchase!D:D,purchase!#REF!,""))</f>
        <v/>
      </c>
      <c r="I64" s="4" t="str">
        <f t="shared" si="2"/>
        <v/>
      </c>
      <c r="J64" s="4" t="str">
        <f t="shared" si="3"/>
        <v/>
      </c>
      <c r="K64" s="13" t="str">
        <f>_xlfn.SINGLE(IF(F64="","",_xlfn.XLOOKUP(F64,purchase!D:D,purchase!#REF!,"")))</f>
        <v/>
      </c>
      <c r="L64" s="2"/>
      <c r="M64" s="32"/>
      <c r="N64" s="13" t="str">
        <f>IF(F64="","",
MAX(0,
_xlfn.XLOOKUP(F64,purchase!D:D,purchase!#REF!,"")
-
SUMIFS(L:L,F:F,F64)))</f>
        <v/>
      </c>
      <c r="O64" s="13" t="str">
        <f t="shared" si="4"/>
        <v/>
      </c>
      <c r="P64" s="35" t="str">
        <f>_xlfn.SINGLE(IF(F64="","",_xlfn.XLOOKUP(F64,purchase!D:D,purchase!K:K,"")))</f>
        <v/>
      </c>
      <c r="Q64" s="29" t="str">
        <f t="shared" si="5"/>
        <v/>
      </c>
      <c r="R64" s="37" t="str">
        <f t="shared" si="6"/>
        <v/>
      </c>
    </row>
    <row r="65" spans="1:18" x14ac:dyDescent="0.35">
      <c r="A65" s="8">
        <v>61</v>
      </c>
      <c r="B65" s="9" t="str">
        <f t="shared" si="0"/>
        <v/>
      </c>
      <c r="C65" s="10"/>
      <c r="D65" s="9" t="str">
        <f>IF(F65="","",_xlfn.XLOOKUP(F65,purchase!D:D,purchase!#REF!,""))</f>
        <v/>
      </c>
      <c r="E65" s="9" t="str">
        <f>IF(F65="","",_xlfn.XLOOKUP(F65,purchase!D:D,purchase!B:B,""))</f>
        <v/>
      </c>
      <c r="F65" s="2"/>
      <c r="G65" s="4" t="str">
        <f t="shared" si="1"/>
        <v/>
      </c>
      <c r="H65" s="4" t="str">
        <f>IF(F65="","",_xlfn.XLOOKUP(F65,purchase!D:D,purchase!#REF!,""))</f>
        <v/>
      </c>
      <c r="I65" s="4" t="str">
        <f t="shared" si="2"/>
        <v/>
      </c>
      <c r="J65" s="4" t="str">
        <f t="shared" si="3"/>
        <v/>
      </c>
      <c r="K65" s="13" t="str">
        <f>_xlfn.SINGLE(IF(F65="","",_xlfn.XLOOKUP(F65,purchase!D:D,purchase!#REF!,"")))</f>
        <v/>
      </c>
      <c r="L65" s="2"/>
      <c r="M65" s="32"/>
      <c r="N65" s="13" t="str">
        <f>IF(F65="","",
MAX(0,
_xlfn.XLOOKUP(F65,purchase!D:D,purchase!#REF!,"")
-
SUMIFS(L:L,F:F,F65)))</f>
        <v/>
      </c>
      <c r="O65" s="13" t="str">
        <f t="shared" si="4"/>
        <v/>
      </c>
      <c r="P65" s="35" t="str">
        <f>_xlfn.SINGLE(IF(F65="","",_xlfn.XLOOKUP(F65,purchase!D:D,purchase!K:K,"")))</f>
        <v/>
      </c>
      <c r="Q65" s="29" t="str">
        <f t="shared" si="5"/>
        <v/>
      </c>
      <c r="R65" s="37" t="str">
        <f t="shared" si="6"/>
        <v/>
      </c>
    </row>
    <row r="66" spans="1:18" x14ac:dyDescent="0.35">
      <c r="A66" s="8">
        <v>62</v>
      </c>
      <c r="B66" s="9" t="str">
        <f t="shared" si="0"/>
        <v/>
      </c>
      <c r="C66" s="10"/>
      <c r="D66" s="9" t="str">
        <f>IF(F66="","",_xlfn.XLOOKUP(F66,purchase!D:D,purchase!#REF!,""))</f>
        <v/>
      </c>
      <c r="E66" s="9" t="str">
        <f>IF(F66="","",_xlfn.XLOOKUP(F66,purchase!D:D,purchase!B:B,""))</f>
        <v/>
      </c>
      <c r="F66" s="2"/>
      <c r="G66" s="4" t="str">
        <f t="shared" si="1"/>
        <v/>
      </c>
      <c r="H66" s="4" t="str">
        <f>IF(F66="","",_xlfn.XLOOKUP(F66,purchase!D:D,purchase!#REF!,""))</f>
        <v/>
      </c>
      <c r="I66" s="4" t="str">
        <f t="shared" si="2"/>
        <v/>
      </c>
      <c r="J66" s="4" t="str">
        <f t="shared" si="3"/>
        <v/>
      </c>
      <c r="K66" s="13" t="str">
        <f>_xlfn.SINGLE(IF(F66="","",_xlfn.XLOOKUP(F66,purchase!D:D,purchase!#REF!,"")))</f>
        <v/>
      </c>
      <c r="L66" s="2"/>
      <c r="M66" s="32"/>
      <c r="N66" s="13" t="str">
        <f>IF(F66="","",
MAX(0,
_xlfn.XLOOKUP(F66,purchase!D:D,purchase!#REF!,"")
-
SUMIFS(L:L,F:F,F66)))</f>
        <v/>
      </c>
      <c r="O66" s="13" t="str">
        <f t="shared" si="4"/>
        <v/>
      </c>
      <c r="P66" s="35" t="str">
        <f>_xlfn.SINGLE(IF(F66="","",_xlfn.XLOOKUP(F66,purchase!D:D,purchase!K:K,"")))</f>
        <v/>
      </c>
      <c r="Q66" s="29" t="str">
        <f t="shared" si="5"/>
        <v/>
      </c>
      <c r="R66" s="37" t="str">
        <f t="shared" si="6"/>
        <v/>
      </c>
    </row>
    <row r="67" spans="1:18" x14ac:dyDescent="0.35">
      <c r="A67" s="8">
        <v>63</v>
      </c>
      <c r="B67" s="9" t="str">
        <f t="shared" si="0"/>
        <v/>
      </c>
      <c r="C67" s="10"/>
      <c r="D67" s="9" t="str">
        <f>IF(F67="","",_xlfn.XLOOKUP(F67,purchase!D:D,purchase!#REF!,""))</f>
        <v/>
      </c>
      <c r="E67" s="9" t="str">
        <f>IF(F67="","",_xlfn.XLOOKUP(F67,purchase!D:D,purchase!B:B,""))</f>
        <v/>
      </c>
      <c r="F67" s="2"/>
      <c r="G67" s="4" t="str">
        <f t="shared" si="1"/>
        <v/>
      </c>
      <c r="H67" s="4" t="str">
        <f>IF(F67="","",_xlfn.XLOOKUP(F67,purchase!D:D,purchase!#REF!,""))</f>
        <v/>
      </c>
      <c r="I67" s="4" t="str">
        <f t="shared" si="2"/>
        <v/>
      </c>
      <c r="J67" s="4" t="str">
        <f t="shared" si="3"/>
        <v/>
      </c>
      <c r="K67" s="13" t="str">
        <f>_xlfn.SINGLE(IF(F67="","",_xlfn.XLOOKUP(F67,purchase!D:D,purchase!#REF!,"")))</f>
        <v/>
      </c>
      <c r="L67" s="2"/>
      <c r="M67" s="32"/>
      <c r="N67" s="13" t="str">
        <f>IF(F67="","",
MAX(0,
_xlfn.XLOOKUP(F67,purchase!D:D,purchase!#REF!,"")
-
SUMIFS(L:L,F:F,F67)))</f>
        <v/>
      </c>
      <c r="O67" s="13" t="str">
        <f t="shared" si="4"/>
        <v/>
      </c>
      <c r="P67" s="35" t="str">
        <f>_xlfn.SINGLE(IF(F67="","",_xlfn.XLOOKUP(F67,purchase!D:D,purchase!K:K,"")))</f>
        <v/>
      </c>
      <c r="Q67" s="29" t="str">
        <f t="shared" si="5"/>
        <v/>
      </c>
      <c r="R67" s="37" t="str">
        <f t="shared" si="6"/>
        <v/>
      </c>
    </row>
    <row r="68" spans="1:18" x14ac:dyDescent="0.35">
      <c r="A68" s="8">
        <v>64</v>
      </c>
      <c r="B68" s="9" t="str">
        <f t="shared" si="0"/>
        <v/>
      </c>
      <c r="C68" s="10"/>
      <c r="D68" s="9" t="str">
        <f>IF(F68="","",_xlfn.XLOOKUP(F68,purchase!D:D,purchase!#REF!,""))</f>
        <v/>
      </c>
      <c r="E68" s="9" t="str">
        <f>IF(F68="","",_xlfn.XLOOKUP(F68,purchase!D:D,purchase!B:B,""))</f>
        <v/>
      </c>
      <c r="F68" s="2"/>
      <c r="G68" s="4" t="str">
        <f t="shared" si="1"/>
        <v/>
      </c>
      <c r="H68" s="4" t="str">
        <f>IF(F68="","",_xlfn.XLOOKUP(F68,purchase!D:D,purchase!#REF!,""))</f>
        <v/>
      </c>
      <c r="I68" s="4" t="str">
        <f t="shared" si="2"/>
        <v/>
      </c>
      <c r="J68" s="4" t="str">
        <f t="shared" si="3"/>
        <v/>
      </c>
      <c r="K68" s="13" t="str">
        <f>_xlfn.SINGLE(IF(F68="","",_xlfn.XLOOKUP(F68,purchase!D:D,purchase!#REF!,"")))</f>
        <v/>
      </c>
      <c r="L68" s="2"/>
      <c r="M68" s="32"/>
      <c r="N68" s="13" t="str">
        <f>IF(F68="","",
MAX(0,
_xlfn.XLOOKUP(F68,purchase!D:D,purchase!#REF!,"")
-
SUMIFS(L:L,F:F,F68)))</f>
        <v/>
      </c>
      <c r="O68" s="13" t="str">
        <f t="shared" si="4"/>
        <v/>
      </c>
      <c r="P68" s="35" t="str">
        <f>_xlfn.SINGLE(IF(F68="","",_xlfn.XLOOKUP(F68,purchase!D:D,purchase!K:K,"")))</f>
        <v/>
      </c>
      <c r="Q68" s="29" t="str">
        <f t="shared" si="5"/>
        <v/>
      </c>
      <c r="R68" s="37" t="str">
        <f t="shared" si="6"/>
        <v/>
      </c>
    </row>
    <row r="69" spans="1:18" x14ac:dyDescent="0.35">
      <c r="A69" s="8">
        <v>65</v>
      </c>
      <c r="B69" s="9" t="str">
        <f t="shared" ref="B69:B132" si="7">IF(OR(C69="",F69=""),"",
"PRD-" &amp;
TEXT(DAY(C69),"00") &amp;
CHOOSE(MONTH(C69),"A","B","C","D","E","F","G","H","I","J","K","L") &amp;
TEXT(YEAR(C69),"00") &amp;
"-" &amp;
RIGHT(F69,4))</f>
        <v/>
      </c>
      <c r="C69" s="10"/>
      <c r="D69" s="9" t="str">
        <f>IF(F69="","",_xlfn.XLOOKUP(F69,purchase!D:D,purchase!#REF!,""))</f>
        <v/>
      </c>
      <c r="E69" s="9" t="str">
        <f>IF(F69="","",_xlfn.XLOOKUP(F69,purchase!D:D,purchase!B:B,""))</f>
        <v/>
      </c>
      <c r="F69" s="2"/>
      <c r="G69" s="4" t="str">
        <f t="shared" ref="G69:G132" si="8">IF(H69="NRFC","Natural Rubber Field Coagulam","")</f>
        <v/>
      </c>
      <c r="H69" s="4" t="str">
        <f>IF(F69="","",_xlfn.XLOOKUP(F69,purchase!D:D,purchase!#REF!,""))</f>
        <v/>
      </c>
      <c r="I69" s="4" t="str">
        <f t="shared" ref="I69:I132" si="9">IF(J69="ISNR20","Natural Rubber-TSNR (ISNR-20)","")</f>
        <v/>
      </c>
      <c r="J69" s="4" t="str">
        <f t="shared" ref="J69:J132" si="10">IF(H69="NRFC","ISNR20","")</f>
        <v/>
      </c>
      <c r="K69" s="13" t="str">
        <f>_xlfn.SINGLE(IF(F69="","",_xlfn.XLOOKUP(F69,purchase!D:D,purchase!#REF!,"")))</f>
        <v/>
      </c>
      <c r="L69" s="2"/>
      <c r="M69" s="32"/>
      <c r="N69" s="13" t="str">
        <f>IF(F69="","",
MAX(0,
_xlfn.XLOOKUP(F69,purchase!D:D,purchase!#REF!,"")
-
SUMIFS(L:L,F:F,F69)))</f>
        <v/>
      </c>
      <c r="O69" s="13" t="str">
        <f t="shared" ref="O69:O132" si="11">IF(OR(L69="",M69=""),"",L69-M69)</f>
        <v/>
      </c>
      <c r="P69" s="35" t="str">
        <f>_xlfn.SINGLE(IF(F69="","",_xlfn.XLOOKUP(F69,purchase!D:D,purchase!K:K,"")))</f>
        <v/>
      </c>
      <c r="Q69" s="29" t="str">
        <f t="shared" ref="Q69:Q132" si="12">IF(OR(L69="",M69=""),"",M69/L69)</f>
        <v/>
      </c>
      <c r="R69" s="37" t="str">
        <f t="shared" ref="R69:R132" si="13">IF(OR(P69="",Q69=""),"",Q69-P69)</f>
        <v/>
      </c>
    </row>
    <row r="70" spans="1:18" x14ac:dyDescent="0.35">
      <c r="A70" s="8">
        <v>66</v>
      </c>
      <c r="B70" s="9" t="str">
        <f t="shared" si="7"/>
        <v/>
      </c>
      <c r="C70" s="10"/>
      <c r="D70" s="9" t="str">
        <f>IF(F70="","",_xlfn.XLOOKUP(F70,purchase!D:D,purchase!#REF!,""))</f>
        <v/>
      </c>
      <c r="E70" s="9" t="str">
        <f>IF(F70="","",_xlfn.XLOOKUP(F70,purchase!D:D,purchase!B:B,""))</f>
        <v/>
      </c>
      <c r="F70" s="2"/>
      <c r="G70" s="4" t="str">
        <f t="shared" si="8"/>
        <v/>
      </c>
      <c r="H70" s="4" t="str">
        <f>IF(F70="","",_xlfn.XLOOKUP(F70,purchase!D:D,purchase!#REF!,""))</f>
        <v/>
      </c>
      <c r="I70" s="4" t="str">
        <f t="shared" si="9"/>
        <v/>
      </c>
      <c r="J70" s="4" t="str">
        <f t="shared" si="10"/>
        <v/>
      </c>
      <c r="K70" s="13" t="str">
        <f>_xlfn.SINGLE(IF(F70="","",_xlfn.XLOOKUP(F70,purchase!D:D,purchase!#REF!,"")))</f>
        <v/>
      </c>
      <c r="L70" s="2"/>
      <c r="M70" s="32"/>
      <c r="N70" s="13" t="str">
        <f>IF(F70="","",
MAX(0,
_xlfn.XLOOKUP(F70,purchase!D:D,purchase!#REF!,"")
-
SUMIFS(L:L,F:F,F70)))</f>
        <v/>
      </c>
      <c r="O70" s="13" t="str">
        <f t="shared" si="11"/>
        <v/>
      </c>
      <c r="P70" s="35" t="str">
        <f>_xlfn.SINGLE(IF(F70="","",_xlfn.XLOOKUP(F70,purchase!D:D,purchase!K:K,"")))</f>
        <v/>
      </c>
      <c r="Q70" s="29" t="str">
        <f t="shared" si="12"/>
        <v/>
      </c>
      <c r="R70" s="37" t="str">
        <f t="shared" si="13"/>
        <v/>
      </c>
    </row>
    <row r="71" spans="1:18" x14ac:dyDescent="0.35">
      <c r="A71" s="8">
        <v>67</v>
      </c>
      <c r="B71" s="9" t="str">
        <f t="shared" si="7"/>
        <v/>
      </c>
      <c r="C71" s="10"/>
      <c r="D71" s="9" t="str">
        <f>IF(F71="","",_xlfn.XLOOKUP(F71,purchase!D:D,purchase!#REF!,""))</f>
        <v/>
      </c>
      <c r="E71" s="9" t="str">
        <f>IF(F71="","",_xlfn.XLOOKUP(F71,purchase!D:D,purchase!B:B,""))</f>
        <v/>
      </c>
      <c r="F71" s="2"/>
      <c r="G71" s="4" t="str">
        <f t="shared" si="8"/>
        <v/>
      </c>
      <c r="H71" s="4" t="str">
        <f>IF(F71="","",_xlfn.XLOOKUP(F71,purchase!D:D,purchase!#REF!,""))</f>
        <v/>
      </c>
      <c r="I71" s="4" t="str">
        <f t="shared" si="9"/>
        <v/>
      </c>
      <c r="J71" s="4" t="str">
        <f t="shared" si="10"/>
        <v/>
      </c>
      <c r="K71" s="13" t="str">
        <f>_xlfn.SINGLE(IF(F71="","",_xlfn.XLOOKUP(F71,purchase!D:D,purchase!#REF!,"")))</f>
        <v/>
      </c>
      <c r="L71" s="2"/>
      <c r="M71" s="32"/>
      <c r="N71" s="13" t="str">
        <f>IF(F71="","",
MAX(0,
_xlfn.XLOOKUP(F71,purchase!D:D,purchase!#REF!,"")
-
SUMIFS(L:L,F:F,F71)))</f>
        <v/>
      </c>
      <c r="O71" s="13" t="str">
        <f t="shared" si="11"/>
        <v/>
      </c>
      <c r="P71" s="35" t="str">
        <f>_xlfn.SINGLE(IF(F71="","",_xlfn.XLOOKUP(F71,purchase!D:D,purchase!K:K,"")))</f>
        <v/>
      </c>
      <c r="Q71" s="29" t="str">
        <f t="shared" si="12"/>
        <v/>
      </c>
      <c r="R71" s="37" t="str">
        <f t="shared" si="13"/>
        <v/>
      </c>
    </row>
    <row r="72" spans="1:18" x14ac:dyDescent="0.35">
      <c r="A72" s="8">
        <v>68</v>
      </c>
      <c r="B72" s="9" t="str">
        <f t="shared" si="7"/>
        <v/>
      </c>
      <c r="C72" s="10"/>
      <c r="D72" s="9" t="str">
        <f>IF(F72="","",_xlfn.XLOOKUP(F72,purchase!D:D,purchase!#REF!,""))</f>
        <v/>
      </c>
      <c r="E72" s="9" t="str">
        <f>IF(F72="","",_xlfn.XLOOKUP(F72,purchase!D:D,purchase!B:B,""))</f>
        <v/>
      </c>
      <c r="F72" s="2"/>
      <c r="G72" s="4" t="str">
        <f t="shared" si="8"/>
        <v/>
      </c>
      <c r="H72" s="4" t="str">
        <f>IF(F72="","",_xlfn.XLOOKUP(F72,purchase!D:D,purchase!#REF!,""))</f>
        <v/>
      </c>
      <c r="I72" s="4" t="str">
        <f t="shared" si="9"/>
        <v/>
      </c>
      <c r="J72" s="4" t="str">
        <f t="shared" si="10"/>
        <v/>
      </c>
      <c r="K72" s="13" t="str">
        <f>_xlfn.SINGLE(IF(F72="","",_xlfn.XLOOKUP(F72,purchase!D:D,purchase!#REF!,"")))</f>
        <v/>
      </c>
      <c r="L72" s="2"/>
      <c r="M72" s="32"/>
      <c r="N72" s="13" t="str">
        <f>IF(F72="","",
MAX(0,
_xlfn.XLOOKUP(F72,purchase!D:D,purchase!#REF!,"")
-
SUMIFS(L:L,F:F,F72)))</f>
        <v/>
      </c>
      <c r="O72" s="13" t="str">
        <f t="shared" si="11"/>
        <v/>
      </c>
      <c r="P72" s="35" t="str">
        <f>_xlfn.SINGLE(IF(F72="","",_xlfn.XLOOKUP(F72,purchase!D:D,purchase!K:K,"")))</f>
        <v/>
      </c>
      <c r="Q72" s="29" t="str">
        <f t="shared" si="12"/>
        <v/>
      </c>
      <c r="R72" s="37" t="str">
        <f t="shared" si="13"/>
        <v/>
      </c>
    </row>
    <row r="73" spans="1:18" x14ac:dyDescent="0.35">
      <c r="A73" s="8">
        <v>69</v>
      </c>
      <c r="B73" s="9" t="str">
        <f t="shared" si="7"/>
        <v/>
      </c>
      <c r="C73" s="10"/>
      <c r="D73" s="9" t="str">
        <f>IF(F73="","",_xlfn.XLOOKUP(F73,purchase!D:D,purchase!#REF!,""))</f>
        <v/>
      </c>
      <c r="E73" s="9" t="str">
        <f>IF(F73="","",_xlfn.XLOOKUP(F73,purchase!D:D,purchase!B:B,""))</f>
        <v/>
      </c>
      <c r="F73" s="2"/>
      <c r="G73" s="4" t="str">
        <f t="shared" si="8"/>
        <v/>
      </c>
      <c r="H73" s="4" t="str">
        <f>IF(F73="","",_xlfn.XLOOKUP(F73,purchase!D:D,purchase!#REF!,""))</f>
        <v/>
      </c>
      <c r="I73" s="4" t="str">
        <f t="shared" si="9"/>
        <v/>
      </c>
      <c r="J73" s="4" t="str">
        <f t="shared" si="10"/>
        <v/>
      </c>
      <c r="K73" s="13" t="str">
        <f>_xlfn.SINGLE(IF(F73="","",_xlfn.XLOOKUP(F73,purchase!D:D,purchase!#REF!,"")))</f>
        <v/>
      </c>
      <c r="L73" s="2"/>
      <c r="M73" s="32"/>
      <c r="N73" s="13" t="str">
        <f>IF(F73="","",
MAX(0,
_xlfn.XLOOKUP(F73,purchase!D:D,purchase!#REF!,"")
-
SUMIFS(L:L,F:F,F73)))</f>
        <v/>
      </c>
      <c r="O73" s="13" t="str">
        <f t="shared" si="11"/>
        <v/>
      </c>
      <c r="P73" s="35" t="str">
        <f>_xlfn.SINGLE(IF(F73="","",_xlfn.XLOOKUP(F73,purchase!D:D,purchase!K:K,"")))</f>
        <v/>
      </c>
      <c r="Q73" s="29" t="str">
        <f t="shared" si="12"/>
        <v/>
      </c>
      <c r="R73" s="37" t="str">
        <f t="shared" si="13"/>
        <v/>
      </c>
    </row>
    <row r="74" spans="1:18" x14ac:dyDescent="0.35">
      <c r="A74" s="8">
        <v>70</v>
      </c>
      <c r="B74" s="9" t="str">
        <f t="shared" si="7"/>
        <v/>
      </c>
      <c r="C74" s="10"/>
      <c r="D74" s="9" t="str">
        <f>IF(F74="","",_xlfn.XLOOKUP(F74,purchase!D:D,purchase!#REF!,""))</f>
        <v/>
      </c>
      <c r="E74" s="9" t="str">
        <f>IF(F74="","",_xlfn.XLOOKUP(F74,purchase!D:D,purchase!B:B,""))</f>
        <v/>
      </c>
      <c r="F74" s="2"/>
      <c r="G74" s="4" t="str">
        <f t="shared" si="8"/>
        <v/>
      </c>
      <c r="H74" s="4" t="str">
        <f>IF(F74="","",_xlfn.XLOOKUP(F74,purchase!D:D,purchase!#REF!,""))</f>
        <v/>
      </c>
      <c r="I74" s="4" t="str">
        <f t="shared" si="9"/>
        <v/>
      </c>
      <c r="J74" s="4" t="str">
        <f t="shared" si="10"/>
        <v/>
      </c>
      <c r="K74" s="13" t="str">
        <f>_xlfn.SINGLE(IF(F74="","",_xlfn.XLOOKUP(F74,purchase!D:D,purchase!#REF!,"")))</f>
        <v/>
      </c>
      <c r="L74" s="2"/>
      <c r="M74" s="32"/>
      <c r="N74" s="13" t="str">
        <f>IF(F74="","",
MAX(0,
_xlfn.XLOOKUP(F74,purchase!D:D,purchase!#REF!,"")
-
SUMIFS(L:L,F:F,F74)))</f>
        <v/>
      </c>
      <c r="O74" s="13" t="str">
        <f t="shared" si="11"/>
        <v/>
      </c>
      <c r="P74" s="35" t="str">
        <f>_xlfn.SINGLE(IF(F74="","",_xlfn.XLOOKUP(F74,purchase!D:D,purchase!K:K,"")))</f>
        <v/>
      </c>
      <c r="Q74" s="29" t="str">
        <f t="shared" si="12"/>
        <v/>
      </c>
      <c r="R74" s="37" t="str">
        <f t="shared" si="13"/>
        <v/>
      </c>
    </row>
    <row r="75" spans="1:18" x14ac:dyDescent="0.35">
      <c r="A75" s="8">
        <v>71</v>
      </c>
      <c r="B75" s="9" t="str">
        <f t="shared" si="7"/>
        <v/>
      </c>
      <c r="C75" s="10"/>
      <c r="D75" s="9" t="str">
        <f>IF(F75="","",_xlfn.XLOOKUP(F75,purchase!D:D,purchase!#REF!,""))</f>
        <v/>
      </c>
      <c r="E75" s="9" t="str">
        <f>IF(F75="","",_xlfn.XLOOKUP(F75,purchase!D:D,purchase!B:B,""))</f>
        <v/>
      </c>
      <c r="F75" s="2"/>
      <c r="G75" s="4" t="str">
        <f t="shared" si="8"/>
        <v/>
      </c>
      <c r="H75" s="4" t="str">
        <f>IF(F75="","",_xlfn.XLOOKUP(F75,purchase!D:D,purchase!#REF!,""))</f>
        <v/>
      </c>
      <c r="I75" s="4" t="str">
        <f t="shared" si="9"/>
        <v/>
      </c>
      <c r="J75" s="4" t="str">
        <f t="shared" si="10"/>
        <v/>
      </c>
      <c r="K75" s="13" t="str">
        <f>_xlfn.SINGLE(IF(F75="","",_xlfn.XLOOKUP(F75,purchase!D:D,purchase!#REF!,"")))</f>
        <v/>
      </c>
      <c r="L75" s="2"/>
      <c r="M75" s="32"/>
      <c r="N75" s="13" t="str">
        <f>IF(F75="","",
MAX(0,
_xlfn.XLOOKUP(F75,purchase!D:D,purchase!#REF!,"")
-
SUMIFS(L:L,F:F,F75)))</f>
        <v/>
      </c>
      <c r="O75" s="13" t="str">
        <f t="shared" si="11"/>
        <v/>
      </c>
      <c r="P75" s="35" t="str">
        <f>_xlfn.SINGLE(IF(F75="","",_xlfn.XLOOKUP(F75,purchase!D:D,purchase!K:K,"")))</f>
        <v/>
      </c>
      <c r="Q75" s="29" t="str">
        <f t="shared" si="12"/>
        <v/>
      </c>
      <c r="R75" s="37" t="str">
        <f t="shared" si="13"/>
        <v/>
      </c>
    </row>
    <row r="76" spans="1:18" x14ac:dyDescent="0.35">
      <c r="A76" s="8">
        <v>72</v>
      </c>
      <c r="B76" s="9" t="str">
        <f t="shared" si="7"/>
        <v/>
      </c>
      <c r="C76" s="10"/>
      <c r="D76" s="9" t="str">
        <f>IF(F76="","",_xlfn.XLOOKUP(F76,purchase!D:D,purchase!#REF!,""))</f>
        <v/>
      </c>
      <c r="E76" s="9" t="str">
        <f>IF(F76="","",_xlfn.XLOOKUP(F76,purchase!D:D,purchase!B:B,""))</f>
        <v/>
      </c>
      <c r="F76" s="2"/>
      <c r="G76" s="4" t="str">
        <f t="shared" si="8"/>
        <v/>
      </c>
      <c r="H76" s="4" t="str">
        <f>IF(F76="","",_xlfn.XLOOKUP(F76,purchase!D:D,purchase!#REF!,""))</f>
        <v/>
      </c>
      <c r="I76" s="4" t="str">
        <f t="shared" si="9"/>
        <v/>
      </c>
      <c r="J76" s="4" t="str">
        <f t="shared" si="10"/>
        <v/>
      </c>
      <c r="K76" s="13" t="str">
        <f>_xlfn.SINGLE(IF(F76="","",_xlfn.XLOOKUP(F76,purchase!D:D,purchase!#REF!,"")))</f>
        <v/>
      </c>
      <c r="L76" s="2"/>
      <c r="M76" s="32"/>
      <c r="N76" s="13" t="str">
        <f>IF(F76="","",
MAX(0,
_xlfn.XLOOKUP(F76,purchase!D:D,purchase!#REF!,"")
-
SUMIFS(L:L,F:F,F76)))</f>
        <v/>
      </c>
      <c r="O76" s="13" t="str">
        <f t="shared" si="11"/>
        <v/>
      </c>
      <c r="P76" s="35" t="str">
        <f>_xlfn.SINGLE(IF(F76="","",_xlfn.XLOOKUP(F76,purchase!D:D,purchase!K:K,"")))</f>
        <v/>
      </c>
      <c r="Q76" s="29" t="str">
        <f t="shared" si="12"/>
        <v/>
      </c>
      <c r="R76" s="37" t="str">
        <f t="shared" si="13"/>
        <v/>
      </c>
    </row>
    <row r="77" spans="1:18" x14ac:dyDescent="0.35">
      <c r="A77" s="8">
        <v>73</v>
      </c>
      <c r="B77" s="9" t="str">
        <f t="shared" si="7"/>
        <v/>
      </c>
      <c r="C77" s="10"/>
      <c r="D77" s="9" t="str">
        <f>IF(F77="","",_xlfn.XLOOKUP(F77,purchase!D:D,purchase!#REF!,""))</f>
        <v/>
      </c>
      <c r="E77" s="9" t="str">
        <f>IF(F77="","",_xlfn.XLOOKUP(F77,purchase!D:D,purchase!B:B,""))</f>
        <v/>
      </c>
      <c r="F77" s="2"/>
      <c r="G77" s="4" t="str">
        <f t="shared" si="8"/>
        <v/>
      </c>
      <c r="H77" s="4" t="str">
        <f>IF(F77="","",_xlfn.XLOOKUP(F77,purchase!D:D,purchase!#REF!,""))</f>
        <v/>
      </c>
      <c r="I77" s="4" t="str">
        <f t="shared" si="9"/>
        <v/>
      </c>
      <c r="J77" s="4" t="str">
        <f t="shared" si="10"/>
        <v/>
      </c>
      <c r="K77" s="13" t="str">
        <f>_xlfn.SINGLE(IF(F77="","",_xlfn.XLOOKUP(F77,purchase!D:D,purchase!#REF!,"")))</f>
        <v/>
      </c>
      <c r="L77" s="2"/>
      <c r="M77" s="32"/>
      <c r="N77" s="13" t="str">
        <f>IF(F77="","",
MAX(0,
_xlfn.XLOOKUP(F77,purchase!D:D,purchase!#REF!,"")
-
SUMIFS(L:L,F:F,F77)))</f>
        <v/>
      </c>
      <c r="O77" s="13" t="str">
        <f t="shared" si="11"/>
        <v/>
      </c>
      <c r="P77" s="35" t="str">
        <f>_xlfn.SINGLE(IF(F77="","",_xlfn.XLOOKUP(F77,purchase!D:D,purchase!K:K,"")))</f>
        <v/>
      </c>
      <c r="Q77" s="29" t="str">
        <f t="shared" si="12"/>
        <v/>
      </c>
      <c r="R77" s="37" t="str">
        <f t="shared" si="13"/>
        <v/>
      </c>
    </row>
    <row r="78" spans="1:18" x14ac:dyDescent="0.35">
      <c r="A78" s="8">
        <v>74</v>
      </c>
      <c r="B78" s="9" t="str">
        <f t="shared" si="7"/>
        <v/>
      </c>
      <c r="C78" s="10"/>
      <c r="D78" s="9" t="str">
        <f>IF(F78="","",_xlfn.XLOOKUP(F78,purchase!D:D,purchase!#REF!,""))</f>
        <v/>
      </c>
      <c r="E78" s="9" t="str">
        <f>IF(F78="","",_xlfn.XLOOKUP(F78,purchase!D:D,purchase!B:B,""))</f>
        <v/>
      </c>
      <c r="F78" s="2"/>
      <c r="G78" s="4" t="str">
        <f t="shared" si="8"/>
        <v/>
      </c>
      <c r="H78" s="4" t="str">
        <f>IF(F78="","",_xlfn.XLOOKUP(F78,purchase!D:D,purchase!#REF!,""))</f>
        <v/>
      </c>
      <c r="I78" s="4" t="str">
        <f t="shared" si="9"/>
        <v/>
      </c>
      <c r="J78" s="4" t="str">
        <f t="shared" si="10"/>
        <v/>
      </c>
      <c r="K78" s="13" t="str">
        <f>_xlfn.SINGLE(IF(F78="","",_xlfn.XLOOKUP(F78,purchase!D:D,purchase!#REF!,"")))</f>
        <v/>
      </c>
      <c r="L78" s="2"/>
      <c r="M78" s="32"/>
      <c r="N78" s="13" t="str">
        <f>IF(F78="","",
MAX(0,
_xlfn.XLOOKUP(F78,purchase!D:D,purchase!#REF!,"")
-
SUMIFS(L:L,F:F,F78)))</f>
        <v/>
      </c>
      <c r="O78" s="13" t="str">
        <f t="shared" si="11"/>
        <v/>
      </c>
      <c r="P78" s="35" t="str">
        <f>_xlfn.SINGLE(IF(F78="","",_xlfn.XLOOKUP(F78,purchase!D:D,purchase!K:K,"")))</f>
        <v/>
      </c>
      <c r="Q78" s="29" t="str">
        <f t="shared" si="12"/>
        <v/>
      </c>
      <c r="R78" s="37" t="str">
        <f t="shared" si="13"/>
        <v/>
      </c>
    </row>
    <row r="79" spans="1:18" x14ac:dyDescent="0.35">
      <c r="A79" s="8">
        <v>75</v>
      </c>
      <c r="B79" s="9" t="str">
        <f t="shared" si="7"/>
        <v/>
      </c>
      <c r="C79" s="10"/>
      <c r="D79" s="9" t="str">
        <f>IF(F79="","",_xlfn.XLOOKUP(F79,purchase!D:D,purchase!#REF!,""))</f>
        <v/>
      </c>
      <c r="E79" s="9" t="str">
        <f>IF(F79="","",_xlfn.XLOOKUP(F79,purchase!D:D,purchase!B:B,""))</f>
        <v/>
      </c>
      <c r="F79" s="2"/>
      <c r="G79" s="4" t="str">
        <f t="shared" si="8"/>
        <v/>
      </c>
      <c r="H79" s="4" t="str">
        <f>IF(F79="","",_xlfn.XLOOKUP(F79,purchase!D:D,purchase!#REF!,""))</f>
        <v/>
      </c>
      <c r="I79" s="4" t="str">
        <f t="shared" si="9"/>
        <v/>
      </c>
      <c r="J79" s="4" t="str">
        <f t="shared" si="10"/>
        <v/>
      </c>
      <c r="K79" s="13" t="str">
        <f>_xlfn.SINGLE(IF(F79="","",_xlfn.XLOOKUP(F79,purchase!D:D,purchase!#REF!,"")))</f>
        <v/>
      </c>
      <c r="L79" s="2"/>
      <c r="M79" s="32"/>
      <c r="N79" s="13" t="str">
        <f>IF(F79="","",
MAX(0,
_xlfn.XLOOKUP(F79,purchase!D:D,purchase!#REF!,"")
-
SUMIFS(L:L,F:F,F79)))</f>
        <v/>
      </c>
      <c r="O79" s="13" t="str">
        <f t="shared" si="11"/>
        <v/>
      </c>
      <c r="P79" s="35" t="str">
        <f>_xlfn.SINGLE(IF(F79="","",_xlfn.XLOOKUP(F79,purchase!D:D,purchase!K:K,"")))</f>
        <v/>
      </c>
      <c r="Q79" s="29" t="str">
        <f t="shared" si="12"/>
        <v/>
      </c>
      <c r="R79" s="37" t="str">
        <f t="shared" si="13"/>
        <v/>
      </c>
    </row>
    <row r="80" spans="1:18" x14ac:dyDescent="0.35">
      <c r="A80" s="8">
        <v>76</v>
      </c>
      <c r="B80" s="9" t="str">
        <f t="shared" si="7"/>
        <v/>
      </c>
      <c r="C80" s="10"/>
      <c r="D80" s="9" t="str">
        <f>IF(F80="","",_xlfn.XLOOKUP(F80,purchase!D:D,purchase!#REF!,""))</f>
        <v/>
      </c>
      <c r="E80" s="9" t="str">
        <f>IF(F80="","",_xlfn.XLOOKUP(F80,purchase!D:D,purchase!B:B,""))</f>
        <v/>
      </c>
      <c r="F80" s="2"/>
      <c r="G80" s="4" t="str">
        <f t="shared" si="8"/>
        <v/>
      </c>
      <c r="H80" s="4" t="str">
        <f>IF(F80="","",_xlfn.XLOOKUP(F80,purchase!D:D,purchase!#REF!,""))</f>
        <v/>
      </c>
      <c r="I80" s="4" t="str">
        <f t="shared" si="9"/>
        <v/>
      </c>
      <c r="J80" s="4" t="str">
        <f t="shared" si="10"/>
        <v/>
      </c>
      <c r="K80" s="13" t="str">
        <f>_xlfn.SINGLE(IF(F80="","",_xlfn.XLOOKUP(F80,purchase!D:D,purchase!#REF!,"")))</f>
        <v/>
      </c>
      <c r="L80" s="2"/>
      <c r="M80" s="32"/>
      <c r="N80" s="13" t="str">
        <f>IF(F80="","",
MAX(0,
_xlfn.XLOOKUP(F80,purchase!D:D,purchase!#REF!,"")
-
SUMIFS(L:L,F:F,F80)))</f>
        <v/>
      </c>
      <c r="O80" s="13" t="str">
        <f t="shared" si="11"/>
        <v/>
      </c>
      <c r="P80" s="35" t="str">
        <f>_xlfn.SINGLE(IF(F80="","",_xlfn.XLOOKUP(F80,purchase!D:D,purchase!K:K,"")))</f>
        <v/>
      </c>
      <c r="Q80" s="29" t="str">
        <f t="shared" si="12"/>
        <v/>
      </c>
      <c r="R80" s="37" t="str">
        <f t="shared" si="13"/>
        <v/>
      </c>
    </row>
    <row r="81" spans="1:18" x14ac:dyDescent="0.35">
      <c r="A81" s="8">
        <v>77</v>
      </c>
      <c r="B81" s="9" t="str">
        <f t="shared" si="7"/>
        <v/>
      </c>
      <c r="C81" s="10"/>
      <c r="D81" s="9" t="str">
        <f>IF(F81="","",_xlfn.XLOOKUP(F81,purchase!D:D,purchase!#REF!,""))</f>
        <v/>
      </c>
      <c r="E81" s="9" t="str">
        <f>IF(F81="","",_xlfn.XLOOKUP(F81,purchase!D:D,purchase!B:B,""))</f>
        <v/>
      </c>
      <c r="F81" s="2"/>
      <c r="G81" s="4" t="str">
        <f t="shared" si="8"/>
        <v/>
      </c>
      <c r="H81" s="4" t="str">
        <f>IF(F81="","",_xlfn.XLOOKUP(F81,purchase!D:D,purchase!#REF!,""))</f>
        <v/>
      </c>
      <c r="I81" s="4" t="str">
        <f t="shared" si="9"/>
        <v/>
      </c>
      <c r="J81" s="4" t="str">
        <f t="shared" si="10"/>
        <v/>
      </c>
      <c r="K81" s="13" t="str">
        <f>_xlfn.SINGLE(IF(F81="","",_xlfn.XLOOKUP(F81,purchase!D:D,purchase!#REF!,"")))</f>
        <v/>
      </c>
      <c r="L81" s="2"/>
      <c r="M81" s="32"/>
      <c r="N81" s="13" t="str">
        <f>IF(F81="","",
MAX(0,
_xlfn.XLOOKUP(F81,purchase!D:D,purchase!#REF!,"")
-
SUMIFS(L:L,F:F,F81)))</f>
        <v/>
      </c>
      <c r="O81" s="13" t="str">
        <f t="shared" si="11"/>
        <v/>
      </c>
      <c r="P81" s="35" t="str">
        <f>_xlfn.SINGLE(IF(F81="","",_xlfn.XLOOKUP(F81,purchase!D:D,purchase!K:K,"")))</f>
        <v/>
      </c>
      <c r="Q81" s="29" t="str">
        <f t="shared" si="12"/>
        <v/>
      </c>
      <c r="R81" s="37" t="str">
        <f t="shared" si="13"/>
        <v/>
      </c>
    </row>
    <row r="82" spans="1:18" x14ac:dyDescent="0.35">
      <c r="A82" s="8">
        <v>78</v>
      </c>
      <c r="B82" s="9" t="str">
        <f t="shared" si="7"/>
        <v/>
      </c>
      <c r="C82" s="10"/>
      <c r="D82" s="9" t="str">
        <f>IF(F82="","",_xlfn.XLOOKUP(F82,purchase!D:D,purchase!#REF!,""))</f>
        <v/>
      </c>
      <c r="E82" s="9" t="str">
        <f>IF(F82="","",_xlfn.XLOOKUP(F82,purchase!D:D,purchase!B:B,""))</f>
        <v/>
      </c>
      <c r="F82" s="2"/>
      <c r="G82" s="4" t="str">
        <f t="shared" si="8"/>
        <v/>
      </c>
      <c r="H82" s="4" t="str">
        <f>IF(F82="","",_xlfn.XLOOKUP(F82,purchase!D:D,purchase!#REF!,""))</f>
        <v/>
      </c>
      <c r="I82" s="4" t="str">
        <f t="shared" si="9"/>
        <v/>
      </c>
      <c r="J82" s="4" t="str">
        <f t="shared" si="10"/>
        <v/>
      </c>
      <c r="K82" s="13" t="str">
        <f>_xlfn.SINGLE(IF(F82="","",_xlfn.XLOOKUP(F82,purchase!D:D,purchase!#REF!,"")))</f>
        <v/>
      </c>
      <c r="L82" s="2"/>
      <c r="M82" s="32"/>
      <c r="N82" s="13" t="str">
        <f>IF(F82="","",
MAX(0,
_xlfn.XLOOKUP(F82,purchase!D:D,purchase!#REF!,"")
-
SUMIFS(L:L,F:F,F82)))</f>
        <v/>
      </c>
      <c r="O82" s="13" t="str">
        <f t="shared" si="11"/>
        <v/>
      </c>
      <c r="P82" s="35" t="str">
        <f>_xlfn.SINGLE(IF(F82="","",_xlfn.XLOOKUP(F82,purchase!D:D,purchase!K:K,"")))</f>
        <v/>
      </c>
      <c r="Q82" s="29" t="str">
        <f t="shared" si="12"/>
        <v/>
      </c>
      <c r="R82" s="37" t="str">
        <f t="shared" si="13"/>
        <v/>
      </c>
    </row>
    <row r="83" spans="1:18" x14ac:dyDescent="0.35">
      <c r="A83" s="8">
        <v>79</v>
      </c>
      <c r="B83" s="9" t="str">
        <f t="shared" si="7"/>
        <v/>
      </c>
      <c r="C83" s="10"/>
      <c r="D83" s="9" t="str">
        <f>IF(F83="","",_xlfn.XLOOKUP(F83,purchase!D:D,purchase!#REF!,""))</f>
        <v/>
      </c>
      <c r="E83" s="9" t="str">
        <f>IF(F83="","",_xlfn.XLOOKUP(F83,purchase!D:D,purchase!B:B,""))</f>
        <v/>
      </c>
      <c r="F83" s="2"/>
      <c r="G83" s="4" t="str">
        <f t="shared" si="8"/>
        <v/>
      </c>
      <c r="H83" s="4" t="str">
        <f>IF(F83="","",_xlfn.XLOOKUP(F83,purchase!D:D,purchase!#REF!,""))</f>
        <v/>
      </c>
      <c r="I83" s="4" t="str">
        <f t="shared" si="9"/>
        <v/>
      </c>
      <c r="J83" s="4" t="str">
        <f t="shared" si="10"/>
        <v/>
      </c>
      <c r="K83" s="13" t="str">
        <f>_xlfn.SINGLE(IF(F83="","",_xlfn.XLOOKUP(F83,purchase!D:D,purchase!#REF!,"")))</f>
        <v/>
      </c>
      <c r="L83" s="2"/>
      <c r="M83" s="32"/>
      <c r="N83" s="13" t="str">
        <f>IF(F83="","",
MAX(0,
_xlfn.XLOOKUP(F83,purchase!D:D,purchase!#REF!,"")
-
SUMIFS(L:L,F:F,F83)))</f>
        <v/>
      </c>
      <c r="O83" s="13" t="str">
        <f t="shared" si="11"/>
        <v/>
      </c>
      <c r="P83" s="35" t="str">
        <f>_xlfn.SINGLE(IF(F83="","",_xlfn.XLOOKUP(F83,purchase!D:D,purchase!K:K,"")))</f>
        <v/>
      </c>
      <c r="Q83" s="29" t="str">
        <f t="shared" si="12"/>
        <v/>
      </c>
      <c r="R83" s="37" t="str">
        <f t="shared" si="13"/>
        <v/>
      </c>
    </row>
    <row r="84" spans="1:18" x14ac:dyDescent="0.35">
      <c r="A84" s="8">
        <v>80</v>
      </c>
      <c r="B84" s="9" t="str">
        <f t="shared" si="7"/>
        <v/>
      </c>
      <c r="C84" s="10"/>
      <c r="D84" s="9" t="str">
        <f>IF(F84="","",_xlfn.XLOOKUP(F84,purchase!D:D,purchase!#REF!,""))</f>
        <v/>
      </c>
      <c r="E84" s="9" t="str">
        <f>IF(F84="","",_xlfn.XLOOKUP(F84,purchase!D:D,purchase!B:B,""))</f>
        <v/>
      </c>
      <c r="F84" s="2"/>
      <c r="G84" s="4" t="str">
        <f t="shared" si="8"/>
        <v/>
      </c>
      <c r="H84" s="4" t="str">
        <f>IF(F84="","",_xlfn.XLOOKUP(F84,purchase!D:D,purchase!#REF!,""))</f>
        <v/>
      </c>
      <c r="I84" s="4" t="str">
        <f t="shared" si="9"/>
        <v/>
      </c>
      <c r="J84" s="4" t="str">
        <f t="shared" si="10"/>
        <v/>
      </c>
      <c r="K84" s="13" t="str">
        <f>_xlfn.SINGLE(IF(F84="","",_xlfn.XLOOKUP(F84,purchase!D:D,purchase!#REF!,"")))</f>
        <v/>
      </c>
      <c r="L84" s="2"/>
      <c r="M84" s="32"/>
      <c r="N84" s="13" t="str">
        <f>IF(F84="","",
MAX(0,
_xlfn.XLOOKUP(F84,purchase!D:D,purchase!#REF!,"")
-
SUMIFS(L:L,F:F,F84)))</f>
        <v/>
      </c>
      <c r="O84" s="13" t="str">
        <f t="shared" si="11"/>
        <v/>
      </c>
      <c r="P84" s="35" t="str">
        <f>_xlfn.SINGLE(IF(F84="","",_xlfn.XLOOKUP(F84,purchase!D:D,purchase!K:K,"")))</f>
        <v/>
      </c>
      <c r="Q84" s="29" t="str">
        <f t="shared" si="12"/>
        <v/>
      </c>
      <c r="R84" s="37" t="str">
        <f t="shared" si="13"/>
        <v/>
      </c>
    </row>
    <row r="85" spans="1:18" x14ac:dyDescent="0.35">
      <c r="A85" s="8">
        <v>81</v>
      </c>
      <c r="B85" s="9" t="str">
        <f t="shared" si="7"/>
        <v/>
      </c>
      <c r="C85" s="10"/>
      <c r="D85" s="9" t="str">
        <f>IF(F85="","",_xlfn.XLOOKUP(F85,purchase!D:D,purchase!#REF!,""))</f>
        <v/>
      </c>
      <c r="E85" s="9" t="str">
        <f>IF(F85="","",_xlfn.XLOOKUP(F85,purchase!D:D,purchase!B:B,""))</f>
        <v/>
      </c>
      <c r="F85" s="2"/>
      <c r="G85" s="4" t="str">
        <f t="shared" si="8"/>
        <v/>
      </c>
      <c r="H85" s="4" t="str">
        <f>IF(F85="","",_xlfn.XLOOKUP(F85,purchase!D:D,purchase!#REF!,""))</f>
        <v/>
      </c>
      <c r="I85" s="4" t="str">
        <f t="shared" si="9"/>
        <v/>
      </c>
      <c r="J85" s="4" t="str">
        <f t="shared" si="10"/>
        <v/>
      </c>
      <c r="K85" s="13" t="str">
        <f>_xlfn.SINGLE(IF(F85="","",_xlfn.XLOOKUP(F85,purchase!D:D,purchase!#REF!,"")))</f>
        <v/>
      </c>
      <c r="L85" s="2"/>
      <c r="M85" s="32"/>
      <c r="N85" s="13" t="str">
        <f>IF(F85="","",
MAX(0,
_xlfn.XLOOKUP(F85,purchase!D:D,purchase!#REF!,"")
-
SUMIFS(L:L,F:F,F85)))</f>
        <v/>
      </c>
      <c r="O85" s="13" t="str">
        <f t="shared" si="11"/>
        <v/>
      </c>
      <c r="P85" s="35" t="str">
        <f>_xlfn.SINGLE(IF(F85="","",_xlfn.XLOOKUP(F85,purchase!D:D,purchase!K:K,"")))</f>
        <v/>
      </c>
      <c r="Q85" s="29" t="str">
        <f t="shared" si="12"/>
        <v/>
      </c>
      <c r="R85" s="37" t="str">
        <f t="shared" si="13"/>
        <v/>
      </c>
    </row>
    <row r="86" spans="1:18" x14ac:dyDescent="0.35">
      <c r="A86" s="8">
        <v>82</v>
      </c>
      <c r="B86" s="9" t="str">
        <f t="shared" si="7"/>
        <v/>
      </c>
      <c r="C86" s="10"/>
      <c r="D86" s="9" t="str">
        <f>IF(F86="","",_xlfn.XLOOKUP(F86,purchase!D:D,purchase!#REF!,""))</f>
        <v/>
      </c>
      <c r="E86" s="9" t="str">
        <f>IF(F86="","",_xlfn.XLOOKUP(F86,purchase!D:D,purchase!B:B,""))</f>
        <v/>
      </c>
      <c r="F86" s="2"/>
      <c r="G86" s="4" t="str">
        <f t="shared" si="8"/>
        <v/>
      </c>
      <c r="H86" s="4" t="str">
        <f>IF(F86="","",_xlfn.XLOOKUP(F86,purchase!D:D,purchase!#REF!,""))</f>
        <v/>
      </c>
      <c r="I86" s="4" t="str">
        <f t="shared" si="9"/>
        <v/>
      </c>
      <c r="J86" s="4" t="str">
        <f t="shared" si="10"/>
        <v/>
      </c>
      <c r="K86" s="13" t="str">
        <f>_xlfn.SINGLE(IF(F86="","",_xlfn.XLOOKUP(F86,purchase!D:D,purchase!#REF!,"")))</f>
        <v/>
      </c>
      <c r="L86" s="2"/>
      <c r="M86" s="32"/>
      <c r="N86" s="13" t="str">
        <f>IF(F86="","",
MAX(0,
_xlfn.XLOOKUP(F86,purchase!D:D,purchase!#REF!,"")
-
SUMIFS(L:L,F:F,F86)))</f>
        <v/>
      </c>
      <c r="O86" s="13" t="str">
        <f t="shared" si="11"/>
        <v/>
      </c>
      <c r="P86" s="35" t="str">
        <f>_xlfn.SINGLE(IF(F86="","",_xlfn.XLOOKUP(F86,purchase!D:D,purchase!K:K,"")))</f>
        <v/>
      </c>
      <c r="Q86" s="29" t="str">
        <f t="shared" si="12"/>
        <v/>
      </c>
      <c r="R86" s="37" t="str">
        <f t="shared" si="13"/>
        <v/>
      </c>
    </row>
    <row r="87" spans="1:18" x14ac:dyDescent="0.35">
      <c r="A87" s="8">
        <v>83</v>
      </c>
      <c r="B87" s="9" t="str">
        <f t="shared" si="7"/>
        <v/>
      </c>
      <c r="C87" s="10"/>
      <c r="D87" s="9" t="str">
        <f>IF(F87="","",_xlfn.XLOOKUP(F87,purchase!D:D,purchase!#REF!,""))</f>
        <v/>
      </c>
      <c r="E87" s="9" t="str">
        <f>IF(F87="","",_xlfn.XLOOKUP(F87,purchase!D:D,purchase!B:B,""))</f>
        <v/>
      </c>
      <c r="F87" s="2"/>
      <c r="G87" s="4" t="str">
        <f t="shared" si="8"/>
        <v/>
      </c>
      <c r="H87" s="4" t="str">
        <f>IF(F87="","",_xlfn.XLOOKUP(F87,purchase!D:D,purchase!#REF!,""))</f>
        <v/>
      </c>
      <c r="I87" s="4" t="str">
        <f t="shared" si="9"/>
        <v/>
      </c>
      <c r="J87" s="4" t="str">
        <f t="shared" si="10"/>
        <v/>
      </c>
      <c r="K87" s="13" t="str">
        <f>_xlfn.SINGLE(IF(F87="","",_xlfn.XLOOKUP(F87,purchase!D:D,purchase!#REF!,"")))</f>
        <v/>
      </c>
      <c r="L87" s="2"/>
      <c r="M87" s="32"/>
      <c r="N87" s="13" t="str">
        <f>IF(F87="","",
MAX(0,
_xlfn.XLOOKUP(F87,purchase!D:D,purchase!#REF!,"")
-
SUMIFS(L:L,F:F,F87)))</f>
        <v/>
      </c>
      <c r="O87" s="13" t="str">
        <f t="shared" si="11"/>
        <v/>
      </c>
      <c r="P87" s="35" t="str">
        <f>_xlfn.SINGLE(IF(F87="","",_xlfn.XLOOKUP(F87,purchase!D:D,purchase!K:K,"")))</f>
        <v/>
      </c>
      <c r="Q87" s="29" t="str">
        <f t="shared" si="12"/>
        <v/>
      </c>
      <c r="R87" s="37" t="str">
        <f t="shared" si="13"/>
        <v/>
      </c>
    </row>
    <row r="88" spans="1:18" x14ac:dyDescent="0.35">
      <c r="A88" s="8">
        <v>84</v>
      </c>
      <c r="B88" s="9" t="str">
        <f t="shared" si="7"/>
        <v/>
      </c>
      <c r="C88" s="10"/>
      <c r="D88" s="9" t="str">
        <f>IF(F88="","",_xlfn.XLOOKUP(F88,purchase!D:D,purchase!#REF!,""))</f>
        <v/>
      </c>
      <c r="E88" s="9" t="str">
        <f>IF(F88="","",_xlfn.XLOOKUP(F88,purchase!D:D,purchase!B:B,""))</f>
        <v/>
      </c>
      <c r="F88" s="2"/>
      <c r="G88" s="4" t="str">
        <f t="shared" si="8"/>
        <v/>
      </c>
      <c r="H88" s="4" t="str">
        <f>IF(F88="","",_xlfn.XLOOKUP(F88,purchase!D:D,purchase!#REF!,""))</f>
        <v/>
      </c>
      <c r="I88" s="4" t="str">
        <f t="shared" si="9"/>
        <v/>
      </c>
      <c r="J88" s="4" t="str">
        <f t="shared" si="10"/>
        <v/>
      </c>
      <c r="K88" s="13" t="str">
        <f>_xlfn.SINGLE(IF(F88="","",_xlfn.XLOOKUP(F88,purchase!D:D,purchase!#REF!,"")))</f>
        <v/>
      </c>
      <c r="L88" s="2"/>
      <c r="M88" s="32"/>
      <c r="N88" s="13" t="str">
        <f>IF(F88="","",
MAX(0,
_xlfn.XLOOKUP(F88,purchase!D:D,purchase!#REF!,"")
-
SUMIFS(L:L,F:F,F88)))</f>
        <v/>
      </c>
      <c r="O88" s="13" t="str">
        <f t="shared" si="11"/>
        <v/>
      </c>
      <c r="P88" s="35" t="str">
        <f>_xlfn.SINGLE(IF(F88="","",_xlfn.XLOOKUP(F88,purchase!D:D,purchase!K:K,"")))</f>
        <v/>
      </c>
      <c r="Q88" s="29" t="str">
        <f t="shared" si="12"/>
        <v/>
      </c>
      <c r="R88" s="37" t="str">
        <f t="shared" si="13"/>
        <v/>
      </c>
    </row>
    <row r="89" spans="1:18" x14ac:dyDescent="0.35">
      <c r="A89" s="8">
        <v>85</v>
      </c>
      <c r="B89" s="9" t="str">
        <f t="shared" si="7"/>
        <v/>
      </c>
      <c r="C89" s="10"/>
      <c r="D89" s="9" t="str">
        <f>IF(F89="","",_xlfn.XLOOKUP(F89,purchase!D:D,purchase!#REF!,""))</f>
        <v/>
      </c>
      <c r="E89" s="9" t="str">
        <f>IF(F89="","",_xlfn.XLOOKUP(F89,purchase!D:D,purchase!B:B,""))</f>
        <v/>
      </c>
      <c r="F89" s="2"/>
      <c r="G89" s="4" t="str">
        <f t="shared" si="8"/>
        <v/>
      </c>
      <c r="H89" s="4" t="str">
        <f>IF(F89="","",_xlfn.XLOOKUP(F89,purchase!D:D,purchase!#REF!,""))</f>
        <v/>
      </c>
      <c r="I89" s="4" t="str">
        <f t="shared" si="9"/>
        <v/>
      </c>
      <c r="J89" s="4" t="str">
        <f t="shared" si="10"/>
        <v/>
      </c>
      <c r="K89" s="13" t="str">
        <f>_xlfn.SINGLE(IF(F89="","",_xlfn.XLOOKUP(F89,purchase!D:D,purchase!#REF!,"")))</f>
        <v/>
      </c>
      <c r="L89" s="2"/>
      <c r="M89" s="32"/>
      <c r="N89" s="13" t="str">
        <f>IF(F89="","",
MAX(0,
_xlfn.XLOOKUP(F89,purchase!D:D,purchase!#REF!,"")
-
SUMIFS(L:L,F:F,F89)))</f>
        <v/>
      </c>
      <c r="O89" s="13" t="str">
        <f t="shared" si="11"/>
        <v/>
      </c>
      <c r="P89" s="35" t="str">
        <f>_xlfn.SINGLE(IF(F89="","",_xlfn.XLOOKUP(F89,purchase!D:D,purchase!K:K,"")))</f>
        <v/>
      </c>
      <c r="Q89" s="29" t="str">
        <f t="shared" si="12"/>
        <v/>
      </c>
      <c r="R89" s="37" t="str">
        <f t="shared" si="13"/>
        <v/>
      </c>
    </row>
    <row r="90" spans="1:18" x14ac:dyDescent="0.35">
      <c r="A90" s="8">
        <v>86</v>
      </c>
      <c r="B90" s="9" t="str">
        <f t="shared" si="7"/>
        <v/>
      </c>
      <c r="C90" s="10"/>
      <c r="D90" s="9" t="str">
        <f>IF(F90="","",_xlfn.XLOOKUP(F90,purchase!D:D,purchase!#REF!,""))</f>
        <v/>
      </c>
      <c r="E90" s="9" t="str">
        <f>IF(F90="","",_xlfn.XLOOKUP(F90,purchase!D:D,purchase!B:B,""))</f>
        <v/>
      </c>
      <c r="F90" s="2"/>
      <c r="G90" s="4" t="str">
        <f t="shared" si="8"/>
        <v/>
      </c>
      <c r="H90" s="4" t="str">
        <f>IF(F90="","",_xlfn.XLOOKUP(F90,purchase!D:D,purchase!#REF!,""))</f>
        <v/>
      </c>
      <c r="I90" s="4" t="str">
        <f t="shared" si="9"/>
        <v/>
      </c>
      <c r="J90" s="4" t="str">
        <f t="shared" si="10"/>
        <v/>
      </c>
      <c r="K90" s="13" t="str">
        <f>_xlfn.SINGLE(IF(F90="","",_xlfn.XLOOKUP(F90,purchase!D:D,purchase!#REF!,"")))</f>
        <v/>
      </c>
      <c r="L90" s="2"/>
      <c r="M90" s="32"/>
      <c r="N90" s="13" t="str">
        <f>IF(F90="","",
MAX(0,
_xlfn.XLOOKUP(F90,purchase!D:D,purchase!#REF!,"")
-
SUMIFS(L:L,F:F,F90)))</f>
        <v/>
      </c>
      <c r="O90" s="13" t="str">
        <f t="shared" si="11"/>
        <v/>
      </c>
      <c r="P90" s="35" t="str">
        <f>_xlfn.SINGLE(IF(F90="","",_xlfn.XLOOKUP(F90,purchase!D:D,purchase!K:K,"")))</f>
        <v/>
      </c>
      <c r="Q90" s="29" t="str">
        <f t="shared" si="12"/>
        <v/>
      </c>
      <c r="R90" s="37" t="str">
        <f t="shared" si="13"/>
        <v/>
      </c>
    </row>
    <row r="91" spans="1:18" x14ac:dyDescent="0.35">
      <c r="A91" s="8">
        <v>87</v>
      </c>
      <c r="B91" s="9" t="str">
        <f t="shared" si="7"/>
        <v/>
      </c>
      <c r="C91" s="10"/>
      <c r="D91" s="9" t="str">
        <f>IF(F91="","",_xlfn.XLOOKUP(F91,purchase!D:D,purchase!#REF!,""))</f>
        <v/>
      </c>
      <c r="E91" s="9" t="str">
        <f>IF(F91="","",_xlfn.XLOOKUP(F91,purchase!D:D,purchase!B:B,""))</f>
        <v/>
      </c>
      <c r="F91" s="2"/>
      <c r="G91" s="4" t="str">
        <f t="shared" si="8"/>
        <v/>
      </c>
      <c r="H91" s="4" t="str">
        <f>IF(F91="","",_xlfn.XLOOKUP(F91,purchase!D:D,purchase!#REF!,""))</f>
        <v/>
      </c>
      <c r="I91" s="4" t="str">
        <f t="shared" si="9"/>
        <v/>
      </c>
      <c r="J91" s="4" t="str">
        <f t="shared" si="10"/>
        <v/>
      </c>
      <c r="K91" s="13" t="str">
        <f>_xlfn.SINGLE(IF(F91="","",_xlfn.XLOOKUP(F91,purchase!D:D,purchase!#REF!,"")))</f>
        <v/>
      </c>
      <c r="L91" s="2"/>
      <c r="M91" s="32"/>
      <c r="N91" s="13" t="str">
        <f>IF(F91="","",
MAX(0,
_xlfn.XLOOKUP(F91,purchase!D:D,purchase!#REF!,"")
-
SUMIFS(L:L,F:F,F91)))</f>
        <v/>
      </c>
      <c r="O91" s="13" t="str">
        <f t="shared" si="11"/>
        <v/>
      </c>
      <c r="P91" s="35" t="str">
        <f>_xlfn.SINGLE(IF(F91="","",_xlfn.XLOOKUP(F91,purchase!D:D,purchase!K:K,"")))</f>
        <v/>
      </c>
      <c r="Q91" s="29" t="str">
        <f t="shared" si="12"/>
        <v/>
      </c>
      <c r="R91" s="37" t="str">
        <f t="shared" si="13"/>
        <v/>
      </c>
    </row>
    <row r="92" spans="1:18" x14ac:dyDescent="0.35">
      <c r="A92" s="8">
        <v>88</v>
      </c>
      <c r="B92" s="9" t="str">
        <f t="shared" si="7"/>
        <v/>
      </c>
      <c r="C92" s="10"/>
      <c r="D92" s="9" t="str">
        <f>IF(F92="","",_xlfn.XLOOKUP(F92,purchase!D:D,purchase!#REF!,""))</f>
        <v/>
      </c>
      <c r="E92" s="9" t="str">
        <f>IF(F92="","",_xlfn.XLOOKUP(F92,purchase!D:D,purchase!B:B,""))</f>
        <v/>
      </c>
      <c r="F92" s="2"/>
      <c r="G92" s="4" t="str">
        <f t="shared" si="8"/>
        <v/>
      </c>
      <c r="H92" s="4" t="str">
        <f>IF(F92="","",_xlfn.XLOOKUP(F92,purchase!D:D,purchase!#REF!,""))</f>
        <v/>
      </c>
      <c r="I92" s="4" t="str">
        <f t="shared" si="9"/>
        <v/>
      </c>
      <c r="J92" s="4" t="str">
        <f t="shared" si="10"/>
        <v/>
      </c>
      <c r="K92" s="13" t="str">
        <f>_xlfn.SINGLE(IF(F92="","",_xlfn.XLOOKUP(F92,purchase!D:D,purchase!#REF!,"")))</f>
        <v/>
      </c>
      <c r="L92" s="2"/>
      <c r="M92" s="32"/>
      <c r="N92" s="13" t="str">
        <f>IF(F92="","",
MAX(0,
_xlfn.XLOOKUP(F92,purchase!D:D,purchase!#REF!,"")
-
SUMIFS(L:L,F:F,F92)))</f>
        <v/>
      </c>
      <c r="O92" s="13" t="str">
        <f t="shared" si="11"/>
        <v/>
      </c>
      <c r="P92" s="35" t="str">
        <f>_xlfn.SINGLE(IF(F92="","",_xlfn.XLOOKUP(F92,purchase!D:D,purchase!K:K,"")))</f>
        <v/>
      </c>
      <c r="Q92" s="29" t="str">
        <f t="shared" si="12"/>
        <v/>
      </c>
      <c r="R92" s="37" t="str">
        <f t="shared" si="13"/>
        <v/>
      </c>
    </row>
    <row r="93" spans="1:18" x14ac:dyDescent="0.35">
      <c r="A93" s="8">
        <v>89</v>
      </c>
      <c r="B93" s="9" t="str">
        <f t="shared" si="7"/>
        <v/>
      </c>
      <c r="C93" s="10"/>
      <c r="D93" s="9" t="str">
        <f>IF(F93="","",_xlfn.XLOOKUP(F93,purchase!D:D,purchase!#REF!,""))</f>
        <v/>
      </c>
      <c r="E93" s="9" t="str">
        <f>IF(F93="","",_xlfn.XLOOKUP(F93,purchase!D:D,purchase!B:B,""))</f>
        <v/>
      </c>
      <c r="F93" s="2"/>
      <c r="G93" s="4" t="str">
        <f t="shared" si="8"/>
        <v/>
      </c>
      <c r="H93" s="4" t="str">
        <f>IF(F93="","",_xlfn.XLOOKUP(F93,purchase!D:D,purchase!#REF!,""))</f>
        <v/>
      </c>
      <c r="I93" s="4" t="str">
        <f t="shared" si="9"/>
        <v/>
      </c>
      <c r="J93" s="4" t="str">
        <f t="shared" si="10"/>
        <v/>
      </c>
      <c r="K93" s="13" t="str">
        <f>_xlfn.SINGLE(IF(F93="","",_xlfn.XLOOKUP(F93,purchase!D:D,purchase!#REF!,"")))</f>
        <v/>
      </c>
      <c r="L93" s="2"/>
      <c r="M93" s="32"/>
      <c r="N93" s="13" t="str">
        <f>IF(F93="","",
MAX(0,
_xlfn.XLOOKUP(F93,purchase!D:D,purchase!#REF!,"")
-
SUMIFS(L:L,F:F,F93)))</f>
        <v/>
      </c>
      <c r="O93" s="13" t="str">
        <f t="shared" si="11"/>
        <v/>
      </c>
      <c r="P93" s="35" t="str">
        <f>_xlfn.SINGLE(IF(F93="","",_xlfn.XLOOKUP(F93,purchase!D:D,purchase!K:K,"")))</f>
        <v/>
      </c>
      <c r="Q93" s="29" t="str">
        <f t="shared" si="12"/>
        <v/>
      </c>
      <c r="R93" s="37" t="str">
        <f t="shared" si="13"/>
        <v/>
      </c>
    </row>
    <row r="94" spans="1:18" x14ac:dyDescent="0.35">
      <c r="A94" s="8">
        <v>90</v>
      </c>
      <c r="B94" s="9" t="str">
        <f t="shared" si="7"/>
        <v/>
      </c>
      <c r="C94" s="10"/>
      <c r="D94" s="9" t="str">
        <f>IF(F94="","",_xlfn.XLOOKUP(F94,purchase!D:D,purchase!#REF!,""))</f>
        <v/>
      </c>
      <c r="E94" s="9" t="str">
        <f>IF(F94="","",_xlfn.XLOOKUP(F94,purchase!D:D,purchase!B:B,""))</f>
        <v/>
      </c>
      <c r="F94" s="2"/>
      <c r="G94" s="4" t="str">
        <f t="shared" si="8"/>
        <v/>
      </c>
      <c r="H94" s="4" t="str">
        <f>IF(F94="","",_xlfn.XLOOKUP(F94,purchase!D:D,purchase!#REF!,""))</f>
        <v/>
      </c>
      <c r="I94" s="4" t="str">
        <f t="shared" si="9"/>
        <v/>
      </c>
      <c r="J94" s="4" t="str">
        <f t="shared" si="10"/>
        <v/>
      </c>
      <c r="K94" s="13" t="str">
        <f>_xlfn.SINGLE(IF(F94="","",_xlfn.XLOOKUP(F94,purchase!D:D,purchase!#REF!,"")))</f>
        <v/>
      </c>
      <c r="L94" s="2"/>
      <c r="M94" s="32"/>
      <c r="N94" s="13" t="str">
        <f>IF(F94="","",
MAX(0,
_xlfn.XLOOKUP(F94,purchase!D:D,purchase!#REF!,"")
-
SUMIFS(L:L,F:F,F94)))</f>
        <v/>
      </c>
      <c r="O94" s="13" t="str">
        <f t="shared" si="11"/>
        <v/>
      </c>
      <c r="P94" s="35" t="str">
        <f>_xlfn.SINGLE(IF(F94="","",_xlfn.XLOOKUP(F94,purchase!D:D,purchase!K:K,"")))</f>
        <v/>
      </c>
      <c r="Q94" s="29" t="str">
        <f t="shared" si="12"/>
        <v/>
      </c>
      <c r="R94" s="37" t="str">
        <f t="shared" si="13"/>
        <v/>
      </c>
    </row>
    <row r="95" spans="1:18" x14ac:dyDescent="0.35">
      <c r="A95" s="8">
        <v>91</v>
      </c>
      <c r="B95" s="9" t="str">
        <f t="shared" si="7"/>
        <v/>
      </c>
      <c r="C95" s="10"/>
      <c r="D95" s="9" t="str">
        <f>IF(F95="","",_xlfn.XLOOKUP(F95,purchase!D:D,purchase!#REF!,""))</f>
        <v/>
      </c>
      <c r="E95" s="9" t="str">
        <f>IF(F95="","",_xlfn.XLOOKUP(F95,purchase!D:D,purchase!B:B,""))</f>
        <v/>
      </c>
      <c r="F95" s="2"/>
      <c r="G95" s="4" t="str">
        <f t="shared" si="8"/>
        <v/>
      </c>
      <c r="H95" s="4" t="str">
        <f>IF(F95="","",_xlfn.XLOOKUP(F95,purchase!D:D,purchase!#REF!,""))</f>
        <v/>
      </c>
      <c r="I95" s="4" t="str">
        <f t="shared" si="9"/>
        <v/>
      </c>
      <c r="J95" s="4" t="str">
        <f t="shared" si="10"/>
        <v/>
      </c>
      <c r="K95" s="13" t="str">
        <f>_xlfn.SINGLE(IF(F95="","",_xlfn.XLOOKUP(F95,purchase!D:D,purchase!#REF!,"")))</f>
        <v/>
      </c>
      <c r="L95" s="2"/>
      <c r="M95" s="32"/>
      <c r="N95" s="13" t="str">
        <f>IF(F95="","",
MAX(0,
_xlfn.XLOOKUP(F95,purchase!D:D,purchase!#REF!,"")
-
SUMIFS(L:L,F:F,F95)))</f>
        <v/>
      </c>
      <c r="O95" s="13" t="str">
        <f t="shared" si="11"/>
        <v/>
      </c>
      <c r="P95" s="35" t="str">
        <f>_xlfn.SINGLE(IF(F95="","",_xlfn.XLOOKUP(F95,purchase!D:D,purchase!K:K,"")))</f>
        <v/>
      </c>
      <c r="Q95" s="29" t="str">
        <f t="shared" si="12"/>
        <v/>
      </c>
      <c r="R95" s="37" t="str">
        <f t="shared" si="13"/>
        <v/>
      </c>
    </row>
    <row r="96" spans="1:18" x14ac:dyDescent="0.35">
      <c r="A96" s="8">
        <v>92</v>
      </c>
      <c r="B96" s="9" t="str">
        <f t="shared" si="7"/>
        <v/>
      </c>
      <c r="C96" s="10"/>
      <c r="D96" s="9" t="str">
        <f>IF(F96="","",_xlfn.XLOOKUP(F96,purchase!D:D,purchase!#REF!,""))</f>
        <v/>
      </c>
      <c r="E96" s="9" t="str">
        <f>IF(F96="","",_xlfn.XLOOKUP(F96,purchase!D:D,purchase!B:B,""))</f>
        <v/>
      </c>
      <c r="F96" s="2"/>
      <c r="G96" s="4" t="str">
        <f t="shared" si="8"/>
        <v/>
      </c>
      <c r="H96" s="4" t="str">
        <f>IF(F96="","",_xlfn.XLOOKUP(F96,purchase!D:D,purchase!#REF!,""))</f>
        <v/>
      </c>
      <c r="I96" s="4" t="str">
        <f t="shared" si="9"/>
        <v/>
      </c>
      <c r="J96" s="4" t="str">
        <f t="shared" si="10"/>
        <v/>
      </c>
      <c r="K96" s="13" t="str">
        <f>_xlfn.SINGLE(IF(F96="","",_xlfn.XLOOKUP(F96,purchase!D:D,purchase!#REF!,"")))</f>
        <v/>
      </c>
      <c r="L96" s="2"/>
      <c r="M96" s="32"/>
      <c r="N96" s="13" t="str">
        <f>IF(F96="","",
MAX(0,
_xlfn.XLOOKUP(F96,purchase!D:D,purchase!#REF!,"")
-
SUMIFS(L:L,F:F,F96)))</f>
        <v/>
      </c>
      <c r="O96" s="13" t="str">
        <f t="shared" si="11"/>
        <v/>
      </c>
      <c r="P96" s="35" t="str">
        <f>_xlfn.SINGLE(IF(F96="","",_xlfn.XLOOKUP(F96,purchase!D:D,purchase!K:K,"")))</f>
        <v/>
      </c>
      <c r="Q96" s="29" t="str">
        <f t="shared" si="12"/>
        <v/>
      </c>
      <c r="R96" s="37" t="str">
        <f t="shared" si="13"/>
        <v/>
      </c>
    </row>
    <row r="97" spans="1:18" x14ac:dyDescent="0.35">
      <c r="A97" s="8">
        <v>93</v>
      </c>
      <c r="B97" s="9" t="str">
        <f t="shared" si="7"/>
        <v/>
      </c>
      <c r="C97" s="10"/>
      <c r="D97" s="9" t="str">
        <f>IF(F97="","",_xlfn.XLOOKUP(F97,purchase!D:D,purchase!#REF!,""))</f>
        <v/>
      </c>
      <c r="E97" s="9" t="str">
        <f>IF(F97="","",_xlfn.XLOOKUP(F97,purchase!D:D,purchase!B:B,""))</f>
        <v/>
      </c>
      <c r="F97" s="2"/>
      <c r="G97" s="4" t="str">
        <f t="shared" si="8"/>
        <v/>
      </c>
      <c r="H97" s="4" t="str">
        <f>IF(F97="","",_xlfn.XLOOKUP(F97,purchase!D:D,purchase!#REF!,""))</f>
        <v/>
      </c>
      <c r="I97" s="4" t="str">
        <f t="shared" si="9"/>
        <v/>
      </c>
      <c r="J97" s="4" t="str">
        <f t="shared" si="10"/>
        <v/>
      </c>
      <c r="K97" s="13" t="str">
        <f>_xlfn.SINGLE(IF(F97="","",_xlfn.XLOOKUP(F97,purchase!D:D,purchase!#REF!,"")))</f>
        <v/>
      </c>
      <c r="L97" s="2"/>
      <c r="M97" s="32"/>
      <c r="N97" s="13" t="str">
        <f>IF(F97="","",
MAX(0,
_xlfn.XLOOKUP(F97,purchase!D:D,purchase!#REF!,"")
-
SUMIFS(L:L,F:F,F97)))</f>
        <v/>
      </c>
      <c r="O97" s="13" t="str">
        <f t="shared" si="11"/>
        <v/>
      </c>
      <c r="P97" s="35" t="str">
        <f>_xlfn.SINGLE(IF(F97="","",_xlfn.XLOOKUP(F97,purchase!D:D,purchase!K:K,"")))</f>
        <v/>
      </c>
      <c r="Q97" s="29" t="str">
        <f t="shared" si="12"/>
        <v/>
      </c>
      <c r="R97" s="37" t="str">
        <f t="shared" si="13"/>
        <v/>
      </c>
    </row>
    <row r="98" spans="1:18" x14ac:dyDescent="0.35">
      <c r="A98" s="8">
        <v>94</v>
      </c>
      <c r="B98" s="9" t="str">
        <f t="shared" si="7"/>
        <v/>
      </c>
      <c r="C98" s="10"/>
      <c r="D98" s="9" t="str">
        <f>IF(F98="","",_xlfn.XLOOKUP(F98,purchase!D:D,purchase!#REF!,""))</f>
        <v/>
      </c>
      <c r="E98" s="9" t="str">
        <f>IF(F98="","",_xlfn.XLOOKUP(F98,purchase!D:D,purchase!B:B,""))</f>
        <v/>
      </c>
      <c r="F98" s="2"/>
      <c r="G98" s="4" t="str">
        <f t="shared" si="8"/>
        <v/>
      </c>
      <c r="H98" s="4" t="str">
        <f>IF(F98="","",_xlfn.XLOOKUP(F98,purchase!D:D,purchase!#REF!,""))</f>
        <v/>
      </c>
      <c r="I98" s="4" t="str">
        <f t="shared" si="9"/>
        <v/>
      </c>
      <c r="J98" s="4" t="str">
        <f t="shared" si="10"/>
        <v/>
      </c>
      <c r="K98" s="13" t="str">
        <f>_xlfn.SINGLE(IF(F98="","",_xlfn.XLOOKUP(F98,purchase!D:D,purchase!#REF!,"")))</f>
        <v/>
      </c>
      <c r="L98" s="2"/>
      <c r="M98" s="32"/>
      <c r="N98" s="13" t="str">
        <f>IF(F98="","",
MAX(0,
_xlfn.XLOOKUP(F98,purchase!D:D,purchase!#REF!,"")
-
SUMIFS(L:L,F:F,F98)))</f>
        <v/>
      </c>
      <c r="O98" s="13" t="str">
        <f t="shared" si="11"/>
        <v/>
      </c>
      <c r="P98" s="35" t="str">
        <f>_xlfn.SINGLE(IF(F98="","",_xlfn.XLOOKUP(F98,purchase!D:D,purchase!K:K,"")))</f>
        <v/>
      </c>
      <c r="Q98" s="29" t="str">
        <f t="shared" si="12"/>
        <v/>
      </c>
      <c r="R98" s="37" t="str">
        <f t="shared" si="13"/>
        <v/>
      </c>
    </row>
    <row r="99" spans="1:18" x14ac:dyDescent="0.35">
      <c r="A99" s="8">
        <v>95</v>
      </c>
      <c r="B99" s="9" t="str">
        <f t="shared" si="7"/>
        <v/>
      </c>
      <c r="C99" s="10"/>
      <c r="D99" s="9" t="str">
        <f>IF(F99="","",_xlfn.XLOOKUP(F99,purchase!D:D,purchase!#REF!,""))</f>
        <v/>
      </c>
      <c r="E99" s="9" t="str">
        <f>IF(F99="","",_xlfn.XLOOKUP(F99,purchase!D:D,purchase!B:B,""))</f>
        <v/>
      </c>
      <c r="F99" s="2"/>
      <c r="G99" s="4" t="str">
        <f t="shared" si="8"/>
        <v/>
      </c>
      <c r="H99" s="4" t="str">
        <f>IF(F99="","",_xlfn.XLOOKUP(F99,purchase!D:D,purchase!#REF!,""))</f>
        <v/>
      </c>
      <c r="I99" s="4" t="str">
        <f t="shared" si="9"/>
        <v/>
      </c>
      <c r="J99" s="4" t="str">
        <f t="shared" si="10"/>
        <v/>
      </c>
      <c r="K99" s="13" t="str">
        <f>_xlfn.SINGLE(IF(F99="","",_xlfn.XLOOKUP(F99,purchase!D:D,purchase!#REF!,"")))</f>
        <v/>
      </c>
      <c r="L99" s="2"/>
      <c r="M99" s="32"/>
      <c r="N99" s="13" t="str">
        <f>IF(F99="","",
MAX(0,
_xlfn.XLOOKUP(F99,purchase!D:D,purchase!#REF!,"")
-
SUMIFS(L:L,F:F,F99)))</f>
        <v/>
      </c>
      <c r="O99" s="13" t="str">
        <f t="shared" si="11"/>
        <v/>
      </c>
      <c r="P99" s="35" t="str">
        <f>_xlfn.SINGLE(IF(F99="","",_xlfn.XLOOKUP(F99,purchase!D:D,purchase!K:K,"")))</f>
        <v/>
      </c>
      <c r="Q99" s="29" t="str">
        <f t="shared" si="12"/>
        <v/>
      </c>
      <c r="R99" s="37" t="str">
        <f t="shared" si="13"/>
        <v/>
      </c>
    </row>
    <row r="100" spans="1:18" x14ac:dyDescent="0.35">
      <c r="A100" s="8">
        <v>96</v>
      </c>
      <c r="B100" s="9" t="str">
        <f t="shared" si="7"/>
        <v/>
      </c>
      <c r="C100" s="10"/>
      <c r="D100" s="9" t="str">
        <f>IF(F100="","",_xlfn.XLOOKUP(F100,purchase!D:D,purchase!#REF!,""))</f>
        <v/>
      </c>
      <c r="E100" s="9" t="str">
        <f>IF(F100="","",_xlfn.XLOOKUP(F100,purchase!D:D,purchase!B:B,""))</f>
        <v/>
      </c>
      <c r="F100" s="2"/>
      <c r="G100" s="4" t="str">
        <f t="shared" si="8"/>
        <v/>
      </c>
      <c r="H100" s="4" t="str">
        <f>IF(F100="","",_xlfn.XLOOKUP(F100,purchase!D:D,purchase!#REF!,""))</f>
        <v/>
      </c>
      <c r="I100" s="4" t="str">
        <f t="shared" si="9"/>
        <v/>
      </c>
      <c r="J100" s="4" t="str">
        <f t="shared" si="10"/>
        <v/>
      </c>
      <c r="K100" s="13" t="str">
        <f>_xlfn.SINGLE(IF(F100="","",_xlfn.XLOOKUP(F100,purchase!D:D,purchase!#REF!,"")))</f>
        <v/>
      </c>
      <c r="L100" s="2"/>
      <c r="M100" s="32"/>
      <c r="N100" s="13" t="str">
        <f>IF(F100="","",
MAX(0,
_xlfn.XLOOKUP(F100,purchase!D:D,purchase!#REF!,"")
-
SUMIFS(L:L,F:F,F100)))</f>
        <v/>
      </c>
      <c r="O100" s="13" t="str">
        <f t="shared" si="11"/>
        <v/>
      </c>
      <c r="P100" s="35" t="str">
        <f>_xlfn.SINGLE(IF(F100="","",_xlfn.XLOOKUP(F100,purchase!D:D,purchase!K:K,"")))</f>
        <v/>
      </c>
      <c r="Q100" s="29" t="str">
        <f t="shared" si="12"/>
        <v/>
      </c>
      <c r="R100" s="37" t="str">
        <f t="shared" si="13"/>
        <v/>
      </c>
    </row>
    <row r="101" spans="1:18" x14ac:dyDescent="0.35">
      <c r="A101" s="8">
        <v>97</v>
      </c>
      <c r="B101" s="9" t="str">
        <f t="shared" si="7"/>
        <v/>
      </c>
      <c r="C101" s="10"/>
      <c r="D101" s="9" t="str">
        <f>IF(F101="","",_xlfn.XLOOKUP(F101,purchase!D:D,purchase!#REF!,""))</f>
        <v/>
      </c>
      <c r="E101" s="9" t="str">
        <f>IF(F101="","",_xlfn.XLOOKUP(F101,purchase!D:D,purchase!B:B,""))</f>
        <v/>
      </c>
      <c r="F101" s="2"/>
      <c r="G101" s="4" t="str">
        <f t="shared" si="8"/>
        <v/>
      </c>
      <c r="H101" s="4" t="str">
        <f>IF(F101="","",_xlfn.XLOOKUP(F101,purchase!D:D,purchase!#REF!,""))</f>
        <v/>
      </c>
      <c r="I101" s="4" t="str">
        <f t="shared" si="9"/>
        <v/>
      </c>
      <c r="J101" s="4" t="str">
        <f t="shared" si="10"/>
        <v/>
      </c>
      <c r="K101" s="13" t="str">
        <f>_xlfn.SINGLE(IF(F101="","",_xlfn.XLOOKUP(F101,purchase!D:D,purchase!#REF!,"")))</f>
        <v/>
      </c>
      <c r="L101" s="2"/>
      <c r="M101" s="32"/>
      <c r="N101" s="13" t="str">
        <f>IF(F101="","",
MAX(0,
_xlfn.XLOOKUP(F101,purchase!D:D,purchase!#REF!,"")
-
SUMIFS(L:L,F:F,F101)))</f>
        <v/>
      </c>
      <c r="O101" s="13" t="str">
        <f t="shared" si="11"/>
        <v/>
      </c>
      <c r="P101" s="35" t="str">
        <f>_xlfn.SINGLE(IF(F101="","",_xlfn.XLOOKUP(F101,purchase!D:D,purchase!K:K,"")))</f>
        <v/>
      </c>
      <c r="Q101" s="29" t="str">
        <f t="shared" si="12"/>
        <v/>
      </c>
      <c r="R101" s="37" t="str">
        <f t="shared" si="13"/>
        <v/>
      </c>
    </row>
    <row r="102" spans="1:18" x14ac:dyDescent="0.35">
      <c r="A102" s="8">
        <v>98</v>
      </c>
      <c r="B102" s="9" t="str">
        <f t="shared" si="7"/>
        <v/>
      </c>
      <c r="C102" s="10"/>
      <c r="D102" s="9" t="str">
        <f>IF(F102="","",_xlfn.XLOOKUP(F102,purchase!D:D,purchase!#REF!,""))</f>
        <v/>
      </c>
      <c r="E102" s="9" t="str">
        <f>IF(F102="","",_xlfn.XLOOKUP(F102,purchase!D:D,purchase!B:B,""))</f>
        <v/>
      </c>
      <c r="F102" s="2"/>
      <c r="G102" s="4" t="str">
        <f t="shared" si="8"/>
        <v/>
      </c>
      <c r="H102" s="4" t="str">
        <f>IF(F102="","",_xlfn.XLOOKUP(F102,purchase!D:D,purchase!#REF!,""))</f>
        <v/>
      </c>
      <c r="I102" s="4" t="str">
        <f t="shared" si="9"/>
        <v/>
      </c>
      <c r="J102" s="4" t="str">
        <f t="shared" si="10"/>
        <v/>
      </c>
      <c r="K102" s="13" t="str">
        <f>_xlfn.SINGLE(IF(F102="","",_xlfn.XLOOKUP(F102,purchase!D:D,purchase!#REF!,"")))</f>
        <v/>
      </c>
      <c r="L102" s="2"/>
      <c r="M102" s="32"/>
      <c r="N102" s="13" t="str">
        <f>IF(F102="","",
MAX(0,
_xlfn.XLOOKUP(F102,purchase!D:D,purchase!#REF!,"")
-
SUMIFS(L:L,F:F,F102)))</f>
        <v/>
      </c>
      <c r="O102" s="13" t="str">
        <f t="shared" si="11"/>
        <v/>
      </c>
      <c r="P102" s="35" t="str">
        <f>_xlfn.SINGLE(IF(F102="","",_xlfn.XLOOKUP(F102,purchase!D:D,purchase!K:K,"")))</f>
        <v/>
      </c>
      <c r="Q102" s="29" t="str">
        <f t="shared" si="12"/>
        <v/>
      </c>
      <c r="R102" s="37" t="str">
        <f t="shared" si="13"/>
        <v/>
      </c>
    </row>
    <row r="103" spans="1:18" x14ac:dyDescent="0.35">
      <c r="A103" s="8">
        <v>99</v>
      </c>
      <c r="B103" s="9" t="str">
        <f t="shared" si="7"/>
        <v/>
      </c>
      <c r="C103" s="10"/>
      <c r="D103" s="9" t="str">
        <f>IF(F103="","",_xlfn.XLOOKUP(F103,purchase!D:D,purchase!#REF!,""))</f>
        <v/>
      </c>
      <c r="E103" s="9" t="str">
        <f>IF(F103="","",_xlfn.XLOOKUP(F103,purchase!D:D,purchase!B:B,""))</f>
        <v/>
      </c>
      <c r="F103" s="2"/>
      <c r="G103" s="4" t="str">
        <f t="shared" si="8"/>
        <v/>
      </c>
      <c r="H103" s="4" t="str">
        <f>IF(F103="","",_xlfn.XLOOKUP(F103,purchase!D:D,purchase!#REF!,""))</f>
        <v/>
      </c>
      <c r="I103" s="4" t="str">
        <f t="shared" si="9"/>
        <v/>
      </c>
      <c r="J103" s="4" t="str">
        <f t="shared" si="10"/>
        <v/>
      </c>
      <c r="K103" s="13" t="str">
        <f>_xlfn.SINGLE(IF(F103="","",_xlfn.XLOOKUP(F103,purchase!D:D,purchase!#REF!,"")))</f>
        <v/>
      </c>
      <c r="L103" s="2"/>
      <c r="M103" s="32"/>
      <c r="N103" s="13" t="str">
        <f>IF(F103="","",
MAX(0,
_xlfn.XLOOKUP(F103,purchase!D:D,purchase!#REF!,"")
-
SUMIFS(L:L,F:F,F103)))</f>
        <v/>
      </c>
      <c r="O103" s="13" t="str">
        <f t="shared" si="11"/>
        <v/>
      </c>
      <c r="P103" s="35" t="str">
        <f>_xlfn.SINGLE(IF(F103="","",_xlfn.XLOOKUP(F103,purchase!D:D,purchase!K:K,"")))</f>
        <v/>
      </c>
      <c r="Q103" s="29" t="str">
        <f t="shared" si="12"/>
        <v/>
      </c>
      <c r="R103" s="37" t="str">
        <f t="shared" si="13"/>
        <v/>
      </c>
    </row>
    <row r="104" spans="1:18" x14ac:dyDescent="0.35">
      <c r="A104" s="8">
        <v>100</v>
      </c>
      <c r="B104" s="9" t="str">
        <f t="shared" si="7"/>
        <v/>
      </c>
      <c r="C104" s="10"/>
      <c r="D104" s="9" t="str">
        <f>IF(F104="","",_xlfn.XLOOKUP(F104,purchase!D:D,purchase!#REF!,""))</f>
        <v/>
      </c>
      <c r="E104" s="9" t="str">
        <f>IF(F104="","",_xlfn.XLOOKUP(F104,purchase!D:D,purchase!B:B,""))</f>
        <v/>
      </c>
      <c r="F104" s="2"/>
      <c r="G104" s="4" t="str">
        <f t="shared" si="8"/>
        <v/>
      </c>
      <c r="H104" s="4" t="str">
        <f>IF(F104="","",_xlfn.XLOOKUP(F104,purchase!D:D,purchase!#REF!,""))</f>
        <v/>
      </c>
      <c r="I104" s="4" t="str">
        <f t="shared" si="9"/>
        <v/>
      </c>
      <c r="J104" s="4" t="str">
        <f t="shared" si="10"/>
        <v/>
      </c>
      <c r="K104" s="13" t="str">
        <f>_xlfn.SINGLE(IF(F104="","",_xlfn.XLOOKUP(F104,purchase!D:D,purchase!#REF!,"")))</f>
        <v/>
      </c>
      <c r="L104" s="2"/>
      <c r="M104" s="32"/>
      <c r="N104" s="13" t="str">
        <f>IF(F104="","",
MAX(0,
_xlfn.XLOOKUP(F104,purchase!D:D,purchase!#REF!,"")
-
SUMIFS(L:L,F:F,F104)))</f>
        <v/>
      </c>
      <c r="O104" s="13" t="str">
        <f t="shared" si="11"/>
        <v/>
      </c>
      <c r="P104" s="35" t="str">
        <f>_xlfn.SINGLE(IF(F104="","",_xlfn.XLOOKUP(F104,purchase!D:D,purchase!K:K,"")))</f>
        <v/>
      </c>
      <c r="Q104" s="29" t="str">
        <f t="shared" si="12"/>
        <v/>
      </c>
      <c r="R104" s="37" t="str">
        <f t="shared" si="13"/>
        <v/>
      </c>
    </row>
    <row r="105" spans="1:18" x14ac:dyDescent="0.35">
      <c r="A105" s="8">
        <v>101</v>
      </c>
      <c r="B105" s="9" t="str">
        <f t="shared" si="7"/>
        <v/>
      </c>
      <c r="C105" s="10"/>
      <c r="D105" s="9" t="str">
        <f>IF(F105="","",_xlfn.XLOOKUP(F105,purchase!D:D,purchase!#REF!,""))</f>
        <v/>
      </c>
      <c r="E105" s="9" t="str">
        <f>IF(F105="","",_xlfn.XLOOKUP(F105,purchase!D:D,purchase!B:B,""))</f>
        <v/>
      </c>
      <c r="F105" s="2"/>
      <c r="G105" s="4" t="str">
        <f t="shared" si="8"/>
        <v/>
      </c>
      <c r="H105" s="4" t="str">
        <f>IF(F105="","",_xlfn.XLOOKUP(F105,purchase!D:D,purchase!#REF!,""))</f>
        <v/>
      </c>
      <c r="I105" s="4" t="str">
        <f t="shared" si="9"/>
        <v/>
      </c>
      <c r="J105" s="4" t="str">
        <f t="shared" si="10"/>
        <v/>
      </c>
      <c r="K105" s="13" t="str">
        <f>_xlfn.SINGLE(IF(F105="","",_xlfn.XLOOKUP(F105,purchase!D:D,purchase!#REF!,"")))</f>
        <v/>
      </c>
      <c r="L105" s="2"/>
      <c r="M105" s="32"/>
      <c r="N105" s="13" t="str">
        <f>IF(F105="","",
MAX(0,
_xlfn.XLOOKUP(F105,purchase!D:D,purchase!#REF!,"")
-
SUMIFS(L:L,F:F,F105)))</f>
        <v/>
      </c>
      <c r="O105" s="13" t="str">
        <f t="shared" si="11"/>
        <v/>
      </c>
      <c r="P105" s="35" t="str">
        <f>_xlfn.SINGLE(IF(F105="","",_xlfn.XLOOKUP(F105,purchase!D:D,purchase!K:K,"")))</f>
        <v/>
      </c>
      <c r="Q105" s="29" t="str">
        <f t="shared" si="12"/>
        <v/>
      </c>
      <c r="R105" s="37" t="str">
        <f t="shared" si="13"/>
        <v/>
      </c>
    </row>
    <row r="106" spans="1:18" x14ac:dyDescent="0.35">
      <c r="A106" s="8">
        <v>102</v>
      </c>
      <c r="B106" s="9" t="str">
        <f t="shared" si="7"/>
        <v/>
      </c>
      <c r="C106" s="10"/>
      <c r="D106" s="9" t="str">
        <f>IF(F106="","",_xlfn.XLOOKUP(F106,purchase!D:D,purchase!#REF!,""))</f>
        <v/>
      </c>
      <c r="E106" s="9" t="str">
        <f>IF(F106="","",_xlfn.XLOOKUP(F106,purchase!D:D,purchase!B:B,""))</f>
        <v/>
      </c>
      <c r="F106" s="2"/>
      <c r="G106" s="4" t="str">
        <f t="shared" si="8"/>
        <v/>
      </c>
      <c r="H106" s="4" t="str">
        <f>IF(F106="","",_xlfn.XLOOKUP(F106,purchase!D:D,purchase!#REF!,""))</f>
        <v/>
      </c>
      <c r="I106" s="4" t="str">
        <f t="shared" si="9"/>
        <v/>
      </c>
      <c r="J106" s="4" t="str">
        <f t="shared" si="10"/>
        <v/>
      </c>
      <c r="K106" s="13" t="str">
        <f>_xlfn.SINGLE(IF(F106="","",_xlfn.XLOOKUP(F106,purchase!D:D,purchase!#REF!,"")))</f>
        <v/>
      </c>
      <c r="L106" s="2"/>
      <c r="M106" s="32"/>
      <c r="N106" s="13" t="str">
        <f>IF(F106="","",
MAX(0,
_xlfn.XLOOKUP(F106,purchase!D:D,purchase!#REF!,"")
-
SUMIFS(L:L,F:F,F106)))</f>
        <v/>
      </c>
      <c r="O106" s="13" t="str">
        <f t="shared" si="11"/>
        <v/>
      </c>
      <c r="P106" s="35" t="str">
        <f>_xlfn.SINGLE(IF(F106="","",_xlfn.XLOOKUP(F106,purchase!D:D,purchase!K:K,"")))</f>
        <v/>
      </c>
      <c r="Q106" s="29" t="str">
        <f t="shared" si="12"/>
        <v/>
      </c>
      <c r="R106" s="37" t="str">
        <f t="shared" si="13"/>
        <v/>
      </c>
    </row>
    <row r="107" spans="1:18" x14ac:dyDescent="0.35">
      <c r="A107" s="8">
        <v>103</v>
      </c>
      <c r="B107" s="9" t="str">
        <f t="shared" si="7"/>
        <v/>
      </c>
      <c r="C107" s="10"/>
      <c r="D107" s="9" t="str">
        <f>IF(F107="","",_xlfn.XLOOKUP(F107,purchase!D:D,purchase!#REF!,""))</f>
        <v/>
      </c>
      <c r="E107" s="9" t="str">
        <f>IF(F107="","",_xlfn.XLOOKUP(F107,purchase!D:D,purchase!B:B,""))</f>
        <v/>
      </c>
      <c r="F107" s="2"/>
      <c r="G107" s="4" t="str">
        <f t="shared" si="8"/>
        <v/>
      </c>
      <c r="H107" s="4" t="str">
        <f>IF(F107="","",_xlfn.XLOOKUP(F107,purchase!D:D,purchase!#REF!,""))</f>
        <v/>
      </c>
      <c r="I107" s="4" t="str">
        <f t="shared" si="9"/>
        <v/>
      </c>
      <c r="J107" s="4" t="str">
        <f t="shared" si="10"/>
        <v/>
      </c>
      <c r="K107" s="13" t="str">
        <f>_xlfn.SINGLE(IF(F107="","",_xlfn.XLOOKUP(F107,purchase!D:D,purchase!#REF!,"")))</f>
        <v/>
      </c>
      <c r="L107" s="2"/>
      <c r="M107" s="32"/>
      <c r="N107" s="13" t="str">
        <f>IF(F107="","",
MAX(0,
_xlfn.XLOOKUP(F107,purchase!D:D,purchase!#REF!,"")
-
SUMIFS(L:L,F:F,F107)))</f>
        <v/>
      </c>
      <c r="O107" s="13" t="str">
        <f t="shared" si="11"/>
        <v/>
      </c>
      <c r="P107" s="35" t="str">
        <f>_xlfn.SINGLE(IF(F107="","",_xlfn.XLOOKUP(F107,purchase!D:D,purchase!K:K,"")))</f>
        <v/>
      </c>
      <c r="Q107" s="29" t="str">
        <f t="shared" si="12"/>
        <v/>
      </c>
      <c r="R107" s="37" t="str">
        <f t="shared" si="13"/>
        <v/>
      </c>
    </row>
    <row r="108" spans="1:18" x14ac:dyDescent="0.35">
      <c r="A108" s="8">
        <v>104</v>
      </c>
      <c r="B108" s="9" t="str">
        <f t="shared" si="7"/>
        <v/>
      </c>
      <c r="C108" s="10"/>
      <c r="D108" s="9" t="str">
        <f>IF(F108="","",_xlfn.XLOOKUP(F108,purchase!D:D,purchase!#REF!,""))</f>
        <v/>
      </c>
      <c r="E108" s="9" t="str">
        <f>IF(F108="","",_xlfn.XLOOKUP(F108,purchase!D:D,purchase!B:B,""))</f>
        <v/>
      </c>
      <c r="F108" s="2"/>
      <c r="G108" s="4" t="str">
        <f t="shared" si="8"/>
        <v/>
      </c>
      <c r="H108" s="4" t="str">
        <f>IF(F108="","",_xlfn.XLOOKUP(F108,purchase!D:D,purchase!#REF!,""))</f>
        <v/>
      </c>
      <c r="I108" s="4" t="str">
        <f t="shared" si="9"/>
        <v/>
      </c>
      <c r="J108" s="4" t="str">
        <f t="shared" si="10"/>
        <v/>
      </c>
      <c r="K108" s="13" t="str">
        <f>_xlfn.SINGLE(IF(F108="","",_xlfn.XLOOKUP(F108,purchase!D:D,purchase!#REF!,"")))</f>
        <v/>
      </c>
      <c r="L108" s="2"/>
      <c r="M108" s="32"/>
      <c r="N108" s="13" t="str">
        <f>IF(F108="","",
MAX(0,
_xlfn.XLOOKUP(F108,purchase!D:D,purchase!#REF!,"")
-
SUMIFS(L:L,F:F,F108)))</f>
        <v/>
      </c>
      <c r="O108" s="13" t="str">
        <f t="shared" si="11"/>
        <v/>
      </c>
      <c r="P108" s="35" t="str">
        <f>_xlfn.SINGLE(IF(F108="","",_xlfn.XLOOKUP(F108,purchase!D:D,purchase!K:K,"")))</f>
        <v/>
      </c>
      <c r="Q108" s="29" t="str">
        <f t="shared" si="12"/>
        <v/>
      </c>
      <c r="R108" s="37" t="str">
        <f t="shared" si="13"/>
        <v/>
      </c>
    </row>
    <row r="109" spans="1:18" x14ac:dyDescent="0.35">
      <c r="A109" s="8">
        <v>105</v>
      </c>
      <c r="B109" s="9" t="str">
        <f t="shared" si="7"/>
        <v/>
      </c>
      <c r="C109" s="10"/>
      <c r="D109" s="9" t="str">
        <f>IF(F109="","",_xlfn.XLOOKUP(F109,purchase!D:D,purchase!#REF!,""))</f>
        <v/>
      </c>
      <c r="E109" s="9" t="str">
        <f>IF(F109="","",_xlfn.XLOOKUP(F109,purchase!D:D,purchase!B:B,""))</f>
        <v/>
      </c>
      <c r="F109" s="2"/>
      <c r="G109" s="4" t="str">
        <f t="shared" si="8"/>
        <v/>
      </c>
      <c r="H109" s="4" t="str">
        <f>IF(F109="","",_xlfn.XLOOKUP(F109,purchase!D:D,purchase!#REF!,""))</f>
        <v/>
      </c>
      <c r="I109" s="4" t="str">
        <f t="shared" si="9"/>
        <v/>
      </c>
      <c r="J109" s="4" t="str">
        <f t="shared" si="10"/>
        <v/>
      </c>
      <c r="K109" s="13" t="str">
        <f>_xlfn.SINGLE(IF(F109="","",_xlfn.XLOOKUP(F109,purchase!D:D,purchase!#REF!,"")))</f>
        <v/>
      </c>
      <c r="L109" s="2"/>
      <c r="M109" s="32"/>
      <c r="N109" s="13" t="str">
        <f>IF(F109="","",
MAX(0,
_xlfn.XLOOKUP(F109,purchase!D:D,purchase!#REF!,"")
-
SUMIFS(L:L,F:F,F109)))</f>
        <v/>
      </c>
      <c r="O109" s="13" t="str">
        <f t="shared" si="11"/>
        <v/>
      </c>
      <c r="P109" s="35" t="str">
        <f>_xlfn.SINGLE(IF(F109="","",_xlfn.XLOOKUP(F109,purchase!D:D,purchase!K:K,"")))</f>
        <v/>
      </c>
      <c r="Q109" s="29" t="str">
        <f t="shared" si="12"/>
        <v/>
      </c>
      <c r="R109" s="37" t="str">
        <f t="shared" si="13"/>
        <v/>
      </c>
    </row>
    <row r="110" spans="1:18" x14ac:dyDescent="0.35">
      <c r="A110" s="8">
        <v>106</v>
      </c>
      <c r="B110" s="9" t="str">
        <f t="shared" si="7"/>
        <v/>
      </c>
      <c r="C110" s="10"/>
      <c r="D110" s="9" t="str">
        <f>IF(F110="","",_xlfn.XLOOKUP(F110,purchase!D:D,purchase!#REF!,""))</f>
        <v/>
      </c>
      <c r="E110" s="9" t="str">
        <f>IF(F110="","",_xlfn.XLOOKUP(F110,purchase!D:D,purchase!B:B,""))</f>
        <v/>
      </c>
      <c r="F110" s="2"/>
      <c r="G110" s="4" t="str">
        <f t="shared" si="8"/>
        <v/>
      </c>
      <c r="H110" s="4" t="str">
        <f>IF(F110="","",_xlfn.XLOOKUP(F110,purchase!D:D,purchase!#REF!,""))</f>
        <v/>
      </c>
      <c r="I110" s="4" t="str">
        <f t="shared" si="9"/>
        <v/>
      </c>
      <c r="J110" s="4" t="str">
        <f t="shared" si="10"/>
        <v/>
      </c>
      <c r="K110" s="13" t="str">
        <f>_xlfn.SINGLE(IF(F110="","",_xlfn.XLOOKUP(F110,purchase!D:D,purchase!#REF!,"")))</f>
        <v/>
      </c>
      <c r="L110" s="2"/>
      <c r="M110" s="32"/>
      <c r="N110" s="13" t="str">
        <f>IF(F110="","",
MAX(0,
_xlfn.XLOOKUP(F110,purchase!D:D,purchase!#REF!,"")
-
SUMIFS(L:L,F:F,F110)))</f>
        <v/>
      </c>
      <c r="O110" s="13" t="str">
        <f t="shared" si="11"/>
        <v/>
      </c>
      <c r="P110" s="35" t="str">
        <f>_xlfn.SINGLE(IF(F110="","",_xlfn.XLOOKUP(F110,purchase!D:D,purchase!K:K,"")))</f>
        <v/>
      </c>
      <c r="Q110" s="29" t="str">
        <f t="shared" si="12"/>
        <v/>
      </c>
      <c r="R110" s="37" t="str">
        <f t="shared" si="13"/>
        <v/>
      </c>
    </row>
    <row r="111" spans="1:18" x14ac:dyDescent="0.35">
      <c r="A111" s="8">
        <v>107</v>
      </c>
      <c r="B111" s="9" t="str">
        <f t="shared" si="7"/>
        <v/>
      </c>
      <c r="C111" s="10"/>
      <c r="D111" s="9" t="str">
        <f>IF(F111="","",_xlfn.XLOOKUP(F111,purchase!D:D,purchase!#REF!,""))</f>
        <v/>
      </c>
      <c r="E111" s="9" t="str">
        <f>IF(F111="","",_xlfn.XLOOKUP(F111,purchase!D:D,purchase!B:B,""))</f>
        <v/>
      </c>
      <c r="F111" s="2"/>
      <c r="G111" s="4" t="str">
        <f t="shared" si="8"/>
        <v/>
      </c>
      <c r="H111" s="4" t="str">
        <f>IF(F111="","",_xlfn.XLOOKUP(F111,purchase!D:D,purchase!#REF!,""))</f>
        <v/>
      </c>
      <c r="I111" s="4" t="str">
        <f t="shared" si="9"/>
        <v/>
      </c>
      <c r="J111" s="4" t="str">
        <f t="shared" si="10"/>
        <v/>
      </c>
      <c r="K111" s="13" t="str">
        <f>_xlfn.SINGLE(IF(F111="","",_xlfn.XLOOKUP(F111,purchase!D:D,purchase!#REF!,"")))</f>
        <v/>
      </c>
      <c r="L111" s="2"/>
      <c r="M111" s="32"/>
      <c r="N111" s="13" t="str">
        <f>IF(F111="","",
MAX(0,
_xlfn.XLOOKUP(F111,purchase!D:D,purchase!#REF!,"")
-
SUMIFS(L:L,F:F,F111)))</f>
        <v/>
      </c>
      <c r="O111" s="13" t="str">
        <f t="shared" si="11"/>
        <v/>
      </c>
      <c r="P111" s="35" t="str">
        <f>_xlfn.SINGLE(IF(F111="","",_xlfn.XLOOKUP(F111,purchase!D:D,purchase!K:K,"")))</f>
        <v/>
      </c>
      <c r="Q111" s="29" t="str">
        <f t="shared" si="12"/>
        <v/>
      </c>
      <c r="R111" s="37" t="str">
        <f t="shared" si="13"/>
        <v/>
      </c>
    </row>
    <row r="112" spans="1:18" x14ac:dyDescent="0.35">
      <c r="A112" s="8">
        <v>108</v>
      </c>
      <c r="B112" s="9" t="str">
        <f t="shared" si="7"/>
        <v/>
      </c>
      <c r="C112" s="10"/>
      <c r="D112" s="9" t="str">
        <f>IF(F112="","",_xlfn.XLOOKUP(F112,purchase!D:D,purchase!#REF!,""))</f>
        <v/>
      </c>
      <c r="E112" s="9" t="str">
        <f>IF(F112="","",_xlfn.XLOOKUP(F112,purchase!D:D,purchase!B:B,""))</f>
        <v/>
      </c>
      <c r="F112" s="2"/>
      <c r="G112" s="4" t="str">
        <f t="shared" si="8"/>
        <v/>
      </c>
      <c r="H112" s="4" t="str">
        <f>IF(F112="","",_xlfn.XLOOKUP(F112,purchase!D:D,purchase!#REF!,""))</f>
        <v/>
      </c>
      <c r="I112" s="4" t="str">
        <f t="shared" si="9"/>
        <v/>
      </c>
      <c r="J112" s="4" t="str">
        <f t="shared" si="10"/>
        <v/>
      </c>
      <c r="K112" s="13" t="str">
        <f>_xlfn.SINGLE(IF(F112="","",_xlfn.XLOOKUP(F112,purchase!D:D,purchase!#REF!,"")))</f>
        <v/>
      </c>
      <c r="L112" s="2"/>
      <c r="M112" s="32"/>
      <c r="N112" s="13" t="str">
        <f>IF(F112="","",
MAX(0,
_xlfn.XLOOKUP(F112,purchase!D:D,purchase!#REF!,"")
-
SUMIFS(L:L,F:F,F112)))</f>
        <v/>
      </c>
      <c r="O112" s="13" t="str">
        <f t="shared" si="11"/>
        <v/>
      </c>
      <c r="P112" s="35" t="str">
        <f>_xlfn.SINGLE(IF(F112="","",_xlfn.XLOOKUP(F112,purchase!D:D,purchase!K:K,"")))</f>
        <v/>
      </c>
      <c r="Q112" s="29" t="str">
        <f t="shared" si="12"/>
        <v/>
      </c>
      <c r="R112" s="37" t="str">
        <f t="shared" si="13"/>
        <v/>
      </c>
    </row>
    <row r="113" spans="1:18" x14ac:dyDescent="0.35">
      <c r="A113" s="8">
        <v>109</v>
      </c>
      <c r="B113" s="9" t="str">
        <f t="shared" si="7"/>
        <v/>
      </c>
      <c r="C113" s="10"/>
      <c r="D113" s="9" t="str">
        <f>IF(F113="","",_xlfn.XLOOKUP(F113,purchase!D:D,purchase!#REF!,""))</f>
        <v/>
      </c>
      <c r="E113" s="9" t="str">
        <f>IF(F113="","",_xlfn.XLOOKUP(F113,purchase!D:D,purchase!B:B,""))</f>
        <v/>
      </c>
      <c r="F113" s="2"/>
      <c r="G113" s="4" t="str">
        <f t="shared" si="8"/>
        <v/>
      </c>
      <c r="H113" s="4" t="str">
        <f>IF(F113="","",_xlfn.XLOOKUP(F113,purchase!D:D,purchase!#REF!,""))</f>
        <v/>
      </c>
      <c r="I113" s="4" t="str">
        <f t="shared" si="9"/>
        <v/>
      </c>
      <c r="J113" s="4" t="str">
        <f t="shared" si="10"/>
        <v/>
      </c>
      <c r="K113" s="13" t="str">
        <f>_xlfn.SINGLE(IF(F113="","",_xlfn.XLOOKUP(F113,purchase!D:D,purchase!#REF!,"")))</f>
        <v/>
      </c>
      <c r="L113" s="2"/>
      <c r="M113" s="32"/>
      <c r="N113" s="13" t="str">
        <f>IF(F113="","",
MAX(0,
_xlfn.XLOOKUP(F113,purchase!D:D,purchase!#REF!,"")
-
SUMIFS(L:L,F:F,F113)))</f>
        <v/>
      </c>
      <c r="O113" s="13" t="str">
        <f t="shared" si="11"/>
        <v/>
      </c>
      <c r="P113" s="35" t="str">
        <f>_xlfn.SINGLE(IF(F113="","",_xlfn.XLOOKUP(F113,purchase!D:D,purchase!K:K,"")))</f>
        <v/>
      </c>
      <c r="Q113" s="29" t="str">
        <f t="shared" si="12"/>
        <v/>
      </c>
      <c r="R113" s="37" t="str">
        <f t="shared" si="13"/>
        <v/>
      </c>
    </row>
    <row r="114" spans="1:18" x14ac:dyDescent="0.35">
      <c r="A114" s="8">
        <v>110</v>
      </c>
      <c r="B114" s="9" t="str">
        <f t="shared" si="7"/>
        <v/>
      </c>
      <c r="C114" s="10"/>
      <c r="D114" s="9" t="str">
        <f>IF(F114="","",_xlfn.XLOOKUP(F114,purchase!D:D,purchase!#REF!,""))</f>
        <v/>
      </c>
      <c r="E114" s="9" t="str">
        <f>IF(F114="","",_xlfn.XLOOKUP(F114,purchase!D:D,purchase!B:B,""))</f>
        <v/>
      </c>
      <c r="F114" s="2"/>
      <c r="G114" s="4" t="str">
        <f t="shared" si="8"/>
        <v/>
      </c>
      <c r="H114" s="4" t="str">
        <f>IF(F114="","",_xlfn.XLOOKUP(F114,purchase!D:D,purchase!#REF!,""))</f>
        <v/>
      </c>
      <c r="I114" s="4" t="str">
        <f t="shared" si="9"/>
        <v/>
      </c>
      <c r="J114" s="4" t="str">
        <f t="shared" si="10"/>
        <v/>
      </c>
      <c r="K114" s="13" t="str">
        <f>_xlfn.SINGLE(IF(F114="","",_xlfn.XLOOKUP(F114,purchase!D:D,purchase!#REF!,"")))</f>
        <v/>
      </c>
      <c r="L114" s="2"/>
      <c r="M114" s="32"/>
      <c r="N114" s="13" t="str">
        <f>IF(F114="","",
MAX(0,
_xlfn.XLOOKUP(F114,purchase!D:D,purchase!#REF!,"")
-
SUMIFS(L:L,F:F,F114)))</f>
        <v/>
      </c>
      <c r="O114" s="13" t="str">
        <f t="shared" si="11"/>
        <v/>
      </c>
      <c r="P114" s="35" t="str">
        <f>_xlfn.SINGLE(IF(F114="","",_xlfn.XLOOKUP(F114,purchase!D:D,purchase!K:K,"")))</f>
        <v/>
      </c>
      <c r="Q114" s="29" t="str">
        <f t="shared" si="12"/>
        <v/>
      </c>
      <c r="R114" s="37" t="str">
        <f t="shared" si="13"/>
        <v/>
      </c>
    </row>
    <row r="115" spans="1:18" x14ac:dyDescent="0.35">
      <c r="A115" s="8">
        <v>111</v>
      </c>
      <c r="B115" s="9" t="str">
        <f t="shared" si="7"/>
        <v/>
      </c>
      <c r="C115" s="10"/>
      <c r="D115" s="9" t="str">
        <f>IF(F115="","",_xlfn.XLOOKUP(F115,purchase!D:D,purchase!#REF!,""))</f>
        <v/>
      </c>
      <c r="E115" s="9" t="str">
        <f>IF(F115="","",_xlfn.XLOOKUP(F115,purchase!D:D,purchase!B:B,""))</f>
        <v/>
      </c>
      <c r="F115" s="2"/>
      <c r="G115" s="4" t="str">
        <f t="shared" si="8"/>
        <v/>
      </c>
      <c r="H115" s="4" t="str">
        <f>IF(F115="","",_xlfn.XLOOKUP(F115,purchase!D:D,purchase!#REF!,""))</f>
        <v/>
      </c>
      <c r="I115" s="4" t="str">
        <f t="shared" si="9"/>
        <v/>
      </c>
      <c r="J115" s="4" t="str">
        <f t="shared" si="10"/>
        <v/>
      </c>
      <c r="K115" s="13" t="str">
        <f>_xlfn.SINGLE(IF(F115="","",_xlfn.XLOOKUP(F115,purchase!D:D,purchase!#REF!,"")))</f>
        <v/>
      </c>
      <c r="L115" s="2"/>
      <c r="M115" s="32"/>
      <c r="N115" s="13" t="str">
        <f>IF(F115="","",
MAX(0,
_xlfn.XLOOKUP(F115,purchase!D:D,purchase!#REF!,"")
-
SUMIFS(L:L,F:F,F115)))</f>
        <v/>
      </c>
      <c r="O115" s="13" t="str">
        <f t="shared" si="11"/>
        <v/>
      </c>
      <c r="P115" s="35" t="str">
        <f>_xlfn.SINGLE(IF(F115="","",_xlfn.XLOOKUP(F115,purchase!D:D,purchase!K:K,"")))</f>
        <v/>
      </c>
      <c r="Q115" s="29" t="str">
        <f t="shared" si="12"/>
        <v/>
      </c>
      <c r="R115" s="37" t="str">
        <f t="shared" si="13"/>
        <v/>
      </c>
    </row>
    <row r="116" spans="1:18" x14ac:dyDescent="0.35">
      <c r="A116" s="8">
        <v>112</v>
      </c>
      <c r="B116" s="9" t="str">
        <f t="shared" si="7"/>
        <v/>
      </c>
      <c r="C116" s="10"/>
      <c r="D116" s="9" t="str">
        <f>IF(F116="","",_xlfn.XLOOKUP(F116,purchase!D:D,purchase!#REF!,""))</f>
        <v/>
      </c>
      <c r="E116" s="9" t="str">
        <f>IF(F116="","",_xlfn.XLOOKUP(F116,purchase!D:D,purchase!B:B,""))</f>
        <v/>
      </c>
      <c r="F116" s="2"/>
      <c r="G116" s="4" t="str">
        <f t="shared" si="8"/>
        <v/>
      </c>
      <c r="H116" s="4" t="str">
        <f>IF(F116="","",_xlfn.XLOOKUP(F116,purchase!D:D,purchase!#REF!,""))</f>
        <v/>
      </c>
      <c r="I116" s="4" t="str">
        <f t="shared" si="9"/>
        <v/>
      </c>
      <c r="J116" s="4" t="str">
        <f t="shared" si="10"/>
        <v/>
      </c>
      <c r="K116" s="13" t="str">
        <f>_xlfn.SINGLE(IF(F116="","",_xlfn.XLOOKUP(F116,purchase!D:D,purchase!#REF!,"")))</f>
        <v/>
      </c>
      <c r="L116" s="2"/>
      <c r="M116" s="32"/>
      <c r="N116" s="13" t="str">
        <f>IF(F116="","",
MAX(0,
_xlfn.XLOOKUP(F116,purchase!D:D,purchase!#REF!,"")
-
SUMIFS(L:L,F:F,F116)))</f>
        <v/>
      </c>
      <c r="O116" s="13" t="str">
        <f t="shared" si="11"/>
        <v/>
      </c>
      <c r="P116" s="35" t="str">
        <f>_xlfn.SINGLE(IF(F116="","",_xlfn.XLOOKUP(F116,purchase!D:D,purchase!K:K,"")))</f>
        <v/>
      </c>
      <c r="Q116" s="29" t="str">
        <f t="shared" si="12"/>
        <v/>
      </c>
      <c r="R116" s="37" t="str">
        <f t="shared" si="13"/>
        <v/>
      </c>
    </row>
    <row r="117" spans="1:18" x14ac:dyDescent="0.35">
      <c r="A117" s="8">
        <v>113</v>
      </c>
      <c r="B117" s="9" t="str">
        <f t="shared" si="7"/>
        <v/>
      </c>
      <c r="C117" s="10"/>
      <c r="D117" s="9" t="str">
        <f>IF(F117="","",_xlfn.XLOOKUP(F117,purchase!D:D,purchase!#REF!,""))</f>
        <v/>
      </c>
      <c r="E117" s="9" t="str">
        <f>IF(F117="","",_xlfn.XLOOKUP(F117,purchase!D:D,purchase!B:B,""))</f>
        <v/>
      </c>
      <c r="F117" s="2"/>
      <c r="G117" s="4" t="str">
        <f t="shared" si="8"/>
        <v/>
      </c>
      <c r="H117" s="4" t="str">
        <f>IF(F117="","",_xlfn.XLOOKUP(F117,purchase!D:D,purchase!#REF!,""))</f>
        <v/>
      </c>
      <c r="I117" s="4" t="str">
        <f t="shared" si="9"/>
        <v/>
      </c>
      <c r="J117" s="4" t="str">
        <f t="shared" si="10"/>
        <v/>
      </c>
      <c r="K117" s="13" t="str">
        <f>_xlfn.SINGLE(IF(F117="","",_xlfn.XLOOKUP(F117,purchase!D:D,purchase!#REF!,"")))</f>
        <v/>
      </c>
      <c r="L117" s="2"/>
      <c r="M117" s="32"/>
      <c r="N117" s="13" t="str">
        <f>IF(F117="","",
MAX(0,
_xlfn.XLOOKUP(F117,purchase!D:D,purchase!#REF!,"")
-
SUMIFS(L:L,F:F,F117)))</f>
        <v/>
      </c>
      <c r="O117" s="13" t="str">
        <f t="shared" si="11"/>
        <v/>
      </c>
      <c r="P117" s="35" t="str">
        <f>_xlfn.SINGLE(IF(F117="","",_xlfn.XLOOKUP(F117,purchase!D:D,purchase!K:K,"")))</f>
        <v/>
      </c>
      <c r="Q117" s="29" t="str">
        <f t="shared" si="12"/>
        <v/>
      </c>
      <c r="R117" s="37" t="str">
        <f t="shared" si="13"/>
        <v/>
      </c>
    </row>
    <row r="118" spans="1:18" x14ac:dyDescent="0.35">
      <c r="A118" s="8">
        <v>114</v>
      </c>
      <c r="B118" s="9" t="str">
        <f t="shared" si="7"/>
        <v/>
      </c>
      <c r="C118" s="10"/>
      <c r="D118" s="9" t="str">
        <f>IF(F118="","",_xlfn.XLOOKUP(F118,purchase!D:D,purchase!#REF!,""))</f>
        <v/>
      </c>
      <c r="E118" s="9" t="str">
        <f>IF(F118="","",_xlfn.XLOOKUP(F118,purchase!D:D,purchase!B:B,""))</f>
        <v/>
      </c>
      <c r="F118" s="2"/>
      <c r="G118" s="4" t="str">
        <f t="shared" si="8"/>
        <v/>
      </c>
      <c r="H118" s="4" t="str">
        <f>IF(F118="","",_xlfn.XLOOKUP(F118,purchase!D:D,purchase!#REF!,""))</f>
        <v/>
      </c>
      <c r="I118" s="4" t="str">
        <f t="shared" si="9"/>
        <v/>
      </c>
      <c r="J118" s="4" t="str">
        <f t="shared" si="10"/>
        <v/>
      </c>
      <c r="K118" s="13" t="str">
        <f>_xlfn.SINGLE(IF(F118="","",_xlfn.XLOOKUP(F118,purchase!D:D,purchase!#REF!,"")))</f>
        <v/>
      </c>
      <c r="L118" s="2"/>
      <c r="M118" s="32"/>
      <c r="N118" s="13" t="str">
        <f>IF(F118="","",
MAX(0,
_xlfn.XLOOKUP(F118,purchase!D:D,purchase!#REF!,"")
-
SUMIFS(L:L,F:F,F118)))</f>
        <v/>
      </c>
      <c r="O118" s="13" t="str">
        <f t="shared" si="11"/>
        <v/>
      </c>
      <c r="P118" s="35" t="str">
        <f>_xlfn.SINGLE(IF(F118="","",_xlfn.XLOOKUP(F118,purchase!D:D,purchase!K:K,"")))</f>
        <v/>
      </c>
      <c r="Q118" s="29" t="str">
        <f t="shared" si="12"/>
        <v/>
      </c>
      <c r="R118" s="37" t="str">
        <f t="shared" si="13"/>
        <v/>
      </c>
    </row>
    <row r="119" spans="1:18" x14ac:dyDescent="0.35">
      <c r="A119" s="8">
        <v>115</v>
      </c>
      <c r="B119" s="9" t="str">
        <f t="shared" si="7"/>
        <v/>
      </c>
      <c r="C119" s="10"/>
      <c r="D119" s="9" t="str">
        <f>IF(F119="","",_xlfn.XLOOKUP(F119,purchase!D:D,purchase!#REF!,""))</f>
        <v/>
      </c>
      <c r="E119" s="9" t="str">
        <f>IF(F119="","",_xlfn.XLOOKUP(F119,purchase!D:D,purchase!B:B,""))</f>
        <v/>
      </c>
      <c r="F119" s="2"/>
      <c r="G119" s="4" t="str">
        <f t="shared" si="8"/>
        <v/>
      </c>
      <c r="H119" s="4" t="str">
        <f>IF(F119="","",_xlfn.XLOOKUP(F119,purchase!D:D,purchase!#REF!,""))</f>
        <v/>
      </c>
      <c r="I119" s="4" t="str">
        <f t="shared" si="9"/>
        <v/>
      </c>
      <c r="J119" s="4" t="str">
        <f t="shared" si="10"/>
        <v/>
      </c>
      <c r="K119" s="13" t="str">
        <f>_xlfn.SINGLE(IF(F119="","",_xlfn.XLOOKUP(F119,purchase!D:D,purchase!#REF!,"")))</f>
        <v/>
      </c>
      <c r="L119" s="2"/>
      <c r="M119" s="32"/>
      <c r="N119" s="13" t="str">
        <f>IF(F119="","",
MAX(0,
_xlfn.XLOOKUP(F119,purchase!D:D,purchase!#REF!,"")
-
SUMIFS(L:L,F:F,F119)))</f>
        <v/>
      </c>
      <c r="O119" s="13" t="str">
        <f t="shared" si="11"/>
        <v/>
      </c>
      <c r="P119" s="35" t="str">
        <f>_xlfn.SINGLE(IF(F119="","",_xlfn.XLOOKUP(F119,purchase!D:D,purchase!K:K,"")))</f>
        <v/>
      </c>
      <c r="Q119" s="29" t="str">
        <f t="shared" si="12"/>
        <v/>
      </c>
      <c r="R119" s="37" t="str">
        <f t="shared" si="13"/>
        <v/>
      </c>
    </row>
    <row r="120" spans="1:18" x14ac:dyDescent="0.35">
      <c r="A120" s="8">
        <v>116</v>
      </c>
      <c r="B120" s="9" t="str">
        <f t="shared" si="7"/>
        <v/>
      </c>
      <c r="C120" s="10"/>
      <c r="D120" s="9" t="str">
        <f>IF(F120="","",_xlfn.XLOOKUP(F120,purchase!D:D,purchase!#REF!,""))</f>
        <v/>
      </c>
      <c r="E120" s="9" t="str">
        <f>IF(F120="","",_xlfn.XLOOKUP(F120,purchase!D:D,purchase!B:B,""))</f>
        <v/>
      </c>
      <c r="F120" s="2"/>
      <c r="G120" s="4" t="str">
        <f t="shared" si="8"/>
        <v/>
      </c>
      <c r="H120" s="4" t="str">
        <f>IF(F120="","",_xlfn.XLOOKUP(F120,purchase!D:D,purchase!#REF!,""))</f>
        <v/>
      </c>
      <c r="I120" s="4" t="str">
        <f t="shared" si="9"/>
        <v/>
      </c>
      <c r="J120" s="4" t="str">
        <f t="shared" si="10"/>
        <v/>
      </c>
      <c r="K120" s="13" t="str">
        <f>_xlfn.SINGLE(IF(F120="","",_xlfn.XLOOKUP(F120,purchase!D:D,purchase!#REF!,"")))</f>
        <v/>
      </c>
      <c r="L120" s="2"/>
      <c r="M120" s="32"/>
      <c r="N120" s="13" t="str">
        <f>IF(F120="","",
MAX(0,
_xlfn.XLOOKUP(F120,purchase!D:D,purchase!#REF!,"")
-
SUMIFS(L:L,F:F,F120)))</f>
        <v/>
      </c>
      <c r="O120" s="13" t="str">
        <f t="shared" si="11"/>
        <v/>
      </c>
      <c r="P120" s="35" t="str">
        <f>_xlfn.SINGLE(IF(F120="","",_xlfn.XLOOKUP(F120,purchase!D:D,purchase!K:K,"")))</f>
        <v/>
      </c>
      <c r="Q120" s="29" t="str">
        <f t="shared" si="12"/>
        <v/>
      </c>
      <c r="R120" s="37" t="str">
        <f t="shared" si="13"/>
        <v/>
      </c>
    </row>
    <row r="121" spans="1:18" x14ac:dyDescent="0.35">
      <c r="A121" s="8">
        <v>117</v>
      </c>
      <c r="B121" s="9" t="str">
        <f t="shared" si="7"/>
        <v/>
      </c>
      <c r="C121" s="10"/>
      <c r="D121" s="9" t="str">
        <f>IF(F121="","",_xlfn.XLOOKUP(F121,purchase!D:D,purchase!#REF!,""))</f>
        <v/>
      </c>
      <c r="E121" s="9" t="str">
        <f>IF(F121="","",_xlfn.XLOOKUP(F121,purchase!D:D,purchase!B:B,""))</f>
        <v/>
      </c>
      <c r="F121" s="2"/>
      <c r="G121" s="4" t="str">
        <f t="shared" si="8"/>
        <v/>
      </c>
      <c r="H121" s="4" t="str">
        <f>IF(F121="","",_xlfn.XLOOKUP(F121,purchase!D:D,purchase!#REF!,""))</f>
        <v/>
      </c>
      <c r="I121" s="4" t="str">
        <f t="shared" si="9"/>
        <v/>
      </c>
      <c r="J121" s="4" t="str">
        <f t="shared" si="10"/>
        <v/>
      </c>
      <c r="K121" s="13" t="str">
        <f>_xlfn.SINGLE(IF(F121="","",_xlfn.XLOOKUP(F121,purchase!D:D,purchase!#REF!,"")))</f>
        <v/>
      </c>
      <c r="L121" s="2"/>
      <c r="M121" s="32"/>
      <c r="N121" s="13" t="str">
        <f>IF(F121="","",
MAX(0,
_xlfn.XLOOKUP(F121,purchase!D:D,purchase!#REF!,"")
-
SUMIFS(L:L,F:F,F121)))</f>
        <v/>
      </c>
      <c r="O121" s="13" t="str">
        <f t="shared" si="11"/>
        <v/>
      </c>
      <c r="P121" s="35" t="str">
        <f>_xlfn.SINGLE(IF(F121="","",_xlfn.XLOOKUP(F121,purchase!D:D,purchase!K:K,"")))</f>
        <v/>
      </c>
      <c r="Q121" s="29" t="str">
        <f t="shared" si="12"/>
        <v/>
      </c>
      <c r="R121" s="37" t="str">
        <f t="shared" si="13"/>
        <v/>
      </c>
    </row>
    <row r="122" spans="1:18" x14ac:dyDescent="0.35">
      <c r="A122" s="8">
        <v>118</v>
      </c>
      <c r="B122" s="9" t="str">
        <f t="shared" si="7"/>
        <v/>
      </c>
      <c r="C122" s="10"/>
      <c r="D122" s="9" t="str">
        <f>IF(F122="","",_xlfn.XLOOKUP(F122,purchase!D:D,purchase!#REF!,""))</f>
        <v/>
      </c>
      <c r="E122" s="9" t="str">
        <f>IF(F122="","",_xlfn.XLOOKUP(F122,purchase!D:D,purchase!B:B,""))</f>
        <v/>
      </c>
      <c r="F122" s="2"/>
      <c r="G122" s="4" t="str">
        <f t="shared" si="8"/>
        <v/>
      </c>
      <c r="H122" s="4" t="str">
        <f>IF(F122="","",_xlfn.XLOOKUP(F122,purchase!D:D,purchase!#REF!,""))</f>
        <v/>
      </c>
      <c r="I122" s="4" t="str">
        <f t="shared" si="9"/>
        <v/>
      </c>
      <c r="J122" s="4" t="str">
        <f t="shared" si="10"/>
        <v/>
      </c>
      <c r="K122" s="13" t="str">
        <f>_xlfn.SINGLE(IF(F122="","",_xlfn.XLOOKUP(F122,purchase!D:D,purchase!#REF!,"")))</f>
        <v/>
      </c>
      <c r="L122" s="2"/>
      <c r="M122" s="32"/>
      <c r="N122" s="13" t="str">
        <f>IF(F122="","",
MAX(0,
_xlfn.XLOOKUP(F122,purchase!D:D,purchase!#REF!,"")
-
SUMIFS(L:L,F:F,F122)))</f>
        <v/>
      </c>
      <c r="O122" s="13" t="str">
        <f t="shared" si="11"/>
        <v/>
      </c>
      <c r="P122" s="35" t="str">
        <f>_xlfn.SINGLE(IF(F122="","",_xlfn.XLOOKUP(F122,purchase!D:D,purchase!K:K,"")))</f>
        <v/>
      </c>
      <c r="Q122" s="29" t="str">
        <f t="shared" si="12"/>
        <v/>
      </c>
      <c r="R122" s="37" t="str">
        <f t="shared" si="13"/>
        <v/>
      </c>
    </row>
    <row r="123" spans="1:18" x14ac:dyDescent="0.35">
      <c r="A123" s="8">
        <v>119</v>
      </c>
      <c r="B123" s="9" t="str">
        <f t="shared" si="7"/>
        <v/>
      </c>
      <c r="C123" s="10"/>
      <c r="D123" s="9" t="str">
        <f>IF(F123="","",_xlfn.XLOOKUP(F123,purchase!D:D,purchase!#REF!,""))</f>
        <v/>
      </c>
      <c r="E123" s="9" t="str">
        <f>IF(F123="","",_xlfn.XLOOKUP(F123,purchase!D:D,purchase!B:B,""))</f>
        <v/>
      </c>
      <c r="F123" s="2"/>
      <c r="G123" s="4" t="str">
        <f t="shared" si="8"/>
        <v/>
      </c>
      <c r="H123" s="4" t="str">
        <f>IF(F123="","",_xlfn.XLOOKUP(F123,purchase!D:D,purchase!#REF!,""))</f>
        <v/>
      </c>
      <c r="I123" s="4" t="str">
        <f t="shared" si="9"/>
        <v/>
      </c>
      <c r="J123" s="4" t="str">
        <f t="shared" si="10"/>
        <v/>
      </c>
      <c r="K123" s="13" t="str">
        <f>_xlfn.SINGLE(IF(F123="","",_xlfn.XLOOKUP(F123,purchase!D:D,purchase!#REF!,"")))</f>
        <v/>
      </c>
      <c r="L123" s="2"/>
      <c r="M123" s="32"/>
      <c r="N123" s="13" t="str">
        <f>IF(F123="","",
MAX(0,
_xlfn.XLOOKUP(F123,purchase!D:D,purchase!#REF!,"")
-
SUMIFS(L:L,F:F,F123)))</f>
        <v/>
      </c>
      <c r="O123" s="13" t="str">
        <f t="shared" si="11"/>
        <v/>
      </c>
      <c r="P123" s="35" t="str">
        <f>_xlfn.SINGLE(IF(F123="","",_xlfn.XLOOKUP(F123,purchase!D:D,purchase!K:K,"")))</f>
        <v/>
      </c>
      <c r="Q123" s="29" t="str">
        <f t="shared" si="12"/>
        <v/>
      </c>
      <c r="R123" s="37" t="str">
        <f t="shared" si="13"/>
        <v/>
      </c>
    </row>
    <row r="124" spans="1:18" x14ac:dyDescent="0.35">
      <c r="A124" s="8">
        <v>120</v>
      </c>
      <c r="B124" s="9" t="str">
        <f t="shared" si="7"/>
        <v/>
      </c>
      <c r="C124" s="10"/>
      <c r="D124" s="9" t="str">
        <f>IF(F124="","",_xlfn.XLOOKUP(F124,purchase!D:D,purchase!#REF!,""))</f>
        <v/>
      </c>
      <c r="E124" s="9" t="str">
        <f>IF(F124="","",_xlfn.XLOOKUP(F124,purchase!D:D,purchase!B:B,""))</f>
        <v/>
      </c>
      <c r="F124" s="2"/>
      <c r="G124" s="4" t="str">
        <f t="shared" si="8"/>
        <v/>
      </c>
      <c r="H124" s="4" t="str">
        <f>IF(F124="","",_xlfn.XLOOKUP(F124,purchase!D:D,purchase!#REF!,""))</f>
        <v/>
      </c>
      <c r="I124" s="4" t="str">
        <f t="shared" si="9"/>
        <v/>
      </c>
      <c r="J124" s="4" t="str">
        <f t="shared" si="10"/>
        <v/>
      </c>
      <c r="K124" s="13" t="str">
        <f>_xlfn.SINGLE(IF(F124="","",_xlfn.XLOOKUP(F124,purchase!D:D,purchase!#REF!,"")))</f>
        <v/>
      </c>
      <c r="L124" s="2"/>
      <c r="M124" s="32"/>
      <c r="N124" s="13" t="str">
        <f>IF(F124="","",
MAX(0,
_xlfn.XLOOKUP(F124,purchase!D:D,purchase!#REF!,"")
-
SUMIFS(L:L,F:F,F124)))</f>
        <v/>
      </c>
      <c r="O124" s="13" t="str">
        <f t="shared" si="11"/>
        <v/>
      </c>
      <c r="P124" s="35" t="str">
        <f>_xlfn.SINGLE(IF(F124="","",_xlfn.XLOOKUP(F124,purchase!D:D,purchase!K:K,"")))</f>
        <v/>
      </c>
      <c r="Q124" s="29" t="str">
        <f t="shared" si="12"/>
        <v/>
      </c>
      <c r="R124" s="37" t="str">
        <f t="shared" si="13"/>
        <v/>
      </c>
    </row>
    <row r="125" spans="1:18" x14ac:dyDescent="0.35">
      <c r="A125" s="8">
        <v>121</v>
      </c>
      <c r="B125" s="9" t="str">
        <f t="shared" si="7"/>
        <v/>
      </c>
      <c r="C125" s="10"/>
      <c r="D125" s="9" t="str">
        <f>IF(F125="","",_xlfn.XLOOKUP(F125,purchase!D:D,purchase!#REF!,""))</f>
        <v/>
      </c>
      <c r="E125" s="9" t="str">
        <f>IF(F125="","",_xlfn.XLOOKUP(F125,purchase!D:D,purchase!B:B,""))</f>
        <v/>
      </c>
      <c r="F125" s="2"/>
      <c r="G125" s="4" t="str">
        <f t="shared" si="8"/>
        <v/>
      </c>
      <c r="H125" s="4" t="str">
        <f>IF(F125="","",_xlfn.XLOOKUP(F125,purchase!D:D,purchase!#REF!,""))</f>
        <v/>
      </c>
      <c r="I125" s="4" t="str">
        <f t="shared" si="9"/>
        <v/>
      </c>
      <c r="J125" s="4" t="str">
        <f t="shared" si="10"/>
        <v/>
      </c>
      <c r="K125" s="13" t="str">
        <f>_xlfn.SINGLE(IF(F125="","",_xlfn.XLOOKUP(F125,purchase!D:D,purchase!#REF!,"")))</f>
        <v/>
      </c>
      <c r="L125" s="2"/>
      <c r="M125" s="32"/>
      <c r="N125" s="13" t="str">
        <f>IF(F125="","",
MAX(0,
_xlfn.XLOOKUP(F125,purchase!D:D,purchase!#REF!,"")
-
SUMIFS(L:L,F:F,F125)))</f>
        <v/>
      </c>
      <c r="O125" s="13" t="str">
        <f t="shared" si="11"/>
        <v/>
      </c>
      <c r="P125" s="35" t="str">
        <f>_xlfn.SINGLE(IF(F125="","",_xlfn.XLOOKUP(F125,purchase!D:D,purchase!K:K,"")))</f>
        <v/>
      </c>
      <c r="Q125" s="29" t="str">
        <f t="shared" si="12"/>
        <v/>
      </c>
      <c r="R125" s="37" t="str">
        <f t="shared" si="13"/>
        <v/>
      </c>
    </row>
    <row r="126" spans="1:18" x14ac:dyDescent="0.35">
      <c r="A126" s="8">
        <v>122</v>
      </c>
      <c r="B126" s="9" t="str">
        <f t="shared" si="7"/>
        <v/>
      </c>
      <c r="C126" s="10"/>
      <c r="D126" s="9" t="str">
        <f>IF(F126="","",_xlfn.XLOOKUP(F126,purchase!D:D,purchase!#REF!,""))</f>
        <v/>
      </c>
      <c r="E126" s="9" t="str">
        <f>IF(F126="","",_xlfn.XLOOKUP(F126,purchase!D:D,purchase!B:B,""))</f>
        <v/>
      </c>
      <c r="F126" s="2"/>
      <c r="G126" s="4" t="str">
        <f t="shared" si="8"/>
        <v/>
      </c>
      <c r="H126" s="4" t="str">
        <f>IF(F126="","",_xlfn.XLOOKUP(F126,purchase!D:D,purchase!#REF!,""))</f>
        <v/>
      </c>
      <c r="I126" s="4" t="str">
        <f t="shared" si="9"/>
        <v/>
      </c>
      <c r="J126" s="4" t="str">
        <f t="shared" si="10"/>
        <v/>
      </c>
      <c r="K126" s="13" t="str">
        <f>_xlfn.SINGLE(IF(F126="","",_xlfn.XLOOKUP(F126,purchase!D:D,purchase!#REF!,"")))</f>
        <v/>
      </c>
      <c r="L126" s="2"/>
      <c r="M126" s="32"/>
      <c r="N126" s="13" t="str">
        <f>IF(F126="","",
MAX(0,
_xlfn.XLOOKUP(F126,purchase!D:D,purchase!#REF!,"")
-
SUMIFS(L:L,F:F,F126)))</f>
        <v/>
      </c>
      <c r="O126" s="13" t="str">
        <f t="shared" si="11"/>
        <v/>
      </c>
      <c r="P126" s="35" t="str">
        <f>_xlfn.SINGLE(IF(F126="","",_xlfn.XLOOKUP(F126,purchase!D:D,purchase!K:K,"")))</f>
        <v/>
      </c>
      <c r="Q126" s="29" t="str">
        <f t="shared" si="12"/>
        <v/>
      </c>
      <c r="R126" s="37" t="str">
        <f t="shared" si="13"/>
        <v/>
      </c>
    </row>
    <row r="127" spans="1:18" x14ac:dyDescent="0.35">
      <c r="A127" s="8">
        <v>123</v>
      </c>
      <c r="B127" s="9" t="str">
        <f t="shared" si="7"/>
        <v/>
      </c>
      <c r="C127" s="10"/>
      <c r="D127" s="9" t="str">
        <f>IF(F127="","",_xlfn.XLOOKUP(F127,purchase!D:D,purchase!#REF!,""))</f>
        <v/>
      </c>
      <c r="E127" s="9" t="str">
        <f>IF(F127="","",_xlfn.XLOOKUP(F127,purchase!D:D,purchase!B:B,""))</f>
        <v/>
      </c>
      <c r="F127" s="2"/>
      <c r="G127" s="4" t="str">
        <f t="shared" si="8"/>
        <v/>
      </c>
      <c r="H127" s="4" t="str">
        <f>IF(F127="","",_xlfn.XLOOKUP(F127,purchase!D:D,purchase!#REF!,""))</f>
        <v/>
      </c>
      <c r="I127" s="4" t="str">
        <f t="shared" si="9"/>
        <v/>
      </c>
      <c r="J127" s="4" t="str">
        <f t="shared" si="10"/>
        <v/>
      </c>
      <c r="K127" s="13" t="str">
        <f>_xlfn.SINGLE(IF(F127="","",_xlfn.XLOOKUP(F127,purchase!D:D,purchase!#REF!,"")))</f>
        <v/>
      </c>
      <c r="L127" s="2"/>
      <c r="M127" s="32"/>
      <c r="N127" s="13" t="str">
        <f>IF(F127="","",
MAX(0,
_xlfn.XLOOKUP(F127,purchase!D:D,purchase!#REF!,"")
-
SUMIFS(L:L,F:F,F127)))</f>
        <v/>
      </c>
      <c r="O127" s="13" t="str">
        <f t="shared" si="11"/>
        <v/>
      </c>
      <c r="P127" s="35" t="str">
        <f>_xlfn.SINGLE(IF(F127="","",_xlfn.XLOOKUP(F127,purchase!D:D,purchase!K:K,"")))</f>
        <v/>
      </c>
      <c r="Q127" s="29" t="str">
        <f t="shared" si="12"/>
        <v/>
      </c>
      <c r="R127" s="37" t="str">
        <f t="shared" si="13"/>
        <v/>
      </c>
    </row>
    <row r="128" spans="1:18" x14ac:dyDescent="0.35">
      <c r="A128" s="8">
        <v>124</v>
      </c>
      <c r="B128" s="9" t="str">
        <f t="shared" si="7"/>
        <v/>
      </c>
      <c r="C128" s="10"/>
      <c r="D128" s="9" t="str">
        <f>IF(F128="","",_xlfn.XLOOKUP(F128,purchase!D:D,purchase!#REF!,""))</f>
        <v/>
      </c>
      <c r="E128" s="9" t="str">
        <f>IF(F128="","",_xlfn.XLOOKUP(F128,purchase!D:D,purchase!B:B,""))</f>
        <v/>
      </c>
      <c r="F128" s="2"/>
      <c r="G128" s="4" t="str">
        <f t="shared" si="8"/>
        <v/>
      </c>
      <c r="H128" s="4" t="str">
        <f>IF(F128="","",_xlfn.XLOOKUP(F128,purchase!D:D,purchase!#REF!,""))</f>
        <v/>
      </c>
      <c r="I128" s="4" t="str">
        <f t="shared" si="9"/>
        <v/>
      </c>
      <c r="J128" s="4" t="str">
        <f t="shared" si="10"/>
        <v/>
      </c>
      <c r="K128" s="13" t="str">
        <f>_xlfn.SINGLE(IF(F128="","",_xlfn.XLOOKUP(F128,purchase!D:D,purchase!#REF!,"")))</f>
        <v/>
      </c>
      <c r="L128" s="2"/>
      <c r="M128" s="32"/>
      <c r="N128" s="13" t="str">
        <f>IF(F128="","",
MAX(0,
_xlfn.XLOOKUP(F128,purchase!D:D,purchase!#REF!,"")
-
SUMIFS(L:L,F:F,F128)))</f>
        <v/>
      </c>
      <c r="O128" s="13" t="str">
        <f t="shared" si="11"/>
        <v/>
      </c>
      <c r="P128" s="35" t="str">
        <f>_xlfn.SINGLE(IF(F128="","",_xlfn.XLOOKUP(F128,purchase!D:D,purchase!K:K,"")))</f>
        <v/>
      </c>
      <c r="Q128" s="29" t="str">
        <f t="shared" si="12"/>
        <v/>
      </c>
      <c r="R128" s="37" t="str">
        <f t="shared" si="13"/>
        <v/>
      </c>
    </row>
    <row r="129" spans="1:18" x14ac:dyDescent="0.35">
      <c r="A129" s="8">
        <v>125</v>
      </c>
      <c r="B129" s="9" t="str">
        <f t="shared" si="7"/>
        <v/>
      </c>
      <c r="C129" s="10"/>
      <c r="D129" s="9" t="str">
        <f>IF(F129="","",_xlfn.XLOOKUP(F129,purchase!D:D,purchase!#REF!,""))</f>
        <v/>
      </c>
      <c r="E129" s="9" t="str">
        <f>IF(F129="","",_xlfn.XLOOKUP(F129,purchase!D:D,purchase!B:B,""))</f>
        <v/>
      </c>
      <c r="F129" s="2"/>
      <c r="G129" s="4" t="str">
        <f t="shared" si="8"/>
        <v/>
      </c>
      <c r="H129" s="4" t="str">
        <f>IF(F129="","",_xlfn.XLOOKUP(F129,purchase!D:D,purchase!#REF!,""))</f>
        <v/>
      </c>
      <c r="I129" s="4" t="str">
        <f t="shared" si="9"/>
        <v/>
      </c>
      <c r="J129" s="4" t="str">
        <f t="shared" si="10"/>
        <v/>
      </c>
      <c r="K129" s="13" t="str">
        <f>_xlfn.SINGLE(IF(F129="","",_xlfn.XLOOKUP(F129,purchase!D:D,purchase!#REF!,"")))</f>
        <v/>
      </c>
      <c r="L129" s="2"/>
      <c r="M129" s="32"/>
      <c r="N129" s="13" t="str">
        <f>IF(F129="","",
MAX(0,
_xlfn.XLOOKUP(F129,purchase!D:D,purchase!#REF!,"")
-
SUMIFS(L:L,F:F,F129)))</f>
        <v/>
      </c>
      <c r="O129" s="13" t="str">
        <f t="shared" si="11"/>
        <v/>
      </c>
      <c r="P129" s="35" t="str">
        <f>_xlfn.SINGLE(IF(F129="","",_xlfn.XLOOKUP(F129,purchase!D:D,purchase!K:K,"")))</f>
        <v/>
      </c>
      <c r="Q129" s="29" t="str">
        <f t="shared" si="12"/>
        <v/>
      </c>
      <c r="R129" s="37" t="str">
        <f t="shared" si="13"/>
        <v/>
      </c>
    </row>
    <row r="130" spans="1:18" x14ac:dyDescent="0.35">
      <c r="A130" s="8">
        <v>126</v>
      </c>
      <c r="B130" s="9" t="str">
        <f t="shared" si="7"/>
        <v/>
      </c>
      <c r="C130" s="10"/>
      <c r="D130" s="9" t="str">
        <f>IF(F130="","",_xlfn.XLOOKUP(F130,purchase!D:D,purchase!#REF!,""))</f>
        <v/>
      </c>
      <c r="E130" s="9" t="str">
        <f>IF(F130="","",_xlfn.XLOOKUP(F130,purchase!D:D,purchase!B:B,""))</f>
        <v/>
      </c>
      <c r="F130" s="2"/>
      <c r="G130" s="4" t="str">
        <f t="shared" si="8"/>
        <v/>
      </c>
      <c r="H130" s="4" t="str">
        <f>IF(F130="","",_xlfn.XLOOKUP(F130,purchase!D:D,purchase!#REF!,""))</f>
        <v/>
      </c>
      <c r="I130" s="4" t="str">
        <f t="shared" si="9"/>
        <v/>
      </c>
      <c r="J130" s="4" t="str">
        <f t="shared" si="10"/>
        <v/>
      </c>
      <c r="K130" s="13" t="str">
        <f>_xlfn.SINGLE(IF(F130="","",_xlfn.XLOOKUP(F130,purchase!D:D,purchase!#REF!,"")))</f>
        <v/>
      </c>
      <c r="L130" s="2"/>
      <c r="M130" s="32"/>
      <c r="N130" s="13" t="str">
        <f>IF(F130="","",
MAX(0,
_xlfn.XLOOKUP(F130,purchase!D:D,purchase!#REF!,"")
-
SUMIFS(L:L,F:F,F130)))</f>
        <v/>
      </c>
      <c r="O130" s="13" t="str">
        <f t="shared" si="11"/>
        <v/>
      </c>
      <c r="P130" s="35" t="str">
        <f>_xlfn.SINGLE(IF(F130="","",_xlfn.XLOOKUP(F130,purchase!D:D,purchase!K:K,"")))</f>
        <v/>
      </c>
      <c r="Q130" s="29" t="str">
        <f t="shared" si="12"/>
        <v/>
      </c>
      <c r="R130" s="37" t="str">
        <f t="shared" si="13"/>
        <v/>
      </c>
    </row>
    <row r="131" spans="1:18" x14ac:dyDescent="0.35">
      <c r="A131" s="8">
        <v>127</v>
      </c>
      <c r="B131" s="9" t="str">
        <f t="shared" si="7"/>
        <v/>
      </c>
      <c r="C131" s="10"/>
      <c r="D131" s="9" t="str">
        <f>IF(F131="","",_xlfn.XLOOKUP(F131,purchase!D:D,purchase!#REF!,""))</f>
        <v/>
      </c>
      <c r="E131" s="9" t="str">
        <f>IF(F131="","",_xlfn.XLOOKUP(F131,purchase!D:D,purchase!B:B,""))</f>
        <v/>
      </c>
      <c r="F131" s="2"/>
      <c r="G131" s="4" t="str">
        <f t="shared" si="8"/>
        <v/>
      </c>
      <c r="H131" s="4" t="str">
        <f>IF(F131="","",_xlfn.XLOOKUP(F131,purchase!D:D,purchase!#REF!,""))</f>
        <v/>
      </c>
      <c r="I131" s="4" t="str">
        <f t="shared" si="9"/>
        <v/>
      </c>
      <c r="J131" s="4" t="str">
        <f t="shared" si="10"/>
        <v/>
      </c>
      <c r="K131" s="13" t="str">
        <f>_xlfn.SINGLE(IF(F131="","",_xlfn.XLOOKUP(F131,purchase!D:D,purchase!#REF!,"")))</f>
        <v/>
      </c>
      <c r="L131" s="2"/>
      <c r="M131" s="32"/>
      <c r="N131" s="13" t="str">
        <f>IF(F131="","",
MAX(0,
_xlfn.XLOOKUP(F131,purchase!D:D,purchase!#REF!,"")
-
SUMIFS(L:L,F:F,F131)))</f>
        <v/>
      </c>
      <c r="O131" s="13" t="str">
        <f t="shared" si="11"/>
        <v/>
      </c>
      <c r="P131" s="35" t="str">
        <f>_xlfn.SINGLE(IF(F131="","",_xlfn.XLOOKUP(F131,purchase!D:D,purchase!K:K,"")))</f>
        <v/>
      </c>
      <c r="Q131" s="29" t="str">
        <f t="shared" si="12"/>
        <v/>
      </c>
      <c r="R131" s="37" t="str">
        <f t="shared" si="13"/>
        <v/>
      </c>
    </row>
    <row r="132" spans="1:18" x14ac:dyDescent="0.35">
      <c r="A132" s="8">
        <v>128</v>
      </c>
      <c r="B132" s="9" t="str">
        <f t="shared" si="7"/>
        <v/>
      </c>
      <c r="C132" s="10"/>
      <c r="D132" s="9" t="str">
        <f>IF(F132="","",_xlfn.XLOOKUP(F132,purchase!D:D,purchase!#REF!,""))</f>
        <v/>
      </c>
      <c r="E132" s="9" t="str">
        <f>IF(F132="","",_xlfn.XLOOKUP(F132,purchase!D:D,purchase!B:B,""))</f>
        <v/>
      </c>
      <c r="F132" s="2"/>
      <c r="G132" s="4" t="str">
        <f t="shared" si="8"/>
        <v/>
      </c>
      <c r="H132" s="4" t="str">
        <f>IF(F132="","",_xlfn.XLOOKUP(F132,purchase!D:D,purchase!#REF!,""))</f>
        <v/>
      </c>
      <c r="I132" s="4" t="str">
        <f t="shared" si="9"/>
        <v/>
      </c>
      <c r="J132" s="4" t="str">
        <f t="shared" si="10"/>
        <v/>
      </c>
      <c r="K132" s="13" t="str">
        <f>_xlfn.SINGLE(IF(F132="","",_xlfn.XLOOKUP(F132,purchase!D:D,purchase!#REF!,"")))</f>
        <v/>
      </c>
      <c r="L132" s="2"/>
      <c r="M132" s="32"/>
      <c r="N132" s="13" t="str">
        <f>IF(F132="","",
MAX(0,
_xlfn.XLOOKUP(F132,purchase!D:D,purchase!#REF!,"")
-
SUMIFS(L:L,F:F,F132)))</f>
        <v/>
      </c>
      <c r="O132" s="13" t="str">
        <f t="shared" si="11"/>
        <v/>
      </c>
      <c r="P132" s="35" t="str">
        <f>_xlfn.SINGLE(IF(F132="","",_xlfn.XLOOKUP(F132,purchase!D:D,purchase!K:K,"")))</f>
        <v/>
      </c>
      <c r="Q132" s="29" t="str">
        <f t="shared" si="12"/>
        <v/>
      </c>
      <c r="R132" s="37" t="str">
        <f t="shared" si="13"/>
        <v/>
      </c>
    </row>
    <row r="133" spans="1:18" x14ac:dyDescent="0.35">
      <c r="A133" s="8">
        <v>129</v>
      </c>
      <c r="B133" s="9" t="str">
        <f t="shared" ref="B133:B196" si="14">IF(OR(C133="",F133=""),"",
"PRD-" &amp;
TEXT(DAY(C133),"00") &amp;
CHOOSE(MONTH(C133),"A","B","C","D","E","F","G","H","I","J","K","L") &amp;
TEXT(YEAR(C133),"00") &amp;
"-" &amp;
RIGHT(F133,4))</f>
        <v/>
      </c>
      <c r="C133" s="10"/>
      <c r="D133" s="9" t="str">
        <f>IF(F133="","",_xlfn.XLOOKUP(F133,purchase!D:D,purchase!#REF!,""))</f>
        <v/>
      </c>
      <c r="E133" s="9" t="str">
        <f>IF(F133="","",_xlfn.XLOOKUP(F133,purchase!D:D,purchase!B:B,""))</f>
        <v/>
      </c>
      <c r="F133" s="2"/>
      <c r="G133" s="4" t="str">
        <f t="shared" ref="G133:G196" si="15">IF(H133="NRFC","Natural Rubber Field Coagulam","")</f>
        <v/>
      </c>
      <c r="H133" s="4" t="str">
        <f>IF(F133="","",_xlfn.XLOOKUP(F133,purchase!D:D,purchase!#REF!,""))</f>
        <v/>
      </c>
      <c r="I133" s="4" t="str">
        <f t="shared" ref="I133:I196" si="16">IF(J133="ISNR20","Natural Rubber-TSNR (ISNR-20)","")</f>
        <v/>
      </c>
      <c r="J133" s="4" t="str">
        <f t="shared" ref="J133:J196" si="17">IF(H133="NRFC","ISNR20","")</f>
        <v/>
      </c>
      <c r="K133" s="13" t="str">
        <f>_xlfn.SINGLE(IF(F133="","",_xlfn.XLOOKUP(F133,purchase!D:D,purchase!#REF!,"")))</f>
        <v/>
      </c>
      <c r="L133" s="2"/>
      <c r="M133" s="32"/>
      <c r="N133" s="13" t="str">
        <f>IF(F133="","",
MAX(0,
_xlfn.XLOOKUP(F133,purchase!D:D,purchase!#REF!,"")
-
SUMIFS(L:L,F:F,F133)))</f>
        <v/>
      </c>
      <c r="O133" s="13" t="str">
        <f t="shared" ref="O133:O196" si="18">IF(OR(L133="",M133=""),"",L133-M133)</f>
        <v/>
      </c>
      <c r="P133" s="35" t="str">
        <f>_xlfn.SINGLE(IF(F133="","",_xlfn.XLOOKUP(F133,purchase!D:D,purchase!K:K,"")))</f>
        <v/>
      </c>
      <c r="Q133" s="29" t="str">
        <f t="shared" ref="Q133:Q196" si="19">IF(OR(L133="",M133=""),"",M133/L133)</f>
        <v/>
      </c>
      <c r="R133" s="37" t="str">
        <f t="shared" ref="R133:R196" si="20">IF(OR(P133="",Q133=""),"",Q133-P133)</f>
        <v/>
      </c>
    </row>
    <row r="134" spans="1:18" x14ac:dyDescent="0.35">
      <c r="A134" s="8">
        <v>130</v>
      </c>
      <c r="B134" s="9" t="str">
        <f t="shared" si="14"/>
        <v/>
      </c>
      <c r="C134" s="10"/>
      <c r="D134" s="9" t="str">
        <f>IF(F134="","",_xlfn.XLOOKUP(F134,purchase!D:D,purchase!#REF!,""))</f>
        <v/>
      </c>
      <c r="E134" s="9" t="str">
        <f>IF(F134="","",_xlfn.XLOOKUP(F134,purchase!D:D,purchase!B:B,""))</f>
        <v/>
      </c>
      <c r="F134" s="2"/>
      <c r="G134" s="4" t="str">
        <f t="shared" si="15"/>
        <v/>
      </c>
      <c r="H134" s="4" t="str">
        <f>IF(F134="","",_xlfn.XLOOKUP(F134,purchase!D:D,purchase!#REF!,""))</f>
        <v/>
      </c>
      <c r="I134" s="4" t="str">
        <f t="shared" si="16"/>
        <v/>
      </c>
      <c r="J134" s="4" t="str">
        <f t="shared" si="17"/>
        <v/>
      </c>
      <c r="K134" s="13" t="str">
        <f>_xlfn.SINGLE(IF(F134="","",_xlfn.XLOOKUP(F134,purchase!D:D,purchase!#REF!,"")))</f>
        <v/>
      </c>
      <c r="L134" s="2"/>
      <c r="M134" s="32"/>
      <c r="N134" s="13" t="str">
        <f>IF(F134="","",
MAX(0,
_xlfn.XLOOKUP(F134,purchase!D:D,purchase!#REF!,"")
-
SUMIFS(L:L,F:F,F134)))</f>
        <v/>
      </c>
      <c r="O134" s="13" t="str">
        <f t="shared" si="18"/>
        <v/>
      </c>
      <c r="P134" s="35" t="str">
        <f>_xlfn.SINGLE(IF(F134="","",_xlfn.XLOOKUP(F134,purchase!D:D,purchase!K:K,"")))</f>
        <v/>
      </c>
      <c r="Q134" s="29" t="str">
        <f t="shared" si="19"/>
        <v/>
      </c>
      <c r="R134" s="37" t="str">
        <f t="shared" si="20"/>
        <v/>
      </c>
    </row>
    <row r="135" spans="1:18" x14ac:dyDescent="0.35">
      <c r="A135" s="8">
        <v>131</v>
      </c>
      <c r="B135" s="9" t="str">
        <f t="shared" si="14"/>
        <v/>
      </c>
      <c r="C135" s="10"/>
      <c r="D135" s="9" t="str">
        <f>IF(F135="","",_xlfn.XLOOKUP(F135,purchase!D:D,purchase!#REF!,""))</f>
        <v/>
      </c>
      <c r="E135" s="9" t="str">
        <f>IF(F135="","",_xlfn.XLOOKUP(F135,purchase!D:D,purchase!B:B,""))</f>
        <v/>
      </c>
      <c r="F135" s="2"/>
      <c r="G135" s="4" t="str">
        <f t="shared" si="15"/>
        <v/>
      </c>
      <c r="H135" s="4" t="str">
        <f>IF(F135="","",_xlfn.XLOOKUP(F135,purchase!D:D,purchase!#REF!,""))</f>
        <v/>
      </c>
      <c r="I135" s="4" t="str">
        <f t="shared" si="16"/>
        <v/>
      </c>
      <c r="J135" s="4" t="str">
        <f t="shared" si="17"/>
        <v/>
      </c>
      <c r="K135" s="13" t="str">
        <f>_xlfn.SINGLE(IF(F135="","",_xlfn.XLOOKUP(F135,purchase!D:D,purchase!#REF!,"")))</f>
        <v/>
      </c>
      <c r="L135" s="2"/>
      <c r="M135" s="32"/>
      <c r="N135" s="13" t="str">
        <f>IF(F135="","",
MAX(0,
_xlfn.XLOOKUP(F135,purchase!D:D,purchase!#REF!,"")
-
SUMIFS(L:L,F:F,F135)))</f>
        <v/>
      </c>
      <c r="O135" s="13" t="str">
        <f t="shared" si="18"/>
        <v/>
      </c>
      <c r="P135" s="35" t="str">
        <f>_xlfn.SINGLE(IF(F135="","",_xlfn.XLOOKUP(F135,purchase!D:D,purchase!K:K,"")))</f>
        <v/>
      </c>
      <c r="Q135" s="29" t="str">
        <f t="shared" si="19"/>
        <v/>
      </c>
      <c r="R135" s="37" t="str">
        <f t="shared" si="20"/>
        <v/>
      </c>
    </row>
    <row r="136" spans="1:18" x14ac:dyDescent="0.35">
      <c r="A136" s="8">
        <v>132</v>
      </c>
      <c r="B136" s="9" t="str">
        <f t="shared" si="14"/>
        <v/>
      </c>
      <c r="C136" s="10"/>
      <c r="D136" s="9" t="str">
        <f>IF(F136="","",_xlfn.XLOOKUP(F136,purchase!D:D,purchase!#REF!,""))</f>
        <v/>
      </c>
      <c r="E136" s="9" t="str">
        <f>IF(F136="","",_xlfn.XLOOKUP(F136,purchase!D:D,purchase!B:B,""))</f>
        <v/>
      </c>
      <c r="F136" s="2"/>
      <c r="G136" s="4" t="str">
        <f t="shared" si="15"/>
        <v/>
      </c>
      <c r="H136" s="4" t="str">
        <f>IF(F136="","",_xlfn.XLOOKUP(F136,purchase!D:D,purchase!#REF!,""))</f>
        <v/>
      </c>
      <c r="I136" s="4" t="str">
        <f t="shared" si="16"/>
        <v/>
      </c>
      <c r="J136" s="4" t="str">
        <f t="shared" si="17"/>
        <v/>
      </c>
      <c r="K136" s="13" t="str">
        <f>_xlfn.SINGLE(IF(F136="","",_xlfn.XLOOKUP(F136,purchase!D:D,purchase!#REF!,"")))</f>
        <v/>
      </c>
      <c r="L136" s="2"/>
      <c r="M136" s="32"/>
      <c r="N136" s="13" t="str">
        <f>IF(F136="","",
MAX(0,
_xlfn.XLOOKUP(F136,purchase!D:D,purchase!#REF!,"")
-
SUMIFS(L:L,F:F,F136)))</f>
        <v/>
      </c>
      <c r="O136" s="13" t="str">
        <f t="shared" si="18"/>
        <v/>
      </c>
      <c r="P136" s="35" t="str">
        <f>_xlfn.SINGLE(IF(F136="","",_xlfn.XLOOKUP(F136,purchase!D:D,purchase!K:K,"")))</f>
        <v/>
      </c>
      <c r="Q136" s="29" t="str">
        <f t="shared" si="19"/>
        <v/>
      </c>
      <c r="R136" s="37" t="str">
        <f t="shared" si="20"/>
        <v/>
      </c>
    </row>
    <row r="137" spans="1:18" x14ac:dyDescent="0.35">
      <c r="A137" s="8">
        <v>133</v>
      </c>
      <c r="B137" s="9" t="str">
        <f t="shared" si="14"/>
        <v/>
      </c>
      <c r="C137" s="10"/>
      <c r="D137" s="9" t="str">
        <f>IF(F137="","",_xlfn.XLOOKUP(F137,purchase!D:D,purchase!#REF!,""))</f>
        <v/>
      </c>
      <c r="E137" s="9" t="str">
        <f>IF(F137="","",_xlfn.XLOOKUP(F137,purchase!D:D,purchase!B:B,""))</f>
        <v/>
      </c>
      <c r="F137" s="2"/>
      <c r="G137" s="4" t="str">
        <f t="shared" si="15"/>
        <v/>
      </c>
      <c r="H137" s="4" t="str">
        <f>IF(F137="","",_xlfn.XLOOKUP(F137,purchase!D:D,purchase!#REF!,""))</f>
        <v/>
      </c>
      <c r="I137" s="4" t="str">
        <f t="shared" si="16"/>
        <v/>
      </c>
      <c r="J137" s="4" t="str">
        <f t="shared" si="17"/>
        <v/>
      </c>
      <c r="K137" s="13" t="str">
        <f>_xlfn.SINGLE(IF(F137="","",_xlfn.XLOOKUP(F137,purchase!D:D,purchase!#REF!,"")))</f>
        <v/>
      </c>
      <c r="L137" s="2"/>
      <c r="M137" s="32"/>
      <c r="N137" s="13" t="str">
        <f>IF(F137="","",
MAX(0,
_xlfn.XLOOKUP(F137,purchase!D:D,purchase!#REF!,"")
-
SUMIFS(L:L,F:F,F137)))</f>
        <v/>
      </c>
      <c r="O137" s="13" t="str">
        <f t="shared" si="18"/>
        <v/>
      </c>
      <c r="P137" s="35" t="str">
        <f>_xlfn.SINGLE(IF(F137="","",_xlfn.XLOOKUP(F137,purchase!D:D,purchase!K:K,"")))</f>
        <v/>
      </c>
      <c r="Q137" s="29" t="str">
        <f t="shared" si="19"/>
        <v/>
      </c>
      <c r="R137" s="37" t="str">
        <f t="shared" si="20"/>
        <v/>
      </c>
    </row>
    <row r="138" spans="1:18" x14ac:dyDescent="0.35">
      <c r="A138" s="8">
        <v>134</v>
      </c>
      <c r="B138" s="9" t="str">
        <f t="shared" si="14"/>
        <v/>
      </c>
      <c r="C138" s="10"/>
      <c r="D138" s="9" t="str">
        <f>IF(F138="","",_xlfn.XLOOKUP(F138,purchase!D:D,purchase!#REF!,""))</f>
        <v/>
      </c>
      <c r="E138" s="9" t="str">
        <f>IF(F138="","",_xlfn.XLOOKUP(F138,purchase!D:D,purchase!B:B,""))</f>
        <v/>
      </c>
      <c r="F138" s="2"/>
      <c r="G138" s="4" t="str">
        <f t="shared" si="15"/>
        <v/>
      </c>
      <c r="H138" s="4" t="str">
        <f>IF(F138="","",_xlfn.XLOOKUP(F138,purchase!D:D,purchase!#REF!,""))</f>
        <v/>
      </c>
      <c r="I138" s="4" t="str">
        <f t="shared" si="16"/>
        <v/>
      </c>
      <c r="J138" s="4" t="str">
        <f t="shared" si="17"/>
        <v/>
      </c>
      <c r="K138" s="13" t="str">
        <f>_xlfn.SINGLE(IF(F138="","",_xlfn.XLOOKUP(F138,purchase!D:D,purchase!#REF!,"")))</f>
        <v/>
      </c>
      <c r="L138" s="2"/>
      <c r="M138" s="32"/>
      <c r="N138" s="13" t="str">
        <f>IF(F138="","",
MAX(0,
_xlfn.XLOOKUP(F138,purchase!D:D,purchase!#REF!,"")
-
SUMIFS(L:L,F:F,F138)))</f>
        <v/>
      </c>
      <c r="O138" s="13" t="str">
        <f t="shared" si="18"/>
        <v/>
      </c>
      <c r="P138" s="35" t="str">
        <f>_xlfn.SINGLE(IF(F138="","",_xlfn.XLOOKUP(F138,purchase!D:D,purchase!K:K,"")))</f>
        <v/>
      </c>
      <c r="Q138" s="29" t="str">
        <f t="shared" si="19"/>
        <v/>
      </c>
      <c r="R138" s="37" t="str">
        <f t="shared" si="20"/>
        <v/>
      </c>
    </row>
    <row r="139" spans="1:18" x14ac:dyDescent="0.35">
      <c r="A139" s="8">
        <v>135</v>
      </c>
      <c r="B139" s="9" t="str">
        <f t="shared" si="14"/>
        <v/>
      </c>
      <c r="C139" s="10"/>
      <c r="D139" s="9" t="str">
        <f>IF(F139="","",_xlfn.XLOOKUP(F139,purchase!D:D,purchase!#REF!,""))</f>
        <v/>
      </c>
      <c r="E139" s="9" t="str">
        <f>IF(F139="","",_xlfn.XLOOKUP(F139,purchase!D:D,purchase!B:B,""))</f>
        <v/>
      </c>
      <c r="F139" s="2"/>
      <c r="G139" s="4" t="str">
        <f t="shared" si="15"/>
        <v/>
      </c>
      <c r="H139" s="4" t="str">
        <f>IF(F139="","",_xlfn.XLOOKUP(F139,purchase!D:D,purchase!#REF!,""))</f>
        <v/>
      </c>
      <c r="I139" s="4" t="str">
        <f t="shared" si="16"/>
        <v/>
      </c>
      <c r="J139" s="4" t="str">
        <f t="shared" si="17"/>
        <v/>
      </c>
      <c r="K139" s="13" t="str">
        <f>_xlfn.SINGLE(IF(F139="","",_xlfn.XLOOKUP(F139,purchase!D:D,purchase!#REF!,"")))</f>
        <v/>
      </c>
      <c r="L139" s="2"/>
      <c r="M139" s="32"/>
      <c r="N139" s="13" t="str">
        <f>IF(F139="","",
MAX(0,
_xlfn.XLOOKUP(F139,purchase!D:D,purchase!#REF!,"")
-
SUMIFS(L:L,F:F,F139)))</f>
        <v/>
      </c>
      <c r="O139" s="13" t="str">
        <f t="shared" si="18"/>
        <v/>
      </c>
      <c r="P139" s="35" t="str">
        <f>_xlfn.SINGLE(IF(F139="","",_xlfn.XLOOKUP(F139,purchase!D:D,purchase!K:K,"")))</f>
        <v/>
      </c>
      <c r="Q139" s="29" t="str">
        <f t="shared" si="19"/>
        <v/>
      </c>
      <c r="R139" s="37" t="str">
        <f t="shared" si="20"/>
        <v/>
      </c>
    </row>
    <row r="140" spans="1:18" x14ac:dyDescent="0.35">
      <c r="A140" s="8">
        <v>136</v>
      </c>
      <c r="B140" s="9" t="str">
        <f t="shared" si="14"/>
        <v/>
      </c>
      <c r="C140" s="10"/>
      <c r="D140" s="9" t="str">
        <f>IF(F140="","",_xlfn.XLOOKUP(F140,purchase!D:D,purchase!#REF!,""))</f>
        <v/>
      </c>
      <c r="E140" s="9" t="str">
        <f>IF(F140="","",_xlfn.XLOOKUP(F140,purchase!D:D,purchase!B:B,""))</f>
        <v/>
      </c>
      <c r="F140" s="2"/>
      <c r="G140" s="4" t="str">
        <f t="shared" si="15"/>
        <v/>
      </c>
      <c r="H140" s="4" t="str">
        <f>IF(F140="","",_xlfn.XLOOKUP(F140,purchase!D:D,purchase!#REF!,""))</f>
        <v/>
      </c>
      <c r="I140" s="4" t="str">
        <f t="shared" si="16"/>
        <v/>
      </c>
      <c r="J140" s="4" t="str">
        <f t="shared" si="17"/>
        <v/>
      </c>
      <c r="K140" s="13" t="str">
        <f>_xlfn.SINGLE(IF(F140="","",_xlfn.XLOOKUP(F140,purchase!D:D,purchase!#REF!,"")))</f>
        <v/>
      </c>
      <c r="L140" s="2"/>
      <c r="M140" s="32"/>
      <c r="N140" s="13" t="str">
        <f>IF(F140="","",
MAX(0,
_xlfn.XLOOKUP(F140,purchase!D:D,purchase!#REF!,"")
-
SUMIFS(L:L,F:F,F140)))</f>
        <v/>
      </c>
      <c r="O140" s="13" t="str">
        <f t="shared" si="18"/>
        <v/>
      </c>
      <c r="P140" s="35" t="str">
        <f>_xlfn.SINGLE(IF(F140="","",_xlfn.XLOOKUP(F140,purchase!D:D,purchase!K:K,"")))</f>
        <v/>
      </c>
      <c r="Q140" s="29" t="str">
        <f t="shared" si="19"/>
        <v/>
      </c>
      <c r="R140" s="37" t="str">
        <f t="shared" si="20"/>
        <v/>
      </c>
    </row>
    <row r="141" spans="1:18" x14ac:dyDescent="0.35">
      <c r="A141" s="8">
        <v>137</v>
      </c>
      <c r="B141" s="9" t="str">
        <f t="shared" si="14"/>
        <v/>
      </c>
      <c r="C141" s="10"/>
      <c r="D141" s="9" t="str">
        <f>IF(F141="","",_xlfn.XLOOKUP(F141,purchase!D:D,purchase!#REF!,""))</f>
        <v/>
      </c>
      <c r="E141" s="9" t="str">
        <f>IF(F141="","",_xlfn.XLOOKUP(F141,purchase!D:D,purchase!B:B,""))</f>
        <v/>
      </c>
      <c r="F141" s="2"/>
      <c r="G141" s="4" t="str">
        <f t="shared" si="15"/>
        <v/>
      </c>
      <c r="H141" s="4" t="str">
        <f>IF(F141="","",_xlfn.XLOOKUP(F141,purchase!D:D,purchase!#REF!,""))</f>
        <v/>
      </c>
      <c r="I141" s="4" t="str">
        <f t="shared" si="16"/>
        <v/>
      </c>
      <c r="J141" s="4" t="str">
        <f t="shared" si="17"/>
        <v/>
      </c>
      <c r="K141" s="13" t="str">
        <f>_xlfn.SINGLE(IF(F141="","",_xlfn.XLOOKUP(F141,purchase!D:D,purchase!#REF!,"")))</f>
        <v/>
      </c>
      <c r="L141" s="2"/>
      <c r="M141" s="32"/>
      <c r="N141" s="13" t="str">
        <f>IF(F141="","",
MAX(0,
_xlfn.XLOOKUP(F141,purchase!D:D,purchase!#REF!,"")
-
SUMIFS(L:L,F:F,F141)))</f>
        <v/>
      </c>
      <c r="O141" s="13" t="str">
        <f t="shared" si="18"/>
        <v/>
      </c>
      <c r="P141" s="35" t="str">
        <f>_xlfn.SINGLE(IF(F141="","",_xlfn.XLOOKUP(F141,purchase!D:D,purchase!K:K,"")))</f>
        <v/>
      </c>
      <c r="Q141" s="29" t="str">
        <f t="shared" si="19"/>
        <v/>
      </c>
      <c r="R141" s="37" t="str">
        <f t="shared" si="20"/>
        <v/>
      </c>
    </row>
    <row r="142" spans="1:18" x14ac:dyDescent="0.35">
      <c r="A142" s="8">
        <v>138</v>
      </c>
      <c r="B142" s="9" t="str">
        <f t="shared" si="14"/>
        <v/>
      </c>
      <c r="C142" s="10"/>
      <c r="D142" s="9" t="str">
        <f>IF(F142="","",_xlfn.XLOOKUP(F142,purchase!D:D,purchase!#REF!,""))</f>
        <v/>
      </c>
      <c r="E142" s="9" t="str">
        <f>IF(F142="","",_xlfn.XLOOKUP(F142,purchase!D:D,purchase!B:B,""))</f>
        <v/>
      </c>
      <c r="F142" s="2"/>
      <c r="G142" s="4" t="str">
        <f t="shared" si="15"/>
        <v/>
      </c>
      <c r="H142" s="4" t="str">
        <f>IF(F142="","",_xlfn.XLOOKUP(F142,purchase!D:D,purchase!#REF!,""))</f>
        <v/>
      </c>
      <c r="I142" s="4" t="str">
        <f t="shared" si="16"/>
        <v/>
      </c>
      <c r="J142" s="4" t="str">
        <f t="shared" si="17"/>
        <v/>
      </c>
      <c r="K142" s="13" t="str">
        <f>_xlfn.SINGLE(IF(F142="","",_xlfn.XLOOKUP(F142,purchase!D:D,purchase!#REF!,"")))</f>
        <v/>
      </c>
      <c r="L142" s="2"/>
      <c r="M142" s="32"/>
      <c r="N142" s="13" t="str">
        <f>IF(F142="","",
MAX(0,
_xlfn.XLOOKUP(F142,purchase!D:D,purchase!#REF!,"")
-
SUMIFS(L:L,F:F,F142)))</f>
        <v/>
      </c>
      <c r="O142" s="13" t="str">
        <f t="shared" si="18"/>
        <v/>
      </c>
      <c r="P142" s="35" t="str">
        <f>_xlfn.SINGLE(IF(F142="","",_xlfn.XLOOKUP(F142,purchase!D:D,purchase!K:K,"")))</f>
        <v/>
      </c>
      <c r="Q142" s="29" t="str">
        <f t="shared" si="19"/>
        <v/>
      </c>
      <c r="R142" s="37" t="str">
        <f t="shared" si="20"/>
        <v/>
      </c>
    </row>
    <row r="143" spans="1:18" x14ac:dyDescent="0.35">
      <c r="A143" s="8">
        <v>139</v>
      </c>
      <c r="B143" s="9" t="str">
        <f t="shared" si="14"/>
        <v/>
      </c>
      <c r="C143" s="10"/>
      <c r="D143" s="9" t="str">
        <f>IF(F143="","",_xlfn.XLOOKUP(F143,purchase!D:D,purchase!#REF!,""))</f>
        <v/>
      </c>
      <c r="E143" s="9" t="str">
        <f>IF(F143="","",_xlfn.XLOOKUP(F143,purchase!D:D,purchase!B:B,""))</f>
        <v/>
      </c>
      <c r="F143" s="2"/>
      <c r="G143" s="4" t="str">
        <f t="shared" si="15"/>
        <v/>
      </c>
      <c r="H143" s="4" t="str">
        <f>IF(F143="","",_xlfn.XLOOKUP(F143,purchase!D:D,purchase!#REF!,""))</f>
        <v/>
      </c>
      <c r="I143" s="4" t="str">
        <f t="shared" si="16"/>
        <v/>
      </c>
      <c r="J143" s="4" t="str">
        <f t="shared" si="17"/>
        <v/>
      </c>
      <c r="K143" s="13" t="str">
        <f>_xlfn.SINGLE(IF(F143="","",_xlfn.XLOOKUP(F143,purchase!D:D,purchase!#REF!,"")))</f>
        <v/>
      </c>
      <c r="L143" s="2"/>
      <c r="M143" s="32"/>
      <c r="N143" s="13" t="str">
        <f>IF(F143="","",
MAX(0,
_xlfn.XLOOKUP(F143,purchase!D:D,purchase!#REF!,"")
-
SUMIFS(L:L,F:F,F143)))</f>
        <v/>
      </c>
      <c r="O143" s="13" t="str">
        <f t="shared" si="18"/>
        <v/>
      </c>
      <c r="P143" s="35" t="str">
        <f>_xlfn.SINGLE(IF(F143="","",_xlfn.XLOOKUP(F143,purchase!D:D,purchase!K:K,"")))</f>
        <v/>
      </c>
      <c r="Q143" s="29" t="str">
        <f t="shared" si="19"/>
        <v/>
      </c>
      <c r="R143" s="37" t="str">
        <f t="shared" si="20"/>
        <v/>
      </c>
    </row>
    <row r="144" spans="1:18" x14ac:dyDescent="0.35">
      <c r="A144" s="8">
        <v>140</v>
      </c>
      <c r="B144" s="9" t="str">
        <f t="shared" si="14"/>
        <v/>
      </c>
      <c r="C144" s="10"/>
      <c r="D144" s="9" t="str">
        <f>IF(F144="","",_xlfn.XLOOKUP(F144,purchase!D:D,purchase!#REF!,""))</f>
        <v/>
      </c>
      <c r="E144" s="9" t="str">
        <f>IF(F144="","",_xlfn.XLOOKUP(F144,purchase!D:D,purchase!B:B,""))</f>
        <v/>
      </c>
      <c r="F144" s="2"/>
      <c r="G144" s="4" t="str">
        <f t="shared" si="15"/>
        <v/>
      </c>
      <c r="H144" s="4" t="str">
        <f>IF(F144="","",_xlfn.XLOOKUP(F144,purchase!D:D,purchase!#REF!,""))</f>
        <v/>
      </c>
      <c r="I144" s="4" t="str">
        <f t="shared" si="16"/>
        <v/>
      </c>
      <c r="J144" s="4" t="str">
        <f t="shared" si="17"/>
        <v/>
      </c>
      <c r="K144" s="13" t="str">
        <f>_xlfn.SINGLE(IF(F144="","",_xlfn.XLOOKUP(F144,purchase!D:D,purchase!#REF!,"")))</f>
        <v/>
      </c>
      <c r="L144" s="2"/>
      <c r="M144" s="32"/>
      <c r="N144" s="13" t="str">
        <f>IF(F144="","",
MAX(0,
_xlfn.XLOOKUP(F144,purchase!D:D,purchase!#REF!,"")
-
SUMIFS(L:L,F:F,F144)))</f>
        <v/>
      </c>
      <c r="O144" s="13" t="str">
        <f t="shared" si="18"/>
        <v/>
      </c>
      <c r="P144" s="35" t="str">
        <f>_xlfn.SINGLE(IF(F144="","",_xlfn.XLOOKUP(F144,purchase!D:D,purchase!K:K,"")))</f>
        <v/>
      </c>
      <c r="Q144" s="29" t="str">
        <f t="shared" si="19"/>
        <v/>
      </c>
      <c r="R144" s="37" t="str">
        <f t="shared" si="20"/>
        <v/>
      </c>
    </row>
    <row r="145" spans="1:18" x14ac:dyDescent="0.35">
      <c r="A145" s="8">
        <v>141</v>
      </c>
      <c r="B145" s="9" t="str">
        <f t="shared" si="14"/>
        <v/>
      </c>
      <c r="C145" s="10"/>
      <c r="D145" s="9" t="str">
        <f>IF(F145="","",_xlfn.XLOOKUP(F145,purchase!D:D,purchase!#REF!,""))</f>
        <v/>
      </c>
      <c r="E145" s="9" t="str">
        <f>IF(F145="","",_xlfn.XLOOKUP(F145,purchase!D:D,purchase!B:B,""))</f>
        <v/>
      </c>
      <c r="F145" s="2"/>
      <c r="G145" s="4" t="str">
        <f t="shared" si="15"/>
        <v/>
      </c>
      <c r="H145" s="4" t="str">
        <f>IF(F145="","",_xlfn.XLOOKUP(F145,purchase!D:D,purchase!#REF!,""))</f>
        <v/>
      </c>
      <c r="I145" s="4" t="str">
        <f t="shared" si="16"/>
        <v/>
      </c>
      <c r="J145" s="4" t="str">
        <f t="shared" si="17"/>
        <v/>
      </c>
      <c r="K145" s="13" t="str">
        <f>_xlfn.SINGLE(IF(F145="","",_xlfn.XLOOKUP(F145,purchase!D:D,purchase!#REF!,"")))</f>
        <v/>
      </c>
      <c r="L145" s="2"/>
      <c r="M145" s="32"/>
      <c r="N145" s="13" t="str">
        <f>IF(F145="","",
MAX(0,
_xlfn.XLOOKUP(F145,purchase!D:D,purchase!#REF!,"")
-
SUMIFS(L:L,F:F,F145)))</f>
        <v/>
      </c>
      <c r="O145" s="13" t="str">
        <f t="shared" si="18"/>
        <v/>
      </c>
      <c r="P145" s="35" t="str">
        <f>_xlfn.SINGLE(IF(F145="","",_xlfn.XLOOKUP(F145,purchase!D:D,purchase!K:K,"")))</f>
        <v/>
      </c>
      <c r="Q145" s="29" t="str">
        <f t="shared" si="19"/>
        <v/>
      </c>
      <c r="R145" s="37" t="str">
        <f t="shared" si="20"/>
        <v/>
      </c>
    </row>
    <row r="146" spans="1:18" x14ac:dyDescent="0.35">
      <c r="A146" s="8">
        <v>142</v>
      </c>
      <c r="B146" s="9" t="str">
        <f t="shared" si="14"/>
        <v/>
      </c>
      <c r="C146" s="10"/>
      <c r="D146" s="9" t="str">
        <f>IF(F146="","",_xlfn.XLOOKUP(F146,purchase!D:D,purchase!#REF!,""))</f>
        <v/>
      </c>
      <c r="E146" s="9" t="str">
        <f>IF(F146="","",_xlfn.XLOOKUP(F146,purchase!D:D,purchase!B:B,""))</f>
        <v/>
      </c>
      <c r="F146" s="2"/>
      <c r="G146" s="4" t="str">
        <f t="shared" si="15"/>
        <v/>
      </c>
      <c r="H146" s="4" t="str">
        <f>IF(F146="","",_xlfn.XLOOKUP(F146,purchase!D:D,purchase!#REF!,""))</f>
        <v/>
      </c>
      <c r="I146" s="4" t="str">
        <f t="shared" si="16"/>
        <v/>
      </c>
      <c r="J146" s="4" t="str">
        <f t="shared" si="17"/>
        <v/>
      </c>
      <c r="K146" s="13" t="str">
        <f>_xlfn.SINGLE(IF(F146="","",_xlfn.XLOOKUP(F146,purchase!D:D,purchase!#REF!,"")))</f>
        <v/>
      </c>
      <c r="L146" s="2"/>
      <c r="M146" s="32"/>
      <c r="N146" s="13" t="str">
        <f>IF(F146="","",
MAX(0,
_xlfn.XLOOKUP(F146,purchase!D:D,purchase!#REF!,"")
-
SUMIFS(L:L,F:F,F146)))</f>
        <v/>
      </c>
      <c r="O146" s="13" t="str">
        <f t="shared" si="18"/>
        <v/>
      </c>
      <c r="P146" s="35" t="str">
        <f>_xlfn.SINGLE(IF(F146="","",_xlfn.XLOOKUP(F146,purchase!D:D,purchase!K:K,"")))</f>
        <v/>
      </c>
      <c r="Q146" s="29" t="str">
        <f t="shared" si="19"/>
        <v/>
      </c>
      <c r="R146" s="37" t="str">
        <f t="shared" si="20"/>
        <v/>
      </c>
    </row>
    <row r="147" spans="1:18" x14ac:dyDescent="0.35">
      <c r="A147" s="8">
        <v>143</v>
      </c>
      <c r="B147" s="9" t="str">
        <f t="shared" si="14"/>
        <v/>
      </c>
      <c r="C147" s="10"/>
      <c r="D147" s="9" t="str">
        <f>IF(F147="","",_xlfn.XLOOKUP(F147,purchase!D:D,purchase!#REF!,""))</f>
        <v/>
      </c>
      <c r="E147" s="9" t="str">
        <f>IF(F147="","",_xlfn.XLOOKUP(F147,purchase!D:D,purchase!B:B,""))</f>
        <v/>
      </c>
      <c r="F147" s="2"/>
      <c r="G147" s="4" t="str">
        <f t="shared" si="15"/>
        <v/>
      </c>
      <c r="H147" s="4" t="str">
        <f>IF(F147="","",_xlfn.XLOOKUP(F147,purchase!D:D,purchase!#REF!,""))</f>
        <v/>
      </c>
      <c r="I147" s="4" t="str">
        <f t="shared" si="16"/>
        <v/>
      </c>
      <c r="J147" s="4" t="str">
        <f t="shared" si="17"/>
        <v/>
      </c>
      <c r="K147" s="13" t="str">
        <f>_xlfn.SINGLE(IF(F147="","",_xlfn.XLOOKUP(F147,purchase!D:D,purchase!#REF!,"")))</f>
        <v/>
      </c>
      <c r="L147" s="2"/>
      <c r="M147" s="32"/>
      <c r="N147" s="13" t="str">
        <f>IF(F147="","",
MAX(0,
_xlfn.XLOOKUP(F147,purchase!D:D,purchase!#REF!,"")
-
SUMIFS(L:L,F:F,F147)))</f>
        <v/>
      </c>
      <c r="O147" s="13" t="str">
        <f t="shared" si="18"/>
        <v/>
      </c>
      <c r="P147" s="35" t="str">
        <f>_xlfn.SINGLE(IF(F147="","",_xlfn.XLOOKUP(F147,purchase!D:D,purchase!K:K,"")))</f>
        <v/>
      </c>
      <c r="Q147" s="29" t="str">
        <f t="shared" si="19"/>
        <v/>
      </c>
      <c r="R147" s="37" t="str">
        <f t="shared" si="20"/>
        <v/>
      </c>
    </row>
    <row r="148" spans="1:18" x14ac:dyDescent="0.35">
      <c r="A148" s="8">
        <v>144</v>
      </c>
      <c r="B148" s="9" t="str">
        <f t="shared" si="14"/>
        <v/>
      </c>
      <c r="C148" s="10"/>
      <c r="D148" s="9" t="str">
        <f>IF(F148="","",_xlfn.XLOOKUP(F148,purchase!D:D,purchase!#REF!,""))</f>
        <v/>
      </c>
      <c r="E148" s="9" t="str">
        <f>IF(F148="","",_xlfn.XLOOKUP(F148,purchase!D:D,purchase!B:B,""))</f>
        <v/>
      </c>
      <c r="F148" s="2"/>
      <c r="G148" s="4" t="str">
        <f t="shared" si="15"/>
        <v/>
      </c>
      <c r="H148" s="4" t="str">
        <f>IF(F148="","",_xlfn.XLOOKUP(F148,purchase!D:D,purchase!#REF!,""))</f>
        <v/>
      </c>
      <c r="I148" s="4" t="str">
        <f t="shared" si="16"/>
        <v/>
      </c>
      <c r="J148" s="4" t="str">
        <f t="shared" si="17"/>
        <v/>
      </c>
      <c r="K148" s="13" t="str">
        <f>_xlfn.SINGLE(IF(F148="","",_xlfn.XLOOKUP(F148,purchase!D:D,purchase!#REF!,"")))</f>
        <v/>
      </c>
      <c r="L148" s="2"/>
      <c r="M148" s="32"/>
      <c r="N148" s="13" t="str">
        <f>IF(F148="","",
MAX(0,
_xlfn.XLOOKUP(F148,purchase!D:D,purchase!#REF!,"")
-
SUMIFS(L:L,F:F,F148)))</f>
        <v/>
      </c>
      <c r="O148" s="13" t="str">
        <f t="shared" si="18"/>
        <v/>
      </c>
      <c r="P148" s="35" t="str">
        <f>_xlfn.SINGLE(IF(F148="","",_xlfn.XLOOKUP(F148,purchase!D:D,purchase!K:K,"")))</f>
        <v/>
      </c>
      <c r="Q148" s="29" t="str">
        <f t="shared" si="19"/>
        <v/>
      </c>
      <c r="R148" s="37" t="str">
        <f t="shared" si="20"/>
        <v/>
      </c>
    </row>
    <row r="149" spans="1:18" x14ac:dyDescent="0.35">
      <c r="A149" s="8">
        <v>145</v>
      </c>
      <c r="B149" s="9" t="str">
        <f t="shared" si="14"/>
        <v/>
      </c>
      <c r="C149" s="10"/>
      <c r="D149" s="9" t="str">
        <f>IF(F149="","",_xlfn.XLOOKUP(F149,purchase!D:D,purchase!#REF!,""))</f>
        <v/>
      </c>
      <c r="E149" s="9" t="str">
        <f>IF(F149="","",_xlfn.XLOOKUP(F149,purchase!D:D,purchase!B:B,""))</f>
        <v/>
      </c>
      <c r="F149" s="2"/>
      <c r="G149" s="4" t="str">
        <f t="shared" si="15"/>
        <v/>
      </c>
      <c r="H149" s="4" t="str">
        <f>IF(F149="","",_xlfn.XLOOKUP(F149,purchase!D:D,purchase!#REF!,""))</f>
        <v/>
      </c>
      <c r="I149" s="4" t="str">
        <f t="shared" si="16"/>
        <v/>
      </c>
      <c r="J149" s="4" t="str">
        <f t="shared" si="17"/>
        <v/>
      </c>
      <c r="K149" s="13" t="str">
        <f>_xlfn.SINGLE(IF(F149="","",_xlfn.XLOOKUP(F149,purchase!D:D,purchase!#REF!,"")))</f>
        <v/>
      </c>
      <c r="L149" s="2"/>
      <c r="M149" s="32"/>
      <c r="N149" s="13" t="str">
        <f>IF(F149="","",
MAX(0,
_xlfn.XLOOKUP(F149,purchase!D:D,purchase!#REF!,"")
-
SUMIFS(L:L,F:F,F149)))</f>
        <v/>
      </c>
      <c r="O149" s="13" t="str">
        <f t="shared" si="18"/>
        <v/>
      </c>
      <c r="P149" s="35" t="str">
        <f>_xlfn.SINGLE(IF(F149="","",_xlfn.XLOOKUP(F149,purchase!D:D,purchase!K:K,"")))</f>
        <v/>
      </c>
      <c r="Q149" s="29" t="str">
        <f t="shared" si="19"/>
        <v/>
      </c>
      <c r="R149" s="37" t="str">
        <f t="shared" si="20"/>
        <v/>
      </c>
    </row>
    <row r="150" spans="1:18" x14ac:dyDescent="0.35">
      <c r="A150" s="8">
        <v>146</v>
      </c>
      <c r="B150" s="9" t="str">
        <f t="shared" si="14"/>
        <v/>
      </c>
      <c r="C150" s="10"/>
      <c r="D150" s="9" t="str">
        <f>IF(F150="","",_xlfn.XLOOKUP(F150,purchase!D:D,purchase!#REF!,""))</f>
        <v/>
      </c>
      <c r="E150" s="9" t="str">
        <f>IF(F150="","",_xlfn.XLOOKUP(F150,purchase!D:D,purchase!B:B,""))</f>
        <v/>
      </c>
      <c r="F150" s="2"/>
      <c r="G150" s="4" t="str">
        <f t="shared" si="15"/>
        <v/>
      </c>
      <c r="H150" s="4" t="str">
        <f>IF(F150="","",_xlfn.XLOOKUP(F150,purchase!D:D,purchase!#REF!,""))</f>
        <v/>
      </c>
      <c r="I150" s="4" t="str">
        <f t="shared" si="16"/>
        <v/>
      </c>
      <c r="J150" s="4" t="str">
        <f t="shared" si="17"/>
        <v/>
      </c>
      <c r="K150" s="13" t="str">
        <f>_xlfn.SINGLE(IF(F150="","",_xlfn.XLOOKUP(F150,purchase!D:D,purchase!#REF!,"")))</f>
        <v/>
      </c>
      <c r="L150" s="2"/>
      <c r="M150" s="32"/>
      <c r="N150" s="13" t="str">
        <f>IF(F150="","",
MAX(0,
_xlfn.XLOOKUP(F150,purchase!D:D,purchase!#REF!,"")
-
SUMIFS(L:L,F:F,F150)))</f>
        <v/>
      </c>
      <c r="O150" s="13" t="str">
        <f t="shared" si="18"/>
        <v/>
      </c>
      <c r="P150" s="35" t="str">
        <f>_xlfn.SINGLE(IF(F150="","",_xlfn.XLOOKUP(F150,purchase!D:D,purchase!K:K,"")))</f>
        <v/>
      </c>
      <c r="Q150" s="29" t="str">
        <f t="shared" si="19"/>
        <v/>
      </c>
      <c r="R150" s="37" t="str">
        <f t="shared" si="20"/>
        <v/>
      </c>
    </row>
    <row r="151" spans="1:18" x14ac:dyDescent="0.35">
      <c r="A151" s="8">
        <v>147</v>
      </c>
      <c r="B151" s="9" t="str">
        <f t="shared" si="14"/>
        <v/>
      </c>
      <c r="C151" s="10"/>
      <c r="D151" s="9" t="str">
        <f>IF(F151="","",_xlfn.XLOOKUP(F151,purchase!D:D,purchase!#REF!,""))</f>
        <v/>
      </c>
      <c r="E151" s="9" t="str">
        <f>IF(F151="","",_xlfn.XLOOKUP(F151,purchase!D:D,purchase!B:B,""))</f>
        <v/>
      </c>
      <c r="F151" s="2"/>
      <c r="G151" s="4" t="str">
        <f t="shared" si="15"/>
        <v/>
      </c>
      <c r="H151" s="4" t="str">
        <f>IF(F151="","",_xlfn.XLOOKUP(F151,purchase!D:D,purchase!#REF!,""))</f>
        <v/>
      </c>
      <c r="I151" s="4" t="str">
        <f t="shared" si="16"/>
        <v/>
      </c>
      <c r="J151" s="4" t="str">
        <f t="shared" si="17"/>
        <v/>
      </c>
      <c r="K151" s="13" t="str">
        <f>_xlfn.SINGLE(IF(F151="","",_xlfn.XLOOKUP(F151,purchase!D:D,purchase!#REF!,"")))</f>
        <v/>
      </c>
      <c r="L151" s="2"/>
      <c r="M151" s="32"/>
      <c r="N151" s="13" t="str">
        <f>IF(F151="","",
MAX(0,
_xlfn.XLOOKUP(F151,purchase!D:D,purchase!#REF!,"")
-
SUMIFS(L:L,F:F,F151)))</f>
        <v/>
      </c>
      <c r="O151" s="13" t="str">
        <f t="shared" si="18"/>
        <v/>
      </c>
      <c r="P151" s="35" t="str">
        <f>_xlfn.SINGLE(IF(F151="","",_xlfn.XLOOKUP(F151,purchase!D:D,purchase!K:K,"")))</f>
        <v/>
      </c>
      <c r="Q151" s="29" t="str">
        <f t="shared" si="19"/>
        <v/>
      </c>
      <c r="R151" s="37" t="str">
        <f t="shared" si="20"/>
        <v/>
      </c>
    </row>
    <row r="152" spans="1:18" x14ac:dyDescent="0.35">
      <c r="A152" s="8">
        <v>148</v>
      </c>
      <c r="B152" s="9" t="str">
        <f t="shared" si="14"/>
        <v/>
      </c>
      <c r="C152" s="10"/>
      <c r="D152" s="9" t="str">
        <f>IF(F152="","",_xlfn.XLOOKUP(F152,purchase!D:D,purchase!#REF!,""))</f>
        <v/>
      </c>
      <c r="E152" s="9" t="str">
        <f>IF(F152="","",_xlfn.XLOOKUP(F152,purchase!D:D,purchase!B:B,""))</f>
        <v/>
      </c>
      <c r="F152" s="2"/>
      <c r="G152" s="4" t="str">
        <f t="shared" si="15"/>
        <v/>
      </c>
      <c r="H152" s="4" t="str">
        <f>IF(F152="","",_xlfn.XLOOKUP(F152,purchase!D:D,purchase!#REF!,""))</f>
        <v/>
      </c>
      <c r="I152" s="4" t="str">
        <f t="shared" si="16"/>
        <v/>
      </c>
      <c r="J152" s="4" t="str">
        <f t="shared" si="17"/>
        <v/>
      </c>
      <c r="K152" s="13" t="str">
        <f>_xlfn.SINGLE(IF(F152="","",_xlfn.XLOOKUP(F152,purchase!D:D,purchase!#REF!,"")))</f>
        <v/>
      </c>
      <c r="L152" s="2"/>
      <c r="M152" s="32"/>
      <c r="N152" s="13" t="str">
        <f>IF(F152="","",
MAX(0,
_xlfn.XLOOKUP(F152,purchase!D:D,purchase!#REF!,"")
-
SUMIFS(L:L,F:F,F152)))</f>
        <v/>
      </c>
      <c r="O152" s="13" t="str">
        <f t="shared" si="18"/>
        <v/>
      </c>
      <c r="P152" s="35" t="str">
        <f>_xlfn.SINGLE(IF(F152="","",_xlfn.XLOOKUP(F152,purchase!D:D,purchase!K:K,"")))</f>
        <v/>
      </c>
      <c r="Q152" s="29" t="str">
        <f t="shared" si="19"/>
        <v/>
      </c>
      <c r="R152" s="37" t="str">
        <f t="shared" si="20"/>
        <v/>
      </c>
    </row>
    <row r="153" spans="1:18" x14ac:dyDescent="0.35">
      <c r="A153" s="8">
        <v>149</v>
      </c>
      <c r="B153" s="9" t="str">
        <f t="shared" si="14"/>
        <v/>
      </c>
      <c r="C153" s="10"/>
      <c r="D153" s="9" t="str">
        <f>IF(F153="","",_xlfn.XLOOKUP(F153,purchase!D:D,purchase!#REF!,""))</f>
        <v/>
      </c>
      <c r="E153" s="9" t="str">
        <f>IF(F153="","",_xlfn.XLOOKUP(F153,purchase!D:D,purchase!B:B,""))</f>
        <v/>
      </c>
      <c r="F153" s="2"/>
      <c r="G153" s="4" t="str">
        <f t="shared" si="15"/>
        <v/>
      </c>
      <c r="H153" s="4" t="str">
        <f>IF(F153="","",_xlfn.XLOOKUP(F153,purchase!D:D,purchase!#REF!,""))</f>
        <v/>
      </c>
      <c r="I153" s="4" t="str">
        <f t="shared" si="16"/>
        <v/>
      </c>
      <c r="J153" s="4" t="str">
        <f t="shared" si="17"/>
        <v/>
      </c>
      <c r="K153" s="13" t="str">
        <f>_xlfn.SINGLE(IF(F153="","",_xlfn.XLOOKUP(F153,purchase!D:D,purchase!#REF!,"")))</f>
        <v/>
      </c>
      <c r="L153" s="2"/>
      <c r="M153" s="32"/>
      <c r="N153" s="13" t="str">
        <f>IF(F153="","",
MAX(0,
_xlfn.XLOOKUP(F153,purchase!D:D,purchase!#REF!,"")
-
SUMIFS(L:L,F:F,F153)))</f>
        <v/>
      </c>
      <c r="O153" s="13" t="str">
        <f t="shared" si="18"/>
        <v/>
      </c>
      <c r="P153" s="35" t="str">
        <f>_xlfn.SINGLE(IF(F153="","",_xlfn.XLOOKUP(F153,purchase!D:D,purchase!K:K,"")))</f>
        <v/>
      </c>
      <c r="Q153" s="29" t="str">
        <f t="shared" si="19"/>
        <v/>
      </c>
      <c r="R153" s="37" t="str">
        <f t="shared" si="20"/>
        <v/>
      </c>
    </row>
    <row r="154" spans="1:18" x14ac:dyDescent="0.35">
      <c r="A154" s="8">
        <v>150</v>
      </c>
      <c r="B154" s="9" t="str">
        <f t="shared" si="14"/>
        <v/>
      </c>
      <c r="C154" s="10"/>
      <c r="D154" s="9" t="str">
        <f>IF(F154="","",_xlfn.XLOOKUP(F154,purchase!D:D,purchase!#REF!,""))</f>
        <v/>
      </c>
      <c r="E154" s="9" t="str">
        <f>IF(F154="","",_xlfn.XLOOKUP(F154,purchase!D:D,purchase!B:B,""))</f>
        <v/>
      </c>
      <c r="F154" s="2"/>
      <c r="G154" s="4" t="str">
        <f t="shared" si="15"/>
        <v/>
      </c>
      <c r="H154" s="4" t="str">
        <f>IF(F154="","",_xlfn.XLOOKUP(F154,purchase!D:D,purchase!#REF!,""))</f>
        <v/>
      </c>
      <c r="I154" s="4" t="str">
        <f t="shared" si="16"/>
        <v/>
      </c>
      <c r="J154" s="4" t="str">
        <f t="shared" si="17"/>
        <v/>
      </c>
      <c r="K154" s="13" t="str">
        <f>_xlfn.SINGLE(IF(F154="","",_xlfn.XLOOKUP(F154,purchase!D:D,purchase!#REF!,"")))</f>
        <v/>
      </c>
      <c r="L154" s="2"/>
      <c r="M154" s="32"/>
      <c r="N154" s="13" t="str">
        <f>IF(F154="","",
MAX(0,
_xlfn.XLOOKUP(F154,purchase!D:D,purchase!#REF!,"")
-
SUMIFS(L:L,F:F,F154)))</f>
        <v/>
      </c>
      <c r="O154" s="13" t="str">
        <f t="shared" si="18"/>
        <v/>
      </c>
      <c r="P154" s="35" t="str">
        <f>_xlfn.SINGLE(IF(F154="","",_xlfn.XLOOKUP(F154,purchase!D:D,purchase!K:K,"")))</f>
        <v/>
      </c>
      <c r="Q154" s="29" t="str">
        <f t="shared" si="19"/>
        <v/>
      </c>
      <c r="R154" s="37" t="str">
        <f t="shared" si="20"/>
        <v/>
      </c>
    </row>
    <row r="155" spans="1:18" x14ac:dyDescent="0.35">
      <c r="A155" s="8">
        <v>151</v>
      </c>
      <c r="B155" s="9" t="str">
        <f t="shared" si="14"/>
        <v/>
      </c>
      <c r="C155" s="10"/>
      <c r="D155" s="9" t="str">
        <f>IF(F155="","",_xlfn.XLOOKUP(F155,purchase!D:D,purchase!#REF!,""))</f>
        <v/>
      </c>
      <c r="E155" s="9" t="str">
        <f>IF(F155="","",_xlfn.XLOOKUP(F155,purchase!D:D,purchase!B:B,""))</f>
        <v/>
      </c>
      <c r="F155" s="2"/>
      <c r="G155" s="4" t="str">
        <f t="shared" si="15"/>
        <v/>
      </c>
      <c r="H155" s="4" t="str">
        <f>IF(F155="","",_xlfn.XLOOKUP(F155,purchase!D:D,purchase!#REF!,""))</f>
        <v/>
      </c>
      <c r="I155" s="4" t="str">
        <f t="shared" si="16"/>
        <v/>
      </c>
      <c r="J155" s="4" t="str">
        <f t="shared" si="17"/>
        <v/>
      </c>
      <c r="K155" s="13" t="str">
        <f>_xlfn.SINGLE(IF(F155="","",_xlfn.XLOOKUP(F155,purchase!D:D,purchase!#REF!,"")))</f>
        <v/>
      </c>
      <c r="L155" s="2"/>
      <c r="M155" s="32"/>
      <c r="N155" s="13" t="str">
        <f>IF(F155="","",
MAX(0,
_xlfn.XLOOKUP(F155,purchase!D:D,purchase!#REF!,"")
-
SUMIFS(L:L,F:F,F155)))</f>
        <v/>
      </c>
      <c r="O155" s="13" t="str">
        <f t="shared" si="18"/>
        <v/>
      </c>
      <c r="P155" s="35" t="str">
        <f>_xlfn.SINGLE(IF(F155="","",_xlfn.XLOOKUP(F155,purchase!D:D,purchase!K:K,"")))</f>
        <v/>
      </c>
      <c r="Q155" s="29" t="str">
        <f t="shared" si="19"/>
        <v/>
      </c>
      <c r="R155" s="37" t="str">
        <f t="shared" si="20"/>
        <v/>
      </c>
    </row>
    <row r="156" spans="1:18" x14ac:dyDescent="0.35">
      <c r="A156" s="8">
        <v>152</v>
      </c>
      <c r="B156" s="9" t="str">
        <f t="shared" si="14"/>
        <v/>
      </c>
      <c r="C156" s="10"/>
      <c r="D156" s="9" t="str">
        <f>IF(F156="","",_xlfn.XLOOKUP(F156,purchase!D:D,purchase!#REF!,""))</f>
        <v/>
      </c>
      <c r="E156" s="9" t="str">
        <f>IF(F156="","",_xlfn.XLOOKUP(F156,purchase!D:D,purchase!B:B,""))</f>
        <v/>
      </c>
      <c r="F156" s="2"/>
      <c r="G156" s="4" t="str">
        <f t="shared" si="15"/>
        <v/>
      </c>
      <c r="H156" s="4" t="str">
        <f>IF(F156="","",_xlfn.XLOOKUP(F156,purchase!D:D,purchase!#REF!,""))</f>
        <v/>
      </c>
      <c r="I156" s="4" t="str">
        <f t="shared" si="16"/>
        <v/>
      </c>
      <c r="J156" s="4" t="str">
        <f t="shared" si="17"/>
        <v/>
      </c>
      <c r="K156" s="13" t="str">
        <f>_xlfn.SINGLE(IF(F156="","",_xlfn.XLOOKUP(F156,purchase!D:D,purchase!#REF!,"")))</f>
        <v/>
      </c>
      <c r="L156" s="2"/>
      <c r="M156" s="32"/>
      <c r="N156" s="13" t="str">
        <f>IF(F156="","",
MAX(0,
_xlfn.XLOOKUP(F156,purchase!D:D,purchase!#REF!,"")
-
SUMIFS(L:L,F:F,F156)))</f>
        <v/>
      </c>
      <c r="O156" s="13" t="str">
        <f t="shared" si="18"/>
        <v/>
      </c>
      <c r="P156" s="35" t="str">
        <f>_xlfn.SINGLE(IF(F156="","",_xlfn.XLOOKUP(F156,purchase!D:D,purchase!K:K,"")))</f>
        <v/>
      </c>
      <c r="Q156" s="29" t="str">
        <f t="shared" si="19"/>
        <v/>
      </c>
      <c r="R156" s="37" t="str">
        <f t="shared" si="20"/>
        <v/>
      </c>
    </row>
    <row r="157" spans="1:18" x14ac:dyDescent="0.35">
      <c r="A157" s="8">
        <v>153</v>
      </c>
      <c r="B157" s="9" t="str">
        <f t="shared" si="14"/>
        <v/>
      </c>
      <c r="C157" s="10"/>
      <c r="D157" s="9" t="str">
        <f>IF(F157="","",_xlfn.XLOOKUP(F157,purchase!D:D,purchase!#REF!,""))</f>
        <v/>
      </c>
      <c r="E157" s="9" t="str">
        <f>IF(F157="","",_xlfn.XLOOKUP(F157,purchase!D:D,purchase!B:B,""))</f>
        <v/>
      </c>
      <c r="F157" s="2"/>
      <c r="G157" s="4" t="str">
        <f t="shared" si="15"/>
        <v/>
      </c>
      <c r="H157" s="4" t="str">
        <f>IF(F157="","",_xlfn.XLOOKUP(F157,purchase!D:D,purchase!#REF!,""))</f>
        <v/>
      </c>
      <c r="I157" s="4" t="str">
        <f t="shared" si="16"/>
        <v/>
      </c>
      <c r="J157" s="4" t="str">
        <f t="shared" si="17"/>
        <v/>
      </c>
      <c r="K157" s="13" t="str">
        <f>_xlfn.SINGLE(IF(F157="","",_xlfn.XLOOKUP(F157,purchase!D:D,purchase!#REF!,"")))</f>
        <v/>
      </c>
      <c r="L157" s="2"/>
      <c r="M157" s="32"/>
      <c r="N157" s="13" t="str">
        <f>IF(F157="","",
MAX(0,
_xlfn.XLOOKUP(F157,purchase!D:D,purchase!#REF!,"")
-
SUMIFS(L:L,F:F,F157)))</f>
        <v/>
      </c>
      <c r="O157" s="13" t="str">
        <f t="shared" si="18"/>
        <v/>
      </c>
      <c r="P157" s="35" t="str">
        <f>_xlfn.SINGLE(IF(F157="","",_xlfn.XLOOKUP(F157,purchase!D:D,purchase!K:K,"")))</f>
        <v/>
      </c>
      <c r="Q157" s="29" t="str">
        <f t="shared" si="19"/>
        <v/>
      </c>
      <c r="R157" s="37" t="str">
        <f t="shared" si="20"/>
        <v/>
      </c>
    </row>
    <row r="158" spans="1:18" x14ac:dyDescent="0.35">
      <c r="A158" s="8">
        <v>154</v>
      </c>
      <c r="B158" s="9" t="str">
        <f t="shared" si="14"/>
        <v/>
      </c>
      <c r="C158" s="10"/>
      <c r="D158" s="9" t="str">
        <f>IF(F158="","",_xlfn.XLOOKUP(F158,purchase!D:D,purchase!#REF!,""))</f>
        <v/>
      </c>
      <c r="E158" s="9" t="str">
        <f>IF(F158="","",_xlfn.XLOOKUP(F158,purchase!D:D,purchase!B:B,""))</f>
        <v/>
      </c>
      <c r="F158" s="2"/>
      <c r="G158" s="4" t="str">
        <f t="shared" si="15"/>
        <v/>
      </c>
      <c r="H158" s="4" t="str">
        <f>IF(F158="","",_xlfn.XLOOKUP(F158,purchase!D:D,purchase!#REF!,""))</f>
        <v/>
      </c>
      <c r="I158" s="4" t="str">
        <f t="shared" si="16"/>
        <v/>
      </c>
      <c r="J158" s="4" t="str">
        <f t="shared" si="17"/>
        <v/>
      </c>
      <c r="K158" s="13" t="str">
        <f>_xlfn.SINGLE(IF(F158="","",_xlfn.XLOOKUP(F158,purchase!D:D,purchase!#REF!,"")))</f>
        <v/>
      </c>
      <c r="L158" s="2"/>
      <c r="M158" s="32"/>
      <c r="N158" s="13" t="str">
        <f>IF(F158="","",
MAX(0,
_xlfn.XLOOKUP(F158,purchase!D:D,purchase!#REF!,"")
-
SUMIFS(L:L,F:F,F158)))</f>
        <v/>
      </c>
      <c r="O158" s="13" t="str">
        <f t="shared" si="18"/>
        <v/>
      </c>
      <c r="P158" s="35" t="str">
        <f>_xlfn.SINGLE(IF(F158="","",_xlfn.XLOOKUP(F158,purchase!D:D,purchase!K:K,"")))</f>
        <v/>
      </c>
      <c r="Q158" s="29" t="str">
        <f t="shared" si="19"/>
        <v/>
      </c>
      <c r="R158" s="37" t="str">
        <f t="shared" si="20"/>
        <v/>
      </c>
    </row>
    <row r="159" spans="1:18" x14ac:dyDescent="0.35">
      <c r="A159" s="8">
        <v>155</v>
      </c>
      <c r="B159" s="9" t="str">
        <f t="shared" si="14"/>
        <v/>
      </c>
      <c r="C159" s="10"/>
      <c r="D159" s="9" t="str">
        <f>IF(F159="","",_xlfn.XLOOKUP(F159,purchase!D:D,purchase!#REF!,""))</f>
        <v/>
      </c>
      <c r="E159" s="9" t="str">
        <f>IF(F159="","",_xlfn.XLOOKUP(F159,purchase!D:D,purchase!B:B,""))</f>
        <v/>
      </c>
      <c r="F159" s="2"/>
      <c r="G159" s="4" t="str">
        <f t="shared" si="15"/>
        <v/>
      </c>
      <c r="H159" s="4" t="str">
        <f>IF(F159="","",_xlfn.XLOOKUP(F159,purchase!D:D,purchase!#REF!,""))</f>
        <v/>
      </c>
      <c r="I159" s="4" t="str">
        <f t="shared" si="16"/>
        <v/>
      </c>
      <c r="J159" s="4" t="str">
        <f t="shared" si="17"/>
        <v/>
      </c>
      <c r="K159" s="13" t="str">
        <f>_xlfn.SINGLE(IF(F159="","",_xlfn.XLOOKUP(F159,purchase!D:D,purchase!#REF!,"")))</f>
        <v/>
      </c>
      <c r="L159" s="2"/>
      <c r="M159" s="32"/>
      <c r="N159" s="13" t="str">
        <f>IF(F159="","",
MAX(0,
_xlfn.XLOOKUP(F159,purchase!D:D,purchase!#REF!,"")
-
SUMIFS(L:L,F:F,F159)))</f>
        <v/>
      </c>
      <c r="O159" s="13" t="str">
        <f t="shared" si="18"/>
        <v/>
      </c>
      <c r="P159" s="35" t="str">
        <f>_xlfn.SINGLE(IF(F159="","",_xlfn.XLOOKUP(F159,purchase!D:D,purchase!K:K,"")))</f>
        <v/>
      </c>
      <c r="Q159" s="29" t="str">
        <f t="shared" si="19"/>
        <v/>
      </c>
      <c r="R159" s="37" t="str">
        <f t="shared" si="20"/>
        <v/>
      </c>
    </row>
    <row r="160" spans="1:18" x14ac:dyDescent="0.35">
      <c r="A160" s="8">
        <v>156</v>
      </c>
      <c r="B160" s="9" t="str">
        <f t="shared" si="14"/>
        <v/>
      </c>
      <c r="C160" s="10"/>
      <c r="D160" s="9" t="str">
        <f>IF(F160="","",_xlfn.XLOOKUP(F160,purchase!D:D,purchase!#REF!,""))</f>
        <v/>
      </c>
      <c r="E160" s="9" t="str">
        <f>IF(F160="","",_xlfn.XLOOKUP(F160,purchase!D:D,purchase!B:B,""))</f>
        <v/>
      </c>
      <c r="F160" s="2"/>
      <c r="G160" s="4" t="str">
        <f t="shared" si="15"/>
        <v/>
      </c>
      <c r="H160" s="4" t="str">
        <f>IF(F160="","",_xlfn.XLOOKUP(F160,purchase!D:D,purchase!#REF!,""))</f>
        <v/>
      </c>
      <c r="I160" s="4" t="str">
        <f t="shared" si="16"/>
        <v/>
      </c>
      <c r="J160" s="4" t="str">
        <f t="shared" si="17"/>
        <v/>
      </c>
      <c r="K160" s="13" t="str">
        <f>_xlfn.SINGLE(IF(F160="","",_xlfn.XLOOKUP(F160,purchase!D:D,purchase!#REF!,"")))</f>
        <v/>
      </c>
      <c r="L160" s="2"/>
      <c r="M160" s="32"/>
      <c r="N160" s="13" t="str">
        <f>IF(F160="","",
MAX(0,
_xlfn.XLOOKUP(F160,purchase!D:D,purchase!#REF!,"")
-
SUMIFS(L:L,F:F,F160)))</f>
        <v/>
      </c>
      <c r="O160" s="13" t="str">
        <f t="shared" si="18"/>
        <v/>
      </c>
      <c r="P160" s="35" t="str">
        <f>_xlfn.SINGLE(IF(F160="","",_xlfn.XLOOKUP(F160,purchase!D:D,purchase!K:K,"")))</f>
        <v/>
      </c>
      <c r="Q160" s="29" t="str">
        <f t="shared" si="19"/>
        <v/>
      </c>
      <c r="R160" s="37" t="str">
        <f t="shared" si="20"/>
        <v/>
      </c>
    </row>
    <row r="161" spans="1:18" x14ac:dyDescent="0.35">
      <c r="A161" s="8">
        <v>157</v>
      </c>
      <c r="B161" s="9" t="str">
        <f t="shared" si="14"/>
        <v/>
      </c>
      <c r="C161" s="10"/>
      <c r="D161" s="9" t="str">
        <f>IF(F161="","",_xlfn.XLOOKUP(F161,purchase!D:D,purchase!#REF!,""))</f>
        <v/>
      </c>
      <c r="E161" s="9" t="str">
        <f>IF(F161="","",_xlfn.XLOOKUP(F161,purchase!D:D,purchase!B:B,""))</f>
        <v/>
      </c>
      <c r="F161" s="2"/>
      <c r="G161" s="4" t="str">
        <f t="shared" si="15"/>
        <v/>
      </c>
      <c r="H161" s="4" t="str">
        <f>IF(F161="","",_xlfn.XLOOKUP(F161,purchase!D:D,purchase!#REF!,""))</f>
        <v/>
      </c>
      <c r="I161" s="4" t="str">
        <f t="shared" si="16"/>
        <v/>
      </c>
      <c r="J161" s="4" t="str">
        <f t="shared" si="17"/>
        <v/>
      </c>
      <c r="K161" s="13" t="str">
        <f>_xlfn.SINGLE(IF(F161="","",_xlfn.XLOOKUP(F161,purchase!D:D,purchase!#REF!,"")))</f>
        <v/>
      </c>
      <c r="L161" s="2"/>
      <c r="M161" s="32"/>
      <c r="N161" s="13" t="str">
        <f>IF(F161="","",
MAX(0,
_xlfn.XLOOKUP(F161,purchase!D:D,purchase!#REF!,"")
-
SUMIFS(L:L,F:F,F161)))</f>
        <v/>
      </c>
      <c r="O161" s="13" t="str">
        <f t="shared" si="18"/>
        <v/>
      </c>
      <c r="P161" s="35" t="str">
        <f>_xlfn.SINGLE(IF(F161="","",_xlfn.XLOOKUP(F161,purchase!D:D,purchase!K:K,"")))</f>
        <v/>
      </c>
      <c r="Q161" s="29" t="str">
        <f t="shared" si="19"/>
        <v/>
      </c>
      <c r="R161" s="37" t="str">
        <f t="shared" si="20"/>
        <v/>
      </c>
    </row>
    <row r="162" spans="1:18" x14ac:dyDescent="0.35">
      <c r="A162" s="8">
        <v>158</v>
      </c>
      <c r="B162" s="9" t="str">
        <f t="shared" si="14"/>
        <v/>
      </c>
      <c r="C162" s="10"/>
      <c r="D162" s="9" t="str">
        <f>IF(F162="","",_xlfn.XLOOKUP(F162,purchase!D:D,purchase!#REF!,""))</f>
        <v/>
      </c>
      <c r="E162" s="9" t="str">
        <f>IF(F162="","",_xlfn.XLOOKUP(F162,purchase!D:D,purchase!B:B,""))</f>
        <v/>
      </c>
      <c r="F162" s="2"/>
      <c r="G162" s="4" t="str">
        <f t="shared" si="15"/>
        <v/>
      </c>
      <c r="H162" s="4" t="str">
        <f>IF(F162="","",_xlfn.XLOOKUP(F162,purchase!D:D,purchase!#REF!,""))</f>
        <v/>
      </c>
      <c r="I162" s="4" t="str">
        <f t="shared" si="16"/>
        <v/>
      </c>
      <c r="J162" s="4" t="str">
        <f t="shared" si="17"/>
        <v/>
      </c>
      <c r="K162" s="13" t="str">
        <f>_xlfn.SINGLE(IF(F162="","",_xlfn.XLOOKUP(F162,purchase!D:D,purchase!#REF!,"")))</f>
        <v/>
      </c>
      <c r="L162" s="2"/>
      <c r="M162" s="32"/>
      <c r="N162" s="13" t="str">
        <f>IF(F162="","",
MAX(0,
_xlfn.XLOOKUP(F162,purchase!D:D,purchase!#REF!,"")
-
SUMIFS(L:L,F:F,F162)))</f>
        <v/>
      </c>
      <c r="O162" s="13" t="str">
        <f t="shared" si="18"/>
        <v/>
      </c>
      <c r="P162" s="35" t="str">
        <f>_xlfn.SINGLE(IF(F162="","",_xlfn.XLOOKUP(F162,purchase!D:D,purchase!K:K,"")))</f>
        <v/>
      </c>
      <c r="Q162" s="29" t="str">
        <f t="shared" si="19"/>
        <v/>
      </c>
      <c r="R162" s="37" t="str">
        <f t="shared" si="20"/>
        <v/>
      </c>
    </row>
    <row r="163" spans="1:18" x14ac:dyDescent="0.35">
      <c r="A163" s="8">
        <v>159</v>
      </c>
      <c r="B163" s="9" t="str">
        <f t="shared" si="14"/>
        <v/>
      </c>
      <c r="C163" s="10"/>
      <c r="D163" s="9" t="str">
        <f>IF(F163="","",_xlfn.XLOOKUP(F163,purchase!D:D,purchase!#REF!,""))</f>
        <v/>
      </c>
      <c r="E163" s="9" t="str">
        <f>IF(F163="","",_xlfn.XLOOKUP(F163,purchase!D:D,purchase!B:B,""))</f>
        <v/>
      </c>
      <c r="F163" s="2"/>
      <c r="G163" s="4" t="str">
        <f t="shared" si="15"/>
        <v/>
      </c>
      <c r="H163" s="4" t="str">
        <f>IF(F163="","",_xlfn.XLOOKUP(F163,purchase!D:D,purchase!#REF!,""))</f>
        <v/>
      </c>
      <c r="I163" s="4" t="str">
        <f t="shared" si="16"/>
        <v/>
      </c>
      <c r="J163" s="4" t="str">
        <f t="shared" si="17"/>
        <v/>
      </c>
      <c r="K163" s="13" t="str">
        <f>_xlfn.SINGLE(IF(F163="","",_xlfn.XLOOKUP(F163,purchase!D:D,purchase!#REF!,"")))</f>
        <v/>
      </c>
      <c r="L163" s="2"/>
      <c r="M163" s="32"/>
      <c r="N163" s="13" t="str">
        <f>IF(F163="","",
MAX(0,
_xlfn.XLOOKUP(F163,purchase!D:D,purchase!#REF!,"")
-
SUMIFS(L:L,F:F,F163)))</f>
        <v/>
      </c>
      <c r="O163" s="13" t="str">
        <f t="shared" si="18"/>
        <v/>
      </c>
      <c r="P163" s="35" t="str">
        <f>_xlfn.SINGLE(IF(F163="","",_xlfn.XLOOKUP(F163,purchase!D:D,purchase!K:K,"")))</f>
        <v/>
      </c>
      <c r="Q163" s="29" t="str">
        <f t="shared" si="19"/>
        <v/>
      </c>
      <c r="R163" s="37" t="str">
        <f t="shared" si="20"/>
        <v/>
      </c>
    </row>
    <row r="164" spans="1:18" x14ac:dyDescent="0.35">
      <c r="A164" s="8">
        <v>160</v>
      </c>
      <c r="B164" s="9" t="str">
        <f t="shared" si="14"/>
        <v/>
      </c>
      <c r="C164" s="10"/>
      <c r="D164" s="9" t="str">
        <f>IF(F164="","",_xlfn.XLOOKUP(F164,purchase!D:D,purchase!#REF!,""))</f>
        <v/>
      </c>
      <c r="E164" s="9" t="str">
        <f>IF(F164="","",_xlfn.XLOOKUP(F164,purchase!D:D,purchase!B:B,""))</f>
        <v/>
      </c>
      <c r="F164" s="2"/>
      <c r="G164" s="4" t="str">
        <f t="shared" si="15"/>
        <v/>
      </c>
      <c r="H164" s="4" t="str">
        <f>IF(F164="","",_xlfn.XLOOKUP(F164,purchase!D:D,purchase!#REF!,""))</f>
        <v/>
      </c>
      <c r="I164" s="4" t="str">
        <f t="shared" si="16"/>
        <v/>
      </c>
      <c r="J164" s="4" t="str">
        <f t="shared" si="17"/>
        <v/>
      </c>
      <c r="K164" s="13" t="str">
        <f>_xlfn.SINGLE(IF(F164="","",_xlfn.XLOOKUP(F164,purchase!D:D,purchase!#REF!,"")))</f>
        <v/>
      </c>
      <c r="L164" s="2"/>
      <c r="M164" s="32"/>
      <c r="N164" s="13" t="str">
        <f>IF(F164="","",
MAX(0,
_xlfn.XLOOKUP(F164,purchase!D:D,purchase!#REF!,"")
-
SUMIFS(L:L,F:F,F164)))</f>
        <v/>
      </c>
      <c r="O164" s="13" t="str">
        <f t="shared" si="18"/>
        <v/>
      </c>
      <c r="P164" s="35" t="str">
        <f>_xlfn.SINGLE(IF(F164="","",_xlfn.XLOOKUP(F164,purchase!D:D,purchase!K:K,"")))</f>
        <v/>
      </c>
      <c r="Q164" s="29" t="str">
        <f t="shared" si="19"/>
        <v/>
      </c>
      <c r="R164" s="37" t="str">
        <f t="shared" si="20"/>
        <v/>
      </c>
    </row>
    <row r="165" spans="1:18" x14ac:dyDescent="0.35">
      <c r="A165" s="8">
        <v>161</v>
      </c>
      <c r="B165" s="9" t="str">
        <f t="shared" si="14"/>
        <v/>
      </c>
      <c r="C165" s="10"/>
      <c r="D165" s="9" t="str">
        <f>IF(F165="","",_xlfn.XLOOKUP(F165,purchase!D:D,purchase!#REF!,""))</f>
        <v/>
      </c>
      <c r="E165" s="9" t="str">
        <f>IF(F165="","",_xlfn.XLOOKUP(F165,purchase!D:D,purchase!B:B,""))</f>
        <v/>
      </c>
      <c r="F165" s="2"/>
      <c r="G165" s="4" t="str">
        <f t="shared" si="15"/>
        <v/>
      </c>
      <c r="H165" s="4" t="str">
        <f>IF(F165="","",_xlfn.XLOOKUP(F165,purchase!D:D,purchase!#REF!,""))</f>
        <v/>
      </c>
      <c r="I165" s="4" t="str">
        <f t="shared" si="16"/>
        <v/>
      </c>
      <c r="J165" s="4" t="str">
        <f t="shared" si="17"/>
        <v/>
      </c>
      <c r="K165" s="13" t="str">
        <f>_xlfn.SINGLE(IF(F165="","",_xlfn.XLOOKUP(F165,purchase!D:D,purchase!#REF!,"")))</f>
        <v/>
      </c>
      <c r="L165" s="2"/>
      <c r="M165" s="32"/>
      <c r="N165" s="13" t="str">
        <f>IF(F165="","",
MAX(0,
_xlfn.XLOOKUP(F165,purchase!D:D,purchase!#REF!,"")
-
SUMIFS(L:L,F:F,F165)))</f>
        <v/>
      </c>
      <c r="O165" s="13" t="str">
        <f t="shared" si="18"/>
        <v/>
      </c>
      <c r="P165" s="35" t="str">
        <f>_xlfn.SINGLE(IF(F165="","",_xlfn.XLOOKUP(F165,purchase!D:D,purchase!K:K,"")))</f>
        <v/>
      </c>
      <c r="Q165" s="29" t="str">
        <f t="shared" si="19"/>
        <v/>
      </c>
      <c r="R165" s="37" t="str">
        <f t="shared" si="20"/>
        <v/>
      </c>
    </row>
    <row r="166" spans="1:18" x14ac:dyDescent="0.35">
      <c r="A166" s="8">
        <v>162</v>
      </c>
      <c r="B166" s="9" t="str">
        <f t="shared" si="14"/>
        <v/>
      </c>
      <c r="C166" s="10"/>
      <c r="D166" s="9" t="str">
        <f>IF(F166="","",_xlfn.XLOOKUP(F166,purchase!D:D,purchase!#REF!,""))</f>
        <v/>
      </c>
      <c r="E166" s="9" t="str">
        <f>IF(F166="","",_xlfn.XLOOKUP(F166,purchase!D:D,purchase!B:B,""))</f>
        <v/>
      </c>
      <c r="F166" s="2"/>
      <c r="G166" s="4" t="str">
        <f t="shared" si="15"/>
        <v/>
      </c>
      <c r="H166" s="4" t="str">
        <f>IF(F166="","",_xlfn.XLOOKUP(F166,purchase!D:D,purchase!#REF!,""))</f>
        <v/>
      </c>
      <c r="I166" s="4" t="str">
        <f t="shared" si="16"/>
        <v/>
      </c>
      <c r="J166" s="4" t="str">
        <f t="shared" si="17"/>
        <v/>
      </c>
      <c r="K166" s="13" t="str">
        <f>_xlfn.SINGLE(IF(F166="","",_xlfn.XLOOKUP(F166,purchase!D:D,purchase!#REF!,"")))</f>
        <v/>
      </c>
      <c r="L166" s="2"/>
      <c r="M166" s="32"/>
      <c r="N166" s="13" t="str">
        <f>IF(F166="","",
MAX(0,
_xlfn.XLOOKUP(F166,purchase!D:D,purchase!#REF!,"")
-
SUMIFS(L:L,F:F,F166)))</f>
        <v/>
      </c>
      <c r="O166" s="13" t="str">
        <f t="shared" si="18"/>
        <v/>
      </c>
      <c r="P166" s="35" t="str">
        <f>_xlfn.SINGLE(IF(F166="","",_xlfn.XLOOKUP(F166,purchase!D:D,purchase!K:K,"")))</f>
        <v/>
      </c>
      <c r="Q166" s="29" t="str">
        <f t="shared" si="19"/>
        <v/>
      </c>
      <c r="R166" s="37" t="str">
        <f t="shared" si="20"/>
        <v/>
      </c>
    </row>
    <row r="167" spans="1:18" x14ac:dyDescent="0.35">
      <c r="A167" s="8">
        <v>163</v>
      </c>
      <c r="B167" s="9" t="str">
        <f t="shared" si="14"/>
        <v/>
      </c>
      <c r="C167" s="10"/>
      <c r="D167" s="9" t="str">
        <f>IF(F167="","",_xlfn.XLOOKUP(F167,purchase!D:D,purchase!#REF!,""))</f>
        <v/>
      </c>
      <c r="E167" s="9" t="str">
        <f>IF(F167="","",_xlfn.XLOOKUP(F167,purchase!D:D,purchase!B:B,""))</f>
        <v/>
      </c>
      <c r="F167" s="2"/>
      <c r="G167" s="4" t="str">
        <f t="shared" si="15"/>
        <v/>
      </c>
      <c r="H167" s="4" t="str">
        <f>IF(F167="","",_xlfn.XLOOKUP(F167,purchase!D:D,purchase!#REF!,""))</f>
        <v/>
      </c>
      <c r="I167" s="4" t="str">
        <f t="shared" si="16"/>
        <v/>
      </c>
      <c r="J167" s="4" t="str">
        <f t="shared" si="17"/>
        <v/>
      </c>
      <c r="K167" s="13" t="str">
        <f>_xlfn.SINGLE(IF(F167="","",_xlfn.XLOOKUP(F167,purchase!D:D,purchase!#REF!,"")))</f>
        <v/>
      </c>
      <c r="L167" s="2"/>
      <c r="M167" s="32"/>
      <c r="N167" s="13" t="str">
        <f>IF(F167="","",
MAX(0,
_xlfn.XLOOKUP(F167,purchase!D:D,purchase!#REF!,"")
-
SUMIFS(L:L,F:F,F167)))</f>
        <v/>
      </c>
      <c r="O167" s="13" t="str">
        <f t="shared" si="18"/>
        <v/>
      </c>
      <c r="P167" s="35" t="str">
        <f>_xlfn.SINGLE(IF(F167="","",_xlfn.XLOOKUP(F167,purchase!D:D,purchase!K:K,"")))</f>
        <v/>
      </c>
      <c r="Q167" s="29" t="str">
        <f t="shared" si="19"/>
        <v/>
      </c>
      <c r="R167" s="37" t="str">
        <f t="shared" si="20"/>
        <v/>
      </c>
    </row>
    <row r="168" spans="1:18" x14ac:dyDescent="0.35">
      <c r="A168" s="8">
        <v>164</v>
      </c>
      <c r="B168" s="9" t="str">
        <f t="shared" si="14"/>
        <v/>
      </c>
      <c r="C168" s="10"/>
      <c r="D168" s="9" t="str">
        <f>IF(F168="","",_xlfn.XLOOKUP(F168,purchase!D:D,purchase!#REF!,""))</f>
        <v/>
      </c>
      <c r="E168" s="9" t="str">
        <f>IF(F168="","",_xlfn.XLOOKUP(F168,purchase!D:D,purchase!B:B,""))</f>
        <v/>
      </c>
      <c r="F168" s="2"/>
      <c r="G168" s="4" t="str">
        <f t="shared" si="15"/>
        <v/>
      </c>
      <c r="H168" s="4" t="str">
        <f>IF(F168="","",_xlfn.XLOOKUP(F168,purchase!D:D,purchase!#REF!,""))</f>
        <v/>
      </c>
      <c r="I168" s="4" t="str">
        <f t="shared" si="16"/>
        <v/>
      </c>
      <c r="J168" s="4" t="str">
        <f t="shared" si="17"/>
        <v/>
      </c>
      <c r="K168" s="13" t="str">
        <f>_xlfn.SINGLE(IF(F168="","",_xlfn.XLOOKUP(F168,purchase!D:D,purchase!#REF!,"")))</f>
        <v/>
      </c>
      <c r="L168" s="2"/>
      <c r="M168" s="32"/>
      <c r="N168" s="13" t="str">
        <f>IF(F168="","",
MAX(0,
_xlfn.XLOOKUP(F168,purchase!D:D,purchase!#REF!,"")
-
SUMIFS(L:L,F:F,F168)))</f>
        <v/>
      </c>
      <c r="O168" s="13" t="str">
        <f t="shared" si="18"/>
        <v/>
      </c>
      <c r="P168" s="35" t="str">
        <f>_xlfn.SINGLE(IF(F168="","",_xlfn.XLOOKUP(F168,purchase!D:D,purchase!K:K,"")))</f>
        <v/>
      </c>
      <c r="Q168" s="29" t="str">
        <f t="shared" si="19"/>
        <v/>
      </c>
      <c r="R168" s="37" t="str">
        <f t="shared" si="20"/>
        <v/>
      </c>
    </row>
    <row r="169" spans="1:18" x14ac:dyDescent="0.35">
      <c r="A169" s="8">
        <v>165</v>
      </c>
      <c r="B169" s="9" t="str">
        <f t="shared" si="14"/>
        <v/>
      </c>
      <c r="C169" s="10"/>
      <c r="D169" s="9" t="str">
        <f>IF(F169="","",_xlfn.XLOOKUP(F169,purchase!D:D,purchase!#REF!,""))</f>
        <v/>
      </c>
      <c r="E169" s="9" t="str">
        <f>IF(F169="","",_xlfn.XLOOKUP(F169,purchase!D:D,purchase!B:B,""))</f>
        <v/>
      </c>
      <c r="F169" s="2"/>
      <c r="G169" s="4" t="str">
        <f t="shared" si="15"/>
        <v/>
      </c>
      <c r="H169" s="4" t="str">
        <f>IF(F169="","",_xlfn.XLOOKUP(F169,purchase!D:D,purchase!#REF!,""))</f>
        <v/>
      </c>
      <c r="I169" s="4" t="str">
        <f t="shared" si="16"/>
        <v/>
      </c>
      <c r="J169" s="4" t="str">
        <f t="shared" si="17"/>
        <v/>
      </c>
      <c r="K169" s="13" t="str">
        <f>_xlfn.SINGLE(IF(F169="","",_xlfn.XLOOKUP(F169,purchase!D:D,purchase!#REF!,"")))</f>
        <v/>
      </c>
      <c r="L169" s="2"/>
      <c r="M169" s="32"/>
      <c r="N169" s="13" t="str">
        <f>IF(F169="","",
MAX(0,
_xlfn.XLOOKUP(F169,purchase!D:D,purchase!#REF!,"")
-
SUMIFS(L:L,F:F,F169)))</f>
        <v/>
      </c>
      <c r="O169" s="13" t="str">
        <f t="shared" si="18"/>
        <v/>
      </c>
      <c r="P169" s="35" t="str">
        <f>_xlfn.SINGLE(IF(F169="","",_xlfn.XLOOKUP(F169,purchase!D:D,purchase!K:K,"")))</f>
        <v/>
      </c>
      <c r="Q169" s="29" t="str">
        <f t="shared" si="19"/>
        <v/>
      </c>
      <c r="R169" s="37" t="str">
        <f t="shared" si="20"/>
        <v/>
      </c>
    </row>
    <row r="170" spans="1:18" x14ac:dyDescent="0.35">
      <c r="A170" s="8">
        <v>166</v>
      </c>
      <c r="B170" s="9" t="str">
        <f t="shared" si="14"/>
        <v/>
      </c>
      <c r="C170" s="10"/>
      <c r="D170" s="9" t="str">
        <f>IF(F170="","",_xlfn.XLOOKUP(F170,purchase!D:D,purchase!#REF!,""))</f>
        <v/>
      </c>
      <c r="E170" s="9" t="str">
        <f>IF(F170="","",_xlfn.XLOOKUP(F170,purchase!D:D,purchase!B:B,""))</f>
        <v/>
      </c>
      <c r="F170" s="2"/>
      <c r="G170" s="4" t="str">
        <f t="shared" si="15"/>
        <v/>
      </c>
      <c r="H170" s="4" t="str">
        <f>IF(F170="","",_xlfn.XLOOKUP(F170,purchase!D:D,purchase!#REF!,""))</f>
        <v/>
      </c>
      <c r="I170" s="4" t="str">
        <f t="shared" si="16"/>
        <v/>
      </c>
      <c r="J170" s="4" t="str">
        <f t="shared" si="17"/>
        <v/>
      </c>
      <c r="K170" s="13" t="str">
        <f>_xlfn.SINGLE(IF(F170="","",_xlfn.XLOOKUP(F170,purchase!D:D,purchase!#REF!,"")))</f>
        <v/>
      </c>
      <c r="L170" s="2"/>
      <c r="M170" s="32"/>
      <c r="N170" s="13" t="str">
        <f>IF(F170="","",
MAX(0,
_xlfn.XLOOKUP(F170,purchase!D:D,purchase!#REF!,"")
-
SUMIFS(L:L,F:F,F170)))</f>
        <v/>
      </c>
      <c r="O170" s="13" t="str">
        <f t="shared" si="18"/>
        <v/>
      </c>
      <c r="P170" s="35" t="str">
        <f>_xlfn.SINGLE(IF(F170="","",_xlfn.XLOOKUP(F170,purchase!D:D,purchase!K:K,"")))</f>
        <v/>
      </c>
      <c r="Q170" s="29" t="str">
        <f t="shared" si="19"/>
        <v/>
      </c>
      <c r="R170" s="37" t="str">
        <f t="shared" si="20"/>
        <v/>
      </c>
    </row>
    <row r="171" spans="1:18" x14ac:dyDescent="0.35">
      <c r="A171" s="8">
        <v>167</v>
      </c>
      <c r="B171" s="9" t="str">
        <f t="shared" si="14"/>
        <v/>
      </c>
      <c r="C171" s="10"/>
      <c r="D171" s="9" t="str">
        <f>IF(F171="","",_xlfn.XLOOKUP(F171,purchase!D:D,purchase!#REF!,""))</f>
        <v/>
      </c>
      <c r="E171" s="9" t="str">
        <f>IF(F171="","",_xlfn.XLOOKUP(F171,purchase!D:D,purchase!B:B,""))</f>
        <v/>
      </c>
      <c r="F171" s="2"/>
      <c r="G171" s="4" t="str">
        <f t="shared" si="15"/>
        <v/>
      </c>
      <c r="H171" s="4" t="str">
        <f>IF(F171="","",_xlfn.XLOOKUP(F171,purchase!D:D,purchase!#REF!,""))</f>
        <v/>
      </c>
      <c r="I171" s="4" t="str">
        <f t="shared" si="16"/>
        <v/>
      </c>
      <c r="J171" s="4" t="str">
        <f t="shared" si="17"/>
        <v/>
      </c>
      <c r="K171" s="13" t="str">
        <f>_xlfn.SINGLE(IF(F171="","",_xlfn.XLOOKUP(F171,purchase!D:D,purchase!#REF!,"")))</f>
        <v/>
      </c>
      <c r="L171" s="2"/>
      <c r="M171" s="32"/>
      <c r="N171" s="13" t="str">
        <f>IF(F171="","",
MAX(0,
_xlfn.XLOOKUP(F171,purchase!D:D,purchase!#REF!,"")
-
SUMIFS(L:L,F:F,F171)))</f>
        <v/>
      </c>
      <c r="O171" s="13" t="str">
        <f t="shared" si="18"/>
        <v/>
      </c>
      <c r="P171" s="35" t="str">
        <f>_xlfn.SINGLE(IF(F171="","",_xlfn.XLOOKUP(F171,purchase!D:D,purchase!K:K,"")))</f>
        <v/>
      </c>
      <c r="Q171" s="29" t="str">
        <f t="shared" si="19"/>
        <v/>
      </c>
      <c r="R171" s="37" t="str">
        <f t="shared" si="20"/>
        <v/>
      </c>
    </row>
    <row r="172" spans="1:18" x14ac:dyDescent="0.35">
      <c r="A172" s="8">
        <v>168</v>
      </c>
      <c r="B172" s="9" t="str">
        <f t="shared" si="14"/>
        <v/>
      </c>
      <c r="C172" s="10"/>
      <c r="D172" s="9" t="str">
        <f>IF(F172="","",_xlfn.XLOOKUP(F172,purchase!D:D,purchase!#REF!,""))</f>
        <v/>
      </c>
      <c r="E172" s="9" t="str">
        <f>IF(F172="","",_xlfn.XLOOKUP(F172,purchase!D:D,purchase!B:B,""))</f>
        <v/>
      </c>
      <c r="F172" s="2"/>
      <c r="G172" s="4" t="str">
        <f t="shared" si="15"/>
        <v/>
      </c>
      <c r="H172" s="4" t="str">
        <f>IF(F172="","",_xlfn.XLOOKUP(F172,purchase!D:D,purchase!#REF!,""))</f>
        <v/>
      </c>
      <c r="I172" s="4" t="str">
        <f t="shared" si="16"/>
        <v/>
      </c>
      <c r="J172" s="4" t="str">
        <f t="shared" si="17"/>
        <v/>
      </c>
      <c r="K172" s="13" t="str">
        <f>_xlfn.SINGLE(IF(F172="","",_xlfn.XLOOKUP(F172,purchase!D:D,purchase!#REF!,"")))</f>
        <v/>
      </c>
      <c r="L172" s="2"/>
      <c r="M172" s="32"/>
      <c r="N172" s="13" t="str">
        <f>IF(F172="","",
MAX(0,
_xlfn.XLOOKUP(F172,purchase!D:D,purchase!#REF!,"")
-
SUMIFS(L:L,F:F,F172)))</f>
        <v/>
      </c>
      <c r="O172" s="13" t="str">
        <f t="shared" si="18"/>
        <v/>
      </c>
      <c r="P172" s="35" t="str">
        <f>_xlfn.SINGLE(IF(F172="","",_xlfn.XLOOKUP(F172,purchase!D:D,purchase!K:K,"")))</f>
        <v/>
      </c>
      <c r="Q172" s="29" t="str">
        <f t="shared" si="19"/>
        <v/>
      </c>
      <c r="R172" s="37" t="str">
        <f t="shared" si="20"/>
        <v/>
      </c>
    </row>
    <row r="173" spans="1:18" x14ac:dyDescent="0.35">
      <c r="A173" s="8">
        <v>169</v>
      </c>
      <c r="B173" s="9" t="str">
        <f t="shared" si="14"/>
        <v/>
      </c>
      <c r="C173" s="10"/>
      <c r="D173" s="9" t="str">
        <f>IF(F173="","",_xlfn.XLOOKUP(F173,purchase!D:D,purchase!#REF!,""))</f>
        <v/>
      </c>
      <c r="E173" s="9" t="str">
        <f>IF(F173="","",_xlfn.XLOOKUP(F173,purchase!D:D,purchase!B:B,""))</f>
        <v/>
      </c>
      <c r="F173" s="2"/>
      <c r="G173" s="4" t="str">
        <f t="shared" si="15"/>
        <v/>
      </c>
      <c r="H173" s="4" t="str">
        <f>IF(F173="","",_xlfn.XLOOKUP(F173,purchase!D:D,purchase!#REF!,""))</f>
        <v/>
      </c>
      <c r="I173" s="4" t="str">
        <f t="shared" si="16"/>
        <v/>
      </c>
      <c r="J173" s="4" t="str">
        <f t="shared" si="17"/>
        <v/>
      </c>
      <c r="K173" s="13" t="str">
        <f>_xlfn.SINGLE(IF(F173="","",_xlfn.XLOOKUP(F173,purchase!D:D,purchase!#REF!,"")))</f>
        <v/>
      </c>
      <c r="L173" s="2"/>
      <c r="M173" s="32"/>
      <c r="N173" s="13" t="str">
        <f>IF(F173="","",
MAX(0,
_xlfn.XLOOKUP(F173,purchase!D:D,purchase!#REF!,"")
-
SUMIFS(L:L,F:F,F173)))</f>
        <v/>
      </c>
      <c r="O173" s="13" t="str">
        <f t="shared" si="18"/>
        <v/>
      </c>
      <c r="P173" s="35" t="str">
        <f>_xlfn.SINGLE(IF(F173="","",_xlfn.XLOOKUP(F173,purchase!D:D,purchase!K:K,"")))</f>
        <v/>
      </c>
      <c r="Q173" s="29" t="str">
        <f t="shared" si="19"/>
        <v/>
      </c>
      <c r="R173" s="37" t="str">
        <f t="shared" si="20"/>
        <v/>
      </c>
    </row>
    <row r="174" spans="1:18" x14ac:dyDescent="0.35">
      <c r="A174" s="8">
        <v>170</v>
      </c>
      <c r="B174" s="9" t="str">
        <f t="shared" si="14"/>
        <v/>
      </c>
      <c r="C174" s="10"/>
      <c r="D174" s="9" t="str">
        <f>IF(F174="","",_xlfn.XLOOKUP(F174,purchase!D:D,purchase!#REF!,""))</f>
        <v/>
      </c>
      <c r="E174" s="9" t="str">
        <f>IF(F174="","",_xlfn.XLOOKUP(F174,purchase!D:D,purchase!B:B,""))</f>
        <v/>
      </c>
      <c r="F174" s="2"/>
      <c r="G174" s="4" t="str">
        <f t="shared" si="15"/>
        <v/>
      </c>
      <c r="H174" s="4" t="str">
        <f>IF(F174="","",_xlfn.XLOOKUP(F174,purchase!D:D,purchase!#REF!,""))</f>
        <v/>
      </c>
      <c r="I174" s="4" t="str">
        <f t="shared" si="16"/>
        <v/>
      </c>
      <c r="J174" s="4" t="str">
        <f t="shared" si="17"/>
        <v/>
      </c>
      <c r="K174" s="13" t="str">
        <f>_xlfn.SINGLE(IF(F174="","",_xlfn.XLOOKUP(F174,purchase!D:D,purchase!#REF!,"")))</f>
        <v/>
      </c>
      <c r="L174" s="2"/>
      <c r="M174" s="32"/>
      <c r="N174" s="13" t="str">
        <f>IF(F174="","",
MAX(0,
_xlfn.XLOOKUP(F174,purchase!D:D,purchase!#REF!,"")
-
SUMIFS(L:L,F:F,F174)))</f>
        <v/>
      </c>
      <c r="O174" s="13" t="str">
        <f t="shared" si="18"/>
        <v/>
      </c>
      <c r="P174" s="35" t="str">
        <f>_xlfn.SINGLE(IF(F174="","",_xlfn.XLOOKUP(F174,purchase!D:D,purchase!K:K,"")))</f>
        <v/>
      </c>
      <c r="Q174" s="29" t="str">
        <f t="shared" si="19"/>
        <v/>
      </c>
      <c r="R174" s="37" t="str">
        <f t="shared" si="20"/>
        <v/>
      </c>
    </row>
    <row r="175" spans="1:18" x14ac:dyDescent="0.35">
      <c r="A175" s="8">
        <v>171</v>
      </c>
      <c r="B175" s="9" t="str">
        <f t="shared" si="14"/>
        <v/>
      </c>
      <c r="C175" s="10"/>
      <c r="D175" s="9" t="str">
        <f>IF(F175="","",_xlfn.XLOOKUP(F175,purchase!D:D,purchase!#REF!,""))</f>
        <v/>
      </c>
      <c r="E175" s="9" t="str">
        <f>IF(F175="","",_xlfn.XLOOKUP(F175,purchase!D:D,purchase!B:B,""))</f>
        <v/>
      </c>
      <c r="F175" s="2"/>
      <c r="G175" s="4" t="str">
        <f t="shared" si="15"/>
        <v/>
      </c>
      <c r="H175" s="4" t="str">
        <f>IF(F175="","",_xlfn.XLOOKUP(F175,purchase!D:D,purchase!#REF!,""))</f>
        <v/>
      </c>
      <c r="I175" s="4" t="str">
        <f t="shared" si="16"/>
        <v/>
      </c>
      <c r="J175" s="4" t="str">
        <f t="shared" si="17"/>
        <v/>
      </c>
      <c r="K175" s="13" t="str">
        <f>_xlfn.SINGLE(IF(F175="","",_xlfn.XLOOKUP(F175,purchase!D:D,purchase!#REF!,"")))</f>
        <v/>
      </c>
      <c r="L175" s="2"/>
      <c r="M175" s="32"/>
      <c r="N175" s="13" t="str">
        <f>IF(F175="","",
MAX(0,
_xlfn.XLOOKUP(F175,purchase!D:D,purchase!#REF!,"")
-
SUMIFS(L:L,F:F,F175)))</f>
        <v/>
      </c>
      <c r="O175" s="13" t="str">
        <f t="shared" si="18"/>
        <v/>
      </c>
      <c r="P175" s="35" t="str">
        <f>_xlfn.SINGLE(IF(F175="","",_xlfn.XLOOKUP(F175,purchase!D:D,purchase!K:K,"")))</f>
        <v/>
      </c>
      <c r="Q175" s="29" t="str">
        <f t="shared" si="19"/>
        <v/>
      </c>
      <c r="R175" s="37" t="str">
        <f t="shared" si="20"/>
        <v/>
      </c>
    </row>
    <row r="176" spans="1:18" x14ac:dyDescent="0.35">
      <c r="A176" s="8">
        <v>172</v>
      </c>
      <c r="B176" s="9" t="str">
        <f t="shared" si="14"/>
        <v/>
      </c>
      <c r="C176" s="10"/>
      <c r="D176" s="9" t="str">
        <f>IF(F176="","",_xlfn.XLOOKUP(F176,purchase!D:D,purchase!#REF!,""))</f>
        <v/>
      </c>
      <c r="E176" s="9" t="str">
        <f>IF(F176="","",_xlfn.XLOOKUP(F176,purchase!D:D,purchase!B:B,""))</f>
        <v/>
      </c>
      <c r="F176" s="2"/>
      <c r="G176" s="4" t="str">
        <f t="shared" si="15"/>
        <v/>
      </c>
      <c r="H176" s="4" t="str">
        <f>IF(F176="","",_xlfn.XLOOKUP(F176,purchase!D:D,purchase!#REF!,""))</f>
        <v/>
      </c>
      <c r="I176" s="4" t="str">
        <f t="shared" si="16"/>
        <v/>
      </c>
      <c r="J176" s="4" t="str">
        <f t="shared" si="17"/>
        <v/>
      </c>
      <c r="K176" s="13" t="str">
        <f>_xlfn.SINGLE(IF(F176="","",_xlfn.XLOOKUP(F176,purchase!D:D,purchase!#REF!,"")))</f>
        <v/>
      </c>
      <c r="L176" s="2"/>
      <c r="M176" s="32"/>
      <c r="N176" s="13" t="str">
        <f>IF(F176="","",
MAX(0,
_xlfn.XLOOKUP(F176,purchase!D:D,purchase!#REF!,"")
-
SUMIFS(L:L,F:F,F176)))</f>
        <v/>
      </c>
      <c r="O176" s="13" t="str">
        <f t="shared" si="18"/>
        <v/>
      </c>
      <c r="P176" s="35" t="str">
        <f>_xlfn.SINGLE(IF(F176="","",_xlfn.XLOOKUP(F176,purchase!D:D,purchase!K:K,"")))</f>
        <v/>
      </c>
      <c r="Q176" s="29" t="str">
        <f t="shared" si="19"/>
        <v/>
      </c>
      <c r="R176" s="37" t="str">
        <f t="shared" si="20"/>
        <v/>
      </c>
    </row>
    <row r="177" spans="1:18" x14ac:dyDescent="0.35">
      <c r="A177" s="8">
        <v>173</v>
      </c>
      <c r="B177" s="9" t="str">
        <f t="shared" si="14"/>
        <v/>
      </c>
      <c r="C177" s="10"/>
      <c r="D177" s="9" t="str">
        <f>IF(F177="","",_xlfn.XLOOKUP(F177,purchase!D:D,purchase!#REF!,""))</f>
        <v/>
      </c>
      <c r="E177" s="9" t="str">
        <f>IF(F177="","",_xlfn.XLOOKUP(F177,purchase!D:D,purchase!B:B,""))</f>
        <v/>
      </c>
      <c r="F177" s="2"/>
      <c r="G177" s="4" t="str">
        <f t="shared" si="15"/>
        <v/>
      </c>
      <c r="H177" s="4" t="str">
        <f>IF(F177="","",_xlfn.XLOOKUP(F177,purchase!D:D,purchase!#REF!,""))</f>
        <v/>
      </c>
      <c r="I177" s="4" t="str">
        <f t="shared" si="16"/>
        <v/>
      </c>
      <c r="J177" s="4" t="str">
        <f t="shared" si="17"/>
        <v/>
      </c>
      <c r="K177" s="13" t="str">
        <f>_xlfn.SINGLE(IF(F177="","",_xlfn.XLOOKUP(F177,purchase!D:D,purchase!#REF!,"")))</f>
        <v/>
      </c>
      <c r="L177" s="2"/>
      <c r="M177" s="32"/>
      <c r="N177" s="13" t="str">
        <f>IF(F177="","",
MAX(0,
_xlfn.XLOOKUP(F177,purchase!D:D,purchase!#REF!,"")
-
SUMIFS(L:L,F:F,F177)))</f>
        <v/>
      </c>
      <c r="O177" s="13" t="str">
        <f t="shared" si="18"/>
        <v/>
      </c>
      <c r="P177" s="35" t="str">
        <f>_xlfn.SINGLE(IF(F177="","",_xlfn.XLOOKUP(F177,purchase!D:D,purchase!K:K,"")))</f>
        <v/>
      </c>
      <c r="Q177" s="29" t="str">
        <f t="shared" si="19"/>
        <v/>
      </c>
      <c r="R177" s="37" t="str">
        <f t="shared" si="20"/>
        <v/>
      </c>
    </row>
    <row r="178" spans="1:18" x14ac:dyDescent="0.35">
      <c r="A178" s="8">
        <v>174</v>
      </c>
      <c r="B178" s="9" t="str">
        <f t="shared" si="14"/>
        <v/>
      </c>
      <c r="C178" s="10"/>
      <c r="D178" s="9" t="str">
        <f>IF(F178="","",_xlfn.XLOOKUP(F178,purchase!D:D,purchase!#REF!,""))</f>
        <v/>
      </c>
      <c r="E178" s="9" t="str">
        <f>IF(F178="","",_xlfn.XLOOKUP(F178,purchase!D:D,purchase!B:B,""))</f>
        <v/>
      </c>
      <c r="F178" s="2"/>
      <c r="G178" s="4" t="str">
        <f t="shared" si="15"/>
        <v/>
      </c>
      <c r="H178" s="4" t="str">
        <f>IF(F178="","",_xlfn.XLOOKUP(F178,purchase!D:D,purchase!#REF!,""))</f>
        <v/>
      </c>
      <c r="I178" s="4" t="str">
        <f t="shared" si="16"/>
        <v/>
      </c>
      <c r="J178" s="4" t="str">
        <f t="shared" si="17"/>
        <v/>
      </c>
      <c r="K178" s="13" t="str">
        <f>_xlfn.SINGLE(IF(F178="","",_xlfn.XLOOKUP(F178,purchase!D:D,purchase!#REF!,"")))</f>
        <v/>
      </c>
      <c r="L178" s="2"/>
      <c r="M178" s="32"/>
      <c r="N178" s="13" t="str">
        <f>IF(F178="","",
MAX(0,
_xlfn.XLOOKUP(F178,purchase!D:D,purchase!#REF!,"")
-
SUMIFS(L:L,F:F,F178)))</f>
        <v/>
      </c>
      <c r="O178" s="13" t="str">
        <f t="shared" si="18"/>
        <v/>
      </c>
      <c r="P178" s="35" t="str">
        <f>_xlfn.SINGLE(IF(F178="","",_xlfn.XLOOKUP(F178,purchase!D:D,purchase!K:K,"")))</f>
        <v/>
      </c>
      <c r="Q178" s="29" t="str">
        <f t="shared" si="19"/>
        <v/>
      </c>
      <c r="R178" s="37" t="str">
        <f t="shared" si="20"/>
        <v/>
      </c>
    </row>
    <row r="179" spans="1:18" x14ac:dyDescent="0.35">
      <c r="A179" s="8">
        <v>175</v>
      </c>
      <c r="B179" s="9" t="str">
        <f t="shared" si="14"/>
        <v/>
      </c>
      <c r="C179" s="10"/>
      <c r="D179" s="9" t="str">
        <f>IF(F179="","",_xlfn.XLOOKUP(F179,purchase!D:D,purchase!#REF!,""))</f>
        <v/>
      </c>
      <c r="E179" s="9" t="str">
        <f>IF(F179="","",_xlfn.XLOOKUP(F179,purchase!D:D,purchase!B:B,""))</f>
        <v/>
      </c>
      <c r="F179" s="2"/>
      <c r="G179" s="4" t="str">
        <f t="shared" si="15"/>
        <v/>
      </c>
      <c r="H179" s="4" t="str">
        <f>IF(F179="","",_xlfn.XLOOKUP(F179,purchase!D:D,purchase!#REF!,""))</f>
        <v/>
      </c>
      <c r="I179" s="4" t="str">
        <f t="shared" si="16"/>
        <v/>
      </c>
      <c r="J179" s="4" t="str">
        <f t="shared" si="17"/>
        <v/>
      </c>
      <c r="K179" s="13" t="str">
        <f>_xlfn.SINGLE(IF(F179="","",_xlfn.XLOOKUP(F179,purchase!D:D,purchase!#REF!,"")))</f>
        <v/>
      </c>
      <c r="L179" s="2"/>
      <c r="M179" s="32"/>
      <c r="N179" s="13" t="str">
        <f>IF(F179="","",
MAX(0,
_xlfn.XLOOKUP(F179,purchase!D:D,purchase!#REF!,"")
-
SUMIFS(L:L,F:F,F179)))</f>
        <v/>
      </c>
      <c r="O179" s="13" t="str">
        <f t="shared" si="18"/>
        <v/>
      </c>
      <c r="P179" s="35" t="str">
        <f>_xlfn.SINGLE(IF(F179="","",_xlfn.XLOOKUP(F179,purchase!D:D,purchase!K:K,"")))</f>
        <v/>
      </c>
      <c r="Q179" s="29" t="str">
        <f t="shared" si="19"/>
        <v/>
      </c>
      <c r="R179" s="37" t="str">
        <f t="shared" si="20"/>
        <v/>
      </c>
    </row>
    <row r="180" spans="1:18" x14ac:dyDescent="0.35">
      <c r="A180" s="8">
        <v>176</v>
      </c>
      <c r="B180" s="9" t="str">
        <f t="shared" si="14"/>
        <v/>
      </c>
      <c r="C180" s="10"/>
      <c r="D180" s="9" t="str">
        <f>IF(F180="","",_xlfn.XLOOKUP(F180,purchase!D:D,purchase!#REF!,""))</f>
        <v/>
      </c>
      <c r="E180" s="9" t="str">
        <f>IF(F180="","",_xlfn.XLOOKUP(F180,purchase!D:D,purchase!B:B,""))</f>
        <v/>
      </c>
      <c r="F180" s="2"/>
      <c r="G180" s="4" t="str">
        <f t="shared" si="15"/>
        <v/>
      </c>
      <c r="H180" s="4" t="str">
        <f>IF(F180="","",_xlfn.XLOOKUP(F180,purchase!D:D,purchase!#REF!,""))</f>
        <v/>
      </c>
      <c r="I180" s="4" t="str">
        <f t="shared" si="16"/>
        <v/>
      </c>
      <c r="J180" s="4" t="str">
        <f t="shared" si="17"/>
        <v/>
      </c>
      <c r="K180" s="13" t="str">
        <f>_xlfn.SINGLE(IF(F180="","",_xlfn.XLOOKUP(F180,purchase!D:D,purchase!#REF!,"")))</f>
        <v/>
      </c>
      <c r="L180" s="2"/>
      <c r="M180" s="32"/>
      <c r="N180" s="13" t="str">
        <f>IF(F180="","",
MAX(0,
_xlfn.XLOOKUP(F180,purchase!D:D,purchase!#REF!,"")
-
SUMIFS(L:L,F:F,F180)))</f>
        <v/>
      </c>
      <c r="O180" s="13" t="str">
        <f t="shared" si="18"/>
        <v/>
      </c>
      <c r="P180" s="35" t="str">
        <f>_xlfn.SINGLE(IF(F180="","",_xlfn.XLOOKUP(F180,purchase!D:D,purchase!K:K,"")))</f>
        <v/>
      </c>
      <c r="Q180" s="29" t="str">
        <f t="shared" si="19"/>
        <v/>
      </c>
      <c r="R180" s="37" t="str">
        <f t="shared" si="20"/>
        <v/>
      </c>
    </row>
    <row r="181" spans="1:18" x14ac:dyDescent="0.35">
      <c r="A181" s="8">
        <v>177</v>
      </c>
      <c r="B181" s="9" t="str">
        <f t="shared" si="14"/>
        <v/>
      </c>
      <c r="C181" s="10"/>
      <c r="D181" s="9" t="str">
        <f>IF(F181="","",_xlfn.XLOOKUP(F181,purchase!D:D,purchase!#REF!,""))</f>
        <v/>
      </c>
      <c r="E181" s="9" t="str">
        <f>IF(F181="","",_xlfn.XLOOKUP(F181,purchase!D:D,purchase!B:B,""))</f>
        <v/>
      </c>
      <c r="F181" s="2"/>
      <c r="G181" s="4" t="str">
        <f t="shared" si="15"/>
        <v/>
      </c>
      <c r="H181" s="4" t="str">
        <f>IF(F181="","",_xlfn.XLOOKUP(F181,purchase!D:D,purchase!#REF!,""))</f>
        <v/>
      </c>
      <c r="I181" s="4" t="str">
        <f t="shared" si="16"/>
        <v/>
      </c>
      <c r="J181" s="4" t="str">
        <f t="shared" si="17"/>
        <v/>
      </c>
      <c r="K181" s="13" t="str">
        <f>_xlfn.SINGLE(IF(F181="","",_xlfn.XLOOKUP(F181,purchase!D:D,purchase!#REF!,"")))</f>
        <v/>
      </c>
      <c r="L181" s="2"/>
      <c r="M181" s="32"/>
      <c r="N181" s="13" t="str">
        <f>IF(F181="","",
MAX(0,
_xlfn.XLOOKUP(F181,purchase!D:D,purchase!#REF!,"")
-
SUMIFS(L:L,F:F,F181)))</f>
        <v/>
      </c>
      <c r="O181" s="13" t="str">
        <f t="shared" si="18"/>
        <v/>
      </c>
      <c r="P181" s="35" t="str">
        <f>_xlfn.SINGLE(IF(F181="","",_xlfn.XLOOKUP(F181,purchase!D:D,purchase!K:K,"")))</f>
        <v/>
      </c>
      <c r="Q181" s="29" t="str">
        <f t="shared" si="19"/>
        <v/>
      </c>
      <c r="R181" s="37" t="str">
        <f t="shared" si="20"/>
        <v/>
      </c>
    </row>
    <row r="182" spans="1:18" x14ac:dyDescent="0.35">
      <c r="A182" s="8">
        <v>178</v>
      </c>
      <c r="B182" s="9" t="str">
        <f t="shared" si="14"/>
        <v/>
      </c>
      <c r="C182" s="10"/>
      <c r="D182" s="9" t="str">
        <f>IF(F182="","",_xlfn.XLOOKUP(F182,purchase!D:D,purchase!#REF!,""))</f>
        <v/>
      </c>
      <c r="E182" s="9" t="str">
        <f>IF(F182="","",_xlfn.XLOOKUP(F182,purchase!D:D,purchase!B:B,""))</f>
        <v/>
      </c>
      <c r="F182" s="2"/>
      <c r="G182" s="4" t="str">
        <f t="shared" si="15"/>
        <v/>
      </c>
      <c r="H182" s="4" t="str">
        <f>IF(F182="","",_xlfn.XLOOKUP(F182,purchase!D:D,purchase!#REF!,""))</f>
        <v/>
      </c>
      <c r="I182" s="4" t="str">
        <f t="shared" si="16"/>
        <v/>
      </c>
      <c r="J182" s="4" t="str">
        <f t="shared" si="17"/>
        <v/>
      </c>
      <c r="K182" s="13" t="str">
        <f>_xlfn.SINGLE(IF(F182="","",_xlfn.XLOOKUP(F182,purchase!D:D,purchase!#REF!,"")))</f>
        <v/>
      </c>
      <c r="L182" s="2"/>
      <c r="M182" s="32"/>
      <c r="N182" s="13" t="str">
        <f>IF(F182="","",
MAX(0,
_xlfn.XLOOKUP(F182,purchase!D:D,purchase!#REF!,"")
-
SUMIFS(L:L,F:F,F182)))</f>
        <v/>
      </c>
      <c r="O182" s="13" t="str">
        <f t="shared" si="18"/>
        <v/>
      </c>
      <c r="P182" s="35" t="str">
        <f>_xlfn.SINGLE(IF(F182="","",_xlfn.XLOOKUP(F182,purchase!D:D,purchase!K:K,"")))</f>
        <v/>
      </c>
      <c r="Q182" s="29" t="str">
        <f t="shared" si="19"/>
        <v/>
      </c>
      <c r="R182" s="37" t="str">
        <f t="shared" si="20"/>
        <v/>
      </c>
    </row>
    <row r="183" spans="1:18" x14ac:dyDescent="0.35">
      <c r="A183" s="8">
        <v>179</v>
      </c>
      <c r="B183" s="9" t="str">
        <f t="shared" si="14"/>
        <v/>
      </c>
      <c r="C183" s="10"/>
      <c r="D183" s="9" t="str">
        <f>IF(F183="","",_xlfn.XLOOKUP(F183,purchase!D:D,purchase!#REF!,""))</f>
        <v/>
      </c>
      <c r="E183" s="9" t="str">
        <f>IF(F183="","",_xlfn.XLOOKUP(F183,purchase!D:D,purchase!B:B,""))</f>
        <v/>
      </c>
      <c r="F183" s="2"/>
      <c r="G183" s="4" t="str">
        <f t="shared" si="15"/>
        <v/>
      </c>
      <c r="H183" s="4" t="str">
        <f>IF(F183="","",_xlfn.XLOOKUP(F183,purchase!D:D,purchase!#REF!,""))</f>
        <v/>
      </c>
      <c r="I183" s="4" t="str">
        <f t="shared" si="16"/>
        <v/>
      </c>
      <c r="J183" s="4" t="str">
        <f t="shared" si="17"/>
        <v/>
      </c>
      <c r="K183" s="13" t="str">
        <f>_xlfn.SINGLE(IF(F183="","",_xlfn.XLOOKUP(F183,purchase!D:D,purchase!#REF!,"")))</f>
        <v/>
      </c>
      <c r="L183" s="2"/>
      <c r="M183" s="32"/>
      <c r="N183" s="13" t="str">
        <f>IF(F183="","",
MAX(0,
_xlfn.XLOOKUP(F183,purchase!D:D,purchase!#REF!,"")
-
SUMIFS(L:L,F:F,F183)))</f>
        <v/>
      </c>
      <c r="O183" s="13" t="str">
        <f t="shared" si="18"/>
        <v/>
      </c>
      <c r="P183" s="35" t="str">
        <f>_xlfn.SINGLE(IF(F183="","",_xlfn.XLOOKUP(F183,purchase!D:D,purchase!K:K,"")))</f>
        <v/>
      </c>
      <c r="Q183" s="29" t="str">
        <f t="shared" si="19"/>
        <v/>
      </c>
      <c r="R183" s="37" t="str">
        <f t="shared" si="20"/>
        <v/>
      </c>
    </row>
    <row r="184" spans="1:18" x14ac:dyDescent="0.35">
      <c r="A184" s="8">
        <v>180</v>
      </c>
      <c r="B184" s="9" t="str">
        <f t="shared" si="14"/>
        <v/>
      </c>
      <c r="C184" s="10"/>
      <c r="D184" s="9" t="str">
        <f>IF(F184="","",_xlfn.XLOOKUP(F184,purchase!D:D,purchase!#REF!,""))</f>
        <v/>
      </c>
      <c r="E184" s="9" t="str">
        <f>IF(F184="","",_xlfn.XLOOKUP(F184,purchase!D:D,purchase!B:B,""))</f>
        <v/>
      </c>
      <c r="F184" s="2"/>
      <c r="G184" s="4" t="str">
        <f t="shared" si="15"/>
        <v/>
      </c>
      <c r="H184" s="4" t="str">
        <f>IF(F184="","",_xlfn.XLOOKUP(F184,purchase!D:D,purchase!#REF!,""))</f>
        <v/>
      </c>
      <c r="I184" s="4" t="str">
        <f t="shared" si="16"/>
        <v/>
      </c>
      <c r="J184" s="4" t="str">
        <f t="shared" si="17"/>
        <v/>
      </c>
      <c r="K184" s="13" t="str">
        <f>_xlfn.SINGLE(IF(F184="","",_xlfn.XLOOKUP(F184,purchase!D:D,purchase!#REF!,"")))</f>
        <v/>
      </c>
      <c r="L184" s="2"/>
      <c r="M184" s="32"/>
      <c r="N184" s="13" t="str">
        <f>IF(F184="","",
MAX(0,
_xlfn.XLOOKUP(F184,purchase!D:D,purchase!#REF!,"")
-
SUMIFS(L:L,F:F,F184)))</f>
        <v/>
      </c>
      <c r="O184" s="13" t="str">
        <f t="shared" si="18"/>
        <v/>
      </c>
      <c r="P184" s="35" t="str">
        <f>_xlfn.SINGLE(IF(F184="","",_xlfn.XLOOKUP(F184,purchase!D:D,purchase!K:K,"")))</f>
        <v/>
      </c>
      <c r="Q184" s="29" t="str">
        <f t="shared" si="19"/>
        <v/>
      </c>
      <c r="R184" s="37" t="str">
        <f t="shared" si="20"/>
        <v/>
      </c>
    </row>
    <row r="185" spans="1:18" x14ac:dyDescent="0.35">
      <c r="A185" s="8">
        <v>181</v>
      </c>
      <c r="B185" s="9" t="str">
        <f t="shared" si="14"/>
        <v/>
      </c>
      <c r="C185" s="10"/>
      <c r="D185" s="9" t="str">
        <f>IF(F185="","",_xlfn.XLOOKUP(F185,purchase!D:D,purchase!#REF!,""))</f>
        <v/>
      </c>
      <c r="E185" s="9" t="str">
        <f>IF(F185="","",_xlfn.XLOOKUP(F185,purchase!D:D,purchase!B:B,""))</f>
        <v/>
      </c>
      <c r="F185" s="2"/>
      <c r="G185" s="4" t="str">
        <f t="shared" si="15"/>
        <v/>
      </c>
      <c r="H185" s="4" t="str">
        <f>IF(F185="","",_xlfn.XLOOKUP(F185,purchase!D:D,purchase!#REF!,""))</f>
        <v/>
      </c>
      <c r="I185" s="4" t="str">
        <f t="shared" si="16"/>
        <v/>
      </c>
      <c r="J185" s="4" t="str">
        <f t="shared" si="17"/>
        <v/>
      </c>
      <c r="K185" s="13" t="str">
        <f>_xlfn.SINGLE(IF(F185="","",_xlfn.XLOOKUP(F185,purchase!D:D,purchase!#REF!,"")))</f>
        <v/>
      </c>
      <c r="L185" s="2"/>
      <c r="M185" s="32"/>
      <c r="N185" s="13" t="str">
        <f>IF(F185="","",
MAX(0,
_xlfn.XLOOKUP(F185,purchase!D:D,purchase!#REF!,"")
-
SUMIFS(L:L,F:F,F185)))</f>
        <v/>
      </c>
      <c r="O185" s="13" t="str">
        <f t="shared" si="18"/>
        <v/>
      </c>
      <c r="P185" s="35" t="str">
        <f>_xlfn.SINGLE(IF(F185="","",_xlfn.XLOOKUP(F185,purchase!D:D,purchase!K:K,"")))</f>
        <v/>
      </c>
      <c r="Q185" s="29" t="str">
        <f t="shared" si="19"/>
        <v/>
      </c>
      <c r="R185" s="37" t="str">
        <f t="shared" si="20"/>
        <v/>
      </c>
    </row>
    <row r="186" spans="1:18" x14ac:dyDescent="0.35">
      <c r="A186" s="8">
        <v>182</v>
      </c>
      <c r="B186" s="9" t="str">
        <f t="shared" si="14"/>
        <v/>
      </c>
      <c r="C186" s="10"/>
      <c r="D186" s="9" t="str">
        <f>IF(F186="","",_xlfn.XLOOKUP(F186,purchase!D:D,purchase!#REF!,""))</f>
        <v/>
      </c>
      <c r="E186" s="9" t="str">
        <f>IF(F186="","",_xlfn.XLOOKUP(F186,purchase!D:D,purchase!B:B,""))</f>
        <v/>
      </c>
      <c r="F186" s="2"/>
      <c r="G186" s="4" t="str">
        <f t="shared" si="15"/>
        <v/>
      </c>
      <c r="H186" s="4" t="str">
        <f>IF(F186="","",_xlfn.XLOOKUP(F186,purchase!D:D,purchase!#REF!,""))</f>
        <v/>
      </c>
      <c r="I186" s="4" t="str">
        <f t="shared" si="16"/>
        <v/>
      </c>
      <c r="J186" s="4" t="str">
        <f t="shared" si="17"/>
        <v/>
      </c>
      <c r="K186" s="13" t="str">
        <f>_xlfn.SINGLE(IF(F186="","",_xlfn.XLOOKUP(F186,purchase!D:D,purchase!#REF!,"")))</f>
        <v/>
      </c>
      <c r="L186" s="2"/>
      <c r="M186" s="32"/>
      <c r="N186" s="13" t="str">
        <f>IF(F186="","",
MAX(0,
_xlfn.XLOOKUP(F186,purchase!D:D,purchase!#REF!,"")
-
SUMIFS(L:L,F:F,F186)))</f>
        <v/>
      </c>
      <c r="O186" s="13" t="str">
        <f t="shared" si="18"/>
        <v/>
      </c>
      <c r="P186" s="35" t="str">
        <f>_xlfn.SINGLE(IF(F186="","",_xlfn.XLOOKUP(F186,purchase!D:D,purchase!K:K,"")))</f>
        <v/>
      </c>
      <c r="Q186" s="29" t="str">
        <f t="shared" si="19"/>
        <v/>
      </c>
      <c r="R186" s="37" t="str">
        <f t="shared" si="20"/>
        <v/>
      </c>
    </row>
    <row r="187" spans="1:18" x14ac:dyDescent="0.35">
      <c r="A187" s="8">
        <v>183</v>
      </c>
      <c r="B187" s="9" t="str">
        <f t="shared" si="14"/>
        <v/>
      </c>
      <c r="C187" s="10"/>
      <c r="D187" s="9" t="str">
        <f>IF(F187="","",_xlfn.XLOOKUP(F187,purchase!D:D,purchase!#REF!,""))</f>
        <v/>
      </c>
      <c r="E187" s="9" t="str">
        <f>IF(F187="","",_xlfn.XLOOKUP(F187,purchase!D:D,purchase!B:B,""))</f>
        <v/>
      </c>
      <c r="F187" s="2"/>
      <c r="G187" s="4" t="str">
        <f t="shared" si="15"/>
        <v/>
      </c>
      <c r="H187" s="4" t="str">
        <f>IF(F187="","",_xlfn.XLOOKUP(F187,purchase!D:D,purchase!#REF!,""))</f>
        <v/>
      </c>
      <c r="I187" s="4" t="str">
        <f t="shared" si="16"/>
        <v/>
      </c>
      <c r="J187" s="4" t="str">
        <f t="shared" si="17"/>
        <v/>
      </c>
      <c r="K187" s="13" t="str">
        <f>_xlfn.SINGLE(IF(F187="","",_xlfn.XLOOKUP(F187,purchase!D:D,purchase!#REF!,"")))</f>
        <v/>
      </c>
      <c r="L187" s="2"/>
      <c r="M187" s="32"/>
      <c r="N187" s="13" t="str">
        <f>IF(F187="","",
MAX(0,
_xlfn.XLOOKUP(F187,purchase!D:D,purchase!#REF!,"")
-
SUMIFS(L:L,F:F,F187)))</f>
        <v/>
      </c>
      <c r="O187" s="13" t="str">
        <f t="shared" si="18"/>
        <v/>
      </c>
      <c r="P187" s="35" t="str">
        <f>_xlfn.SINGLE(IF(F187="","",_xlfn.XLOOKUP(F187,purchase!D:D,purchase!K:K,"")))</f>
        <v/>
      </c>
      <c r="Q187" s="29" t="str">
        <f t="shared" si="19"/>
        <v/>
      </c>
      <c r="R187" s="37" t="str">
        <f t="shared" si="20"/>
        <v/>
      </c>
    </row>
    <row r="188" spans="1:18" x14ac:dyDescent="0.35">
      <c r="A188" s="8">
        <v>184</v>
      </c>
      <c r="B188" s="9" t="str">
        <f t="shared" si="14"/>
        <v/>
      </c>
      <c r="C188" s="10"/>
      <c r="D188" s="9" t="str">
        <f>IF(F188="","",_xlfn.XLOOKUP(F188,purchase!D:D,purchase!#REF!,""))</f>
        <v/>
      </c>
      <c r="E188" s="9" t="str">
        <f>IF(F188="","",_xlfn.XLOOKUP(F188,purchase!D:D,purchase!B:B,""))</f>
        <v/>
      </c>
      <c r="F188" s="2"/>
      <c r="G188" s="4" t="str">
        <f t="shared" si="15"/>
        <v/>
      </c>
      <c r="H188" s="4" t="str">
        <f>IF(F188="","",_xlfn.XLOOKUP(F188,purchase!D:D,purchase!#REF!,""))</f>
        <v/>
      </c>
      <c r="I188" s="4" t="str">
        <f t="shared" si="16"/>
        <v/>
      </c>
      <c r="J188" s="4" t="str">
        <f t="shared" si="17"/>
        <v/>
      </c>
      <c r="K188" s="13" t="str">
        <f>_xlfn.SINGLE(IF(F188="","",_xlfn.XLOOKUP(F188,purchase!D:D,purchase!#REF!,"")))</f>
        <v/>
      </c>
      <c r="L188" s="2"/>
      <c r="M188" s="32"/>
      <c r="N188" s="13" t="str">
        <f>IF(F188="","",
MAX(0,
_xlfn.XLOOKUP(F188,purchase!D:D,purchase!#REF!,"")
-
SUMIFS(L:L,F:F,F188)))</f>
        <v/>
      </c>
      <c r="O188" s="13" t="str">
        <f t="shared" si="18"/>
        <v/>
      </c>
      <c r="P188" s="35" t="str">
        <f>_xlfn.SINGLE(IF(F188="","",_xlfn.XLOOKUP(F188,purchase!D:D,purchase!K:K,"")))</f>
        <v/>
      </c>
      <c r="Q188" s="29" t="str">
        <f t="shared" si="19"/>
        <v/>
      </c>
      <c r="R188" s="37" t="str">
        <f t="shared" si="20"/>
        <v/>
      </c>
    </row>
    <row r="189" spans="1:18" x14ac:dyDescent="0.35">
      <c r="A189" s="8">
        <v>185</v>
      </c>
      <c r="B189" s="9" t="str">
        <f t="shared" si="14"/>
        <v/>
      </c>
      <c r="C189" s="10"/>
      <c r="D189" s="9" t="str">
        <f>IF(F189="","",_xlfn.XLOOKUP(F189,purchase!D:D,purchase!#REF!,""))</f>
        <v/>
      </c>
      <c r="E189" s="9" t="str">
        <f>IF(F189="","",_xlfn.XLOOKUP(F189,purchase!D:D,purchase!B:B,""))</f>
        <v/>
      </c>
      <c r="F189" s="2"/>
      <c r="G189" s="4" t="str">
        <f t="shared" si="15"/>
        <v/>
      </c>
      <c r="H189" s="4" t="str">
        <f>IF(F189="","",_xlfn.XLOOKUP(F189,purchase!D:D,purchase!#REF!,""))</f>
        <v/>
      </c>
      <c r="I189" s="4" t="str">
        <f t="shared" si="16"/>
        <v/>
      </c>
      <c r="J189" s="4" t="str">
        <f t="shared" si="17"/>
        <v/>
      </c>
      <c r="K189" s="13" t="str">
        <f>_xlfn.SINGLE(IF(F189="","",_xlfn.XLOOKUP(F189,purchase!D:D,purchase!#REF!,"")))</f>
        <v/>
      </c>
      <c r="L189" s="2"/>
      <c r="M189" s="32"/>
      <c r="N189" s="13" t="str">
        <f>IF(F189="","",
MAX(0,
_xlfn.XLOOKUP(F189,purchase!D:D,purchase!#REF!,"")
-
SUMIFS(L:L,F:F,F189)))</f>
        <v/>
      </c>
      <c r="O189" s="13" t="str">
        <f t="shared" si="18"/>
        <v/>
      </c>
      <c r="P189" s="35" t="str">
        <f>_xlfn.SINGLE(IF(F189="","",_xlfn.XLOOKUP(F189,purchase!D:D,purchase!K:K,"")))</f>
        <v/>
      </c>
      <c r="Q189" s="29" t="str">
        <f t="shared" si="19"/>
        <v/>
      </c>
      <c r="R189" s="37" t="str">
        <f t="shared" si="20"/>
        <v/>
      </c>
    </row>
    <row r="190" spans="1:18" x14ac:dyDescent="0.35">
      <c r="A190" s="8">
        <v>186</v>
      </c>
      <c r="B190" s="9" t="str">
        <f t="shared" si="14"/>
        <v/>
      </c>
      <c r="C190" s="10"/>
      <c r="D190" s="9" t="str">
        <f>IF(F190="","",_xlfn.XLOOKUP(F190,purchase!D:D,purchase!#REF!,""))</f>
        <v/>
      </c>
      <c r="E190" s="9" t="str">
        <f>IF(F190="","",_xlfn.XLOOKUP(F190,purchase!D:D,purchase!B:B,""))</f>
        <v/>
      </c>
      <c r="F190" s="2"/>
      <c r="G190" s="4" t="str">
        <f t="shared" si="15"/>
        <v/>
      </c>
      <c r="H190" s="4" t="str">
        <f>IF(F190="","",_xlfn.XLOOKUP(F190,purchase!D:D,purchase!#REF!,""))</f>
        <v/>
      </c>
      <c r="I190" s="4" t="str">
        <f t="shared" si="16"/>
        <v/>
      </c>
      <c r="J190" s="4" t="str">
        <f t="shared" si="17"/>
        <v/>
      </c>
      <c r="K190" s="13" t="str">
        <f>_xlfn.SINGLE(IF(F190="","",_xlfn.XLOOKUP(F190,purchase!D:D,purchase!#REF!,"")))</f>
        <v/>
      </c>
      <c r="L190" s="2"/>
      <c r="M190" s="32"/>
      <c r="N190" s="13" t="str">
        <f>IF(F190="","",
MAX(0,
_xlfn.XLOOKUP(F190,purchase!D:D,purchase!#REF!,"")
-
SUMIFS(L:L,F:F,F190)))</f>
        <v/>
      </c>
      <c r="O190" s="13" t="str">
        <f t="shared" si="18"/>
        <v/>
      </c>
      <c r="P190" s="35" t="str">
        <f>_xlfn.SINGLE(IF(F190="","",_xlfn.XLOOKUP(F190,purchase!D:D,purchase!K:K,"")))</f>
        <v/>
      </c>
      <c r="Q190" s="29" t="str">
        <f t="shared" si="19"/>
        <v/>
      </c>
      <c r="R190" s="37" t="str">
        <f t="shared" si="20"/>
        <v/>
      </c>
    </row>
    <row r="191" spans="1:18" x14ac:dyDescent="0.35">
      <c r="A191" s="8">
        <v>187</v>
      </c>
      <c r="B191" s="9" t="str">
        <f t="shared" si="14"/>
        <v/>
      </c>
      <c r="C191" s="10"/>
      <c r="D191" s="9" t="str">
        <f>IF(F191="","",_xlfn.XLOOKUP(F191,purchase!D:D,purchase!#REF!,""))</f>
        <v/>
      </c>
      <c r="E191" s="9" t="str">
        <f>IF(F191="","",_xlfn.XLOOKUP(F191,purchase!D:D,purchase!B:B,""))</f>
        <v/>
      </c>
      <c r="F191" s="2"/>
      <c r="G191" s="4" t="str">
        <f t="shared" si="15"/>
        <v/>
      </c>
      <c r="H191" s="4" t="str">
        <f>IF(F191="","",_xlfn.XLOOKUP(F191,purchase!D:D,purchase!#REF!,""))</f>
        <v/>
      </c>
      <c r="I191" s="4" t="str">
        <f t="shared" si="16"/>
        <v/>
      </c>
      <c r="J191" s="4" t="str">
        <f t="shared" si="17"/>
        <v/>
      </c>
      <c r="K191" s="13" t="str">
        <f>_xlfn.SINGLE(IF(F191="","",_xlfn.XLOOKUP(F191,purchase!D:D,purchase!#REF!,"")))</f>
        <v/>
      </c>
      <c r="L191" s="2"/>
      <c r="M191" s="32"/>
      <c r="N191" s="13" t="str">
        <f>IF(F191="","",
MAX(0,
_xlfn.XLOOKUP(F191,purchase!D:D,purchase!#REF!,"")
-
SUMIFS(L:L,F:F,F191)))</f>
        <v/>
      </c>
      <c r="O191" s="13" t="str">
        <f t="shared" si="18"/>
        <v/>
      </c>
      <c r="P191" s="35" t="str">
        <f>_xlfn.SINGLE(IF(F191="","",_xlfn.XLOOKUP(F191,purchase!D:D,purchase!K:K,"")))</f>
        <v/>
      </c>
      <c r="Q191" s="29" t="str">
        <f t="shared" si="19"/>
        <v/>
      </c>
      <c r="R191" s="37" t="str">
        <f t="shared" si="20"/>
        <v/>
      </c>
    </row>
    <row r="192" spans="1:18" x14ac:dyDescent="0.35">
      <c r="A192" s="8">
        <v>188</v>
      </c>
      <c r="B192" s="9" t="str">
        <f t="shared" si="14"/>
        <v/>
      </c>
      <c r="C192" s="10"/>
      <c r="D192" s="9" t="str">
        <f>IF(F192="","",_xlfn.XLOOKUP(F192,purchase!D:D,purchase!#REF!,""))</f>
        <v/>
      </c>
      <c r="E192" s="9" t="str">
        <f>IF(F192="","",_xlfn.XLOOKUP(F192,purchase!D:D,purchase!B:B,""))</f>
        <v/>
      </c>
      <c r="F192" s="2"/>
      <c r="G192" s="4" t="str">
        <f t="shared" si="15"/>
        <v/>
      </c>
      <c r="H192" s="4" t="str">
        <f>IF(F192="","",_xlfn.XLOOKUP(F192,purchase!D:D,purchase!#REF!,""))</f>
        <v/>
      </c>
      <c r="I192" s="4" t="str">
        <f t="shared" si="16"/>
        <v/>
      </c>
      <c r="J192" s="4" t="str">
        <f t="shared" si="17"/>
        <v/>
      </c>
      <c r="K192" s="13" t="str">
        <f>_xlfn.SINGLE(IF(F192="","",_xlfn.XLOOKUP(F192,purchase!D:D,purchase!#REF!,"")))</f>
        <v/>
      </c>
      <c r="L192" s="2"/>
      <c r="M192" s="32"/>
      <c r="N192" s="13" t="str">
        <f>IF(F192="","",
MAX(0,
_xlfn.XLOOKUP(F192,purchase!D:D,purchase!#REF!,"")
-
SUMIFS(L:L,F:F,F192)))</f>
        <v/>
      </c>
      <c r="O192" s="13" t="str">
        <f t="shared" si="18"/>
        <v/>
      </c>
      <c r="P192" s="35" t="str">
        <f>_xlfn.SINGLE(IF(F192="","",_xlfn.XLOOKUP(F192,purchase!D:D,purchase!K:K,"")))</f>
        <v/>
      </c>
      <c r="Q192" s="29" t="str">
        <f t="shared" si="19"/>
        <v/>
      </c>
      <c r="R192" s="37" t="str">
        <f t="shared" si="20"/>
        <v/>
      </c>
    </row>
    <row r="193" spans="1:18" x14ac:dyDescent="0.35">
      <c r="A193" s="8">
        <v>189</v>
      </c>
      <c r="B193" s="9" t="str">
        <f t="shared" si="14"/>
        <v/>
      </c>
      <c r="C193" s="10"/>
      <c r="D193" s="9" t="str">
        <f>IF(F193="","",_xlfn.XLOOKUP(F193,purchase!D:D,purchase!#REF!,""))</f>
        <v/>
      </c>
      <c r="E193" s="9" t="str">
        <f>IF(F193="","",_xlfn.XLOOKUP(F193,purchase!D:D,purchase!B:B,""))</f>
        <v/>
      </c>
      <c r="F193" s="2"/>
      <c r="G193" s="4" t="str">
        <f t="shared" si="15"/>
        <v/>
      </c>
      <c r="H193" s="4" t="str">
        <f>IF(F193="","",_xlfn.XLOOKUP(F193,purchase!D:D,purchase!#REF!,""))</f>
        <v/>
      </c>
      <c r="I193" s="4" t="str">
        <f t="shared" si="16"/>
        <v/>
      </c>
      <c r="J193" s="4" t="str">
        <f t="shared" si="17"/>
        <v/>
      </c>
      <c r="K193" s="13" t="str">
        <f>_xlfn.SINGLE(IF(F193="","",_xlfn.XLOOKUP(F193,purchase!D:D,purchase!#REF!,"")))</f>
        <v/>
      </c>
      <c r="L193" s="2"/>
      <c r="M193" s="32"/>
      <c r="N193" s="13" t="str">
        <f>IF(F193="","",
MAX(0,
_xlfn.XLOOKUP(F193,purchase!D:D,purchase!#REF!,"")
-
SUMIFS(L:L,F:F,F193)))</f>
        <v/>
      </c>
      <c r="O193" s="13" t="str">
        <f t="shared" si="18"/>
        <v/>
      </c>
      <c r="P193" s="35" t="str">
        <f>_xlfn.SINGLE(IF(F193="","",_xlfn.XLOOKUP(F193,purchase!D:D,purchase!K:K,"")))</f>
        <v/>
      </c>
      <c r="Q193" s="29" t="str">
        <f t="shared" si="19"/>
        <v/>
      </c>
      <c r="R193" s="37" t="str">
        <f t="shared" si="20"/>
        <v/>
      </c>
    </row>
    <row r="194" spans="1:18" x14ac:dyDescent="0.35">
      <c r="A194" s="8">
        <v>190</v>
      </c>
      <c r="B194" s="9" t="str">
        <f t="shared" si="14"/>
        <v/>
      </c>
      <c r="C194" s="10"/>
      <c r="D194" s="9" t="str">
        <f>IF(F194="","",_xlfn.XLOOKUP(F194,purchase!D:D,purchase!#REF!,""))</f>
        <v/>
      </c>
      <c r="E194" s="9" t="str">
        <f>IF(F194="","",_xlfn.XLOOKUP(F194,purchase!D:D,purchase!B:B,""))</f>
        <v/>
      </c>
      <c r="F194" s="2"/>
      <c r="G194" s="4" t="str">
        <f t="shared" si="15"/>
        <v/>
      </c>
      <c r="H194" s="4" t="str">
        <f>IF(F194="","",_xlfn.XLOOKUP(F194,purchase!D:D,purchase!#REF!,""))</f>
        <v/>
      </c>
      <c r="I194" s="4" t="str">
        <f t="shared" si="16"/>
        <v/>
      </c>
      <c r="J194" s="4" t="str">
        <f t="shared" si="17"/>
        <v/>
      </c>
      <c r="K194" s="13" t="str">
        <f>_xlfn.SINGLE(IF(F194="","",_xlfn.XLOOKUP(F194,purchase!D:D,purchase!#REF!,"")))</f>
        <v/>
      </c>
      <c r="L194" s="2"/>
      <c r="M194" s="32"/>
      <c r="N194" s="13" t="str">
        <f>IF(F194="","",
MAX(0,
_xlfn.XLOOKUP(F194,purchase!D:D,purchase!#REF!,"")
-
SUMIFS(L:L,F:F,F194)))</f>
        <v/>
      </c>
      <c r="O194" s="13" t="str">
        <f t="shared" si="18"/>
        <v/>
      </c>
      <c r="P194" s="35" t="str">
        <f>_xlfn.SINGLE(IF(F194="","",_xlfn.XLOOKUP(F194,purchase!D:D,purchase!K:K,"")))</f>
        <v/>
      </c>
      <c r="Q194" s="29" t="str">
        <f t="shared" si="19"/>
        <v/>
      </c>
      <c r="R194" s="37" t="str">
        <f t="shared" si="20"/>
        <v/>
      </c>
    </row>
    <row r="195" spans="1:18" x14ac:dyDescent="0.35">
      <c r="A195" s="8">
        <v>191</v>
      </c>
      <c r="B195" s="9" t="str">
        <f t="shared" si="14"/>
        <v/>
      </c>
      <c r="C195" s="10"/>
      <c r="D195" s="9" t="str">
        <f>IF(F195="","",_xlfn.XLOOKUP(F195,purchase!D:D,purchase!#REF!,""))</f>
        <v/>
      </c>
      <c r="E195" s="9" t="str">
        <f>IF(F195="","",_xlfn.XLOOKUP(F195,purchase!D:D,purchase!B:B,""))</f>
        <v/>
      </c>
      <c r="F195" s="2"/>
      <c r="G195" s="4" t="str">
        <f t="shared" si="15"/>
        <v/>
      </c>
      <c r="H195" s="4" t="str">
        <f>IF(F195="","",_xlfn.XLOOKUP(F195,purchase!D:D,purchase!#REF!,""))</f>
        <v/>
      </c>
      <c r="I195" s="4" t="str">
        <f t="shared" si="16"/>
        <v/>
      </c>
      <c r="J195" s="4" t="str">
        <f t="shared" si="17"/>
        <v/>
      </c>
      <c r="K195" s="13" t="str">
        <f>_xlfn.SINGLE(IF(F195="","",_xlfn.XLOOKUP(F195,purchase!D:D,purchase!#REF!,"")))</f>
        <v/>
      </c>
      <c r="L195" s="2"/>
      <c r="M195" s="32"/>
      <c r="N195" s="13" t="str">
        <f>IF(F195="","",
MAX(0,
_xlfn.XLOOKUP(F195,purchase!D:D,purchase!#REF!,"")
-
SUMIFS(L:L,F:F,F195)))</f>
        <v/>
      </c>
      <c r="O195" s="13" t="str">
        <f t="shared" si="18"/>
        <v/>
      </c>
      <c r="P195" s="35" t="str">
        <f>_xlfn.SINGLE(IF(F195="","",_xlfn.XLOOKUP(F195,purchase!D:D,purchase!K:K,"")))</f>
        <v/>
      </c>
      <c r="Q195" s="29" t="str">
        <f t="shared" si="19"/>
        <v/>
      </c>
      <c r="R195" s="37" t="str">
        <f t="shared" si="20"/>
        <v/>
      </c>
    </row>
    <row r="196" spans="1:18" x14ac:dyDescent="0.35">
      <c r="A196" s="8">
        <v>192</v>
      </c>
      <c r="B196" s="9" t="str">
        <f t="shared" si="14"/>
        <v/>
      </c>
      <c r="C196" s="10"/>
      <c r="D196" s="9" t="str">
        <f>IF(F196="","",_xlfn.XLOOKUP(F196,purchase!D:D,purchase!#REF!,""))</f>
        <v/>
      </c>
      <c r="E196" s="9" t="str">
        <f>IF(F196="","",_xlfn.XLOOKUP(F196,purchase!D:D,purchase!B:B,""))</f>
        <v/>
      </c>
      <c r="F196" s="2"/>
      <c r="G196" s="4" t="str">
        <f t="shared" si="15"/>
        <v/>
      </c>
      <c r="H196" s="4" t="str">
        <f>IF(F196="","",_xlfn.XLOOKUP(F196,purchase!D:D,purchase!#REF!,""))</f>
        <v/>
      </c>
      <c r="I196" s="4" t="str">
        <f t="shared" si="16"/>
        <v/>
      </c>
      <c r="J196" s="4" t="str">
        <f t="shared" si="17"/>
        <v/>
      </c>
      <c r="K196" s="13" t="str">
        <f>_xlfn.SINGLE(IF(F196="","",_xlfn.XLOOKUP(F196,purchase!D:D,purchase!#REF!,"")))</f>
        <v/>
      </c>
      <c r="L196" s="2"/>
      <c r="M196" s="32"/>
      <c r="N196" s="13" t="str">
        <f>IF(F196="","",
MAX(0,
_xlfn.XLOOKUP(F196,purchase!D:D,purchase!#REF!,"")
-
SUMIFS(L:L,F:F,F196)))</f>
        <v/>
      </c>
      <c r="O196" s="13" t="str">
        <f t="shared" si="18"/>
        <v/>
      </c>
      <c r="P196" s="35" t="str">
        <f>_xlfn.SINGLE(IF(F196="","",_xlfn.XLOOKUP(F196,purchase!D:D,purchase!K:K,"")))</f>
        <v/>
      </c>
      <c r="Q196" s="29" t="str">
        <f t="shared" si="19"/>
        <v/>
      </c>
      <c r="R196" s="37" t="str">
        <f t="shared" si="20"/>
        <v/>
      </c>
    </row>
    <row r="197" spans="1:18" x14ac:dyDescent="0.35">
      <c r="A197" s="8">
        <v>193</v>
      </c>
      <c r="B197" s="9" t="str">
        <f t="shared" ref="B197:B260" si="21">IF(OR(C197="",F197=""),"",
"PRD-" &amp;
TEXT(DAY(C197),"00") &amp;
CHOOSE(MONTH(C197),"A","B","C","D","E","F","G","H","I","J","K","L") &amp;
TEXT(YEAR(C197),"00") &amp;
"-" &amp;
RIGHT(F197,4))</f>
        <v/>
      </c>
      <c r="C197" s="10"/>
      <c r="D197" s="9" t="str">
        <f>IF(F197="","",_xlfn.XLOOKUP(F197,purchase!D:D,purchase!#REF!,""))</f>
        <v/>
      </c>
      <c r="E197" s="9" t="str">
        <f>IF(F197="","",_xlfn.XLOOKUP(F197,purchase!D:D,purchase!B:B,""))</f>
        <v/>
      </c>
      <c r="F197" s="2"/>
      <c r="G197" s="4" t="str">
        <f t="shared" ref="G197:G260" si="22">IF(H197="NRFC","Natural Rubber Field Coagulam","")</f>
        <v/>
      </c>
      <c r="H197" s="4" t="str">
        <f>IF(F197="","",_xlfn.XLOOKUP(F197,purchase!D:D,purchase!#REF!,""))</f>
        <v/>
      </c>
      <c r="I197" s="4" t="str">
        <f t="shared" ref="I197:I260" si="23">IF(J197="ISNR20","Natural Rubber-TSNR (ISNR-20)","")</f>
        <v/>
      </c>
      <c r="J197" s="4" t="str">
        <f t="shared" ref="J197:J260" si="24">IF(H197="NRFC","ISNR20","")</f>
        <v/>
      </c>
      <c r="K197" s="13" t="str">
        <f>_xlfn.SINGLE(IF(F197="","",_xlfn.XLOOKUP(F197,purchase!D:D,purchase!#REF!,"")))</f>
        <v/>
      </c>
      <c r="L197" s="2"/>
      <c r="M197" s="32"/>
      <c r="N197" s="13" t="str">
        <f>IF(F197="","",
MAX(0,
_xlfn.XLOOKUP(F197,purchase!D:D,purchase!#REF!,"")
-
SUMIFS(L:L,F:F,F197)))</f>
        <v/>
      </c>
      <c r="O197" s="13" t="str">
        <f t="shared" ref="O197:O260" si="25">IF(OR(L197="",M197=""),"",L197-M197)</f>
        <v/>
      </c>
      <c r="P197" s="35" t="str">
        <f>_xlfn.SINGLE(IF(F197="","",_xlfn.XLOOKUP(F197,purchase!D:D,purchase!K:K,"")))</f>
        <v/>
      </c>
      <c r="Q197" s="29" t="str">
        <f t="shared" ref="Q197:Q260" si="26">IF(OR(L197="",M197=""),"",M197/L197)</f>
        <v/>
      </c>
      <c r="R197" s="37" t="str">
        <f t="shared" ref="R197:R260" si="27">IF(OR(P197="",Q197=""),"",Q197-P197)</f>
        <v/>
      </c>
    </row>
    <row r="198" spans="1:18" x14ac:dyDescent="0.35">
      <c r="A198" s="8">
        <v>194</v>
      </c>
      <c r="B198" s="9" t="str">
        <f t="shared" si="21"/>
        <v/>
      </c>
      <c r="C198" s="10"/>
      <c r="D198" s="9" t="str">
        <f>IF(F198="","",_xlfn.XLOOKUP(F198,purchase!D:D,purchase!#REF!,""))</f>
        <v/>
      </c>
      <c r="E198" s="9" t="str">
        <f>IF(F198="","",_xlfn.XLOOKUP(F198,purchase!D:D,purchase!B:B,""))</f>
        <v/>
      </c>
      <c r="F198" s="2"/>
      <c r="G198" s="4" t="str">
        <f t="shared" si="22"/>
        <v/>
      </c>
      <c r="H198" s="4" t="str">
        <f>IF(F198="","",_xlfn.XLOOKUP(F198,purchase!D:D,purchase!#REF!,""))</f>
        <v/>
      </c>
      <c r="I198" s="4" t="str">
        <f t="shared" si="23"/>
        <v/>
      </c>
      <c r="J198" s="4" t="str">
        <f t="shared" si="24"/>
        <v/>
      </c>
      <c r="K198" s="13" t="str">
        <f>_xlfn.SINGLE(IF(F198="","",_xlfn.XLOOKUP(F198,purchase!D:D,purchase!#REF!,"")))</f>
        <v/>
      </c>
      <c r="L198" s="2"/>
      <c r="M198" s="32"/>
      <c r="N198" s="13" t="str">
        <f>IF(F198="","",
MAX(0,
_xlfn.XLOOKUP(F198,purchase!D:D,purchase!#REF!,"")
-
SUMIFS(L:L,F:F,F198)))</f>
        <v/>
      </c>
      <c r="O198" s="13" t="str">
        <f t="shared" si="25"/>
        <v/>
      </c>
      <c r="P198" s="35" t="str">
        <f>_xlfn.SINGLE(IF(F198="","",_xlfn.XLOOKUP(F198,purchase!D:D,purchase!K:K,"")))</f>
        <v/>
      </c>
      <c r="Q198" s="29" t="str">
        <f t="shared" si="26"/>
        <v/>
      </c>
      <c r="R198" s="37" t="str">
        <f t="shared" si="27"/>
        <v/>
      </c>
    </row>
    <row r="199" spans="1:18" x14ac:dyDescent="0.35">
      <c r="A199" s="8">
        <v>195</v>
      </c>
      <c r="B199" s="9" t="str">
        <f t="shared" si="21"/>
        <v/>
      </c>
      <c r="C199" s="10"/>
      <c r="D199" s="9" t="str">
        <f>IF(F199="","",_xlfn.XLOOKUP(F199,purchase!D:D,purchase!#REF!,""))</f>
        <v/>
      </c>
      <c r="E199" s="9" t="str">
        <f>IF(F199="","",_xlfn.XLOOKUP(F199,purchase!D:D,purchase!B:B,""))</f>
        <v/>
      </c>
      <c r="F199" s="2"/>
      <c r="G199" s="4" t="str">
        <f t="shared" si="22"/>
        <v/>
      </c>
      <c r="H199" s="4" t="str">
        <f>IF(F199="","",_xlfn.XLOOKUP(F199,purchase!D:D,purchase!#REF!,""))</f>
        <v/>
      </c>
      <c r="I199" s="4" t="str">
        <f t="shared" si="23"/>
        <v/>
      </c>
      <c r="J199" s="4" t="str">
        <f t="shared" si="24"/>
        <v/>
      </c>
      <c r="K199" s="13" t="str">
        <f>_xlfn.SINGLE(IF(F199="","",_xlfn.XLOOKUP(F199,purchase!D:D,purchase!#REF!,"")))</f>
        <v/>
      </c>
      <c r="L199" s="2"/>
      <c r="M199" s="32"/>
      <c r="N199" s="13" t="str">
        <f>IF(F199="","",
MAX(0,
_xlfn.XLOOKUP(F199,purchase!D:D,purchase!#REF!,"")
-
SUMIFS(L:L,F:F,F199)))</f>
        <v/>
      </c>
      <c r="O199" s="13" t="str">
        <f t="shared" si="25"/>
        <v/>
      </c>
      <c r="P199" s="35" t="str">
        <f>_xlfn.SINGLE(IF(F199="","",_xlfn.XLOOKUP(F199,purchase!D:D,purchase!K:K,"")))</f>
        <v/>
      </c>
      <c r="Q199" s="29" t="str">
        <f t="shared" si="26"/>
        <v/>
      </c>
      <c r="R199" s="37" t="str">
        <f t="shared" si="27"/>
        <v/>
      </c>
    </row>
    <row r="200" spans="1:18" x14ac:dyDescent="0.35">
      <c r="A200" s="8">
        <v>196</v>
      </c>
      <c r="B200" s="9" t="str">
        <f t="shared" si="21"/>
        <v/>
      </c>
      <c r="C200" s="10"/>
      <c r="D200" s="9" t="str">
        <f>IF(F200="","",_xlfn.XLOOKUP(F200,purchase!D:D,purchase!#REF!,""))</f>
        <v/>
      </c>
      <c r="E200" s="9" t="str">
        <f>IF(F200="","",_xlfn.XLOOKUP(F200,purchase!D:D,purchase!B:B,""))</f>
        <v/>
      </c>
      <c r="F200" s="2"/>
      <c r="G200" s="4" t="str">
        <f t="shared" si="22"/>
        <v/>
      </c>
      <c r="H200" s="4" t="str">
        <f>IF(F200="","",_xlfn.XLOOKUP(F200,purchase!D:D,purchase!#REF!,""))</f>
        <v/>
      </c>
      <c r="I200" s="4" t="str">
        <f t="shared" si="23"/>
        <v/>
      </c>
      <c r="J200" s="4" t="str">
        <f t="shared" si="24"/>
        <v/>
      </c>
      <c r="K200" s="13" t="str">
        <f>_xlfn.SINGLE(IF(F200="","",_xlfn.XLOOKUP(F200,purchase!D:D,purchase!#REF!,"")))</f>
        <v/>
      </c>
      <c r="L200" s="2"/>
      <c r="M200" s="32"/>
      <c r="N200" s="13" t="str">
        <f>IF(F200="","",
MAX(0,
_xlfn.XLOOKUP(F200,purchase!D:D,purchase!#REF!,"")
-
SUMIFS(L:L,F:F,F200)))</f>
        <v/>
      </c>
      <c r="O200" s="13" t="str">
        <f t="shared" si="25"/>
        <v/>
      </c>
      <c r="P200" s="35" t="str">
        <f>_xlfn.SINGLE(IF(F200="","",_xlfn.XLOOKUP(F200,purchase!D:D,purchase!K:K,"")))</f>
        <v/>
      </c>
      <c r="Q200" s="29" t="str">
        <f t="shared" si="26"/>
        <v/>
      </c>
      <c r="R200" s="37" t="str">
        <f t="shared" si="27"/>
        <v/>
      </c>
    </row>
    <row r="201" spans="1:18" x14ac:dyDescent="0.35">
      <c r="A201" s="8">
        <v>197</v>
      </c>
      <c r="B201" s="9" t="str">
        <f t="shared" si="21"/>
        <v/>
      </c>
      <c r="C201" s="10"/>
      <c r="D201" s="9" t="str">
        <f>IF(F201="","",_xlfn.XLOOKUP(F201,purchase!D:D,purchase!#REF!,""))</f>
        <v/>
      </c>
      <c r="E201" s="9" t="str">
        <f>IF(F201="","",_xlfn.XLOOKUP(F201,purchase!D:D,purchase!B:B,""))</f>
        <v/>
      </c>
      <c r="F201" s="2"/>
      <c r="G201" s="4" t="str">
        <f t="shared" si="22"/>
        <v/>
      </c>
      <c r="H201" s="4" t="str">
        <f>IF(F201="","",_xlfn.XLOOKUP(F201,purchase!D:D,purchase!#REF!,""))</f>
        <v/>
      </c>
      <c r="I201" s="4" t="str">
        <f t="shared" si="23"/>
        <v/>
      </c>
      <c r="J201" s="4" t="str">
        <f t="shared" si="24"/>
        <v/>
      </c>
      <c r="K201" s="13" t="str">
        <f>_xlfn.SINGLE(IF(F201="","",_xlfn.XLOOKUP(F201,purchase!D:D,purchase!#REF!,"")))</f>
        <v/>
      </c>
      <c r="L201" s="2"/>
      <c r="M201" s="32"/>
      <c r="N201" s="13" t="str">
        <f>IF(F201="","",
MAX(0,
_xlfn.XLOOKUP(F201,purchase!D:D,purchase!#REF!,"")
-
SUMIFS(L:L,F:F,F201)))</f>
        <v/>
      </c>
      <c r="O201" s="13" t="str">
        <f t="shared" si="25"/>
        <v/>
      </c>
      <c r="P201" s="35" t="str">
        <f>_xlfn.SINGLE(IF(F201="","",_xlfn.XLOOKUP(F201,purchase!D:D,purchase!K:K,"")))</f>
        <v/>
      </c>
      <c r="Q201" s="29" t="str">
        <f t="shared" si="26"/>
        <v/>
      </c>
      <c r="R201" s="37" t="str">
        <f t="shared" si="27"/>
        <v/>
      </c>
    </row>
    <row r="202" spans="1:18" x14ac:dyDescent="0.35">
      <c r="A202" s="8">
        <v>198</v>
      </c>
      <c r="B202" s="9" t="str">
        <f t="shared" si="21"/>
        <v/>
      </c>
      <c r="C202" s="10"/>
      <c r="D202" s="9" t="str">
        <f>IF(F202="","",_xlfn.XLOOKUP(F202,purchase!D:D,purchase!#REF!,""))</f>
        <v/>
      </c>
      <c r="E202" s="9" t="str">
        <f>IF(F202="","",_xlfn.XLOOKUP(F202,purchase!D:D,purchase!B:B,""))</f>
        <v/>
      </c>
      <c r="F202" s="2"/>
      <c r="G202" s="4" t="str">
        <f t="shared" si="22"/>
        <v/>
      </c>
      <c r="H202" s="4" t="str">
        <f>IF(F202="","",_xlfn.XLOOKUP(F202,purchase!D:D,purchase!#REF!,""))</f>
        <v/>
      </c>
      <c r="I202" s="4" t="str">
        <f t="shared" si="23"/>
        <v/>
      </c>
      <c r="J202" s="4" t="str">
        <f t="shared" si="24"/>
        <v/>
      </c>
      <c r="K202" s="13" t="str">
        <f>_xlfn.SINGLE(IF(F202="","",_xlfn.XLOOKUP(F202,purchase!D:D,purchase!#REF!,"")))</f>
        <v/>
      </c>
      <c r="L202" s="2"/>
      <c r="M202" s="32"/>
      <c r="N202" s="13" t="str">
        <f>IF(F202="","",
MAX(0,
_xlfn.XLOOKUP(F202,purchase!D:D,purchase!#REF!,"")
-
SUMIFS(L:L,F:F,F202)))</f>
        <v/>
      </c>
      <c r="O202" s="13" t="str">
        <f t="shared" si="25"/>
        <v/>
      </c>
      <c r="P202" s="35" t="str">
        <f>_xlfn.SINGLE(IF(F202="","",_xlfn.XLOOKUP(F202,purchase!D:D,purchase!K:K,"")))</f>
        <v/>
      </c>
      <c r="Q202" s="29" t="str">
        <f t="shared" si="26"/>
        <v/>
      </c>
      <c r="R202" s="37" t="str">
        <f t="shared" si="27"/>
        <v/>
      </c>
    </row>
    <row r="203" spans="1:18" x14ac:dyDescent="0.35">
      <c r="A203" s="8">
        <v>199</v>
      </c>
      <c r="B203" s="9" t="str">
        <f t="shared" si="21"/>
        <v/>
      </c>
      <c r="C203" s="10"/>
      <c r="D203" s="9" t="str">
        <f>IF(F203="","",_xlfn.XLOOKUP(F203,purchase!D:D,purchase!#REF!,""))</f>
        <v/>
      </c>
      <c r="E203" s="9" t="str">
        <f>IF(F203="","",_xlfn.XLOOKUP(F203,purchase!D:D,purchase!B:B,""))</f>
        <v/>
      </c>
      <c r="F203" s="2"/>
      <c r="G203" s="4" t="str">
        <f t="shared" si="22"/>
        <v/>
      </c>
      <c r="H203" s="4" t="str">
        <f>IF(F203="","",_xlfn.XLOOKUP(F203,purchase!D:D,purchase!#REF!,""))</f>
        <v/>
      </c>
      <c r="I203" s="4" t="str">
        <f t="shared" si="23"/>
        <v/>
      </c>
      <c r="J203" s="4" t="str">
        <f t="shared" si="24"/>
        <v/>
      </c>
      <c r="K203" s="13" t="str">
        <f>_xlfn.SINGLE(IF(F203="","",_xlfn.XLOOKUP(F203,purchase!D:D,purchase!#REF!,"")))</f>
        <v/>
      </c>
      <c r="L203" s="2"/>
      <c r="M203" s="32"/>
      <c r="N203" s="13" t="str">
        <f>IF(F203="","",
MAX(0,
_xlfn.XLOOKUP(F203,purchase!D:D,purchase!#REF!,"")
-
SUMIFS(L:L,F:F,F203)))</f>
        <v/>
      </c>
      <c r="O203" s="13" t="str">
        <f t="shared" si="25"/>
        <v/>
      </c>
      <c r="P203" s="35" t="str">
        <f>_xlfn.SINGLE(IF(F203="","",_xlfn.XLOOKUP(F203,purchase!D:D,purchase!K:K,"")))</f>
        <v/>
      </c>
      <c r="Q203" s="29" t="str">
        <f t="shared" si="26"/>
        <v/>
      </c>
      <c r="R203" s="37" t="str">
        <f t="shared" si="27"/>
        <v/>
      </c>
    </row>
    <row r="204" spans="1:18" x14ac:dyDescent="0.35">
      <c r="A204" s="8">
        <v>200</v>
      </c>
      <c r="B204" s="9" t="str">
        <f t="shared" si="21"/>
        <v/>
      </c>
      <c r="C204" s="10"/>
      <c r="D204" s="9" t="str">
        <f>IF(F204="","",_xlfn.XLOOKUP(F204,purchase!D:D,purchase!#REF!,""))</f>
        <v/>
      </c>
      <c r="E204" s="9" t="str">
        <f>IF(F204="","",_xlfn.XLOOKUP(F204,purchase!D:D,purchase!B:B,""))</f>
        <v/>
      </c>
      <c r="F204" s="2"/>
      <c r="G204" s="4" t="str">
        <f t="shared" si="22"/>
        <v/>
      </c>
      <c r="H204" s="4" t="str">
        <f>IF(F204="","",_xlfn.XLOOKUP(F204,purchase!D:D,purchase!#REF!,""))</f>
        <v/>
      </c>
      <c r="I204" s="4" t="str">
        <f t="shared" si="23"/>
        <v/>
      </c>
      <c r="J204" s="4" t="str">
        <f t="shared" si="24"/>
        <v/>
      </c>
      <c r="K204" s="13" t="str">
        <f>_xlfn.SINGLE(IF(F204="","",_xlfn.XLOOKUP(F204,purchase!D:D,purchase!#REF!,"")))</f>
        <v/>
      </c>
      <c r="L204" s="2"/>
      <c r="M204" s="32"/>
      <c r="N204" s="13" t="str">
        <f>IF(F204="","",
MAX(0,
_xlfn.XLOOKUP(F204,purchase!D:D,purchase!#REF!,"")
-
SUMIFS(L:L,F:F,F204)))</f>
        <v/>
      </c>
      <c r="O204" s="13" t="str">
        <f t="shared" si="25"/>
        <v/>
      </c>
      <c r="P204" s="35" t="str">
        <f>_xlfn.SINGLE(IF(F204="","",_xlfn.XLOOKUP(F204,purchase!D:D,purchase!K:K,"")))</f>
        <v/>
      </c>
      <c r="Q204" s="29" t="str">
        <f t="shared" si="26"/>
        <v/>
      </c>
      <c r="R204" s="37" t="str">
        <f t="shared" si="27"/>
        <v/>
      </c>
    </row>
    <row r="205" spans="1:18" x14ac:dyDescent="0.35">
      <c r="A205" s="8">
        <v>201</v>
      </c>
      <c r="B205" s="9" t="str">
        <f t="shared" si="21"/>
        <v/>
      </c>
      <c r="C205" s="10"/>
      <c r="D205" s="9" t="str">
        <f>IF(F205="","",_xlfn.XLOOKUP(F205,purchase!D:D,purchase!#REF!,""))</f>
        <v/>
      </c>
      <c r="E205" s="9" t="str">
        <f>IF(F205="","",_xlfn.XLOOKUP(F205,purchase!D:D,purchase!B:B,""))</f>
        <v/>
      </c>
      <c r="F205" s="2"/>
      <c r="G205" s="4" t="str">
        <f t="shared" si="22"/>
        <v/>
      </c>
      <c r="H205" s="4" t="str">
        <f>IF(F205="","",_xlfn.XLOOKUP(F205,purchase!D:D,purchase!#REF!,""))</f>
        <v/>
      </c>
      <c r="I205" s="4" t="str">
        <f t="shared" si="23"/>
        <v/>
      </c>
      <c r="J205" s="4" t="str">
        <f t="shared" si="24"/>
        <v/>
      </c>
      <c r="K205" s="13" t="str">
        <f>_xlfn.SINGLE(IF(F205="","",_xlfn.XLOOKUP(F205,purchase!D:D,purchase!#REF!,"")))</f>
        <v/>
      </c>
      <c r="L205" s="2"/>
      <c r="M205" s="32"/>
      <c r="N205" s="13" t="str">
        <f>IF(F205="","",
MAX(0,
_xlfn.XLOOKUP(F205,purchase!D:D,purchase!#REF!,"")
-
SUMIFS(L:L,F:F,F205)))</f>
        <v/>
      </c>
      <c r="O205" s="13" t="str">
        <f t="shared" si="25"/>
        <v/>
      </c>
      <c r="P205" s="35" t="str">
        <f>_xlfn.SINGLE(IF(F205="","",_xlfn.XLOOKUP(F205,purchase!D:D,purchase!K:K,"")))</f>
        <v/>
      </c>
      <c r="Q205" s="29" t="str">
        <f t="shared" si="26"/>
        <v/>
      </c>
      <c r="R205" s="37" t="str">
        <f t="shared" si="27"/>
        <v/>
      </c>
    </row>
    <row r="206" spans="1:18" x14ac:dyDescent="0.35">
      <c r="A206" s="8">
        <v>202</v>
      </c>
      <c r="B206" s="9" t="str">
        <f t="shared" si="21"/>
        <v/>
      </c>
      <c r="C206" s="10"/>
      <c r="D206" s="9" t="str">
        <f>IF(F206="","",_xlfn.XLOOKUP(F206,purchase!D:D,purchase!#REF!,""))</f>
        <v/>
      </c>
      <c r="E206" s="9" t="str">
        <f>IF(F206="","",_xlfn.XLOOKUP(F206,purchase!D:D,purchase!B:B,""))</f>
        <v/>
      </c>
      <c r="F206" s="2"/>
      <c r="G206" s="4" t="str">
        <f t="shared" si="22"/>
        <v/>
      </c>
      <c r="H206" s="4" t="str">
        <f>IF(F206="","",_xlfn.XLOOKUP(F206,purchase!D:D,purchase!#REF!,""))</f>
        <v/>
      </c>
      <c r="I206" s="4" t="str">
        <f t="shared" si="23"/>
        <v/>
      </c>
      <c r="J206" s="4" t="str">
        <f t="shared" si="24"/>
        <v/>
      </c>
      <c r="K206" s="13" t="str">
        <f>_xlfn.SINGLE(IF(F206="","",_xlfn.XLOOKUP(F206,purchase!D:D,purchase!#REF!,"")))</f>
        <v/>
      </c>
      <c r="L206" s="2"/>
      <c r="M206" s="32"/>
      <c r="N206" s="13" t="str">
        <f>IF(F206="","",
MAX(0,
_xlfn.XLOOKUP(F206,purchase!D:D,purchase!#REF!,"")
-
SUMIFS(L:L,F:F,F206)))</f>
        <v/>
      </c>
      <c r="O206" s="13" t="str">
        <f t="shared" si="25"/>
        <v/>
      </c>
      <c r="P206" s="35" t="str">
        <f>_xlfn.SINGLE(IF(F206="","",_xlfn.XLOOKUP(F206,purchase!D:D,purchase!K:K,"")))</f>
        <v/>
      </c>
      <c r="Q206" s="29" t="str">
        <f t="shared" si="26"/>
        <v/>
      </c>
      <c r="R206" s="37" t="str">
        <f t="shared" si="27"/>
        <v/>
      </c>
    </row>
    <row r="207" spans="1:18" x14ac:dyDescent="0.35">
      <c r="A207" s="8">
        <v>203</v>
      </c>
      <c r="B207" s="9" t="str">
        <f t="shared" si="21"/>
        <v/>
      </c>
      <c r="C207" s="10"/>
      <c r="D207" s="9" t="str">
        <f>IF(F207="","",_xlfn.XLOOKUP(F207,purchase!D:D,purchase!#REF!,""))</f>
        <v/>
      </c>
      <c r="E207" s="9" t="str">
        <f>IF(F207="","",_xlfn.XLOOKUP(F207,purchase!D:D,purchase!B:B,""))</f>
        <v/>
      </c>
      <c r="F207" s="2"/>
      <c r="G207" s="4" t="str">
        <f t="shared" si="22"/>
        <v/>
      </c>
      <c r="H207" s="4" t="str">
        <f>IF(F207="","",_xlfn.XLOOKUP(F207,purchase!D:D,purchase!#REF!,""))</f>
        <v/>
      </c>
      <c r="I207" s="4" t="str">
        <f t="shared" si="23"/>
        <v/>
      </c>
      <c r="J207" s="4" t="str">
        <f t="shared" si="24"/>
        <v/>
      </c>
      <c r="K207" s="13" t="str">
        <f>_xlfn.SINGLE(IF(F207="","",_xlfn.XLOOKUP(F207,purchase!D:D,purchase!#REF!,"")))</f>
        <v/>
      </c>
      <c r="L207" s="2"/>
      <c r="M207" s="32"/>
      <c r="N207" s="13" t="str">
        <f>IF(F207="","",
MAX(0,
_xlfn.XLOOKUP(F207,purchase!D:D,purchase!#REF!,"")
-
SUMIFS(L:L,F:F,F207)))</f>
        <v/>
      </c>
      <c r="O207" s="13" t="str">
        <f t="shared" si="25"/>
        <v/>
      </c>
      <c r="P207" s="35" t="str">
        <f>_xlfn.SINGLE(IF(F207="","",_xlfn.XLOOKUP(F207,purchase!D:D,purchase!K:K,"")))</f>
        <v/>
      </c>
      <c r="Q207" s="29" t="str">
        <f t="shared" si="26"/>
        <v/>
      </c>
      <c r="R207" s="37" t="str">
        <f t="shared" si="27"/>
        <v/>
      </c>
    </row>
    <row r="208" spans="1:18" x14ac:dyDescent="0.35">
      <c r="A208" s="8">
        <v>204</v>
      </c>
      <c r="B208" s="9" t="str">
        <f t="shared" si="21"/>
        <v/>
      </c>
      <c r="C208" s="10"/>
      <c r="D208" s="9" t="str">
        <f>IF(F208="","",_xlfn.XLOOKUP(F208,purchase!D:D,purchase!#REF!,""))</f>
        <v/>
      </c>
      <c r="E208" s="9" t="str">
        <f>IF(F208="","",_xlfn.XLOOKUP(F208,purchase!D:D,purchase!B:B,""))</f>
        <v/>
      </c>
      <c r="F208" s="2"/>
      <c r="G208" s="4" t="str">
        <f t="shared" si="22"/>
        <v/>
      </c>
      <c r="H208" s="4" t="str">
        <f>IF(F208="","",_xlfn.XLOOKUP(F208,purchase!D:D,purchase!#REF!,""))</f>
        <v/>
      </c>
      <c r="I208" s="4" t="str">
        <f t="shared" si="23"/>
        <v/>
      </c>
      <c r="J208" s="4" t="str">
        <f t="shared" si="24"/>
        <v/>
      </c>
      <c r="K208" s="13" t="str">
        <f>_xlfn.SINGLE(IF(F208="","",_xlfn.XLOOKUP(F208,purchase!D:D,purchase!#REF!,"")))</f>
        <v/>
      </c>
      <c r="L208" s="2"/>
      <c r="M208" s="32"/>
      <c r="N208" s="13" t="str">
        <f>IF(F208="","",
MAX(0,
_xlfn.XLOOKUP(F208,purchase!D:D,purchase!#REF!,"")
-
SUMIFS(L:L,F:F,F208)))</f>
        <v/>
      </c>
      <c r="O208" s="13" t="str">
        <f t="shared" si="25"/>
        <v/>
      </c>
      <c r="P208" s="35" t="str">
        <f>_xlfn.SINGLE(IF(F208="","",_xlfn.XLOOKUP(F208,purchase!D:D,purchase!K:K,"")))</f>
        <v/>
      </c>
      <c r="Q208" s="29" t="str">
        <f t="shared" si="26"/>
        <v/>
      </c>
      <c r="R208" s="37" t="str">
        <f t="shared" si="27"/>
        <v/>
      </c>
    </row>
    <row r="209" spans="1:18" x14ac:dyDescent="0.35">
      <c r="A209" s="8">
        <v>205</v>
      </c>
      <c r="B209" s="9" t="str">
        <f t="shared" si="21"/>
        <v/>
      </c>
      <c r="C209" s="10"/>
      <c r="D209" s="9" t="str">
        <f>IF(F209="","",_xlfn.XLOOKUP(F209,purchase!D:D,purchase!#REF!,""))</f>
        <v/>
      </c>
      <c r="E209" s="9" t="str">
        <f>IF(F209="","",_xlfn.XLOOKUP(F209,purchase!D:D,purchase!B:B,""))</f>
        <v/>
      </c>
      <c r="F209" s="2"/>
      <c r="G209" s="4" t="str">
        <f t="shared" si="22"/>
        <v/>
      </c>
      <c r="H209" s="4" t="str">
        <f>IF(F209="","",_xlfn.XLOOKUP(F209,purchase!D:D,purchase!#REF!,""))</f>
        <v/>
      </c>
      <c r="I209" s="4" t="str">
        <f t="shared" si="23"/>
        <v/>
      </c>
      <c r="J209" s="4" t="str">
        <f t="shared" si="24"/>
        <v/>
      </c>
      <c r="K209" s="13" t="str">
        <f>_xlfn.SINGLE(IF(F209="","",_xlfn.XLOOKUP(F209,purchase!D:D,purchase!#REF!,"")))</f>
        <v/>
      </c>
      <c r="L209" s="2"/>
      <c r="M209" s="32"/>
      <c r="N209" s="13" t="str">
        <f>IF(F209="","",
MAX(0,
_xlfn.XLOOKUP(F209,purchase!D:D,purchase!#REF!,"")
-
SUMIFS(L:L,F:F,F209)))</f>
        <v/>
      </c>
      <c r="O209" s="13" t="str">
        <f t="shared" si="25"/>
        <v/>
      </c>
      <c r="P209" s="35" t="str">
        <f>_xlfn.SINGLE(IF(F209="","",_xlfn.XLOOKUP(F209,purchase!D:D,purchase!K:K,"")))</f>
        <v/>
      </c>
      <c r="Q209" s="29" t="str">
        <f t="shared" si="26"/>
        <v/>
      </c>
      <c r="R209" s="37" t="str">
        <f t="shared" si="27"/>
        <v/>
      </c>
    </row>
    <row r="210" spans="1:18" x14ac:dyDescent="0.35">
      <c r="A210" s="8">
        <v>206</v>
      </c>
      <c r="B210" s="9" t="str">
        <f t="shared" si="21"/>
        <v/>
      </c>
      <c r="C210" s="10"/>
      <c r="D210" s="9" t="str">
        <f>IF(F210="","",_xlfn.XLOOKUP(F210,purchase!D:D,purchase!#REF!,""))</f>
        <v/>
      </c>
      <c r="E210" s="9" t="str">
        <f>IF(F210="","",_xlfn.XLOOKUP(F210,purchase!D:D,purchase!B:B,""))</f>
        <v/>
      </c>
      <c r="F210" s="2"/>
      <c r="G210" s="4" t="str">
        <f t="shared" si="22"/>
        <v/>
      </c>
      <c r="H210" s="4" t="str">
        <f>IF(F210="","",_xlfn.XLOOKUP(F210,purchase!D:D,purchase!#REF!,""))</f>
        <v/>
      </c>
      <c r="I210" s="4" t="str">
        <f t="shared" si="23"/>
        <v/>
      </c>
      <c r="J210" s="4" t="str">
        <f t="shared" si="24"/>
        <v/>
      </c>
      <c r="K210" s="13" t="str">
        <f>_xlfn.SINGLE(IF(F210="","",_xlfn.XLOOKUP(F210,purchase!D:D,purchase!#REF!,"")))</f>
        <v/>
      </c>
      <c r="L210" s="2"/>
      <c r="M210" s="32"/>
      <c r="N210" s="13" t="str">
        <f>IF(F210="","",
MAX(0,
_xlfn.XLOOKUP(F210,purchase!D:D,purchase!#REF!,"")
-
SUMIFS(L:L,F:F,F210)))</f>
        <v/>
      </c>
      <c r="O210" s="13" t="str">
        <f t="shared" si="25"/>
        <v/>
      </c>
      <c r="P210" s="35" t="str">
        <f>_xlfn.SINGLE(IF(F210="","",_xlfn.XLOOKUP(F210,purchase!D:D,purchase!K:K,"")))</f>
        <v/>
      </c>
      <c r="Q210" s="29" t="str">
        <f t="shared" si="26"/>
        <v/>
      </c>
      <c r="R210" s="37" t="str">
        <f t="shared" si="27"/>
        <v/>
      </c>
    </row>
    <row r="211" spans="1:18" x14ac:dyDescent="0.35">
      <c r="A211" s="8">
        <v>207</v>
      </c>
      <c r="B211" s="9" t="str">
        <f t="shared" si="21"/>
        <v/>
      </c>
      <c r="C211" s="10"/>
      <c r="D211" s="9" t="str">
        <f>IF(F211="","",_xlfn.XLOOKUP(F211,purchase!D:D,purchase!#REF!,""))</f>
        <v/>
      </c>
      <c r="E211" s="9" t="str">
        <f>IF(F211="","",_xlfn.XLOOKUP(F211,purchase!D:D,purchase!B:B,""))</f>
        <v/>
      </c>
      <c r="F211" s="2"/>
      <c r="G211" s="4" t="str">
        <f t="shared" si="22"/>
        <v/>
      </c>
      <c r="H211" s="4" t="str">
        <f>IF(F211="","",_xlfn.XLOOKUP(F211,purchase!D:D,purchase!#REF!,""))</f>
        <v/>
      </c>
      <c r="I211" s="4" t="str">
        <f t="shared" si="23"/>
        <v/>
      </c>
      <c r="J211" s="4" t="str">
        <f t="shared" si="24"/>
        <v/>
      </c>
      <c r="K211" s="13" t="str">
        <f>_xlfn.SINGLE(IF(F211="","",_xlfn.XLOOKUP(F211,purchase!D:D,purchase!#REF!,"")))</f>
        <v/>
      </c>
      <c r="L211" s="2"/>
      <c r="M211" s="32"/>
      <c r="N211" s="13" t="str">
        <f>IF(F211="","",
MAX(0,
_xlfn.XLOOKUP(F211,purchase!D:D,purchase!#REF!,"")
-
SUMIFS(L:L,F:F,F211)))</f>
        <v/>
      </c>
      <c r="O211" s="13" t="str">
        <f t="shared" si="25"/>
        <v/>
      </c>
      <c r="P211" s="35" t="str">
        <f>_xlfn.SINGLE(IF(F211="","",_xlfn.XLOOKUP(F211,purchase!D:D,purchase!K:K,"")))</f>
        <v/>
      </c>
      <c r="Q211" s="29" t="str">
        <f t="shared" si="26"/>
        <v/>
      </c>
      <c r="R211" s="37" t="str">
        <f t="shared" si="27"/>
        <v/>
      </c>
    </row>
    <row r="212" spans="1:18" x14ac:dyDescent="0.35">
      <c r="A212" s="8">
        <v>208</v>
      </c>
      <c r="B212" s="9" t="str">
        <f t="shared" si="21"/>
        <v/>
      </c>
      <c r="C212" s="10"/>
      <c r="D212" s="9" t="str">
        <f>IF(F212="","",_xlfn.XLOOKUP(F212,purchase!D:D,purchase!#REF!,""))</f>
        <v/>
      </c>
      <c r="E212" s="9" t="str">
        <f>IF(F212="","",_xlfn.XLOOKUP(F212,purchase!D:D,purchase!B:B,""))</f>
        <v/>
      </c>
      <c r="F212" s="2"/>
      <c r="G212" s="4" t="str">
        <f t="shared" si="22"/>
        <v/>
      </c>
      <c r="H212" s="4" t="str">
        <f>IF(F212="","",_xlfn.XLOOKUP(F212,purchase!D:D,purchase!#REF!,""))</f>
        <v/>
      </c>
      <c r="I212" s="4" t="str">
        <f t="shared" si="23"/>
        <v/>
      </c>
      <c r="J212" s="4" t="str">
        <f t="shared" si="24"/>
        <v/>
      </c>
      <c r="K212" s="13" t="str">
        <f>_xlfn.SINGLE(IF(F212="","",_xlfn.XLOOKUP(F212,purchase!D:D,purchase!#REF!,"")))</f>
        <v/>
      </c>
      <c r="L212" s="2"/>
      <c r="M212" s="32"/>
      <c r="N212" s="13" t="str">
        <f>IF(F212="","",
MAX(0,
_xlfn.XLOOKUP(F212,purchase!D:D,purchase!#REF!,"")
-
SUMIFS(L:L,F:F,F212)))</f>
        <v/>
      </c>
      <c r="O212" s="13" t="str">
        <f t="shared" si="25"/>
        <v/>
      </c>
      <c r="P212" s="35" t="str">
        <f>_xlfn.SINGLE(IF(F212="","",_xlfn.XLOOKUP(F212,purchase!D:D,purchase!K:K,"")))</f>
        <v/>
      </c>
      <c r="Q212" s="29" t="str">
        <f t="shared" si="26"/>
        <v/>
      </c>
      <c r="R212" s="37" t="str">
        <f t="shared" si="27"/>
        <v/>
      </c>
    </row>
    <row r="213" spans="1:18" x14ac:dyDescent="0.35">
      <c r="A213" s="8">
        <v>209</v>
      </c>
      <c r="B213" s="9" t="str">
        <f t="shared" si="21"/>
        <v/>
      </c>
      <c r="C213" s="10"/>
      <c r="D213" s="9" t="str">
        <f>IF(F213="","",_xlfn.XLOOKUP(F213,purchase!D:D,purchase!#REF!,""))</f>
        <v/>
      </c>
      <c r="E213" s="9" t="str">
        <f>IF(F213="","",_xlfn.XLOOKUP(F213,purchase!D:D,purchase!B:B,""))</f>
        <v/>
      </c>
      <c r="F213" s="2"/>
      <c r="G213" s="4" t="str">
        <f t="shared" si="22"/>
        <v/>
      </c>
      <c r="H213" s="4" t="str">
        <f>IF(F213="","",_xlfn.XLOOKUP(F213,purchase!D:D,purchase!#REF!,""))</f>
        <v/>
      </c>
      <c r="I213" s="4" t="str">
        <f t="shared" si="23"/>
        <v/>
      </c>
      <c r="J213" s="4" t="str">
        <f t="shared" si="24"/>
        <v/>
      </c>
      <c r="K213" s="13" t="str">
        <f>_xlfn.SINGLE(IF(F213="","",_xlfn.XLOOKUP(F213,purchase!D:D,purchase!#REF!,"")))</f>
        <v/>
      </c>
      <c r="L213" s="2"/>
      <c r="M213" s="32"/>
      <c r="N213" s="13" t="str">
        <f>IF(F213="","",
MAX(0,
_xlfn.XLOOKUP(F213,purchase!D:D,purchase!#REF!,"")
-
SUMIFS(L:L,F:F,F213)))</f>
        <v/>
      </c>
      <c r="O213" s="13" t="str">
        <f t="shared" si="25"/>
        <v/>
      </c>
      <c r="P213" s="35" t="str">
        <f>_xlfn.SINGLE(IF(F213="","",_xlfn.XLOOKUP(F213,purchase!D:D,purchase!K:K,"")))</f>
        <v/>
      </c>
      <c r="Q213" s="29" t="str">
        <f t="shared" si="26"/>
        <v/>
      </c>
      <c r="R213" s="37" t="str">
        <f t="shared" si="27"/>
        <v/>
      </c>
    </row>
    <row r="214" spans="1:18" x14ac:dyDescent="0.35">
      <c r="A214" s="8">
        <v>210</v>
      </c>
      <c r="B214" s="9" t="str">
        <f t="shared" si="21"/>
        <v/>
      </c>
      <c r="C214" s="10"/>
      <c r="D214" s="9" t="str">
        <f>IF(F214="","",_xlfn.XLOOKUP(F214,purchase!D:D,purchase!#REF!,""))</f>
        <v/>
      </c>
      <c r="E214" s="9" t="str">
        <f>IF(F214="","",_xlfn.XLOOKUP(F214,purchase!D:D,purchase!B:B,""))</f>
        <v/>
      </c>
      <c r="F214" s="2"/>
      <c r="G214" s="4" t="str">
        <f t="shared" si="22"/>
        <v/>
      </c>
      <c r="H214" s="4" t="str">
        <f>IF(F214="","",_xlfn.XLOOKUP(F214,purchase!D:D,purchase!#REF!,""))</f>
        <v/>
      </c>
      <c r="I214" s="4" t="str">
        <f t="shared" si="23"/>
        <v/>
      </c>
      <c r="J214" s="4" t="str">
        <f t="shared" si="24"/>
        <v/>
      </c>
      <c r="K214" s="13" t="str">
        <f>_xlfn.SINGLE(IF(F214="","",_xlfn.XLOOKUP(F214,purchase!D:D,purchase!#REF!,"")))</f>
        <v/>
      </c>
      <c r="L214" s="2"/>
      <c r="M214" s="32"/>
      <c r="N214" s="13" t="str">
        <f>IF(F214="","",
MAX(0,
_xlfn.XLOOKUP(F214,purchase!D:D,purchase!#REF!,"")
-
SUMIFS(L:L,F:F,F214)))</f>
        <v/>
      </c>
      <c r="O214" s="13" t="str">
        <f t="shared" si="25"/>
        <v/>
      </c>
      <c r="P214" s="35" t="str">
        <f>_xlfn.SINGLE(IF(F214="","",_xlfn.XLOOKUP(F214,purchase!D:D,purchase!K:K,"")))</f>
        <v/>
      </c>
      <c r="Q214" s="29" t="str">
        <f t="shared" si="26"/>
        <v/>
      </c>
      <c r="R214" s="37" t="str">
        <f t="shared" si="27"/>
        <v/>
      </c>
    </row>
    <row r="215" spans="1:18" x14ac:dyDescent="0.35">
      <c r="A215" s="8">
        <v>211</v>
      </c>
      <c r="B215" s="9" t="str">
        <f t="shared" si="21"/>
        <v/>
      </c>
      <c r="C215" s="10"/>
      <c r="D215" s="9" t="str">
        <f>IF(F215="","",_xlfn.XLOOKUP(F215,purchase!D:D,purchase!#REF!,""))</f>
        <v/>
      </c>
      <c r="E215" s="9" t="str">
        <f>IF(F215="","",_xlfn.XLOOKUP(F215,purchase!D:D,purchase!B:B,""))</f>
        <v/>
      </c>
      <c r="F215" s="2"/>
      <c r="G215" s="4" t="str">
        <f t="shared" si="22"/>
        <v/>
      </c>
      <c r="H215" s="4" t="str">
        <f>IF(F215="","",_xlfn.XLOOKUP(F215,purchase!D:D,purchase!#REF!,""))</f>
        <v/>
      </c>
      <c r="I215" s="4" t="str">
        <f t="shared" si="23"/>
        <v/>
      </c>
      <c r="J215" s="4" t="str">
        <f t="shared" si="24"/>
        <v/>
      </c>
      <c r="K215" s="13" t="str">
        <f>_xlfn.SINGLE(IF(F215="","",_xlfn.XLOOKUP(F215,purchase!D:D,purchase!#REF!,"")))</f>
        <v/>
      </c>
      <c r="L215" s="2"/>
      <c r="M215" s="32"/>
      <c r="N215" s="13" t="str">
        <f>IF(F215="","",
MAX(0,
_xlfn.XLOOKUP(F215,purchase!D:D,purchase!#REF!,"")
-
SUMIFS(L:L,F:F,F215)))</f>
        <v/>
      </c>
      <c r="O215" s="13" t="str">
        <f t="shared" si="25"/>
        <v/>
      </c>
      <c r="P215" s="35" t="str">
        <f>_xlfn.SINGLE(IF(F215="","",_xlfn.XLOOKUP(F215,purchase!D:D,purchase!K:K,"")))</f>
        <v/>
      </c>
      <c r="Q215" s="29" t="str">
        <f t="shared" si="26"/>
        <v/>
      </c>
      <c r="R215" s="37" t="str">
        <f t="shared" si="27"/>
        <v/>
      </c>
    </row>
    <row r="216" spans="1:18" x14ac:dyDescent="0.35">
      <c r="A216" s="8">
        <v>212</v>
      </c>
      <c r="B216" s="9" t="str">
        <f t="shared" si="21"/>
        <v/>
      </c>
      <c r="C216" s="10"/>
      <c r="D216" s="9" t="str">
        <f>IF(F216="","",_xlfn.XLOOKUP(F216,purchase!D:D,purchase!#REF!,""))</f>
        <v/>
      </c>
      <c r="E216" s="9" t="str">
        <f>IF(F216="","",_xlfn.XLOOKUP(F216,purchase!D:D,purchase!B:B,""))</f>
        <v/>
      </c>
      <c r="F216" s="2"/>
      <c r="G216" s="4" t="str">
        <f t="shared" si="22"/>
        <v/>
      </c>
      <c r="H216" s="4" t="str">
        <f>IF(F216="","",_xlfn.XLOOKUP(F216,purchase!D:D,purchase!#REF!,""))</f>
        <v/>
      </c>
      <c r="I216" s="4" t="str">
        <f t="shared" si="23"/>
        <v/>
      </c>
      <c r="J216" s="4" t="str">
        <f t="shared" si="24"/>
        <v/>
      </c>
      <c r="K216" s="13" t="str">
        <f>_xlfn.SINGLE(IF(F216="","",_xlfn.XLOOKUP(F216,purchase!D:D,purchase!#REF!,"")))</f>
        <v/>
      </c>
      <c r="L216" s="2"/>
      <c r="M216" s="32"/>
      <c r="N216" s="13" t="str">
        <f>IF(F216="","",
MAX(0,
_xlfn.XLOOKUP(F216,purchase!D:D,purchase!#REF!,"")
-
SUMIFS(L:L,F:F,F216)))</f>
        <v/>
      </c>
      <c r="O216" s="13" t="str">
        <f t="shared" si="25"/>
        <v/>
      </c>
      <c r="P216" s="35" t="str">
        <f>_xlfn.SINGLE(IF(F216="","",_xlfn.XLOOKUP(F216,purchase!D:D,purchase!K:K,"")))</f>
        <v/>
      </c>
      <c r="Q216" s="29" t="str">
        <f t="shared" si="26"/>
        <v/>
      </c>
      <c r="R216" s="37" t="str">
        <f t="shared" si="27"/>
        <v/>
      </c>
    </row>
    <row r="217" spans="1:18" x14ac:dyDescent="0.35">
      <c r="A217" s="8">
        <v>213</v>
      </c>
      <c r="B217" s="9" t="str">
        <f t="shared" si="21"/>
        <v/>
      </c>
      <c r="C217" s="10"/>
      <c r="D217" s="9" t="str">
        <f>IF(F217="","",_xlfn.XLOOKUP(F217,purchase!D:D,purchase!#REF!,""))</f>
        <v/>
      </c>
      <c r="E217" s="9" t="str">
        <f>IF(F217="","",_xlfn.XLOOKUP(F217,purchase!D:D,purchase!B:B,""))</f>
        <v/>
      </c>
      <c r="F217" s="2"/>
      <c r="G217" s="4" t="str">
        <f t="shared" si="22"/>
        <v/>
      </c>
      <c r="H217" s="4" t="str">
        <f>IF(F217="","",_xlfn.XLOOKUP(F217,purchase!D:D,purchase!#REF!,""))</f>
        <v/>
      </c>
      <c r="I217" s="4" t="str">
        <f t="shared" si="23"/>
        <v/>
      </c>
      <c r="J217" s="4" t="str">
        <f t="shared" si="24"/>
        <v/>
      </c>
      <c r="K217" s="13" t="str">
        <f>_xlfn.SINGLE(IF(F217="","",_xlfn.XLOOKUP(F217,purchase!D:D,purchase!#REF!,"")))</f>
        <v/>
      </c>
      <c r="L217" s="2"/>
      <c r="M217" s="32"/>
      <c r="N217" s="13" t="str">
        <f>IF(F217="","",
MAX(0,
_xlfn.XLOOKUP(F217,purchase!D:D,purchase!#REF!,"")
-
SUMIFS(L:L,F:F,F217)))</f>
        <v/>
      </c>
      <c r="O217" s="13" t="str">
        <f t="shared" si="25"/>
        <v/>
      </c>
      <c r="P217" s="35" t="str">
        <f>_xlfn.SINGLE(IF(F217="","",_xlfn.XLOOKUP(F217,purchase!D:D,purchase!K:K,"")))</f>
        <v/>
      </c>
      <c r="Q217" s="29" t="str">
        <f t="shared" si="26"/>
        <v/>
      </c>
      <c r="R217" s="37" t="str">
        <f t="shared" si="27"/>
        <v/>
      </c>
    </row>
    <row r="218" spans="1:18" x14ac:dyDescent="0.35">
      <c r="A218" s="8">
        <v>214</v>
      </c>
      <c r="B218" s="9" t="str">
        <f t="shared" si="21"/>
        <v/>
      </c>
      <c r="C218" s="10"/>
      <c r="D218" s="9" t="str">
        <f>IF(F218="","",_xlfn.XLOOKUP(F218,purchase!D:D,purchase!#REF!,""))</f>
        <v/>
      </c>
      <c r="E218" s="9" t="str">
        <f>IF(F218="","",_xlfn.XLOOKUP(F218,purchase!D:D,purchase!B:B,""))</f>
        <v/>
      </c>
      <c r="F218" s="2"/>
      <c r="G218" s="4" t="str">
        <f t="shared" si="22"/>
        <v/>
      </c>
      <c r="H218" s="4" t="str">
        <f>IF(F218="","",_xlfn.XLOOKUP(F218,purchase!D:D,purchase!#REF!,""))</f>
        <v/>
      </c>
      <c r="I218" s="4" t="str">
        <f t="shared" si="23"/>
        <v/>
      </c>
      <c r="J218" s="4" t="str">
        <f t="shared" si="24"/>
        <v/>
      </c>
      <c r="K218" s="13" t="str">
        <f>_xlfn.SINGLE(IF(F218="","",_xlfn.XLOOKUP(F218,purchase!D:D,purchase!#REF!,"")))</f>
        <v/>
      </c>
      <c r="L218" s="2"/>
      <c r="M218" s="32"/>
      <c r="N218" s="13" t="str">
        <f>IF(F218="","",
MAX(0,
_xlfn.XLOOKUP(F218,purchase!D:D,purchase!#REF!,"")
-
SUMIFS(L:L,F:F,F218)))</f>
        <v/>
      </c>
      <c r="O218" s="13" t="str">
        <f t="shared" si="25"/>
        <v/>
      </c>
      <c r="P218" s="35" t="str">
        <f>_xlfn.SINGLE(IF(F218="","",_xlfn.XLOOKUP(F218,purchase!D:D,purchase!K:K,"")))</f>
        <v/>
      </c>
      <c r="Q218" s="29" t="str">
        <f t="shared" si="26"/>
        <v/>
      </c>
      <c r="R218" s="37" t="str">
        <f t="shared" si="27"/>
        <v/>
      </c>
    </row>
    <row r="219" spans="1:18" x14ac:dyDescent="0.35">
      <c r="A219" s="8">
        <v>215</v>
      </c>
      <c r="B219" s="9" t="str">
        <f t="shared" si="21"/>
        <v/>
      </c>
      <c r="C219" s="10"/>
      <c r="D219" s="9" t="str">
        <f>IF(F219="","",_xlfn.XLOOKUP(F219,purchase!D:D,purchase!#REF!,""))</f>
        <v/>
      </c>
      <c r="E219" s="9" t="str">
        <f>IF(F219="","",_xlfn.XLOOKUP(F219,purchase!D:D,purchase!B:B,""))</f>
        <v/>
      </c>
      <c r="F219" s="2"/>
      <c r="G219" s="4" t="str">
        <f t="shared" si="22"/>
        <v/>
      </c>
      <c r="H219" s="4" t="str">
        <f>IF(F219="","",_xlfn.XLOOKUP(F219,purchase!D:D,purchase!#REF!,""))</f>
        <v/>
      </c>
      <c r="I219" s="4" t="str">
        <f t="shared" si="23"/>
        <v/>
      </c>
      <c r="J219" s="4" t="str">
        <f t="shared" si="24"/>
        <v/>
      </c>
      <c r="K219" s="13" t="str">
        <f>_xlfn.SINGLE(IF(F219="","",_xlfn.XLOOKUP(F219,purchase!D:D,purchase!#REF!,"")))</f>
        <v/>
      </c>
      <c r="L219" s="2"/>
      <c r="M219" s="32"/>
      <c r="N219" s="13" t="str">
        <f>IF(F219="","",
MAX(0,
_xlfn.XLOOKUP(F219,purchase!D:D,purchase!#REF!,"")
-
SUMIFS(L:L,F:F,F219)))</f>
        <v/>
      </c>
      <c r="O219" s="13" t="str">
        <f t="shared" si="25"/>
        <v/>
      </c>
      <c r="P219" s="35" t="str">
        <f>_xlfn.SINGLE(IF(F219="","",_xlfn.XLOOKUP(F219,purchase!D:D,purchase!K:K,"")))</f>
        <v/>
      </c>
      <c r="Q219" s="29" t="str">
        <f t="shared" si="26"/>
        <v/>
      </c>
      <c r="R219" s="37" t="str">
        <f t="shared" si="27"/>
        <v/>
      </c>
    </row>
    <row r="220" spans="1:18" x14ac:dyDescent="0.35">
      <c r="A220" s="8">
        <v>216</v>
      </c>
      <c r="B220" s="9" t="str">
        <f t="shared" si="21"/>
        <v/>
      </c>
      <c r="C220" s="10"/>
      <c r="D220" s="9" t="str">
        <f>IF(F220="","",_xlfn.XLOOKUP(F220,purchase!D:D,purchase!#REF!,""))</f>
        <v/>
      </c>
      <c r="E220" s="9" t="str">
        <f>IF(F220="","",_xlfn.XLOOKUP(F220,purchase!D:D,purchase!B:B,""))</f>
        <v/>
      </c>
      <c r="F220" s="2"/>
      <c r="G220" s="4" t="str">
        <f t="shared" si="22"/>
        <v/>
      </c>
      <c r="H220" s="4" t="str">
        <f>IF(F220="","",_xlfn.XLOOKUP(F220,purchase!D:D,purchase!#REF!,""))</f>
        <v/>
      </c>
      <c r="I220" s="4" t="str">
        <f t="shared" si="23"/>
        <v/>
      </c>
      <c r="J220" s="4" t="str">
        <f t="shared" si="24"/>
        <v/>
      </c>
      <c r="K220" s="13" t="str">
        <f>_xlfn.SINGLE(IF(F220="","",_xlfn.XLOOKUP(F220,purchase!D:D,purchase!#REF!,"")))</f>
        <v/>
      </c>
      <c r="L220" s="2"/>
      <c r="M220" s="32"/>
      <c r="N220" s="13" t="str">
        <f>IF(F220="","",
MAX(0,
_xlfn.XLOOKUP(F220,purchase!D:D,purchase!#REF!,"")
-
SUMIFS(L:L,F:F,F220)))</f>
        <v/>
      </c>
      <c r="O220" s="13" t="str">
        <f t="shared" si="25"/>
        <v/>
      </c>
      <c r="P220" s="35" t="str">
        <f>_xlfn.SINGLE(IF(F220="","",_xlfn.XLOOKUP(F220,purchase!D:D,purchase!K:K,"")))</f>
        <v/>
      </c>
      <c r="Q220" s="29" t="str">
        <f t="shared" si="26"/>
        <v/>
      </c>
      <c r="R220" s="37" t="str">
        <f t="shared" si="27"/>
        <v/>
      </c>
    </row>
    <row r="221" spans="1:18" x14ac:dyDescent="0.35">
      <c r="A221" s="8">
        <v>217</v>
      </c>
      <c r="B221" s="9" t="str">
        <f t="shared" si="21"/>
        <v/>
      </c>
      <c r="C221" s="10"/>
      <c r="D221" s="9" t="str">
        <f>IF(F221="","",_xlfn.XLOOKUP(F221,purchase!D:D,purchase!#REF!,""))</f>
        <v/>
      </c>
      <c r="E221" s="9" t="str">
        <f>IF(F221="","",_xlfn.XLOOKUP(F221,purchase!D:D,purchase!B:B,""))</f>
        <v/>
      </c>
      <c r="F221" s="2"/>
      <c r="G221" s="4" t="str">
        <f t="shared" si="22"/>
        <v/>
      </c>
      <c r="H221" s="4" t="str">
        <f>IF(F221="","",_xlfn.XLOOKUP(F221,purchase!D:D,purchase!#REF!,""))</f>
        <v/>
      </c>
      <c r="I221" s="4" t="str">
        <f t="shared" si="23"/>
        <v/>
      </c>
      <c r="J221" s="4" t="str">
        <f t="shared" si="24"/>
        <v/>
      </c>
      <c r="K221" s="13" t="str">
        <f>_xlfn.SINGLE(IF(F221="","",_xlfn.XLOOKUP(F221,purchase!D:D,purchase!#REF!,"")))</f>
        <v/>
      </c>
      <c r="L221" s="2"/>
      <c r="M221" s="32"/>
      <c r="N221" s="13" t="str">
        <f>IF(F221="","",
MAX(0,
_xlfn.XLOOKUP(F221,purchase!D:D,purchase!#REF!,"")
-
SUMIFS(L:L,F:F,F221)))</f>
        <v/>
      </c>
      <c r="O221" s="13" t="str">
        <f t="shared" si="25"/>
        <v/>
      </c>
      <c r="P221" s="35" t="str">
        <f>_xlfn.SINGLE(IF(F221="","",_xlfn.XLOOKUP(F221,purchase!D:D,purchase!K:K,"")))</f>
        <v/>
      </c>
      <c r="Q221" s="29" t="str">
        <f t="shared" si="26"/>
        <v/>
      </c>
      <c r="R221" s="37" t="str">
        <f t="shared" si="27"/>
        <v/>
      </c>
    </row>
    <row r="222" spans="1:18" x14ac:dyDescent="0.35">
      <c r="A222" s="8">
        <v>218</v>
      </c>
      <c r="B222" s="9" t="str">
        <f t="shared" si="21"/>
        <v/>
      </c>
      <c r="C222" s="10"/>
      <c r="D222" s="9" t="str">
        <f>IF(F222="","",_xlfn.XLOOKUP(F222,purchase!D:D,purchase!#REF!,""))</f>
        <v/>
      </c>
      <c r="E222" s="9" t="str">
        <f>IF(F222="","",_xlfn.XLOOKUP(F222,purchase!D:D,purchase!B:B,""))</f>
        <v/>
      </c>
      <c r="F222" s="2"/>
      <c r="G222" s="4" t="str">
        <f t="shared" si="22"/>
        <v/>
      </c>
      <c r="H222" s="4" t="str">
        <f>IF(F222="","",_xlfn.XLOOKUP(F222,purchase!D:D,purchase!#REF!,""))</f>
        <v/>
      </c>
      <c r="I222" s="4" t="str">
        <f t="shared" si="23"/>
        <v/>
      </c>
      <c r="J222" s="4" t="str">
        <f t="shared" si="24"/>
        <v/>
      </c>
      <c r="K222" s="13" t="str">
        <f>_xlfn.SINGLE(IF(F222="","",_xlfn.XLOOKUP(F222,purchase!D:D,purchase!#REF!,"")))</f>
        <v/>
      </c>
      <c r="L222" s="2"/>
      <c r="M222" s="32"/>
      <c r="N222" s="13" t="str">
        <f>IF(F222="","",
MAX(0,
_xlfn.XLOOKUP(F222,purchase!D:D,purchase!#REF!,"")
-
SUMIFS(L:L,F:F,F222)))</f>
        <v/>
      </c>
      <c r="O222" s="13" t="str">
        <f t="shared" si="25"/>
        <v/>
      </c>
      <c r="P222" s="35" t="str">
        <f>_xlfn.SINGLE(IF(F222="","",_xlfn.XLOOKUP(F222,purchase!D:D,purchase!K:K,"")))</f>
        <v/>
      </c>
      <c r="Q222" s="29" t="str">
        <f t="shared" si="26"/>
        <v/>
      </c>
      <c r="R222" s="37" t="str">
        <f t="shared" si="27"/>
        <v/>
      </c>
    </row>
    <row r="223" spans="1:18" x14ac:dyDescent="0.35">
      <c r="A223" s="8">
        <v>219</v>
      </c>
      <c r="B223" s="9" t="str">
        <f t="shared" si="21"/>
        <v/>
      </c>
      <c r="C223" s="10"/>
      <c r="D223" s="9" t="str">
        <f>IF(F223="","",_xlfn.XLOOKUP(F223,purchase!D:D,purchase!#REF!,""))</f>
        <v/>
      </c>
      <c r="E223" s="9" t="str">
        <f>IF(F223="","",_xlfn.XLOOKUP(F223,purchase!D:D,purchase!B:B,""))</f>
        <v/>
      </c>
      <c r="F223" s="2"/>
      <c r="G223" s="4" t="str">
        <f t="shared" si="22"/>
        <v/>
      </c>
      <c r="H223" s="4" t="str">
        <f>IF(F223="","",_xlfn.XLOOKUP(F223,purchase!D:D,purchase!#REF!,""))</f>
        <v/>
      </c>
      <c r="I223" s="4" t="str">
        <f t="shared" si="23"/>
        <v/>
      </c>
      <c r="J223" s="4" t="str">
        <f t="shared" si="24"/>
        <v/>
      </c>
      <c r="K223" s="13" t="str">
        <f>_xlfn.SINGLE(IF(F223="","",_xlfn.XLOOKUP(F223,purchase!D:D,purchase!#REF!,"")))</f>
        <v/>
      </c>
      <c r="L223" s="2"/>
      <c r="M223" s="32"/>
      <c r="N223" s="13" t="str">
        <f>IF(F223="","",
MAX(0,
_xlfn.XLOOKUP(F223,purchase!D:D,purchase!#REF!,"")
-
SUMIFS(L:L,F:F,F223)))</f>
        <v/>
      </c>
      <c r="O223" s="13" t="str">
        <f t="shared" si="25"/>
        <v/>
      </c>
      <c r="P223" s="35" t="str">
        <f>_xlfn.SINGLE(IF(F223="","",_xlfn.XLOOKUP(F223,purchase!D:D,purchase!K:K,"")))</f>
        <v/>
      </c>
      <c r="Q223" s="29" t="str">
        <f t="shared" si="26"/>
        <v/>
      </c>
      <c r="R223" s="37" t="str">
        <f t="shared" si="27"/>
        <v/>
      </c>
    </row>
    <row r="224" spans="1:18" x14ac:dyDescent="0.35">
      <c r="A224" s="8">
        <v>220</v>
      </c>
      <c r="B224" s="9" t="str">
        <f t="shared" si="21"/>
        <v/>
      </c>
      <c r="C224" s="10"/>
      <c r="D224" s="9" t="str">
        <f>IF(F224="","",_xlfn.XLOOKUP(F224,purchase!D:D,purchase!#REF!,""))</f>
        <v/>
      </c>
      <c r="E224" s="9" t="str">
        <f>IF(F224="","",_xlfn.XLOOKUP(F224,purchase!D:D,purchase!B:B,""))</f>
        <v/>
      </c>
      <c r="F224" s="2"/>
      <c r="G224" s="4" t="str">
        <f t="shared" si="22"/>
        <v/>
      </c>
      <c r="H224" s="4" t="str">
        <f>IF(F224="","",_xlfn.XLOOKUP(F224,purchase!D:D,purchase!#REF!,""))</f>
        <v/>
      </c>
      <c r="I224" s="4" t="str">
        <f t="shared" si="23"/>
        <v/>
      </c>
      <c r="J224" s="4" t="str">
        <f t="shared" si="24"/>
        <v/>
      </c>
      <c r="K224" s="13" t="str">
        <f>_xlfn.SINGLE(IF(F224="","",_xlfn.XLOOKUP(F224,purchase!D:D,purchase!#REF!,"")))</f>
        <v/>
      </c>
      <c r="L224" s="2"/>
      <c r="M224" s="32"/>
      <c r="N224" s="13" t="str">
        <f>IF(F224="","",
MAX(0,
_xlfn.XLOOKUP(F224,purchase!D:D,purchase!#REF!,"")
-
SUMIFS(L:L,F:F,F224)))</f>
        <v/>
      </c>
      <c r="O224" s="13" t="str">
        <f t="shared" si="25"/>
        <v/>
      </c>
      <c r="P224" s="35" t="str">
        <f>_xlfn.SINGLE(IF(F224="","",_xlfn.XLOOKUP(F224,purchase!D:D,purchase!K:K,"")))</f>
        <v/>
      </c>
      <c r="Q224" s="29" t="str">
        <f t="shared" si="26"/>
        <v/>
      </c>
      <c r="R224" s="37" t="str">
        <f t="shared" si="27"/>
        <v/>
      </c>
    </row>
    <row r="225" spans="1:18" x14ac:dyDescent="0.35">
      <c r="A225" s="8">
        <v>221</v>
      </c>
      <c r="B225" s="9" t="str">
        <f t="shared" si="21"/>
        <v/>
      </c>
      <c r="C225" s="10"/>
      <c r="D225" s="9" t="str">
        <f>IF(F225="","",_xlfn.XLOOKUP(F225,purchase!D:D,purchase!#REF!,""))</f>
        <v/>
      </c>
      <c r="E225" s="9" t="str">
        <f>IF(F225="","",_xlfn.XLOOKUP(F225,purchase!D:D,purchase!B:B,""))</f>
        <v/>
      </c>
      <c r="F225" s="2"/>
      <c r="G225" s="4" t="str">
        <f t="shared" si="22"/>
        <v/>
      </c>
      <c r="H225" s="4" t="str">
        <f>IF(F225="","",_xlfn.XLOOKUP(F225,purchase!D:D,purchase!#REF!,""))</f>
        <v/>
      </c>
      <c r="I225" s="4" t="str">
        <f t="shared" si="23"/>
        <v/>
      </c>
      <c r="J225" s="4" t="str">
        <f t="shared" si="24"/>
        <v/>
      </c>
      <c r="K225" s="13" t="str">
        <f>_xlfn.SINGLE(IF(F225="","",_xlfn.XLOOKUP(F225,purchase!D:D,purchase!#REF!,"")))</f>
        <v/>
      </c>
      <c r="L225" s="2"/>
      <c r="M225" s="32"/>
      <c r="N225" s="13" t="str">
        <f>IF(F225="","",
MAX(0,
_xlfn.XLOOKUP(F225,purchase!D:D,purchase!#REF!,"")
-
SUMIFS(L:L,F:F,F225)))</f>
        <v/>
      </c>
      <c r="O225" s="13" t="str">
        <f t="shared" si="25"/>
        <v/>
      </c>
      <c r="P225" s="35" t="str">
        <f>_xlfn.SINGLE(IF(F225="","",_xlfn.XLOOKUP(F225,purchase!D:D,purchase!K:K,"")))</f>
        <v/>
      </c>
      <c r="Q225" s="29" t="str">
        <f t="shared" si="26"/>
        <v/>
      </c>
      <c r="R225" s="37" t="str">
        <f t="shared" si="27"/>
        <v/>
      </c>
    </row>
    <row r="226" spans="1:18" x14ac:dyDescent="0.35">
      <c r="A226" s="8">
        <v>222</v>
      </c>
      <c r="B226" s="9" t="str">
        <f t="shared" si="21"/>
        <v/>
      </c>
      <c r="C226" s="10"/>
      <c r="D226" s="9" t="str">
        <f>IF(F226="","",_xlfn.XLOOKUP(F226,purchase!D:D,purchase!#REF!,""))</f>
        <v/>
      </c>
      <c r="E226" s="9" t="str">
        <f>IF(F226="","",_xlfn.XLOOKUP(F226,purchase!D:D,purchase!B:B,""))</f>
        <v/>
      </c>
      <c r="F226" s="2"/>
      <c r="G226" s="4" t="str">
        <f t="shared" si="22"/>
        <v/>
      </c>
      <c r="H226" s="4" t="str">
        <f>IF(F226="","",_xlfn.XLOOKUP(F226,purchase!D:D,purchase!#REF!,""))</f>
        <v/>
      </c>
      <c r="I226" s="4" t="str">
        <f t="shared" si="23"/>
        <v/>
      </c>
      <c r="J226" s="4" t="str">
        <f t="shared" si="24"/>
        <v/>
      </c>
      <c r="K226" s="13" t="str">
        <f>_xlfn.SINGLE(IF(F226="","",_xlfn.XLOOKUP(F226,purchase!D:D,purchase!#REF!,"")))</f>
        <v/>
      </c>
      <c r="L226" s="2"/>
      <c r="M226" s="32"/>
      <c r="N226" s="13" t="str">
        <f>IF(F226="","",
MAX(0,
_xlfn.XLOOKUP(F226,purchase!D:D,purchase!#REF!,"")
-
SUMIFS(L:L,F:F,F226)))</f>
        <v/>
      </c>
      <c r="O226" s="13" t="str">
        <f t="shared" si="25"/>
        <v/>
      </c>
      <c r="P226" s="35" t="str">
        <f>_xlfn.SINGLE(IF(F226="","",_xlfn.XLOOKUP(F226,purchase!D:D,purchase!K:K,"")))</f>
        <v/>
      </c>
      <c r="Q226" s="29" t="str">
        <f t="shared" si="26"/>
        <v/>
      </c>
      <c r="R226" s="37" t="str">
        <f t="shared" si="27"/>
        <v/>
      </c>
    </row>
    <row r="227" spans="1:18" x14ac:dyDescent="0.35">
      <c r="A227" s="8">
        <v>223</v>
      </c>
      <c r="B227" s="9" t="str">
        <f t="shared" si="21"/>
        <v/>
      </c>
      <c r="C227" s="10"/>
      <c r="D227" s="9" t="str">
        <f>IF(F227="","",_xlfn.XLOOKUP(F227,purchase!D:D,purchase!#REF!,""))</f>
        <v/>
      </c>
      <c r="E227" s="9" t="str">
        <f>IF(F227="","",_xlfn.XLOOKUP(F227,purchase!D:D,purchase!B:B,""))</f>
        <v/>
      </c>
      <c r="F227" s="2"/>
      <c r="G227" s="4" t="str">
        <f t="shared" si="22"/>
        <v/>
      </c>
      <c r="H227" s="4" t="str">
        <f>IF(F227="","",_xlfn.XLOOKUP(F227,purchase!D:D,purchase!#REF!,""))</f>
        <v/>
      </c>
      <c r="I227" s="4" t="str">
        <f t="shared" si="23"/>
        <v/>
      </c>
      <c r="J227" s="4" t="str">
        <f t="shared" si="24"/>
        <v/>
      </c>
      <c r="K227" s="13" t="str">
        <f>_xlfn.SINGLE(IF(F227="","",_xlfn.XLOOKUP(F227,purchase!D:D,purchase!#REF!,"")))</f>
        <v/>
      </c>
      <c r="L227" s="2"/>
      <c r="M227" s="32"/>
      <c r="N227" s="13" t="str">
        <f>IF(F227="","",
MAX(0,
_xlfn.XLOOKUP(F227,purchase!D:D,purchase!#REF!,"")
-
SUMIFS(L:L,F:F,F227)))</f>
        <v/>
      </c>
      <c r="O227" s="13" t="str">
        <f t="shared" si="25"/>
        <v/>
      </c>
      <c r="P227" s="35" t="str">
        <f>_xlfn.SINGLE(IF(F227="","",_xlfn.XLOOKUP(F227,purchase!D:D,purchase!K:K,"")))</f>
        <v/>
      </c>
      <c r="Q227" s="29" t="str">
        <f t="shared" si="26"/>
        <v/>
      </c>
      <c r="R227" s="37" t="str">
        <f t="shared" si="27"/>
        <v/>
      </c>
    </row>
    <row r="228" spans="1:18" x14ac:dyDescent="0.35">
      <c r="A228" s="8">
        <v>224</v>
      </c>
      <c r="B228" s="9" t="str">
        <f t="shared" si="21"/>
        <v/>
      </c>
      <c r="C228" s="10"/>
      <c r="D228" s="9" t="str">
        <f>IF(F228="","",_xlfn.XLOOKUP(F228,purchase!D:D,purchase!#REF!,""))</f>
        <v/>
      </c>
      <c r="E228" s="9" t="str">
        <f>IF(F228="","",_xlfn.XLOOKUP(F228,purchase!D:D,purchase!B:B,""))</f>
        <v/>
      </c>
      <c r="F228" s="2"/>
      <c r="G228" s="4" t="str">
        <f t="shared" si="22"/>
        <v/>
      </c>
      <c r="H228" s="4" t="str">
        <f>IF(F228="","",_xlfn.XLOOKUP(F228,purchase!D:D,purchase!#REF!,""))</f>
        <v/>
      </c>
      <c r="I228" s="4" t="str">
        <f t="shared" si="23"/>
        <v/>
      </c>
      <c r="J228" s="4" t="str">
        <f t="shared" si="24"/>
        <v/>
      </c>
      <c r="K228" s="13" t="str">
        <f>_xlfn.SINGLE(IF(F228="","",_xlfn.XLOOKUP(F228,purchase!D:D,purchase!#REF!,"")))</f>
        <v/>
      </c>
      <c r="L228" s="2"/>
      <c r="M228" s="32"/>
      <c r="N228" s="13" t="str">
        <f>IF(F228="","",
MAX(0,
_xlfn.XLOOKUP(F228,purchase!D:D,purchase!#REF!,"")
-
SUMIFS(L:L,F:F,F228)))</f>
        <v/>
      </c>
      <c r="O228" s="13" t="str">
        <f t="shared" si="25"/>
        <v/>
      </c>
      <c r="P228" s="35" t="str">
        <f>_xlfn.SINGLE(IF(F228="","",_xlfn.XLOOKUP(F228,purchase!D:D,purchase!K:K,"")))</f>
        <v/>
      </c>
      <c r="Q228" s="29" t="str">
        <f t="shared" si="26"/>
        <v/>
      </c>
      <c r="R228" s="37" t="str">
        <f t="shared" si="27"/>
        <v/>
      </c>
    </row>
    <row r="229" spans="1:18" x14ac:dyDescent="0.35">
      <c r="A229" s="8">
        <v>225</v>
      </c>
      <c r="B229" s="9" t="str">
        <f t="shared" si="21"/>
        <v/>
      </c>
      <c r="C229" s="10"/>
      <c r="D229" s="9" t="str">
        <f>IF(F229="","",_xlfn.XLOOKUP(F229,purchase!D:D,purchase!#REF!,""))</f>
        <v/>
      </c>
      <c r="E229" s="9" t="str">
        <f>IF(F229="","",_xlfn.XLOOKUP(F229,purchase!D:D,purchase!B:B,""))</f>
        <v/>
      </c>
      <c r="F229" s="2"/>
      <c r="G229" s="4" t="str">
        <f t="shared" si="22"/>
        <v/>
      </c>
      <c r="H229" s="4" t="str">
        <f>IF(F229="","",_xlfn.XLOOKUP(F229,purchase!D:D,purchase!#REF!,""))</f>
        <v/>
      </c>
      <c r="I229" s="4" t="str">
        <f t="shared" si="23"/>
        <v/>
      </c>
      <c r="J229" s="4" t="str">
        <f t="shared" si="24"/>
        <v/>
      </c>
      <c r="K229" s="13" t="str">
        <f>_xlfn.SINGLE(IF(F229="","",_xlfn.XLOOKUP(F229,purchase!D:D,purchase!#REF!,"")))</f>
        <v/>
      </c>
      <c r="L229" s="2"/>
      <c r="M229" s="32"/>
      <c r="N229" s="13" t="str">
        <f>IF(F229="","",
MAX(0,
_xlfn.XLOOKUP(F229,purchase!D:D,purchase!#REF!,"")
-
SUMIFS(L:L,F:F,F229)))</f>
        <v/>
      </c>
      <c r="O229" s="13" t="str">
        <f t="shared" si="25"/>
        <v/>
      </c>
      <c r="P229" s="35" t="str">
        <f>_xlfn.SINGLE(IF(F229="","",_xlfn.XLOOKUP(F229,purchase!D:D,purchase!K:K,"")))</f>
        <v/>
      </c>
      <c r="Q229" s="29" t="str">
        <f t="shared" si="26"/>
        <v/>
      </c>
      <c r="R229" s="37" t="str">
        <f t="shared" si="27"/>
        <v/>
      </c>
    </row>
    <row r="230" spans="1:18" x14ac:dyDescent="0.35">
      <c r="A230" s="8">
        <v>226</v>
      </c>
      <c r="B230" s="9" t="str">
        <f t="shared" si="21"/>
        <v/>
      </c>
      <c r="C230" s="10"/>
      <c r="D230" s="9" t="str">
        <f>IF(F230="","",_xlfn.XLOOKUP(F230,purchase!D:D,purchase!#REF!,""))</f>
        <v/>
      </c>
      <c r="E230" s="9" t="str">
        <f>IF(F230="","",_xlfn.XLOOKUP(F230,purchase!D:D,purchase!B:B,""))</f>
        <v/>
      </c>
      <c r="F230" s="2"/>
      <c r="G230" s="4" t="str">
        <f t="shared" si="22"/>
        <v/>
      </c>
      <c r="H230" s="4" t="str">
        <f>IF(F230="","",_xlfn.XLOOKUP(F230,purchase!D:D,purchase!#REF!,""))</f>
        <v/>
      </c>
      <c r="I230" s="4" t="str">
        <f t="shared" si="23"/>
        <v/>
      </c>
      <c r="J230" s="4" t="str">
        <f t="shared" si="24"/>
        <v/>
      </c>
      <c r="K230" s="13" t="str">
        <f>_xlfn.SINGLE(IF(F230="","",_xlfn.XLOOKUP(F230,purchase!D:D,purchase!#REF!,"")))</f>
        <v/>
      </c>
      <c r="L230" s="2"/>
      <c r="M230" s="32"/>
      <c r="N230" s="13" t="str">
        <f>IF(F230="","",
MAX(0,
_xlfn.XLOOKUP(F230,purchase!D:D,purchase!#REF!,"")
-
SUMIFS(L:L,F:F,F230)))</f>
        <v/>
      </c>
      <c r="O230" s="13" t="str">
        <f t="shared" si="25"/>
        <v/>
      </c>
      <c r="P230" s="35" t="str">
        <f>_xlfn.SINGLE(IF(F230="","",_xlfn.XLOOKUP(F230,purchase!D:D,purchase!K:K,"")))</f>
        <v/>
      </c>
      <c r="Q230" s="29" t="str">
        <f t="shared" si="26"/>
        <v/>
      </c>
      <c r="R230" s="37" t="str">
        <f t="shared" si="27"/>
        <v/>
      </c>
    </row>
    <row r="231" spans="1:18" x14ac:dyDescent="0.35">
      <c r="A231" s="8">
        <v>227</v>
      </c>
      <c r="B231" s="9" t="str">
        <f t="shared" si="21"/>
        <v/>
      </c>
      <c r="C231" s="10"/>
      <c r="D231" s="9" t="str">
        <f>IF(F231="","",_xlfn.XLOOKUP(F231,purchase!D:D,purchase!#REF!,""))</f>
        <v/>
      </c>
      <c r="E231" s="9" t="str">
        <f>IF(F231="","",_xlfn.XLOOKUP(F231,purchase!D:D,purchase!B:B,""))</f>
        <v/>
      </c>
      <c r="F231" s="2"/>
      <c r="G231" s="4" t="str">
        <f t="shared" si="22"/>
        <v/>
      </c>
      <c r="H231" s="4" t="str">
        <f>IF(F231="","",_xlfn.XLOOKUP(F231,purchase!D:D,purchase!#REF!,""))</f>
        <v/>
      </c>
      <c r="I231" s="4" t="str">
        <f t="shared" si="23"/>
        <v/>
      </c>
      <c r="J231" s="4" t="str">
        <f t="shared" si="24"/>
        <v/>
      </c>
      <c r="K231" s="13" t="str">
        <f>_xlfn.SINGLE(IF(F231="","",_xlfn.XLOOKUP(F231,purchase!D:D,purchase!#REF!,"")))</f>
        <v/>
      </c>
      <c r="L231" s="2"/>
      <c r="M231" s="32"/>
      <c r="N231" s="13" t="str">
        <f>IF(F231="","",
MAX(0,
_xlfn.XLOOKUP(F231,purchase!D:D,purchase!#REF!,"")
-
SUMIFS(L:L,F:F,F231)))</f>
        <v/>
      </c>
      <c r="O231" s="13" t="str">
        <f t="shared" si="25"/>
        <v/>
      </c>
      <c r="P231" s="35" t="str">
        <f>_xlfn.SINGLE(IF(F231="","",_xlfn.XLOOKUP(F231,purchase!D:D,purchase!K:K,"")))</f>
        <v/>
      </c>
      <c r="Q231" s="29" t="str">
        <f t="shared" si="26"/>
        <v/>
      </c>
      <c r="R231" s="37" t="str">
        <f t="shared" si="27"/>
        <v/>
      </c>
    </row>
    <row r="232" spans="1:18" x14ac:dyDescent="0.35">
      <c r="A232" s="8">
        <v>228</v>
      </c>
      <c r="B232" s="9" t="str">
        <f t="shared" si="21"/>
        <v/>
      </c>
      <c r="C232" s="10"/>
      <c r="D232" s="9" t="str">
        <f>IF(F232="","",_xlfn.XLOOKUP(F232,purchase!D:D,purchase!#REF!,""))</f>
        <v/>
      </c>
      <c r="E232" s="9" t="str">
        <f>IF(F232="","",_xlfn.XLOOKUP(F232,purchase!D:D,purchase!B:B,""))</f>
        <v/>
      </c>
      <c r="F232" s="2"/>
      <c r="G232" s="4" t="str">
        <f t="shared" si="22"/>
        <v/>
      </c>
      <c r="H232" s="4" t="str">
        <f>IF(F232="","",_xlfn.XLOOKUP(F232,purchase!D:D,purchase!#REF!,""))</f>
        <v/>
      </c>
      <c r="I232" s="4" t="str">
        <f t="shared" si="23"/>
        <v/>
      </c>
      <c r="J232" s="4" t="str">
        <f t="shared" si="24"/>
        <v/>
      </c>
      <c r="K232" s="13" t="str">
        <f>_xlfn.SINGLE(IF(F232="","",_xlfn.XLOOKUP(F232,purchase!D:D,purchase!#REF!,"")))</f>
        <v/>
      </c>
      <c r="L232" s="2"/>
      <c r="M232" s="32"/>
      <c r="N232" s="13" t="str">
        <f>IF(F232="","",
MAX(0,
_xlfn.XLOOKUP(F232,purchase!D:D,purchase!#REF!,"")
-
SUMIFS(L:L,F:F,F232)))</f>
        <v/>
      </c>
      <c r="O232" s="13" t="str">
        <f t="shared" si="25"/>
        <v/>
      </c>
      <c r="P232" s="35" t="str">
        <f>_xlfn.SINGLE(IF(F232="","",_xlfn.XLOOKUP(F232,purchase!D:D,purchase!K:K,"")))</f>
        <v/>
      </c>
      <c r="Q232" s="29" t="str">
        <f t="shared" si="26"/>
        <v/>
      </c>
      <c r="R232" s="37" t="str">
        <f t="shared" si="27"/>
        <v/>
      </c>
    </row>
    <row r="233" spans="1:18" x14ac:dyDescent="0.35">
      <c r="A233" s="8">
        <v>229</v>
      </c>
      <c r="B233" s="9" t="str">
        <f t="shared" si="21"/>
        <v/>
      </c>
      <c r="C233" s="10"/>
      <c r="D233" s="9" t="str">
        <f>IF(F233="","",_xlfn.XLOOKUP(F233,purchase!D:D,purchase!#REF!,""))</f>
        <v/>
      </c>
      <c r="E233" s="9" t="str">
        <f>IF(F233="","",_xlfn.XLOOKUP(F233,purchase!D:D,purchase!B:B,""))</f>
        <v/>
      </c>
      <c r="F233" s="2"/>
      <c r="G233" s="4" t="str">
        <f t="shared" si="22"/>
        <v/>
      </c>
      <c r="H233" s="4" t="str">
        <f>IF(F233="","",_xlfn.XLOOKUP(F233,purchase!D:D,purchase!#REF!,""))</f>
        <v/>
      </c>
      <c r="I233" s="4" t="str">
        <f t="shared" si="23"/>
        <v/>
      </c>
      <c r="J233" s="4" t="str">
        <f t="shared" si="24"/>
        <v/>
      </c>
      <c r="K233" s="13" t="str">
        <f>_xlfn.SINGLE(IF(F233="","",_xlfn.XLOOKUP(F233,purchase!D:D,purchase!#REF!,"")))</f>
        <v/>
      </c>
      <c r="L233" s="2"/>
      <c r="M233" s="32"/>
      <c r="N233" s="13" t="str">
        <f>IF(F233="","",
MAX(0,
_xlfn.XLOOKUP(F233,purchase!D:D,purchase!#REF!,"")
-
SUMIFS(L:L,F:F,F233)))</f>
        <v/>
      </c>
      <c r="O233" s="13" t="str">
        <f t="shared" si="25"/>
        <v/>
      </c>
      <c r="P233" s="35" t="str">
        <f>_xlfn.SINGLE(IF(F233="","",_xlfn.XLOOKUP(F233,purchase!D:D,purchase!K:K,"")))</f>
        <v/>
      </c>
      <c r="Q233" s="29" t="str">
        <f t="shared" si="26"/>
        <v/>
      </c>
      <c r="R233" s="37" t="str">
        <f t="shared" si="27"/>
        <v/>
      </c>
    </row>
    <row r="234" spans="1:18" x14ac:dyDescent="0.35">
      <c r="A234" s="8">
        <v>230</v>
      </c>
      <c r="B234" s="9" t="str">
        <f t="shared" si="21"/>
        <v/>
      </c>
      <c r="C234" s="10"/>
      <c r="D234" s="9" t="str">
        <f>IF(F234="","",_xlfn.XLOOKUP(F234,purchase!D:D,purchase!#REF!,""))</f>
        <v/>
      </c>
      <c r="E234" s="9" t="str">
        <f>IF(F234="","",_xlfn.XLOOKUP(F234,purchase!D:D,purchase!B:B,""))</f>
        <v/>
      </c>
      <c r="F234" s="2"/>
      <c r="G234" s="4" t="str">
        <f t="shared" si="22"/>
        <v/>
      </c>
      <c r="H234" s="4" t="str">
        <f>IF(F234="","",_xlfn.XLOOKUP(F234,purchase!D:D,purchase!#REF!,""))</f>
        <v/>
      </c>
      <c r="I234" s="4" t="str">
        <f t="shared" si="23"/>
        <v/>
      </c>
      <c r="J234" s="4" t="str">
        <f t="shared" si="24"/>
        <v/>
      </c>
      <c r="K234" s="13" t="str">
        <f>_xlfn.SINGLE(IF(F234="","",_xlfn.XLOOKUP(F234,purchase!D:D,purchase!#REF!,"")))</f>
        <v/>
      </c>
      <c r="L234" s="2"/>
      <c r="M234" s="32"/>
      <c r="N234" s="13" t="str">
        <f>IF(F234="","",
MAX(0,
_xlfn.XLOOKUP(F234,purchase!D:D,purchase!#REF!,"")
-
SUMIFS(L:L,F:F,F234)))</f>
        <v/>
      </c>
      <c r="O234" s="13" t="str">
        <f t="shared" si="25"/>
        <v/>
      </c>
      <c r="P234" s="35" t="str">
        <f>_xlfn.SINGLE(IF(F234="","",_xlfn.XLOOKUP(F234,purchase!D:D,purchase!K:K,"")))</f>
        <v/>
      </c>
      <c r="Q234" s="29" t="str">
        <f t="shared" si="26"/>
        <v/>
      </c>
      <c r="R234" s="37" t="str">
        <f t="shared" si="27"/>
        <v/>
      </c>
    </row>
    <row r="235" spans="1:18" x14ac:dyDescent="0.35">
      <c r="A235" s="8">
        <v>231</v>
      </c>
      <c r="B235" s="9" t="str">
        <f t="shared" si="21"/>
        <v/>
      </c>
      <c r="C235" s="10"/>
      <c r="D235" s="9" t="str">
        <f>IF(F235="","",_xlfn.XLOOKUP(F235,purchase!D:D,purchase!#REF!,""))</f>
        <v/>
      </c>
      <c r="E235" s="9" t="str">
        <f>IF(F235="","",_xlfn.XLOOKUP(F235,purchase!D:D,purchase!B:B,""))</f>
        <v/>
      </c>
      <c r="F235" s="2"/>
      <c r="G235" s="4" t="str">
        <f t="shared" si="22"/>
        <v/>
      </c>
      <c r="H235" s="4" t="str">
        <f>IF(F235="","",_xlfn.XLOOKUP(F235,purchase!D:D,purchase!#REF!,""))</f>
        <v/>
      </c>
      <c r="I235" s="4" t="str">
        <f t="shared" si="23"/>
        <v/>
      </c>
      <c r="J235" s="4" t="str">
        <f t="shared" si="24"/>
        <v/>
      </c>
      <c r="K235" s="13" t="str">
        <f>_xlfn.SINGLE(IF(F235="","",_xlfn.XLOOKUP(F235,purchase!D:D,purchase!#REF!,"")))</f>
        <v/>
      </c>
      <c r="L235" s="2"/>
      <c r="M235" s="32"/>
      <c r="N235" s="13" t="str">
        <f>IF(F235="","",
MAX(0,
_xlfn.XLOOKUP(F235,purchase!D:D,purchase!#REF!,"")
-
SUMIFS(L:L,F:F,F235)))</f>
        <v/>
      </c>
      <c r="O235" s="13" t="str">
        <f t="shared" si="25"/>
        <v/>
      </c>
      <c r="P235" s="35" t="str">
        <f>_xlfn.SINGLE(IF(F235="","",_xlfn.XLOOKUP(F235,purchase!D:D,purchase!K:K,"")))</f>
        <v/>
      </c>
      <c r="Q235" s="29" t="str">
        <f t="shared" si="26"/>
        <v/>
      </c>
      <c r="R235" s="37" t="str">
        <f t="shared" si="27"/>
        <v/>
      </c>
    </row>
    <row r="236" spans="1:18" x14ac:dyDescent="0.35">
      <c r="A236" s="8">
        <v>232</v>
      </c>
      <c r="B236" s="9" t="str">
        <f t="shared" si="21"/>
        <v/>
      </c>
      <c r="C236" s="10"/>
      <c r="D236" s="9" t="str">
        <f>IF(F236="","",_xlfn.XLOOKUP(F236,purchase!D:D,purchase!#REF!,""))</f>
        <v/>
      </c>
      <c r="E236" s="9" t="str">
        <f>IF(F236="","",_xlfn.XLOOKUP(F236,purchase!D:D,purchase!B:B,""))</f>
        <v/>
      </c>
      <c r="F236" s="2"/>
      <c r="G236" s="4" t="str">
        <f t="shared" si="22"/>
        <v/>
      </c>
      <c r="H236" s="4" t="str">
        <f>IF(F236="","",_xlfn.XLOOKUP(F236,purchase!D:D,purchase!#REF!,""))</f>
        <v/>
      </c>
      <c r="I236" s="4" t="str">
        <f t="shared" si="23"/>
        <v/>
      </c>
      <c r="J236" s="4" t="str">
        <f t="shared" si="24"/>
        <v/>
      </c>
      <c r="K236" s="13" t="str">
        <f>_xlfn.SINGLE(IF(F236="","",_xlfn.XLOOKUP(F236,purchase!D:D,purchase!#REF!,"")))</f>
        <v/>
      </c>
      <c r="L236" s="2"/>
      <c r="M236" s="32"/>
      <c r="N236" s="13" t="str">
        <f>IF(F236="","",
MAX(0,
_xlfn.XLOOKUP(F236,purchase!D:D,purchase!#REF!,"")
-
SUMIFS(L:L,F:F,F236)))</f>
        <v/>
      </c>
      <c r="O236" s="13" t="str">
        <f t="shared" si="25"/>
        <v/>
      </c>
      <c r="P236" s="35" t="str">
        <f>_xlfn.SINGLE(IF(F236="","",_xlfn.XLOOKUP(F236,purchase!D:D,purchase!K:K,"")))</f>
        <v/>
      </c>
      <c r="Q236" s="29" t="str">
        <f t="shared" si="26"/>
        <v/>
      </c>
      <c r="R236" s="37" t="str">
        <f t="shared" si="27"/>
        <v/>
      </c>
    </row>
    <row r="237" spans="1:18" x14ac:dyDescent="0.35">
      <c r="A237" s="8">
        <v>233</v>
      </c>
      <c r="B237" s="9" t="str">
        <f t="shared" si="21"/>
        <v/>
      </c>
      <c r="C237" s="10"/>
      <c r="D237" s="9" t="str">
        <f>IF(F237="","",_xlfn.XLOOKUP(F237,purchase!D:D,purchase!#REF!,""))</f>
        <v/>
      </c>
      <c r="E237" s="9" t="str">
        <f>IF(F237="","",_xlfn.XLOOKUP(F237,purchase!D:D,purchase!B:B,""))</f>
        <v/>
      </c>
      <c r="F237" s="2"/>
      <c r="G237" s="4" t="str">
        <f t="shared" si="22"/>
        <v/>
      </c>
      <c r="H237" s="4" t="str">
        <f>IF(F237="","",_xlfn.XLOOKUP(F237,purchase!D:D,purchase!#REF!,""))</f>
        <v/>
      </c>
      <c r="I237" s="4" t="str">
        <f t="shared" si="23"/>
        <v/>
      </c>
      <c r="J237" s="4" t="str">
        <f t="shared" si="24"/>
        <v/>
      </c>
      <c r="K237" s="13" t="str">
        <f>_xlfn.SINGLE(IF(F237="","",_xlfn.XLOOKUP(F237,purchase!D:D,purchase!#REF!,"")))</f>
        <v/>
      </c>
      <c r="L237" s="2"/>
      <c r="M237" s="32"/>
      <c r="N237" s="13" t="str">
        <f>IF(F237="","",
MAX(0,
_xlfn.XLOOKUP(F237,purchase!D:D,purchase!#REF!,"")
-
SUMIFS(L:L,F:F,F237)))</f>
        <v/>
      </c>
      <c r="O237" s="13" t="str">
        <f t="shared" si="25"/>
        <v/>
      </c>
      <c r="P237" s="35" t="str">
        <f>_xlfn.SINGLE(IF(F237="","",_xlfn.XLOOKUP(F237,purchase!D:D,purchase!K:K,"")))</f>
        <v/>
      </c>
      <c r="Q237" s="29" t="str">
        <f t="shared" si="26"/>
        <v/>
      </c>
      <c r="R237" s="37" t="str">
        <f t="shared" si="27"/>
        <v/>
      </c>
    </row>
    <row r="238" spans="1:18" x14ac:dyDescent="0.35">
      <c r="A238" s="8">
        <v>234</v>
      </c>
      <c r="B238" s="9" t="str">
        <f t="shared" si="21"/>
        <v/>
      </c>
      <c r="C238" s="10"/>
      <c r="D238" s="9" t="str">
        <f>IF(F238="","",_xlfn.XLOOKUP(F238,purchase!D:D,purchase!#REF!,""))</f>
        <v/>
      </c>
      <c r="E238" s="9" t="str">
        <f>IF(F238="","",_xlfn.XLOOKUP(F238,purchase!D:D,purchase!B:B,""))</f>
        <v/>
      </c>
      <c r="F238" s="2"/>
      <c r="G238" s="4" t="str">
        <f t="shared" si="22"/>
        <v/>
      </c>
      <c r="H238" s="4" t="str">
        <f>IF(F238="","",_xlfn.XLOOKUP(F238,purchase!D:D,purchase!#REF!,""))</f>
        <v/>
      </c>
      <c r="I238" s="4" t="str">
        <f t="shared" si="23"/>
        <v/>
      </c>
      <c r="J238" s="4" t="str">
        <f t="shared" si="24"/>
        <v/>
      </c>
      <c r="K238" s="13" t="str">
        <f>_xlfn.SINGLE(IF(F238="","",_xlfn.XLOOKUP(F238,purchase!D:D,purchase!#REF!,"")))</f>
        <v/>
      </c>
      <c r="L238" s="2"/>
      <c r="M238" s="32"/>
      <c r="N238" s="13" t="str">
        <f>IF(F238="","",
MAX(0,
_xlfn.XLOOKUP(F238,purchase!D:D,purchase!#REF!,"")
-
SUMIFS(L:L,F:F,F238)))</f>
        <v/>
      </c>
      <c r="O238" s="13" t="str">
        <f t="shared" si="25"/>
        <v/>
      </c>
      <c r="P238" s="35" t="str">
        <f>_xlfn.SINGLE(IF(F238="","",_xlfn.XLOOKUP(F238,purchase!D:D,purchase!K:K,"")))</f>
        <v/>
      </c>
      <c r="Q238" s="29" t="str">
        <f t="shared" si="26"/>
        <v/>
      </c>
      <c r="R238" s="37" t="str">
        <f t="shared" si="27"/>
        <v/>
      </c>
    </row>
    <row r="239" spans="1:18" x14ac:dyDescent="0.35">
      <c r="A239" s="8">
        <v>235</v>
      </c>
      <c r="B239" s="9" t="str">
        <f t="shared" si="21"/>
        <v/>
      </c>
      <c r="C239" s="10"/>
      <c r="D239" s="9" t="str">
        <f>IF(F239="","",_xlfn.XLOOKUP(F239,purchase!D:D,purchase!#REF!,""))</f>
        <v/>
      </c>
      <c r="E239" s="9" t="str">
        <f>IF(F239="","",_xlfn.XLOOKUP(F239,purchase!D:D,purchase!B:B,""))</f>
        <v/>
      </c>
      <c r="F239" s="2"/>
      <c r="G239" s="4" t="str">
        <f t="shared" si="22"/>
        <v/>
      </c>
      <c r="H239" s="4" t="str">
        <f>IF(F239="","",_xlfn.XLOOKUP(F239,purchase!D:D,purchase!#REF!,""))</f>
        <v/>
      </c>
      <c r="I239" s="4" t="str">
        <f t="shared" si="23"/>
        <v/>
      </c>
      <c r="J239" s="4" t="str">
        <f t="shared" si="24"/>
        <v/>
      </c>
      <c r="K239" s="13" t="str">
        <f>_xlfn.SINGLE(IF(F239="","",_xlfn.XLOOKUP(F239,purchase!D:D,purchase!#REF!,"")))</f>
        <v/>
      </c>
      <c r="L239" s="2"/>
      <c r="M239" s="32"/>
      <c r="N239" s="13" t="str">
        <f>IF(F239="","",
MAX(0,
_xlfn.XLOOKUP(F239,purchase!D:D,purchase!#REF!,"")
-
SUMIFS(L:L,F:F,F239)))</f>
        <v/>
      </c>
      <c r="O239" s="13" t="str">
        <f t="shared" si="25"/>
        <v/>
      </c>
      <c r="P239" s="35" t="str">
        <f>_xlfn.SINGLE(IF(F239="","",_xlfn.XLOOKUP(F239,purchase!D:D,purchase!K:K,"")))</f>
        <v/>
      </c>
      <c r="Q239" s="29" t="str">
        <f t="shared" si="26"/>
        <v/>
      </c>
      <c r="R239" s="37" t="str">
        <f t="shared" si="27"/>
        <v/>
      </c>
    </row>
    <row r="240" spans="1:18" x14ac:dyDescent="0.35">
      <c r="A240" s="8">
        <v>236</v>
      </c>
      <c r="B240" s="9" t="str">
        <f t="shared" si="21"/>
        <v/>
      </c>
      <c r="C240" s="10"/>
      <c r="D240" s="9" t="str">
        <f>IF(F240="","",_xlfn.XLOOKUP(F240,purchase!D:D,purchase!#REF!,""))</f>
        <v/>
      </c>
      <c r="E240" s="9" t="str">
        <f>IF(F240="","",_xlfn.XLOOKUP(F240,purchase!D:D,purchase!B:B,""))</f>
        <v/>
      </c>
      <c r="F240" s="2"/>
      <c r="G240" s="4" t="str">
        <f t="shared" si="22"/>
        <v/>
      </c>
      <c r="H240" s="4" t="str">
        <f>IF(F240="","",_xlfn.XLOOKUP(F240,purchase!D:D,purchase!#REF!,""))</f>
        <v/>
      </c>
      <c r="I240" s="4" t="str">
        <f t="shared" si="23"/>
        <v/>
      </c>
      <c r="J240" s="4" t="str">
        <f t="shared" si="24"/>
        <v/>
      </c>
      <c r="K240" s="13" t="str">
        <f>_xlfn.SINGLE(IF(F240="","",_xlfn.XLOOKUP(F240,purchase!D:D,purchase!#REF!,"")))</f>
        <v/>
      </c>
      <c r="L240" s="2"/>
      <c r="M240" s="32"/>
      <c r="N240" s="13" t="str">
        <f>IF(F240="","",
MAX(0,
_xlfn.XLOOKUP(F240,purchase!D:D,purchase!#REF!,"")
-
SUMIFS(L:L,F:F,F240)))</f>
        <v/>
      </c>
      <c r="O240" s="13" t="str">
        <f t="shared" si="25"/>
        <v/>
      </c>
      <c r="P240" s="35" t="str">
        <f>_xlfn.SINGLE(IF(F240="","",_xlfn.XLOOKUP(F240,purchase!D:D,purchase!K:K,"")))</f>
        <v/>
      </c>
      <c r="Q240" s="29" t="str">
        <f t="shared" si="26"/>
        <v/>
      </c>
      <c r="R240" s="37" t="str">
        <f t="shared" si="27"/>
        <v/>
      </c>
    </row>
    <row r="241" spans="1:18" x14ac:dyDescent="0.35">
      <c r="A241" s="8">
        <v>237</v>
      </c>
      <c r="B241" s="9" t="str">
        <f t="shared" si="21"/>
        <v/>
      </c>
      <c r="C241" s="10"/>
      <c r="D241" s="9" t="str">
        <f>IF(F241="","",_xlfn.XLOOKUP(F241,purchase!D:D,purchase!#REF!,""))</f>
        <v/>
      </c>
      <c r="E241" s="9" t="str">
        <f>IF(F241="","",_xlfn.XLOOKUP(F241,purchase!D:D,purchase!B:B,""))</f>
        <v/>
      </c>
      <c r="F241" s="2"/>
      <c r="G241" s="4" t="str">
        <f t="shared" si="22"/>
        <v/>
      </c>
      <c r="H241" s="4" t="str">
        <f>IF(F241="","",_xlfn.XLOOKUP(F241,purchase!D:D,purchase!#REF!,""))</f>
        <v/>
      </c>
      <c r="I241" s="4" t="str">
        <f t="shared" si="23"/>
        <v/>
      </c>
      <c r="J241" s="4" t="str">
        <f t="shared" si="24"/>
        <v/>
      </c>
      <c r="K241" s="13" t="str">
        <f>_xlfn.SINGLE(IF(F241="","",_xlfn.XLOOKUP(F241,purchase!D:D,purchase!#REF!,"")))</f>
        <v/>
      </c>
      <c r="L241" s="2"/>
      <c r="M241" s="32"/>
      <c r="N241" s="13" t="str">
        <f>IF(F241="","",
MAX(0,
_xlfn.XLOOKUP(F241,purchase!D:D,purchase!#REF!,"")
-
SUMIFS(L:L,F:F,F241)))</f>
        <v/>
      </c>
      <c r="O241" s="13" t="str">
        <f t="shared" si="25"/>
        <v/>
      </c>
      <c r="P241" s="35" t="str">
        <f>_xlfn.SINGLE(IF(F241="","",_xlfn.XLOOKUP(F241,purchase!D:D,purchase!K:K,"")))</f>
        <v/>
      </c>
      <c r="Q241" s="29" t="str">
        <f t="shared" si="26"/>
        <v/>
      </c>
      <c r="R241" s="37" t="str">
        <f t="shared" si="27"/>
        <v/>
      </c>
    </row>
    <row r="242" spans="1:18" x14ac:dyDescent="0.35">
      <c r="A242" s="8">
        <v>238</v>
      </c>
      <c r="B242" s="9" t="str">
        <f t="shared" si="21"/>
        <v/>
      </c>
      <c r="C242" s="10"/>
      <c r="D242" s="9" t="str">
        <f>IF(F242="","",_xlfn.XLOOKUP(F242,purchase!D:D,purchase!#REF!,""))</f>
        <v/>
      </c>
      <c r="E242" s="9" t="str">
        <f>IF(F242="","",_xlfn.XLOOKUP(F242,purchase!D:D,purchase!B:B,""))</f>
        <v/>
      </c>
      <c r="F242" s="2"/>
      <c r="G242" s="4" t="str">
        <f t="shared" si="22"/>
        <v/>
      </c>
      <c r="H242" s="4" t="str">
        <f>IF(F242="","",_xlfn.XLOOKUP(F242,purchase!D:D,purchase!#REF!,""))</f>
        <v/>
      </c>
      <c r="I242" s="4" t="str">
        <f t="shared" si="23"/>
        <v/>
      </c>
      <c r="J242" s="4" t="str">
        <f t="shared" si="24"/>
        <v/>
      </c>
      <c r="K242" s="13" t="str">
        <f>_xlfn.SINGLE(IF(F242="","",_xlfn.XLOOKUP(F242,purchase!D:D,purchase!#REF!,"")))</f>
        <v/>
      </c>
      <c r="L242" s="2"/>
      <c r="M242" s="32"/>
      <c r="N242" s="13" t="str">
        <f>IF(F242="","",
MAX(0,
_xlfn.XLOOKUP(F242,purchase!D:D,purchase!#REF!,"")
-
SUMIFS(L:L,F:F,F242)))</f>
        <v/>
      </c>
      <c r="O242" s="13" t="str">
        <f t="shared" si="25"/>
        <v/>
      </c>
      <c r="P242" s="35" t="str">
        <f>_xlfn.SINGLE(IF(F242="","",_xlfn.XLOOKUP(F242,purchase!D:D,purchase!K:K,"")))</f>
        <v/>
      </c>
      <c r="Q242" s="29" t="str">
        <f t="shared" si="26"/>
        <v/>
      </c>
      <c r="R242" s="37" t="str">
        <f t="shared" si="27"/>
        <v/>
      </c>
    </row>
    <row r="243" spans="1:18" x14ac:dyDescent="0.35">
      <c r="A243" s="8">
        <v>239</v>
      </c>
      <c r="B243" s="9" t="str">
        <f t="shared" si="21"/>
        <v/>
      </c>
      <c r="C243" s="10"/>
      <c r="D243" s="9" t="str">
        <f>IF(F243="","",_xlfn.XLOOKUP(F243,purchase!D:D,purchase!#REF!,""))</f>
        <v/>
      </c>
      <c r="E243" s="9" t="str">
        <f>IF(F243="","",_xlfn.XLOOKUP(F243,purchase!D:D,purchase!B:B,""))</f>
        <v/>
      </c>
      <c r="F243" s="2"/>
      <c r="G243" s="4" t="str">
        <f t="shared" si="22"/>
        <v/>
      </c>
      <c r="H243" s="4" t="str">
        <f>IF(F243="","",_xlfn.XLOOKUP(F243,purchase!D:D,purchase!#REF!,""))</f>
        <v/>
      </c>
      <c r="I243" s="4" t="str">
        <f t="shared" si="23"/>
        <v/>
      </c>
      <c r="J243" s="4" t="str">
        <f t="shared" si="24"/>
        <v/>
      </c>
      <c r="K243" s="13" t="str">
        <f>_xlfn.SINGLE(IF(F243="","",_xlfn.XLOOKUP(F243,purchase!D:D,purchase!#REF!,"")))</f>
        <v/>
      </c>
      <c r="L243" s="2"/>
      <c r="M243" s="32"/>
      <c r="N243" s="13" t="str">
        <f>IF(F243="","",
MAX(0,
_xlfn.XLOOKUP(F243,purchase!D:D,purchase!#REF!,"")
-
SUMIFS(L:L,F:F,F243)))</f>
        <v/>
      </c>
      <c r="O243" s="13" t="str">
        <f t="shared" si="25"/>
        <v/>
      </c>
      <c r="P243" s="35" t="str">
        <f>_xlfn.SINGLE(IF(F243="","",_xlfn.XLOOKUP(F243,purchase!D:D,purchase!K:K,"")))</f>
        <v/>
      </c>
      <c r="Q243" s="29" t="str">
        <f t="shared" si="26"/>
        <v/>
      </c>
      <c r="R243" s="37" t="str">
        <f t="shared" si="27"/>
        <v/>
      </c>
    </row>
    <row r="244" spans="1:18" x14ac:dyDescent="0.35">
      <c r="A244" s="8">
        <v>240</v>
      </c>
      <c r="B244" s="9" t="str">
        <f t="shared" si="21"/>
        <v/>
      </c>
      <c r="C244" s="10"/>
      <c r="D244" s="9" t="str">
        <f>IF(F244="","",_xlfn.XLOOKUP(F244,purchase!D:D,purchase!#REF!,""))</f>
        <v/>
      </c>
      <c r="E244" s="9" t="str">
        <f>IF(F244="","",_xlfn.XLOOKUP(F244,purchase!D:D,purchase!B:B,""))</f>
        <v/>
      </c>
      <c r="F244" s="2"/>
      <c r="G244" s="4" t="str">
        <f t="shared" si="22"/>
        <v/>
      </c>
      <c r="H244" s="4" t="str">
        <f>IF(F244="","",_xlfn.XLOOKUP(F244,purchase!D:D,purchase!#REF!,""))</f>
        <v/>
      </c>
      <c r="I244" s="4" t="str">
        <f t="shared" si="23"/>
        <v/>
      </c>
      <c r="J244" s="4" t="str">
        <f t="shared" si="24"/>
        <v/>
      </c>
      <c r="K244" s="13" t="str">
        <f>_xlfn.SINGLE(IF(F244="","",_xlfn.XLOOKUP(F244,purchase!D:D,purchase!#REF!,"")))</f>
        <v/>
      </c>
      <c r="L244" s="2"/>
      <c r="M244" s="32"/>
      <c r="N244" s="13" t="str">
        <f>IF(F244="","",
MAX(0,
_xlfn.XLOOKUP(F244,purchase!D:D,purchase!#REF!,"")
-
SUMIFS(L:L,F:F,F244)))</f>
        <v/>
      </c>
      <c r="O244" s="13" t="str">
        <f t="shared" si="25"/>
        <v/>
      </c>
      <c r="P244" s="35" t="str">
        <f>_xlfn.SINGLE(IF(F244="","",_xlfn.XLOOKUP(F244,purchase!D:D,purchase!K:K,"")))</f>
        <v/>
      </c>
      <c r="Q244" s="29" t="str">
        <f t="shared" si="26"/>
        <v/>
      </c>
      <c r="R244" s="37" t="str">
        <f t="shared" si="27"/>
        <v/>
      </c>
    </row>
    <row r="245" spans="1:18" x14ac:dyDescent="0.35">
      <c r="A245" s="8">
        <v>241</v>
      </c>
      <c r="B245" s="9" t="str">
        <f t="shared" si="21"/>
        <v/>
      </c>
      <c r="C245" s="10"/>
      <c r="D245" s="9" t="str">
        <f>IF(F245="","",_xlfn.XLOOKUP(F245,purchase!D:D,purchase!#REF!,""))</f>
        <v/>
      </c>
      <c r="E245" s="9" t="str">
        <f>IF(F245="","",_xlfn.XLOOKUP(F245,purchase!D:D,purchase!B:B,""))</f>
        <v/>
      </c>
      <c r="F245" s="2"/>
      <c r="G245" s="4" t="str">
        <f t="shared" si="22"/>
        <v/>
      </c>
      <c r="H245" s="4" t="str">
        <f>IF(F245="","",_xlfn.XLOOKUP(F245,purchase!D:D,purchase!#REF!,""))</f>
        <v/>
      </c>
      <c r="I245" s="4" t="str">
        <f t="shared" si="23"/>
        <v/>
      </c>
      <c r="J245" s="4" t="str">
        <f t="shared" si="24"/>
        <v/>
      </c>
      <c r="K245" s="13" t="str">
        <f>_xlfn.SINGLE(IF(F245="","",_xlfn.XLOOKUP(F245,purchase!D:D,purchase!#REF!,"")))</f>
        <v/>
      </c>
      <c r="L245" s="2"/>
      <c r="M245" s="32"/>
      <c r="N245" s="13" t="str">
        <f>IF(F245="","",
MAX(0,
_xlfn.XLOOKUP(F245,purchase!D:D,purchase!#REF!,"")
-
SUMIFS(L:L,F:F,F245)))</f>
        <v/>
      </c>
      <c r="O245" s="13" t="str">
        <f t="shared" si="25"/>
        <v/>
      </c>
      <c r="P245" s="35" t="str">
        <f>_xlfn.SINGLE(IF(F245="","",_xlfn.XLOOKUP(F245,purchase!D:D,purchase!K:K,"")))</f>
        <v/>
      </c>
      <c r="Q245" s="29" t="str">
        <f t="shared" si="26"/>
        <v/>
      </c>
      <c r="R245" s="37" t="str">
        <f t="shared" si="27"/>
        <v/>
      </c>
    </row>
    <row r="246" spans="1:18" x14ac:dyDescent="0.35">
      <c r="A246" s="8">
        <v>242</v>
      </c>
      <c r="B246" s="9" t="str">
        <f t="shared" si="21"/>
        <v/>
      </c>
      <c r="C246" s="10"/>
      <c r="D246" s="9" t="str">
        <f>IF(F246="","",_xlfn.XLOOKUP(F246,purchase!D:D,purchase!#REF!,""))</f>
        <v/>
      </c>
      <c r="E246" s="9" t="str">
        <f>IF(F246="","",_xlfn.XLOOKUP(F246,purchase!D:D,purchase!B:B,""))</f>
        <v/>
      </c>
      <c r="F246" s="2"/>
      <c r="G246" s="4" t="str">
        <f t="shared" si="22"/>
        <v/>
      </c>
      <c r="H246" s="4" t="str">
        <f>IF(F246="","",_xlfn.XLOOKUP(F246,purchase!D:D,purchase!#REF!,""))</f>
        <v/>
      </c>
      <c r="I246" s="4" t="str">
        <f t="shared" si="23"/>
        <v/>
      </c>
      <c r="J246" s="4" t="str">
        <f t="shared" si="24"/>
        <v/>
      </c>
      <c r="K246" s="13" t="str">
        <f>_xlfn.SINGLE(IF(F246="","",_xlfn.XLOOKUP(F246,purchase!D:D,purchase!#REF!,"")))</f>
        <v/>
      </c>
      <c r="L246" s="2"/>
      <c r="M246" s="32"/>
      <c r="N246" s="13" t="str">
        <f>IF(F246="","",
MAX(0,
_xlfn.XLOOKUP(F246,purchase!D:D,purchase!#REF!,"")
-
SUMIFS(L:L,F:F,F246)))</f>
        <v/>
      </c>
      <c r="O246" s="13" t="str">
        <f t="shared" si="25"/>
        <v/>
      </c>
      <c r="P246" s="35" t="str">
        <f>_xlfn.SINGLE(IF(F246="","",_xlfn.XLOOKUP(F246,purchase!D:D,purchase!K:K,"")))</f>
        <v/>
      </c>
      <c r="Q246" s="29" t="str">
        <f t="shared" si="26"/>
        <v/>
      </c>
      <c r="R246" s="37" t="str">
        <f t="shared" si="27"/>
        <v/>
      </c>
    </row>
    <row r="247" spans="1:18" x14ac:dyDescent="0.35">
      <c r="A247" s="8">
        <v>243</v>
      </c>
      <c r="B247" s="9" t="str">
        <f t="shared" si="21"/>
        <v/>
      </c>
      <c r="C247" s="10"/>
      <c r="D247" s="9" t="str">
        <f>IF(F247="","",_xlfn.XLOOKUP(F247,purchase!D:D,purchase!#REF!,""))</f>
        <v/>
      </c>
      <c r="E247" s="9" t="str">
        <f>IF(F247="","",_xlfn.XLOOKUP(F247,purchase!D:D,purchase!B:B,""))</f>
        <v/>
      </c>
      <c r="F247" s="2"/>
      <c r="G247" s="4" t="str">
        <f t="shared" si="22"/>
        <v/>
      </c>
      <c r="H247" s="4" t="str">
        <f>IF(F247="","",_xlfn.XLOOKUP(F247,purchase!D:D,purchase!#REF!,""))</f>
        <v/>
      </c>
      <c r="I247" s="4" t="str">
        <f t="shared" si="23"/>
        <v/>
      </c>
      <c r="J247" s="4" t="str">
        <f t="shared" si="24"/>
        <v/>
      </c>
      <c r="K247" s="13" t="str">
        <f>_xlfn.SINGLE(IF(F247="","",_xlfn.XLOOKUP(F247,purchase!D:D,purchase!#REF!,"")))</f>
        <v/>
      </c>
      <c r="L247" s="2"/>
      <c r="M247" s="32"/>
      <c r="N247" s="13" t="str">
        <f>IF(F247="","",
MAX(0,
_xlfn.XLOOKUP(F247,purchase!D:D,purchase!#REF!,"")
-
SUMIFS(L:L,F:F,F247)))</f>
        <v/>
      </c>
      <c r="O247" s="13" t="str">
        <f t="shared" si="25"/>
        <v/>
      </c>
      <c r="P247" s="35" t="str">
        <f>_xlfn.SINGLE(IF(F247="","",_xlfn.XLOOKUP(F247,purchase!D:D,purchase!K:K,"")))</f>
        <v/>
      </c>
      <c r="Q247" s="29" t="str">
        <f t="shared" si="26"/>
        <v/>
      </c>
      <c r="R247" s="37" t="str">
        <f t="shared" si="27"/>
        <v/>
      </c>
    </row>
    <row r="248" spans="1:18" x14ac:dyDescent="0.35">
      <c r="A248" s="8">
        <v>244</v>
      </c>
      <c r="B248" s="9" t="str">
        <f t="shared" si="21"/>
        <v/>
      </c>
      <c r="C248" s="10"/>
      <c r="D248" s="9" t="str">
        <f>IF(F248="","",_xlfn.XLOOKUP(F248,purchase!D:D,purchase!#REF!,""))</f>
        <v/>
      </c>
      <c r="E248" s="9" t="str">
        <f>IF(F248="","",_xlfn.XLOOKUP(F248,purchase!D:D,purchase!B:B,""))</f>
        <v/>
      </c>
      <c r="F248" s="2"/>
      <c r="G248" s="4" t="str">
        <f t="shared" si="22"/>
        <v/>
      </c>
      <c r="H248" s="4" t="str">
        <f>IF(F248="","",_xlfn.XLOOKUP(F248,purchase!D:D,purchase!#REF!,""))</f>
        <v/>
      </c>
      <c r="I248" s="4" t="str">
        <f t="shared" si="23"/>
        <v/>
      </c>
      <c r="J248" s="4" t="str">
        <f t="shared" si="24"/>
        <v/>
      </c>
      <c r="K248" s="13" t="str">
        <f>_xlfn.SINGLE(IF(F248="","",_xlfn.XLOOKUP(F248,purchase!D:D,purchase!#REF!,"")))</f>
        <v/>
      </c>
      <c r="L248" s="2"/>
      <c r="M248" s="32"/>
      <c r="N248" s="13" t="str">
        <f>IF(F248="","",
MAX(0,
_xlfn.XLOOKUP(F248,purchase!D:D,purchase!#REF!,"")
-
SUMIFS(L:L,F:F,F248)))</f>
        <v/>
      </c>
      <c r="O248" s="13" t="str">
        <f t="shared" si="25"/>
        <v/>
      </c>
      <c r="P248" s="35" t="str">
        <f>_xlfn.SINGLE(IF(F248="","",_xlfn.XLOOKUP(F248,purchase!D:D,purchase!K:K,"")))</f>
        <v/>
      </c>
      <c r="Q248" s="29" t="str">
        <f t="shared" si="26"/>
        <v/>
      </c>
      <c r="R248" s="37" t="str">
        <f t="shared" si="27"/>
        <v/>
      </c>
    </row>
    <row r="249" spans="1:18" x14ac:dyDescent="0.35">
      <c r="A249" s="8">
        <v>245</v>
      </c>
      <c r="B249" s="9" t="str">
        <f t="shared" si="21"/>
        <v/>
      </c>
      <c r="C249" s="10"/>
      <c r="D249" s="9" t="str">
        <f>IF(F249="","",_xlfn.XLOOKUP(F249,purchase!D:D,purchase!#REF!,""))</f>
        <v/>
      </c>
      <c r="E249" s="9" t="str">
        <f>IF(F249="","",_xlfn.XLOOKUP(F249,purchase!D:D,purchase!B:B,""))</f>
        <v/>
      </c>
      <c r="F249" s="2"/>
      <c r="G249" s="4" t="str">
        <f t="shared" si="22"/>
        <v/>
      </c>
      <c r="H249" s="4" t="str">
        <f>IF(F249="","",_xlfn.XLOOKUP(F249,purchase!D:D,purchase!#REF!,""))</f>
        <v/>
      </c>
      <c r="I249" s="4" t="str">
        <f t="shared" si="23"/>
        <v/>
      </c>
      <c r="J249" s="4" t="str">
        <f t="shared" si="24"/>
        <v/>
      </c>
      <c r="K249" s="13" t="str">
        <f>_xlfn.SINGLE(IF(F249="","",_xlfn.XLOOKUP(F249,purchase!D:D,purchase!#REF!,"")))</f>
        <v/>
      </c>
      <c r="L249" s="2"/>
      <c r="M249" s="32"/>
      <c r="N249" s="13" t="str">
        <f>IF(F249="","",
MAX(0,
_xlfn.XLOOKUP(F249,purchase!D:D,purchase!#REF!,"")
-
SUMIFS(L:L,F:F,F249)))</f>
        <v/>
      </c>
      <c r="O249" s="13" t="str">
        <f t="shared" si="25"/>
        <v/>
      </c>
      <c r="P249" s="35" t="str">
        <f>_xlfn.SINGLE(IF(F249="","",_xlfn.XLOOKUP(F249,purchase!D:D,purchase!K:K,"")))</f>
        <v/>
      </c>
      <c r="Q249" s="29" t="str">
        <f t="shared" si="26"/>
        <v/>
      </c>
      <c r="R249" s="37" t="str">
        <f t="shared" si="27"/>
        <v/>
      </c>
    </row>
    <row r="250" spans="1:18" x14ac:dyDescent="0.35">
      <c r="A250" s="8">
        <v>246</v>
      </c>
      <c r="B250" s="9" t="str">
        <f t="shared" si="21"/>
        <v/>
      </c>
      <c r="C250" s="10"/>
      <c r="D250" s="9" t="str">
        <f>IF(F250="","",_xlfn.XLOOKUP(F250,purchase!D:D,purchase!#REF!,""))</f>
        <v/>
      </c>
      <c r="E250" s="9" t="str">
        <f>IF(F250="","",_xlfn.XLOOKUP(F250,purchase!D:D,purchase!B:B,""))</f>
        <v/>
      </c>
      <c r="F250" s="2"/>
      <c r="G250" s="4" t="str">
        <f t="shared" si="22"/>
        <v/>
      </c>
      <c r="H250" s="4" t="str">
        <f>IF(F250="","",_xlfn.XLOOKUP(F250,purchase!D:D,purchase!#REF!,""))</f>
        <v/>
      </c>
      <c r="I250" s="4" t="str">
        <f t="shared" si="23"/>
        <v/>
      </c>
      <c r="J250" s="4" t="str">
        <f t="shared" si="24"/>
        <v/>
      </c>
      <c r="K250" s="13" t="str">
        <f>_xlfn.SINGLE(IF(F250="","",_xlfn.XLOOKUP(F250,purchase!D:D,purchase!#REF!,"")))</f>
        <v/>
      </c>
      <c r="L250" s="2"/>
      <c r="M250" s="32"/>
      <c r="N250" s="13" t="str">
        <f>IF(F250="","",
MAX(0,
_xlfn.XLOOKUP(F250,purchase!D:D,purchase!#REF!,"")
-
SUMIFS(L:L,F:F,F250)))</f>
        <v/>
      </c>
      <c r="O250" s="13" t="str">
        <f t="shared" si="25"/>
        <v/>
      </c>
      <c r="P250" s="35" t="str">
        <f>_xlfn.SINGLE(IF(F250="","",_xlfn.XLOOKUP(F250,purchase!D:D,purchase!K:K,"")))</f>
        <v/>
      </c>
      <c r="Q250" s="29" t="str">
        <f t="shared" si="26"/>
        <v/>
      </c>
      <c r="R250" s="37" t="str">
        <f t="shared" si="27"/>
        <v/>
      </c>
    </row>
    <row r="251" spans="1:18" x14ac:dyDescent="0.35">
      <c r="A251" s="8">
        <v>247</v>
      </c>
      <c r="B251" s="9" t="str">
        <f t="shared" si="21"/>
        <v/>
      </c>
      <c r="C251" s="10"/>
      <c r="D251" s="9" t="str">
        <f>IF(F251="","",_xlfn.XLOOKUP(F251,purchase!D:D,purchase!#REF!,""))</f>
        <v/>
      </c>
      <c r="E251" s="9" t="str">
        <f>IF(F251="","",_xlfn.XLOOKUP(F251,purchase!D:D,purchase!B:B,""))</f>
        <v/>
      </c>
      <c r="F251" s="2"/>
      <c r="G251" s="4" t="str">
        <f t="shared" si="22"/>
        <v/>
      </c>
      <c r="H251" s="4" t="str">
        <f>IF(F251="","",_xlfn.XLOOKUP(F251,purchase!D:D,purchase!#REF!,""))</f>
        <v/>
      </c>
      <c r="I251" s="4" t="str">
        <f t="shared" si="23"/>
        <v/>
      </c>
      <c r="J251" s="4" t="str">
        <f t="shared" si="24"/>
        <v/>
      </c>
      <c r="K251" s="13" t="str">
        <f>_xlfn.SINGLE(IF(F251="","",_xlfn.XLOOKUP(F251,purchase!D:D,purchase!#REF!,"")))</f>
        <v/>
      </c>
      <c r="L251" s="2"/>
      <c r="M251" s="32"/>
      <c r="N251" s="13" t="str">
        <f>IF(F251="","",
MAX(0,
_xlfn.XLOOKUP(F251,purchase!D:D,purchase!#REF!,"")
-
SUMIFS(L:L,F:F,F251)))</f>
        <v/>
      </c>
      <c r="O251" s="13" t="str">
        <f t="shared" si="25"/>
        <v/>
      </c>
      <c r="P251" s="35" t="str">
        <f>_xlfn.SINGLE(IF(F251="","",_xlfn.XLOOKUP(F251,purchase!D:D,purchase!K:K,"")))</f>
        <v/>
      </c>
      <c r="Q251" s="29" t="str">
        <f t="shared" si="26"/>
        <v/>
      </c>
      <c r="R251" s="37" t="str">
        <f t="shared" si="27"/>
        <v/>
      </c>
    </row>
    <row r="252" spans="1:18" x14ac:dyDescent="0.35">
      <c r="A252" s="8">
        <v>248</v>
      </c>
      <c r="B252" s="9" t="str">
        <f t="shared" si="21"/>
        <v/>
      </c>
      <c r="C252" s="10"/>
      <c r="D252" s="9" t="str">
        <f>IF(F252="","",_xlfn.XLOOKUP(F252,purchase!D:D,purchase!#REF!,""))</f>
        <v/>
      </c>
      <c r="E252" s="9" t="str">
        <f>IF(F252="","",_xlfn.XLOOKUP(F252,purchase!D:D,purchase!B:B,""))</f>
        <v/>
      </c>
      <c r="F252" s="2"/>
      <c r="G252" s="4" t="str">
        <f t="shared" si="22"/>
        <v/>
      </c>
      <c r="H252" s="4" t="str">
        <f>IF(F252="","",_xlfn.XLOOKUP(F252,purchase!D:D,purchase!#REF!,""))</f>
        <v/>
      </c>
      <c r="I252" s="4" t="str">
        <f t="shared" si="23"/>
        <v/>
      </c>
      <c r="J252" s="4" t="str">
        <f t="shared" si="24"/>
        <v/>
      </c>
      <c r="K252" s="13" t="str">
        <f>_xlfn.SINGLE(IF(F252="","",_xlfn.XLOOKUP(F252,purchase!D:D,purchase!#REF!,"")))</f>
        <v/>
      </c>
      <c r="L252" s="2"/>
      <c r="M252" s="32"/>
      <c r="N252" s="13" t="str">
        <f>IF(F252="","",
MAX(0,
_xlfn.XLOOKUP(F252,purchase!D:D,purchase!#REF!,"")
-
SUMIFS(L:L,F:F,F252)))</f>
        <v/>
      </c>
      <c r="O252" s="13" t="str">
        <f t="shared" si="25"/>
        <v/>
      </c>
      <c r="P252" s="35" t="str">
        <f>_xlfn.SINGLE(IF(F252="","",_xlfn.XLOOKUP(F252,purchase!D:D,purchase!K:K,"")))</f>
        <v/>
      </c>
      <c r="Q252" s="29" t="str">
        <f t="shared" si="26"/>
        <v/>
      </c>
      <c r="R252" s="37" t="str">
        <f t="shared" si="27"/>
        <v/>
      </c>
    </row>
    <row r="253" spans="1:18" x14ac:dyDescent="0.35">
      <c r="A253" s="8">
        <v>249</v>
      </c>
      <c r="B253" s="9" t="str">
        <f t="shared" si="21"/>
        <v/>
      </c>
      <c r="C253" s="10"/>
      <c r="D253" s="9" t="str">
        <f>IF(F253="","",_xlfn.XLOOKUP(F253,purchase!D:D,purchase!#REF!,""))</f>
        <v/>
      </c>
      <c r="E253" s="9" t="str">
        <f>IF(F253="","",_xlfn.XLOOKUP(F253,purchase!D:D,purchase!B:B,""))</f>
        <v/>
      </c>
      <c r="F253" s="2"/>
      <c r="G253" s="4" t="str">
        <f t="shared" si="22"/>
        <v/>
      </c>
      <c r="H253" s="4" t="str">
        <f>IF(F253="","",_xlfn.XLOOKUP(F253,purchase!D:D,purchase!#REF!,""))</f>
        <v/>
      </c>
      <c r="I253" s="4" t="str">
        <f t="shared" si="23"/>
        <v/>
      </c>
      <c r="J253" s="4" t="str">
        <f t="shared" si="24"/>
        <v/>
      </c>
      <c r="K253" s="13" t="str">
        <f>_xlfn.SINGLE(IF(F253="","",_xlfn.XLOOKUP(F253,purchase!D:D,purchase!#REF!,"")))</f>
        <v/>
      </c>
      <c r="L253" s="2"/>
      <c r="M253" s="32"/>
      <c r="N253" s="13" t="str">
        <f>IF(F253="","",
MAX(0,
_xlfn.XLOOKUP(F253,purchase!D:D,purchase!#REF!,"")
-
SUMIFS(L:L,F:F,F253)))</f>
        <v/>
      </c>
      <c r="O253" s="13" t="str">
        <f t="shared" si="25"/>
        <v/>
      </c>
      <c r="P253" s="35" t="str">
        <f>_xlfn.SINGLE(IF(F253="","",_xlfn.XLOOKUP(F253,purchase!D:D,purchase!K:K,"")))</f>
        <v/>
      </c>
      <c r="Q253" s="29" t="str">
        <f t="shared" si="26"/>
        <v/>
      </c>
      <c r="R253" s="37" t="str">
        <f t="shared" si="27"/>
        <v/>
      </c>
    </row>
    <row r="254" spans="1:18" x14ac:dyDescent="0.35">
      <c r="A254" s="8">
        <v>250</v>
      </c>
      <c r="B254" s="9" t="str">
        <f t="shared" si="21"/>
        <v/>
      </c>
      <c r="C254" s="10"/>
      <c r="D254" s="9" t="str">
        <f>IF(F254="","",_xlfn.XLOOKUP(F254,purchase!D:D,purchase!#REF!,""))</f>
        <v/>
      </c>
      <c r="E254" s="9" t="str">
        <f>IF(F254="","",_xlfn.XLOOKUP(F254,purchase!D:D,purchase!B:B,""))</f>
        <v/>
      </c>
      <c r="F254" s="2"/>
      <c r="G254" s="4" t="str">
        <f t="shared" si="22"/>
        <v/>
      </c>
      <c r="H254" s="4" t="str">
        <f>IF(F254="","",_xlfn.XLOOKUP(F254,purchase!D:D,purchase!#REF!,""))</f>
        <v/>
      </c>
      <c r="I254" s="4" t="str">
        <f t="shared" si="23"/>
        <v/>
      </c>
      <c r="J254" s="4" t="str">
        <f t="shared" si="24"/>
        <v/>
      </c>
      <c r="K254" s="13" t="str">
        <f>_xlfn.SINGLE(IF(F254="","",_xlfn.XLOOKUP(F254,purchase!D:D,purchase!#REF!,"")))</f>
        <v/>
      </c>
      <c r="L254" s="2"/>
      <c r="M254" s="32"/>
      <c r="N254" s="13" t="str">
        <f>IF(F254="","",
MAX(0,
_xlfn.XLOOKUP(F254,purchase!D:D,purchase!#REF!,"")
-
SUMIFS(L:L,F:F,F254)))</f>
        <v/>
      </c>
      <c r="O254" s="13" t="str">
        <f t="shared" si="25"/>
        <v/>
      </c>
      <c r="P254" s="35" t="str">
        <f>_xlfn.SINGLE(IF(F254="","",_xlfn.XLOOKUP(F254,purchase!D:D,purchase!K:K,"")))</f>
        <v/>
      </c>
      <c r="Q254" s="29" t="str">
        <f t="shared" si="26"/>
        <v/>
      </c>
      <c r="R254" s="37" t="str">
        <f t="shared" si="27"/>
        <v/>
      </c>
    </row>
    <row r="255" spans="1:18" x14ac:dyDescent="0.35">
      <c r="A255" s="8">
        <v>251</v>
      </c>
      <c r="B255" s="9" t="str">
        <f t="shared" si="21"/>
        <v/>
      </c>
      <c r="C255" s="10"/>
      <c r="D255" s="9" t="str">
        <f>IF(F255="","",_xlfn.XLOOKUP(F255,purchase!D:D,purchase!#REF!,""))</f>
        <v/>
      </c>
      <c r="E255" s="9" t="str">
        <f>IF(F255="","",_xlfn.XLOOKUP(F255,purchase!D:D,purchase!B:B,""))</f>
        <v/>
      </c>
      <c r="F255" s="2"/>
      <c r="G255" s="4" t="str">
        <f t="shared" si="22"/>
        <v/>
      </c>
      <c r="H255" s="4" t="str">
        <f>IF(F255="","",_xlfn.XLOOKUP(F255,purchase!D:D,purchase!#REF!,""))</f>
        <v/>
      </c>
      <c r="I255" s="4" t="str">
        <f t="shared" si="23"/>
        <v/>
      </c>
      <c r="J255" s="4" t="str">
        <f t="shared" si="24"/>
        <v/>
      </c>
      <c r="K255" s="13" t="str">
        <f>_xlfn.SINGLE(IF(F255="","",_xlfn.XLOOKUP(F255,purchase!D:D,purchase!#REF!,"")))</f>
        <v/>
      </c>
      <c r="L255" s="2"/>
      <c r="M255" s="32"/>
      <c r="N255" s="13" t="str">
        <f>IF(F255="","",
MAX(0,
_xlfn.XLOOKUP(F255,purchase!D:D,purchase!#REF!,"")
-
SUMIFS(L:L,F:F,F255)))</f>
        <v/>
      </c>
      <c r="O255" s="13" t="str">
        <f t="shared" si="25"/>
        <v/>
      </c>
      <c r="P255" s="35" t="str">
        <f>_xlfn.SINGLE(IF(F255="","",_xlfn.XLOOKUP(F255,purchase!D:D,purchase!K:K,"")))</f>
        <v/>
      </c>
      <c r="Q255" s="29" t="str">
        <f t="shared" si="26"/>
        <v/>
      </c>
      <c r="R255" s="37" t="str">
        <f t="shared" si="27"/>
        <v/>
      </c>
    </row>
    <row r="256" spans="1:18" x14ac:dyDescent="0.35">
      <c r="A256" s="8">
        <v>252</v>
      </c>
      <c r="B256" s="9" t="str">
        <f t="shared" si="21"/>
        <v/>
      </c>
      <c r="C256" s="10"/>
      <c r="D256" s="9" t="str">
        <f>IF(F256="","",_xlfn.XLOOKUP(F256,purchase!D:D,purchase!#REF!,""))</f>
        <v/>
      </c>
      <c r="E256" s="9" t="str">
        <f>IF(F256="","",_xlfn.XLOOKUP(F256,purchase!D:D,purchase!B:B,""))</f>
        <v/>
      </c>
      <c r="F256" s="2"/>
      <c r="G256" s="4" t="str">
        <f t="shared" si="22"/>
        <v/>
      </c>
      <c r="H256" s="4" t="str">
        <f>IF(F256="","",_xlfn.XLOOKUP(F256,purchase!D:D,purchase!#REF!,""))</f>
        <v/>
      </c>
      <c r="I256" s="4" t="str">
        <f t="shared" si="23"/>
        <v/>
      </c>
      <c r="J256" s="4" t="str">
        <f t="shared" si="24"/>
        <v/>
      </c>
      <c r="K256" s="13" t="str">
        <f>_xlfn.SINGLE(IF(F256="","",_xlfn.XLOOKUP(F256,purchase!D:D,purchase!#REF!,"")))</f>
        <v/>
      </c>
      <c r="L256" s="2"/>
      <c r="M256" s="32"/>
      <c r="N256" s="13" t="str">
        <f>IF(F256="","",
MAX(0,
_xlfn.XLOOKUP(F256,purchase!D:D,purchase!#REF!,"")
-
SUMIFS(L:L,F:F,F256)))</f>
        <v/>
      </c>
      <c r="O256" s="13" t="str">
        <f t="shared" si="25"/>
        <v/>
      </c>
      <c r="P256" s="35" t="str">
        <f>_xlfn.SINGLE(IF(F256="","",_xlfn.XLOOKUP(F256,purchase!D:D,purchase!K:K,"")))</f>
        <v/>
      </c>
      <c r="Q256" s="29" t="str">
        <f t="shared" si="26"/>
        <v/>
      </c>
      <c r="R256" s="37" t="str">
        <f t="shared" si="27"/>
        <v/>
      </c>
    </row>
    <row r="257" spans="1:18" x14ac:dyDescent="0.35">
      <c r="A257" s="8">
        <v>253</v>
      </c>
      <c r="B257" s="9" t="str">
        <f t="shared" si="21"/>
        <v/>
      </c>
      <c r="C257" s="10"/>
      <c r="D257" s="9" t="str">
        <f>IF(F257="","",_xlfn.XLOOKUP(F257,purchase!D:D,purchase!#REF!,""))</f>
        <v/>
      </c>
      <c r="E257" s="9" t="str">
        <f>IF(F257="","",_xlfn.XLOOKUP(F257,purchase!D:D,purchase!B:B,""))</f>
        <v/>
      </c>
      <c r="F257" s="2"/>
      <c r="G257" s="4" t="str">
        <f t="shared" si="22"/>
        <v/>
      </c>
      <c r="H257" s="4" t="str">
        <f>IF(F257="","",_xlfn.XLOOKUP(F257,purchase!D:D,purchase!#REF!,""))</f>
        <v/>
      </c>
      <c r="I257" s="4" t="str">
        <f t="shared" si="23"/>
        <v/>
      </c>
      <c r="J257" s="4" t="str">
        <f t="shared" si="24"/>
        <v/>
      </c>
      <c r="K257" s="13" t="str">
        <f>_xlfn.SINGLE(IF(F257="","",_xlfn.XLOOKUP(F257,purchase!D:D,purchase!#REF!,"")))</f>
        <v/>
      </c>
      <c r="L257" s="2"/>
      <c r="M257" s="32"/>
      <c r="N257" s="13" t="str">
        <f>IF(F257="","",
MAX(0,
_xlfn.XLOOKUP(F257,purchase!D:D,purchase!#REF!,"")
-
SUMIFS(L:L,F:F,F257)))</f>
        <v/>
      </c>
      <c r="O257" s="13" t="str">
        <f t="shared" si="25"/>
        <v/>
      </c>
      <c r="P257" s="35" t="str">
        <f>_xlfn.SINGLE(IF(F257="","",_xlfn.XLOOKUP(F257,purchase!D:D,purchase!K:K,"")))</f>
        <v/>
      </c>
      <c r="Q257" s="29" t="str">
        <f t="shared" si="26"/>
        <v/>
      </c>
      <c r="R257" s="37" t="str">
        <f t="shared" si="27"/>
        <v/>
      </c>
    </row>
    <row r="258" spans="1:18" x14ac:dyDescent="0.35">
      <c r="A258" s="8">
        <v>254</v>
      </c>
      <c r="B258" s="9" t="str">
        <f t="shared" si="21"/>
        <v/>
      </c>
      <c r="C258" s="10"/>
      <c r="D258" s="9" t="str">
        <f>IF(F258="","",_xlfn.XLOOKUP(F258,purchase!D:D,purchase!#REF!,""))</f>
        <v/>
      </c>
      <c r="E258" s="9" t="str">
        <f>IF(F258="","",_xlfn.XLOOKUP(F258,purchase!D:D,purchase!B:B,""))</f>
        <v/>
      </c>
      <c r="F258" s="2"/>
      <c r="G258" s="4" t="str">
        <f t="shared" si="22"/>
        <v/>
      </c>
      <c r="H258" s="4" t="str">
        <f>IF(F258="","",_xlfn.XLOOKUP(F258,purchase!D:D,purchase!#REF!,""))</f>
        <v/>
      </c>
      <c r="I258" s="4" t="str">
        <f t="shared" si="23"/>
        <v/>
      </c>
      <c r="J258" s="4" t="str">
        <f t="shared" si="24"/>
        <v/>
      </c>
      <c r="K258" s="13" t="str">
        <f>_xlfn.SINGLE(IF(F258="","",_xlfn.XLOOKUP(F258,purchase!D:D,purchase!#REF!,"")))</f>
        <v/>
      </c>
      <c r="L258" s="2"/>
      <c r="M258" s="32"/>
      <c r="N258" s="13" t="str">
        <f>IF(F258="","",
MAX(0,
_xlfn.XLOOKUP(F258,purchase!D:D,purchase!#REF!,"")
-
SUMIFS(L:L,F:F,F258)))</f>
        <v/>
      </c>
      <c r="O258" s="13" t="str">
        <f t="shared" si="25"/>
        <v/>
      </c>
      <c r="P258" s="35" t="str">
        <f>_xlfn.SINGLE(IF(F258="","",_xlfn.XLOOKUP(F258,purchase!D:D,purchase!K:K,"")))</f>
        <v/>
      </c>
      <c r="Q258" s="29" t="str">
        <f t="shared" si="26"/>
        <v/>
      </c>
      <c r="R258" s="37" t="str">
        <f t="shared" si="27"/>
        <v/>
      </c>
    </row>
    <row r="259" spans="1:18" x14ac:dyDescent="0.35">
      <c r="A259" s="8">
        <v>255</v>
      </c>
      <c r="B259" s="9" t="str">
        <f t="shared" si="21"/>
        <v/>
      </c>
      <c r="C259" s="10"/>
      <c r="D259" s="9" t="str">
        <f>IF(F259="","",_xlfn.XLOOKUP(F259,purchase!D:D,purchase!#REF!,""))</f>
        <v/>
      </c>
      <c r="E259" s="9" t="str">
        <f>IF(F259="","",_xlfn.XLOOKUP(F259,purchase!D:D,purchase!B:B,""))</f>
        <v/>
      </c>
      <c r="F259" s="2"/>
      <c r="G259" s="4" t="str">
        <f t="shared" si="22"/>
        <v/>
      </c>
      <c r="H259" s="4" t="str">
        <f>IF(F259="","",_xlfn.XLOOKUP(F259,purchase!D:D,purchase!#REF!,""))</f>
        <v/>
      </c>
      <c r="I259" s="4" t="str">
        <f t="shared" si="23"/>
        <v/>
      </c>
      <c r="J259" s="4" t="str">
        <f t="shared" si="24"/>
        <v/>
      </c>
      <c r="K259" s="13" t="str">
        <f>_xlfn.SINGLE(IF(F259="","",_xlfn.XLOOKUP(F259,purchase!D:D,purchase!#REF!,"")))</f>
        <v/>
      </c>
      <c r="L259" s="2"/>
      <c r="M259" s="32"/>
      <c r="N259" s="13" t="str">
        <f>IF(F259="","",
MAX(0,
_xlfn.XLOOKUP(F259,purchase!D:D,purchase!#REF!,"")
-
SUMIFS(L:L,F:F,F259)))</f>
        <v/>
      </c>
      <c r="O259" s="13" t="str">
        <f t="shared" si="25"/>
        <v/>
      </c>
      <c r="P259" s="35" t="str">
        <f>_xlfn.SINGLE(IF(F259="","",_xlfn.XLOOKUP(F259,purchase!D:D,purchase!K:K,"")))</f>
        <v/>
      </c>
      <c r="Q259" s="29" t="str">
        <f t="shared" si="26"/>
        <v/>
      </c>
      <c r="R259" s="37" t="str">
        <f t="shared" si="27"/>
        <v/>
      </c>
    </row>
    <row r="260" spans="1:18" x14ac:dyDescent="0.35">
      <c r="A260" s="8">
        <v>256</v>
      </c>
      <c r="B260" s="9" t="str">
        <f t="shared" si="21"/>
        <v/>
      </c>
      <c r="C260" s="10"/>
      <c r="D260" s="9" t="str">
        <f>IF(F260="","",_xlfn.XLOOKUP(F260,purchase!D:D,purchase!#REF!,""))</f>
        <v/>
      </c>
      <c r="E260" s="9" t="str">
        <f>IF(F260="","",_xlfn.XLOOKUP(F260,purchase!D:D,purchase!B:B,""))</f>
        <v/>
      </c>
      <c r="F260" s="2"/>
      <c r="G260" s="4" t="str">
        <f t="shared" si="22"/>
        <v/>
      </c>
      <c r="H260" s="4" t="str">
        <f>IF(F260="","",_xlfn.XLOOKUP(F260,purchase!D:D,purchase!#REF!,""))</f>
        <v/>
      </c>
      <c r="I260" s="4" t="str">
        <f t="shared" si="23"/>
        <v/>
      </c>
      <c r="J260" s="4" t="str">
        <f t="shared" si="24"/>
        <v/>
      </c>
      <c r="K260" s="13" t="str">
        <f>_xlfn.SINGLE(IF(F260="","",_xlfn.XLOOKUP(F260,purchase!D:D,purchase!#REF!,"")))</f>
        <v/>
      </c>
      <c r="L260" s="2"/>
      <c r="M260" s="32"/>
      <c r="N260" s="13" t="str">
        <f>IF(F260="","",
MAX(0,
_xlfn.XLOOKUP(F260,purchase!D:D,purchase!#REF!,"")
-
SUMIFS(L:L,F:F,F260)))</f>
        <v/>
      </c>
      <c r="O260" s="13" t="str">
        <f t="shared" si="25"/>
        <v/>
      </c>
      <c r="P260" s="35" t="str">
        <f>_xlfn.SINGLE(IF(F260="","",_xlfn.XLOOKUP(F260,purchase!D:D,purchase!K:K,"")))</f>
        <v/>
      </c>
      <c r="Q260" s="29" t="str">
        <f t="shared" si="26"/>
        <v/>
      </c>
      <c r="R260" s="37" t="str">
        <f t="shared" si="27"/>
        <v/>
      </c>
    </row>
    <row r="261" spans="1:18" x14ac:dyDescent="0.35">
      <c r="A261" s="8">
        <v>257</v>
      </c>
      <c r="B261" s="9" t="str">
        <f t="shared" ref="B261:B324" si="28">IF(OR(C261="",F261=""),"",
"PRD-" &amp;
TEXT(DAY(C261),"00") &amp;
CHOOSE(MONTH(C261),"A","B","C","D","E","F","G","H","I","J","K","L") &amp;
TEXT(YEAR(C261),"00") &amp;
"-" &amp;
RIGHT(F261,4))</f>
        <v/>
      </c>
      <c r="C261" s="10"/>
      <c r="D261" s="9" t="str">
        <f>IF(F261="","",_xlfn.XLOOKUP(F261,purchase!D:D,purchase!#REF!,""))</f>
        <v/>
      </c>
      <c r="E261" s="9" t="str">
        <f>IF(F261="","",_xlfn.XLOOKUP(F261,purchase!D:D,purchase!B:B,""))</f>
        <v/>
      </c>
      <c r="F261" s="2"/>
      <c r="G261" s="4" t="str">
        <f t="shared" ref="G261:G324" si="29">IF(H261="NRFC","Natural Rubber Field Coagulam","")</f>
        <v/>
      </c>
      <c r="H261" s="4" t="str">
        <f>IF(F261="","",_xlfn.XLOOKUP(F261,purchase!D:D,purchase!#REF!,""))</f>
        <v/>
      </c>
      <c r="I261" s="4" t="str">
        <f t="shared" ref="I261:I324" si="30">IF(J261="ISNR20","Natural Rubber-TSNR (ISNR-20)","")</f>
        <v/>
      </c>
      <c r="J261" s="4" t="str">
        <f t="shared" ref="J261:J324" si="31">IF(H261="NRFC","ISNR20","")</f>
        <v/>
      </c>
      <c r="K261" s="13" t="str">
        <f>_xlfn.SINGLE(IF(F261="","",_xlfn.XLOOKUP(F261,purchase!D:D,purchase!#REF!,"")))</f>
        <v/>
      </c>
      <c r="L261" s="2"/>
      <c r="M261" s="32"/>
      <c r="N261" s="13" t="str">
        <f>IF(F261="","",
MAX(0,
_xlfn.XLOOKUP(F261,purchase!D:D,purchase!#REF!,"")
-
SUMIFS(L:L,F:F,F261)))</f>
        <v/>
      </c>
      <c r="O261" s="13" t="str">
        <f t="shared" ref="O261:O324" si="32">IF(OR(L261="",M261=""),"",L261-M261)</f>
        <v/>
      </c>
      <c r="P261" s="35" t="str">
        <f>_xlfn.SINGLE(IF(F261="","",_xlfn.XLOOKUP(F261,purchase!D:D,purchase!K:K,"")))</f>
        <v/>
      </c>
      <c r="Q261" s="29" t="str">
        <f t="shared" ref="Q261:Q324" si="33">IF(OR(L261="",M261=""),"",M261/L261)</f>
        <v/>
      </c>
      <c r="R261" s="37" t="str">
        <f t="shared" ref="R261:R324" si="34">IF(OR(P261="",Q261=""),"",Q261-P261)</f>
        <v/>
      </c>
    </row>
    <row r="262" spans="1:18" x14ac:dyDescent="0.35">
      <c r="A262" s="8">
        <v>258</v>
      </c>
      <c r="B262" s="9" t="str">
        <f t="shared" si="28"/>
        <v/>
      </c>
      <c r="C262" s="10"/>
      <c r="D262" s="9" t="str">
        <f>IF(F262="","",_xlfn.XLOOKUP(F262,purchase!D:D,purchase!#REF!,""))</f>
        <v/>
      </c>
      <c r="E262" s="9" t="str">
        <f>IF(F262="","",_xlfn.XLOOKUP(F262,purchase!D:D,purchase!B:B,""))</f>
        <v/>
      </c>
      <c r="F262" s="2"/>
      <c r="G262" s="4" t="str">
        <f t="shared" si="29"/>
        <v/>
      </c>
      <c r="H262" s="4" t="str">
        <f>IF(F262="","",_xlfn.XLOOKUP(F262,purchase!D:D,purchase!#REF!,""))</f>
        <v/>
      </c>
      <c r="I262" s="4" t="str">
        <f t="shared" si="30"/>
        <v/>
      </c>
      <c r="J262" s="4" t="str">
        <f t="shared" si="31"/>
        <v/>
      </c>
      <c r="K262" s="13" t="str">
        <f>_xlfn.SINGLE(IF(F262="","",_xlfn.XLOOKUP(F262,purchase!D:D,purchase!#REF!,"")))</f>
        <v/>
      </c>
      <c r="L262" s="2"/>
      <c r="M262" s="32"/>
      <c r="N262" s="13" t="str">
        <f>IF(F262="","",
MAX(0,
_xlfn.XLOOKUP(F262,purchase!D:D,purchase!#REF!,"")
-
SUMIFS(L:L,F:F,F262)))</f>
        <v/>
      </c>
      <c r="O262" s="13" t="str">
        <f t="shared" si="32"/>
        <v/>
      </c>
      <c r="P262" s="35" t="str">
        <f>_xlfn.SINGLE(IF(F262="","",_xlfn.XLOOKUP(F262,purchase!D:D,purchase!K:K,"")))</f>
        <v/>
      </c>
      <c r="Q262" s="29" t="str">
        <f t="shared" si="33"/>
        <v/>
      </c>
      <c r="R262" s="37" t="str">
        <f t="shared" si="34"/>
        <v/>
      </c>
    </row>
    <row r="263" spans="1:18" x14ac:dyDescent="0.35">
      <c r="A263" s="8">
        <v>259</v>
      </c>
      <c r="B263" s="9" t="str">
        <f t="shared" si="28"/>
        <v/>
      </c>
      <c r="C263" s="10"/>
      <c r="D263" s="9" t="str">
        <f>IF(F263="","",_xlfn.XLOOKUP(F263,purchase!D:D,purchase!#REF!,""))</f>
        <v/>
      </c>
      <c r="E263" s="9" t="str">
        <f>IF(F263="","",_xlfn.XLOOKUP(F263,purchase!D:D,purchase!B:B,""))</f>
        <v/>
      </c>
      <c r="F263" s="2"/>
      <c r="G263" s="4" t="str">
        <f t="shared" si="29"/>
        <v/>
      </c>
      <c r="H263" s="4" t="str">
        <f>IF(F263="","",_xlfn.XLOOKUP(F263,purchase!D:D,purchase!#REF!,""))</f>
        <v/>
      </c>
      <c r="I263" s="4" t="str">
        <f t="shared" si="30"/>
        <v/>
      </c>
      <c r="J263" s="4" t="str">
        <f t="shared" si="31"/>
        <v/>
      </c>
      <c r="K263" s="13" t="str">
        <f>_xlfn.SINGLE(IF(F263="","",_xlfn.XLOOKUP(F263,purchase!D:D,purchase!#REF!,"")))</f>
        <v/>
      </c>
      <c r="L263" s="2"/>
      <c r="M263" s="32"/>
      <c r="N263" s="13" t="str">
        <f>IF(F263="","",
MAX(0,
_xlfn.XLOOKUP(F263,purchase!D:D,purchase!#REF!,"")
-
SUMIFS(L:L,F:F,F263)))</f>
        <v/>
      </c>
      <c r="O263" s="13" t="str">
        <f t="shared" si="32"/>
        <v/>
      </c>
      <c r="P263" s="35" t="str">
        <f>_xlfn.SINGLE(IF(F263="","",_xlfn.XLOOKUP(F263,purchase!D:D,purchase!K:K,"")))</f>
        <v/>
      </c>
      <c r="Q263" s="29" t="str">
        <f t="shared" si="33"/>
        <v/>
      </c>
      <c r="R263" s="37" t="str">
        <f t="shared" si="34"/>
        <v/>
      </c>
    </row>
    <row r="264" spans="1:18" x14ac:dyDescent="0.35">
      <c r="A264" s="8">
        <v>260</v>
      </c>
      <c r="B264" s="9" t="str">
        <f t="shared" si="28"/>
        <v/>
      </c>
      <c r="C264" s="10"/>
      <c r="D264" s="9" t="str">
        <f>IF(F264="","",_xlfn.XLOOKUP(F264,purchase!D:D,purchase!#REF!,""))</f>
        <v/>
      </c>
      <c r="E264" s="9" t="str">
        <f>IF(F264="","",_xlfn.XLOOKUP(F264,purchase!D:D,purchase!B:B,""))</f>
        <v/>
      </c>
      <c r="F264" s="2"/>
      <c r="G264" s="4" t="str">
        <f t="shared" si="29"/>
        <v/>
      </c>
      <c r="H264" s="4" t="str">
        <f>IF(F264="","",_xlfn.XLOOKUP(F264,purchase!D:D,purchase!#REF!,""))</f>
        <v/>
      </c>
      <c r="I264" s="4" t="str">
        <f t="shared" si="30"/>
        <v/>
      </c>
      <c r="J264" s="4" t="str">
        <f t="shared" si="31"/>
        <v/>
      </c>
      <c r="K264" s="13" t="str">
        <f>_xlfn.SINGLE(IF(F264="","",_xlfn.XLOOKUP(F264,purchase!D:D,purchase!#REF!,"")))</f>
        <v/>
      </c>
      <c r="L264" s="2"/>
      <c r="M264" s="32"/>
      <c r="N264" s="13" t="str">
        <f>IF(F264="","",
MAX(0,
_xlfn.XLOOKUP(F264,purchase!D:D,purchase!#REF!,"")
-
SUMIFS(L:L,F:F,F264)))</f>
        <v/>
      </c>
      <c r="O264" s="13" t="str">
        <f t="shared" si="32"/>
        <v/>
      </c>
      <c r="P264" s="35" t="str">
        <f>_xlfn.SINGLE(IF(F264="","",_xlfn.XLOOKUP(F264,purchase!D:D,purchase!K:K,"")))</f>
        <v/>
      </c>
      <c r="Q264" s="29" t="str">
        <f t="shared" si="33"/>
        <v/>
      </c>
      <c r="R264" s="37" t="str">
        <f t="shared" si="34"/>
        <v/>
      </c>
    </row>
    <row r="265" spans="1:18" x14ac:dyDescent="0.35">
      <c r="A265" s="8">
        <v>261</v>
      </c>
      <c r="B265" s="9" t="str">
        <f t="shared" si="28"/>
        <v/>
      </c>
      <c r="C265" s="10"/>
      <c r="D265" s="9" t="str">
        <f>IF(F265="","",_xlfn.XLOOKUP(F265,purchase!D:D,purchase!#REF!,""))</f>
        <v/>
      </c>
      <c r="E265" s="9" t="str">
        <f>IF(F265="","",_xlfn.XLOOKUP(F265,purchase!D:D,purchase!B:B,""))</f>
        <v/>
      </c>
      <c r="F265" s="2"/>
      <c r="G265" s="4" t="str">
        <f t="shared" si="29"/>
        <v/>
      </c>
      <c r="H265" s="4" t="str">
        <f>IF(F265="","",_xlfn.XLOOKUP(F265,purchase!D:D,purchase!#REF!,""))</f>
        <v/>
      </c>
      <c r="I265" s="4" t="str">
        <f t="shared" si="30"/>
        <v/>
      </c>
      <c r="J265" s="4" t="str">
        <f t="shared" si="31"/>
        <v/>
      </c>
      <c r="K265" s="13" t="str">
        <f>_xlfn.SINGLE(IF(F265="","",_xlfn.XLOOKUP(F265,purchase!D:D,purchase!#REF!,"")))</f>
        <v/>
      </c>
      <c r="L265" s="2"/>
      <c r="M265" s="32"/>
      <c r="N265" s="13" t="str">
        <f>IF(F265="","",
MAX(0,
_xlfn.XLOOKUP(F265,purchase!D:D,purchase!#REF!,"")
-
SUMIFS(L:L,F:F,F265)))</f>
        <v/>
      </c>
      <c r="O265" s="13" t="str">
        <f t="shared" si="32"/>
        <v/>
      </c>
      <c r="P265" s="35" t="str">
        <f>_xlfn.SINGLE(IF(F265="","",_xlfn.XLOOKUP(F265,purchase!D:D,purchase!K:K,"")))</f>
        <v/>
      </c>
      <c r="Q265" s="29" t="str">
        <f t="shared" si="33"/>
        <v/>
      </c>
      <c r="R265" s="37" t="str">
        <f t="shared" si="34"/>
        <v/>
      </c>
    </row>
    <row r="266" spans="1:18" x14ac:dyDescent="0.35">
      <c r="A266" s="8">
        <v>262</v>
      </c>
      <c r="B266" s="9" t="str">
        <f t="shared" si="28"/>
        <v/>
      </c>
      <c r="C266" s="10"/>
      <c r="D266" s="9" t="str">
        <f>IF(F266="","",_xlfn.XLOOKUP(F266,purchase!D:D,purchase!#REF!,""))</f>
        <v/>
      </c>
      <c r="E266" s="9" t="str">
        <f>IF(F266="","",_xlfn.XLOOKUP(F266,purchase!D:D,purchase!B:B,""))</f>
        <v/>
      </c>
      <c r="F266" s="2"/>
      <c r="G266" s="4" t="str">
        <f t="shared" si="29"/>
        <v/>
      </c>
      <c r="H266" s="4" t="str">
        <f>IF(F266="","",_xlfn.XLOOKUP(F266,purchase!D:D,purchase!#REF!,""))</f>
        <v/>
      </c>
      <c r="I266" s="4" t="str">
        <f t="shared" si="30"/>
        <v/>
      </c>
      <c r="J266" s="4" t="str">
        <f t="shared" si="31"/>
        <v/>
      </c>
      <c r="K266" s="13" t="str">
        <f>_xlfn.SINGLE(IF(F266="","",_xlfn.XLOOKUP(F266,purchase!D:D,purchase!#REF!,"")))</f>
        <v/>
      </c>
      <c r="L266" s="2"/>
      <c r="M266" s="32"/>
      <c r="N266" s="13" t="str">
        <f>IF(F266="","",
MAX(0,
_xlfn.XLOOKUP(F266,purchase!D:D,purchase!#REF!,"")
-
SUMIFS(L:L,F:F,F266)))</f>
        <v/>
      </c>
      <c r="O266" s="13" t="str">
        <f t="shared" si="32"/>
        <v/>
      </c>
      <c r="P266" s="35" t="str">
        <f>_xlfn.SINGLE(IF(F266="","",_xlfn.XLOOKUP(F266,purchase!D:D,purchase!K:K,"")))</f>
        <v/>
      </c>
      <c r="Q266" s="29" t="str">
        <f t="shared" si="33"/>
        <v/>
      </c>
      <c r="R266" s="37" t="str">
        <f t="shared" si="34"/>
        <v/>
      </c>
    </row>
    <row r="267" spans="1:18" x14ac:dyDescent="0.35">
      <c r="A267" s="8">
        <v>263</v>
      </c>
      <c r="B267" s="9" t="str">
        <f t="shared" si="28"/>
        <v/>
      </c>
      <c r="C267" s="10"/>
      <c r="D267" s="9" t="str">
        <f>IF(F267="","",_xlfn.XLOOKUP(F267,purchase!D:D,purchase!#REF!,""))</f>
        <v/>
      </c>
      <c r="E267" s="9" t="str">
        <f>IF(F267="","",_xlfn.XLOOKUP(F267,purchase!D:D,purchase!B:B,""))</f>
        <v/>
      </c>
      <c r="F267" s="2"/>
      <c r="G267" s="4" t="str">
        <f t="shared" si="29"/>
        <v/>
      </c>
      <c r="H267" s="4" t="str">
        <f>IF(F267="","",_xlfn.XLOOKUP(F267,purchase!D:D,purchase!#REF!,""))</f>
        <v/>
      </c>
      <c r="I267" s="4" t="str">
        <f t="shared" si="30"/>
        <v/>
      </c>
      <c r="J267" s="4" t="str">
        <f t="shared" si="31"/>
        <v/>
      </c>
      <c r="K267" s="13" t="str">
        <f>_xlfn.SINGLE(IF(F267="","",_xlfn.XLOOKUP(F267,purchase!D:D,purchase!#REF!,"")))</f>
        <v/>
      </c>
      <c r="L267" s="2"/>
      <c r="M267" s="32"/>
      <c r="N267" s="13" t="str">
        <f>IF(F267="","",
MAX(0,
_xlfn.XLOOKUP(F267,purchase!D:D,purchase!#REF!,"")
-
SUMIFS(L:L,F:F,F267)))</f>
        <v/>
      </c>
      <c r="O267" s="13" t="str">
        <f t="shared" si="32"/>
        <v/>
      </c>
      <c r="P267" s="35" t="str">
        <f>_xlfn.SINGLE(IF(F267="","",_xlfn.XLOOKUP(F267,purchase!D:D,purchase!K:K,"")))</f>
        <v/>
      </c>
      <c r="Q267" s="29" t="str">
        <f t="shared" si="33"/>
        <v/>
      </c>
      <c r="R267" s="37" t="str">
        <f t="shared" si="34"/>
        <v/>
      </c>
    </row>
    <row r="268" spans="1:18" x14ac:dyDescent="0.35">
      <c r="A268" s="8">
        <v>264</v>
      </c>
      <c r="B268" s="9" t="str">
        <f t="shared" si="28"/>
        <v/>
      </c>
      <c r="C268" s="10"/>
      <c r="D268" s="9" t="str">
        <f>IF(F268="","",_xlfn.XLOOKUP(F268,purchase!D:D,purchase!#REF!,""))</f>
        <v/>
      </c>
      <c r="E268" s="9" t="str">
        <f>IF(F268="","",_xlfn.XLOOKUP(F268,purchase!D:D,purchase!B:B,""))</f>
        <v/>
      </c>
      <c r="F268" s="2"/>
      <c r="G268" s="4" t="str">
        <f t="shared" si="29"/>
        <v/>
      </c>
      <c r="H268" s="4" t="str">
        <f>IF(F268="","",_xlfn.XLOOKUP(F268,purchase!D:D,purchase!#REF!,""))</f>
        <v/>
      </c>
      <c r="I268" s="4" t="str">
        <f t="shared" si="30"/>
        <v/>
      </c>
      <c r="J268" s="4" t="str">
        <f t="shared" si="31"/>
        <v/>
      </c>
      <c r="K268" s="13" t="str">
        <f>_xlfn.SINGLE(IF(F268="","",_xlfn.XLOOKUP(F268,purchase!D:D,purchase!#REF!,"")))</f>
        <v/>
      </c>
      <c r="L268" s="2"/>
      <c r="M268" s="32"/>
      <c r="N268" s="13" t="str">
        <f>IF(F268="","",
MAX(0,
_xlfn.XLOOKUP(F268,purchase!D:D,purchase!#REF!,"")
-
SUMIFS(L:L,F:F,F268)))</f>
        <v/>
      </c>
      <c r="O268" s="13" t="str">
        <f t="shared" si="32"/>
        <v/>
      </c>
      <c r="P268" s="35" t="str">
        <f>_xlfn.SINGLE(IF(F268="","",_xlfn.XLOOKUP(F268,purchase!D:D,purchase!K:K,"")))</f>
        <v/>
      </c>
      <c r="Q268" s="29" t="str">
        <f t="shared" si="33"/>
        <v/>
      </c>
      <c r="R268" s="37" t="str">
        <f t="shared" si="34"/>
        <v/>
      </c>
    </row>
    <row r="269" spans="1:18" x14ac:dyDescent="0.35">
      <c r="A269" s="8">
        <v>265</v>
      </c>
      <c r="B269" s="9" t="str">
        <f t="shared" si="28"/>
        <v/>
      </c>
      <c r="C269" s="10"/>
      <c r="D269" s="9" t="str">
        <f>IF(F269="","",_xlfn.XLOOKUP(F269,purchase!D:D,purchase!#REF!,""))</f>
        <v/>
      </c>
      <c r="E269" s="9" t="str">
        <f>IF(F269="","",_xlfn.XLOOKUP(F269,purchase!D:D,purchase!B:B,""))</f>
        <v/>
      </c>
      <c r="F269" s="2"/>
      <c r="G269" s="4" t="str">
        <f t="shared" si="29"/>
        <v/>
      </c>
      <c r="H269" s="4" t="str">
        <f>IF(F269="","",_xlfn.XLOOKUP(F269,purchase!D:D,purchase!#REF!,""))</f>
        <v/>
      </c>
      <c r="I269" s="4" t="str">
        <f t="shared" si="30"/>
        <v/>
      </c>
      <c r="J269" s="4" t="str">
        <f t="shared" si="31"/>
        <v/>
      </c>
      <c r="K269" s="13" t="str">
        <f>_xlfn.SINGLE(IF(F269="","",_xlfn.XLOOKUP(F269,purchase!D:D,purchase!#REF!,"")))</f>
        <v/>
      </c>
      <c r="L269" s="2"/>
      <c r="M269" s="32"/>
      <c r="N269" s="13" t="str">
        <f>IF(F269="","",
MAX(0,
_xlfn.XLOOKUP(F269,purchase!D:D,purchase!#REF!,"")
-
SUMIFS(L:L,F:F,F269)))</f>
        <v/>
      </c>
      <c r="O269" s="13" t="str">
        <f t="shared" si="32"/>
        <v/>
      </c>
      <c r="P269" s="35" t="str">
        <f>_xlfn.SINGLE(IF(F269="","",_xlfn.XLOOKUP(F269,purchase!D:D,purchase!K:K,"")))</f>
        <v/>
      </c>
      <c r="Q269" s="29" t="str">
        <f t="shared" si="33"/>
        <v/>
      </c>
      <c r="R269" s="37" t="str">
        <f t="shared" si="34"/>
        <v/>
      </c>
    </row>
    <row r="270" spans="1:18" x14ac:dyDescent="0.35">
      <c r="A270" s="8">
        <v>266</v>
      </c>
      <c r="B270" s="9" t="str">
        <f t="shared" si="28"/>
        <v/>
      </c>
      <c r="C270" s="10"/>
      <c r="D270" s="9" t="str">
        <f>IF(F270="","",_xlfn.XLOOKUP(F270,purchase!D:D,purchase!#REF!,""))</f>
        <v/>
      </c>
      <c r="E270" s="9" t="str">
        <f>IF(F270="","",_xlfn.XLOOKUP(F270,purchase!D:D,purchase!B:B,""))</f>
        <v/>
      </c>
      <c r="F270" s="2"/>
      <c r="G270" s="4" t="str">
        <f t="shared" si="29"/>
        <v/>
      </c>
      <c r="H270" s="4" t="str">
        <f>IF(F270="","",_xlfn.XLOOKUP(F270,purchase!D:D,purchase!#REF!,""))</f>
        <v/>
      </c>
      <c r="I270" s="4" t="str">
        <f t="shared" si="30"/>
        <v/>
      </c>
      <c r="J270" s="4" t="str">
        <f t="shared" si="31"/>
        <v/>
      </c>
      <c r="K270" s="13" t="str">
        <f>_xlfn.SINGLE(IF(F270="","",_xlfn.XLOOKUP(F270,purchase!D:D,purchase!#REF!,"")))</f>
        <v/>
      </c>
      <c r="L270" s="2"/>
      <c r="M270" s="32"/>
      <c r="N270" s="13" t="str">
        <f>IF(F270="","",
MAX(0,
_xlfn.XLOOKUP(F270,purchase!D:D,purchase!#REF!,"")
-
SUMIFS(L:L,F:F,F270)))</f>
        <v/>
      </c>
      <c r="O270" s="13" t="str">
        <f t="shared" si="32"/>
        <v/>
      </c>
      <c r="P270" s="35" t="str">
        <f>_xlfn.SINGLE(IF(F270="","",_xlfn.XLOOKUP(F270,purchase!D:D,purchase!K:K,"")))</f>
        <v/>
      </c>
      <c r="Q270" s="29" t="str">
        <f t="shared" si="33"/>
        <v/>
      </c>
      <c r="R270" s="37" t="str">
        <f t="shared" si="34"/>
        <v/>
      </c>
    </row>
    <row r="271" spans="1:18" x14ac:dyDescent="0.35">
      <c r="A271" s="8">
        <v>267</v>
      </c>
      <c r="B271" s="9" t="str">
        <f t="shared" si="28"/>
        <v/>
      </c>
      <c r="C271" s="10"/>
      <c r="D271" s="9" t="str">
        <f>IF(F271="","",_xlfn.XLOOKUP(F271,purchase!D:D,purchase!#REF!,""))</f>
        <v/>
      </c>
      <c r="E271" s="9" t="str">
        <f>IF(F271="","",_xlfn.XLOOKUP(F271,purchase!D:D,purchase!B:B,""))</f>
        <v/>
      </c>
      <c r="F271" s="2"/>
      <c r="G271" s="4" t="str">
        <f t="shared" si="29"/>
        <v/>
      </c>
      <c r="H271" s="4" t="str">
        <f>IF(F271="","",_xlfn.XLOOKUP(F271,purchase!D:D,purchase!#REF!,""))</f>
        <v/>
      </c>
      <c r="I271" s="4" t="str">
        <f t="shared" si="30"/>
        <v/>
      </c>
      <c r="J271" s="4" t="str">
        <f t="shared" si="31"/>
        <v/>
      </c>
      <c r="K271" s="13" t="str">
        <f>_xlfn.SINGLE(IF(F271="","",_xlfn.XLOOKUP(F271,purchase!D:D,purchase!#REF!,"")))</f>
        <v/>
      </c>
      <c r="L271" s="2"/>
      <c r="M271" s="32"/>
      <c r="N271" s="13" t="str">
        <f>IF(F271="","",
MAX(0,
_xlfn.XLOOKUP(F271,purchase!D:D,purchase!#REF!,"")
-
SUMIFS(L:L,F:F,F271)))</f>
        <v/>
      </c>
      <c r="O271" s="13" t="str">
        <f t="shared" si="32"/>
        <v/>
      </c>
      <c r="P271" s="35" t="str">
        <f>_xlfn.SINGLE(IF(F271="","",_xlfn.XLOOKUP(F271,purchase!D:D,purchase!K:K,"")))</f>
        <v/>
      </c>
      <c r="Q271" s="29" t="str">
        <f t="shared" si="33"/>
        <v/>
      </c>
      <c r="R271" s="37" t="str">
        <f t="shared" si="34"/>
        <v/>
      </c>
    </row>
    <row r="272" spans="1:18" x14ac:dyDescent="0.35">
      <c r="A272" s="8">
        <v>268</v>
      </c>
      <c r="B272" s="9" t="str">
        <f t="shared" si="28"/>
        <v/>
      </c>
      <c r="C272" s="10"/>
      <c r="D272" s="9" t="str">
        <f>IF(F272="","",_xlfn.XLOOKUP(F272,purchase!D:D,purchase!#REF!,""))</f>
        <v/>
      </c>
      <c r="E272" s="9" t="str">
        <f>IF(F272="","",_xlfn.XLOOKUP(F272,purchase!D:D,purchase!B:B,""))</f>
        <v/>
      </c>
      <c r="F272" s="2"/>
      <c r="G272" s="4" t="str">
        <f t="shared" si="29"/>
        <v/>
      </c>
      <c r="H272" s="4" t="str">
        <f>IF(F272="","",_xlfn.XLOOKUP(F272,purchase!D:D,purchase!#REF!,""))</f>
        <v/>
      </c>
      <c r="I272" s="4" t="str">
        <f t="shared" si="30"/>
        <v/>
      </c>
      <c r="J272" s="4" t="str">
        <f t="shared" si="31"/>
        <v/>
      </c>
      <c r="K272" s="13" t="str">
        <f>_xlfn.SINGLE(IF(F272="","",_xlfn.XLOOKUP(F272,purchase!D:D,purchase!#REF!,"")))</f>
        <v/>
      </c>
      <c r="L272" s="2"/>
      <c r="M272" s="32"/>
      <c r="N272" s="13" t="str">
        <f>IF(F272="","",
MAX(0,
_xlfn.XLOOKUP(F272,purchase!D:D,purchase!#REF!,"")
-
SUMIFS(L:L,F:F,F272)))</f>
        <v/>
      </c>
      <c r="O272" s="13" t="str">
        <f t="shared" si="32"/>
        <v/>
      </c>
      <c r="P272" s="35" t="str">
        <f>_xlfn.SINGLE(IF(F272="","",_xlfn.XLOOKUP(F272,purchase!D:D,purchase!K:K,"")))</f>
        <v/>
      </c>
      <c r="Q272" s="29" t="str">
        <f t="shared" si="33"/>
        <v/>
      </c>
      <c r="R272" s="37" t="str">
        <f t="shared" si="34"/>
        <v/>
      </c>
    </row>
    <row r="273" spans="1:18" x14ac:dyDescent="0.35">
      <c r="A273" s="8">
        <v>269</v>
      </c>
      <c r="B273" s="9" t="str">
        <f t="shared" si="28"/>
        <v/>
      </c>
      <c r="C273" s="10"/>
      <c r="D273" s="9" t="str">
        <f>IF(F273="","",_xlfn.XLOOKUP(F273,purchase!D:D,purchase!#REF!,""))</f>
        <v/>
      </c>
      <c r="E273" s="9" t="str">
        <f>IF(F273="","",_xlfn.XLOOKUP(F273,purchase!D:D,purchase!B:B,""))</f>
        <v/>
      </c>
      <c r="F273" s="2"/>
      <c r="G273" s="4" t="str">
        <f t="shared" si="29"/>
        <v/>
      </c>
      <c r="H273" s="4" t="str">
        <f>IF(F273="","",_xlfn.XLOOKUP(F273,purchase!D:D,purchase!#REF!,""))</f>
        <v/>
      </c>
      <c r="I273" s="4" t="str">
        <f t="shared" si="30"/>
        <v/>
      </c>
      <c r="J273" s="4" t="str">
        <f t="shared" si="31"/>
        <v/>
      </c>
      <c r="K273" s="13" t="str">
        <f>_xlfn.SINGLE(IF(F273="","",_xlfn.XLOOKUP(F273,purchase!D:D,purchase!#REF!,"")))</f>
        <v/>
      </c>
      <c r="L273" s="2"/>
      <c r="M273" s="32"/>
      <c r="N273" s="13" t="str">
        <f>IF(F273="","",
MAX(0,
_xlfn.XLOOKUP(F273,purchase!D:D,purchase!#REF!,"")
-
SUMIFS(L:L,F:F,F273)))</f>
        <v/>
      </c>
      <c r="O273" s="13" t="str">
        <f t="shared" si="32"/>
        <v/>
      </c>
      <c r="P273" s="35" t="str">
        <f>_xlfn.SINGLE(IF(F273="","",_xlfn.XLOOKUP(F273,purchase!D:D,purchase!K:K,"")))</f>
        <v/>
      </c>
      <c r="Q273" s="29" t="str">
        <f t="shared" si="33"/>
        <v/>
      </c>
      <c r="R273" s="37" t="str">
        <f t="shared" si="34"/>
        <v/>
      </c>
    </row>
    <row r="274" spans="1:18" x14ac:dyDescent="0.35">
      <c r="A274" s="8">
        <v>270</v>
      </c>
      <c r="B274" s="9" t="str">
        <f t="shared" si="28"/>
        <v/>
      </c>
      <c r="C274" s="10"/>
      <c r="D274" s="9" t="str">
        <f>IF(F274="","",_xlfn.XLOOKUP(F274,purchase!D:D,purchase!#REF!,""))</f>
        <v/>
      </c>
      <c r="E274" s="9" t="str">
        <f>IF(F274="","",_xlfn.XLOOKUP(F274,purchase!D:D,purchase!B:B,""))</f>
        <v/>
      </c>
      <c r="F274" s="2"/>
      <c r="G274" s="4" t="str">
        <f t="shared" si="29"/>
        <v/>
      </c>
      <c r="H274" s="4" t="str">
        <f>IF(F274="","",_xlfn.XLOOKUP(F274,purchase!D:D,purchase!#REF!,""))</f>
        <v/>
      </c>
      <c r="I274" s="4" t="str">
        <f t="shared" si="30"/>
        <v/>
      </c>
      <c r="J274" s="4" t="str">
        <f t="shared" si="31"/>
        <v/>
      </c>
      <c r="K274" s="13" t="str">
        <f>_xlfn.SINGLE(IF(F274="","",_xlfn.XLOOKUP(F274,purchase!D:D,purchase!#REF!,"")))</f>
        <v/>
      </c>
      <c r="L274" s="2"/>
      <c r="M274" s="32"/>
      <c r="N274" s="13" t="str">
        <f>IF(F274="","",
MAX(0,
_xlfn.XLOOKUP(F274,purchase!D:D,purchase!#REF!,"")
-
SUMIFS(L:L,F:F,F274)))</f>
        <v/>
      </c>
      <c r="O274" s="13" t="str">
        <f t="shared" si="32"/>
        <v/>
      </c>
      <c r="P274" s="35" t="str">
        <f>_xlfn.SINGLE(IF(F274="","",_xlfn.XLOOKUP(F274,purchase!D:D,purchase!K:K,"")))</f>
        <v/>
      </c>
      <c r="Q274" s="29" t="str">
        <f t="shared" si="33"/>
        <v/>
      </c>
      <c r="R274" s="37" t="str">
        <f t="shared" si="34"/>
        <v/>
      </c>
    </row>
    <row r="275" spans="1:18" x14ac:dyDescent="0.35">
      <c r="A275" s="8">
        <v>271</v>
      </c>
      <c r="B275" s="9" t="str">
        <f t="shared" si="28"/>
        <v/>
      </c>
      <c r="C275" s="10"/>
      <c r="D275" s="9" t="str">
        <f>IF(F275="","",_xlfn.XLOOKUP(F275,purchase!D:D,purchase!#REF!,""))</f>
        <v/>
      </c>
      <c r="E275" s="9" t="str">
        <f>IF(F275="","",_xlfn.XLOOKUP(F275,purchase!D:D,purchase!B:B,""))</f>
        <v/>
      </c>
      <c r="F275" s="2"/>
      <c r="G275" s="4" t="str">
        <f t="shared" si="29"/>
        <v/>
      </c>
      <c r="H275" s="4" t="str">
        <f>IF(F275="","",_xlfn.XLOOKUP(F275,purchase!D:D,purchase!#REF!,""))</f>
        <v/>
      </c>
      <c r="I275" s="4" t="str">
        <f t="shared" si="30"/>
        <v/>
      </c>
      <c r="J275" s="4" t="str">
        <f t="shared" si="31"/>
        <v/>
      </c>
      <c r="K275" s="13" t="str">
        <f>_xlfn.SINGLE(IF(F275="","",_xlfn.XLOOKUP(F275,purchase!D:D,purchase!#REF!,"")))</f>
        <v/>
      </c>
      <c r="L275" s="2"/>
      <c r="M275" s="32"/>
      <c r="N275" s="13" t="str">
        <f>IF(F275="","",
MAX(0,
_xlfn.XLOOKUP(F275,purchase!D:D,purchase!#REF!,"")
-
SUMIFS(L:L,F:F,F275)))</f>
        <v/>
      </c>
      <c r="O275" s="13" t="str">
        <f t="shared" si="32"/>
        <v/>
      </c>
      <c r="P275" s="35" t="str">
        <f>_xlfn.SINGLE(IF(F275="","",_xlfn.XLOOKUP(F275,purchase!D:D,purchase!K:K,"")))</f>
        <v/>
      </c>
      <c r="Q275" s="29" t="str">
        <f t="shared" si="33"/>
        <v/>
      </c>
      <c r="R275" s="37" t="str">
        <f t="shared" si="34"/>
        <v/>
      </c>
    </row>
    <row r="276" spans="1:18" x14ac:dyDescent="0.35">
      <c r="A276" s="8">
        <v>272</v>
      </c>
      <c r="B276" s="9" t="str">
        <f t="shared" si="28"/>
        <v/>
      </c>
      <c r="C276" s="10"/>
      <c r="D276" s="9" t="str">
        <f>IF(F276="","",_xlfn.XLOOKUP(F276,purchase!D:D,purchase!#REF!,""))</f>
        <v/>
      </c>
      <c r="E276" s="9" t="str">
        <f>IF(F276="","",_xlfn.XLOOKUP(F276,purchase!D:D,purchase!B:B,""))</f>
        <v/>
      </c>
      <c r="F276" s="2"/>
      <c r="G276" s="4" t="str">
        <f t="shared" si="29"/>
        <v/>
      </c>
      <c r="H276" s="4" t="str">
        <f>IF(F276="","",_xlfn.XLOOKUP(F276,purchase!D:D,purchase!#REF!,""))</f>
        <v/>
      </c>
      <c r="I276" s="4" t="str">
        <f t="shared" si="30"/>
        <v/>
      </c>
      <c r="J276" s="4" t="str">
        <f t="shared" si="31"/>
        <v/>
      </c>
      <c r="K276" s="13" t="str">
        <f>_xlfn.SINGLE(IF(F276="","",_xlfn.XLOOKUP(F276,purchase!D:D,purchase!#REF!,"")))</f>
        <v/>
      </c>
      <c r="L276" s="2"/>
      <c r="M276" s="32"/>
      <c r="N276" s="13" t="str">
        <f>IF(F276="","",
MAX(0,
_xlfn.XLOOKUP(F276,purchase!D:D,purchase!#REF!,"")
-
SUMIFS(L:L,F:F,F276)))</f>
        <v/>
      </c>
      <c r="O276" s="13" t="str">
        <f t="shared" si="32"/>
        <v/>
      </c>
      <c r="P276" s="35" t="str">
        <f>_xlfn.SINGLE(IF(F276="","",_xlfn.XLOOKUP(F276,purchase!D:D,purchase!K:K,"")))</f>
        <v/>
      </c>
      <c r="Q276" s="29" t="str">
        <f t="shared" si="33"/>
        <v/>
      </c>
      <c r="R276" s="37" t="str">
        <f t="shared" si="34"/>
        <v/>
      </c>
    </row>
    <row r="277" spans="1:18" x14ac:dyDescent="0.35">
      <c r="A277" s="8">
        <v>273</v>
      </c>
      <c r="B277" s="9" t="str">
        <f t="shared" si="28"/>
        <v/>
      </c>
      <c r="C277" s="10"/>
      <c r="D277" s="9" t="str">
        <f>IF(F277="","",_xlfn.XLOOKUP(F277,purchase!D:D,purchase!#REF!,""))</f>
        <v/>
      </c>
      <c r="E277" s="9" t="str">
        <f>IF(F277="","",_xlfn.XLOOKUP(F277,purchase!D:D,purchase!B:B,""))</f>
        <v/>
      </c>
      <c r="F277" s="2"/>
      <c r="G277" s="4" t="str">
        <f t="shared" si="29"/>
        <v/>
      </c>
      <c r="H277" s="4" t="str">
        <f>IF(F277="","",_xlfn.XLOOKUP(F277,purchase!D:D,purchase!#REF!,""))</f>
        <v/>
      </c>
      <c r="I277" s="4" t="str">
        <f t="shared" si="30"/>
        <v/>
      </c>
      <c r="J277" s="4" t="str">
        <f t="shared" si="31"/>
        <v/>
      </c>
      <c r="K277" s="13" t="str">
        <f>_xlfn.SINGLE(IF(F277="","",_xlfn.XLOOKUP(F277,purchase!D:D,purchase!#REF!,"")))</f>
        <v/>
      </c>
      <c r="L277" s="2"/>
      <c r="M277" s="32"/>
      <c r="N277" s="13" t="str">
        <f>IF(F277="","",
MAX(0,
_xlfn.XLOOKUP(F277,purchase!D:D,purchase!#REF!,"")
-
SUMIFS(L:L,F:F,F277)))</f>
        <v/>
      </c>
      <c r="O277" s="13" t="str">
        <f t="shared" si="32"/>
        <v/>
      </c>
      <c r="P277" s="35" t="str">
        <f>_xlfn.SINGLE(IF(F277="","",_xlfn.XLOOKUP(F277,purchase!D:D,purchase!K:K,"")))</f>
        <v/>
      </c>
      <c r="Q277" s="29" t="str">
        <f t="shared" si="33"/>
        <v/>
      </c>
      <c r="R277" s="37" t="str">
        <f t="shared" si="34"/>
        <v/>
      </c>
    </row>
    <row r="278" spans="1:18" x14ac:dyDescent="0.35">
      <c r="A278" s="8">
        <v>274</v>
      </c>
      <c r="B278" s="9" t="str">
        <f t="shared" si="28"/>
        <v/>
      </c>
      <c r="C278" s="10"/>
      <c r="D278" s="9" t="str">
        <f>IF(F278="","",_xlfn.XLOOKUP(F278,purchase!D:D,purchase!#REF!,""))</f>
        <v/>
      </c>
      <c r="E278" s="9" t="str">
        <f>IF(F278="","",_xlfn.XLOOKUP(F278,purchase!D:D,purchase!B:B,""))</f>
        <v/>
      </c>
      <c r="F278" s="2"/>
      <c r="G278" s="4" t="str">
        <f t="shared" si="29"/>
        <v/>
      </c>
      <c r="H278" s="4" t="str">
        <f>IF(F278="","",_xlfn.XLOOKUP(F278,purchase!D:D,purchase!#REF!,""))</f>
        <v/>
      </c>
      <c r="I278" s="4" t="str">
        <f t="shared" si="30"/>
        <v/>
      </c>
      <c r="J278" s="4" t="str">
        <f t="shared" si="31"/>
        <v/>
      </c>
      <c r="K278" s="13" t="str">
        <f>_xlfn.SINGLE(IF(F278="","",_xlfn.XLOOKUP(F278,purchase!D:D,purchase!#REF!,"")))</f>
        <v/>
      </c>
      <c r="L278" s="2"/>
      <c r="M278" s="32"/>
      <c r="N278" s="13" t="str">
        <f>IF(F278="","",
MAX(0,
_xlfn.XLOOKUP(F278,purchase!D:D,purchase!#REF!,"")
-
SUMIFS(L:L,F:F,F278)))</f>
        <v/>
      </c>
      <c r="O278" s="13" t="str">
        <f t="shared" si="32"/>
        <v/>
      </c>
      <c r="P278" s="35" t="str">
        <f>_xlfn.SINGLE(IF(F278="","",_xlfn.XLOOKUP(F278,purchase!D:D,purchase!K:K,"")))</f>
        <v/>
      </c>
      <c r="Q278" s="29" t="str">
        <f t="shared" si="33"/>
        <v/>
      </c>
      <c r="R278" s="37" t="str">
        <f t="shared" si="34"/>
        <v/>
      </c>
    </row>
    <row r="279" spans="1:18" x14ac:dyDescent="0.35">
      <c r="A279" s="8">
        <v>275</v>
      </c>
      <c r="B279" s="9" t="str">
        <f t="shared" si="28"/>
        <v/>
      </c>
      <c r="C279" s="10"/>
      <c r="D279" s="9" t="str">
        <f>IF(F279="","",_xlfn.XLOOKUP(F279,purchase!D:D,purchase!#REF!,""))</f>
        <v/>
      </c>
      <c r="E279" s="9" t="str">
        <f>IF(F279="","",_xlfn.XLOOKUP(F279,purchase!D:D,purchase!B:B,""))</f>
        <v/>
      </c>
      <c r="F279" s="2"/>
      <c r="G279" s="4" t="str">
        <f t="shared" si="29"/>
        <v/>
      </c>
      <c r="H279" s="4" t="str">
        <f>IF(F279="","",_xlfn.XLOOKUP(F279,purchase!D:D,purchase!#REF!,""))</f>
        <v/>
      </c>
      <c r="I279" s="4" t="str">
        <f t="shared" si="30"/>
        <v/>
      </c>
      <c r="J279" s="4" t="str">
        <f t="shared" si="31"/>
        <v/>
      </c>
      <c r="K279" s="13" t="str">
        <f>_xlfn.SINGLE(IF(F279="","",_xlfn.XLOOKUP(F279,purchase!D:D,purchase!#REF!,"")))</f>
        <v/>
      </c>
      <c r="L279" s="2"/>
      <c r="M279" s="32"/>
      <c r="N279" s="13" t="str">
        <f>IF(F279="","",
MAX(0,
_xlfn.XLOOKUP(F279,purchase!D:D,purchase!#REF!,"")
-
SUMIFS(L:L,F:F,F279)))</f>
        <v/>
      </c>
      <c r="O279" s="13" t="str">
        <f t="shared" si="32"/>
        <v/>
      </c>
      <c r="P279" s="35" t="str">
        <f>_xlfn.SINGLE(IF(F279="","",_xlfn.XLOOKUP(F279,purchase!D:D,purchase!K:K,"")))</f>
        <v/>
      </c>
      <c r="Q279" s="29" t="str">
        <f t="shared" si="33"/>
        <v/>
      </c>
      <c r="R279" s="37" t="str">
        <f t="shared" si="34"/>
        <v/>
      </c>
    </row>
    <row r="280" spans="1:18" x14ac:dyDescent="0.35">
      <c r="A280" s="8">
        <v>276</v>
      </c>
      <c r="B280" s="9" t="str">
        <f t="shared" si="28"/>
        <v/>
      </c>
      <c r="C280" s="10"/>
      <c r="D280" s="9" t="str">
        <f>IF(F280="","",_xlfn.XLOOKUP(F280,purchase!D:D,purchase!#REF!,""))</f>
        <v/>
      </c>
      <c r="E280" s="9" t="str">
        <f>IF(F280="","",_xlfn.XLOOKUP(F280,purchase!D:D,purchase!B:B,""))</f>
        <v/>
      </c>
      <c r="F280" s="2"/>
      <c r="G280" s="4" t="str">
        <f t="shared" si="29"/>
        <v/>
      </c>
      <c r="H280" s="4" t="str">
        <f>IF(F280="","",_xlfn.XLOOKUP(F280,purchase!D:D,purchase!#REF!,""))</f>
        <v/>
      </c>
      <c r="I280" s="4" t="str">
        <f t="shared" si="30"/>
        <v/>
      </c>
      <c r="J280" s="4" t="str">
        <f t="shared" si="31"/>
        <v/>
      </c>
      <c r="K280" s="13" t="str">
        <f>_xlfn.SINGLE(IF(F280="","",_xlfn.XLOOKUP(F280,purchase!D:D,purchase!#REF!,"")))</f>
        <v/>
      </c>
      <c r="L280" s="2"/>
      <c r="M280" s="32"/>
      <c r="N280" s="13" t="str">
        <f>IF(F280="","",
MAX(0,
_xlfn.XLOOKUP(F280,purchase!D:D,purchase!#REF!,"")
-
SUMIFS(L:L,F:F,F280)))</f>
        <v/>
      </c>
      <c r="O280" s="13" t="str">
        <f t="shared" si="32"/>
        <v/>
      </c>
      <c r="P280" s="35" t="str">
        <f>_xlfn.SINGLE(IF(F280="","",_xlfn.XLOOKUP(F280,purchase!D:D,purchase!K:K,"")))</f>
        <v/>
      </c>
      <c r="Q280" s="29" t="str">
        <f t="shared" si="33"/>
        <v/>
      </c>
      <c r="R280" s="37" t="str">
        <f t="shared" si="34"/>
        <v/>
      </c>
    </row>
    <row r="281" spans="1:18" x14ac:dyDescent="0.35">
      <c r="A281" s="8">
        <v>277</v>
      </c>
      <c r="B281" s="9" t="str">
        <f t="shared" si="28"/>
        <v/>
      </c>
      <c r="C281" s="10"/>
      <c r="D281" s="9" t="str">
        <f>IF(F281="","",_xlfn.XLOOKUP(F281,purchase!D:D,purchase!#REF!,""))</f>
        <v/>
      </c>
      <c r="E281" s="9" t="str">
        <f>IF(F281="","",_xlfn.XLOOKUP(F281,purchase!D:D,purchase!B:B,""))</f>
        <v/>
      </c>
      <c r="F281" s="2"/>
      <c r="G281" s="4" t="str">
        <f t="shared" si="29"/>
        <v/>
      </c>
      <c r="H281" s="4" t="str">
        <f>IF(F281="","",_xlfn.XLOOKUP(F281,purchase!D:D,purchase!#REF!,""))</f>
        <v/>
      </c>
      <c r="I281" s="4" t="str">
        <f t="shared" si="30"/>
        <v/>
      </c>
      <c r="J281" s="4" t="str">
        <f t="shared" si="31"/>
        <v/>
      </c>
      <c r="K281" s="13" t="str">
        <f>_xlfn.SINGLE(IF(F281="","",_xlfn.XLOOKUP(F281,purchase!D:D,purchase!#REF!,"")))</f>
        <v/>
      </c>
      <c r="L281" s="2"/>
      <c r="M281" s="32"/>
      <c r="N281" s="13" t="str">
        <f>IF(F281="","",
MAX(0,
_xlfn.XLOOKUP(F281,purchase!D:D,purchase!#REF!,"")
-
SUMIFS(L:L,F:F,F281)))</f>
        <v/>
      </c>
      <c r="O281" s="13" t="str">
        <f t="shared" si="32"/>
        <v/>
      </c>
      <c r="P281" s="35" t="str">
        <f>_xlfn.SINGLE(IF(F281="","",_xlfn.XLOOKUP(F281,purchase!D:D,purchase!K:K,"")))</f>
        <v/>
      </c>
      <c r="Q281" s="29" t="str">
        <f t="shared" si="33"/>
        <v/>
      </c>
      <c r="R281" s="37" t="str">
        <f t="shared" si="34"/>
        <v/>
      </c>
    </row>
    <row r="282" spans="1:18" x14ac:dyDescent="0.35">
      <c r="A282" s="8">
        <v>278</v>
      </c>
      <c r="B282" s="9" t="str">
        <f t="shared" si="28"/>
        <v/>
      </c>
      <c r="C282" s="10"/>
      <c r="D282" s="9" t="str">
        <f>IF(F282="","",_xlfn.XLOOKUP(F282,purchase!D:D,purchase!#REF!,""))</f>
        <v/>
      </c>
      <c r="E282" s="9" t="str">
        <f>IF(F282="","",_xlfn.XLOOKUP(F282,purchase!D:D,purchase!B:B,""))</f>
        <v/>
      </c>
      <c r="F282" s="2"/>
      <c r="G282" s="4" t="str">
        <f t="shared" si="29"/>
        <v/>
      </c>
      <c r="H282" s="4" t="str">
        <f>IF(F282="","",_xlfn.XLOOKUP(F282,purchase!D:D,purchase!#REF!,""))</f>
        <v/>
      </c>
      <c r="I282" s="4" t="str">
        <f t="shared" si="30"/>
        <v/>
      </c>
      <c r="J282" s="4" t="str">
        <f t="shared" si="31"/>
        <v/>
      </c>
      <c r="K282" s="13" t="str">
        <f>_xlfn.SINGLE(IF(F282="","",_xlfn.XLOOKUP(F282,purchase!D:D,purchase!#REF!,"")))</f>
        <v/>
      </c>
      <c r="L282" s="2"/>
      <c r="M282" s="32"/>
      <c r="N282" s="13" t="str">
        <f>IF(F282="","",
MAX(0,
_xlfn.XLOOKUP(F282,purchase!D:D,purchase!#REF!,"")
-
SUMIFS(L:L,F:F,F282)))</f>
        <v/>
      </c>
      <c r="O282" s="13" t="str">
        <f t="shared" si="32"/>
        <v/>
      </c>
      <c r="P282" s="35" t="str">
        <f>_xlfn.SINGLE(IF(F282="","",_xlfn.XLOOKUP(F282,purchase!D:D,purchase!K:K,"")))</f>
        <v/>
      </c>
      <c r="Q282" s="29" t="str">
        <f t="shared" si="33"/>
        <v/>
      </c>
      <c r="R282" s="37" t="str">
        <f t="shared" si="34"/>
        <v/>
      </c>
    </row>
    <row r="283" spans="1:18" x14ac:dyDescent="0.35">
      <c r="A283" s="8">
        <v>279</v>
      </c>
      <c r="B283" s="9" t="str">
        <f t="shared" si="28"/>
        <v/>
      </c>
      <c r="C283" s="10"/>
      <c r="D283" s="9" t="str">
        <f>IF(F283="","",_xlfn.XLOOKUP(F283,purchase!D:D,purchase!#REF!,""))</f>
        <v/>
      </c>
      <c r="E283" s="9" t="str">
        <f>IF(F283="","",_xlfn.XLOOKUP(F283,purchase!D:D,purchase!B:B,""))</f>
        <v/>
      </c>
      <c r="F283" s="2"/>
      <c r="G283" s="4" t="str">
        <f t="shared" si="29"/>
        <v/>
      </c>
      <c r="H283" s="4" t="str">
        <f>IF(F283="","",_xlfn.XLOOKUP(F283,purchase!D:D,purchase!#REF!,""))</f>
        <v/>
      </c>
      <c r="I283" s="4" t="str">
        <f t="shared" si="30"/>
        <v/>
      </c>
      <c r="J283" s="4" t="str">
        <f t="shared" si="31"/>
        <v/>
      </c>
      <c r="K283" s="13" t="str">
        <f>_xlfn.SINGLE(IF(F283="","",_xlfn.XLOOKUP(F283,purchase!D:D,purchase!#REF!,"")))</f>
        <v/>
      </c>
      <c r="L283" s="2"/>
      <c r="M283" s="32"/>
      <c r="N283" s="13" t="str">
        <f>IF(F283="","",
MAX(0,
_xlfn.XLOOKUP(F283,purchase!D:D,purchase!#REF!,"")
-
SUMIFS(L:L,F:F,F283)))</f>
        <v/>
      </c>
      <c r="O283" s="13" t="str">
        <f t="shared" si="32"/>
        <v/>
      </c>
      <c r="P283" s="35" t="str">
        <f>_xlfn.SINGLE(IF(F283="","",_xlfn.XLOOKUP(F283,purchase!D:D,purchase!K:K,"")))</f>
        <v/>
      </c>
      <c r="Q283" s="29" t="str">
        <f t="shared" si="33"/>
        <v/>
      </c>
      <c r="R283" s="37" t="str">
        <f t="shared" si="34"/>
        <v/>
      </c>
    </row>
    <row r="284" spans="1:18" x14ac:dyDescent="0.35">
      <c r="A284" s="8">
        <v>280</v>
      </c>
      <c r="B284" s="9" t="str">
        <f t="shared" si="28"/>
        <v/>
      </c>
      <c r="C284" s="10"/>
      <c r="D284" s="9" t="str">
        <f>IF(F284="","",_xlfn.XLOOKUP(F284,purchase!D:D,purchase!#REF!,""))</f>
        <v/>
      </c>
      <c r="E284" s="9" t="str">
        <f>IF(F284="","",_xlfn.XLOOKUP(F284,purchase!D:D,purchase!B:B,""))</f>
        <v/>
      </c>
      <c r="F284" s="2"/>
      <c r="G284" s="4" t="str">
        <f t="shared" si="29"/>
        <v/>
      </c>
      <c r="H284" s="4" t="str">
        <f>IF(F284="","",_xlfn.XLOOKUP(F284,purchase!D:D,purchase!#REF!,""))</f>
        <v/>
      </c>
      <c r="I284" s="4" t="str">
        <f t="shared" si="30"/>
        <v/>
      </c>
      <c r="J284" s="4" t="str">
        <f t="shared" si="31"/>
        <v/>
      </c>
      <c r="K284" s="13" t="str">
        <f>_xlfn.SINGLE(IF(F284="","",_xlfn.XLOOKUP(F284,purchase!D:D,purchase!#REF!,"")))</f>
        <v/>
      </c>
      <c r="L284" s="2"/>
      <c r="M284" s="32"/>
      <c r="N284" s="13" t="str">
        <f>IF(F284="","",
MAX(0,
_xlfn.XLOOKUP(F284,purchase!D:D,purchase!#REF!,"")
-
SUMIFS(L:L,F:F,F284)))</f>
        <v/>
      </c>
      <c r="O284" s="13" t="str">
        <f t="shared" si="32"/>
        <v/>
      </c>
      <c r="P284" s="35" t="str">
        <f>_xlfn.SINGLE(IF(F284="","",_xlfn.XLOOKUP(F284,purchase!D:D,purchase!K:K,"")))</f>
        <v/>
      </c>
      <c r="Q284" s="29" t="str">
        <f t="shared" si="33"/>
        <v/>
      </c>
      <c r="R284" s="37" t="str">
        <f t="shared" si="34"/>
        <v/>
      </c>
    </row>
    <row r="285" spans="1:18" x14ac:dyDescent="0.35">
      <c r="A285" s="8">
        <v>281</v>
      </c>
      <c r="B285" s="9" t="str">
        <f t="shared" si="28"/>
        <v/>
      </c>
      <c r="C285" s="10"/>
      <c r="D285" s="9" t="str">
        <f>IF(F285="","",_xlfn.XLOOKUP(F285,purchase!D:D,purchase!#REF!,""))</f>
        <v/>
      </c>
      <c r="E285" s="9" t="str">
        <f>IF(F285="","",_xlfn.XLOOKUP(F285,purchase!D:D,purchase!B:B,""))</f>
        <v/>
      </c>
      <c r="F285" s="2"/>
      <c r="G285" s="4" t="str">
        <f t="shared" si="29"/>
        <v/>
      </c>
      <c r="H285" s="4" t="str">
        <f>IF(F285="","",_xlfn.XLOOKUP(F285,purchase!D:D,purchase!#REF!,""))</f>
        <v/>
      </c>
      <c r="I285" s="4" t="str">
        <f t="shared" si="30"/>
        <v/>
      </c>
      <c r="J285" s="4" t="str">
        <f t="shared" si="31"/>
        <v/>
      </c>
      <c r="K285" s="13" t="str">
        <f>_xlfn.SINGLE(IF(F285="","",_xlfn.XLOOKUP(F285,purchase!D:D,purchase!#REF!,"")))</f>
        <v/>
      </c>
      <c r="L285" s="2"/>
      <c r="M285" s="32"/>
      <c r="N285" s="13" t="str">
        <f>IF(F285="","",
MAX(0,
_xlfn.XLOOKUP(F285,purchase!D:D,purchase!#REF!,"")
-
SUMIFS(L:L,F:F,F285)))</f>
        <v/>
      </c>
      <c r="O285" s="13" t="str">
        <f t="shared" si="32"/>
        <v/>
      </c>
      <c r="P285" s="35" t="str">
        <f>_xlfn.SINGLE(IF(F285="","",_xlfn.XLOOKUP(F285,purchase!D:D,purchase!K:K,"")))</f>
        <v/>
      </c>
      <c r="Q285" s="29" t="str">
        <f t="shared" si="33"/>
        <v/>
      </c>
      <c r="R285" s="37" t="str">
        <f t="shared" si="34"/>
        <v/>
      </c>
    </row>
    <row r="286" spans="1:18" x14ac:dyDescent="0.35">
      <c r="A286" s="8">
        <v>282</v>
      </c>
      <c r="B286" s="9" t="str">
        <f t="shared" si="28"/>
        <v/>
      </c>
      <c r="C286" s="10"/>
      <c r="D286" s="9" t="str">
        <f>IF(F286="","",_xlfn.XLOOKUP(F286,purchase!D:D,purchase!#REF!,""))</f>
        <v/>
      </c>
      <c r="E286" s="9" t="str">
        <f>IF(F286="","",_xlfn.XLOOKUP(F286,purchase!D:D,purchase!B:B,""))</f>
        <v/>
      </c>
      <c r="F286" s="2"/>
      <c r="G286" s="4" t="str">
        <f t="shared" si="29"/>
        <v/>
      </c>
      <c r="H286" s="4" t="str">
        <f>IF(F286="","",_xlfn.XLOOKUP(F286,purchase!D:D,purchase!#REF!,""))</f>
        <v/>
      </c>
      <c r="I286" s="4" t="str">
        <f t="shared" si="30"/>
        <v/>
      </c>
      <c r="J286" s="4" t="str">
        <f t="shared" si="31"/>
        <v/>
      </c>
      <c r="K286" s="13" t="str">
        <f>_xlfn.SINGLE(IF(F286="","",_xlfn.XLOOKUP(F286,purchase!D:D,purchase!#REF!,"")))</f>
        <v/>
      </c>
      <c r="L286" s="2"/>
      <c r="M286" s="32"/>
      <c r="N286" s="13" t="str">
        <f>IF(F286="","",
MAX(0,
_xlfn.XLOOKUP(F286,purchase!D:D,purchase!#REF!,"")
-
SUMIFS(L:L,F:F,F286)))</f>
        <v/>
      </c>
      <c r="O286" s="13" t="str">
        <f t="shared" si="32"/>
        <v/>
      </c>
      <c r="P286" s="35" t="str">
        <f>_xlfn.SINGLE(IF(F286="","",_xlfn.XLOOKUP(F286,purchase!D:D,purchase!K:K,"")))</f>
        <v/>
      </c>
      <c r="Q286" s="29" t="str">
        <f t="shared" si="33"/>
        <v/>
      </c>
      <c r="R286" s="37" t="str">
        <f t="shared" si="34"/>
        <v/>
      </c>
    </row>
    <row r="287" spans="1:18" x14ac:dyDescent="0.35">
      <c r="A287" s="8">
        <v>283</v>
      </c>
      <c r="B287" s="9" t="str">
        <f t="shared" si="28"/>
        <v/>
      </c>
      <c r="C287" s="10"/>
      <c r="D287" s="9" t="str">
        <f>IF(F287="","",_xlfn.XLOOKUP(F287,purchase!D:D,purchase!#REF!,""))</f>
        <v/>
      </c>
      <c r="E287" s="9" t="str">
        <f>IF(F287="","",_xlfn.XLOOKUP(F287,purchase!D:D,purchase!B:B,""))</f>
        <v/>
      </c>
      <c r="F287" s="2"/>
      <c r="G287" s="4" t="str">
        <f t="shared" si="29"/>
        <v/>
      </c>
      <c r="H287" s="4" t="str">
        <f>IF(F287="","",_xlfn.XLOOKUP(F287,purchase!D:D,purchase!#REF!,""))</f>
        <v/>
      </c>
      <c r="I287" s="4" t="str">
        <f t="shared" si="30"/>
        <v/>
      </c>
      <c r="J287" s="4" t="str">
        <f t="shared" si="31"/>
        <v/>
      </c>
      <c r="K287" s="13" t="str">
        <f>_xlfn.SINGLE(IF(F287="","",_xlfn.XLOOKUP(F287,purchase!D:D,purchase!#REF!,"")))</f>
        <v/>
      </c>
      <c r="L287" s="2"/>
      <c r="M287" s="32"/>
      <c r="N287" s="13" t="str">
        <f>IF(F287="","",
MAX(0,
_xlfn.XLOOKUP(F287,purchase!D:D,purchase!#REF!,"")
-
SUMIFS(L:L,F:F,F287)))</f>
        <v/>
      </c>
      <c r="O287" s="13" t="str">
        <f t="shared" si="32"/>
        <v/>
      </c>
      <c r="P287" s="35" t="str">
        <f>_xlfn.SINGLE(IF(F287="","",_xlfn.XLOOKUP(F287,purchase!D:D,purchase!K:K,"")))</f>
        <v/>
      </c>
      <c r="Q287" s="29" t="str">
        <f t="shared" si="33"/>
        <v/>
      </c>
      <c r="R287" s="37" t="str">
        <f t="shared" si="34"/>
        <v/>
      </c>
    </row>
    <row r="288" spans="1:18" x14ac:dyDescent="0.35">
      <c r="A288" s="8">
        <v>284</v>
      </c>
      <c r="B288" s="9" t="str">
        <f t="shared" si="28"/>
        <v/>
      </c>
      <c r="C288" s="10"/>
      <c r="D288" s="9" t="str">
        <f>IF(F288="","",_xlfn.XLOOKUP(F288,purchase!D:D,purchase!#REF!,""))</f>
        <v/>
      </c>
      <c r="E288" s="9" t="str">
        <f>IF(F288="","",_xlfn.XLOOKUP(F288,purchase!D:D,purchase!B:B,""))</f>
        <v/>
      </c>
      <c r="F288" s="2"/>
      <c r="G288" s="4" t="str">
        <f t="shared" si="29"/>
        <v/>
      </c>
      <c r="H288" s="4" t="str">
        <f>IF(F288="","",_xlfn.XLOOKUP(F288,purchase!D:D,purchase!#REF!,""))</f>
        <v/>
      </c>
      <c r="I288" s="4" t="str">
        <f t="shared" si="30"/>
        <v/>
      </c>
      <c r="J288" s="4" t="str">
        <f t="shared" si="31"/>
        <v/>
      </c>
      <c r="K288" s="13" t="str">
        <f>_xlfn.SINGLE(IF(F288="","",_xlfn.XLOOKUP(F288,purchase!D:D,purchase!#REF!,"")))</f>
        <v/>
      </c>
      <c r="L288" s="2"/>
      <c r="M288" s="32"/>
      <c r="N288" s="13" t="str">
        <f>IF(F288="","",
MAX(0,
_xlfn.XLOOKUP(F288,purchase!D:D,purchase!#REF!,"")
-
SUMIFS(L:L,F:F,F288)))</f>
        <v/>
      </c>
      <c r="O288" s="13" t="str">
        <f t="shared" si="32"/>
        <v/>
      </c>
      <c r="P288" s="35" t="str">
        <f>_xlfn.SINGLE(IF(F288="","",_xlfn.XLOOKUP(F288,purchase!D:D,purchase!K:K,"")))</f>
        <v/>
      </c>
      <c r="Q288" s="29" t="str">
        <f t="shared" si="33"/>
        <v/>
      </c>
      <c r="R288" s="37" t="str">
        <f t="shared" si="34"/>
        <v/>
      </c>
    </row>
    <row r="289" spans="1:18" x14ac:dyDescent="0.35">
      <c r="A289" s="8">
        <v>285</v>
      </c>
      <c r="B289" s="9" t="str">
        <f t="shared" si="28"/>
        <v/>
      </c>
      <c r="C289" s="10"/>
      <c r="D289" s="9" t="str">
        <f>IF(F289="","",_xlfn.XLOOKUP(F289,purchase!D:D,purchase!#REF!,""))</f>
        <v/>
      </c>
      <c r="E289" s="9" t="str">
        <f>IF(F289="","",_xlfn.XLOOKUP(F289,purchase!D:D,purchase!B:B,""))</f>
        <v/>
      </c>
      <c r="F289" s="2"/>
      <c r="G289" s="4" t="str">
        <f t="shared" si="29"/>
        <v/>
      </c>
      <c r="H289" s="4" t="str">
        <f>IF(F289="","",_xlfn.XLOOKUP(F289,purchase!D:D,purchase!#REF!,""))</f>
        <v/>
      </c>
      <c r="I289" s="4" t="str">
        <f t="shared" si="30"/>
        <v/>
      </c>
      <c r="J289" s="4" t="str">
        <f t="shared" si="31"/>
        <v/>
      </c>
      <c r="K289" s="13" t="str">
        <f>_xlfn.SINGLE(IF(F289="","",_xlfn.XLOOKUP(F289,purchase!D:D,purchase!#REF!,"")))</f>
        <v/>
      </c>
      <c r="L289" s="2"/>
      <c r="M289" s="32"/>
      <c r="N289" s="13" t="str">
        <f>IF(F289="","",
MAX(0,
_xlfn.XLOOKUP(F289,purchase!D:D,purchase!#REF!,"")
-
SUMIFS(L:L,F:F,F289)))</f>
        <v/>
      </c>
      <c r="O289" s="13" t="str">
        <f t="shared" si="32"/>
        <v/>
      </c>
      <c r="P289" s="35" t="str">
        <f>_xlfn.SINGLE(IF(F289="","",_xlfn.XLOOKUP(F289,purchase!D:D,purchase!K:K,"")))</f>
        <v/>
      </c>
      <c r="Q289" s="29" t="str">
        <f t="shared" si="33"/>
        <v/>
      </c>
      <c r="R289" s="37" t="str">
        <f t="shared" si="34"/>
        <v/>
      </c>
    </row>
    <row r="290" spans="1:18" x14ac:dyDescent="0.35">
      <c r="A290" s="8">
        <v>286</v>
      </c>
      <c r="B290" s="9" t="str">
        <f t="shared" si="28"/>
        <v/>
      </c>
      <c r="C290" s="10"/>
      <c r="D290" s="9" t="str">
        <f>IF(F290="","",_xlfn.XLOOKUP(F290,purchase!D:D,purchase!#REF!,""))</f>
        <v/>
      </c>
      <c r="E290" s="9" t="str">
        <f>IF(F290="","",_xlfn.XLOOKUP(F290,purchase!D:D,purchase!B:B,""))</f>
        <v/>
      </c>
      <c r="F290" s="2"/>
      <c r="G290" s="4" t="str">
        <f t="shared" si="29"/>
        <v/>
      </c>
      <c r="H290" s="4" t="str">
        <f>IF(F290="","",_xlfn.XLOOKUP(F290,purchase!D:D,purchase!#REF!,""))</f>
        <v/>
      </c>
      <c r="I290" s="4" t="str">
        <f t="shared" si="30"/>
        <v/>
      </c>
      <c r="J290" s="4" t="str">
        <f t="shared" si="31"/>
        <v/>
      </c>
      <c r="K290" s="13" t="str">
        <f>_xlfn.SINGLE(IF(F290="","",_xlfn.XLOOKUP(F290,purchase!D:D,purchase!#REF!,"")))</f>
        <v/>
      </c>
      <c r="L290" s="2"/>
      <c r="M290" s="32"/>
      <c r="N290" s="13" t="str">
        <f>IF(F290="","",
MAX(0,
_xlfn.XLOOKUP(F290,purchase!D:D,purchase!#REF!,"")
-
SUMIFS(L:L,F:F,F290)))</f>
        <v/>
      </c>
      <c r="O290" s="13" t="str">
        <f t="shared" si="32"/>
        <v/>
      </c>
      <c r="P290" s="35" t="str">
        <f>_xlfn.SINGLE(IF(F290="","",_xlfn.XLOOKUP(F290,purchase!D:D,purchase!K:K,"")))</f>
        <v/>
      </c>
      <c r="Q290" s="29" t="str">
        <f t="shared" si="33"/>
        <v/>
      </c>
      <c r="R290" s="37" t="str">
        <f t="shared" si="34"/>
        <v/>
      </c>
    </row>
    <row r="291" spans="1:18" x14ac:dyDescent="0.35">
      <c r="A291" s="8">
        <v>287</v>
      </c>
      <c r="B291" s="9" t="str">
        <f t="shared" si="28"/>
        <v/>
      </c>
      <c r="C291" s="10"/>
      <c r="D291" s="9" t="str">
        <f>IF(F291="","",_xlfn.XLOOKUP(F291,purchase!D:D,purchase!#REF!,""))</f>
        <v/>
      </c>
      <c r="E291" s="9" t="str">
        <f>IF(F291="","",_xlfn.XLOOKUP(F291,purchase!D:D,purchase!B:B,""))</f>
        <v/>
      </c>
      <c r="F291" s="2"/>
      <c r="G291" s="4" t="str">
        <f t="shared" si="29"/>
        <v/>
      </c>
      <c r="H291" s="4" t="str">
        <f>IF(F291="","",_xlfn.XLOOKUP(F291,purchase!D:D,purchase!#REF!,""))</f>
        <v/>
      </c>
      <c r="I291" s="4" t="str">
        <f t="shared" si="30"/>
        <v/>
      </c>
      <c r="J291" s="4" t="str">
        <f t="shared" si="31"/>
        <v/>
      </c>
      <c r="K291" s="13" t="str">
        <f>_xlfn.SINGLE(IF(F291="","",_xlfn.XLOOKUP(F291,purchase!D:D,purchase!#REF!,"")))</f>
        <v/>
      </c>
      <c r="L291" s="2"/>
      <c r="M291" s="32"/>
      <c r="N291" s="13" t="str">
        <f>IF(F291="","",
MAX(0,
_xlfn.XLOOKUP(F291,purchase!D:D,purchase!#REF!,"")
-
SUMIFS(L:L,F:F,F291)))</f>
        <v/>
      </c>
      <c r="O291" s="13" t="str">
        <f t="shared" si="32"/>
        <v/>
      </c>
      <c r="P291" s="35" t="str">
        <f>_xlfn.SINGLE(IF(F291="","",_xlfn.XLOOKUP(F291,purchase!D:D,purchase!K:K,"")))</f>
        <v/>
      </c>
      <c r="Q291" s="29" t="str">
        <f t="shared" si="33"/>
        <v/>
      </c>
      <c r="R291" s="37" t="str">
        <f t="shared" si="34"/>
        <v/>
      </c>
    </row>
    <row r="292" spans="1:18" x14ac:dyDescent="0.35">
      <c r="A292" s="8">
        <v>288</v>
      </c>
      <c r="B292" s="9" t="str">
        <f t="shared" si="28"/>
        <v/>
      </c>
      <c r="C292" s="10"/>
      <c r="D292" s="9" t="str">
        <f>IF(F292="","",_xlfn.XLOOKUP(F292,purchase!D:D,purchase!#REF!,""))</f>
        <v/>
      </c>
      <c r="E292" s="9" t="str">
        <f>IF(F292="","",_xlfn.XLOOKUP(F292,purchase!D:D,purchase!B:B,""))</f>
        <v/>
      </c>
      <c r="F292" s="2"/>
      <c r="G292" s="4" t="str">
        <f t="shared" si="29"/>
        <v/>
      </c>
      <c r="H292" s="4" t="str">
        <f>IF(F292="","",_xlfn.XLOOKUP(F292,purchase!D:D,purchase!#REF!,""))</f>
        <v/>
      </c>
      <c r="I292" s="4" t="str">
        <f t="shared" si="30"/>
        <v/>
      </c>
      <c r="J292" s="4" t="str">
        <f t="shared" si="31"/>
        <v/>
      </c>
      <c r="K292" s="13" t="str">
        <f>_xlfn.SINGLE(IF(F292="","",_xlfn.XLOOKUP(F292,purchase!D:D,purchase!#REF!,"")))</f>
        <v/>
      </c>
      <c r="L292" s="2"/>
      <c r="M292" s="32"/>
      <c r="N292" s="13" t="str">
        <f>IF(F292="","",
MAX(0,
_xlfn.XLOOKUP(F292,purchase!D:D,purchase!#REF!,"")
-
SUMIFS(L:L,F:F,F292)))</f>
        <v/>
      </c>
      <c r="O292" s="13" t="str">
        <f t="shared" si="32"/>
        <v/>
      </c>
      <c r="P292" s="35" t="str">
        <f>_xlfn.SINGLE(IF(F292="","",_xlfn.XLOOKUP(F292,purchase!D:D,purchase!K:K,"")))</f>
        <v/>
      </c>
      <c r="Q292" s="29" t="str">
        <f t="shared" si="33"/>
        <v/>
      </c>
      <c r="R292" s="37" t="str">
        <f t="shared" si="34"/>
        <v/>
      </c>
    </row>
    <row r="293" spans="1:18" x14ac:dyDescent="0.35">
      <c r="A293" s="8">
        <v>289</v>
      </c>
      <c r="B293" s="9" t="str">
        <f t="shared" si="28"/>
        <v/>
      </c>
      <c r="C293" s="10"/>
      <c r="D293" s="9" t="str">
        <f>IF(F293="","",_xlfn.XLOOKUP(F293,purchase!D:D,purchase!#REF!,""))</f>
        <v/>
      </c>
      <c r="E293" s="9" t="str">
        <f>IF(F293="","",_xlfn.XLOOKUP(F293,purchase!D:D,purchase!B:B,""))</f>
        <v/>
      </c>
      <c r="F293" s="2"/>
      <c r="G293" s="4" t="str">
        <f t="shared" si="29"/>
        <v/>
      </c>
      <c r="H293" s="4" t="str">
        <f>IF(F293="","",_xlfn.XLOOKUP(F293,purchase!D:D,purchase!#REF!,""))</f>
        <v/>
      </c>
      <c r="I293" s="4" t="str">
        <f t="shared" si="30"/>
        <v/>
      </c>
      <c r="J293" s="4" t="str">
        <f t="shared" si="31"/>
        <v/>
      </c>
      <c r="K293" s="13" t="str">
        <f>_xlfn.SINGLE(IF(F293="","",_xlfn.XLOOKUP(F293,purchase!D:D,purchase!#REF!,"")))</f>
        <v/>
      </c>
      <c r="L293" s="2"/>
      <c r="M293" s="32"/>
      <c r="N293" s="13" t="str">
        <f>IF(F293="","",
MAX(0,
_xlfn.XLOOKUP(F293,purchase!D:D,purchase!#REF!,"")
-
SUMIFS(L:L,F:F,F293)))</f>
        <v/>
      </c>
      <c r="O293" s="13" t="str">
        <f t="shared" si="32"/>
        <v/>
      </c>
      <c r="P293" s="35" t="str">
        <f>_xlfn.SINGLE(IF(F293="","",_xlfn.XLOOKUP(F293,purchase!D:D,purchase!K:K,"")))</f>
        <v/>
      </c>
      <c r="Q293" s="29" t="str">
        <f t="shared" si="33"/>
        <v/>
      </c>
      <c r="R293" s="37" t="str">
        <f t="shared" si="34"/>
        <v/>
      </c>
    </row>
    <row r="294" spans="1:18" x14ac:dyDescent="0.35">
      <c r="A294" s="8">
        <v>290</v>
      </c>
      <c r="B294" s="9" t="str">
        <f t="shared" si="28"/>
        <v/>
      </c>
      <c r="C294" s="10"/>
      <c r="D294" s="9" t="str">
        <f>IF(F294="","",_xlfn.XLOOKUP(F294,purchase!D:D,purchase!#REF!,""))</f>
        <v/>
      </c>
      <c r="E294" s="9" t="str">
        <f>IF(F294="","",_xlfn.XLOOKUP(F294,purchase!D:D,purchase!B:B,""))</f>
        <v/>
      </c>
      <c r="F294" s="2"/>
      <c r="G294" s="4" t="str">
        <f t="shared" si="29"/>
        <v/>
      </c>
      <c r="H294" s="4" t="str">
        <f>IF(F294="","",_xlfn.XLOOKUP(F294,purchase!D:D,purchase!#REF!,""))</f>
        <v/>
      </c>
      <c r="I294" s="4" t="str">
        <f t="shared" si="30"/>
        <v/>
      </c>
      <c r="J294" s="4" t="str">
        <f t="shared" si="31"/>
        <v/>
      </c>
      <c r="K294" s="13" t="str">
        <f>_xlfn.SINGLE(IF(F294="","",_xlfn.XLOOKUP(F294,purchase!D:D,purchase!#REF!,"")))</f>
        <v/>
      </c>
      <c r="L294" s="2"/>
      <c r="M294" s="32"/>
      <c r="N294" s="13" t="str">
        <f>IF(F294="","",
MAX(0,
_xlfn.XLOOKUP(F294,purchase!D:D,purchase!#REF!,"")
-
SUMIFS(L:L,F:F,F294)))</f>
        <v/>
      </c>
      <c r="O294" s="13" t="str">
        <f t="shared" si="32"/>
        <v/>
      </c>
      <c r="P294" s="35" t="str">
        <f>_xlfn.SINGLE(IF(F294="","",_xlfn.XLOOKUP(F294,purchase!D:D,purchase!K:K,"")))</f>
        <v/>
      </c>
      <c r="Q294" s="29" t="str">
        <f t="shared" si="33"/>
        <v/>
      </c>
      <c r="R294" s="37" t="str">
        <f t="shared" si="34"/>
        <v/>
      </c>
    </row>
    <row r="295" spans="1:18" x14ac:dyDescent="0.35">
      <c r="A295" s="8">
        <v>291</v>
      </c>
      <c r="B295" s="9" t="str">
        <f t="shared" si="28"/>
        <v/>
      </c>
      <c r="C295" s="10"/>
      <c r="D295" s="9" t="str">
        <f>IF(F295="","",_xlfn.XLOOKUP(F295,purchase!D:D,purchase!#REF!,""))</f>
        <v/>
      </c>
      <c r="E295" s="9" t="str">
        <f>IF(F295="","",_xlfn.XLOOKUP(F295,purchase!D:D,purchase!B:B,""))</f>
        <v/>
      </c>
      <c r="F295" s="2"/>
      <c r="G295" s="4" t="str">
        <f t="shared" si="29"/>
        <v/>
      </c>
      <c r="H295" s="4" t="str">
        <f>IF(F295="","",_xlfn.XLOOKUP(F295,purchase!D:D,purchase!#REF!,""))</f>
        <v/>
      </c>
      <c r="I295" s="4" t="str">
        <f t="shared" si="30"/>
        <v/>
      </c>
      <c r="J295" s="4" t="str">
        <f t="shared" si="31"/>
        <v/>
      </c>
      <c r="K295" s="13" t="str">
        <f>_xlfn.SINGLE(IF(F295="","",_xlfn.XLOOKUP(F295,purchase!D:D,purchase!#REF!,"")))</f>
        <v/>
      </c>
      <c r="L295" s="2"/>
      <c r="M295" s="32"/>
      <c r="N295" s="13" t="str">
        <f>IF(F295="","",
MAX(0,
_xlfn.XLOOKUP(F295,purchase!D:D,purchase!#REF!,"")
-
SUMIFS(L:L,F:F,F295)))</f>
        <v/>
      </c>
      <c r="O295" s="13" t="str">
        <f t="shared" si="32"/>
        <v/>
      </c>
      <c r="P295" s="35" t="str">
        <f>_xlfn.SINGLE(IF(F295="","",_xlfn.XLOOKUP(F295,purchase!D:D,purchase!K:K,"")))</f>
        <v/>
      </c>
      <c r="Q295" s="29" t="str">
        <f t="shared" si="33"/>
        <v/>
      </c>
      <c r="R295" s="37" t="str">
        <f t="shared" si="34"/>
        <v/>
      </c>
    </row>
    <row r="296" spans="1:18" x14ac:dyDescent="0.35">
      <c r="A296" s="8">
        <v>292</v>
      </c>
      <c r="B296" s="9" t="str">
        <f t="shared" si="28"/>
        <v/>
      </c>
      <c r="C296" s="10"/>
      <c r="D296" s="9" t="str">
        <f>IF(F296="","",_xlfn.XLOOKUP(F296,purchase!D:D,purchase!#REF!,""))</f>
        <v/>
      </c>
      <c r="E296" s="9" t="str">
        <f>IF(F296="","",_xlfn.XLOOKUP(F296,purchase!D:D,purchase!B:B,""))</f>
        <v/>
      </c>
      <c r="F296" s="2"/>
      <c r="G296" s="4" t="str">
        <f t="shared" si="29"/>
        <v/>
      </c>
      <c r="H296" s="4" t="str">
        <f>IF(F296="","",_xlfn.XLOOKUP(F296,purchase!D:D,purchase!#REF!,""))</f>
        <v/>
      </c>
      <c r="I296" s="4" t="str">
        <f t="shared" si="30"/>
        <v/>
      </c>
      <c r="J296" s="4" t="str">
        <f t="shared" si="31"/>
        <v/>
      </c>
      <c r="K296" s="13" t="str">
        <f>_xlfn.SINGLE(IF(F296="","",_xlfn.XLOOKUP(F296,purchase!D:D,purchase!#REF!,"")))</f>
        <v/>
      </c>
      <c r="L296" s="2"/>
      <c r="M296" s="32"/>
      <c r="N296" s="13" t="str">
        <f>IF(F296="","",
MAX(0,
_xlfn.XLOOKUP(F296,purchase!D:D,purchase!#REF!,"")
-
SUMIFS(L:L,F:F,F296)))</f>
        <v/>
      </c>
      <c r="O296" s="13" t="str">
        <f t="shared" si="32"/>
        <v/>
      </c>
      <c r="P296" s="35" t="str">
        <f>_xlfn.SINGLE(IF(F296="","",_xlfn.XLOOKUP(F296,purchase!D:D,purchase!K:K,"")))</f>
        <v/>
      </c>
      <c r="Q296" s="29" t="str">
        <f t="shared" si="33"/>
        <v/>
      </c>
      <c r="R296" s="37" t="str">
        <f t="shared" si="34"/>
        <v/>
      </c>
    </row>
    <row r="297" spans="1:18" x14ac:dyDescent="0.35">
      <c r="A297" s="8">
        <v>293</v>
      </c>
      <c r="B297" s="9" t="str">
        <f t="shared" si="28"/>
        <v/>
      </c>
      <c r="C297" s="10"/>
      <c r="D297" s="9" t="str">
        <f>IF(F297="","",_xlfn.XLOOKUP(F297,purchase!D:D,purchase!#REF!,""))</f>
        <v/>
      </c>
      <c r="E297" s="9" t="str">
        <f>IF(F297="","",_xlfn.XLOOKUP(F297,purchase!D:D,purchase!B:B,""))</f>
        <v/>
      </c>
      <c r="F297" s="2"/>
      <c r="G297" s="4" t="str">
        <f t="shared" si="29"/>
        <v/>
      </c>
      <c r="H297" s="4" t="str">
        <f>IF(F297="","",_xlfn.XLOOKUP(F297,purchase!D:D,purchase!#REF!,""))</f>
        <v/>
      </c>
      <c r="I297" s="4" t="str">
        <f t="shared" si="30"/>
        <v/>
      </c>
      <c r="J297" s="4" t="str">
        <f t="shared" si="31"/>
        <v/>
      </c>
      <c r="K297" s="13" t="str">
        <f>_xlfn.SINGLE(IF(F297="","",_xlfn.XLOOKUP(F297,purchase!D:D,purchase!#REF!,"")))</f>
        <v/>
      </c>
      <c r="L297" s="2"/>
      <c r="M297" s="32"/>
      <c r="N297" s="13" t="str">
        <f>IF(F297="","",
MAX(0,
_xlfn.XLOOKUP(F297,purchase!D:D,purchase!#REF!,"")
-
SUMIFS(L:L,F:F,F297)))</f>
        <v/>
      </c>
      <c r="O297" s="13" t="str">
        <f t="shared" si="32"/>
        <v/>
      </c>
      <c r="P297" s="35" t="str">
        <f>_xlfn.SINGLE(IF(F297="","",_xlfn.XLOOKUP(F297,purchase!D:D,purchase!K:K,"")))</f>
        <v/>
      </c>
      <c r="Q297" s="29" t="str">
        <f t="shared" si="33"/>
        <v/>
      </c>
      <c r="R297" s="37" t="str">
        <f t="shared" si="34"/>
        <v/>
      </c>
    </row>
    <row r="298" spans="1:18" x14ac:dyDescent="0.35">
      <c r="A298" s="8">
        <v>294</v>
      </c>
      <c r="B298" s="9" t="str">
        <f t="shared" si="28"/>
        <v/>
      </c>
      <c r="C298" s="10"/>
      <c r="D298" s="9" t="str">
        <f>IF(F298="","",_xlfn.XLOOKUP(F298,purchase!D:D,purchase!#REF!,""))</f>
        <v/>
      </c>
      <c r="E298" s="9" t="str">
        <f>IF(F298="","",_xlfn.XLOOKUP(F298,purchase!D:D,purchase!B:B,""))</f>
        <v/>
      </c>
      <c r="F298" s="2"/>
      <c r="G298" s="4" t="str">
        <f t="shared" si="29"/>
        <v/>
      </c>
      <c r="H298" s="4" t="str">
        <f>IF(F298="","",_xlfn.XLOOKUP(F298,purchase!D:D,purchase!#REF!,""))</f>
        <v/>
      </c>
      <c r="I298" s="4" t="str">
        <f t="shared" si="30"/>
        <v/>
      </c>
      <c r="J298" s="4" t="str">
        <f t="shared" si="31"/>
        <v/>
      </c>
      <c r="K298" s="13" t="str">
        <f>_xlfn.SINGLE(IF(F298="","",_xlfn.XLOOKUP(F298,purchase!D:D,purchase!#REF!,"")))</f>
        <v/>
      </c>
      <c r="L298" s="2"/>
      <c r="M298" s="32"/>
      <c r="N298" s="13" t="str">
        <f>IF(F298="","",
MAX(0,
_xlfn.XLOOKUP(F298,purchase!D:D,purchase!#REF!,"")
-
SUMIFS(L:L,F:F,F298)))</f>
        <v/>
      </c>
      <c r="O298" s="13" t="str">
        <f t="shared" si="32"/>
        <v/>
      </c>
      <c r="P298" s="35" t="str">
        <f>_xlfn.SINGLE(IF(F298="","",_xlfn.XLOOKUP(F298,purchase!D:D,purchase!K:K,"")))</f>
        <v/>
      </c>
      <c r="Q298" s="29" t="str">
        <f t="shared" si="33"/>
        <v/>
      </c>
      <c r="R298" s="37" t="str">
        <f t="shared" si="34"/>
        <v/>
      </c>
    </row>
    <row r="299" spans="1:18" x14ac:dyDescent="0.35">
      <c r="A299" s="8">
        <v>295</v>
      </c>
      <c r="B299" s="9" t="str">
        <f t="shared" si="28"/>
        <v/>
      </c>
      <c r="C299" s="10"/>
      <c r="D299" s="9" t="str">
        <f>IF(F299="","",_xlfn.XLOOKUP(F299,purchase!D:D,purchase!#REF!,""))</f>
        <v/>
      </c>
      <c r="E299" s="9" t="str">
        <f>IF(F299="","",_xlfn.XLOOKUP(F299,purchase!D:D,purchase!B:B,""))</f>
        <v/>
      </c>
      <c r="F299" s="2"/>
      <c r="G299" s="4" t="str">
        <f t="shared" si="29"/>
        <v/>
      </c>
      <c r="H299" s="4" t="str">
        <f>IF(F299="","",_xlfn.XLOOKUP(F299,purchase!D:D,purchase!#REF!,""))</f>
        <v/>
      </c>
      <c r="I299" s="4" t="str">
        <f t="shared" si="30"/>
        <v/>
      </c>
      <c r="J299" s="4" t="str">
        <f t="shared" si="31"/>
        <v/>
      </c>
      <c r="K299" s="13" t="str">
        <f>_xlfn.SINGLE(IF(F299="","",_xlfn.XLOOKUP(F299,purchase!D:D,purchase!#REF!,"")))</f>
        <v/>
      </c>
      <c r="L299" s="2"/>
      <c r="M299" s="32"/>
      <c r="N299" s="13" t="str">
        <f>IF(F299="","",
MAX(0,
_xlfn.XLOOKUP(F299,purchase!D:D,purchase!#REF!,"")
-
SUMIFS(L:L,F:F,F299)))</f>
        <v/>
      </c>
      <c r="O299" s="13" t="str">
        <f t="shared" si="32"/>
        <v/>
      </c>
      <c r="P299" s="35" t="str">
        <f>_xlfn.SINGLE(IF(F299="","",_xlfn.XLOOKUP(F299,purchase!D:D,purchase!K:K,"")))</f>
        <v/>
      </c>
      <c r="Q299" s="29" t="str">
        <f t="shared" si="33"/>
        <v/>
      </c>
      <c r="R299" s="37" t="str">
        <f t="shared" si="34"/>
        <v/>
      </c>
    </row>
    <row r="300" spans="1:18" x14ac:dyDescent="0.35">
      <c r="A300" s="8">
        <v>296</v>
      </c>
      <c r="B300" s="9" t="str">
        <f t="shared" si="28"/>
        <v/>
      </c>
      <c r="C300" s="10"/>
      <c r="D300" s="9" t="str">
        <f>IF(F300="","",_xlfn.XLOOKUP(F300,purchase!D:D,purchase!#REF!,""))</f>
        <v/>
      </c>
      <c r="E300" s="9" t="str">
        <f>IF(F300="","",_xlfn.XLOOKUP(F300,purchase!D:D,purchase!B:B,""))</f>
        <v/>
      </c>
      <c r="F300" s="2"/>
      <c r="G300" s="4" t="str">
        <f t="shared" si="29"/>
        <v/>
      </c>
      <c r="H300" s="4" t="str">
        <f>IF(F300="","",_xlfn.XLOOKUP(F300,purchase!D:D,purchase!#REF!,""))</f>
        <v/>
      </c>
      <c r="I300" s="4" t="str">
        <f t="shared" si="30"/>
        <v/>
      </c>
      <c r="J300" s="4" t="str">
        <f t="shared" si="31"/>
        <v/>
      </c>
      <c r="K300" s="13" t="str">
        <f>_xlfn.SINGLE(IF(F300="","",_xlfn.XLOOKUP(F300,purchase!D:D,purchase!#REF!,"")))</f>
        <v/>
      </c>
      <c r="L300" s="2"/>
      <c r="M300" s="32"/>
      <c r="N300" s="13" t="str">
        <f>IF(F300="","",
MAX(0,
_xlfn.XLOOKUP(F300,purchase!D:D,purchase!#REF!,"")
-
SUMIFS(L:L,F:F,F300)))</f>
        <v/>
      </c>
      <c r="O300" s="13" t="str">
        <f t="shared" si="32"/>
        <v/>
      </c>
      <c r="P300" s="35" t="str">
        <f>_xlfn.SINGLE(IF(F300="","",_xlfn.XLOOKUP(F300,purchase!D:D,purchase!K:K,"")))</f>
        <v/>
      </c>
      <c r="Q300" s="29" t="str">
        <f t="shared" si="33"/>
        <v/>
      </c>
      <c r="R300" s="37" t="str">
        <f t="shared" si="34"/>
        <v/>
      </c>
    </row>
    <row r="301" spans="1:18" x14ac:dyDescent="0.35">
      <c r="A301" s="8">
        <v>297</v>
      </c>
      <c r="B301" s="9" t="str">
        <f t="shared" si="28"/>
        <v/>
      </c>
      <c r="C301" s="10"/>
      <c r="D301" s="9" t="str">
        <f>IF(F301="","",_xlfn.XLOOKUP(F301,purchase!D:D,purchase!#REF!,""))</f>
        <v/>
      </c>
      <c r="E301" s="9" t="str">
        <f>IF(F301="","",_xlfn.XLOOKUP(F301,purchase!D:D,purchase!B:B,""))</f>
        <v/>
      </c>
      <c r="F301" s="2"/>
      <c r="G301" s="4" t="str">
        <f t="shared" si="29"/>
        <v/>
      </c>
      <c r="H301" s="4" t="str">
        <f>IF(F301="","",_xlfn.XLOOKUP(F301,purchase!D:D,purchase!#REF!,""))</f>
        <v/>
      </c>
      <c r="I301" s="4" t="str">
        <f t="shared" si="30"/>
        <v/>
      </c>
      <c r="J301" s="4" t="str">
        <f t="shared" si="31"/>
        <v/>
      </c>
      <c r="K301" s="13" t="str">
        <f>_xlfn.SINGLE(IF(F301="","",_xlfn.XLOOKUP(F301,purchase!D:D,purchase!#REF!,"")))</f>
        <v/>
      </c>
      <c r="L301" s="2"/>
      <c r="M301" s="32"/>
      <c r="N301" s="13" t="str">
        <f>IF(F301="","",
MAX(0,
_xlfn.XLOOKUP(F301,purchase!D:D,purchase!#REF!,"")
-
SUMIFS(L:L,F:F,F301)))</f>
        <v/>
      </c>
      <c r="O301" s="13" t="str">
        <f t="shared" si="32"/>
        <v/>
      </c>
      <c r="P301" s="35" t="str">
        <f>_xlfn.SINGLE(IF(F301="","",_xlfn.XLOOKUP(F301,purchase!D:D,purchase!K:K,"")))</f>
        <v/>
      </c>
      <c r="Q301" s="29" t="str">
        <f t="shared" si="33"/>
        <v/>
      </c>
      <c r="R301" s="37" t="str">
        <f t="shared" si="34"/>
        <v/>
      </c>
    </row>
    <row r="302" spans="1:18" x14ac:dyDescent="0.35">
      <c r="A302" s="8">
        <v>298</v>
      </c>
      <c r="B302" s="9" t="str">
        <f t="shared" si="28"/>
        <v/>
      </c>
      <c r="C302" s="10"/>
      <c r="D302" s="9" t="str">
        <f>IF(F302="","",_xlfn.XLOOKUP(F302,purchase!D:D,purchase!#REF!,""))</f>
        <v/>
      </c>
      <c r="E302" s="9" t="str">
        <f>IF(F302="","",_xlfn.XLOOKUP(F302,purchase!D:D,purchase!B:B,""))</f>
        <v/>
      </c>
      <c r="F302" s="2"/>
      <c r="G302" s="4" t="str">
        <f t="shared" si="29"/>
        <v/>
      </c>
      <c r="H302" s="4" t="str">
        <f>IF(F302="","",_xlfn.XLOOKUP(F302,purchase!D:D,purchase!#REF!,""))</f>
        <v/>
      </c>
      <c r="I302" s="4" t="str">
        <f t="shared" si="30"/>
        <v/>
      </c>
      <c r="J302" s="4" t="str">
        <f t="shared" si="31"/>
        <v/>
      </c>
      <c r="K302" s="13" t="str">
        <f>_xlfn.SINGLE(IF(F302="","",_xlfn.XLOOKUP(F302,purchase!D:D,purchase!#REF!,"")))</f>
        <v/>
      </c>
      <c r="L302" s="2"/>
      <c r="M302" s="32"/>
      <c r="N302" s="13" t="str">
        <f>IF(F302="","",
MAX(0,
_xlfn.XLOOKUP(F302,purchase!D:D,purchase!#REF!,"")
-
SUMIFS(L:L,F:F,F302)))</f>
        <v/>
      </c>
      <c r="O302" s="13" t="str">
        <f t="shared" si="32"/>
        <v/>
      </c>
      <c r="P302" s="35" t="str">
        <f>_xlfn.SINGLE(IF(F302="","",_xlfn.XLOOKUP(F302,purchase!D:D,purchase!K:K,"")))</f>
        <v/>
      </c>
      <c r="Q302" s="29" t="str">
        <f t="shared" si="33"/>
        <v/>
      </c>
      <c r="R302" s="37" t="str">
        <f t="shared" si="34"/>
        <v/>
      </c>
    </row>
    <row r="303" spans="1:18" x14ac:dyDescent="0.35">
      <c r="A303" s="8">
        <v>299</v>
      </c>
      <c r="B303" s="9" t="str">
        <f t="shared" si="28"/>
        <v/>
      </c>
      <c r="C303" s="10"/>
      <c r="D303" s="9" t="str">
        <f>IF(F303="","",_xlfn.XLOOKUP(F303,purchase!D:D,purchase!#REF!,""))</f>
        <v/>
      </c>
      <c r="E303" s="9" t="str">
        <f>IF(F303="","",_xlfn.XLOOKUP(F303,purchase!D:D,purchase!B:B,""))</f>
        <v/>
      </c>
      <c r="F303" s="2"/>
      <c r="G303" s="4" t="str">
        <f t="shared" si="29"/>
        <v/>
      </c>
      <c r="H303" s="4" t="str">
        <f>IF(F303="","",_xlfn.XLOOKUP(F303,purchase!D:D,purchase!#REF!,""))</f>
        <v/>
      </c>
      <c r="I303" s="4" t="str">
        <f t="shared" si="30"/>
        <v/>
      </c>
      <c r="J303" s="4" t="str">
        <f t="shared" si="31"/>
        <v/>
      </c>
      <c r="K303" s="13" t="str">
        <f>_xlfn.SINGLE(IF(F303="","",_xlfn.XLOOKUP(F303,purchase!D:D,purchase!#REF!,"")))</f>
        <v/>
      </c>
      <c r="L303" s="2"/>
      <c r="M303" s="32"/>
      <c r="N303" s="13" t="str">
        <f>IF(F303="","",
MAX(0,
_xlfn.XLOOKUP(F303,purchase!D:D,purchase!#REF!,"")
-
SUMIFS(L:L,F:F,F303)))</f>
        <v/>
      </c>
      <c r="O303" s="13" t="str">
        <f t="shared" si="32"/>
        <v/>
      </c>
      <c r="P303" s="35" t="str">
        <f>_xlfn.SINGLE(IF(F303="","",_xlfn.XLOOKUP(F303,purchase!D:D,purchase!K:K,"")))</f>
        <v/>
      </c>
      <c r="Q303" s="29" t="str">
        <f t="shared" si="33"/>
        <v/>
      </c>
      <c r="R303" s="37" t="str">
        <f t="shared" si="34"/>
        <v/>
      </c>
    </row>
    <row r="304" spans="1:18" x14ac:dyDescent="0.35">
      <c r="A304" s="8">
        <v>300</v>
      </c>
      <c r="B304" s="9" t="str">
        <f t="shared" si="28"/>
        <v/>
      </c>
      <c r="C304" s="10"/>
      <c r="D304" s="9" t="str">
        <f>IF(F304="","",_xlfn.XLOOKUP(F304,purchase!D:D,purchase!#REF!,""))</f>
        <v/>
      </c>
      <c r="E304" s="9" t="str">
        <f>IF(F304="","",_xlfn.XLOOKUP(F304,purchase!D:D,purchase!B:B,""))</f>
        <v/>
      </c>
      <c r="F304" s="2"/>
      <c r="G304" s="4" t="str">
        <f t="shared" si="29"/>
        <v/>
      </c>
      <c r="H304" s="4" t="str">
        <f>IF(F304="","",_xlfn.XLOOKUP(F304,purchase!D:D,purchase!#REF!,""))</f>
        <v/>
      </c>
      <c r="I304" s="4" t="str">
        <f t="shared" si="30"/>
        <v/>
      </c>
      <c r="J304" s="4" t="str">
        <f t="shared" si="31"/>
        <v/>
      </c>
      <c r="K304" s="13" t="str">
        <f>_xlfn.SINGLE(IF(F304="","",_xlfn.XLOOKUP(F304,purchase!D:D,purchase!#REF!,"")))</f>
        <v/>
      </c>
      <c r="L304" s="2"/>
      <c r="M304" s="32"/>
      <c r="N304" s="13" t="str">
        <f>IF(F304="","",
MAX(0,
_xlfn.XLOOKUP(F304,purchase!D:D,purchase!#REF!,"")
-
SUMIFS(L:L,F:F,F304)))</f>
        <v/>
      </c>
      <c r="O304" s="13" t="str">
        <f t="shared" si="32"/>
        <v/>
      </c>
      <c r="P304" s="35" t="str">
        <f>_xlfn.SINGLE(IF(F304="","",_xlfn.XLOOKUP(F304,purchase!D:D,purchase!K:K,"")))</f>
        <v/>
      </c>
      <c r="Q304" s="29" t="str">
        <f t="shared" si="33"/>
        <v/>
      </c>
      <c r="R304" s="37" t="str">
        <f t="shared" si="34"/>
        <v/>
      </c>
    </row>
    <row r="305" spans="1:18" x14ac:dyDescent="0.35">
      <c r="A305" s="8">
        <v>301</v>
      </c>
      <c r="B305" s="9" t="str">
        <f t="shared" si="28"/>
        <v/>
      </c>
      <c r="C305" s="10"/>
      <c r="D305" s="9" t="str">
        <f>IF(F305="","",_xlfn.XLOOKUP(F305,purchase!D:D,purchase!#REF!,""))</f>
        <v/>
      </c>
      <c r="E305" s="9" t="str">
        <f>IF(F305="","",_xlfn.XLOOKUP(F305,purchase!D:D,purchase!B:B,""))</f>
        <v/>
      </c>
      <c r="F305" s="2"/>
      <c r="G305" s="4" t="str">
        <f t="shared" si="29"/>
        <v/>
      </c>
      <c r="H305" s="4" t="str">
        <f>IF(F305="","",_xlfn.XLOOKUP(F305,purchase!D:D,purchase!#REF!,""))</f>
        <v/>
      </c>
      <c r="I305" s="4" t="str">
        <f t="shared" si="30"/>
        <v/>
      </c>
      <c r="J305" s="4" t="str">
        <f t="shared" si="31"/>
        <v/>
      </c>
      <c r="K305" s="13" t="str">
        <f>_xlfn.SINGLE(IF(F305="","",_xlfn.XLOOKUP(F305,purchase!D:D,purchase!#REF!,"")))</f>
        <v/>
      </c>
      <c r="L305" s="2"/>
      <c r="M305" s="32"/>
      <c r="N305" s="13" t="str">
        <f>IF(F305="","",
MAX(0,
_xlfn.XLOOKUP(F305,purchase!D:D,purchase!#REF!,"")
-
SUMIFS(L:L,F:F,F305)))</f>
        <v/>
      </c>
      <c r="O305" s="13" t="str">
        <f t="shared" si="32"/>
        <v/>
      </c>
      <c r="P305" s="35" t="str">
        <f>_xlfn.SINGLE(IF(F305="","",_xlfn.XLOOKUP(F305,purchase!D:D,purchase!K:K,"")))</f>
        <v/>
      </c>
      <c r="Q305" s="29" t="str">
        <f t="shared" si="33"/>
        <v/>
      </c>
      <c r="R305" s="37" t="str">
        <f t="shared" si="34"/>
        <v/>
      </c>
    </row>
    <row r="306" spans="1:18" x14ac:dyDescent="0.35">
      <c r="A306" s="8">
        <v>302</v>
      </c>
      <c r="B306" s="9" t="str">
        <f t="shared" si="28"/>
        <v/>
      </c>
      <c r="C306" s="10"/>
      <c r="D306" s="9" t="str">
        <f>IF(F306="","",_xlfn.XLOOKUP(F306,purchase!D:D,purchase!#REF!,""))</f>
        <v/>
      </c>
      <c r="E306" s="9" t="str">
        <f>IF(F306="","",_xlfn.XLOOKUP(F306,purchase!D:D,purchase!B:B,""))</f>
        <v/>
      </c>
      <c r="F306" s="2"/>
      <c r="G306" s="4" t="str">
        <f t="shared" si="29"/>
        <v/>
      </c>
      <c r="H306" s="4" t="str">
        <f>IF(F306="","",_xlfn.XLOOKUP(F306,purchase!D:D,purchase!#REF!,""))</f>
        <v/>
      </c>
      <c r="I306" s="4" t="str">
        <f t="shared" si="30"/>
        <v/>
      </c>
      <c r="J306" s="4" t="str">
        <f t="shared" si="31"/>
        <v/>
      </c>
      <c r="K306" s="13" t="str">
        <f>_xlfn.SINGLE(IF(F306="","",_xlfn.XLOOKUP(F306,purchase!D:D,purchase!#REF!,"")))</f>
        <v/>
      </c>
      <c r="L306" s="2"/>
      <c r="M306" s="32"/>
      <c r="N306" s="13" t="str">
        <f>IF(F306="","",
MAX(0,
_xlfn.XLOOKUP(F306,purchase!D:D,purchase!#REF!,"")
-
SUMIFS(L:L,F:F,F306)))</f>
        <v/>
      </c>
      <c r="O306" s="13" t="str">
        <f t="shared" si="32"/>
        <v/>
      </c>
      <c r="P306" s="35" t="str">
        <f>_xlfn.SINGLE(IF(F306="","",_xlfn.XLOOKUP(F306,purchase!D:D,purchase!K:K,"")))</f>
        <v/>
      </c>
      <c r="Q306" s="29" t="str">
        <f t="shared" si="33"/>
        <v/>
      </c>
      <c r="R306" s="37" t="str">
        <f t="shared" si="34"/>
        <v/>
      </c>
    </row>
    <row r="307" spans="1:18" x14ac:dyDescent="0.35">
      <c r="A307" s="8">
        <v>303</v>
      </c>
      <c r="B307" s="9" t="str">
        <f t="shared" si="28"/>
        <v/>
      </c>
      <c r="C307" s="10"/>
      <c r="D307" s="9" t="str">
        <f>IF(F307="","",_xlfn.XLOOKUP(F307,purchase!D:D,purchase!#REF!,""))</f>
        <v/>
      </c>
      <c r="E307" s="9" t="str">
        <f>IF(F307="","",_xlfn.XLOOKUP(F307,purchase!D:D,purchase!B:B,""))</f>
        <v/>
      </c>
      <c r="F307" s="2"/>
      <c r="G307" s="4" t="str">
        <f t="shared" si="29"/>
        <v/>
      </c>
      <c r="H307" s="4" t="str">
        <f>IF(F307="","",_xlfn.XLOOKUP(F307,purchase!D:D,purchase!#REF!,""))</f>
        <v/>
      </c>
      <c r="I307" s="4" t="str">
        <f t="shared" si="30"/>
        <v/>
      </c>
      <c r="J307" s="4" t="str">
        <f t="shared" si="31"/>
        <v/>
      </c>
      <c r="K307" s="13" t="str">
        <f>_xlfn.SINGLE(IF(F307="","",_xlfn.XLOOKUP(F307,purchase!D:D,purchase!#REF!,"")))</f>
        <v/>
      </c>
      <c r="L307" s="2"/>
      <c r="M307" s="32"/>
      <c r="N307" s="13" t="str">
        <f>IF(F307="","",
MAX(0,
_xlfn.XLOOKUP(F307,purchase!D:D,purchase!#REF!,"")
-
SUMIFS(L:L,F:F,F307)))</f>
        <v/>
      </c>
      <c r="O307" s="13" t="str">
        <f t="shared" si="32"/>
        <v/>
      </c>
      <c r="P307" s="35" t="str">
        <f>_xlfn.SINGLE(IF(F307="","",_xlfn.XLOOKUP(F307,purchase!D:D,purchase!K:K,"")))</f>
        <v/>
      </c>
      <c r="Q307" s="29" t="str">
        <f t="shared" si="33"/>
        <v/>
      </c>
      <c r="R307" s="37" t="str">
        <f t="shared" si="34"/>
        <v/>
      </c>
    </row>
    <row r="308" spans="1:18" x14ac:dyDescent="0.35">
      <c r="A308" s="8">
        <v>304</v>
      </c>
      <c r="B308" s="9" t="str">
        <f t="shared" si="28"/>
        <v/>
      </c>
      <c r="C308" s="10"/>
      <c r="D308" s="9" t="str">
        <f>IF(F308="","",_xlfn.XLOOKUP(F308,purchase!D:D,purchase!#REF!,""))</f>
        <v/>
      </c>
      <c r="E308" s="9" t="str">
        <f>IF(F308="","",_xlfn.XLOOKUP(F308,purchase!D:D,purchase!B:B,""))</f>
        <v/>
      </c>
      <c r="F308" s="2"/>
      <c r="G308" s="4" t="str">
        <f t="shared" si="29"/>
        <v/>
      </c>
      <c r="H308" s="4" t="str">
        <f>IF(F308="","",_xlfn.XLOOKUP(F308,purchase!D:D,purchase!#REF!,""))</f>
        <v/>
      </c>
      <c r="I308" s="4" t="str">
        <f t="shared" si="30"/>
        <v/>
      </c>
      <c r="J308" s="4" t="str">
        <f t="shared" si="31"/>
        <v/>
      </c>
      <c r="K308" s="13" t="str">
        <f>_xlfn.SINGLE(IF(F308="","",_xlfn.XLOOKUP(F308,purchase!D:D,purchase!#REF!,"")))</f>
        <v/>
      </c>
      <c r="L308" s="2"/>
      <c r="M308" s="32"/>
      <c r="N308" s="13" t="str">
        <f>IF(F308="","",
MAX(0,
_xlfn.XLOOKUP(F308,purchase!D:D,purchase!#REF!,"")
-
SUMIFS(L:L,F:F,F308)))</f>
        <v/>
      </c>
      <c r="O308" s="13" t="str">
        <f t="shared" si="32"/>
        <v/>
      </c>
      <c r="P308" s="35" t="str">
        <f>_xlfn.SINGLE(IF(F308="","",_xlfn.XLOOKUP(F308,purchase!D:D,purchase!K:K,"")))</f>
        <v/>
      </c>
      <c r="Q308" s="29" t="str">
        <f t="shared" si="33"/>
        <v/>
      </c>
      <c r="R308" s="37" t="str">
        <f t="shared" si="34"/>
        <v/>
      </c>
    </row>
    <row r="309" spans="1:18" x14ac:dyDescent="0.35">
      <c r="A309" s="8">
        <v>305</v>
      </c>
      <c r="B309" s="9" t="str">
        <f t="shared" si="28"/>
        <v/>
      </c>
      <c r="C309" s="10"/>
      <c r="D309" s="9" t="str">
        <f>IF(F309="","",_xlfn.XLOOKUP(F309,purchase!D:D,purchase!#REF!,""))</f>
        <v/>
      </c>
      <c r="E309" s="9" t="str">
        <f>IF(F309="","",_xlfn.XLOOKUP(F309,purchase!D:D,purchase!B:B,""))</f>
        <v/>
      </c>
      <c r="F309" s="2"/>
      <c r="G309" s="4" t="str">
        <f t="shared" si="29"/>
        <v/>
      </c>
      <c r="H309" s="4" t="str">
        <f>IF(F309="","",_xlfn.XLOOKUP(F309,purchase!D:D,purchase!#REF!,""))</f>
        <v/>
      </c>
      <c r="I309" s="4" t="str">
        <f t="shared" si="30"/>
        <v/>
      </c>
      <c r="J309" s="4" t="str">
        <f t="shared" si="31"/>
        <v/>
      </c>
      <c r="K309" s="13" t="str">
        <f>_xlfn.SINGLE(IF(F309="","",_xlfn.XLOOKUP(F309,purchase!D:D,purchase!#REF!,"")))</f>
        <v/>
      </c>
      <c r="L309" s="2"/>
      <c r="M309" s="32"/>
      <c r="N309" s="13" t="str">
        <f>IF(F309="","",
MAX(0,
_xlfn.XLOOKUP(F309,purchase!D:D,purchase!#REF!,"")
-
SUMIFS(L:L,F:F,F309)))</f>
        <v/>
      </c>
      <c r="O309" s="13" t="str">
        <f t="shared" si="32"/>
        <v/>
      </c>
      <c r="P309" s="35" t="str">
        <f>_xlfn.SINGLE(IF(F309="","",_xlfn.XLOOKUP(F309,purchase!D:D,purchase!K:K,"")))</f>
        <v/>
      </c>
      <c r="Q309" s="29" t="str">
        <f t="shared" si="33"/>
        <v/>
      </c>
      <c r="R309" s="37" t="str">
        <f t="shared" si="34"/>
        <v/>
      </c>
    </row>
    <row r="310" spans="1:18" x14ac:dyDescent="0.35">
      <c r="A310" s="8">
        <v>306</v>
      </c>
      <c r="B310" s="9" t="str">
        <f t="shared" si="28"/>
        <v/>
      </c>
      <c r="C310" s="10"/>
      <c r="D310" s="9" t="str">
        <f>IF(F310="","",_xlfn.XLOOKUP(F310,purchase!D:D,purchase!#REF!,""))</f>
        <v/>
      </c>
      <c r="E310" s="9" t="str">
        <f>IF(F310="","",_xlfn.XLOOKUP(F310,purchase!D:D,purchase!B:B,""))</f>
        <v/>
      </c>
      <c r="F310" s="2"/>
      <c r="G310" s="4" t="str">
        <f t="shared" si="29"/>
        <v/>
      </c>
      <c r="H310" s="4" t="str">
        <f>IF(F310="","",_xlfn.XLOOKUP(F310,purchase!D:D,purchase!#REF!,""))</f>
        <v/>
      </c>
      <c r="I310" s="4" t="str">
        <f t="shared" si="30"/>
        <v/>
      </c>
      <c r="J310" s="4" t="str">
        <f t="shared" si="31"/>
        <v/>
      </c>
      <c r="K310" s="13" t="str">
        <f>_xlfn.SINGLE(IF(F310="","",_xlfn.XLOOKUP(F310,purchase!D:D,purchase!#REF!,"")))</f>
        <v/>
      </c>
      <c r="L310" s="2"/>
      <c r="M310" s="32"/>
      <c r="N310" s="13" t="str">
        <f>IF(F310="","",
MAX(0,
_xlfn.XLOOKUP(F310,purchase!D:D,purchase!#REF!,"")
-
SUMIFS(L:L,F:F,F310)))</f>
        <v/>
      </c>
      <c r="O310" s="13" t="str">
        <f t="shared" si="32"/>
        <v/>
      </c>
      <c r="P310" s="35" t="str">
        <f>_xlfn.SINGLE(IF(F310="","",_xlfn.XLOOKUP(F310,purchase!D:D,purchase!K:K,"")))</f>
        <v/>
      </c>
      <c r="Q310" s="29" t="str">
        <f t="shared" si="33"/>
        <v/>
      </c>
      <c r="R310" s="37" t="str">
        <f t="shared" si="34"/>
        <v/>
      </c>
    </row>
    <row r="311" spans="1:18" x14ac:dyDescent="0.35">
      <c r="A311" s="8">
        <v>307</v>
      </c>
      <c r="B311" s="9" t="str">
        <f t="shared" si="28"/>
        <v/>
      </c>
      <c r="C311" s="10"/>
      <c r="D311" s="9" t="str">
        <f>IF(F311="","",_xlfn.XLOOKUP(F311,purchase!D:D,purchase!#REF!,""))</f>
        <v/>
      </c>
      <c r="E311" s="9" t="str">
        <f>IF(F311="","",_xlfn.XLOOKUP(F311,purchase!D:D,purchase!B:B,""))</f>
        <v/>
      </c>
      <c r="F311" s="2"/>
      <c r="G311" s="4" t="str">
        <f t="shared" si="29"/>
        <v/>
      </c>
      <c r="H311" s="4" t="str">
        <f>IF(F311="","",_xlfn.XLOOKUP(F311,purchase!D:D,purchase!#REF!,""))</f>
        <v/>
      </c>
      <c r="I311" s="4" t="str">
        <f t="shared" si="30"/>
        <v/>
      </c>
      <c r="J311" s="4" t="str">
        <f t="shared" si="31"/>
        <v/>
      </c>
      <c r="K311" s="13" t="str">
        <f>_xlfn.SINGLE(IF(F311="","",_xlfn.XLOOKUP(F311,purchase!D:D,purchase!#REF!,"")))</f>
        <v/>
      </c>
      <c r="L311" s="2"/>
      <c r="M311" s="32"/>
      <c r="N311" s="13" t="str">
        <f>IF(F311="","",
MAX(0,
_xlfn.XLOOKUP(F311,purchase!D:D,purchase!#REF!,"")
-
SUMIFS(L:L,F:F,F311)))</f>
        <v/>
      </c>
      <c r="O311" s="13" t="str">
        <f t="shared" si="32"/>
        <v/>
      </c>
      <c r="P311" s="35" t="str">
        <f>_xlfn.SINGLE(IF(F311="","",_xlfn.XLOOKUP(F311,purchase!D:D,purchase!K:K,"")))</f>
        <v/>
      </c>
      <c r="Q311" s="29" t="str">
        <f t="shared" si="33"/>
        <v/>
      </c>
      <c r="R311" s="37" t="str">
        <f t="shared" si="34"/>
        <v/>
      </c>
    </row>
    <row r="312" spans="1:18" x14ac:dyDescent="0.35">
      <c r="A312" s="8">
        <v>308</v>
      </c>
      <c r="B312" s="9" t="str">
        <f t="shared" si="28"/>
        <v/>
      </c>
      <c r="C312" s="10"/>
      <c r="D312" s="9" t="str">
        <f>IF(F312="","",_xlfn.XLOOKUP(F312,purchase!D:D,purchase!#REF!,""))</f>
        <v/>
      </c>
      <c r="E312" s="9" t="str">
        <f>IF(F312="","",_xlfn.XLOOKUP(F312,purchase!D:D,purchase!B:B,""))</f>
        <v/>
      </c>
      <c r="F312" s="2"/>
      <c r="G312" s="4" t="str">
        <f t="shared" si="29"/>
        <v/>
      </c>
      <c r="H312" s="4" t="str">
        <f>IF(F312="","",_xlfn.XLOOKUP(F312,purchase!D:D,purchase!#REF!,""))</f>
        <v/>
      </c>
      <c r="I312" s="4" t="str">
        <f t="shared" si="30"/>
        <v/>
      </c>
      <c r="J312" s="4" t="str">
        <f t="shared" si="31"/>
        <v/>
      </c>
      <c r="K312" s="13" t="str">
        <f>_xlfn.SINGLE(IF(F312="","",_xlfn.XLOOKUP(F312,purchase!D:D,purchase!#REF!,"")))</f>
        <v/>
      </c>
      <c r="L312" s="2"/>
      <c r="M312" s="32"/>
      <c r="N312" s="13" t="str">
        <f>IF(F312="","",
MAX(0,
_xlfn.XLOOKUP(F312,purchase!D:D,purchase!#REF!,"")
-
SUMIFS(L:L,F:F,F312)))</f>
        <v/>
      </c>
      <c r="O312" s="13" t="str">
        <f t="shared" si="32"/>
        <v/>
      </c>
      <c r="P312" s="35" t="str">
        <f>_xlfn.SINGLE(IF(F312="","",_xlfn.XLOOKUP(F312,purchase!D:D,purchase!K:K,"")))</f>
        <v/>
      </c>
      <c r="Q312" s="29" t="str">
        <f t="shared" si="33"/>
        <v/>
      </c>
      <c r="R312" s="37" t="str">
        <f t="shared" si="34"/>
        <v/>
      </c>
    </row>
    <row r="313" spans="1:18" x14ac:dyDescent="0.35">
      <c r="A313" s="8">
        <v>309</v>
      </c>
      <c r="B313" s="9" t="str">
        <f t="shared" si="28"/>
        <v/>
      </c>
      <c r="C313" s="10"/>
      <c r="D313" s="9" t="str">
        <f>IF(F313="","",_xlfn.XLOOKUP(F313,purchase!D:D,purchase!#REF!,""))</f>
        <v/>
      </c>
      <c r="E313" s="9" t="str">
        <f>IF(F313="","",_xlfn.XLOOKUP(F313,purchase!D:D,purchase!B:B,""))</f>
        <v/>
      </c>
      <c r="F313" s="2"/>
      <c r="G313" s="4" t="str">
        <f t="shared" si="29"/>
        <v/>
      </c>
      <c r="H313" s="4" t="str">
        <f>IF(F313="","",_xlfn.XLOOKUP(F313,purchase!D:D,purchase!#REF!,""))</f>
        <v/>
      </c>
      <c r="I313" s="4" t="str">
        <f t="shared" si="30"/>
        <v/>
      </c>
      <c r="J313" s="4" t="str">
        <f t="shared" si="31"/>
        <v/>
      </c>
      <c r="K313" s="13" t="str">
        <f>_xlfn.SINGLE(IF(F313="","",_xlfn.XLOOKUP(F313,purchase!D:D,purchase!#REF!,"")))</f>
        <v/>
      </c>
      <c r="L313" s="2"/>
      <c r="M313" s="32"/>
      <c r="N313" s="13" t="str">
        <f>IF(F313="","",
MAX(0,
_xlfn.XLOOKUP(F313,purchase!D:D,purchase!#REF!,"")
-
SUMIFS(L:L,F:F,F313)))</f>
        <v/>
      </c>
      <c r="O313" s="13" t="str">
        <f t="shared" si="32"/>
        <v/>
      </c>
      <c r="P313" s="35" t="str">
        <f>_xlfn.SINGLE(IF(F313="","",_xlfn.XLOOKUP(F313,purchase!D:D,purchase!K:K,"")))</f>
        <v/>
      </c>
      <c r="Q313" s="29" t="str">
        <f t="shared" si="33"/>
        <v/>
      </c>
      <c r="R313" s="37" t="str">
        <f t="shared" si="34"/>
        <v/>
      </c>
    </row>
    <row r="314" spans="1:18" x14ac:dyDescent="0.35">
      <c r="A314" s="8">
        <v>310</v>
      </c>
      <c r="B314" s="9" t="str">
        <f t="shared" si="28"/>
        <v/>
      </c>
      <c r="C314" s="10"/>
      <c r="D314" s="9" t="str">
        <f>IF(F314="","",_xlfn.XLOOKUP(F314,purchase!D:D,purchase!#REF!,""))</f>
        <v/>
      </c>
      <c r="E314" s="9" t="str">
        <f>IF(F314="","",_xlfn.XLOOKUP(F314,purchase!D:D,purchase!B:B,""))</f>
        <v/>
      </c>
      <c r="F314" s="2"/>
      <c r="G314" s="4" t="str">
        <f t="shared" si="29"/>
        <v/>
      </c>
      <c r="H314" s="4" t="str">
        <f>IF(F314="","",_xlfn.XLOOKUP(F314,purchase!D:D,purchase!#REF!,""))</f>
        <v/>
      </c>
      <c r="I314" s="4" t="str">
        <f t="shared" si="30"/>
        <v/>
      </c>
      <c r="J314" s="4" t="str">
        <f t="shared" si="31"/>
        <v/>
      </c>
      <c r="K314" s="13" t="str">
        <f>_xlfn.SINGLE(IF(F314="","",_xlfn.XLOOKUP(F314,purchase!D:D,purchase!#REF!,"")))</f>
        <v/>
      </c>
      <c r="L314" s="2"/>
      <c r="M314" s="32"/>
      <c r="N314" s="13" t="str">
        <f>IF(F314="","",
MAX(0,
_xlfn.XLOOKUP(F314,purchase!D:D,purchase!#REF!,"")
-
SUMIFS(L:L,F:F,F314)))</f>
        <v/>
      </c>
      <c r="O314" s="13" t="str">
        <f t="shared" si="32"/>
        <v/>
      </c>
      <c r="P314" s="35" t="str">
        <f>_xlfn.SINGLE(IF(F314="","",_xlfn.XLOOKUP(F314,purchase!D:D,purchase!K:K,"")))</f>
        <v/>
      </c>
      <c r="Q314" s="29" t="str">
        <f t="shared" si="33"/>
        <v/>
      </c>
      <c r="R314" s="37" t="str">
        <f t="shared" si="34"/>
        <v/>
      </c>
    </row>
    <row r="315" spans="1:18" x14ac:dyDescent="0.35">
      <c r="A315" s="8">
        <v>311</v>
      </c>
      <c r="B315" s="9" t="str">
        <f t="shared" si="28"/>
        <v/>
      </c>
      <c r="C315" s="10"/>
      <c r="D315" s="9" t="str">
        <f>IF(F315="","",_xlfn.XLOOKUP(F315,purchase!D:D,purchase!#REF!,""))</f>
        <v/>
      </c>
      <c r="E315" s="9" t="str">
        <f>IF(F315="","",_xlfn.XLOOKUP(F315,purchase!D:D,purchase!B:B,""))</f>
        <v/>
      </c>
      <c r="F315" s="2"/>
      <c r="G315" s="4" t="str">
        <f t="shared" si="29"/>
        <v/>
      </c>
      <c r="H315" s="4" t="str">
        <f>IF(F315="","",_xlfn.XLOOKUP(F315,purchase!D:D,purchase!#REF!,""))</f>
        <v/>
      </c>
      <c r="I315" s="4" t="str">
        <f t="shared" si="30"/>
        <v/>
      </c>
      <c r="J315" s="4" t="str">
        <f t="shared" si="31"/>
        <v/>
      </c>
      <c r="K315" s="13" t="str">
        <f>_xlfn.SINGLE(IF(F315="","",_xlfn.XLOOKUP(F315,purchase!D:D,purchase!#REF!,"")))</f>
        <v/>
      </c>
      <c r="L315" s="2"/>
      <c r="M315" s="32"/>
      <c r="N315" s="13" t="str">
        <f>IF(F315="","",
MAX(0,
_xlfn.XLOOKUP(F315,purchase!D:D,purchase!#REF!,"")
-
SUMIFS(L:L,F:F,F315)))</f>
        <v/>
      </c>
      <c r="O315" s="13" t="str">
        <f t="shared" si="32"/>
        <v/>
      </c>
      <c r="P315" s="35" t="str">
        <f>_xlfn.SINGLE(IF(F315="","",_xlfn.XLOOKUP(F315,purchase!D:D,purchase!K:K,"")))</f>
        <v/>
      </c>
      <c r="Q315" s="29" t="str">
        <f t="shared" si="33"/>
        <v/>
      </c>
      <c r="R315" s="37" t="str">
        <f t="shared" si="34"/>
        <v/>
      </c>
    </row>
    <row r="316" spans="1:18" x14ac:dyDescent="0.35">
      <c r="A316" s="8">
        <v>312</v>
      </c>
      <c r="B316" s="9" t="str">
        <f t="shared" si="28"/>
        <v/>
      </c>
      <c r="C316" s="10"/>
      <c r="D316" s="9" t="str">
        <f>IF(F316="","",_xlfn.XLOOKUP(F316,purchase!D:D,purchase!#REF!,""))</f>
        <v/>
      </c>
      <c r="E316" s="9" t="str">
        <f>IF(F316="","",_xlfn.XLOOKUP(F316,purchase!D:D,purchase!B:B,""))</f>
        <v/>
      </c>
      <c r="F316" s="2"/>
      <c r="G316" s="4" t="str">
        <f t="shared" si="29"/>
        <v/>
      </c>
      <c r="H316" s="4" t="str">
        <f>IF(F316="","",_xlfn.XLOOKUP(F316,purchase!D:D,purchase!#REF!,""))</f>
        <v/>
      </c>
      <c r="I316" s="4" t="str">
        <f t="shared" si="30"/>
        <v/>
      </c>
      <c r="J316" s="4" t="str">
        <f t="shared" si="31"/>
        <v/>
      </c>
      <c r="K316" s="13" t="str">
        <f>_xlfn.SINGLE(IF(F316="","",_xlfn.XLOOKUP(F316,purchase!D:D,purchase!#REF!,"")))</f>
        <v/>
      </c>
      <c r="L316" s="2"/>
      <c r="M316" s="32"/>
      <c r="N316" s="13" t="str">
        <f>IF(F316="","",
MAX(0,
_xlfn.XLOOKUP(F316,purchase!D:D,purchase!#REF!,"")
-
SUMIFS(L:L,F:F,F316)))</f>
        <v/>
      </c>
      <c r="O316" s="13" t="str">
        <f t="shared" si="32"/>
        <v/>
      </c>
      <c r="P316" s="35" t="str">
        <f>_xlfn.SINGLE(IF(F316="","",_xlfn.XLOOKUP(F316,purchase!D:D,purchase!K:K,"")))</f>
        <v/>
      </c>
      <c r="Q316" s="29" t="str">
        <f t="shared" si="33"/>
        <v/>
      </c>
      <c r="R316" s="37" t="str">
        <f t="shared" si="34"/>
        <v/>
      </c>
    </row>
    <row r="317" spans="1:18" x14ac:dyDescent="0.35">
      <c r="A317" s="8">
        <v>313</v>
      </c>
      <c r="B317" s="9" t="str">
        <f t="shared" si="28"/>
        <v/>
      </c>
      <c r="C317" s="10"/>
      <c r="D317" s="9" t="str">
        <f>IF(F317="","",_xlfn.XLOOKUP(F317,purchase!D:D,purchase!#REF!,""))</f>
        <v/>
      </c>
      <c r="E317" s="9" t="str">
        <f>IF(F317="","",_xlfn.XLOOKUP(F317,purchase!D:D,purchase!B:B,""))</f>
        <v/>
      </c>
      <c r="F317" s="2"/>
      <c r="G317" s="4" t="str">
        <f t="shared" si="29"/>
        <v/>
      </c>
      <c r="H317" s="4" t="str">
        <f>IF(F317="","",_xlfn.XLOOKUP(F317,purchase!D:D,purchase!#REF!,""))</f>
        <v/>
      </c>
      <c r="I317" s="4" t="str">
        <f t="shared" si="30"/>
        <v/>
      </c>
      <c r="J317" s="4" t="str">
        <f t="shared" si="31"/>
        <v/>
      </c>
      <c r="K317" s="13" t="str">
        <f>_xlfn.SINGLE(IF(F317="","",_xlfn.XLOOKUP(F317,purchase!D:D,purchase!#REF!,"")))</f>
        <v/>
      </c>
      <c r="L317" s="2"/>
      <c r="M317" s="32"/>
      <c r="N317" s="13" t="str">
        <f>IF(F317="","",
MAX(0,
_xlfn.XLOOKUP(F317,purchase!D:D,purchase!#REF!,"")
-
SUMIFS(L:L,F:F,F317)))</f>
        <v/>
      </c>
      <c r="O317" s="13" t="str">
        <f t="shared" si="32"/>
        <v/>
      </c>
      <c r="P317" s="35" t="str">
        <f>_xlfn.SINGLE(IF(F317="","",_xlfn.XLOOKUP(F317,purchase!D:D,purchase!K:K,"")))</f>
        <v/>
      </c>
      <c r="Q317" s="29" t="str">
        <f t="shared" si="33"/>
        <v/>
      </c>
      <c r="R317" s="37" t="str">
        <f t="shared" si="34"/>
        <v/>
      </c>
    </row>
    <row r="318" spans="1:18" x14ac:dyDescent="0.35">
      <c r="A318" s="8">
        <v>314</v>
      </c>
      <c r="B318" s="9" t="str">
        <f t="shared" si="28"/>
        <v/>
      </c>
      <c r="C318" s="10"/>
      <c r="D318" s="9" t="str">
        <f>IF(F318="","",_xlfn.XLOOKUP(F318,purchase!D:D,purchase!#REF!,""))</f>
        <v/>
      </c>
      <c r="E318" s="9" t="str">
        <f>IF(F318="","",_xlfn.XLOOKUP(F318,purchase!D:D,purchase!B:B,""))</f>
        <v/>
      </c>
      <c r="F318" s="2"/>
      <c r="G318" s="4" t="str">
        <f t="shared" si="29"/>
        <v/>
      </c>
      <c r="H318" s="4" t="str">
        <f>IF(F318="","",_xlfn.XLOOKUP(F318,purchase!D:D,purchase!#REF!,""))</f>
        <v/>
      </c>
      <c r="I318" s="4" t="str">
        <f t="shared" si="30"/>
        <v/>
      </c>
      <c r="J318" s="4" t="str">
        <f t="shared" si="31"/>
        <v/>
      </c>
      <c r="K318" s="13" t="str">
        <f>_xlfn.SINGLE(IF(F318="","",_xlfn.XLOOKUP(F318,purchase!D:D,purchase!#REF!,"")))</f>
        <v/>
      </c>
      <c r="L318" s="2"/>
      <c r="M318" s="32"/>
      <c r="N318" s="13" t="str">
        <f>IF(F318="","",
MAX(0,
_xlfn.XLOOKUP(F318,purchase!D:D,purchase!#REF!,"")
-
SUMIFS(L:L,F:F,F318)))</f>
        <v/>
      </c>
      <c r="O318" s="13" t="str">
        <f t="shared" si="32"/>
        <v/>
      </c>
      <c r="P318" s="35" t="str">
        <f>_xlfn.SINGLE(IF(F318="","",_xlfn.XLOOKUP(F318,purchase!D:D,purchase!K:K,"")))</f>
        <v/>
      </c>
      <c r="Q318" s="29" t="str">
        <f t="shared" si="33"/>
        <v/>
      </c>
      <c r="R318" s="37" t="str">
        <f t="shared" si="34"/>
        <v/>
      </c>
    </row>
    <row r="319" spans="1:18" x14ac:dyDescent="0.35">
      <c r="A319" s="8">
        <v>315</v>
      </c>
      <c r="B319" s="9" t="str">
        <f t="shared" si="28"/>
        <v/>
      </c>
      <c r="C319" s="10"/>
      <c r="D319" s="9" t="str">
        <f>IF(F319="","",_xlfn.XLOOKUP(F319,purchase!D:D,purchase!#REF!,""))</f>
        <v/>
      </c>
      <c r="E319" s="9" t="str">
        <f>IF(F319="","",_xlfn.XLOOKUP(F319,purchase!D:D,purchase!B:B,""))</f>
        <v/>
      </c>
      <c r="F319" s="2"/>
      <c r="G319" s="4" t="str">
        <f t="shared" si="29"/>
        <v/>
      </c>
      <c r="H319" s="4" t="str">
        <f>IF(F319="","",_xlfn.XLOOKUP(F319,purchase!D:D,purchase!#REF!,""))</f>
        <v/>
      </c>
      <c r="I319" s="4" t="str">
        <f t="shared" si="30"/>
        <v/>
      </c>
      <c r="J319" s="4" t="str">
        <f t="shared" si="31"/>
        <v/>
      </c>
      <c r="K319" s="13" t="str">
        <f>_xlfn.SINGLE(IF(F319="","",_xlfn.XLOOKUP(F319,purchase!D:D,purchase!#REF!,"")))</f>
        <v/>
      </c>
      <c r="L319" s="2"/>
      <c r="M319" s="32"/>
      <c r="N319" s="13" t="str">
        <f>IF(F319="","",
MAX(0,
_xlfn.XLOOKUP(F319,purchase!D:D,purchase!#REF!,"")
-
SUMIFS(L:L,F:F,F319)))</f>
        <v/>
      </c>
      <c r="O319" s="13" t="str">
        <f t="shared" si="32"/>
        <v/>
      </c>
      <c r="P319" s="35" t="str">
        <f>_xlfn.SINGLE(IF(F319="","",_xlfn.XLOOKUP(F319,purchase!D:D,purchase!K:K,"")))</f>
        <v/>
      </c>
      <c r="Q319" s="29" t="str">
        <f t="shared" si="33"/>
        <v/>
      </c>
      <c r="R319" s="37" t="str">
        <f t="shared" si="34"/>
        <v/>
      </c>
    </row>
    <row r="320" spans="1:18" x14ac:dyDescent="0.35">
      <c r="A320" s="8">
        <v>316</v>
      </c>
      <c r="B320" s="9" t="str">
        <f t="shared" si="28"/>
        <v/>
      </c>
      <c r="C320" s="10"/>
      <c r="D320" s="9" t="str">
        <f>IF(F320="","",_xlfn.XLOOKUP(F320,purchase!D:D,purchase!#REF!,""))</f>
        <v/>
      </c>
      <c r="E320" s="9" t="str">
        <f>IF(F320="","",_xlfn.XLOOKUP(F320,purchase!D:D,purchase!B:B,""))</f>
        <v/>
      </c>
      <c r="F320" s="2"/>
      <c r="G320" s="4" t="str">
        <f t="shared" si="29"/>
        <v/>
      </c>
      <c r="H320" s="4" t="str">
        <f>IF(F320="","",_xlfn.XLOOKUP(F320,purchase!D:D,purchase!#REF!,""))</f>
        <v/>
      </c>
      <c r="I320" s="4" t="str">
        <f t="shared" si="30"/>
        <v/>
      </c>
      <c r="J320" s="4" t="str">
        <f t="shared" si="31"/>
        <v/>
      </c>
      <c r="K320" s="13" t="str">
        <f>_xlfn.SINGLE(IF(F320="","",_xlfn.XLOOKUP(F320,purchase!D:D,purchase!#REF!,"")))</f>
        <v/>
      </c>
      <c r="L320" s="2"/>
      <c r="M320" s="32"/>
      <c r="N320" s="13" t="str">
        <f>IF(F320="","",
MAX(0,
_xlfn.XLOOKUP(F320,purchase!D:D,purchase!#REF!,"")
-
SUMIFS(L:L,F:F,F320)))</f>
        <v/>
      </c>
      <c r="O320" s="13" t="str">
        <f t="shared" si="32"/>
        <v/>
      </c>
      <c r="P320" s="35" t="str">
        <f>_xlfn.SINGLE(IF(F320="","",_xlfn.XLOOKUP(F320,purchase!D:D,purchase!K:K,"")))</f>
        <v/>
      </c>
      <c r="Q320" s="29" t="str">
        <f t="shared" si="33"/>
        <v/>
      </c>
      <c r="R320" s="37" t="str">
        <f t="shared" si="34"/>
        <v/>
      </c>
    </row>
    <row r="321" spans="1:18" x14ac:dyDescent="0.35">
      <c r="A321" s="8">
        <v>317</v>
      </c>
      <c r="B321" s="9" t="str">
        <f t="shared" si="28"/>
        <v/>
      </c>
      <c r="C321" s="10"/>
      <c r="D321" s="9" t="str">
        <f>IF(F321="","",_xlfn.XLOOKUP(F321,purchase!D:D,purchase!#REF!,""))</f>
        <v/>
      </c>
      <c r="E321" s="9" t="str">
        <f>IF(F321="","",_xlfn.XLOOKUP(F321,purchase!D:D,purchase!B:B,""))</f>
        <v/>
      </c>
      <c r="F321" s="2"/>
      <c r="G321" s="4" t="str">
        <f t="shared" si="29"/>
        <v/>
      </c>
      <c r="H321" s="4" t="str">
        <f>IF(F321="","",_xlfn.XLOOKUP(F321,purchase!D:D,purchase!#REF!,""))</f>
        <v/>
      </c>
      <c r="I321" s="4" t="str">
        <f t="shared" si="30"/>
        <v/>
      </c>
      <c r="J321" s="4" t="str">
        <f t="shared" si="31"/>
        <v/>
      </c>
      <c r="K321" s="13" t="str">
        <f>_xlfn.SINGLE(IF(F321="","",_xlfn.XLOOKUP(F321,purchase!D:D,purchase!#REF!,"")))</f>
        <v/>
      </c>
      <c r="L321" s="2"/>
      <c r="M321" s="32"/>
      <c r="N321" s="13" t="str">
        <f>IF(F321="","",
MAX(0,
_xlfn.XLOOKUP(F321,purchase!D:D,purchase!#REF!,"")
-
SUMIFS(L:L,F:F,F321)))</f>
        <v/>
      </c>
      <c r="O321" s="13" t="str">
        <f t="shared" si="32"/>
        <v/>
      </c>
      <c r="P321" s="35" t="str">
        <f>_xlfn.SINGLE(IF(F321="","",_xlfn.XLOOKUP(F321,purchase!D:D,purchase!K:K,"")))</f>
        <v/>
      </c>
      <c r="Q321" s="29" t="str">
        <f t="shared" si="33"/>
        <v/>
      </c>
      <c r="R321" s="37" t="str">
        <f t="shared" si="34"/>
        <v/>
      </c>
    </row>
    <row r="322" spans="1:18" x14ac:dyDescent="0.35">
      <c r="A322" s="8">
        <v>318</v>
      </c>
      <c r="B322" s="9" t="str">
        <f t="shared" si="28"/>
        <v/>
      </c>
      <c r="C322" s="10"/>
      <c r="D322" s="9" t="str">
        <f>IF(F322="","",_xlfn.XLOOKUP(F322,purchase!D:D,purchase!#REF!,""))</f>
        <v/>
      </c>
      <c r="E322" s="9" t="str">
        <f>IF(F322="","",_xlfn.XLOOKUP(F322,purchase!D:D,purchase!B:B,""))</f>
        <v/>
      </c>
      <c r="F322" s="2"/>
      <c r="G322" s="4" t="str">
        <f t="shared" si="29"/>
        <v/>
      </c>
      <c r="H322" s="4" t="str">
        <f>IF(F322="","",_xlfn.XLOOKUP(F322,purchase!D:D,purchase!#REF!,""))</f>
        <v/>
      </c>
      <c r="I322" s="4" t="str">
        <f t="shared" si="30"/>
        <v/>
      </c>
      <c r="J322" s="4" t="str">
        <f t="shared" si="31"/>
        <v/>
      </c>
      <c r="K322" s="13" t="str">
        <f>_xlfn.SINGLE(IF(F322="","",_xlfn.XLOOKUP(F322,purchase!D:D,purchase!#REF!,"")))</f>
        <v/>
      </c>
      <c r="L322" s="2"/>
      <c r="M322" s="32"/>
      <c r="N322" s="13" t="str">
        <f>IF(F322="","",
MAX(0,
_xlfn.XLOOKUP(F322,purchase!D:D,purchase!#REF!,"")
-
SUMIFS(L:L,F:F,F322)))</f>
        <v/>
      </c>
      <c r="O322" s="13" t="str">
        <f t="shared" si="32"/>
        <v/>
      </c>
      <c r="P322" s="35" t="str">
        <f>_xlfn.SINGLE(IF(F322="","",_xlfn.XLOOKUP(F322,purchase!D:D,purchase!K:K,"")))</f>
        <v/>
      </c>
      <c r="Q322" s="29" t="str">
        <f t="shared" si="33"/>
        <v/>
      </c>
      <c r="R322" s="37" t="str">
        <f t="shared" si="34"/>
        <v/>
      </c>
    </row>
    <row r="323" spans="1:18" x14ac:dyDescent="0.35">
      <c r="A323" s="8">
        <v>319</v>
      </c>
      <c r="B323" s="9" t="str">
        <f t="shared" si="28"/>
        <v/>
      </c>
      <c r="C323" s="10"/>
      <c r="D323" s="9" t="str">
        <f>IF(F323="","",_xlfn.XLOOKUP(F323,purchase!D:D,purchase!#REF!,""))</f>
        <v/>
      </c>
      <c r="E323" s="9" t="str">
        <f>IF(F323="","",_xlfn.XLOOKUP(F323,purchase!D:D,purchase!B:B,""))</f>
        <v/>
      </c>
      <c r="F323" s="2"/>
      <c r="G323" s="4" t="str">
        <f t="shared" si="29"/>
        <v/>
      </c>
      <c r="H323" s="4" t="str">
        <f>IF(F323="","",_xlfn.XLOOKUP(F323,purchase!D:D,purchase!#REF!,""))</f>
        <v/>
      </c>
      <c r="I323" s="4" t="str">
        <f t="shared" si="30"/>
        <v/>
      </c>
      <c r="J323" s="4" t="str">
        <f t="shared" si="31"/>
        <v/>
      </c>
      <c r="K323" s="13" t="str">
        <f>_xlfn.SINGLE(IF(F323="","",_xlfn.XLOOKUP(F323,purchase!D:D,purchase!#REF!,"")))</f>
        <v/>
      </c>
      <c r="L323" s="2"/>
      <c r="M323" s="32"/>
      <c r="N323" s="13" t="str">
        <f>IF(F323="","",
MAX(0,
_xlfn.XLOOKUP(F323,purchase!D:D,purchase!#REF!,"")
-
SUMIFS(L:L,F:F,F323)))</f>
        <v/>
      </c>
      <c r="O323" s="13" t="str">
        <f t="shared" si="32"/>
        <v/>
      </c>
      <c r="P323" s="35" t="str">
        <f>_xlfn.SINGLE(IF(F323="","",_xlfn.XLOOKUP(F323,purchase!D:D,purchase!K:K,"")))</f>
        <v/>
      </c>
      <c r="Q323" s="29" t="str">
        <f t="shared" si="33"/>
        <v/>
      </c>
      <c r="R323" s="37" t="str">
        <f t="shared" si="34"/>
        <v/>
      </c>
    </row>
    <row r="324" spans="1:18" x14ac:dyDescent="0.35">
      <c r="A324" s="8">
        <v>320</v>
      </c>
      <c r="B324" s="9" t="str">
        <f t="shared" si="28"/>
        <v/>
      </c>
      <c r="C324" s="10"/>
      <c r="D324" s="9" t="str">
        <f>IF(F324="","",_xlfn.XLOOKUP(F324,purchase!D:D,purchase!#REF!,""))</f>
        <v/>
      </c>
      <c r="E324" s="9" t="str">
        <f>IF(F324="","",_xlfn.XLOOKUP(F324,purchase!D:D,purchase!B:B,""))</f>
        <v/>
      </c>
      <c r="F324" s="2"/>
      <c r="G324" s="4" t="str">
        <f t="shared" si="29"/>
        <v/>
      </c>
      <c r="H324" s="4" t="str">
        <f>IF(F324="","",_xlfn.XLOOKUP(F324,purchase!D:D,purchase!#REF!,""))</f>
        <v/>
      </c>
      <c r="I324" s="4" t="str">
        <f t="shared" si="30"/>
        <v/>
      </c>
      <c r="J324" s="4" t="str">
        <f t="shared" si="31"/>
        <v/>
      </c>
      <c r="K324" s="13" t="str">
        <f>_xlfn.SINGLE(IF(F324="","",_xlfn.XLOOKUP(F324,purchase!D:D,purchase!#REF!,"")))</f>
        <v/>
      </c>
      <c r="L324" s="2"/>
      <c r="M324" s="32"/>
      <c r="N324" s="13" t="str">
        <f>IF(F324="","",
MAX(0,
_xlfn.XLOOKUP(F324,purchase!D:D,purchase!#REF!,"")
-
SUMIFS(L:L,F:F,F324)))</f>
        <v/>
      </c>
      <c r="O324" s="13" t="str">
        <f t="shared" si="32"/>
        <v/>
      </c>
      <c r="P324" s="35" t="str">
        <f>_xlfn.SINGLE(IF(F324="","",_xlfn.XLOOKUP(F324,purchase!D:D,purchase!K:K,"")))</f>
        <v/>
      </c>
      <c r="Q324" s="29" t="str">
        <f t="shared" si="33"/>
        <v/>
      </c>
      <c r="R324" s="37" t="str">
        <f t="shared" si="34"/>
        <v/>
      </c>
    </row>
    <row r="325" spans="1:18" x14ac:dyDescent="0.35">
      <c r="A325" s="8">
        <v>321</v>
      </c>
      <c r="B325" s="9" t="str">
        <f t="shared" ref="B325:B388" si="35">IF(OR(C325="",F325=""),"",
"PRD-" &amp;
TEXT(DAY(C325),"00") &amp;
CHOOSE(MONTH(C325),"A","B","C","D","E","F","G","H","I","J","K","L") &amp;
TEXT(YEAR(C325),"00") &amp;
"-" &amp;
RIGHT(F325,4))</f>
        <v/>
      </c>
      <c r="C325" s="10"/>
      <c r="D325" s="9" t="str">
        <f>IF(F325="","",_xlfn.XLOOKUP(F325,purchase!D:D,purchase!#REF!,""))</f>
        <v/>
      </c>
      <c r="E325" s="9" t="str">
        <f>IF(F325="","",_xlfn.XLOOKUP(F325,purchase!D:D,purchase!B:B,""))</f>
        <v/>
      </c>
      <c r="F325" s="2"/>
      <c r="G325" s="4" t="str">
        <f t="shared" ref="G325:G388" si="36">IF(H325="NRFC","Natural Rubber Field Coagulam","")</f>
        <v/>
      </c>
      <c r="H325" s="4" t="str">
        <f>IF(F325="","",_xlfn.XLOOKUP(F325,purchase!D:D,purchase!#REF!,""))</f>
        <v/>
      </c>
      <c r="I325" s="4" t="str">
        <f t="shared" ref="I325:I388" si="37">IF(J325="ISNR20","Natural Rubber-TSNR (ISNR-20)","")</f>
        <v/>
      </c>
      <c r="J325" s="4" t="str">
        <f t="shared" ref="J325:J388" si="38">IF(H325="NRFC","ISNR20","")</f>
        <v/>
      </c>
      <c r="K325" s="13" t="str">
        <f>_xlfn.SINGLE(IF(F325="","",_xlfn.XLOOKUP(F325,purchase!D:D,purchase!#REF!,"")))</f>
        <v/>
      </c>
      <c r="L325" s="2"/>
      <c r="M325" s="32"/>
      <c r="N325" s="13" t="str">
        <f>IF(F325="","",
MAX(0,
_xlfn.XLOOKUP(F325,purchase!D:D,purchase!#REF!,"")
-
SUMIFS(L:L,F:F,F325)))</f>
        <v/>
      </c>
      <c r="O325" s="13" t="str">
        <f t="shared" ref="O325:O388" si="39">IF(OR(L325="",M325=""),"",L325-M325)</f>
        <v/>
      </c>
      <c r="P325" s="35" t="str">
        <f>_xlfn.SINGLE(IF(F325="","",_xlfn.XLOOKUP(F325,purchase!D:D,purchase!K:K,"")))</f>
        <v/>
      </c>
      <c r="Q325" s="29" t="str">
        <f t="shared" ref="Q325:Q388" si="40">IF(OR(L325="",M325=""),"",M325/L325)</f>
        <v/>
      </c>
      <c r="R325" s="37" t="str">
        <f t="shared" ref="R325:R388" si="41">IF(OR(P325="",Q325=""),"",Q325-P325)</f>
        <v/>
      </c>
    </row>
    <row r="326" spans="1:18" x14ac:dyDescent="0.35">
      <c r="A326" s="8">
        <v>322</v>
      </c>
      <c r="B326" s="9" t="str">
        <f t="shared" si="35"/>
        <v/>
      </c>
      <c r="C326" s="10"/>
      <c r="D326" s="9" t="str">
        <f>IF(F326="","",_xlfn.XLOOKUP(F326,purchase!D:D,purchase!#REF!,""))</f>
        <v/>
      </c>
      <c r="E326" s="9" t="str">
        <f>IF(F326="","",_xlfn.XLOOKUP(F326,purchase!D:D,purchase!B:B,""))</f>
        <v/>
      </c>
      <c r="F326" s="2"/>
      <c r="G326" s="4" t="str">
        <f t="shared" si="36"/>
        <v/>
      </c>
      <c r="H326" s="4" t="str">
        <f>IF(F326="","",_xlfn.XLOOKUP(F326,purchase!D:D,purchase!#REF!,""))</f>
        <v/>
      </c>
      <c r="I326" s="4" t="str">
        <f t="shared" si="37"/>
        <v/>
      </c>
      <c r="J326" s="4" t="str">
        <f t="shared" si="38"/>
        <v/>
      </c>
      <c r="K326" s="13" t="str">
        <f>_xlfn.SINGLE(IF(F326="","",_xlfn.XLOOKUP(F326,purchase!D:D,purchase!#REF!,"")))</f>
        <v/>
      </c>
      <c r="L326" s="2"/>
      <c r="M326" s="32"/>
      <c r="N326" s="13" t="str">
        <f>IF(F326="","",
MAX(0,
_xlfn.XLOOKUP(F326,purchase!D:D,purchase!#REF!,"")
-
SUMIFS(L:L,F:F,F326)))</f>
        <v/>
      </c>
      <c r="O326" s="13" t="str">
        <f t="shared" si="39"/>
        <v/>
      </c>
      <c r="P326" s="35" t="str">
        <f>_xlfn.SINGLE(IF(F326="","",_xlfn.XLOOKUP(F326,purchase!D:D,purchase!K:K,"")))</f>
        <v/>
      </c>
      <c r="Q326" s="29" t="str">
        <f t="shared" si="40"/>
        <v/>
      </c>
      <c r="R326" s="37" t="str">
        <f t="shared" si="41"/>
        <v/>
      </c>
    </row>
    <row r="327" spans="1:18" x14ac:dyDescent="0.35">
      <c r="A327" s="8">
        <v>323</v>
      </c>
      <c r="B327" s="9" t="str">
        <f t="shared" si="35"/>
        <v/>
      </c>
      <c r="C327" s="10"/>
      <c r="D327" s="9" t="str">
        <f>IF(F327="","",_xlfn.XLOOKUP(F327,purchase!D:D,purchase!#REF!,""))</f>
        <v/>
      </c>
      <c r="E327" s="9" t="str">
        <f>IF(F327="","",_xlfn.XLOOKUP(F327,purchase!D:D,purchase!B:B,""))</f>
        <v/>
      </c>
      <c r="F327" s="2"/>
      <c r="G327" s="4" t="str">
        <f t="shared" si="36"/>
        <v/>
      </c>
      <c r="H327" s="4" t="str">
        <f>IF(F327="","",_xlfn.XLOOKUP(F327,purchase!D:D,purchase!#REF!,""))</f>
        <v/>
      </c>
      <c r="I327" s="4" t="str">
        <f t="shared" si="37"/>
        <v/>
      </c>
      <c r="J327" s="4" t="str">
        <f t="shared" si="38"/>
        <v/>
      </c>
      <c r="K327" s="13" t="str">
        <f>_xlfn.SINGLE(IF(F327="","",_xlfn.XLOOKUP(F327,purchase!D:D,purchase!#REF!,"")))</f>
        <v/>
      </c>
      <c r="L327" s="2"/>
      <c r="M327" s="32"/>
      <c r="N327" s="13" t="str">
        <f>IF(F327="","",
MAX(0,
_xlfn.XLOOKUP(F327,purchase!D:D,purchase!#REF!,"")
-
SUMIFS(L:L,F:F,F327)))</f>
        <v/>
      </c>
      <c r="O327" s="13" t="str">
        <f t="shared" si="39"/>
        <v/>
      </c>
      <c r="P327" s="35" t="str">
        <f>_xlfn.SINGLE(IF(F327="","",_xlfn.XLOOKUP(F327,purchase!D:D,purchase!K:K,"")))</f>
        <v/>
      </c>
      <c r="Q327" s="29" t="str">
        <f t="shared" si="40"/>
        <v/>
      </c>
      <c r="R327" s="37" t="str">
        <f t="shared" si="41"/>
        <v/>
      </c>
    </row>
    <row r="328" spans="1:18" x14ac:dyDescent="0.35">
      <c r="A328" s="8">
        <v>324</v>
      </c>
      <c r="B328" s="9" t="str">
        <f t="shared" si="35"/>
        <v/>
      </c>
      <c r="C328" s="10"/>
      <c r="D328" s="9" t="str">
        <f>IF(F328="","",_xlfn.XLOOKUP(F328,purchase!D:D,purchase!#REF!,""))</f>
        <v/>
      </c>
      <c r="E328" s="9" t="str">
        <f>IF(F328="","",_xlfn.XLOOKUP(F328,purchase!D:D,purchase!B:B,""))</f>
        <v/>
      </c>
      <c r="F328" s="2"/>
      <c r="G328" s="4" t="str">
        <f t="shared" si="36"/>
        <v/>
      </c>
      <c r="H328" s="4" t="str">
        <f>IF(F328="","",_xlfn.XLOOKUP(F328,purchase!D:D,purchase!#REF!,""))</f>
        <v/>
      </c>
      <c r="I328" s="4" t="str">
        <f t="shared" si="37"/>
        <v/>
      </c>
      <c r="J328" s="4" t="str">
        <f t="shared" si="38"/>
        <v/>
      </c>
      <c r="K328" s="13" t="str">
        <f>_xlfn.SINGLE(IF(F328="","",_xlfn.XLOOKUP(F328,purchase!D:D,purchase!#REF!,"")))</f>
        <v/>
      </c>
      <c r="L328" s="2"/>
      <c r="M328" s="32"/>
      <c r="N328" s="13" t="str">
        <f>IF(F328="","",
MAX(0,
_xlfn.XLOOKUP(F328,purchase!D:D,purchase!#REF!,"")
-
SUMIFS(L:L,F:F,F328)))</f>
        <v/>
      </c>
      <c r="O328" s="13" t="str">
        <f t="shared" si="39"/>
        <v/>
      </c>
      <c r="P328" s="35" t="str">
        <f>_xlfn.SINGLE(IF(F328="","",_xlfn.XLOOKUP(F328,purchase!D:D,purchase!K:K,"")))</f>
        <v/>
      </c>
      <c r="Q328" s="29" t="str">
        <f t="shared" si="40"/>
        <v/>
      </c>
      <c r="R328" s="37" t="str">
        <f t="shared" si="41"/>
        <v/>
      </c>
    </row>
    <row r="329" spans="1:18" x14ac:dyDescent="0.35">
      <c r="A329" s="8">
        <v>325</v>
      </c>
      <c r="B329" s="9" t="str">
        <f t="shared" si="35"/>
        <v/>
      </c>
      <c r="C329" s="10"/>
      <c r="D329" s="9" t="str">
        <f>IF(F329="","",_xlfn.XLOOKUP(F329,purchase!D:D,purchase!#REF!,""))</f>
        <v/>
      </c>
      <c r="E329" s="9" t="str">
        <f>IF(F329="","",_xlfn.XLOOKUP(F329,purchase!D:D,purchase!B:B,""))</f>
        <v/>
      </c>
      <c r="F329" s="2"/>
      <c r="G329" s="4" t="str">
        <f t="shared" si="36"/>
        <v/>
      </c>
      <c r="H329" s="4" t="str">
        <f>IF(F329="","",_xlfn.XLOOKUP(F329,purchase!D:D,purchase!#REF!,""))</f>
        <v/>
      </c>
      <c r="I329" s="4" t="str">
        <f t="shared" si="37"/>
        <v/>
      </c>
      <c r="J329" s="4" t="str">
        <f t="shared" si="38"/>
        <v/>
      </c>
      <c r="K329" s="13" t="str">
        <f>_xlfn.SINGLE(IF(F329="","",_xlfn.XLOOKUP(F329,purchase!D:D,purchase!#REF!,"")))</f>
        <v/>
      </c>
      <c r="L329" s="2"/>
      <c r="M329" s="32"/>
      <c r="N329" s="13" t="str">
        <f>IF(F329="","",
MAX(0,
_xlfn.XLOOKUP(F329,purchase!D:D,purchase!#REF!,"")
-
SUMIFS(L:L,F:F,F329)))</f>
        <v/>
      </c>
      <c r="O329" s="13" t="str">
        <f t="shared" si="39"/>
        <v/>
      </c>
      <c r="P329" s="35" t="str">
        <f>_xlfn.SINGLE(IF(F329="","",_xlfn.XLOOKUP(F329,purchase!D:D,purchase!K:K,"")))</f>
        <v/>
      </c>
      <c r="Q329" s="29" t="str">
        <f t="shared" si="40"/>
        <v/>
      </c>
      <c r="R329" s="37" t="str">
        <f t="shared" si="41"/>
        <v/>
      </c>
    </row>
    <row r="330" spans="1:18" x14ac:dyDescent="0.35">
      <c r="A330" s="8">
        <v>326</v>
      </c>
      <c r="B330" s="9" t="str">
        <f t="shared" si="35"/>
        <v/>
      </c>
      <c r="C330" s="10"/>
      <c r="D330" s="9" t="str">
        <f>IF(F330="","",_xlfn.XLOOKUP(F330,purchase!D:D,purchase!#REF!,""))</f>
        <v/>
      </c>
      <c r="E330" s="9" t="str">
        <f>IF(F330="","",_xlfn.XLOOKUP(F330,purchase!D:D,purchase!B:B,""))</f>
        <v/>
      </c>
      <c r="F330" s="2"/>
      <c r="G330" s="4" t="str">
        <f t="shared" si="36"/>
        <v/>
      </c>
      <c r="H330" s="4" t="str">
        <f>IF(F330="","",_xlfn.XLOOKUP(F330,purchase!D:D,purchase!#REF!,""))</f>
        <v/>
      </c>
      <c r="I330" s="4" t="str">
        <f t="shared" si="37"/>
        <v/>
      </c>
      <c r="J330" s="4" t="str">
        <f t="shared" si="38"/>
        <v/>
      </c>
      <c r="K330" s="13" t="str">
        <f>_xlfn.SINGLE(IF(F330="","",_xlfn.XLOOKUP(F330,purchase!D:D,purchase!#REF!,"")))</f>
        <v/>
      </c>
      <c r="L330" s="2"/>
      <c r="M330" s="32"/>
      <c r="N330" s="13" t="str">
        <f>IF(F330="","",
MAX(0,
_xlfn.XLOOKUP(F330,purchase!D:D,purchase!#REF!,"")
-
SUMIFS(L:L,F:F,F330)))</f>
        <v/>
      </c>
      <c r="O330" s="13" t="str">
        <f t="shared" si="39"/>
        <v/>
      </c>
      <c r="P330" s="35" t="str">
        <f>_xlfn.SINGLE(IF(F330="","",_xlfn.XLOOKUP(F330,purchase!D:D,purchase!K:K,"")))</f>
        <v/>
      </c>
      <c r="Q330" s="29" t="str">
        <f t="shared" si="40"/>
        <v/>
      </c>
      <c r="R330" s="37" t="str">
        <f t="shared" si="41"/>
        <v/>
      </c>
    </row>
    <row r="331" spans="1:18" x14ac:dyDescent="0.35">
      <c r="A331" s="8">
        <v>327</v>
      </c>
      <c r="B331" s="9" t="str">
        <f t="shared" si="35"/>
        <v/>
      </c>
      <c r="C331" s="10"/>
      <c r="D331" s="9" t="str">
        <f>IF(F331="","",_xlfn.XLOOKUP(F331,purchase!D:D,purchase!#REF!,""))</f>
        <v/>
      </c>
      <c r="E331" s="9" t="str">
        <f>IF(F331="","",_xlfn.XLOOKUP(F331,purchase!D:D,purchase!B:B,""))</f>
        <v/>
      </c>
      <c r="F331" s="2"/>
      <c r="G331" s="4" t="str">
        <f t="shared" si="36"/>
        <v/>
      </c>
      <c r="H331" s="4" t="str">
        <f>IF(F331="","",_xlfn.XLOOKUP(F331,purchase!D:D,purchase!#REF!,""))</f>
        <v/>
      </c>
      <c r="I331" s="4" t="str">
        <f t="shared" si="37"/>
        <v/>
      </c>
      <c r="J331" s="4" t="str">
        <f t="shared" si="38"/>
        <v/>
      </c>
      <c r="K331" s="13" t="str">
        <f>_xlfn.SINGLE(IF(F331="","",_xlfn.XLOOKUP(F331,purchase!D:D,purchase!#REF!,"")))</f>
        <v/>
      </c>
      <c r="L331" s="2"/>
      <c r="M331" s="32"/>
      <c r="N331" s="13" t="str">
        <f>IF(F331="","",
MAX(0,
_xlfn.XLOOKUP(F331,purchase!D:D,purchase!#REF!,"")
-
SUMIFS(L:L,F:F,F331)))</f>
        <v/>
      </c>
      <c r="O331" s="13" t="str">
        <f t="shared" si="39"/>
        <v/>
      </c>
      <c r="P331" s="35" t="str">
        <f>_xlfn.SINGLE(IF(F331="","",_xlfn.XLOOKUP(F331,purchase!D:D,purchase!K:K,"")))</f>
        <v/>
      </c>
      <c r="Q331" s="29" t="str">
        <f t="shared" si="40"/>
        <v/>
      </c>
      <c r="R331" s="37" t="str">
        <f t="shared" si="41"/>
        <v/>
      </c>
    </row>
    <row r="332" spans="1:18" x14ac:dyDescent="0.35">
      <c r="A332" s="8">
        <v>328</v>
      </c>
      <c r="B332" s="9" t="str">
        <f t="shared" si="35"/>
        <v/>
      </c>
      <c r="C332" s="10"/>
      <c r="D332" s="9" t="str">
        <f>IF(F332="","",_xlfn.XLOOKUP(F332,purchase!D:D,purchase!#REF!,""))</f>
        <v/>
      </c>
      <c r="E332" s="9" t="str">
        <f>IF(F332="","",_xlfn.XLOOKUP(F332,purchase!D:D,purchase!B:B,""))</f>
        <v/>
      </c>
      <c r="F332" s="2"/>
      <c r="G332" s="4" t="str">
        <f t="shared" si="36"/>
        <v/>
      </c>
      <c r="H332" s="4" t="str">
        <f>IF(F332="","",_xlfn.XLOOKUP(F332,purchase!D:D,purchase!#REF!,""))</f>
        <v/>
      </c>
      <c r="I332" s="4" t="str">
        <f t="shared" si="37"/>
        <v/>
      </c>
      <c r="J332" s="4" t="str">
        <f t="shared" si="38"/>
        <v/>
      </c>
      <c r="K332" s="13" t="str">
        <f>_xlfn.SINGLE(IF(F332="","",_xlfn.XLOOKUP(F332,purchase!D:D,purchase!#REF!,"")))</f>
        <v/>
      </c>
      <c r="L332" s="2"/>
      <c r="M332" s="32"/>
      <c r="N332" s="13" t="str">
        <f>IF(F332="","",
MAX(0,
_xlfn.XLOOKUP(F332,purchase!D:D,purchase!#REF!,"")
-
SUMIFS(L:L,F:F,F332)))</f>
        <v/>
      </c>
      <c r="O332" s="13" t="str">
        <f t="shared" si="39"/>
        <v/>
      </c>
      <c r="P332" s="35" t="str">
        <f>_xlfn.SINGLE(IF(F332="","",_xlfn.XLOOKUP(F332,purchase!D:D,purchase!K:K,"")))</f>
        <v/>
      </c>
      <c r="Q332" s="29" t="str">
        <f t="shared" si="40"/>
        <v/>
      </c>
      <c r="R332" s="37" t="str">
        <f t="shared" si="41"/>
        <v/>
      </c>
    </row>
    <row r="333" spans="1:18" x14ac:dyDescent="0.35">
      <c r="A333" s="8">
        <v>329</v>
      </c>
      <c r="B333" s="9" t="str">
        <f t="shared" si="35"/>
        <v/>
      </c>
      <c r="C333" s="10"/>
      <c r="D333" s="9" t="str">
        <f>IF(F333="","",_xlfn.XLOOKUP(F333,purchase!D:D,purchase!#REF!,""))</f>
        <v/>
      </c>
      <c r="E333" s="9" t="str">
        <f>IF(F333="","",_xlfn.XLOOKUP(F333,purchase!D:D,purchase!B:B,""))</f>
        <v/>
      </c>
      <c r="F333" s="2"/>
      <c r="G333" s="4" t="str">
        <f t="shared" si="36"/>
        <v/>
      </c>
      <c r="H333" s="4" t="str">
        <f>IF(F333="","",_xlfn.XLOOKUP(F333,purchase!D:D,purchase!#REF!,""))</f>
        <v/>
      </c>
      <c r="I333" s="4" t="str">
        <f t="shared" si="37"/>
        <v/>
      </c>
      <c r="J333" s="4" t="str">
        <f t="shared" si="38"/>
        <v/>
      </c>
      <c r="K333" s="13" t="str">
        <f>_xlfn.SINGLE(IF(F333="","",_xlfn.XLOOKUP(F333,purchase!D:D,purchase!#REF!,"")))</f>
        <v/>
      </c>
      <c r="L333" s="2"/>
      <c r="M333" s="32"/>
      <c r="N333" s="13" t="str">
        <f>IF(F333="","",
MAX(0,
_xlfn.XLOOKUP(F333,purchase!D:D,purchase!#REF!,"")
-
SUMIFS(L:L,F:F,F333)))</f>
        <v/>
      </c>
      <c r="O333" s="13" t="str">
        <f t="shared" si="39"/>
        <v/>
      </c>
      <c r="P333" s="35" t="str">
        <f>_xlfn.SINGLE(IF(F333="","",_xlfn.XLOOKUP(F333,purchase!D:D,purchase!K:K,"")))</f>
        <v/>
      </c>
      <c r="Q333" s="29" t="str">
        <f t="shared" si="40"/>
        <v/>
      </c>
      <c r="R333" s="37" t="str">
        <f t="shared" si="41"/>
        <v/>
      </c>
    </row>
    <row r="334" spans="1:18" x14ac:dyDescent="0.35">
      <c r="A334" s="8">
        <v>330</v>
      </c>
      <c r="B334" s="9" t="str">
        <f t="shared" si="35"/>
        <v/>
      </c>
      <c r="C334" s="10"/>
      <c r="D334" s="9" t="str">
        <f>IF(F334="","",_xlfn.XLOOKUP(F334,purchase!D:D,purchase!#REF!,""))</f>
        <v/>
      </c>
      <c r="E334" s="9" t="str">
        <f>IF(F334="","",_xlfn.XLOOKUP(F334,purchase!D:D,purchase!B:B,""))</f>
        <v/>
      </c>
      <c r="F334" s="2"/>
      <c r="G334" s="4" t="str">
        <f t="shared" si="36"/>
        <v/>
      </c>
      <c r="H334" s="4" t="str">
        <f>IF(F334="","",_xlfn.XLOOKUP(F334,purchase!D:D,purchase!#REF!,""))</f>
        <v/>
      </c>
      <c r="I334" s="4" t="str">
        <f t="shared" si="37"/>
        <v/>
      </c>
      <c r="J334" s="4" t="str">
        <f t="shared" si="38"/>
        <v/>
      </c>
      <c r="K334" s="13" t="str">
        <f>_xlfn.SINGLE(IF(F334="","",_xlfn.XLOOKUP(F334,purchase!D:D,purchase!#REF!,"")))</f>
        <v/>
      </c>
      <c r="L334" s="2"/>
      <c r="M334" s="32"/>
      <c r="N334" s="13" t="str">
        <f>IF(F334="","",
MAX(0,
_xlfn.XLOOKUP(F334,purchase!D:D,purchase!#REF!,"")
-
SUMIFS(L:L,F:F,F334)))</f>
        <v/>
      </c>
      <c r="O334" s="13" t="str">
        <f t="shared" si="39"/>
        <v/>
      </c>
      <c r="P334" s="35" t="str">
        <f>_xlfn.SINGLE(IF(F334="","",_xlfn.XLOOKUP(F334,purchase!D:D,purchase!K:K,"")))</f>
        <v/>
      </c>
      <c r="Q334" s="29" t="str">
        <f t="shared" si="40"/>
        <v/>
      </c>
      <c r="R334" s="37" t="str">
        <f t="shared" si="41"/>
        <v/>
      </c>
    </row>
    <row r="335" spans="1:18" x14ac:dyDescent="0.35">
      <c r="A335" s="8">
        <v>331</v>
      </c>
      <c r="B335" s="9" t="str">
        <f t="shared" si="35"/>
        <v/>
      </c>
      <c r="C335" s="10"/>
      <c r="D335" s="9" t="str">
        <f>IF(F335="","",_xlfn.XLOOKUP(F335,purchase!D:D,purchase!#REF!,""))</f>
        <v/>
      </c>
      <c r="E335" s="9" t="str">
        <f>IF(F335="","",_xlfn.XLOOKUP(F335,purchase!D:D,purchase!B:B,""))</f>
        <v/>
      </c>
      <c r="F335" s="2"/>
      <c r="G335" s="4" t="str">
        <f t="shared" si="36"/>
        <v/>
      </c>
      <c r="H335" s="4" t="str">
        <f>IF(F335="","",_xlfn.XLOOKUP(F335,purchase!D:D,purchase!#REF!,""))</f>
        <v/>
      </c>
      <c r="I335" s="4" t="str">
        <f t="shared" si="37"/>
        <v/>
      </c>
      <c r="J335" s="4" t="str">
        <f t="shared" si="38"/>
        <v/>
      </c>
      <c r="K335" s="13" t="str">
        <f>_xlfn.SINGLE(IF(F335="","",_xlfn.XLOOKUP(F335,purchase!D:D,purchase!#REF!,"")))</f>
        <v/>
      </c>
      <c r="L335" s="2"/>
      <c r="M335" s="32"/>
      <c r="N335" s="13" t="str">
        <f>IF(F335="","",
MAX(0,
_xlfn.XLOOKUP(F335,purchase!D:D,purchase!#REF!,"")
-
SUMIFS(L:L,F:F,F335)))</f>
        <v/>
      </c>
      <c r="O335" s="13" t="str">
        <f t="shared" si="39"/>
        <v/>
      </c>
      <c r="P335" s="35" t="str">
        <f>_xlfn.SINGLE(IF(F335="","",_xlfn.XLOOKUP(F335,purchase!D:D,purchase!K:K,"")))</f>
        <v/>
      </c>
      <c r="Q335" s="29" t="str">
        <f t="shared" si="40"/>
        <v/>
      </c>
      <c r="R335" s="37" t="str">
        <f t="shared" si="41"/>
        <v/>
      </c>
    </row>
    <row r="336" spans="1:18" x14ac:dyDescent="0.35">
      <c r="A336" s="8">
        <v>332</v>
      </c>
      <c r="B336" s="9" t="str">
        <f t="shared" si="35"/>
        <v/>
      </c>
      <c r="C336" s="10"/>
      <c r="D336" s="9" t="str">
        <f>IF(F336="","",_xlfn.XLOOKUP(F336,purchase!D:D,purchase!#REF!,""))</f>
        <v/>
      </c>
      <c r="E336" s="9" t="str">
        <f>IF(F336="","",_xlfn.XLOOKUP(F336,purchase!D:D,purchase!B:B,""))</f>
        <v/>
      </c>
      <c r="F336" s="2"/>
      <c r="G336" s="4" t="str">
        <f t="shared" si="36"/>
        <v/>
      </c>
      <c r="H336" s="4" t="str">
        <f>IF(F336="","",_xlfn.XLOOKUP(F336,purchase!D:D,purchase!#REF!,""))</f>
        <v/>
      </c>
      <c r="I336" s="4" t="str">
        <f t="shared" si="37"/>
        <v/>
      </c>
      <c r="J336" s="4" t="str">
        <f t="shared" si="38"/>
        <v/>
      </c>
      <c r="K336" s="13" t="str">
        <f>_xlfn.SINGLE(IF(F336="","",_xlfn.XLOOKUP(F336,purchase!D:D,purchase!#REF!,"")))</f>
        <v/>
      </c>
      <c r="L336" s="2"/>
      <c r="M336" s="32"/>
      <c r="N336" s="13" t="str">
        <f>IF(F336="","",
MAX(0,
_xlfn.XLOOKUP(F336,purchase!D:D,purchase!#REF!,"")
-
SUMIFS(L:L,F:F,F336)))</f>
        <v/>
      </c>
      <c r="O336" s="13" t="str">
        <f t="shared" si="39"/>
        <v/>
      </c>
      <c r="P336" s="35" t="str">
        <f>_xlfn.SINGLE(IF(F336="","",_xlfn.XLOOKUP(F336,purchase!D:D,purchase!K:K,"")))</f>
        <v/>
      </c>
      <c r="Q336" s="29" t="str">
        <f t="shared" si="40"/>
        <v/>
      </c>
      <c r="R336" s="37" t="str">
        <f t="shared" si="41"/>
        <v/>
      </c>
    </row>
    <row r="337" spans="1:18" x14ac:dyDescent="0.35">
      <c r="A337" s="8">
        <v>333</v>
      </c>
      <c r="B337" s="9" t="str">
        <f t="shared" si="35"/>
        <v/>
      </c>
      <c r="C337" s="10"/>
      <c r="D337" s="9" t="str">
        <f>IF(F337="","",_xlfn.XLOOKUP(F337,purchase!D:D,purchase!#REF!,""))</f>
        <v/>
      </c>
      <c r="E337" s="9" t="str">
        <f>IF(F337="","",_xlfn.XLOOKUP(F337,purchase!D:D,purchase!B:B,""))</f>
        <v/>
      </c>
      <c r="F337" s="2"/>
      <c r="G337" s="4" t="str">
        <f t="shared" si="36"/>
        <v/>
      </c>
      <c r="H337" s="4" t="str">
        <f>IF(F337="","",_xlfn.XLOOKUP(F337,purchase!D:D,purchase!#REF!,""))</f>
        <v/>
      </c>
      <c r="I337" s="4" t="str">
        <f t="shared" si="37"/>
        <v/>
      </c>
      <c r="J337" s="4" t="str">
        <f t="shared" si="38"/>
        <v/>
      </c>
      <c r="K337" s="13" t="str">
        <f>_xlfn.SINGLE(IF(F337="","",_xlfn.XLOOKUP(F337,purchase!D:D,purchase!#REF!,"")))</f>
        <v/>
      </c>
      <c r="L337" s="2"/>
      <c r="M337" s="32"/>
      <c r="N337" s="13" t="str">
        <f>IF(F337="","",
MAX(0,
_xlfn.XLOOKUP(F337,purchase!D:D,purchase!#REF!,"")
-
SUMIFS(L:L,F:F,F337)))</f>
        <v/>
      </c>
      <c r="O337" s="13" t="str">
        <f t="shared" si="39"/>
        <v/>
      </c>
      <c r="P337" s="35" t="str">
        <f>_xlfn.SINGLE(IF(F337="","",_xlfn.XLOOKUP(F337,purchase!D:D,purchase!K:K,"")))</f>
        <v/>
      </c>
      <c r="Q337" s="29" t="str">
        <f t="shared" si="40"/>
        <v/>
      </c>
      <c r="R337" s="37" t="str">
        <f t="shared" si="41"/>
        <v/>
      </c>
    </row>
    <row r="338" spans="1:18" x14ac:dyDescent="0.35">
      <c r="A338" s="8">
        <v>334</v>
      </c>
      <c r="B338" s="9" t="str">
        <f t="shared" si="35"/>
        <v/>
      </c>
      <c r="C338" s="10"/>
      <c r="D338" s="9" t="str">
        <f>IF(F338="","",_xlfn.XLOOKUP(F338,purchase!D:D,purchase!#REF!,""))</f>
        <v/>
      </c>
      <c r="E338" s="9" t="str">
        <f>IF(F338="","",_xlfn.XLOOKUP(F338,purchase!D:D,purchase!B:B,""))</f>
        <v/>
      </c>
      <c r="F338" s="2"/>
      <c r="G338" s="4" t="str">
        <f t="shared" si="36"/>
        <v/>
      </c>
      <c r="H338" s="4" t="str">
        <f>IF(F338="","",_xlfn.XLOOKUP(F338,purchase!D:D,purchase!#REF!,""))</f>
        <v/>
      </c>
      <c r="I338" s="4" t="str">
        <f t="shared" si="37"/>
        <v/>
      </c>
      <c r="J338" s="4" t="str">
        <f t="shared" si="38"/>
        <v/>
      </c>
      <c r="K338" s="13" t="str">
        <f>_xlfn.SINGLE(IF(F338="","",_xlfn.XLOOKUP(F338,purchase!D:D,purchase!#REF!,"")))</f>
        <v/>
      </c>
      <c r="L338" s="2"/>
      <c r="M338" s="32"/>
      <c r="N338" s="13" t="str">
        <f>IF(F338="","",
MAX(0,
_xlfn.XLOOKUP(F338,purchase!D:D,purchase!#REF!,"")
-
SUMIFS(L:L,F:F,F338)))</f>
        <v/>
      </c>
      <c r="O338" s="13" t="str">
        <f t="shared" si="39"/>
        <v/>
      </c>
      <c r="P338" s="35" t="str">
        <f>_xlfn.SINGLE(IF(F338="","",_xlfn.XLOOKUP(F338,purchase!D:D,purchase!K:K,"")))</f>
        <v/>
      </c>
      <c r="Q338" s="29" t="str">
        <f t="shared" si="40"/>
        <v/>
      </c>
      <c r="R338" s="37" t="str">
        <f t="shared" si="41"/>
        <v/>
      </c>
    </row>
    <row r="339" spans="1:18" x14ac:dyDescent="0.35">
      <c r="A339" s="8">
        <v>335</v>
      </c>
      <c r="B339" s="9" t="str">
        <f t="shared" si="35"/>
        <v/>
      </c>
      <c r="C339" s="10"/>
      <c r="D339" s="9" t="str">
        <f>IF(F339="","",_xlfn.XLOOKUP(F339,purchase!D:D,purchase!#REF!,""))</f>
        <v/>
      </c>
      <c r="E339" s="9" t="str">
        <f>IF(F339="","",_xlfn.XLOOKUP(F339,purchase!D:D,purchase!B:B,""))</f>
        <v/>
      </c>
      <c r="F339" s="2"/>
      <c r="G339" s="4" t="str">
        <f t="shared" si="36"/>
        <v/>
      </c>
      <c r="H339" s="4" t="str">
        <f>IF(F339="","",_xlfn.XLOOKUP(F339,purchase!D:D,purchase!#REF!,""))</f>
        <v/>
      </c>
      <c r="I339" s="4" t="str">
        <f t="shared" si="37"/>
        <v/>
      </c>
      <c r="J339" s="4" t="str">
        <f t="shared" si="38"/>
        <v/>
      </c>
      <c r="K339" s="13" t="str">
        <f>_xlfn.SINGLE(IF(F339="","",_xlfn.XLOOKUP(F339,purchase!D:D,purchase!#REF!,"")))</f>
        <v/>
      </c>
      <c r="L339" s="2"/>
      <c r="M339" s="32"/>
      <c r="N339" s="13" t="str">
        <f>IF(F339="","",
MAX(0,
_xlfn.XLOOKUP(F339,purchase!D:D,purchase!#REF!,"")
-
SUMIFS(L:L,F:F,F339)))</f>
        <v/>
      </c>
      <c r="O339" s="13" t="str">
        <f t="shared" si="39"/>
        <v/>
      </c>
      <c r="P339" s="35" t="str">
        <f>_xlfn.SINGLE(IF(F339="","",_xlfn.XLOOKUP(F339,purchase!D:D,purchase!K:K,"")))</f>
        <v/>
      </c>
      <c r="Q339" s="29" t="str">
        <f t="shared" si="40"/>
        <v/>
      </c>
      <c r="R339" s="37" t="str">
        <f t="shared" si="41"/>
        <v/>
      </c>
    </row>
    <row r="340" spans="1:18" x14ac:dyDescent="0.35">
      <c r="A340" s="8">
        <v>336</v>
      </c>
      <c r="B340" s="9" t="str">
        <f t="shared" si="35"/>
        <v/>
      </c>
      <c r="C340" s="10"/>
      <c r="D340" s="9" t="str">
        <f>IF(F340="","",_xlfn.XLOOKUP(F340,purchase!D:D,purchase!#REF!,""))</f>
        <v/>
      </c>
      <c r="E340" s="9" t="str">
        <f>IF(F340="","",_xlfn.XLOOKUP(F340,purchase!D:D,purchase!B:B,""))</f>
        <v/>
      </c>
      <c r="F340" s="2"/>
      <c r="G340" s="4" t="str">
        <f t="shared" si="36"/>
        <v/>
      </c>
      <c r="H340" s="4" t="str">
        <f>IF(F340="","",_xlfn.XLOOKUP(F340,purchase!D:D,purchase!#REF!,""))</f>
        <v/>
      </c>
      <c r="I340" s="4" t="str">
        <f t="shared" si="37"/>
        <v/>
      </c>
      <c r="J340" s="4" t="str">
        <f t="shared" si="38"/>
        <v/>
      </c>
      <c r="K340" s="13" t="str">
        <f>_xlfn.SINGLE(IF(F340="","",_xlfn.XLOOKUP(F340,purchase!D:D,purchase!#REF!,"")))</f>
        <v/>
      </c>
      <c r="L340" s="2"/>
      <c r="M340" s="32"/>
      <c r="N340" s="13" t="str">
        <f>IF(F340="","",
MAX(0,
_xlfn.XLOOKUP(F340,purchase!D:D,purchase!#REF!,"")
-
SUMIFS(L:L,F:F,F340)))</f>
        <v/>
      </c>
      <c r="O340" s="13" t="str">
        <f t="shared" si="39"/>
        <v/>
      </c>
      <c r="P340" s="35" t="str">
        <f>_xlfn.SINGLE(IF(F340="","",_xlfn.XLOOKUP(F340,purchase!D:D,purchase!K:K,"")))</f>
        <v/>
      </c>
      <c r="Q340" s="29" t="str">
        <f t="shared" si="40"/>
        <v/>
      </c>
      <c r="R340" s="37" t="str">
        <f t="shared" si="41"/>
        <v/>
      </c>
    </row>
    <row r="341" spans="1:18" x14ac:dyDescent="0.35">
      <c r="A341" s="8">
        <v>337</v>
      </c>
      <c r="B341" s="9" t="str">
        <f t="shared" si="35"/>
        <v/>
      </c>
      <c r="C341" s="10"/>
      <c r="D341" s="9" t="str">
        <f>IF(F341="","",_xlfn.XLOOKUP(F341,purchase!D:D,purchase!#REF!,""))</f>
        <v/>
      </c>
      <c r="E341" s="9" t="str">
        <f>IF(F341="","",_xlfn.XLOOKUP(F341,purchase!D:D,purchase!B:B,""))</f>
        <v/>
      </c>
      <c r="F341" s="2"/>
      <c r="G341" s="4" t="str">
        <f t="shared" si="36"/>
        <v/>
      </c>
      <c r="H341" s="4" t="str">
        <f>IF(F341="","",_xlfn.XLOOKUP(F341,purchase!D:D,purchase!#REF!,""))</f>
        <v/>
      </c>
      <c r="I341" s="4" t="str">
        <f t="shared" si="37"/>
        <v/>
      </c>
      <c r="J341" s="4" t="str">
        <f t="shared" si="38"/>
        <v/>
      </c>
      <c r="K341" s="13" t="str">
        <f>_xlfn.SINGLE(IF(F341="","",_xlfn.XLOOKUP(F341,purchase!D:D,purchase!#REF!,"")))</f>
        <v/>
      </c>
      <c r="L341" s="2"/>
      <c r="M341" s="32"/>
      <c r="N341" s="13" t="str">
        <f>IF(F341="","",
MAX(0,
_xlfn.XLOOKUP(F341,purchase!D:D,purchase!#REF!,"")
-
SUMIFS(L:L,F:F,F341)))</f>
        <v/>
      </c>
      <c r="O341" s="13" t="str">
        <f t="shared" si="39"/>
        <v/>
      </c>
      <c r="P341" s="35" t="str">
        <f>_xlfn.SINGLE(IF(F341="","",_xlfn.XLOOKUP(F341,purchase!D:D,purchase!K:K,"")))</f>
        <v/>
      </c>
      <c r="Q341" s="29" t="str">
        <f t="shared" si="40"/>
        <v/>
      </c>
      <c r="R341" s="37" t="str">
        <f t="shared" si="41"/>
        <v/>
      </c>
    </row>
    <row r="342" spans="1:18" x14ac:dyDescent="0.35">
      <c r="A342" s="8">
        <v>338</v>
      </c>
      <c r="B342" s="9" t="str">
        <f t="shared" si="35"/>
        <v/>
      </c>
      <c r="C342" s="10"/>
      <c r="D342" s="9" t="str">
        <f>IF(F342="","",_xlfn.XLOOKUP(F342,purchase!D:D,purchase!#REF!,""))</f>
        <v/>
      </c>
      <c r="E342" s="9" t="str">
        <f>IF(F342="","",_xlfn.XLOOKUP(F342,purchase!D:D,purchase!B:B,""))</f>
        <v/>
      </c>
      <c r="F342" s="2"/>
      <c r="G342" s="4" t="str">
        <f t="shared" si="36"/>
        <v/>
      </c>
      <c r="H342" s="4" t="str">
        <f>IF(F342="","",_xlfn.XLOOKUP(F342,purchase!D:D,purchase!#REF!,""))</f>
        <v/>
      </c>
      <c r="I342" s="4" t="str">
        <f t="shared" si="37"/>
        <v/>
      </c>
      <c r="J342" s="4" t="str">
        <f t="shared" si="38"/>
        <v/>
      </c>
      <c r="K342" s="13" t="str">
        <f>_xlfn.SINGLE(IF(F342="","",_xlfn.XLOOKUP(F342,purchase!D:D,purchase!#REF!,"")))</f>
        <v/>
      </c>
      <c r="L342" s="2"/>
      <c r="M342" s="32"/>
      <c r="N342" s="13" t="str">
        <f>IF(F342="","",
MAX(0,
_xlfn.XLOOKUP(F342,purchase!D:D,purchase!#REF!,"")
-
SUMIFS(L:L,F:F,F342)))</f>
        <v/>
      </c>
      <c r="O342" s="13" t="str">
        <f t="shared" si="39"/>
        <v/>
      </c>
      <c r="P342" s="35" t="str">
        <f>_xlfn.SINGLE(IF(F342="","",_xlfn.XLOOKUP(F342,purchase!D:D,purchase!K:K,"")))</f>
        <v/>
      </c>
      <c r="Q342" s="29" t="str">
        <f t="shared" si="40"/>
        <v/>
      </c>
      <c r="R342" s="37" t="str">
        <f t="shared" si="41"/>
        <v/>
      </c>
    </row>
    <row r="343" spans="1:18" x14ac:dyDescent="0.35">
      <c r="A343" s="8">
        <v>339</v>
      </c>
      <c r="B343" s="9" t="str">
        <f t="shared" si="35"/>
        <v/>
      </c>
      <c r="C343" s="10"/>
      <c r="D343" s="9" t="str">
        <f>IF(F343="","",_xlfn.XLOOKUP(F343,purchase!D:D,purchase!#REF!,""))</f>
        <v/>
      </c>
      <c r="E343" s="9" t="str">
        <f>IF(F343="","",_xlfn.XLOOKUP(F343,purchase!D:D,purchase!B:B,""))</f>
        <v/>
      </c>
      <c r="F343" s="2"/>
      <c r="G343" s="4" t="str">
        <f t="shared" si="36"/>
        <v/>
      </c>
      <c r="H343" s="4" t="str">
        <f>IF(F343="","",_xlfn.XLOOKUP(F343,purchase!D:D,purchase!#REF!,""))</f>
        <v/>
      </c>
      <c r="I343" s="4" t="str">
        <f t="shared" si="37"/>
        <v/>
      </c>
      <c r="J343" s="4" t="str">
        <f t="shared" si="38"/>
        <v/>
      </c>
      <c r="K343" s="13" t="str">
        <f>_xlfn.SINGLE(IF(F343="","",_xlfn.XLOOKUP(F343,purchase!D:D,purchase!#REF!,"")))</f>
        <v/>
      </c>
      <c r="L343" s="2"/>
      <c r="M343" s="32"/>
      <c r="N343" s="13" t="str">
        <f>IF(F343="","",
MAX(0,
_xlfn.XLOOKUP(F343,purchase!D:D,purchase!#REF!,"")
-
SUMIFS(L:L,F:F,F343)))</f>
        <v/>
      </c>
      <c r="O343" s="13" t="str">
        <f t="shared" si="39"/>
        <v/>
      </c>
      <c r="P343" s="35" t="str">
        <f>_xlfn.SINGLE(IF(F343="","",_xlfn.XLOOKUP(F343,purchase!D:D,purchase!K:K,"")))</f>
        <v/>
      </c>
      <c r="Q343" s="29" t="str">
        <f t="shared" si="40"/>
        <v/>
      </c>
      <c r="R343" s="37" t="str">
        <f t="shared" si="41"/>
        <v/>
      </c>
    </row>
    <row r="344" spans="1:18" x14ac:dyDescent="0.35">
      <c r="A344" s="8">
        <v>340</v>
      </c>
      <c r="B344" s="9" t="str">
        <f t="shared" si="35"/>
        <v/>
      </c>
      <c r="C344" s="10"/>
      <c r="D344" s="9" t="str">
        <f>IF(F344="","",_xlfn.XLOOKUP(F344,purchase!D:D,purchase!#REF!,""))</f>
        <v/>
      </c>
      <c r="E344" s="9" t="str">
        <f>IF(F344="","",_xlfn.XLOOKUP(F344,purchase!D:D,purchase!B:B,""))</f>
        <v/>
      </c>
      <c r="F344" s="2"/>
      <c r="G344" s="4" t="str">
        <f t="shared" si="36"/>
        <v/>
      </c>
      <c r="H344" s="4" t="str">
        <f>IF(F344="","",_xlfn.XLOOKUP(F344,purchase!D:D,purchase!#REF!,""))</f>
        <v/>
      </c>
      <c r="I344" s="4" t="str">
        <f t="shared" si="37"/>
        <v/>
      </c>
      <c r="J344" s="4" t="str">
        <f t="shared" si="38"/>
        <v/>
      </c>
      <c r="K344" s="13" t="str">
        <f>_xlfn.SINGLE(IF(F344="","",_xlfn.XLOOKUP(F344,purchase!D:D,purchase!#REF!,"")))</f>
        <v/>
      </c>
      <c r="L344" s="2"/>
      <c r="M344" s="32"/>
      <c r="N344" s="13" t="str">
        <f>IF(F344="","",
MAX(0,
_xlfn.XLOOKUP(F344,purchase!D:D,purchase!#REF!,"")
-
SUMIFS(L:L,F:F,F344)))</f>
        <v/>
      </c>
      <c r="O344" s="13" t="str">
        <f t="shared" si="39"/>
        <v/>
      </c>
      <c r="P344" s="35" t="str">
        <f>_xlfn.SINGLE(IF(F344="","",_xlfn.XLOOKUP(F344,purchase!D:D,purchase!K:K,"")))</f>
        <v/>
      </c>
      <c r="Q344" s="29" t="str">
        <f t="shared" si="40"/>
        <v/>
      </c>
      <c r="R344" s="37" t="str">
        <f t="shared" si="41"/>
        <v/>
      </c>
    </row>
    <row r="345" spans="1:18" x14ac:dyDescent="0.35">
      <c r="A345" s="8">
        <v>341</v>
      </c>
      <c r="B345" s="9" t="str">
        <f t="shared" si="35"/>
        <v/>
      </c>
      <c r="C345" s="10"/>
      <c r="D345" s="9" t="str">
        <f>IF(F345="","",_xlfn.XLOOKUP(F345,purchase!D:D,purchase!#REF!,""))</f>
        <v/>
      </c>
      <c r="E345" s="9" t="str">
        <f>IF(F345="","",_xlfn.XLOOKUP(F345,purchase!D:D,purchase!B:B,""))</f>
        <v/>
      </c>
      <c r="F345" s="2"/>
      <c r="G345" s="4" t="str">
        <f t="shared" si="36"/>
        <v/>
      </c>
      <c r="H345" s="4" t="str">
        <f>IF(F345="","",_xlfn.XLOOKUP(F345,purchase!D:D,purchase!#REF!,""))</f>
        <v/>
      </c>
      <c r="I345" s="4" t="str">
        <f t="shared" si="37"/>
        <v/>
      </c>
      <c r="J345" s="4" t="str">
        <f t="shared" si="38"/>
        <v/>
      </c>
      <c r="K345" s="13" t="str">
        <f>_xlfn.SINGLE(IF(F345="","",_xlfn.XLOOKUP(F345,purchase!D:D,purchase!#REF!,"")))</f>
        <v/>
      </c>
      <c r="L345" s="2"/>
      <c r="M345" s="32"/>
      <c r="N345" s="13" t="str">
        <f>IF(F345="","",
MAX(0,
_xlfn.XLOOKUP(F345,purchase!D:D,purchase!#REF!,"")
-
SUMIFS(L:L,F:F,F345)))</f>
        <v/>
      </c>
      <c r="O345" s="13" t="str">
        <f t="shared" si="39"/>
        <v/>
      </c>
      <c r="P345" s="35" t="str">
        <f>_xlfn.SINGLE(IF(F345="","",_xlfn.XLOOKUP(F345,purchase!D:D,purchase!K:K,"")))</f>
        <v/>
      </c>
      <c r="Q345" s="29" t="str">
        <f t="shared" si="40"/>
        <v/>
      </c>
      <c r="R345" s="37" t="str">
        <f t="shared" si="41"/>
        <v/>
      </c>
    </row>
    <row r="346" spans="1:18" x14ac:dyDescent="0.35">
      <c r="A346" s="8">
        <v>342</v>
      </c>
      <c r="B346" s="9" t="str">
        <f t="shared" si="35"/>
        <v/>
      </c>
      <c r="C346" s="10"/>
      <c r="D346" s="9" t="str">
        <f>IF(F346="","",_xlfn.XLOOKUP(F346,purchase!D:D,purchase!#REF!,""))</f>
        <v/>
      </c>
      <c r="E346" s="9" t="str">
        <f>IF(F346="","",_xlfn.XLOOKUP(F346,purchase!D:D,purchase!B:B,""))</f>
        <v/>
      </c>
      <c r="F346" s="2"/>
      <c r="G346" s="4" t="str">
        <f t="shared" si="36"/>
        <v/>
      </c>
      <c r="H346" s="4" t="str">
        <f>IF(F346="","",_xlfn.XLOOKUP(F346,purchase!D:D,purchase!#REF!,""))</f>
        <v/>
      </c>
      <c r="I346" s="4" t="str">
        <f t="shared" si="37"/>
        <v/>
      </c>
      <c r="J346" s="4" t="str">
        <f t="shared" si="38"/>
        <v/>
      </c>
      <c r="K346" s="13" t="str">
        <f>_xlfn.SINGLE(IF(F346="","",_xlfn.XLOOKUP(F346,purchase!D:D,purchase!#REF!,"")))</f>
        <v/>
      </c>
      <c r="L346" s="2"/>
      <c r="M346" s="32"/>
      <c r="N346" s="13" t="str">
        <f>IF(F346="","",
MAX(0,
_xlfn.XLOOKUP(F346,purchase!D:D,purchase!#REF!,"")
-
SUMIFS(L:L,F:F,F346)))</f>
        <v/>
      </c>
      <c r="O346" s="13" t="str">
        <f t="shared" si="39"/>
        <v/>
      </c>
      <c r="P346" s="35" t="str">
        <f>_xlfn.SINGLE(IF(F346="","",_xlfn.XLOOKUP(F346,purchase!D:D,purchase!K:K,"")))</f>
        <v/>
      </c>
      <c r="Q346" s="29" t="str">
        <f t="shared" si="40"/>
        <v/>
      </c>
      <c r="R346" s="37" t="str">
        <f t="shared" si="41"/>
        <v/>
      </c>
    </row>
    <row r="347" spans="1:18" x14ac:dyDescent="0.35">
      <c r="A347" s="8">
        <v>343</v>
      </c>
      <c r="B347" s="9" t="str">
        <f t="shared" si="35"/>
        <v/>
      </c>
      <c r="C347" s="10"/>
      <c r="D347" s="9" t="str">
        <f>IF(F347="","",_xlfn.XLOOKUP(F347,purchase!D:D,purchase!#REF!,""))</f>
        <v/>
      </c>
      <c r="E347" s="9" t="str">
        <f>IF(F347="","",_xlfn.XLOOKUP(F347,purchase!D:D,purchase!B:B,""))</f>
        <v/>
      </c>
      <c r="F347" s="2"/>
      <c r="G347" s="4" t="str">
        <f t="shared" si="36"/>
        <v/>
      </c>
      <c r="H347" s="4" t="str">
        <f>IF(F347="","",_xlfn.XLOOKUP(F347,purchase!D:D,purchase!#REF!,""))</f>
        <v/>
      </c>
      <c r="I347" s="4" t="str">
        <f t="shared" si="37"/>
        <v/>
      </c>
      <c r="J347" s="4" t="str">
        <f t="shared" si="38"/>
        <v/>
      </c>
      <c r="K347" s="13" t="str">
        <f>_xlfn.SINGLE(IF(F347="","",_xlfn.XLOOKUP(F347,purchase!D:D,purchase!#REF!,"")))</f>
        <v/>
      </c>
      <c r="L347" s="2"/>
      <c r="M347" s="32"/>
      <c r="N347" s="13" t="str">
        <f>IF(F347="","",
MAX(0,
_xlfn.XLOOKUP(F347,purchase!D:D,purchase!#REF!,"")
-
SUMIFS(L:L,F:F,F347)))</f>
        <v/>
      </c>
      <c r="O347" s="13" t="str">
        <f t="shared" si="39"/>
        <v/>
      </c>
      <c r="P347" s="35" t="str">
        <f>_xlfn.SINGLE(IF(F347="","",_xlfn.XLOOKUP(F347,purchase!D:D,purchase!K:K,"")))</f>
        <v/>
      </c>
      <c r="Q347" s="29" t="str">
        <f t="shared" si="40"/>
        <v/>
      </c>
      <c r="R347" s="37" t="str">
        <f t="shared" si="41"/>
        <v/>
      </c>
    </row>
    <row r="348" spans="1:18" x14ac:dyDescent="0.35">
      <c r="A348" s="8">
        <v>344</v>
      </c>
      <c r="B348" s="9" t="str">
        <f t="shared" si="35"/>
        <v/>
      </c>
      <c r="C348" s="10"/>
      <c r="D348" s="9" t="str">
        <f>IF(F348="","",_xlfn.XLOOKUP(F348,purchase!D:D,purchase!#REF!,""))</f>
        <v/>
      </c>
      <c r="E348" s="9" t="str">
        <f>IF(F348="","",_xlfn.XLOOKUP(F348,purchase!D:D,purchase!B:B,""))</f>
        <v/>
      </c>
      <c r="F348" s="2"/>
      <c r="G348" s="4" t="str">
        <f t="shared" si="36"/>
        <v/>
      </c>
      <c r="H348" s="4" t="str">
        <f>IF(F348="","",_xlfn.XLOOKUP(F348,purchase!D:D,purchase!#REF!,""))</f>
        <v/>
      </c>
      <c r="I348" s="4" t="str">
        <f t="shared" si="37"/>
        <v/>
      </c>
      <c r="J348" s="4" t="str">
        <f t="shared" si="38"/>
        <v/>
      </c>
      <c r="K348" s="13" t="str">
        <f>_xlfn.SINGLE(IF(F348="","",_xlfn.XLOOKUP(F348,purchase!D:D,purchase!#REF!,"")))</f>
        <v/>
      </c>
      <c r="L348" s="2"/>
      <c r="M348" s="32"/>
      <c r="N348" s="13" t="str">
        <f>IF(F348="","",
MAX(0,
_xlfn.XLOOKUP(F348,purchase!D:D,purchase!#REF!,"")
-
SUMIFS(L:L,F:F,F348)))</f>
        <v/>
      </c>
      <c r="O348" s="13" t="str">
        <f t="shared" si="39"/>
        <v/>
      </c>
      <c r="P348" s="35" t="str">
        <f>_xlfn.SINGLE(IF(F348="","",_xlfn.XLOOKUP(F348,purchase!D:D,purchase!K:K,"")))</f>
        <v/>
      </c>
      <c r="Q348" s="29" t="str">
        <f t="shared" si="40"/>
        <v/>
      </c>
      <c r="R348" s="37" t="str">
        <f t="shared" si="41"/>
        <v/>
      </c>
    </row>
    <row r="349" spans="1:18" x14ac:dyDescent="0.35">
      <c r="A349" s="8">
        <v>345</v>
      </c>
      <c r="B349" s="9" t="str">
        <f t="shared" si="35"/>
        <v/>
      </c>
      <c r="C349" s="10"/>
      <c r="D349" s="9" t="str">
        <f>IF(F349="","",_xlfn.XLOOKUP(F349,purchase!D:D,purchase!#REF!,""))</f>
        <v/>
      </c>
      <c r="E349" s="9" t="str">
        <f>IF(F349="","",_xlfn.XLOOKUP(F349,purchase!D:D,purchase!B:B,""))</f>
        <v/>
      </c>
      <c r="F349" s="2"/>
      <c r="G349" s="4" t="str">
        <f t="shared" si="36"/>
        <v/>
      </c>
      <c r="H349" s="4" t="str">
        <f>IF(F349="","",_xlfn.XLOOKUP(F349,purchase!D:D,purchase!#REF!,""))</f>
        <v/>
      </c>
      <c r="I349" s="4" t="str">
        <f t="shared" si="37"/>
        <v/>
      </c>
      <c r="J349" s="4" t="str">
        <f t="shared" si="38"/>
        <v/>
      </c>
      <c r="K349" s="13" t="str">
        <f>_xlfn.SINGLE(IF(F349="","",_xlfn.XLOOKUP(F349,purchase!D:D,purchase!#REF!,"")))</f>
        <v/>
      </c>
      <c r="L349" s="2"/>
      <c r="M349" s="32"/>
      <c r="N349" s="13" t="str">
        <f>IF(F349="","",
MAX(0,
_xlfn.XLOOKUP(F349,purchase!D:D,purchase!#REF!,"")
-
SUMIFS(L:L,F:F,F349)))</f>
        <v/>
      </c>
      <c r="O349" s="13" t="str">
        <f t="shared" si="39"/>
        <v/>
      </c>
      <c r="P349" s="35" t="str">
        <f>_xlfn.SINGLE(IF(F349="","",_xlfn.XLOOKUP(F349,purchase!D:D,purchase!K:K,"")))</f>
        <v/>
      </c>
      <c r="Q349" s="29" t="str">
        <f t="shared" si="40"/>
        <v/>
      </c>
      <c r="R349" s="37" t="str">
        <f t="shared" si="41"/>
        <v/>
      </c>
    </row>
    <row r="350" spans="1:18" x14ac:dyDescent="0.35">
      <c r="A350" s="8">
        <v>346</v>
      </c>
      <c r="B350" s="9" t="str">
        <f t="shared" si="35"/>
        <v/>
      </c>
      <c r="C350" s="10"/>
      <c r="D350" s="9" t="str">
        <f>IF(F350="","",_xlfn.XLOOKUP(F350,purchase!D:D,purchase!#REF!,""))</f>
        <v/>
      </c>
      <c r="E350" s="9" t="str">
        <f>IF(F350="","",_xlfn.XLOOKUP(F350,purchase!D:D,purchase!B:B,""))</f>
        <v/>
      </c>
      <c r="F350" s="2"/>
      <c r="G350" s="4" t="str">
        <f t="shared" si="36"/>
        <v/>
      </c>
      <c r="H350" s="4" t="str">
        <f>IF(F350="","",_xlfn.XLOOKUP(F350,purchase!D:D,purchase!#REF!,""))</f>
        <v/>
      </c>
      <c r="I350" s="4" t="str">
        <f t="shared" si="37"/>
        <v/>
      </c>
      <c r="J350" s="4" t="str">
        <f t="shared" si="38"/>
        <v/>
      </c>
      <c r="K350" s="13" t="str">
        <f>_xlfn.SINGLE(IF(F350="","",_xlfn.XLOOKUP(F350,purchase!D:D,purchase!#REF!,"")))</f>
        <v/>
      </c>
      <c r="L350" s="2"/>
      <c r="M350" s="32"/>
      <c r="N350" s="13" t="str">
        <f>IF(F350="","",
MAX(0,
_xlfn.XLOOKUP(F350,purchase!D:D,purchase!#REF!,"")
-
SUMIFS(L:L,F:F,F350)))</f>
        <v/>
      </c>
      <c r="O350" s="13" t="str">
        <f t="shared" si="39"/>
        <v/>
      </c>
      <c r="P350" s="35" t="str">
        <f>_xlfn.SINGLE(IF(F350="","",_xlfn.XLOOKUP(F350,purchase!D:D,purchase!K:K,"")))</f>
        <v/>
      </c>
      <c r="Q350" s="29" t="str">
        <f t="shared" si="40"/>
        <v/>
      </c>
      <c r="R350" s="37" t="str">
        <f t="shared" si="41"/>
        <v/>
      </c>
    </row>
    <row r="351" spans="1:18" x14ac:dyDescent="0.35">
      <c r="A351" s="8">
        <v>347</v>
      </c>
      <c r="B351" s="9" t="str">
        <f t="shared" si="35"/>
        <v/>
      </c>
      <c r="C351" s="10"/>
      <c r="D351" s="9" t="str">
        <f>IF(F351="","",_xlfn.XLOOKUP(F351,purchase!D:D,purchase!#REF!,""))</f>
        <v/>
      </c>
      <c r="E351" s="9" t="str">
        <f>IF(F351="","",_xlfn.XLOOKUP(F351,purchase!D:D,purchase!B:B,""))</f>
        <v/>
      </c>
      <c r="F351" s="2"/>
      <c r="G351" s="4" t="str">
        <f t="shared" si="36"/>
        <v/>
      </c>
      <c r="H351" s="4" t="str">
        <f>IF(F351="","",_xlfn.XLOOKUP(F351,purchase!D:D,purchase!#REF!,""))</f>
        <v/>
      </c>
      <c r="I351" s="4" t="str">
        <f t="shared" si="37"/>
        <v/>
      </c>
      <c r="J351" s="4" t="str">
        <f t="shared" si="38"/>
        <v/>
      </c>
      <c r="K351" s="13" t="str">
        <f>_xlfn.SINGLE(IF(F351="","",_xlfn.XLOOKUP(F351,purchase!D:D,purchase!#REF!,"")))</f>
        <v/>
      </c>
      <c r="L351" s="2"/>
      <c r="M351" s="32"/>
      <c r="N351" s="13" t="str">
        <f>IF(F351="","",
MAX(0,
_xlfn.XLOOKUP(F351,purchase!D:D,purchase!#REF!,"")
-
SUMIFS(L:L,F:F,F351)))</f>
        <v/>
      </c>
      <c r="O351" s="13" t="str">
        <f t="shared" si="39"/>
        <v/>
      </c>
      <c r="P351" s="35" t="str">
        <f>_xlfn.SINGLE(IF(F351="","",_xlfn.XLOOKUP(F351,purchase!D:D,purchase!K:K,"")))</f>
        <v/>
      </c>
      <c r="Q351" s="29" t="str">
        <f t="shared" si="40"/>
        <v/>
      </c>
      <c r="R351" s="37" t="str">
        <f t="shared" si="41"/>
        <v/>
      </c>
    </row>
    <row r="352" spans="1:18" x14ac:dyDescent="0.35">
      <c r="A352" s="8">
        <v>348</v>
      </c>
      <c r="B352" s="9" t="str">
        <f t="shared" si="35"/>
        <v/>
      </c>
      <c r="C352" s="10"/>
      <c r="D352" s="9" t="str">
        <f>IF(F352="","",_xlfn.XLOOKUP(F352,purchase!D:D,purchase!#REF!,""))</f>
        <v/>
      </c>
      <c r="E352" s="9" t="str">
        <f>IF(F352="","",_xlfn.XLOOKUP(F352,purchase!D:D,purchase!B:B,""))</f>
        <v/>
      </c>
      <c r="F352" s="2"/>
      <c r="G352" s="4" t="str">
        <f t="shared" si="36"/>
        <v/>
      </c>
      <c r="H352" s="4" t="str">
        <f>IF(F352="","",_xlfn.XLOOKUP(F352,purchase!D:D,purchase!#REF!,""))</f>
        <v/>
      </c>
      <c r="I352" s="4" t="str">
        <f t="shared" si="37"/>
        <v/>
      </c>
      <c r="J352" s="4" t="str">
        <f t="shared" si="38"/>
        <v/>
      </c>
      <c r="K352" s="13" t="str">
        <f>_xlfn.SINGLE(IF(F352="","",_xlfn.XLOOKUP(F352,purchase!D:D,purchase!#REF!,"")))</f>
        <v/>
      </c>
      <c r="L352" s="2"/>
      <c r="M352" s="32"/>
      <c r="N352" s="13" t="str">
        <f>IF(F352="","",
MAX(0,
_xlfn.XLOOKUP(F352,purchase!D:D,purchase!#REF!,"")
-
SUMIFS(L:L,F:F,F352)))</f>
        <v/>
      </c>
      <c r="O352" s="13" t="str">
        <f t="shared" si="39"/>
        <v/>
      </c>
      <c r="P352" s="35" t="str">
        <f>_xlfn.SINGLE(IF(F352="","",_xlfn.XLOOKUP(F352,purchase!D:D,purchase!K:K,"")))</f>
        <v/>
      </c>
      <c r="Q352" s="29" t="str">
        <f t="shared" si="40"/>
        <v/>
      </c>
      <c r="R352" s="37" t="str">
        <f t="shared" si="41"/>
        <v/>
      </c>
    </row>
    <row r="353" spans="1:18" x14ac:dyDescent="0.35">
      <c r="A353" s="8">
        <v>349</v>
      </c>
      <c r="B353" s="9" t="str">
        <f t="shared" si="35"/>
        <v/>
      </c>
      <c r="C353" s="10"/>
      <c r="D353" s="9" t="str">
        <f>IF(F353="","",_xlfn.XLOOKUP(F353,purchase!D:D,purchase!#REF!,""))</f>
        <v/>
      </c>
      <c r="E353" s="9" t="str">
        <f>IF(F353="","",_xlfn.XLOOKUP(F353,purchase!D:D,purchase!B:B,""))</f>
        <v/>
      </c>
      <c r="F353" s="2"/>
      <c r="G353" s="4" t="str">
        <f t="shared" si="36"/>
        <v/>
      </c>
      <c r="H353" s="4" t="str">
        <f>IF(F353="","",_xlfn.XLOOKUP(F353,purchase!D:D,purchase!#REF!,""))</f>
        <v/>
      </c>
      <c r="I353" s="4" t="str">
        <f t="shared" si="37"/>
        <v/>
      </c>
      <c r="J353" s="4" t="str">
        <f t="shared" si="38"/>
        <v/>
      </c>
      <c r="K353" s="13" t="str">
        <f>_xlfn.SINGLE(IF(F353="","",_xlfn.XLOOKUP(F353,purchase!D:D,purchase!#REF!,"")))</f>
        <v/>
      </c>
      <c r="L353" s="2"/>
      <c r="M353" s="32"/>
      <c r="N353" s="13" t="str">
        <f>IF(F353="","",
MAX(0,
_xlfn.XLOOKUP(F353,purchase!D:D,purchase!#REF!,"")
-
SUMIFS(L:L,F:F,F353)))</f>
        <v/>
      </c>
      <c r="O353" s="13" t="str">
        <f t="shared" si="39"/>
        <v/>
      </c>
      <c r="P353" s="35" t="str">
        <f>_xlfn.SINGLE(IF(F353="","",_xlfn.XLOOKUP(F353,purchase!D:D,purchase!K:K,"")))</f>
        <v/>
      </c>
      <c r="Q353" s="29" t="str">
        <f t="shared" si="40"/>
        <v/>
      </c>
      <c r="R353" s="37" t="str">
        <f t="shared" si="41"/>
        <v/>
      </c>
    </row>
    <row r="354" spans="1:18" x14ac:dyDescent="0.35">
      <c r="A354" s="8">
        <v>350</v>
      </c>
      <c r="B354" s="9" t="str">
        <f t="shared" si="35"/>
        <v/>
      </c>
      <c r="C354" s="10"/>
      <c r="D354" s="9" t="str">
        <f>IF(F354="","",_xlfn.XLOOKUP(F354,purchase!D:D,purchase!#REF!,""))</f>
        <v/>
      </c>
      <c r="E354" s="9" t="str">
        <f>IF(F354="","",_xlfn.XLOOKUP(F354,purchase!D:D,purchase!B:B,""))</f>
        <v/>
      </c>
      <c r="F354" s="2"/>
      <c r="G354" s="4" t="str">
        <f t="shared" si="36"/>
        <v/>
      </c>
      <c r="H354" s="4" t="str">
        <f>IF(F354="","",_xlfn.XLOOKUP(F354,purchase!D:D,purchase!#REF!,""))</f>
        <v/>
      </c>
      <c r="I354" s="4" t="str">
        <f t="shared" si="37"/>
        <v/>
      </c>
      <c r="J354" s="4" t="str">
        <f t="shared" si="38"/>
        <v/>
      </c>
      <c r="K354" s="13" t="str">
        <f>_xlfn.SINGLE(IF(F354="","",_xlfn.XLOOKUP(F354,purchase!D:D,purchase!#REF!,"")))</f>
        <v/>
      </c>
      <c r="L354" s="2"/>
      <c r="M354" s="32"/>
      <c r="N354" s="13" t="str">
        <f>IF(F354="","",
MAX(0,
_xlfn.XLOOKUP(F354,purchase!D:D,purchase!#REF!,"")
-
SUMIFS(L:L,F:F,F354)))</f>
        <v/>
      </c>
      <c r="O354" s="13" t="str">
        <f t="shared" si="39"/>
        <v/>
      </c>
      <c r="P354" s="35" t="str">
        <f>_xlfn.SINGLE(IF(F354="","",_xlfn.XLOOKUP(F354,purchase!D:D,purchase!K:K,"")))</f>
        <v/>
      </c>
      <c r="Q354" s="29" t="str">
        <f t="shared" si="40"/>
        <v/>
      </c>
      <c r="R354" s="37" t="str">
        <f t="shared" si="41"/>
        <v/>
      </c>
    </row>
    <row r="355" spans="1:18" x14ac:dyDescent="0.35">
      <c r="A355" s="8">
        <v>351</v>
      </c>
      <c r="B355" s="9" t="str">
        <f t="shared" si="35"/>
        <v/>
      </c>
      <c r="C355" s="10"/>
      <c r="D355" s="9" t="str">
        <f>IF(F355="","",_xlfn.XLOOKUP(F355,purchase!D:D,purchase!#REF!,""))</f>
        <v/>
      </c>
      <c r="E355" s="9" t="str">
        <f>IF(F355="","",_xlfn.XLOOKUP(F355,purchase!D:D,purchase!B:B,""))</f>
        <v/>
      </c>
      <c r="F355" s="2"/>
      <c r="G355" s="4" t="str">
        <f t="shared" si="36"/>
        <v/>
      </c>
      <c r="H355" s="4" t="str">
        <f>IF(F355="","",_xlfn.XLOOKUP(F355,purchase!D:D,purchase!#REF!,""))</f>
        <v/>
      </c>
      <c r="I355" s="4" t="str">
        <f t="shared" si="37"/>
        <v/>
      </c>
      <c r="J355" s="4" t="str">
        <f t="shared" si="38"/>
        <v/>
      </c>
      <c r="K355" s="13" t="str">
        <f>_xlfn.SINGLE(IF(F355="","",_xlfn.XLOOKUP(F355,purchase!D:D,purchase!#REF!,"")))</f>
        <v/>
      </c>
      <c r="L355" s="2"/>
      <c r="M355" s="32"/>
      <c r="N355" s="13" t="str">
        <f>IF(F355="","",
MAX(0,
_xlfn.XLOOKUP(F355,purchase!D:D,purchase!#REF!,"")
-
SUMIFS(L:L,F:F,F355)))</f>
        <v/>
      </c>
      <c r="O355" s="13" t="str">
        <f t="shared" si="39"/>
        <v/>
      </c>
      <c r="P355" s="35" t="str">
        <f>_xlfn.SINGLE(IF(F355="","",_xlfn.XLOOKUP(F355,purchase!D:D,purchase!K:K,"")))</f>
        <v/>
      </c>
      <c r="Q355" s="29" t="str">
        <f t="shared" si="40"/>
        <v/>
      </c>
      <c r="R355" s="37" t="str">
        <f t="shared" si="41"/>
        <v/>
      </c>
    </row>
    <row r="356" spans="1:18" x14ac:dyDescent="0.35">
      <c r="A356" s="8">
        <v>352</v>
      </c>
      <c r="B356" s="9" t="str">
        <f t="shared" si="35"/>
        <v/>
      </c>
      <c r="C356" s="10"/>
      <c r="D356" s="9" t="str">
        <f>IF(F356="","",_xlfn.XLOOKUP(F356,purchase!D:D,purchase!#REF!,""))</f>
        <v/>
      </c>
      <c r="E356" s="9" t="str">
        <f>IF(F356="","",_xlfn.XLOOKUP(F356,purchase!D:D,purchase!B:B,""))</f>
        <v/>
      </c>
      <c r="F356" s="2"/>
      <c r="G356" s="4" t="str">
        <f t="shared" si="36"/>
        <v/>
      </c>
      <c r="H356" s="4" t="str">
        <f>IF(F356="","",_xlfn.XLOOKUP(F356,purchase!D:D,purchase!#REF!,""))</f>
        <v/>
      </c>
      <c r="I356" s="4" t="str">
        <f t="shared" si="37"/>
        <v/>
      </c>
      <c r="J356" s="4" t="str">
        <f t="shared" si="38"/>
        <v/>
      </c>
      <c r="K356" s="13" t="str">
        <f>_xlfn.SINGLE(IF(F356="","",_xlfn.XLOOKUP(F356,purchase!D:D,purchase!#REF!,"")))</f>
        <v/>
      </c>
      <c r="L356" s="2"/>
      <c r="M356" s="32"/>
      <c r="N356" s="13" t="str">
        <f>IF(F356="","",
MAX(0,
_xlfn.XLOOKUP(F356,purchase!D:D,purchase!#REF!,"")
-
SUMIFS(L:L,F:F,F356)))</f>
        <v/>
      </c>
      <c r="O356" s="13" t="str">
        <f t="shared" si="39"/>
        <v/>
      </c>
      <c r="P356" s="35" t="str">
        <f>_xlfn.SINGLE(IF(F356="","",_xlfn.XLOOKUP(F356,purchase!D:D,purchase!K:K,"")))</f>
        <v/>
      </c>
      <c r="Q356" s="29" t="str">
        <f t="shared" si="40"/>
        <v/>
      </c>
      <c r="R356" s="37" t="str">
        <f t="shared" si="41"/>
        <v/>
      </c>
    </row>
    <row r="357" spans="1:18" x14ac:dyDescent="0.35">
      <c r="A357" s="8">
        <v>353</v>
      </c>
      <c r="B357" s="9" t="str">
        <f t="shared" si="35"/>
        <v/>
      </c>
      <c r="C357" s="10"/>
      <c r="D357" s="9" t="str">
        <f>IF(F357="","",_xlfn.XLOOKUP(F357,purchase!D:D,purchase!#REF!,""))</f>
        <v/>
      </c>
      <c r="E357" s="9" t="str">
        <f>IF(F357="","",_xlfn.XLOOKUP(F357,purchase!D:D,purchase!B:B,""))</f>
        <v/>
      </c>
      <c r="F357" s="2"/>
      <c r="G357" s="4" t="str">
        <f t="shared" si="36"/>
        <v/>
      </c>
      <c r="H357" s="4" t="str">
        <f>IF(F357="","",_xlfn.XLOOKUP(F357,purchase!D:D,purchase!#REF!,""))</f>
        <v/>
      </c>
      <c r="I357" s="4" t="str">
        <f t="shared" si="37"/>
        <v/>
      </c>
      <c r="J357" s="4" t="str">
        <f t="shared" si="38"/>
        <v/>
      </c>
      <c r="K357" s="13" t="str">
        <f>_xlfn.SINGLE(IF(F357="","",_xlfn.XLOOKUP(F357,purchase!D:D,purchase!#REF!,"")))</f>
        <v/>
      </c>
      <c r="L357" s="2"/>
      <c r="M357" s="32"/>
      <c r="N357" s="13" t="str">
        <f>IF(F357="","",
MAX(0,
_xlfn.XLOOKUP(F357,purchase!D:D,purchase!#REF!,"")
-
SUMIFS(L:L,F:F,F357)))</f>
        <v/>
      </c>
      <c r="O357" s="13" t="str">
        <f t="shared" si="39"/>
        <v/>
      </c>
      <c r="P357" s="35" t="str">
        <f>_xlfn.SINGLE(IF(F357="","",_xlfn.XLOOKUP(F357,purchase!D:D,purchase!K:K,"")))</f>
        <v/>
      </c>
      <c r="Q357" s="29" t="str">
        <f t="shared" si="40"/>
        <v/>
      </c>
      <c r="R357" s="37" t="str">
        <f t="shared" si="41"/>
        <v/>
      </c>
    </row>
    <row r="358" spans="1:18" x14ac:dyDescent="0.35">
      <c r="A358" s="8">
        <v>354</v>
      </c>
      <c r="B358" s="9" t="str">
        <f t="shared" si="35"/>
        <v/>
      </c>
      <c r="C358" s="10"/>
      <c r="D358" s="9" t="str">
        <f>IF(F358="","",_xlfn.XLOOKUP(F358,purchase!D:D,purchase!#REF!,""))</f>
        <v/>
      </c>
      <c r="E358" s="9" t="str">
        <f>IF(F358="","",_xlfn.XLOOKUP(F358,purchase!D:D,purchase!B:B,""))</f>
        <v/>
      </c>
      <c r="F358" s="2"/>
      <c r="G358" s="4" t="str">
        <f t="shared" si="36"/>
        <v/>
      </c>
      <c r="H358" s="4" t="str">
        <f>IF(F358="","",_xlfn.XLOOKUP(F358,purchase!D:D,purchase!#REF!,""))</f>
        <v/>
      </c>
      <c r="I358" s="4" t="str">
        <f t="shared" si="37"/>
        <v/>
      </c>
      <c r="J358" s="4" t="str">
        <f t="shared" si="38"/>
        <v/>
      </c>
      <c r="K358" s="13" t="str">
        <f>_xlfn.SINGLE(IF(F358="","",_xlfn.XLOOKUP(F358,purchase!D:D,purchase!#REF!,"")))</f>
        <v/>
      </c>
      <c r="L358" s="2"/>
      <c r="M358" s="32"/>
      <c r="N358" s="13" t="str">
        <f>IF(F358="","",
MAX(0,
_xlfn.XLOOKUP(F358,purchase!D:D,purchase!#REF!,"")
-
SUMIFS(L:L,F:F,F358)))</f>
        <v/>
      </c>
      <c r="O358" s="13" t="str">
        <f t="shared" si="39"/>
        <v/>
      </c>
      <c r="P358" s="35" t="str">
        <f>_xlfn.SINGLE(IF(F358="","",_xlfn.XLOOKUP(F358,purchase!D:D,purchase!K:K,"")))</f>
        <v/>
      </c>
      <c r="Q358" s="29" t="str">
        <f t="shared" si="40"/>
        <v/>
      </c>
      <c r="R358" s="37" t="str">
        <f t="shared" si="41"/>
        <v/>
      </c>
    </row>
    <row r="359" spans="1:18" x14ac:dyDescent="0.35">
      <c r="A359" s="8">
        <v>355</v>
      </c>
      <c r="B359" s="9" t="str">
        <f t="shared" si="35"/>
        <v/>
      </c>
      <c r="C359" s="10"/>
      <c r="D359" s="9" t="str">
        <f>IF(F359="","",_xlfn.XLOOKUP(F359,purchase!D:D,purchase!#REF!,""))</f>
        <v/>
      </c>
      <c r="E359" s="9" t="str">
        <f>IF(F359="","",_xlfn.XLOOKUP(F359,purchase!D:D,purchase!B:B,""))</f>
        <v/>
      </c>
      <c r="F359" s="2"/>
      <c r="G359" s="4" t="str">
        <f t="shared" si="36"/>
        <v/>
      </c>
      <c r="H359" s="4" t="str">
        <f>IF(F359="","",_xlfn.XLOOKUP(F359,purchase!D:D,purchase!#REF!,""))</f>
        <v/>
      </c>
      <c r="I359" s="4" t="str">
        <f t="shared" si="37"/>
        <v/>
      </c>
      <c r="J359" s="4" t="str">
        <f t="shared" si="38"/>
        <v/>
      </c>
      <c r="K359" s="13" t="str">
        <f>_xlfn.SINGLE(IF(F359="","",_xlfn.XLOOKUP(F359,purchase!D:D,purchase!#REF!,"")))</f>
        <v/>
      </c>
      <c r="L359" s="2"/>
      <c r="M359" s="32"/>
      <c r="N359" s="13" t="str">
        <f>IF(F359="","",
MAX(0,
_xlfn.XLOOKUP(F359,purchase!D:D,purchase!#REF!,"")
-
SUMIFS(L:L,F:F,F359)))</f>
        <v/>
      </c>
      <c r="O359" s="13" t="str">
        <f t="shared" si="39"/>
        <v/>
      </c>
      <c r="P359" s="35" t="str">
        <f>_xlfn.SINGLE(IF(F359="","",_xlfn.XLOOKUP(F359,purchase!D:D,purchase!K:K,"")))</f>
        <v/>
      </c>
      <c r="Q359" s="29" t="str">
        <f t="shared" si="40"/>
        <v/>
      </c>
      <c r="R359" s="37" t="str">
        <f t="shared" si="41"/>
        <v/>
      </c>
    </row>
    <row r="360" spans="1:18" x14ac:dyDescent="0.35">
      <c r="A360" s="8">
        <v>356</v>
      </c>
      <c r="B360" s="9" t="str">
        <f t="shared" si="35"/>
        <v/>
      </c>
      <c r="C360" s="10"/>
      <c r="D360" s="9" t="str">
        <f>IF(F360="","",_xlfn.XLOOKUP(F360,purchase!D:D,purchase!#REF!,""))</f>
        <v/>
      </c>
      <c r="E360" s="9" t="str">
        <f>IF(F360="","",_xlfn.XLOOKUP(F360,purchase!D:D,purchase!B:B,""))</f>
        <v/>
      </c>
      <c r="F360" s="2"/>
      <c r="G360" s="4" t="str">
        <f t="shared" si="36"/>
        <v/>
      </c>
      <c r="H360" s="4" t="str">
        <f>IF(F360="","",_xlfn.XLOOKUP(F360,purchase!D:D,purchase!#REF!,""))</f>
        <v/>
      </c>
      <c r="I360" s="4" t="str">
        <f t="shared" si="37"/>
        <v/>
      </c>
      <c r="J360" s="4" t="str">
        <f t="shared" si="38"/>
        <v/>
      </c>
      <c r="K360" s="13" t="str">
        <f>_xlfn.SINGLE(IF(F360="","",_xlfn.XLOOKUP(F360,purchase!D:D,purchase!#REF!,"")))</f>
        <v/>
      </c>
      <c r="L360" s="2"/>
      <c r="M360" s="32"/>
      <c r="N360" s="13" t="str">
        <f>IF(F360="","",
MAX(0,
_xlfn.XLOOKUP(F360,purchase!D:D,purchase!#REF!,"")
-
SUMIFS(L:L,F:F,F360)))</f>
        <v/>
      </c>
      <c r="O360" s="13" t="str">
        <f t="shared" si="39"/>
        <v/>
      </c>
      <c r="P360" s="35" t="str">
        <f>_xlfn.SINGLE(IF(F360="","",_xlfn.XLOOKUP(F360,purchase!D:D,purchase!K:K,"")))</f>
        <v/>
      </c>
      <c r="Q360" s="29" t="str">
        <f t="shared" si="40"/>
        <v/>
      </c>
      <c r="R360" s="37" t="str">
        <f t="shared" si="41"/>
        <v/>
      </c>
    </row>
    <row r="361" spans="1:18" x14ac:dyDescent="0.35">
      <c r="A361" s="8">
        <v>357</v>
      </c>
      <c r="B361" s="9" t="str">
        <f t="shared" si="35"/>
        <v/>
      </c>
      <c r="C361" s="10"/>
      <c r="D361" s="9" t="str">
        <f>IF(F361="","",_xlfn.XLOOKUP(F361,purchase!D:D,purchase!#REF!,""))</f>
        <v/>
      </c>
      <c r="E361" s="9" t="str">
        <f>IF(F361="","",_xlfn.XLOOKUP(F361,purchase!D:D,purchase!B:B,""))</f>
        <v/>
      </c>
      <c r="F361" s="2"/>
      <c r="G361" s="4" t="str">
        <f t="shared" si="36"/>
        <v/>
      </c>
      <c r="H361" s="4" t="str">
        <f>IF(F361="","",_xlfn.XLOOKUP(F361,purchase!D:D,purchase!#REF!,""))</f>
        <v/>
      </c>
      <c r="I361" s="4" t="str">
        <f t="shared" si="37"/>
        <v/>
      </c>
      <c r="J361" s="4" t="str">
        <f t="shared" si="38"/>
        <v/>
      </c>
      <c r="K361" s="13" t="str">
        <f>_xlfn.SINGLE(IF(F361="","",_xlfn.XLOOKUP(F361,purchase!D:D,purchase!#REF!,"")))</f>
        <v/>
      </c>
      <c r="L361" s="2"/>
      <c r="M361" s="32"/>
      <c r="N361" s="13" t="str">
        <f>IF(F361="","",
MAX(0,
_xlfn.XLOOKUP(F361,purchase!D:D,purchase!#REF!,"")
-
SUMIFS(L:L,F:F,F361)))</f>
        <v/>
      </c>
      <c r="O361" s="13" t="str">
        <f t="shared" si="39"/>
        <v/>
      </c>
      <c r="P361" s="35" t="str">
        <f>_xlfn.SINGLE(IF(F361="","",_xlfn.XLOOKUP(F361,purchase!D:D,purchase!K:K,"")))</f>
        <v/>
      </c>
      <c r="Q361" s="29" t="str">
        <f t="shared" si="40"/>
        <v/>
      </c>
      <c r="R361" s="37" t="str">
        <f t="shared" si="41"/>
        <v/>
      </c>
    </row>
    <row r="362" spans="1:18" x14ac:dyDescent="0.35">
      <c r="A362" s="8">
        <v>358</v>
      </c>
      <c r="B362" s="9" t="str">
        <f t="shared" si="35"/>
        <v/>
      </c>
      <c r="C362" s="10"/>
      <c r="D362" s="9" t="str">
        <f>IF(F362="","",_xlfn.XLOOKUP(F362,purchase!D:D,purchase!#REF!,""))</f>
        <v/>
      </c>
      <c r="E362" s="9" t="str">
        <f>IF(F362="","",_xlfn.XLOOKUP(F362,purchase!D:D,purchase!B:B,""))</f>
        <v/>
      </c>
      <c r="F362" s="2"/>
      <c r="G362" s="4" t="str">
        <f t="shared" si="36"/>
        <v/>
      </c>
      <c r="H362" s="4" t="str">
        <f>IF(F362="","",_xlfn.XLOOKUP(F362,purchase!D:D,purchase!#REF!,""))</f>
        <v/>
      </c>
      <c r="I362" s="4" t="str">
        <f t="shared" si="37"/>
        <v/>
      </c>
      <c r="J362" s="4" t="str">
        <f t="shared" si="38"/>
        <v/>
      </c>
      <c r="K362" s="13" t="str">
        <f>_xlfn.SINGLE(IF(F362="","",_xlfn.XLOOKUP(F362,purchase!D:D,purchase!#REF!,"")))</f>
        <v/>
      </c>
      <c r="L362" s="2"/>
      <c r="M362" s="32"/>
      <c r="N362" s="13" t="str">
        <f>IF(F362="","",
MAX(0,
_xlfn.XLOOKUP(F362,purchase!D:D,purchase!#REF!,"")
-
SUMIFS(L:L,F:F,F362)))</f>
        <v/>
      </c>
      <c r="O362" s="13" t="str">
        <f t="shared" si="39"/>
        <v/>
      </c>
      <c r="P362" s="35" t="str">
        <f>_xlfn.SINGLE(IF(F362="","",_xlfn.XLOOKUP(F362,purchase!D:D,purchase!K:K,"")))</f>
        <v/>
      </c>
      <c r="Q362" s="29" t="str">
        <f t="shared" si="40"/>
        <v/>
      </c>
      <c r="R362" s="37" t="str">
        <f t="shared" si="41"/>
        <v/>
      </c>
    </row>
    <row r="363" spans="1:18" x14ac:dyDescent="0.35">
      <c r="A363" s="8">
        <v>359</v>
      </c>
      <c r="B363" s="9" t="str">
        <f t="shared" si="35"/>
        <v/>
      </c>
      <c r="C363" s="10"/>
      <c r="D363" s="9" t="str">
        <f>IF(F363="","",_xlfn.XLOOKUP(F363,purchase!D:D,purchase!#REF!,""))</f>
        <v/>
      </c>
      <c r="E363" s="9" t="str">
        <f>IF(F363="","",_xlfn.XLOOKUP(F363,purchase!D:D,purchase!B:B,""))</f>
        <v/>
      </c>
      <c r="F363" s="2"/>
      <c r="G363" s="4" t="str">
        <f t="shared" si="36"/>
        <v/>
      </c>
      <c r="H363" s="4" t="str">
        <f>IF(F363="","",_xlfn.XLOOKUP(F363,purchase!D:D,purchase!#REF!,""))</f>
        <v/>
      </c>
      <c r="I363" s="4" t="str">
        <f t="shared" si="37"/>
        <v/>
      </c>
      <c r="J363" s="4" t="str">
        <f t="shared" si="38"/>
        <v/>
      </c>
      <c r="K363" s="13" t="str">
        <f>_xlfn.SINGLE(IF(F363="","",_xlfn.XLOOKUP(F363,purchase!D:D,purchase!#REF!,"")))</f>
        <v/>
      </c>
      <c r="L363" s="2"/>
      <c r="M363" s="32"/>
      <c r="N363" s="13" t="str">
        <f>IF(F363="","",
MAX(0,
_xlfn.XLOOKUP(F363,purchase!D:D,purchase!#REF!,"")
-
SUMIFS(L:L,F:F,F363)))</f>
        <v/>
      </c>
      <c r="O363" s="13" t="str">
        <f t="shared" si="39"/>
        <v/>
      </c>
      <c r="P363" s="35" t="str">
        <f>_xlfn.SINGLE(IF(F363="","",_xlfn.XLOOKUP(F363,purchase!D:D,purchase!K:K,"")))</f>
        <v/>
      </c>
      <c r="Q363" s="29" t="str">
        <f t="shared" si="40"/>
        <v/>
      </c>
      <c r="R363" s="37" t="str">
        <f t="shared" si="41"/>
        <v/>
      </c>
    </row>
    <row r="364" spans="1:18" x14ac:dyDescent="0.35">
      <c r="A364" s="8">
        <v>360</v>
      </c>
      <c r="B364" s="9" t="str">
        <f t="shared" si="35"/>
        <v/>
      </c>
      <c r="C364" s="10"/>
      <c r="D364" s="9" t="str">
        <f>IF(F364="","",_xlfn.XLOOKUP(F364,purchase!D:D,purchase!#REF!,""))</f>
        <v/>
      </c>
      <c r="E364" s="9" t="str">
        <f>IF(F364="","",_xlfn.XLOOKUP(F364,purchase!D:D,purchase!B:B,""))</f>
        <v/>
      </c>
      <c r="F364" s="2"/>
      <c r="G364" s="4" t="str">
        <f t="shared" si="36"/>
        <v/>
      </c>
      <c r="H364" s="4" t="str">
        <f>IF(F364="","",_xlfn.XLOOKUP(F364,purchase!D:D,purchase!#REF!,""))</f>
        <v/>
      </c>
      <c r="I364" s="4" t="str">
        <f t="shared" si="37"/>
        <v/>
      </c>
      <c r="J364" s="4" t="str">
        <f t="shared" si="38"/>
        <v/>
      </c>
      <c r="K364" s="13" t="str">
        <f>_xlfn.SINGLE(IF(F364="","",_xlfn.XLOOKUP(F364,purchase!D:D,purchase!#REF!,"")))</f>
        <v/>
      </c>
      <c r="L364" s="2"/>
      <c r="M364" s="32"/>
      <c r="N364" s="13" t="str">
        <f>IF(F364="","",
MAX(0,
_xlfn.XLOOKUP(F364,purchase!D:D,purchase!#REF!,"")
-
SUMIFS(L:L,F:F,F364)))</f>
        <v/>
      </c>
      <c r="O364" s="13" t="str">
        <f t="shared" si="39"/>
        <v/>
      </c>
      <c r="P364" s="35" t="str">
        <f>_xlfn.SINGLE(IF(F364="","",_xlfn.XLOOKUP(F364,purchase!D:D,purchase!K:K,"")))</f>
        <v/>
      </c>
      <c r="Q364" s="29" t="str">
        <f t="shared" si="40"/>
        <v/>
      </c>
      <c r="R364" s="37" t="str">
        <f t="shared" si="41"/>
        <v/>
      </c>
    </row>
    <row r="365" spans="1:18" x14ac:dyDescent="0.35">
      <c r="A365" s="8">
        <v>361</v>
      </c>
      <c r="B365" s="9" t="str">
        <f t="shared" si="35"/>
        <v/>
      </c>
      <c r="C365" s="10"/>
      <c r="D365" s="9" t="str">
        <f>IF(F365="","",_xlfn.XLOOKUP(F365,purchase!D:D,purchase!#REF!,""))</f>
        <v/>
      </c>
      <c r="E365" s="9" t="str">
        <f>IF(F365="","",_xlfn.XLOOKUP(F365,purchase!D:D,purchase!B:B,""))</f>
        <v/>
      </c>
      <c r="F365" s="2"/>
      <c r="G365" s="4" t="str">
        <f t="shared" si="36"/>
        <v/>
      </c>
      <c r="H365" s="4" t="str">
        <f>IF(F365="","",_xlfn.XLOOKUP(F365,purchase!D:D,purchase!#REF!,""))</f>
        <v/>
      </c>
      <c r="I365" s="4" t="str">
        <f t="shared" si="37"/>
        <v/>
      </c>
      <c r="J365" s="4" t="str">
        <f t="shared" si="38"/>
        <v/>
      </c>
      <c r="K365" s="13" t="str">
        <f>_xlfn.SINGLE(IF(F365="","",_xlfn.XLOOKUP(F365,purchase!D:D,purchase!#REF!,"")))</f>
        <v/>
      </c>
      <c r="L365" s="2"/>
      <c r="M365" s="32"/>
      <c r="N365" s="13" t="str">
        <f>IF(F365="","",
MAX(0,
_xlfn.XLOOKUP(F365,purchase!D:D,purchase!#REF!,"")
-
SUMIFS(L:L,F:F,F365)))</f>
        <v/>
      </c>
      <c r="O365" s="13" t="str">
        <f t="shared" si="39"/>
        <v/>
      </c>
      <c r="P365" s="35" t="str">
        <f>_xlfn.SINGLE(IF(F365="","",_xlfn.XLOOKUP(F365,purchase!D:D,purchase!K:K,"")))</f>
        <v/>
      </c>
      <c r="Q365" s="29" t="str">
        <f t="shared" si="40"/>
        <v/>
      </c>
      <c r="R365" s="37" t="str">
        <f t="shared" si="41"/>
        <v/>
      </c>
    </row>
    <row r="366" spans="1:18" x14ac:dyDescent="0.35">
      <c r="A366" s="8">
        <v>362</v>
      </c>
      <c r="B366" s="9" t="str">
        <f t="shared" si="35"/>
        <v/>
      </c>
      <c r="C366" s="10"/>
      <c r="D366" s="9" t="str">
        <f>IF(F366="","",_xlfn.XLOOKUP(F366,purchase!D:D,purchase!#REF!,""))</f>
        <v/>
      </c>
      <c r="E366" s="9" t="str">
        <f>IF(F366="","",_xlfn.XLOOKUP(F366,purchase!D:D,purchase!B:B,""))</f>
        <v/>
      </c>
      <c r="F366" s="2"/>
      <c r="G366" s="4" t="str">
        <f t="shared" si="36"/>
        <v/>
      </c>
      <c r="H366" s="4" t="str">
        <f>IF(F366="","",_xlfn.XLOOKUP(F366,purchase!D:D,purchase!#REF!,""))</f>
        <v/>
      </c>
      <c r="I366" s="4" t="str">
        <f t="shared" si="37"/>
        <v/>
      </c>
      <c r="J366" s="4" t="str">
        <f t="shared" si="38"/>
        <v/>
      </c>
      <c r="K366" s="13" t="str">
        <f>_xlfn.SINGLE(IF(F366="","",_xlfn.XLOOKUP(F366,purchase!D:D,purchase!#REF!,"")))</f>
        <v/>
      </c>
      <c r="L366" s="2"/>
      <c r="M366" s="32"/>
      <c r="N366" s="13" t="str">
        <f>IF(F366="","",
MAX(0,
_xlfn.XLOOKUP(F366,purchase!D:D,purchase!#REF!,"")
-
SUMIFS(L:L,F:F,F366)))</f>
        <v/>
      </c>
      <c r="O366" s="13" t="str">
        <f t="shared" si="39"/>
        <v/>
      </c>
      <c r="P366" s="35" t="str">
        <f>_xlfn.SINGLE(IF(F366="","",_xlfn.XLOOKUP(F366,purchase!D:D,purchase!K:K,"")))</f>
        <v/>
      </c>
      <c r="Q366" s="29" t="str">
        <f t="shared" si="40"/>
        <v/>
      </c>
      <c r="R366" s="37" t="str">
        <f t="shared" si="41"/>
        <v/>
      </c>
    </row>
    <row r="367" spans="1:18" x14ac:dyDescent="0.35">
      <c r="A367" s="8">
        <v>363</v>
      </c>
      <c r="B367" s="9" t="str">
        <f t="shared" si="35"/>
        <v/>
      </c>
      <c r="C367" s="10"/>
      <c r="D367" s="9" t="str">
        <f>IF(F367="","",_xlfn.XLOOKUP(F367,purchase!D:D,purchase!#REF!,""))</f>
        <v/>
      </c>
      <c r="E367" s="9" t="str">
        <f>IF(F367="","",_xlfn.XLOOKUP(F367,purchase!D:D,purchase!B:B,""))</f>
        <v/>
      </c>
      <c r="F367" s="2"/>
      <c r="G367" s="4" t="str">
        <f t="shared" si="36"/>
        <v/>
      </c>
      <c r="H367" s="4" t="str">
        <f>IF(F367="","",_xlfn.XLOOKUP(F367,purchase!D:D,purchase!#REF!,""))</f>
        <v/>
      </c>
      <c r="I367" s="4" t="str">
        <f t="shared" si="37"/>
        <v/>
      </c>
      <c r="J367" s="4" t="str">
        <f t="shared" si="38"/>
        <v/>
      </c>
      <c r="K367" s="13" t="str">
        <f>_xlfn.SINGLE(IF(F367="","",_xlfn.XLOOKUP(F367,purchase!D:D,purchase!#REF!,"")))</f>
        <v/>
      </c>
      <c r="L367" s="2"/>
      <c r="M367" s="32"/>
      <c r="N367" s="13" t="str">
        <f>IF(F367="","",
MAX(0,
_xlfn.XLOOKUP(F367,purchase!D:D,purchase!#REF!,"")
-
SUMIFS(L:L,F:F,F367)))</f>
        <v/>
      </c>
      <c r="O367" s="13" t="str">
        <f t="shared" si="39"/>
        <v/>
      </c>
      <c r="P367" s="35" t="str">
        <f>_xlfn.SINGLE(IF(F367="","",_xlfn.XLOOKUP(F367,purchase!D:D,purchase!K:K,"")))</f>
        <v/>
      </c>
      <c r="Q367" s="29" t="str">
        <f t="shared" si="40"/>
        <v/>
      </c>
      <c r="R367" s="37" t="str">
        <f t="shared" si="41"/>
        <v/>
      </c>
    </row>
    <row r="368" spans="1:18" x14ac:dyDescent="0.35">
      <c r="A368" s="8">
        <v>364</v>
      </c>
      <c r="B368" s="9" t="str">
        <f t="shared" si="35"/>
        <v/>
      </c>
      <c r="C368" s="10"/>
      <c r="D368" s="9" t="str">
        <f>IF(F368="","",_xlfn.XLOOKUP(F368,purchase!D:D,purchase!#REF!,""))</f>
        <v/>
      </c>
      <c r="E368" s="9" t="str">
        <f>IF(F368="","",_xlfn.XLOOKUP(F368,purchase!D:D,purchase!B:B,""))</f>
        <v/>
      </c>
      <c r="F368" s="2"/>
      <c r="G368" s="4" t="str">
        <f t="shared" si="36"/>
        <v/>
      </c>
      <c r="H368" s="4" t="str">
        <f>IF(F368="","",_xlfn.XLOOKUP(F368,purchase!D:D,purchase!#REF!,""))</f>
        <v/>
      </c>
      <c r="I368" s="4" t="str">
        <f t="shared" si="37"/>
        <v/>
      </c>
      <c r="J368" s="4" t="str">
        <f t="shared" si="38"/>
        <v/>
      </c>
      <c r="K368" s="13" t="str">
        <f>_xlfn.SINGLE(IF(F368="","",_xlfn.XLOOKUP(F368,purchase!D:D,purchase!#REF!,"")))</f>
        <v/>
      </c>
      <c r="L368" s="2"/>
      <c r="M368" s="32"/>
      <c r="N368" s="13" t="str">
        <f>IF(F368="","",
MAX(0,
_xlfn.XLOOKUP(F368,purchase!D:D,purchase!#REF!,"")
-
SUMIFS(L:L,F:F,F368)))</f>
        <v/>
      </c>
      <c r="O368" s="13" t="str">
        <f t="shared" si="39"/>
        <v/>
      </c>
      <c r="P368" s="35" t="str">
        <f>_xlfn.SINGLE(IF(F368="","",_xlfn.XLOOKUP(F368,purchase!D:D,purchase!K:K,"")))</f>
        <v/>
      </c>
      <c r="Q368" s="29" t="str">
        <f t="shared" si="40"/>
        <v/>
      </c>
      <c r="R368" s="37" t="str">
        <f t="shared" si="41"/>
        <v/>
      </c>
    </row>
    <row r="369" spans="1:18" x14ac:dyDescent="0.35">
      <c r="A369" s="8">
        <v>365</v>
      </c>
      <c r="B369" s="9" t="str">
        <f t="shared" si="35"/>
        <v/>
      </c>
      <c r="C369" s="10"/>
      <c r="D369" s="9" t="str">
        <f>IF(F369="","",_xlfn.XLOOKUP(F369,purchase!D:D,purchase!#REF!,""))</f>
        <v/>
      </c>
      <c r="E369" s="9" t="str">
        <f>IF(F369="","",_xlfn.XLOOKUP(F369,purchase!D:D,purchase!B:B,""))</f>
        <v/>
      </c>
      <c r="F369" s="2"/>
      <c r="G369" s="4" t="str">
        <f t="shared" si="36"/>
        <v/>
      </c>
      <c r="H369" s="4" t="str">
        <f>IF(F369="","",_xlfn.XLOOKUP(F369,purchase!D:D,purchase!#REF!,""))</f>
        <v/>
      </c>
      <c r="I369" s="4" t="str">
        <f t="shared" si="37"/>
        <v/>
      </c>
      <c r="J369" s="4" t="str">
        <f t="shared" si="38"/>
        <v/>
      </c>
      <c r="K369" s="13" t="str">
        <f>_xlfn.SINGLE(IF(F369="","",_xlfn.XLOOKUP(F369,purchase!D:D,purchase!#REF!,"")))</f>
        <v/>
      </c>
      <c r="L369" s="2"/>
      <c r="M369" s="32"/>
      <c r="N369" s="13" t="str">
        <f>IF(F369="","",
MAX(0,
_xlfn.XLOOKUP(F369,purchase!D:D,purchase!#REF!,"")
-
SUMIFS(L:L,F:F,F369)))</f>
        <v/>
      </c>
      <c r="O369" s="13" t="str">
        <f t="shared" si="39"/>
        <v/>
      </c>
      <c r="P369" s="35" t="str">
        <f>_xlfn.SINGLE(IF(F369="","",_xlfn.XLOOKUP(F369,purchase!D:D,purchase!K:K,"")))</f>
        <v/>
      </c>
      <c r="Q369" s="29" t="str">
        <f t="shared" si="40"/>
        <v/>
      </c>
      <c r="R369" s="37" t="str">
        <f t="shared" si="41"/>
        <v/>
      </c>
    </row>
    <row r="370" spans="1:18" x14ac:dyDescent="0.35">
      <c r="A370" s="8">
        <v>366</v>
      </c>
      <c r="B370" s="9" t="str">
        <f t="shared" si="35"/>
        <v/>
      </c>
      <c r="C370" s="10"/>
      <c r="D370" s="9" t="str">
        <f>IF(F370="","",_xlfn.XLOOKUP(F370,purchase!D:D,purchase!#REF!,""))</f>
        <v/>
      </c>
      <c r="E370" s="9" t="str">
        <f>IF(F370="","",_xlfn.XLOOKUP(F370,purchase!D:D,purchase!B:B,""))</f>
        <v/>
      </c>
      <c r="F370" s="2"/>
      <c r="G370" s="4" t="str">
        <f t="shared" si="36"/>
        <v/>
      </c>
      <c r="H370" s="4" t="str">
        <f>IF(F370="","",_xlfn.XLOOKUP(F370,purchase!D:D,purchase!#REF!,""))</f>
        <v/>
      </c>
      <c r="I370" s="4" t="str">
        <f t="shared" si="37"/>
        <v/>
      </c>
      <c r="J370" s="4" t="str">
        <f t="shared" si="38"/>
        <v/>
      </c>
      <c r="K370" s="13" t="str">
        <f>_xlfn.SINGLE(IF(F370="","",_xlfn.XLOOKUP(F370,purchase!D:D,purchase!#REF!,"")))</f>
        <v/>
      </c>
      <c r="L370" s="2"/>
      <c r="M370" s="32"/>
      <c r="N370" s="13" t="str">
        <f>IF(F370="","",
MAX(0,
_xlfn.XLOOKUP(F370,purchase!D:D,purchase!#REF!,"")
-
SUMIFS(L:L,F:F,F370)))</f>
        <v/>
      </c>
      <c r="O370" s="13" t="str">
        <f t="shared" si="39"/>
        <v/>
      </c>
      <c r="P370" s="35" t="str">
        <f>_xlfn.SINGLE(IF(F370="","",_xlfn.XLOOKUP(F370,purchase!D:D,purchase!K:K,"")))</f>
        <v/>
      </c>
      <c r="Q370" s="29" t="str">
        <f t="shared" si="40"/>
        <v/>
      </c>
      <c r="R370" s="37" t="str">
        <f t="shared" si="41"/>
        <v/>
      </c>
    </row>
    <row r="371" spans="1:18" x14ac:dyDescent="0.35">
      <c r="A371" s="8">
        <v>367</v>
      </c>
      <c r="B371" s="9" t="str">
        <f t="shared" si="35"/>
        <v/>
      </c>
      <c r="C371" s="10"/>
      <c r="D371" s="9" t="str">
        <f>IF(F371="","",_xlfn.XLOOKUP(F371,purchase!D:D,purchase!#REF!,""))</f>
        <v/>
      </c>
      <c r="E371" s="9" t="str">
        <f>IF(F371="","",_xlfn.XLOOKUP(F371,purchase!D:D,purchase!B:B,""))</f>
        <v/>
      </c>
      <c r="F371" s="2"/>
      <c r="G371" s="4" t="str">
        <f t="shared" si="36"/>
        <v/>
      </c>
      <c r="H371" s="4" t="str">
        <f>IF(F371="","",_xlfn.XLOOKUP(F371,purchase!D:D,purchase!#REF!,""))</f>
        <v/>
      </c>
      <c r="I371" s="4" t="str">
        <f t="shared" si="37"/>
        <v/>
      </c>
      <c r="J371" s="4" t="str">
        <f t="shared" si="38"/>
        <v/>
      </c>
      <c r="K371" s="13" t="str">
        <f>_xlfn.SINGLE(IF(F371="","",_xlfn.XLOOKUP(F371,purchase!D:D,purchase!#REF!,"")))</f>
        <v/>
      </c>
      <c r="L371" s="2"/>
      <c r="M371" s="32"/>
      <c r="N371" s="13" t="str">
        <f>IF(F371="","",
MAX(0,
_xlfn.XLOOKUP(F371,purchase!D:D,purchase!#REF!,"")
-
SUMIFS(L:L,F:F,F371)))</f>
        <v/>
      </c>
      <c r="O371" s="13" t="str">
        <f t="shared" si="39"/>
        <v/>
      </c>
      <c r="P371" s="35" t="str">
        <f>_xlfn.SINGLE(IF(F371="","",_xlfn.XLOOKUP(F371,purchase!D:D,purchase!K:K,"")))</f>
        <v/>
      </c>
      <c r="Q371" s="29" t="str">
        <f t="shared" si="40"/>
        <v/>
      </c>
      <c r="R371" s="37" t="str">
        <f t="shared" si="41"/>
        <v/>
      </c>
    </row>
    <row r="372" spans="1:18" x14ac:dyDescent="0.35">
      <c r="A372" s="8">
        <v>368</v>
      </c>
      <c r="B372" s="9" t="str">
        <f t="shared" si="35"/>
        <v/>
      </c>
      <c r="C372" s="10"/>
      <c r="D372" s="9" t="str">
        <f>IF(F372="","",_xlfn.XLOOKUP(F372,purchase!D:D,purchase!#REF!,""))</f>
        <v/>
      </c>
      <c r="E372" s="9" t="str">
        <f>IF(F372="","",_xlfn.XLOOKUP(F372,purchase!D:D,purchase!B:B,""))</f>
        <v/>
      </c>
      <c r="F372" s="2"/>
      <c r="G372" s="4" t="str">
        <f t="shared" si="36"/>
        <v/>
      </c>
      <c r="H372" s="4" t="str">
        <f>IF(F372="","",_xlfn.XLOOKUP(F372,purchase!D:D,purchase!#REF!,""))</f>
        <v/>
      </c>
      <c r="I372" s="4" t="str">
        <f t="shared" si="37"/>
        <v/>
      </c>
      <c r="J372" s="4" t="str">
        <f t="shared" si="38"/>
        <v/>
      </c>
      <c r="K372" s="13" t="str">
        <f>_xlfn.SINGLE(IF(F372="","",_xlfn.XLOOKUP(F372,purchase!D:D,purchase!#REF!,"")))</f>
        <v/>
      </c>
      <c r="L372" s="2"/>
      <c r="M372" s="32"/>
      <c r="N372" s="13" t="str">
        <f>IF(F372="","",
MAX(0,
_xlfn.XLOOKUP(F372,purchase!D:D,purchase!#REF!,"")
-
SUMIFS(L:L,F:F,F372)))</f>
        <v/>
      </c>
      <c r="O372" s="13" t="str">
        <f t="shared" si="39"/>
        <v/>
      </c>
      <c r="P372" s="35" t="str">
        <f>_xlfn.SINGLE(IF(F372="","",_xlfn.XLOOKUP(F372,purchase!D:D,purchase!K:K,"")))</f>
        <v/>
      </c>
      <c r="Q372" s="29" t="str">
        <f t="shared" si="40"/>
        <v/>
      </c>
      <c r="R372" s="37" t="str">
        <f t="shared" si="41"/>
        <v/>
      </c>
    </row>
    <row r="373" spans="1:18" x14ac:dyDescent="0.35">
      <c r="A373" s="8">
        <v>369</v>
      </c>
      <c r="B373" s="9" t="str">
        <f t="shared" si="35"/>
        <v/>
      </c>
      <c r="C373" s="10"/>
      <c r="D373" s="9" t="str">
        <f>IF(F373="","",_xlfn.XLOOKUP(F373,purchase!D:D,purchase!#REF!,""))</f>
        <v/>
      </c>
      <c r="E373" s="9" t="str">
        <f>IF(F373="","",_xlfn.XLOOKUP(F373,purchase!D:D,purchase!B:B,""))</f>
        <v/>
      </c>
      <c r="F373" s="2"/>
      <c r="G373" s="4" t="str">
        <f t="shared" si="36"/>
        <v/>
      </c>
      <c r="H373" s="4" t="str">
        <f>IF(F373="","",_xlfn.XLOOKUP(F373,purchase!D:D,purchase!#REF!,""))</f>
        <v/>
      </c>
      <c r="I373" s="4" t="str">
        <f t="shared" si="37"/>
        <v/>
      </c>
      <c r="J373" s="4" t="str">
        <f t="shared" si="38"/>
        <v/>
      </c>
      <c r="K373" s="13" t="str">
        <f>_xlfn.SINGLE(IF(F373="","",_xlfn.XLOOKUP(F373,purchase!D:D,purchase!#REF!,"")))</f>
        <v/>
      </c>
      <c r="L373" s="2"/>
      <c r="M373" s="32"/>
      <c r="N373" s="13" t="str">
        <f>IF(F373="","",
MAX(0,
_xlfn.XLOOKUP(F373,purchase!D:D,purchase!#REF!,"")
-
SUMIFS(L:L,F:F,F373)))</f>
        <v/>
      </c>
      <c r="O373" s="13" t="str">
        <f t="shared" si="39"/>
        <v/>
      </c>
      <c r="P373" s="35" t="str">
        <f>_xlfn.SINGLE(IF(F373="","",_xlfn.XLOOKUP(F373,purchase!D:D,purchase!K:K,"")))</f>
        <v/>
      </c>
      <c r="Q373" s="29" t="str">
        <f t="shared" si="40"/>
        <v/>
      </c>
      <c r="R373" s="37" t="str">
        <f t="shared" si="41"/>
        <v/>
      </c>
    </row>
    <row r="374" spans="1:18" x14ac:dyDescent="0.35">
      <c r="A374" s="8">
        <v>370</v>
      </c>
      <c r="B374" s="9" t="str">
        <f t="shared" si="35"/>
        <v/>
      </c>
      <c r="C374" s="10"/>
      <c r="D374" s="9" t="str">
        <f>IF(F374="","",_xlfn.XLOOKUP(F374,purchase!D:D,purchase!#REF!,""))</f>
        <v/>
      </c>
      <c r="E374" s="9" t="str">
        <f>IF(F374="","",_xlfn.XLOOKUP(F374,purchase!D:D,purchase!B:B,""))</f>
        <v/>
      </c>
      <c r="F374" s="2"/>
      <c r="G374" s="4" t="str">
        <f t="shared" si="36"/>
        <v/>
      </c>
      <c r="H374" s="4" t="str">
        <f>IF(F374="","",_xlfn.XLOOKUP(F374,purchase!D:D,purchase!#REF!,""))</f>
        <v/>
      </c>
      <c r="I374" s="4" t="str">
        <f t="shared" si="37"/>
        <v/>
      </c>
      <c r="J374" s="4" t="str">
        <f t="shared" si="38"/>
        <v/>
      </c>
      <c r="K374" s="13" t="str">
        <f>_xlfn.SINGLE(IF(F374="","",_xlfn.XLOOKUP(F374,purchase!D:D,purchase!#REF!,"")))</f>
        <v/>
      </c>
      <c r="L374" s="2"/>
      <c r="M374" s="32"/>
      <c r="N374" s="13" t="str">
        <f>IF(F374="","",
MAX(0,
_xlfn.XLOOKUP(F374,purchase!D:D,purchase!#REF!,"")
-
SUMIFS(L:L,F:F,F374)))</f>
        <v/>
      </c>
      <c r="O374" s="13" t="str">
        <f t="shared" si="39"/>
        <v/>
      </c>
      <c r="P374" s="35" t="str">
        <f>_xlfn.SINGLE(IF(F374="","",_xlfn.XLOOKUP(F374,purchase!D:D,purchase!K:K,"")))</f>
        <v/>
      </c>
      <c r="Q374" s="29" t="str">
        <f t="shared" si="40"/>
        <v/>
      </c>
      <c r="R374" s="37" t="str">
        <f t="shared" si="41"/>
        <v/>
      </c>
    </row>
    <row r="375" spans="1:18" x14ac:dyDescent="0.35">
      <c r="A375" s="8">
        <v>371</v>
      </c>
      <c r="B375" s="9" t="str">
        <f t="shared" si="35"/>
        <v/>
      </c>
      <c r="C375" s="10"/>
      <c r="D375" s="9" t="str">
        <f>IF(F375="","",_xlfn.XLOOKUP(F375,purchase!D:D,purchase!#REF!,""))</f>
        <v/>
      </c>
      <c r="E375" s="9" t="str">
        <f>IF(F375="","",_xlfn.XLOOKUP(F375,purchase!D:D,purchase!B:B,""))</f>
        <v/>
      </c>
      <c r="F375" s="2"/>
      <c r="G375" s="4" t="str">
        <f t="shared" si="36"/>
        <v/>
      </c>
      <c r="H375" s="4" t="str">
        <f>IF(F375="","",_xlfn.XLOOKUP(F375,purchase!D:D,purchase!#REF!,""))</f>
        <v/>
      </c>
      <c r="I375" s="4" t="str">
        <f t="shared" si="37"/>
        <v/>
      </c>
      <c r="J375" s="4" t="str">
        <f t="shared" si="38"/>
        <v/>
      </c>
      <c r="K375" s="13" t="str">
        <f>_xlfn.SINGLE(IF(F375="","",_xlfn.XLOOKUP(F375,purchase!D:D,purchase!#REF!,"")))</f>
        <v/>
      </c>
      <c r="L375" s="2"/>
      <c r="M375" s="32"/>
      <c r="N375" s="13" t="str">
        <f>IF(F375="","",
MAX(0,
_xlfn.XLOOKUP(F375,purchase!D:D,purchase!#REF!,"")
-
SUMIFS(L:L,F:F,F375)))</f>
        <v/>
      </c>
      <c r="O375" s="13" t="str">
        <f t="shared" si="39"/>
        <v/>
      </c>
      <c r="P375" s="35" t="str">
        <f>_xlfn.SINGLE(IF(F375="","",_xlfn.XLOOKUP(F375,purchase!D:D,purchase!K:K,"")))</f>
        <v/>
      </c>
      <c r="Q375" s="29" t="str">
        <f t="shared" si="40"/>
        <v/>
      </c>
      <c r="R375" s="37" t="str">
        <f t="shared" si="41"/>
        <v/>
      </c>
    </row>
    <row r="376" spans="1:18" x14ac:dyDescent="0.35">
      <c r="A376" s="8">
        <v>372</v>
      </c>
      <c r="B376" s="9" t="str">
        <f t="shared" si="35"/>
        <v/>
      </c>
      <c r="C376" s="10"/>
      <c r="D376" s="9" t="str">
        <f>IF(F376="","",_xlfn.XLOOKUP(F376,purchase!D:D,purchase!#REF!,""))</f>
        <v/>
      </c>
      <c r="E376" s="9" t="str">
        <f>IF(F376="","",_xlfn.XLOOKUP(F376,purchase!D:D,purchase!B:B,""))</f>
        <v/>
      </c>
      <c r="F376" s="2"/>
      <c r="G376" s="4" t="str">
        <f t="shared" si="36"/>
        <v/>
      </c>
      <c r="H376" s="4" t="str">
        <f>IF(F376="","",_xlfn.XLOOKUP(F376,purchase!D:D,purchase!#REF!,""))</f>
        <v/>
      </c>
      <c r="I376" s="4" t="str">
        <f t="shared" si="37"/>
        <v/>
      </c>
      <c r="J376" s="4" t="str">
        <f t="shared" si="38"/>
        <v/>
      </c>
      <c r="K376" s="13" t="str">
        <f>_xlfn.SINGLE(IF(F376="","",_xlfn.XLOOKUP(F376,purchase!D:D,purchase!#REF!,"")))</f>
        <v/>
      </c>
      <c r="L376" s="2"/>
      <c r="M376" s="32"/>
      <c r="N376" s="13" t="str">
        <f>IF(F376="","",
MAX(0,
_xlfn.XLOOKUP(F376,purchase!D:D,purchase!#REF!,"")
-
SUMIFS(L:L,F:F,F376)))</f>
        <v/>
      </c>
      <c r="O376" s="13" t="str">
        <f t="shared" si="39"/>
        <v/>
      </c>
      <c r="P376" s="35" t="str">
        <f>_xlfn.SINGLE(IF(F376="","",_xlfn.XLOOKUP(F376,purchase!D:D,purchase!K:K,"")))</f>
        <v/>
      </c>
      <c r="Q376" s="29" t="str">
        <f t="shared" si="40"/>
        <v/>
      </c>
      <c r="R376" s="37" t="str">
        <f t="shared" si="41"/>
        <v/>
      </c>
    </row>
    <row r="377" spans="1:18" x14ac:dyDescent="0.35">
      <c r="A377" s="8">
        <v>373</v>
      </c>
      <c r="B377" s="9" t="str">
        <f t="shared" si="35"/>
        <v/>
      </c>
      <c r="C377" s="10"/>
      <c r="D377" s="9" t="str">
        <f>IF(F377="","",_xlfn.XLOOKUP(F377,purchase!D:D,purchase!#REF!,""))</f>
        <v/>
      </c>
      <c r="E377" s="9" t="str">
        <f>IF(F377="","",_xlfn.XLOOKUP(F377,purchase!D:D,purchase!B:B,""))</f>
        <v/>
      </c>
      <c r="F377" s="2"/>
      <c r="G377" s="4" t="str">
        <f t="shared" si="36"/>
        <v/>
      </c>
      <c r="H377" s="4" t="str">
        <f>IF(F377="","",_xlfn.XLOOKUP(F377,purchase!D:D,purchase!#REF!,""))</f>
        <v/>
      </c>
      <c r="I377" s="4" t="str">
        <f t="shared" si="37"/>
        <v/>
      </c>
      <c r="J377" s="4" t="str">
        <f t="shared" si="38"/>
        <v/>
      </c>
      <c r="K377" s="13" t="str">
        <f>_xlfn.SINGLE(IF(F377="","",_xlfn.XLOOKUP(F377,purchase!D:D,purchase!#REF!,"")))</f>
        <v/>
      </c>
      <c r="L377" s="2"/>
      <c r="M377" s="32"/>
      <c r="N377" s="13" t="str">
        <f>IF(F377="","",
MAX(0,
_xlfn.XLOOKUP(F377,purchase!D:D,purchase!#REF!,"")
-
SUMIFS(L:L,F:F,F377)))</f>
        <v/>
      </c>
      <c r="O377" s="13" t="str">
        <f t="shared" si="39"/>
        <v/>
      </c>
      <c r="P377" s="35" t="str">
        <f>_xlfn.SINGLE(IF(F377="","",_xlfn.XLOOKUP(F377,purchase!D:D,purchase!K:K,"")))</f>
        <v/>
      </c>
      <c r="Q377" s="29" t="str">
        <f t="shared" si="40"/>
        <v/>
      </c>
      <c r="R377" s="37" t="str">
        <f t="shared" si="41"/>
        <v/>
      </c>
    </row>
    <row r="378" spans="1:18" x14ac:dyDescent="0.35">
      <c r="A378" s="8">
        <v>374</v>
      </c>
      <c r="B378" s="9" t="str">
        <f t="shared" si="35"/>
        <v/>
      </c>
      <c r="C378" s="10"/>
      <c r="D378" s="9" t="str">
        <f>IF(F378="","",_xlfn.XLOOKUP(F378,purchase!D:D,purchase!#REF!,""))</f>
        <v/>
      </c>
      <c r="E378" s="9" t="str">
        <f>IF(F378="","",_xlfn.XLOOKUP(F378,purchase!D:D,purchase!B:B,""))</f>
        <v/>
      </c>
      <c r="F378" s="2"/>
      <c r="G378" s="4" t="str">
        <f t="shared" si="36"/>
        <v/>
      </c>
      <c r="H378" s="4" t="str">
        <f>IF(F378="","",_xlfn.XLOOKUP(F378,purchase!D:D,purchase!#REF!,""))</f>
        <v/>
      </c>
      <c r="I378" s="4" t="str">
        <f t="shared" si="37"/>
        <v/>
      </c>
      <c r="J378" s="4" t="str">
        <f t="shared" si="38"/>
        <v/>
      </c>
      <c r="K378" s="13" t="str">
        <f>_xlfn.SINGLE(IF(F378="","",_xlfn.XLOOKUP(F378,purchase!D:D,purchase!#REF!,"")))</f>
        <v/>
      </c>
      <c r="L378" s="2"/>
      <c r="M378" s="32"/>
      <c r="N378" s="13" t="str">
        <f>IF(F378="","",
MAX(0,
_xlfn.XLOOKUP(F378,purchase!D:D,purchase!#REF!,"")
-
SUMIFS(L:L,F:F,F378)))</f>
        <v/>
      </c>
      <c r="O378" s="13" t="str">
        <f t="shared" si="39"/>
        <v/>
      </c>
      <c r="P378" s="35" t="str">
        <f>_xlfn.SINGLE(IF(F378="","",_xlfn.XLOOKUP(F378,purchase!D:D,purchase!K:K,"")))</f>
        <v/>
      </c>
      <c r="Q378" s="29" t="str">
        <f t="shared" si="40"/>
        <v/>
      </c>
      <c r="R378" s="37" t="str">
        <f t="shared" si="41"/>
        <v/>
      </c>
    </row>
    <row r="379" spans="1:18" x14ac:dyDescent="0.35">
      <c r="A379" s="8">
        <v>375</v>
      </c>
      <c r="B379" s="9" t="str">
        <f t="shared" si="35"/>
        <v/>
      </c>
      <c r="C379" s="10"/>
      <c r="D379" s="9" t="str">
        <f>IF(F379="","",_xlfn.XLOOKUP(F379,purchase!D:D,purchase!#REF!,""))</f>
        <v/>
      </c>
      <c r="E379" s="9" t="str">
        <f>IF(F379="","",_xlfn.XLOOKUP(F379,purchase!D:D,purchase!B:B,""))</f>
        <v/>
      </c>
      <c r="F379" s="2"/>
      <c r="G379" s="4" t="str">
        <f t="shared" si="36"/>
        <v/>
      </c>
      <c r="H379" s="4" t="str">
        <f>IF(F379="","",_xlfn.XLOOKUP(F379,purchase!D:D,purchase!#REF!,""))</f>
        <v/>
      </c>
      <c r="I379" s="4" t="str">
        <f t="shared" si="37"/>
        <v/>
      </c>
      <c r="J379" s="4" t="str">
        <f t="shared" si="38"/>
        <v/>
      </c>
      <c r="K379" s="13" t="str">
        <f>_xlfn.SINGLE(IF(F379="","",_xlfn.XLOOKUP(F379,purchase!D:D,purchase!#REF!,"")))</f>
        <v/>
      </c>
      <c r="L379" s="2"/>
      <c r="M379" s="32"/>
      <c r="N379" s="13" t="str">
        <f>IF(F379="","",
MAX(0,
_xlfn.XLOOKUP(F379,purchase!D:D,purchase!#REF!,"")
-
SUMIFS(L:L,F:F,F379)))</f>
        <v/>
      </c>
      <c r="O379" s="13" t="str">
        <f t="shared" si="39"/>
        <v/>
      </c>
      <c r="P379" s="35" t="str">
        <f>_xlfn.SINGLE(IF(F379="","",_xlfn.XLOOKUP(F379,purchase!D:D,purchase!K:K,"")))</f>
        <v/>
      </c>
      <c r="Q379" s="29" t="str">
        <f t="shared" si="40"/>
        <v/>
      </c>
      <c r="R379" s="37" t="str">
        <f t="shared" si="41"/>
        <v/>
      </c>
    </row>
    <row r="380" spans="1:18" x14ac:dyDescent="0.35">
      <c r="A380" s="8">
        <v>376</v>
      </c>
      <c r="B380" s="9" t="str">
        <f t="shared" si="35"/>
        <v/>
      </c>
      <c r="C380" s="10"/>
      <c r="D380" s="9" t="str">
        <f>IF(F380="","",_xlfn.XLOOKUP(F380,purchase!D:D,purchase!#REF!,""))</f>
        <v/>
      </c>
      <c r="E380" s="9" t="str">
        <f>IF(F380="","",_xlfn.XLOOKUP(F380,purchase!D:D,purchase!B:B,""))</f>
        <v/>
      </c>
      <c r="F380" s="2"/>
      <c r="G380" s="4" t="str">
        <f t="shared" si="36"/>
        <v/>
      </c>
      <c r="H380" s="4" t="str">
        <f>IF(F380="","",_xlfn.XLOOKUP(F380,purchase!D:D,purchase!#REF!,""))</f>
        <v/>
      </c>
      <c r="I380" s="4" t="str">
        <f t="shared" si="37"/>
        <v/>
      </c>
      <c r="J380" s="4" t="str">
        <f t="shared" si="38"/>
        <v/>
      </c>
      <c r="K380" s="13" t="str">
        <f>_xlfn.SINGLE(IF(F380="","",_xlfn.XLOOKUP(F380,purchase!D:D,purchase!#REF!,"")))</f>
        <v/>
      </c>
      <c r="L380" s="2"/>
      <c r="M380" s="32"/>
      <c r="N380" s="13" t="str">
        <f>IF(F380="","",
MAX(0,
_xlfn.XLOOKUP(F380,purchase!D:D,purchase!#REF!,"")
-
SUMIFS(L:L,F:F,F380)))</f>
        <v/>
      </c>
      <c r="O380" s="13" t="str">
        <f t="shared" si="39"/>
        <v/>
      </c>
      <c r="P380" s="35" t="str">
        <f>_xlfn.SINGLE(IF(F380="","",_xlfn.XLOOKUP(F380,purchase!D:D,purchase!K:K,"")))</f>
        <v/>
      </c>
      <c r="Q380" s="29" t="str">
        <f t="shared" si="40"/>
        <v/>
      </c>
      <c r="R380" s="37" t="str">
        <f t="shared" si="41"/>
        <v/>
      </c>
    </row>
    <row r="381" spans="1:18" x14ac:dyDescent="0.35">
      <c r="A381" s="8">
        <v>377</v>
      </c>
      <c r="B381" s="9" t="str">
        <f t="shared" si="35"/>
        <v/>
      </c>
      <c r="C381" s="10"/>
      <c r="D381" s="9" t="str">
        <f>IF(F381="","",_xlfn.XLOOKUP(F381,purchase!D:D,purchase!#REF!,""))</f>
        <v/>
      </c>
      <c r="E381" s="9" t="str">
        <f>IF(F381="","",_xlfn.XLOOKUP(F381,purchase!D:D,purchase!B:B,""))</f>
        <v/>
      </c>
      <c r="F381" s="2"/>
      <c r="G381" s="4" t="str">
        <f t="shared" si="36"/>
        <v/>
      </c>
      <c r="H381" s="4" t="str">
        <f>IF(F381="","",_xlfn.XLOOKUP(F381,purchase!D:D,purchase!#REF!,""))</f>
        <v/>
      </c>
      <c r="I381" s="4" t="str">
        <f t="shared" si="37"/>
        <v/>
      </c>
      <c r="J381" s="4" t="str">
        <f t="shared" si="38"/>
        <v/>
      </c>
      <c r="K381" s="13" t="str">
        <f>_xlfn.SINGLE(IF(F381="","",_xlfn.XLOOKUP(F381,purchase!D:D,purchase!#REF!,"")))</f>
        <v/>
      </c>
      <c r="L381" s="2"/>
      <c r="M381" s="32"/>
      <c r="N381" s="13" t="str">
        <f>IF(F381="","",
MAX(0,
_xlfn.XLOOKUP(F381,purchase!D:D,purchase!#REF!,"")
-
SUMIFS(L:L,F:F,F381)))</f>
        <v/>
      </c>
      <c r="O381" s="13" t="str">
        <f t="shared" si="39"/>
        <v/>
      </c>
      <c r="P381" s="35" t="str">
        <f>_xlfn.SINGLE(IF(F381="","",_xlfn.XLOOKUP(F381,purchase!D:D,purchase!K:K,"")))</f>
        <v/>
      </c>
      <c r="Q381" s="29" t="str">
        <f t="shared" si="40"/>
        <v/>
      </c>
      <c r="R381" s="37" t="str">
        <f t="shared" si="41"/>
        <v/>
      </c>
    </row>
    <row r="382" spans="1:18" x14ac:dyDescent="0.35">
      <c r="A382" s="8">
        <v>378</v>
      </c>
      <c r="B382" s="9" t="str">
        <f t="shared" si="35"/>
        <v/>
      </c>
      <c r="C382" s="10"/>
      <c r="D382" s="9" t="str">
        <f>IF(F382="","",_xlfn.XLOOKUP(F382,purchase!D:D,purchase!#REF!,""))</f>
        <v/>
      </c>
      <c r="E382" s="9" t="str">
        <f>IF(F382="","",_xlfn.XLOOKUP(F382,purchase!D:D,purchase!B:B,""))</f>
        <v/>
      </c>
      <c r="F382" s="2"/>
      <c r="G382" s="4" t="str">
        <f t="shared" si="36"/>
        <v/>
      </c>
      <c r="H382" s="4" t="str">
        <f>IF(F382="","",_xlfn.XLOOKUP(F382,purchase!D:D,purchase!#REF!,""))</f>
        <v/>
      </c>
      <c r="I382" s="4" t="str">
        <f t="shared" si="37"/>
        <v/>
      </c>
      <c r="J382" s="4" t="str">
        <f t="shared" si="38"/>
        <v/>
      </c>
      <c r="K382" s="13" t="str">
        <f>_xlfn.SINGLE(IF(F382="","",_xlfn.XLOOKUP(F382,purchase!D:D,purchase!#REF!,"")))</f>
        <v/>
      </c>
      <c r="L382" s="2"/>
      <c r="M382" s="32"/>
      <c r="N382" s="13" t="str">
        <f>IF(F382="","",
MAX(0,
_xlfn.XLOOKUP(F382,purchase!D:D,purchase!#REF!,"")
-
SUMIFS(L:L,F:F,F382)))</f>
        <v/>
      </c>
      <c r="O382" s="13" t="str">
        <f t="shared" si="39"/>
        <v/>
      </c>
      <c r="P382" s="35" t="str">
        <f>_xlfn.SINGLE(IF(F382="","",_xlfn.XLOOKUP(F382,purchase!D:D,purchase!K:K,"")))</f>
        <v/>
      </c>
      <c r="Q382" s="29" t="str">
        <f t="shared" si="40"/>
        <v/>
      </c>
      <c r="R382" s="37" t="str">
        <f t="shared" si="41"/>
        <v/>
      </c>
    </row>
    <row r="383" spans="1:18" x14ac:dyDescent="0.35">
      <c r="A383" s="8">
        <v>379</v>
      </c>
      <c r="B383" s="9" t="str">
        <f t="shared" si="35"/>
        <v/>
      </c>
      <c r="C383" s="10"/>
      <c r="D383" s="9" t="str">
        <f>IF(F383="","",_xlfn.XLOOKUP(F383,purchase!D:D,purchase!#REF!,""))</f>
        <v/>
      </c>
      <c r="E383" s="9" t="str">
        <f>IF(F383="","",_xlfn.XLOOKUP(F383,purchase!D:D,purchase!B:B,""))</f>
        <v/>
      </c>
      <c r="F383" s="2"/>
      <c r="G383" s="4" t="str">
        <f t="shared" si="36"/>
        <v/>
      </c>
      <c r="H383" s="4" t="str">
        <f>IF(F383="","",_xlfn.XLOOKUP(F383,purchase!D:D,purchase!#REF!,""))</f>
        <v/>
      </c>
      <c r="I383" s="4" t="str">
        <f t="shared" si="37"/>
        <v/>
      </c>
      <c r="J383" s="4" t="str">
        <f t="shared" si="38"/>
        <v/>
      </c>
      <c r="K383" s="13" t="str">
        <f>_xlfn.SINGLE(IF(F383="","",_xlfn.XLOOKUP(F383,purchase!D:D,purchase!#REF!,"")))</f>
        <v/>
      </c>
      <c r="L383" s="2"/>
      <c r="M383" s="32"/>
      <c r="N383" s="13" t="str">
        <f>IF(F383="","",
MAX(0,
_xlfn.XLOOKUP(F383,purchase!D:D,purchase!#REF!,"")
-
SUMIFS(L:L,F:F,F383)))</f>
        <v/>
      </c>
      <c r="O383" s="13" t="str">
        <f t="shared" si="39"/>
        <v/>
      </c>
      <c r="P383" s="35" t="str">
        <f>_xlfn.SINGLE(IF(F383="","",_xlfn.XLOOKUP(F383,purchase!D:D,purchase!K:K,"")))</f>
        <v/>
      </c>
      <c r="Q383" s="29" t="str">
        <f t="shared" si="40"/>
        <v/>
      </c>
      <c r="R383" s="37" t="str">
        <f t="shared" si="41"/>
        <v/>
      </c>
    </row>
    <row r="384" spans="1:18" x14ac:dyDescent="0.35">
      <c r="A384" s="8">
        <v>380</v>
      </c>
      <c r="B384" s="9" t="str">
        <f t="shared" si="35"/>
        <v/>
      </c>
      <c r="C384" s="10"/>
      <c r="D384" s="9" t="str">
        <f>IF(F384="","",_xlfn.XLOOKUP(F384,purchase!D:D,purchase!#REF!,""))</f>
        <v/>
      </c>
      <c r="E384" s="9" t="str">
        <f>IF(F384="","",_xlfn.XLOOKUP(F384,purchase!D:D,purchase!B:B,""))</f>
        <v/>
      </c>
      <c r="F384" s="2"/>
      <c r="G384" s="4" t="str">
        <f t="shared" si="36"/>
        <v/>
      </c>
      <c r="H384" s="4" t="str">
        <f>IF(F384="","",_xlfn.XLOOKUP(F384,purchase!D:D,purchase!#REF!,""))</f>
        <v/>
      </c>
      <c r="I384" s="4" t="str">
        <f t="shared" si="37"/>
        <v/>
      </c>
      <c r="J384" s="4" t="str">
        <f t="shared" si="38"/>
        <v/>
      </c>
      <c r="K384" s="13" t="str">
        <f>_xlfn.SINGLE(IF(F384="","",_xlfn.XLOOKUP(F384,purchase!D:D,purchase!#REF!,"")))</f>
        <v/>
      </c>
      <c r="L384" s="2"/>
      <c r="M384" s="32"/>
      <c r="N384" s="13" t="str">
        <f>IF(F384="","",
MAX(0,
_xlfn.XLOOKUP(F384,purchase!D:D,purchase!#REF!,"")
-
SUMIFS(L:L,F:F,F384)))</f>
        <v/>
      </c>
      <c r="O384" s="13" t="str">
        <f t="shared" si="39"/>
        <v/>
      </c>
      <c r="P384" s="35" t="str">
        <f>_xlfn.SINGLE(IF(F384="","",_xlfn.XLOOKUP(F384,purchase!D:D,purchase!K:K,"")))</f>
        <v/>
      </c>
      <c r="Q384" s="29" t="str">
        <f t="shared" si="40"/>
        <v/>
      </c>
      <c r="R384" s="37" t="str">
        <f t="shared" si="41"/>
        <v/>
      </c>
    </row>
    <row r="385" spans="1:18" x14ac:dyDescent="0.35">
      <c r="A385" s="8">
        <v>381</v>
      </c>
      <c r="B385" s="9" t="str">
        <f t="shared" si="35"/>
        <v/>
      </c>
      <c r="C385" s="10"/>
      <c r="D385" s="9" t="str">
        <f>IF(F385="","",_xlfn.XLOOKUP(F385,purchase!D:D,purchase!#REF!,""))</f>
        <v/>
      </c>
      <c r="E385" s="9" t="str">
        <f>IF(F385="","",_xlfn.XLOOKUP(F385,purchase!D:D,purchase!B:B,""))</f>
        <v/>
      </c>
      <c r="F385" s="2"/>
      <c r="G385" s="4" t="str">
        <f t="shared" si="36"/>
        <v/>
      </c>
      <c r="H385" s="4" t="str">
        <f>IF(F385="","",_xlfn.XLOOKUP(F385,purchase!D:D,purchase!#REF!,""))</f>
        <v/>
      </c>
      <c r="I385" s="4" t="str">
        <f t="shared" si="37"/>
        <v/>
      </c>
      <c r="J385" s="4" t="str">
        <f t="shared" si="38"/>
        <v/>
      </c>
      <c r="K385" s="13" t="str">
        <f>_xlfn.SINGLE(IF(F385="","",_xlfn.XLOOKUP(F385,purchase!D:D,purchase!#REF!,"")))</f>
        <v/>
      </c>
      <c r="L385" s="2"/>
      <c r="M385" s="32"/>
      <c r="N385" s="13" t="str">
        <f>IF(F385="","",
MAX(0,
_xlfn.XLOOKUP(F385,purchase!D:D,purchase!#REF!,"")
-
SUMIFS(L:L,F:F,F385)))</f>
        <v/>
      </c>
      <c r="O385" s="13" t="str">
        <f t="shared" si="39"/>
        <v/>
      </c>
      <c r="P385" s="35" t="str">
        <f>_xlfn.SINGLE(IF(F385="","",_xlfn.XLOOKUP(F385,purchase!D:D,purchase!K:K,"")))</f>
        <v/>
      </c>
      <c r="Q385" s="29" t="str">
        <f t="shared" si="40"/>
        <v/>
      </c>
      <c r="R385" s="37" t="str">
        <f t="shared" si="41"/>
        <v/>
      </c>
    </row>
    <row r="386" spans="1:18" x14ac:dyDescent="0.35">
      <c r="A386" s="8">
        <v>382</v>
      </c>
      <c r="B386" s="9" t="str">
        <f t="shared" si="35"/>
        <v/>
      </c>
      <c r="C386" s="10"/>
      <c r="D386" s="9" t="str">
        <f>IF(F386="","",_xlfn.XLOOKUP(F386,purchase!D:D,purchase!#REF!,""))</f>
        <v/>
      </c>
      <c r="E386" s="9" t="str">
        <f>IF(F386="","",_xlfn.XLOOKUP(F386,purchase!D:D,purchase!B:B,""))</f>
        <v/>
      </c>
      <c r="F386" s="2"/>
      <c r="G386" s="4" t="str">
        <f t="shared" si="36"/>
        <v/>
      </c>
      <c r="H386" s="4" t="str">
        <f>IF(F386="","",_xlfn.XLOOKUP(F386,purchase!D:D,purchase!#REF!,""))</f>
        <v/>
      </c>
      <c r="I386" s="4" t="str">
        <f t="shared" si="37"/>
        <v/>
      </c>
      <c r="J386" s="4" t="str">
        <f t="shared" si="38"/>
        <v/>
      </c>
      <c r="K386" s="13" t="str">
        <f>_xlfn.SINGLE(IF(F386="","",_xlfn.XLOOKUP(F386,purchase!D:D,purchase!#REF!,"")))</f>
        <v/>
      </c>
      <c r="L386" s="2"/>
      <c r="M386" s="32"/>
      <c r="N386" s="13" t="str">
        <f>IF(F386="","",
MAX(0,
_xlfn.XLOOKUP(F386,purchase!D:D,purchase!#REF!,"")
-
SUMIFS(L:L,F:F,F386)))</f>
        <v/>
      </c>
      <c r="O386" s="13" t="str">
        <f t="shared" si="39"/>
        <v/>
      </c>
      <c r="P386" s="35" t="str">
        <f>_xlfn.SINGLE(IF(F386="","",_xlfn.XLOOKUP(F386,purchase!D:D,purchase!K:K,"")))</f>
        <v/>
      </c>
      <c r="Q386" s="29" t="str">
        <f t="shared" si="40"/>
        <v/>
      </c>
      <c r="R386" s="37" t="str">
        <f t="shared" si="41"/>
        <v/>
      </c>
    </row>
    <row r="387" spans="1:18" x14ac:dyDescent="0.35">
      <c r="A387" s="8">
        <v>383</v>
      </c>
      <c r="B387" s="9" t="str">
        <f t="shared" si="35"/>
        <v/>
      </c>
      <c r="C387" s="10"/>
      <c r="D387" s="9" t="str">
        <f>IF(F387="","",_xlfn.XLOOKUP(F387,purchase!D:D,purchase!#REF!,""))</f>
        <v/>
      </c>
      <c r="E387" s="9" t="str">
        <f>IF(F387="","",_xlfn.XLOOKUP(F387,purchase!D:D,purchase!B:B,""))</f>
        <v/>
      </c>
      <c r="F387" s="2"/>
      <c r="G387" s="4" t="str">
        <f t="shared" si="36"/>
        <v/>
      </c>
      <c r="H387" s="4" t="str">
        <f>IF(F387="","",_xlfn.XLOOKUP(F387,purchase!D:D,purchase!#REF!,""))</f>
        <v/>
      </c>
      <c r="I387" s="4" t="str">
        <f t="shared" si="37"/>
        <v/>
      </c>
      <c r="J387" s="4" t="str">
        <f t="shared" si="38"/>
        <v/>
      </c>
      <c r="K387" s="13" t="str">
        <f>_xlfn.SINGLE(IF(F387="","",_xlfn.XLOOKUP(F387,purchase!D:D,purchase!#REF!,"")))</f>
        <v/>
      </c>
      <c r="L387" s="2"/>
      <c r="M387" s="32"/>
      <c r="N387" s="13" t="str">
        <f>IF(F387="","",
MAX(0,
_xlfn.XLOOKUP(F387,purchase!D:D,purchase!#REF!,"")
-
SUMIFS(L:L,F:F,F387)))</f>
        <v/>
      </c>
      <c r="O387" s="13" t="str">
        <f t="shared" si="39"/>
        <v/>
      </c>
      <c r="P387" s="35" t="str">
        <f>_xlfn.SINGLE(IF(F387="","",_xlfn.XLOOKUP(F387,purchase!D:D,purchase!K:K,"")))</f>
        <v/>
      </c>
      <c r="Q387" s="29" t="str">
        <f t="shared" si="40"/>
        <v/>
      </c>
      <c r="R387" s="37" t="str">
        <f t="shared" si="41"/>
        <v/>
      </c>
    </row>
    <row r="388" spans="1:18" x14ac:dyDescent="0.35">
      <c r="A388" s="8">
        <v>384</v>
      </c>
      <c r="B388" s="9" t="str">
        <f t="shared" si="35"/>
        <v/>
      </c>
      <c r="C388" s="10"/>
      <c r="D388" s="9" t="str">
        <f>IF(F388="","",_xlfn.XLOOKUP(F388,purchase!D:D,purchase!#REF!,""))</f>
        <v/>
      </c>
      <c r="E388" s="9" t="str">
        <f>IF(F388="","",_xlfn.XLOOKUP(F388,purchase!D:D,purchase!B:B,""))</f>
        <v/>
      </c>
      <c r="F388" s="2"/>
      <c r="G388" s="4" t="str">
        <f t="shared" si="36"/>
        <v/>
      </c>
      <c r="H388" s="4" t="str">
        <f>IF(F388="","",_xlfn.XLOOKUP(F388,purchase!D:D,purchase!#REF!,""))</f>
        <v/>
      </c>
      <c r="I388" s="4" t="str">
        <f t="shared" si="37"/>
        <v/>
      </c>
      <c r="J388" s="4" t="str">
        <f t="shared" si="38"/>
        <v/>
      </c>
      <c r="K388" s="13" t="str">
        <f>_xlfn.SINGLE(IF(F388="","",_xlfn.XLOOKUP(F388,purchase!D:D,purchase!#REF!,"")))</f>
        <v/>
      </c>
      <c r="L388" s="2"/>
      <c r="M388" s="32"/>
      <c r="N388" s="13" t="str">
        <f>IF(F388="","",
MAX(0,
_xlfn.XLOOKUP(F388,purchase!D:D,purchase!#REF!,"")
-
SUMIFS(L:L,F:F,F388)))</f>
        <v/>
      </c>
      <c r="O388" s="13" t="str">
        <f t="shared" si="39"/>
        <v/>
      </c>
      <c r="P388" s="35" t="str">
        <f>_xlfn.SINGLE(IF(F388="","",_xlfn.XLOOKUP(F388,purchase!D:D,purchase!K:K,"")))</f>
        <v/>
      </c>
      <c r="Q388" s="29" t="str">
        <f t="shared" si="40"/>
        <v/>
      </c>
      <c r="R388" s="37" t="str">
        <f t="shared" si="41"/>
        <v/>
      </c>
    </row>
    <row r="389" spans="1:18" x14ac:dyDescent="0.35">
      <c r="A389" s="8">
        <v>385</v>
      </c>
      <c r="B389" s="9" t="str">
        <f t="shared" ref="B389:B452" si="42">IF(OR(C389="",F389=""),"",
"PRD-" &amp;
TEXT(DAY(C389),"00") &amp;
CHOOSE(MONTH(C389),"A","B","C","D","E","F","G","H","I","J","K","L") &amp;
TEXT(YEAR(C389),"00") &amp;
"-" &amp;
RIGHT(F389,4))</f>
        <v/>
      </c>
      <c r="C389" s="10"/>
      <c r="D389" s="9" t="str">
        <f>IF(F389="","",_xlfn.XLOOKUP(F389,purchase!D:D,purchase!#REF!,""))</f>
        <v/>
      </c>
      <c r="E389" s="9" t="str">
        <f>IF(F389="","",_xlfn.XLOOKUP(F389,purchase!D:D,purchase!B:B,""))</f>
        <v/>
      </c>
      <c r="F389" s="2"/>
      <c r="G389" s="4" t="str">
        <f t="shared" ref="G389:G452" si="43">IF(H389="NRFC","Natural Rubber Field Coagulam","")</f>
        <v/>
      </c>
      <c r="H389" s="4" t="str">
        <f>IF(F389="","",_xlfn.XLOOKUP(F389,purchase!D:D,purchase!#REF!,""))</f>
        <v/>
      </c>
      <c r="I389" s="4" t="str">
        <f t="shared" ref="I389:I452" si="44">IF(J389="ISNR20","Natural Rubber-TSNR (ISNR-20)","")</f>
        <v/>
      </c>
      <c r="J389" s="4" t="str">
        <f t="shared" ref="J389:J452" si="45">IF(H389="NRFC","ISNR20","")</f>
        <v/>
      </c>
      <c r="K389" s="13" t="str">
        <f>_xlfn.SINGLE(IF(F389="","",_xlfn.XLOOKUP(F389,purchase!D:D,purchase!#REF!,"")))</f>
        <v/>
      </c>
      <c r="L389" s="2"/>
      <c r="M389" s="32"/>
      <c r="N389" s="13" t="str">
        <f>IF(F389="","",
MAX(0,
_xlfn.XLOOKUP(F389,purchase!D:D,purchase!#REF!,"")
-
SUMIFS(L:L,F:F,F389)))</f>
        <v/>
      </c>
      <c r="O389" s="13" t="str">
        <f t="shared" ref="O389:O452" si="46">IF(OR(L389="",M389=""),"",L389-M389)</f>
        <v/>
      </c>
      <c r="P389" s="35" t="str">
        <f>_xlfn.SINGLE(IF(F389="","",_xlfn.XLOOKUP(F389,purchase!D:D,purchase!K:K,"")))</f>
        <v/>
      </c>
      <c r="Q389" s="29" t="str">
        <f t="shared" ref="Q389:Q452" si="47">IF(OR(L389="",M389=""),"",M389/L389)</f>
        <v/>
      </c>
      <c r="R389" s="37" t="str">
        <f t="shared" ref="R389:R452" si="48">IF(OR(P389="",Q389=""),"",Q389-P389)</f>
        <v/>
      </c>
    </row>
    <row r="390" spans="1:18" x14ac:dyDescent="0.35">
      <c r="A390" s="8">
        <v>386</v>
      </c>
      <c r="B390" s="9" t="str">
        <f t="shared" si="42"/>
        <v/>
      </c>
      <c r="C390" s="10"/>
      <c r="D390" s="9" t="str">
        <f>IF(F390="","",_xlfn.XLOOKUP(F390,purchase!D:D,purchase!#REF!,""))</f>
        <v/>
      </c>
      <c r="E390" s="9" t="str">
        <f>IF(F390="","",_xlfn.XLOOKUP(F390,purchase!D:D,purchase!B:B,""))</f>
        <v/>
      </c>
      <c r="F390" s="2"/>
      <c r="G390" s="4" t="str">
        <f t="shared" si="43"/>
        <v/>
      </c>
      <c r="H390" s="4" t="str">
        <f>IF(F390="","",_xlfn.XLOOKUP(F390,purchase!D:D,purchase!#REF!,""))</f>
        <v/>
      </c>
      <c r="I390" s="4" t="str">
        <f t="shared" si="44"/>
        <v/>
      </c>
      <c r="J390" s="4" t="str">
        <f t="shared" si="45"/>
        <v/>
      </c>
      <c r="K390" s="13" t="str">
        <f>_xlfn.SINGLE(IF(F390="","",_xlfn.XLOOKUP(F390,purchase!D:D,purchase!#REF!,"")))</f>
        <v/>
      </c>
      <c r="L390" s="2"/>
      <c r="M390" s="32"/>
      <c r="N390" s="13" t="str">
        <f>IF(F390="","",
MAX(0,
_xlfn.XLOOKUP(F390,purchase!D:D,purchase!#REF!,"")
-
SUMIFS(L:L,F:F,F390)))</f>
        <v/>
      </c>
      <c r="O390" s="13" t="str">
        <f t="shared" si="46"/>
        <v/>
      </c>
      <c r="P390" s="35" t="str">
        <f>_xlfn.SINGLE(IF(F390="","",_xlfn.XLOOKUP(F390,purchase!D:D,purchase!K:K,"")))</f>
        <v/>
      </c>
      <c r="Q390" s="29" t="str">
        <f t="shared" si="47"/>
        <v/>
      </c>
      <c r="R390" s="37" t="str">
        <f t="shared" si="48"/>
        <v/>
      </c>
    </row>
    <row r="391" spans="1:18" x14ac:dyDescent="0.35">
      <c r="A391" s="8">
        <v>387</v>
      </c>
      <c r="B391" s="9" t="str">
        <f t="shared" si="42"/>
        <v/>
      </c>
      <c r="C391" s="10"/>
      <c r="D391" s="9" t="str">
        <f>IF(F391="","",_xlfn.XLOOKUP(F391,purchase!D:D,purchase!#REF!,""))</f>
        <v/>
      </c>
      <c r="E391" s="9" t="str">
        <f>IF(F391="","",_xlfn.XLOOKUP(F391,purchase!D:D,purchase!B:B,""))</f>
        <v/>
      </c>
      <c r="F391" s="2"/>
      <c r="G391" s="4" t="str">
        <f t="shared" si="43"/>
        <v/>
      </c>
      <c r="H391" s="4" t="str">
        <f>IF(F391="","",_xlfn.XLOOKUP(F391,purchase!D:D,purchase!#REF!,""))</f>
        <v/>
      </c>
      <c r="I391" s="4" t="str">
        <f t="shared" si="44"/>
        <v/>
      </c>
      <c r="J391" s="4" t="str">
        <f t="shared" si="45"/>
        <v/>
      </c>
      <c r="K391" s="13" t="str">
        <f>_xlfn.SINGLE(IF(F391="","",_xlfn.XLOOKUP(F391,purchase!D:D,purchase!#REF!,"")))</f>
        <v/>
      </c>
      <c r="L391" s="2"/>
      <c r="M391" s="32"/>
      <c r="N391" s="13" t="str">
        <f>IF(F391="","",
MAX(0,
_xlfn.XLOOKUP(F391,purchase!D:D,purchase!#REF!,"")
-
SUMIFS(L:L,F:F,F391)))</f>
        <v/>
      </c>
      <c r="O391" s="13" t="str">
        <f t="shared" si="46"/>
        <v/>
      </c>
      <c r="P391" s="35" t="str">
        <f>_xlfn.SINGLE(IF(F391="","",_xlfn.XLOOKUP(F391,purchase!D:D,purchase!K:K,"")))</f>
        <v/>
      </c>
      <c r="Q391" s="29" t="str">
        <f t="shared" si="47"/>
        <v/>
      </c>
      <c r="R391" s="37" t="str">
        <f t="shared" si="48"/>
        <v/>
      </c>
    </row>
    <row r="392" spans="1:18" x14ac:dyDescent="0.35">
      <c r="A392" s="8">
        <v>388</v>
      </c>
      <c r="B392" s="9" t="str">
        <f t="shared" si="42"/>
        <v/>
      </c>
      <c r="C392" s="10"/>
      <c r="D392" s="9" t="str">
        <f>IF(F392="","",_xlfn.XLOOKUP(F392,purchase!D:D,purchase!#REF!,""))</f>
        <v/>
      </c>
      <c r="E392" s="9" t="str">
        <f>IF(F392="","",_xlfn.XLOOKUP(F392,purchase!D:D,purchase!B:B,""))</f>
        <v/>
      </c>
      <c r="F392" s="2"/>
      <c r="G392" s="4" t="str">
        <f t="shared" si="43"/>
        <v/>
      </c>
      <c r="H392" s="4" t="str">
        <f>IF(F392="","",_xlfn.XLOOKUP(F392,purchase!D:D,purchase!#REF!,""))</f>
        <v/>
      </c>
      <c r="I392" s="4" t="str">
        <f t="shared" si="44"/>
        <v/>
      </c>
      <c r="J392" s="4" t="str">
        <f t="shared" si="45"/>
        <v/>
      </c>
      <c r="K392" s="13" t="str">
        <f>_xlfn.SINGLE(IF(F392="","",_xlfn.XLOOKUP(F392,purchase!D:D,purchase!#REF!,"")))</f>
        <v/>
      </c>
      <c r="L392" s="2"/>
      <c r="M392" s="32"/>
      <c r="N392" s="13" t="str">
        <f>IF(F392="","",
MAX(0,
_xlfn.XLOOKUP(F392,purchase!D:D,purchase!#REF!,"")
-
SUMIFS(L:L,F:F,F392)))</f>
        <v/>
      </c>
      <c r="O392" s="13" t="str">
        <f t="shared" si="46"/>
        <v/>
      </c>
      <c r="P392" s="35" t="str">
        <f>_xlfn.SINGLE(IF(F392="","",_xlfn.XLOOKUP(F392,purchase!D:D,purchase!K:K,"")))</f>
        <v/>
      </c>
      <c r="Q392" s="29" t="str">
        <f t="shared" si="47"/>
        <v/>
      </c>
      <c r="R392" s="37" t="str">
        <f t="shared" si="48"/>
        <v/>
      </c>
    </row>
    <row r="393" spans="1:18" x14ac:dyDescent="0.35">
      <c r="A393" s="8">
        <v>389</v>
      </c>
      <c r="B393" s="9" t="str">
        <f t="shared" si="42"/>
        <v/>
      </c>
      <c r="C393" s="10"/>
      <c r="D393" s="9" t="str">
        <f>IF(F393="","",_xlfn.XLOOKUP(F393,purchase!D:D,purchase!#REF!,""))</f>
        <v/>
      </c>
      <c r="E393" s="9" t="str">
        <f>IF(F393="","",_xlfn.XLOOKUP(F393,purchase!D:D,purchase!B:B,""))</f>
        <v/>
      </c>
      <c r="F393" s="2"/>
      <c r="G393" s="4" t="str">
        <f t="shared" si="43"/>
        <v/>
      </c>
      <c r="H393" s="4" t="str">
        <f>IF(F393="","",_xlfn.XLOOKUP(F393,purchase!D:D,purchase!#REF!,""))</f>
        <v/>
      </c>
      <c r="I393" s="4" t="str">
        <f t="shared" si="44"/>
        <v/>
      </c>
      <c r="J393" s="4" t="str">
        <f t="shared" si="45"/>
        <v/>
      </c>
      <c r="K393" s="13" t="str">
        <f>_xlfn.SINGLE(IF(F393="","",_xlfn.XLOOKUP(F393,purchase!D:D,purchase!#REF!,"")))</f>
        <v/>
      </c>
      <c r="L393" s="2"/>
      <c r="M393" s="32"/>
      <c r="N393" s="13" t="str">
        <f>IF(F393="","",
MAX(0,
_xlfn.XLOOKUP(F393,purchase!D:D,purchase!#REF!,"")
-
SUMIFS(L:L,F:F,F393)))</f>
        <v/>
      </c>
      <c r="O393" s="13" t="str">
        <f t="shared" si="46"/>
        <v/>
      </c>
      <c r="P393" s="35" t="str">
        <f>_xlfn.SINGLE(IF(F393="","",_xlfn.XLOOKUP(F393,purchase!D:D,purchase!K:K,"")))</f>
        <v/>
      </c>
      <c r="Q393" s="29" t="str">
        <f t="shared" si="47"/>
        <v/>
      </c>
      <c r="R393" s="37" t="str">
        <f t="shared" si="48"/>
        <v/>
      </c>
    </row>
    <row r="394" spans="1:18" x14ac:dyDescent="0.35">
      <c r="A394" s="8">
        <v>390</v>
      </c>
      <c r="B394" s="9" t="str">
        <f t="shared" si="42"/>
        <v/>
      </c>
      <c r="C394" s="10"/>
      <c r="D394" s="9" t="str">
        <f>IF(F394="","",_xlfn.XLOOKUP(F394,purchase!D:D,purchase!#REF!,""))</f>
        <v/>
      </c>
      <c r="E394" s="9" t="str">
        <f>IF(F394="","",_xlfn.XLOOKUP(F394,purchase!D:D,purchase!B:B,""))</f>
        <v/>
      </c>
      <c r="F394" s="2"/>
      <c r="G394" s="4" t="str">
        <f t="shared" si="43"/>
        <v/>
      </c>
      <c r="H394" s="4" t="str">
        <f>IF(F394="","",_xlfn.XLOOKUP(F394,purchase!D:D,purchase!#REF!,""))</f>
        <v/>
      </c>
      <c r="I394" s="4" t="str">
        <f t="shared" si="44"/>
        <v/>
      </c>
      <c r="J394" s="4" t="str">
        <f t="shared" si="45"/>
        <v/>
      </c>
      <c r="K394" s="13" t="str">
        <f>_xlfn.SINGLE(IF(F394="","",_xlfn.XLOOKUP(F394,purchase!D:D,purchase!#REF!,"")))</f>
        <v/>
      </c>
      <c r="L394" s="2"/>
      <c r="M394" s="32"/>
      <c r="N394" s="13" t="str">
        <f>IF(F394="","",
MAX(0,
_xlfn.XLOOKUP(F394,purchase!D:D,purchase!#REF!,"")
-
SUMIFS(L:L,F:F,F394)))</f>
        <v/>
      </c>
      <c r="O394" s="13" t="str">
        <f t="shared" si="46"/>
        <v/>
      </c>
      <c r="P394" s="35" t="str">
        <f>_xlfn.SINGLE(IF(F394="","",_xlfn.XLOOKUP(F394,purchase!D:D,purchase!K:K,"")))</f>
        <v/>
      </c>
      <c r="Q394" s="29" t="str">
        <f t="shared" si="47"/>
        <v/>
      </c>
      <c r="R394" s="37" t="str">
        <f t="shared" si="48"/>
        <v/>
      </c>
    </row>
    <row r="395" spans="1:18" x14ac:dyDescent="0.35">
      <c r="A395" s="8">
        <v>391</v>
      </c>
      <c r="B395" s="9" t="str">
        <f t="shared" si="42"/>
        <v/>
      </c>
      <c r="C395" s="10"/>
      <c r="D395" s="9" t="str">
        <f>IF(F395="","",_xlfn.XLOOKUP(F395,purchase!D:D,purchase!#REF!,""))</f>
        <v/>
      </c>
      <c r="E395" s="9" t="str">
        <f>IF(F395="","",_xlfn.XLOOKUP(F395,purchase!D:D,purchase!B:B,""))</f>
        <v/>
      </c>
      <c r="F395" s="2"/>
      <c r="G395" s="4" t="str">
        <f t="shared" si="43"/>
        <v/>
      </c>
      <c r="H395" s="4" t="str">
        <f>IF(F395="","",_xlfn.XLOOKUP(F395,purchase!D:D,purchase!#REF!,""))</f>
        <v/>
      </c>
      <c r="I395" s="4" t="str">
        <f t="shared" si="44"/>
        <v/>
      </c>
      <c r="J395" s="4" t="str">
        <f t="shared" si="45"/>
        <v/>
      </c>
      <c r="K395" s="13" t="str">
        <f>_xlfn.SINGLE(IF(F395="","",_xlfn.XLOOKUP(F395,purchase!D:D,purchase!#REF!,"")))</f>
        <v/>
      </c>
      <c r="L395" s="2"/>
      <c r="M395" s="32"/>
      <c r="N395" s="13" t="str">
        <f>IF(F395="","",
MAX(0,
_xlfn.XLOOKUP(F395,purchase!D:D,purchase!#REF!,"")
-
SUMIFS(L:L,F:F,F395)))</f>
        <v/>
      </c>
      <c r="O395" s="13" t="str">
        <f t="shared" si="46"/>
        <v/>
      </c>
      <c r="P395" s="35" t="str">
        <f>_xlfn.SINGLE(IF(F395="","",_xlfn.XLOOKUP(F395,purchase!D:D,purchase!K:K,"")))</f>
        <v/>
      </c>
      <c r="Q395" s="29" t="str">
        <f t="shared" si="47"/>
        <v/>
      </c>
      <c r="R395" s="37" t="str">
        <f t="shared" si="48"/>
        <v/>
      </c>
    </row>
    <row r="396" spans="1:18" x14ac:dyDescent="0.35">
      <c r="A396" s="8">
        <v>392</v>
      </c>
      <c r="B396" s="9" t="str">
        <f t="shared" si="42"/>
        <v/>
      </c>
      <c r="C396" s="10"/>
      <c r="D396" s="9" t="str">
        <f>IF(F396="","",_xlfn.XLOOKUP(F396,purchase!D:D,purchase!#REF!,""))</f>
        <v/>
      </c>
      <c r="E396" s="9" t="str">
        <f>IF(F396="","",_xlfn.XLOOKUP(F396,purchase!D:D,purchase!B:B,""))</f>
        <v/>
      </c>
      <c r="F396" s="2"/>
      <c r="G396" s="4" t="str">
        <f t="shared" si="43"/>
        <v/>
      </c>
      <c r="H396" s="4" t="str">
        <f>IF(F396="","",_xlfn.XLOOKUP(F396,purchase!D:D,purchase!#REF!,""))</f>
        <v/>
      </c>
      <c r="I396" s="4" t="str">
        <f t="shared" si="44"/>
        <v/>
      </c>
      <c r="J396" s="4" t="str">
        <f t="shared" si="45"/>
        <v/>
      </c>
      <c r="K396" s="13" t="str">
        <f>_xlfn.SINGLE(IF(F396="","",_xlfn.XLOOKUP(F396,purchase!D:D,purchase!#REF!,"")))</f>
        <v/>
      </c>
      <c r="L396" s="2"/>
      <c r="M396" s="32"/>
      <c r="N396" s="13" t="str">
        <f>IF(F396="","",
MAX(0,
_xlfn.XLOOKUP(F396,purchase!D:D,purchase!#REF!,"")
-
SUMIFS(L:L,F:F,F396)))</f>
        <v/>
      </c>
      <c r="O396" s="13" t="str">
        <f t="shared" si="46"/>
        <v/>
      </c>
      <c r="P396" s="35" t="str">
        <f>_xlfn.SINGLE(IF(F396="","",_xlfn.XLOOKUP(F396,purchase!D:D,purchase!K:K,"")))</f>
        <v/>
      </c>
      <c r="Q396" s="29" t="str">
        <f t="shared" si="47"/>
        <v/>
      </c>
      <c r="R396" s="37" t="str">
        <f t="shared" si="48"/>
        <v/>
      </c>
    </row>
    <row r="397" spans="1:18" x14ac:dyDescent="0.35">
      <c r="A397" s="8">
        <v>393</v>
      </c>
      <c r="B397" s="9" t="str">
        <f t="shared" si="42"/>
        <v/>
      </c>
      <c r="C397" s="10"/>
      <c r="D397" s="9" t="str">
        <f>IF(F397="","",_xlfn.XLOOKUP(F397,purchase!D:D,purchase!#REF!,""))</f>
        <v/>
      </c>
      <c r="E397" s="9" t="str">
        <f>IF(F397="","",_xlfn.XLOOKUP(F397,purchase!D:D,purchase!B:B,""))</f>
        <v/>
      </c>
      <c r="F397" s="2"/>
      <c r="G397" s="4" t="str">
        <f t="shared" si="43"/>
        <v/>
      </c>
      <c r="H397" s="4" t="str">
        <f>IF(F397="","",_xlfn.XLOOKUP(F397,purchase!D:D,purchase!#REF!,""))</f>
        <v/>
      </c>
      <c r="I397" s="4" t="str">
        <f t="shared" si="44"/>
        <v/>
      </c>
      <c r="J397" s="4" t="str">
        <f t="shared" si="45"/>
        <v/>
      </c>
      <c r="K397" s="13" t="str">
        <f>_xlfn.SINGLE(IF(F397="","",_xlfn.XLOOKUP(F397,purchase!D:D,purchase!#REF!,"")))</f>
        <v/>
      </c>
      <c r="L397" s="2"/>
      <c r="M397" s="32"/>
      <c r="N397" s="13" t="str">
        <f>IF(F397="","",
MAX(0,
_xlfn.XLOOKUP(F397,purchase!D:D,purchase!#REF!,"")
-
SUMIFS(L:L,F:F,F397)))</f>
        <v/>
      </c>
      <c r="O397" s="13" t="str">
        <f t="shared" si="46"/>
        <v/>
      </c>
      <c r="P397" s="35" t="str">
        <f>_xlfn.SINGLE(IF(F397="","",_xlfn.XLOOKUP(F397,purchase!D:D,purchase!K:K,"")))</f>
        <v/>
      </c>
      <c r="Q397" s="29" t="str">
        <f t="shared" si="47"/>
        <v/>
      </c>
      <c r="R397" s="37" t="str">
        <f t="shared" si="48"/>
        <v/>
      </c>
    </row>
    <row r="398" spans="1:18" x14ac:dyDescent="0.35">
      <c r="A398" s="8">
        <v>394</v>
      </c>
      <c r="B398" s="9" t="str">
        <f t="shared" si="42"/>
        <v/>
      </c>
      <c r="C398" s="10"/>
      <c r="D398" s="9" t="str">
        <f>IF(F398="","",_xlfn.XLOOKUP(F398,purchase!D:D,purchase!#REF!,""))</f>
        <v/>
      </c>
      <c r="E398" s="9" t="str">
        <f>IF(F398="","",_xlfn.XLOOKUP(F398,purchase!D:D,purchase!B:B,""))</f>
        <v/>
      </c>
      <c r="F398" s="2"/>
      <c r="G398" s="4" t="str">
        <f t="shared" si="43"/>
        <v/>
      </c>
      <c r="H398" s="4" t="str">
        <f>IF(F398="","",_xlfn.XLOOKUP(F398,purchase!D:D,purchase!#REF!,""))</f>
        <v/>
      </c>
      <c r="I398" s="4" t="str">
        <f t="shared" si="44"/>
        <v/>
      </c>
      <c r="J398" s="4" t="str">
        <f t="shared" si="45"/>
        <v/>
      </c>
      <c r="K398" s="13" t="str">
        <f>_xlfn.SINGLE(IF(F398="","",_xlfn.XLOOKUP(F398,purchase!D:D,purchase!#REF!,"")))</f>
        <v/>
      </c>
      <c r="L398" s="2"/>
      <c r="M398" s="32"/>
      <c r="N398" s="13" t="str">
        <f>IF(F398="","",
MAX(0,
_xlfn.XLOOKUP(F398,purchase!D:D,purchase!#REF!,"")
-
SUMIFS(L:L,F:F,F398)))</f>
        <v/>
      </c>
      <c r="O398" s="13" t="str">
        <f t="shared" si="46"/>
        <v/>
      </c>
      <c r="P398" s="35" t="str">
        <f>_xlfn.SINGLE(IF(F398="","",_xlfn.XLOOKUP(F398,purchase!D:D,purchase!K:K,"")))</f>
        <v/>
      </c>
      <c r="Q398" s="29" t="str">
        <f t="shared" si="47"/>
        <v/>
      </c>
      <c r="R398" s="37" t="str">
        <f t="shared" si="48"/>
        <v/>
      </c>
    </row>
    <row r="399" spans="1:18" x14ac:dyDescent="0.35">
      <c r="A399" s="8">
        <v>395</v>
      </c>
      <c r="B399" s="9" t="str">
        <f t="shared" si="42"/>
        <v/>
      </c>
      <c r="C399" s="10"/>
      <c r="D399" s="9" t="str">
        <f>IF(F399="","",_xlfn.XLOOKUP(F399,purchase!D:D,purchase!#REF!,""))</f>
        <v/>
      </c>
      <c r="E399" s="9" t="str">
        <f>IF(F399="","",_xlfn.XLOOKUP(F399,purchase!D:D,purchase!B:B,""))</f>
        <v/>
      </c>
      <c r="F399" s="2"/>
      <c r="G399" s="4" t="str">
        <f t="shared" si="43"/>
        <v/>
      </c>
      <c r="H399" s="4" t="str">
        <f>IF(F399="","",_xlfn.XLOOKUP(F399,purchase!D:D,purchase!#REF!,""))</f>
        <v/>
      </c>
      <c r="I399" s="4" t="str">
        <f t="shared" si="44"/>
        <v/>
      </c>
      <c r="J399" s="4" t="str">
        <f t="shared" si="45"/>
        <v/>
      </c>
      <c r="K399" s="13" t="str">
        <f>_xlfn.SINGLE(IF(F399="","",_xlfn.XLOOKUP(F399,purchase!D:D,purchase!#REF!,"")))</f>
        <v/>
      </c>
      <c r="L399" s="2"/>
      <c r="M399" s="32"/>
      <c r="N399" s="13" t="str">
        <f>IF(F399="","",
MAX(0,
_xlfn.XLOOKUP(F399,purchase!D:D,purchase!#REF!,"")
-
SUMIFS(L:L,F:F,F399)))</f>
        <v/>
      </c>
      <c r="O399" s="13" t="str">
        <f t="shared" si="46"/>
        <v/>
      </c>
      <c r="P399" s="35" t="str">
        <f>_xlfn.SINGLE(IF(F399="","",_xlfn.XLOOKUP(F399,purchase!D:D,purchase!K:K,"")))</f>
        <v/>
      </c>
      <c r="Q399" s="29" t="str">
        <f t="shared" si="47"/>
        <v/>
      </c>
      <c r="R399" s="37" t="str">
        <f t="shared" si="48"/>
        <v/>
      </c>
    </row>
    <row r="400" spans="1:18" x14ac:dyDescent="0.35">
      <c r="A400" s="8">
        <v>396</v>
      </c>
      <c r="B400" s="9" t="str">
        <f t="shared" si="42"/>
        <v/>
      </c>
      <c r="C400" s="10"/>
      <c r="D400" s="9" t="str">
        <f>IF(F400="","",_xlfn.XLOOKUP(F400,purchase!D:D,purchase!#REF!,""))</f>
        <v/>
      </c>
      <c r="E400" s="9" t="str">
        <f>IF(F400="","",_xlfn.XLOOKUP(F400,purchase!D:D,purchase!B:B,""))</f>
        <v/>
      </c>
      <c r="F400" s="2"/>
      <c r="G400" s="4" t="str">
        <f t="shared" si="43"/>
        <v/>
      </c>
      <c r="H400" s="4" t="str">
        <f>IF(F400="","",_xlfn.XLOOKUP(F400,purchase!D:D,purchase!#REF!,""))</f>
        <v/>
      </c>
      <c r="I400" s="4" t="str">
        <f t="shared" si="44"/>
        <v/>
      </c>
      <c r="J400" s="4" t="str">
        <f t="shared" si="45"/>
        <v/>
      </c>
      <c r="K400" s="13" t="str">
        <f>_xlfn.SINGLE(IF(F400="","",_xlfn.XLOOKUP(F400,purchase!D:D,purchase!#REF!,"")))</f>
        <v/>
      </c>
      <c r="L400" s="2"/>
      <c r="M400" s="32"/>
      <c r="N400" s="13" t="str">
        <f>IF(F400="","",
MAX(0,
_xlfn.XLOOKUP(F400,purchase!D:D,purchase!#REF!,"")
-
SUMIFS(L:L,F:F,F400)))</f>
        <v/>
      </c>
      <c r="O400" s="13" t="str">
        <f t="shared" si="46"/>
        <v/>
      </c>
      <c r="P400" s="35" t="str">
        <f>_xlfn.SINGLE(IF(F400="","",_xlfn.XLOOKUP(F400,purchase!D:D,purchase!K:K,"")))</f>
        <v/>
      </c>
      <c r="Q400" s="29" t="str">
        <f t="shared" si="47"/>
        <v/>
      </c>
      <c r="R400" s="37" t="str">
        <f t="shared" si="48"/>
        <v/>
      </c>
    </row>
    <row r="401" spans="1:18" x14ac:dyDescent="0.35">
      <c r="A401" s="8">
        <v>397</v>
      </c>
      <c r="B401" s="9" t="str">
        <f t="shared" si="42"/>
        <v/>
      </c>
      <c r="C401" s="10"/>
      <c r="D401" s="9" t="str">
        <f>IF(F401="","",_xlfn.XLOOKUP(F401,purchase!D:D,purchase!#REF!,""))</f>
        <v/>
      </c>
      <c r="E401" s="9" t="str">
        <f>IF(F401="","",_xlfn.XLOOKUP(F401,purchase!D:D,purchase!B:B,""))</f>
        <v/>
      </c>
      <c r="F401" s="2"/>
      <c r="G401" s="4" t="str">
        <f t="shared" si="43"/>
        <v/>
      </c>
      <c r="H401" s="4" t="str">
        <f>IF(F401="","",_xlfn.XLOOKUP(F401,purchase!D:D,purchase!#REF!,""))</f>
        <v/>
      </c>
      <c r="I401" s="4" t="str">
        <f t="shared" si="44"/>
        <v/>
      </c>
      <c r="J401" s="4" t="str">
        <f t="shared" si="45"/>
        <v/>
      </c>
      <c r="K401" s="13" t="str">
        <f>_xlfn.SINGLE(IF(F401="","",_xlfn.XLOOKUP(F401,purchase!D:D,purchase!#REF!,"")))</f>
        <v/>
      </c>
      <c r="L401" s="2"/>
      <c r="M401" s="32"/>
      <c r="N401" s="13" t="str">
        <f>IF(F401="","",
MAX(0,
_xlfn.XLOOKUP(F401,purchase!D:D,purchase!#REF!,"")
-
SUMIFS(L:L,F:F,F401)))</f>
        <v/>
      </c>
      <c r="O401" s="13" t="str">
        <f t="shared" si="46"/>
        <v/>
      </c>
      <c r="P401" s="35" t="str">
        <f>_xlfn.SINGLE(IF(F401="","",_xlfn.XLOOKUP(F401,purchase!D:D,purchase!K:K,"")))</f>
        <v/>
      </c>
      <c r="Q401" s="29" t="str">
        <f t="shared" si="47"/>
        <v/>
      </c>
      <c r="R401" s="37" t="str">
        <f t="shared" si="48"/>
        <v/>
      </c>
    </row>
    <row r="402" spans="1:18" x14ac:dyDescent="0.35">
      <c r="A402" s="8">
        <v>398</v>
      </c>
      <c r="B402" s="9" t="str">
        <f t="shared" si="42"/>
        <v/>
      </c>
      <c r="C402" s="10"/>
      <c r="D402" s="9" t="str">
        <f>IF(F402="","",_xlfn.XLOOKUP(F402,purchase!D:D,purchase!#REF!,""))</f>
        <v/>
      </c>
      <c r="E402" s="9" t="str">
        <f>IF(F402="","",_xlfn.XLOOKUP(F402,purchase!D:D,purchase!B:B,""))</f>
        <v/>
      </c>
      <c r="F402" s="2"/>
      <c r="G402" s="4" t="str">
        <f t="shared" si="43"/>
        <v/>
      </c>
      <c r="H402" s="4" t="str">
        <f>IF(F402="","",_xlfn.XLOOKUP(F402,purchase!D:D,purchase!#REF!,""))</f>
        <v/>
      </c>
      <c r="I402" s="4" t="str">
        <f t="shared" si="44"/>
        <v/>
      </c>
      <c r="J402" s="4" t="str">
        <f t="shared" si="45"/>
        <v/>
      </c>
      <c r="K402" s="13" t="str">
        <f>_xlfn.SINGLE(IF(F402="","",_xlfn.XLOOKUP(F402,purchase!D:D,purchase!#REF!,"")))</f>
        <v/>
      </c>
      <c r="L402" s="2"/>
      <c r="M402" s="32"/>
      <c r="N402" s="13" t="str">
        <f>IF(F402="","",
MAX(0,
_xlfn.XLOOKUP(F402,purchase!D:D,purchase!#REF!,"")
-
SUMIFS(L:L,F:F,F402)))</f>
        <v/>
      </c>
      <c r="O402" s="13" t="str">
        <f t="shared" si="46"/>
        <v/>
      </c>
      <c r="P402" s="35" t="str">
        <f>_xlfn.SINGLE(IF(F402="","",_xlfn.XLOOKUP(F402,purchase!D:D,purchase!K:K,"")))</f>
        <v/>
      </c>
      <c r="Q402" s="29" t="str">
        <f t="shared" si="47"/>
        <v/>
      </c>
      <c r="R402" s="37" t="str">
        <f t="shared" si="48"/>
        <v/>
      </c>
    </row>
    <row r="403" spans="1:18" x14ac:dyDescent="0.35">
      <c r="A403" s="8">
        <v>399</v>
      </c>
      <c r="B403" s="9" t="str">
        <f t="shared" si="42"/>
        <v/>
      </c>
      <c r="C403" s="10"/>
      <c r="D403" s="9" t="str">
        <f>IF(F403="","",_xlfn.XLOOKUP(F403,purchase!D:D,purchase!#REF!,""))</f>
        <v/>
      </c>
      <c r="E403" s="9" t="str">
        <f>IF(F403="","",_xlfn.XLOOKUP(F403,purchase!D:D,purchase!B:B,""))</f>
        <v/>
      </c>
      <c r="F403" s="2"/>
      <c r="G403" s="4" t="str">
        <f t="shared" si="43"/>
        <v/>
      </c>
      <c r="H403" s="4" t="str">
        <f>IF(F403="","",_xlfn.XLOOKUP(F403,purchase!D:D,purchase!#REF!,""))</f>
        <v/>
      </c>
      <c r="I403" s="4" t="str">
        <f t="shared" si="44"/>
        <v/>
      </c>
      <c r="J403" s="4" t="str">
        <f t="shared" si="45"/>
        <v/>
      </c>
      <c r="K403" s="13" t="str">
        <f>_xlfn.SINGLE(IF(F403="","",_xlfn.XLOOKUP(F403,purchase!D:D,purchase!#REF!,"")))</f>
        <v/>
      </c>
      <c r="L403" s="2"/>
      <c r="M403" s="32"/>
      <c r="N403" s="13" t="str">
        <f>IF(F403="","",
MAX(0,
_xlfn.XLOOKUP(F403,purchase!D:D,purchase!#REF!,"")
-
SUMIFS(L:L,F:F,F403)))</f>
        <v/>
      </c>
      <c r="O403" s="13" t="str">
        <f t="shared" si="46"/>
        <v/>
      </c>
      <c r="P403" s="35" t="str">
        <f>_xlfn.SINGLE(IF(F403="","",_xlfn.XLOOKUP(F403,purchase!D:D,purchase!K:K,"")))</f>
        <v/>
      </c>
      <c r="Q403" s="29" t="str">
        <f t="shared" si="47"/>
        <v/>
      </c>
      <c r="R403" s="37" t="str">
        <f t="shared" si="48"/>
        <v/>
      </c>
    </row>
    <row r="404" spans="1:18" x14ac:dyDescent="0.35">
      <c r="A404" s="8">
        <v>400</v>
      </c>
      <c r="B404" s="9" t="str">
        <f t="shared" si="42"/>
        <v/>
      </c>
      <c r="C404" s="10"/>
      <c r="D404" s="9" t="str">
        <f>IF(F404="","",_xlfn.XLOOKUP(F404,purchase!D:D,purchase!#REF!,""))</f>
        <v/>
      </c>
      <c r="E404" s="9" t="str">
        <f>IF(F404="","",_xlfn.XLOOKUP(F404,purchase!D:D,purchase!B:B,""))</f>
        <v/>
      </c>
      <c r="F404" s="2"/>
      <c r="G404" s="4" t="str">
        <f t="shared" si="43"/>
        <v/>
      </c>
      <c r="H404" s="4" t="str">
        <f>IF(F404="","",_xlfn.XLOOKUP(F404,purchase!D:D,purchase!#REF!,""))</f>
        <v/>
      </c>
      <c r="I404" s="4" t="str">
        <f t="shared" si="44"/>
        <v/>
      </c>
      <c r="J404" s="4" t="str">
        <f t="shared" si="45"/>
        <v/>
      </c>
      <c r="K404" s="13" t="str">
        <f>_xlfn.SINGLE(IF(F404="","",_xlfn.XLOOKUP(F404,purchase!D:D,purchase!#REF!,"")))</f>
        <v/>
      </c>
      <c r="L404" s="2"/>
      <c r="M404" s="32"/>
      <c r="N404" s="13" t="str">
        <f>IF(F404="","",
MAX(0,
_xlfn.XLOOKUP(F404,purchase!D:D,purchase!#REF!,"")
-
SUMIFS(L:L,F:F,F404)))</f>
        <v/>
      </c>
      <c r="O404" s="13" t="str">
        <f t="shared" si="46"/>
        <v/>
      </c>
      <c r="P404" s="35" t="str">
        <f>_xlfn.SINGLE(IF(F404="","",_xlfn.XLOOKUP(F404,purchase!D:D,purchase!K:K,"")))</f>
        <v/>
      </c>
      <c r="Q404" s="29" t="str">
        <f t="shared" si="47"/>
        <v/>
      </c>
      <c r="R404" s="37" t="str">
        <f t="shared" si="48"/>
        <v/>
      </c>
    </row>
    <row r="405" spans="1:18" x14ac:dyDescent="0.35">
      <c r="A405" s="8">
        <v>401</v>
      </c>
      <c r="B405" s="9" t="str">
        <f t="shared" si="42"/>
        <v/>
      </c>
      <c r="C405" s="10"/>
      <c r="D405" s="9" t="str">
        <f>IF(F405="","",_xlfn.XLOOKUP(F405,purchase!D:D,purchase!#REF!,""))</f>
        <v/>
      </c>
      <c r="E405" s="9" t="str">
        <f>IF(F405="","",_xlfn.XLOOKUP(F405,purchase!D:D,purchase!B:B,""))</f>
        <v/>
      </c>
      <c r="F405" s="2"/>
      <c r="G405" s="4" t="str">
        <f t="shared" si="43"/>
        <v/>
      </c>
      <c r="H405" s="4" t="str">
        <f>IF(F405="","",_xlfn.XLOOKUP(F405,purchase!D:D,purchase!#REF!,""))</f>
        <v/>
      </c>
      <c r="I405" s="4" t="str">
        <f t="shared" si="44"/>
        <v/>
      </c>
      <c r="J405" s="4" t="str">
        <f t="shared" si="45"/>
        <v/>
      </c>
      <c r="K405" s="13" t="str">
        <f>_xlfn.SINGLE(IF(F405="","",_xlfn.XLOOKUP(F405,purchase!D:D,purchase!#REF!,"")))</f>
        <v/>
      </c>
      <c r="L405" s="2"/>
      <c r="M405" s="32"/>
      <c r="N405" s="13" t="str">
        <f>IF(F405="","",
MAX(0,
_xlfn.XLOOKUP(F405,purchase!D:D,purchase!#REF!,"")
-
SUMIFS(L:L,F:F,F405)))</f>
        <v/>
      </c>
      <c r="O405" s="13" t="str">
        <f t="shared" si="46"/>
        <v/>
      </c>
      <c r="P405" s="35" t="str">
        <f>_xlfn.SINGLE(IF(F405="","",_xlfn.XLOOKUP(F405,purchase!D:D,purchase!K:K,"")))</f>
        <v/>
      </c>
      <c r="Q405" s="29" t="str">
        <f t="shared" si="47"/>
        <v/>
      </c>
      <c r="R405" s="37" t="str">
        <f t="shared" si="48"/>
        <v/>
      </c>
    </row>
    <row r="406" spans="1:18" x14ac:dyDescent="0.35">
      <c r="A406" s="8">
        <v>402</v>
      </c>
      <c r="B406" s="9" t="str">
        <f t="shared" si="42"/>
        <v/>
      </c>
      <c r="C406" s="10"/>
      <c r="D406" s="9" t="str">
        <f>IF(F406="","",_xlfn.XLOOKUP(F406,purchase!D:D,purchase!#REF!,""))</f>
        <v/>
      </c>
      <c r="E406" s="9" t="str">
        <f>IF(F406="","",_xlfn.XLOOKUP(F406,purchase!D:D,purchase!B:B,""))</f>
        <v/>
      </c>
      <c r="F406" s="2"/>
      <c r="G406" s="4" t="str">
        <f t="shared" si="43"/>
        <v/>
      </c>
      <c r="H406" s="4" t="str">
        <f>IF(F406="","",_xlfn.XLOOKUP(F406,purchase!D:D,purchase!#REF!,""))</f>
        <v/>
      </c>
      <c r="I406" s="4" t="str">
        <f t="shared" si="44"/>
        <v/>
      </c>
      <c r="J406" s="4" t="str">
        <f t="shared" si="45"/>
        <v/>
      </c>
      <c r="K406" s="13" t="str">
        <f>_xlfn.SINGLE(IF(F406="","",_xlfn.XLOOKUP(F406,purchase!D:D,purchase!#REF!,"")))</f>
        <v/>
      </c>
      <c r="L406" s="2"/>
      <c r="M406" s="32"/>
      <c r="N406" s="13" t="str">
        <f>IF(F406="","",
MAX(0,
_xlfn.XLOOKUP(F406,purchase!D:D,purchase!#REF!,"")
-
SUMIFS(L:L,F:F,F406)))</f>
        <v/>
      </c>
      <c r="O406" s="13" t="str">
        <f t="shared" si="46"/>
        <v/>
      </c>
      <c r="P406" s="35" t="str">
        <f>_xlfn.SINGLE(IF(F406="","",_xlfn.XLOOKUP(F406,purchase!D:D,purchase!K:K,"")))</f>
        <v/>
      </c>
      <c r="Q406" s="29" t="str">
        <f t="shared" si="47"/>
        <v/>
      </c>
      <c r="R406" s="37" t="str">
        <f t="shared" si="48"/>
        <v/>
      </c>
    </row>
    <row r="407" spans="1:18" x14ac:dyDescent="0.35">
      <c r="A407" s="8">
        <v>403</v>
      </c>
      <c r="B407" s="9" t="str">
        <f t="shared" si="42"/>
        <v/>
      </c>
      <c r="C407" s="10"/>
      <c r="D407" s="9" t="str">
        <f>IF(F407="","",_xlfn.XLOOKUP(F407,purchase!D:D,purchase!#REF!,""))</f>
        <v/>
      </c>
      <c r="E407" s="9" t="str">
        <f>IF(F407="","",_xlfn.XLOOKUP(F407,purchase!D:D,purchase!B:B,""))</f>
        <v/>
      </c>
      <c r="F407" s="2"/>
      <c r="G407" s="4" t="str">
        <f t="shared" si="43"/>
        <v/>
      </c>
      <c r="H407" s="4" t="str">
        <f>IF(F407="","",_xlfn.XLOOKUP(F407,purchase!D:D,purchase!#REF!,""))</f>
        <v/>
      </c>
      <c r="I407" s="4" t="str">
        <f t="shared" si="44"/>
        <v/>
      </c>
      <c r="J407" s="4" t="str">
        <f t="shared" si="45"/>
        <v/>
      </c>
      <c r="K407" s="13" t="str">
        <f>_xlfn.SINGLE(IF(F407="","",_xlfn.XLOOKUP(F407,purchase!D:D,purchase!#REF!,"")))</f>
        <v/>
      </c>
      <c r="L407" s="2"/>
      <c r="M407" s="32"/>
      <c r="N407" s="13" t="str">
        <f>IF(F407="","",
MAX(0,
_xlfn.XLOOKUP(F407,purchase!D:D,purchase!#REF!,"")
-
SUMIFS(L:L,F:F,F407)))</f>
        <v/>
      </c>
      <c r="O407" s="13" t="str">
        <f t="shared" si="46"/>
        <v/>
      </c>
      <c r="P407" s="35" t="str">
        <f>_xlfn.SINGLE(IF(F407="","",_xlfn.XLOOKUP(F407,purchase!D:D,purchase!K:K,"")))</f>
        <v/>
      </c>
      <c r="Q407" s="29" t="str">
        <f t="shared" si="47"/>
        <v/>
      </c>
      <c r="R407" s="37" t="str">
        <f t="shared" si="48"/>
        <v/>
      </c>
    </row>
    <row r="408" spans="1:18" x14ac:dyDescent="0.35">
      <c r="A408" s="8">
        <v>404</v>
      </c>
      <c r="B408" s="9" t="str">
        <f t="shared" si="42"/>
        <v/>
      </c>
      <c r="C408" s="10"/>
      <c r="D408" s="9" t="str">
        <f>IF(F408="","",_xlfn.XLOOKUP(F408,purchase!D:D,purchase!#REF!,""))</f>
        <v/>
      </c>
      <c r="E408" s="9" t="str">
        <f>IF(F408="","",_xlfn.XLOOKUP(F408,purchase!D:D,purchase!B:B,""))</f>
        <v/>
      </c>
      <c r="F408" s="2"/>
      <c r="G408" s="4" t="str">
        <f t="shared" si="43"/>
        <v/>
      </c>
      <c r="H408" s="4" t="str">
        <f>IF(F408="","",_xlfn.XLOOKUP(F408,purchase!D:D,purchase!#REF!,""))</f>
        <v/>
      </c>
      <c r="I408" s="4" t="str">
        <f t="shared" si="44"/>
        <v/>
      </c>
      <c r="J408" s="4" t="str">
        <f t="shared" si="45"/>
        <v/>
      </c>
      <c r="K408" s="13" t="str">
        <f>_xlfn.SINGLE(IF(F408="","",_xlfn.XLOOKUP(F408,purchase!D:D,purchase!#REF!,"")))</f>
        <v/>
      </c>
      <c r="L408" s="2"/>
      <c r="M408" s="32"/>
      <c r="N408" s="13" t="str">
        <f>IF(F408="","",
MAX(0,
_xlfn.XLOOKUP(F408,purchase!D:D,purchase!#REF!,"")
-
SUMIFS(L:L,F:F,F408)))</f>
        <v/>
      </c>
      <c r="O408" s="13" t="str">
        <f t="shared" si="46"/>
        <v/>
      </c>
      <c r="P408" s="35" t="str">
        <f>_xlfn.SINGLE(IF(F408="","",_xlfn.XLOOKUP(F408,purchase!D:D,purchase!K:K,"")))</f>
        <v/>
      </c>
      <c r="Q408" s="29" t="str">
        <f t="shared" si="47"/>
        <v/>
      </c>
      <c r="R408" s="37" t="str">
        <f t="shared" si="48"/>
        <v/>
      </c>
    </row>
    <row r="409" spans="1:18" x14ac:dyDescent="0.35">
      <c r="A409" s="8">
        <v>405</v>
      </c>
      <c r="B409" s="9" t="str">
        <f t="shared" si="42"/>
        <v/>
      </c>
      <c r="C409" s="10"/>
      <c r="D409" s="9" t="str">
        <f>IF(F409="","",_xlfn.XLOOKUP(F409,purchase!D:D,purchase!#REF!,""))</f>
        <v/>
      </c>
      <c r="E409" s="9" t="str">
        <f>IF(F409="","",_xlfn.XLOOKUP(F409,purchase!D:D,purchase!B:B,""))</f>
        <v/>
      </c>
      <c r="F409" s="2"/>
      <c r="G409" s="4" t="str">
        <f t="shared" si="43"/>
        <v/>
      </c>
      <c r="H409" s="4" t="str">
        <f>IF(F409="","",_xlfn.XLOOKUP(F409,purchase!D:D,purchase!#REF!,""))</f>
        <v/>
      </c>
      <c r="I409" s="4" t="str">
        <f t="shared" si="44"/>
        <v/>
      </c>
      <c r="J409" s="4" t="str">
        <f t="shared" si="45"/>
        <v/>
      </c>
      <c r="K409" s="13" t="str">
        <f>_xlfn.SINGLE(IF(F409="","",_xlfn.XLOOKUP(F409,purchase!D:D,purchase!#REF!,"")))</f>
        <v/>
      </c>
      <c r="L409" s="2"/>
      <c r="M409" s="32"/>
      <c r="N409" s="13" t="str">
        <f>IF(F409="","",
MAX(0,
_xlfn.XLOOKUP(F409,purchase!D:D,purchase!#REF!,"")
-
SUMIFS(L:L,F:F,F409)))</f>
        <v/>
      </c>
      <c r="O409" s="13" t="str">
        <f t="shared" si="46"/>
        <v/>
      </c>
      <c r="P409" s="35" t="str">
        <f>_xlfn.SINGLE(IF(F409="","",_xlfn.XLOOKUP(F409,purchase!D:D,purchase!K:K,"")))</f>
        <v/>
      </c>
      <c r="Q409" s="29" t="str">
        <f t="shared" si="47"/>
        <v/>
      </c>
      <c r="R409" s="37" t="str">
        <f t="shared" si="48"/>
        <v/>
      </c>
    </row>
    <row r="410" spans="1:18" x14ac:dyDescent="0.35">
      <c r="A410" s="8">
        <v>406</v>
      </c>
      <c r="B410" s="9" t="str">
        <f t="shared" si="42"/>
        <v/>
      </c>
      <c r="C410" s="10"/>
      <c r="D410" s="9" t="str">
        <f>IF(F410="","",_xlfn.XLOOKUP(F410,purchase!D:D,purchase!#REF!,""))</f>
        <v/>
      </c>
      <c r="E410" s="9" t="str">
        <f>IF(F410="","",_xlfn.XLOOKUP(F410,purchase!D:D,purchase!B:B,""))</f>
        <v/>
      </c>
      <c r="F410" s="2"/>
      <c r="G410" s="4" t="str">
        <f t="shared" si="43"/>
        <v/>
      </c>
      <c r="H410" s="4" t="str">
        <f>IF(F410="","",_xlfn.XLOOKUP(F410,purchase!D:D,purchase!#REF!,""))</f>
        <v/>
      </c>
      <c r="I410" s="4" t="str">
        <f t="shared" si="44"/>
        <v/>
      </c>
      <c r="J410" s="4" t="str">
        <f t="shared" si="45"/>
        <v/>
      </c>
      <c r="K410" s="13" t="str">
        <f>_xlfn.SINGLE(IF(F410="","",_xlfn.XLOOKUP(F410,purchase!D:D,purchase!#REF!,"")))</f>
        <v/>
      </c>
      <c r="L410" s="2"/>
      <c r="M410" s="32"/>
      <c r="N410" s="13" t="str">
        <f>IF(F410="","",
MAX(0,
_xlfn.XLOOKUP(F410,purchase!D:D,purchase!#REF!,"")
-
SUMIFS(L:L,F:F,F410)))</f>
        <v/>
      </c>
      <c r="O410" s="13" t="str">
        <f t="shared" si="46"/>
        <v/>
      </c>
      <c r="P410" s="35" t="str">
        <f>_xlfn.SINGLE(IF(F410="","",_xlfn.XLOOKUP(F410,purchase!D:D,purchase!K:K,"")))</f>
        <v/>
      </c>
      <c r="Q410" s="29" t="str">
        <f t="shared" si="47"/>
        <v/>
      </c>
      <c r="R410" s="37" t="str">
        <f t="shared" si="48"/>
        <v/>
      </c>
    </row>
    <row r="411" spans="1:18" x14ac:dyDescent="0.35">
      <c r="A411" s="8">
        <v>407</v>
      </c>
      <c r="B411" s="9" t="str">
        <f t="shared" si="42"/>
        <v/>
      </c>
      <c r="C411" s="10"/>
      <c r="D411" s="9" t="str">
        <f>IF(F411="","",_xlfn.XLOOKUP(F411,purchase!D:D,purchase!#REF!,""))</f>
        <v/>
      </c>
      <c r="E411" s="9" t="str">
        <f>IF(F411="","",_xlfn.XLOOKUP(F411,purchase!D:D,purchase!B:B,""))</f>
        <v/>
      </c>
      <c r="F411" s="2"/>
      <c r="G411" s="4" t="str">
        <f t="shared" si="43"/>
        <v/>
      </c>
      <c r="H411" s="4" t="str">
        <f>IF(F411="","",_xlfn.XLOOKUP(F411,purchase!D:D,purchase!#REF!,""))</f>
        <v/>
      </c>
      <c r="I411" s="4" t="str">
        <f t="shared" si="44"/>
        <v/>
      </c>
      <c r="J411" s="4" t="str">
        <f t="shared" si="45"/>
        <v/>
      </c>
      <c r="K411" s="13" t="str">
        <f>_xlfn.SINGLE(IF(F411="","",_xlfn.XLOOKUP(F411,purchase!D:D,purchase!#REF!,"")))</f>
        <v/>
      </c>
      <c r="L411" s="2"/>
      <c r="M411" s="32"/>
      <c r="N411" s="13" t="str">
        <f>IF(F411="","",
MAX(0,
_xlfn.XLOOKUP(F411,purchase!D:D,purchase!#REF!,"")
-
SUMIFS(L:L,F:F,F411)))</f>
        <v/>
      </c>
      <c r="O411" s="13" t="str">
        <f t="shared" si="46"/>
        <v/>
      </c>
      <c r="P411" s="35" t="str">
        <f>_xlfn.SINGLE(IF(F411="","",_xlfn.XLOOKUP(F411,purchase!D:D,purchase!K:K,"")))</f>
        <v/>
      </c>
      <c r="Q411" s="29" t="str">
        <f t="shared" si="47"/>
        <v/>
      </c>
      <c r="R411" s="37" t="str">
        <f t="shared" si="48"/>
        <v/>
      </c>
    </row>
    <row r="412" spans="1:18" x14ac:dyDescent="0.35">
      <c r="A412" s="8">
        <v>408</v>
      </c>
      <c r="B412" s="9" t="str">
        <f t="shared" si="42"/>
        <v/>
      </c>
      <c r="C412" s="10"/>
      <c r="D412" s="9" t="str">
        <f>IF(F412="","",_xlfn.XLOOKUP(F412,purchase!D:D,purchase!#REF!,""))</f>
        <v/>
      </c>
      <c r="E412" s="9" t="str">
        <f>IF(F412="","",_xlfn.XLOOKUP(F412,purchase!D:D,purchase!B:B,""))</f>
        <v/>
      </c>
      <c r="F412" s="2"/>
      <c r="G412" s="4" t="str">
        <f t="shared" si="43"/>
        <v/>
      </c>
      <c r="H412" s="4" t="str">
        <f>IF(F412="","",_xlfn.XLOOKUP(F412,purchase!D:D,purchase!#REF!,""))</f>
        <v/>
      </c>
      <c r="I412" s="4" t="str">
        <f t="shared" si="44"/>
        <v/>
      </c>
      <c r="J412" s="4" t="str">
        <f t="shared" si="45"/>
        <v/>
      </c>
      <c r="K412" s="13" t="str">
        <f>_xlfn.SINGLE(IF(F412="","",_xlfn.XLOOKUP(F412,purchase!D:D,purchase!#REF!,"")))</f>
        <v/>
      </c>
      <c r="L412" s="2"/>
      <c r="M412" s="32"/>
      <c r="N412" s="13" t="str">
        <f>IF(F412="","",
MAX(0,
_xlfn.XLOOKUP(F412,purchase!D:D,purchase!#REF!,"")
-
SUMIFS(L:L,F:F,F412)))</f>
        <v/>
      </c>
      <c r="O412" s="13" t="str">
        <f t="shared" si="46"/>
        <v/>
      </c>
      <c r="P412" s="35" t="str">
        <f>_xlfn.SINGLE(IF(F412="","",_xlfn.XLOOKUP(F412,purchase!D:D,purchase!K:K,"")))</f>
        <v/>
      </c>
      <c r="Q412" s="29" t="str">
        <f t="shared" si="47"/>
        <v/>
      </c>
      <c r="R412" s="37" t="str">
        <f t="shared" si="48"/>
        <v/>
      </c>
    </row>
    <row r="413" spans="1:18" x14ac:dyDescent="0.35">
      <c r="A413" s="8">
        <v>409</v>
      </c>
      <c r="B413" s="9" t="str">
        <f t="shared" si="42"/>
        <v/>
      </c>
      <c r="C413" s="10"/>
      <c r="D413" s="9" t="str">
        <f>IF(F413="","",_xlfn.XLOOKUP(F413,purchase!D:D,purchase!#REF!,""))</f>
        <v/>
      </c>
      <c r="E413" s="9" t="str">
        <f>IF(F413="","",_xlfn.XLOOKUP(F413,purchase!D:D,purchase!B:B,""))</f>
        <v/>
      </c>
      <c r="F413" s="2"/>
      <c r="G413" s="4" t="str">
        <f t="shared" si="43"/>
        <v/>
      </c>
      <c r="H413" s="4" t="str">
        <f>IF(F413="","",_xlfn.XLOOKUP(F413,purchase!D:D,purchase!#REF!,""))</f>
        <v/>
      </c>
      <c r="I413" s="4" t="str">
        <f t="shared" si="44"/>
        <v/>
      </c>
      <c r="J413" s="4" t="str">
        <f t="shared" si="45"/>
        <v/>
      </c>
      <c r="K413" s="13" t="str">
        <f>_xlfn.SINGLE(IF(F413="","",_xlfn.XLOOKUP(F413,purchase!D:D,purchase!#REF!,"")))</f>
        <v/>
      </c>
      <c r="L413" s="2"/>
      <c r="M413" s="32"/>
      <c r="N413" s="13" t="str">
        <f>IF(F413="","",
MAX(0,
_xlfn.XLOOKUP(F413,purchase!D:D,purchase!#REF!,"")
-
SUMIFS(L:L,F:F,F413)))</f>
        <v/>
      </c>
      <c r="O413" s="13" t="str">
        <f t="shared" si="46"/>
        <v/>
      </c>
      <c r="P413" s="35" t="str">
        <f>_xlfn.SINGLE(IF(F413="","",_xlfn.XLOOKUP(F413,purchase!D:D,purchase!K:K,"")))</f>
        <v/>
      </c>
      <c r="Q413" s="29" t="str">
        <f t="shared" si="47"/>
        <v/>
      </c>
      <c r="R413" s="37" t="str">
        <f t="shared" si="48"/>
        <v/>
      </c>
    </row>
    <row r="414" spans="1:18" x14ac:dyDescent="0.35">
      <c r="A414" s="8">
        <v>410</v>
      </c>
      <c r="B414" s="9" t="str">
        <f t="shared" si="42"/>
        <v/>
      </c>
      <c r="C414" s="10"/>
      <c r="D414" s="9" t="str">
        <f>IF(F414="","",_xlfn.XLOOKUP(F414,purchase!D:D,purchase!#REF!,""))</f>
        <v/>
      </c>
      <c r="E414" s="9" t="str">
        <f>IF(F414="","",_xlfn.XLOOKUP(F414,purchase!D:D,purchase!B:B,""))</f>
        <v/>
      </c>
      <c r="F414" s="2"/>
      <c r="G414" s="4" t="str">
        <f t="shared" si="43"/>
        <v/>
      </c>
      <c r="H414" s="4" t="str">
        <f>IF(F414="","",_xlfn.XLOOKUP(F414,purchase!D:D,purchase!#REF!,""))</f>
        <v/>
      </c>
      <c r="I414" s="4" t="str">
        <f t="shared" si="44"/>
        <v/>
      </c>
      <c r="J414" s="4" t="str">
        <f t="shared" si="45"/>
        <v/>
      </c>
      <c r="K414" s="13" t="str">
        <f>_xlfn.SINGLE(IF(F414="","",_xlfn.XLOOKUP(F414,purchase!D:D,purchase!#REF!,"")))</f>
        <v/>
      </c>
      <c r="L414" s="2"/>
      <c r="M414" s="32"/>
      <c r="N414" s="13" t="str">
        <f>IF(F414="","",
MAX(0,
_xlfn.XLOOKUP(F414,purchase!D:D,purchase!#REF!,"")
-
SUMIFS(L:L,F:F,F414)))</f>
        <v/>
      </c>
      <c r="O414" s="13" t="str">
        <f t="shared" si="46"/>
        <v/>
      </c>
      <c r="P414" s="35" t="str">
        <f>_xlfn.SINGLE(IF(F414="","",_xlfn.XLOOKUP(F414,purchase!D:D,purchase!K:K,"")))</f>
        <v/>
      </c>
      <c r="Q414" s="29" t="str">
        <f t="shared" si="47"/>
        <v/>
      </c>
      <c r="R414" s="37" t="str">
        <f t="shared" si="48"/>
        <v/>
      </c>
    </row>
    <row r="415" spans="1:18" x14ac:dyDescent="0.35">
      <c r="A415" s="8">
        <v>411</v>
      </c>
      <c r="B415" s="9" t="str">
        <f t="shared" si="42"/>
        <v/>
      </c>
      <c r="C415" s="10"/>
      <c r="D415" s="9" t="str">
        <f>IF(F415="","",_xlfn.XLOOKUP(F415,purchase!D:D,purchase!#REF!,""))</f>
        <v/>
      </c>
      <c r="E415" s="9" t="str">
        <f>IF(F415="","",_xlfn.XLOOKUP(F415,purchase!D:D,purchase!B:B,""))</f>
        <v/>
      </c>
      <c r="F415" s="2"/>
      <c r="G415" s="4" t="str">
        <f t="shared" si="43"/>
        <v/>
      </c>
      <c r="H415" s="4" t="str">
        <f>IF(F415="","",_xlfn.XLOOKUP(F415,purchase!D:D,purchase!#REF!,""))</f>
        <v/>
      </c>
      <c r="I415" s="4" t="str">
        <f t="shared" si="44"/>
        <v/>
      </c>
      <c r="J415" s="4" t="str">
        <f t="shared" si="45"/>
        <v/>
      </c>
      <c r="K415" s="13" t="str">
        <f>_xlfn.SINGLE(IF(F415="","",_xlfn.XLOOKUP(F415,purchase!D:D,purchase!#REF!,"")))</f>
        <v/>
      </c>
      <c r="L415" s="2"/>
      <c r="M415" s="32"/>
      <c r="N415" s="13" t="str">
        <f>IF(F415="","",
MAX(0,
_xlfn.XLOOKUP(F415,purchase!D:D,purchase!#REF!,"")
-
SUMIFS(L:L,F:F,F415)))</f>
        <v/>
      </c>
      <c r="O415" s="13" t="str">
        <f t="shared" si="46"/>
        <v/>
      </c>
      <c r="P415" s="35" t="str">
        <f>_xlfn.SINGLE(IF(F415="","",_xlfn.XLOOKUP(F415,purchase!D:D,purchase!K:K,"")))</f>
        <v/>
      </c>
      <c r="Q415" s="29" t="str">
        <f t="shared" si="47"/>
        <v/>
      </c>
      <c r="R415" s="37" t="str">
        <f t="shared" si="48"/>
        <v/>
      </c>
    </row>
    <row r="416" spans="1:18" x14ac:dyDescent="0.35">
      <c r="A416" s="8">
        <v>412</v>
      </c>
      <c r="B416" s="9" t="str">
        <f t="shared" si="42"/>
        <v/>
      </c>
      <c r="C416" s="10"/>
      <c r="D416" s="9" t="str">
        <f>IF(F416="","",_xlfn.XLOOKUP(F416,purchase!D:D,purchase!#REF!,""))</f>
        <v/>
      </c>
      <c r="E416" s="9" t="str">
        <f>IF(F416="","",_xlfn.XLOOKUP(F416,purchase!D:D,purchase!B:B,""))</f>
        <v/>
      </c>
      <c r="F416" s="2"/>
      <c r="G416" s="4" t="str">
        <f t="shared" si="43"/>
        <v/>
      </c>
      <c r="H416" s="4" t="str">
        <f>IF(F416="","",_xlfn.XLOOKUP(F416,purchase!D:D,purchase!#REF!,""))</f>
        <v/>
      </c>
      <c r="I416" s="4" t="str">
        <f t="shared" si="44"/>
        <v/>
      </c>
      <c r="J416" s="4" t="str">
        <f t="shared" si="45"/>
        <v/>
      </c>
      <c r="K416" s="13" t="str">
        <f>_xlfn.SINGLE(IF(F416="","",_xlfn.XLOOKUP(F416,purchase!D:D,purchase!#REF!,"")))</f>
        <v/>
      </c>
      <c r="L416" s="2"/>
      <c r="M416" s="32"/>
      <c r="N416" s="13" t="str">
        <f>IF(F416="","",
MAX(0,
_xlfn.XLOOKUP(F416,purchase!D:D,purchase!#REF!,"")
-
SUMIFS(L:L,F:F,F416)))</f>
        <v/>
      </c>
      <c r="O416" s="13" t="str">
        <f t="shared" si="46"/>
        <v/>
      </c>
      <c r="P416" s="35" t="str">
        <f>_xlfn.SINGLE(IF(F416="","",_xlfn.XLOOKUP(F416,purchase!D:D,purchase!K:K,"")))</f>
        <v/>
      </c>
      <c r="Q416" s="29" t="str">
        <f t="shared" si="47"/>
        <v/>
      </c>
      <c r="R416" s="37" t="str">
        <f t="shared" si="48"/>
        <v/>
      </c>
    </row>
    <row r="417" spans="1:18" x14ac:dyDescent="0.35">
      <c r="A417" s="8">
        <v>413</v>
      </c>
      <c r="B417" s="9" t="str">
        <f t="shared" si="42"/>
        <v/>
      </c>
      <c r="C417" s="10"/>
      <c r="D417" s="9" t="str">
        <f>IF(F417="","",_xlfn.XLOOKUP(F417,purchase!D:D,purchase!#REF!,""))</f>
        <v/>
      </c>
      <c r="E417" s="9" t="str">
        <f>IF(F417="","",_xlfn.XLOOKUP(F417,purchase!D:D,purchase!B:B,""))</f>
        <v/>
      </c>
      <c r="F417" s="2"/>
      <c r="G417" s="4" t="str">
        <f t="shared" si="43"/>
        <v/>
      </c>
      <c r="H417" s="4" t="str">
        <f>IF(F417="","",_xlfn.XLOOKUP(F417,purchase!D:D,purchase!#REF!,""))</f>
        <v/>
      </c>
      <c r="I417" s="4" t="str">
        <f t="shared" si="44"/>
        <v/>
      </c>
      <c r="J417" s="4" t="str">
        <f t="shared" si="45"/>
        <v/>
      </c>
      <c r="K417" s="13" t="str">
        <f>_xlfn.SINGLE(IF(F417="","",_xlfn.XLOOKUP(F417,purchase!D:D,purchase!#REF!,"")))</f>
        <v/>
      </c>
      <c r="L417" s="2"/>
      <c r="M417" s="32"/>
      <c r="N417" s="13" t="str">
        <f>IF(F417="","",
MAX(0,
_xlfn.XLOOKUP(F417,purchase!D:D,purchase!#REF!,"")
-
SUMIFS(L:L,F:F,F417)))</f>
        <v/>
      </c>
      <c r="O417" s="13" t="str">
        <f t="shared" si="46"/>
        <v/>
      </c>
      <c r="P417" s="35" t="str">
        <f>_xlfn.SINGLE(IF(F417="","",_xlfn.XLOOKUP(F417,purchase!D:D,purchase!K:K,"")))</f>
        <v/>
      </c>
      <c r="Q417" s="29" t="str">
        <f t="shared" si="47"/>
        <v/>
      </c>
      <c r="R417" s="37" t="str">
        <f t="shared" si="48"/>
        <v/>
      </c>
    </row>
    <row r="418" spans="1:18" x14ac:dyDescent="0.35">
      <c r="A418" s="8">
        <v>414</v>
      </c>
      <c r="B418" s="9" t="str">
        <f t="shared" si="42"/>
        <v/>
      </c>
      <c r="C418" s="10"/>
      <c r="D418" s="9" t="str">
        <f>IF(F418="","",_xlfn.XLOOKUP(F418,purchase!D:D,purchase!#REF!,""))</f>
        <v/>
      </c>
      <c r="E418" s="9" t="str">
        <f>IF(F418="","",_xlfn.XLOOKUP(F418,purchase!D:D,purchase!B:B,""))</f>
        <v/>
      </c>
      <c r="F418" s="2"/>
      <c r="G418" s="4" t="str">
        <f t="shared" si="43"/>
        <v/>
      </c>
      <c r="H418" s="4" t="str">
        <f>IF(F418="","",_xlfn.XLOOKUP(F418,purchase!D:D,purchase!#REF!,""))</f>
        <v/>
      </c>
      <c r="I418" s="4" t="str">
        <f t="shared" si="44"/>
        <v/>
      </c>
      <c r="J418" s="4" t="str">
        <f t="shared" si="45"/>
        <v/>
      </c>
      <c r="K418" s="13" t="str">
        <f>_xlfn.SINGLE(IF(F418="","",_xlfn.XLOOKUP(F418,purchase!D:D,purchase!#REF!,"")))</f>
        <v/>
      </c>
      <c r="L418" s="2"/>
      <c r="M418" s="32"/>
      <c r="N418" s="13" t="str">
        <f>IF(F418="","",
MAX(0,
_xlfn.XLOOKUP(F418,purchase!D:D,purchase!#REF!,"")
-
SUMIFS(L:L,F:F,F418)))</f>
        <v/>
      </c>
      <c r="O418" s="13" t="str">
        <f t="shared" si="46"/>
        <v/>
      </c>
      <c r="P418" s="35" t="str">
        <f>_xlfn.SINGLE(IF(F418="","",_xlfn.XLOOKUP(F418,purchase!D:D,purchase!K:K,"")))</f>
        <v/>
      </c>
      <c r="Q418" s="29" t="str">
        <f t="shared" si="47"/>
        <v/>
      </c>
      <c r="R418" s="37" t="str">
        <f t="shared" si="48"/>
        <v/>
      </c>
    </row>
    <row r="419" spans="1:18" x14ac:dyDescent="0.35">
      <c r="A419" s="8">
        <v>415</v>
      </c>
      <c r="B419" s="9" t="str">
        <f t="shared" si="42"/>
        <v/>
      </c>
      <c r="C419" s="10"/>
      <c r="D419" s="9" t="str">
        <f>IF(F419="","",_xlfn.XLOOKUP(F419,purchase!D:D,purchase!#REF!,""))</f>
        <v/>
      </c>
      <c r="E419" s="9" t="str">
        <f>IF(F419="","",_xlfn.XLOOKUP(F419,purchase!D:D,purchase!B:B,""))</f>
        <v/>
      </c>
      <c r="F419" s="2"/>
      <c r="G419" s="4" t="str">
        <f t="shared" si="43"/>
        <v/>
      </c>
      <c r="H419" s="4" t="str">
        <f>IF(F419="","",_xlfn.XLOOKUP(F419,purchase!D:D,purchase!#REF!,""))</f>
        <v/>
      </c>
      <c r="I419" s="4" t="str">
        <f t="shared" si="44"/>
        <v/>
      </c>
      <c r="J419" s="4" t="str">
        <f t="shared" si="45"/>
        <v/>
      </c>
      <c r="K419" s="13" t="str">
        <f>_xlfn.SINGLE(IF(F419="","",_xlfn.XLOOKUP(F419,purchase!D:D,purchase!#REF!,"")))</f>
        <v/>
      </c>
      <c r="L419" s="2"/>
      <c r="M419" s="32"/>
      <c r="N419" s="13" t="str">
        <f>IF(F419="","",
MAX(0,
_xlfn.XLOOKUP(F419,purchase!D:D,purchase!#REF!,"")
-
SUMIFS(L:L,F:F,F419)))</f>
        <v/>
      </c>
      <c r="O419" s="13" t="str">
        <f t="shared" si="46"/>
        <v/>
      </c>
      <c r="P419" s="35" t="str">
        <f>_xlfn.SINGLE(IF(F419="","",_xlfn.XLOOKUP(F419,purchase!D:D,purchase!K:K,"")))</f>
        <v/>
      </c>
      <c r="Q419" s="29" t="str">
        <f t="shared" si="47"/>
        <v/>
      </c>
      <c r="R419" s="37" t="str">
        <f t="shared" si="48"/>
        <v/>
      </c>
    </row>
    <row r="420" spans="1:18" x14ac:dyDescent="0.35">
      <c r="A420" s="8">
        <v>416</v>
      </c>
      <c r="B420" s="9" t="str">
        <f t="shared" si="42"/>
        <v/>
      </c>
      <c r="C420" s="10"/>
      <c r="D420" s="9" t="str">
        <f>IF(F420="","",_xlfn.XLOOKUP(F420,purchase!D:D,purchase!#REF!,""))</f>
        <v/>
      </c>
      <c r="E420" s="9" t="str">
        <f>IF(F420="","",_xlfn.XLOOKUP(F420,purchase!D:D,purchase!B:B,""))</f>
        <v/>
      </c>
      <c r="F420" s="2"/>
      <c r="G420" s="4" t="str">
        <f t="shared" si="43"/>
        <v/>
      </c>
      <c r="H420" s="4" t="str">
        <f>IF(F420="","",_xlfn.XLOOKUP(F420,purchase!D:D,purchase!#REF!,""))</f>
        <v/>
      </c>
      <c r="I420" s="4" t="str">
        <f t="shared" si="44"/>
        <v/>
      </c>
      <c r="J420" s="4" t="str">
        <f t="shared" si="45"/>
        <v/>
      </c>
      <c r="K420" s="13" t="str">
        <f>_xlfn.SINGLE(IF(F420="","",_xlfn.XLOOKUP(F420,purchase!D:D,purchase!#REF!,"")))</f>
        <v/>
      </c>
      <c r="L420" s="2"/>
      <c r="M420" s="32"/>
      <c r="N420" s="13" t="str">
        <f>IF(F420="","",
MAX(0,
_xlfn.XLOOKUP(F420,purchase!D:D,purchase!#REF!,"")
-
SUMIFS(L:L,F:F,F420)))</f>
        <v/>
      </c>
      <c r="O420" s="13" t="str">
        <f t="shared" si="46"/>
        <v/>
      </c>
      <c r="P420" s="35" t="str">
        <f>_xlfn.SINGLE(IF(F420="","",_xlfn.XLOOKUP(F420,purchase!D:D,purchase!K:K,"")))</f>
        <v/>
      </c>
      <c r="Q420" s="29" t="str">
        <f t="shared" si="47"/>
        <v/>
      </c>
      <c r="R420" s="37" t="str">
        <f t="shared" si="48"/>
        <v/>
      </c>
    </row>
    <row r="421" spans="1:18" x14ac:dyDescent="0.35">
      <c r="A421" s="8">
        <v>417</v>
      </c>
      <c r="B421" s="9" t="str">
        <f t="shared" si="42"/>
        <v/>
      </c>
      <c r="C421" s="10"/>
      <c r="D421" s="9" t="str">
        <f>IF(F421="","",_xlfn.XLOOKUP(F421,purchase!D:D,purchase!#REF!,""))</f>
        <v/>
      </c>
      <c r="E421" s="9" t="str">
        <f>IF(F421="","",_xlfn.XLOOKUP(F421,purchase!D:D,purchase!B:B,""))</f>
        <v/>
      </c>
      <c r="F421" s="2"/>
      <c r="G421" s="4" t="str">
        <f t="shared" si="43"/>
        <v/>
      </c>
      <c r="H421" s="4" t="str">
        <f>IF(F421="","",_xlfn.XLOOKUP(F421,purchase!D:D,purchase!#REF!,""))</f>
        <v/>
      </c>
      <c r="I421" s="4" t="str">
        <f t="shared" si="44"/>
        <v/>
      </c>
      <c r="J421" s="4" t="str">
        <f t="shared" si="45"/>
        <v/>
      </c>
      <c r="K421" s="13" t="str">
        <f>_xlfn.SINGLE(IF(F421="","",_xlfn.XLOOKUP(F421,purchase!D:D,purchase!#REF!,"")))</f>
        <v/>
      </c>
      <c r="L421" s="2"/>
      <c r="M421" s="32"/>
      <c r="N421" s="13" t="str">
        <f>IF(F421="","",
MAX(0,
_xlfn.XLOOKUP(F421,purchase!D:D,purchase!#REF!,"")
-
SUMIFS(L:L,F:F,F421)))</f>
        <v/>
      </c>
      <c r="O421" s="13" t="str">
        <f t="shared" si="46"/>
        <v/>
      </c>
      <c r="P421" s="35" t="str">
        <f>_xlfn.SINGLE(IF(F421="","",_xlfn.XLOOKUP(F421,purchase!D:D,purchase!K:K,"")))</f>
        <v/>
      </c>
      <c r="Q421" s="29" t="str">
        <f t="shared" si="47"/>
        <v/>
      </c>
      <c r="R421" s="37" t="str">
        <f t="shared" si="48"/>
        <v/>
      </c>
    </row>
    <row r="422" spans="1:18" x14ac:dyDescent="0.35">
      <c r="A422" s="8">
        <v>418</v>
      </c>
      <c r="B422" s="9" t="str">
        <f t="shared" si="42"/>
        <v/>
      </c>
      <c r="C422" s="10"/>
      <c r="D422" s="9" t="str">
        <f>IF(F422="","",_xlfn.XLOOKUP(F422,purchase!D:D,purchase!#REF!,""))</f>
        <v/>
      </c>
      <c r="E422" s="9" t="str">
        <f>IF(F422="","",_xlfn.XLOOKUP(F422,purchase!D:D,purchase!B:B,""))</f>
        <v/>
      </c>
      <c r="F422" s="2"/>
      <c r="G422" s="4" t="str">
        <f t="shared" si="43"/>
        <v/>
      </c>
      <c r="H422" s="4" t="str">
        <f>IF(F422="","",_xlfn.XLOOKUP(F422,purchase!D:D,purchase!#REF!,""))</f>
        <v/>
      </c>
      <c r="I422" s="4" t="str">
        <f t="shared" si="44"/>
        <v/>
      </c>
      <c r="J422" s="4" t="str">
        <f t="shared" si="45"/>
        <v/>
      </c>
      <c r="K422" s="13" t="str">
        <f>_xlfn.SINGLE(IF(F422="","",_xlfn.XLOOKUP(F422,purchase!D:D,purchase!#REF!,"")))</f>
        <v/>
      </c>
      <c r="L422" s="2"/>
      <c r="M422" s="32"/>
      <c r="N422" s="13" t="str">
        <f>IF(F422="","",
MAX(0,
_xlfn.XLOOKUP(F422,purchase!D:D,purchase!#REF!,"")
-
SUMIFS(L:L,F:F,F422)))</f>
        <v/>
      </c>
      <c r="O422" s="13" t="str">
        <f t="shared" si="46"/>
        <v/>
      </c>
      <c r="P422" s="35" t="str">
        <f>_xlfn.SINGLE(IF(F422="","",_xlfn.XLOOKUP(F422,purchase!D:D,purchase!K:K,"")))</f>
        <v/>
      </c>
      <c r="Q422" s="29" t="str">
        <f t="shared" si="47"/>
        <v/>
      </c>
      <c r="R422" s="37" t="str">
        <f t="shared" si="48"/>
        <v/>
      </c>
    </row>
    <row r="423" spans="1:18" x14ac:dyDescent="0.35">
      <c r="A423" s="8">
        <v>419</v>
      </c>
      <c r="B423" s="9" t="str">
        <f t="shared" si="42"/>
        <v/>
      </c>
      <c r="C423" s="10"/>
      <c r="D423" s="9" t="str">
        <f>IF(F423="","",_xlfn.XLOOKUP(F423,purchase!D:D,purchase!#REF!,""))</f>
        <v/>
      </c>
      <c r="E423" s="9" t="str">
        <f>IF(F423="","",_xlfn.XLOOKUP(F423,purchase!D:D,purchase!B:B,""))</f>
        <v/>
      </c>
      <c r="F423" s="2"/>
      <c r="G423" s="4" t="str">
        <f t="shared" si="43"/>
        <v/>
      </c>
      <c r="H423" s="4" t="str">
        <f>IF(F423="","",_xlfn.XLOOKUP(F423,purchase!D:D,purchase!#REF!,""))</f>
        <v/>
      </c>
      <c r="I423" s="4" t="str">
        <f t="shared" si="44"/>
        <v/>
      </c>
      <c r="J423" s="4" t="str">
        <f t="shared" si="45"/>
        <v/>
      </c>
      <c r="K423" s="13" t="str">
        <f>_xlfn.SINGLE(IF(F423="","",_xlfn.XLOOKUP(F423,purchase!D:D,purchase!#REF!,"")))</f>
        <v/>
      </c>
      <c r="L423" s="2"/>
      <c r="M423" s="32"/>
      <c r="N423" s="13" t="str">
        <f>IF(F423="","",
MAX(0,
_xlfn.XLOOKUP(F423,purchase!D:D,purchase!#REF!,"")
-
SUMIFS(L:L,F:F,F423)))</f>
        <v/>
      </c>
      <c r="O423" s="13" t="str">
        <f t="shared" si="46"/>
        <v/>
      </c>
      <c r="P423" s="35" t="str">
        <f>_xlfn.SINGLE(IF(F423="","",_xlfn.XLOOKUP(F423,purchase!D:D,purchase!K:K,"")))</f>
        <v/>
      </c>
      <c r="Q423" s="29" t="str">
        <f t="shared" si="47"/>
        <v/>
      </c>
      <c r="R423" s="37" t="str">
        <f t="shared" si="48"/>
        <v/>
      </c>
    </row>
    <row r="424" spans="1:18" x14ac:dyDescent="0.35">
      <c r="A424" s="8">
        <v>420</v>
      </c>
      <c r="B424" s="9" t="str">
        <f t="shared" si="42"/>
        <v/>
      </c>
      <c r="C424" s="10"/>
      <c r="D424" s="9" t="str">
        <f>IF(F424="","",_xlfn.XLOOKUP(F424,purchase!D:D,purchase!#REF!,""))</f>
        <v/>
      </c>
      <c r="E424" s="9" t="str">
        <f>IF(F424="","",_xlfn.XLOOKUP(F424,purchase!D:D,purchase!B:B,""))</f>
        <v/>
      </c>
      <c r="F424" s="2"/>
      <c r="G424" s="4" t="str">
        <f t="shared" si="43"/>
        <v/>
      </c>
      <c r="H424" s="4" t="str">
        <f>IF(F424="","",_xlfn.XLOOKUP(F424,purchase!D:D,purchase!#REF!,""))</f>
        <v/>
      </c>
      <c r="I424" s="4" t="str">
        <f t="shared" si="44"/>
        <v/>
      </c>
      <c r="J424" s="4" t="str">
        <f t="shared" si="45"/>
        <v/>
      </c>
      <c r="K424" s="13" t="str">
        <f>_xlfn.SINGLE(IF(F424="","",_xlfn.XLOOKUP(F424,purchase!D:D,purchase!#REF!,"")))</f>
        <v/>
      </c>
      <c r="L424" s="2"/>
      <c r="M424" s="32"/>
      <c r="N424" s="13" t="str">
        <f>IF(F424="","",
MAX(0,
_xlfn.XLOOKUP(F424,purchase!D:D,purchase!#REF!,"")
-
SUMIFS(L:L,F:F,F424)))</f>
        <v/>
      </c>
      <c r="O424" s="13" t="str">
        <f t="shared" si="46"/>
        <v/>
      </c>
      <c r="P424" s="35" t="str">
        <f>_xlfn.SINGLE(IF(F424="","",_xlfn.XLOOKUP(F424,purchase!D:D,purchase!K:K,"")))</f>
        <v/>
      </c>
      <c r="Q424" s="29" t="str">
        <f t="shared" si="47"/>
        <v/>
      </c>
      <c r="R424" s="37" t="str">
        <f t="shared" si="48"/>
        <v/>
      </c>
    </row>
    <row r="425" spans="1:18" x14ac:dyDescent="0.35">
      <c r="A425" s="8">
        <v>421</v>
      </c>
      <c r="B425" s="9" t="str">
        <f t="shared" si="42"/>
        <v/>
      </c>
      <c r="C425" s="10"/>
      <c r="D425" s="9" t="str">
        <f>IF(F425="","",_xlfn.XLOOKUP(F425,purchase!D:D,purchase!#REF!,""))</f>
        <v/>
      </c>
      <c r="E425" s="9" t="str">
        <f>IF(F425="","",_xlfn.XLOOKUP(F425,purchase!D:D,purchase!B:B,""))</f>
        <v/>
      </c>
      <c r="F425" s="2"/>
      <c r="G425" s="4" t="str">
        <f t="shared" si="43"/>
        <v/>
      </c>
      <c r="H425" s="4" t="str">
        <f>IF(F425="","",_xlfn.XLOOKUP(F425,purchase!D:D,purchase!#REF!,""))</f>
        <v/>
      </c>
      <c r="I425" s="4" t="str">
        <f t="shared" si="44"/>
        <v/>
      </c>
      <c r="J425" s="4" t="str">
        <f t="shared" si="45"/>
        <v/>
      </c>
      <c r="K425" s="13" t="str">
        <f>_xlfn.SINGLE(IF(F425="","",_xlfn.XLOOKUP(F425,purchase!D:D,purchase!#REF!,"")))</f>
        <v/>
      </c>
      <c r="L425" s="2"/>
      <c r="M425" s="32"/>
      <c r="N425" s="13" t="str">
        <f>IF(F425="","",
MAX(0,
_xlfn.XLOOKUP(F425,purchase!D:D,purchase!#REF!,"")
-
SUMIFS(L:L,F:F,F425)))</f>
        <v/>
      </c>
      <c r="O425" s="13" t="str">
        <f t="shared" si="46"/>
        <v/>
      </c>
      <c r="P425" s="35" t="str">
        <f>_xlfn.SINGLE(IF(F425="","",_xlfn.XLOOKUP(F425,purchase!D:D,purchase!K:K,"")))</f>
        <v/>
      </c>
      <c r="Q425" s="29" t="str">
        <f t="shared" si="47"/>
        <v/>
      </c>
      <c r="R425" s="37" t="str">
        <f t="shared" si="48"/>
        <v/>
      </c>
    </row>
    <row r="426" spans="1:18" x14ac:dyDescent="0.35">
      <c r="A426" s="8">
        <v>422</v>
      </c>
      <c r="B426" s="9" t="str">
        <f t="shared" si="42"/>
        <v/>
      </c>
      <c r="C426" s="10"/>
      <c r="D426" s="9" t="str">
        <f>IF(F426="","",_xlfn.XLOOKUP(F426,purchase!D:D,purchase!#REF!,""))</f>
        <v/>
      </c>
      <c r="E426" s="9" t="str">
        <f>IF(F426="","",_xlfn.XLOOKUP(F426,purchase!D:D,purchase!B:B,""))</f>
        <v/>
      </c>
      <c r="F426" s="2"/>
      <c r="G426" s="4" t="str">
        <f t="shared" si="43"/>
        <v/>
      </c>
      <c r="H426" s="4" t="str">
        <f>IF(F426="","",_xlfn.XLOOKUP(F426,purchase!D:D,purchase!#REF!,""))</f>
        <v/>
      </c>
      <c r="I426" s="4" t="str">
        <f t="shared" si="44"/>
        <v/>
      </c>
      <c r="J426" s="4" t="str">
        <f t="shared" si="45"/>
        <v/>
      </c>
      <c r="K426" s="13" t="str">
        <f>_xlfn.SINGLE(IF(F426="","",_xlfn.XLOOKUP(F426,purchase!D:D,purchase!#REF!,"")))</f>
        <v/>
      </c>
      <c r="L426" s="2"/>
      <c r="M426" s="32"/>
      <c r="N426" s="13" t="str">
        <f>IF(F426="","",
MAX(0,
_xlfn.XLOOKUP(F426,purchase!D:D,purchase!#REF!,"")
-
SUMIFS(L:L,F:F,F426)))</f>
        <v/>
      </c>
      <c r="O426" s="13" t="str">
        <f t="shared" si="46"/>
        <v/>
      </c>
      <c r="P426" s="35" t="str">
        <f>_xlfn.SINGLE(IF(F426="","",_xlfn.XLOOKUP(F426,purchase!D:D,purchase!K:K,"")))</f>
        <v/>
      </c>
      <c r="Q426" s="29" t="str">
        <f t="shared" si="47"/>
        <v/>
      </c>
      <c r="R426" s="37" t="str">
        <f t="shared" si="48"/>
        <v/>
      </c>
    </row>
    <row r="427" spans="1:18" x14ac:dyDescent="0.35">
      <c r="A427" s="8">
        <v>423</v>
      </c>
      <c r="B427" s="9" t="str">
        <f t="shared" si="42"/>
        <v/>
      </c>
      <c r="C427" s="10"/>
      <c r="D427" s="9" t="str">
        <f>IF(F427="","",_xlfn.XLOOKUP(F427,purchase!D:D,purchase!#REF!,""))</f>
        <v/>
      </c>
      <c r="E427" s="9" t="str">
        <f>IF(F427="","",_xlfn.XLOOKUP(F427,purchase!D:D,purchase!B:B,""))</f>
        <v/>
      </c>
      <c r="F427" s="2"/>
      <c r="G427" s="4" t="str">
        <f t="shared" si="43"/>
        <v/>
      </c>
      <c r="H427" s="4" t="str">
        <f>IF(F427="","",_xlfn.XLOOKUP(F427,purchase!D:D,purchase!#REF!,""))</f>
        <v/>
      </c>
      <c r="I427" s="4" t="str">
        <f t="shared" si="44"/>
        <v/>
      </c>
      <c r="J427" s="4" t="str">
        <f t="shared" si="45"/>
        <v/>
      </c>
      <c r="K427" s="13" t="str">
        <f>_xlfn.SINGLE(IF(F427="","",_xlfn.XLOOKUP(F427,purchase!D:D,purchase!#REF!,"")))</f>
        <v/>
      </c>
      <c r="L427" s="2"/>
      <c r="M427" s="32"/>
      <c r="N427" s="13" t="str">
        <f>IF(F427="","",
MAX(0,
_xlfn.XLOOKUP(F427,purchase!D:D,purchase!#REF!,"")
-
SUMIFS(L:L,F:F,F427)))</f>
        <v/>
      </c>
      <c r="O427" s="13" t="str">
        <f t="shared" si="46"/>
        <v/>
      </c>
      <c r="P427" s="35" t="str">
        <f>_xlfn.SINGLE(IF(F427="","",_xlfn.XLOOKUP(F427,purchase!D:D,purchase!K:K,"")))</f>
        <v/>
      </c>
      <c r="Q427" s="29" t="str">
        <f t="shared" si="47"/>
        <v/>
      </c>
      <c r="R427" s="37" t="str">
        <f t="shared" si="48"/>
        <v/>
      </c>
    </row>
    <row r="428" spans="1:18" x14ac:dyDescent="0.35">
      <c r="A428" s="8">
        <v>424</v>
      </c>
      <c r="B428" s="9" t="str">
        <f t="shared" si="42"/>
        <v/>
      </c>
      <c r="C428" s="10"/>
      <c r="D428" s="9" t="str">
        <f>IF(F428="","",_xlfn.XLOOKUP(F428,purchase!D:D,purchase!#REF!,""))</f>
        <v/>
      </c>
      <c r="E428" s="9" t="str">
        <f>IF(F428="","",_xlfn.XLOOKUP(F428,purchase!D:D,purchase!B:B,""))</f>
        <v/>
      </c>
      <c r="F428" s="2"/>
      <c r="G428" s="4" t="str">
        <f t="shared" si="43"/>
        <v/>
      </c>
      <c r="H428" s="4" t="str">
        <f>IF(F428="","",_xlfn.XLOOKUP(F428,purchase!D:D,purchase!#REF!,""))</f>
        <v/>
      </c>
      <c r="I428" s="4" t="str">
        <f t="shared" si="44"/>
        <v/>
      </c>
      <c r="J428" s="4" t="str">
        <f t="shared" si="45"/>
        <v/>
      </c>
      <c r="K428" s="13" t="str">
        <f>_xlfn.SINGLE(IF(F428="","",_xlfn.XLOOKUP(F428,purchase!D:D,purchase!#REF!,"")))</f>
        <v/>
      </c>
      <c r="L428" s="2"/>
      <c r="M428" s="32"/>
      <c r="N428" s="13" t="str">
        <f>IF(F428="","",
MAX(0,
_xlfn.XLOOKUP(F428,purchase!D:D,purchase!#REF!,"")
-
SUMIFS(L:L,F:F,F428)))</f>
        <v/>
      </c>
      <c r="O428" s="13" t="str">
        <f t="shared" si="46"/>
        <v/>
      </c>
      <c r="P428" s="35" t="str">
        <f>_xlfn.SINGLE(IF(F428="","",_xlfn.XLOOKUP(F428,purchase!D:D,purchase!K:K,"")))</f>
        <v/>
      </c>
      <c r="Q428" s="29" t="str">
        <f t="shared" si="47"/>
        <v/>
      </c>
      <c r="R428" s="37" t="str">
        <f t="shared" si="48"/>
        <v/>
      </c>
    </row>
    <row r="429" spans="1:18" x14ac:dyDescent="0.35">
      <c r="A429" s="8">
        <v>425</v>
      </c>
      <c r="B429" s="9" t="str">
        <f t="shared" si="42"/>
        <v/>
      </c>
      <c r="C429" s="10"/>
      <c r="D429" s="9" t="str">
        <f>IF(F429="","",_xlfn.XLOOKUP(F429,purchase!D:D,purchase!#REF!,""))</f>
        <v/>
      </c>
      <c r="E429" s="9" t="str">
        <f>IF(F429="","",_xlfn.XLOOKUP(F429,purchase!D:D,purchase!B:B,""))</f>
        <v/>
      </c>
      <c r="F429" s="2"/>
      <c r="G429" s="4" t="str">
        <f t="shared" si="43"/>
        <v/>
      </c>
      <c r="H429" s="4" t="str">
        <f>IF(F429="","",_xlfn.XLOOKUP(F429,purchase!D:D,purchase!#REF!,""))</f>
        <v/>
      </c>
      <c r="I429" s="4" t="str">
        <f t="shared" si="44"/>
        <v/>
      </c>
      <c r="J429" s="4" t="str">
        <f t="shared" si="45"/>
        <v/>
      </c>
      <c r="K429" s="13" t="str">
        <f>_xlfn.SINGLE(IF(F429="","",_xlfn.XLOOKUP(F429,purchase!D:D,purchase!#REF!,"")))</f>
        <v/>
      </c>
      <c r="L429" s="2"/>
      <c r="M429" s="32"/>
      <c r="N429" s="13" t="str">
        <f>IF(F429="","",
MAX(0,
_xlfn.XLOOKUP(F429,purchase!D:D,purchase!#REF!,"")
-
SUMIFS(L:L,F:F,F429)))</f>
        <v/>
      </c>
      <c r="O429" s="13" t="str">
        <f t="shared" si="46"/>
        <v/>
      </c>
      <c r="P429" s="35" t="str">
        <f>_xlfn.SINGLE(IF(F429="","",_xlfn.XLOOKUP(F429,purchase!D:D,purchase!K:K,"")))</f>
        <v/>
      </c>
      <c r="Q429" s="29" t="str">
        <f t="shared" si="47"/>
        <v/>
      </c>
      <c r="R429" s="37" t="str">
        <f t="shared" si="48"/>
        <v/>
      </c>
    </row>
    <row r="430" spans="1:18" x14ac:dyDescent="0.35">
      <c r="A430" s="8">
        <v>426</v>
      </c>
      <c r="B430" s="9" t="str">
        <f t="shared" si="42"/>
        <v/>
      </c>
      <c r="C430" s="10"/>
      <c r="D430" s="9" t="str">
        <f>IF(F430="","",_xlfn.XLOOKUP(F430,purchase!D:D,purchase!#REF!,""))</f>
        <v/>
      </c>
      <c r="E430" s="9" t="str">
        <f>IF(F430="","",_xlfn.XLOOKUP(F430,purchase!D:D,purchase!B:B,""))</f>
        <v/>
      </c>
      <c r="F430" s="2"/>
      <c r="G430" s="4" t="str">
        <f t="shared" si="43"/>
        <v/>
      </c>
      <c r="H430" s="4" t="str">
        <f>IF(F430="","",_xlfn.XLOOKUP(F430,purchase!D:D,purchase!#REF!,""))</f>
        <v/>
      </c>
      <c r="I430" s="4" t="str">
        <f t="shared" si="44"/>
        <v/>
      </c>
      <c r="J430" s="4" t="str">
        <f t="shared" si="45"/>
        <v/>
      </c>
      <c r="K430" s="13" t="str">
        <f>_xlfn.SINGLE(IF(F430="","",_xlfn.XLOOKUP(F430,purchase!D:D,purchase!#REF!,"")))</f>
        <v/>
      </c>
      <c r="L430" s="2"/>
      <c r="M430" s="32"/>
      <c r="N430" s="13" t="str">
        <f>IF(F430="","",
MAX(0,
_xlfn.XLOOKUP(F430,purchase!D:D,purchase!#REF!,"")
-
SUMIFS(L:L,F:F,F430)))</f>
        <v/>
      </c>
      <c r="O430" s="13" t="str">
        <f t="shared" si="46"/>
        <v/>
      </c>
      <c r="P430" s="35" t="str">
        <f>_xlfn.SINGLE(IF(F430="","",_xlfn.XLOOKUP(F430,purchase!D:D,purchase!K:K,"")))</f>
        <v/>
      </c>
      <c r="Q430" s="29" t="str">
        <f t="shared" si="47"/>
        <v/>
      </c>
      <c r="R430" s="37" t="str">
        <f t="shared" si="48"/>
        <v/>
      </c>
    </row>
    <row r="431" spans="1:18" x14ac:dyDescent="0.35">
      <c r="A431" s="8">
        <v>427</v>
      </c>
      <c r="B431" s="9" t="str">
        <f t="shared" si="42"/>
        <v/>
      </c>
      <c r="C431" s="10"/>
      <c r="D431" s="9" t="str">
        <f>IF(F431="","",_xlfn.XLOOKUP(F431,purchase!D:D,purchase!#REF!,""))</f>
        <v/>
      </c>
      <c r="E431" s="9" t="str">
        <f>IF(F431="","",_xlfn.XLOOKUP(F431,purchase!D:D,purchase!B:B,""))</f>
        <v/>
      </c>
      <c r="F431" s="2"/>
      <c r="G431" s="4" t="str">
        <f t="shared" si="43"/>
        <v/>
      </c>
      <c r="H431" s="4" t="str">
        <f>IF(F431="","",_xlfn.XLOOKUP(F431,purchase!D:D,purchase!#REF!,""))</f>
        <v/>
      </c>
      <c r="I431" s="4" t="str">
        <f t="shared" si="44"/>
        <v/>
      </c>
      <c r="J431" s="4" t="str">
        <f t="shared" si="45"/>
        <v/>
      </c>
      <c r="K431" s="13" t="str">
        <f>_xlfn.SINGLE(IF(F431="","",_xlfn.XLOOKUP(F431,purchase!D:D,purchase!#REF!,"")))</f>
        <v/>
      </c>
      <c r="L431" s="2"/>
      <c r="M431" s="32"/>
      <c r="N431" s="13" t="str">
        <f>IF(F431="","",
MAX(0,
_xlfn.XLOOKUP(F431,purchase!D:D,purchase!#REF!,"")
-
SUMIFS(L:L,F:F,F431)))</f>
        <v/>
      </c>
      <c r="O431" s="13" t="str">
        <f t="shared" si="46"/>
        <v/>
      </c>
      <c r="P431" s="35" t="str">
        <f>_xlfn.SINGLE(IF(F431="","",_xlfn.XLOOKUP(F431,purchase!D:D,purchase!K:K,"")))</f>
        <v/>
      </c>
      <c r="Q431" s="29" t="str">
        <f t="shared" si="47"/>
        <v/>
      </c>
      <c r="R431" s="37" t="str">
        <f t="shared" si="48"/>
        <v/>
      </c>
    </row>
    <row r="432" spans="1:18" x14ac:dyDescent="0.35">
      <c r="A432" s="8">
        <v>428</v>
      </c>
      <c r="B432" s="9" t="str">
        <f t="shared" si="42"/>
        <v/>
      </c>
      <c r="C432" s="10"/>
      <c r="D432" s="9" t="str">
        <f>IF(F432="","",_xlfn.XLOOKUP(F432,purchase!D:D,purchase!#REF!,""))</f>
        <v/>
      </c>
      <c r="E432" s="9" t="str">
        <f>IF(F432="","",_xlfn.XLOOKUP(F432,purchase!D:D,purchase!B:B,""))</f>
        <v/>
      </c>
      <c r="F432" s="2"/>
      <c r="G432" s="4" t="str">
        <f t="shared" si="43"/>
        <v/>
      </c>
      <c r="H432" s="4" t="str">
        <f>IF(F432="","",_xlfn.XLOOKUP(F432,purchase!D:D,purchase!#REF!,""))</f>
        <v/>
      </c>
      <c r="I432" s="4" t="str">
        <f t="shared" si="44"/>
        <v/>
      </c>
      <c r="J432" s="4" t="str">
        <f t="shared" si="45"/>
        <v/>
      </c>
      <c r="K432" s="13" t="str">
        <f>_xlfn.SINGLE(IF(F432="","",_xlfn.XLOOKUP(F432,purchase!D:D,purchase!#REF!,"")))</f>
        <v/>
      </c>
      <c r="L432" s="2"/>
      <c r="M432" s="32"/>
      <c r="N432" s="13" t="str">
        <f>IF(F432="","",
MAX(0,
_xlfn.XLOOKUP(F432,purchase!D:D,purchase!#REF!,"")
-
SUMIFS(L:L,F:F,F432)))</f>
        <v/>
      </c>
      <c r="O432" s="13" t="str">
        <f t="shared" si="46"/>
        <v/>
      </c>
      <c r="P432" s="35" t="str">
        <f>_xlfn.SINGLE(IF(F432="","",_xlfn.XLOOKUP(F432,purchase!D:D,purchase!K:K,"")))</f>
        <v/>
      </c>
      <c r="Q432" s="29" t="str">
        <f t="shared" si="47"/>
        <v/>
      </c>
      <c r="R432" s="37" t="str">
        <f t="shared" si="48"/>
        <v/>
      </c>
    </row>
    <row r="433" spans="1:18" x14ac:dyDescent="0.35">
      <c r="A433" s="8">
        <v>429</v>
      </c>
      <c r="B433" s="9" t="str">
        <f t="shared" si="42"/>
        <v/>
      </c>
      <c r="C433" s="10"/>
      <c r="D433" s="9" t="str">
        <f>IF(F433="","",_xlfn.XLOOKUP(F433,purchase!D:D,purchase!#REF!,""))</f>
        <v/>
      </c>
      <c r="E433" s="9" t="str">
        <f>IF(F433="","",_xlfn.XLOOKUP(F433,purchase!D:D,purchase!B:B,""))</f>
        <v/>
      </c>
      <c r="F433" s="2"/>
      <c r="G433" s="4" t="str">
        <f t="shared" si="43"/>
        <v/>
      </c>
      <c r="H433" s="4" t="str">
        <f>IF(F433="","",_xlfn.XLOOKUP(F433,purchase!D:D,purchase!#REF!,""))</f>
        <v/>
      </c>
      <c r="I433" s="4" t="str">
        <f t="shared" si="44"/>
        <v/>
      </c>
      <c r="J433" s="4" t="str">
        <f t="shared" si="45"/>
        <v/>
      </c>
      <c r="K433" s="13" t="str">
        <f>_xlfn.SINGLE(IF(F433="","",_xlfn.XLOOKUP(F433,purchase!D:D,purchase!#REF!,"")))</f>
        <v/>
      </c>
      <c r="L433" s="2"/>
      <c r="M433" s="32"/>
      <c r="N433" s="13" t="str">
        <f>IF(F433="","",
MAX(0,
_xlfn.XLOOKUP(F433,purchase!D:D,purchase!#REF!,"")
-
SUMIFS(L:L,F:F,F433)))</f>
        <v/>
      </c>
      <c r="O433" s="13" t="str">
        <f t="shared" si="46"/>
        <v/>
      </c>
      <c r="P433" s="35" t="str">
        <f>_xlfn.SINGLE(IF(F433="","",_xlfn.XLOOKUP(F433,purchase!D:D,purchase!K:K,"")))</f>
        <v/>
      </c>
      <c r="Q433" s="29" t="str">
        <f t="shared" si="47"/>
        <v/>
      </c>
      <c r="R433" s="37" t="str">
        <f t="shared" si="48"/>
        <v/>
      </c>
    </row>
    <row r="434" spans="1:18" x14ac:dyDescent="0.35">
      <c r="A434" s="8">
        <v>430</v>
      </c>
      <c r="B434" s="9" t="str">
        <f t="shared" si="42"/>
        <v/>
      </c>
      <c r="C434" s="10"/>
      <c r="D434" s="9" t="str">
        <f>IF(F434="","",_xlfn.XLOOKUP(F434,purchase!D:D,purchase!#REF!,""))</f>
        <v/>
      </c>
      <c r="E434" s="9" t="str">
        <f>IF(F434="","",_xlfn.XLOOKUP(F434,purchase!D:D,purchase!B:B,""))</f>
        <v/>
      </c>
      <c r="F434" s="2"/>
      <c r="G434" s="4" t="str">
        <f t="shared" si="43"/>
        <v/>
      </c>
      <c r="H434" s="4" t="str">
        <f>IF(F434="","",_xlfn.XLOOKUP(F434,purchase!D:D,purchase!#REF!,""))</f>
        <v/>
      </c>
      <c r="I434" s="4" t="str">
        <f t="shared" si="44"/>
        <v/>
      </c>
      <c r="J434" s="4" t="str">
        <f t="shared" si="45"/>
        <v/>
      </c>
      <c r="K434" s="13" t="str">
        <f>_xlfn.SINGLE(IF(F434="","",_xlfn.XLOOKUP(F434,purchase!D:D,purchase!#REF!,"")))</f>
        <v/>
      </c>
      <c r="L434" s="2"/>
      <c r="M434" s="32"/>
      <c r="N434" s="13" t="str">
        <f>IF(F434="","",
MAX(0,
_xlfn.XLOOKUP(F434,purchase!D:D,purchase!#REF!,"")
-
SUMIFS(L:L,F:F,F434)))</f>
        <v/>
      </c>
      <c r="O434" s="13" t="str">
        <f t="shared" si="46"/>
        <v/>
      </c>
      <c r="P434" s="35" t="str">
        <f>_xlfn.SINGLE(IF(F434="","",_xlfn.XLOOKUP(F434,purchase!D:D,purchase!K:K,"")))</f>
        <v/>
      </c>
      <c r="Q434" s="29" t="str">
        <f t="shared" si="47"/>
        <v/>
      </c>
      <c r="R434" s="37" t="str">
        <f t="shared" si="48"/>
        <v/>
      </c>
    </row>
    <row r="435" spans="1:18" x14ac:dyDescent="0.35">
      <c r="A435" s="8">
        <v>431</v>
      </c>
      <c r="B435" s="9" t="str">
        <f t="shared" si="42"/>
        <v/>
      </c>
      <c r="C435" s="10"/>
      <c r="D435" s="9" t="str">
        <f>IF(F435="","",_xlfn.XLOOKUP(F435,purchase!D:D,purchase!#REF!,""))</f>
        <v/>
      </c>
      <c r="E435" s="9" t="str">
        <f>IF(F435="","",_xlfn.XLOOKUP(F435,purchase!D:D,purchase!B:B,""))</f>
        <v/>
      </c>
      <c r="F435" s="2"/>
      <c r="G435" s="4" t="str">
        <f t="shared" si="43"/>
        <v/>
      </c>
      <c r="H435" s="4" t="str">
        <f>IF(F435="","",_xlfn.XLOOKUP(F435,purchase!D:D,purchase!#REF!,""))</f>
        <v/>
      </c>
      <c r="I435" s="4" t="str">
        <f t="shared" si="44"/>
        <v/>
      </c>
      <c r="J435" s="4" t="str">
        <f t="shared" si="45"/>
        <v/>
      </c>
      <c r="K435" s="13" t="str">
        <f>_xlfn.SINGLE(IF(F435="","",_xlfn.XLOOKUP(F435,purchase!D:D,purchase!#REF!,"")))</f>
        <v/>
      </c>
      <c r="L435" s="2"/>
      <c r="M435" s="32"/>
      <c r="N435" s="13" t="str">
        <f>IF(F435="","",
MAX(0,
_xlfn.XLOOKUP(F435,purchase!D:D,purchase!#REF!,"")
-
SUMIFS(L:L,F:F,F435)))</f>
        <v/>
      </c>
      <c r="O435" s="13" t="str">
        <f t="shared" si="46"/>
        <v/>
      </c>
      <c r="P435" s="35" t="str">
        <f>_xlfn.SINGLE(IF(F435="","",_xlfn.XLOOKUP(F435,purchase!D:D,purchase!K:K,"")))</f>
        <v/>
      </c>
      <c r="Q435" s="29" t="str">
        <f t="shared" si="47"/>
        <v/>
      </c>
      <c r="R435" s="37" t="str">
        <f t="shared" si="48"/>
        <v/>
      </c>
    </row>
    <row r="436" spans="1:18" x14ac:dyDescent="0.35">
      <c r="A436" s="8">
        <v>432</v>
      </c>
      <c r="B436" s="9" t="str">
        <f t="shared" si="42"/>
        <v/>
      </c>
      <c r="C436" s="10"/>
      <c r="D436" s="9" t="str">
        <f>IF(F436="","",_xlfn.XLOOKUP(F436,purchase!D:D,purchase!#REF!,""))</f>
        <v/>
      </c>
      <c r="E436" s="9" t="str">
        <f>IF(F436="","",_xlfn.XLOOKUP(F436,purchase!D:D,purchase!B:B,""))</f>
        <v/>
      </c>
      <c r="F436" s="2"/>
      <c r="G436" s="4" t="str">
        <f t="shared" si="43"/>
        <v/>
      </c>
      <c r="H436" s="4" t="str">
        <f>IF(F436="","",_xlfn.XLOOKUP(F436,purchase!D:D,purchase!#REF!,""))</f>
        <v/>
      </c>
      <c r="I436" s="4" t="str">
        <f t="shared" si="44"/>
        <v/>
      </c>
      <c r="J436" s="4" t="str">
        <f t="shared" si="45"/>
        <v/>
      </c>
      <c r="K436" s="13" t="str">
        <f>_xlfn.SINGLE(IF(F436="","",_xlfn.XLOOKUP(F436,purchase!D:D,purchase!#REF!,"")))</f>
        <v/>
      </c>
      <c r="L436" s="2"/>
      <c r="M436" s="32"/>
      <c r="N436" s="13" t="str">
        <f>IF(F436="","",
MAX(0,
_xlfn.XLOOKUP(F436,purchase!D:D,purchase!#REF!,"")
-
SUMIFS(L:L,F:F,F436)))</f>
        <v/>
      </c>
      <c r="O436" s="13" t="str">
        <f t="shared" si="46"/>
        <v/>
      </c>
      <c r="P436" s="35" t="str">
        <f>_xlfn.SINGLE(IF(F436="","",_xlfn.XLOOKUP(F436,purchase!D:D,purchase!K:K,"")))</f>
        <v/>
      </c>
      <c r="Q436" s="29" t="str">
        <f t="shared" si="47"/>
        <v/>
      </c>
      <c r="R436" s="37" t="str">
        <f t="shared" si="48"/>
        <v/>
      </c>
    </row>
    <row r="437" spans="1:18" x14ac:dyDescent="0.35">
      <c r="A437" s="8">
        <v>433</v>
      </c>
      <c r="B437" s="9" t="str">
        <f t="shared" si="42"/>
        <v/>
      </c>
      <c r="C437" s="10"/>
      <c r="D437" s="9" t="str">
        <f>IF(F437="","",_xlfn.XLOOKUP(F437,purchase!D:D,purchase!#REF!,""))</f>
        <v/>
      </c>
      <c r="E437" s="9" t="str">
        <f>IF(F437="","",_xlfn.XLOOKUP(F437,purchase!D:D,purchase!B:B,""))</f>
        <v/>
      </c>
      <c r="F437" s="2"/>
      <c r="G437" s="4" t="str">
        <f t="shared" si="43"/>
        <v/>
      </c>
      <c r="H437" s="4" t="str">
        <f>IF(F437="","",_xlfn.XLOOKUP(F437,purchase!D:D,purchase!#REF!,""))</f>
        <v/>
      </c>
      <c r="I437" s="4" t="str">
        <f t="shared" si="44"/>
        <v/>
      </c>
      <c r="J437" s="4" t="str">
        <f t="shared" si="45"/>
        <v/>
      </c>
      <c r="K437" s="13" t="str">
        <f>_xlfn.SINGLE(IF(F437="","",_xlfn.XLOOKUP(F437,purchase!D:D,purchase!#REF!,"")))</f>
        <v/>
      </c>
      <c r="L437" s="2"/>
      <c r="M437" s="32"/>
      <c r="N437" s="13" t="str">
        <f>IF(F437="","",
MAX(0,
_xlfn.XLOOKUP(F437,purchase!D:D,purchase!#REF!,"")
-
SUMIFS(L:L,F:F,F437)))</f>
        <v/>
      </c>
      <c r="O437" s="13" t="str">
        <f t="shared" si="46"/>
        <v/>
      </c>
      <c r="P437" s="35" t="str">
        <f>_xlfn.SINGLE(IF(F437="","",_xlfn.XLOOKUP(F437,purchase!D:D,purchase!K:K,"")))</f>
        <v/>
      </c>
      <c r="Q437" s="29" t="str">
        <f t="shared" si="47"/>
        <v/>
      </c>
      <c r="R437" s="37" t="str">
        <f t="shared" si="48"/>
        <v/>
      </c>
    </row>
    <row r="438" spans="1:18" x14ac:dyDescent="0.35">
      <c r="A438" s="8">
        <v>434</v>
      </c>
      <c r="B438" s="9" t="str">
        <f t="shared" si="42"/>
        <v/>
      </c>
      <c r="C438" s="10"/>
      <c r="D438" s="9" t="str">
        <f>IF(F438="","",_xlfn.XLOOKUP(F438,purchase!D:D,purchase!#REF!,""))</f>
        <v/>
      </c>
      <c r="E438" s="9" t="str">
        <f>IF(F438="","",_xlfn.XLOOKUP(F438,purchase!D:D,purchase!B:B,""))</f>
        <v/>
      </c>
      <c r="F438" s="2"/>
      <c r="G438" s="4" t="str">
        <f t="shared" si="43"/>
        <v/>
      </c>
      <c r="H438" s="4" t="str">
        <f>IF(F438="","",_xlfn.XLOOKUP(F438,purchase!D:D,purchase!#REF!,""))</f>
        <v/>
      </c>
      <c r="I438" s="4" t="str">
        <f t="shared" si="44"/>
        <v/>
      </c>
      <c r="J438" s="4" t="str">
        <f t="shared" si="45"/>
        <v/>
      </c>
      <c r="K438" s="13" t="str">
        <f>_xlfn.SINGLE(IF(F438="","",_xlfn.XLOOKUP(F438,purchase!D:D,purchase!#REF!,"")))</f>
        <v/>
      </c>
      <c r="L438" s="2"/>
      <c r="M438" s="32"/>
      <c r="N438" s="13" t="str">
        <f>IF(F438="","",
MAX(0,
_xlfn.XLOOKUP(F438,purchase!D:D,purchase!#REF!,"")
-
SUMIFS(L:L,F:F,F438)))</f>
        <v/>
      </c>
      <c r="O438" s="13" t="str">
        <f t="shared" si="46"/>
        <v/>
      </c>
      <c r="P438" s="35" t="str">
        <f>_xlfn.SINGLE(IF(F438="","",_xlfn.XLOOKUP(F438,purchase!D:D,purchase!K:K,"")))</f>
        <v/>
      </c>
      <c r="Q438" s="29" t="str">
        <f t="shared" si="47"/>
        <v/>
      </c>
      <c r="R438" s="37" t="str">
        <f t="shared" si="48"/>
        <v/>
      </c>
    </row>
    <row r="439" spans="1:18" x14ac:dyDescent="0.35">
      <c r="A439" s="8">
        <v>435</v>
      </c>
      <c r="B439" s="9" t="str">
        <f t="shared" si="42"/>
        <v/>
      </c>
      <c r="C439" s="10"/>
      <c r="D439" s="9" t="str">
        <f>IF(F439="","",_xlfn.XLOOKUP(F439,purchase!D:D,purchase!#REF!,""))</f>
        <v/>
      </c>
      <c r="E439" s="9" t="str">
        <f>IF(F439="","",_xlfn.XLOOKUP(F439,purchase!D:D,purchase!B:B,""))</f>
        <v/>
      </c>
      <c r="F439" s="2"/>
      <c r="G439" s="4" t="str">
        <f t="shared" si="43"/>
        <v/>
      </c>
      <c r="H439" s="4" t="str">
        <f>IF(F439="","",_xlfn.XLOOKUP(F439,purchase!D:D,purchase!#REF!,""))</f>
        <v/>
      </c>
      <c r="I439" s="4" t="str">
        <f t="shared" si="44"/>
        <v/>
      </c>
      <c r="J439" s="4" t="str">
        <f t="shared" si="45"/>
        <v/>
      </c>
      <c r="K439" s="13" t="str">
        <f>_xlfn.SINGLE(IF(F439="","",_xlfn.XLOOKUP(F439,purchase!D:D,purchase!#REF!,"")))</f>
        <v/>
      </c>
      <c r="L439" s="2"/>
      <c r="M439" s="32"/>
      <c r="N439" s="13" t="str">
        <f>IF(F439="","",
MAX(0,
_xlfn.XLOOKUP(F439,purchase!D:D,purchase!#REF!,"")
-
SUMIFS(L:L,F:F,F439)))</f>
        <v/>
      </c>
      <c r="O439" s="13" t="str">
        <f t="shared" si="46"/>
        <v/>
      </c>
      <c r="P439" s="35" t="str">
        <f>_xlfn.SINGLE(IF(F439="","",_xlfn.XLOOKUP(F439,purchase!D:D,purchase!K:K,"")))</f>
        <v/>
      </c>
      <c r="Q439" s="29" t="str">
        <f t="shared" si="47"/>
        <v/>
      </c>
      <c r="R439" s="37" t="str">
        <f t="shared" si="48"/>
        <v/>
      </c>
    </row>
    <row r="440" spans="1:18" x14ac:dyDescent="0.35">
      <c r="A440" s="8">
        <v>436</v>
      </c>
      <c r="B440" s="9" t="str">
        <f t="shared" si="42"/>
        <v/>
      </c>
      <c r="C440" s="10"/>
      <c r="D440" s="9" t="str">
        <f>IF(F440="","",_xlfn.XLOOKUP(F440,purchase!D:D,purchase!#REF!,""))</f>
        <v/>
      </c>
      <c r="E440" s="9" t="str">
        <f>IF(F440="","",_xlfn.XLOOKUP(F440,purchase!D:D,purchase!B:B,""))</f>
        <v/>
      </c>
      <c r="F440" s="2"/>
      <c r="G440" s="4" t="str">
        <f t="shared" si="43"/>
        <v/>
      </c>
      <c r="H440" s="4" t="str">
        <f>IF(F440="","",_xlfn.XLOOKUP(F440,purchase!D:D,purchase!#REF!,""))</f>
        <v/>
      </c>
      <c r="I440" s="4" t="str">
        <f t="shared" si="44"/>
        <v/>
      </c>
      <c r="J440" s="4" t="str">
        <f t="shared" si="45"/>
        <v/>
      </c>
      <c r="K440" s="13" t="str">
        <f>_xlfn.SINGLE(IF(F440="","",_xlfn.XLOOKUP(F440,purchase!D:D,purchase!#REF!,"")))</f>
        <v/>
      </c>
      <c r="L440" s="2"/>
      <c r="M440" s="32"/>
      <c r="N440" s="13" t="str">
        <f>IF(F440="","",
MAX(0,
_xlfn.XLOOKUP(F440,purchase!D:D,purchase!#REF!,"")
-
SUMIFS(L:L,F:F,F440)))</f>
        <v/>
      </c>
      <c r="O440" s="13" t="str">
        <f t="shared" si="46"/>
        <v/>
      </c>
      <c r="P440" s="35" t="str">
        <f>_xlfn.SINGLE(IF(F440="","",_xlfn.XLOOKUP(F440,purchase!D:D,purchase!K:K,"")))</f>
        <v/>
      </c>
      <c r="Q440" s="29" t="str">
        <f t="shared" si="47"/>
        <v/>
      </c>
      <c r="R440" s="37" t="str">
        <f t="shared" si="48"/>
        <v/>
      </c>
    </row>
    <row r="441" spans="1:18" x14ac:dyDescent="0.35">
      <c r="A441" s="8">
        <v>437</v>
      </c>
      <c r="B441" s="9" t="str">
        <f t="shared" si="42"/>
        <v/>
      </c>
      <c r="C441" s="10"/>
      <c r="D441" s="9" t="str">
        <f>IF(F441="","",_xlfn.XLOOKUP(F441,purchase!D:D,purchase!#REF!,""))</f>
        <v/>
      </c>
      <c r="E441" s="9" t="str">
        <f>IF(F441="","",_xlfn.XLOOKUP(F441,purchase!D:D,purchase!B:B,""))</f>
        <v/>
      </c>
      <c r="F441" s="2"/>
      <c r="G441" s="4" t="str">
        <f t="shared" si="43"/>
        <v/>
      </c>
      <c r="H441" s="4" t="str">
        <f>IF(F441="","",_xlfn.XLOOKUP(F441,purchase!D:D,purchase!#REF!,""))</f>
        <v/>
      </c>
      <c r="I441" s="4" t="str">
        <f t="shared" si="44"/>
        <v/>
      </c>
      <c r="J441" s="4" t="str">
        <f t="shared" si="45"/>
        <v/>
      </c>
      <c r="K441" s="13" t="str">
        <f>_xlfn.SINGLE(IF(F441="","",_xlfn.XLOOKUP(F441,purchase!D:D,purchase!#REF!,"")))</f>
        <v/>
      </c>
      <c r="L441" s="2"/>
      <c r="M441" s="32"/>
      <c r="N441" s="13" t="str">
        <f>IF(F441="","",
MAX(0,
_xlfn.XLOOKUP(F441,purchase!D:D,purchase!#REF!,"")
-
SUMIFS(L:L,F:F,F441)))</f>
        <v/>
      </c>
      <c r="O441" s="13" t="str">
        <f t="shared" si="46"/>
        <v/>
      </c>
      <c r="P441" s="35" t="str">
        <f>_xlfn.SINGLE(IF(F441="","",_xlfn.XLOOKUP(F441,purchase!D:D,purchase!K:K,"")))</f>
        <v/>
      </c>
      <c r="Q441" s="29" t="str">
        <f t="shared" si="47"/>
        <v/>
      </c>
      <c r="R441" s="37" t="str">
        <f t="shared" si="48"/>
        <v/>
      </c>
    </row>
    <row r="442" spans="1:18" x14ac:dyDescent="0.35">
      <c r="A442" s="8">
        <v>438</v>
      </c>
      <c r="B442" s="9" t="str">
        <f t="shared" si="42"/>
        <v/>
      </c>
      <c r="C442" s="10"/>
      <c r="D442" s="9" t="str">
        <f>IF(F442="","",_xlfn.XLOOKUP(F442,purchase!D:D,purchase!#REF!,""))</f>
        <v/>
      </c>
      <c r="E442" s="9" t="str">
        <f>IF(F442="","",_xlfn.XLOOKUP(F442,purchase!D:D,purchase!B:B,""))</f>
        <v/>
      </c>
      <c r="F442" s="2"/>
      <c r="G442" s="4" t="str">
        <f t="shared" si="43"/>
        <v/>
      </c>
      <c r="H442" s="4" t="str">
        <f>IF(F442="","",_xlfn.XLOOKUP(F442,purchase!D:D,purchase!#REF!,""))</f>
        <v/>
      </c>
      <c r="I442" s="4" t="str">
        <f t="shared" si="44"/>
        <v/>
      </c>
      <c r="J442" s="4" t="str">
        <f t="shared" si="45"/>
        <v/>
      </c>
      <c r="K442" s="13" t="str">
        <f>_xlfn.SINGLE(IF(F442="","",_xlfn.XLOOKUP(F442,purchase!D:D,purchase!#REF!,"")))</f>
        <v/>
      </c>
      <c r="L442" s="2"/>
      <c r="M442" s="32"/>
      <c r="N442" s="13" t="str">
        <f>IF(F442="","",
MAX(0,
_xlfn.XLOOKUP(F442,purchase!D:D,purchase!#REF!,"")
-
SUMIFS(L:L,F:F,F442)))</f>
        <v/>
      </c>
      <c r="O442" s="13" t="str">
        <f t="shared" si="46"/>
        <v/>
      </c>
      <c r="P442" s="35" t="str">
        <f>_xlfn.SINGLE(IF(F442="","",_xlfn.XLOOKUP(F442,purchase!D:D,purchase!K:K,"")))</f>
        <v/>
      </c>
      <c r="Q442" s="29" t="str">
        <f t="shared" si="47"/>
        <v/>
      </c>
      <c r="R442" s="37" t="str">
        <f t="shared" si="48"/>
        <v/>
      </c>
    </row>
    <row r="443" spans="1:18" x14ac:dyDescent="0.35">
      <c r="A443" s="8">
        <v>439</v>
      </c>
      <c r="B443" s="9" t="str">
        <f t="shared" si="42"/>
        <v/>
      </c>
      <c r="C443" s="10"/>
      <c r="D443" s="9" t="str">
        <f>IF(F443="","",_xlfn.XLOOKUP(F443,purchase!D:D,purchase!#REF!,""))</f>
        <v/>
      </c>
      <c r="E443" s="9" t="str">
        <f>IF(F443="","",_xlfn.XLOOKUP(F443,purchase!D:D,purchase!B:B,""))</f>
        <v/>
      </c>
      <c r="F443" s="2"/>
      <c r="G443" s="4" t="str">
        <f t="shared" si="43"/>
        <v/>
      </c>
      <c r="H443" s="4" t="str">
        <f>IF(F443="","",_xlfn.XLOOKUP(F443,purchase!D:D,purchase!#REF!,""))</f>
        <v/>
      </c>
      <c r="I443" s="4" t="str">
        <f t="shared" si="44"/>
        <v/>
      </c>
      <c r="J443" s="4" t="str">
        <f t="shared" si="45"/>
        <v/>
      </c>
      <c r="K443" s="13" t="str">
        <f>_xlfn.SINGLE(IF(F443="","",_xlfn.XLOOKUP(F443,purchase!D:D,purchase!#REF!,"")))</f>
        <v/>
      </c>
      <c r="L443" s="2"/>
      <c r="M443" s="32"/>
      <c r="N443" s="13" t="str">
        <f>IF(F443="","",
MAX(0,
_xlfn.XLOOKUP(F443,purchase!D:D,purchase!#REF!,"")
-
SUMIFS(L:L,F:F,F443)))</f>
        <v/>
      </c>
      <c r="O443" s="13" t="str">
        <f t="shared" si="46"/>
        <v/>
      </c>
      <c r="P443" s="35" t="str">
        <f>_xlfn.SINGLE(IF(F443="","",_xlfn.XLOOKUP(F443,purchase!D:D,purchase!K:K,"")))</f>
        <v/>
      </c>
      <c r="Q443" s="29" t="str">
        <f t="shared" si="47"/>
        <v/>
      </c>
      <c r="R443" s="37" t="str">
        <f t="shared" si="48"/>
        <v/>
      </c>
    </row>
    <row r="444" spans="1:18" x14ac:dyDescent="0.35">
      <c r="A444" s="8">
        <v>440</v>
      </c>
      <c r="B444" s="9" t="str">
        <f t="shared" si="42"/>
        <v/>
      </c>
      <c r="C444" s="10"/>
      <c r="D444" s="9" t="str">
        <f>IF(F444="","",_xlfn.XLOOKUP(F444,purchase!D:D,purchase!#REF!,""))</f>
        <v/>
      </c>
      <c r="E444" s="9" t="str">
        <f>IF(F444="","",_xlfn.XLOOKUP(F444,purchase!D:D,purchase!B:B,""))</f>
        <v/>
      </c>
      <c r="F444" s="2"/>
      <c r="G444" s="4" t="str">
        <f t="shared" si="43"/>
        <v/>
      </c>
      <c r="H444" s="4" t="str">
        <f>IF(F444="","",_xlfn.XLOOKUP(F444,purchase!D:D,purchase!#REF!,""))</f>
        <v/>
      </c>
      <c r="I444" s="4" t="str">
        <f t="shared" si="44"/>
        <v/>
      </c>
      <c r="J444" s="4" t="str">
        <f t="shared" si="45"/>
        <v/>
      </c>
      <c r="K444" s="13" t="str">
        <f>_xlfn.SINGLE(IF(F444="","",_xlfn.XLOOKUP(F444,purchase!D:D,purchase!#REF!,"")))</f>
        <v/>
      </c>
      <c r="L444" s="2"/>
      <c r="M444" s="32"/>
      <c r="N444" s="13" t="str">
        <f>IF(F444="","",
MAX(0,
_xlfn.XLOOKUP(F444,purchase!D:D,purchase!#REF!,"")
-
SUMIFS(L:L,F:F,F444)))</f>
        <v/>
      </c>
      <c r="O444" s="13" t="str">
        <f t="shared" si="46"/>
        <v/>
      </c>
      <c r="P444" s="35" t="str">
        <f>_xlfn.SINGLE(IF(F444="","",_xlfn.XLOOKUP(F444,purchase!D:D,purchase!K:K,"")))</f>
        <v/>
      </c>
      <c r="Q444" s="29" t="str">
        <f t="shared" si="47"/>
        <v/>
      </c>
      <c r="R444" s="37" t="str">
        <f t="shared" si="48"/>
        <v/>
      </c>
    </row>
    <row r="445" spans="1:18" x14ac:dyDescent="0.35">
      <c r="A445" s="8">
        <v>441</v>
      </c>
      <c r="B445" s="9" t="str">
        <f t="shared" si="42"/>
        <v/>
      </c>
      <c r="C445" s="10"/>
      <c r="D445" s="9" t="str">
        <f>IF(F445="","",_xlfn.XLOOKUP(F445,purchase!D:D,purchase!#REF!,""))</f>
        <v/>
      </c>
      <c r="E445" s="9" t="str">
        <f>IF(F445="","",_xlfn.XLOOKUP(F445,purchase!D:D,purchase!B:B,""))</f>
        <v/>
      </c>
      <c r="F445" s="2"/>
      <c r="G445" s="4" t="str">
        <f t="shared" si="43"/>
        <v/>
      </c>
      <c r="H445" s="4" t="str">
        <f>IF(F445="","",_xlfn.XLOOKUP(F445,purchase!D:D,purchase!#REF!,""))</f>
        <v/>
      </c>
      <c r="I445" s="4" t="str">
        <f t="shared" si="44"/>
        <v/>
      </c>
      <c r="J445" s="4" t="str">
        <f t="shared" si="45"/>
        <v/>
      </c>
      <c r="K445" s="13" t="str">
        <f>_xlfn.SINGLE(IF(F445="","",_xlfn.XLOOKUP(F445,purchase!D:D,purchase!#REF!,"")))</f>
        <v/>
      </c>
      <c r="L445" s="2"/>
      <c r="M445" s="32"/>
      <c r="N445" s="13" t="str">
        <f>IF(F445="","",
MAX(0,
_xlfn.XLOOKUP(F445,purchase!D:D,purchase!#REF!,"")
-
SUMIFS(L:L,F:F,F445)))</f>
        <v/>
      </c>
      <c r="O445" s="13" t="str">
        <f t="shared" si="46"/>
        <v/>
      </c>
      <c r="P445" s="35" t="str">
        <f>_xlfn.SINGLE(IF(F445="","",_xlfn.XLOOKUP(F445,purchase!D:D,purchase!K:K,"")))</f>
        <v/>
      </c>
      <c r="Q445" s="29" t="str">
        <f t="shared" si="47"/>
        <v/>
      </c>
      <c r="R445" s="37" t="str">
        <f t="shared" si="48"/>
        <v/>
      </c>
    </row>
    <row r="446" spans="1:18" x14ac:dyDescent="0.35">
      <c r="A446" s="8">
        <v>442</v>
      </c>
      <c r="B446" s="9" t="str">
        <f t="shared" si="42"/>
        <v/>
      </c>
      <c r="C446" s="10"/>
      <c r="D446" s="9" t="str">
        <f>IF(F446="","",_xlfn.XLOOKUP(F446,purchase!D:D,purchase!#REF!,""))</f>
        <v/>
      </c>
      <c r="E446" s="9" t="str">
        <f>IF(F446="","",_xlfn.XLOOKUP(F446,purchase!D:D,purchase!B:B,""))</f>
        <v/>
      </c>
      <c r="F446" s="2"/>
      <c r="G446" s="4" t="str">
        <f t="shared" si="43"/>
        <v/>
      </c>
      <c r="H446" s="4" t="str">
        <f>IF(F446="","",_xlfn.XLOOKUP(F446,purchase!D:D,purchase!#REF!,""))</f>
        <v/>
      </c>
      <c r="I446" s="4" t="str">
        <f t="shared" si="44"/>
        <v/>
      </c>
      <c r="J446" s="4" t="str">
        <f t="shared" si="45"/>
        <v/>
      </c>
      <c r="K446" s="13" t="str">
        <f>_xlfn.SINGLE(IF(F446="","",_xlfn.XLOOKUP(F446,purchase!D:D,purchase!#REF!,"")))</f>
        <v/>
      </c>
      <c r="L446" s="2"/>
      <c r="M446" s="32"/>
      <c r="N446" s="13" t="str">
        <f>IF(F446="","",
MAX(0,
_xlfn.XLOOKUP(F446,purchase!D:D,purchase!#REF!,"")
-
SUMIFS(L:L,F:F,F446)))</f>
        <v/>
      </c>
      <c r="O446" s="13" t="str">
        <f t="shared" si="46"/>
        <v/>
      </c>
      <c r="P446" s="35" t="str">
        <f>_xlfn.SINGLE(IF(F446="","",_xlfn.XLOOKUP(F446,purchase!D:D,purchase!K:K,"")))</f>
        <v/>
      </c>
      <c r="Q446" s="29" t="str">
        <f t="shared" si="47"/>
        <v/>
      </c>
      <c r="R446" s="37" t="str">
        <f t="shared" si="48"/>
        <v/>
      </c>
    </row>
    <row r="447" spans="1:18" x14ac:dyDescent="0.35">
      <c r="A447" s="8">
        <v>443</v>
      </c>
      <c r="B447" s="9" t="str">
        <f t="shared" si="42"/>
        <v/>
      </c>
      <c r="C447" s="10"/>
      <c r="D447" s="9" t="str">
        <f>IF(F447="","",_xlfn.XLOOKUP(F447,purchase!D:D,purchase!#REF!,""))</f>
        <v/>
      </c>
      <c r="E447" s="9" t="str">
        <f>IF(F447="","",_xlfn.XLOOKUP(F447,purchase!D:D,purchase!B:B,""))</f>
        <v/>
      </c>
      <c r="F447" s="2"/>
      <c r="G447" s="4" t="str">
        <f t="shared" si="43"/>
        <v/>
      </c>
      <c r="H447" s="4" t="str">
        <f>IF(F447="","",_xlfn.XLOOKUP(F447,purchase!D:D,purchase!#REF!,""))</f>
        <v/>
      </c>
      <c r="I447" s="4" t="str">
        <f t="shared" si="44"/>
        <v/>
      </c>
      <c r="J447" s="4" t="str">
        <f t="shared" si="45"/>
        <v/>
      </c>
      <c r="K447" s="13" t="str">
        <f>_xlfn.SINGLE(IF(F447="","",_xlfn.XLOOKUP(F447,purchase!D:D,purchase!#REF!,"")))</f>
        <v/>
      </c>
      <c r="L447" s="2"/>
      <c r="M447" s="32"/>
      <c r="N447" s="13" t="str">
        <f>IF(F447="","",
MAX(0,
_xlfn.XLOOKUP(F447,purchase!D:D,purchase!#REF!,"")
-
SUMIFS(L:L,F:F,F447)))</f>
        <v/>
      </c>
      <c r="O447" s="13" t="str">
        <f t="shared" si="46"/>
        <v/>
      </c>
      <c r="P447" s="35" t="str">
        <f>_xlfn.SINGLE(IF(F447="","",_xlfn.XLOOKUP(F447,purchase!D:D,purchase!K:K,"")))</f>
        <v/>
      </c>
      <c r="Q447" s="29" t="str">
        <f t="shared" si="47"/>
        <v/>
      </c>
      <c r="R447" s="37" t="str">
        <f t="shared" si="48"/>
        <v/>
      </c>
    </row>
    <row r="448" spans="1:18" x14ac:dyDescent="0.35">
      <c r="A448" s="8">
        <v>444</v>
      </c>
      <c r="B448" s="9" t="str">
        <f t="shared" si="42"/>
        <v/>
      </c>
      <c r="C448" s="10"/>
      <c r="D448" s="9" t="str">
        <f>IF(F448="","",_xlfn.XLOOKUP(F448,purchase!D:D,purchase!#REF!,""))</f>
        <v/>
      </c>
      <c r="E448" s="9" t="str">
        <f>IF(F448="","",_xlfn.XLOOKUP(F448,purchase!D:D,purchase!B:B,""))</f>
        <v/>
      </c>
      <c r="F448" s="2"/>
      <c r="G448" s="4" t="str">
        <f t="shared" si="43"/>
        <v/>
      </c>
      <c r="H448" s="4" t="str">
        <f>IF(F448="","",_xlfn.XLOOKUP(F448,purchase!D:D,purchase!#REF!,""))</f>
        <v/>
      </c>
      <c r="I448" s="4" t="str">
        <f t="shared" si="44"/>
        <v/>
      </c>
      <c r="J448" s="4" t="str">
        <f t="shared" si="45"/>
        <v/>
      </c>
      <c r="K448" s="13" t="str">
        <f>_xlfn.SINGLE(IF(F448="","",_xlfn.XLOOKUP(F448,purchase!D:D,purchase!#REF!,"")))</f>
        <v/>
      </c>
      <c r="L448" s="2"/>
      <c r="M448" s="32"/>
      <c r="N448" s="13" t="str">
        <f>IF(F448="","",
MAX(0,
_xlfn.XLOOKUP(F448,purchase!D:D,purchase!#REF!,"")
-
SUMIFS(L:L,F:F,F448)))</f>
        <v/>
      </c>
      <c r="O448" s="13" t="str">
        <f t="shared" si="46"/>
        <v/>
      </c>
      <c r="P448" s="35" t="str">
        <f>_xlfn.SINGLE(IF(F448="","",_xlfn.XLOOKUP(F448,purchase!D:D,purchase!K:K,"")))</f>
        <v/>
      </c>
      <c r="Q448" s="29" t="str">
        <f t="shared" si="47"/>
        <v/>
      </c>
      <c r="R448" s="37" t="str">
        <f t="shared" si="48"/>
        <v/>
      </c>
    </row>
    <row r="449" spans="1:18" x14ac:dyDescent="0.35">
      <c r="A449" s="8">
        <v>445</v>
      </c>
      <c r="B449" s="9" t="str">
        <f t="shared" si="42"/>
        <v/>
      </c>
      <c r="C449" s="10"/>
      <c r="D449" s="9" t="str">
        <f>IF(F449="","",_xlfn.XLOOKUP(F449,purchase!D:D,purchase!#REF!,""))</f>
        <v/>
      </c>
      <c r="E449" s="9" t="str">
        <f>IF(F449="","",_xlfn.XLOOKUP(F449,purchase!D:D,purchase!B:B,""))</f>
        <v/>
      </c>
      <c r="F449" s="2"/>
      <c r="G449" s="4" t="str">
        <f t="shared" si="43"/>
        <v/>
      </c>
      <c r="H449" s="4" t="str">
        <f>IF(F449="","",_xlfn.XLOOKUP(F449,purchase!D:D,purchase!#REF!,""))</f>
        <v/>
      </c>
      <c r="I449" s="4" t="str">
        <f t="shared" si="44"/>
        <v/>
      </c>
      <c r="J449" s="4" t="str">
        <f t="shared" si="45"/>
        <v/>
      </c>
      <c r="K449" s="13" t="str">
        <f>_xlfn.SINGLE(IF(F449="","",_xlfn.XLOOKUP(F449,purchase!D:D,purchase!#REF!,"")))</f>
        <v/>
      </c>
      <c r="L449" s="2"/>
      <c r="M449" s="32"/>
      <c r="N449" s="13" t="str">
        <f>IF(F449="","",
MAX(0,
_xlfn.XLOOKUP(F449,purchase!D:D,purchase!#REF!,"")
-
SUMIFS(L:L,F:F,F449)))</f>
        <v/>
      </c>
      <c r="O449" s="13" t="str">
        <f t="shared" si="46"/>
        <v/>
      </c>
      <c r="P449" s="35" t="str">
        <f>_xlfn.SINGLE(IF(F449="","",_xlfn.XLOOKUP(F449,purchase!D:D,purchase!K:K,"")))</f>
        <v/>
      </c>
      <c r="Q449" s="29" t="str">
        <f t="shared" si="47"/>
        <v/>
      </c>
      <c r="R449" s="37" t="str">
        <f t="shared" si="48"/>
        <v/>
      </c>
    </row>
    <row r="450" spans="1:18" x14ac:dyDescent="0.35">
      <c r="A450" s="8">
        <v>446</v>
      </c>
      <c r="B450" s="9" t="str">
        <f t="shared" si="42"/>
        <v/>
      </c>
      <c r="C450" s="10"/>
      <c r="D450" s="9" t="str">
        <f>IF(F450="","",_xlfn.XLOOKUP(F450,purchase!D:D,purchase!#REF!,""))</f>
        <v/>
      </c>
      <c r="E450" s="9" t="str">
        <f>IF(F450="","",_xlfn.XLOOKUP(F450,purchase!D:D,purchase!B:B,""))</f>
        <v/>
      </c>
      <c r="F450" s="2"/>
      <c r="G450" s="4" t="str">
        <f t="shared" si="43"/>
        <v/>
      </c>
      <c r="H450" s="4" t="str">
        <f>IF(F450="","",_xlfn.XLOOKUP(F450,purchase!D:D,purchase!#REF!,""))</f>
        <v/>
      </c>
      <c r="I450" s="4" t="str">
        <f t="shared" si="44"/>
        <v/>
      </c>
      <c r="J450" s="4" t="str">
        <f t="shared" si="45"/>
        <v/>
      </c>
      <c r="K450" s="13" t="str">
        <f>_xlfn.SINGLE(IF(F450="","",_xlfn.XLOOKUP(F450,purchase!D:D,purchase!#REF!,"")))</f>
        <v/>
      </c>
      <c r="L450" s="2"/>
      <c r="M450" s="32"/>
      <c r="N450" s="13" t="str">
        <f>IF(F450="","",
MAX(0,
_xlfn.XLOOKUP(F450,purchase!D:D,purchase!#REF!,"")
-
SUMIFS(L:L,F:F,F450)))</f>
        <v/>
      </c>
      <c r="O450" s="13" t="str">
        <f t="shared" si="46"/>
        <v/>
      </c>
      <c r="P450" s="35" t="str">
        <f>_xlfn.SINGLE(IF(F450="","",_xlfn.XLOOKUP(F450,purchase!D:D,purchase!K:K,"")))</f>
        <v/>
      </c>
      <c r="Q450" s="29" t="str">
        <f t="shared" si="47"/>
        <v/>
      </c>
      <c r="R450" s="37" t="str">
        <f t="shared" si="48"/>
        <v/>
      </c>
    </row>
    <row r="451" spans="1:18" x14ac:dyDescent="0.35">
      <c r="A451" s="8">
        <v>447</v>
      </c>
      <c r="B451" s="9" t="str">
        <f t="shared" si="42"/>
        <v/>
      </c>
      <c r="C451" s="10"/>
      <c r="D451" s="9" t="str">
        <f>IF(F451="","",_xlfn.XLOOKUP(F451,purchase!D:D,purchase!#REF!,""))</f>
        <v/>
      </c>
      <c r="E451" s="9" t="str">
        <f>IF(F451="","",_xlfn.XLOOKUP(F451,purchase!D:D,purchase!B:B,""))</f>
        <v/>
      </c>
      <c r="F451" s="2"/>
      <c r="G451" s="4" t="str">
        <f t="shared" si="43"/>
        <v/>
      </c>
      <c r="H451" s="4" t="str">
        <f>IF(F451="","",_xlfn.XLOOKUP(F451,purchase!D:D,purchase!#REF!,""))</f>
        <v/>
      </c>
      <c r="I451" s="4" t="str">
        <f t="shared" si="44"/>
        <v/>
      </c>
      <c r="J451" s="4" t="str">
        <f t="shared" si="45"/>
        <v/>
      </c>
      <c r="K451" s="13" t="str">
        <f>_xlfn.SINGLE(IF(F451="","",_xlfn.XLOOKUP(F451,purchase!D:D,purchase!#REF!,"")))</f>
        <v/>
      </c>
      <c r="L451" s="2"/>
      <c r="M451" s="32"/>
      <c r="N451" s="13" t="str">
        <f>IF(F451="","",
MAX(0,
_xlfn.XLOOKUP(F451,purchase!D:D,purchase!#REF!,"")
-
SUMIFS(L:L,F:F,F451)))</f>
        <v/>
      </c>
      <c r="O451" s="13" t="str">
        <f t="shared" si="46"/>
        <v/>
      </c>
      <c r="P451" s="35" t="str">
        <f>_xlfn.SINGLE(IF(F451="","",_xlfn.XLOOKUP(F451,purchase!D:D,purchase!K:K,"")))</f>
        <v/>
      </c>
      <c r="Q451" s="29" t="str">
        <f t="shared" si="47"/>
        <v/>
      </c>
      <c r="R451" s="37" t="str">
        <f t="shared" si="48"/>
        <v/>
      </c>
    </row>
    <row r="452" spans="1:18" x14ac:dyDescent="0.35">
      <c r="A452" s="8">
        <v>448</v>
      </c>
      <c r="B452" s="9" t="str">
        <f t="shared" si="42"/>
        <v/>
      </c>
      <c r="C452" s="10"/>
      <c r="D452" s="9" t="str">
        <f>IF(F452="","",_xlfn.XLOOKUP(F452,purchase!D:D,purchase!#REF!,""))</f>
        <v/>
      </c>
      <c r="E452" s="9" t="str">
        <f>IF(F452="","",_xlfn.XLOOKUP(F452,purchase!D:D,purchase!B:B,""))</f>
        <v/>
      </c>
      <c r="F452" s="2"/>
      <c r="G452" s="4" t="str">
        <f t="shared" si="43"/>
        <v/>
      </c>
      <c r="H452" s="4" t="str">
        <f>IF(F452="","",_xlfn.XLOOKUP(F452,purchase!D:D,purchase!#REF!,""))</f>
        <v/>
      </c>
      <c r="I452" s="4" t="str">
        <f t="shared" si="44"/>
        <v/>
      </c>
      <c r="J452" s="4" t="str">
        <f t="shared" si="45"/>
        <v/>
      </c>
      <c r="K452" s="13" t="str">
        <f>_xlfn.SINGLE(IF(F452="","",_xlfn.XLOOKUP(F452,purchase!D:D,purchase!#REF!,"")))</f>
        <v/>
      </c>
      <c r="L452" s="2"/>
      <c r="M452" s="32"/>
      <c r="N452" s="13" t="str">
        <f>IF(F452="","",
MAX(0,
_xlfn.XLOOKUP(F452,purchase!D:D,purchase!#REF!,"")
-
SUMIFS(L:L,F:F,F452)))</f>
        <v/>
      </c>
      <c r="O452" s="13" t="str">
        <f t="shared" si="46"/>
        <v/>
      </c>
      <c r="P452" s="35" t="str">
        <f>_xlfn.SINGLE(IF(F452="","",_xlfn.XLOOKUP(F452,purchase!D:D,purchase!K:K,"")))</f>
        <v/>
      </c>
      <c r="Q452" s="29" t="str">
        <f t="shared" si="47"/>
        <v/>
      </c>
      <c r="R452" s="37" t="str">
        <f t="shared" si="48"/>
        <v/>
      </c>
    </row>
    <row r="453" spans="1:18" x14ac:dyDescent="0.35">
      <c r="A453" s="8">
        <v>449</v>
      </c>
      <c r="B453" s="9" t="str">
        <f t="shared" ref="B453:B516" si="49">IF(OR(C453="",F453=""),"",
"PRD-" &amp;
TEXT(DAY(C453),"00") &amp;
CHOOSE(MONTH(C453),"A","B","C","D","E","F","G","H","I","J","K","L") &amp;
TEXT(YEAR(C453),"00") &amp;
"-" &amp;
RIGHT(F453,4))</f>
        <v/>
      </c>
      <c r="C453" s="10"/>
      <c r="D453" s="9" t="str">
        <f>IF(F453="","",_xlfn.XLOOKUP(F453,purchase!D:D,purchase!#REF!,""))</f>
        <v/>
      </c>
      <c r="E453" s="9" t="str">
        <f>IF(F453="","",_xlfn.XLOOKUP(F453,purchase!D:D,purchase!B:B,""))</f>
        <v/>
      </c>
      <c r="F453" s="2"/>
      <c r="G453" s="4" t="str">
        <f t="shared" ref="G453:G516" si="50">IF(H453="NRFC","Natural Rubber Field Coagulam","")</f>
        <v/>
      </c>
      <c r="H453" s="4" t="str">
        <f>IF(F453="","",_xlfn.XLOOKUP(F453,purchase!D:D,purchase!#REF!,""))</f>
        <v/>
      </c>
      <c r="I453" s="4" t="str">
        <f t="shared" ref="I453:I516" si="51">IF(J453="ISNR20","Natural Rubber-TSNR (ISNR-20)","")</f>
        <v/>
      </c>
      <c r="J453" s="4" t="str">
        <f t="shared" ref="J453:J516" si="52">IF(H453="NRFC","ISNR20","")</f>
        <v/>
      </c>
      <c r="K453" s="13" t="str">
        <f>_xlfn.SINGLE(IF(F453="","",_xlfn.XLOOKUP(F453,purchase!D:D,purchase!#REF!,"")))</f>
        <v/>
      </c>
      <c r="L453" s="2"/>
      <c r="M453" s="32"/>
      <c r="N453" s="13" t="str">
        <f>IF(F453="","",
MAX(0,
_xlfn.XLOOKUP(F453,purchase!D:D,purchase!#REF!,"")
-
SUMIFS(L:L,F:F,F453)))</f>
        <v/>
      </c>
      <c r="O453" s="13" t="str">
        <f t="shared" ref="O453:O516" si="53">IF(OR(L453="",M453=""),"",L453-M453)</f>
        <v/>
      </c>
      <c r="P453" s="35" t="str">
        <f>_xlfn.SINGLE(IF(F453="","",_xlfn.XLOOKUP(F453,purchase!D:D,purchase!K:K,"")))</f>
        <v/>
      </c>
      <c r="Q453" s="29" t="str">
        <f t="shared" ref="Q453:Q516" si="54">IF(OR(L453="",M453=""),"",M453/L453)</f>
        <v/>
      </c>
      <c r="R453" s="37" t="str">
        <f t="shared" ref="R453:R516" si="55">IF(OR(P453="",Q453=""),"",Q453-P453)</f>
        <v/>
      </c>
    </row>
    <row r="454" spans="1:18" x14ac:dyDescent="0.35">
      <c r="A454" s="8">
        <v>450</v>
      </c>
      <c r="B454" s="9" t="str">
        <f t="shared" si="49"/>
        <v/>
      </c>
      <c r="C454" s="10"/>
      <c r="D454" s="9" t="str">
        <f>IF(F454="","",_xlfn.XLOOKUP(F454,purchase!D:D,purchase!#REF!,""))</f>
        <v/>
      </c>
      <c r="E454" s="9" t="str">
        <f>IF(F454="","",_xlfn.XLOOKUP(F454,purchase!D:D,purchase!B:B,""))</f>
        <v/>
      </c>
      <c r="F454" s="2"/>
      <c r="G454" s="4" t="str">
        <f t="shared" si="50"/>
        <v/>
      </c>
      <c r="H454" s="4" t="str">
        <f>IF(F454="","",_xlfn.XLOOKUP(F454,purchase!D:D,purchase!#REF!,""))</f>
        <v/>
      </c>
      <c r="I454" s="4" t="str">
        <f t="shared" si="51"/>
        <v/>
      </c>
      <c r="J454" s="4" t="str">
        <f t="shared" si="52"/>
        <v/>
      </c>
      <c r="K454" s="13" t="str">
        <f>_xlfn.SINGLE(IF(F454="","",_xlfn.XLOOKUP(F454,purchase!D:D,purchase!#REF!,"")))</f>
        <v/>
      </c>
      <c r="L454" s="2"/>
      <c r="M454" s="32"/>
      <c r="N454" s="13" t="str">
        <f>IF(F454="","",
MAX(0,
_xlfn.XLOOKUP(F454,purchase!D:D,purchase!#REF!,"")
-
SUMIFS(L:L,F:F,F454)))</f>
        <v/>
      </c>
      <c r="O454" s="13" t="str">
        <f t="shared" si="53"/>
        <v/>
      </c>
      <c r="P454" s="35" t="str">
        <f>_xlfn.SINGLE(IF(F454="","",_xlfn.XLOOKUP(F454,purchase!D:D,purchase!K:K,"")))</f>
        <v/>
      </c>
      <c r="Q454" s="29" t="str">
        <f t="shared" si="54"/>
        <v/>
      </c>
      <c r="R454" s="37" t="str">
        <f t="shared" si="55"/>
        <v/>
      </c>
    </row>
    <row r="455" spans="1:18" x14ac:dyDescent="0.35">
      <c r="A455" s="8">
        <v>451</v>
      </c>
      <c r="B455" s="9" t="str">
        <f t="shared" si="49"/>
        <v/>
      </c>
      <c r="C455" s="10"/>
      <c r="D455" s="9" t="str">
        <f>IF(F455="","",_xlfn.XLOOKUP(F455,purchase!D:D,purchase!#REF!,""))</f>
        <v/>
      </c>
      <c r="E455" s="9" t="str">
        <f>IF(F455="","",_xlfn.XLOOKUP(F455,purchase!D:D,purchase!B:B,""))</f>
        <v/>
      </c>
      <c r="F455" s="2"/>
      <c r="G455" s="4" t="str">
        <f t="shared" si="50"/>
        <v/>
      </c>
      <c r="H455" s="4" t="str">
        <f>IF(F455="","",_xlfn.XLOOKUP(F455,purchase!D:D,purchase!#REF!,""))</f>
        <v/>
      </c>
      <c r="I455" s="4" t="str">
        <f t="shared" si="51"/>
        <v/>
      </c>
      <c r="J455" s="4" t="str">
        <f t="shared" si="52"/>
        <v/>
      </c>
      <c r="K455" s="13" t="str">
        <f>_xlfn.SINGLE(IF(F455="","",_xlfn.XLOOKUP(F455,purchase!D:D,purchase!#REF!,"")))</f>
        <v/>
      </c>
      <c r="L455" s="2"/>
      <c r="M455" s="32"/>
      <c r="N455" s="13" t="str">
        <f>IF(F455="","",
MAX(0,
_xlfn.XLOOKUP(F455,purchase!D:D,purchase!#REF!,"")
-
SUMIFS(L:L,F:F,F455)))</f>
        <v/>
      </c>
      <c r="O455" s="13" t="str">
        <f t="shared" si="53"/>
        <v/>
      </c>
      <c r="P455" s="35" t="str">
        <f>_xlfn.SINGLE(IF(F455="","",_xlfn.XLOOKUP(F455,purchase!D:D,purchase!K:K,"")))</f>
        <v/>
      </c>
      <c r="Q455" s="29" t="str">
        <f t="shared" si="54"/>
        <v/>
      </c>
      <c r="R455" s="37" t="str">
        <f t="shared" si="55"/>
        <v/>
      </c>
    </row>
    <row r="456" spans="1:18" x14ac:dyDescent="0.35">
      <c r="A456" s="8">
        <v>452</v>
      </c>
      <c r="B456" s="9" t="str">
        <f t="shared" si="49"/>
        <v/>
      </c>
      <c r="C456" s="10"/>
      <c r="D456" s="9" t="str">
        <f>IF(F456="","",_xlfn.XLOOKUP(F456,purchase!D:D,purchase!#REF!,""))</f>
        <v/>
      </c>
      <c r="E456" s="9" t="str">
        <f>IF(F456="","",_xlfn.XLOOKUP(F456,purchase!D:D,purchase!B:B,""))</f>
        <v/>
      </c>
      <c r="F456" s="2"/>
      <c r="G456" s="4" t="str">
        <f t="shared" si="50"/>
        <v/>
      </c>
      <c r="H456" s="4" t="str">
        <f>IF(F456="","",_xlfn.XLOOKUP(F456,purchase!D:D,purchase!#REF!,""))</f>
        <v/>
      </c>
      <c r="I456" s="4" t="str">
        <f t="shared" si="51"/>
        <v/>
      </c>
      <c r="J456" s="4" t="str">
        <f t="shared" si="52"/>
        <v/>
      </c>
      <c r="K456" s="13" t="str">
        <f>_xlfn.SINGLE(IF(F456="","",_xlfn.XLOOKUP(F456,purchase!D:D,purchase!#REF!,"")))</f>
        <v/>
      </c>
      <c r="L456" s="2"/>
      <c r="M456" s="32"/>
      <c r="N456" s="13" t="str">
        <f>IF(F456="","",
MAX(0,
_xlfn.XLOOKUP(F456,purchase!D:D,purchase!#REF!,"")
-
SUMIFS(L:L,F:F,F456)))</f>
        <v/>
      </c>
      <c r="O456" s="13" t="str">
        <f t="shared" si="53"/>
        <v/>
      </c>
      <c r="P456" s="35" t="str">
        <f>_xlfn.SINGLE(IF(F456="","",_xlfn.XLOOKUP(F456,purchase!D:D,purchase!K:K,"")))</f>
        <v/>
      </c>
      <c r="Q456" s="29" t="str">
        <f t="shared" si="54"/>
        <v/>
      </c>
      <c r="R456" s="37" t="str">
        <f t="shared" si="55"/>
        <v/>
      </c>
    </row>
    <row r="457" spans="1:18" x14ac:dyDescent="0.35">
      <c r="A457" s="8">
        <v>453</v>
      </c>
      <c r="B457" s="9" t="str">
        <f t="shared" si="49"/>
        <v/>
      </c>
      <c r="C457" s="10"/>
      <c r="D457" s="9" t="str">
        <f>IF(F457="","",_xlfn.XLOOKUP(F457,purchase!D:D,purchase!#REF!,""))</f>
        <v/>
      </c>
      <c r="E457" s="9" t="str">
        <f>IF(F457="","",_xlfn.XLOOKUP(F457,purchase!D:D,purchase!B:B,""))</f>
        <v/>
      </c>
      <c r="F457" s="2"/>
      <c r="G457" s="4" t="str">
        <f t="shared" si="50"/>
        <v/>
      </c>
      <c r="H457" s="4" t="str">
        <f>IF(F457="","",_xlfn.XLOOKUP(F457,purchase!D:D,purchase!#REF!,""))</f>
        <v/>
      </c>
      <c r="I457" s="4" t="str">
        <f t="shared" si="51"/>
        <v/>
      </c>
      <c r="J457" s="4" t="str">
        <f t="shared" si="52"/>
        <v/>
      </c>
      <c r="K457" s="13" t="str">
        <f>_xlfn.SINGLE(IF(F457="","",_xlfn.XLOOKUP(F457,purchase!D:D,purchase!#REF!,"")))</f>
        <v/>
      </c>
      <c r="L457" s="2"/>
      <c r="M457" s="32"/>
      <c r="N457" s="13" t="str">
        <f>IF(F457="","",
MAX(0,
_xlfn.XLOOKUP(F457,purchase!D:D,purchase!#REF!,"")
-
SUMIFS(L:L,F:F,F457)))</f>
        <v/>
      </c>
      <c r="O457" s="13" t="str">
        <f t="shared" si="53"/>
        <v/>
      </c>
      <c r="P457" s="35" t="str">
        <f>_xlfn.SINGLE(IF(F457="","",_xlfn.XLOOKUP(F457,purchase!D:D,purchase!K:K,"")))</f>
        <v/>
      </c>
      <c r="Q457" s="29" t="str">
        <f t="shared" si="54"/>
        <v/>
      </c>
      <c r="R457" s="37" t="str">
        <f t="shared" si="55"/>
        <v/>
      </c>
    </row>
    <row r="458" spans="1:18" x14ac:dyDescent="0.35">
      <c r="A458" s="8">
        <v>454</v>
      </c>
      <c r="B458" s="9" t="str">
        <f t="shared" si="49"/>
        <v/>
      </c>
      <c r="C458" s="10"/>
      <c r="D458" s="9" t="str">
        <f>IF(F458="","",_xlfn.XLOOKUP(F458,purchase!D:D,purchase!#REF!,""))</f>
        <v/>
      </c>
      <c r="E458" s="9" t="str">
        <f>IF(F458="","",_xlfn.XLOOKUP(F458,purchase!D:D,purchase!B:B,""))</f>
        <v/>
      </c>
      <c r="F458" s="2"/>
      <c r="G458" s="4" t="str">
        <f t="shared" si="50"/>
        <v/>
      </c>
      <c r="H458" s="4" t="str">
        <f>IF(F458="","",_xlfn.XLOOKUP(F458,purchase!D:D,purchase!#REF!,""))</f>
        <v/>
      </c>
      <c r="I458" s="4" t="str">
        <f t="shared" si="51"/>
        <v/>
      </c>
      <c r="J458" s="4" t="str">
        <f t="shared" si="52"/>
        <v/>
      </c>
      <c r="K458" s="13" t="str">
        <f>_xlfn.SINGLE(IF(F458="","",_xlfn.XLOOKUP(F458,purchase!D:D,purchase!#REF!,"")))</f>
        <v/>
      </c>
      <c r="L458" s="2"/>
      <c r="M458" s="32"/>
      <c r="N458" s="13" t="str">
        <f>IF(F458="","",
MAX(0,
_xlfn.XLOOKUP(F458,purchase!D:D,purchase!#REF!,"")
-
SUMIFS(L:L,F:F,F458)))</f>
        <v/>
      </c>
      <c r="O458" s="13" t="str">
        <f t="shared" si="53"/>
        <v/>
      </c>
      <c r="P458" s="35" t="str">
        <f>_xlfn.SINGLE(IF(F458="","",_xlfn.XLOOKUP(F458,purchase!D:D,purchase!K:K,"")))</f>
        <v/>
      </c>
      <c r="Q458" s="29" t="str">
        <f t="shared" si="54"/>
        <v/>
      </c>
      <c r="R458" s="37" t="str">
        <f t="shared" si="55"/>
        <v/>
      </c>
    </row>
    <row r="459" spans="1:18" x14ac:dyDescent="0.35">
      <c r="A459" s="8">
        <v>455</v>
      </c>
      <c r="B459" s="9" t="str">
        <f t="shared" si="49"/>
        <v/>
      </c>
      <c r="C459" s="10"/>
      <c r="D459" s="9" t="str">
        <f>IF(F459="","",_xlfn.XLOOKUP(F459,purchase!D:D,purchase!#REF!,""))</f>
        <v/>
      </c>
      <c r="E459" s="9" t="str">
        <f>IF(F459="","",_xlfn.XLOOKUP(F459,purchase!D:D,purchase!B:B,""))</f>
        <v/>
      </c>
      <c r="F459" s="2"/>
      <c r="G459" s="4" t="str">
        <f t="shared" si="50"/>
        <v/>
      </c>
      <c r="H459" s="4" t="str">
        <f>IF(F459="","",_xlfn.XLOOKUP(F459,purchase!D:D,purchase!#REF!,""))</f>
        <v/>
      </c>
      <c r="I459" s="4" t="str">
        <f t="shared" si="51"/>
        <v/>
      </c>
      <c r="J459" s="4" t="str">
        <f t="shared" si="52"/>
        <v/>
      </c>
      <c r="K459" s="13" t="str">
        <f>_xlfn.SINGLE(IF(F459="","",_xlfn.XLOOKUP(F459,purchase!D:D,purchase!#REF!,"")))</f>
        <v/>
      </c>
      <c r="L459" s="2"/>
      <c r="M459" s="32"/>
      <c r="N459" s="13" t="str">
        <f>IF(F459="","",
MAX(0,
_xlfn.XLOOKUP(F459,purchase!D:D,purchase!#REF!,"")
-
SUMIFS(L:L,F:F,F459)))</f>
        <v/>
      </c>
      <c r="O459" s="13" t="str">
        <f t="shared" si="53"/>
        <v/>
      </c>
      <c r="P459" s="35" t="str">
        <f>_xlfn.SINGLE(IF(F459="","",_xlfn.XLOOKUP(F459,purchase!D:D,purchase!K:K,"")))</f>
        <v/>
      </c>
      <c r="Q459" s="29" t="str">
        <f t="shared" si="54"/>
        <v/>
      </c>
      <c r="R459" s="37" t="str">
        <f t="shared" si="55"/>
        <v/>
      </c>
    </row>
    <row r="460" spans="1:18" x14ac:dyDescent="0.35">
      <c r="A460" s="8">
        <v>456</v>
      </c>
      <c r="B460" s="9" t="str">
        <f t="shared" si="49"/>
        <v/>
      </c>
      <c r="C460" s="10"/>
      <c r="D460" s="9" t="str">
        <f>IF(F460="","",_xlfn.XLOOKUP(F460,purchase!D:D,purchase!#REF!,""))</f>
        <v/>
      </c>
      <c r="E460" s="9" t="str">
        <f>IF(F460="","",_xlfn.XLOOKUP(F460,purchase!D:D,purchase!B:B,""))</f>
        <v/>
      </c>
      <c r="F460" s="2"/>
      <c r="G460" s="4" t="str">
        <f t="shared" si="50"/>
        <v/>
      </c>
      <c r="H460" s="4" t="str">
        <f>IF(F460="","",_xlfn.XLOOKUP(F460,purchase!D:D,purchase!#REF!,""))</f>
        <v/>
      </c>
      <c r="I460" s="4" t="str">
        <f t="shared" si="51"/>
        <v/>
      </c>
      <c r="J460" s="4" t="str">
        <f t="shared" si="52"/>
        <v/>
      </c>
      <c r="K460" s="13" t="str">
        <f>_xlfn.SINGLE(IF(F460="","",_xlfn.XLOOKUP(F460,purchase!D:D,purchase!#REF!,"")))</f>
        <v/>
      </c>
      <c r="L460" s="2"/>
      <c r="M460" s="32"/>
      <c r="N460" s="13" t="str">
        <f>IF(F460="","",
MAX(0,
_xlfn.XLOOKUP(F460,purchase!D:D,purchase!#REF!,"")
-
SUMIFS(L:L,F:F,F460)))</f>
        <v/>
      </c>
      <c r="O460" s="13" t="str">
        <f t="shared" si="53"/>
        <v/>
      </c>
      <c r="P460" s="35" t="str">
        <f>_xlfn.SINGLE(IF(F460="","",_xlfn.XLOOKUP(F460,purchase!D:D,purchase!K:K,"")))</f>
        <v/>
      </c>
      <c r="Q460" s="29" t="str">
        <f t="shared" si="54"/>
        <v/>
      </c>
      <c r="R460" s="37" t="str">
        <f t="shared" si="55"/>
        <v/>
      </c>
    </row>
    <row r="461" spans="1:18" x14ac:dyDescent="0.35">
      <c r="A461" s="8">
        <v>457</v>
      </c>
      <c r="B461" s="9" t="str">
        <f t="shared" si="49"/>
        <v/>
      </c>
      <c r="C461" s="10"/>
      <c r="D461" s="9" t="str">
        <f>IF(F461="","",_xlfn.XLOOKUP(F461,purchase!D:D,purchase!#REF!,""))</f>
        <v/>
      </c>
      <c r="E461" s="9" t="str">
        <f>IF(F461="","",_xlfn.XLOOKUP(F461,purchase!D:D,purchase!B:B,""))</f>
        <v/>
      </c>
      <c r="F461" s="2"/>
      <c r="G461" s="4" t="str">
        <f t="shared" si="50"/>
        <v/>
      </c>
      <c r="H461" s="4" t="str">
        <f>IF(F461="","",_xlfn.XLOOKUP(F461,purchase!D:D,purchase!#REF!,""))</f>
        <v/>
      </c>
      <c r="I461" s="4" t="str">
        <f t="shared" si="51"/>
        <v/>
      </c>
      <c r="J461" s="4" t="str">
        <f t="shared" si="52"/>
        <v/>
      </c>
      <c r="K461" s="13" t="str">
        <f>_xlfn.SINGLE(IF(F461="","",_xlfn.XLOOKUP(F461,purchase!D:D,purchase!#REF!,"")))</f>
        <v/>
      </c>
      <c r="L461" s="2"/>
      <c r="M461" s="32"/>
      <c r="N461" s="13" t="str">
        <f>IF(F461="","",
MAX(0,
_xlfn.XLOOKUP(F461,purchase!D:D,purchase!#REF!,"")
-
SUMIFS(L:L,F:F,F461)))</f>
        <v/>
      </c>
      <c r="O461" s="13" t="str">
        <f t="shared" si="53"/>
        <v/>
      </c>
      <c r="P461" s="35" t="str">
        <f>_xlfn.SINGLE(IF(F461="","",_xlfn.XLOOKUP(F461,purchase!D:D,purchase!K:K,"")))</f>
        <v/>
      </c>
      <c r="Q461" s="29" t="str">
        <f t="shared" si="54"/>
        <v/>
      </c>
      <c r="R461" s="37" t="str">
        <f t="shared" si="55"/>
        <v/>
      </c>
    </row>
    <row r="462" spans="1:18" x14ac:dyDescent="0.35">
      <c r="A462" s="8">
        <v>458</v>
      </c>
      <c r="B462" s="9" t="str">
        <f t="shared" si="49"/>
        <v/>
      </c>
      <c r="C462" s="10"/>
      <c r="D462" s="9" t="str">
        <f>IF(F462="","",_xlfn.XLOOKUP(F462,purchase!D:D,purchase!#REF!,""))</f>
        <v/>
      </c>
      <c r="E462" s="9" t="str">
        <f>IF(F462="","",_xlfn.XLOOKUP(F462,purchase!D:D,purchase!B:B,""))</f>
        <v/>
      </c>
      <c r="F462" s="2"/>
      <c r="G462" s="4" t="str">
        <f t="shared" si="50"/>
        <v/>
      </c>
      <c r="H462" s="4" t="str">
        <f>IF(F462="","",_xlfn.XLOOKUP(F462,purchase!D:D,purchase!#REF!,""))</f>
        <v/>
      </c>
      <c r="I462" s="4" t="str">
        <f t="shared" si="51"/>
        <v/>
      </c>
      <c r="J462" s="4" t="str">
        <f t="shared" si="52"/>
        <v/>
      </c>
      <c r="K462" s="13" t="str">
        <f>_xlfn.SINGLE(IF(F462="","",_xlfn.XLOOKUP(F462,purchase!D:D,purchase!#REF!,"")))</f>
        <v/>
      </c>
      <c r="L462" s="2"/>
      <c r="M462" s="32"/>
      <c r="N462" s="13" t="str">
        <f>IF(F462="","",
MAX(0,
_xlfn.XLOOKUP(F462,purchase!D:D,purchase!#REF!,"")
-
SUMIFS(L:L,F:F,F462)))</f>
        <v/>
      </c>
      <c r="O462" s="13" t="str">
        <f t="shared" si="53"/>
        <v/>
      </c>
      <c r="P462" s="35" t="str">
        <f>_xlfn.SINGLE(IF(F462="","",_xlfn.XLOOKUP(F462,purchase!D:D,purchase!K:K,"")))</f>
        <v/>
      </c>
      <c r="Q462" s="29" t="str">
        <f t="shared" si="54"/>
        <v/>
      </c>
      <c r="R462" s="37" t="str">
        <f t="shared" si="55"/>
        <v/>
      </c>
    </row>
    <row r="463" spans="1:18" x14ac:dyDescent="0.35">
      <c r="A463" s="8">
        <v>459</v>
      </c>
      <c r="B463" s="9" t="str">
        <f t="shared" si="49"/>
        <v/>
      </c>
      <c r="C463" s="10"/>
      <c r="D463" s="9" t="str">
        <f>IF(F463="","",_xlfn.XLOOKUP(F463,purchase!D:D,purchase!#REF!,""))</f>
        <v/>
      </c>
      <c r="E463" s="9" t="str">
        <f>IF(F463="","",_xlfn.XLOOKUP(F463,purchase!D:D,purchase!B:B,""))</f>
        <v/>
      </c>
      <c r="F463" s="2"/>
      <c r="G463" s="4" t="str">
        <f t="shared" si="50"/>
        <v/>
      </c>
      <c r="H463" s="4" t="str">
        <f>IF(F463="","",_xlfn.XLOOKUP(F463,purchase!D:D,purchase!#REF!,""))</f>
        <v/>
      </c>
      <c r="I463" s="4" t="str">
        <f t="shared" si="51"/>
        <v/>
      </c>
      <c r="J463" s="4" t="str">
        <f t="shared" si="52"/>
        <v/>
      </c>
      <c r="K463" s="13" t="str">
        <f>_xlfn.SINGLE(IF(F463="","",_xlfn.XLOOKUP(F463,purchase!D:D,purchase!#REF!,"")))</f>
        <v/>
      </c>
      <c r="L463" s="2"/>
      <c r="M463" s="32"/>
      <c r="N463" s="13" t="str">
        <f>IF(F463="","",
MAX(0,
_xlfn.XLOOKUP(F463,purchase!D:D,purchase!#REF!,"")
-
SUMIFS(L:L,F:F,F463)))</f>
        <v/>
      </c>
      <c r="O463" s="13" t="str">
        <f t="shared" si="53"/>
        <v/>
      </c>
      <c r="P463" s="35" t="str">
        <f>_xlfn.SINGLE(IF(F463="","",_xlfn.XLOOKUP(F463,purchase!D:D,purchase!K:K,"")))</f>
        <v/>
      </c>
      <c r="Q463" s="29" t="str">
        <f t="shared" si="54"/>
        <v/>
      </c>
      <c r="R463" s="37" t="str">
        <f t="shared" si="55"/>
        <v/>
      </c>
    </row>
    <row r="464" spans="1:18" x14ac:dyDescent="0.35">
      <c r="A464" s="8">
        <v>460</v>
      </c>
      <c r="B464" s="9" t="str">
        <f t="shared" si="49"/>
        <v/>
      </c>
      <c r="C464" s="10"/>
      <c r="D464" s="9" t="str">
        <f>IF(F464="","",_xlfn.XLOOKUP(F464,purchase!D:D,purchase!#REF!,""))</f>
        <v/>
      </c>
      <c r="E464" s="9" t="str">
        <f>IF(F464="","",_xlfn.XLOOKUP(F464,purchase!D:D,purchase!B:B,""))</f>
        <v/>
      </c>
      <c r="F464" s="2"/>
      <c r="G464" s="4" t="str">
        <f t="shared" si="50"/>
        <v/>
      </c>
      <c r="H464" s="4" t="str">
        <f>IF(F464="","",_xlfn.XLOOKUP(F464,purchase!D:D,purchase!#REF!,""))</f>
        <v/>
      </c>
      <c r="I464" s="4" t="str">
        <f t="shared" si="51"/>
        <v/>
      </c>
      <c r="J464" s="4" t="str">
        <f t="shared" si="52"/>
        <v/>
      </c>
      <c r="K464" s="13" t="str">
        <f>_xlfn.SINGLE(IF(F464="","",_xlfn.XLOOKUP(F464,purchase!D:D,purchase!#REF!,"")))</f>
        <v/>
      </c>
      <c r="L464" s="2"/>
      <c r="M464" s="32"/>
      <c r="N464" s="13" t="str">
        <f>IF(F464="","",
MAX(0,
_xlfn.XLOOKUP(F464,purchase!D:D,purchase!#REF!,"")
-
SUMIFS(L:L,F:F,F464)))</f>
        <v/>
      </c>
      <c r="O464" s="13" t="str">
        <f t="shared" si="53"/>
        <v/>
      </c>
      <c r="P464" s="35" t="str">
        <f>_xlfn.SINGLE(IF(F464="","",_xlfn.XLOOKUP(F464,purchase!D:D,purchase!K:K,"")))</f>
        <v/>
      </c>
      <c r="Q464" s="29" t="str">
        <f t="shared" si="54"/>
        <v/>
      </c>
      <c r="R464" s="37" t="str">
        <f t="shared" si="55"/>
        <v/>
      </c>
    </row>
    <row r="465" spans="1:18" x14ac:dyDescent="0.35">
      <c r="A465" s="8">
        <v>461</v>
      </c>
      <c r="B465" s="9" t="str">
        <f t="shared" si="49"/>
        <v/>
      </c>
      <c r="C465" s="10"/>
      <c r="D465" s="9" t="str">
        <f>IF(F465="","",_xlfn.XLOOKUP(F465,purchase!D:D,purchase!#REF!,""))</f>
        <v/>
      </c>
      <c r="E465" s="9" t="str">
        <f>IF(F465="","",_xlfn.XLOOKUP(F465,purchase!D:D,purchase!B:B,""))</f>
        <v/>
      </c>
      <c r="F465" s="2"/>
      <c r="G465" s="4" t="str">
        <f t="shared" si="50"/>
        <v/>
      </c>
      <c r="H465" s="4" t="str">
        <f>IF(F465="","",_xlfn.XLOOKUP(F465,purchase!D:D,purchase!#REF!,""))</f>
        <v/>
      </c>
      <c r="I465" s="4" t="str">
        <f t="shared" si="51"/>
        <v/>
      </c>
      <c r="J465" s="4" t="str">
        <f t="shared" si="52"/>
        <v/>
      </c>
      <c r="K465" s="13" t="str">
        <f>_xlfn.SINGLE(IF(F465="","",_xlfn.XLOOKUP(F465,purchase!D:D,purchase!#REF!,"")))</f>
        <v/>
      </c>
      <c r="L465" s="2"/>
      <c r="M465" s="32"/>
      <c r="N465" s="13" t="str">
        <f>IF(F465="","",
MAX(0,
_xlfn.XLOOKUP(F465,purchase!D:D,purchase!#REF!,"")
-
SUMIFS(L:L,F:F,F465)))</f>
        <v/>
      </c>
      <c r="O465" s="13" t="str">
        <f t="shared" si="53"/>
        <v/>
      </c>
      <c r="P465" s="35" t="str">
        <f>_xlfn.SINGLE(IF(F465="","",_xlfn.XLOOKUP(F465,purchase!D:D,purchase!K:K,"")))</f>
        <v/>
      </c>
      <c r="Q465" s="29" t="str">
        <f t="shared" si="54"/>
        <v/>
      </c>
      <c r="R465" s="37" t="str">
        <f t="shared" si="55"/>
        <v/>
      </c>
    </row>
    <row r="466" spans="1:18" x14ac:dyDescent="0.35">
      <c r="A466" s="8">
        <v>462</v>
      </c>
      <c r="B466" s="9" t="str">
        <f t="shared" si="49"/>
        <v/>
      </c>
      <c r="C466" s="10"/>
      <c r="D466" s="9" t="str">
        <f>IF(F466="","",_xlfn.XLOOKUP(F466,purchase!D:D,purchase!#REF!,""))</f>
        <v/>
      </c>
      <c r="E466" s="9" t="str">
        <f>IF(F466="","",_xlfn.XLOOKUP(F466,purchase!D:D,purchase!B:B,""))</f>
        <v/>
      </c>
      <c r="F466" s="2"/>
      <c r="G466" s="4" t="str">
        <f t="shared" si="50"/>
        <v/>
      </c>
      <c r="H466" s="4" t="str">
        <f>IF(F466="","",_xlfn.XLOOKUP(F466,purchase!D:D,purchase!#REF!,""))</f>
        <v/>
      </c>
      <c r="I466" s="4" t="str">
        <f t="shared" si="51"/>
        <v/>
      </c>
      <c r="J466" s="4" t="str">
        <f t="shared" si="52"/>
        <v/>
      </c>
      <c r="K466" s="13" t="str">
        <f>_xlfn.SINGLE(IF(F466="","",_xlfn.XLOOKUP(F466,purchase!D:D,purchase!#REF!,"")))</f>
        <v/>
      </c>
      <c r="L466" s="2"/>
      <c r="M466" s="32"/>
      <c r="N466" s="13" t="str">
        <f>IF(F466="","",
MAX(0,
_xlfn.XLOOKUP(F466,purchase!D:D,purchase!#REF!,"")
-
SUMIFS(L:L,F:F,F466)))</f>
        <v/>
      </c>
      <c r="O466" s="13" t="str">
        <f t="shared" si="53"/>
        <v/>
      </c>
      <c r="P466" s="35" t="str">
        <f>_xlfn.SINGLE(IF(F466="","",_xlfn.XLOOKUP(F466,purchase!D:D,purchase!K:K,"")))</f>
        <v/>
      </c>
      <c r="Q466" s="29" t="str">
        <f t="shared" si="54"/>
        <v/>
      </c>
      <c r="R466" s="37" t="str">
        <f t="shared" si="55"/>
        <v/>
      </c>
    </row>
    <row r="467" spans="1:18" x14ac:dyDescent="0.35">
      <c r="A467" s="8">
        <v>463</v>
      </c>
      <c r="B467" s="9" t="str">
        <f t="shared" si="49"/>
        <v/>
      </c>
      <c r="C467" s="10"/>
      <c r="D467" s="9" t="str">
        <f>IF(F467="","",_xlfn.XLOOKUP(F467,purchase!D:D,purchase!#REF!,""))</f>
        <v/>
      </c>
      <c r="E467" s="9" t="str">
        <f>IF(F467="","",_xlfn.XLOOKUP(F467,purchase!D:D,purchase!B:B,""))</f>
        <v/>
      </c>
      <c r="F467" s="2"/>
      <c r="G467" s="4" t="str">
        <f t="shared" si="50"/>
        <v/>
      </c>
      <c r="H467" s="4" t="str">
        <f>IF(F467="","",_xlfn.XLOOKUP(F467,purchase!D:D,purchase!#REF!,""))</f>
        <v/>
      </c>
      <c r="I467" s="4" t="str">
        <f t="shared" si="51"/>
        <v/>
      </c>
      <c r="J467" s="4" t="str">
        <f t="shared" si="52"/>
        <v/>
      </c>
      <c r="K467" s="13" t="str">
        <f>_xlfn.SINGLE(IF(F467="","",_xlfn.XLOOKUP(F467,purchase!D:D,purchase!#REF!,"")))</f>
        <v/>
      </c>
      <c r="L467" s="2"/>
      <c r="M467" s="32"/>
      <c r="N467" s="13" t="str">
        <f>IF(F467="","",
MAX(0,
_xlfn.XLOOKUP(F467,purchase!D:D,purchase!#REF!,"")
-
SUMIFS(L:L,F:F,F467)))</f>
        <v/>
      </c>
      <c r="O467" s="13" t="str">
        <f t="shared" si="53"/>
        <v/>
      </c>
      <c r="P467" s="35" t="str">
        <f>_xlfn.SINGLE(IF(F467="","",_xlfn.XLOOKUP(F467,purchase!D:D,purchase!K:K,"")))</f>
        <v/>
      </c>
      <c r="Q467" s="29" t="str">
        <f t="shared" si="54"/>
        <v/>
      </c>
      <c r="R467" s="37" t="str">
        <f t="shared" si="55"/>
        <v/>
      </c>
    </row>
    <row r="468" spans="1:18" x14ac:dyDescent="0.35">
      <c r="A468" s="8">
        <v>464</v>
      </c>
      <c r="B468" s="9" t="str">
        <f t="shared" si="49"/>
        <v/>
      </c>
      <c r="C468" s="10"/>
      <c r="D468" s="9" t="str">
        <f>IF(F468="","",_xlfn.XLOOKUP(F468,purchase!D:D,purchase!#REF!,""))</f>
        <v/>
      </c>
      <c r="E468" s="9" t="str">
        <f>IF(F468="","",_xlfn.XLOOKUP(F468,purchase!D:D,purchase!B:B,""))</f>
        <v/>
      </c>
      <c r="F468" s="2"/>
      <c r="G468" s="4" t="str">
        <f t="shared" si="50"/>
        <v/>
      </c>
      <c r="H468" s="4" t="str">
        <f>IF(F468="","",_xlfn.XLOOKUP(F468,purchase!D:D,purchase!#REF!,""))</f>
        <v/>
      </c>
      <c r="I468" s="4" t="str">
        <f t="shared" si="51"/>
        <v/>
      </c>
      <c r="J468" s="4" t="str">
        <f t="shared" si="52"/>
        <v/>
      </c>
      <c r="K468" s="13" t="str">
        <f>_xlfn.SINGLE(IF(F468="","",_xlfn.XLOOKUP(F468,purchase!D:D,purchase!#REF!,"")))</f>
        <v/>
      </c>
      <c r="L468" s="2"/>
      <c r="M468" s="32"/>
      <c r="N468" s="13" t="str">
        <f>IF(F468="","",
MAX(0,
_xlfn.XLOOKUP(F468,purchase!D:D,purchase!#REF!,"")
-
SUMIFS(L:L,F:F,F468)))</f>
        <v/>
      </c>
      <c r="O468" s="13" t="str">
        <f t="shared" si="53"/>
        <v/>
      </c>
      <c r="P468" s="35" t="str">
        <f>_xlfn.SINGLE(IF(F468="","",_xlfn.XLOOKUP(F468,purchase!D:D,purchase!K:K,"")))</f>
        <v/>
      </c>
      <c r="Q468" s="29" t="str">
        <f t="shared" si="54"/>
        <v/>
      </c>
      <c r="R468" s="37" t="str">
        <f t="shared" si="55"/>
        <v/>
      </c>
    </row>
    <row r="469" spans="1:18" x14ac:dyDescent="0.35">
      <c r="A469" s="8">
        <v>465</v>
      </c>
      <c r="B469" s="9" t="str">
        <f t="shared" si="49"/>
        <v/>
      </c>
      <c r="C469" s="10"/>
      <c r="D469" s="9" t="str">
        <f>IF(F469="","",_xlfn.XLOOKUP(F469,purchase!D:D,purchase!#REF!,""))</f>
        <v/>
      </c>
      <c r="E469" s="9" t="str">
        <f>IF(F469="","",_xlfn.XLOOKUP(F469,purchase!D:D,purchase!B:B,""))</f>
        <v/>
      </c>
      <c r="F469" s="2"/>
      <c r="G469" s="4" t="str">
        <f t="shared" si="50"/>
        <v/>
      </c>
      <c r="H469" s="4" t="str">
        <f>IF(F469="","",_xlfn.XLOOKUP(F469,purchase!D:D,purchase!#REF!,""))</f>
        <v/>
      </c>
      <c r="I469" s="4" t="str">
        <f t="shared" si="51"/>
        <v/>
      </c>
      <c r="J469" s="4" t="str">
        <f t="shared" si="52"/>
        <v/>
      </c>
      <c r="K469" s="13" t="str">
        <f>_xlfn.SINGLE(IF(F469="","",_xlfn.XLOOKUP(F469,purchase!D:D,purchase!#REF!,"")))</f>
        <v/>
      </c>
      <c r="L469" s="2"/>
      <c r="M469" s="32"/>
      <c r="N469" s="13" t="str">
        <f>IF(F469="","",
MAX(0,
_xlfn.XLOOKUP(F469,purchase!D:D,purchase!#REF!,"")
-
SUMIFS(L:L,F:F,F469)))</f>
        <v/>
      </c>
      <c r="O469" s="13" t="str">
        <f t="shared" si="53"/>
        <v/>
      </c>
      <c r="P469" s="35" t="str">
        <f>_xlfn.SINGLE(IF(F469="","",_xlfn.XLOOKUP(F469,purchase!D:D,purchase!K:K,"")))</f>
        <v/>
      </c>
      <c r="Q469" s="29" t="str">
        <f t="shared" si="54"/>
        <v/>
      </c>
      <c r="R469" s="37" t="str">
        <f t="shared" si="55"/>
        <v/>
      </c>
    </row>
    <row r="470" spans="1:18" x14ac:dyDescent="0.35">
      <c r="A470" s="8">
        <v>466</v>
      </c>
      <c r="B470" s="9" t="str">
        <f t="shared" si="49"/>
        <v/>
      </c>
      <c r="C470" s="10"/>
      <c r="D470" s="9" t="str">
        <f>IF(F470="","",_xlfn.XLOOKUP(F470,purchase!D:D,purchase!#REF!,""))</f>
        <v/>
      </c>
      <c r="E470" s="9" t="str">
        <f>IF(F470="","",_xlfn.XLOOKUP(F470,purchase!D:D,purchase!B:B,""))</f>
        <v/>
      </c>
      <c r="F470" s="2"/>
      <c r="G470" s="4" t="str">
        <f t="shared" si="50"/>
        <v/>
      </c>
      <c r="H470" s="4" t="str">
        <f>IF(F470="","",_xlfn.XLOOKUP(F470,purchase!D:D,purchase!#REF!,""))</f>
        <v/>
      </c>
      <c r="I470" s="4" t="str">
        <f t="shared" si="51"/>
        <v/>
      </c>
      <c r="J470" s="4" t="str">
        <f t="shared" si="52"/>
        <v/>
      </c>
      <c r="K470" s="13" t="str">
        <f>_xlfn.SINGLE(IF(F470="","",_xlfn.XLOOKUP(F470,purchase!D:D,purchase!#REF!,"")))</f>
        <v/>
      </c>
      <c r="L470" s="2"/>
      <c r="M470" s="32"/>
      <c r="N470" s="13" t="str">
        <f>IF(F470="","",
MAX(0,
_xlfn.XLOOKUP(F470,purchase!D:D,purchase!#REF!,"")
-
SUMIFS(L:L,F:F,F470)))</f>
        <v/>
      </c>
      <c r="O470" s="13" t="str">
        <f t="shared" si="53"/>
        <v/>
      </c>
      <c r="P470" s="35" t="str">
        <f>_xlfn.SINGLE(IF(F470="","",_xlfn.XLOOKUP(F470,purchase!D:D,purchase!K:K,"")))</f>
        <v/>
      </c>
      <c r="Q470" s="29" t="str">
        <f t="shared" si="54"/>
        <v/>
      </c>
      <c r="R470" s="37" t="str">
        <f t="shared" si="55"/>
        <v/>
      </c>
    </row>
    <row r="471" spans="1:18" x14ac:dyDescent="0.35">
      <c r="A471" s="8">
        <v>467</v>
      </c>
      <c r="B471" s="9" t="str">
        <f t="shared" si="49"/>
        <v/>
      </c>
      <c r="C471" s="10"/>
      <c r="D471" s="9" t="str">
        <f>IF(F471="","",_xlfn.XLOOKUP(F471,purchase!D:D,purchase!#REF!,""))</f>
        <v/>
      </c>
      <c r="E471" s="9" t="str">
        <f>IF(F471="","",_xlfn.XLOOKUP(F471,purchase!D:D,purchase!B:B,""))</f>
        <v/>
      </c>
      <c r="F471" s="2"/>
      <c r="G471" s="4" t="str">
        <f t="shared" si="50"/>
        <v/>
      </c>
      <c r="H471" s="4" t="str">
        <f>IF(F471="","",_xlfn.XLOOKUP(F471,purchase!D:D,purchase!#REF!,""))</f>
        <v/>
      </c>
      <c r="I471" s="4" t="str">
        <f t="shared" si="51"/>
        <v/>
      </c>
      <c r="J471" s="4" t="str">
        <f t="shared" si="52"/>
        <v/>
      </c>
      <c r="K471" s="13" t="str">
        <f>_xlfn.SINGLE(IF(F471="","",_xlfn.XLOOKUP(F471,purchase!D:D,purchase!#REF!,"")))</f>
        <v/>
      </c>
      <c r="L471" s="2"/>
      <c r="M471" s="32"/>
      <c r="N471" s="13" t="str">
        <f>IF(F471="","",
MAX(0,
_xlfn.XLOOKUP(F471,purchase!D:D,purchase!#REF!,"")
-
SUMIFS(L:L,F:F,F471)))</f>
        <v/>
      </c>
      <c r="O471" s="13" t="str">
        <f t="shared" si="53"/>
        <v/>
      </c>
      <c r="P471" s="35" t="str">
        <f>_xlfn.SINGLE(IF(F471="","",_xlfn.XLOOKUP(F471,purchase!D:D,purchase!K:K,"")))</f>
        <v/>
      </c>
      <c r="Q471" s="29" t="str">
        <f t="shared" si="54"/>
        <v/>
      </c>
      <c r="R471" s="37" t="str">
        <f t="shared" si="55"/>
        <v/>
      </c>
    </row>
    <row r="472" spans="1:18" x14ac:dyDescent="0.35">
      <c r="A472" s="8">
        <v>468</v>
      </c>
      <c r="B472" s="9" t="str">
        <f t="shared" si="49"/>
        <v/>
      </c>
      <c r="C472" s="10"/>
      <c r="D472" s="9" t="str">
        <f>IF(F472="","",_xlfn.XLOOKUP(F472,purchase!D:D,purchase!#REF!,""))</f>
        <v/>
      </c>
      <c r="E472" s="9" t="str">
        <f>IF(F472="","",_xlfn.XLOOKUP(F472,purchase!D:D,purchase!B:B,""))</f>
        <v/>
      </c>
      <c r="F472" s="2"/>
      <c r="G472" s="4" t="str">
        <f t="shared" si="50"/>
        <v/>
      </c>
      <c r="H472" s="4" t="str">
        <f>IF(F472="","",_xlfn.XLOOKUP(F472,purchase!D:D,purchase!#REF!,""))</f>
        <v/>
      </c>
      <c r="I472" s="4" t="str">
        <f t="shared" si="51"/>
        <v/>
      </c>
      <c r="J472" s="4" t="str">
        <f t="shared" si="52"/>
        <v/>
      </c>
      <c r="K472" s="13" t="str">
        <f>_xlfn.SINGLE(IF(F472="","",_xlfn.XLOOKUP(F472,purchase!D:D,purchase!#REF!,"")))</f>
        <v/>
      </c>
      <c r="L472" s="2"/>
      <c r="M472" s="32"/>
      <c r="N472" s="13" t="str">
        <f>IF(F472="","",
MAX(0,
_xlfn.XLOOKUP(F472,purchase!D:D,purchase!#REF!,"")
-
SUMIFS(L:L,F:F,F472)))</f>
        <v/>
      </c>
      <c r="O472" s="13" t="str">
        <f t="shared" si="53"/>
        <v/>
      </c>
      <c r="P472" s="35" t="str">
        <f>_xlfn.SINGLE(IF(F472="","",_xlfn.XLOOKUP(F472,purchase!D:D,purchase!K:K,"")))</f>
        <v/>
      </c>
      <c r="Q472" s="29" t="str">
        <f t="shared" si="54"/>
        <v/>
      </c>
      <c r="R472" s="37" t="str">
        <f t="shared" si="55"/>
        <v/>
      </c>
    </row>
    <row r="473" spans="1:18" x14ac:dyDescent="0.35">
      <c r="A473" s="8">
        <v>469</v>
      </c>
      <c r="B473" s="9" t="str">
        <f t="shared" si="49"/>
        <v/>
      </c>
      <c r="C473" s="10"/>
      <c r="D473" s="9" t="str">
        <f>IF(F473="","",_xlfn.XLOOKUP(F473,purchase!D:D,purchase!#REF!,""))</f>
        <v/>
      </c>
      <c r="E473" s="9" t="str">
        <f>IF(F473="","",_xlfn.XLOOKUP(F473,purchase!D:D,purchase!B:B,""))</f>
        <v/>
      </c>
      <c r="F473" s="2"/>
      <c r="G473" s="4" t="str">
        <f t="shared" si="50"/>
        <v/>
      </c>
      <c r="H473" s="4" t="str">
        <f>IF(F473="","",_xlfn.XLOOKUP(F473,purchase!D:D,purchase!#REF!,""))</f>
        <v/>
      </c>
      <c r="I473" s="4" t="str">
        <f t="shared" si="51"/>
        <v/>
      </c>
      <c r="J473" s="4" t="str">
        <f t="shared" si="52"/>
        <v/>
      </c>
      <c r="K473" s="13" t="str">
        <f>_xlfn.SINGLE(IF(F473="","",_xlfn.XLOOKUP(F473,purchase!D:D,purchase!#REF!,"")))</f>
        <v/>
      </c>
      <c r="L473" s="2"/>
      <c r="M473" s="32"/>
      <c r="N473" s="13" t="str">
        <f>IF(F473="","",
MAX(0,
_xlfn.XLOOKUP(F473,purchase!D:D,purchase!#REF!,"")
-
SUMIFS(L:L,F:F,F473)))</f>
        <v/>
      </c>
      <c r="O473" s="13" t="str">
        <f t="shared" si="53"/>
        <v/>
      </c>
      <c r="P473" s="35" t="str">
        <f>_xlfn.SINGLE(IF(F473="","",_xlfn.XLOOKUP(F473,purchase!D:D,purchase!K:K,"")))</f>
        <v/>
      </c>
      <c r="Q473" s="29" t="str">
        <f t="shared" si="54"/>
        <v/>
      </c>
      <c r="R473" s="37" t="str">
        <f t="shared" si="55"/>
        <v/>
      </c>
    </row>
    <row r="474" spans="1:18" x14ac:dyDescent="0.35">
      <c r="A474" s="8">
        <v>470</v>
      </c>
      <c r="B474" s="9" t="str">
        <f t="shared" si="49"/>
        <v/>
      </c>
      <c r="C474" s="10"/>
      <c r="D474" s="9" t="str">
        <f>IF(F474="","",_xlfn.XLOOKUP(F474,purchase!D:D,purchase!#REF!,""))</f>
        <v/>
      </c>
      <c r="E474" s="9" t="str">
        <f>IF(F474="","",_xlfn.XLOOKUP(F474,purchase!D:D,purchase!B:B,""))</f>
        <v/>
      </c>
      <c r="F474" s="2"/>
      <c r="G474" s="4" t="str">
        <f t="shared" si="50"/>
        <v/>
      </c>
      <c r="H474" s="4" t="str">
        <f>IF(F474="","",_xlfn.XLOOKUP(F474,purchase!D:D,purchase!#REF!,""))</f>
        <v/>
      </c>
      <c r="I474" s="4" t="str">
        <f t="shared" si="51"/>
        <v/>
      </c>
      <c r="J474" s="4" t="str">
        <f t="shared" si="52"/>
        <v/>
      </c>
      <c r="K474" s="13" t="str">
        <f>_xlfn.SINGLE(IF(F474="","",_xlfn.XLOOKUP(F474,purchase!D:D,purchase!#REF!,"")))</f>
        <v/>
      </c>
      <c r="L474" s="2"/>
      <c r="M474" s="32"/>
      <c r="N474" s="13" t="str">
        <f>IF(F474="","",
MAX(0,
_xlfn.XLOOKUP(F474,purchase!D:D,purchase!#REF!,"")
-
SUMIFS(L:L,F:F,F474)))</f>
        <v/>
      </c>
      <c r="O474" s="13" t="str">
        <f t="shared" si="53"/>
        <v/>
      </c>
      <c r="P474" s="35" t="str">
        <f>_xlfn.SINGLE(IF(F474="","",_xlfn.XLOOKUP(F474,purchase!D:D,purchase!K:K,"")))</f>
        <v/>
      </c>
      <c r="Q474" s="29" t="str">
        <f t="shared" si="54"/>
        <v/>
      </c>
      <c r="R474" s="37" t="str">
        <f t="shared" si="55"/>
        <v/>
      </c>
    </row>
    <row r="475" spans="1:18" x14ac:dyDescent="0.35">
      <c r="A475" s="8">
        <v>471</v>
      </c>
      <c r="B475" s="9" t="str">
        <f t="shared" si="49"/>
        <v/>
      </c>
      <c r="C475" s="10"/>
      <c r="D475" s="9" t="str">
        <f>IF(F475="","",_xlfn.XLOOKUP(F475,purchase!D:D,purchase!#REF!,""))</f>
        <v/>
      </c>
      <c r="E475" s="9" t="str">
        <f>IF(F475="","",_xlfn.XLOOKUP(F475,purchase!D:D,purchase!B:B,""))</f>
        <v/>
      </c>
      <c r="F475" s="2"/>
      <c r="G475" s="4" t="str">
        <f t="shared" si="50"/>
        <v/>
      </c>
      <c r="H475" s="4" t="str">
        <f>IF(F475="","",_xlfn.XLOOKUP(F475,purchase!D:D,purchase!#REF!,""))</f>
        <v/>
      </c>
      <c r="I475" s="4" t="str">
        <f t="shared" si="51"/>
        <v/>
      </c>
      <c r="J475" s="4" t="str">
        <f t="shared" si="52"/>
        <v/>
      </c>
      <c r="K475" s="13" t="str">
        <f>_xlfn.SINGLE(IF(F475="","",_xlfn.XLOOKUP(F475,purchase!D:D,purchase!#REF!,"")))</f>
        <v/>
      </c>
      <c r="L475" s="2"/>
      <c r="M475" s="32"/>
      <c r="N475" s="13" t="str">
        <f>IF(F475="","",
MAX(0,
_xlfn.XLOOKUP(F475,purchase!D:D,purchase!#REF!,"")
-
SUMIFS(L:L,F:F,F475)))</f>
        <v/>
      </c>
      <c r="O475" s="13" t="str">
        <f t="shared" si="53"/>
        <v/>
      </c>
      <c r="P475" s="35" t="str">
        <f>_xlfn.SINGLE(IF(F475="","",_xlfn.XLOOKUP(F475,purchase!D:D,purchase!K:K,"")))</f>
        <v/>
      </c>
      <c r="Q475" s="29" t="str">
        <f t="shared" si="54"/>
        <v/>
      </c>
      <c r="R475" s="37" t="str">
        <f t="shared" si="55"/>
        <v/>
      </c>
    </row>
    <row r="476" spans="1:18" x14ac:dyDescent="0.35">
      <c r="A476" s="8">
        <v>472</v>
      </c>
      <c r="B476" s="9" t="str">
        <f t="shared" si="49"/>
        <v/>
      </c>
      <c r="C476" s="10"/>
      <c r="D476" s="9" t="str">
        <f>IF(F476="","",_xlfn.XLOOKUP(F476,purchase!D:D,purchase!#REF!,""))</f>
        <v/>
      </c>
      <c r="E476" s="9" t="str">
        <f>IF(F476="","",_xlfn.XLOOKUP(F476,purchase!D:D,purchase!B:B,""))</f>
        <v/>
      </c>
      <c r="F476" s="2"/>
      <c r="G476" s="4" t="str">
        <f t="shared" si="50"/>
        <v/>
      </c>
      <c r="H476" s="4" t="str">
        <f>IF(F476="","",_xlfn.XLOOKUP(F476,purchase!D:D,purchase!#REF!,""))</f>
        <v/>
      </c>
      <c r="I476" s="4" t="str">
        <f t="shared" si="51"/>
        <v/>
      </c>
      <c r="J476" s="4" t="str">
        <f t="shared" si="52"/>
        <v/>
      </c>
      <c r="K476" s="13" t="str">
        <f>_xlfn.SINGLE(IF(F476="","",_xlfn.XLOOKUP(F476,purchase!D:D,purchase!#REF!,"")))</f>
        <v/>
      </c>
      <c r="L476" s="2"/>
      <c r="M476" s="32"/>
      <c r="N476" s="13" t="str">
        <f>IF(F476="","",
MAX(0,
_xlfn.XLOOKUP(F476,purchase!D:D,purchase!#REF!,"")
-
SUMIFS(L:L,F:F,F476)))</f>
        <v/>
      </c>
      <c r="O476" s="13" t="str">
        <f t="shared" si="53"/>
        <v/>
      </c>
      <c r="P476" s="35" t="str">
        <f>_xlfn.SINGLE(IF(F476="","",_xlfn.XLOOKUP(F476,purchase!D:D,purchase!K:K,"")))</f>
        <v/>
      </c>
      <c r="Q476" s="29" t="str">
        <f t="shared" si="54"/>
        <v/>
      </c>
      <c r="R476" s="37" t="str">
        <f t="shared" si="55"/>
        <v/>
      </c>
    </row>
    <row r="477" spans="1:18" x14ac:dyDescent="0.35">
      <c r="A477" s="8">
        <v>473</v>
      </c>
      <c r="B477" s="9" t="str">
        <f t="shared" si="49"/>
        <v/>
      </c>
      <c r="C477" s="10"/>
      <c r="D477" s="9" t="str">
        <f>IF(F477="","",_xlfn.XLOOKUP(F477,purchase!D:D,purchase!#REF!,""))</f>
        <v/>
      </c>
      <c r="E477" s="9" t="str">
        <f>IF(F477="","",_xlfn.XLOOKUP(F477,purchase!D:D,purchase!B:B,""))</f>
        <v/>
      </c>
      <c r="F477" s="2"/>
      <c r="G477" s="4" t="str">
        <f t="shared" si="50"/>
        <v/>
      </c>
      <c r="H477" s="4" t="str">
        <f>IF(F477="","",_xlfn.XLOOKUP(F477,purchase!D:D,purchase!#REF!,""))</f>
        <v/>
      </c>
      <c r="I477" s="4" t="str">
        <f t="shared" si="51"/>
        <v/>
      </c>
      <c r="J477" s="4" t="str">
        <f t="shared" si="52"/>
        <v/>
      </c>
      <c r="K477" s="13" t="str">
        <f>_xlfn.SINGLE(IF(F477="","",_xlfn.XLOOKUP(F477,purchase!D:D,purchase!#REF!,"")))</f>
        <v/>
      </c>
      <c r="L477" s="2"/>
      <c r="M477" s="32"/>
      <c r="N477" s="13" t="str">
        <f>IF(F477="","",
MAX(0,
_xlfn.XLOOKUP(F477,purchase!D:D,purchase!#REF!,"")
-
SUMIFS(L:L,F:F,F477)))</f>
        <v/>
      </c>
      <c r="O477" s="13" t="str">
        <f t="shared" si="53"/>
        <v/>
      </c>
      <c r="P477" s="35" t="str">
        <f>_xlfn.SINGLE(IF(F477="","",_xlfn.XLOOKUP(F477,purchase!D:D,purchase!K:K,"")))</f>
        <v/>
      </c>
      <c r="Q477" s="29" t="str">
        <f t="shared" si="54"/>
        <v/>
      </c>
      <c r="R477" s="37" t="str">
        <f t="shared" si="55"/>
        <v/>
      </c>
    </row>
    <row r="478" spans="1:18" x14ac:dyDescent="0.35">
      <c r="A478" s="8">
        <v>474</v>
      </c>
      <c r="B478" s="9" t="str">
        <f t="shared" si="49"/>
        <v/>
      </c>
      <c r="C478" s="10"/>
      <c r="D478" s="9" t="str">
        <f>IF(F478="","",_xlfn.XLOOKUP(F478,purchase!D:D,purchase!#REF!,""))</f>
        <v/>
      </c>
      <c r="E478" s="9" t="str">
        <f>IF(F478="","",_xlfn.XLOOKUP(F478,purchase!D:D,purchase!B:B,""))</f>
        <v/>
      </c>
      <c r="F478" s="2"/>
      <c r="G478" s="4" t="str">
        <f t="shared" si="50"/>
        <v/>
      </c>
      <c r="H478" s="4" t="str">
        <f>IF(F478="","",_xlfn.XLOOKUP(F478,purchase!D:D,purchase!#REF!,""))</f>
        <v/>
      </c>
      <c r="I478" s="4" t="str">
        <f t="shared" si="51"/>
        <v/>
      </c>
      <c r="J478" s="4" t="str">
        <f t="shared" si="52"/>
        <v/>
      </c>
      <c r="K478" s="13" t="str">
        <f>_xlfn.SINGLE(IF(F478="","",_xlfn.XLOOKUP(F478,purchase!D:D,purchase!#REF!,"")))</f>
        <v/>
      </c>
      <c r="L478" s="2"/>
      <c r="M478" s="32"/>
      <c r="N478" s="13" t="str">
        <f>IF(F478="","",
MAX(0,
_xlfn.XLOOKUP(F478,purchase!D:D,purchase!#REF!,"")
-
SUMIFS(L:L,F:F,F478)))</f>
        <v/>
      </c>
      <c r="O478" s="13" t="str">
        <f t="shared" si="53"/>
        <v/>
      </c>
      <c r="P478" s="35" t="str">
        <f>_xlfn.SINGLE(IF(F478="","",_xlfn.XLOOKUP(F478,purchase!D:D,purchase!K:K,"")))</f>
        <v/>
      </c>
      <c r="Q478" s="29" t="str">
        <f t="shared" si="54"/>
        <v/>
      </c>
      <c r="R478" s="37" t="str">
        <f t="shared" si="55"/>
        <v/>
      </c>
    </row>
    <row r="479" spans="1:18" x14ac:dyDescent="0.35">
      <c r="A479" s="8">
        <v>475</v>
      </c>
      <c r="B479" s="9" t="str">
        <f t="shared" si="49"/>
        <v/>
      </c>
      <c r="C479" s="10"/>
      <c r="D479" s="9" t="str">
        <f>IF(F479="","",_xlfn.XLOOKUP(F479,purchase!D:D,purchase!#REF!,""))</f>
        <v/>
      </c>
      <c r="E479" s="9" t="str">
        <f>IF(F479="","",_xlfn.XLOOKUP(F479,purchase!D:D,purchase!B:B,""))</f>
        <v/>
      </c>
      <c r="F479" s="2"/>
      <c r="G479" s="4" t="str">
        <f t="shared" si="50"/>
        <v/>
      </c>
      <c r="H479" s="4" t="str">
        <f>IF(F479="","",_xlfn.XLOOKUP(F479,purchase!D:D,purchase!#REF!,""))</f>
        <v/>
      </c>
      <c r="I479" s="4" t="str">
        <f t="shared" si="51"/>
        <v/>
      </c>
      <c r="J479" s="4" t="str">
        <f t="shared" si="52"/>
        <v/>
      </c>
      <c r="K479" s="13" t="str">
        <f>_xlfn.SINGLE(IF(F479="","",_xlfn.XLOOKUP(F479,purchase!D:D,purchase!#REF!,"")))</f>
        <v/>
      </c>
      <c r="L479" s="2"/>
      <c r="M479" s="32"/>
      <c r="N479" s="13" t="str">
        <f>IF(F479="","",
MAX(0,
_xlfn.XLOOKUP(F479,purchase!D:D,purchase!#REF!,"")
-
SUMIFS(L:L,F:F,F479)))</f>
        <v/>
      </c>
      <c r="O479" s="13" t="str">
        <f t="shared" si="53"/>
        <v/>
      </c>
      <c r="P479" s="35" t="str">
        <f>_xlfn.SINGLE(IF(F479="","",_xlfn.XLOOKUP(F479,purchase!D:D,purchase!K:K,"")))</f>
        <v/>
      </c>
      <c r="Q479" s="29" t="str">
        <f t="shared" si="54"/>
        <v/>
      </c>
      <c r="R479" s="37" t="str">
        <f t="shared" si="55"/>
        <v/>
      </c>
    </row>
    <row r="480" spans="1:18" x14ac:dyDescent="0.35">
      <c r="A480" s="8">
        <v>476</v>
      </c>
      <c r="B480" s="9" t="str">
        <f t="shared" si="49"/>
        <v/>
      </c>
      <c r="C480" s="10"/>
      <c r="D480" s="9" t="str">
        <f>IF(F480="","",_xlfn.XLOOKUP(F480,purchase!D:D,purchase!#REF!,""))</f>
        <v/>
      </c>
      <c r="E480" s="9" t="str">
        <f>IF(F480="","",_xlfn.XLOOKUP(F480,purchase!D:D,purchase!B:B,""))</f>
        <v/>
      </c>
      <c r="F480" s="2"/>
      <c r="G480" s="4" t="str">
        <f t="shared" si="50"/>
        <v/>
      </c>
      <c r="H480" s="4" t="str">
        <f>IF(F480="","",_xlfn.XLOOKUP(F480,purchase!D:D,purchase!#REF!,""))</f>
        <v/>
      </c>
      <c r="I480" s="4" t="str">
        <f t="shared" si="51"/>
        <v/>
      </c>
      <c r="J480" s="4" t="str">
        <f t="shared" si="52"/>
        <v/>
      </c>
      <c r="K480" s="13" t="str">
        <f>_xlfn.SINGLE(IF(F480="","",_xlfn.XLOOKUP(F480,purchase!D:D,purchase!#REF!,"")))</f>
        <v/>
      </c>
      <c r="L480" s="2"/>
      <c r="M480" s="32"/>
      <c r="N480" s="13" t="str">
        <f>IF(F480="","",
MAX(0,
_xlfn.XLOOKUP(F480,purchase!D:D,purchase!#REF!,"")
-
SUMIFS(L:L,F:F,F480)))</f>
        <v/>
      </c>
      <c r="O480" s="13" t="str">
        <f t="shared" si="53"/>
        <v/>
      </c>
      <c r="P480" s="35" t="str">
        <f>_xlfn.SINGLE(IF(F480="","",_xlfn.XLOOKUP(F480,purchase!D:D,purchase!K:K,"")))</f>
        <v/>
      </c>
      <c r="Q480" s="29" t="str">
        <f t="shared" si="54"/>
        <v/>
      </c>
      <c r="R480" s="37" t="str">
        <f t="shared" si="55"/>
        <v/>
      </c>
    </row>
    <row r="481" spans="1:18" x14ac:dyDescent="0.35">
      <c r="A481" s="8">
        <v>477</v>
      </c>
      <c r="B481" s="9" t="str">
        <f t="shared" si="49"/>
        <v/>
      </c>
      <c r="C481" s="10"/>
      <c r="D481" s="9" t="str">
        <f>IF(F481="","",_xlfn.XLOOKUP(F481,purchase!D:D,purchase!#REF!,""))</f>
        <v/>
      </c>
      <c r="E481" s="9" t="str">
        <f>IF(F481="","",_xlfn.XLOOKUP(F481,purchase!D:D,purchase!B:B,""))</f>
        <v/>
      </c>
      <c r="F481" s="2"/>
      <c r="G481" s="4" t="str">
        <f t="shared" si="50"/>
        <v/>
      </c>
      <c r="H481" s="4" t="str">
        <f>IF(F481="","",_xlfn.XLOOKUP(F481,purchase!D:D,purchase!#REF!,""))</f>
        <v/>
      </c>
      <c r="I481" s="4" t="str">
        <f t="shared" si="51"/>
        <v/>
      </c>
      <c r="J481" s="4" t="str">
        <f t="shared" si="52"/>
        <v/>
      </c>
      <c r="K481" s="13" t="str">
        <f>_xlfn.SINGLE(IF(F481="","",_xlfn.XLOOKUP(F481,purchase!D:D,purchase!#REF!,"")))</f>
        <v/>
      </c>
      <c r="L481" s="2"/>
      <c r="M481" s="32"/>
      <c r="N481" s="13" t="str">
        <f>IF(F481="","",
MAX(0,
_xlfn.XLOOKUP(F481,purchase!D:D,purchase!#REF!,"")
-
SUMIFS(L:L,F:F,F481)))</f>
        <v/>
      </c>
      <c r="O481" s="13" t="str">
        <f t="shared" si="53"/>
        <v/>
      </c>
      <c r="P481" s="35" t="str">
        <f>_xlfn.SINGLE(IF(F481="","",_xlfn.XLOOKUP(F481,purchase!D:D,purchase!K:K,"")))</f>
        <v/>
      </c>
      <c r="Q481" s="29" t="str">
        <f t="shared" si="54"/>
        <v/>
      </c>
      <c r="R481" s="37" t="str">
        <f t="shared" si="55"/>
        <v/>
      </c>
    </row>
    <row r="482" spans="1:18" x14ac:dyDescent="0.35">
      <c r="A482" s="8">
        <v>478</v>
      </c>
      <c r="B482" s="9" t="str">
        <f t="shared" si="49"/>
        <v/>
      </c>
      <c r="C482" s="10"/>
      <c r="D482" s="9" t="str">
        <f>IF(F482="","",_xlfn.XLOOKUP(F482,purchase!D:D,purchase!#REF!,""))</f>
        <v/>
      </c>
      <c r="E482" s="9" t="str">
        <f>IF(F482="","",_xlfn.XLOOKUP(F482,purchase!D:D,purchase!B:B,""))</f>
        <v/>
      </c>
      <c r="F482" s="2"/>
      <c r="G482" s="4" t="str">
        <f t="shared" si="50"/>
        <v/>
      </c>
      <c r="H482" s="4" t="str">
        <f>IF(F482="","",_xlfn.XLOOKUP(F482,purchase!D:D,purchase!#REF!,""))</f>
        <v/>
      </c>
      <c r="I482" s="4" t="str">
        <f t="shared" si="51"/>
        <v/>
      </c>
      <c r="J482" s="4" t="str">
        <f t="shared" si="52"/>
        <v/>
      </c>
      <c r="K482" s="13" t="str">
        <f>_xlfn.SINGLE(IF(F482="","",_xlfn.XLOOKUP(F482,purchase!D:D,purchase!#REF!,"")))</f>
        <v/>
      </c>
      <c r="L482" s="2"/>
      <c r="M482" s="32"/>
      <c r="N482" s="13" t="str">
        <f>IF(F482="","",
MAX(0,
_xlfn.XLOOKUP(F482,purchase!D:D,purchase!#REF!,"")
-
SUMIFS(L:L,F:F,F482)))</f>
        <v/>
      </c>
      <c r="O482" s="13" t="str">
        <f t="shared" si="53"/>
        <v/>
      </c>
      <c r="P482" s="35" t="str">
        <f>_xlfn.SINGLE(IF(F482="","",_xlfn.XLOOKUP(F482,purchase!D:D,purchase!K:K,"")))</f>
        <v/>
      </c>
      <c r="Q482" s="29" t="str">
        <f t="shared" si="54"/>
        <v/>
      </c>
      <c r="R482" s="37" t="str">
        <f t="shared" si="55"/>
        <v/>
      </c>
    </row>
    <row r="483" spans="1:18" x14ac:dyDescent="0.35">
      <c r="A483" s="8">
        <v>479</v>
      </c>
      <c r="B483" s="9" t="str">
        <f t="shared" si="49"/>
        <v/>
      </c>
      <c r="C483" s="10"/>
      <c r="D483" s="9" t="str">
        <f>IF(F483="","",_xlfn.XLOOKUP(F483,purchase!D:D,purchase!#REF!,""))</f>
        <v/>
      </c>
      <c r="E483" s="9" t="str">
        <f>IF(F483="","",_xlfn.XLOOKUP(F483,purchase!D:D,purchase!B:B,""))</f>
        <v/>
      </c>
      <c r="F483" s="2"/>
      <c r="G483" s="4" t="str">
        <f t="shared" si="50"/>
        <v/>
      </c>
      <c r="H483" s="4" t="str">
        <f>IF(F483="","",_xlfn.XLOOKUP(F483,purchase!D:D,purchase!#REF!,""))</f>
        <v/>
      </c>
      <c r="I483" s="4" t="str">
        <f t="shared" si="51"/>
        <v/>
      </c>
      <c r="J483" s="4" t="str">
        <f t="shared" si="52"/>
        <v/>
      </c>
      <c r="K483" s="13" t="str">
        <f>_xlfn.SINGLE(IF(F483="","",_xlfn.XLOOKUP(F483,purchase!D:D,purchase!#REF!,"")))</f>
        <v/>
      </c>
      <c r="L483" s="2"/>
      <c r="M483" s="32"/>
      <c r="N483" s="13" t="str">
        <f>IF(F483="","",
MAX(0,
_xlfn.XLOOKUP(F483,purchase!D:D,purchase!#REF!,"")
-
SUMIFS(L:L,F:F,F483)))</f>
        <v/>
      </c>
      <c r="O483" s="13" t="str">
        <f t="shared" si="53"/>
        <v/>
      </c>
      <c r="P483" s="35" t="str">
        <f>_xlfn.SINGLE(IF(F483="","",_xlfn.XLOOKUP(F483,purchase!D:D,purchase!K:K,"")))</f>
        <v/>
      </c>
      <c r="Q483" s="29" t="str">
        <f t="shared" si="54"/>
        <v/>
      </c>
      <c r="R483" s="37" t="str">
        <f t="shared" si="55"/>
        <v/>
      </c>
    </row>
    <row r="484" spans="1:18" x14ac:dyDescent="0.35">
      <c r="A484" s="8">
        <v>480</v>
      </c>
      <c r="B484" s="9" t="str">
        <f t="shared" si="49"/>
        <v/>
      </c>
      <c r="C484" s="10"/>
      <c r="D484" s="9" t="str">
        <f>IF(F484="","",_xlfn.XLOOKUP(F484,purchase!D:D,purchase!#REF!,""))</f>
        <v/>
      </c>
      <c r="E484" s="9" t="str">
        <f>IF(F484="","",_xlfn.XLOOKUP(F484,purchase!D:D,purchase!B:B,""))</f>
        <v/>
      </c>
      <c r="F484" s="2"/>
      <c r="G484" s="4" t="str">
        <f t="shared" si="50"/>
        <v/>
      </c>
      <c r="H484" s="4" t="str">
        <f>IF(F484="","",_xlfn.XLOOKUP(F484,purchase!D:D,purchase!#REF!,""))</f>
        <v/>
      </c>
      <c r="I484" s="4" t="str">
        <f t="shared" si="51"/>
        <v/>
      </c>
      <c r="J484" s="4" t="str">
        <f t="shared" si="52"/>
        <v/>
      </c>
      <c r="K484" s="13" t="str">
        <f>_xlfn.SINGLE(IF(F484="","",_xlfn.XLOOKUP(F484,purchase!D:D,purchase!#REF!,"")))</f>
        <v/>
      </c>
      <c r="L484" s="2"/>
      <c r="M484" s="32"/>
      <c r="N484" s="13" t="str">
        <f>IF(F484="","",
MAX(0,
_xlfn.XLOOKUP(F484,purchase!D:D,purchase!#REF!,"")
-
SUMIFS(L:L,F:F,F484)))</f>
        <v/>
      </c>
      <c r="O484" s="13" t="str">
        <f t="shared" si="53"/>
        <v/>
      </c>
      <c r="P484" s="35" t="str">
        <f>_xlfn.SINGLE(IF(F484="","",_xlfn.XLOOKUP(F484,purchase!D:D,purchase!K:K,"")))</f>
        <v/>
      </c>
      <c r="Q484" s="29" t="str">
        <f t="shared" si="54"/>
        <v/>
      </c>
      <c r="R484" s="37" t="str">
        <f t="shared" si="55"/>
        <v/>
      </c>
    </row>
    <row r="485" spans="1:18" x14ac:dyDescent="0.35">
      <c r="A485" s="8">
        <v>481</v>
      </c>
      <c r="B485" s="9" t="str">
        <f t="shared" si="49"/>
        <v/>
      </c>
      <c r="C485" s="10"/>
      <c r="D485" s="9" t="str">
        <f>IF(F485="","",_xlfn.XLOOKUP(F485,purchase!D:D,purchase!#REF!,""))</f>
        <v/>
      </c>
      <c r="E485" s="9" t="str">
        <f>IF(F485="","",_xlfn.XLOOKUP(F485,purchase!D:D,purchase!B:B,""))</f>
        <v/>
      </c>
      <c r="F485" s="2"/>
      <c r="G485" s="4" t="str">
        <f t="shared" si="50"/>
        <v/>
      </c>
      <c r="H485" s="4" t="str">
        <f>IF(F485="","",_xlfn.XLOOKUP(F485,purchase!D:D,purchase!#REF!,""))</f>
        <v/>
      </c>
      <c r="I485" s="4" t="str">
        <f t="shared" si="51"/>
        <v/>
      </c>
      <c r="J485" s="4" t="str">
        <f t="shared" si="52"/>
        <v/>
      </c>
      <c r="K485" s="13" t="str">
        <f>_xlfn.SINGLE(IF(F485="","",_xlfn.XLOOKUP(F485,purchase!D:D,purchase!#REF!,"")))</f>
        <v/>
      </c>
      <c r="L485" s="2"/>
      <c r="M485" s="32"/>
      <c r="N485" s="13" t="str">
        <f>IF(F485="","",
MAX(0,
_xlfn.XLOOKUP(F485,purchase!D:D,purchase!#REF!,"")
-
SUMIFS(L:L,F:F,F485)))</f>
        <v/>
      </c>
      <c r="O485" s="13" t="str">
        <f t="shared" si="53"/>
        <v/>
      </c>
      <c r="P485" s="35" t="str">
        <f>_xlfn.SINGLE(IF(F485="","",_xlfn.XLOOKUP(F485,purchase!D:D,purchase!K:K,"")))</f>
        <v/>
      </c>
      <c r="Q485" s="29" t="str">
        <f t="shared" si="54"/>
        <v/>
      </c>
      <c r="R485" s="37" t="str">
        <f t="shared" si="55"/>
        <v/>
      </c>
    </row>
    <row r="486" spans="1:18" x14ac:dyDescent="0.35">
      <c r="A486" s="8">
        <v>482</v>
      </c>
      <c r="B486" s="9" t="str">
        <f t="shared" si="49"/>
        <v/>
      </c>
      <c r="C486" s="10"/>
      <c r="D486" s="9" t="str">
        <f>IF(F486="","",_xlfn.XLOOKUP(F486,purchase!D:D,purchase!#REF!,""))</f>
        <v/>
      </c>
      <c r="E486" s="9" t="str">
        <f>IF(F486="","",_xlfn.XLOOKUP(F486,purchase!D:D,purchase!B:B,""))</f>
        <v/>
      </c>
      <c r="F486" s="2"/>
      <c r="G486" s="4" t="str">
        <f t="shared" si="50"/>
        <v/>
      </c>
      <c r="H486" s="4" t="str">
        <f>IF(F486="","",_xlfn.XLOOKUP(F486,purchase!D:D,purchase!#REF!,""))</f>
        <v/>
      </c>
      <c r="I486" s="4" t="str">
        <f t="shared" si="51"/>
        <v/>
      </c>
      <c r="J486" s="4" t="str">
        <f t="shared" si="52"/>
        <v/>
      </c>
      <c r="K486" s="13" t="str">
        <f>_xlfn.SINGLE(IF(F486="","",_xlfn.XLOOKUP(F486,purchase!D:D,purchase!#REF!,"")))</f>
        <v/>
      </c>
      <c r="L486" s="2"/>
      <c r="M486" s="32"/>
      <c r="N486" s="13" t="str">
        <f>IF(F486="","",
MAX(0,
_xlfn.XLOOKUP(F486,purchase!D:D,purchase!#REF!,"")
-
SUMIFS(L:L,F:F,F486)))</f>
        <v/>
      </c>
      <c r="O486" s="13" t="str">
        <f t="shared" si="53"/>
        <v/>
      </c>
      <c r="P486" s="35" t="str">
        <f>_xlfn.SINGLE(IF(F486="","",_xlfn.XLOOKUP(F486,purchase!D:D,purchase!K:K,"")))</f>
        <v/>
      </c>
      <c r="Q486" s="29" t="str">
        <f t="shared" si="54"/>
        <v/>
      </c>
      <c r="R486" s="37" t="str">
        <f t="shared" si="55"/>
        <v/>
      </c>
    </row>
    <row r="487" spans="1:18" x14ac:dyDescent="0.35">
      <c r="A487" s="8">
        <v>483</v>
      </c>
      <c r="B487" s="9" t="str">
        <f t="shared" si="49"/>
        <v/>
      </c>
      <c r="C487" s="10"/>
      <c r="D487" s="9" t="str">
        <f>IF(F487="","",_xlfn.XLOOKUP(F487,purchase!D:D,purchase!#REF!,""))</f>
        <v/>
      </c>
      <c r="E487" s="9" t="str">
        <f>IF(F487="","",_xlfn.XLOOKUP(F487,purchase!D:D,purchase!B:B,""))</f>
        <v/>
      </c>
      <c r="F487" s="2"/>
      <c r="G487" s="4" t="str">
        <f t="shared" si="50"/>
        <v/>
      </c>
      <c r="H487" s="4" t="str">
        <f>IF(F487="","",_xlfn.XLOOKUP(F487,purchase!D:D,purchase!#REF!,""))</f>
        <v/>
      </c>
      <c r="I487" s="4" t="str">
        <f t="shared" si="51"/>
        <v/>
      </c>
      <c r="J487" s="4" t="str">
        <f t="shared" si="52"/>
        <v/>
      </c>
      <c r="K487" s="13" t="str">
        <f>_xlfn.SINGLE(IF(F487="","",_xlfn.XLOOKUP(F487,purchase!D:D,purchase!#REF!,"")))</f>
        <v/>
      </c>
      <c r="L487" s="2"/>
      <c r="M487" s="32"/>
      <c r="N487" s="13" t="str">
        <f>IF(F487="","",
MAX(0,
_xlfn.XLOOKUP(F487,purchase!D:D,purchase!#REF!,"")
-
SUMIFS(L:L,F:F,F487)))</f>
        <v/>
      </c>
      <c r="O487" s="13" t="str">
        <f t="shared" si="53"/>
        <v/>
      </c>
      <c r="P487" s="35" t="str">
        <f>_xlfn.SINGLE(IF(F487="","",_xlfn.XLOOKUP(F487,purchase!D:D,purchase!K:K,"")))</f>
        <v/>
      </c>
      <c r="Q487" s="29" t="str">
        <f t="shared" si="54"/>
        <v/>
      </c>
      <c r="R487" s="37" t="str">
        <f t="shared" si="55"/>
        <v/>
      </c>
    </row>
    <row r="488" spans="1:18" x14ac:dyDescent="0.35">
      <c r="A488" s="8">
        <v>484</v>
      </c>
      <c r="B488" s="9" t="str">
        <f t="shared" si="49"/>
        <v/>
      </c>
      <c r="C488" s="10"/>
      <c r="D488" s="9" t="str">
        <f>IF(F488="","",_xlfn.XLOOKUP(F488,purchase!D:D,purchase!#REF!,""))</f>
        <v/>
      </c>
      <c r="E488" s="9" t="str">
        <f>IF(F488="","",_xlfn.XLOOKUP(F488,purchase!D:D,purchase!B:B,""))</f>
        <v/>
      </c>
      <c r="F488" s="2"/>
      <c r="G488" s="4" t="str">
        <f t="shared" si="50"/>
        <v/>
      </c>
      <c r="H488" s="4" t="str">
        <f>IF(F488="","",_xlfn.XLOOKUP(F488,purchase!D:D,purchase!#REF!,""))</f>
        <v/>
      </c>
      <c r="I488" s="4" t="str">
        <f t="shared" si="51"/>
        <v/>
      </c>
      <c r="J488" s="4" t="str">
        <f t="shared" si="52"/>
        <v/>
      </c>
      <c r="K488" s="13" t="str">
        <f>_xlfn.SINGLE(IF(F488="","",_xlfn.XLOOKUP(F488,purchase!D:D,purchase!#REF!,"")))</f>
        <v/>
      </c>
      <c r="L488" s="2"/>
      <c r="M488" s="32"/>
      <c r="N488" s="13" t="str">
        <f>IF(F488="","",
MAX(0,
_xlfn.XLOOKUP(F488,purchase!D:D,purchase!#REF!,"")
-
SUMIFS(L:L,F:F,F488)))</f>
        <v/>
      </c>
      <c r="O488" s="13" t="str">
        <f t="shared" si="53"/>
        <v/>
      </c>
      <c r="P488" s="35" t="str">
        <f>_xlfn.SINGLE(IF(F488="","",_xlfn.XLOOKUP(F488,purchase!D:D,purchase!K:K,"")))</f>
        <v/>
      </c>
      <c r="Q488" s="29" t="str">
        <f t="shared" si="54"/>
        <v/>
      </c>
      <c r="R488" s="37" t="str">
        <f t="shared" si="55"/>
        <v/>
      </c>
    </row>
    <row r="489" spans="1:18" x14ac:dyDescent="0.35">
      <c r="A489" s="8">
        <v>485</v>
      </c>
      <c r="B489" s="9" t="str">
        <f t="shared" si="49"/>
        <v/>
      </c>
      <c r="C489" s="10"/>
      <c r="D489" s="9" t="str">
        <f>IF(F489="","",_xlfn.XLOOKUP(F489,purchase!D:D,purchase!#REF!,""))</f>
        <v/>
      </c>
      <c r="E489" s="9" t="str">
        <f>IF(F489="","",_xlfn.XLOOKUP(F489,purchase!D:D,purchase!B:B,""))</f>
        <v/>
      </c>
      <c r="F489" s="2"/>
      <c r="G489" s="4" t="str">
        <f t="shared" si="50"/>
        <v/>
      </c>
      <c r="H489" s="4" t="str">
        <f>IF(F489="","",_xlfn.XLOOKUP(F489,purchase!D:D,purchase!#REF!,""))</f>
        <v/>
      </c>
      <c r="I489" s="4" t="str">
        <f t="shared" si="51"/>
        <v/>
      </c>
      <c r="J489" s="4" t="str">
        <f t="shared" si="52"/>
        <v/>
      </c>
      <c r="K489" s="13" t="str">
        <f>_xlfn.SINGLE(IF(F489="","",_xlfn.XLOOKUP(F489,purchase!D:D,purchase!#REF!,"")))</f>
        <v/>
      </c>
      <c r="L489" s="2"/>
      <c r="M489" s="32"/>
      <c r="N489" s="13" t="str">
        <f>IF(F489="","",
MAX(0,
_xlfn.XLOOKUP(F489,purchase!D:D,purchase!#REF!,"")
-
SUMIFS(L:L,F:F,F489)))</f>
        <v/>
      </c>
      <c r="O489" s="13" t="str">
        <f t="shared" si="53"/>
        <v/>
      </c>
      <c r="P489" s="35" t="str">
        <f>_xlfn.SINGLE(IF(F489="","",_xlfn.XLOOKUP(F489,purchase!D:D,purchase!K:K,"")))</f>
        <v/>
      </c>
      <c r="Q489" s="29" t="str">
        <f t="shared" si="54"/>
        <v/>
      </c>
      <c r="R489" s="37" t="str">
        <f t="shared" si="55"/>
        <v/>
      </c>
    </row>
    <row r="490" spans="1:18" x14ac:dyDescent="0.35">
      <c r="A490" s="8">
        <v>486</v>
      </c>
      <c r="B490" s="9" t="str">
        <f t="shared" si="49"/>
        <v/>
      </c>
      <c r="C490" s="10"/>
      <c r="D490" s="9" t="str">
        <f>IF(F490="","",_xlfn.XLOOKUP(F490,purchase!D:D,purchase!#REF!,""))</f>
        <v/>
      </c>
      <c r="E490" s="9" t="str">
        <f>IF(F490="","",_xlfn.XLOOKUP(F490,purchase!D:D,purchase!B:B,""))</f>
        <v/>
      </c>
      <c r="F490" s="2"/>
      <c r="G490" s="4" t="str">
        <f t="shared" si="50"/>
        <v/>
      </c>
      <c r="H490" s="4" t="str">
        <f>IF(F490="","",_xlfn.XLOOKUP(F490,purchase!D:D,purchase!#REF!,""))</f>
        <v/>
      </c>
      <c r="I490" s="4" t="str">
        <f t="shared" si="51"/>
        <v/>
      </c>
      <c r="J490" s="4" t="str">
        <f t="shared" si="52"/>
        <v/>
      </c>
      <c r="K490" s="13" t="str">
        <f>_xlfn.SINGLE(IF(F490="","",_xlfn.XLOOKUP(F490,purchase!D:D,purchase!#REF!,"")))</f>
        <v/>
      </c>
      <c r="L490" s="2"/>
      <c r="M490" s="32"/>
      <c r="N490" s="13" t="str">
        <f>IF(F490="","",
MAX(0,
_xlfn.XLOOKUP(F490,purchase!D:D,purchase!#REF!,"")
-
SUMIFS(L:L,F:F,F490)))</f>
        <v/>
      </c>
      <c r="O490" s="13" t="str">
        <f t="shared" si="53"/>
        <v/>
      </c>
      <c r="P490" s="35" t="str">
        <f>_xlfn.SINGLE(IF(F490="","",_xlfn.XLOOKUP(F490,purchase!D:D,purchase!K:K,"")))</f>
        <v/>
      </c>
      <c r="Q490" s="29" t="str">
        <f t="shared" si="54"/>
        <v/>
      </c>
      <c r="R490" s="37" t="str">
        <f t="shared" si="55"/>
        <v/>
      </c>
    </row>
    <row r="491" spans="1:18" x14ac:dyDescent="0.35">
      <c r="A491" s="8">
        <v>487</v>
      </c>
      <c r="B491" s="9" t="str">
        <f t="shared" si="49"/>
        <v/>
      </c>
      <c r="C491" s="10"/>
      <c r="D491" s="9" t="str">
        <f>IF(F491="","",_xlfn.XLOOKUP(F491,purchase!D:D,purchase!#REF!,""))</f>
        <v/>
      </c>
      <c r="E491" s="9" t="str">
        <f>IF(F491="","",_xlfn.XLOOKUP(F491,purchase!D:D,purchase!B:B,""))</f>
        <v/>
      </c>
      <c r="F491" s="2"/>
      <c r="G491" s="4" t="str">
        <f t="shared" si="50"/>
        <v/>
      </c>
      <c r="H491" s="4" t="str">
        <f>IF(F491="","",_xlfn.XLOOKUP(F491,purchase!D:D,purchase!#REF!,""))</f>
        <v/>
      </c>
      <c r="I491" s="4" t="str">
        <f t="shared" si="51"/>
        <v/>
      </c>
      <c r="J491" s="4" t="str">
        <f t="shared" si="52"/>
        <v/>
      </c>
      <c r="K491" s="13" t="str">
        <f>_xlfn.SINGLE(IF(F491="","",_xlfn.XLOOKUP(F491,purchase!D:D,purchase!#REF!,"")))</f>
        <v/>
      </c>
      <c r="L491" s="2"/>
      <c r="M491" s="32"/>
      <c r="N491" s="13" t="str">
        <f>IF(F491="","",
MAX(0,
_xlfn.XLOOKUP(F491,purchase!D:D,purchase!#REF!,"")
-
SUMIFS(L:L,F:F,F491)))</f>
        <v/>
      </c>
      <c r="O491" s="13" t="str">
        <f t="shared" si="53"/>
        <v/>
      </c>
      <c r="P491" s="35" t="str">
        <f>_xlfn.SINGLE(IF(F491="","",_xlfn.XLOOKUP(F491,purchase!D:D,purchase!K:K,"")))</f>
        <v/>
      </c>
      <c r="Q491" s="29" t="str">
        <f t="shared" si="54"/>
        <v/>
      </c>
      <c r="R491" s="37" t="str">
        <f t="shared" si="55"/>
        <v/>
      </c>
    </row>
    <row r="492" spans="1:18" x14ac:dyDescent="0.35">
      <c r="A492" s="8">
        <v>488</v>
      </c>
      <c r="B492" s="9" t="str">
        <f t="shared" si="49"/>
        <v/>
      </c>
      <c r="C492" s="10"/>
      <c r="D492" s="9" t="str">
        <f>IF(F492="","",_xlfn.XLOOKUP(F492,purchase!D:D,purchase!#REF!,""))</f>
        <v/>
      </c>
      <c r="E492" s="9" t="str">
        <f>IF(F492="","",_xlfn.XLOOKUP(F492,purchase!D:D,purchase!B:B,""))</f>
        <v/>
      </c>
      <c r="F492" s="2"/>
      <c r="G492" s="4" t="str">
        <f t="shared" si="50"/>
        <v/>
      </c>
      <c r="H492" s="4" t="str">
        <f>IF(F492="","",_xlfn.XLOOKUP(F492,purchase!D:D,purchase!#REF!,""))</f>
        <v/>
      </c>
      <c r="I492" s="4" t="str">
        <f t="shared" si="51"/>
        <v/>
      </c>
      <c r="J492" s="4" t="str">
        <f t="shared" si="52"/>
        <v/>
      </c>
      <c r="K492" s="13" t="str">
        <f>_xlfn.SINGLE(IF(F492="","",_xlfn.XLOOKUP(F492,purchase!D:D,purchase!#REF!,"")))</f>
        <v/>
      </c>
      <c r="L492" s="2"/>
      <c r="M492" s="32"/>
      <c r="N492" s="13" t="str">
        <f>IF(F492="","",
MAX(0,
_xlfn.XLOOKUP(F492,purchase!D:D,purchase!#REF!,"")
-
SUMIFS(L:L,F:F,F492)))</f>
        <v/>
      </c>
      <c r="O492" s="13" t="str">
        <f t="shared" si="53"/>
        <v/>
      </c>
      <c r="P492" s="35" t="str">
        <f>_xlfn.SINGLE(IF(F492="","",_xlfn.XLOOKUP(F492,purchase!D:D,purchase!K:K,"")))</f>
        <v/>
      </c>
      <c r="Q492" s="29" t="str">
        <f t="shared" si="54"/>
        <v/>
      </c>
      <c r="R492" s="37" t="str">
        <f t="shared" si="55"/>
        <v/>
      </c>
    </row>
    <row r="493" spans="1:18" x14ac:dyDescent="0.35">
      <c r="A493" s="8">
        <v>489</v>
      </c>
      <c r="B493" s="9" t="str">
        <f t="shared" si="49"/>
        <v/>
      </c>
      <c r="C493" s="10"/>
      <c r="D493" s="9" t="str">
        <f>IF(F493="","",_xlfn.XLOOKUP(F493,purchase!D:D,purchase!#REF!,""))</f>
        <v/>
      </c>
      <c r="E493" s="9" t="str">
        <f>IF(F493="","",_xlfn.XLOOKUP(F493,purchase!D:D,purchase!B:B,""))</f>
        <v/>
      </c>
      <c r="F493" s="2"/>
      <c r="G493" s="4" t="str">
        <f t="shared" si="50"/>
        <v/>
      </c>
      <c r="H493" s="4" t="str">
        <f>IF(F493="","",_xlfn.XLOOKUP(F493,purchase!D:D,purchase!#REF!,""))</f>
        <v/>
      </c>
      <c r="I493" s="4" t="str">
        <f t="shared" si="51"/>
        <v/>
      </c>
      <c r="J493" s="4" t="str">
        <f t="shared" si="52"/>
        <v/>
      </c>
      <c r="K493" s="13" t="str">
        <f>_xlfn.SINGLE(IF(F493="","",_xlfn.XLOOKUP(F493,purchase!D:D,purchase!#REF!,"")))</f>
        <v/>
      </c>
      <c r="L493" s="2"/>
      <c r="M493" s="32"/>
      <c r="N493" s="13" t="str">
        <f>IF(F493="","",
MAX(0,
_xlfn.XLOOKUP(F493,purchase!D:D,purchase!#REF!,"")
-
SUMIFS(L:L,F:F,F493)))</f>
        <v/>
      </c>
      <c r="O493" s="13" t="str">
        <f t="shared" si="53"/>
        <v/>
      </c>
      <c r="P493" s="35" t="str">
        <f>_xlfn.SINGLE(IF(F493="","",_xlfn.XLOOKUP(F493,purchase!D:D,purchase!K:K,"")))</f>
        <v/>
      </c>
      <c r="Q493" s="29" t="str">
        <f t="shared" si="54"/>
        <v/>
      </c>
      <c r="R493" s="37" t="str">
        <f t="shared" si="55"/>
        <v/>
      </c>
    </row>
    <row r="494" spans="1:18" x14ac:dyDescent="0.35">
      <c r="A494" s="8">
        <v>490</v>
      </c>
      <c r="B494" s="9" t="str">
        <f t="shared" si="49"/>
        <v/>
      </c>
      <c r="C494" s="10"/>
      <c r="D494" s="9" t="str">
        <f>IF(F494="","",_xlfn.XLOOKUP(F494,purchase!D:D,purchase!#REF!,""))</f>
        <v/>
      </c>
      <c r="E494" s="9" t="str">
        <f>IF(F494="","",_xlfn.XLOOKUP(F494,purchase!D:D,purchase!B:B,""))</f>
        <v/>
      </c>
      <c r="F494" s="2"/>
      <c r="G494" s="4" t="str">
        <f t="shared" si="50"/>
        <v/>
      </c>
      <c r="H494" s="4" t="str">
        <f>IF(F494="","",_xlfn.XLOOKUP(F494,purchase!D:D,purchase!#REF!,""))</f>
        <v/>
      </c>
      <c r="I494" s="4" t="str">
        <f t="shared" si="51"/>
        <v/>
      </c>
      <c r="J494" s="4" t="str">
        <f t="shared" si="52"/>
        <v/>
      </c>
      <c r="K494" s="13" t="str">
        <f>_xlfn.SINGLE(IF(F494="","",_xlfn.XLOOKUP(F494,purchase!D:D,purchase!#REF!,"")))</f>
        <v/>
      </c>
      <c r="L494" s="2"/>
      <c r="M494" s="32"/>
      <c r="N494" s="13" t="str">
        <f>IF(F494="","",
MAX(0,
_xlfn.XLOOKUP(F494,purchase!D:D,purchase!#REF!,"")
-
SUMIFS(L:L,F:F,F494)))</f>
        <v/>
      </c>
      <c r="O494" s="13" t="str">
        <f t="shared" si="53"/>
        <v/>
      </c>
      <c r="P494" s="35" t="str">
        <f>_xlfn.SINGLE(IF(F494="","",_xlfn.XLOOKUP(F494,purchase!D:D,purchase!K:K,"")))</f>
        <v/>
      </c>
      <c r="Q494" s="29" t="str">
        <f t="shared" si="54"/>
        <v/>
      </c>
      <c r="R494" s="37" t="str">
        <f t="shared" si="55"/>
        <v/>
      </c>
    </row>
    <row r="495" spans="1:18" x14ac:dyDescent="0.35">
      <c r="A495" s="8">
        <v>491</v>
      </c>
      <c r="B495" s="9" t="str">
        <f t="shared" si="49"/>
        <v/>
      </c>
      <c r="C495" s="10"/>
      <c r="D495" s="9" t="str">
        <f>IF(F495="","",_xlfn.XLOOKUP(F495,purchase!D:D,purchase!#REF!,""))</f>
        <v/>
      </c>
      <c r="E495" s="9" t="str">
        <f>IF(F495="","",_xlfn.XLOOKUP(F495,purchase!D:D,purchase!B:B,""))</f>
        <v/>
      </c>
      <c r="F495" s="2"/>
      <c r="G495" s="4" t="str">
        <f t="shared" si="50"/>
        <v/>
      </c>
      <c r="H495" s="4" t="str">
        <f>IF(F495="","",_xlfn.XLOOKUP(F495,purchase!D:D,purchase!#REF!,""))</f>
        <v/>
      </c>
      <c r="I495" s="4" t="str">
        <f t="shared" si="51"/>
        <v/>
      </c>
      <c r="J495" s="4" t="str">
        <f t="shared" si="52"/>
        <v/>
      </c>
      <c r="K495" s="13" t="str">
        <f>_xlfn.SINGLE(IF(F495="","",_xlfn.XLOOKUP(F495,purchase!D:D,purchase!#REF!,"")))</f>
        <v/>
      </c>
      <c r="L495" s="2"/>
      <c r="M495" s="32"/>
      <c r="N495" s="13" t="str">
        <f>IF(F495="","",
MAX(0,
_xlfn.XLOOKUP(F495,purchase!D:D,purchase!#REF!,"")
-
SUMIFS(L:L,F:F,F495)))</f>
        <v/>
      </c>
      <c r="O495" s="13" t="str">
        <f t="shared" si="53"/>
        <v/>
      </c>
      <c r="P495" s="35" t="str">
        <f>_xlfn.SINGLE(IF(F495="","",_xlfn.XLOOKUP(F495,purchase!D:D,purchase!K:K,"")))</f>
        <v/>
      </c>
      <c r="Q495" s="29" t="str">
        <f t="shared" si="54"/>
        <v/>
      </c>
      <c r="R495" s="37" t="str">
        <f t="shared" si="55"/>
        <v/>
      </c>
    </row>
    <row r="496" spans="1:18" x14ac:dyDescent="0.35">
      <c r="A496" s="8">
        <v>492</v>
      </c>
      <c r="B496" s="9" t="str">
        <f t="shared" si="49"/>
        <v/>
      </c>
      <c r="C496" s="10"/>
      <c r="D496" s="9" t="str">
        <f>IF(F496="","",_xlfn.XLOOKUP(F496,purchase!D:D,purchase!#REF!,""))</f>
        <v/>
      </c>
      <c r="E496" s="9" t="str">
        <f>IF(F496="","",_xlfn.XLOOKUP(F496,purchase!D:D,purchase!B:B,""))</f>
        <v/>
      </c>
      <c r="F496" s="2"/>
      <c r="G496" s="4" t="str">
        <f t="shared" si="50"/>
        <v/>
      </c>
      <c r="H496" s="4" t="str">
        <f>IF(F496="","",_xlfn.XLOOKUP(F496,purchase!D:D,purchase!#REF!,""))</f>
        <v/>
      </c>
      <c r="I496" s="4" t="str">
        <f t="shared" si="51"/>
        <v/>
      </c>
      <c r="J496" s="4" t="str">
        <f t="shared" si="52"/>
        <v/>
      </c>
      <c r="K496" s="13" t="str">
        <f>_xlfn.SINGLE(IF(F496="","",_xlfn.XLOOKUP(F496,purchase!D:D,purchase!#REF!,"")))</f>
        <v/>
      </c>
      <c r="L496" s="2"/>
      <c r="M496" s="32"/>
      <c r="N496" s="13" t="str">
        <f>IF(F496="","",
MAX(0,
_xlfn.XLOOKUP(F496,purchase!D:D,purchase!#REF!,"")
-
SUMIFS(L:L,F:F,F496)))</f>
        <v/>
      </c>
      <c r="O496" s="13" t="str">
        <f t="shared" si="53"/>
        <v/>
      </c>
      <c r="P496" s="35" t="str">
        <f>_xlfn.SINGLE(IF(F496="","",_xlfn.XLOOKUP(F496,purchase!D:D,purchase!K:K,"")))</f>
        <v/>
      </c>
      <c r="Q496" s="29" t="str">
        <f t="shared" si="54"/>
        <v/>
      </c>
      <c r="R496" s="37" t="str">
        <f t="shared" si="55"/>
        <v/>
      </c>
    </row>
    <row r="497" spans="1:18" x14ac:dyDescent="0.35">
      <c r="A497" s="8">
        <v>493</v>
      </c>
      <c r="B497" s="9" t="str">
        <f t="shared" si="49"/>
        <v/>
      </c>
      <c r="C497" s="10"/>
      <c r="D497" s="9" t="str">
        <f>IF(F497="","",_xlfn.XLOOKUP(F497,purchase!D:D,purchase!#REF!,""))</f>
        <v/>
      </c>
      <c r="E497" s="9" t="str">
        <f>IF(F497="","",_xlfn.XLOOKUP(F497,purchase!D:D,purchase!B:B,""))</f>
        <v/>
      </c>
      <c r="F497" s="2"/>
      <c r="G497" s="4" t="str">
        <f t="shared" si="50"/>
        <v/>
      </c>
      <c r="H497" s="4" t="str">
        <f>IF(F497="","",_xlfn.XLOOKUP(F497,purchase!D:D,purchase!#REF!,""))</f>
        <v/>
      </c>
      <c r="I497" s="4" t="str">
        <f t="shared" si="51"/>
        <v/>
      </c>
      <c r="J497" s="4" t="str">
        <f t="shared" si="52"/>
        <v/>
      </c>
      <c r="K497" s="13" t="str">
        <f>_xlfn.SINGLE(IF(F497="","",_xlfn.XLOOKUP(F497,purchase!D:D,purchase!#REF!,"")))</f>
        <v/>
      </c>
      <c r="L497" s="2"/>
      <c r="M497" s="32"/>
      <c r="N497" s="13" t="str">
        <f>IF(F497="","",
MAX(0,
_xlfn.XLOOKUP(F497,purchase!D:D,purchase!#REF!,"")
-
SUMIFS(L:L,F:F,F497)))</f>
        <v/>
      </c>
      <c r="O497" s="13" t="str">
        <f t="shared" si="53"/>
        <v/>
      </c>
      <c r="P497" s="35" t="str">
        <f>_xlfn.SINGLE(IF(F497="","",_xlfn.XLOOKUP(F497,purchase!D:D,purchase!K:K,"")))</f>
        <v/>
      </c>
      <c r="Q497" s="29" t="str">
        <f t="shared" si="54"/>
        <v/>
      </c>
      <c r="R497" s="37" t="str">
        <f t="shared" si="55"/>
        <v/>
      </c>
    </row>
    <row r="498" spans="1:18" x14ac:dyDescent="0.35">
      <c r="A498" s="8">
        <v>494</v>
      </c>
      <c r="B498" s="9" t="str">
        <f t="shared" si="49"/>
        <v/>
      </c>
      <c r="C498" s="10"/>
      <c r="D498" s="9" t="str">
        <f>IF(F498="","",_xlfn.XLOOKUP(F498,purchase!D:D,purchase!#REF!,""))</f>
        <v/>
      </c>
      <c r="E498" s="9" t="str">
        <f>IF(F498="","",_xlfn.XLOOKUP(F498,purchase!D:D,purchase!B:B,""))</f>
        <v/>
      </c>
      <c r="F498" s="2"/>
      <c r="G498" s="4" t="str">
        <f t="shared" si="50"/>
        <v/>
      </c>
      <c r="H498" s="4" t="str">
        <f>IF(F498="","",_xlfn.XLOOKUP(F498,purchase!D:D,purchase!#REF!,""))</f>
        <v/>
      </c>
      <c r="I498" s="4" t="str">
        <f t="shared" si="51"/>
        <v/>
      </c>
      <c r="J498" s="4" t="str">
        <f t="shared" si="52"/>
        <v/>
      </c>
      <c r="K498" s="13" t="str">
        <f>_xlfn.SINGLE(IF(F498="","",_xlfn.XLOOKUP(F498,purchase!D:D,purchase!#REF!,"")))</f>
        <v/>
      </c>
      <c r="L498" s="2"/>
      <c r="M498" s="32"/>
      <c r="N498" s="13" t="str">
        <f>IF(F498="","",
MAX(0,
_xlfn.XLOOKUP(F498,purchase!D:D,purchase!#REF!,"")
-
SUMIFS(L:L,F:F,F498)))</f>
        <v/>
      </c>
      <c r="O498" s="13" t="str">
        <f t="shared" si="53"/>
        <v/>
      </c>
      <c r="P498" s="35" t="str">
        <f>_xlfn.SINGLE(IF(F498="","",_xlfn.XLOOKUP(F498,purchase!D:D,purchase!K:K,"")))</f>
        <v/>
      </c>
      <c r="Q498" s="29" t="str">
        <f t="shared" si="54"/>
        <v/>
      </c>
      <c r="R498" s="37" t="str">
        <f t="shared" si="55"/>
        <v/>
      </c>
    </row>
    <row r="499" spans="1:18" x14ac:dyDescent="0.35">
      <c r="A499" s="8">
        <v>495</v>
      </c>
      <c r="B499" s="9" t="str">
        <f t="shared" si="49"/>
        <v/>
      </c>
      <c r="C499" s="10"/>
      <c r="D499" s="9" t="str">
        <f>IF(F499="","",_xlfn.XLOOKUP(F499,purchase!D:D,purchase!#REF!,""))</f>
        <v/>
      </c>
      <c r="E499" s="9" t="str">
        <f>IF(F499="","",_xlfn.XLOOKUP(F499,purchase!D:D,purchase!B:B,""))</f>
        <v/>
      </c>
      <c r="F499" s="2"/>
      <c r="G499" s="4" t="str">
        <f t="shared" si="50"/>
        <v/>
      </c>
      <c r="H499" s="4" t="str">
        <f>IF(F499="","",_xlfn.XLOOKUP(F499,purchase!D:D,purchase!#REF!,""))</f>
        <v/>
      </c>
      <c r="I499" s="4" t="str">
        <f t="shared" si="51"/>
        <v/>
      </c>
      <c r="J499" s="4" t="str">
        <f t="shared" si="52"/>
        <v/>
      </c>
      <c r="K499" s="13" t="str">
        <f>_xlfn.SINGLE(IF(F499="","",_xlfn.XLOOKUP(F499,purchase!D:D,purchase!#REF!,"")))</f>
        <v/>
      </c>
      <c r="L499" s="2"/>
      <c r="M499" s="32"/>
      <c r="N499" s="13" t="str">
        <f>IF(F499="","",
MAX(0,
_xlfn.XLOOKUP(F499,purchase!D:D,purchase!#REF!,"")
-
SUMIFS(L:L,F:F,F499)))</f>
        <v/>
      </c>
      <c r="O499" s="13" t="str">
        <f t="shared" si="53"/>
        <v/>
      </c>
      <c r="P499" s="35" t="str">
        <f>_xlfn.SINGLE(IF(F499="","",_xlfn.XLOOKUP(F499,purchase!D:D,purchase!K:K,"")))</f>
        <v/>
      </c>
      <c r="Q499" s="29" t="str">
        <f t="shared" si="54"/>
        <v/>
      </c>
      <c r="R499" s="37" t="str">
        <f t="shared" si="55"/>
        <v/>
      </c>
    </row>
    <row r="500" spans="1:18" x14ac:dyDescent="0.35">
      <c r="A500" s="8">
        <v>496</v>
      </c>
      <c r="B500" s="9" t="str">
        <f t="shared" si="49"/>
        <v/>
      </c>
      <c r="C500" s="10"/>
      <c r="D500" s="9" t="str">
        <f>IF(F500="","",_xlfn.XLOOKUP(F500,purchase!D:D,purchase!#REF!,""))</f>
        <v/>
      </c>
      <c r="E500" s="9" t="str">
        <f>IF(F500="","",_xlfn.XLOOKUP(F500,purchase!D:D,purchase!B:B,""))</f>
        <v/>
      </c>
      <c r="F500" s="2"/>
      <c r="G500" s="4" t="str">
        <f t="shared" si="50"/>
        <v/>
      </c>
      <c r="H500" s="4" t="str">
        <f>IF(F500="","",_xlfn.XLOOKUP(F500,purchase!D:D,purchase!#REF!,""))</f>
        <v/>
      </c>
      <c r="I500" s="4" t="str">
        <f t="shared" si="51"/>
        <v/>
      </c>
      <c r="J500" s="4" t="str">
        <f t="shared" si="52"/>
        <v/>
      </c>
      <c r="K500" s="13" t="str">
        <f>_xlfn.SINGLE(IF(F500="","",_xlfn.XLOOKUP(F500,purchase!D:D,purchase!#REF!,"")))</f>
        <v/>
      </c>
      <c r="L500" s="2"/>
      <c r="M500" s="32"/>
      <c r="N500" s="13" t="str">
        <f>IF(F500="","",
MAX(0,
_xlfn.XLOOKUP(F500,purchase!D:D,purchase!#REF!,"")
-
SUMIFS(L:L,F:F,F500)))</f>
        <v/>
      </c>
      <c r="O500" s="13" t="str">
        <f t="shared" si="53"/>
        <v/>
      </c>
      <c r="P500" s="35" t="str">
        <f>_xlfn.SINGLE(IF(F500="","",_xlfn.XLOOKUP(F500,purchase!D:D,purchase!K:K,"")))</f>
        <v/>
      </c>
      <c r="Q500" s="29" t="str">
        <f t="shared" si="54"/>
        <v/>
      </c>
      <c r="R500" s="37" t="str">
        <f t="shared" si="55"/>
        <v/>
      </c>
    </row>
    <row r="501" spans="1:18" x14ac:dyDescent="0.35">
      <c r="A501" s="8">
        <v>497</v>
      </c>
      <c r="B501" s="9" t="str">
        <f t="shared" si="49"/>
        <v/>
      </c>
      <c r="C501" s="10"/>
      <c r="D501" s="9" t="str">
        <f>IF(F501="","",_xlfn.XLOOKUP(F501,purchase!D:D,purchase!#REF!,""))</f>
        <v/>
      </c>
      <c r="E501" s="9" t="str">
        <f>IF(F501="","",_xlfn.XLOOKUP(F501,purchase!D:D,purchase!B:B,""))</f>
        <v/>
      </c>
      <c r="F501" s="2"/>
      <c r="G501" s="4" t="str">
        <f t="shared" si="50"/>
        <v/>
      </c>
      <c r="H501" s="4" t="str">
        <f>IF(F501="","",_xlfn.XLOOKUP(F501,purchase!D:D,purchase!#REF!,""))</f>
        <v/>
      </c>
      <c r="I501" s="4" t="str">
        <f t="shared" si="51"/>
        <v/>
      </c>
      <c r="J501" s="4" t="str">
        <f t="shared" si="52"/>
        <v/>
      </c>
      <c r="K501" s="13" t="str">
        <f>_xlfn.SINGLE(IF(F501="","",_xlfn.XLOOKUP(F501,purchase!D:D,purchase!#REF!,"")))</f>
        <v/>
      </c>
      <c r="L501" s="2"/>
      <c r="M501" s="32"/>
      <c r="N501" s="13" t="str">
        <f>IF(F501="","",
MAX(0,
_xlfn.XLOOKUP(F501,purchase!D:D,purchase!#REF!,"")
-
SUMIFS(L:L,F:F,F501)))</f>
        <v/>
      </c>
      <c r="O501" s="13" t="str">
        <f t="shared" si="53"/>
        <v/>
      </c>
      <c r="P501" s="35" t="str">
        <f>_xlfn.SINGLE(IF(F501="","",_xlfn.XLOOKUP(F501,purchase!D:D,purchase!K:K,"")))</f>
        <v/>
      </c>
      <c r="Q501" s="29" t="str">
        <f t="shared" si="54"/>
        <v/>
      </c>
      <c r="R501" s="37" t="str">
        <f t="shared" si="55"/>
        <v/>
      </c>
    </row>
    <row r="502" spans="1:18" x14ac:dyDescent="0.35">
      <c r="A502" s="8">
        <v>498</v>
      </c>
      <c r="B502" s="9" t="str">
        <f t="shared" si="49"/>
        <v/>
      </c>
      <c r="C502" s="10"/>
      <c r="D502" s="9" t="str">
        <f>IF(F502="","",_xlfn.XLOOKUP(F502,purchase!D:D,purchase!#REF!,""))</f>
        <v/>
      </c>
      <c r="E502" s="9" t="str">
        <f>IF(F502="","",_xlfn.XLOOKUP(F502,purchase!D:D,purchase!B:B,""))</f>
        <v/>
      </c>
      <c r="F502" s="2"/>
      <c r="G502" s="4" t="str">
        <f t="shared" si="50"/>
        <v/>
      </c>
      <c r="H502" s="4" t="str">
        <f>IF(F502="","",_xlfn.XLOOKUP(F502,purchase!D:D,purchase!#REF!,""))</f>
        <v/>
      </c>
      <c r="I502" s="4" t="str">
        <f t="shared" si="51"/>
        <v/>
      </c>
      <c r="J502" s="4" t="str">
        <f t="shared" si="52"/>
        <v/>
      </c>
      <c r="K502" s="13" t="str">
        <f>_xlfn.SINGLE(IF(F502="","",_xlfn.XLOOKUP(F502,purchase!D:D,purchase!#REF!,"")))</f>
        <v/>
      </c>
      <c r="L502" s="2"/>
      <c r="M502" s="32"/>
      <c r="N502" s="13" t="str">
        <f>IF(F502="","",
MAX(0,
_xlfn.XLOOKUP(F502,purchase!D:D,purchase!#REF!,"")
-
SUMIFS(L:L,F:F,F502)))</f>
        <v/>
      </c>
      <c r="O502" s="13" t="str">
        <f t="shared" si="53"/>
        <v/>
      </c>
      <c r="P502" s="35" t="str">
        <f>_xlfn.SINGLE(IF(F502="","",_xlfn.XLOOKUP(F502,purchase!D:D,purchase!K:K,"")))</f>
        <v/>
      </c>
      <c r="Q502" s="29" t="str">
        <f t="shared" si="54"/>
        <v/>
      </c>
      <c r="R502" s="37" t="str">
        <f t="shared" si="55"/>
        <v/>
      </c>
    </row>
    <row r="503" spans="1:18" x14ac:dyDescent="0.35">
      <c r="A503" s="8">
        <v>499</v>
      </c>
      <c r="B503" s="9" t="str">
        <f t="shared" si="49"/>
        <v/>
      </c>
      <c r="C503" s="10"/>
      <c r="D503" s="9" t="str">
        <f>IF(F503="","",_xlfn.XLOOKUP(F503,purchase!D:D,purchase!#REF!,""))</f>
        <v/>
      </c>
      <c r="E503" s="9" t="str">
        <f>IF(F503="","",_xlfn.XLOOKUP(F503,purchase!D:D,purchase!B:B,""))</f>
        <v/>
      </c>
      <c r="F503" s="2"/>
      <c r="G503" s="4" t="str">
        <f t="shared" si="50"/>
        <v/>
      </c>
      <c r="H503" s="4" t="str">
        <f>IF(F503="","",_xlfn.XLOOKUP(F503,purchase!D:D,purchase!#REF!,""))</f>
        <v/>
      </c>
      <c r="I503" s="4" t="str">
        <f t="shared" si="51"/>
        <v/>
      </c>
      <c r="J503" s="4" t="str">
        <f t="shared" si="52"/>
        <v/>
      </c>
      <c r="K503" s="13" t="str">
        <f>_xlfn.SINGLE(IF(F503="","",_xlfn.XLOOKUP(F503,purchase!D:D,purchase!#REF!,"")))</f>
        <v/>
      </c>
      <c r="L503" s="2"/>
      <c r="M503" s="32"/>
      <c r="N503" s="13" t="str">
        <f>IF(F503="","",
MAX(0,
_xlfn.XLOOKUP(F503,purchase!D:D,purchase!#REF!,"")
-
SUMIFS(L:L,F:F,F503)))</f>
        <v/>
      </c>
      <c r="O503" s="13" t="str">
        <f t="shared" si="53"/>
        <v/>
      </c>
      <c r="P503" s="35" t="str">
        <f>_xlfn.SINGLE(IF(F503="","",_xlfn.XLOOKUP(F503,purchase!D:D,purchase!K:K,"")))</f>
        <v/>
      </c>
      <c r="Q503" s="29" t="str">
        <f t="shared" si="54"/>
        <v/>
      </c>
      <c r="R503" s="37" t="str">
        <f t="shared" si="55"/>
        <v/>
      </c>
    </row>
    <row r="504" spans="1:18" x14ac:dyDescent="0.35">
      <c r="A504" s="8">
        <v>500</v>
      </c>
      <c r="B504" s="9" t="str">
        <f t="shared" si="49"/>
        <v/>
      </c>
      <c r="C504" s="10"/>
      <c r="D504" s="9" t="str">
        <f>IF(F504="","",_xlfn.XLOOKUP(F504,purchase!D:D,purchase!#REF!,""))</f>
        <v/>
      </c>
      <c r="E504" s="9" t="str">
        <f>IF(F504="","",_xlfn.XLOOKUP(F504,purchase!D:D,purchase!B:B,""))</f>
        <v/>
      </c>
      <c r="F504" s="2"/>
      <c r="G504" s="4" t="str">
        <f t="shared" si="50"/>
        <v/>
      </c>
      <c r="H504" s="4" t="str">
        <f>IF(F504="","",_xlfn.XLOOKUP(F504,purchase!D:D,purchase!#REF!,""))</f>
        <v/>
      </c>
      <c r="I504" s="4" t="str">
        <f t="shared" si="51"/>
        <v/>
      </c>
      <c r="J504" s="4" t="str">
        <f t="shared" si="52"/>
        <v/>
      </c>
      <c r="K504" s="13" t="str">
        <f>_xlfn.SINGLE(IF(F504="","",_xlfn.XLOOKUP(F504,purchase!D:D,purchase!#REF!,"")))</f>
        <v/>
      </c>
      <c r="L504" s="2"/>
      <c r="M504" s="32"/>
      <c r="N504" s="13" t="str">
        <f>IF(F504="","",
MAX(0,
_xlfn.XLOOKUP(F504,purchase!D:D,purchase!#REF!,"")
-
SUMIFS(L:L,F:F,F504)))</f>
        <v/>
      </c>
      <c r="O504" s="13" t="str">
        <f t="shared" si="53"/>
        <v/>
      </c>
      <c r="P504" s="35" t="str">
        <f>_xlfn.SINGLE(IF(F504="","",_xlfn.XLOOKUP(F504,purchase!D:D,purchase!K:K,"")))</f>
        <v/>
      </c>
      <c r="Q504" s="29" t="str">
        <f t="shared" si="54"/>
        <v/>
      </c>
      <c r="R504" s="37" t="str">
        <f t="shared" si="55"/>
        <v/>
      </c>
    </row>
    <row r="505" spans="1:18" x14ac:dyDescent="0.35">
      <c r="A505" s="8">
        <v>501</v>
      </c>
      <c r="B505" s="9" t="str">
        <f t="shared" si="49"/>
        <v/>
      </c>
      <c r="C505" s="10"/>
      <c r="D505" s="9" t="str">
        <f>IF(F505="","",_xlfn.XLOOKUP(F505,purchase!D:D,purchase!#REF!,""))</f>
        <v/>
      </c>
      <c r="E505" s="9" t="str">
        <f>IF(F505="","",_xlfn.XLOOKUP(F505,purchase!D:D,purchase!B:B,""))</f>
        <v/>
      </c>
      <c r="F505" s="2"/>
      <c r="G505" s="4" t="str">
        <f t="shared" si="50"/>
        <v/>
      </c>
      <c r="H505" s="4" t="str">
        <f>IF(F505="","",_xlfn.XLOOKUP(F505,purchase!D:D,purchase!#REF!,""))</f>
        <v/>
      </c>
      <c r="I505" s="4" t="str">
        <f t="shared" si="51"/>
        <v/>
      </c>
      <c r="J505" s="4" t="str">
        <f t="shared" si="52"/>
        <v/>
      </c>
      <c r="K505" s="13" t="str">
        <f>_xlfn.SINGLE(IF(F505="","",_xlfn.XLOOKUP(F505,purchase!D:D,purchase!#REF!,"")))</f>
        <v/>
      </c>
      <c r="L505" s="2"/>
      <c r="M505" s="32"/>
      <c r="N505" s="13" t="str">
        <f>IF(F505="","",
MAX(0,
_xlfn.XLOOKUP(F505,purchase!D:D,purchase!#REF!,"")
-
SUMIFS(L:L,F:F,F505)))</f>
        <v/>
      </c>
      <c r="O505" s="13" t="str">
        <f t="shared" si="53"/>
        <v/>
      </c>
      <c r="P505" s="35" t="str">
        <f>_xlfn.SINGLE(IF(F505="","",_xlfn.XLOOKUP(F505,purchase!D:D,purchase!K:K,"")))</f>
        <v/>
      </c>
      <c r="Q505" s="29" t="str">
        <f t="shared" si="54"/>
        <v/>
      </c>
      <c r="R505" s="37" t="str">
        <f t="shared" si="55"/>
        <v/>
      </c>
    </row>
    <row r="506" spans="1:18" x14ac:dyDescent="0.35">
      <c r="A506" s="8">
        <v>502</v>
      </c>
      <c r="B506" s="9" t="str">
        <f t="shared" si="49"/>
        <v/>
      </c>
      <c r="C506" s="10"/>
      <c r="D506" s="9" t="str">
        <f>IF(F506="","",_xlfn.XLOOKUP(F506,purchase!D:D,purchase!#REF!,""))</f>
        <v/>
      </c>
      <c r="E506" s="9" t="str">
        <f>IF(F506="","",_xlfn.XLOOKUP(F506,purchase!D:D,purchase!B:B,""))</f>
        <v/>
      </c>
      <c r="F506" s="2"/>
      <c r="G506" s="4" t="str">
        <f t="shared" si="50"/>
        <v/>
      </c>
      <c r="H506" s="4" t="str">
        <f>IF(F506="","",_xlfn.XLOOKUP(F506,purchase!D:D,purchase!#REF!,""))</f>
        <v/>
      </c>
      <c r="I506" s="4" t="str">
        <f t="shared" si="51"/>
        <v/>
      </c>
      <c r="J506" s="4" t="str">
        <f t="shared" si="52"/>
        <v/>
      </c>
      <c r="K506" s="13" t="str">
        <f>_xlfn.SINGLE(IF(F506="","",_xlfn.XLOOKUP(F506,purchase!D:D,purchase!#REF!,"")))</f>
        <v/>
      </c>
      <c r="L506" s="2"/>
      <c r="M506" s="32"/>
      <c r="N506" s="13" t="str">
        <f>IF(F506="","",
MAX(0,
_xlfn.XLOOKUP(F506,purchase!D:D,purchase!#REF!,"")
-
SUMIFS(L:L,F:F,F506)))</f>
        <v/>
      </c>
      <c r="O506" s="13" t="str">
        <f t="shared" si="53"/>
        <v/>
      </c>
      <c r="P506" s="35" t="str">
        <f>_xlfn.SINGLE(IF(F506="","",_xlfn.XLOOKUP(F506,purchase!D:D,purchase!K:K,"")))</f>
        <v/>
      </c>
      <c r="Q506" s="29" t="str">
        <f t="shared" si="54"/>
        <v/>
      </c>
      <c r="R506" s="37" t="str">
        <f t="shared" si="55"/>
        <v/>
      </c>
    </row>
    <row r="507" spans="1:18" x14ac:dyDescent="0.35">
      <c r="A507" s="8">
        <v>503</v>
      </c>
      <c r="B507" s="9" t="str">
        <f t="shared" si="49"/>
        <v/>
      </c>
      <c r="C507" s="10"/>
      <c r="D507" s="9" t="str">
        <f>IF(F507="","",_xlfn.XLOOKUP(F507,purchase!D:D,purchase!#REF!,""))</f>
        <v/>
      </c>
      <c r="E507" s="9" t="str">
        <f>IF(F507="","",_xlfn.XLOOKUP(F507,purchase!D:D,purchase!B:B,""))</f>
        <v/>
      </c>
      <c r="F507" s="2"/>
      <c r="G507" s="4" t="str">
        <f t="shared" si="50"/>
        <v/>
      </c>
      <c r="H507" s="4" t="str">
        <f>IF(F507="","",_xlfn.XLOOKUP(F507,purchase!D:D,purchase!#REF!,""))</f>
        <v/>
      </c>
      <c r="I507" s="4" t="str">
        <f t="shared" si="51"/>
        <v/>
      </c>
      <c r="J507" s="4" t="str">
        <f t="shared" si="52"/>
        <v/>
      </c>
      <c r="K507" s="13" t="str">
        <f>_xlfn.SINGLE(IF(F507="","",_xlfn.XLOOKUP(F507,purchase!D:D,purchase!#REF!,"")))</f>
        <v/>
      </c>
      <c r="L507" s="2"/>
      <c r="M507" s="32"/>
      <c r="N507" s="13" t="str">
        <f>IF(F507="","",
MAX(0,
_xlfn.XLOOKUP(F507,purchase!D:D,purchase!#REF!,"")
-
SUMIFS(L:L,F:F,F507)))</f>
        <v/>
      </c>
      <c r="O507" s="13" t="str">
        <f t="shared" si="53"/>
        <v/>
      </c>
      <c r="P507" s="35" t="str">
        <f>_xlfn.SINGLE(IF(F507="","",_xlfn.XLOOKUP(F507,purchase!D:D,purchase!K:K,"")))</f>
        <v/>
      </c>
      <c r="Q507" s="29" t="str">
        <f t="shared" si="54"/>
        <v/>
      </c>
      <c r="R507" s="37" t="str">
        <f t="shared" si="55"/>
        <v/>
      </c>
    </row>
    <row r="508" spans="1:18" x14ac:dyDescent="0.35">
      <c r="A508" s="8">
        <v>504</v>
      </c>
      <c r="B508" s="9" t="str">
        <f t="shared" si="49"/>
        <v/>
      </c>
      <c r="C508" s="10"/>
      <c r="D508" s="9" t="str">
        <f>IF(F508="","",_xlfn.XLOOKUP(F508,purchase!D:D,purchase!#REF!,""))</f>
        <v/>
      </c>
      <c r="E508" s="9" t="str">
        <f>IF(F508="","",_xlfn.XLOOKUP(F508,purchase!D:D,purchase!B:B,""))</f>
        <v/>
      </c>
      <c r="F508" s="2"/>
      <c r="G508" s="4" t="str">
        <f t="shared" si="50"/>
        <v/>
      </c>
      <c r="H508" s="4" t="str">
        <f>IF(F508="","",_xlfn.XLOOKUP(F508,purchase!D:D,purchase!#REF!,""))</f>
        <v/>
      </c>
      <c r="I508" s="4" t="str">
        <f t="shared" si="51"/>
        <v/>
      </c>
      <c r="J508" s="4" t="str">
        <f t="shared" si="52"/>
        <v/>
      </c>
      <c r="K508" s="13" t="str">
        <f>_xlfn.SINGLE(IF(F508="","",_xlfn.XLOOKUP(F508,purchase!D:D,purchase!#REF!,"")))</f>
        <v/>
      </c>
      <c r="L508" s="2"/>
      <c r="M508" s="32"/>
      <c r="N508" s="13" t="str">
        <f>IF(F508="","",
MAX(0,
_xlfn.XLOOKUP(F508,purchase!D:D,purchase!#REF!,"")
-
SUMIFS(L:L,F:F,F508)))</f>
        <v/>
      </c>
      <c r="O508" s="13" t="str">
        <f t="shared" si="53"/>
        <v/>
      </c>
      <c r="P508" s="35" t="str">
        <f>_xlfn.SINGLE(IF(F508="","",_xlfn.XLOOKUP(F508,purchase!D:D,purchase!K:K,"")))</f>
        <v/>
      </c>
      <c r="Q508" s="29" t="str">
        <f t="shared" si="54"/>
        <v/>
      </c>
      <c r="R508" s="37" t="str">
        <f t="shared" si="55"/>
        <v/>
      </c>
    </row>
    <row r="509" spans="1:18" x14ac:dyDescent="0.35">
      <c r="A509" s="8">
        <v>505</v>
      </c>
      <c r="B509" s="9" t="str">
        <f t="shared" si="49"/>
        <v/>
      </c>
      <c r="C509" s="10"/>
      <c r="D509" s="9" t="str">
        <f>IF(F509="","",_xlfn.XLOOKUP(F509,purchase!D:D,purchase!#REF!,""))</f>
        <v/>
      </c>
      <c r="E509" s="9" t="str">
        <f>IF(F509="","",_xlfn.XLOOKUP(F509,purchase!D:D,purchase!B:B,""))</f>
        <v/>
      </c>
      <c r="F509" s="2"/>
      <c r="G509" s="4" t="str">
        <f t="shared" si="50"/>
        <v/>
      </c>
      <c r="H509" s="4" t="str">
        <f>IF(F509="","",_xlfn.XLOOKUP(F509,purchase!D:D,purchase!#REF!,""))</f>
        <v/>
      </c>
      <c r="I509" s="4" t="str">
        <f t="shared" si="51"/>
        <v/>
      </c>
      <c r="J509" s="4" t="str">
        <f t="shared" si="52"/>
        <v/>
      </c>
      <c r="K509" s="13" t="str">
        <f>_xlfn.SINGLE(IF(F509="","",_xlfn.XLOOKUP(F509,purchase!D:D,purchase!#REF!,"")))</f>
        <v/>
      </c>
      <c r="L509" s="2"/>
      <c r="M509" s="32"/>
      <c r="N509" s="13" t="str">
        <f>IF(F509="","",
MAX(0,
_xlfn.XLOOKUP(F509,purchase!D:D,purchase!#REF!,"")
-
SUMIFS(L:L,F:F,F509)))</f>
        <v/>
      </c>
      <c r="O509" s="13" t="str">
        <f t="shared" si="53"/>
        <v/>
      </c>
      <c r="P509" s="35" t="str">
        <f>_xlfn.SINGLE(IF(F509="","",_xlfn.XLOOKUP(F509,purchase!D:D,purchase!K:K,"")))</f>
        <v/>
      </c>
      <c r="Q509" s="29" t="str">
        <f t="shared" si="54"/>
        <v/>
      </c>
      <c r="R509" s="37" t="str">
        <f t="shared" si="55"/>
        <v/>
      </c>
    </row>
    <row r="510" spans="1:18" x14ac:dyDescent="0.35">
      <c r="A510" s="8">
        <v>506</v>
      </c>
      <c r="B510" s="9" t="str">
        <f t="shared" si="49"/>
        <v/>
      </c>
      <c r="C510" s="10"/>
      <c r="D510" s="9" t="str">
        <f>IF(F510="","",_xlfn.XLOOKUP(F510,purchase!D:D,purchase!#REF!,""))</f>
        <v/>
      </c>
      <c r="E510" s="9" t="str">
        <f>IF(F510="","",_xlfn.XLOOKUP(F510,purchase!D:D,purchase!B:B,""))</f>
        <v/>
      </c>
      <c r="F510" s="2"/>
      <c r="G510" s="4" t="str">
        <f t="shared" si="50"/>
        <v/>
      </c>
      <c r="H510" s="4" t="str">
        <f>IF(F510="","",_xlfn.XLOOKUP(F510,purchase!D:D,purchase!#REF!,""))</f>
        <v/>
      </c>
      <c r="I510" s="4" t="str">
        <f t="shared" si="51"/>
        <v/>
      </c>
      <c r="J510" s="4" t="str">
        <f t="shared" si="52"/>
        <v/>
      </c>
      <c r="K510" s="13" t="str">
        <f>_xlfn.SINGLE(IF(F510="","",_xlfn.XLOOKUP(F510,purchase!D:D,purchase!#REF!,"")))</f>
        <v/>
      </c>
      <c r="L510" s="2"/>
      <c r="M510" s="32"/>
      <c r="N510" s="13" t="str">
        <f>IF(F510="","",
MAX(0,
_xlfn.XLOOKUP(F510,purchase!D:D,purchase!#REF!,"")
-
SUMIFS(L:L,F:F,F510)))</f>
        <v/>
      </c>
      <c r="O510" s="13" t="str">
        <f t="shared" si="53"/>
        <v/>
      </c>
      <c r="P510" s="35" t="str">
        <f>_xlfn.SINGLE(IF(F510="","",_xlfn.XLOOKUP(F510,purchase!D:D,purchase!K:K,"")))</f>
        <v/>
      </c>
      <c r="Q510" s="29" t="str">
        <f t="shared" si="54"/>
        <v/>
      </c>
      <c r="R510" s="37" t="str">
        <f t="shared" si="55"/>
        <v/>
      </c>
    </row>
    <row r="511" spans="1:18" x14ac:dyDescent="0.35">
      <c r="A511" s="8">
        <v>507</v>
      </c>
      <c r="B511" s="9" t="str">
        <f t="shared" si="49"/>
        <v/>
      </c>
      <c r="C511" s="10"/>
      <c r="D511" s="9" t="str">
        <f>IF(F511="","",_xlfn.XLOOKUP(F511,purchase!D:D,purchase!#REF!,""))</f>
        <v/>
      </c>
      <c r="E511" s="9" t="str">
        <f>IF(F511="","",_xlfn.XLOOKUP(F511,purchase!D:D,purchase!B:B,""))</f>
        <v/>
      </c>
      <c r="F511" s="2"/>
      <c r="G511" s="4" t="str">
        <f t="shared" si="50"/>
        <v/>
      </c>
      <c r="H511" s="4" t="str">
        <f>IF(F511="","",_xlfn.XLOOKUP(F511,purchase!D:D,purchase!#REF!,""))</f>
        <v/>
      </c>
      <c r="I511" s="4" t="str">
        <f t="shared" si="51"/>
        <v/>
      </c>
      <c r="J511" s="4" t="str">
        <f t="shared" si="52"/>
        <v/>
      </c>
      <c r="K511" s="13" t="str">
        <f>_xlfn.SINGLE(IF(F511="","",_xlfn.XLOOKUP(F511,purchase!D:D,purchase!#REF!,"")))</f>
        <v/>
      </c>
      <c r="L511" s="2"/>
      <c r="M511" s="32"/>
      <c r="N511" s="13" t="str">
        <f>IF(F511="","",
MAX(0,
_xlfn.XLOOKUP(F511,purchase!D:D,purchase!#REF!,"")
-
SUMIFS(L:L,F:F,F511)))</f>
        <v/>
      </c>
      <c r="O511" s="13" t="str">
        <f t="shared" si="53"/>
        <v/>
      </c>
      <c r="P511" s="35" t="str">
        <f>_xlfn.SINGLE(IF(F511="","",_xlfn.XLOOKUP(F511,purchase!D:D,purchase!K:K,"")))</f>
        <v/>
      </c>
      <c r="Q511" s="29" t="str">
        <f t="shared" si="54"/>
        <v/>
      </c>
      <c r="R511" s="37" t="str">
        <f t="shared" si="55"/>
        <v/>
      </c>
    </row>
    <row r="512" spans="1:18" x14ac:dyDescent="0.35">
      <c r="A512" s="8">
        <v>508</v>
      </c>
      <c r="B512" s="9" t="str">
        <f t="shared" si="49"/>
        <v/>
      </c>
      <c r="C512" s="10"/>
      <c r="D512" s="9" t="str">
        <f>IF(F512="","",_xlfn.XLOOKUP(F512,purchase!D:D,purchase!#REF!,""))</f>
        <v/>
      </c>
      <c r="E512" s="9" t="str">
        <f>IF(F512="","",_xlfn.XLOOKUP(F512,purchase!D:D,purchase!B:B,""))</f>
        <v/>
      </c>
      <c r="F512" s="2"/>
      <c r="G512" s="4" t="str">
        <f t="shared" si="50"/>
        <v/>
      </c>
      <c r="H512" s="4" t="str">
        <f>IF(F512="","",_xlfn.XLOOKUP(F512,purchase!D:D,purchase!#REF!,""))</f>
        <v/>
      </c>
      <c r="I512" s="4" t="str">
        <f t="shared" si="51"/>
        <v/>
      </c>
      <c r="J512" s="4" t="str">
        <f t="shared" si="52"/>
        <v/>
      </c>
      <c r="K512" s="13" t="str">
        <f>_xlfn.SINGLE(IF(F512="","",_xlfn.XLOOKUP(F512,purchase!D:D,purchase!#REF!,"")))</f>
        <v/>
      </c>
      <c r="L512" s="2"/>
      <c r="M512" s="32"/>
      <c r="N512" s="13" t="str">
        <f>IF(F512="","",
MAX(0,
_xlfn.XLOOKUP(F512,purchase!D:D,purchase!#REF!,"")
-
SUMIFS(L:L,F:F,F512)))</f>
        <v/>
      </c>
      <c r="O512" s="13" t="str">
        <f t="shared" si="53"/>
        <v/>
      </c>
      <c r="P512" s="35" t="str">
        <f>_xlfn.SINGLE(IF(F512="","",_xlfn.XLOOKUP(F512,purchase!D:D,purchase!K:K,"")))</f>
        <v/>
      </c>
      <c r="Q512" s="29" t="str">
        <f t="shared" si="54"/>
        <v/>
      </c>
      <c r="R512" s="37" t="str">
        <f t="shared" si="55"/>
        <v/>
      </c>
    </row>
    <row r="513" spans="1:18" x14ac:dyDescent="0.35">
      <c r="A513" s="8">
        <v>509</v>
      </c>
      <c r="B513" s="9" t="str">
        <f t="shared" si="49"/>
        <v/>
      </c>
      <c r="C513" s="10"/>
      <c r="D513" s="9" t="str">
        <f>IF(F513="","",_xlfn.XLOOKUP(F513,purchase!D:D,purchase!#REF!,""))</f>
        <v/>
      </c>
      <c r="E513" s="9" t="str">
        <f>IF(F513="","",_xlfn.XLOOKUP(F513,purchase!D:D,purchase!B:B,""))</f>
        <v/>
      </c>
      <c r="F513" s="2"/>
      <c r="G513" s="4" t="str">
        <f t="shared" si="50"/>
        <v/>
      </c>
      <c r="H513" s="4" t="str">
        <f>IF(F513="","",_xlfn.XLOOKUP(F513,purchase!D:D,purchase!#REF!,""))</f>
        <v/>
      </c>
      <c r="I513" s="4" t="str">
        <f t="shared" si="51"/>
        <v/>
      </c>
      <c r="J513" s="4" t="str">
        <f t="shared" si="52"/>
        <v/>
      </c>
      <c r="K513" s="13" t="str">
        <f>_xlfn.SINGLE(IF(F513="","",_xlfn.XLOOKUP(F513,purchase!D:D,purchase!#REF!,"")))</f>
        <v/>
      </c>
      <c r="L513" s="2"/>
      <c r="M513" s="32"/>
      <c r="N513" s="13" t="str">
        <f>IF(F513="","",
MAX(0,
_xlfn.XLOOKUP(F513,purchase!D:D,purchase!#REF!,"")
-
SUMIFS(L:L,F:F,F513)))</f>
        <v/>
      </c>
      <c r="O513" s="13" t="str">
        <f t="shared" si="53"/>
        <v/>
      </c>
      <c r="P513" s="35" t="str">
        <f>_xlfn.SINGLE(IF(F513="","",_xlfn.XLOOKUP(F513,purchase!D:D,purchase!K:K,"")))</f>
        <v/>
      </c>
      <c r="Q513" s="29" t="str">
        <f t="shared" si="54"/>
        <v/>
      </c>
      <c r="R513" s="37" t="str">
        <f t="shared" si="55"/>
        <v/>
      </c>
    </row>
    <row r="514" spans="1:18" x14ac:dyDescent="0.35">
      <c r="A514" s="8">
        <v>510</v>
      </c>
      <c r="B514" s="9" t="str">
        <f t="shared" si="49"/>
        <v/>
      </c>
      <c r="C514" s="10"/>
      <c r="D514" s="9" t="str">
        <f>IF(F514="","",_xlfn.XLOOKUP(F514,purchase!D:D,purchase!#REF!,""))</f>
        <v/>
      </c>
      <c r="E514" s="9" t="str">
        <f>IF(F514="","",_xlfn.XLOOKUP(F514,purchase!D:D,purchase!B:B,""))</f>
        <v/>
      </c>
      <c r="F514" s="2"/>
      <c r="G514" s="4" t="str">
        <f t="shared" si="50"/>
        <v/>
      </c>
      <c r="H514" s="4" t="str">
        <f>IF(F514="","",_xlfn.XLOOKUP(F514,purchase!D:D,purchase!#REF!,""))</f>
        <v/>
      </c>
      <c r="I514" s="4" t="str">
        <f t="shared" si="51"/>
        <v/>
      </c>
      <c r="J514" s="4" t="str">
        <f t="shared" si="52"/>
        <v/>
      </c>
      <c r="K514" s="13" t="str">
        <f>_xlfn.SINGLE(IF(F514="","",_xlfn.XLOOKUP(F514,purchase!D:D,purchase!#REF!,"")))</f>
        <v/>
      </c>
      <c r="L514" s="2"/>
      <c r="M514" s="32"/>
      <c r="N514" s="13" t="str">
        <f>IF(F514="","",
MAX(0,
_xlfn.XLOOKUP(F514,purchase!D:D,purchase!#REF!,"")
-
SUMIFS(L:L,F:F,F514)))</f>
        <v/>
      </c>
      <c r="O514" s="13" t="str">
        <f t="shared" si="53"/>
        <v/>
      </c>
      <c r="P514" s="35" t="str">
        <f>_xlfn.SINGLE(IF(F514="","",_xlfn.XLOOKUP(F514,purchase!D:D,purchase!K:K,"")))</f>
        <v/>
      </c>
      <c r="Q514" s="29" t="str">
        <f t="shared" si="54"/>
        <v/>
      </c>
      <c r="R514" s="37" t="str">
        <f t="shared" si="55"/>
        <v/>
      </c>
    </row>
    <row r="515" spans="1:18" x14ac:dyDescent="0.35">
      <c r="A515" s="8">
        <v>511</v>
      </c>
      <c r="B515" s="9" t="str">
        <f t="shared" si="49"/>
        <v/>
      </c>
      <c r="C515" s="10"/>
      <c r="D515" s="9" t="str">
        <f>IF(F515="","",_xlfn.XLOOKUP(F515,purchase!D:D,purchase!#REF!,""))</f>
        <v/>
      </c>
      <c r="E515" s="9" t="str">
        <f>IF(F515="","",_xlfn.XLOOKUP(F515,purchase!D:D,purchase!B:B,""))</f>
        <v/>
      </c>
      <c r="F515" s="2"/>
      <c r="G515" s="4" t="str">
        <f t="shared" si="50"/>
        <v/>
      </c>
      <c r="H515" s="4" t="str">
        <f>IF(F515="","",_xlfn.XLOOKUP(F515,purchase!D:D,purchase!#REF!,""))</f>
        <v/>
      </c>
      <c r="I515" s="4" t="str">
        <f t="shared" si="51"/>
        <v/>
      </c>
      <c r="J515" s="4" t="str">
        <f t="shared" si="52"/>
        <v/>
      </c>
      <c r="K515" s="13" t="str">
        <f>_xlfn.SINGLE(IF(F515="","",_xlfn.XLOOKUP(F515,purchase!D:D,purchase!#REF!,"")))</f>
        <v/>
      </c>
      <c r="L515" s="2"/>
      <c r="M515" s="32"/>
      <c r="N515" s="13" t="str">
        <f>IF(F515="","",
MAX(0,
_xlfn.XLOOKUP(F515,purchase!D:D,purchase!#REF!,"")
-
SUMIFS(L:L,F:F,F515)))</f>
        <v/>
      </c>
      <c r="O515" s="13" t="str">
        <f t="shared" si="53"/>
        <v/>
      </c>
      <c r="P515" s="35" t="str">
        <f>_xlfn.SINGLE(IF(F515="","",_xlfn.XLOOKUP(F515,purchase!D:D,purchase!K:K,"")))</f>
        <v/>
      </c>
      <c r="Q515" s="29" t="str">
        <f t="shared" si="54"/>
        <v/>
      </c>
      <c r="R515" s="37" t="str">
        <f t="shared" si="55"/>
        <v/>
      </c>
    </row>
    <row r="516" spans="1:18" x14ac:dyDescent="0.35">
      <c r="A516" s="8">
        <v>512</v>
      </c>
      <c r="B516" s="9" t="str">
        <f t="shared" si="49"/>
        <v/>
      </c>
      <c r="C516" s="10"/>
      <c r="D516" s="9" t="str">
        <f>IF(F516="","",_xlfn.XLOOKUP(F516,purchase!D:D,purchase!#REF!,""))</f>
        <v/>
      </c>
      <c r="E516" s="9" t="str">
        <f>IF(F516="","",_xlfn.XLOOKUP(F516,purchase!D:D,purchase!B:B,""))</f>
        <v/>
      </c>
      <c r="F516" s="2"/>
      <c r="G516" s="4" t="str">
        <f t="shared" si="50"/>
        <v/>
      </c>
      <c r="H516" s="4" t="str">
        <f>IF(F516="","",_xlfn.XLOOKUP(F516,purchase!D:D,purchase!#REF!,""))</f>
        <v/>
      </c>
      <c r="I516" s="4" t="str">
        <f t="shared" si="51"/>
        <v/>
      </c>
      <c r="J516" s="4" t="str">
        <f t="shared" si="52"/>
        <v/>
      </c>
      <c r="K516" s="13" t="str">
        <f>_xlfn.SINGLE(IF(F516="","",_xlfn.XLOOKUP(F516,purchase!D:D,purchase!#REF!,"")))</f>
        <v/>
      </c>
      <c r="L516" s="2"/>
      <c r="M516" s="32"/>
      <c r="N516" s="13" t="str">
        <f>IF(F516="","",
MAX(0,
_xlfn.XLOOKUP(F516,purchase!D:D,purchase!#REF!,"")
-
SUMIFS(L:L,F:F,F516)))</f>
        <v/>
      </c>
      <c r="O516" s="13" t="str">
        <f t="shared" si="53"/>
        <v/>
      </c>
      <c r="P516" s="35" t="str">
        <f>_xlfn.SINGLE(IF(F516="","",_xlfn.XLOOKUP(F516,purchase!D:D,purchase!K:K,"")))</f>
        <v/>
      </c>
      <c r="Q516" s="29" t="str">
        <f t="shared" si="54"/>
        <v/>
      </c>
      <c r="R516" s="37" t="str">
        <f t="shared" si="55"/>
        <v/>
      </c>
    </row>
    <row r="517" spans="1:18" x14ac:dyDescent="0.35">
      <c r="A517" s="8">
        <v>513</v>
      </c>
      <c r="B517" s="9" t="str">
        <f t="shared" ref="B517:B580" si="56">IF(OR(C517="",F517=""),"",
"PRD-" &amp;
TEXT(DAY(C517),"00") &amp;
CHOOSE(MONTH(C517),"A","B","C","D","E","F","G","H","I","J","K","L") &amp;
TEXT(YEAR(C517),"00") &amp;
"-" &amp;
RIGHT(F517,4))</f>
        <v/>
      </c>
      <c r="C517" s="10"/>
      <c r="D517" s="9" t="str">
        <f>IF(F517="","",_xlfn.XLOOKUP(F517,purchase!D:D,purchase!#REF!,""))</f>
        <v/>
      </c>
      <c r="E517" s="9" t="str">
        <f>IF(F517="","",_xlfn.XLOOKUP(F517,purchase!D:D,purchase!B:B,""))</f>
        <v/>
      </c>
      <c r="F517" s="2"/>
      <c r="G517" s="4" t="str">
        <f t="shared" ref="G517:G580" si="57">IF(H517="NRFC","Natural Rubber Field Coagulam","")</f>
        <v/>
      </c>
      <c r="H517" s="4" t="str">
        <f>IF(F517="","",_xlfn.XLOOKUP(F517,purchase!D:D,purchase!#REF!,""))</f>
        <v/>
      </c>
      <c r="I517" s="4" t="str">
        <f t="shared" ref="I517:I580" si="58">IF(J517="ISNR20","Natural Rubber-TSNR (ISNR-20)","")</f>
        <v/>
      </c>
      <c r="J517" s="4" t="str">
        <f t="shared" ref="J517:J580" si="59">IF(H517="NRFC","ISNR20","")</f>
        <v/>
      </c>
      <c r="K517" s="13" t="str">
        <f>_xlfn.SINGLE(IF(F517="","",_xlfn.XLOOKUP(F517,purchase!D:D,purchase!#REF!,"")))</f>
        <v/>
      </c>
      <c r="L517" s="2"/>
      <c r="M517" s="32"/>
      <c r="N517" s="13" t="str">
        <f>IF(F517="","",
MAX(0,
_xlfn.XLOOKUP(F517,purchase!D:D,purchase!#REF!,"")
-
SUMIFS(L:L,F:F,F517)))</f>
        <v/>
      </c>
      <c r="O517" s="13" t="str">
        <f t="shared" ref="O517:O580" si="60">IF(OR(L517="",M517=""),"",L517-M517)</f>
        <v/>
      </c>
      <c r="P517" s="35" t="str">
        <f>_xlfn.SINGLE(IF(F517="","",_xlfn.XLOOKUP(F517,purchase!D:D,purchase!K:K,"")))</f>
        <v/>
      </c>
      <c r="Q517" s="29" t="str">
        <f t="shared" ref="Q517:Q580" si="61">IF(OR(L517="",M517=""),"",M517/L517)</f>
        <v/>
      </c>
      <c r="R517" s="37" t="str">
        <f t="shared" ref="R517:R580" si="62">IF(OR(P517="",Q517=""),"",Q517-P517)</f>
        <v/>
      </c>
    </row>
    <row r="518" spans="1:18" x14ac:dyDescent="0.35">
      <c r="A518" s="8">
        <v>514</v>
      </c>
      <c r="B518" s="9" t="str">
        <f t="shared" si="56"/>
        <v/>
      </c>
      <c r="C518" s="10"/>
      <c r="D518" s="9" t="str">
        <f>IF(F518="","",_xlfn.XLOOKUP(F518,purchase!D:D,purchase!#REF!,""))</f>
        <v/>
      </c>
      <c r="E518" s="9" t="str">
        <f>IF(F518="","",_xlfn.XLOOKUP(F518,purchase!D:D,purchase!B:B,""))</f>
        <v/>
      </c>
      <c r="F518" s="2"/>
      <c r="G518" s="4" t="str">
        <f t="shared" si="57"/>
        <v/>
      </c>
      <c r="H518" s="4" t="str">
        <f>IF(F518="","",_xlfn.XLOOKUP(F518,purchase!D:D,purchase!#REF!,""))</f>
        <v/>
      </c>
      <c r="I518" s="4" t="str">
        <f t="shared" si="58"/>
        <v/>
      </c>
      <c r="J518" s="4" t="str">
        <f t="shared" si="59"/>
        <v/>
      </c>
      <c r="K518" s="13" t="str">
        <f>_xlfn.SINGLE(IF(F518="","",_xlfn.XLOOKUP(F518,purchase!D:D,purchase!#REF!,"")))</f>
        <v/>
      </c>
      <c r="L518" s="2"/>
      <c r="M518" s="32"/>
      <c r="N518" s="13" t="str">
        <f>IF(F518="","",
MAX(0,
_xlfn.XLOOKUP(F518,purchase!D:D,purchase!#REF!,"")
-
SUMIFS(L:L,F:F,F518)))</f>
        <v/>
      </c>
      <c r="O518" s="13" t="str">
        <f t="shared" si="60"/>
        <v/>
      </c>
      <c r="P518" s="35" t="str">
        <f>_xlfn.SINGLE(IF(F518="","",_xlfn.XLOOKUP(F518,purchase!D:D,purchase!K:K,"")))</f>
        <v/>
      </c>
      <c r="Q518" s="29" t="str">
        <f t="shared" si="61"/>
        <v/>
      </c>
      <c r="R518" s="37" t="str">
        <f t="shared" si="62"/>
        <v/>
      </c>
    </row>
    <row r="519" spans="1:18" x14ac:dyDescent="0.35">
      <c r="A519" s="8">
        <v>515</v>
      </c>
      <c r="B519" s="9" t="str">
        <f t="shared" si="56"/>
        <v/>
      </c>
      <c r="C519" s="10"/>
      <c r="D519" s="9" t="str">
        <f>IF(F519="","",_xlfn.XLOOKUP(F519,purchase!D:D,purchase!#REF!,""))</f>
        <v/>
      </c>
      <c r="E519" s="9" t="str">
        <f>IF(F519="","",_xlfn.XLOOKUP(F519,purchase!D:D,purchase!B:B,""))</f>
        <v/>
      </c>
      <c r="F519" s="2"/>
      <c r="G519" s="4" t="str">
        <f t="shared" si="57"/>
        <v/>
      </c>
      <c r="H519" s="4" t="str">
        <f>IF(F519="","",_xlfn.XLOOKUP(F519,purchase!D:D,purchase!#REF!,""))</f>
        <v/>
      </c>
      <c r="I519" s="4" t="str">
        <f t="shared" si="58"/>
        <v/>
      </c>
      <c r="J519" s="4" t="str">
        <f t="shared" si="59"/>
        <v/>
      </c>
      <c r="K519" s="13" t="str">
        <f>_xlfn.SINGLE(IF(F519="","",_xlfn.XLOOKUP(F519,purchase!D:D,purchase!#REF!,"")))</f>
        <v/>
      </c>
      <c r="L519" s="2"/>
      <c r="M519" s="32"/>
      <c r="N519" s="13" t="str">
        <f>IF(F519="","",
MAX(0,
_xlfn.XLOOKUP(F519,purchase!D:D,purchase!#REF!,"")
-
SUMIFS(L:L,F:F,F519)))</f>
        <v/>
      </c>
      <c r="O519" s="13" t="str">
        <f t="shared" si="60"/>
        <v/>
      </c>
      <c r="P519" s="35" t="str">
        <f>_xlfn.SINGLE(IF(F519="","",_xlfn.XLOOKUP(F519,purchase!D:D,purchase!K:K,"")))</f>
        <v/>
      </c>
      <c r="Q519" s="29" t="str">
        <f t="shared" si="61"/>
        <v/>
      </c>
      <c r="R519" s="37" t="str">
        <f t="shared" si="62"/>
        <v/>
      </c>
    </row>
    <row r="520" spans="1:18" x14ac:dyDescent="0.35">
      <c r="A520" s="8">
        <v>516</v>
      </c>
      <c r="B520" s="9" t="str">
        <f t="shared" si="56"/>
        <v/>
      </c>
      <c r="C520" s="10"/>
      <c r="D520" s="9" t="str">
        <f>IF(F520="","",_xlfn.XLOOKUP(F520,purchase!D:D,purchase!#REF!,""))</f>
        <v/>
      </c>
      <c r="E520" s="9" t="str">
        <f>IF(F520="","",_xlfn.XLOOKUP(F520,purchase!D:D,purchase!B:B,""))</f>
        <v/>
      </c>
      <c r="F520" s="2"/>
      <c r="G520" s="4" t="str">
        <f t="shared" si="57"/>
        <v/>
      </c>
      <c r="H520" s="4" t="str">
        <f>IF(F520="","",_xlfn.XLOOKUP(F520,purchase!D:D,purchase!#REF!,""))</f>
        <v/>
      </c>
      <c r="I520" s="4" t="str">
        <f t="shared" si="58"/>
        <v/>
      </c>
      <c r="J520" s="4" t="str">
        <f t="shared" si="59"/>
        <v/>
      </c>
      <c r="K520" s="13" t="str">
        <f>_xlfn.SINGLE(IF(F520="","",_xlfn.XLOOKUP(F520,purchase!D:D,purchase!#REF!,"")))</f>
        <v/>
      </c>
      <c r="L520" s="2"/>
      <c r="M520" s="32"/>
      <c r="N520" s="13" t="str">
        <f>IF(F520="","",
MAX(0,
_xlfn.XLOOKUP(F520,purchase!D:D,purchase!#REF!,"")
-
SUMIFS(L:L,F:F,F520)))</f>
        <v/>
      </c>
      <c r="O520" s="13" t="str">
        <f t="shared" si="60"/>
        <v/>
      </c>
      <c r="P520" s="35" t="str">
        <f>_xlfn.SINGLE(IF(F520="","",_xlfn.XLOOKUP(F520,purchase!D:D,purchase!K:K,"")))</f>
        <v/>
      </c>
      <c r="Q520" s="29" t="str">
        <f t="shared" si="61"/>
        <v/>
      </c>
      <c r="R520" s="37" t="str">
        <f t="shared" si="62"/>
        <v/>
      </c>
    </row>
    <row r="521" spans="1:18" x14ac:dyDescent="0.35">
      <c r="A521" s="8">
        <v>517</v>
      </c>
      <c r="B521" s="9" t="str">
        <f t="shared" si="56"/>
        <v/>
      </c>
      <c r="C521" s="10"/>
      <c r="D521" s="9" t="str">
        <f>IF(F521="","",_xlfn.XLOOKUP(F521,purchase!D:D,purchase!#REF!,""))</f>
        <v/>
      </c>
      <c r="E521" s="9" t="str">
        <f>IF(F521="","",_xlfn.XLOOKUP(F521,purchase!D:D,purchase!B:B,""))</f>
        <v/>
      </c>
      <c r="F521" s="2"/>
      <c r="G521" s="4" t="str">
        <f t="shared" si="57"/>
        <v/>
      </c>
      <c r="H521" s="4" t="str">
        <f>IF(F521="","",_xlfn.XLOOKUP(F521,purchase!D:D,purchase!#REF!,""))</f>
        <v/>
      </c>
      <c r="I521" s="4" t="str">
        <f t="shared" si="58"/>
        <v/>
      </c>
      <c r="J521" s="4" t="str">
        <f t="shared" si="59"/>
        <v/>
      </c>
      <c r="K521" s="13" t="str">
        <f>_xlfn.SINGLE(IF(F521="","",_xlfn.XLOOKUP(F521,purchase!D:D,purchase!#REF!,"")))</f>
        <v/>
      </c>
      <c r="L521" s="2"/>
      <c r="M521" s="32"/>
      <c r="N521" s="13" t="str">
        <f>IF(F521="","",
MAX(0,
_xlfn.XLOOKUP(F521,purchase!D:D,purchase!#REF!,"")
-
SUMIFS(L:L,F:F,F521)))</f>
        <v/>
      </c>
      <c r="O521" s="13" t="str">
        <f t="shared" si="60"/>
        <v/>
      </c>
      <c r="P521" s="35" t="str">
        <f>_xlfn.SINGLE(IF(F521="","",_xlfn.XLOOKUP(F521,purchase!D:D,purchase!K:K,"")))</f>
        <v/>
      </c>
      <c r="Q521" s="29" t="str">
        <f t="shared" si="61"/>
        <v/>
      </c>
      <c r="R521" s="37" t="str">
        <f t="shared" si="62"/>
        <v/>
      </c>
    </row>
    <row r="522" spans="1:18" x14ac:dyDescent="0.35">
      <c r="A522" s="8">
        <v>518</v>
      </c>
      <c r="B522" s="9" t="str">
        <f t="shared" si="56"/>
        <v/>
      </c>
      <c r="C522" s="10"/>
      <c r="D522" s="9" t="str">
        <f>IF(F522="","",_xlfn.XLOOKUP(F522,purchase!D:D,purchase!#REF!,""))</f>
        <v/>
      </c>
      <c r="E522" s="9" t="str">
        <f>IF(F522="","",_xlfn.XLOOKUP(F522,purchase!D:D,purchase!B:B,""))</f>
        <v/>
      </c>
      <c r="F522" s="2"/>
      <c r="G522" s="4" t="str">
        <f t="shared" si="57"/>
        <v/>
      </c>
      <c r="H522" s="4" t="str">
        <f>IF(F522="","",_xlfn.XLOOKUP(F522,purchase!D:D,purchase!#REF!,""))</f>
        <v/>
      </c>
      <c r="I522" s="4" t="str">
        <f t="shared" si="58"/>
        <v/>
      </c>
      <c r="J522" s="4" t="str">
        <f t="shared" si="59"/>
        <v/>
      </c>
      <c r="K522" s="13" t="str">
        <f>_xlfn.SINGLE(IF(F522="","",_xlfn.XLOOKUP(F522,purchase!D:D,purchase!#REF!,"")))</f>
        <v/>
      </c>
      <c r="L522" s="2"/>
      <c r="M522" s="32"/>
      <c r="N522" s="13" t="str">
        <f>IF(F522="","",
MAX(0,
_xlfn.XLOOKUP(F522,purchase!D:D,purchase!#REF!,"")
-
SUMIFS(L:L,F:F,F522)))</f>
        <v/>
      </c>
      <c r="O522" s="13" t="str">
        <f t="shared" si="60"/>
        <v/>
      </c>
      <c r="P522" s="35" t="str">
        <f>_xlfn.SINGLE(IF(F522="","",_xlfn.XLOOKUP(F522,purchase!D:D,purchase!K:K,"")))</f>
        <v/>
      </c>
      <c r="Q522" s="29" t="str">
        <f t="shared" si="61"/>
        <v/>
      </c>
      <c r="R522" s="37" t="str">
        <f t="shared" si="62"/>
        <v/>
      </c>
    </row>
    <row r="523" spans="1:18" x14ac:dyDescent="0.35">
      <c r="A523" s="8">
        <v>519</v>
      </c>
      <c r="B523" s="9" t="str">
        <f t="shared" si="56"/>
        <v/>
      </c>
      <c r="C523" s="10"/>
      <c r="D523" s="9" t="str">
        <f>IF(F523="","",_xlfn.XLOOKUP(F523,purchase!D:D,purchase!#REF!,""))</f>
        <v/>
      </c>
      <c r="E523" s="9" t="str">
        <f>IF(F523="","",_xlfn.XLOOKUP(F523,purchase!D:D,purchase!B:B,""))</f>
        <v/>
      </c>
      <c r="F523" s="2"/>
      <c r="G523" s="4" t="str">
        <f t="shared" si="57"/>
        <v/>
      </c>
      <c r="H523" s="4" t="str">
        <f>IF(F523="","",_xlfn.XLOOKUP(F523,purchase!D:D,purchase!#REF!,""))</f>
        <v/>
      </c>
      <c r="I523" s="4" t="str">
        <f t="shared" si="58"/>
        <v/>
      </c>
      <c r="J523" s="4" t="str">
        <f t="shared" si="59"/>
        <v/>
      </c>
      <c r="K523" s="13" t="str">
        <f>_xlfn.SINGLE(IF(F523="","",_xlfn.XLOOKUP(F523,purchase!D:D,purchase!#REF!,"")))</f>
        <v/>
      </c>
      <c r="L523" s="2"/>
      <c r="M523" s="32"/>
      <c r="N523" s="13" t="str">
        <f>IF(F523="","",
MAX(0,
_xlfn.XLOOKUP(F523,purchase!D:D,purchase!#REF!,"")
-
SUMIFS(L:L,F:F,F523)))</f>
        <v/>
      </c>
      <c r="O523" s="13" t="str">
        <f t="shared" si="60"/>
        <v/>
      </c>
      <c r="P523" s="35" t="str">
        <f>_xlfn.SINGLE(IF(F523="","",_xlfn.XLOOKUP(F523,purchase!D:D,purchase!K:K,"")))</f>
        <v/>
      </c>
      <c r="Q523" s="29" t="str">
        <f t="shared" si="61"/>
        <v/>
      </c>
      <c r="R523" s="37" t="str">
        <f t="shared" si="62"/>
        <v/>
      </c>
    </row>
    <row r="524" spans="1:18" x14ac:dyDescent="0.35">
      <c r="A524" s="8">
        <v>520</v>
      </c>
      <c r="B524" s="9" t="str">
        <f t="shared" si="56"/>
        <v/>
      </c>
      <c r="C524" s="10"/>
      <c r="D524" s="9" t="str">
        <f>IF(F524="","",_xlfn.XLOOKUP(F524,purchase!D:D,purchase!#REF!,""))</f>
        <v/>
      </c>
      <c r="E524" s="9" t="str">
        <f>IF(F524="","",_xlfn.XLOOKUP(F524,purchase!D:D,purchase!B:B,""))</f>
        <v/>
      </c>
      <c r="F524" s="2"/>
      <c r="G524" s="4" t="str">
        <f t="shared" si="57"/>
        <v/>
      </c>
      <c r="H524" s="4" t="str">
        <f>IF(F524="","",_xlfn.XLOOKUP(F524,purchase!D:D,purchase!#REF!,""))</f>
        <v/>
      </c>
      <c r="I524" s="4" t="str">
        <f t="shared" si="58"/>
        <v/>
      </c>
      <c r="J524" s="4" t="str">
        <f t="shared" si="59"/>
        <v/>
      </c>
      <c r="K524" s="13" t="str">
        <f>_xlfn.SINGLE(IF(F524="","",_xlfn.XLOOKUP(F524,purchase!D:D,purchase!#REF!,"")))</f>
        <v/>
      </c>
      <c r="L524" s="2"/>
      <c r="M524" s="32"/>
      <c r="N524" s="13" t="str">
        <f>IF(F524="","",
MAX(0,
_xlfn.XLOOKUP(F524,purchase!D:D,purchase!#REF!,"")
-
SUMIFS(L:L,F:F,F524)))</f>
        <v/>
      </c>
      <c r="O524" s="13" t="str">
        <f t="shared" si="60"/>
        <v/>
      </c>
      <c r="P524" s="35" t="str">
        <f>_xlfn.SINGLE(IF(F524="","",_xlfn.XLOOKUP(F524,purchase!D:D,purchase!K:K,"")))</f>
        <v/>
      </c>
      <c r="Q524" s="29" t="str">
        <f t="shared" si="61"/>
        <v/>
      </c>
      <c r="R524" s="37" t="str">
        <f t="shared" si="62"/>
        <v/>
      </c>
    </row>
    <row r="525" spans="1:18" x14ac:dyDescent="0.35">
      <c r="A525" s="8">
        <v>521</v>
      </c>
      <c r="B525" s="9" t="str">
        <f t="shared" si="56"/>
        <v/>
      </c>
      <c r="C525" s="10"/>
      <c r="D525" s="9" t="str">
        <f>IF(F525="","",_xlfn.XLOOKUP(F525,purchase!D:D,purchase!#REF!,""))</f>
        <v/>
      </c>
      <c r="E525" s="9" t="str">
        <f>IF(F525="","",_xlfn.XLOOKUP(F525,purchase!D:D,purchase!B:B,""))</f>
        <v/>
      </c>
      <c r="F525" s="2"/>
      <c r="G525" s="4" t="str">
        <f t="shared" si="57"/>
        <v/>
      </c>
      <c r="H525" s="4" t="str">
        <f>IF(F525="","",_xlfn.XLOOKUP(F525,purchase!D:D,purchase!#REF!,""))</f>
        <v/>
      </c>
      <c r="I525" s="4" t="str">
        <f t="shared" si="58"/>
        <v/>
      </c>
      <c r="J525" s="4" t="str">
        <f t="shared" si="59"/>
        <v/>
      </c>
      <c r="K525" s="13" t="str">
        <f>_xlfn.SINGLE(IF(F525="","",_xlfn.XLOOKUP(F525,purchase!D:D,purchase!#REF!,"")))</f>
        <v/>
      </c>
      <c r="L525" s="2"/>
      <c r="M525" s="32"/>
      <c r="N525" s="13" t="str">
        <f>IF(F525="","",
MAX(0,
_xlfn.XLOOKUP(F525,purchase!D:D,purchase!#REF!,"")
-
SUMIFS(L:L,F:F,F525)))</f>
        <v/>
      </c>
      <c r="O525" s="13" t="str">
        <f t="shared" si="60"/>
        <v/>
      </c>
      <c r="P525" s="35" t="str">
        <f>_xlfn.SINGLE(IF(F525="","",_xlfn.XLOOKUP(F525,purchase!D:D,purchase!K:K,"")))</f>
        <v/>
      </c>
      <c r="Q525" s="29" t="str">
        <f t="shared" si="61"/>
        <v/>
      </c>
      <c r="R525" s="37" t="str">
        <f t="shared" si="62"/>
        <v/>
      </c>
    </row>
    <row r="526" spans="1:18" x14ac:dyDescent="0.35">
      <c r="A526" s="8">
        <v>522</v>
      </c>
      <c r="B526" s="9" t="str">
        <f t="shared" si="56"/>
        <v/>
      </c>
      <c r="C526" s="10"/>
      <c r="D526" s="9" t="str">
        <f>IF(F526="","",_xlfn.XLOOKUP(F526,purchase!D:D,purchase!#REF!,""))</f>
        <v/>
      </c>
      <c r="E526" s="9" t="str">
        <f>IF(F526="","",_xlfn.XLOOKUP(F526,purchase!D:D,purchase!B:B,""))</f>
        <v/>
      </c>
      <c r="F526" s="2"/>
      <c r="G526" s="4" t="str">
        <f t="shared" si="57"/>
        <v/>
      </c>
      <c r="H526" s="4" t="str">
        <f>IF(F526="","",_xlfn.XLOOKUP(F526,purchase!D:D,purchase!#REF!,""))</f>
        <v/>
      </c>
      <c r="I526" s="4" t="str">
        <f t="shared" si="58"/>
        <v/>
      </c>
      <c r="J526" s="4" t="str">
        <f t="shared" si="59"/>
        <v/>
      </c>
      <c r="K526" s="13" t="str">
        <f>_xlfn.SINGLE(IF(F526="","",_xlfn.XLOOKUP(F526,purchase!D:D,purchase!#REF!,"")))</f>
        <v/>
      </c>
      <c r="L526" s="2"/>
      <c r="M526" s="32"/>
      <c r="N526" s="13" t="str">
        <f>IF(F526="","",
MAX(0,
_xlfn.XLOOKUP(F526,purchase!D:D,purchase!#REF!,"")
-
SUMIFS(L:L,F:F,F526)))</f>
        <v/>
      </c>
      <c r="O526" s="13" t="str">
        <f t="shared" si="60"/>
        <v/>
      </c>
      <c r="P526" s="35" t="str">
        <f>_xlfn.SINGLE(IF(F526="","",_xlfn.XLOOKUP(F526,purchase!D:D,purchase!K:K,"")))</f>
        <v/>
      </c>
      <c r="Q526" s="29" t="str">
        <f t="shared" si="61"/>
        <v/>
      </c>
      <c r="R526" s="37" t="str">
        <f t="shared" si="62"/>
        <v/>
      </c>
    </row>
    <row r="527" spans="1:18" x14ac:dyDescent="0.35">
      <c r="A527" s="8">
        <v>523</v>
      </c>
      <c r="B527" s="9" t="str">
        <f t="shared" si="56"/>
        <v/>
      </c>
      <c r="C527" s="10"/>
      <c r="D527" s="9" t="str">
        <f>IF(F527="","",_xlfn.XLOOKUP(F527,purchase!D:D,purchase!#REF!,""))</f>
        <v/>
      </c>
      <c r="E527" s="9" t="str">
        <f>IF(F527="","",_xlfn.XLOOKUP(F527,purchase!D:D,purchase!B:B,""))</f>
        <v/>
      </c>
      <c r="F527" s="2"/>
      <c r="G527" s="4" t="str">
        <f t="shared" si="57"/>
        <v/>
      </c>
      <c r="H527" s="4" t="str">
        <f>IF(F527="","",_xlfn.XLOOKUP(F527,purchase!D:D,purchase!#REF!,""))</f>
        <v/>
      </c>
      <c r="I527" s="4" t="str">
        <f t="shared" si="58"/>
        <v/>
      </c>
      <c r="J527" s="4" t="str">
        <f t="shared" si="59"/>
        <v/>
      </c>
      <c r="K527" s="13" t="str">
        <f>_xlfn.SINGLE(IF(F527="","",_xlfn.XLOOKUP(F527,purchase!D:D,purchase!#REF!,"")))</f>
        <v/>
      </c>
      <c r="L527" s="2"/>
      <c r="M527" s="32"/>
      <c r="N527" s="13" t="str">
        <f>IF(F527="","",
MAX(0,
_xlfn.XLOOKUP(F527,purchase!D:D,purchase!#REF!,"")
-
SUMIFS(L:L,F:F,F527)))</f>
        <v/>
      </c>
      <c r="O527" s="13" t="str">
        <f t="shared" si="60"/>
        <v/>
      </c>
      <c r="P527" s="35" t="str">
        <f>_xlfn.SINGLE(IF(F527="","",_xlfn.XLOOKUP(F527,purchase!D:D,purchase!K:K,"")))</f>
        <v/>
      </c>
      <c r="Q527" s="29" t="str">
        <f t="shared" si="61"/>
        <v/>
      </c>
      <c r="R527" s="37" t="str">
        <f t="shared" si="62"/>
        <v/>
      </c>
    </row>
    <row r="528" spans="1:18" x14ac:dyDescent="0.35">
      <c r="A528" s="8">
        <v>524</v>
      </c>
      <c r="B528" s="9" t="str">
        <f t="shared" si="56"/>
        <v/>
      </c>
      <c r="C528" s="10"/>
      <c r="D528" s="9" t="str">
        <f>IF(F528="","",_xlfn.XLOOKUP(F528,purchase!D:D,purchase!#REF!,""))</f>
        <v/>
      </c>
      <c r="E528" s="9" t="str">
        <f>IF(F528="","",_xlfn.XLOOKUP(F528,purchase!D:D,purchase!B:B,""))</f>
        <v/>
      </c>
      <c r="F528" s="2"/>
      <c r="G528" s="4" t="str">
        <f t="shared" si="57"/>
        <v/>
      </c>
      <c r="H528" s="4" t="str">
        <f>IF(F528="","",_xlfn.XLOOKUP(F528,purchase!D:D,purchase!#REF!,""))</f>
        <v/>
      </c>
      <c r="I528" s="4" t="str">
        <f t="shared" si="58"/>
        <v/>
      </c>
      <c r="J528" s="4" t="str">
        <f t="shared" si="59"/>
        <v/>
      </c>
      <c r="K528" s="13" t="str">
        <f>_xlfn.SINGLE(IF(F528="","",_xlfn.XLOOKUP(F528,purchase!D:D,purchase!#REF!,"")))</f>
        <v/>
      </c>
      <c r="L528" s="2"/>
      <c r="M528" s="32"/>
      <c r="N528" s="13" t="str">
        <f>IF(F528="","",
MAX(0,
_xlfn.XLOOKUP(F528,purchase!D:D,purchase!#REF!,"")
-
SUMIFS(L:L,F:F,F528)))</f>
        <v/>
      </c>
      <c r="O528" s="13" t="str">
        <f t="shared" si="60"/>
        <v/>
      </c>
      <c r="P528" s="35" t="str">
        <f>_xlfn.SINGLE(IF(F528="","",_xlfn.XLOOKUP(F528,purchase!D:D,purchase!K:K,"")))</f>
        <v/>
      </c>
      <c r="Q528" s="29" t="str">
        <f t="shared" si="61"/>
        <v/>
      </c>
      <c r="R528" s="37" t="str">
        <f t="shared" si="62"/>
        <v/>
      </c>
    </row>
    <row r="529" spans="1:18" x14ac:dyDescent="0.35">
      <c r="A529" s="8">
        <v>525</v>
      </c>
      <c r="B529" s="9" t="str">
        <f t="shared" si="56"/>
        <v/>
      </c>
      <c r="C529" s="10"/>
      <c r="D529" s="9" t="str">
        <f>IF(F529="","",_xlfn.XLOOKUP(F529,purchase!D:D,purchase!#REF!,""))</f>
        <v/>
      </c>
      <c r="E529" s="9" t="str">
        <f>IF(F529="","",_xlfn.XLOOKUP(F529,purchase!D:D,purchase!B:B,""))</f>
        <v/>
      </c>
      <c r="F529" s="2"/>
      <c r="G529" s="4" t="str">
        <f t="shared" si="57"/>
        <v/>
      </c>
      <c r="H529" s="4" t="str">
        <f>IF(F529="","",_xlfn.XLOOKUP(F529,purchase!D:D,purchase!#REF!,""))</f>
        <v/>
      </c>
      <c r="I529" s="4" t="str">
        <f t="shared" si="58"/>
        <v/>
      </c>
      <c r="J529" s="4" t="str">
        <f t="shared" si="59"/>
        <v/>
      </c>
      <c r="K529" s="13" t="str">
        <f>_xlfn.SINGLE(IF(F529="","",_xlfn.XLOOKUP(F529,purchase!D:D,purchase!#REF!,"")))</f>
        <v/>
      </c>
      <c r="L529" s="2"/>
      <c r="M529" s="32"/>
      <c r="N529" s="13" t="str">
        <f>IF(F529="","",
MAX(0,
_xlfn.XLOOKUP(F529,purchase!D:D,purchase!#REF!,"")
-
SUMIFS(L:L,F:F,F529)))</f>
        <v/>
      </c>
      <c r="O529" s="13" t="str">
        <f t="shared" si="60"/>
        <v/>
      </c>
      <c r="P529" s="35" t="str">
        <f>_xlfn.SINGLE(IF(F529="","",_xlfn.XLOOKUP(F529,purchase!D:D,purchase!K:K,"")))</f>
        <v/>
      </c>
      <c r="Q529" s="29" t="str">
        <f t="shared" si="61"/>
        <v/>
      </c>
      <c r="R529" s="37" t="str">
        <f t="shared" si="62"/>
        <v/>
      </c>
    </row>
    <row r="530" spans="1:18" x14ac:dyDescent="0.35">
      <c r="A530" s="8">
        <v>526</v>
      </c>
      <c r="B530" s="9" t="str">
        <f t="shared" si="56"/>
        <v/>
      </c>
      <c r="C530" s="10"/>
      <c r="D530" s="9" t="str">
        <f>IF(F530="","",_xlfn.XLOOKUP(F530,purchase!D:D,purchase!#REF!,""))</f>
        <v/>
      </c>
      <c r="E530" s="9" t="str">
        <f>IF(F530="","",_xlfn.XLOOKUP(F530,purchase!D:D,purchase!B:B,""))</f>
        <v/>
      </c>
      <c r="F530" s="2"/>
      <c r="G530" s="4" t="str">
        <f t="shared" si="57"/>
        <v/>
      </c>
      <c r="H530" s="4" t="str">
        <f>IF(F530="","",_xlfn.XLOOKUP(F530,purchase!D:D,purchase!#REF!,""))</f>
        <v/>
      </c>
      <c r="I530" s="4" t="str">
        <f t="shared" si="58"/>
        <v/>
      </c>
      <c r="J530" s="4" t="str">
        <f t="shared" si="59"/>
        <v/>
      </c>
      <c r="K530" s="13" t="str">
        <f>_xlfn.SINGLE(IF(F530="","",_xlfn.XLOOKUP(F530,purchase!D:D,purchase!#REF!,"")))</f>
        <v/>
      </c>
      <c r="L530" s="2"/>
      <c r="M530" s="32"/>
      <c r="N530" s="13" t="str">
        <f>IF(F530="","",
MAX(0,
_xlfn.XLOOKUP(F530,purchase!D:D,purchase!#REF!,"")
-
SUMIFS(L:L,F:F,F530)))</f>
        <v/>
      </c>
      <c r="O530" s="13" t="str">
        <f t="shared" si="60"/>
        <v/>
      </c>
      <c r="P530" s="35" t="str">
        <f>_xlfn.SINGLE(IF(F530="","",_xlfn.XLOOKUP(F530,purchase!D:D,purchase!K:K,"")))</f>
        <v/>
      </c>
      <c r="Q530" s="29" t="str">
        <f t="shared" si="61"/>
        <v/>
      </c>
      <c r="R530" s="37" t="str">
        <f t="shared" si="62"/>
        <v/>
      </c>
    </row>
    <row r="531" spans="1:18" x14ac:dyDescent="0.35">
      <c r="A531" s="8">
        <v>527</v>
      </c>
      <c r="B531" s="9" t="str">
        <f t="shared" si="56"/>
        <v/>
      </c>
      <c r="C531" s="10"/>
      <c r="D531" s="9" t="str">
        <f>IF(F531="","",_xlfn.XLOOKUP(F531,purchase!D:D,purchase!#REF!,""))</f>
        <v/>
      </c>
      <c r="E531" s="9" t="str">
        <f>IF(F531="","",_xlfn.XLOOKUP(F531,purchase!D:D,purchase!B:B,""))</f>
        <v/>
      </c>
      <c r="F531" s="2"/>
      <c r="G531" s="4" t="str">
        <f t="shared" si="57"/>
        <v/>
      </c>
      <c r="H531" s="4" t="str">
        <f>IF(F531="","",_xlfn.XLOOKUP(F531,purchase!D:D,purchase!#REF!,""))</f>
        <v/>
      </c>
      <c r="I531" s="4" t="str">
        <f t="shared" si="58"/>
        <v/>
      </c>
      <c r="J531" s="4" t="str">
        <f t="shared" si="59"/>
        <v/>
      </c>
      <c r="K531" s="13" t="str">
        <f>_xlfn.SINGLE(IF(F531="","",_xlfn.XLOOKUP(F531,purchase!D:D,purchase!#REF!,"")))</f>
        <v/>
      </c>
      <c r="L531" s="2"/>
      <c r="M531" s="32"/>
      <c r="N531" s="13" t="str">
        <f>IF(F531="","",
MAX(0,
_xlfn.XLOOKUP(F531,purchase!D:D,purchase!#REF!,"")
-
SUMIFS(L:L,F:F,F531)))</f>
        <v/>
      </c>
      <c r="O531" s="13" t="str">
        <f t="shared" si="60"/>
        <v/>
      </c>
      <c r="P531" s="35" t="str">
        <f>_xlfn.SINGLE(IF(F531="","",_xlfn.XLOOKUP(F531,purchase!D:D,purchase!K:K,"")))</f>
        <v/>
      </c>
      <c r="Q531" s="29" t="str">
        <f t="shared" si="61"/>
        <v/>
      </c>
      <c r="R531" s="37" t="str">
        <f t="shared" si="62"/>
        <v/>
      </c>
    </row>
    <row r="532" spans="1:18" x14ac:dyDescent="0.35">
      <c r="A532" s="8">
        <v>528</v>
      </c>
      <c r="B532" s="9" t="str">
        <f t="shared" si="56"/>
        <v/>
      </c>
      <c r="C532" s="10"/>
      <c r="D532" s="9" t="str">
        <f>IF(F532="","",_xlfn.XLOOKUP(F532,purchase!D:D,purchase!#REF!,""))</f>
        <v/>
      </c>
      <c r="E532" s="9" t="str">
        <f>IF(F532="","",_xlfn.XLOOKUP(F532,purchase!D:D,purchase!B:B,""))</f>
        <v/>
      </c>
      <c r="F532" s="2"/>
      <c r="G532" s="4" t="str">
        <f t="shared" si="57"/>
        <v/>
      </c>
      <c r="H532" s="4" t="str">
        <f>IF(F532="","",_xlfn.XLOOKUP(F532,purchase!D:D,purchase!#REF!,""))</f>
        <v/>
      </c>
      <c r="I532" s="4" t="str">
        <f t="shared" si="58"/>
        <v/>
      </c>
      <c r="J532" s="4" t="str">
        <f t="shared" si="59"/>
        <v/>
      </c>
      <c r="K532" s="13" t="str">
        <f>_xlfn.SINGLE(IF(F532="","",_xlfn.XLOOKUP(F532,purchase!D:D,purchase!#REF!,"")))</f>
        <v/>
      </c>
      <c r="L532" s="2"/>
      <c r="M532" s="32"/>
      <c r="N532" s="13" t="str">
        <f>IF(F532="","",
MAX(0,
_xlfn.XLOOKUP(F532,purchase!D:D,purchase!#REF!,"")
-
SUMIFS(L:L,F:F,F532)))</f>
        <v/>
      </c>
      <c r="O532" s="13" t="str">
        <f t="shared" si="60"/>
        <v/>
      </c>
      <c r="P532" s="35" t="str">
        <f>_xlfn.SINGLE(IF(F532="","",_xlfn.XLOOKUP(F532,purchase!D:D,purchase!K:K,"")))</f>
        <v/>
      </c>
      <c r="Q532" s="29" t="str">
        <f t="shared" si="61"/>
        <v/>
      </c>
      <c r="R532" s="37" t="str">
        <f t="shared" si="62"/>
        <v/>
      </c>
    </row>
    <row r="533" spans="1:18" x14ac:dyDescent="0.35">
      <c r="A533" s="8">
        <v>529</v>
      </c>
      <c r="B533" s="9" t="str">
        <f t="shared" si="56"/>
        <v/>
      </c>
      <c r="C533" s="10"/>
      <c r="D533" s="9" t="str">
        <f>IF(F533="","",_xlfn.XLOOKUP(F533,purchase!D:D,purchase!#REF!,""))</f>
        <v/>
      </c>
      <c r="E533" s="9" t="str">
        <f>IF(F533="","",_xlfn.XLOOKUP(F533,purchase!D:D,purchase!B:B,""))</f>
        <v/>
      </c>
      <c r="F533" s="2"/>
      <c r="G533" s="4" t="str">
        <f t="shared" si="57"/>
        <v/>
      </c>
      <c r="H533" s="4" t="str">
        <f>IF(F533="","",_xlfn.XLOOKUP(F533,purchase!D:D,purchase!#REF!,""))</f>
        <v/>
      </c>
      <c r="I533" s="4" t="str">
        <f t="shared" si="58"/>
        <v/>
      </c>
      <c r="J533" s="4" t="str">
        <f t="shared" si="59"/>
        <v/>
      </c>
      <c r="K533" s="13" t="str">
        <f>_xlfn.SINGLE(IF(F533="","",_xlfn.XLOOKUP(F533,purchase!D:D,purchase!#REF!,"")))</f>
        <v/>
      </c>
      <c r="L533" s="2"/>
      <c r="M533" s="32"/>
      <c r="N533" s="13" t="str">
        <f>IF(F533="","",
MAX(0,
_xlfn.XLOOKUP(F533,purchase!D:D,purchase!#REF!,"")
-
SUMIFS(L:L,F:F,F533)))</f>
        <v/>
      </c>
      <c r="O533" s="13" t="str">
        <f t="shared" si="60"/>
        <v/>
      </c>
      <c r="P533" s="35" t="str">
        <f>_xlfn.SINGLE(IF(F533="","",_xlfn.XLOOKUP(F533,purchase!D:D,purchase!K:K,"")))</f>
        <v/>
      </c>
      <c r="Q533" s="29" t="str">
        <f t="shared" si="61"/>
        <v/>
      </c>
      <c r="R533" s="37" t="str">
        <f t="shared" si="62"/>
        <v/>
      </c>
    </row>
    <row r="534" spans="1:18" x14ac:dyDescent="0.35">
      <c r="A534" s="8">
        <v>530</v>
      </c>
      <c r="B534" s="9" t="str">
        <f t="shared" si="56"/>
        <v/>
      </c>
      <c r="C534" s="10"/>
      <c r="D534" s="9" t="str">
        <f>IF(F534="","",_xlfn.XLOOKUP(F534,purchase!D:D,purchase!#REF!,""))</f>
        <v/>
      </c>
      <c r="E534" s="9" t="str">
        <f>IF(F534="","",_xlfn.XLOOKUP(F534,purchase!D:D,purchase!B:B,""))</f>
        <v/>
      </c>
      <c r="F534" s="2"/>
      <c r="G534" s="4" t="str">
        <f t="shared" si="57"/>
        <v/>
      </c>
      <c r="H534" s="4" t="str">
        <f>IF(F534="","",_xlfn.XLOOKUP(F534,purchase!D:D,purchase!#REF!,""))</f>
        <v/>
      </c>
      <c r="I534" s="4" t="str">
        <f t="shared" si="58"/>
        <v/>
      </c>
      <c r="J534" s="4" t="str">
        <f t="shared" si="59"/>
        <v/>
      </c>
      <c r="K534" s="13" t="str">
        <f>_xlfn.SINGLE(IF(F534="","",_xlfn.XLOOKUP(F534,purchase!D:D,purchase!#REF!,"")))</f>
        <v/>
      </c>
      <c r="L534" s="2"/>
      <c r="M534" s="32"/>
      <c r="N534" s="13" t="str">
        <f>IF(F534="","",
MAX(0,
_xlfn.XLOOKUP(F534,purchase!D:D,purchase!#REF!,"")
-
SUMIFS(L:L,F:F,F534)))</f>
        <v/>
      </c>
      <c r="O534" s="13" t="str">
        <f t="shared" si="60"/>
        <v/>
      </c>
      <c r="P534" s="35" t="str">
        <f>_xlfn.SINGLE(IF(F534="","",_xlfn.XLOOKUP(F534,purchase!D:D,purchase!K:K,"")))</f>
        <v/>
      </c>
      <c r="Q534" s="29" t="str">
        <f t="shared" si="61"/>
        <v/>
      </c>
      <c r="R534" s="37" t="str">
        <f t="shared" si="62"/>
        <v/>
      </c>
    </row>
    <row r="535" spans="1:18" x14ac:dyDescent="0.35">
      <c r="A535" s="8">
        <v>531</v>
      </c>
      <c r="B535" s="9" t="str">
        <f t="shared" si="56"/>
        <v/>
      </c>
      <c r="C535" s="10"/>
      <c r="D535" s="9" t="str">
        <f>IF(F535="","",_xlfn.XLOOKUP(F535,purchase!D:D,purchase!#REF!,""))</f>
        <v/>
      </c>
      <c r="E535" s="9" t="str">
        <f>IF(F535="","",_xlfn.XLOOKUP(F535,purchase!D:D,purchase!B:B,""))</f>
        <v/>
      </c>
      <c r="F535" s="2"/>
      <c r="G535" s="4" t="str">
        <f t="shared" si="57"/>
        <v/>
      </c>
      <c r="H535" s="4" t="str">
        <f>IF(F535="","",_xlfn.XLOOKUP(F535,purchase!D:D,purchase!#REF!,""))</f>
        <v/>
      </c>
      <c r="I535" s="4" t="str">
        <f t="shared" si="58"/>
        <v/>
      </c>
      <c r="J535" s="4" t="str">
        <f t="shared" si="59"/>
        <v/>
      </c>
      <c r="K535" s="13" t="str">
        <f>_xlfn.SINGLE(IF(F535="","",_xlfn.XLOOKUP(F535,purchase!D:D,purchase!#REF!,"")))</f>
        <v/>
      </c>
      <c r="L535" s="2"/>
      <c r="M535" s="32"/>
      <c r="N535" s="13" t="str">
        <f>IF(F535="","",
MAX(0,
_xlfn.XLOOKUP(F535,purchase!D:D,purchase!#REF!,"")
-
SUMIFS(L:L,F:F,F535)))</f>
        <v/>
      </c>
      <c r="O535" s="13" t="str">
        <f t="shared" si="60"/>
        <v/>
      </c>
      <c r="P535" s="35" t="str">
        <f>_xlfn.SINGLE(IF(F535="","",_xlfn.XLOOKUP(F535,purchase!D:D,purchase!K:K,"")))</f>
        <v/>
      </c>
      <c r="Q535" s="29" t="str">
        <f t="shared" si="61"/>
        <v/>
      </c>
      <c r="R535" s="37" t="str">
        <f t="shared" si="62"/>
        <v/>
      </c>
    </row>
    <row r="536" spans="1:18" x14ac:dyDescent="0.35">
      <c r="A536" s="8">
        <v>532</v>
      </c>
      <c r="B536" s="9" t="str">
        <f t="shared" si="56"/>
        <v/>
      </c>
      <c r="C536" s="10"/>
      <c r="D536" s="9" t="str">
        <f>IF(F536="","",_xlfn.XLOOKUP(F536,purchase!D:D,purchase!#REF!,""))</f>
        <v/>
      </c>
      <c r="E536" s="9" t="str">
        <f>IF(F536="","",_xlfn.XLOOKUP(F536,purchase!D:D,purchase!B:B,""))</f>
        <v/>
      </c>
      <c r="F536" s="2"/>
      <c r="G536" s="4" t="str">
        <f t="shared" si="57"/>
        <v/>
      </c>
      <c r="H536" s="4" t="str">
        <f>IF(F536="","",_xlfn.XLOOKUP(F536,purchase!D:D,purchase!#REF!,""))</f>
        <v/>
      </c>
      <c r="I536" s="4" t="str">
        <f t="shared" si="58"/>
        <v/>
      </c>
      <c r="J536" s="4" t="str">
        <f t="shared" si="59"/>
        <v/>
      </c>
      <c r="K536" s="13" t="str">
        <f>_xlfn.SINGLE(IF(F536="","",_xlfn.XLOOKUP(F536,purchase!D:D,purchase!#REF!,"")))</f>
        <v/>
      </c>
      <c r="L536" s="2"/>
      <c r="M536" s="32"/>
      <c r="N536" s="13" t="str">
        <f>IF(F536="","",
MAX(0,
_xlfn.XLOOKUP(F536,purchase!D:D,purchase!#REF!,"")
-
SUMIFS(L:L,F:F,F536)))</f>
        <v/>
      </c>
      <c r="O536" s="13" t="str">
        <f t="shared" si="60"/>
        <v/>
      </c>
      <c r="P536" s="35" t="str">
        <f>_xlfn.SINGLE(IF(F536="","",_xlfn.XLOOKUP(F536,purchase!D:D,purchase!K:K,"")))</f>
        <v/>
      </c>
      <c r="Q536" s="29" t="str">
        <f t="shared" si="61"/>
        <v/>
      </c>
      <c r="R536" s="37" t="str">
        <f t="shared" si="62"/>
        <v/>
      </c>
    </row>
    <row r="537" spans="1:18" x14ac:dyDescent="0.35">
      <c r="A537" s="8">
        <v>533</v>
      </c>
      <c r="B537" s="9" t="str">
        <f t="shared" si="56"/>
        <v/>
      </c>
      <c r="C537" s="10"/>
      <c r="D537" s="9" t="str">
        <f>IF(F537="","",_xlfn.XLOOKUP(F537,purchase!D:D,purchase!#REF!,""))</f>
        <v/>
      </c>
      <c r="E537" s="9" t="str">
        <f>IF(F537="","",_xlfn.XLOOKUP(F537,purchase!D:D,purchase!B:B,""))</f>
        <v/>
      </c>
      <c r="F537" s="2"/>
      <c r="G537" s="4" t="str">
        <f t="shared" si="57"/>
        <v/>
      </c>
      <c r="H537" s="4" t="str">
        <f>IF(F537="","",_xlfn.XLOOKUP(F537,purchase!D:D,purchase!#REF!,""))</f>
        <v/>
      </c>
      <c r="I537" s="4" t="str">
        <f t="shared" si="58"/>
        <v/>
      </c>
      <c r="J537" s="4" t="str">
        <f t="shared" si="59"/>
        <v/>
      </c>
      <c r="K537" s="13" t="str">
        <f>_xlfn.SINGLE(IF(F537="","",_xlfn.XLOOKUP(F537,purchase!D:D,purchase!#REF!,"")))</f>
        <v/>
      </c>
      <c r="L537" s="2"/>
      <c r="M537" s="32"/>
      <c r="N537" s="13" t="str">
        <f>IF(F537="","",
MAX(0,
_xlfn.XLOOKUP(F537,purchase!D:D,purchase!#REF!,"")
-
SUMIFS(L:L,F:F,F537)))</f>
        <v/>
      </c>
      <c r="O537" s="13" t="str">
        <f t="shared" si="60"/>
        <v/>
      </c>
      <c r="P537" s="35" t="str">
        <f>_xlfn.SINGLE(IF(F537="","",_xlfn.XLOOKUP(F537,purchase!D:D,purchase!K:K,"")))</f>
        <v/>
      </c>
      <c r="Q537" s="29" t="str">
        <f t="shared" si="61"/>
        <v/>
      </c>
      <c r="R537" s="37" t="str">
        <f t="shared" si="62"/>
        <v/>
      </c>
    </row>
    <row r="538" spans="1:18" x14ac:dyDescent="0.35">
      <c r="A538" s="8">
        <v>534</v>
      </c>
      <c r="B538" s="9" t="str">
        <f t="shared" si="56"/>
        <v/>
      </c>
      <c r="C538" s="10"/>
      <c r="D538" s="9" t="str">
        <f>IF(F538="","",_xlfn.XLOOKUP(F538,purchase!D:D,purchase!#REF!,""))</f>
        <v/>
      </c>
      <c r="E538" s="9" t="str">
        <f>IF(F538="","",_xlfn.XLOOKUP(F538,purchase!D:D,purchase!B:B,""))</f>
        <v/>
      </c>
      <c r="F538" s="2"/>
      <c r="G538" s="4" t="str">
        <f t="shared" si="57"/>
        <v/>
      </c>
      <c r="H538" s="4" t="str">
        <f>IF(F538="","",_xlfn.XLOOKUP(F538,purchase!D:D,purchase!#REF!,""))</f>
        <v/>
      </c>
      <c r="I538" s="4" t="str">
        <f t="shared" si="58"/>
        <v/>
      </c>
      <c r="J538" s="4" t="str">
        <f t="shared" si="59"/>
        <v/>
      </c>
      <c r="K538" s="13" t="str">
        <f>_xlfn.SINGLE(IF(F538="","",_xlfn.XLOOKUP(F538,purchase!D:D,purchase!#REF!,"")))</f>
        <v/>
      </c>
      <c r="L538" s="2"/>
      <c r="M538" s="32"/>
      <c r="N538" s="13" t="str">
        <f>IF(F538="","",
MAX(0,
_xlfn.XLOOKUP(F538,purchase!D:D,purchase!#REF!,"")
-
SUMIFS(L:L,F:F,F538)))</f>
        <v/>
      </c>
      <c r="O538" s="13" t="str">
        <f t="shared" si="60"/>
        <v/>
      </c>
      <c r="P538" s="35" t="str">
        <f>_xlfn.SINGLE(IF(F538="","",_xlfn.XLOOKUP(F538,purchase!D:D,purchase!K:K,"")))</f>
        <v/>
      </c>
      <c r="Q538" s="29" t="str">
        <f t="shared" si="61"/>
        <v/>
      </c>
      <c r="R538" s="37" t="str">
        <f t="shared" si="62"/>
        <v/>
      </c>
    </row>
    <row r="539" spans="1:18" x14ac:dyDescent="0.35">
      <c r="A539" s="8">
        <v>535</v>
      </c>
      <c r="B539" s="9" t="str">
        <f t="shared" si="56"/>
        <v/>
      </c>
      <c r="C539" s="10"/>
      <c r="D539" s="9" t="str">
        <f>IF(F539="","",_xlfn.XLOOKUP(F539,purchase!D:D,purchase!#REF!,""))</f>
        <v/>
      </c>
      <c r="E539" s="9" t="str">
        <f>IF(F539="","",_xlfn.XLOOKUP(F539,purchase!D:D,purchase!B:B,""))</f>
        <v/>
      </c>
      <c r="F539" s="2"/>
      <c r="G539" s="4" t="str">
        <f t="shared" si="57"/>
        <v/>
      </c>
      <c r="H539" s="4" t="str">
        <f>IF(F539="","",_xlfn.XLOOKUP(F539,purchase!D:D,purchase!#REF!,""))</f>
        <v/>
      </c>
      <c r="I539" s="4" t="str">
        <f t="shared" si="58"/>
        <v/>
      </c>
      <c r="J539" s="4" t="str">
        <f t="shared" si="59"/>
        <v/>
      </c>
      <c r="K539" s="13" t="str">
        <f>_xlfn.SINGLE(IF(F539="","",_xlfn.XLOOKUP(F539,purchase!D:D,purchase!#REF!,"")))</f>
        <v/>
      </c>
      <c r="L539" s="2"/>
      <c r="M539" s="32"/>
      <c r="N539" s="13" t="str">
        <f>IF(F539="","",
MAX(0,
_xlfn.XLOOKUP(F539,purchase!D:D,purchase!#REF!,"")
-
SUMIFS(L:L,F:F,F539)))</f>
        <v/>
      </c>
      <c r="O539" s="13" t="str">
        <f t="shared" si="60"/>
        <v/>
      </c>
      <c r="P539" s="35" t="str">
        <f>_xlfn.SINGLE(IF(F539="","",_xlfn.XLOOKUP(F539,purchase!D:D,purchase!K:K,"")))</f>
        <v/>
      </c>
      <c r="Q539" s="29" t="str">
        <f t="shared" si="61"/>
        <v/>
      </c>
      <c r="R539" s="37" t="str">
        <f t="shared" si="62"/>
        <v/>
      </c>
    </row>
    <row r="540" spans="1:18" x14ac:dyDescent="0.35">
      <c r="A540" s="8">
        <v>536</v>
      </c>
      <c r="B540" s="9" t="str">
        <f t="shared" si="56"/>
        <v/>
      </c>
      <c r="C540" s="10"/>
      <c r="D540" s="9" t="str">
        <f>IF(F540="","",_xlfn.XLOOKUP(F540,purchase!D:D,purchase!#REF!,""))</f>
        <v/>
      </c>
      <c r="E540" s="9" t="str">
        <f>IF(F540="","",_xlfn.XLOOKUP(F540,purchase!D:D,purchase!B:B,""))</f>
        <v/>
      </c>
      <c r="F540" s="2"/>
      <c r="G540" s="4" t="str">
        <f t="shared" si="57"/>
        <v/>
      </c>
      <c r="H540" s="4" t="str">
        <f>IF(F540="","",_xlfn.XLOOKUP(F540,purchase!D:D,purchase!#REF!,""))</f>
        <v/>
      </c>
      <c r="I540" s="4" t="str">
        <f t="shared" si="58"/>
        <v/>
      </c>
      <c r="J540" s="4" t="str">
        <f t="shared" si="59"/>
        <v/>
      </c>
      <c r="K540" s="13" t="str">
        <f>_xlfn.SINGLE(IF(F540="","",_xlfn.XLOOKUP(F540,purchase!D:D,purchase!#REF!,"")))</f>
        <v/>
      </c>
      <c r="L540" s="2"/>
      <c r="M540" s="32"/>
      <c r="N540" s="13" t="str">
        <f>IF(F540="","",
MAX(0,
_xlfn.XLOOKUP(F540,purchase!D:D,purchase!#REF!,"")
-
SUMIFS(L:L,F:F,F540)))</f>
        <v/>
      </c>
      <c r="O540" s="13" t="str">
        <f t="shared" si="60"/>
        <v/>
      </c>
      <c r="P540" s="35" t="str">
        <f>_xlfn.SINGLE(IF(F540="","",_xlfn.XLOOKUP(F540,purchase!D:D,purchase!K:K,"")))</f>
        <v/>
      </c>
      <c r="Q540" s="29" t="str">
        <f t="shared" si="61"/>
        <v/>
      </c>
      <c r="R540" s="37" t="str">
        <f t="shared" si="62"/>
        <v/>
      </c>
    </row>
    <row r="541" spans="1:18" x14ac:dyDescent="0.35">
      <c r="A541" s="8">
        <v>537</v>
      </c>
      <c r="B541" s="9" t="str">
        <f t="shared" si="56"/>
        <v/>
      </c>
      <c r="C541" s="10"/>
      <c r="D541" s="9" t="str">
        <f>IF(F541="","",_xlfn.XLOOKUP(F541,purchase!D:D,purchase!#REF!,""))</f>
        <v/>
      </c>
      <c r="E541" s="9" t="str">
        <f>IF(F541="","",_xlfn.XLOOKUP(F541,purchase!D:D,purchase!B:B,""))</f>
        <v/>
      </c>
      <c r="F541" s="2"/>
      <c r="G541" s="4" t="str">
        <f t="shared" si="57"/>
        <v/>
      </c>
      <c r="H541" s="4" t="str">
        <f>IF(F541="","",_xlfn.XLOOKUP(F541,purchase!D:D,purchase!#REF!,""))</f>
        <v/>
      </c>
      <c r="I541" s="4" t="str">
        <f t="shared" si="58"/>
        <v/>
      </c>
      <c r="J541" s="4" t="str">
        <f t="shared" si="59"/>
        <v/>
      </c>
      <c r="K541" s="13" t="str">
        <f>_xlfn.SINGLE(IF(F541="","",_xlfn.XLOOKUP(F541,purchase!D:D,purchase!#REF!,"")))</f>
        <v/>
      </c>
      <c r="L541" s="2"/>
      <c r="M541" s="32"/>
      <c r="N541" s="13" t="str">
        <f>IF(F541="","",
MAX(0,
_xlfn.XLOOKUP(F541,purchase!D:D,purchase!#REF!,"")
-
SUMIFS(L:L,F:F,F541)))</f>
        <v/>
      </c>
      <c r="O541" s="13" t="str">
        <f t="shared" si="60"/>
        <v/>
      </c>
      <c r="P541" s="35" t="str">
        <f>_xlfn.SINGLE(IF(F541="","",_xlfn.XLOOKUP(F541,purchase!D:D,purchase!K:K,"")))</f>
        <v/>
      </c>
      <c r="Q541" s="29" t="str">
        <f t="shared" si="61"/>
        <v/>
      </c>
      <c r="R541" s="37" t="str">
        <f t="shared" si="62"/>
        <v/>
      </c>
    </row>
    <row r="542" spans="1:18" x14ac:dyDescent="0.35">
      <c r="A542" s="8">
        <v>538</v>
      </c>
      <c r="B542" s="9" t="str">
        <f t="shared" si="56"/>
        <v/>
      </c>
      <c r="C542" s="10"/>
      <c r="D542" s="9" t="str">
        <f>IF(F542="","",_xlfn.XLOOKUP(F542,purchase!D:D,purchase!#REF!,""))</f>
        <v/>
      </c>
      <c r="E542" s="9" t="str">
        <f>IF(F542="","",_xlfn.XLOOKUP(F542,purchase!D:D,purchase!B:B,""))</f>
        <v/>
      </c>
      <c r="F542" s="2"/>
      <c r="G542" s="4" t="str">
        <f t="shared" si="57"/>
        <v/>
      </c>
      <c r="H542" s="4" t="str">
        <f>IF(F542="","",_xlfn.XLOOKUP(F542,purchase!D:D,purchase!#REF!,""))</f>
        <v/>
      </c>
      <c r="I542" s="4" t="str">
        <f t="shared" si="58"/>
        <v/>
      </c>
      <c r="J542" s="4" t="str">
        <f t="shared" si="59"/>
        <v/>
      </c>
      <c r="K542" s="13" t="str">
        <f>_xlfn.SINGLE(IF(F542="","",_xlfn.XLOOKUP(F542,purchase!D:D,purchase!#REF!,"")))</f>
        <v/>
      </c>
      <c r="L542" s="2"/>
      <c r="M542" s="32"/>
      <c r="N542" s="13" t="str">
        <f>IF(F542="","",
MAX(0,
_xlfn.XLOOKUP(F542,purchase!D:D,purchase!#REF!,"")
-
SUMIFS(L:L,F:F,F542)))</f>
        <v/>
      </c>
      <c r="O542" s="13" t="str">
        <f t="shared" si="60"/>
        <v/>
      </c>
      <c r="P542" s="35" t="str">
        <f>_xlfn.SINGLE(IF(F542="","",_xlfn.XLOOKUP(F542,purchase!D:D,purchase!K:K,"")))</f>
        <v/>
      </c>
      <c r="Q542" s="29" t="str">
        <f t="shared" si="61"/>
        <v/>
      </c>
      <c r="R542" s="37" t="str">
        <f t="shared" si="62"/>
        <v/>
      </c>
    </row>
    <row r="543" spans="1:18" x14ac:dyDescent="0.35">
      <c r="A543" s="8">
        <v>539</v>
      </c>
      <c r="B543" s="9" t="str">
        <f t="shared" si="56"/>
        <v/>
      </c>
      <c r="C543" s="10"/>
      <c r="D543" s="9" t="str">
        <f>IF(F543="","",_xlfn.XLOOKUP(F543,purchase!D:D,purchase!#REF!,""))</f>
        <v/>
      </c>
      <c r="E543" s="9" t="str">
        <f>IF(F543="","",_xlfn.XLOOKUP(F543,purchase!D:D,purchase!B:B,""))</f>
        <v/>
      </c>
      <c r="F543" s="2"/>
      <c r="G543" s="4" t="str">
        <f t="shared" si="57"/>
        <v/>
      </c>
      <c r="H543" s="4" t="str">
        <f>IF(F543="","",_xlfn.XLOOKUP(F543,purchase!D:D,purchase!#REF!,""))</f>
        <v/>
      </c>
      <c r="I543" s="4" t="str">
        <f t="shared" si="58"/>
        <v/>
      </c>
      <c r="J543" s="4" t="str">
        <f t="shared" si="59"/>
        <v/>
      </c>
      <c r="K543" s="13" t="str">
        <f>_xlfn.SINGLE(IF(F543="","",_xlfn.XLOOKUP(F543,purchase!D:D,purchase!#REF!,"")))</f>
        <v/>
      </c>
      <c r="L543" s="2"/>
      <c r="M543" s="32"/>
      <c r="N543" s="13" t="str">
        <f>IF(F543="","",
MAX(0,
_xlfn.XLOOKUP(F543,purchase!D:D,purchase!#REF!,"")
-
SUMIFS(L:L,F:F,F543)))</f>
        <v/>
      </c>
      <c r="O543" s="13" t="str">
        <f t="shared" si="60"/>
        <v/>
      </c>
      <c r="P543" s="35" t="str">
        <f>_xlfn.SINGLE(IF(F543="","",_xlfn.XLOOKUP(F543,purchase!D:D,purchase!K:K,"")))</f>
        <v/>
      </c>
      <c r="Q543" s="29" t="str">
        <f t="shared" si="61"/>
        <v/>
      </c>
      <c r="R543" s="37" t="str">
        <f t="shared" si="62"/>
        <v/>
      </c>
    </row>
    <row r="544" spans="1:18" x14ac:dyDescent="0.35">
      <c r="A544" s="8">
        <v>540</v>
      </c>
      <c r="B544" s="9" t="str">
        <f t="shared" si="56"/>
        <v/>
      </c>
      <c r="C544" s="10"/>
      <c r="D544" s="9" t="str">
        <f>IF(F544="","",_xlfn.XLOOKUP(F544,purchase!D:D,purchase!#REF!,""))</f>
        <v/>
      </c>
      <c r="E544" s="9" t="str">
        <f>IF(F544="","",_xlfn.XLOOKUP(F544,purchase!D:D,purchase!B:B,""))</f>
        <v/>
      </c>
      <c r="F544" s="2"/>
      <c r="G544" s="4" t="str">
        <f t="shared" si="57"/>
        <v/>
      </c>
      <c r="H544" s="4" t="str">
        <f>IF(F544="","",_xlfn.XLOOKUP(F544,purchase!D:D,purchase!#REF!,""))</f>
        <v/>
      </c>
      <c r="I544" s="4" t="str">
        <f t="shared" si="58"/>
        <v/>
      </c>
      <c r="J544" s="4" t="str">
        <f t="shared" si="59"/>
        <v/>
      </c>
      <c r="K544" s="13" t="str">
        <f>_xlfn.SINGLE(IF(F544="","",_xlfn.XLOOKUP(F544,purchase!D:D,purchase!#REF!,"")))</f>
        <v/>
      </c>
      <c r="L544" s="2"/>
      <c r="M544" s="32"/>
      <c r="N544" s="13" t="str">
        <f>IF(F544="","",
MAX(0,
_xlfn.XLOOKUP(F544,purchase!D:D,purchase!#REF!,"")
-
SUMIFS(L:L,F:F,F544)))</f>
        <v/>
      </c>
      <c r="O544" s="13" t="str">
        <f t="shared" si="60"/>
        <v/>
      </c>
      <c r="P544" s="35" t="str">
        <f>_xlfn.SINGLE(IF(F544="","",_xlfn.XLOOKUP(F544,purchase!D:D,purchase!K:K,"")))</f>
        <v/>
      </c>
      <c r="Q544" s="29" t="str">
        <f t="shared" si="61"/>
        <v/>
      </c>
      <c r="R544" s="37" t="str">
        <f t="shared" si="62"/>
        <v/>
      </c>
    </row>
    <row r="545" spans="1:18" x14ac:dyDescent="0.35">
      <c r="A545" s="8">
        <v>541</v>
      </c>
      <c r="B545" s="9" t="str">
        <f t="shared" si="56"/>
        <v/>
      </c>
      <c r="C545" s="10"/>
      <c r="D545" s="9" t="str">
        <f>IF(F545="","",_xlfn.XLOOKUP(F545,purchase!D:D,purchase!#REF!,""))</f>
        <v/>
      </c>
      <c r="E545" s="9" t="str">
        <f>IF(F545="","",_xlfn.XLOOKUP(F545,purchase!D:D,purchase!B:B,""))</f>
        <v/>
      </c>
      <c r="F545" s="2"/>
      <c r="G545" s="4" t="str">
        <f t="shared" si="57"/>
        <v/>
      </c>
      <c r="H545" s="4" t="str">
        <f>IF(F545="","",_xlfn.XLOOKUP(F545,purchase!D:D,purchase!#REF!,""))</f>
        <v/>
      </c>
      <c r="I545" s="4" t="str">
        <f t="shared" si="58"/>
        <v/>
      </c>
      <c r="J545" s="4" t="str">
        <f t="shared" si="59"/>
        <v/>
      </c>
      <c r="K545" s="13" t="str">
        <f>_xlfn.SINGLE(IF(F545="","",_xlfn.XLOOKUP(F545,purchase!D:D,purchase!#REF!,"")))</f>
        <v/>
      </c>
      <c r="L545" s="2"/>
      <c r="M545" s="32"/>
      <c r="N545" s="13" t="str">
        <f>IF(F545="","",
MAX(0,
_xlfn.XLOOKUP(F545,purchase!D:D,purchase!#REF!,"")
-
SUMIFS(L:L,F:F,F545)))</f>
        <v/>
      </c>
      <c r="O545" s="13" t="str">
        <f t="shared" si="60"/>
        <v/>
      </c>
      <c r="P545" s="35" t="str">
        <f>_xlfn.SINGLE(IF(F545="","",_xlfn.XLOOKUP(F545,purchase!D:D,purchase!K:K,"")))</f>
        <v/>
      </c>
      <c r="Q545" s="29" t="str">
        <f t="shared" si="61"/>
        <v/>
      </c>
      <c r="R545" s="37" t="str">
        <f t="shared" si="62"/>
        <v/>
      </c>
    </row>
    <row r="546" spans="1:18" x14ac:dyDescent="0.35">
      <c r="A546" s="8">
        <v>542</v>
      </c>
      <c r="B546" s="9" t="str">
        <f t="shared" si="56"/>
        <v/>
      </c>
      <c r="C546" s="10"/>
      <c r="D546" s="9" t="str">
        <f>IF(F546="","",_xlfn.XLOOKUP(F546,purchase!D:D,purchase!#REF!,""))</f>
        <v/>
      </c>
      <c r="E546" s="9" t="str">
        <f>IF(F546="","",_xlfn.XLOOKUP(F546,purchase!D:D,purchase!B:B,""))</f>
        <v/>
      </c>
      <c r="F546" s="2"/>
      <c r="G546" s="4" t="str">
        <f t="shared" si="57"/>
        <v/>
      </c>
      <c r="H546" s="4" t="str">
        <f>IF(F546="","",_xlfn.XLOOKUP(F546,purchase!D:D,purchase!#REF!,""))</f>
        <v/>
      </c>
      <c r="I546" s="4" t="str">
        <f t="shared" si="58"/>
        <v/>
      </c>
      <c r="J546" s="4" t="str">
        <f t="shared" si="59"/>
        <v/>
      </c>
      <c r="K546" s="13" t="str">
        <f>_xlfn.SINGLE(IF(F546="","",_xlfn.XLOOKUP(F546,purchase!D:D,purchase!#REF!,"")))</f>
        <v/>
      </c>
      <c r="L546" s="2"/>
      <c r="M546" s="32"/>
      <c r="N546" s="13" t="str">
        <f>IF(F546="","",
MAX(0,
_xlfn.XLOOKUP(F546,purchase!D:D,purchase!#REF!,"")
-
SUMIFS(L:L,F:F,F546)))</f>
        <v/>
      </c>
      <c r="O546" s="13" t="str">
        <f t="shared" si="60"/>
        <v/>
      </c>
      <c r="P546" s="35" t="str">
        <f>_xlfn.SINGLE(IF(F546="","",_xlfn.XLOOKUP(F546,purchase!D:D,purchase!K:K,"")))</f>
        <v/>
      </c>
      <c r="Q546" s="29" t="str">
        <f t="shared" si="61"/>
        <v/>
      </c>
      <c r="R546" s="37" t="str">
        <f t="shared" si="62"/>
        <v/>
      </c>
    </row>
    <row r="547" spans="1:18" x14ac:dyDescent="0.35">
      <c r="A547" s="8">
        <v>543</v>
      </c>
      <c r="B547" s="9" t="str">
        <f t="shared" si="56"/>
        <v/>
      </c>
      <c r="C547" s="10"/>
      <c r="D547" s="9" t="str">
        <f>IF(F547="","",_xlfn.XLOOKUP(F547,purchase!D:D,purchase!#REF!,""))</f>
        <v/>
      </c>
      <c r="E547" s="9" t="str">
        <f>IF(F547="","",_xlfn.XLOOKUP(F547,purchase!D:D,purchase!B:B,""))</f>
        <v/>
      </c>
      <c r="F547" s="2"/>
      <c r="G547" s="4" t="str">
        <f t="shared" si="57"/>
        <v/>
      </c>
      <c r="H547" s="4" t="str">
        <f>IF(F547="","",_xlfn.XLOOKUP(F547,purchase!D:D,purchase!#REF!,""))</f>
        <v/>
      </c>
      <c r="I547" s="4" t="str">
        <f t="shared" si="58"/>
        <v/>
      </c>
      <c r="J547" s="4" t="str">
        <f t="shared" si="59"/>
        <v/>
      </c>
      <c r="K547" s="13" t="str">
        <f>_xlfn.SINGLE(IF(F547="","",_xlfn.XLOOKUP(F547,purchase!D:D,purchase!#REF!,"")))</f>
        <v/>
      </c>
      <c r="L547" s="2"/>
      <c r="M547" s="32"/>
      <c r="N547" s="13" t="str">
        <f>IF(F547="","",
MAX(0,
_xlfn.XLOOKUP(F547,purchase!D:D,purchase!#REF!,"")
-
SUMIFS(L:L,F:F,F547)))</f>
        <v/>
      </c>
      <c r="O547" s="13" t="str">
        <f t="shared" si="60"/>
        <v/>
      </c>
      <c r="P547" s="35" t="str">
        <f>_xlfn.SINGLE(IF(F547="","",_xlfn.XLOOKUP(F547,purchase!D:D,purchase!K:K,"")))</f>
        <v/>
      </c>
      <c r="Q547" s="29" t="str">
        <f t="shared" si="61"/>
        <v/>
      </c>
      <c r="R547" s="37" t="str">
        <f t="shared" si="62"/>
        <v/>
      </c>
    </row>
    <row r="548" spans="1:18" x14ac:dyDescent="0.35">
      <c r="A548" s="8">
        <v>544</v>
      </c>
      <c r="B548" s="9" t="str">
        <f t="shared" si="56"/>
        <v/>
      </c>
      <c r="C548" s="10"/>
      <c r="D548" s="9" t="str">
        <f>IF(F548="","",_xlfn.XLOOKUP(F548,purchase!D:D,purchase!#REF!,""))</f>
        <v/>
      </c>
      <c r="E548" s="9" t="str">
        <f>IF(F548="","",_xlfn.XLOOKUP(F548,purchase!D:D,purchase!B:B,""))</f>
        <v/>
      </c>
      <c r="F548" s="2"/>
      <c r="G548" s="4" t="str">
        <f t="shared" si="57"/>
        <v/>
      </c>
      <c r="H548" s="4" t="str">
        <f>IF(F548="","",_xlfn.XLOOKUP(F548,purchase!D:D,purchase!#REF!,""))</f>
        <v/>
      </c>
      <c r="I548" s="4" t="str">
        <f t="shared" si="58"/>
        <v/>
      </c>
      <c r="J548" s="4" t="str">
        <f t="shared" si="59"/>
        <v/>
      </c>
      <c r="K548" s="13" t="str">
        <f>_xlfn.SINGLE(IF(F548="","",_xlfn.XLOOKUP(F548,purchase!D:D,purchase!#REF!,"")))</f>
        <v/>
      </c>
      <c r="L548" s="2"/>
      <c r="M548" s="32"/>
      <c r="N548" s="13" t="str">
        <f>IF(F548="","",
MAX(0,
_xlfn.XLOOKUP(F548,purchase!D:D,purchase!#REF!,"")
-
SUMIFS(L:L,F:F,F548)))</f>
        <v/>
      </c>
      <c r="O548" s="13" t="str">
        <f t="shared" si="60"/>
        <v/>
      </c>
      <c r="P548" s="35" t="str">
        <f>_xlfn.SINGLE(IF(F548="","",_xlfn.XLOOKUP(F548,purchase!D:D,purchase!K:K,"")))</f>
        <v/>
      </c>
      <c r="Q548" s="29" t="str">
        <f t="shared" si="61"/>
        <v/>
      </c>
      <c r="R548" s="37" t="str">
        <f t="shared" si="62"/>
        <v/>
      </c>
    </row>
    <row r="549" spans="1:18" x14ac:dyDescent="0.35">
      <c r="A549" s="8">
        <v>545</v>
      </c>
      <c r="B549" s="9" t="str">
        <f t="shared" si="56"/>
        <v/>
      </c>
      <c r="C549" s="10"/>
      <c r="D549" s="9" t="str">
        <f>IF(F549="","",_xlfn.XLOOKUP(F549,purchase!D:D,purchase!#REF!,""))</f>
        <v/>
      </c>
      <c r="E549" s="9" t="str">
        <f>IF(F549="","",_xlfn.XLOOKUP(F549,purchase!D:D,purchase!B:B,""))</f>
        <v/>
      </c>
      <c r="F549" s="2"/>
      <c r="G549" s="4" t="str">
        <f t="shared" si="57"/>
        <v/>
      </c>
      <c r="H549" s="4" t="str">
        <f>IF(F549="","",_xlfn.XLOOKUP(F549,purchase!D:D,purchase!#REF!,""))</f>
        <v/>
      </c>
      <c r="I549" s="4" t="str">
        <f t="shared" si="58"/>
        <v/>
      </c>
      <c r="J549" s="4" t="str">
        <f t="shared" si="59"/>
        <v/>
      </c>
      <c r="K549" s="13" t="str">
        <f>_xlfn.SINGLE(IF(F549="","",_xlfn.XLOOKUP(F549,purchase!D:D,purchase!#REF!,"")))</f>
        <v/>
      </c>
      <c r="L549" s="2"/>
      <c r="M549" s="32"/>
      <c r="N549" s="13" t="str">
        <f>IF(F549="","",
MAX(0,
_xlfn.XLOOKUP(F549,purchase!D:D,purchase!#REF!,"")
-
SUMIFS(L:L,F:F,F549)))</f>
        <v/>
      </c>
      <c r="O549" s="13" t="str">
        <f t="shared" si="60"/>
        <v/>
      </c>
      <c r="P549" s="35" t="str">
        <f>_xlfn.SINGLE(IF(F549="","",_xlfn.XLOOKUP(F549,purchase!D:D,purchase!K:K,"")))</f>
        <v/>
      </c>
      <c r="Q549" s="29" t="str">
        <f t="shared" si="61"/>
        <v/>
      </c>
      <c r="R549" s="37" t="str">
        <f t="shared" si="62"/>
        <v/>
      </c>
    </row>
    <row r="550" spans="1:18" x14ac:dyDescent="0.35">
      <c r="A550" s="8">
        <v>546</v>
      </c>
      <c r="B550" s="9" t="str">
        <f t="shared" si="56"/>
        <v/>
      </c>
      <c r="C550" s="10"/>
      <c r="D550" s="9" t="str">
        <f>IF(F550="","",_xlfn.XLOOKUP(F550,purchase!D:D,purchase!#REF!,""))</f>
        <v/>
      </c>
      <c r="E550" s="9" t="str">
        <f>IF(F550="","",_xlfn.XLOOKUP(F550,purchase!D:D,purchase!B:B,""))</f>
        <v/>
      </c>
      <c r="F550" s="2"/>
      <c r="G550" s="4" t="str">
        <f t="shared" si="57"/>
        <v/>
      </c>
      <c r="H550" s="4" t="str">
        <f>IF(F550="","",_xlfn.XLOOKUP(F550,purchase!D:D,purchase!#REF!,""))</f>
        <v/>
      </c>
      <c r="I550" s="4" t="str">
        <f t="shared" si="58"/>
        <v/>
      </c>
      <c r="J550" s="4" t="str">
        <f t="shared" si="59"/>
        <v/>
      </c>
      <c r="K550" s="13" t="str">
        <f>_xlfn.SINGLE(IF(F550="","",_xlfn.XLOOKUP(F550,purchase!D:D,purchase!#REF!,"")))</f>
        <v/>
      </c>
      <c r="L550" s="2"/>
      <c r="M550" s="32"/>
      <c r="N550" s="13" t="str">
        <f>IF(F550="","",
MAX(0,
_xlfn.XLOOKUP(F550,purchase!D:D,purchase!#REF!,"")
-
SUMIFS(L:L,F:F,F550)))</f>
        <v/>
      </c>
      <c r="O550" s="13" t="str">
        <f t="shared" si="60"/>
        <v/>
      </c>
      <c r="P550" s="35" t="str">
        <f>_xlfn.SINGLE(IF(F550="","",_xlfn.XLOOKUP(F550,purchase!D:D,purchase!K:K,"")))</f>
        <v/>
      </c>
      <c r="Q550" s="29" t="str">
        <f t="shared" si="61"/>
        <v/>
      </c>
      <c r="R550" s="37" t="str">
        <f t="shared" si="62"/>
        <v/>
      </c>
    </row>
    <row r="551" spans="1:18" x14ac:dyDescent="0.35">
      <c r="A551" s="8">
        <v>547</v>
      </c>
      <c r="B551" s="9" t="str">
        <f t="shared" si="56"/>
        <v/>
      </c>
      <c r="C551" s="10"/>
      <c r="D551" s="9" t="str">
        <f>IF(F551="","",_xlfn.XLOOKUP(F551,purchase!D:D,purchase!#REF!,""))</f>
        <v/>
      </c>
      <c r="E551" s="9" t="str">
        <f>IF(F551="","",_xlfn.XLOOKUP(F551,purchase!D:D,purchase!B:B,""))</f>
        <v/>
      </c>
      <c r="F551" s="2"/>
      <c r="G551" s="4" t="str">
        <f t="shared" si="57"/>
        <v/>
      </c>
      <c r="H551" s="4" t="str">
        <f>IF(F551="","",_xlfn.XLOOKUP(F551,purchase!D:D,purchase!#REF!,""))</f>
        <v/>
      </c>
      <c r="I551" s="4" t="str">
        <f t="shared" si="58"/>
        <v/>
      </c>
      <c r="J551" s="4" t="str">
        <f t="shared" si="59"/>
        <v/>
      </c>
      <c r="K551" s="13" t="str">
        <f>_xlfn.SINGLE(IF(F551="","",_xlfn.XLOOKUP(F551,purchase!D:D,purchase!#REF!,"")))</f>
        <v/>
      </c>
      <c r="L551" s="2"/>
      <c r="M551" s="32"/>
      <c r="N551" s="13" t="str">
        <f>IF(F551="","",
MAX(0,
_xlfn.XLOOKUP(F551,purchase!D:D,purchase!#REF!,"")
-
SUMIFS(L:L,F:F,F551)))</f>
        <v/>
      </c>
      <c r="O551" s="13" t="str">
        <f t="shared" si="60"/>
        <v/>
      </c>
      <c r="P551" s="35" t="str">
        <f>_xlfn.SINGLE(IF(F551="","",_xlfn.XLOOKUP(F551,purchase!D:D,purchase!K:K,"")))</f>
        <v/>
      </c>
      <c r="Q551" s="29" t="str">
        <f t="shared" si="61"/>
        <v/>
      </c>
      <c r="R551" s="37" t="str">
        <f t="shared" si="62"/>
        <v/>
      </c>
    </row>
    <row r="552" spans="1:18" x14ac:dyDescent="0.35">
      <c r="A552" s="8">
        <v>548</v>
      </c>
      <c r="B552" s="9" t="str">
        <f t="shared" si="56"/>
        <v/>
      </c>
      <c r="C552" s="10"/>
      <c r="D552" s="9" t="str">
        <f>IF(F552="","",_xlfn.XLOOKUP(F552,purchase!D:D,purchase!#REF!,""))</f>
        <v/>
      </c>
      <c r="E552" s="9" t="str">
        <f>IF(F552="","",_xlfn.XLOOKUP(F552,purchase!D:D,purchase!B:B,""))</f>
        <v/>
      </c>
      <c r="F552" s="2"/>
      <c r="G552" s="4" t="str">
        <f t="shared" si="57"/>
        <v/>
      </c>
      <c r="H552" s="4" t="str">
        <f>IF(F552="","",_xlfn.XLOOKUP(F552,purchase!D:D,purchase!#REF!,""))</f>
        <v/>
      </c>
      <c r="I552" s="4" t="str">
        <f t="shared" si="58"/>
        <v/>
      </c>
      <c r="J552" s="4" t="str">
        <f t="shared" si="59"/>
        <v/>
      </c>
      <c r="K552" s="13" t="str">
        <f>_xlfn.SINGLE(IF(F552="","",_xlfn.XLOOKUP(F552,purchase!D:D,purchase!#REF!,"")))</f>
        <v/>
      </c>
      <c r="L552" s="2"/>
      <c r="M552" s="32"/>
      <c r="N552" s="13" t="str">
        <f>IF(F552="","",
MAX(0,
_xlfn.XLOOKUP(F552,purchase!D:D,purchase!#REF!,"")
-
SUMIFS(L:L,F:F,F552)))</f>
        <v/>
      </c>
      <c r="O552" s="13" t="str">
        <f t="shared" si="60"/>
        <v/>
      </c>
      <c r="P552" s="35" t="str">
        <f>_xlfn.SINGLE(IF(F552="","",_xlfn.XLOOKUP(F552,purchase!D:D,purchase!K:K,"")))</f>
        <v/>
      </c>
      <c r="Q552" s="29" t="str">
        <f t="shared" si="61"/>
        <v/>
      </c>
      <c r="R552" s="37" t="str">
        <f t="shared" si="62"/>
        <v/>
      </c>
    </row>
    <row r="553" spans="1:18" x14ac:dyDescent="0.35">
      <c r="A553" s="8">
        <v>549</v>
      </c>
      <c r="B553" s="9" t="str">
        <f t="shared" si="56"/>
        <v/>
      </c>
      <c r="C553" s="10"/>
      <c r="D553" s="9" t="str">
        <f>IF(F553="","",_xlfn.XLOOKUP(F553,purchase!D:D,purchase!#REF!,""))</f>
        <v/>
      </c>
      <c r="E553" s="9" t="str">
        <f>IF(F553="","",_xlfn.XLOOKUP(F553,purchase!D:D,purchase!B:B,""))</f>
        <v/>
      </c>
      <c r="F553" s="2"/>
      <c r="G553" s="4" t="str">
        <f t="shared" si="57"/>
        <v/>
      </c>
      <c r="H553" s="4" t="str">
        <f>IF(F553="","",_xlfn.XLOOKUP(F553,purchase!D:D,purchase!#REF!,""))</f>
        <v/>
      </c>
      <c r="I553" s="4" t="str">
        <f t="shared" si="58"/>
        <v/>
      </c>
      <c r="J553" s="4" t="str">
        <f t="shared" si="59"/>
        <v/>
      </c>
      <c r="K553" s="13" t="str">
        <f>_xlfn.SINGLE(IF(F553="","",_xlfn.XLOOKUP(F553,purchase!D:D,purchase!#REF!,"")))</f>
        <v/>
      </c>
      <c r="L553" s="2"/>
      <c r="M553" s="32"/>
      <c r="N553" s="13" t="str">
        <f>IF(F553="","",
MAX(0,
_xlfn.XLOOKUP(F553,purchase!D:D,purchase!#REF!,"")
-
SUMIFS(L:L,F:F,F553)))</f>
        <v/>
      </c>
      <c r="O553" s="13" t="str">
        <f t="shared" si="60"/>
        <v/>
      </c>
      <c r="P553" s="35" t="str">
        <f>_xlfn.SINGLE(IF(F553="","",_xlfn.XLOOKUP(F553,purchase!D:D,purchase!K:K,"")))</f>
        <v/>
      </c>
      <c r="Q553" s="29" t="str">
        <f t="shared" si="61"/>
        <v/>
      </c>
      <c r="R553" s="37" t="str">
        <f t="shared" si="62"/>
        <v/>
      </c>
    </row>
    <row r="554" spans="1:18" x14ac:dyDescent="0.35">
      <c r="A554" s="8">
        <v>550</v>
      </c>
      <c r="B554" s="9" t="str">
        <f t="shared" si="56"/>
        <v/>
      </c>
      <c r="C554" s="10"/>
      <c r="D554" s="9" t="str">
        <f>IF(F554="","",_xlfn.XLOOKUP(F554,purchase!D:D,purchase!#REF!,""))</f>
        <v/>
      </c>
      <c r="E554" s="9" t="str">
        <f>IF(F554="","",_xlfn.XLOOKUP(F554,purchase!D:D,purchase!B:B,""))</f>
        <v/>
      </c>
      <c r="F554" s="2"/>
      <c r="G554" s="4" t="str">
        <f t="shared" si="57"/>
        <v/>
      </c>
      <c r="H554" s="4" t="str">
        <f>IF(F554="","",_xlfn.XLOOKUP(F554,purchase!D:D,purchase!#REF!,""))</f>
        <v/>
      </c>
      <c r="I554" s="4" t="str">
        <f t="shared" si="58"/>
        <v/>
      </c>
      <c r="J554" s="4" t="str">
        <f t="shared" si="59"/>
        <v/>
      </c>
      <c r="K554" s="13" t="str">
        <f>_xlfn.SINGLE(IF(F554="","",_xlfn.XLOOKUP(F554,purchase!D:D,purchase!#REF!,"")))</f>
        <v/>
      </c>
      <c r="L554" s="2"/>
      <c r="M554" s="32"/>
      <c r="N554" s="13" t="str">
        <f>IF(F554="","",
MAX(0,
_xlfn.XLOOKUP(F554,purchase!D:D,purchase!#REF!,"")
-
SUMIFS(L:L,F:F,F554)))</f>
        <v/>
      </c>
      <c r="O554" s="13" t="str">
        <f t="shared" si="60"/>
        <v/>
      </c>
      <c r="P554" s="35" t="str">
        <f>_xlfn.SINGLE(IF(F554="","",_xlfn.XLOOKUP(F554,purchase!D:D,purchase!K:K,"")))</f>
        <v/>
      </c>
      <c r="Q554" s="29" t="str">
        <f t="shared" si="61"/>
        <v/>
      </c>
      <c r="R554" s="37" t="str">
        <f t="shared" si="62"/>
        <v/>
      </c>
    </row>
    <row r="555" spans="1:18" x14ac:dyDescent="0.35">
      <c r="A555" s="8">
        <v>551</v>
      </c>
      <c r="B555" s="9" t="str">
        <f t="shared" si="56"/>
        <v/>
      </c>
      <c r="C555" s="10"/>
      <c r="D555" s="9" t="str">
        <f>IF(F555="","",_xlfn.XLOOKUP(F555,purchase!D:D,purchase!#REF!,""))</f>
        <v/>
      </c>
      <c r="E555" s="9" t="str">
        <f>IF(F555="","",_xlfn.XLOOKUP(F555,purchase!D:D,purchase!B:B,""))</f>
        <v/>
      </c>
      <c r="F555" s="2"/>
      <c r="G555" s="4" t="str">
        <f t="shared" si="57"/>
        <v/>
      </c>
      <c r="H555" s="4" t="str">
        <f>IF(F555="","",_xlfn.XLOOKUP(F555,purchase!D:D,purchase!#REF!,""))</f>
        <v/>
      </c>
      <c r="I555" s="4" t="str">
        <f t="shared" si="58"/>
        <v/>
      </c>
      <c r="J555" s="4" t="str">
        <f t="shared" si="59"/>
        <v/>
      </c>
      <c r="K555" s="13" t="str">
        <f>_xlfn.SINGLE(IF(F555="","",_xlfn.XLOOKUP(F555,purchase!D:D,purchase!#REF!,"")))</f>
        <v/>
      </c>
      <c r="L555" s="2"/>
      <c r="M555" s="32"/>
      <c r="N555" s="13" t="str">
        <f>IF(F555="","",
MAX(0,
_xlfn.XLOOKUP(F555,purchase!D:D,purchase!#REF!,"")
-
SUMIFS(L:L,F:F,F555)))</f>
        <v/>
      </c>
      <c r="O555" s="13" t="str">
        <f t="shared" si="60"/>
        <v/>
      </c>
      <c r="P555" s="35" t="str">
        <f>_xlfn.SINGLE(IF(F555="","",_xlfn.XLOOKUP(F555,purchase!D:D,purchase!K:K,"")))</f>
        <v/>
      </c>
      <c r="Q555" s="29" t="str">
        <f t="shared" si="61"/>
        <v/>
      </c>
      <c r="R555" s="37" t="str">
        <f t="shared" si="62"/>
        <v/>
      </c>
    </row>
    <row r="556" spans="1:18" x14ac:dyDescent="0.35">
      <c r="A556" s="8">
        <v>552</v>
      </c>
      <c r="B556" s="9" t="str">
        <f t="shared" si="56"/>
        <v/>
      </c>
      <c r="C556" s="10"/>
      <c r="D556" s="9" t="str">
        <f>IF(F556="","",_xlfn.XLOOKUP(F556,purchase!D:D,purchase!#REF!,""))</f>
        <v/>
      </c>
      <c r="E556" s="9" t="str">
        <f>IF(F556="","",_xlfn.XLOOKUP(F556,purchase!D:D,purchase!B:B,""))</f>
        <v/>
      </c>
      <c r="F556" s="2"/>
      <c r="G556" s="4" t="str">
        <f t="shared" si="57"/>
        <v/>
      </c>
      <c r="H556" s="4" t="str">
        <f>IF(F556="","",_xlfn.XLOOKUP(F556,purchase!D:D,purchase!#REF!,""))</f>
        <v/>
      </c>
      <c r="I556" s="4" t="str">
        <f t="shared" si="58"/>
        <v/>
      </c>
      <c r="J556" s="4" t="str">
        <f t="shared" si="59"/>
        <v/>
      </c>
      <c r="K556" s="13" t="str">
        <f>_xlfn.SINGLE(IF(F556="","",_xlfn.XLOOKUP(F556,purchase!D:D,purchase!#REF!,"")))</f>
        <v/>
      </c>
      <c r="L556" s="2"/>
      <c r="M556" s="32"/>
      <c r="N556" s="13" t="str">
        <f>IF(F556="","",
MAX(0,
_xlfn.XLOOKUP(F556,purchase!D:D,purchase!#REF!,"")
-
SUMIFS(L:L,F:F,F556)))</f>
        <v/>
      </c>
      <c r="O556" s="13" t="str">
        <f t="shared" si="60"/>
        <v/>
      </c>
      <c r="P556" s="35" t="str">
        <f>_xlfn.SINGLE(IF(F556="","",_xlfn.XLOOKUP(F556,purchase!D:D,purchase!K:K,"")))</f>
        <v/>
      </c>
      <c r="Q556" s="29" t="str">
        <f t="shared" si="61"/>
        <v/>
      </c>
      <c r="R556" s="37" t="str">
        <f t="shared" si="62"/>
        <v/>
      </c>
    </row>
    <row r="557" spans="1:18" x14ac:dyDescent="0.35">
      <c r="A557" s="8">
        <v>553</v>
      </c>
      <c r="B557" s="9" t="str">
        <f t="shared" si="56"/>
        <v/>
      </c>
      <c r="C557" s="10"/>
      <c r="D557" s="9" t="str">
        <f>IF(F557="","",_xlfn.XLOOKUP(F557,purchase!D:D,purchase!#REF!,""))</f>
        <v/>
      </c>
      <c r="E557" s="9" t="str">
        <f>IF(F557="","",_xlfn.XLOOKUP(F557,purchase!D:D,purchase!B:B,""))</f>
        <v/>
      </c>
      <c r="F557" s="2"/>
      <c r="G557" s="4" t="str">
        <f t="shared" si="57"/>
        <v/>
      </c>
      <c r="H557" s="4" t="str">
        <f>IF(F557="","",_xlfn.XLOOKUP(F557,purchase!D:D,purchase!#REF!,""))</f>
        <v/>
      </c>
      <c r="I557" s="4" t="str">
        <f t="shared" si="58"/>
        <v/>
      </c>
      <c r="J557" s="4" t="str">
        <f t="shared" si="59"/>
        <v/>
      </c>
      <c r="K557" s="13" t="str">
        <f>_xlfn.SINGLE(IF(F557="","",_xlfn.XLOOKUP(F557,purchase!D:D,purchase!#REF!,"")))</f>
        <v/>
      </c>
      <c r="L557" s="2"/>
      <c r="M557" s="32"/>
      <c r="N557" s="13" t="str">
        <f>IF(F557="","",
MAX(0,
_xlfn.XLOOKUP(F557,purchase!D:D,purchase!#REF!,"")
-
SUMIFS(L:L,F:F,F557)))</f>
        <v/>
      </c>
      <c r="O557" s="13" t="str">
        <f t="shared" si="60"/>
        <v/>
      </c>
      <c r="P557" s="35" t="str">
        <f>_xlfn.SINGLE(IF(F557="","",_xlfn.XLOOKUP(F557,purchase!D:D,purchase!K:K,"")))</f>
        <v/>
      </c>
      <c r="Q557" s="29" t="str">
        <f t="shared" si="61"/>
        <v/>
      </c>
      <c r="R557" s="37" t="str">
        <f t="shared" si="62"/>
        <v/>
      </c>
    </row>
    <row r="558" spans="1:18" x14ac:dyDescent="0.35">
      <c r="A558" s="8">
        <v>554</v>
      </c>
      <c r="B558" s="9" t="str">
        <f t="shared" si="56"/>
        <v/>
      </c>
      <c r="C558" s="10"/>
      <c r="D558" s="9" t="str">
        <f>IF(F558="","",_xlfn.XLOOKUP(F558,purchase!D:D,purchase!#REF!,""))</f>
        <v/>
      </c>
      <c r="E558" s="9" t="str">
        <f>IF(F558="","",_xlfn.XLOOKUP(F558,purchase!D:D,purchase!B:B,""))</f>
        <v/>
      </c>
      <c r="F558" s="2"/>
      <c r="G558" s="4" t="str">
        <f t="shared" si="57"/>
        <v/>
      </c>
      <c r="H558" s="4" t="str">
        <f>IF(F558="","",_xlfn.XLOOKUP(F558,purchase!D:D,purchase!#REF!,""))</f>
        <v/>
      </c>
      <c r="I558" s="4" t="str">
        <f t="shared" si="58"/>
        <v/>
      </c>
      <c r="J558" s="4" t="str">
        <f t="shared" si="59"/>
        <v/>
      </c>
      <c r="K558" s="13" t="str">
        <f>_xlfn.SINGLE(IF(F558="","",_xlfn.XLOOKUP(F558,purchase!D:D,purchase!#REF!,"")))</f>
        <v/>
      </c>
      <c r="L558" s="2"/>
      <c r="M558" s="32"/>
      <c r="N558" s="13" t="str">
        <f>IF(F558="","",
MAX(0,
_xlfn.XLOOKUP(F558,purchase!D:D,purchase!#REF!,"")
-
SUMIFS(L:L,F:F,F558)))</f>
        <v/>
      </c>
      <c r="O558" s="13" t="str">
        <f t="shared" si="60"/>
        <v/>
      </c>
      <c r="P558" s="35" t="str">
        <f>_xlfn.SINGLE(IF(F558="","",_xlfn.XLOOKUP(F558,purchase!D:D,purchase!K:K,"")))</f>
        <v/>
      </c>
      <c r="Q558" s="29" t="str">
        <f t="shared" si="61"/>
        <v/>
      </c>
      <c r="R558" s="37" t="str">
        <f t="shared" si="62"/>
        <v/>
      </c>
    </row>
    <row r="559" spans="1:18" x14ac:dyDescent="0.35">
      <c r="A559" s="8">
        <v>555</v>
      </c>
      <c r="B559" s="9" t="str">
        <f t="shared" si="56"/>
        <v/>
      </c>
      <c r="C559" s="10"/>
      <c r="D559" s="9" t="str">
        <f>IF(F559="","",_xlfn.XLOOKUP(F559,purchase!D:D,purchase!#REF!,""))</f>
        <v/>
      </c>
      <c r="E559" s="9" t="str">
        <f>IF(F559="","",_xlfn.XLOOKUP(F559,purchase!D:D,purchase!B:B,""))</f>
        <v/>
      </c>
      <c r="F559" s="2"/>
      <c r="G559" s="4" t="str">
        <f t="shared" si="57"/>
        <v/>
      </c>
      <c r="H559" s="4" t="str">
        <f>IF(F559="","",_xlfn.XLOOKUP(F559,purchase!D:D,purchase!#REF!,""))</f>
        <v/>
      </c>
      <c r="I559" s="4" t="str">
        <f t="shared" si="58"/>
        <v/>
      </c>
      <c r="J559" s="4" t="str">
        <f t="shared" si="59"/>
        <v/>
      </c>
      <c r="K559" s="13" t="str">
        <f>_xlfn.SINGLE(IF(F559="","",_xlfn.XLOOKUP(F559,purchase!D:D,purchase!#REF!,"")))</f>
        <v/>
      </c>
      <c r="L559" s="2"/>
      <c r="M559" s="32"/>
      <c r="N559" s="13" t="str">
        <f>IF(F559="","",
MAX(0,
_xlfn.XLOOKUP(F559,purchase!D:D,purchase!#REF!,"")
-
SUMIFS(L:L,F:F,F559)))</f>
        <v/>
      </c>
      <c r="O559" s="13" t="str">
        <f t="shared" si="60"/>
        <v/>
      </c>
      <c r="P559" s="35" t="str">
        <f>_xlfn.SINGLE(IF(F559="","",_xlfn.XLOOKUP(F559,purchase!D:D,purchase!K:K,"")))</f>
        <v/>
      </c>
      <c r="Q559" s="29" t="str">
        <f t="shared" si="61"/>
        <v/>
      </c>
      <c r="R559" s="37" t="str">
        <f t="shared" si="62"/>
        <v/>
      </c>
    </row>
    <row r="560" spans="1:18" x14ac:dyDescent="0.35">
      <c r="A560" s="8">
        <v>556</v>
      </c>
      <c r="B560" s="9" t="str">
        <f t="shared" si="56"/>
        <v/>
      </c>
      <c r="C560" s="10"/>
      <c r="D560" s="9" t="str">
        <f>IF(F560="","",_xlfn.XLOOKUP(F560,purchase!D:D,purchase!#REF!,""))</f>
        <v/>
      </c>
      <c r="E560" s="9" t="str">
        <f>IF(F560="","",_xlfn.XLOOKUP(F560,purchase!D:D,purchase!B:B,""))</f>
        <v/>
      </c>
      <c r="F560" s="2"/>
      <c r="G560" s="4" t="str">
        <f t="shared" si="57"/>
        <v/>
      </c>
      <c r="H560" s="4" t="str">
        <f>IF(F560="","",_xlfn.XLOOKUP(F560,purchase!D:D,purchase!#REF!,""))</f>
        <v/>
      </c>
      <c r="I560" s="4" t="str">
        <f t="shared" si="58"/>
        <v/>
      </c>
      <c r="J560" s="4" t="str">
        <f t="shared" si="59"/>
        <v/>
      </c>
      <c r="K560" s="13" t="str">
        <f>_xlfn.SINGLE(IF(F560="","",_xlfn.XLOOKUP(F560,purchase!D:D,purchase!#REF!,"")))</f>
        <v/>
      </c>
      <c r="L560" s="2"/>
      <c r="M560" s="32"/>
      <c r="N560" s="13" t="str">
        <f>IF(F560="","",
MAX(0,
_xlfn.XLOOKUP(F560,purchase!D:D,purchase!#REF!,"")
-
SUMIFS(L:L,F:F,F560)))</f>
        <v/>
      </c>
      <c r="O560" s="13" t="str">
        <f t="shared" si="60"/>
        <v/>
      </c>
      <c r="P560" s="35" t="str">
        <f>_xlfn.SINGLE(IF(F560="","",_xlfn.XLOOKUP(F560,purchase!D:D,purchase!K:K,"")))</f>
        <v/>
      </c>
      <c r="Q560" s="29" t="str">
        <f t="shared" si="61"/>
        <v/>
      </c>
      <c r="R560" s="37" t="str">
        <f t="shared" si="62"/>
        <v/>
      </c>
    </row>
    <row r="561" spans="1:18" x14ac:dyDescent="0.35">
      <c r="A561" s="8">
        <v>557</v>
      </c>
      <c r="B561" s="9" t="str">
        <f t="shared" si="56"/>
        <v/>
      </c>
      <c r="C561" s="10"/>
      <c r="D561" s="9" t="str">
        <f>IF(F561="","",_xlfn.XLOOKUP(F561,purchase!D:D,purchase!#REF!,""))</f>
        <v/>
      </c>
      <c r="E561" s="9" t="str">
        <f>IF(F561="","",_xlfn.XLOOKUP(F561,purchase!D:D,purchase!B:B,""))</f>
        <v/>
      </c>
      <c r="F561" s="2"/>
      <c r="G561" s="4" t="str">
        <f t="shared" si="57"/>
        <v/>
      </c>
      <c r="H561" s="4" t="str">
        <f>IF(F561="","",_xlfn.XLOOKUP(F561,purchase!D:D,purchase!#REF!,""))</f>
        <v/>
      </c>
      <c r="I561" s="4" t="str">
        <f t="shared" si="58"/>
        <v/>
      </c>
      <c r="J561" s="4" t="str">
        <f t="shared" si="59"/>
        <v/>
      </c>
      <c r="K561" s="13" t="str">
        <f>_xlfn.SINGLE(IF(F561="","",_xlfn.XLOOKUP(F561,purchase!D:D,purchase!#REF!,"")))</f>
        <v/>
      </c>
      <c r="L561" s="2"/>
      <c r="M561" s="32"/>
      <c r="N561" s="13" t="str">
        <f>IF(F561="","",
MAX(0,
_xlfn.XLOOKUP(F561,purchase!D:D,purchase!#REF!,"")
-
SUMIFS(L:L,F:F,F561)))</f>
        <v/>
      </c>
      <c r="O561" s="13" t="str">
        <f t="shared" si="60"/>
        <v/>
      </c>
      <c r="P561" s="35" t="str">
        <f>_xlfn.SINGLE(IF(F561="","",_xlfn.XLOOKUP(F561,purchase!D:D,purchase!K:K,"")))</f>
        <v/>
      </c>
      <c r="Q561" s="29" t="str">
        <f t="shared" si="61"/>
        <v/>
      </c>
      <c r="R561" s="37" t="str">
        <f t="shared" si="62"/>
        <v/>
      </c>
    </row>
    <row r="562" spans="1:18" x14ac:dyDescent="0.35">
      <c r="A562" s="8">
        <v>558</v>
      </c>
      <c r="B562" s="9" t="str">
        <f t="shared" si="56"/>
        <v/>
      </c>
      <c r="C562" s="10"/>
      <c r="D562" s="9" t="str">
        <f>IF(F562="","",_xlfn.XLOOKUP(F562,purchase!D:D,purchase!#REF!,""))</f>
        <v/>
      </c>
      <c r="E562" s="9" t="str">
        <f>IF(F562="","",_xlfn.XLOOKUP(F562,purchase!D:D,purchase!B:B,""))</f>
        <v/>
      </c>
      <c r="F562" s="2"/>
      <c r="G562" s="4" t="str">
        <f t="shared" si="57"/>
        <v/>
      </c>
      <c r="H562" s="4" t="str">
        <f>IF(F562="","",_xlfn.XLOOKUP(F562,purchase!D:D,purchase!#REF!,""))</f>
        <v/>
      </c>
      <c r="I562" s="4" t="str">
        <f t="shared" si="58"/>
        <v/>
      </c>
      <c r="J562" s="4" t="str">
        <f t="shared" si="59"/>
        <v/>
      </c>
      <c r="K562" s="13" t="str">
        <f>_xlfn.SINGLE(IF(F562="","",_xlfn.XLOOKUP(F562,purchase!D:D,purchase!#REF!,"")))</f>
        <v/>
      </c>
      <c r="L562" s="2"/>
      <c r="M562" s="32"/>
      <c r="N562" s="13" t="str">
        <f>IF(F562="","",
MAX(0,
_xlfn.XLOOKUP(F562,purchase!D:D,purchase!#REF!,"")
-
SUMIFS(L:L,F:F,F562)))</f>
        <v/>
      </c>
      <c r="O562" s="13" t="str">
        <f t="shared" si="60"/>
        <v/>
      </c>
      <c r="P562" s="35" t="str">
        <f>_xlfn.SINGLE(IF(F562="","",_xlfn.XLOOKUP(F562,purchase!D:D,purchase!K:K,"")))</f>
        <v/>
      </c>
      <c r="Q562" s="29" t="str">
        <f t="shared" si="61"/>
        <v/>
      </c>
      <c r="R562" s="37" t="str">
        <f t="shared" si="62"/>
        <v/>
      </c>
    </row>
    <row r="563" spans="1:18" x14ac:dyDescent="0.35">
      <c r="A563" s="8">
        <v>559</v>
      </c>
      <c r="B563" s="9" t="str">
        <f t="shared" si="56"/>
        <v/>
      </c>
      <c r="C563" s="10"/>
      <c r="D563" s="9" t="str">
        <f>IF(F563="","",_xlfn.XLOOKUP(F563,purchase!D:D,purchase!#REF!,""))</f>
        <v/>
      </c>
      <c r="E563" s="9" t="str">
        <f>IF(F563="","",_xlfn.XLOOKUP(F563,purchase!D:D,purchase!B:B,""))</f>
        <v/>
      </c>
      <c r="F563" s="2"/>
      <c r="G563" s="4" t="str">
        <f t="shared" si="57"/>
        <v/>
      </c>
      <c r="H563" s="4" t="str">
        <f>IF(F563="","",_xlfn.XLOOKUP(F563,purchase!D:D,purchase!#REF!,""))</f>
        <v/>
      </c>
      <c r="I563" s="4" t="str">
        <f t="shared" si="58"/>
        <v/>
      </c>
      <c r="J563" s="4" t="str">
        <f t="shared" si="59"/>
        <v/>
      </c>
      <c r="K563" s="13" t="str">
        <f>_xlfn.SINGLE(IF(F563="","",_xlfn.XLOOKUP(F563,purchase!D:D,purchase!#REF!,"")))</f>
        <v/>
      </c>
      <c r="L563" s="2"/>
      <c r="M563" s="32"/>
      <c r="N563" s="13" t="str">
        <f>IF(F563="","",
MAX(0,
_xlfn.XLOOKUP(F563,purchase!D:D,purchase!#REF!,"")
-
SUMIFS(L:L,F:F,F563)))</f>
        <v/>
      </c>
      <c r="O563" s="13" t="str">
        <f t="shared" si="60"/>
        <v/>
      </c>
      <c r="P563" s="35" t="str">
        <f>_xlfn.SINGLE(IF(F563="","",_xlfn.XLOOKUP(F563,purchase!D:D,purchase!K:K,"")))</f>
        <v/>
      </c>
      <c r="Q563" s="29" t="str">
        <f t="shared" si="61"/>
        <v/>
      </c>
      <c r="R563" s="37" t="str">
        <f t="shared" si="62"/>
        <v/>
      </c>
    </row>
    <row r="564" spans="1:18" x14ac:dyDescent="0.35">
      <c r="A564" s="8">
        <v>560</v>
      </c>
      <c r="B564" s="9" t="str">
        <f t="shared" si="56"/>
        <v/>
      </c>
      <c r="C564" s="10"/>
      <c r="D564" s="9" t="str">
        <f>IF(F564="","",_xlfn.XLOOKUP(F564,purchase!D:D,purchase!#REF!,""))</f>
        <v/>
      </c>
      <c r="E564" s="9" t="str">
        <f>IF(F564="","",_xlfn.XLOOKUP(F564,purchase!D:D,purchase!B:B,""))</f>
        <v/>
      </c>
      <c r="F564" s="2"/>
      <c r="G564" s="4" t="str">
        <f t="shared" si="57"/>
        <v/>
      </c>
      <c r="H564" s="4" t="str">
        <f>IF(F564="","",_xlfn.XLOOKUP(F564,purchase!D:D,purchase!#REF!,""))</f>
        <v/>
      </c>
      <c r="I564" s="4" t="str">
        <f t="shared" si="58"/>
        <v/>
      </c>
      <c r="J564" s="4" t="str">
        <f t="shared" si="59"/>
        <v/>
      </c>
      <c r="K564" s="13" t="str">
        <f>_xlfn.SINGLE(IF(F564="","",_xlfn.XLOOKUP(F564,purchase!D:D,purchase!#REF!,"")))</f>
        <v/>
      </c>
      <c r="L564" s="2"/>
      <c r="M564" s="32"/>
      <c r="N564" s="13" t="str">
        <f>IF(F564="","",
MAX(0,
_xlfn.XLOOKUP(F564,purchase!D:D,purchase!#REF!,"")
-
SUMIFS(L:L,F:F,F564)))</f>
        <v/>
      </c>
      <c r="O564" s="13" t="str">
        <f t="shared" si="60"/>
        <v/>
      </c>
      <c r="P564" s="35" t="str">
        <f>_xlfn.SINGLE(IF(F564="","",_xlfn.XLOOKUP(F564,purchase!D:D,purchase!K:K,"")))</f>
        <v/>
      </c>
      <c r="Q564" s="29" t="str">
        <f t="shared" si="61"/>
        <v/>
      </c>
      <c r="R564" s="37" t="str">
        <f t="shared" si="62"/>
        <v/>
      </c>
    </row>
    <row r="565" spans="1:18" x14ac:dyDescent="0.35">
      <c r="A565" s="8">
        <v>561</v>
      </c>
      <c r="B565" s="9" t="str">
        <f t="shared" si="56"/>
        <v/>
      </c>
      <c r="C565" s="10"/>
      <c r="D565" s="9" t="str">
        <f>IF(F565="","",_xlfn.XLOOKUP(F565,purchase!D:D,purchase!#REF!,""))</f>
        <v/>
      </c>
      <c r="E565" s="9" t="str">
        <f>IF(F565="","",_xlfn.XLOOKUP(F565,purchase!D:D,purchase!B:B,""))</f>
        <v/>
      </c>
      <c r="F565" s="2"/>
      <c r="G565" s="4" t="str">
        <f t="shared" si="57"/>
        <v/>
      </c>
      <c r="H565" s="4" t="str">
        <f>IF(F565="","",_xlfn.XLOOKUP(F565,purchase!D:D,purchase!#REF!,""))</f>
        <v/>
      </c>
      <c r="I565" s="4" t="str">
        <f t="shared" si="58"/>
        <v/>
      </c>
      <c r="J565" s="4" t="str">
        <f t="shared" si="59"/>
        <v/>
      </c>
      <c r="K565" s="13" t="str">
        <f>_xlfn.SINGLE(IF(F565="","",_xlfn.XLOOKUP(F565,purchase!D:D,purchase!#REF!,"")))</f>
        <v/>
      </c>
      <c r="L565" s="2"/>
      <c r="M565" s="32"/>
      <c r="N565" s="13" t="str">
        <f>IF(F565="","",
MAX(0,
_xlfn.XLOOKUP(F565,purchase!D:D,purchase!#REF!,"")
-
SUMIFS(L:L,F:F,F565)))</f>
        <v/>
      </c>
      <c r="O565" s="13" t="str">
        <f t="shared" si="60"/>
        <v/>
      </c>
      <c r="P565" s="35" t="str">
        <f>_xlfn.SINGLE(IF(F565="","",_xlfn.XLOOKUP(F565,purchase!D:D,purchase!K:K,"")))</f>
        <v/>
      </c>
      <c r="Q565" s="29" t="str">
        <f t="shared" si="61"/>
        <v/>
      </c>
      <c r="R565" s="37" t="str">
        <f t="shared" si="62"/>
        <v/>
      </c>
    </row>
    <row r="566" spans="1:18" x14ac:dyDescent="0.35">
      <c r="A566" s="8">
        <v>562</v>
      </c>
      <c r="B566" s="9" t="str">
        <f t="shared" si="56"/>
        <v/>
      </c>
      <c r="C566" s="10"/>
      <c r="D566" s="9" t="str">
        <f>IF(F566="","",_xlfn.XLOOKUP(F566,purchase!D:D,purchase!#REF!,""))</f>
        <v/>
      </c>
      <c r="E566" s="9" t="str">
        <f>IF(F566="","",_xlfn.XLOOKUP(F566,purchase!D:D,purchase!B:B,""))</f>
        <v/>
      </c>
      <c r="F566" s="2"/>
      <c r="G566" s="4" t="str">
        <f t="shared" si="57"/>
        <v/>
      </c>
      <c r="H566" s="4" t="str">
        <f>IF(F566="","",_xlfn.XLOOKUP(F566,purchase!D:D,purchase!#REF!,""))</f>
        <v/>
      </c>
      <c r="I566" s="4" t="str">
        <f t="shared" si="58"/>
        <v/>
      </c>
      <c r="J566" s="4" t="str">
        <f t="shared" si="59"/>
        <v/>
      </c>
      <c r="K566" s="13" t="str">
        <f>_xlfn.SINGLE(IF(F566="","",_xlfn.XLOOKUP(F566,purchase!D:D,purchase!#REF!,"")))</f>
        <v/>
      </c>
      <c r="L566" s="2"/>
      <c r="M566" s="32"/>
      <c r="N566" s="13" t="str">
        <f>IF(F566="","",
MAX(0,
_xlfn.XLOOKUP(F566,purchase!D:D,purchase!#REF!,"")
-
SUMIFS(L:L,F:F,F566)))</f>
        <v/>
      </c>
      <c r="O566" s="13" t="str">
        <f t="shared" si="60"/>
        <v/>
      </c>
      <c r="P566" s="35" t="str">
        <f>_xlfn.SINGLE(IF(F566="","",_xlfn.XLOOKUP(F566,purchase!D:D,purchase!K:K,"")))</f>
        <v/>
      </c>
      <c r="Q566" s="29" t="str">
        <f t="shared" si="61"/>
        <v/>
      </c>
      <c r="R566" s="37" t="str">
        <f t="shared" si="62"/>
        <v/>
      </c>
    </row>
    <row r="567" spans="1:18" x14ac:dyDescent="0.35">
      <c r="A567" s="8">
        <v>563</v>
      </c>
      <c r="B567" s="9" t="str">
        <f t="shared" si="56"/>
        <v/>
      </c>
      <c r="C567" s="10"/>
      <c r="D567" s="9" t="str">
        <f>IF(F567="","",_xlfn.XLOOKUP(F567,purchase!D:D,purchase!#REF!,""))</f>
        <v/>
      </c>
      <c r="E567" s="9" t="str">
        <f>IF(F567="","",_xlfn.XLOOKUP(F567,purchase!D:D,purchase!B:B,""))</f>
        <v/>
      </c>
      <c r="F567" s="2"/>
      <c r="G567" s="4" t="str">
        <f t="shared" si="57"/>
        <v/>
      </c>
      <c r="H567" s="4" t="str">
        <f>IF(F567="","",_xlfn.XLOOKUP(F567,purchase!D:D,purchase!#REF!,""))</f>
        <v/>
      </c>
      <c r="I567" s="4" t="str">
        <f t="shared" si="58"/>
        <v/>
      </c>
      <c r="J567" s="4" t="str">
        <f t="shared" si="59"/>
        <v/>
      </c>
      <c r="K567" s="13" t="str">
        <f>_xlfn.SINGLE(IF(F567="","",_xlfn.XLOOKUP(F567,purchase!D:D,purchase!#REF!,"")))</f>
        <v/>
      </c>
      <c r="L567" s="2"/>
      <c r="M567" s="32"/>
      <c r="N567" s="13" t="str">
        <f>IF(F567="","",
MAX(0,
_xlfn.XLOOKUP(F567,purchase!D:D,purchase!#REF!,"")
-
SUMIFS(L:L,F:F,F567)))</f>
        <v/>
      </c>
      <c r="O567" s="13" t="str">
        <f t="shared" si="60"/>
        <v/>
      </c>
      <c r="P567" s="35" t="str">
        <f>_xlfn.SINGLE(IF(F567="","",_xlfn.XLOOKUP(F567,purchase!D:D,purchase!K:K,"")))</f>
        <v/>
      </c>
      <c r="Q567" s="29" t="str">
        <f t="shared" si="61"/>
        <v/>
      </c>
      <c r="R567" s="37" t="str">
        <f t="shared" si="62"/>
        <v/>
      </c>
    </row>
    <row r="568" spans="1:18" x14ac:dyDescent="0.35">
      <c r="A568" s="8">
        <v>564</v>
      </c>
      <c r="B568" s="9" t="str">
        <f t="shared" si="56"/>
        <v/>
      </c>
      <c r="C568" s="10"/>
      <c r="D568" s="9" t="str">
        <f>IF(F568="","",_xlfn.XLOOKUP(F568,purchase!D:D,purchase!#REF!,""))</f>
        <v/>
      </c>
      <c r="E568" s="9" t="str">
        <f>IF(F568="","",_xlfn.XLOOKUP(F568,purchase!D:D,purchase!B:B,""))</f>
        <v/>
      </c>
      <c r="F568" s="2"/>
      <c r="G568" s="4" t="str">
        <f t="shared" si="57"/>
        <v/>
      </c>
      <c r="H568" s="4" t="str">
        <f>IF(F568="","",_xlfn.XLOOKUP(F568,purchase!D:D,purchase!#REF!,""))</f>
        <v/>
      </c>
      <c r="I568" s="4" t="str">
        <f t="shared" si="58"/>
        <v/>
      </c>
      <c r="J568" s="4" t="str">
        <f t="shared" si="59"/>
        <v/>
      </c>
      <c r="K568" s="13" t="str">
        <f>_xlfn.SINGLE(IF(F568="","",_xlfn.XLOOKUP(F568,purchase!D:D,purchase!#REF!,"")))</f>
        <v/>
      </c>
      <c r="L568" s="2"/>
      <c r="M568" s="32"/>
      <c r="N568" s="13" t="str">
        <f>IF(F568="","",
MAX(0,
_xlfn.XLOOKUP(F568,purchase!D:D,purchase!#REF!,"")
-
SUMIFS(L:L,F:F,F568)))</f>
        <v/>
      </c>
      <c r="O568" s="13" t="str">
        <f t="shared" si="60"/>
        <v/>
      </c>
      <c r="P568" s="35" t="str">
        <f>_xlfn.SINGLE(IF(F568="","",_xlfn.XLOOKUP(F568,purchase!D:D,purchase!K:K,"")))</f>
        <v/>
      </c>
      <c r="Q568" s="29" t="str">
        <f t="shared" si="61"/>
        <v/>
      </c>
      <c r="R568" s="37" t="str">
        <f t="shared" si="62"/>
        <v/>
      </c>
    </row>
    <row r="569" spans="1:18" x14ac:dyDescent="0.35">
      <c r="A569" s="8">
        <v>565</v>
      </c>
      <c r="B569" s="9" t="str">
        <f t="shared" si="56"/>
        <v/>
      </c>
      <c r="C569" s="10"/>
      <c r="D569" s="9" t="str">
        <f>IF(F569="","",_xlfn.XLOOKUP(F569,purchase!D:D,purchase!#REF!,""))</f>
        <v/>
      </c>
      <c r="E569" s="9" t="str">
        <f>IF(F569="","",_xlfn.XLOOKUP(F569,purchase!D:D,purchase!B:B,""))</f>
        <v/>
      </c>
      <c r="F569" s="2"/>
      <c r="G569" s="4" t="str">
        <f t="shared" si="57"/>
        <v/>
      </c>
      <c r="H569" s="4" t="str">
        <f>IF(F569="","",_xlfn.XLOOKUP(F569,purchase!D:D,purchase!#REF!,""))</f>
        <v/>
      </c>
      <c r="I569" s="4" t="str">
        <f t="shared" si="58"/>
        <v/>
      </c>
      <c r="J569" s="4" t="str">
        <f t="shared" si="59"/>
        <v/>
      </c>
      <c r="K569" s="13" t="str">
        <f>_xlfn.SINGLE(IF(F569="","",_xlfn.XLOOKUP(F569,purchase!D:D,purchase!#REF!,"")))</f>
        <v/>
      </c>
      <c r="L569" s="2"/>
      <c r="M569" s="32"/>
      <c r="N569" s="13" t="str">
        <f>IF(F569="","",
MAX(0,
_xlfn.XLOOKUP(F569,purchase!D:D,purchase!#REF!,"")
-
SUMIFS(L:L,F:F,F569)))</f>
        <v/>
      </c>
      <c r="O569" s="13" t="str">
        <f t="shared" si="60"/>
        <v/>
      </c>
      <c r="P569" s="35" t="str">
        <f>_xlfn.SINGLE(IF(F569="","",_xlfn.XLOOKUP(F569,purchase!D:D,purchase!K:K,"")))</f>
        <v/>
      </c>
      <c r="Q569" s="29" t="str">
        <f t="shared" si="61"/>
        <v/>
      </c>
      <c r="R569" s="37" t="str">
        <f t="shared" si="62"/>
        <v/>
      </c>
    </row>
    <row r="570" spans="1:18" x14ac:dyDescent="0.35">
      <c r="A570" s="8">
        <v>566</v>
      </c>
      <c r="B570" s="9" t="str">
        <f t="shared" si="56"/>
        <v/>
      </c>
      <c r="C570" s="10"/>
      <c r="D570" s="9" t="str">
        <f>IF(F570="","",_xlfn.XLOOKUP(F570,purchase!D:D,purchase!#REF!,""))</f>
        <v/>
      </c>
      <c r="E570" s="9" t="str">
        <f>IF(F570="","",_xlfn.XLOOKUP(F570,purchase!D:D,purchase!B:B,""))</f>
        <v/>
      </c>
      <c r="F570" s="2"/>
      <c r="G570" s="4" t="str">
        <f t="shared" si="57"/>
        <v/>
      </c>
      <c r="H570" s="4" t="str">
        <f>IF(F570="","",_xlfn.XLOOKUP(F570,purchase!D:D,purchase!#REF!,""))</f>
        <v/>
      </c>
      <c r="I570" s="4" t="str">
        <f t="shared" si="58"/>
        <v/>
      </c>
      <c r="J570" s="4" t="str">
        <f t="shared" si="59"/>
        <v/>
      </c>
      <c r="K570" s="13" t="str">
        <f>_xlfn.SINGLE(IF(F570="","",_xlfn.XLOOKUP(F570,purchase!D:D,purchase!#REF!,"")))</f>
        <v/>
      </c>
      <c r="L570" s="2"/>
      <c r="M570" s="32"/>
      <c r="N570" s="13" t="str">
        <f>IF(F570="","",
MAX(0,
_xlfn.XLOOKUP(F570,purchase!D:D,purchase!#REF!,"")
-
SUMIFS(L:L,F:F,F570)))</f>
        <v/>
      </c>
      <c r="O570" s="13" t="str">
        <f t="shared" si="60"/>
        <v/>
      </c>
      <c r="P570" s="35" t="str">
        <f>_xlfn.SINGLE(IF(F570="","",_xlfn.XLOOKUP(F570,purchase!D:D,purchase!K:K,"")))</f>
        <v/>
      </c>
      <c r="Q570" s="29" t="str">
        <f t="shared" si="61"/>
        <v/>
      </c>
      <c r="R570" s="37" t="str">
        <f t="shared" si="62"/>
        <v/>
      </c>
    </row>
    <row r="571" spans="1:18" x14ac:dyDescent="0.35">
      <c r="A571" s="8">
        <v>567</v>
      </c>
      <c r="B571" s="9" t="str">
        <f t="shared" si="56"/>
        <v/>
      </c>
      <c r="C571" s="10"/>
      <c r="D571" s="9" t="str">
        <f>IF(F571="","",_xlfn.XLOOKUP(F571,purchase!D:D,purchase!#REF!,""))</f>
        <v/>
      </c>
      <c r="E571" s="9" t="str">
        <f>IF(F571="","",_xlfn.XLOOKUP(F571,purchase!D:D,purchase!B:B,""))</f>
        <v/>
      </c>
      <c r="F571" s="2"/>
      <c r="G571" s="4" t="str">
        <f t="shared" si="57"/>
        <v/>
      </c>
      <c r="H571" s="4" t="str">
        <f>IF(F571="","",_xlfn.XLOOKUP(F571,purchase!D:D,purchase!#REF!,""))</f>
        <v/>
      </c>
      <c r="I571" s="4" t="str">
        <f t="shared" si="58"/>
        <v/>
      </c>
      <c r="J571" s="4" t="str">
        <f t="shared" si="59"/>
        <v/>
      </c>
      <c r="K571" s="13" t="str">
        <f>_xlfn.SINGLE(IF(F571="","",_xlfn.XLOOKUP(F571,purchase!D:D,purchase!#REF!,"")))</f>
        <v/>
      </c>
      <c r="L571" s="2"/>
      <c r="M571" s="32"/>
      <c r="N571" s="13" t="str">
        <f>IF(F571="","",
MAX(0,
_xlfn.XLOOKUP(F571,purchase!D:D,purchase!#REF!,"")
-
SUMIFS(L:L,F:F,F571)))</f>
        <v/>
      </c>
      <c r="O571" s="13" t="str">
        <f t="shared" si="60"/>
        <v/>
      </c>
      <c r="P571" s="35" t="str">
        <f>_xlfn.SINGLE(IF(F571="","",_xlfn.XLOOKUP(F571,purchase!D:D,purchase!K:K,"")))</f>
        <v/>
      </c>
      <c r="Q571" s="29" t="str">
        <f t="shared" si="61"/>
        <v/>
      </c>
      <c r="R571" s="37" t="str">
        <f t="shared" si="62"/>
        <v/>
      </c>
    </row>
    <row r="572" spans="1:18" x14ac:dyDescent="0.35">
      <c r="A572" s="8">
        <v>568</v>
      </c>
      <c r="B572" s="9" t="str">
        <f t="shared" si="56"/>
        <v/>
      </c>
      <c r="C572" s="10"/>
      <c r="D572" s="9" t="str">
        <f>IF(F572="","",_xlfn.XLOOKUP(F572,purchase!D:D,purchase!#REF!,""))</f>
        <v/>
      </c>
      <c r="E572" s="9" t="str">
        <f>IF(F572="","",_xlfn.XLOOKUP(F572,purchase!D:D,purchase!B:B,""))</f>
        <v/>
      </c>
      <c r="F572" s="2"/>
      <c r="G572" s="4" t="str">
        <f t="shared" si="57"/>
        <v/>
      </c>
      <c r="H572" s="4" t="str">
        <f>IF(F572="","",_xlfn.XLOOKUP(F572,purchase!D:D,purchase!#REF!,""))</f>
        <v/>
      </c>
      <c r="I572" s="4" t="str">
        <f t="shared" si="58"/>
        <v/>
      </c>
      <c r="J572" s="4" t="str">
        <f t="shared" si="59"/>
        <v/>
      </c>
      <c r="K572" s="13" t="str">
        <f>_xlfn.SINGLE(IF(F572="","",_xlfn.XLOOKUP(F572,purchase!D:D,purchase!#REF!,"")))</f>
        <v/>
      </c>
      <c r="L572" s="2"/>
      <c r="M572" s="32"/>
      <c r="N572" s="13" t="str">
        <f>IF(F572="","",
MAX(0,
_xlfn.XLOOKUP(F572,purchase!D:D,purchase!#REF!,"")
-
SUMIFS(L:L,F:F,F572)))</f>
        <v/>
      </c>
      <c r="O572" s="13" t="str">
        <f t="shared" si="60"/>
        <v/>
      </c>
      <c r="P572" s="35" t="str">
        <f>_xlfn.SINGLE(IF(F572="","",_xlfn.XLOOKUP(F572,purchase!D:D,purchase!K:K,"")))</f>
        <v/>
      </c>
      <c r="Q572" s="29" t="str">
        <f t="shared" si="61"/>
        <v/>
      </c>
      <c r="R572" s="37" t="str">
        <f t="shared" si="62"/>
        <v/>
      </c>
    </row>
    <row r="573" spans="1:18" x14ac:dyDescent="0.35">
      <c r="A573" s="8">
        <v>569</v>
      </c>
      <c r="B573" s="9" t="str">
        <f t="shared" si="56"/>
        <v/>
      </c>
      <c r="C573" s="10"/>
      <c r="D573" s="9" t="str">
        <f>IF(F573="","",_xlfn.XLOOKUP(F573,purchase!D:D,purchase!#REF!,""))</f>
        <v/>
      </c>
      <c r="E573" s="9" t="str">
        <f>IF(F573="","",_xlfn.XLOOKUP(F573,purchase!D:D,purchase!B:B,""))</f>
        <v/>
      </c>
      <c r="F573" s="2"/>
      <c r="G573" s="4" t="str">
        <f t="shared" si="57"/>
        <v/>
      </c>
      <c r="H573" s="4" t="str">
        <f>IF(F573="","",_xlfn.XLOOKUP(F573,purchase!D:D,purchase!#REF!,""))</f>
        <v/>
      </c>
      <c r="I573" s="4" t="str">
        <f t="shared" si="58"/>
        <v/>
      </c>
      <c r="J573" s="4" t="str">
        <f t="shared" si="59"/>
        <v/>
      </c>
      <c r="K573" s="13" t="str">
        <f>_xlfn.SINGLE(IF(F573="","",_xlfn.XLOOKUP(F573,purchase!D:D,purchase!#REF!,"")))</f>
        <v/>
      </c>
      <c r="L573" s="2"/>
      <c r="M573" s="32"/>
      <c r="N573" s="13" t="str">
        <f>IF(F573="","",
MAX(0,
_xlfn.XLOOKUP(F573,purchase!D:D,purchase!#REF!,"")
-
SUMIFS(L:L,F:F,F573)))</f>
        <v/>
      </c>
      <c r="O573" s="13" t="str">
        <f t="shared" si="60"/>
        <v/>
      </c>
      <c r="P573" s="35" t="str">
        <f>_xlfn.SINGLE(IF(F573="","",_xlfn.XLOOKUP(F573,purchase!D:D,purchase!K:K,"")))</f>
        <v/>
      </c>
      <c r="Q573" s="29" t="str">
        <f t="shared" si="61"/>
        <v/>
      </c>
      <c r="R573" s="37" t="str">
        <f t="shared" si="62"/>
        <v/>
      </c>
    </row>
    <row r="574" spans="1:18" x14ac:dyDescent="0.35">
      <c r="A574" s="8">
        <v>570</v>
      </c>
      <c r="B574" s="9" t="str">
        <f t="shared" si="56"/>
        <v/>
      </c>
      <c r="C574" s="10"/>
      <c r="D574" s="9" t="str">
        <f>IF(F574="","",_xlfn.XLOOKUP(F574,purchase!D:D,purchase!#REF!,""))</f>
        <v/>
      </c>
      <c r="E574" s="9" t="str">
        <f>IF(F574="","",_xlfn.XLOOKUP(F574,purchase!D:D,purchase!B:B,""))</f>
        <v/>
      </c>
      <c r="F574" s="2"/>
      <c r="G574" s="4" t="str">
        <f t="shared" si="57"/>
        <v/>
      </c>
      <c r="H574" s="4" t="str">
        <f>IF(F574="","",_xlfn.XLOOKUP(F574,purchase!D:D,purchase!#REF!,""))</f>
        <v/>
      </c>
      <c r="I574" s="4" t="str">
        <f t="shared" si="58"/>
        <v/>
      </c>
      <c r="J574" s="4" t="str">
        <f t="shared" si="59"/>
        <v/>
      </c>
      <c r="K574" s="13" t="str">
        <f>_xlfn.SINGLE(IF(F574="","",_xlfn.XLOOKUP(F574,purchase!D:D,purchase!#REF!,"")))</f>
        <v/>
      </c>
      <c r="L574" s="2"/>
      <c r="M574" s="32"/>
      <c r="N574" s="13" t="str">
        <f>IF(F574="","",
MAX(0,
_xlfn.XLOOKUP(F574,purchase!D:D,purchase!#REF!,"")
-
SUMIFS(L:L,F:F,F574)))</f>
        <v/>
      </c>
      <c r="O574" s="13" t="str">
        <f t="shared" si="60"/>
        <v/>
      </c>
      <c r="P574" s="35" t="str">
        <f>_xlfn.SINGLE(IF(F574="","",_xlfn.XLOOKUP(F574,purchase!D:D,purchase!K:K,"")))</f>
        <v/>
      </c>
      <c r="Q574" s="29" t="str">
        <f t="shared" si="61"/>
        <v/>
      </c>
      <c r="R574" s="37" t="str">
        <f t="shared" si="62"/>
        <v/>
      </c>
    </row>
    <row r="575" spans="1:18" x14ac:dyDescent="0.35">
      <c r="A575" s="8">
        <v>571</v>
      </c>
      <c r="B575" s="9" t="str">
        <f t="shared" si="56"/>
        <v/>
      </c>
      <c r="C575" s="10"/>
      <c r="D575" s="9" t="str">
        <f>IF(F575="","",_xlfn.XLOOKUP(F575,purchase!D:D,purchase!#REF!,""))</f>
        <v/>
      </c>
      <c r="E575" s="9" t="str">
        <f>IF(F575="","",_xlfn.XLOOKUP(F575,purchase!D:D,purchase!B:B,""))</f>
        <v/>
      </c>
      <c r="F575" s="2"/>
      <c r="G575" s="4" t="str">
        <f t="shared" si="57"/>
        <v/>
      </c>
      <c r="H575" s="4" t="str">
        <f>IF(F575="","",_xlfn.XLOOKUP(F575,purchase!D:D,purchase!#REF!,""))</f>
        <v/>
      </c>
      <c r="I575" s="4" t="str">
        <f t="shared" si="58"/>
        <v/>
      </c>
      <c r="J575" s="4" t="str">
        <f t="shared" si="59"/>
        <v/>
      </c>
      <c r="K575" s="13" t="str">
        <f>_xlfn.SINGLE(IF(F575="","",_xlfn.XLOOKUP(F575,purchase!D:D,purchase!#REF!,"")))</f>
        <v/>
      </c>
      <c r="L575" s="2"/>
      <c r="M575" s="32"/>
      <c r="N575" s="13" t="str">
        <f>IF(F575="","",
MAX(0,
_xlfn.XLOOKUP(F575,purchase!D:D,purchase!#REF!,"")
-
SUMIFS(L:L,F:F,F575)))</f>
        <v/>
      </c>
      <c r="O575" s="13" t="str">
        <f t="shared" si="60"/>
        <v/>
      </c>
      <c r="P575" s="35" t="str">
        <f>_xlfn.SINGLE(IF(F575="","",_xlfn.XLOOKUP(F575,purchase!D:D,purchase!K:K,"")))</f>
        <v/>
      </c>
      <c r="Q575" s="29" t="str">
        <f t="shared" si="61"/>
        <v/>
      </c>
      <c r="R575" s="37" t="str">
        <f t="shared" si="62"/>
        <v/>
      </c>
    </row>
    <row r="576" spans="1:18" x14ac:dyDescent="0.35">
      <c r="A576" s="8">
        <v>572</v>
      </c>
      <c r="B576" s="9" t="str">
        <f t="shared" si="56"/>
        <v/>
      </c>
      <c r="C576" s="10"/>
      <c r="D576" s="9" t="str">
        <f>IF(F576="","",_xlfn.XLOOKUP(F576,purchase!D:D,purchase!#REF!,""))</f>
        <v/>
      </c>
      <c r="E576" s="9" t="str">
        <f>IF(F576="","",_xlfn.XLOOKUP(F576,purchase!D:D,purchase!B:B,""))</f>
        <v/>
      </c>
      <c r="F576" s="2"/>
      <c r="G576" s="4" t="str">
        <f t="shared" si="57"/>
        <v/>
      </c>
      <c r="H576" s="4" t="str">
        <f>IF(F576="","",_xlfn.XLOOKUP(F576,purchase!D:D,purchase!#REF!,""))</f>
        <v/>
      </c>
      <c r="I576" s="4" t="str">
        <f t="shared" si="58"/>
        <v/>
      </c>
      <c r="J576" s="4" t="str">
        <f t="shared" si="59"/>
        <v/>
      </c>
      <c r="K576" s="13" t="str">
        <f>_xlfn.SINGLE(IF(F576="","",_xlfn.XLOOKUP(F576,purchase!D:D,purchase!#REF!,"")))</f>
        <v/>
      </c>
      <c r="L576" s="2"/>
      <c r="M576" s="32"/>
      <c r="N576" s="13" t="str">
        <f>IF(F576="","",
MAX(0,
_xlfn.XLOOKUP(F576,purchase!D:D,purchase!#REF!,"")
-
SUMIFS(L:L,F:F,F576)))</f>
        <v/>
      </c>
      <c r="O576" s="13" t="str">
        <f t="shared" si="60"/>
        <v/>
      </c>
      <c r="P576" s="35" t="str">
        <f>_xlfn.SINGLE(IF(F576="","",_xlfn.XLOOKUP(F576,purchase!D:D,purchase!K:K,"")))</f>
        <v/>
      </c>
      <c r="Q576" s="29" t="str">
        <f t="shared" si="61"/>
        <v/>
      </c>
      <c r="R576" s="37" t="str">
        <f t="shared" si="62"/>
        <v/>
      </c>
    </row>
    <row r="577" spans="1:18" x14ac:dyDescent="0.35">
      <c r="A577" s="8">
        <v>573</v>
      </c>
      <c r="B577" s="9" t="str">
        <f t="shared" si="56"/>
        <v/>
      </c>
      <c r="C577" s="10"/>
      <c r="D577" s="9" t="str">
        <f>IF(F577="","",_xlfn.XLOOKUP(F577,purchase!D:D,purchase!#REF!,""))</f>
        <v/>
      </c>
      <c r="E577" s="9" t="str">
        <f>IF(F577="","",_xlfn.XLOOKUP(F577,purchase!D:D,purchase!B:B,""))</f>
        <v/>
      </c>
      <c r="F577" s="2"/>
      <c r="G577" s="4" t="str">
        <f t="shared" si="57"/>
        <v/>
      </c>
      <c r="H577" s="4" t="str">
        <f>IF(F577="","",_xlfn.XLOOKUP(F577,purchase!D:D,purchase!#REF!,""))</f>
        <v/>
      </c>
      <c r="I577" s="4" t="str">
        <f t="shared" si="58"/>
        <v/>
      </c>
      <c r="J577" s="4" t="str">
        <f t="shared" si="59"/>
        <v/>
      </c>
      <c r="K577" s="13" t="str">
        <f>_xlfn.SINGLE(IF(F577="","",_xlfn.XLOOKUP(F577,purchase!D:D,purchase!#REF!,"")))</f>
        <v/>
      </c>
      <c r="L577" s="2"/>
      <c r="M577" s="32"/>
      <c r="N577" s="13" t="str">
        <f>IF(F577="","",
MAX(0,
_xlfn.XLOOKUP(F577,purchase!D:D,purchase!#REF!,"")
-
SUMIFS(L:L,F:F,F577)))</f>
        <v/>
      </c>
      <c r="O577" s="13" t="str">
        <f t="shared" si="60"/>
        <v/>
      </c>
      <c r="P577" s="35" t="str">
        <f>_xlfn.SINGLE(IF(F577="","",_xlfn.XLOOKUP(F577,purchase!D:D,purchase!K:K,"")))</f>
        <v/>
      </c>
      <c r="Q577" s="29" t="str">
        <f t="shared" si="61"/>
        <v/>
      </c>
      <c r="R577" s="37" t="str">
        <f t="shared" si="62"/>
        <v/>
      </c>
    </row>
    <row r="578" spans="1:18" x14ac:dyDescent="0.35">
      <c r="A578" s="8">
        <v>574</v>
      </c>
      <c r="B578" s="9" t="str">
        <f t="shared" si="56"/>
        <v/>
      </c>
      <c r="C578" s="10"/>
      <c r="D578" s="9" t="str">
        <f>IF(F578="","",_xlfn.XLOOKUP(F578,purchase!D:D,purchase!#REF!,""))</f>
        <v/>
      </c>
      <c r="E578" s="9" t="str">
        <f>IF(F578="","",_xlfn.XLOOKUP(F578,purchase!D:D,purchase!B:B,""))</f>
        <v/>
      </c>
      <c r="F578" s="2"/>
      <c r="G578" s="4" t="str">
        <f t="shared" si="57"/>
        <v/>
      </c>
      <c r="H578" s="4" t="str">
        <f>IF(F578="","",_xlfn.XLOOKUP(F578,purchase!D:D,purchase!#REF!,""))</f>
        <v/>
      </c>
      <c r="I578" s="4" t="str">
        <f t="shared" si="58"/>
        <v/>
      </c>
      <c r="J578" s="4" t="str">
        <f t="shared" si="59"/>
        <v/>
      </c>
      <c r="K578" s="13" t="str">
        <f>_xlfn.SINGLE(IF(F578="","",_xlfn.XLOOKUP(F578,purchase!D:D,purchase!#REF!,"")))</f>
        <v/>
      </c>
      <c r="L578" s="2"/>
      <c r="M578" s="32"/>
      <c r="N578" s="13" t="str">
        <f>IF(F578="","",
MAX(0,
_xlfn.XLOOKUP(F578,purchase!D:D,purchase!#REF!,"")
-
SUMIFS(L:L,F:F,F578)))</f>
        <v/>
      </c>
      <c r="O578" s="13" t="str">
        <f t="shared" si="60"/>
        <v/>
      </c>
      <c r="P578" s="35" t="str">
        <f>_xlfn.SINGLE(IF(F578="","",_xlfn.XLOOKUP(F578,purchase!D:D,purchase!K:K,"")))</f>
        <v/>
      </c>
      <c r="Q578" s="29" t="str">
        <f t="shared" si="61"/>
        <v/>
      </c>
      <c r="R578" s="37" t="str">
        <f t="shared" si="62"/>
        <v/>
      </c>
    </row>
    <row r="579" spans="1:18" x14ac:dyDescent="0.35">
      <c r="A579" s="8">
        <v>575</v>
      </c>
      <c r="B579" s="9" t="str">
        <f t="shared" si="56"/>
        <v/>
      </c>
      <c r="C579" s="10"/>
      <c r="D579" s="9" t="str">
        <f>IF(F579="","",_xlfn.XLOOKUP(F579,purchase!D:D,purchase!#REF!,""))</f>
        <v/>
      </c>
      <c r="E579" s="9" t="str">
        <f>IF(F579="","",_xlfn.XLOOKUP(F579,purchase!D:D,purchase!B:B,""))</f>
        <v/>
      </c>
      <c r="F579" s="2"/>
      <c r="G579" s="4" t="str">
        <f t="shared" si="57"/>
        <v/>
      </c>
      <c r="H579" s="4" t="str">
        <f>IF(F579="","",_xlfn.XLOOKUP(F579,purchase!D:D,purchase!#REF!,""))</f>
        <v/>
      </c>
      <c r="I579" s="4" t="str">
        <f t="shared" si="58"/>
        <v/>
      </c>
      <c r="J579" s="4" t="str">
        <f t="shared" si="59"/>
        <v/>
      </c>
      <c r="K579" s="13" t="str">
        <f>_xlfn.SINGLE(IF(F579="","",_xlfn.XLOOKUP(F579,purchase!D:D,purchase!#REF!,"")))</f>
        <v/>
      </c>
      <c r="L579" s="2"/>
      <c r="M579" s="32"/>
      <c r="N579" s="13" t="str">
        <f>IF(F579="","",
MAX(0,
_xlfn.XLOOKUP(F579,purchase!D:D,purchase!#REF!,"")
-
SUMIFS(L:L,F:F,F579)))</f>
        <v/>
      </c>
      <c r="O579" s="13" t="str">
        <f t="shared" si="60"/>
        <v/>
      </c>
      <c r="P579" s="35" t="str">
        <f>_xlfn.SINGLE(IF(F579="","",_xlfn.XLOOKUP(F579,purchase!D:D,purchase!K:K,"")))</f>
        <v/>
      </c>
      <c r="Q579" s="29" t="str">
        <f t="shared" si="61"/>
        <v/>
      </c>
      <c r="R579" s="37" t="str">
        <f t="shared" si="62"/>
        <v/>
      </c>
    </row>
    <row r="580" spans="1:18" x14ac:dyDescent="0.35">
      <c r="A580" s="8">
        <v>576</v>
      </c>
      <c r="B580" s="9" t="str">
        <f t="shared" si="56"/>
        <v/>
      </c>
      <c r="C580" s="10"/>
      <c r="D580" s="9" t="str">
        <f>IF(F580="","",_xlfn.XLOOKUP(F580,purchase!D:D,purchase!#REF!,""))</f>
        <v/>
      </c>
      <c r="E580" s="9" t="str">
        <f>IF(F580="","",_xlfn.XLOOKUP(F580,purchase!D:D,purchase!B:B,""))</f>
        <v/>
      </c>
      <c r="F580" s="2"/>
      <c r="G580" s="4" t="str">
        <f t="shared" si="57"/>
        <v/>
      </c>
      <c r="H580" s="4" t="str">
        <f>IF(F580="","",_xlfn.XLOOKUP(F580,purchase!D:D,purchase!#REF!,""))</f>
        <v/>
      </c>
      <c r="I580" s="4" t="str">
        <f t="shared" si="58"/>
        <v/>
      </c>
      <c r="J580" s="4" t="str">
        <f t="shared" si="59"/>
        <v/>
      </c>
      <c r="K580" s="13" t="str">
        <f>_xlfn.SINGLE(IF(F580="","",_xlfn.XLOOKUP(F580,purchase!D:D,purchase!#REF!,"")))</f>
        <v/>
      </c>
      <c r="L580" s="2"/>
      <c r="M580" s="32"/>
      <c r="N580" s="13" t="str">
        <f>IF(F580="","",
MAX(0,
_xlfn.XLOOKUP(F580,purchase!D:D,purchase!#REF!,"")
-
SUMIFS(L:L,F:F,F580)))</f>
        <v/>
      </c>
      <c r="O580" s="13" t="str">
        <f t="shared" si="60"/>
        <v/>
      </c>
      <c r="P580" s="35" t="str">
        <f>_xlfn.SINGLE(IF(F580="","",_xlfn.XLOOKUP(F580,purchase!D:D,purchase!K:K,"")))</f>
        <v/>
      </c>
      <c r="Q580" s="29" t="str">
        <f t="shared" si="61"/>
        <v/>
      </c>
      <c r="R580" s="37" t="str">
        <f t="shared" si="62"/>
        <v/>
      </c>
    </row>
    <row r="581" spans="1:18" x14ac:dyDescent="0.35">
      <c r="A581" s="8">
        <v>577</v>
      </c>
      <c r="B581" s="9" t="str">
        <f t="shared" ref="B581:B644" si="63">IF(OR(C581="",F581=""),"",
"PRD-" &amp;
TEXT(DAY(C581),"00") &amp;
CHOOSE(MONTH(C581),"A","B","C","D","E","F","G","H","I","J","K","L") &amp;
TEXT(YEAR(C581),"00") &amp;
"-" &amp;
RIGHT(F581,4))</f>
        <v/>
      </c>
      <c r="C581" s="10"/>
      <c r="D581" s="9" t="str">
        <f>IF(F581="","",_xlfn.XLOOKUP(F581,purchase!D:D,purchase!#REF!,""))</f>
        <v/>
      </c>
      <c r="E581" s="9" t="str">
        <f>IF(F581="","",_xlfn.XLOOKUP(F581,purchase!D:D,purchase!B:B,""))</f>
        <v/>
      </c>
      <c r="F581" s="2"/>
      <c r="G581" s="4" t="str">
        <f t="shared" ref="G581:G644" si="64">IF(H581="NRFC","Natural Rubber Field Coagulam","")</f>
        <v/>
      </c>
      <c r="H581" s="4" t="str">
        <f>IF(F581="","",_xlfn.XLOOKUP(F581,purchase!D:D,purchase!#REF!,""))</f>
        <v/>
      </c>
      <c r="I581" s="4" t="str">
        <f t="shared" ref="I581:I644" si="65">IF(J581="ISNR20","Natural Rubber-TSNR (ISNR-20)","")</f>
        <v/>
      </c>
      <c r="J581" s="4" t="str">
        <f t="shared" ref="J581:J644" si="66">IF(H581="NRFC","ISNR20","")</f>
        <v/>
      </c>
      <c r="K581" s="13" t="str">
        <f>_xlfn.SINGLE(IF(F581="","",_xlfn.XLOOKUP(F581,purchase!D:D,purchase!#REF!,"")))</f>
        <v/>
      </c>
      <c r="L581" s="2"/>
      <c r="M581" s="32"/>
      <c r="N581" s="13" t="str">
        <f>IF(F581="","",
MAX(0,
_xlfn.XLOOKUP(F581,purchase!D:D,purchase!#REF!,"")
-
SUMIFS(L:L,F:F,F581)))</f>
        <v/>
      </c>
      <c r="O581" s="13" t="str">
        <f t="shared" ref="O581:O644" si="67">IF(OR(L581="",M581=""),"",L581-M581)</f>
        <v/>
      </c>
      <c r="P581" s="35" t="str">
        <f>_xlfn.SINGLE(IF(F581="","",_xlfn.XLOOKUP(F581,purchase!D:D,purchase!K:K,"")))</f>
        <v/>
      </c>
      <c r="Q581" s="29" t="str">
        <f t="shared" ref="Q581:Q644" si="68">IF(OR(L581="",M581=""),"",M581/L581)</f>
        <v/>
      </c>
      <c r="R581" s="37" t="str">
        <f t="shared" ref="R581:R644" si="69">IF(OR(P581="",Q581=""),"",Q581-P581)</f>
        <v/>
      </c>
    </row>
    <row r="582" spans="1:18" x14ac:dyDescent="0.35">
      <c r="A582" s="8">
        <v>578</v>
      </c>
      <c r="B582" s="9" t="str">
        <f t="shared" si="63"/>
        <v/>
      </c>
      <c r="C582" s="10"/>
      <c r="D582" s="9" t="str">
        <f>IF(F582="","",_xlfn.XLOOKUP(F582,purchase!D:D,purchase!#REF!,""))</f>
        <v/>
      </c>
      <c r="E582" s="9" t="str">
        <f>IF(F582="","",_xlfn.XLOOKUP(F582,purchase!D:D,purchase!B:B,""))</f>
        <v/>
      </c>
      <c r="F582" s="2"/>
      <c r="G582" s="4" t="str">
        <f t="shared" si="64"/>
        <v/>
      </c>
      <c r="H582" s="4" t="str">
        <f>IF(F582="","",_xlfn.XLOOKUP(F582,purchase!D:D,purchase!#REF!,""))</f>
        <v/>
      </c>
      <c r="I582" s="4" t="str">
        <f t="shared" si="65"/>
        <v/>
      </c>
      <c r="J582" s="4" t="str">
        <f t="shared" si="66"/>
        <v/>
      </c>
      <c r="K582" s="13" t="str">
        <f>_xlfn.SINGLE(IF(F582="","",_xlfn.XLOOKUP(F582,purchase!D:D,purchase!#REF!,"")))</f>
        <v/>
      </c>
      <c r="L582" s="2"/>
      <c r="M582" s="32"/>
      <c r="N582" s="13" t="str">
        <f>IF(F582="","",
MAX(0,
_xlfn.XLOOKUP(F582,purchase!D:D,purchase!#REF!,"")
-
SUMIFS(L:L,F:F,F582)))</f>
        <v/>
      </c>
      <c r="O582" s="13" t="str">
        <f t="shared" si="67"/>
        <v/>
      </c>
      <c r="P582" s="35" t="str">
        <f>_xlfn.SINGLE(IF(F582="","",_xlfn.XLOOKUP(F582,purchase!D:D,purchase!K:K,"")))</f>
        <v/>
      </c>
      <c r="Q582" s="29" t="str">
        <f t="shared" si="68"/>
        <v/>
      </c>
      <c r="R582" s="37" t="str">
        <f t="shared" si="69"/>
        <v/>
      </c>
    </row>
    <row r="583" spans="1:18" x14ac:dyDescent="0.35">
      <c r="A583" s="8">
        <v>579</v>
      </c>
      <c r="B583" s="9" t="str">
        <f t="shared" si="63"/>
        <v/>
      </c>
      <c r="C583" s="10"/>
      <c r="D583" s="9" t="str">
        <f>IF(F583="","",_xlfn.XLOOKUP(F583,purchase!D:D,purchase!#REF!,""))</f>
        <v/>
      </c>
      <c r="E583" s="9" t="str">
        <f>IF(F583="","",_xlfn.XLOOKUP(F583,purchase!D:D,purchase!B:B,""))</f>
        <v/>
      </c>
      <c r="F583" s="2"/>
      <c r="G583" s="4" t="str">
        <f t="shared" si="64"/>
        <v/>
      </c>
      <c r="H583" s="4" t="str">
        <f>IF(F583="","",_xlfn.XLOOKUP(F583,purchase!D:D,purchase!#REF!,""))</f>
        <v/>
      </c>
      <c r="I583" s="4" t="str">
        <f t="shared" si="65"/>
        <v/>
      </c>
      <c r="J583" s="4" t="str">
        <f t="shared" si="66"/>
        <v/>
      </c>
      <c r="K583" s="13" t="str">
        <f>_xlfn.SINGLE(IF(F583="","",_xlfn.XLOOKUP(F583,purchase!D:D,purchase!#REF!,"")))</f>
        <v/>
      </c>
      <c r="L583" s="2"/>
      <c r="M583" s="32"/>
      <c r="N583" s="13" t="str">
        <f>IF(F583="","",
MAX(0,
_xlfn.XLOOKUP(F583,purchase!D:D,purchase!#REF!,"")
-
SUMIFS(L:L,F:F,F583)))</f>
        <v/>
      </c>
      <c r="O583" s="13" t="str">
        <f t="shared" si="67"/>
        <v/>
      </c>
      <c r="P583" s="35" t="str">
        <f>_xlfn.SINGLE(IF(F583="","",_xlfn.XLOOKUP(F583,purchase!D:D,purchase!K:K,"")))</f>
        <v/>
      </c>
      <c r="Q583" s="29" t="str">
        <f t="shared" si="68"/>
        <v/>
      </c>
      <c r="R583" s="37" t="str">
        <f t="shared" si="69"/>
        <v/>
      </c>
    </row>
    <row r="584" spans="1:18" x14ac:dyDescent="0.35">
      <c r="A584" s="8">
        <v>580</v>
      </c>
      <c r="B584" s="9" t="str">
        <f t="shared" si="63"/>
        <v/>
      </c>
      <c r="C584" s="10"/>
      <c r="D584" s="9" t="str">
        <f>IF(F584="","",_xlfn.XLOOKUP(F584,purchase!D:D,purchase!#REF!,""))</f>
        <v/>
      </c>
      <c r="E584" s="9" t="str">
        <f>IF(F584="","",_xlfn.XLOOKUP(F584,purchase!D:D,purchase!B:B,""))</f>
        <v/>
      </c>
      <c r="F584" s="2"/>
      <c r="G584" s="4" t="str">
        <f t="shared" si="64"/>
        <v/>
      </c>
      <c r="H584" s="4" t="str">
        <f>IF(F584="","",_xlfn.XLOOKUP(F584,purchase!D:D,purchase!#REF!,""))</f>
        <v/>
      </c>
      <c r="I584" s="4" t="str">
        <f t="shared" si="65"/>
        <v/>
      </c>
      <c r="J584" s="4" t="str">
        <f t="shared" si="66"/>
        <v/>
      </c>
      <c r="K584" s="13" t="str">
        <f>_xlfn.SINGLE(IF(F584="","",_xlfn.XLOOKUP(F584,purchase!D:D,purchase!#REF!,"")))</f>
        <v/>
      </c>
      <c r="L584" s="2"/>
      <c r="M584" s="32"/>
      <c r="N584" s="13" t="str">
        <f>IF(F584="","",
MAX(0,
_xlfn.XLOOKUP(F584,purchase!D:D,purchase!#REF!,"")
-
SUMIFS(L:L,F:F,F584)))</f>
        <v/>
      </c>
      <c r="O584" s="13" t="str">
        <f t="shared" si="67"/>
        <v/>
      </c>
      <c r="P584" s="35" t="str">
        <f>_xlfn.SINGLE(IF(F584="","",_xlfn.XLOOKUP(F584,purchase!D:D,purchase!K:K,"")))</f>
        <v/>
      </c>
      <c r="Q584" s="29" t="str">
        <f t="shared" si="68"/>
        <v/>
      </c>
      <c r="R584" s="37" t="str">
        <f t="shared" si="69"/>
        <v/>
      </c>
    </row>
    <row r="585" spans="1:18" x14ac:dyDescent="0.35">
      <c r="A585" s="8">
        <v>581</v>
      </c>
      <c r="B585" s="9" t="str">
        <f t="shared" si="63"/>
        <v/>
      </c>
      <c r="C585" s="10"/>
      <c r="D585" s="9" t="str">
        <f>IF(F585="","",_xlfn.XLOOKUP(F585,purchase!D:D,purchase!#REF!,""))</f>
        <v/>
      </c>
      <c r="E585" s="9" t="str">
        <f>IF(F585="","",_xlfn.XLOOKUP(F585,purchase!D:D,purchase!B:B,""))</f>
        <v/>
      </c>
      <c r="F585" s="2"/>
      <c r="G585" s="4" t="str">
        <f t="shared" si="64"/>
        <v/>
      </c>
      <c r="H585" s="4" t="str">
        <f>IF(F585="","",_xlfn.XLOOKUP(F585,purchase!D:D,purchase!#REF!,""))</f>
        <v/>
      </c>
      <c r="I585" s="4" t="str">
        <f t="shared" si="65"/>
        <v/>
      </c>
      <c r="J585" s="4" t="str">
        <f t="shared" si="66"/>
        <v/>
      </c>
      <c r="K585" s="13" t="str">
        <f>_xlfn.SINGLE(IF(F585="","",_xlfn.XLOOKUP(F585,purchase!D:D,purchase!#REF!,"")))</f>
        <v/>
      </c>
      <c r="L585" s="2"/>
      <c r="M585" s="32"/>
      <c r="N585" s="13" t="str">
        <f>IF(F585="","",
MAX(0,
_xlfn.XLOOKUP(F585,purchase!D:D,purchase!#REF!,"")
-
SUMIFS(L:L,F:F,F585)))</f>
        <v/>
      </c>
      <c r="O585" s="13" t="str">
        <f t="shared" si="67"/>
        <v/>
      </c>
      <c r="P585" s="35" t="str">
        <f>_xlfn.SINGLE(IF(F585="","",_xlfn.XLOOKUP(F585,purchase!D:D,purchase!K:K,"")))</f>
        <v/>
      </c>
      <c r="Q585" s="29" t="str">
        <f t="shared" si="68"/>
        <v/>
      </c>
      <c r="R585" s="37" t="str">
        <f t="shared" si="69"/>
        <v/>
      </c>
    </row>
    <row r="586" spans="1:18" x14ac:dyDescent="0.35">
      <c r="A586" s="8">
        <v>582</v>
      </c>
      <c r="B586" s="9" t="str">
        <f t="shared" si="63"/>
        <v/>
      </c>
      <c r="C586" s="10"/>
      <c r="D586" s="9" t="str">
        <f>IF(F586="","",_xlfn.XLOOKUP(F586,purchase!D:D,purchase!#REF!,""))</f>
        <v/>
      </c>
      <c r="E586" s="9" t="str">
        <f>IF(F586="","",_xlfn.XLOOKUP(F586,purchase!D:D,purchase!B:B,""))</f>
        <v/>
      </c>
      <c r="F586" s="2"/>
      <c r="G586" s="4" t="str">
        <f t="shared" si="64"/>
        <v/>
      </c>
      <c r="H586" s="4" t="str">
        <f>IF(F586="","",_xlfn.XLOOKUP(F586,purchase!D:D,purchase!#REF!,""))</f>
        <v/>
      </c>
      <c r="I586" s="4" t="str">
        <f t="shared" si="65"/>
        <v/>
      </c>
      <c r="J586" s="4" t="str">
        <f t="shared" si="66"/>
        <v/>
      </c>
      <c r="K586" s="13" t="str">
        <f>_xlfn.SINGLE(IF(F586="","",_xlfn.XLOOKUP(F586,purchase!D:D,purchase!#REF!,"")))</f>
        <v/>
      </c>
      <c r="L586" s="2"/>
      <c r="M586" s="32"/>
      <c r="N586" s="13" t="str">
        <f>IF(F586="","",
MAX(0,
_xlfn.XLOOKUP(F586,purchase!D:D,purchase!#REF!,"")
-
SUMIFS(L:L,F:F,F586)))</f>
        <v/>
      </c>
      <c r="O586" s="13" t="str">
        <f t="shared" si="67"/>
        <v/>
      </c>
      <c r="P586" s="35" t="str">
        <f>_xlfn.SINGLE(IF(F586="","",_xlfn.XLOOKUP(F586,purchase!D:D,purchase!K:K,"")))</f>
        <v/>
      </c>
      <c r="Q586" s="29" t="str">
        <f t="shared" si="68"/>
        <v/>
      </c>
      <c r="R586" s="37" t="str">
        <f t="shared" si="69"/>
        <v/>
      </c>
    </row>
    <row r="587" spans="1:18" x14ac:dyDescent="0.35">
      <c r="A587" s="8">
        <v>583</v>
      </c>
      <c r="B587" s="9" t="str">
        <f t="shared" si="63"/>
        <v/>
      </c>
      <c r="C587" s="10"/>
      <c r="D587" s="9" t="str">
        <f>IF(F587="","",_xlfn.XLOOKUP(F587,purchase!D:D,purchase!#REF!,""))</f>
        <v/>
      </c>
      <c r="E587" s="9" t="str">
        <f>IF(F587="","",_xlfn.XLOOKUP(F587,purchase!D:D,purchase!B:B,""))</f>
        <v/>
      </c>
      <c r="F587" s="2"/>
      <c r="G587" s="4" t="str">
        <f t="shared" si="64"/>
        <v/>
      </c>
      <c r="H587" s="4" t="str">
        <f>IF(F587="","",_xlfn.XLOOKUP(F587,purchase!D:D,purchase!#REF!,""))</f>
        <v/>
      </c>
      <c r="I587" s="4" t="str">
        <f t="shared" si="65"/>
        <v/>
      </c>
      <c r="J587" s="4" t="str">
        <f t="shared" si="66"/>
        <v/>
      </c>
      <c r="K587" s="13" t="str">
        <f>_xlfn.SINGLE(IF(F587="","",_xlfn.XLOOKUP(F587,purchase!D:D,purchase!#REF!,"")))</f>
        <v/>
      </c>
      <c r="L587" s="2"/>
      <c r="M587" s="32"/>
      <c r="N587" s="13" t="str">
        <f>IF(F587="","",
MAX(0,
_xlfn.XLOOKUP(F587,purchase!D:D,purchase!#REF!,"")
-
SUMIFS(L:L,F:F,F587)))</f>
        <v/>
      </c>
      <c r="O587" s="13" t="str">
        <f t="shared" si="67"/>
        <v/>
      </c>
      <c r="P587" s="35" t="str">
        <f>_xlfn.SINGLE(IF(F587="","",_xlfn.XLOOKUP(F587,purchase!D:D,purchase!K:K,"")))</f>
        <v/>
      </c>
      <c r="Q587" s="29" t="str">
        <f t="shared" si="68"/>
        <v/>
      </c>
      <c r="R587" s="37" t="str">
        <f t="shared" si="69"/>
        <v/>
      </c>
    </row>
    <row r="588" spans="1:18" x14ac:dyDescent="0.35">
      <c r="A588" s="8">
        <v>584</v>
      </c>
      <c r="B588" s="9" t="str">
        <f t="shared" si="63"/>
        <v/>
      </c>
      <c r="C588" s="10"/>
      <c r="D588" s="9" t="str">
        <f>IF(F588="","",_xlfn.XLOOKUP(F588,purchase!D:D,purchase!#REF!,""))</f>
        <v/>
      </c>
      <c r="E588" s="9" t="str">
        <f>IF(F588="","",_xlfn.XLOOKUP(F588,purchase!D:D,purchase!B:B,""))</f>
        <v/>
      </c>
      <c r="F588" s="2"/>
      <c r="G588" s="4" t="str">
        <f t="shared" si="64"/>
        <v/>
      </c>
      <c r="H588" s="4" t="str">
        <f>IF(F588="","",_xlfn.XLOOKUP(F588,purchase!D:D,purchase!#REF!,""))</f>
        <v/>
      </c>
      <c r="I588" s="4" t="str">
        <f t="shared" si="65"/>
        <v/>
      </c>
      <c r="J588" s="4" t="str">
        <f t="shared" si="66"/>
        <v/>
      </c>
      <c r="K588" s="13" t="str">
        <f>_xlfn.SINGLE(IF(F588="","",_xlfn.XLOOKUP(F588,purchase!D:D,purchase!#REF!,"")))</f>
        <v/>
      </c>
      <c r="L588" s="2"/>
      <c r="M588" s="32"/>
      <c r="N588" s="13" t="str">
        <f>IF(F588="","",
MAX(0,
_xlfn.XLOOKUP(F588,purchase!D:D,purchase!#REF!,"")
-
SUMIFS(L:L,F:F,F588)))</f>
        <v/>
      </c>
      <c r="O588" s="13" t="str">
        <f t="shared" si="67"/>
        <v/>
      </c>
      <c r="P588" s="35" t="str">
        <f>_xlfn.SINGLE(IF(F588="","",_xlfn.XLOOKUP(F588,purchase!D:D,purchase!K:K,"")))</f>
        <v/>
      </c>
      <c r="Q588" s="29" t="str">
        <f t="shared" si="68"/>
        <v/>
      </c>
      <c r="R588" s="37" t="str">
        <f t="shared" si="69"/>
        <v/>
      </c>
    </row>
    <row r="589" spans="1:18" x14ac:dyDescent="0.35">
      <c r="A589" s="8">
        <v>585</v>
      </c>
      <c r="B589" s="9" t="str">
        <f t="shared" si="63"/>
        <v/>
      </c>
      <c r="C589" s="10"/>
      <c r="D589" s="9" t="str">
        <f>IF(F589="","",_xlfn.XLOOKUP(F589,purchase!D:D,purchase!#REF!,""))</f>
        <v/>
      </c>
      <c r="E589" s="9" t="str">
        <f>IF(F589="","",_xlfn.XLOOKUP(F589,purchase!D:D,purchase!B:B,""))</f>
        <v/>
      </c>
      <c r="F589" s="2"/>
      <c r="G589" s="4" t="str">
        <f t="shared" si="64"/>
        <v/>
      </c>
      <c r="H589" s="4" t="str">
        <f>IF(F589="","",_xlfn.XLOOKUP(F589,purchase!D:D,purchase!#REF!,""))</f>
        <v/>
      </c>
      <c r="I589" s="4" t="str">
        <f t="shared" si="65"/>
        <v/>
      </c>
      <c r="J589" s="4" t="str">
        <f t="shared" si="66"/>
        <v/>
      </c>
      <c r="K589" s="13" t="str">
        <f>_xlfn.SINGLE(IF(F589="","",_xlfn.XLOOKUP(F589,purchase!D:D,purchase!#REF!,"")))</f>
        <v/>
      </c>
      <c r="L589" s="2"/>
      <c r="M589" s="32"/>
      <c r="N589" s="13" t="str">
        <f>IF(F589="","",
MAX(0,
_xlfn.XLOOKUP(F589,purchase!D:D,purchase!#REF!,"")
-
SUMIFS(L:L,F:F,F589)))</f>
        <v/>
      </c>
      <c r="O589" s="13" t="str">
        <f t="shared" si="67"/>
        <v/>
      </c>
      <c r="P589" s="35" t="str">
        <f>_xlfn.SINGLE(IF(F589="","",_xlfn.XLOOKUP(F589,purchase!D:D,purchase!K:K,"")))</f>
        <v/>
      </c>
      <c r="Q589" s="29" t="str">
        <f t="shared" si="68"/>
        <v/>
      </c>
      <c r="R589" s="37" t="str">
        <f t="shared" si="69"/>
        <v/>
      </c>
    </row>
    <row r="590" spans="1:18" x14ac:dyDescent="0.35">
      <c r="A590" s="8">
        <v>586</v>
      </c>
      <c r="B590" s="9" t="str">
        <f t="shared" si="63"/>
        <v/>
      </c>
      <c r="C590" s="10"/>
      <c r="D590" s="9" t="str">
        <f>IF(F590="","",_xlfn.XLOOKUP(F590,purchase!D:D,purchase!#REF!,""))</f>
        <v/>
      </c>
      <c r="E590" s="9" t="str">
        <f>IF(F590="","",_xlfn.XLOOKUP(F590,purchase!D:D,purchase!B:B,""))</f>
        <v/>
      </c>
      <c r="F590" s="2"/>
      <c r="G590" s="4" t="str">
        <f t="shared" si="64"/>
        <v/>
      </c>
      <c r="H590" s="4" t="str">
        <f>IF(F590="","",_xlfn.XLOOKUP(F590,purchase!D:D,purchase!#REF!,""))</f>
        <v/>
      </c>
      <c r="I590" s="4" t="str">
        <f t="shared" si="65"/>
        <v/>
      </c>
      <c r="J590" s="4" t="str">
        <f t="shared" si="66"/>
        <v/>
      </c>
      <c r="K590" s="13" t="str">
        <f>_xlfn.SINGLE(IF(F590="","",_xlfn.XLOOKUP(F590,purchase!D:D,purchase!#REF!,"")))</f>
        <v/>
      </c>
      <c r="L590" s="2"/>
      <c r="M590" s="32"/>
      <c r="N590" s="13" t="str">
        <f>IF(F590="","",
MAX(0,
_xlfn.XLOOKUP(F590,purchase!D:D,purchase!#REF!,"")
-
SUMIFS(L:L,F:F,F590)))</f>
        <v/>
      </c>
      <c r="O590" s="13" t="str">
        <f t="shared" si="67"/>
        <v/>
      </c>
      <c r="P590" s="35" t="str">
        <f>_xlfn.SINGLE(IF(F590="","",_xlfn.XLOOKUP(F590,purchase!D:D,purchase!K:K,"")))</f>
        <v/>
      </c>
      <c r="Q590" s="29" t="str">
        <f t="shared" si="68"/>
        <v/>
      </c>
      <c r="R590" s="37" t="str">
        <f t="shared" si="69"/>
        <v/>
      </c>
    </row>
    <row r="591" spans="1:18" x14ac:dyDescent="0.35">
      <c r="A591" s="8">
        <v>587</v>
      </c>
      <c r="B591" s="9" t="str">
        <f t="shared" si="63"/>
        <v/>
      </c>
      <c r="C591" s="10"/>
      <c r="D591" s="9" t="str">
        <f>IF(F591="","",_xlfn.XLOOKUP(F591,purchase!D:D,purchase!#REF!,""))</f>
        <v/>
      </c>
      <c r="E591" s="9" t="str">
        <f>IF(F591="","",_xlfn.XLOOKUP(F591,purchase!D:D,purchase!B:B,""))</f>
        <v/>
      </c>
      <c r="F591" s="2"/>
      <c r="G591" s="4" t="str">
        <f t="shared" si="64"/>
        <v/>
      </c>
      <c r="H591" s="4" t="str">
        <f>IF(F591="","",_xlfn.XLOOKUP(F591,purchase!D:D,purchase!#REF!,""))</f>
        <v/>
      </c>
      <c r="I591" s="4" t="str">
        <f t="shared" si="65"/>
        <v/>
      </c>
      <c r="J591" s="4" t="str">
        <f t="shared" si="66"/>
        <v/>
      </c>
      <c r="K591" s="13" t="str">
        <f>_xlfn.SINGLE(IF(F591="","",_xlfn.XLOOKUP(F591,purchase!D:D,purchase!#REF!,"")))</f>
        <v/>
      </c>
      <c r="L591" s="2"/>
      <c r="M591" s="32"/>
      <c r="N591" s="13" t="str">
        <f>IF(F591="","",
MAX(0,
_xlfn.XLOOKUP(F591,purchase!D:D,purchase!#REF!,"")
-
SUMIFS(L:L,F:F,F591)))</f>
        <v/>
      </c>
      <c r="O591" s="13" t="str">
        <f t="shared" si="67"/>
        <v/>
      </c>
      <c r="P591" s="35" t="str">
        <f>_xlfn.SINGLE(IF(F591="","",_xlfn.XLOOKUP(F591,purchase!D:D,purchase!K:K,"")))</f>
        <v/>
      </c>
      <c r="Q591" s="29" t="str">
        <f t="shared" si="68"/>
        <v/>
      </c>
      <c r="R591" s="37" t="str">
        <f t="shared" si="69"/>
        <v/>
      </c>
    </row>
    <row r="592" spans="1:18" x14ac:dyDescent="0.35">
      <c r="A592" s="8">
        <v>588</v>
      </c>
      <c r="B592" s="9" t="str">
        <f t="shared" si="63"/>
        <v/>
      </c>
      <c r="C592" s="10"/>
      <c r="D592" s="9" t="str">
        <f>IF(F592="","",_xlfn.XLOOKUP(F592,purchase!D:D,purchase!#REF!,""))</f>
        <v/>
      </c>
      <c r="E592" s="9" t="str">
        <f>IF(F592="","",_xlfn.XLOOKUP(F592,purchase!D:D,purchase!B:B,""))</f>
        <v/>
      </c>
      <c r="F592" s="2"/>
      <c r="G592" s="4" t="str">
        <f t="shared" si="64"/>
        <v/>
      </c>
      <c r="H592" s="4" t="str">
        <f>IF(F592="","",_xlfn.XLOOKUP(F592,purchase!D:D,purchase!#REF!,""))</f>
        <v/>
      </c>
      <c r="I592" s="4" t="str">
        <f t="shared" si="65"/>
        <v/>
      </c>
      <c r="J592" s="4" t="str">
        <f t="shared" si="66"/>
        <v/>
      </c>
      <c r="K592" s="13" t="str">
        <f>_xlfn.SINGLE(IF(F592="","",_xlfn.XLOOKUP(F592,purchase!D:D,purchase!#REF!,"")))</f>
        <v/>
      </c>
      <c r="L592" s="2"/>
      <c r="M592" s="32"/>
      <c r="N592" s="13" t="str">
        <f>IF(F592="","",
MAX(0,
_xlfn.XLOOKUP(F592,purchase!D:D,purchase!#REF!,"")
-
SUMIFS(L:L,F:F,F592)))</f>
        <v/>
      </c>
      <c r="O592" s="13" t="str">
        <f t="shared" si="67"/>
        <v/>
      </c>
      <c r="P592" s="35" t="str">
        <f>_xlfn.SINGLE(IF(F592="","",_xlfn.XLOOKUP(F592,purchase!D:D,purchase!K:K,"")))</f>
        <v/>
      </c>
      <c r="Q592" s="29" t="str">
        <f t="shared" si="68"/>
        <v/>
      </c>
      <c r="R592" s="37" t="str">
        <f t="shared" si="69"/>
        <v/>
      </c>
    </row>
    <row r="593" spans="1:18" x14ac:dyDescent="0.35">
      <c r="A593" s="8">
        <v>589</v>
      </c>
      <c r="B593" s="9" t="str">
        <f t="shared" si="63"/>
        <v/>
      </c>
      <c r="C593" s="10"/>
      <c r="D593" s="9" t="str">
        <f>IF(F593="","",_xlfn.XLOOKUP(F593,purchase!D:D,purchase!#REF!,""))</f>
        <v/>
      </c>
      <c r="E593" s="9" t="str">
        <f>IF(F593="","",_xlfn.XLOOKUP(F593,purchase!D:D,purchase!B:B,""))</f>
        <v/>
      </c>
      <c r="F593" s="2"/>
      <c r="G593" s="4" t="str">
        <f t="shared" si="64"/>
        <v/>
      </c>
      <c r="H593" s="4" t="str">
        <f>IF(F593="","",_xlfn.XLOOKUP(F593,purchase!D:D,purchase!#REF!,""))</f>
        <v/>
      </c>
      <c r="I593" s="4" t="str">
        <f t="shared" si="65"/>
        <v/>
      </c>
      <c r="J593" s="4" t="str">
        <f t="shared" si="66"/>
        <v/>
      </c>
      <c r="K593" s="13" t="str">
        <f>_xlfn.SINGLE(IF(F593="","",_xlfn.XLOOKUP(F593,purchase!D:D,purchase!#REF!,"")))</f>
        <v/>
      </c>
      <c r="L593" s="2"/>
      <c r="M593" s="32"/>
      <c r="N593" s="13" t="str">
        <f>IF(F593="","",
MAX(0,
_xlfn.XLOOKUP(F593,purchase!D:D,purchase!#REF!,"")
-
SUMIFS(L:L,F:F,F593)))</f>
        <v/>
      </c>
      <c r="O593" s="13" t="str">
        <f t="shared" si="67"/>
        <v/>
      </c>
      <c r="P593" s="35" t="str">
        <f>_xlfn.SINGLE(IF(F593="","",_xlfn.XLOOKUP(F593,purchase!D:D,purchase!K:K,"")))</f>
        <v/>
      </c>
      <c r="Q593" s="29" t="str">
        <f t="shared" si="68"/>
        <v/>
      </c>
      <c r="R593" s="37" t="str">
        <f t="shared" si="69"/>
        <v/>
      </c>
    </row>
    <row r="594" spans="1:18" x14ac:dyDescent="0.35">
      <c r="A594" s="8">
        <v>590</v>
      </c>
      <c r="B594" s="9" t="str">
        <f t="shared" si="63"/>
        <v/>
      </c>
      <c r="C594" s="10"/>
      <c r="D594" s="9" t="str">
        <f>IF(F594="","",_xlfn.XLOOKUP(F594,purchase!D:D,purchase!#REF!,""))</f>
        <v/>
      </c>
      <c r="E594" s="9" t="str">
        <f>IF(F594="","",_xlfn.XLOOKUP(F594,purchase!D:D,purchase!B:B,""))</f>
        <v/>
      </c>
      <c r="F594" s="2"/>
      <c r="G594" s="4" t="str">
        <f t="shared" si="64"/>
        <v/>
      </c>
      <c r="H594" s="4" t="str">
        <f>IF(F594="","",_xlfn.XLOOKUP(F594,purchase!D:D,purchase!#REF!,""))</f>
        <v/>
      </c>
      <c r="I594" s="4" t="str">
        <f t="shared" si="65"/>
        <v/>
      </c>
      <c r="J594" s="4" t="str">
        <f t="shared" si="66"/>
        <v/>
      </c>
      <c r="K594" s="13" t="str">
        <f>_xlfn.SINGLE(IF(F594="","",_xlfn.XLOOKUP(F594,purchase!D:D,purchase!#REF!,"")))</f>
        <v/>
      </c>
      <c r="L594" s="2"/>
      <c r="M594" s="32"/>
      <c r="N594" s="13" t="str">
        <f>IF(F594="","",
MAX(0,
_xlfn.XLOOKUP(F594,purchase!D:D,purchase!#REF!,"")
-
SUMIFS(L:L,F:F,F594)))</f>
        <v/>
      </c>
      <c r="O594" s="13" t="str">
        <f t="shared" si="67"/>
        <v/>
      </c>
      <c r="P594" s="35" t="str">
        <f>_xlfn.SINGLE(IF(F594="","",_xlfn.XLOOKUP(F594,purchase!D:D,purchase!K:K,"")))</f>
        <v/>
      </c>
      <c r="Q594" s="29" t="str">
        <f t="shared" si="68"/>
        <v/>
      </c>
      <c r="R594" s="37" t="str">
        <f t="shared" si="69"/>
        <v/>
      </c>
    </row>
    <row r="595" spans="1:18" x14ac:dyDescent="0.35">
      <c r="A595" s="8">
        <v>591</v>
      </c>
      <c r="B595" s="9" t="str">
        <f t="shared" si="63"/>
        <v/>
      </c>
      <c r="C595" s="10"/>
      <c r="D595" s="9" t="str">
        <f>IF(F595="","",_xlfn.XLOOKUP(F595,purchase!D:D,purchase!#REF!,""))</f>
        <v/>
      </c>
      <c r="E595" s="9" t="str">
        <f>IF(F595="","",_xlfn.XLOOKUP(F595,purchase!D:D,purchase!B:B,""))</f>
        <v/>
      </c>
      <c r="F595" s="2"/>
      <c r="G595" s="4" t="str">
        <f t="shared" si="64"/>
        <v/>
      </c>
      <c r="H595" s="4" t="str">
        <f>IF(F595="","",_xlfn.XLOOKUP(F595,purchase!D:D,purchase!#REF!,""))</f>
        <v/>
      </c>
      <c r="I595" s="4" t="str">
        <f t="shared" si="65"/>
        <v/>
      </c>
      <c r="J595" s="4" t="str">
        <f t="shared" si="66"/>
        <v/>
      </c>
      <c r="K595" s="13" t="str">
        <f>_xlfn.SINGLE(IF(F595="","",_xlfn.XLOOKUP(F595,purchase!D:D,purchase!#REF!,"")))</f>
        <v/>
      </c>
      <c r="L595" s="2"/>
      <c r="M595" s="32"/>
      <c r="N595" s="13" t="str">
        <f>IF(F595="","",
MAX(0,
_xlfn.XLOOKUP(F595,purchase!D:D,purchase!#REF!,"")
-
SUMIFS(L:L,F:F,F595)))</f>
        <v/>
      </c>
      <c r="O595" s="13" t="str">
        <f t="shared" si="67"/>
        <v/>
      </c>
      <c r="P595" s="35" t="str">
        <f>_xlfn.SINGLE(IF(F595="","",_xlfn.XLOOKUP(F595,purchase!D:D,purchase!K:K,"")))</f>
        <v/>
      </c>
      <c r="Q595" s="29" t="str">
        <f t="shared" si="68"/>
        <v/>
      </c>
      <c r="R595" s="37" t="str">
        <f t="shared" si="69"/>
        <v/>
      </c>
    </row>
    <row r="596" spans="1:18" x14ac:dyDescent="0.35">
      <c r="A596" s="8">
        <v>592</v>
      </c>
      <c r="B596" s="9" t="str">
        <f t="shared" si="63"/>
        <v/>
      </c>
      <c r="C596" s="10"/>
      <c r="D596" s="9" t="str">
        <f>IF(F596="","",_xlfn.XLOOKUP(F596,purchase!D:D,purchase!#REF!,""))</f>
        <v/>
      </c>
      <c r="E596" s="9" t="str">
        <f>IF(F596="","",_xlfn.XLOOKUP(F596,purchase!D:D,purchase!B:B,""))</f>
        <v/>
      </c>
      <c r="F596" s="2"/>
      <c r="G596" s="4" t="str">
        <f t="shared" si="64"/>
        <v/>
      </c>
      <c r="H596" s="4" t="str">
        <f>IF(F596="","",_xlfn.XLOOKUP(F596,purchase!D:D,purchase!#REF!,""))</f>
        <v/>
      </c>
      <c r="I596" s="4" t="str">
        <f t="shared" si="65"/>
        <v/>
      </c>
      <c r="J596" s="4" t="str">
        <f t="shared" si="66"/>
        <v/>
      </c>
      <c r="K596" s="13" t="str">
        <f>_xlfn.SINGLE(IF(F596="","",_xlfn.XLOOKUP(F596,purchase!D:D,purchase!#REF!,"")))</f>
        <v/>
      </c>
      <c r="L596" s="2"/>
      <c r="M596" s="32"/>
      <c r="N596" s="13" t="str">
        <f>IF(F596="","",
MAX(0,
_xlfn.XLOOKUP(F596,purchase!D:D,purchase!#REF!,"")
-
SUMIFS(L:L,F:F,F596)))</f>
        <v/>
      </c>
      <c r="O596" s="13" t="str">
        <f t="shared" si="67"/>
        <v/>
      </c>
      <c r="P596" s="35" t="str">
        <f>_xlfn.SINGLE(IF(F596="","",_xlfn.XLOOKUP(F596,purchase!D:D,purchase!K:K,"")))</f>
        <v/>
      </c>
      <c r="Q596" s="29" t="str">
        <f t="shared" si="68"/>
        <v/>
      </c>
      <c r="R596" s="37" t="str">
        <f t="shared" si="69"/>
        <v/>
      </c>
    </row>
    <row r="597" spans="1:18" x14ac:dyDescent="0.35">
      <c r="A597" s="8">
        <v>593</v>
      </c>
      <c r="B597" s="9" t="str">
        <f t="shared" si="63"/>
        <v/>
      </c>
      <c r="C597" s="10"/>
      <c r="D597" s="9" t="str">
        <f>IF(F597="","",_xlfn.XLOOKUP(F597,purchase!D:D,purchase!#REF!,""))</f>
        <v/>
      </c>
      <c r="E597" s="9" t="str">
        <f>IF(F597="","",_xlfn.XLOOKUP(F597,purchase!D:D,purchase!B:B,""))</f>
        <v/>
      </c>
      <c r="F597" s="2"/>
      <c r="G597" s="4" t="str">
        <f t="shared" si="64"/>
        <v/>
      </c>
      <c r="H597" s="4" t="str">
        <f>IF(F597="","",_xlfn.XLOOKUP(F597,purchase!D:D,purchase!#REF!,""))</f>
        <v/>
      </c>
      <c r="I597" s="4" t="str">
        <f t="shared" si="65"/>
        <v/>
      </c>
      <c r="J597" s="4" t="str">
        <f t="shared" si="66"/>
        <v/>
      </c>
      <c r="K597" s="13" t="str">
        <f>_xlfn.SINGLE(IF(F597="","",_xlfn.XLOOKUP(F597,purchase!D:D,purchase!#REF!,"")))</f>
        <v/>
      </c>
      <c r="L597" s="2"/>
      <c r="M597" s="32"/>
      <c r="N597" s="13" t="str">
        <f>IF(F597="","",
MAX(0,
_xlfn.XLOOKUP(F597,purchase!D:D,purchase!#REF!,"")
-
SUMIFS(L:L,F:F,F597)))</f>
        <v/>
      </c>
      <c r="O597" s="13" t="str">
        <f t="shared" si="67"/>
        <v/>
      </c>
      <c r="P597" s="35" t="str">
        <f>_xlfn.SINGLE(IF(F597="","",_xlfn.XLOOKUP(F597,purchase!D:D,purchase!K:K,"")))</f>
        <v/>
      </c>
      <c r="Q597" s="29" t="str">
        <f t="shared" si="68"/>
        <v/>
      </c>
      <c r="R597" s="37" t="str">
        <f t="shared" si="69"/>
        <v/>
      </c>
    </row>
    <row r="598" spans="1:18" x14ac:dyDescent="0.35">
      <c r="A598" s="8">
        <v>594</v>
      </c>
      <c r="B598" s="9" t="str">
        <f t="shared" si="63"/>
        <v/>
      </c>
      <c r="C598" s="10"/>
      <c r="D598" s="9" t="str">
        <f>IF(F598="","",_xlfn.XLOOKUP(F598,purchase!D:D,purchase!#REF!,""))</f>
        <v/>
      </c>
      <c r="E598" s="9" t="str">
        <f>IF(F598="","",_xlfn.XLOOKUP(F598,purchase!D:D,purchase!B:B,""))</f>
        <v/>
      </c>
      <c r="F598" s="2"/>
      <c r="G598" s="4" t="str">
        <f t="shared" si="64"/>
        <v/>
      </c>
      <c r="H598" s="4" t="str">
        <f>IF(F598="","",_xlfn.XLOOKUP(F598,purchase!D:D,purchase!#REF!,""))</f>
        <v/>
      </c>
      <c r="I598" s="4" t="str">
        <f t="shared" si="65"/>
        <v/>
      </c>
      <c r="J598" s="4" t="str">
        <f t="shared" si="66"/>
        <v/>
      </c>
      <c r="K598" s="13" t="str">
        <f>_xlfn.SINGLE(IF(F598="","",_xlfn.XLOOKUP(F598,purchase!D:D,purchase!#REF!,"")))</f>
        <v/>
      </c>
      <c r="L598" s="2"/>
      <c r="M598" s="32"/>
      <c r="N598" s="13" t="str">
        <f>IF(F598="","",
MAX(0,
_xlfn.XLOOKUP(F598,purchase!D:D,purchase!#REF!,"")
-
SUMIFS(L:L,F:F,F598)))</f>
        <v/>
      </c>
      <c r="O598" s="13" t="str">
        <f t="shared" si="67"/>
        <v/>
      </c>
      <c r="P598" s="35" t="str">
        <f>_xlfn.SINGLE(IF(F598="","",_xlfn.XLOOKUP(F598,purchase!D:D,purchase!K:K,"")))</f>
        <v/>
      </c>
      <c r="Q598" s="29" t="str">
        <f t="shared" si="68"/>
        <v/>
      </c>
      <c r="R598" s="37" t="str">
        <f t="shared" si="69"/>
        <v/>
      </c>
    </row>
    <row r="599" spans="1:18" x14ac:dyDescent="0.35">
      <c r="A599" s="8">
        <v>595</v>
      </c>
      <c r="B599" s="9" t="str">
        <f t="shared" si="63"/>
        <v/>
      </c>
      <c r="C599" s="10"/>
      <c r="D599" s="9" t="str">
        <f>IF(F599="","",_xlfn.XLOOKUP(F599,purchase!D:D,purchase!#REF!,""))</f>
        <v/>
      </c>
      <c r="E599" s="9" t="str">
        <f>IF(F599="","",_xlfn.XLOOKUP(F599,purchase!D:D,purchase!B:B,""))</f>
        <v/>
      </c>
      <c r="F599" s="2"/>
      <c r="G599" s="4" t="str">
        <f t="shared" si="64"/>
        <v/>
      </c>
      <c r="H599" s="4" t="str">
        <f>IF(F599="","",_xlfn.XLOOKUP(F599,purchase!D:D,purchase!#REF!,""))</f>
        <v/>
      </c>
      <c r="I599" s="4" t="str">
        <f t="shared" si="65"/>
        <v/>
      </c>
      <c r="J599" s="4" t="str">
        <f t="shared" si="66"/>
        <v/>
      </c>
      <c r="K599" s="13" t="str">
        <f>_xlfn.SINGLE(IF(F599="","",_xlfn.XLOOKUP(F599,purchase!D:D,purchase!#REF!,"")))</f>
        <v/>
      </c>
      <c r="L599" s="2"/>
      <c r="M599" s="32"/>
      <c r="N599" s="13" t="str">
        <f>IF(F599="","",
MAX(0,
_xlfn.XLOOKUP(F599,purchase!D:D,purchase!#REF!,"")
-
SUMIFS(L:L,F:F,F599)))</f>
        <v/>
      </c>
      <c r="O599" s="13" t="str">
        <f t="shared" si="67"/>
        <v/>
      </c>
      <c r="P599" s="35" t="str">
        <f>_xlfn.SINGLE(IF(F599="","",_xlfn.XLOOKUP(F599,purchase!D:D,purchase!K:K,"")))</f>
        <v/>
      </c>
      <c r="Q599" s="29" t="str">
        <f t="shared" si="68"/>
        <v/>
      </c>
      <c r="R599" s="37" t="str">
        <f t="shared" si="69"/>
        <v/>
      </c>
    </row>
    <row r="600" spans="1:18" x14ac:dyDescent="0.35">
      <c r="A600" s="8">
        <v>596</v>
      </c>
      <c r="B600" s="9" t="str">
        <f t="shared" si="63"/>
        <v/>
      </c>
      <c r="C600" s="10"/>
      <c r="D600" s="9" t="str">
        <f>IF(F600="","",_xlfn.XLOOKUP(F600,purchase!D:D,purchase!#REF!,""))</f>
        <v/>
      </c>
      <c r="E600" s="9" t="str">
        <f>IF(F600="","",_xlfn.XLOOKUP(F600,purchase!D:D,purchase!B:B,""))</f>
        <v/>
      </c>
      <c r="F600" s="2"/>
      <c r="G600" s="4" t="str">
        <f t="shared" si="64"/>
        <v/>
      </c>
      <c r="H600" s="4" t="str">
        <f>IF(F600="","",_xlfn.XLOOKUP(F600,purchase!D:D,purchase!#REF!,""))</f>
        <v/>
      </c>
      <c r="I600" s="4" t="str">
        <f t="shared" si="65"/>
        <v/>
      </c>
      <c r="J600" s="4" t="str">
        <f t="shared" si="66"/>
        <v/>
      </c>
      <c r="K600" s="13" t="str">
        <f>_xlfn.SINGLE(IF(F600="","",_xlfn.XLOOKUP(F600,purchase!D:D,purchase!#REF!,"")))</f>
        <v/>
      </c>
      <c r="L600" s="2"/>
      <c r="M600" s="32"/>
      <c r="N600" s="13" t="str">
        <f>IF(F600="","",
MAX(0,
_xlfn.XLOOKUP(F600,purchase!D:D,purchase!#REF!,"")
-
SUMIFS(L:L,F:F,F600)))</f>
        <v/>
      </c>
      <c r="O600" s="13" t="str">
        <f t="shared" si="67"/>
        <v/>
      </c>
      <c r="P600" s="35" t="str">
        <f>_xlfn.SINGLE(IF(F600="","",_xlfn.XLOOKUP(F600,purchase!D:D,purchase!K:K,"")))</f>
        <v/>
      </c>
      <c r="Q600" s="29" t="str">
        <f t="shared" si="68"/>
        <v/>
      </c>
      <c r="R600" s="37" t="str">
        <f t="shared" si="69"/>
        <v/>
      </c>
    </row>
    <row r="601" spans="1:18" x14ac:dyDescent="0.35">
      <c r="A601" s="8">
        <v>597</v>
      </c>
      <c r="B601" s="9" t="str">
        <f t="shared" si="63"/>
        <v/>
      </c>
      <c r="C601" s="10"/>
      <c r="D601" s="9" t="str">
        <f>IF(F601="","",_xlfn.XLOOKUP(F601,purchase!D:D,purchase!#REF!,""))</f>
        <v/>
      </c>
      <c r="E601" s="9" t="str">
        <f>IF(F601="","",_xlfn.XLOOKUP(F601,purchase!D:D,purchase!B:B,""))</f>
        <v/>
      </c>
      <c r="F601" s="2"/>
      <c r="G601" s="4" t="str">
        <f t="shared" si="64"/>
        <v/>
      </c>
      <c r="H601" s="4" t="str">
        <f>IF(F601="","",_xlfn.XLOOKUP(F601,purchase!D:D,purchase!#REF!,""))</f>
        <v/>
      </c>
      <c r="I601" s="4" t="str">
        <f t="shared" si="65"/>
        <v/>
      </c>
      <c r="J601" s="4" t="str">
        <f t="shared" si="66"/>
        <v/>
      </c>
      <c r="K601" s="13" t="str">
        <f>_xlfn.SINGLE(IF(F601="","",_xlfn.XLOOKUP(F601,purchase!D:D,purchase!#REF!,"")))</f>
        <v/>
      </c>
      <c r="L601" s="2"/>
      <c r="M601" s="32"/>
      <c r="N601" s="13" t="str">
        <f>IF(F601="","",
MAX(0,
_xlfn.XLOOKUP(F601,purchase!D:D,purchase!#REF!,"")
-
SUMIFS(L:L,F:F,F601)))</f>
        <v/>
      </c>
      <c r="O601" s="13" t="str">
        <f t="shared" si="67"/>
        <v/>
      </c>
      <c r="P601" s="35" t="str">
        <f>_xlfn.SINGLE(IF(F601="","",_xlfn.XLOOKUP(F601,purchase!D:D,purchase!K:K,"")))</f>
        <v/>
      </c>
      <c r="Q601" s="29" t="str">
        <f t="shared" si="68"/>
        <v/>
      </c>
      <c r="R601" s="37" t="str">
        <f t="shared" si="69"/>
        <v/>
      </c>
    </row>
    <row r="602" spans="1:18" x14ac:dyDescent="0.35">
      <c r="A602" s="8">
        <v>598</v>
      </c>
      <c r="B602" s="9" t="str">
        <f t="shared" si="63"/>
        <v/>
      </c>
      <c r="C602" s="10"/>
      <c r="D602" s="9" t="str">
        <f>IF(F602="","",_xlfn.XLOOKUP(F602,purchase!D:D,purchase!#REF!,""))</f>
        <v/>
      </c>
      <c r="E602" s="9" t="str">
        <f>IF(F602="","",_xlfn.XLOOKUP(F602,purchase!D:D,purchase!B:B,""))</f>
        <v/>
      </c>
      <c r="F602" s="2"/>
      <c r="G602" s="4" t="str">
        <f t="shared" si="64"/>
        <v/>
      </c>
      <c r="H602" s="4" t="str">
        <f>IF(F602="","",_xlfn.XLOOKUP(F602,purchase!D:D,purchase!#REF!,""))</f>
        <v/>
      </c>
      <c r="I602" s="4" t="str">
        <f t="shared" si="65"/>
        <v/>
      </c>
      <c r="J602" s="4" t="str">
        <f t="shared" si="66"/>
        <v/>
      </c>
      <c r="K602" s="13" t="str">
        <f>_xlfn.SINGLE(IF(F602="","",_xlfn.XLOOKUP(F602,purchase!D:D,purchase!#REF!,"")))</f>
        <v/>
      </c>
      <c r="L602" s="2"/>
      <c r="M602" s="32"/>
      <c r="N602" s="13" t="str">
        <f>IF(F602="","",
MAX(0,
_xlfn.XLOOKUP(F602,purchase!D:D,purchase!#REF!,"")
-
SUMIFS(L:L,F:F,F602)))</f>
        <v/>
      </c>
      <c r="O602" s="13" t="str">
        <f t="shared" si="67"/>
        <v/>
      </c>
      <c r="P602" s="35" t="str">
        <f>_xlfn.SINGLE(IF(F602="","",_xlfn.XLOOKUP(F602,purchase!D:D,purchase!K:K,"")))</f>
        <v/>
      </c>
      <c r="Q602" s="29" t="str">
        <f t="shared" si="68"/>
        <v/>
      </c>
      <c r="R602" s="37" t="str">
        <f t="shared" si="69"/>
        <v/>
      </c>
    </row>
    <row r="603" spans="1:18" x14ac:dyDescent="0.35">
      <c r="A603" s="8">
        <v>599</v>
      </c>
      <c r="B603" s="9" t="str">
        <f t="shared" si="63"/>
        <v/>
      </c>
      <c r="C603" s="10"/>
      <c r="D603" s="9" t="str">
        <f>IF(F603="","",_xlfn.XLOOKUP(F603,purchase!D:D,purchase!#REF!,""))</f>
        <v/>
      </c>
      <c r="E603" s="9" t="str">
        <f>IF(F603="","",_xlfn.XLOOKUP(F603,purchase!D:D,purchase!B:B,""))</f>
        <v/>
      </c>
      <c r="F603" s="2"/>
      <c r="G603" s="4" t="str">
        <f t="shared" si="64"/>
        <v/>
      </c>
      <c r="H603" s="4" t="str">
        <f>IF(F603="","",_xlfn.XLOOKUP(F603,purchase!D:D,purchase!#REF!,""))</f>
        <v/>
      </c>
      <c r="I603" s="4" t="str">
        <f t="shared" si="65"/>
        <v/>
      </c>
      <c r="J603" s="4" t="str">
        <f t="shared" si="66"/>
        <v/>
      </c>
      <c r="K603" s="13" t="str">
        <f>_xlfn.SINGLE(IF(F603="","",_xlfn.XLOOKUP(F603,purchase!D:D,purchase!#REF!,"")))</f>
        <v/>
      </c>
      <c r="L603" s="2"/>
      <c r="M603" s="32"/>
      <c r="N603" s="13" t="str">
        <f>IF(F603="","",
MAX(0,
_xlfn.XLOOKUP(F603,purchase!D:D,purchase!#REF!,"")
-
SUMIFS(L:L,F:F,F603)))</f>
        <v/>
      </c>
      <c r="O603" s="13" t="str">
        <f t="shared" si="67"/>
        <v/>
      </c>
      <c r="P603" s="35" t="str">
        <f>_xlfn.SINGLE(IF(F603="","",_xlfn.XLOOKUP(F603,purchase!D:D,purchase!K:K,"")))</f>
        <v/>
      </c>
      <c r="Q603" s="29" t="str">
        <f t="shared" si="68"/>
        <v/>
      </c>
      <c r="R603" s="37" t="str">
        <f t="shared" si="69"/>
        <v/>
      </c>
    </row>
    <row r="604" spans="1:18" x14ac:dyDescent="0.35">
      <c r="A604" s="8">
        <v>600</v>
      </c>
      <c r="B604" s="9" t="str">
        <f t="shared" si="63"/>
        <v/>
      </c>
      <c r="C604" s="10"/>
      <c r="D604" s="9" t="str">
        <f>IF(F604="","",_xlfn.XLOOKUP(F604,purchase!D:D,purchase!#REF!,""))</f>
        <v/>
      </c>
      <c r="E604" s="9" t="str">
        <f>IF(F604="","",_xlfn.XLOOKUP(F604,purchase!D:D,purchase!B:B,""))</f>
        <v/>
      </c>
      <c r="F604" s="2"/>
      <c r="G604" s="4" t="str">
        <f t="shared" si="64"/>
        <v/>
      </c>
      <c r="H604" s="4" t="str">
        <f>IF(F604="","",_xlfn.XLOOKUP(F604,purchase!D:D,purchase!#REF!,""))</f>
        <v/>
      </c>
      <c r="I604" s="4" t="str">
        <f t="shared" si="65"/>
        <v/>
      </c>
      <c r="J604" s="4" t="str">
        <f t="shared" si="66"/>
        <v/>
      </c>
      <c r="K604" s="13" t="str">
        <f>_xlfn.SINGLE(IF(F604="","",_xlfn.XLOOKUP(F604,purchase!D:D,purchase!#REF!,"")))</f>
        <v/>
      </c>
      <c r="L604" s="2"/>
      <c r="M604" s="32"/>
      <c r="N604" s="13" t="str">
        <f>IF(F604="","",
MAX(0,
_xlfn.XLOOKUP(F604,purchase!D:D,purchase!#REF!,"")
-
SUMIFS(L:L,F:F,F604)))</f>
        <v/>
      </c>
      <c r="O604" s="13" t="str">
        <f t="shared" si="67"/>
        <v/>
      </c>
      <c r="P604" s="35" t="str">
        <f>_xlfn.SINGLE(IF(F604="","",_xlfn.XLOOKUP(F604,purchase!D:D,purchase!K:K,"")))</f>
        <v/>
      </c>
      <c r="Q604" s="29" t="str">
        <f t="shared" si="68"/>
        <v/>
      </c>
      <c r="R604" s="37" t="str">
        <f t="shared" si="69"/>
        <v/>
      </c>
    </row>
    <row r="605" spans="1:18" x14ac:dyDescent="0.35">
      <c r="A605" s="8">
        <v>601</v>
      </c>
      <c r="B605" s="9" t="str">
        <f t="shared" si="63"/>
        <v/>
      </c>
      <c r="C605" s="10"/>
      <c r="D605" s="9" t="str">
        <f>IF(F605="","",_xlfn.XLOOKUP(F605,purchase!D:D,purchase!#REF!,""))</f>
        <v/>
      </c>
      <c r="E605" s="9" t="str">
        <f>IF(F605="","",_xlfn.XLOOKUP(F605,purchase!D:D,purchase!B:B,""))</f>
        <v/>
      </c>
      <c r="F605" s="2"/>
      <c r="G605" s="4" t="str">
        <f t="shared" si="64"/>
        <v/>
      </c>
      <c r="H605" s="4" t="str">
        <f>IF(F605="","",_xlfn.XLOOKUP(F605,purchase!D:D,purchase!#REF!,""))</f>
        <v/>
      </c>
      <c r="I605" s="4" t="str">
        <f t="shared" si="65"/>
        <v/>
      </c>
      <c r="J605" s="4" t="str">
        <f t="shared" si="66"/>
        <v/>
      </c>
      <c r="K605" s="13" t="str">
        <f>_xlfn.SINGLE(IF(F605="","",_xlfn.XLOOKUP(F605,purchase!D:D,purchase!#REF!,"")))</f>
        <v/>
      </c>
      <c r="L605" s="2"/>
      <c r="M605" s="32"/>
      <c r="N605" s="13" t="str">
        <f>IF(F605="","",
MAX(0,
_xlfn.XLOOKUP(F605,purchase!D:D,purchase!#REF!,"")
-
SUMIFS(L:L,F:F,F605)))</f>
        <v/>
      </c>
      <c r="O605" s="13" t="str">
        <f t="shared" si="67"/>
        <v/>
      </c>
      <c r="P605" s="35" t="str">
        <f>_xlfn.SINGLE(IF(F605="","",_xlfn.XLOOKUP(F605,purchase!D:D,purchase!K:K,"")))</f>
        <v/>
      </c>
      <c r="Q605" s="29" t="str">
        <f t="shared" si="68"/>
        <v/>
      </c>
      <c r="R605" s="37" t="str">
        <f t="shared" si="69"/>
        <v/>
      </c>
    </row>
    <row r="606" spans="1:18" x14ac:dyDescent="0.35">
      <c r="A606" s="8">
        <v>602</v>
      </c>
      <c r="B606" s="9" t="str">
        <f t="shared" si="63"/>
        <v/>
      </c>
      <c r="C606" s="10"/>
      <c r="D606" s="9" t="str">
        <f>IF(F606="","",_xlfn.XLOOKUP(F606,purchase!D:D,purchase!#REF!,""))</f>
        <v/>
      </c>
      <c r="E606" s="9" t="str">
        <f>IF(F606="","",_xlfn.XLOOKUP(F606,purchase!D:D,purchase!B:B,""))</f>
        <v/>
      </c>
      <c r="F606" s="2"/>
      <c r="G606" s="4" t="str">
        <f t="shared" si="64"/>
        <v/>
      </c>
      <c r="H606" s="4" t="str">
        <f>IF(F606="","",_xlfn.XLOOKUP(F606,purchase!D:D,purchase!#REF!,""))</f>
        <v/>
      </c>
      <c r="I606" s="4" t="str">
        <f t="shared" si="65"/>
        <v/>
      </c>
      <c r="J606" s="4" t="str">
        <f t="shared" si="66"/>
        <v/>
      </c>
      <c r="K606" s="13" t="str">
        <f>_xlfn.SINGLE(IF(F606="","",_xlfn.XLOOKUP(F606,purchase!D:D,purchase!#REF!,"")))</f>
        <v/>
      </c>
      <c r="L606" s="2"/>
      <c r="M606" s="32"/>
      <c r="N606" s="13" t="str">
        <f>IF(F606="","",
MAX(0,
_xlfn.XLOOKUP(F606,purchase!D:D,purchase!#REF!,"")
-
SUMIFS(L:L,F:F,F606)))</f>
        <v/>
      </c>
      <c r="O606" s="13" t="str">
        <f t="shared" si="67"/>
        <v/>
      </c>
      <c r="P606" s="35" t="str">
        <f>_xlfn.SINGLE(IF(F606="","",_xlfn.XLOOKUP(F606,purchase!D:D,purchase!K:K,"")))</f>
        <v/>
      </c>
      <c r="Q606" s="29" t="str">
        <f t="shared" si="68"/>
        <v/>
      </c>
      <c r="R606" s="37" t="str">
        <f t="shared" si="69"/>
        <v/>
      </c>
    </row>
    <row r="607" spans="1:18" x14ac:dyDescent="0.35">
      <c r="A607" s="8">
        <v>603</v>
      </c>
      <c r="B607" s="9" t="str">
        <f t="shared" si="63"/>
        <v/>
      </c>
      <c r="C607" s="10"/>
      <c r="D607" s="9" t="str">
        <f>IF(F607="","",_xlfn.XLOOKUP(F607,purchase!D:D,purchase!#REF!,""))</f>
        <v/>
      </c>
      <c r="E607" s="9" t="str">
        <f>IF(F607="","",_xlfn.XLOOKUP(F607,purchase!D:D,purchase!B:B,""))</f>
        <v/>
      </c>
      <c r="F607" s="2"/>
      <c r="G607" s="4" t="str">
        <f t="shared" si="64"/>
        <v/>
      </c>
      <c r="H607" s="4" t="str">
        <f>IF(F607="","",_xlfn.XLOOKUP(F607,purchase!D:D,purchase!#REF!,""))</f>
        <v/>
      </c>
      <c r="I607" s="4" t="str">
        <f t="shared" si="65"/>
        <v/>
      </c>
      <c r="J607" s="4" t="str">
        <f t="shared" si="66"/>
        <v/>
      </c>
      <c r="K607" s="13" t="str">
        <f>_xlfn.SINGLE(IF(F607="","",_xlfn.XLOOKUP(F607,purchase!D:D,purchase!#REF!,"")))</f>
        <v/>
      </c>
      <c r="L607" s="2"/>
      <c r="M607" s="32"/>
      <c r="N607" s="13" t="str">
        <f>IF(F607="","",
MAX(0,
_xlfn.XLOOKUP(F607,purchase!D:D,purchase!#REF!,"")
-
SUMIFS(L:L,F:F,F607)))</f>
        <v/>
      </c>
      <c r="O607" s="13" t="str">
        <f t="shared" si="67"/>
        <v/>
      </c>
      <c r="P607" s="35" t="str">
        <f>_xlfn.SINGLE(IF(F607="","",_xlfn.XLOOKUP(F607,purchase!D:D,purchase!K:K,"")))</f>
        <v/>
      </c>
      <c r="Q607" s="29" t="str">
        <f t="shared" si="68"/>
        <v/>
      </c>
      <c r="R607" s="37" t="str">
        <f t="shared" si="69"/>
        <v/>
      </c>
    </row>
    <row r="608" spans="1:18" x14ac:dyDescent="0.35">
      <c r="A608" s="8">
        <v>604</v>
      </c>
      <c r="B608" s="9" t="str">
        <f t="shared" si="63"/>
        <v/>
      </c>
      <c r="C608" s="10"/>
      <c r="D608" s="9" t="str">
        <f>IF(F608="","",_xlfn.XLOOKUP(F608,purchase!D:D,purchase!#REF!,""))</f>
        <v/>
      </c>
      <c r="E608" s="9" t="str">
        <f>IF(F608="","",_xlfn.XLOOKUP(F608,purchase!D:D,purchase!B:B,""))</f>
        <v/>
      </c>
      <c r="F608" s="2"/>
      <c r="G608" s="4" t="str">
        <f t="shared" si="64"/>
        <v/>
      </c>
      <c r="H608" s="4" t="str">
        <f>IF(F608="","",_xlfn.XLOOKUP(F608,purchase!D:D,purchase!#REF!,""))</f>
        <v/>
      </c>
      <c r="I608" s="4" t="str">
        <f t="shared" si="65"/>
        <v/>
      </c>
      <c r="J608" s="4" t="str">
        <f t="shared" si="66"/>
        <v/>
      </c>
      <c r="K608" s="13" t="str">
        <f>_xlfn.SINGLE(IF(F608="","",_xlfn.XLOOKUP(F608,purchase!D:D,purchase!#REF!,"")))</f>
        <v/>
      </c>
      <c r="L608" s="2"/>
      <c r="M608" s="32"/>
      <c r="N608" s="13" t="str">
        <f>IF(F608="","",
MAX(0,
_xlfn.XLOOKUP(F608,purchase!D:D,purchase!#REF!,"")
-
SUMIFS(L:L,F:F,F608)))</f>
        <v/>
      </c>
      <c r="O608" s="13" t="str">
        <f t="shared" si="67"/>
        <v/>
      </c>
      <c r="P608" s="35" t="str">
        <f>_xlfn.SINGLE(IF(F608="","",_xlfn.XLOOKUP(F608,purchase!D:D,purchase!K:K,"")))</f>
        <v/>
      </c>
      <c r="Q608" s="29" t="str">
        <f t="shared" si="68"/>
        <v/>
      </c>
      <c r="R608" s="37" t="str">
        <f t="shared" si="69"/>
        <v/>
      </c>
    </row>
    <row r="609" spans="1:18" x14ac:dyDescent="0.35">
      <c r="A609" s="8">
        <v>605</v>
      </c>
      <c r="B609" s="9" t="str">
        <f t="shared" si="63"/>
        <v/>
      </c>
      <c r="C609" s="10"/>
      <c r="D609" s="9" t="str">
        <f>IF(F609="","",_xlfn.XLOOKUP(F609,purchase!D:D,purchase!#REF!,""))</f>
        <v/>
      </c>
      <c r="E609" s="9" t="str">
        <f>IF(F609="","",_xlfn.XLOOKUP(F609,purchase!D:D,purchase!B:B,""))</f>
        <v/>
      </c>
      <c r="F609" s="2"/>
      <c r="G609" s="4" t="str">
        <f t="shared" si="64"/>
        <v/>
      </c>
      <c r="H609" s="4" t="str">
        <f>IF(F609="","",_xlfn.XLOOKUP(F609,purchase!D:D,purchase!#REF!,""))</f>
        <v/>
      </c>
      <c r="I609" s="4" t="str">
        <f t="shared" si="65"/>
        <v/>
      </c>
      <c r="J609" s="4" t="str">
        <f t="shared" si="66"/>
        <v/>
      </c>
      <c r="K609" s="13" t="str">
        <f>_xlfn.SINGLE(IF(F609="","",_xlfn.XLOOKUP(F609,purchase!D:D,purchase!#REF!,"")))</f>
        <v/>
      </c>
      <c r="L609" s="2"/>
      <c r="M609" s="32"/>
      <c r="N609" s="13" t="str">
        <f>IF(F609="","",
MAX(0,
_xlfn.XLOOKUP(F609,purchase!D:D,purchase!#REF!,"")
-
SUMIFS(L:L,F:F,F609)))</f>
        <v/>
      </c>
      <c r="O609" s="13" t="str">
        <f t="shared" si="67"/>
        <v/>
      </c>
      <c r="P609" s="35" t="str">
        <f>_xlfn.SINGLE(IF(F609="","",_xlfn.XLOOKUP(F609,purchase!D:D,purchase!K:K,"")))</f>
        <v/>
      </c>
      <c r="Q609" s="29" t="str">
        <f t="shared" si="68"/>
        <v/>
      </c>
      <c r="R609" s="37" t="str">
        <f t="shared" si="69"/>
        <v/>
      </c>
    </row>
    <row r="610" spans="1:18" x14ac:dyDescent="0.35">
      <c r="A610" s="8">
        <v>606</v>
      </c>
      <c r="B610" s="9" t="str">
        <f t="shared" si="63"/>
        <v/>
      </c>
      <c r="C610" s="10"/>
      <c r="D610" s="9" t="str">
        <f>IF(F610="","",_xlfn.XLOOKUP(F610,purchase!D:D,purchase!#REF!,""))</f>
        <v/>
      </c>
      <c r="E610" s="9" t="str">
        <f>IF(F610="","",_xlfn.XLOOKUP(F610,purchase!D:D,purchase!B:B,""))</f>
        <v/>
      </c>
      <c r="F610" s="2"/>
      <c r="G610" s="4" t="str">
        <f t="shared" si="64"/>
        <v/>
      </c>
      <c r="H610" s="4" t="str">
        <f>IF(F610="","",_xlfn.XLOOKUP(F610,purchase!D:D,purchase!#REF!,""))</f>
        <v/>
      </c>
      <c r="I610" s="4" t="str">
        <f t="shared" si="65"/>
        <v/>
      </c>
      <c r="J610" s="4" t="str">
        <f t="shared" si="66"/>
        <v/>
      </c>
      <c r="K610" s="13" t="str">
        <f>_xlfn.SINGLE(IF(F610="","",_xlfn.XLOOKUP(F610,purchase!D:D,purchase!#REF!,"")))</f>
        <v/>
      </c>
      <c r="L610" s="2"/>
      <c r="M610" s="32"/>
      <c r="N610" s="13" t="str">
        <f>IF(F610="","",
MAX(0,
_xlfn.XLOOKUP(F610,purchase!D:D,purchase!#REF!,"")
-
SUMIFS(L:L,F:F,F610)))</f>
        <v/>
      </c>
      <c r="O610" s="13" t="str">
        <f t="shared" si="67"/>
        <v/>
      </c>
      <c r="P610" s="35" t="str">
        <f>_xlfn.SINGLE(IF(F610="","",_xlfn.XLOOKUP(F610,purchase!D:D,purchase!K:K,"")))</f>
        <v/>
      </c>
      <c r="Q610" s="29" t="str">
        <f t="shared" si="68"/>
        <v/>
      </c>
      <c r="R610" s="37" t="str">
        <f t="shared" si="69"/>
        <v/>
      </c>
    </row>
    <row r="611" spans="1:18" x14ac:dyDescent="0.35">
      <c r="A611" s="8">
        <v>607</v>
      </c>
      <c r="B611" s="9" t="str">
        <f t="shared" si="63"/>
        <v/>
      </c>
      <c r="C611" s="10"/>
      <c r="D611" s="9" t="str">
        <f>IF(F611="","",_xlfn.XLOOKUP(F611,purchase!D:D,purchase!#REF!,""))</f>
        <v/>
      </c>
      <c r="E611" s="9" t="str">
        <f>IF(F611="","",_xlfn.XLOOKUP(F611,purchase!D:D,purchase!B:B,""))</f>
        <v/>
      </c>
      <c r="F611" s="2"/>
      <c r="G611" s="4" t="str">
        <f t="shared" si="64"/>
        <v/>
      </c>
      <c r="H611" s="4" t="str">
        <f>IF(F611="","",_xlfn.XLOOKUP(F611,purchase!D:D,purchase!#REF!,""))</f>
        <v/>
      </c>
      <c r="I611" s="4" t="str">
        <f t="shared" si="65"/>
        <v/>
      </c>
      <c r="J611" s="4" t="str">
        <f t="shared" si="66"/>
        <v/>
      </c>
      <c r="K611" s="13" t="str">
        <f>_xlfn.SINGLE(IF(F611="","",_xlfn.XLOOKUP(F611,purchase!D:D,purchase!#REF!,"")))</f>
        <v/>
      </c>
      <c r="L611" s="2"/>
      <c r="M611" s="32"/>
      <c r="N611" s="13" t="str">
        <f>IF(F611="","",
MAX(0,
_xlfn.XLOOKUP(F611,purchase!D:D,purchase!#REF!,"")
-
SUMIFS(L:L,F:F,F611)))</f>
        <v/>
      </c>
      <c r="O611" s="13" t="str">
        <f t="shared" si="67"/>
        <v/>
      </c>
      <c r="P611" s="35" t="str">
        <f>_xlfn.SINGLE(IF(F611="","",_xlfn.XLOOKUP(F611,purchase!D:D,purchase!K:K,"")))</f>
        <v/>
      </c>
      <c r="Q611" s="29" t="str">
        <f t="shared" si="68"/>
        <v/>
      </c>
      <c r="R611" s="37" t="str">
        <f t="shared" si="69"/>
        <v/>
      </c>
    </row>
    <row r="612" spans="1:18" x14ac:dyDescent="0.35">
      <c r="A612" s="8">
        <v>608</v>
      </c>
      <c r="B612" s="9" t="str">
        <f t="shared" si="63"/>
        <v/>
      </c>
      <c r="C612" s="10"/>
      <c r="D612" s="9" t="str">
        <f>IF(F612="","",_xlfn.XLOOKUP(F612,purchase!D:D,purchase!#REF!,""))</f>
        <v/>
      </c>
      <c r="E612" s="9" t="str">
        <f>IF(F612="","",_xlfn.XLOOKUP(F612,purchase!D:D,purchase!B:B,""))</f>
        <v/>
      </c>
      <c r="F612" s="2"/>
      <c r="G612" s="4" t="str">
        <f t="shared" si="64"/>
        <v/>
      </c>
      <c r="H612" s="4" t="str">
        <f>IF(F612="","",_xlfn.XLOOKUP(F612,purchase!D:D,purchase!#REF!,""))</f>
        <v/>
      </c>
      <c r="I612" s="4" t="str">
        <f t="shared" si="65"/>
        <v/>
      </c>
      <c r="J612" s="4" t="str">
        <f t="shared" si="66"/>
        <v/>
      </c>
      <c r="K612" s="13" t="str">
        <f>_xlfn.SINGLE(IF(F612="","",_xlfn.XLOOKUP(F612,purchase!D:D,purchase!#REF!,"")))</f>
        <v/>
      </c>
      <c r="L612" s="2"/>
      <c r="M612" s="32"/>
      <c r="N612" s="13" t="str">
        <f>IF(F612="","",
MAX(0,
_xlfn.XLOOKUP(F612,purchase!D:D,purchase!#REF!,"")
-
SUMIFS(L:L,F:F,F612)))</f>
        <v/>
      </c>
      <c r="O612" s="13" t="str">
        <f t="shared" si="67"/>
        <v/>
      </c>
      <c r="P612" s="35" t="str">
        <f>_xlfn.SINGLE(IF(F612="","",_xlfn.XLOOKUP(F612,purchase!D:D,purchase!K:K,"")))</f>
        <v/>
      </c>
      <c r="Q612" s="29" t="str">
        <f t="shared" si="68"/>
        <v/>
      </c>
      <c r="R612" s="37" t="str">
        <f t="shared" si="69"/>
        <v/>
      </c>
    </row>
    <row r="613" spans="1:18" x14ac:dyDescent="0.35">
      <c r="A613" s="8">
        <v>609</v>
      </c>
      <c r="B613" s="9" t="str">
        <f t="shared" si="63"/>
        <v/>
      </c>
      <c r="C613" s="10"/>
      <c r="D613" s="9" t="str">
        <f>IF(F613="","",_xlfn.XLOOKUP(F613,purchase!D:D,purchase!#REF!,""))</f>
        <v/>
      </c>
      <c r="E613" s="9" t="str">
        <f>IF(F613="","",_xlfn.XLOOKUP(F613,purchase!D:D,purchase!B:B,""))</f>
        <v/>
      </c>
      <c r="F613" s="2"/>
      <c r="G613" s="4" t="str">
        <f t="shared" si="64"/>
        <v/>
      </c>
      <c r="H613" s="4" t="str">
        <f>IF(F613="","",_xlfn.XLOOKUP(F613,purchase!D:D,purchase!#REF!,""))</f>
        <v/>
      </c>
      <c r="I613" s="4" t="str">
        <f t="shared" si="65"/>
        <v/>
      </c>
      <c r="J613" s="4" t="str">
        <f t="shared" si="66"/>
        <v/>
      </c>
      <c r="K613" s="13" t="str">
        <f>_xlfn.SINGLE(IF(F613="","",_xlfn.XLOOKUP(F613,purchase!D:D,purchase!#REF!,"")))</f>
        <v/>
      </c>
      <c r="L613" s="2"/>
      <c r="M613" s="32"/>
      <c r="N613" s="13" t="str">
        <f>IF(F613="","",
MAX(0,
_xlfn.XLOOKUP(F613,purchase!D:D,purchase!#REF!,"")
-
SUMIFS(L:L,F:F,F613)))</f>
        <v/>
      </c>
      <c r="O613" s="13" t="str">
        <f t="shared" si="67"/>
        <v/>
      </c>
      <c r="P613" s="35" t="str">
        <f>_xlfn.SINGLE(IF(F613="","",_xlfn.XLOOKUP(F613,purchase!D:D,purchase!K:K,"")))</f>
        <v/>
      </c>
      <c r="Q613" s="29" t="str">
        <f t="shared" si="68"/>
        <v/>
      </c>
      <c r="R613" s="37" t="str">
        <f t="shared" si="69"/>
        <v/>
      </c>
    </row>
    <row r="614" spans="1:18" x14ac:dyDescent="0.35">
      <c r="A614" s="8">
        <v>610</v>
      </c>
      <c r="B614" s="9" t="str">
        <f t="shared" si="63"/>
        <v/>
      </c>
      <c r="C614" s="10"/>
      <c r="D614" s="9" t="str">
        <f>IF(F614="","",_xlfn.XLOOKUP(F614,purchase!D:D,purchase!#REF!,""))</f>
        <v/>
      </c>
      <c r="E614" s="9" t="str">
        <f>IF(F614="","",_xlfn.XLOOKUP(F614,purchase!D:D,purchase!B:B,""))</f>
        <v/>
      </c>
      <c r="F614" s="2"/>
      <c r="G614" s="4" t="str">
        <f t="shared" si="64"/>
        <v/>
      </c>
      <c r="H614" s="4" t="str">
        <f>IF(F614="","",_xlfn.XLOOKUP(F614,purchase!D:D,purchase!#REF!,""))</f>
        <v/>
      </c>
      <c r="I614" s="4" t="str">
        <f t="shared" si="65"/>
        <v/>
      </c>
      <c r="J614" s="4" t="str">
        <f t="shared" si="66"/>
        <v/>
      </c>
      <c r="K614" s="13" t="str">
        <f>_xlfn.SINGLE(IF(F614="","",_xlfn.XLOOKUP(F614,purchase!D:D,purchase!#REF!,"")))</f>
        <v/>
      </c>
      <c r="L614" s="2"/>
      <c r="M614" s="32"/>
      <c r="N614" s="13" t="str">
        <f>IF(F614="","",
MAX(0,
_xlfn.XLOOKUP(F614,purchase!D:D,purchase!#REF!,"")
-
SUMIFS(L:L,F:F,F614)))</f>
        <v/>
      </c>
      <c r="O614" s="13" t="str">
        <f t="shared" si="67"/>
        <v/>
      </c>
      <c r="P614" s="35" t="str">
        <f>_xlfn.SINGLE(IF(F614="","",_xlfn.XLOOKUP(F614,purchase!D:D,purchase!K:K,"")))</f>
        <v/>
      </c>
      <c r="Q614" s="29" t="str">
        <f t="shared" si="68"/>
        <v/>
      </c>
      <c r="R614" s="37" t="str">
        <f t="shared" si="69"/>
        <v/>
      </c>
    </row>
    <row r="615" spans="1:18" x14ac:dyDescent="0.35">
      <c r="A615" s="8">
        <v>611</v>
      </c>
      <c r="B615" s="9" t="str">
        <f t="shared" si="63"/>
        <v/>
      </c>
      <c r="C615" s="10"/>
      <c r="D615" s="9" t="str">
        <f>IF(F615="","",_xlfn.XLOOKUP(F615,purchase!D:D,purchase!#REF!,""))</f>
        <v/>
      </c>
      <c r="E615" s="9" t="str">
        <f>IF(F615="","",_xlfn.XLOOKUP(F615,purchase!D:D,purchase!B:B,""))</f>
        <v/>
      </c>
      <c r="F615" s="2"/>
      <c r="G615" s="4" t="str">
        <f t="shared" si="64"/>
        <v/>
      </c>
      <c r="H615" s="4" t="str">
        <f>IF(F615="","",_xlfn.XLOOKUP(F615,purchase!D:D,purchase!#REF!,""))</f>
        <v/>
      </c>
      <c r="I615" s="4" t="str">
        <f t="shared" si="65"/>
        <v/>
      </c>
      <c r="J615" s="4" t="str">
        <f t="shared" si="66"/>
        <v/>
      </c>
      <c r="K615" s="13" t="str">
        <f>_xlfn.SINGLE(IF(F615="","",_xlfn.XLOOKUP(F615,purchase!D:D,purchase!#REF!,"")))</f>
        <v/>
      </c>
      <c r="L615" s="2"/>
      <c r="M615" s="32"/>
      <c r="N615" s="13" t="str">
        <f>IF(F615="","",
MAX(0,
_xlfn.XLOOKUP(F615,purchase!D:D,purchase!#REF!,"")
-
SUMIFS(L:L,F:F,F615)))</f>
        <v/>
      </c>
      <c r="O615" s="13" t="str">
        <f t="shared" si="67"/>
        <v/>
      </c>
      <c r="P615" s="35" t="str">
        <f>_xlfn.SINGLE(IF(F615="","",_xlfn.XLOOKUP(F615,purchase!D:D,purchase!K:K,"")))</f>
        <v/>
      </c>
      <c r="Q615" s="29" t="str">
        <f t="shared" si="68"/>
        <v/>
      </c>
      <c r="R615" s="37" t="str">
        <f t="shared" si="69"/>
        <v/>
      </c>
    </row>
    <row r="616" spans="1:18" x14ac:dyDescent="0.35">
      <c r="A616" s="8">
        <v>612</v>
      </c>
      <c r="B616" s="9" t="str">
        <f t="shared" si="63"/>
        <v/>
      </c>
      <c r="C616" s="10"/>
      <c r="D616" s="9" t="str">
        <f>IF(F616="","",_xlfn.XLOOKUP(F616,purchase!D:D,purchase!#REF!,""))</f>
        <v/>
      </c>
      <c r="E616" s="9" t="str">
        <f>IF(F616="","",_xlfn.XLOOKUP(F616,purchase!D:D,purchase!B:B,""))</f>
        <v/>
      </c>
      <c r="F616" s="2"/>
      <c r="G616" s="4" t="str">
        <f t="shared" si="64"/>
        <v/>
      </c>
      <c r="H616" s="4" t="str">
        <f>IF(F616="","",_xlfn.XLOOKUP(F616,purchase!D:D,purchase!#REF!,""))</f>
        <v/>
      </c>
      <c r="I616" s="4" t="str">
        <f t="shared" si="65"/>
        <v/>
      </c>
      <c r="J616" s="4" t="str">
        <f t="shared" si="66"/>
        <v/>
      </c>
      <c r="K616" s="13" t="str">
        <f>_xlfn.SINGLE(IF(F616="","",_xlfn.XLOOKUP(F616,purchase!D:D,purchase!#REF!,"")))</f>
        <v/>
      </c>
      <c r="L616" s="2"/>
      <c r="M616" s="32"/>
      <c r="N616" s="13" t="str">
        <f>IF(F616="","",
MAX(0,
_xlfn.XLOOKUP(F616,purchase!D:D,purchase!#REF!,"")
-
SUMIFS(L:L,F:F,F616)))</f>
        <v/>
      </c>
      <c r="O616" s="13" t="str">
        <f t="shared" si="67"/>
        <v/>
      </c>
      <c r="P616" s="35" t="str">
        <f>_xlfn.SINGLE(IF(F616="","",_xlfn.XLOOKUP(F616,purchase!D:D,purchase!K:K,"")))</f>
        <v/>
      </c>
      <c r="Q616" s="29" t="str">
        <f t="shared" si="68"/>
        <v/>
      </c>
      <c r="R616" s="37" t="str">
        <f t="shared" si="69"/>
        <v/>
      </c>
    </row>
    <row r="617" spans="1:18" x14ac:dyDescent="0.35">
      <c r="A617" s="8">
        <v>613</v>
      </c>
      <c r="B617" s="9" t="str">
        <f t="shared" si="63"/>
        <v/>
      </c>
      <c r="C617" s="10"/>
      <c r="D617" s="9" t="str">
        <f>IF(F617="","",_xlfn.XLOOKUP(F617,purchase!D:D,purchase!#REF!,""))</f>
        <v/>
      </c>
      <c r="E617" s="9" t="str">
        <f>IF(F617="","",_xlfn.XLOOKUP(F617,purchase!D:D,purchase!B:B,""))</f>
        <v/>
      </c>
      <c r="F617" s="2"/>
      <c r="G617" s="4" t="str">
        <f t="shared" si="64"/>
        <v/>
      </c>
      <c r="H617" s="4" t="str">
        <f>IF(F617="","",_xlfn.XLOOKUP(F617,purchase!D:D,purchase!#REF!,""))</f>
        <v/>
      </c>
      <c r="I617" s="4" t="str">
        <f t="shared" si="65"/>
        <v/>
      </c>
      <c r="J617" s="4" t="str">
        <f t="shared" si="66"/>
        <v/>
      </c>
      <c r="K617" s="13" t="str">
        <f>_xlfn.SINGLE(IF(F617="","",_xlfn.XLOOKUP(F617,purchase!D:D,purchase!#REF!,"")))</f>
        <v/>
      </c>
      <c r="L617" s="2"/>
      <c r="M617" s="32"/>
      <c r="N617" s="13" t="str">
        <f>IF(F617="","",
MAX(0,
_xlfn.XLOOKUP(F617,purchase!D:D,purchase!#REF!,"")
-
SUMIFS(L:L,F:F,F617)))</f>
        <v/>
      </c>
      <c r="O617" s="13" t="str">
        <f t="shared" si="67"/>
        <v/>
      </c>
      <c r="P617" s="35" t="str">
        <f>_xlfn.SINGLE(IF(F617="","",_xlfn.XLOOKUP(F617,purchase!D:D,purchase!K:K,"")))</f>
        <v/>
      </c>
      <c r="Q617" s="29" t="str">
        <f t="shared" si="68"/>
        <v/>
      </c>
      <c r="R617" s="37" t="str">
        <f t="shared" si="69"/>
        <v/>
      </c>
    </row>
    <row r="618" spans="1:18" x14ac:dyDescent="0.35">
      <c r="A618" s="8">
        <v>614</v>
      </c>
      <c r="B618" s="9" t="str">
        <f t="shared" si="63"/>
        <v/>
      </c>
      <c r="C618" s="10"/>
      <c r="D618" s="9" t="str">
        <f>IF(F618="","",_xlfn.XLOOKUP(F618,purchase!D:D,purchase!#REF!,""))</f>
        <v/>
      </c>
      <c r="E618" s="9" t="str">
        <f>IF(F618="","",_xlfn.XLOOKUP(F618,purchase!D:D,purchase!B:B,""))</f>
        <v/>
      </c>
      <c r="F618" s="2"/>
      <c r="G618" s="4" t="str">
        <f t="shared" si="64"/>
        <v/>
      </c>
      <c r="H618" s="4" t="str">
        <f>IF(F618="","",_xlfn.XLOOKUP(F618,purchase!D:D,purchase!#REF!,""))</f>
        <v/>
      </c>
      <c r="I618" s="4" t="str">
        <f t="shared" si="65"/>
        <v/>
      </c>
      <c r="J618" s="4" t="str">
        <f t="shared" si="66"/>
        <v/>
      </c>
      <c r="K618" s="13" t="str">
        <f>_xlfn.SINGLE(IF(F618="","",_xlfn.XLOOKUP(F618,purchase!D:D,purchase!#REF!,"")))</f>
        <v/>
      </c>
      <c r="L618" s="2"/>
      <c r="M618" s="32"/>
      <c r="N618" s="13" t="str">
        <f>IF(F618="","",
MAX(0,
_xlfn.XLOOKUP(F618,purchase!D:D,purchase!#REF!,"")
-
SUMIFS(L:L,F:F,F618)))</f>
        <v/>
      </c>
      <c r="O618" s="13" t="str">
        <f t="shared" si="67"/>
        <v/>
      </c>
      <c r="P618" s="35" t="str">
        <f>_xlfn.SINGLE(IF(F618="","",_xlfn.XLOOKUP(F618,purchase!D:D,purchase!K:K,"")))</f>
        <v/>
      </c>
      <c r="Q618" s="29" t="str">
        <f t="shared" si="68"/>
        <v/>
      </c>
      <c r="R618" s="37" t="str">
        <f t="shared" si="69"/>
        <v/>
      </c>
    </row>
    <row r="619" spans="1:18" x14ac:dyDescent="0.35">
      <c r="A619" s="8">
        <v>615</v>
      </c>
      <c r="B619" s="9" t="str">
        <f t="shared" si="63"/>
        <v/>
      </c>
      <c r="C619" s="10"/>
      <c r="D619" s="9" t="str">
        <f>IF(F619="","",_xlfn.XLOOKUP(F619,purchase!D:D,purchase!#REF!,""))</f>
        <v/>
      </c>
      <c r="E619" s="9" t="str">
        <f>IF(F619="","",_xlfn.XLOOKUP(F619,purchase!D:D,purchase!B:B,""))</f>
        <v/>
      </c>
      <c r="F619" s="2"/>
      <c r="G619" s="4" t="str">
        <f t="shared" si="64"/>
        <v/>
      </c>
      <c r="H619" s="4" t="str">
        <f>IF(F619="","",_xlfn.XLOOKUP(F619,purchase!D:D,purchase!#REF!,""))</f>
        <v/>
      </c>
      <c r="I619" s="4" t="str">
        <f t="shared" si="65"/>
        <v/>
      </c>
      <c r="J619" s="4" t="str">
        <f t="shared" si="66"/>
        <v/>
      </c>
      <c r="K619" s="13" t="str">
        <f>_xlfn.SINGLE(IF(F619="","",_xlfn.XLOOKUP(F619,purchase!D:D,purchase!#REF!,"")))</f>
        <v/>
      </c>
      <c r="L619" s="2"/>
      <c r="M619" s="32"/>
      <c r="N619" s="13" t="str">
        <f>IF(F619="","",
MAX(0,
_xlfn.XLOOKUP(F619,purchase!D:D,purchase!#REF!,"")
-
SUMIFS(L:L,F:F,F619)))</f>
        <v/>
      </c>
      <c r="O619" s="13" t="str">
        <f t="shared" si="67"/>
        <v/>
      </c>
      <c r="P619" s="35" t="str">
        <f>_xlfn.SINGLE(IF(F619="","",_xlfn.XLOOKUP(F619,purchase!D:D,purchase!K:K,"")))</f>
        <v/>
      </c>
      <c r="Q619" s="29" t="str">
        <f t="shared" si="68"/>
        <v/>
      </c>
      <c r="R619" s="37" t="str">
        <f t="shared" si="69"/>
        <v/>
      </c>
    </row>
    <row r="620" spans="1:18" x14ac:dyDescent="0.35">
      <c r="A620" s="8">
        <v>616</v>
      </c>
      <c r="B620" s="9" t="str">
        <f t="shared" si="63"/>
        <v/>
      </c>
      <c r="C620" s="10"/>
      <c r="D620" s="9" t="str">
        <f>IF(F620="","",_xlfn.XLOOKUP(F620,purchase!D:D,purchase!#REF!,""))</f>
        <v/>
      </c>
      <c r="E620" s="9" t="str">
        <f>IF(F620="","",_xlfn.XLOOKUP(F620,purchase!D:D,purchase!B:B,""))</f>
        <v/>
      </c>
      <c r="F620" s="2"/>
      <c r="G620" s="4" t="str">
        <f t="shared" si="64"/>
        <v/>
      </c>
      <c r="H620" s="4" t="str">
        <f>IF(F620="","",_xlfn.XLOOKUP(F620,purchase!D:D,purchase!#REF!,""))</f>
        <v/>
      </c>
      <c r="I620" s="4" t="str">
        <f t="shared" si="65"/>
        <v/>
      </c>
      <c r="J620" s="4" t="str">
        <f t="shared" si="66"/>
        <v/>
      </c>
      <c r="K620" s="13" t="str">
        <f>_xlfn.SINGLE(IF(F620="","",_xlfn.XLOOKUP(F620,purchase!D:D,purchase!#REF!,"")))</f>
        <v/>
      </c>
      <c r="L620" s="2"/>
      <c r="M620" s="32"/>
      <c r="N620" s="13" t="str">
        <f>IF(F620="","",
MAX(0,
_xlfn.XLOOKUP(F620,purchase!D:D,purchase!#REF!,"")
-
SUMIFS(L:L,F:F,F620)))</f>
        <v/>
      </c>
      <c r="O620" s="13" t="str">
        <f t="shared" si="67"/>
        <v/>
      </c>
      <c r="P620" s="35" t="str">
        <f>_xlfn.SINGLE(IF(F620="","",_xlfn.XLOOKUP(F620,purchase!D:D,purchase!K:K,"")))</f>
        <v/>
      </c>
      <c r="Q620" s="29" t="str">
        <f t="shared" si="68"/>
        <v/>
      </c>
      <c r="R620" s="37" t="str">
        <f t="shared" si="69"/>
        <v/>
      </c>
    </row>
    <row r="621" spans="1:18" x14ac:dyDescent="0.35">
      <c r="A621" s="8">
        <v>617</v>
      </c>
      <c r="B621" s="9" t="str">
        <f t="shared" si="63"/>
        <v/>
      </c>
      <c r="C621" s="10"/>
      <c r="D621" s="9" t="str">
        <f>IF(F621="","",_xlfn.XLOOKUP(F621,purchase!D:D,purchase!#REF!,""))</f>
        <v/>
      </c>
      <c r="E621" s="9" t="str">
        <f>IF(F621="","",_xlfn.XLOOKUP(F621,purchase!D:D,purchase!B:B,""))</f>
        <v/>
      </c>
      <c r="F621" s="2"/>
      <c r="G621" s="4" t="str">
        <f t="shared" si="64"/>
        <v/>
      </c>
      <c r="H621" s="4" t="str">
        <f>IF(F621="","",_xlfn.XLOOKUP(F621,purchase!D:D,purchase!#REF!,""))</f>
        <v/>
      </c>
      <c r="I621" s="4" t="str">
        <f t="shared" si="65"/>
        <v/>
      </c>
      <c r="J621" s="4" t="str">
        <f t="shared" si="66"/>
        <v/>
      </c>
      <c r="K621" s="13" t="str">
        <f>_xlfn.SINGLE(IF(F621="","",_xlfn.XLOOKUP(F621,purchase!D:D,purchase!#REF!,"")))</f>
        <v/>
      </c>
      <c r="L621" s="2"/>
      <c r="M621" s="32"/>
      <c r="N621" s="13" t="str">
        <f>IF(F621="","",
MAX(0,
_xlfn.XLOOKUP(F621,purchase!D:D,purchase!#REF!,"")
-
SUMIFS(L:L,F:F,F621)))</f>
        <v/>
      </c>
      <c r="O621" s="13" t="str">
        <f t="shared" si="67"/>
        <v/>
      </c>
      <c r="P621" s="35" t="str">
        <f>_xlfn.SINGLE(IF(F621="","",_xlfn.XLOOKUP(F621,purchase!D:D,purchase!K:K,"")))</f>
        <v/>
      </c>
      <c r="Q621" s="29" t="str">
        <f t="shared" si="68"/>
        <v/>
      </c>
      <c r="R621" s="37" t="str">
        <f t="shared" si="69"/>
        <v/>
      </c>
    </row>
    <row r="622" spans="1:18" x14ac:dyDescent="0.35">
      <c r="A622" s="8">
        <v>618</v>
      </c>
      <c r="B622" s="9" t="str">
        <f t="shared" si="63"/>
        <v/>
      </c>
      <c r="C622" s="10"/>
      <c r="D622" s="9" t="str">
        <f>IF(F622="","",_xlfn.XLOOKUP(F622,purchase!D:D,purchase!#REF!,""))</f>
        <v/>
      </c>
      <c r="E622" s="9" t="str">
        <f>IF(F622="","",_xlfn.XLOOKUP(F622,purchase!D:D,purchase!B:B,""))</f>
        <v/>
      </c>
      <c r="F622" s="2"/>
      <c r="G622" s="4" t="str">
        <f t="shared" si="64"/>
        <v/>
      </c>
      <c r="H622" s="4" t="str">
        <f>IF(F622="","",_xlfn.XLOOKUP(F622,purchase!D:D,purchase!#REF!,""))</f>
        <v/>
      </c>
      <c r="I622" s="4" t="str">
        <f t="shared" si="65"/>
        <v/>
      </c>
      <c r="J622" s="4" t="str">
        <f t="shared" si="66"/>
        <v/>
      </c>
      <c r="K622" s="13" t="str">
        <f>_xlfn.SINGLE(IF(F622="","",_xlfn.XLOOKUP(F622,purchase!D:D,purchase!#REF!,"")))</f>
        <v/>
      </c>
      <c r="L622" s="2"/>
      <c r="M622" s="32"/>
      <c r="N622" s="13" t="str">
        <f>IF(F622="","",
MAX(0,
_xlfn.XLOOKUP(F622,purchase!D:D,purchase!#REF!,"")
-
SUMIFS(L:L,F:F,F622)))</f>
        <v/>
      </c>
      <c r="O622" s="13" t="str">
        <f t="shared" si="67"/>
        <v/>
      </c>
      <c r="P622" s="35" t="str">
        <f>_xlfn.SINGLE(IF(F622="","",_xlfn.XLOOKUP(F622,purchase!D:D,purchase!K:K,"")))</f>
        <v/>
      </c>
      <c r="Q622" s="29" t="str">
        <f t="shared" si="68"/>
        <v/>
      </c>
      <c r="R622" s="37" t="str">
        <f t="shared" si="69"/>
        <v/>
      </c>
    </row>
    <row r="623" spans="1:18" x14ac:dyDescent="0.35">
      <c r="A623" s="8">
        <v>619</v>
      </c>
      <c r="B623" s="9" t="str">
        <f t="shared" si="63"/>
        <v/>
      </c>
      <c r="C623" s="10"/>
      <c r="D623" s="9" t="str">
        <f>IF(F623="","",_xlfn.XLOOKUP(F623,purchase!D:D,purchase!#REF!,""))</f>
        <v/>
      </c>
      <c r="E623" s="9" t="str">
        <f>IF(F623="","",_xlfn.XLOOKUP(F623,purchase!D:D,purchase!B:B,""))</f>
        <v/>
      </c>
      <c r="F623" s="2"/>
      <c r="G623" s="4" t="str">
        <f t="shared" si="64"/>
        <v/>
      </c>
      <c r="H623" s="4" t="str">
        <f>IF(F623="","",_xlfn.XLOOKUP(F623,purchase!D:D,purchase!#REF!,""))</f>
        <v/>
      </c>
      <c r="I623" s="4" t="str">
        <f t="shared" si="65"/>
        <v/>
      </c>
      <c r="J623" s="4" t="str">
        <f t="shared" si="66"/>
        <v/>
      </c>
      <c r="K623" s="13" t="str">
        <f>_xlfn.SINGLE(IF(F623="","",_xlfn.XLOOKUP(F623,purchase!D:D,purchase!#REF!,"")))</f>
        <v/>
      </c>
      <c r="L623" s="2"/>
      <c r="M623" s="32"/>
      <c r="N623" s="13" t="str">
        <f>IF(F623="","",
MAX(0,
_xlfn.XLOOKUP(F623,purchase!D:D,purchase!#REF!,"")
-
SUMIFS(L:L,F:F,F623)))</f>
        <v/>
      </c>
      <c r="O623" s="13" t="str">
        <f t="shared" si="67"/>
        <v/>
      </c>
      <c r="P623" s="35" t="str">
        <f>_xlfn.SINGLE(IF(F623="","",_xlfn.XLOOKUP(F623,purchase!D:D,purchase!K:K,"")))</f>
        <v/>
      </c>
      <c r="Q623" s="29" t="str">
        <f t="shared" si="68"/>
        <v/>
      </c>
      <c r="R623" s="37" t="str">
        <f t="shared" si="69"/>
        <v/>
      </c>
    </row>
    <row r="624" spans="1:18" x14ac:dyDescent="0.35">
      <c r="A624" s="8">
        <v>620</v>
      </c>
      <c r="B624" s="9" t="str">
        <f t="shared" si="63"/>
        <v/>
      </c>
      <c r="C624" s="10"/>
      <c r="D624" s="9" t="str">
        <f>IF(F624="","",_xlfn.XLOOKUP(F624,purchase!D:D,purchase!#REF!,""))</f>
        <v/>
      </c>
      <c r="E624" s="9" t="str">
        <f>IF(F624="","",_xlfn.XLOOKUP(F624,purchase!D:D,purchase!B:B,""))</f>
        <v/>
      </c>
      <c r="F624" s="2"/>
      <c r="G624" s="4" t="str">
        <f t="shared" si="64"/>
        <v/>
      </c>
      <c r="H624" s="4" t="str">
        <f>IF(F624="","",_xlfn.XLOOKUP(F624,purchase!D:D,purchase!#REF!,""))</f>
        <v/>
      </c>
      <c r="I624" s="4" t="str">
        <f t="shared" si="65"/>
        <v/>
      </c>
      <c r="J624" s="4" t="str">
        <f t="shared" si="66"/>
        <v/>
      </c>
      <c r="K624" s="13" t="str">
        <f>_xlfn.SINGLE(IF(F624="","",_xlfn.XLOOKUP(F624,purchase!D:D,purchase!#REF!,"")))</f>
        <v/>
      </c>
      <c r="L624" s="2"/>
      <c r="M624" s="32"/>
      <c r="N624" s="13" t="str">
        <f>IF(F624="","",
MAX(0,
_xlfn.XLOOKUP(F624,purchase!D:D,purchase!#REF!,"")
-
SUMIFS(L:L,F:F,F624)))</f>
        <v/>
      </c>
      <c r="O624" s="13" t="str">
        <f t="shared" si="67"/>
        <v/>
      </c>
      <c r="P624" s="35" t="str">
        <f>_xlfn.SINGLE(IF(F624="","",_xlfn.XLOOKUP(F624,purchase!D:D,purchase!K:K,"")))</f>
        <v/>
      </c>
      <c r="Q624" s="29" t="str">
        <f t="shared" si="68"/>
        <v/>
      </c>
      <c r="R624" s="37" t="str">
        <f t="shared" si="69"/>
        <v/>
      </c>
    </row>
    <row r="625" spans="1:18" x14ac:dyDescent="0.35">
      <c r="A625" s="8">
        <v>621</v>
      </c>
      <c r="B625" s="9" t="str">
        <f t="shared" si="63"/>
        <v/>
      </c>
      <c r="C625" s="10"/>
      <c r="D625" s="9" t="str">
        <f>IF(F625="","",_xlfn.XLOOKUP(F625,purchase!D:D,purchase!#REF!,""))</f>
        <v/>
      </c>
      <c r="E625" s="9" t="str">
        <f>IF(F625="","",_xlfn.XLOOKUP(F625,purchase!D:D,purchase!B:B,""))</f>
        <v/>
      </c>
      <c r="F625" s="2"/>
      <c r="G625" s="4" t="str">
        <f t="shared" si="64"/>
        <v/>
      </c>
      <c r="H625" s="4" t="str">
        <f>IF(F625="","",_xlfn.XLOOKUP(F625,purchase!D:D,purchase!#REF!,""))</f>
        <v/>
      </c>
      <c r="I625" s="4" t="str">
        <f t="shared" si="65"/>
        <v/>
      </c>
      <c r="J625" s="4" t="str">
        <f t="shared" si="66"/>
        <v/>
      </c>
      <c r="K625" s="13" t="str">
        <f>_xlfn.SINGLE(IF(F625="","",_xlfn.XLOOKUP(F625,purchase!D:D,purchase!#REF!,"")))</f>
        <v/>
      </c>
      <c r="L625" s="2"/>
      <c r="M625" s="32"/>
      <c r="N625" s="13" t="str">
        <f>IF(F625="","",
MAX(0,
_xlfn.XLOOKUP(F625,purchase!D:D,purchase!#REF!,"")
-
SUMIFS(L:L,F:F,F625)))</f>
        <v/>
      </c>
      <c r="O625" s="13" t="str">
        <f t="shared" si="67"/>
        <v/>
      </c>
      <c r="P625" s="35" t="str">
        <f>_xlfn.SINGLE(IF(F625="","",_xlfn.XLOOKUP(F625,purchase!D:D,purchase!K:K,"")))</f>
        <v/>
      </c>
      <c r="Q625" s="29" t="str">
        <f t="shared" si="68"/>
        <v/>
      </c>
      <c r="R625" s="37" t="str">
        <f t="shared" si="69"/>
        <v/>
      </c>
    </row>
    <row r="626" spans="1:18" x14ac:dyDescent="0.35">
      <c r="A626" s="8">
        <v>622</v>
      </c>
      <c r="B626" s="9" t="str">
        <f t="shared" si="63"/>
        <v/>
      </c>
      <c r="C626" s="10"/>
      <c r="D626" s="9" t="str">
        <f>IF(F626="","",_xlfn.XLOOKUP(F626,purchase!D:D,purchase!#REF!,""))</f>
        <v/>
      </c>
      <c r="E626" s="9" t="str">
        <f>IF(F626="","",_xlfn.XLOOKUP(F626,purchase!D:D,purchase!B:B,""))</f>
        <v/>
      </c>
      <c r="F626" s="2"/>
      <c r="G626" s="4" t="str">
        <f t="shared" si="64"/>
        <v/>
      </c>
      <c r="H626" s="4" t="str">
        <f>IF(F626="","",_xlfn.XLOOKUP(F626,purchase!D:D,purchase!#REF!,""))</f>
        <v/>
      </c>
      <c r="I626" s="4" t="str">
        <f t="shared" si="65"/>
        <v/>
      </c>
      <c r="J626" s="4" t="str">
        <f t="shared" si="66"/>
        <v/>
      </c>
      <c r="K626" s="13" t="str">
        <f>_xlfn.SINGLE(IF(F626="","",_xlfn.XLOOKUP(F626,purchase!D:D,purchase!#REF!,"")))</f>
        <v/>
      </c>
      <c r="L626" s="2"/>
      <c r="M626" s="32"/>
      <c r="N626" s="13" t="str">
        <f>IF(F626="","",
MAX(0,
_xlfn.XLOOKUP(F626,purchase!D:D,purchase!#REF!,"")
-
SUMIFS(L:L,F:F,F626)))</f>
        <v/>
      </c>
      <c r="O626" s="13" t="str">
        <f t="shared" si="67"/>
        <v/>
      </c>
      <c r="P626" s="35" t="str">
        <f>_xlfn.SINGLE(IF(F626="","",_xlfn.XLOOKUP(F626,purchase!D:D,purchase!K:K,"")))</f>
        <v/>
      </c>
      <c r="Q626" s="29" t="str">
        <f t="shared" si="68"/>
        <v/>
      </c>
      <c r="R626" s="37" t="str">
        <f t="shared" si="69"/>
        <v/>
      </c>
    </row>
    <row r="627" spans="1:18" x14ac:dyDescent="0.35">
      <c r="A627" s="8">
        <v>623</v>
      </c>
      <c r="B627" s="9" t="str">
        <f t="shared" si="63"/>
        <v/>
      </c>
      <c r="C627" s="10"/>
      <c r="D627" s="9" t="str">
        <f>IF(F627="","",_xlfn.XLOOKUP(F627,purchase!D:D,purchase!#REF!,""))</f>
        <v/>
      </c>
      <c r="E627" s="9" t="str">
        <f>IF(F627="","",_xlfn.XLOOKUP(F627,purchase!D:D,purchase!B:B,""))</f>
        <v/>
      </c>
      <c r="F627" s="2"/>
      <c r="G627" s="4" t="str">
        <f t="shared" si="64"/>
        <v/>
      </c>
      <c r="H627" s="4" t="str">
        <f>IF(F627="","",_xlfn.XLOOKUP(F627,purchase!D:D,purchase!#REF!,""))</f>
        <v/>
      </c>
      <c r="I627" s="4" t="str">
        <f t="shared" si="65"/>
        <v/>
      </c>
      <c r="J627" s="4" t="str">
        <f t="shared" si="66"/>
        <v/>
      </c>
      <c r="K627" s="13" t="str">
        <f>_xlfn.SINGLE(IF(F627="","",_xlfn.XLOOKUP(F627,purchase!D:D,purchase!#REF!,"")))</f>
        <v/>
      </c>
      <c r="L627" s="2"/>
      <c r="M627" s="32"/>
      <c r="N627" s="13" t="str">
        <f>IF(F627="","",
MAX(0,
_xlfn.XLOOKUP(F627,purchase!D:D,purchase!#REF!,"")
-
SUMIFS(L:L,F:F,F627)))</f>
        <v/>
      </c>
      <c r="O627" s="13" t="str">
        <f t="shared" si="67"/>
        <v/>
      </c>
      <c r="P627" s="35" t="str">
        <f>_xlfn.SINGLE(IF(F627="","",_xlfn.XLOOKUP(F627,purchase!D:D,purchase!K:K,"")))</f>
        <v/>
      </c>
      <c r="Q627" s="29" t="str">
        <f t="shared" si="68"/>
        <v/>
      </c>
      <c r="R627" s="37" t="str">
        <f t="shared" si="69"/>
        <v/>
      </c>
    </row>
    <row r="628" spans="1:18" x14ac:dyDescent="0.35">
      <c r="A628" s="8">
        <v>624</v>
      </c>
      <c r="B628" s="9" t="str">
        <f t="shared" si="63"/>
        <v/>
      </c>
      <c r="C628" s="10"/>
      <c r="D628" s="9" t="str">
        <f>IF(F628="","",_xlfn.XLOOKUP(F628,purchase!D:D,purchase!#REF!,""))</f>
        <v/>
      </c>
      <c r="E628" s="9" t="str">
        <f>IF(F628="","",_xlfn.XLOOKUP(F628,purchase!D:D,purchase!B:B,""))</f>
        <v/>
      </c>
      <c r="F628" s="2"/>
      <c r="G628" s="4" t="str">
        <f t="shared" si="64"/>
        <v/>
      </c>
      <c r="H628" s="4" t="str">
        <f>IF(F628="","",_xlfn.XLOOKUP(F628,purchase!D:D,purchase!#REF!,""))</f>
        <v/>
      </c>
      <c r="I628" s="4" t="str">
        <f t="shared" si="65"/>
        <v/>
      </c>
      <c r="J628" s="4" t="str">
        <f t="shared" si="66"/>
        <v/>
      </c>
      <c r="K628" s="13" t="str">
        <f>_xlfn.SINGLE(IF(F628="","",_xlfn.XLOOKUP(F628,purchase!D:D,purchase!#REF!,"")))</f>
        <v/>
      </c>
      <c r="L628" s="2"/>
      <c r="M628" s="32"/>
      <c r="N628" s="13" t="str">
        <f>IF(F628="","",
MAX(0,
_xlfn.XLOOKUP(F628,purchase!D:D,purchase!#REF!,"")
-
SUMIFS(L:L,F:F,F628)))</f>
        <v/>
      </c>
      <c r="O628" s="13" t="str">
        <f t="shared" si="67"/>
        <v/>
      </c>
      <c r="P628" s="35" t="str">
        <f>_xlfn.SINGLE(IF(F628="","",_xlfn.XLOOKUP(F628,purchase!D:D,purchase!K:K,"")))</f>
        <v/>
      </c>
      <c r="Q628" s="29" t="str">
        <f t="shared" si="68"/>
        <v/>
      </c>
      <c r="R628" s="37" t="str">
        <f t="shared" si="69"/>
        <v/>
      </c>
    </row>
    <row r="629" spans="1:18" x14ac:dyDescent="0.35">
      <c r="A629" s="8">
        <v>625</v>
      </c>
      <c r="B629" s="9" t="str">
        <f t="shared" si="63"/>
        <v/>
      </c>
      <c r="C629" s="10"/>
      <c r="D629" s="9" t="str">
        <f>IF(F629="","",_xlfn.XLOOKUP(F629,purchase!D:D,purchase!#REF!,""))</f>
        <v/>
      </c>
      <c r="E629" s="9" t="str">
        <f>IF(F629="","",_xlfn.XLOOKUP(F629,purchase!D:D,purchase!B:B,""))</f>
        <v/>
      </c>
      <c r="F629" s="2"/>
      <c r="G629" s="4" t="str">
        <f t="shared" si="64"/>
        <v/>
      </c>
      <c r="H629" s="4" t="str">
        <f>IF(F629="","",_xlfn.XLOOKUP(F629,purchase!D:D,purchase!#REF!,""))</f>
        <v/>
      </c>
      <c r="I629" s="4" t="str">
        <f t="shared" si="65"/>
        <v/>
      </c>
      <c r="J629" s="4" t="str">
        <f t="shared" si="66"/>
        <v/>
      </c>
      <c r="K629" s="13" t="str">
        <f>_xlfn.SINGLE(IF(F629="","",_xlfn.XLOOKUP(F629,purchase!D:D,purchase!#REF!,"")))</f>
        <v/>
      </c>
      <c r="L629" s="2"/>
      <c r="M629" s="32"/>
      <c r="N629" s="13" t="str">
        <f>IF(F629="","",
MAX(0,
_xlfn.XLOOKUP(F629,purchase!D:D,purchase!#REF!,"")
-
SUMIFS(L:L,F:F,F629)))</f>
        <v/>
      </c>
      <c r="O629" s="13" t="str">
        <f t="shared" si="67"/>
        <v/>
      </c>
      <c r="P629" s="35" t="str">
        <f>_xlfn.SINGLE(IF(F629="","",_xlfn.XLOOKUP(F629,purchase!D:D,purchase!K:K,"")))</f>
        <v/>
      </c>
      <c r="Q629" s="29" t="str">
        <f t="shared" si="68"/>
        <v/>
      </c>
      <c r="R629" s="37" t="str">
        <f t="shared" si="69"/>
        <v/>
      </c>
    </row>
    <row r="630" spans="1:18" x14ac:dyDescent="0.35">
      <c r="A630" s="8">
        <v>626</v>
      </c>
      <c r="B630" s="9" t="str">
        <f t="shared" si="63"/>
        <v/>
      </c>
      <c r="C630" s="10"/>
      <c r="D630" s="9" t="str">
        <f>IF(F630="","",_xlfn.XLOOKUP(F630,purchase!D:D,purchase!#REF!,""))</f>
        <v/>
      </c>
      <c r="E630" s="9" t="str">
        <f>IF(F630="","",_xlfn.XLOOKUP(F630,purchase!D:D,purchase!B:B,""))</f>
        <v/>
      </c>
      <c r="F630" s="2"/>
      <c r="G630" s="4" t="str">
        <f t="shared" si="64"/>
        <v/>
      </c>
      <c r="H630" s="4" t="str">
        <f>IF(F630="","",_xlfn.XLOOKUP(F630,purchase!D:D,purchase!#REF!,""))</f>
        <v/>
      </c>
      <c r="I630" s="4" t="str">
        <f t="shared" si="65"/>
        <v/>
      </c>
      <c r="J630" s="4" t="str">
        <f t="shared" si="66"/>
        <v/>
      </c>
      <c r="K630" s="13" t="str">
        <f>_xlfn.SINGLE(IF(F630="","",_xlfn.XLOOKUP(F630,purchase!D:D,purchase!#REF!,"")))</f>
        <v/>
      </c>
      <c r="L630" s="2"/>
      <c r="M630" s="32"/>
      <c r="N630" s="13" t="str">
        <f>IF(F630="","",
MAX(0,
_xlfn.XLOOKUP(F630,purchase!D:D,purchase!#REF!,"")
-
SUMIFS(L:L,F:F,F630)))</f>
        <v/>
      </c>
      <c r="O630" s="13" t="str">
        <f t="shared" si="67"/>
        <v/>
      </c>
      <c r="P630" s="35" t="str">
        <f>_xlfn.SINGLE(IF(F630="","",_xlfn.XLOOKUP(F630,purchase!D:D,purchase!K:K,"")))</f>
        <v/>
      </c>
      <c r="Q630" s="29" t="str">
        <f t="shared" si="68"/>
        <v/>
      </c>
      <c r="R630" s="37" t="str">
        <f t="shared" si="69"/>
        <v/>
      </c>
    </row>
    <row r="631" spans="1:18" x14ac:dyDescent="0.35">
      <c r="A631" s="8">
        <v>627</v>
      </c>
      <c r="B631" s="9" t="str">
        <f t="shared" si="63"/>
        <v/>
      </c>
      <c r="C631" s="10"/>
      <c r="D631" s="9" t="str">
        <f>IF(F631="","",_xlfn.XLOOKUP(F631,purchase!D:D,purchase!#REF!,""))</f>
        <v/>
      </c>
      <c r="E631" s="9" t="str">
        <f>IF(F631="","",_xlfn.XLOOKUP(F631,purchase!D:D,purchase!B:B,""))</f>
        <v/>
      </c>
      <c r="F631" s="2"/>
      <c r="G631" s="4" t="str">
        <f t="shared" si="64"/>
        <v/>
      </c>
      <c r="H631" s="4" t="str">
        <f>IF(F631="","",_xlfn.XLOOKUP(F631,purchase!D:D,purchase!#REF!,""))</f>
        <v/>
      </c>
      <c r="I631" s="4" t="str">
        <f t="shared" si="65"/>
        <v/>
      </c>
      <c r="J631" s="4" t="str">
        <f t="shared" si="66"/>
        <v/>
      </c>
      <c r="K631" s="13" t="str">
        <f>_xlfn.SINGLE(IF(F631="","",_xlfn.XLOOKUP(F631,purchase!D:D,purchase!#REF!,"")))</f>
        <v/>
      </c>
      <c r="L631" s="2"/>
      <c r="M631" s="32"/>
      <c r="N631" s="13" t="str">
        <f>IF(F631="","",
MAX(0,
_xlfn.XLOOKUP(F631,purchase!D:D,purchase!#REF!,"")
-
SUMIFS(L:L,F:F,F631)))</f>
        <v/>
      </c>
      <c r="O631" s="13" t="str">
        <f t="shared" si="67"/>
        <v/>
      </c>
      <c r="P631" s="35" t="str">
        <f>_xlfn.SINGLE(IF(F631="","",_xlfn.XLOOKUP(F631,purchase!D:D,purchase!K:K,"")))</f>
        <v/>
      </c>
      <c r="Q631" s="29" t="str">
        <f t="shared" si="68"/>
        <v/>
      </c>
      <c r="R631" s="37" t="str">
        <f t="shared" si="69"/>
        <v/>
      </c>
    </row>
    <row r="632" spans="1:18" x14ac:dyDescent="0.35">
      <c r="A632" s="8">
        <v>628</v>
      </c>
      <c r="B632" s="9" t="str">
        <f t="shared" si="63"/>
        <v/>
      </c>
      <c r="C632" s="10"/>
      <c r="D632" s="9" t="str">
        <f>IF(F632="","",_xlfn.XLOOKUP(F632,purchase!D:D,purchase!#REF!,""))</f>
        <v/>
      </c>
      <c r="E632" s="9" t="str">
        <f>IF(F632="","",_xlfn.XLOOKUP(F632,purchase!D:D,purchase!B:B,""))</f>
        <v/>
      </c>
      <c r="F632" s="2"/>
      <c r="G632" s="4" t="str">
        <f t="shared" si="64"/>
        <v/>
      </c>
      <c r="H632" s="4" t="str">
        <f>IF(F632="","",_xlfn.XLOOKUP(F632,purchase!D:D,purchase!#REF!,""))</f>
        <v/>
      </c>
      <c r="I632" s="4" t="str">
        <f t="shared" si="65"/>
        <v/>
      </c>
      <c r="J632" s="4" t="str">
        <f t="shared" si="66"/>
        <v/>
      </c>
      <c r="K632" s="13" t="str">
        <f>_xlfn.SINGLE(IF(F632="","",_xlfn.XLOOKUP(F632,purchase!D:D,purchase!#REF!,"")))</f>
        <v/>
      </c>
      <c r="L632" s="2"/>
      <c r="M632" s="32"/>
      <c r="N632" s="13" t="str">
        <f>IF(F632="","",
MAX(0,
_xlfn.XLOOKUP(F632,purchase!D:D,purchase!#REF!,"")
-
SUMIFS(L:L,F:F,F632)))</f>
        <v/>
      </c>
      <c r="O632" s="13" t="str">
        <f t="shared" si="67"/>
        <v/>
      </c>
      <c r="P632" s="35" t="str">
        <f>_xlfn.SINGLE(IF(F632="","",_xlfn.XLOOKUP(F632,purchase!D:D,purchase!K:K,"")))</f>
        <v/>
      </c>
      <c r="Q632" s="29" t="str">
        <f t="shared" si="68"/>
        <v/>
      </c>
      <c r="R632" s="37" t="str">
        <f t="shared" si="69"/>
        <v/>
      </c>
    </row>
    <row r="633" spans="1:18" x14ac:dyDescent="0.35">
      <c r="A633" s="8">
        <v>629</v>
      </c>
      <c r="B633" s="9" t="str">
        <f t="shared" si="63"/>
        <v/>
      </c>
      <c r="C633" s="10"/>
      <c r="D633" s="9" t="str">
        <f>IF(F633="","",_xlfn.XLOOKUP(F633,purchase!D:D,purchase!#REF!,""))</f>
        <v/>
      </c>
      <c r="E633" s="9" t="str">
        <f>IF(F633="","",_xlfn.XLOOKUP(F633,purchase!D:D,purchase!B:B,""))</f>
        <v/>
      </c>
      <c r="F633" s="2"/>
      <c r="G633" s="4" t="str">
        <f t="shared" si="64"/>
        <v/>
      </c>
      <c r="H633" s="4" t="str">
        <f>IF(F633="","",_xlfn.XLOOKUP(F633,purchase!D:D,purchase!#REF!,""))</f>
        <v/>
      </c>
      <c r="I633" s="4" t="str">
        <f t="shared" si="65"/>
        <v/>
      </c>
      <c r="J633" s="4" t="str">
        <f t="shared" si="66"/>
        <v/>
      </c>
      <c r="K633" s="13" t="str">
        <f>_xlfn.SINGLE(IF(F633="","",_xlfn.XLOOKUP(F633,purchase!D:D,purchase!#REF!,"")))</f>
        <v/>
      </c>
      <c r="L633" s="2"/>
      <c r="M633" s="32"/>
      <c r="N633" s="13" t="str">
        <f>IF(F633="","",
MAX(0,
_xlfn.XLOOKUP(F633,purchase!D:D,purchase!#REF!,"")
-
SUMIFS(L:L,F:F,F633)))</f>
        <v/>
      </c>
      <c r="O633" s="13" t="str">
        <f t="shared" si="67"/>
        <v/>
      </c>
      <c r="P633" s="35" t="str">
        <f>_xlfn.SINGLE(IF(F633="","",_xlfn.XLOOKUP(F633,purchase!D:D,purchase!K:K,"")))</f>
        <v/>
      </c>
      <c r="Q633" s="29" t="str">
        <f t="shared" si="68"/>
        <v/>
      </c>
      <c r="R633" s="37" t="str">
        <f t="shared" si="69"/>
        <v/>
      </c>
    </row>
    <row r="634" spans="1:18" x14ac:dyDescent="0.35">
      <c r="A634" s="8">
        <v>630</v>
      </c>
      <c r="B634" s="9" t="str">
        <f t="shared" si="63"/>
        <v/>
      </c>
      <c r="C634" s="10"/>
      <c r="D634" s="9" t="str">
        <f>IF(F634="","",_xlfn.XLOOKUP(F634,purchase!D:D,purchase!#REF!,""))</f>
        <v/>
      </c>
      <c r="E634" s="9" t="str">
        <f>IF(F634="","",_xlfn.XLOOKUP(F634,purchase!D:D,purchase!B:B,""))</f>
        <v/>
      </c>
      <c r="F634" s="2"/>
      <c r="G634" s="4" t="str">
        <f t="shared" si="64"/>
        <v/>
      </c>
      <c r="H634" s="4" t="str">
        <f>IF(F634="","",_xlfn.XLOOKUP(F634,purchase!D:D,purchase!#REF!,""))</f>
        <v/>
      </c>
      <c r="I634" s="4" t="str">
        <f t="shared" si="65"/>
        <v/>
      </c>
      <c r="J634" s="4" t="str">
        <f t="shared" si="66"/>
        <v/>
      </c>
      <c r="K634" s="13" t="str">
        <f>_xlfn.SINGLE(IF(F634="","",_xlfn.XLOOKUP(F634,purchase!D:D,purchase!#REF!,"")))</f>
        <v/>
      </c>
      <c r="L634" s="2"/>
      <c r="M634" s="32"/>
      <c r="N634" s="13" t="str">
        <f>IF(F634="","",
MAX(0,
_xlfn.XLOOKUP(F634,purchase!D:D,purchase!#REF!,"")
-
SUMIFS(L:L,F:F,F634)))</f>
        <v/>
      </c>
      <c r="O634" s="13" t="str">
        <f t="shared" si="67"/>
        <v/>
      </c>
      <c r="P634" s="35" t="str">
        <f>_xlfn.SINGLE(IF(F634="","",_xlfn.XLOOKUP(F634,purchase!D:D,purchase!K:K,"")))</f>
        <v/>
      </c>
      <c r="Q634" s="29" t="str">
        <f t="shared" si="68"/>
        <v/>
      </c>
      <c r="R634" s="37" t="str">
        <f t="shared" si="69"/>
        <v/>
      </c>
    </row>
    <row r="635" spans="1:18" x14ac:dyDescent="0.35">
      <c r="A635" s="8">
        <v>631</v>
      </c>
      <c r="B635" s="9" t="str">
        <f t="shared" si="63"/>
        <v/>
      </c>
      <c r="C635" s="10"/>
      <c r="D635" s="9" t="str">
        <f>IF(F635="","",_xlfn.XLOOKUP(F635,purchase!D:D,purchase!#REF!,""))</f>
        <v/>
      </c>
      <c r="E635" s="9" t="str">
        <f>IF(F635="","",_xlfn.XLOOKUP(F635,purchase!D:D,purchase!B:B,""))</f>
        <v/>
      </c>
      <c r="F635" s="2"/>
      <c r="G635" s="4" t="str">
        <f t="shared" si="64"/>
        <v/>
      </c>
      <c r="H635" s="4" t="str">
        <f>IF(F635="","",_xlfn.XLOOKUP(F635,purchase!D:D,purchase!#REF!,""))</f>
        <v/>
      </c>
      <c r="I635" s="4" t="str">
        <f t="shared" si="65"/>
        <v/>
      </c>
      <c r="J635" s="4" t="str">
        <f t="shared" si="66"/>
        <v/>
      </c>
      <c r="K635" s="13" t="str">
        <f>_xlfn.SINGLE(IF(F635="","",_xlfn.XLOOKUP(F635,purchase!D:D,purchase!#REF!,"")))</f>
        <v/>
      </c>
      <c r="L635" s="2"/>
      <c r="M635" s="32"/>
      <c r="N635" s="13" t="str">
        <f>IF(F635="","",
MAX(0,
_xlfn.XLOOKUP(F635,purchase!D:D,purchase!#REF!,"")
-
SUMIFS(L:L,F:F,F635)))</f>
        <v/>
      </c>
      <c r="O635" s="13" t="str">
        <f t="shared" si="67"/>
        <v/>
      </c>
      <c r="P635" s="35" t="str">
        <f>_xlfn.SINGLE(IF(F635="","",_xlfn.XLOOKUP(F635,purchase!D:D,purchase!K:K,"")))</f>
        <v/>
      </c>
      <c r="Q635" s="29" t="str">
        <f t="shared" si="68"/>
        <v/>
      </c>
      <c r="R635" s="37" t="str">
        <f t="shared" si="69"/>
        <v/>
      </c>
    </row>
    <row r="636" spans="1:18" x14ac:dyDescent="0.35">
      <c r="A636" s="8">
        <v>632</v>
      </c>
      <c r="B636" s="9" t="str">
        <f t="shared" si="63"/>
        <v/>
      </c>
      <c r="C636" s="10"/>
      <c r="D636" s="9" t="str">
        <f>IF(F636="","",_xlfn.XLOOKUP(F636,purchase!D:D,purchase!#REF!,""))</f>
        <v/>
      </c>
      <c r="E636" s="9" t="str">
        <f>IF(F636="","",_xlfn.XLOOKUP(F636,purchase!D:D,purchase!B:B,""))</f>
        <v/>
      </c>
      <c r="F636" s="2"/>
      <c r="G636" s="4" t="str">
        <f t="shared" si="64"/>
        <v/>
      </c>
      <c r="H636" s="4" t="str">
        <f>IF(F636="","",_xlfn.XLOOKUP(F636,purchase!D:D,purchase!#REF!,""))</f>
        <v/>
      </c>
      <c r="I636" s="4" t="str">
        <f t="shared" si="65"/>
        <v/>
      </c>
      <c r="J636" s="4" t="str">
        <f t="shared" si="66"/>
        <v/>
      </c>
      <c r="K636" s="13" t="str">
        <f>_xlfn.SINGLE(IF(F636="","",_xlfn.XLOOKUP(F636,purchase!D:D,purchase!#REF!,"")))</f>
        <v/>
      </c>
      <c r="L636" s="2"/>
      <c r="M636" s="32"/>
      <c r="N636" s="13" t="str">
        <f>IF(F636="","",
MAX(0,
_xlfn.XLOOKUP(F636,purchase!D:D,purchase!#REF!,"")
-
SUMIFS(L:L,F:F,F636)))</f>
        <v/>
      </c>
      <c r="O636" s="13" t="str">
        <f t="shared" si="67"/>
        <v/>
      </c>
      <c r="P636" s="35" t="str">
        <f>_xlfn.SINGLE(IF(F636="","",_xlfn.XLOOKUP(F636,purchase!D:D,purchase!K:K,"")))</f>
        <v/>
      </c>
      <c r="Q636" s="29" t="str">
        <f t="shared" si="68"/>
        <v/>
      </c>
      <c r="R636" s="37" t="str">
        <f t="shared" si="69"/>
        <v/>
      </c>
    </row>
    <row r="637" spans="1:18" x14ac:dyDescent="0.35">
      <c r="A637" s="8">
        <v>633</v>
      </c>
      <c r="B637" s="9" t="str">
        <f t="shared" si="63"/>
        <v/>
      </c>
      <c r="C637" s="10"/>
      <c r="D637" s="9" t="str">
        <f>IF(F637="","",_xlfn.XLOOKUP(F637,purchase!D:D,purchase!#REF!,""))</f>
        <v/>
      </c>
      <c r="E637" s="9" t="str">
        <f>IF(F637="","",_xlfn.XLOOKUP(F637,purchase!D:D,purchase!B:B,""))</f>
        <v/>
      </c>
      <c r="F637" s="2"/>
      <c r="G637" s="4" t="str">
        <f t="shared" si="64"/>
        <v/>
      </c>
      <c r="H637" s="4" t="str">
        <f>IF(F637="","",_xlfn.XLOOKUP(F637,purchase!D:D,purchase!#REF!,""))</f>
        <v/>
      </c>
      <c r="I637" s="4" t="str">
        <f t="shared" si="65"/>
        <v/>
      </c>
      <c r="J637" s="4" t="str">
        <f t="shared" si="66"/>
        <v/>
      </c>
      <c r="K637" s="13" t="str">
        <f>_xlfn.SINGLE(IF(F637="","",_xlfn.XLOOKUP(F637,purchase!D:D,purchase!#REF!,"")))</f>
        <v/>
      </c>
      <c r="L637" s="2"/>
      <c r="M637" s="32"/>
      <c r="N637" s="13" t="str">
        <f>IF(F637="","",
MAX(0,
_xlfn.XLOOKUP(F637,purchase!D:D,purchase!#REF!,"")
-
SUMIFS(L:L,F:F,F637)))</f>
        <v/>
      </c>
      <c r="O637" s="13" t="str">
        <f t="shared" si="67"/>
        <v/>
      </c>
      <c r="P637" s="35" t="str">
        <f>_xlfn.SINGLE(IF(F637="","",_xlfn.XLOOKUP(F637,purchase!D:D,purchase!K:K,"")))</f>
        <v/>
      </c>
      <c r="Q637" s="29" t="str">
        <f t="shared" si="68"/>
        <v/>
      </c>
      <c r="R637" s="37" t="str">
        <f t="shared" si="69"/>
        <v/>
      </c>
    </row>
    <row r="638" spans="1:18" x14ac:dyDescent="0.35">
      <c r="A638" s="8">
        <v>634</v>
      </c>
      <c r="B638" s="9" t="str">
        <f t="shared" si="63"/>
        <v/>
      </c>
      <c r="C638" s="10"/>
      <c r="D638" s="9" t="str">
        <f>IF(F638="","",_xlfn.XLOOKUP(F638,purchase!D:D,purchase!#REF!,""))</f>
        <v/>
      </c>
      <c r="E638" s="9" t="str">
        <f>IF(F638="","",_xlfn.XLOOKUP(F638,purchase!D:D,purchase!B:B,""))</f>
        <v/>
      </c>
      <c r="F638" s="2"/>
      <c r="G638" s="4" t="str">
        <f t="shared" si="64"/>
        <v/>
      </c>
      <c r="H638" s="4" t="str">
        <f>IF(F638="","",_xlfn.XLOOKUP(F638,purchase!D:D,purchase!#REF!,""))</f>
        <v/>
      </c>
      <c r="I638" s="4" t="str">
        <f t="shared" si="65"/>
        <v/>
      </c>
      <c r="J638" s="4" t="str">
        <f t="shared" si="66"/>
        <v/>
      </c>
      <c r="K638" s="13" t="str">
        <f>_xlfn.SINGLE(IF(F638="","",_xlfn.XLOOKUP(F638,purchase!D:D,purchase!#REF!,"")))</f>
        <v/>
      </c>
      <c r="L638" s="2"/>
      <c r="M638" s="32"/>
      <c r="N638" s="13" t="str">
        <f>IF(F638="","",
MAX(0,
_xlfn.XLOOKUP(F638,purchase!D:D,purchase!#REF!,"")
-
SUMIFS(L:L,F:F,F638)))</f>
        <v/>
      </c>
      <c r="O638" s="13" t="str">
        <f t="shared" si="67"/>
        <v/>
      </c>
      <c r="P638" s="35" t="str">
        <f>_xlfn.SINGLE(IF(F638="","",_xlfn.XLOOKUP(F638,purchase!D:D,purchase!K:K,"")))</f>
        <v/>
      </c>
      <c r="Q638" s="29" t="str">
        <f t="shared" si="68"/>
        <v/>
      </c>
      <c r="R638" s="37" t="str">
        <f t="shared" si="69"/>
        <v/>
      </c>
    </row>
    <row r="639" spans="1:18" x14ac:dyDescent="0.35">
      <c r="A639" s="8">
        <v>635</v>
      </c>
      <c r="B639" s="9" t="str">
        <f t="shared" si="63"/>
        <v/>
      </c>
      <c r="C639" s="10"/>
      <c r="D639" s="9" t="str">
        <f>IF(F639="","",_xlfn.XLOOKUP(F639,purchase!D:D,purchase!#REF!,""))</f>
        <v/>
      </c>
      <c r="E639" s="9" t="str">
        <f>IF(F639="","",_xlfn.XLOOKUP(F639,purchase!D:D,purchase!B:B,""))</f>
        <v/>
      </c>
      <c r="F639" s="2"/>
      <c r="G639" s="4" t="str">
        <f t="shared" si="64"/>
        <v/>
      </c>
      <c r="H639" s="4" t="str">
        <f>IF(F639="","",_xlfn.XLOOKUP(F639,purchase!D:D,purchase!#REF!,""))</f>
        <v/>
      </c>
      <c r="I639" s="4" t="str">
        <f t="shared" si="65"/>
        <v/>
      </c>
      <c r="J639" s="4" t="str">
        <f t="shared" si="66"/>
        <v/>
      </c>
      <c r="K639" s="13" t="str">
        <f>_xlfn.SINGLE(IF(F639="","",_xlfn.XLOOKUP(F639,purchase!D:D,purchase!#REF!,"")))</f>
        <v/>
      </c>
      <c r="L639" s="2"/>
      <c r="M639" s="32"/>
      <c r="N639" s="13" t="str">
        <f>IF(F639="","",
MAX(0,
_xlfn.XLOOKUP(F639,purchase!D:D,purchase!#REF!,"")
-
SUMIFS(L:L,F:F,F639)))</f>
        <v/>
      </c>
      <c r="O639" s="13" t="str">
        <f t="shared" si="67"/>
        <v/>
      </c>
      <c r="P639" s="35" t="str">
        <f>_xlfn.SINGLE(IF(F639="","",_xlfn.XLOOKUP(F639,purchase!D:D,purchase!K:K,"")))</f>
        <v/>
      </c>
      <c r="Q639" s="29" t="str">
        <f t="shared" si="68"/>
        <v/>
      </c>
      <c r="R639" s="37" t="str">
        <f t="shared" si="69"/>
        <v/>
      </c>
    </row>
    <row r="640" spans="1:18" x14ac:dyDescent="0.35">
      <c r="A640" s="8">
        <v>636</v>
      </c>
      <c r="B640" s="9" t="str">
        <f t="shared" si="63"/>
        <v/>
      </c>
      <c r="C640" s="10"/>
      <c r="D640" s="9" t="str">
        <f>IF(F640="","",_xlfn.XLOOKUP(F640,purchase!D:D,purchase!#REF!,""))</f>
        <v/>
      </c>
      <c r="E640" s="9" t="str">
        <f>IF(F640="","",_xlfn.XLOOKUP(F640,purchase!D:D,purchase!B:B,""))</f>
        <v/>
      </c>
      <c r="F640" s="2"/>
      <c r="G640" s="4" t="str">
        <f t="shared" si="64"/>
        <v/>
      </c>
      <c r="H640" s="4" t="str">
        <f>IF(F640="","",_xlfn.XLOOKUP(F640,purchase!D:D,purchase!#REF!,""))</f>
        <v/>
      </c>
      <c r="I640" s="4" t="str">
        <f t="shared" si="65"/>
        <v/>
      </c>
      <c r="J640" s="4" t="str">
        <f t="shared" si="66"/>
        <v/>
      </c>
      <c r="K640" s="13" t="str">
        <f>_xlfn.SINGLE(IF(F640="","",_xlfn.XLOOKUP(F640,purchase!D:D,purchase!#REF!,"")))</f>
        <v/>
      </c>
      <c r="L640" s="2"/>
      <c r="M640" s="32"/>
      <c r="N640" s="13" t="str">
        <f>IF(F640="","",
MAX(0,
_xlfn.XLOOKUP(F640,purchase!D:D,purchase!#REF!,"")
-
SUMIFS(L:L,F:F,F640)))</f>
        <v/>
      </c>
      <c r="O640" s="13" t="str">
        <f t="shared" si="67"/>
        <v/>
      </c>
      <c r="P640" s="35" t="str">
        <f>_xlfn.SINGLE(IF(F640="","",_xlfn.XLOOKUP(F640,purchase!D:D,purchase!K:K,"")))</f>
        <v/>
      </c>
      <c r="Q640" s="29" t="str">
        <f t="shared" si="68"/>
        <v/>
      </c>
      <c r="R640" s="37" t="str">
        <f t="shared" si="69"/>
        <v/>
      </c>
    </row>
    <row r="641" spans="1:18" x14ac:dyDescent="0.35">
      <c r="A641" s="8">
        <v>637</v>
      </c>
      <c r="B641" s="9" t="str">
        <f t="shared" si="63"/>
        <v/>
      </c>
      <c r="C641" s="10"/>
      <c r="D641" s="9" t="str">
        <f>IF(F641="","",_xlfn.XLOOKUP(F641,purchase!D:D,purchase!#REF!,""))</f>
        <v/>
      </c>
      <c r="E641" s="9" t="str">
        <f>IF(F641="","",_xlfn.XLOOKUP(F641,purchase!D:D,purchase!B:B,""))</f>
        <v/>
      </c>
      <c r="F641" s="2"/>
      <c r="G641" s="4" t="str">
        <f t="shared" si="64"/>
        <v/>
      </c>
      <c r="H641" s="4" t="str">
        <f>IF(F641="","",_xlfn.XLOOKUP(F641,purchase!D:D,purchase!#REF!,""))</f>
        <v/>
      </c>
      <c r="I641" s="4" t="str">
        <f t="shared" si="65"/>
        <v/>
      </c>
      <c r="J641" s="4" t="str">
        <f t="shared" si="66"/>
        <v/>
      </c>
      <c r="K641" s="13" t="str">
        <f>_xlfn.SINGLE(IF(F641="","",_xlfn.XLOOKUP(F641,purchase!D:D,purchase!#REF!,"")))</f>
        <v/>
      </c>
      <c r="L641" s="2"/>
      <c r="M641" s="32"/>
      <c r="N641" s="13" t="str">
        <f>IF(F641="","",
MAX(0,
_xlfn.XLOOKUP(F641,purchase!D:D,purchase!#REF!,"")
-
SUMIFS(L:L,F:F,F641)))</f>
        <v/>
      </c>
      <c r="O641" s="13" t="str">
        <f t="shared" si="67"/>
        <v/>
      </c>
      <c r="P641" s="35" t="str">
        <f>_xlfn.SINGLE(IF(F641="","",_xlfn.XLOOKUP(F641,purchase!D:D,purchase!K:K,"")))</f>
        <v/>
      </c>
      <c r="Q641" s="29" t="str">
        <f t="shared" si="68"/>
        <v/>
      </c>
      <c r="R641" s="37" t="str">
        <f t="shared" si="69"/>
        <v/>
      </c>
    </row>
    <row r="642" spans="1:18" x14ac:dyDescent="0.35">
      <c r="A642" s="8">
        <v>638</v>
      </c>
      <c r="B642" s="9" t="str">
        <f t="shared" si="63"/>
        <v/>
      </c>
      <c r="C642" s="10"/>
      <c r="D642" s="9" t="str">
        <f>IF(F642="","",_xlfn.XLOOKUP(F642,purchase!D:D,purchase!#REF!,""))</f>
        <v/>
      </c>
      <c r="E642" s="9" t="str">
        <f>IF(F642="","",_xlfn.XLOOKUP(F642,purchase!D:D,purchase!B:B,""))</f>
        <v/>
      </c>
      <c r="F642" s="2"/>
      <c r="G642" s="4" t="str">
        <f t="shared" si="64"/>
        <v/>
      </c>
      <c r="H642" s="4" t="str">
        <f>IF(F642="","",_xlfn.XLOOKUP(F642,purchase!D:D,purchase!#REF!,""))</f>
        <v/>
      </c>
      <c r="I642" s="4" t="str">
        <f t="shared" si="65"/>
        <v/>
      </c>
      <c r="J642" s="4" t="str">
        <f t="shared" si="66"/>
        <v/>
      </c>
      <c r="K642" s="13" t="str">
        <f>_xlfn.SINGLE(IF(F642="","",_xlfn.XLOOKUP(F642,purchase!D:D,purchase!#REF!,"")))</f>
        <v/>
      </c>
      <c r="L642" s="2"/>
      <c r="M642" s="32"/>
      <c r="N642" s="13" t="str">
        <f>IF(F642="","",
MAX(0,
_xlfn.XLOOKUP(F642,purchase!D:D,purchase!#REF!,"")
-
SUMIFS(L:L,F:F,F642)))</f>
        <v/>
      </c>
      <c r="O642" s="13" t="str">
        <f t="shared" si="67"/>
        <v/>
      </c>
      <c r="P642" s="35" t="str">
        <f>_xlfn.SINGLE(IF(F642="","",_xlfn.XLOOKUP(F642,purchase!D:D,purchase!K:K,"")))</f>
        <v/>
      </c>
      <c r="Q642" s="29" t="str">
        <f t="shared" si="68"/>
        <v/>
      </c>
      <c r="R642" s="37" t="str">
        <f t="shared" si="69"/>
        <v/>
      </c>
    </row>
    <row r="643" spans="1:18" x14ac:dyDescent="0.35">
      <c r="A643" s="8">
        <v>639</v>
      </c>
      <c r="B643" s="9" t="str">
        <f t="shared" si="63"/>
        <v/>
      </c>
      <c r="C643" s="10"/>
      <c r="D643" s="9" t="str">
        <f>IF(F643="","",_xlfn.XLOOKUP(F643,purchase!D:D,purchase!#REF!,""))</f>
        <v/>
      </c>
      <c r="E643" s="9" t="str">
        <f>IF(F643="","",_xlfn.XLOOKUP(F643,purchase!D:D,purchase!B:B,""))</f>
        <v/>
      </c>
      <c r="F643" s="2"/>
      <c r="G643" s="4" t="str">
        <f t="shared" si="64"/>
        <v/>
      </c>
      <c r="H643" s="4" t="str">
        <f>IF(F643="","",_xlfn.XLOOKUP(F643,purchase!D:D,purchase!#REF!,""))</f>
        <v/>
      </c>
      <c r="I643" s="4" t="str">
        <f t="shared" si="65"/>
        <v/>
      </c>
      <c r="J643" s="4" t="str">
        <f t="shared" si="66"/>
        <v/>
      </c>
      <c r="K643" s="13" t="str">
        <f>_xlfn.SINGLE(IF(F643="","",_xlfn.XLOOKUP(F643,purchase!D:D,purchase!#REF!,"")))</f>
        <v/>
      </c>
      <c r="L643" s="2"/>
      <c r="M643" s="32"/>
      <c r="N643" s="13" t="str">
        <f>IF(F643="","",
MAX(0,
_xlfn.XLOOKUP(F643,purchase!D:D,purchase!#REF!,"")
-
SUMIFS(L:L,F:F,F643)))</f>
        <v/>
      </c>
      <c r="O643" s="13" t="str">
        <f t="shared" si="67"/>
        <v/>
      </c>
      <c r="P643" s="35" t="str">
        <f>_xlfn.SINGLE(IF(F643="","",_xlfn.XLOOKUP(F643,purchase!D:D,purchase!K:K,"")))</f>
        <v/>
      </c>
      <c r="Q643" s="29" t="str">
        <f t="shared" si="68"/>
        <v/>
      </c>
      <c r="R643" s="37" t="str">
        <f t="shared" si="69"/>
        <v/>
      </c>
    </row>
    <row r="644" spans="1:18" x14ac:dyDescent="0.35">
      <c r="A644" s="8">
        <v>640</v>
      </c>
      <c r="B644" s="9" t="str">
        <f t="shared" si="63"/>
        <v/>
      </c>
      <c r="C644" s="10"/>
      <c r="D644" s="9" t="str">
        <f>IF(F644="","",_xlfn.XLOOKUP(F644,purchase!D:D,purchase!#REF!,""))</f>
        <v/>
      </c>
      <c r="E644" s="9" t="str">
        <f>IF(F644="","",_xlfn.XLOOKUP(F644,purchase!D:D,purchase!B:B,""))</f>
        <v/>
      </c>
      <c r="F644" s="2"/>
      <c r="G644" s="4" t="str">
        <f t="shared" si="64"/>
        <v/>
      </c>
      <c r="H644" s="4" t="str">
        <f>IF(F644="","",_xlfn.XLOOKUP(F644,purchase!D:D,purchase!#REF!,""))</f>
        <v/>
      </c>
      <c r="I644" s="4" t="str">
        <f t="shared" si="65"/>
        <v/>
      </c>
      <c r="J644" s="4" t="str">
        <f t="shared" si="66"/>
        <v/>
      </c>
      <c r="K644" s="13" t="str">
        <f>_xlfn.SINGLE(IF(F644="","",_xlfn.XLOOKUP(F644,purchase!D:D,purchase!#REF!,"")))</f>
        <v/>
      </c>
      <c r="L644" s="2"/>
      <c r="M644" s="32"/>
      <c r="N644" s="13" t="str">
        <f>IF(F644="","",
MAX(0,
_xlfn.XLOOKUP(F644,purchase!D:D,purchase!#REF!,"")
-
SUMIFS(L:L,F:F,F644)))</f>
        <v/>
      </c>
      <c r="O644" s="13" t="str">
        <f t="shared" si="67"/>
        <v/>
      </c>
      <c r="P644" s="35" t="str">
        <f>_xlfn.SINGLE(IF(F644="","",_xlfn.XLOOKUP(F644,purchase!D:D,purchase!K:K,"")))</f>
        <v/>
      </c>
      <c r="Q644" s="29" t="str">
        <f t="shared" si="68"/>
        <v/>
      </c>
      <c r="R644" s="37" t="str">
        <f t="shared" si="69"/>
        <v/>
      </c>
    </row>
    <row r="645" spans="1:18" x14ac:dyDescent="0.35">
      <c r="A645" s="8">
        <v>641</v>
      </c>
      <c r="B645" s="9" t="str">
        <f t="shared" ref="B645:B708" si="70">IF(OR(C645="",F645=""),"",
"PRD-" &amp;
TEXT(DAY(C645),"00") &amp;
CHOOSE(MONTH(C645),"A","B","C","D","E","F","G","H","I","J","K","L") &amp;
TEXT(YEAR(C645),"00") &amp;
"-" &amp;
RIGHT(F645,4))</f>
        <v/>
      </c>
      <c r="C645" s="10"/>
      <c r="D645" s="9" t="str">
        <f>IF(F645="","",_xlfn.XLOOKUP(F645,purchase!D:D,purchase!#REF!,""))</f>
        <v/>
      </c>
      <c r="E645" s="9" t="str">
        <f>IF(F645="","",_xlfn.XLOOKUP(F645,purchase!D:D,purchase!B:B,""))</f>
        <v/>
      </c>
      <c r="F645" s="2"/>
      <c r="G645" s="4" t="str">
        <f t="shared" ref="G645:G708" si="71">IF(H645="NRFC","Natural Rubber Field Coagulam","")</f>
        <v/>
      </c>
      <c r="H645" s="4" t="str">
        <f>IF(F645="","",_xlfn.XLOOKUP(F645,purchase!D:D,purchase!#REF!,""))</f>
        <v/>
      </c>
      <c r="I645" s="4" t="str">
        <f t="shared" ref="I645:I708" si="72">IF(J645="ISNR20","Natural Rubber-TSNR (ISNR-20)","")</f>
        <v/>
      </c>
      <c r="J645" s="4" t="str">
        <f t="shared" ref="J645:J708" si="73">IF(H645="NRFC","ISNR20","")</f>
        <v/>
      </c>
      <c r="K645" s="13" t="str">
        <f>_xlfn.SINGLE(IF(F645="","",_xlfn.XLOOKUP(F645,purchase!D:D,purchase!#REF!,"")))</f>
        <v/>
      </c>
      <c r="L645" s="2"/>
      <c r="M645" s="32"/>
      <c r="N645" s="13" t="str">
        <f>IF(F645="","",
MAX(0,
_xlfn.XLOOKUP(F645,purchase!D:D,purchase!#REF!,"")
-
SUMIFS(L:L,F:F,F645)))</f>
        <v/>
      </c>
      <c r="O645" s="13" t="str">
        <f t="shared" ref="O645:O708" si="74">IF(OR(L645="",M645=""),"",L645-M645)</f>
        <v/>
      </c>
      <c r="P645" s="35" t="str">
        <f>_xlfn.SINGLE(IF(F645="","",_xlfn.XLOOKUP(F645,purchase!D:D,purchase!K:K,"")))</f>
        <v/>
      </c>
      <c r="Q645" s="29" t="str">
        <f t="shared" ref="Q645:Q708" si="75">IF(OR(L645="",M645=""),"",M645/L645)</f>
        <v/>
      </c>
      <c r="R645" s="37" t="str">
        <f t="shared" ref="R645:R708" si="76">IF(OR(P645="",Q645=""),"",Q645-P645)</f>
        <v/>
      </c>
    </row>
    <row r="646" spans="1:18" x14ac:dyDescent="0.35">
      <c r="A646" s="8">
        <v>642</v>
      </c>
      <c r="B646" s="9" t="str">
        <f t="shared" si="70"/>
        <v/>
      </c>
      <c r="C646" s="10"/>
      <c r="D646" s="9" t="str">
        <f>IF(F646="","",_xlfn.XLOOKUP(F646,purchase!D:D,purchase!#REF!,""))</f>
        <v/>
      </c>
      <c r="E646" s="9" t="str">
        <f>IF(F646="","",_xlfn.XLOOKUP(F646,purchase!D:D,purchase!B:B,""))</f>
        <v/>
      </c>
      <c r="F646" s="2"/>
      <c r="G646" s="4" t="str">
        <f t="shared" si="71"/>
        <v/>
      </c>
      <c r="H646" s="4" t="str">
        <f>IF(F646="","",_xlfn.XLOOKUP(F646,purchase!D:D,purchase!#REF!,""))</f>
        <v/>
      </c>
      <c r="I646" s="4" t="str">
        <f t="shared" si="72"/>
        <v/>
      </c>
      <c r="J646" s="4" t="str">
        <f t="shared" si="73"/>
        <v/>
      </c>
      <c r="K646" s="13" t="str">
        <f>_xlfn.SINGLE(IF(F646="","",_xlfn.XLOOKUP(F646,purchase!D:D,purchase!#REF!,"")))</f>
        <v/>
      </c>
      <c r="L646" s="2"/>
      <c r="M646" s="32"/>
      <c r="N646" s="13" t="str">
        <f>IF(F646="","",
MAX(0,
_xlfn.XLOOKUP(F646,purchase!D:D,purchase!#REF!,"")
-
SUMIFS(L:L,F:F,F646)))</f>
        <v/>
      </c>
      <c r="O646" s="13" t="str">
        <f t="shared" si="74"/>
        <v/>
      </c>
      <c r="P646" s="35" t="str">
        <f>_xlfn.SINGLE(IF(F646="","",_xlfn.XLOOKUP(F646,purchase!D:D,purchase!K:K,"")))</f>
        <v/>
      </c>
      <c r="Q646" s="29" t="str">
        <f t="shared" si="75"/>
        <v/>
      </c>
      <c r="R646" s="37" t="str">
        <f t="shared" si="76"/>
        <v/>
      </c>
    </row>
    <row r="647" spans="1:18" x14ac:dyDescent="0.35">
      <c r="A647" s="8">
        <v>643</v>
      </c>
      <c r="B647" s="9" t="str">
        <f t="shared" si="70"/>
        <v/>
      </c>
      <c r="C647" s="10"/>
      <c r="D647" s="9" t="str">
        <f>IF(F647="","",_xlfn.XLOOKUP(F647,purchase!D:D,purchase!#REF!,""))</f>
        <v/>
      </c>
      <c r="E647" s="9" t="str">
        <f>IF(F647="","",_xlfn.XLOOKUP(F647,purchase!D:D,purchase!B:B,""))</f>
        <v/>
      </c>
      <c r="F647" s="2"/>
      <c r="G647" s="4" t="str">
        <f t="shared" si="71"/>
        <v/>
      </c>
      <c r="H647" s="4" t="str">
        <f>IF(F647="","",_xlfn.XLOOKUP(F647,purchase!D:D,purchase!#REF!,""))</f>
        <v/>
      </c>
      <c r="I647" s="4" t="str">
        <f t="shared" si="72"/>
        <v/>
      </c>
      <c r="J647" s="4" t="str">
        <f t="shared" si="73"/>
        <v/>
      </c>
      <c r="K647" s="13" t="str">
        <f>_xlfn.SINGLE(IF(F647="","",_xlfn.XLOOKUP(F647,purchase!D:D,purchase!#REF!,"")))</f>
        <v/>
      </c>
      <c r="L647" s="2"/>
      <c r="M647" s="32"/>
      <c r="N647" s="13" t="str">
        <f>IF(F647="","",
MAX(0,
_xlfn.XLOOKUP(F647,purchase!D:D,purchase!#REF!,"")
-
SUMIFS(L:L,F:F,F647)))</f>
        <v/>
      </c>
      <c r="O647" s="13" t="str">
        <f t="shared" si="74"/>
        <v/>
      </c>
      <c r="P647" s="35" t="str">
        <f>_xlfn.SINGLE(IF(F647="","",_xlfn.XLOOKUP(F647,purchase!D:D,purchase!K:K,"")))</f>
        <v/>
      </c>
      <c r="Q647" s="29" t="str">
        <f t="shared" si="75"/>
        <v/>
      </c>
      <c r="R647" s="37" t="str">
        <f t="shared" si="76"/>
        <v/>
      </c>
    </row>
    <row r="648" spans="1:18" x14ac:dyDescent="0.35">
      <c r="A648" s="8">
        <v>644</v>
      </c>
      <c r="B648" s="9" t="str">
        <f t="shared" si="70"/>
        <v/>
      </c>
      <c r="C648" s="10"/>
      <c r="D648" s="9" t="str">
        <f>IF(F648="","",_xlfn.XLOOKUP(F648,purchase!D:D,purchase!#REF!,""))</f>
        <v/>
      </c>
      <c r="E648" s="9" t="str">
        <f>IF(F648="","",_xlfn.XLOOKUP(F648,purchase!D:D,purchase!B:B,""))</f>
        <v/>
      </c>
      <c r="F648" s="2"/>
      <c r="G648" s="4" t="str">
        <f t="shared" si="71"/>
        <v/>
      </c>
      <c r="H648" s="4" t="str">
        <f>IF(F648="","",_xlfn.XLOOKUP(F648,purchase!D:D,purchase!#REF!,""))</f>
        <v/>
      </c>
      <c r="I648" s="4" t="str">
        <f t="shared" si="72"/>
        <v/>
      </c>
      <c r="J648" s="4" t="str">
        <f t="shared" si="73"/>
        <v/>
      </c>
      <c r="K648" s="13" t="str">
        <f>_xlfn.SINGLE(IF(F648="","",_xlfn.XLOOKUP(F648,purchase!D:D,purchase!#REF!,"")))</f>
        <v/>
      </c>
      <c r="L648" s="2"/>
      <c r="M648" s="32"/>
      <c r="N648" s="13" t="str">
        <f>IF(F648="","",
MAX(0,
_xlfn.XLOOKUP(F648,purchase!D:D,purchase!#REF!,"")
-
SUMIFS(L:L,F:F,F648)))</f>
        <v/>
      </c>
      <c r="O648" s="13" t="str">
        <f t="shared" si="74"/>
        <v/>
      </c>
      <c r="P648" s="35" t="str">
        <f>_xlfn.SINGLE(IF(F648="","",_xlfn.XLOOKUP(F648,purchase!D:D,purchase!K:K,"")))</f>
        <v/>
      </c>
      <c r="Q648" s="29" t="str">
        <f t="shared" si="75"/>
        <v/>
      </c>
      <c r="R648" s="37" t="str">
        <f t="shared" si="76"/>
        <v/>
      </c>
    </row>
    <row r="649" spans="1:18" x14ac:dyDescent="0.35">
      <c r="A649" s="8">
        <v>645</v>
      </c>
      <c r="B649" s="9" t="str">
        <f t="shared" si="70"/>
        <v/>
      </c>
      <c r="C649" s="10"/>
      <c r="D649" s="9" t="str">
        <f>IF(F649="","",_xlfn.XLOOKUP(F649,purchase!D:D,purchase!#REF!,""))</f>
        <v/>
      </c>
      <c r="E649" s="9" t="str">
        <f>IF(F649="","",_xlfn.XLOOKUP(F649,purchase!D:D,purchase!B:B,""))</f>
        <v/>
      </c>
      <c r="F649" s="2"/>
      <c r="G649" s="4" t="str">
        <f t="shared" si="71"/>
        <v/>
      </c>
      <c r="H649" s="4" t="str">
        <f>IF(F649="","",_xlfn.XLOOKUP(F649,purchase!D:D,purchase!#REF!,""))</f>
        <v/>
      </c>
      <c r="I649" s="4" t="str">
        <f t="shared" si="72"/>
        <v/>
      </c>
      <c r="J649" s="4" t="str">
        <f t="shared" si="73"/>
        <v/>
      </c>
      <c r="K649" s="13" t="str">
        <f>_xlfn.SINGLE(IF(F649="","",_xlfn.XLOOKUP(F649,purchase!D:D,purchase!#REF!,"")))</f>
        <v/>
      </c>
      <c r="L649" s="2"/>
      <c r="M649" s="32"/>
      <c r="N649" s="13" t="str">
        <f>IF(F649="","",
MAX(0,
_xlfn.XLOOKUP(F649,purchase!D:D,purchase!#REF!,"")
-
SUMIFS(L:L,F:F,F649)))</f>
        <v/>
      </c>
      <c r="O649" s="13" t="str">
        <f t="shared" si="74"/>
        <v/>
      </c>
      <c r="P649" s="35" t="str">
        <f>_xlfn.SINGLE(IF(F649="","",_xlfn.XLOOKUP(F649,purchase!D:D,purchase!K:K,"")))</f>
        <v/>
      </c>
      <c r="Q649" s="29" t="str">
        <f t="shared" si="75"/>
        <v/>
      </c>
      <c r="R649" s="37" t="str">
        <f t="shared" si="76"/>
        <v/>
      </c>
    </row>
    <row r="650" spans="1:18" x14ac:dyDescent="0.35">
      <c r="A650" s="8">
        <v>646</v>
      </c>
      <c r="B650" s="9" t="str">
        <f t="shared" si="70"/>
        <v/>
      </c>
      <c r="C650" s="10"/>
      <c r="D650" s="9" t="str">
        <f>IF(F650="","",_xlfn.XLOOKUP(F650,purchase!D:D,purchase!#REF!,""))</f>
        <v/>
      </c>
      <c r="E650" s="9" t="str">
        <f>IF(F650="","",_xlfn.XLOOKUP(F650,purchase!D:D,purchase!B:B,""))</f>
        <v/>
      </c>
      <c r="F650" s="2"/>
      <c r="G650" s="4" t="str">
        <f t="shared" si="71"/>
        <v/>
      </c>
      <c r="H650" s="4" t="str">
        <f>IF(F650="","",_xlfn.XLOOKUP(F650,purchase!D:D,purchase!#REF!,""))</f>
        <v/>
      </c>
      <c r="I650" s="4" t="str">
        <f t="shared" si="72"/>
        <v/>
      </c>
      <c r="J650" s="4" t="str">
        <f t="shared" si="73"/>
        <v/>
      </c>
      <c r="K650" s="13" t="str">
        <f>_xlfn.SINGLE(IF(F650="","",_xlfn.XLOOKUP(F650,purchase!D:D,purchase!#REF!,"")))</f>
        <v/>
      </c>
      <c r="L650" s="2"/>
      <c r="M650" s="32"/>
      <c r="N650" s="13" t="str">
        <f>IF(F650="","",
MAX(0,
_xlfn.XLOOKUP(F650,purchase!D:D,purchase!#REF!,"")
-
SUMIFS(L:L,F:F,F650)))</f>
        <v/>
      </c>
      <c r="O650" s="13" t="str">
        <f t="shared" si="74"/>
        <v/>
      </c>
      <c r="P650" s="35" t="str">
        <f>_xlfn.SINGLE(IF(F650="","",_xlfn.XLOOKUP(F650,purchase!D:D,purchase!K:K,"")))</f>
        <v/>
      </c>
      <c r="Q650" s="29" t="str">
        <f t="shared" si="75"/>
        <v/>
      </c>
      <c r="R650" s="37" t="str">
        <f t="shared" si="76"/>
        <v/>
      </c>
    </row>
    <row r="651" spans="1:18" x14ac:dyDescent="0.35">
      <c r="A651" s="8">
        <v>647</v>
      </c>
      <c r="B651" s="9" t="str">
        <f t="shared" si="70"/>
        <v/>
      </c>
      <c r="C651" s="10"/>
      <c r="D651" s="9" t="str">
        <f>IF(F651="","",_xlfn.XLOOKUP(F651,purchase!D:D,purchase!#REF!,""))</f>
        <v/>
      </c>
      <c r="E651" s="9" t="str">
        <f>IF(F651="","",_xlfn.XLOOKUP(F651,purchase!D:D,purchase!B:B,""))</f>
        <v/>
      </c>
      <c r="F651" s="2"/>
      <c r="G651" s="4" t="str">
        <f t="shared" si="71"/>
        <v/>
      </c>
      <c r="H651" s="4" t="str">
        <f>IF(F651="","",_xlfn.XLOOKUP(F651,purchase!D:D,purchase!#REF!,""))</f>
        <v/>
      </c>
      <c r="I651" s="4" t="str">
        <f t="shared" si="72"/>
        <v/>
      </c>
      <c r="J651" s="4" t="str">
        <f t="shared" si="73"/>
        <v/>
      </c>
      <c r="K651" s="13" t="str">
        <f>_xlfn.SINGLE(IF(F651="","",_xlfn.XLOOKUP(F651,purchase!D:D,purchase!#REF!,"")))</f>
        <v/>
      </c>
      <c r="L651" s="2"/>
      <c r="M651" s="32"/>
      <c r="N651" s="13" t="str">
        <f>IF(F651="","",
MAX(0,
_xlfn.XLOOKUP(F651,purchase!D:D,purchase!#REF!,"")
-
SUMIFS(L:L,F:F,F651)))</f>
        <v/>
      </c>
      <c r="O651" s="13" t="str">
        <f t="shared" si="74"/>
        <v/>
      </c>
      <c r="P651" s="35" t="str">
        <f>_xlfn.SINGLE(IF(F651="","",_xlfn.XLOOKUP(F651,purchase!D:D,purchase!K:K,"")))</f>
        <v/>
      </c>
      <c r="Q651" s="29" t="str">
        <f t="shared" si="75"/>
        <v/>
      </c>
      <c r="R651" s="37" t="str">
        <f t="shared" si="76"/>
        <v/>
      </c>
    </row>
    <row r="652" spans="1:18" x14ac:dyDescent="0.35">
      <c r="A652" s="8">
        <v>648</v>
      </c>
      <c r="B652" s="9" t="str">
        <f t="shared" si="70"/>
        <v/>
      </c>
      <c r="C652" s="10"/>
      <c r="D652" s="9" t="str">
        <f>IF(F652="","",_xlfn.XLOOKUP(F652,purchase!D:D,purchase!#REF!,""))</f>
        <v/>
      </c>
      <c r="E652" s="9" t="str">
        <f>IF(F652="","",_xlfn.XLOOKUP(F652,purchase!D:D,purchase!B:B,""))</f>
        <v/>
      </c>
      <c r="F652" s="2"/>
      <c r="G652" s="4" t="str">
        <f t="shared" si="71"/>
        <v/>
      </c>
      <c r="H652" s="4" t="str">
        <f>IF(F652="","",_xlfn.XLOOKUP(F652,purchase!D:D,purchase!#REF!,""))</f>
        <v/>
      </c>
      <c r="I652" s="4" t="str">
        <f t="shared" si="72"/>
        <v/>
      </c>
      <c r="J652" s="4" t="str">
        <f t="shared" si="73"/>
        <v/>
      </c>
      <c r="K652" s="13" t="str">
        <f>_xlfn.SINGLE(IF(F652="","",_xlfn.XLOOKUP(F652,purchase!D:D,purchase!#REF!,"")))</f>
        <v/>
      </c>
      <c r="L652" s="2"/>
      <c r="M652" s="32"/>
      <c r="N652" s="13" t="str">
        <f>IF(F652="","",
MAX(0,
_xlfn.XLOOKUP(F652,purchase!D:D,purchase!#REF!,"")
-
SUMIFS(L:L,F:F,F652)))</f>
        <v/>
      </c>
      <c r="O652" s="13" t="str">
        <f t="shared" si="74"/>
        <v/>
      </c>
      <c r="P652" s="35" t="str">
        <f>_xlfn.SINGLE(IF(F652="","",_xlfn.XLOOKUP(F652,purchase!D:D,purchase!K:K,"")))</f>
        <v/>
      </c>
      <c r="Q652" s="29" t="str">
        <f t="shared" si="75"/>
        <v/>
      </c>
      <c r="R652" s="37" t="str">
        <f t="shared" si="76"/>
        <v/>
      </c>
    </row>
    <row r="653" spans="1:18" x14ac:dyDescent="0.35">
      <c r="A653" s="8">
        <v>649</v>
      </c>
      <c r="B653" s="9" t="str">
        <f t="shared" si="70"/>
        <v/>
      </c>
      <c r="C653" s="10"/>
      <c r="D653" s="9" t="str">
        <f>IF(F653="","",_xlfn.XLOOKUP(F653,purchase!D:D,purchase!#REF!,""))</f>
        <v/>
      </c>
      <c r="E653" s="9" t="str">
        <f>IF(F653="","",_xlfn.XLOOKUP(F653,purchase!D:D,purchase!B:B,""))</f>
        <v/>
      </c>
      <c r="F653" s="2"/>
      <c r="G653" s="4" t="str">
        <f t="shared" si="71"/>
        <v/>
      </c>
      <c r="H653" s="4" t="str">
        <f>IF(F653="","",_xlfn.XLOOKUP(F653,purchase!D:D,purchase!#REF!,""))</f>
        <v/>
      </c>
      <c r="I653" s="4" t="str">
        <f t="shared" si="72"/>
        <v/>
      </c>
      <c r="J653" s="4" t="str">
        <f t="shared" si="73"/>
        <v/>
      </c>
      <c r="K653" s="13" t="str">
        <f>_xlfn.SINGLE(IF(F653="","",_xlfn.XLOOKUP(F653,purchase!D:D,purchase!#REF!,"")))</f>
        <v/>
      </c>
      <c r="L653" s="2"/>
      <c r="M653" s="32"/>
      <c r="N653" s="13" t="str">
        <f>IF(F653="","",
MAX(0,
_xlfn.XLOOKUP(F653,purchase!D:D,purchase!#REF!,"")
-
SUMIFS(L:L,F:F,F653)))</f>
        <v/>
      </c>
      <c r="O653" s="13" t="str">
        <f t="shared" si="74"/>
        <v/>
      </c>
      <c r="P653" s="35" t="str">
        <f>_xlfn.SINGLE(IF(F653="","",_xlfn.XLOOKUP(F653,purchase!D:D,purchase!K:K,"")))</f>
        <v/>
      </c>
      <c r="Q653" s="29" t="str">
        <f t="shared" si="75"/>
        <v/>
      </c>
      <c r="R653" s="37" t="str">
        <f t="shared" si="76"/>
        <v/>
      </c>
    </row>
    <row r="654" spans="1:18" x14ac:dyDescent="0.35">
      <c r="A654" s="8">
        <v>650</v>
      </c>
      <c r="B654" s="9" t="str">
        <f t="shared" si="70"/>
        <v/>
      </c>
      <c r="C654" s="10"/>
      <c r="D654" s="9" t="str">
        <f>IF(F654="","",_xlfn.XLOOKUP(F654,purchase!D:D,purchase!#REF!,""))</f>
        <v/>
      </c>
      <c r="E654" s="9" t="str">
        <f>IF(F654="","",_xlfn.XLOOKUP(F654,purchase!D:D,purchase!B:B,""))</f>
        <v/>
      </c>
      <c r="F654" s="2"/>
      <c r="G654" s="4" t="str">
        <f t="shared" si="71"/>
        <v/>
      </c>
      <c r="H654" s="4" t="str">
        <f>IF(F654="","",_xlfn.XLOOKUP(F654,purchase!D:D,purchase!#REF!,""))</f>
        <v/>
      </c>
      <c r="I654" s="4" t="str">
        <f t="shared" si="72"/>
        <v/>
      </c>
      <c r="J654" s="4" t="str">
        <f t="shared" si="73"/>
        <v/>
      </c>
      <c r="K654" s="13" t="str">
        <f>_xlfn.SINGLE(IF(F654="","",_xlfn.XLOOKUP(F654,purchase!D:D,purchase!#REF!,"")))</f>
        <v/>
      </c>
      <c r="L654" s="2"/>
      <c r="M654" s="32"/>
      <c r="N654" s="13" t="str">
        <f>IF(F654="","",
MAX(0,
_xlfn.XLOOKUP(F654,purchase!D:D,purchase!#REF!,"")
-
SUMIFS(L:L,F:F,F654)))</f>
        <v/>
      </c>
      <c r="O654" s="13" t="str">
        <f t="shared" si="74"/>
        <v/>
      </c>
      <c r="P654" s="35" t="str">
        <f>_xlfn.SINGLE(IF(F654="","",_xlfn.XLOOKUP(F654,purchase!D:D,purchase!K:K,"")))</f>
        <v/>
      </c>
      <c r="Q654" s="29" t="str">
        <f t="shared" si="75"/>
        <v/>
      </c>
      <c r="R654" s="37" t="str">
        <f t="shared" si="76"/>
        <v/>
      </c>
    </row>
    <row r="655" spans="1:18" x14ac:dyDescent="0.35">
      <c r="A655" s="8">
        <v>651</v>
      </c>
      <c r="B655" s="9" t="str">
        <f t="shared" si="70"/>
        <v/>
      </c>
      <c r="C655" s="10"/>
      <c r="D655" s="9" t="str">
        <f>IF(F655="","",_xlfn.XLOOKUP(F655,purchase!D:D,purchase!#REF!,""))</f>
        <v/>
      </c>
      <c r="E655" s="9" t="str">
        <f>IF(F655="","",_xlfn.XLOOKUP(F655,purchase!D:D,purchase!B:B,""))</f>
        <v/>
      </c>
      <c r="F655" s="2"/>
      <c r="G655" s="4" t="str">
        <f t="shared" si="71"/>
        <v/>
      </c>
      <c r="H655" s="4" t="str">
        <f>IF(F655="","",_xlfn.XLOOKUP(F655,purchase!D:D,purchase!#REF!,""))</f>
        <v/>
      </c>
      <c r="I655" s="4" t="str">
        <f t="shared" si="72"/>
        <v/>
      </c>
      <c r="J655" s="4" t="str">
        <f t="shared" si="73"/>
        <v/>
      </c>
      <c r="K655" s="13" t="str">
        <f>_xlfn.SINGLE(IF(F655="","",_xlfn.XLOOKUP(F655,purchase!D:D,purchase!#REF!,"")))</f>
        <v/>
      </c>
      <c r="L655" s="2"/>
      <c r="M655" s="32"/>
      <c r="N655" s="13" t="str">
        <f>IF(F655="","",
MAX(0,
_xlfn.XLOOKUP(F655,purchase!D:D,purchase!#REF!,"")
-
SUMIFS(L:L,F:F,F655)))</f>
        <v/>
      </c>
      <c r="O655" s="13" t="str">
        <f t="shared" si="74"/>
        <v/>
      </c>
      <c r="P655" s="35" t="str">
        <f>_xlfn.SINGLE(IF(F655="","",_xlfn.XLOOKUP(F655,purchase!D:D,purchase!K:K,"")))</f>
        <v/>
      </c>
      <c r="Q655" s="29" t="str">
        <f t="shared" si="75"/>
        <v/>
      </c>
      <c r="R655" s="37" t="str">
        <f t="shared" si="76"/>
        <v/>
      </c>
    </row>
    <row r="656" spans="1:18" x14ac:dyDescent="0.35">
      <c r="A656" s="8">
        <v>652</v>
      </c>
      <c r="B656" s="9" t="str">
        <f t="shared" si="70"/>
        <v/>
      </c>
      <c r="C656" s="10"/>
      <c r="D656" s="9" t="str">
        <f>IF(F656="","",_xlfn.XLOOKUP(F656,purchase!D:D,purchase!#REF!,""))</f>
        <v/>
      </c>
      <c r="E656" s="9" t="str">
        <f>IF(F656="","",_xlfn.XLOOKUP(F656,purchase!D:D,purchase!B:B,""))</f>
        <v/>
      </c>
      <c r="F656" s="2"/>
      <c r="G656" s="4" t="str">
        <f t="shared" si="71"/>
        <v/>
      </c>
      <c r="H656" s="4" t="str">
        <f>IF(F656="","",_xlfn.XLOOKUP(F656,purchase!D:D,purchase!#REF!,""))</f>
        <v/>
      </c>
      <c r="I656" s="4" t="str">
        <f t="shared" si="72"/>
        <v/>
      </c>
      <c r="J656" s="4" t="str">
        <f t="shared" si="73"/>
        <v/>
      </c>
      <c r="K656" s="13" t="str">
        <f>_xlfn.SINGLE(IF(F656="","",_xlfn.XLOOKUP(F656,purchase!D:D,purchase!#REF!,"")))</f>
        <v/>
      </c>
      <c r="L656" s="2"/>
      <c r="M656" s="32"/>
      <c r="N656" s="13" t="str">
        <f>IF(F656="","",
MAX(0,
_xlfn.XLOOKUP(F656,purchase!D:D,purchase!#REF!,"")
-
SUMIFS(L:L,F:F,F656)))</f>
        <v/>
      </c>
      <c r="O656" s="13" t="str">
        <f t="shared" si="74"/>
        <v/>
      </c>
      <c r="P656" s="35" t="str">
        <f>_xlfn.SINGLE(IF(F656="","",_xlfn.XLOOKUP(F656,purchase!D:D,purchase!K:K,"")))</f>
        <v/>
      </c>
      <c r="Q656" s="29" t="str">
        <f t="shared" si="75"/>
        <v/>
      </c>
      <c r="R656" s="37" t="str">
        <f t="shared" si="76"/>
        <v/>
      </c>
    </row>
    <row r="657" spans="1:18" x14ac:dyDescent="0.35">
      <c r="A657" s="8">
        <v>653</v>
      </c>
      <c r="B657" s="9" t="str">
        <f t="shared" si="70"/>
        <v/>
      </c>
      <c r="C657" s="10"/>
      <c r="D657" s="9" t="str">
        <f>IF(F657="","",_xlfn.XLOOKUP(F657,purchase!D:D,purchase!#REF!,""))</f>
        <v/>
      </c>
      <c r="E657" s="9" t="str">
        <f>IF(F657="","",_xlfn.XLOOKUP(F657,purchase!D:D,purchase!B:B,""))</f>
        <v/>
      </c>
      <c r="F657" s="2"/>
      <c r="G657" s="4" t="str">
        <f t="shared" si="71"/>
        <v/>
      </c>
      <c r="H657" s="4" t="str">
        <f>IF(F657="","",_xlfn.XLOOKUP(F657,purchase!D:D,purchase!#REF!,""))</f>
        <v/>
      </c>
      <c r="I657" s="4" t="str">
        <f t="shared" si="72"/>
        <v/>
      </c>
      <c r="J657" s="4" t="str">
        <f t="shared" si="73"/>
        <v/>
      </c>
      <c r="K657" s="13" t="str">
        <f>_xlfn.SINGLE(IF(F657="","",_xlfn.XLOOKUP(F657,purchase!D:D,purchase!#REF!,"")))</f>
        <v/>
      </c>
      <c r="L657" s="2"/>
      <c r="M657" s="32"/>
      <c r="N657" s="13" t="str">
        <f>IF(F657="","",
MAX(0,
_xlfn.XLOOKUP(F657,purchase!D:D,purchase!#REF!,"")
-
SUMIFS(L:L,F:F,F657)))</f>
        <v/>
      </c>
      <c r="O657" s="13" t="str">
        <f t="shared" si="74"/>
        <v/>
      </c>
      <c r="P657" s="35" t="str">
        <f>_xlfn.SINGLE(IF(F657="","",_xlfn.XLOOKUP(F657,purchase!D:D,purchase!K:K,"")))</f>
        <v/>
      </c>
      <c r="Q657" s="29" t="str">
        <f t="shared" si="75"/>
        <v/>
      </c>
      <c r="R657" s="37" t="str">
        <f t="shared" si="76"/>
        <v/>
      </c>
    </row>
    <row r="658" spans="1:18" x14ac:dyDescent="0.35">
      <c r="A658" s="8">
        <v>654</v>
      </c>
      <c r="B658" s="9" t="str">
        <f t="shared" si="70"/>
        <v/>
      </c>
      <c r="C658" s="10"/>
      <c r="D658" s="9" t="str">
        <f>IF(F658="","",_xlfn.XLOOKUP(F658,purchase!D:D,purchase!#REF!,""))</f>
        <v/>
      </c>
      <c r="E658" s="9" t="str">
        <f>IF(F658="","",_xlfn.XLOOKUP(F658,purchase!D:D,purchase!B:B,""))</f>
        <v/>
      </c>
      <c r="F658" s="2"/>
      <c r="G658" s="4" t="str">
        <f t="shared" si="71"/>
        <v/>
      </c>
      <c r="H658" s="4" t="str">
        <f>IF(F658="","",_xlfn.XLOOKUP(F658,purchase!D:D,purchase!#REF!,""))</f>
        <v/>
      </c>
      <c r="I658" s="4" t="str">
        <f t="shared" si="72"/>
        <v/>
      </c>
      <c r="J658" s="4" t="str">
        <f t="shared" si="73"/>
        <v/>
      </c>
      <c r="K658" s="13" t="str">
        <f>_xlfn.SINGLE(IF(F658="","",_xlfn.XLOOKUP(F658,purchase!D:D,purchase!#REF!,"")))</f>
        <v/>
      </c>
      <c r="L658" s="2"/>
      <c r="M658" s="32"/>
      <c r="N658" s="13" t="str">
        <f>IF(F658="","",
MAX(0,
_xlfn.XLOOKUP(F658,purchase!D:D,purchase!#REF!,"")
-
SUMIFS(L:L,F:F,F658)))</f>
        <v/>
      </c>
      <c r="O658" s="13" t="str">
        <f t="shared" si="74"/>
        <v/>
      </c>
      <c r="P658" s="35" t="str">
        <f>_xlfn.SINGLE(IF(F658="","",_xlfn.XLOOKUP(F658,purchase!D:D,purchase!K:K,"")))</f>
        <v/>
      </c>
      <c r="Q658" s="29" t="str">
        <f t="shared" si="75"/>
        <v/>
      </c>
      <c r="R658" s="37" t="str">
        <f t="shared" si="76"/>
        <v/>
      </c>
    </row>
    <row r="659" spans="1:18" x14ac:dyDescent="0.35">
      <c r="A659" s="8">
        <v>655</v>
      </c>
      <c r="B659" s="9" t="str">
        <f t="shared" si="70"/>
        <v/>
      </c>
      <c r="C659" s="10"/>
      <c r="D659" s="9" t="str">
        <f>IF(F659="","",_xlfn.XLOOKUP(F659,purchase!D:D,purchase!#REF!,""))</f>
        <v/>
      </c>
      <c r="E659" s="9" t="str">
        <f>IF(F659="","",_xlfn.XLOOKUP(F659,purchase!D:D,purchase!B:B,""))</f>
        <v/>
      </c>
      <c r="F659" s="2"/>
      <c r="G659" s="4" t="str">
        <f t="shared" si="71"/>
        <v/>
      </c>
      <c r="H659" s="4" t="str">
        <f>IF(F659="","",_xlfn.XLOOKUP(F659,purchase!D:D,purchase!#REF!,""))</f>
        <v/>
      </c>
      <c r="I659" s="4" t="str">
        <f t="shared" si="72"/>
        <v/>
      </c>
      <c r="J659" s="4" t="str">
        <f t="shared" si="73"/>
        <v/>
      </c>
      <c r="K659" s="13" t="str">
        <f>_xlfn.SINGLE(IF(F659="","",_xlfn.XLOOKUP(F659,purchase!D:D,purchase!#REF!,"")))</f>
        <v/>
      </c>
      <c r="L659" s="2"/>
      <c r="M659" s="32"/>
      <c r="N659" s="13" t="str">
        <f>IF(F659="","",
MAX(0,
_xlfn.XLOOKUP(F659,purchase!D:D,purchase!#REF!,"")
-
SUMIFS(L:L,F:F,F659)))</f>
        <v/>
      </c>
      <c r="O659" s="13" t="str">
        <f t="shared" si="74"/>
        <v/>
      </c>
      <c r="P659" s="35" t="str">
        <f>_xlfn.SINGLE(IF(F659="","",_xlfn.XLOOKUP(F659,purchase!D:D,purchase!K:K,"")))</f>
        <v/>
      </c>
      <c r="Q659" s="29" t="str">
        <f t="shared" si="75"/>
        <v/>
      </c>
      <c r="R659" s="37" t="str">
        <f t="shared" si="76"/>
        <v/>
      </c>
    </row>
    <row r="660" spans="1:18" x14ac:dyDescent="0.35">
      <c r="A660" s="8">
        <v>656</v>
      </c>
      <c r="B660" s="9" t="str">
        <f t="shared" si="70"/>
        <v/>
      </c>
      <c r="C660" s="10"/>
      <c r="D660" s="9" t="str">
        <f>IF(F660="","",_xlfn.XLOOKUP(F660,purchase!D:D,purchase!#REF!,""))</f>
        <v/>
      </c>
      <c r="E660" s="9" t="str">
        <f>IF(F660="","",_xlfn.XLOOKUP(F660,purchase!D:D,purchase!B:B,""))</f>
        <v/>
      </c>
      <c r="F660" s="2"/>
      <c r="G660" s="4" t="str">
        <f t="shared" si="71"/>
        <v/>
      </c>
      <c r="H660" s="4" t="str">
        <f>IF(F660="","",_xlfn.XLOOKUP(F660,purchase!D:D,purchase!#REF!,""))</f>
        <v/>
      </c>
      <c r="I660" s="4" t="str">
        <f t="shared" si="72"/>
        <v/>
      </c>
      <c r="J660" s="4" t="str">
        <f t="shared" si="73"/>
        <v/>
      </c>
      <c r="K660" s="13" t="str">
        <f>_xlfn.SINGLE(IF(F660="","",_xlfn.XLOOKUP(F660,purchase!D:D,purchase!#REF!,"")))</f>
        <v/>
      </c>
      <c r="L660" s="2"/>
      <c r="M660" s="32"/>
      <c r="N660" s="13" t="str">
        <f>IF(F660="","",
MAX(0,
_xlfn.XLOOKUP(F660,purchase!D:D,purchase!#REF!,"")
-
SUMIFS(L:L,F:F,F660)))</f>
        <v/>
      </c>
      <c r="O660" s="13" t="str">
        <f t="shared" si="74"/>
        <v/>
      </c>
      <c r="P660" s="35" t="str">
        <f>_xlfn.SINGLE(IF(F660="","",_xlfn.XLOOKUP(F660,purchase!D:D,purchase!K:K,"")))</f>
        <v/>
      </c>
      <c r="Q660" s="29" t="str">
        <f t="shared" si="75"/>
        <v/>
      </c>
      <c r="R660" s="37" t="str">
        <f t="shared" si="76"/>
        <v/>
      </c>
    </row>
    <row r="661" spans="1:18" x14ac:dyDescent="0.35">
      <c r="A661" s="8">
        <v>657</v>
      </c>
      <c r="B661" s="9" t="str">
        <f t="shared" si="70"/>
        <v/>
      </c>
      <c r="C661" s="10"/>
      <c r="D661" s="9" t="str">
        <f>IF(F661="","",_xlfn.XLOOKUP(F661,purchase!D:D,purchase!#REF!,""))</f>
        <v/>
      </c>
      <c r="E661" s="9" t="str">
        <f>IF(F661="","",_xlfn.XLOOKUP(F661,purchase!D:D,purchase!B:B,""))</f>
        <v/>
      </c>
      <c r="F661" s="2"/>
      <c r="G661" s="4" t="str">
        <f t="shared" si="71"/>
        <v/>
      </c>
      <c r="H661" s="4" t="str">
        <f>IF(F661="","",_xlfn.XLOOKUP(F661,purchase!D:D,purchase!#REF!,""))</f>
        <v/>
      </c>
      <c r="I661" s="4" t="str">
        <f t="shared" si="72"/>
        <v/>
      </c>
      <c r="J661" s="4" t="str">
        <f t="shared" si="73"/>
        <v/>
      </c>
      <c r="K661" s="13" t="str">
        <f>_xlfn.SINGLE(IF(F661="","",_xlfn.XLOOKUP(F661,purchase!D:D,purchase!#REF!,"")))</f>
        <v/>
      </c>
      <c r="L661" s="2"/>
      <c r="M661" s="32"/>
      <c r="N661" s="13" t="str">
        <f>IF(F661="","",
MAX(0,
_xlfn.XLOOKUP(F661,purchase!D:D,purchase!#REF!,"")
-
SUMIFS(L:L,F:F,F661)))</f>
        <v/>
      </c>
      <c r="O661" s="13" t="str">
        <f t="shared" si="74"/>
        <v/>
      </c>
      <c r="P661" s="35" t="str">
        <f>_xlfn.SINGLE(IF(F661="","",_xlfn.XLOOKUP(F661,purchase!D:D,purchase!K:K,"")))</f>
        <v/>
      </c>
      <c r="Q661" s="29" t="str">
        <f t="shared" si="75"/>
        <v/>
      </c>
      <c r="R661" s="37" t="str">
        <f t="shared" si="76"/>
        <v/>
      </c>
    </row>
    <row r="662" spans="1:18" x14ac:dyDescent="0.35">
      <c r="A662" s="8">
        <v>658</v>
      </c>
      <c r="B662" s="9" t="str">
        <f t="shared" si="70"/>
        <v/>
      </c>
      <c r="C662" s="10"/>
      <c r="D662" s="9" t="str">
        <f>IF(F662="","",_xlfn.XLOOKUP(F662,purchase!D:D,purchase!#REF!,""))</f>
        <v/>
      </c>
      <c r="E662" s="9" t="str">
        <f>IF(F662="","",_xlfn.XLOOKUP(F662,purchase!D:D,purchase!B:B,""))</f>
        <v/>
      </c>
      <c r="F662" s="2"/>
      <c r="G662" s="4" t="str">
        <f t="shared" si="71"/>
        <v/>
      </c>
      <c r="H662" s="4" t="str">
        <f>IF(F662="","",_xlfn.XLOOKUP(F662,purchase!D:D,purchase!#REF!,""))</f>
        <v/>
      </c>
      <c r="I662" s="4" t="str">
        <f t="shared" si="72"/>
        <v/>
      </c>
      <c r="J662" s="4" t="str">
        <f t="shared" si="73"/>
        <v/>
      </c>
      <c r="K662" s="13" t="str">
        <f>_xlfn.SINGLE(IF(F662="","",_xlfn.XLOOKUP(F662,purchase!D:D,purchase!#REF!,"")))</f>
        <v/>
      </c>
      <c r="L662" s="2"/>
      <c r="M662" s="32"/>
      <c r="N662" s="13" t="str">
        <f>IF(F662="","",
MAX(0,
_xlfn.XLOOKUP(F662,purchase!D:D,purchase!#REF!,"")
-
SUMIFS(L:L,F:F,F662)))</f>
        <v/>
      </c>
      <c r="O662" s="13" t="str">
        <f t="shared" si="74"/>
        <v/>
      </c>
      <c r="P662" s="35" t="str">
        <f>_xlfn.SINGLE(IF(F662="","",_xlfn.XLOOKUP(F662,purchase!D:D,purchase!K:K,"")))</f>
        <v/>
      </c>
      <c r="Q662" s="29" t="str">
        <f t="shared" si="75"/>
        <v/>
      </c>
      <c r="R662" s="37" t="str">
        <f t="shared" si="76"/>
        <v/>
      </c>
    </row>
    <row r="663" spans="1:18" x14ac:dyDescent="0.35">
      <c r="A663" s="8">
        <v>659</v>
      </c>
      <c r="B663" s="9" t="str">
        <f t="shared" si="70"/>
        <v/>
      </c>
      <c r="C663" s="10"/>
      <c r="D663" s="9" t="str">
        <f>IF(F663="","",_xlfn.XLOOKUP(F663,purchase!D:D,purchase!#REF!,""))</f>
        <v/>
      </c>
      <c r="E663" s="9" t="str">
        <f>IF(F663="","",_xlfn.XLOOKUP(F663,purchase!D:D,purchase!B:B,""))</f>
        <v/>
      </c>
      <c r="F663" s="2"/>
      <c r="G663" s="4" t="str">
        <f t="shared" si="71"/>
        <v/>
      </c>
      <c r="H663" s="4" t="str">
        <f>IF(F663="","",_xlfn.XLOOKUP(F663,purchase!D:D,purchase!#REF!,""))</f>
        <v/>
      </c>
      <c r="I663" s="4" t="str">
        <f t="shared" si="72"/>
        <v/>
      </c>
      <c r="J663" s="4" t="str">
        <f t="shared" si="73"/>
        <v/>
      </c>
      <c r="K663" s="13" t="str">
        <f>_xlfn.SINGLE(IF(F663="","",_xlfn.XLOOKUP(F663,purchase!D:D,purchase!#REF!,"")))</f>
        <v/>
      </c>
      <c r="L663" s="2"/>
      <c r="M663" s="32"/>
      <c r="N663" s="13" t="str">
        <f>IF(F663="","",
MAX(0,
_xlfn.XLOOKUP(F663,purchase!D:D,purchase!#REF!,"")
-
SUMIFS(L:L,F:F,F663)))</f>
        <v/>
      </c>
      <c r="O663" s="13" t="str">
        <f t="shared" si="74"/>
        <v/>
      </c>
      <c r="P663" s="35" t="str">
        <f>_xlfn.SINGLE(IF(F663="","",_xlfn.XLOOKUP(F663,purchase!D:D,purchase!K:K,"")))</f>
        <v/>
      </c>
      <c r="Q663" s="29" t="str">
        <f t="shared" si="75"/>
        <v/>
      </c>
      <c r="R663" s="37" t="str">
        <f t="shared" si="76"/>
        <v/>
      </c>
    </row>
    <row r="664" spans="1:18" x14ac:dyDescent="0.35">
      <c r="A664" s="8">
        <v>660</v>
      </c>
      <c r="B664" s="9" t="str">
        <f t="shared" si="70"/>
        <v/>
      </c>
      <c r="C664" s="10"/>
      <c r="D664" s="9" t="str">
        <f>IF(F664="","",_xlfn.XLOOKUP(F664,purchase!D:D,purchase!#REF!,""))</f>
        <v/>
      </c>
      <c r="E664" s="9" t="str">
        <f>IF(F664="","",_xlfn.XLOOKUP(F664,purchase!D:D,purchase!B:B,""))</f>
        <v/>
      </c>
      <c r="F664" s="2"/>
      <c r="G664" s="4" t="str">
        <f t="shared" si="71"/>
        <v/>
      </c>
      <c r="H664" s="4" t="str">
        <f>IF(F664="","",_xlfn.XLOOKUP(F664,purchase!D:D,purchase!#REF!,""))</f>
        <v/>
      </c>
      <c r="I664" s="4" t="str">
        <f t="shared" si="72"/>
        <v/>
      </c>
      <c r="J664" s="4" t="str">
        <f t="shared" si="73"/>
        <v/>
      </c>
      <c r="K664" s="13" t="str">
        <f>_xlfn.SINGLE(IF(F664="","",_xlfn.XLOOKUP(F664,purchase!D:D,purchase!#REF!,"")))</f>
        <v/>
      </c>
      <c r="L664" s="2"/>
      <c r="M664" s="32"/>
      <c r="N664" s="13" t="str">
        <f>IF(F664="","",
MAX(0,
_xlfn.XLOOKUP(F664,purchase!D:D,purchase!#REF!,"")
-
SUMIFS(L:L,F:F,F664)))</f>
        <v/>
      </c>
      <c r="O664" s="13" t="str">
        <f t="shared" si="74"/>
        <v/>
      </c>
      <c r="P664" s="35" t="str">
        <f>_xlfn.SINGLE(IF(F664="","",_xlfn.XLOOKUP(F664,purchase!D:D,purchase!K:K,"")))</f>
        <v/>
      </c>
      <c r="Q664" s="29" t="str">
        <f t="shared" si="75"/>
        <v/>
      </c>
      <c r="R664" s="37" t="str">
        <f t="shared" si="76"/>
        <v/>
      </c>
    </row>
    <row r="665" spans="1:18" x14ac:dyDescent="0.35">
      <c r="A665" s="8">
        <v>661</v>
      </c>
      <c r="B665" s="9" t="str">
        <f t="shared" si="70"/>
        <v/>
      </c>
      <c r="C665" s="10"/>
      <c r="D665" s="9" t="str">
        <f>IF(F665="","",_xlfn.XLOOKUP(F665,purchase!D:D,purchase!#REF!,""))</f>
        <v/>
      </c>
      <c r="E665" s="9" t="str">
        <f>IF(F665="","",_xlfn.XLOOKUP(F665,purchase!D:D,purchase!B:B,""))</f>
        <v/>
      </c>
      <c r="F665" s="2"/>
      <c r="G665" s="4" t="str">
        <f t="shared" si="71"/>
        <v/>
      </c>
      <c r="H665" s="4" t="str">
        <f>IF(F665="","",_xlfn.XLOOKUP(F665,purchase!D:D,purchase!#REF!,""))</f>
        <v/>
      </c>
      <c r="I665" s="4" t="str">
        <f t="shared" si="72"/>
        <v/>
      </c>
      <c r="J665" s="4" t="str">
        <f t="shared" si="73"/>
        <v/>
      </c>
      <c r="K665" s="13" t="str">
        <f>_xlfn.SINGLE(IF(F665="","",_xlfn.XLOOKUP(F665,purchase!D:D,purchase!#REF!,"")))</f>
        <v/>
      </c>
      <c r="L665" s="2"/>
      <c r="M665" s="32"/>
      <c r="N665" s="13" t="str">
        <f>IF(F665="","",
MAX(0,
_xlfn.XLOOKUP(F665,purchase!D:D,purchase!#REF!,"")
-
SUMIFS(L:L,F:F,F665)))</f>
        <v/>
      </c>
      <c r="O665" s="13" t="str">
        <f t="shared" si="74"/>
        <v/>
      </c>
      <c r="P665" s="35" t="str">
        <f>_xlfn.SINGLE(IF(F665="","",_xlfn.XLOOKUP(F665,purchase!D:D,purchase!K:K,"")))</f>
        <v/>
      </c>
      <c r="Q665" s="29" t="str">
        <f t="shared" si="75"/>
        <v/>
      </c>
      <c r="R665" s="37" t="str">
        <f t="shared" si="76"/>
        <v/>
      </c>
    </row>
    <row r="666" spans="1:18" x14ac:dyDescent="0.35">
      <c r="A666" s="8">
        <v>662</v>
      </c>
      <c r="B666" s="9" t="str">
        <f t="shared" si="70"/>
        <v/>
      </c>
      <c r="C666" s="10"/>
      <c r="D666" s="9" t="str">
        <f>IF(F666="","",_xlfn.XLOOKUP(F666,purchase!D:D,purchase!#REF!,""))</f>
        <v/>
      </c>
      <c r="E666" s="9" t="str">
        <f>IF(F666="","",_xlfn.XLOOKUP(F666,purchase!D:D,purchase!B:B,""))</f>
        <v/>
      </c>
      <c r="F666" s="2"/>
      <c r="G666" s="4" t="str">
        <f t="shared" si="71"/>
        <v/>
      </c>
      <c r="H666" s="4" t="str">
        <f>IF(F666="","",_xlfn.XLOOKUP(F666,purchase!D:D,purchase!#REF!,""))</f>
        <v/>
      </c>
      <c r="I666" s="4" t="str">
        <f t="shared" si="72"/>
        <v/>
      </c>
      <c r="J666" s="4" t="str">
        <f t="shared" si="73"/>
        <v/>
      </c>
      <c r="K666" s="13" t="str">
        <f>_xlfn.SINGLE(IF(F666="","",_xlfn.XLOOKUP(F666,purchase!D:D,purchase!#REF!,"")))</f>
        <v/>
      </c>
      <c r="L666" s="2"/>
      <c r="M666" s="32"/>
      <c r="N666" s="13" t="str">
        <f>IF(F666="","",
MAX(0,
_xlfn.XLOOKUP(F666,purchase!D:D,purchase!#REF!,"")
-
SUMIFS(L:L,F:F,F666)))</f>
        <v/>
      </c>
      <c r="O666" s="13" t="str">
        <f t="shared" si="74"/>
        <v/>
      </c>
      <c r="P666" s="35" t="str">
        <f>_xlfn.SINGLE(IF(F666="","",_xlfn.XLOOKUP(F666,purchase!D:D,purchase!K:K,"")))</f>
        <v/>
      </c>
      <c r="Q666" s="29" t="str">
        <f t="shared" si="75"/>
        <v/>
      </c>
      <c r="R666" s="37" t="str">
        <f t="shared" si="76"/>
        <v/>
      </c>
    </row>
    <row r="667" spans="1:18" x14ac:dyDescent="0.35">
      <c r="A667" s="8">
        <v>663</v>
      </c>
      <c r="B667" s="9" t="str">
        <f t="shared" si="70"/>
        <v/>
      </c>
      <c r="C667" s="10"/>
      <c r="D667" s="9" t="str">
        <f>IF(F667="","",_xlfn.XLOOKUP(F667,purchase!D:D,purchase!#REF!,""))</f>
        <v/>
      </c>
      <c r="E667" s="9" t="str">
        <f>IF(F667="","",_xlfn.XLOOKUP(F667,purchase!D:D,purchase!B:B,""))</f>
        <v/>
      </c>
      <c r="F667" s="2"/>
      <c r="G667" s="4" t="str">
        <f t="shared" si="71"/>
        <v/>
      </c>
      <c r="H667" s="4" t="str">
        <f>IF(F667="","",_xlfn.XLOOKUP(F667,purchase!D:D,purchase!#REF!,""))</f>
        <v/>
      </c>
      <c r="I667" s="4" t="str">
        <f t="shared" si="72"/>
        <v/>
      </c>
      <c r="J667" s="4" t="str">
        <f t="shared" si="73"/>
        <v/>
      </c>
      <c r="K667" s="13" t="str">
        <f>_xlfn.SINGLE(IF(F667="","",_xlfn.XLOOKUP(F667,purchase!D:D,purchase!#REF!,"")))</f>
        <v/>
      </c>
      <c r="L667" s="2"/>
      <c r="M667" s="32"/>
      <c r="N667" s="13" t="str">
        <f>IF(F667="","",
MAX(0,
_xlfn.XLOOKUP(F667,purchase!D:D,purchase!#REF!,"")
-
SUMIFS(L:L,F:F,F667)))</f>
        <v/>
      </c>
      <c r="O667" s="13" t="str">
        <f t="shared" si="74"/>
        <v/>
      </c>
      <c r="P667" s="35" t="str">
        <f>_xlfn.SINGLE(IF(F667="","",_xlfn.XLOOKUP(F667,purchase!D:D,purchase!K:K,"")))</f>
        <v/>
      </c>
      <c r="Q667" s="29" t="str">
        <f t="shared" si="75"/>
        <v/>
      </c>
      <c r="R667" s="37" t="str">
        <f t="shared" si="76"/>
        <v/>
      </c>
    </row>
    <row r="668" spans="1:18" x14ac:dyDescent="0.35">
      <c r="A668" s="8">
        <v>664</v>
      </c>
      <c r="B668" s="9" t="str">
        <f t="shared" si="70"/>
        <v/>
      </c>
      <c r="C668" s="10"/>
      <c r="D668" s="9" t="str">
        <f>IF(F668="","",_xlfn.XLOOKUP(F668,purchase!D:D,purchase!#REF!,""))</f>
        <v/>
      </c>
      <c r="E668" s="9" t="str">
        <f>IF(F668="","",_xlfn.XLOOKUP(F668,purchase!D:D,purchase!B:B,""))</f>
        <v/>
      </c>
      <c r="F668" s="2"/>
      <c r="G668" s="4" t="str">
        <f t="shared" si="71"/>
        <v/>
      </c>
      <c r="H668" s="4" t="str">
        <f>IF(F668="","",_xlfn.XLOOKUP(F668,purchase!D:D,purchase!#REF!,""))</f>
        <v/>
      </c>
      <c r="I668" s="4" t="str">
        <f t="shared" si="72"/>
        <v/>
      </c>
      <c r="J668" s="4" t="str">
        <f t="shared" si="73"/>
        <v/>
      </c>
      <c r="K668" s="13" t="str">
        <f>_xlfn.SINGLE(IF(F668="","",_xlfn.XLOOKUP(F668,purchase!D:D,purchase!#REF!,"")))</f>
        <v/>
      </c>
      <c r="L668" s="2"/>
      <c r="M668" s="32"/>
      <c r="N668" s="13" t="str">
        <f>IF(F668="","",
MAX(0,
_xlfn.XLOOKUP(F668,purchase!D:D,purchase!#REF!,"")
-
SUMIFS(L:L,F:F,F668)))</f>
        <v/>
      </c>
      <c r="O668" s="13" t="str">
        <f t="shared" si="74"/>
        <v/>
      </c>
      <c r="P668" s="35" t="str">
        <f>_xlfn.SINGLE(IF(F668="","",_xlfn.XLOOKUP(F668,purchase!D:D,purchase!K:K,"")))</f>
        <v/>
      </c>
      <c r="Q668" s="29" t="str">
        <f t="shared" si="75"/>
        <v/>
      </c>
      <c r="R668" s="37" t="str">
        <f t="shared" si="76"/>
        <v/>
      </c>
    </row>
    <row r="669" spans="1:18" x14ac:dyDescent="0.35">
      <c r="A669" s="8">
        <v>665</v>
      </c>
      <c r="B669" s="9" t="str">
        <f t="shared" si="70"/>
        <v/>
      </c>
      <c r="C669" s="10"/>
      <c r="D669" s="9" t="str">
        <f>IF(F669="","",_xlfn.XLOOKUP(F669,purchase!D:D,purchase!#REF!,""))</f>
        <v/>
      </c>
      <c r="E669" s="9" t="str">
        <f>IF(F669="","",_xlfn.XLOOKUP(F669,purchase!D:D,purchase!B:B,""))</f>
        <v/>
      </c>
      <c r="F669" s="2"/>
      <c r="G669" s="4" t="str">
        <f t="shared" si="71"/>
        <v/>
      </c>
      <c r="H669" s="4" t="str">
        <f>IF(F669="","",_xlfn.XLOOKUP(F669,purchase!D:D,purchase!#REF!,""))</f>
        <v/>
      </c>
      <c r="I669" s="4" t="str">
        <f t="shared" si="72"/>
        <v/>
      </c>
      <c r="J669" s="4" t="str">
        <f t="shared" si="73"/>
        <v/>
      </c>
      <c r="K669" s="13" t="str">
        <f>_xlfn.SINGLE(IF(F669="","",_xlfn.XLOOKUP(F669,purchase!D:D,purchase!#REF!,"")))</f>
        <v/>
      </c>
      <c r="L669" s="2"/>
      <c r="M669" s="32"/>
      <c r="N669" s="13" t="str">
        <f>IF(F669="","",
MAX(0,
_xlfn.XLOOKUP(F669,purchase!D:D,purchase!#REF!,"")
-
SUMIFS(L:L,F:F,F669)))</f>
        <v/>
      </c>
      <c r="O669" s="13" t="str">
        <f t="shared" si="74"/>
        <v/>
      </c>
      <c r="P669" s="35" t="str">
        <f>_xlfn.SINGLE(IF(F669="","",_xlfn.XLOOKUP(F669,purchase!D:D,purchase!K:K,"")))</f>
        <v/>
      </c>
      <c r="Q669" s="29" t="str">
        <f t="shared" si="75"/>
        <v/>
      </c>
      <c r="R669" s="37" t="str">
        <f t="shared" si="76"/>
        <v/>
      </c>
    </row>
    <row r="670" spans="1:18" x14ac:dyDescent="0.35">
      <c r="A670" s="8">
        <v>666</v>
      </c>
      <c r="B670" s="9" t="str">
        <f t="shared" si="70"/>
        <v/>
      </c>
      <c r="C670" s="10"/>
      <c r="D670" s="9" t="str">
        <f>IF(F670="","",_xlfn.XLOOKUP(F670,purchase!D:D,purchase!#REF!,""))</f>
        <v/>
      </c>
      <c r="E670" s="9" t="str">
        <f>IF(F670="","",_xlfn.XLOOKUP(F670,purchase!D:D,purchase!B:B,""))</f>
        <v/>
      </c>
      <c r="F670" s="2"/>
      <c r="G670" s="4" t="str">
        <f t="shared" si="71"/>
        <v/>
      </c>
      <c r="H670" s="4" t="str">
        <f>IF(F670="","",_xlfn.XLOOKUP(F670,purchase!D:D,purchase!#REF!,""))</f>
        <v/>
      </c>
      <c r="I670" s="4" t="str">
        <f t="shared" si="72"/>
        <v/>
      </c>
      <c r="J670" s="4" t="str">
        <f t="shared" si="73"/>
        <v/>
      </c>
      <c r="K670" s="13" t="str">
        <f>_xlfn.SINGLE(IF(F670="","",_xlfn.XLOOKUP(F670,purchase!D:D,purchase!#REF!,"")))</f>
        <v/>
      </c>
      <c r="L670" s="2"/>
      <c r="M670" s="32"/>
      <c r="N670" s="13" t="str">
        <f>IF(F670="","",
MAX(0,
_xlfn.XLOOKUP(F670,purchase!D:D,purchase!#REF!,"")
-
SUMIFS(L:L,F:F,F670)))</f>
        <v/>
      </c>
      <c r="O670" s="13" t="str">
        <f t="shared" si="74"/>
        <v/>
      </c>
      <c r="P670" s="35" t="str">
        <f>_xlfn.SINGLE(IF(F670="","",_xlfn.XLOOKUP(F670,purchase!D:D,purchase!K:K,"")))</f>
        <v/>
      </c>
      <c r="Q670" s="29" t="str">
        <f t="shared" si="75"/>
        <v/>
      </c>
      <c r="R670" s="37" t="str">
        <f t="shared" si="76"/>
        <v/>
      </c>
    </row>
    <row r="671" spans="1:18" x14ac:dyDescent="0.35">
      <c r="A671" s="8">
        <v>667</v>
      </c>
      <c r="B671" s="9" t="str">
        <f t="shared" si="70"/>
        <v/>
      </c>
      <c r="C671" s="10"/>
      <c r="D671" s="9" t="str">
        <f>IF(F671="","",_xlfn.XLOOKUP(F671,purchase!D:D,purchase!#REF!,""))</f>
        <v/>
      </c>
      <c r="E671" s="9" t="str">
        <f>IF(F671="","",_xlfn.XLOOKUP(F671,purchase!D:D,purchase!B:B,""))</f>
        <v/>
      </c>
      <c r="F671" s="2"/>
      <c r="G671" s="4" t="str">
        <f t="shared" si="71"/>
        <v/>
      </c>
      <c r="H671" s="4" t="str">
        <f>IF(F671="","",_xlfn.XLOOKUP(F671,purchase!D:D,purchase!#REF!,""))</f>
        <v/>
      </c>
      <c r="I671" s="4" t="str">
        <f t="shared" si="72"/>
        <v/>
      </c>
      <c r="J671" s="4" t="str">
        <f t="shared" si="73"/>
        <v/>
      </c>
      <c r="K671" s="13" t="str">
        <f>_xlfn.SINGLE(IF(F671="","",_xlfn.XLOOKUP(F671,purchase!D:D,purchase!#REF!,"")))</f>
        <v/>
      </c>
      <c r="L671" s="2"/>
      <c r="M671" s="32"/>
      <c r="N671" s="13" t="str">
        <f>IF(F671="","",
MAX(0,
_xlfn.XLOOKUP(F671,purchase!D:D,purchase!#REF!,"")
-
SUMIFS(L:L,F:F,F671)))</f>
        <v/>
      </c>
      <c r="O671" s="13" t="str">
        <f t="shared" si="74"/>
        <v/>
      </c>
      <c r="P671" s="35" t="str">
        <f>_xlfn.SINGLE(IF(F671="","",_xlfn.XLOOKUP(F671,purchase!D:D,purchase!K:K,"")))</f>
        <v/>
      </c>
      <c r="Q671" s="29" t="str">
        <f t="shared" si="75"/>
        <v/>
      </c>
      <c r="R671" s="37" t="str">
        <f t="shared" si="76"/>
        <v/>
      </c>
    </row>
    <row r="672" spans="1:18" x14ac:dyDescent="0.35">
      <c r="A672" s="8">
        <v>668</v>
      </c>
      <c r="B672" s="9" t="str">
        <f t="shared" si="70"/>
        <v/>
      </c>
      <c r="C672" s="10"/>
      <c r="D672" s="9" t="str">
        <f>IF(F672="","",_xlfn.XLOOKUP(F672,purchase!D:D,purchase!#REF!,""))</f>
        <v/>
      </c>
      <c r="E672" s="9" t="str">
        <f>IF(F672="","",_xlfn.XLOOKUP(F672,purchase!D:D,purchase!B:B,""))</f>
        <v/>
      </c>
      <c r="F672" s="2"/>
      <c r="G672" s="4" t="str">
        <f t="shared" si="71"/>
        <v/>
      </c>
      <c r="H672" s="4" t="str">
        <f>IF(F672="","",_xlfn.XLOOKUP(F672,purchase!D:D,purchase!#REF!,""))</f>
        <v/>
      </c>
      <c r="I672" s="4" t="str">
        <f t="shared" si="72"/>
        <v/>
      </c>
      <c r="J672" s="4" t="str">
        <f t="shared" si="73"/>
        <v/>
      </c>
      <c r="K672" s="13" t="str">
        <f>_xlfn.SINGLE(IF(F672="","",_xlfn.XLOOKUP(F672,purchase!D:D,purchase!#REF!,"")))</f>
        <v/>
      </c>
      <c r="L672" s="2"/>
      <c r="M672" s="32"/>
      <c r="N672" s="13" t="str">
        <f>IF(F672="","",
MAX(0,
_xlfn.XLOOKUP(F672,purchase!D:D,purchase!#REF!,"")
-
SUMIFS(L:L,F:F,F672)))</f>
        <v/>
      </c>
      <c r="O672" s="13" t="str">
        <f t="shared" si="74"/>
        <v/>
      </c>
      <c r="P672" s="35" t="str">
        <f>_xlfn.SINGLE(IF(F672="","",_xlfn.XLOOKUP(F672,purchase!D:D,purchase!K:K,"")))</f>
        <v/>
      </c>
      <c r="Q672" s="29" t="str">
        <f t="shared" si="75"/>
        <v/>
      </c>
      <c r="R672" s="37" t="str">
        <f t="shared" si="76"/>
        <v/>
      </c>
    </row>
    <row r="673" spans="1:18" x14ac:dyDescent="0.35">
      <c r="A673" s="8">
        <v>669</v>
      </c>
      <c r="B673" s="9" t="str">
        <f t="shared" si="70"/>
        <v/>
      </c>
      <c r="C673" s="10"/>
      <c r="D673" s="9" t="str">
        <f>IF(F673="","",_xlfn.XLOOKUP(F673,purchase!D:D,purchase!#REF!,""))</f>
        <v/>
      </c>
      <c r="E673" s="9" t="str">
        <f>IF(F673="","",_xlfn.XLOOKUP(F673,purchase!D:D,purchase!B:B,""))</f>
        <v/>
      </c>
      <c r="F673" s="2"/>
      <c r="G673" s="4" t="str">
        <f t="shared" si="71"/>
        <v/>
      </c>
      <c r="H673" s="4" t="str">
        <f>IF(F673="","",_xlfn.XLOOKUP(F673,purchase!D:D,purchase!#REF!,""))</f>
        <v/>
      </c>
      <c r="I673" s="4" t="str">
        <f t="shared" si="72"/>
        <v/>
      </c>
      <c r="J673" s="4" t="str">
        <f t="shared" si="73"/>
        <v/>
      </c>
      <c r="K673" s="13" t="str">
        <f>_xlfn.SINGLE(IF(F673="","",_xlfn.XLOOKUP(F673,purchase!D:D,purchase!#REF!,"")))</f>
        <v/>
      </c>
      <c r="L673" s="2"/>
      <c r="M673" s="32"/>
      <c r="N673" s="13" t="str">
        <f>IF(F673="","",
MAX(0,
_xlfn.XLOOKUP(F673,purchase!D:D,purchase!#REF!,"")
-
SUMIFS(L:L,F:F,F673)))</f>
        <v/>
      </c>
      <c r="O673" s="13" t="str">
        <f t="shared" si="74"/>
        <v/>
      </c>
      <c r="P673" s="35" t="str">
        <f>_xlfn.SINGLE(IF(F673="","",_xlfn.XLOOKUP(F673,purchase!D:D,purchase!K:K,"")))</f>
        <v/>
      </c>
      <c r="Q673" s="29" t="str">
        <f t="shared" si="75"/>
        <v/>
      </c>
      <c r="R673" s="37" t="str">
        <f t="shared" si="76"/>
        <v/>
      </c>
    </row>
    <row r="674" spans="1:18" x14ac:dyDescent="0.35">
      <c r="A674" s="8">
        <v>670</v>
      </c>
      <c r="B674" s="9" t="str">
        <f t="shared" si="70"/>
        <v/>
      </c>
      <c r="C674" s="10"/>
      <c r="D674" s="9" t="str">
        <f>IF(F674="","",_xlfn.XLOOKUP(F674,purchase!D:D,purchase!#REF!,""))</f>
        <v/>
      </c>
      <c r="E674" s="9" t="str">
        <f>IF(F674="","",_xlfn.XLOOKUP(F674,purchase!D:D,purchase!B:B,""))</f>
        <v/>
      </c>
      <c r="F674" s="2"/>
      <c r="G674" s="4" t="str">
        <f t="shared" si="71"/>
        <v/>
      </c>
      <c r="H674" s="4" t="str">
        <f>IF(F674="","",_xlfn.XLOOKUP(F674,purchase!D:D,purchase!#REF!,""))</f>
        <v/>
      </c>
      <c r="I674" s="4" t="str">
        <f t="shared" si="72"/>
        <v/>
      </c>
      <c r="J674" s="4" t="str">
        <f t="shared" si="73"/>
        <v/>
      </c>
      <c r="K674" s="13" t="str">
        <f>_xlfn.SINGLE(IF(F674="","",_xlfn.XLOOKUP(F674,purchase!D:D,purchase!#REF!,"")))</f>
        <v/>
      </c>
      <c r="L674" s="2"/>
      <c r="M674" s="32"/>
      <c r="N674" s="13" t="str">
        <f>IF(F674="","",
MAX(0,
_xlfn.XLOOKUP(F674,purchase!D:D,purchase!#REF!,"")
-
SUMIFS(L:L,F:F,F674)))</f>
        <v/>
      </c>
      <c r="O674" s="13" t="str">
        <f t="shared" si="74"/>
        <v/>
      </c>
      <c r="P674" s="35" t="str">
        <f>_xlfn.SINGLE(IF(F674="","",_xlfn.XLOOKUP(F674,purchase!D:D,purchase!K:K,"")))</f>
        <v/>
      </c>
      <c r="Q674" s="29" t="str">
        <f t="shared" si="75"/>
        <v/>
      </c>
      <c r="R674" s="37" t="str">
        <f t="shared" si="76"/>
        <v/>
      </c>
    </row>
    <row r="675" spans="1:18" x14ac:dyDescent="0.35">
      <c r="A675" s="8">
        <v>671</v>
      </c>
      <c r="B675" s="9" t="str">
        <f t="shared" si="70"/>
        <v/>
      </c>
      <c r="C675" s="10"/>
      <c r="D675" s="9" t="str">
        <f>IF(F675="","",_xlfn.XLOOKUP(F675,purchase!D:D,purchase!#REF!,""))</f>
        <v/>
      </c>
      <c r="E675" s="9" t="str">
        <f>IF(F675="","",_xlfn.XLOOKUP(F675,purchase!D:D,purchase!B:B,""))</f>
        <v/>
      </c>
      <c r="F675" s="2"/>
      <c r="G675" s="4" t="str">
        <f t="shared" si="71"/>
        <v/>
      </c>
      <c r="H675" s="4" t="str">
        <f>IF(F675="","",_xlfn.XLOOKUP(F675,purchase!D:D,purchase!#REF!,""))</f>
        <v/>
      </c>
      <c r="I675" s="4" t="str">
        <f t="shared" si="72"/>
        <v/>
      </c>
      <c r="J675" s="4" t="str">
        <f t="shared" si="73"/>
        <v/>
      </c>
      <c r="K675" s="13" t="str">
        <f>_xlfn.SINGLE(IF(F675="","",_xlfn.XLOOKUP(F675,purchase!D:D,purchase!#REF!,"")))</f>
        <v/>
      </c>
      <c r="L675" s="2"/>
      <c r="M675" s="32"/>
      <c r="N675" s="13" t="str">
        <f>IF(F675="","",
MAX(0,
_xlfn.XLOOKUP(F675,purchase!D:D,purchase!#REF!,"")
-
SUMIFS(L:L,F:F,F675)))</f>
        <v/>
      </c>
      <c r="O675" s="13" t="str">
        <f t="shared" si="74"/>
        <v/>
      </c>
      <c r="P675" s="35" t="str">
        <f>_xlfn.SINGLE(IF(F675="","",_xlfn.XLOOKUP(F675,purchase!D:D,purchase!K:K,"")))</f>
        <v/>
      </c>
      <c r="Q675" s="29" t="str">
        <f t="shared" si="75"/>
        <v/>
      </c>
      <c r="R675" s="37" t="str">
        <f t="shared" si="76"/>
        <v/>
      </c>
    </row>
    <row r="676" spans="1:18" x14ac:dyDescent="0.35">
      <c r="A676" s="8">
        <v>672</v>
      </c>
      <c r="B676" s="9" t="str">
        <f t="shared" si="70"/>
        <v/>
      </c>
      <c r="C676" s="10"/>
      <c r="D676" s="9" t="str">
        <f>IF(F676="","",_xlfn.XLOOKUP(F676,purchase!D:D,purchase!#REF!,""))</f>
        <v/>
      </c>
      <c r="E676" s="9" t="str">
        <f>IF(F676="","",_xlfn.XLOOKUP(F676,purchase!D:D,purchase!B:B,""))</f>
        <v/>
      </c>
      <c r="F676" s="2"/>
      <c r="G676" s="4" t="str">
        <f t="shared" si="71"/>
        <v/>
      </c>
      <c r="H676" s="4" t="str">
        <f>IF(F676="","",_xlfn.XLOOKUP(F676,purchase!D:D,purchase!#REF!,""))</f>
        <v/>
      </c>
      <c r="I676" s="4" t="str">
        <f t="shared" si="72"/>
        <v/>
      </c>
      <c r="J676" s="4" t="str">
        <f t="shared" si="73"/>
        <v/>
      </c>
      <c r="K676" s="13" t="str">
        <f>_xlfn.SINGLE(IF(F676="","",_xlfn.XLOOKUP(F676,purchase!D:D,purchase!#REF!,"")))</f>
        <v/>
      </c>
      <c r="L676" s="2"/>
      <c r="M676" s="32"/>
      <c r="N676" s="13" t="str">
        <f>IF(F676="","",
MAX(0,
_xlfn.XLOOKUP(F676,purchase!D:D,purchase!#REF!,"")
-
SUMIFS(L:L,F:F,F676)))</f>
        <v/>
      </c>
      <c r="O676" s="13" t="str">
        <f t="shared" si="74"/>
        <v/>
      </c>
      <c r="P676" s="35" t="str">
        <f>_xlfn.SINGLE(IF(F676="","",_xlfn.XLOOKUP(F676,purchase!D:D,purchase!K:K,"")))</f>
        <v/>
      </c>
      <c r="Q676" s="29" t="str">
        <f t="shared" si="75"/>
        <v/>
      </c>
      <c r="R676" s="37" t="str">
        <f t="shared" si="76"/>
        <v/>
      </c>
    </row>
    <row r="677" spans="1:18" x14ac:dyDescent="0.35">
      <c r="A677" s="8">
        <v>673</v>
      </c>
      <c r="B677" s="9" t="str">
        <f t="shared" si="70"/>
        <v/>
      </c>
      <c r="C677" s="10"/>
      <c r="D677" s="9" t="str">
        <f>IF(F677="","",_xlfn.XLOOKUP(F677,purchase!D:D,purchase!#REF!,""))</f>
        <v/>
      </c>
      <c r="E677" s="9" t="str">
        <f>IF(F677="","",_xlfn.XLOOKUP(F677,purchase!D:D,purchase!B:B,""))</f>
        <v/>
      </c>
      <c r="F677" s="2"/>
      <c r="G677" s="4" t="str">
        <f t="shared" si="71"/>
        <v/>
      </c>
      <c r="H677" s="4" t="str">
        <f>IF(F677="","",_xlfn.XLOOKUP(F677,purchase!D:D,purchase!#REF!,""))</f>
        <v/>
      </c>
      <c r="I677" s="4" t="str">
        <f t="shared" si="72"/>
        <v/>
      </c>
      <c r="J677" s="4" t="str">
        <f t="shared" si="73"/>
        <v/>
      </c>
      <c r="K677" s="13" t="str">
        <f>_xlfn.SINGLE(IF(F677="","",_xlfn.XLOOKUP(F677,purchase!D:D,purchase!#REF!,"")))</f>
        <v/>
      </c>
      <c r="L677" s="2"/>
      <c r="M677" s="32"/>
      <c r="N677" s="13" t="str">
        <f>IF(F677="","",
MAX(0,
_xlfn.XLOOKUP(F677,purchase!D:D,purchase!#REF!,"")
-
SUMIFS(L:L,F:F,F677)))</f>
        <v/>
      </c>
      <c r="O677" s="13" t="str">
        <f t="shared" si="74"/>
        <v/>
      </c>
      <c r="P677" s="35" t="str">
        <f>_xlfn.SINGLE(IF(F677="","",_xlfn.XLOOKUP(F677,purchase!D:D,purchase!K:K,"")))</f>
        <v/>
      </c>
      <c r="Q677" s="29" t="str">
        <f t="shared" si="75"/>
        <v/>
      </c>
      <c r="R677" s="37" t="str">
        <f t="shared" si="76"/>
        <v/>
      </c>
    </row>
    <row r="678" spans="1:18" x14ac:dyDescent="0.35">
      <c r="A678" s="8">
        <v>674</v>
      </c>
      <c r="B678" s="9" t="str">
        <f t="shared" si="70"/>
        <v/>
      </c>
      <c r="C678" s="10"/>
      <c r="D678" s="9" t="str">
        <f>IF(F678="","",_xlfn.XLOOKUP(F678,purchase!D:D,purchase!#REF!,""))</f>
        <v/>
      </c>
      <c r="E678" s="9" t="str">
        <f>IF(F678="","",_xlfn.XLOOKUP(F678,purchase!D:D,purchase!B:B,""))</f>
        <v/>
      </c>
      <c r="F678" s="2"/>
      <c r="G678" s="4" t="str">
        <f t="shared" si="71"/>
        <v/>
      </c>
      <c r="H678" s="4" t="str">
        <f>IF(F678="","",_xlfn.XLOOKUP(F678,purchase!D:D,purchase!#REF!,""))</f>
        <v/>
      </c>
      <c r="I678" s="4" t="str">
        <f t="shared" si="72"/>
        <v/>
      </c>
      <c r="J678" s="4" t="str">
        <f t="shared" si="73"/>
        <v/>
      </c>
      <c r="K678" s="13" t="str">
        <f>_xlfn.SINGLE(IF(F678="","",_xlfn.XLOOKUP(F678,purchase!D:D,purchase!#REF!,"")))</f>
        <v/>
      </c>
      <c r="L678" s="2"/>
      <c r="M678" s="32"/>
      <c r="N678" s="13" t="str">
        <f>IF(F678="","",
MAX(0,
_xlfn.XLOOKUP(F678,purchase!D:D,purchase!#REF!,"")
-
SUMIFS(L:L,F:F,F678)))</f>
        <v/>
      </c>
      <c r="O678" s="13" t="str">
        <f t="shared" si="74"/>
        <v/>
      </c>
      <c r="P678" s="35" t="str">
        <f>_xlfn.SINGLE(IF(F678="","",_xlfn.XLOOKUP(F678,purchase!D:D,purchase!K:K,"")))</f>
        <v/>
      </c>
      <c r="Q678" s="29" t="str">
        <f t="shared" si="75"/>
        <v/>
      </c>
      <c r="R678" s="37" t="str">
        <f t="shared" si="76"/>
        <v/>
      </c>
    </row>
    <row r="679" spans="1:18" x14ac:dyDescent="0.35">
      <c r="A679" s="8">
        <v>675</v>
      </c>
      <c r="B679" s="9" t="str">
        <f t="shared" si="70"/>
        <v/>
      </c>
      <c r="C679" s="10"/>
      <c r="D679" s="9" t="str">
        <f>IF(F679="","",_xlfn.XLOOKUP(F679,purchase!D:D,purchase!#REF!,""))</f>
        <v/>
      </c>
      <c r="E679" s="9" t="str">
        <f>IF(F679="","",_xlfn.XLOOKUP(F679,purchase!D:D,purchase!B:B,""))</f>
        <v/>
      </c>
      <c r="F679" s="2"/>
      <c r="G679" s="4" t="str">
        <f t="shared" si="71"/>
        <v/>
      </c>
      <c r="H679" s="4" t="str">
        <f>IF(F679="","",_xlfn.XLOOKUP(F679,purchase!D:D,purchase!#REF!,""))</f>
        <v/>
      </c>
      <c r="I679" s="4" t="str">
        <f t="shared" si="72"/>
        <v/>
      </c>
      <c r="J679" s="4" t="str">
        <f t="shared" si="73"/>
        <v/>
      </c>
      <c r="K679" s="13" t="str">
        <f>_xlfn.SINGLE(IF(F679="","",_xlfn.XLOOKUP(F679,purchase!D:D,purchase!#REF!,"")))</f>
        <v/>
      </c>
      <c r="L679" s="2"/>
      <c r="M679" s="32"/>
      <c r="N679" s="13" t="str">
        <f>IF(F679="","",
MAX(0,
_xlfn.XLOOKUP(F679,purchase!D:D,purchase!#REF!,"")
-
SUMIFS(L:L,F:F,F679)))</f>
        <v/>
      </c>
      <c r="O679" s="13" t="str">
        <f t="shared" si="74"/>
        <v/>
      </c>
      <c r="P679" s="35" t="str">
        <f>_xlfn.SINGLE(IF(F679="","",_xlfn.XLOOKUP(F679,purchase!D:D,purchase!K:K,"")))</f>
        <v/>
      </c>
      <c r="Q679" s="29" t="str">
        <f t="shared" si="75"/>
        <v/>
      </c>
      <c r="R679" s="37" t="str">
        <f t="shared" si="76"/>
        <v/>
      </c>
    </row>
    <row r="680" spans="1:18" x14ac:dyDescent="0.35">
      <c r="A680" s="8">
        <v>676</v>
      </c>
      <c r="B680" s="9" t="str">
        <f t="shared" si="70"/>
        <v/>
      </c>
      <c r="C680" s="10"/>
      <c r="D680" s="9" t="str">
        <f>IF(F680="","",_xlfn.XLOOKUP(F680,purchase!D:D,purchase!#REF!,""))</f>
        <v/>
      </c>
      <c r="E680" s="9" t="str">
        <f>IF(F680="","",_xlfn.XLOOKUP(F680,purchase!D:D,purchase!B:B,""))</f>
        <v/>
      </c>
      <c r="F680" s="2"/>
      <c r="G680" s="4" t="str">
        <f t="shared" si="71"/>
        <v/>
      </c>
      <c r="H680" s="4" t="str">
        <f>IF(F680="","",_xlfn.XLOOKUP(F680,purchase!D:D,purchase!#REF!,""))</f>
        <v/>
      </c>
      <c r="I680" s="4" t="str">
        <f t="shared" si="72"/>
        <v/>
      </c>
      <c r="J680" s="4" t="str">
        <f t="shared" si="73"/>
        <v/>
      </c>
      <c r="K680" s="13" t="str">
        <f>_xlfn.SINGLE(IF(F680="","",_xlfn.XLOOKUP(F680,purchase!D:D,purchase!#REF!,"")))</f>
        <v/>
      </c>
      <c r="L680" s="2"/>
      <c r="M680" s="32"/>
      <c r="N680" s="13" t="str">
        <f>IF(F680="","",
MAX(0,
_xlfn.XLOOKUP(F680,purchase!D:D,purchase!#REF!,"")
-
SUMIFS(L:L,F:F,F680)))</f>
        <v/>
      </c>
      <c r="O680" s="13" t="str">
        <f t="shared" si="74"/>
        <v/>
      </c>
      <c r="P680" s="35" t="str">
        <f>_xlfn.SINGLE(IF(F680="","",_xlfn.XLOOKUP(F680,purchase!D:D,purchase!K:K,"")))</f>
        <v/>
      </c>
      <c r="Q680" s="29" t="str">
        <f t="shared" si="75"/>
        <v/>
      </c>
      <c r="R680" s="37" t="str">
        <f t="shared" si="76"/>
        <v/>
      </c>
    </row>
    <row r="681" spans="1:18" x14ac:dyDescent="0.35">
      <c r="A681" s="8">
        <v>677</v>
      </c>
      <c r="B681" s="9" t="str">
        <f t="shared" si="70"/>
        <v/>
      </c>
      <c r="C681" s="10"/>
      <c r="D681" s="9" t="str">
        <f>IF(F681="","",_xlfn.XLOOKUP(F681,purchase!D:D,purchase!#REF!,""))</f>
        <v/>
      </c>
      <c r="E681" s="9" t="str">
        <f>IF(F681="","",_xlfn.XLOOKUP(F681,purchase!D:D,purchase!B:B,""))</f>
        <v/>
      </c>
      <c r="F681" s="2"/>
      <c r="G681" s="4" t="str">
        <f t="shared" si="71"/>
        <v/>
      </c>
      <c r="H681" s="4" t="str">
        <f>IF(F681="","",_xlfn.XLOOKUP(F681,purchase!D:D,purchase!#REF!,""))</f>
        <v/>
      </c>
      <c r="I681" s="4" t="str">
        <f t="shared" si="72"/>
        <v/>
      </c>
      <c r="J681" s="4" t="str">
        <f t="shared" si="73"/>
        <v/>
      </c>
      <c r="K681" s="13" t="str">
        <f>_xlfn.SINGLE(IF(F681="","",_xlfn.XLOOKUP(F681,purchase!D:D,purchase!#REF!,"")))</f>
        <v/>
      </c>
      <c r="L681" s="2"/>
      <c r="M681" s="32"/>
      <c r="N681" s="13" t="str">
        <f>IF(F681="","",
MAX(0,
_xlfn.XLOOKUP(F681,purchase!D:D,purchase!#REF!,"")
-
SUMIFS(L:L,F:F,F681)))</f>
        <v/>
      </c>
      <c r="O681" s="13" t="str">
        <f t="shared" si="74"/>
        <v/>
      </c>
      <c r="P681" s="35" t="str">
        <f>_xlfn.SINGLE(IF(F681="","",_xlfn.XLOOKUP(F681,purchase!D:D,purchase!K:K,"")))</f>
        <v/>
      </c>
      <c r="Q681" s="29" t="str">
        <f t="shared" si="75"/>
        <v/>
      </c>
      <c r="R681" s="37" t="str">
        <f t="shared" si="76"/>
        <v/>
      </c>
    </row>
    <row r="682" spans="1:18" x14ac:dyDescent="0.35">
      <c r="A682" s="8">
        <v>678</v>
      </c>
      <c r="B682" s="9" t="str">
        <f t="shared" si="70"/>
        <v/>
      </c>
      <c r="C682" s="10"/>
      <c r="D682" s="9" t="str">
        <f>IF(F682="","",_xlfn.XLOOKUP(F682,purchase!D:D,purchase!#REF!,""))</f>
        <v/>
      </c>
      <c r="E682" s="9" t="str">
        <f>IF(F682="","",_xlfn.XLOOKUP(F682,purchase!D:D,purchase!B:B,""))</f>
        <v/>
      </c>
      <c r="F682" s="2"/>
      <c r="G682" s="4" t="str">
        <f t="shared" si="71"/>
        <v/>
      </c>
      <c r="H682" s="4" t="str">
        <f>IF(F682="","",_xlfn.XLOOKUP(F682,purchase!D:D,purchase!#REF!,""))</f>
        <v/>
      </c>
      <c r="I682" s="4" t="str">
        <f t="shared" si="72"/>
        <v/>
      </c>
      <c r="J682" s="4" t="str">
        <f t="shared" si="73"/>
        <v/>
      </c>
      <c r="K682" s="13" t="str">
        <f>_xlfn.SINGLE(IF(F682="","",_xlfn.XLOOKUP(F682,purchase!D:D,purchase!#REF!,"")))</f>
        <v/>
      </c>
      <c r="L682" s="2"/>
      <c r="M682" s="32"/>
      <c r="N682" s="13" t="str">
        <f>IF(F682="","",
MAX(0,
_xlfn.XLOOKUP(F682,purchase!D:D,purchase!#REF!,"")
-
SUMIFS(L:L,F:F,F682)))</f>
        <v/>
      </c>
      <c r="O682" s="13" t="str">
        <f t="shared" si="74"/>
        <v/>
      </c>
      <c r="P682" s="35" t="str">
        <f>_xlfn.SINGLE(IF(F682="","",_xlfn.XLOOKUP(F682,purchase!D:D,purchase!K:K,"")))</f>
        <v/>
      </c>
      <c r="Q682" s="29" t="str">
        <f t="shared" si="75"/>
        <v/>
      </c>
      <c r="R682" s="37" t="str">
        <f t="shared" si="76"/>
        <v/>
      </c>
    </row>
    <row r="683" spans="1:18" x14ac:dyDescent="0.35">
      <c r="A683" s="8">
        <v>679</v>
      </c>
      <c r="B683" s="9" t="str">
        <f t="shared" si="70"/>
        <v/>
      </c>
      <c r="C683" s="10"/>
      <c r="D683" s="9" t="str">
        <f>IF(F683="","",_xlfn.XLOOKUP(F683,purchase!D:D,purchase!#REF!,""))</f>
        <v/>
      </c>
      <c r="E683" s="9" t="str">
        <f>IF(F683="","",_xlfn.XLOOKUP(F683,purchase!D:D,purchase!B:B,""))</f>
        <v/>
      </c>
      <c r="F683" s="2"/>
      <c r="G683" s="4" t="str">
        <f t="shared" si="71"/>
        <v/>
      </c>
      <c r="H683" s="4" t="str">
        <f>IF(F683="","",_xlfn.XLOOKUP(F683,purchase!D:D,purchase!#REF!,""))</f>
        <v/>
      </c>
      <c r="I683" s="4" t="str">
        <f t="shared" si="72"/>
        <v/>
      </c>
      <c r="J683" s="4" t="str">
        <f t="shared" si="73"/>
        <v/>
      </c>
      <c r="K683" s="13" t="str">
        <f>_xlfn.SINGLE(IF(F683="","",_xlfn.XLOOKUP(F683,purchase!D:D,purchase!#REF!,"")))</f>
        <v/>
      </c>
      <c r="L683" s="2"/>
      <c r="M683" s="32"/>
      <c r="N683" s="13" t="str">
        <f>IF(F683="","",
MAX(0,
_xlfn.XLOOKUP(F683,purchase!D:D,purchase!#REF!,"")
-
SUMIFS(L:L,F:F,F683)))</f>
        <v/>
      </c>
      <c r="O683" s="13" t="str">
        <f t="shared" si="74"/>
        <v/>
      </c>
      <c r="P683" s="35" t="str">
        <f>_xlfn.SINGLE(IF(F683="","",_xlfn.XLOOKUP(F683,purchase!D:D,purchase!K:K,"")))</f>
        <v/>
      </c>
      <c r="Q683" s="29" t="str">
        <f t="shared" si="75"/>
        <v/>
      </c>
      <c r="R683" s="37" t="str">
        <f t="shared" si="76"/>
        <v/>
      </c>
    </row>
    <row r="684" spans="1:18" x14ac:dyDescent="0.35">
      <c r="A684" s="8">
        <v>680</v>
      </c>
      <c r="B684" s="9" t="str">
        <f t="shared" si="70"/>
        <v/>
      </c>
      <c r="C684" s="10"/>
      <c r="D684" s="9" t="str">
        <f>IF(F684="","",_xlfn.XLOOKUP(F684,purchase!D:D,purchase!#REF!,""))</f>
        <v/>
      </c>
      <c r="E684" s="9" t="str">
        <f>IF(F684="","",_xlfn.XLOOKUP(F684,purchase!D:D,purchase!B:B,""))</f>
        <v/>
      </c>
      <c r="F684" s="2"/>
      <c r="G684" s="4" t="str">
        <f t="shared" si="71"/>
        <v/>
      </c>
      <c r="H684" s="4" t="str">
        <f>IF(F684="","",_xlfn.XLOOKUP(F684,purchase!D:D,purchase!#REF!,""))</f>
        <v/>
      </c>
      <c r="I684" s="4" t="str">
        <f t="shared" si="72"/>
        <v/>
      </c>
      <c r="J684" s="4" t="str">
        <f t="shared" si="73"/>
        <v/>
      </c>
      <c r="K684" s="13" t="str">
        <f>_xlfn.SINGLE(IF(F684="","",_xlfn.XLOOKUP(F684,purchase!D:D,purchase!#REF!,"")))</f>
        <v/>
      </c>
      <c r="L684" s="2"/>
      <c r="M684" s="32"/>
      <c r="N684" s="13" t="str">
        <f>IF(F684="","",
MAX(0,
_xlfn.XLOOKUP(F684,purchase!D:D,purchase!#REF!,"")
-
SUMIFS(L:L,F:F,F684)))</f>
        <v/>
      </c>
      <c r="O684" s="13" t="str">
        <f t="shared" si="74"/>
        <v/>
      </c>
      <c r="P684" s="35" t="str">
        <f>_xlfn.SINGLE(IF(F684="","",_xlfn.XLOOKUP(F684,purchase!D:D,purchase!K:K,"")))</f>
        <v/>
      </c>
      <c r="Q684" s="29" t="str">
        <f t="shared" si="75"/>
        <v/>
      </c>
      <c r="R684" s="37" t="str">
        <f t="shared" si="76"/>
        <v/>
      </c>
    </row>
    <row r="685" spans="1:18" x14ac:dyDescent="0.35">
      <c r="A685" s="8">
        <v>681</v>
      </c>
      <c r="B685" s="9" t="str">
        <f t="shared" si="70"/>
        <v/>
      </c>
      <c r="C685" s="10"/>
      <c r="D685" s="9" t="str">
        <f>IF(F685="","",_xlfn.XLOOKUP(F685,purchase!D:D,purchase!#REF!,""))</f>
        <v/>
      </c>
      <c r="E685" s="9" t="str">
        <f>IF(F685="","",_xlfn.XLOOKUP(F685,purchase!D:D,purchase!B:B,""))</f>
        <v/>
      </c>
      <c r="F685" s="2"/>
      <c r="G685" s="4" t="str">
        <f t="shared" si="71"/>
        <v/>
      </c>
      <c r="H685" s="4" t="str">
        <f>IF(F685="","",_xlfn.XLOOKUP(F685,purchase!D:D,purchase!#REF!,""))</f>
        <v/>
      </c>
      <c r="I685" s="4" t="str">
        <f t="shared" si="72"/>
        <v/>
      </c>
      <c r="J685" s="4" t="str">
        <f t="shared" si="73"/>
        <v/>
      </c>
      <c r="K685" s="13" t="str">
        <f>_xlfn.SINGLE(IF(F685="","",_xlfn.XLOOKUP(F685,purchase!D:D,purchase!#REF!,"")))</f>
        <v/>
      </c>
      <c r="L685" s="2"/>
      <c r="M685" s="32"/>
      <c r="N685" s="13" t="str">
        <f>IF(F685="","",
MAX(0,
_xlfn.XLOOKUP(F685,purchase!D:D,purchase!#REF!,"")
-
SUMIFS(L:L,F:F,F685)))</f>
        <v/>
      </c>
      <c r="O685" s="13" t="str">
        <f t="shared" si="74"/>
        <v/>
      </c>
      <c r="P685" s="35" t="str">
        <f>_xlfn.SINGLE(IF(F685="","",_xlfn.XLOOKUP(F685,purchase!D:D,purchase!K:K,"")))</f>
        <v/>
      </c>
      <c r="Q685" s="29" t="str">
        <f t="shared" si="75"/>
        <v/>
      </c>
      <c r="R685" s="37" t="str">
        <f t="shared" si="76"/>
        <v/>
      </c>
    </row>
    <row r="686" spans="1:18" x14ac:dyDescent="0.35">
      <c r="A686" s="8">
        <v>682</v>
      </c>
      <c r="B686" s="9" t="str">
        <f t="shared" si="70"/>
        <v/>
      </c>
      <c r="C686" s="10"/>
      <c r="D686" s="9" t="str">
        <f>IF(F686="","",_xlfn.XLOOKUP(F686,purchase!D:D,purchase!#REF!,""))</f>
        <v/>
      </c>
      <c r="E686" s="9" t="str">
        <f>IF(F686="","",_xlfn.XLOOKUP(F686,purchase!D:D,purchase!B:B,""))</f>
        <v/>
      </c>
      <c r="F686" s="2"/>
      <c r="G686" s="4" t="str">
        <f t="shared" si="71"/>
        <v/>
      </c>
      <c r="H686" s="4" t="str">
        <f>IF(F686="","",_xlfn.XLOOKUP(F686,purchase!D:D,purchase!#REF!,""))</f>
        <v/>
      </c>
      <c r="I686" s="4" t="str">
        <f t="shared" si="72"/>
        <v/>
      </c>
      <c r="J686" s="4" t="str">
        <f t="shared" si="73"/>
        <v/>
      </c>
      <c r="K686" s="13" t="str">
        <f>_xlfn.SINGLE(IF(F686="","",_xlfn.XLOOKUP(F686,purchase!D:D,purchase!#REF!,"")))</f>
        <v/>
      </c>
      <c r="L686" s="2"/>
      <c r="M686" s="32"/>
      <c r="N686" s="13" t="str">
        <f>IF(F686="","",
MAX(0,
_xlfn.XLOOKUP(F686,purchase!D:D,purchase!#REF!,"")
-
SUMIFS(L:L,F:F,F686)))</f>
        <v/>
      </c>
      <c r="O686" s="13" t="str">
        <f t="shared" si="74"/>
        <v/>
      </c>
      <c r="P686" s="35" t="str">
        <f>_xlfn.SINGLE(IF(F686="","",_xlfn.XLOOKUP(F686,purchase!D:D,purchase!K:K,"")))</f>
        <v/>
      </c>
      <c r="Q686" s="29" t="str">
        <f t="shared" si="75"/>
        <v/>
      </c>
      <c r="R686" s="37" t="str">
        <f t="shared" si="76"/>
        <v/>
      </c>
    </row>
    <row r="687" spans="1:18" x14ac:dyDescent="0.35">
      <c r="A687" s="8">
        <v>683</v>
      </c>
      <c r="B687" s="9" t="str">
        <f t="shared" si="70"/>
        <v/>
      </c>
      <c r="C687" s="10"/>
      <c r="D687" s="9" t="str">
        <f>IF(F687="","",_xlfn.XLOOKUP(F687,purchase!D:D,purchase!#REF!,""))</f>
        <v/>
      </c>
      <c r="E687" s="9" t="str">
        <f>IF(F687="","",_xlfn.XLOOKUP(F687,purchase!D:D,purchase!B:B,""))</f>
        <v/>
      </c>
      <c r="F687" s="2"/>
      <c r="G687" s="4" t="str">
        <f t="shared" si="71"/>
        <v/>
      </c>
      <c r="H687" s="4" t="str">
        <f>IF(F687="","",_xlfn.XLOOKUP(F687,purchase!D:D,purchase!#REF!,""))</f>
        <v/>
      </c>
      <c r="I687" s="4" t="str">
        <f t="shared" si="72"/>
        <v/>
      </c>
      <c r="J687" s="4" t="str">
        <f t="shared" si="73"/>
        <v/>
      </c>
      <c r="K687" s="13" t="str">
        <f>_xlfn.SINGLE(IF(F687="","",_xlfn.XLOOKUP(F687,purchase!D:D,purchase!#REF!,"")))</f>
        <v/>
      </c>
      <c r="L687" s="2"/>
      <c r="M687" s="32"/>
      <c r="N687" s="13" t="str">
        <f>IF(F687="","",
MAX(0,
_xlfn.XLOOKUP(F687,purchase!D:D,purchase!#REF!,"")
-
SUMIFS(L:L,F:F,F687)))</f>
        <v/>
      </c>
      <c r="O687" s="13" t="str">
        <f t="shared" si="74"/>
        <v/>
      </c>
      <c r="P687" s="35" t="str">
        <f>_xlfn.SINGLE(IF(F687="","",_xlfn.XLOOKUP(F687,purchase!D:D,purchase!K:K,"")))</f>
        <v/>
      </c>
      <c r="Q687" s="29" t="str">
        <f t="shared" si="75"/>
        <v/>
      </c>
      <c r="R687" s="37" t="str">
        <f t="shared" si="76"/>
        <v/>
      </c>
    </row>
    <row r="688" spans="1:18" x14ac:dyDescent="0.35">
      <c r="A688" s="8">
        <v>684</v>
      </c>
      <c r="B688" s="9" t="str">
        <f t="shared" si="70"/>
        <v/>
      </c>
      <c r="C688" s="10"/>
      <c r="D688" s="9" t="str">
        <f>IF(F688="","",_xlfn.XLOOKUP(F688,purchase!D:D,purchase!#REF!,""))</f>
        <v/>
      </c>
      <c r="E688" s="9" t="str">
        <f>IF(F688="","",_xlfn.XLOOKUP(F688,purchase!D:D,purchase!B:B,""))</f>
        <v/>
      </c>
      <c r="F688" s="2"/>
      <c r="G688" s="4" t="str">
        <f t="shared" si="71"/>
        <v/>
      </c>
      <c r="H688" s="4" t="str">
        <f>IF(F688="","",_xlfn.XLOOKUP(F688,purchase!D:D,purchase!#REF!,""))</f>
        <v/>
      </c>
      <c r="I688" s="4" t="str">
        <f t="shared" si="72"/>
        <v/>
      </c>
      <c r="J688" s="4" t="str">
        <f t="shared" si="73"/>
        <v/>
      </c>
      <c r="K688" s="13" t="str">
        <f>_xlfn.SINGLE(IF(F688="","",_xlfn.XLOOKUP(F688,purchase!D:D,purchase!#REF!,"")))</f>
        <v/>
      </c>
      <c r="L688" s="2"/>
      <c r="M688" s="32"/>
      <c r="N688" s="13" t="str">
        <f>IF(F688="","",
MAX(0,
_xlfn.XLOOKUP(F688,purchase!D:D,purchase!#REF!,"")
-
SUMIFS(L:L,F:F,F688)))</f>
        <v/>
      </c>
      <c r="O688" s="13" t="str">
        <f t="shared" si="74"/>
        <v/>
      </c>
      <c r="P688" s="35" t="str">
        <f>_xlfn.SINGLE(IF(F688="","",_xlfn.XLOOKUP(F688,purchase!D:D,purchase!K:K,"")))</f>
        <v/>
      </c>
      <c r="Q688" s="29" t="str">
        <f t="shared" si="75"/>
        <v/>
      </c>
      <c r="R688" s="37" t="str">
        <f t="shared" si="76"/>
        <v/>
      </c>
    </row>
    <row r="689" spans="1:18" x14ac:dyDescent="0.35">
      <c r="A689" s="8">
        <v>685</v>
      </c>
      <c r="B689" s="9" t="str">
        <f t="shared" si="70"/>
        <v/>
      </c>
      <c r="C689" s="10"/>
      <c r="D689" s="9" t="str">
        <f>IF(F689="","",_xlfn.XLOOKUP(F689,purchase!D:D,purchase!#REF!,""))</f>
        <v/>
      </c>
      <c r="E689" s="9" t="str">
        <f>IF(F689="","",_xlfn.XLOOKUP(F689,purchase!D:D,purchase!B:B,""))</f>
        <v/>
      </c>
      <c r="F689" s="2"/>
      <c r="G689" s="4" t="str">
        <f t="shared" si="71"/>
        <v/>
      </c>
      <c r="H689" s="4" t="str">
        <f>IF(F689="","",_xlfn.XLOOKUP(F689,purchase!D:D,purchase!#REF!,""))</f>
        <v/>
      </c>
      <c r="I689" s="4" t="str">
        <f t="shared" si="72"/>
        <v/>
      </c>
      <c r="J689" s="4" t="str">
        <f t="shared" si="73"/>
        <v/>
      </c>
      <c r="K689" s="13" t="str">
        <f>_xlfn.SINGLE(IF(F689="","",_xlfn.XLOOKUP(F689,purchase!D:D,purchase!#REF!,"")))</f>
        <v/>
      </c>
      <c r="L689" s="2"/>
      <c r="M689" s="32"/>
      <c r="N689" s="13" t="str">
        <f>IF(F689="","",
MAX(0,
_xlfn.XLOOKUP(F689,purchase!D:D,purchase!#REF!,"")
-
SUMIFS(L:L,F:F,F689)))</f>
        <v/>
      </c>
      <c r="O689" s="13" t="str">
        <f t="shared" si="74"/>
        <v/>
      </c>
      <c r="P689" s="35" t="str">
        <f>_xlfn.SINGLE(IF(F689="","",_xlfn.XLOOKUP(F689,purchase!D:D,purchase!K:K,"")))</f>
        <v/>
      </c>
      <c r="Q689" s="29" t="str">
        <f t="shared" si="75"/>
        <v/>
      </c>
      <c r="R689" s="37" t="str">
        <f t="shared" si="76"/>
        <v/>
      </c>
    </row>
    <row r="690" spans="1:18" x14ac:dyDescent="0.35">
      <c r="A690" s="8">
        <v>686</v>
      </c>
      <c r="B690" s="9" t="str">
        <f t="shared" si="70"/>
        <v/>
      </c>
      <c r="C690" s="10"/>
      <c r="D690" s="9" t="str">
        <f>IF(F690="","",_xlfn.XLOOKUP(F690,purchase!D:D,purchase!#REF!,""))</f>
        <v/>
      </c>
      <c r="E690" s="9" t="str">
        <f>IF(F690="","",_xlfn.XLOOKUP(F690,purchase!D:D,purchase!B:B,""))</f>
        <v/>
      </c>
      <c r="F690" s="2"/>
      <c r="G690" s="4" t="str">
        <f t="shared" si="71"/>
        <v/>
      </c>
      <c r="H690" s="4" t="str">
        <f>IF(F690="","",_xlfn.XLOOKUP(F690,purchase!D:D,purchase!#REF!,""))</f>
        <v/>
      </c>
      <c r="I690" s="4" t="str">
        <f t="shared" si="72"/>
        <v/>
      </c>
      <c r="J690" s="4" t="str">
        <f t="shared" si="73"/>
        <v/>
      </c>
      <c r="K690" s="13" t="str">
        <f>_xlfn.SINGLE(IF(F690="","",_xlfn.XLOOKUP(F690,purchase!D:D,purchase!#REF!,"")))</f>
        <v/>
      </c>
      <c r="L690" s="2"/>
      <c r="M690" s="32"/>
      <c r="N690" s="13" t="str">
        <f>IF(F690="","",
MAX(0,
_xlfn.XLOOKUP(F690,purchase!D:D,purchase!#REF!,"")
-
SUMIFS(L:L,F:F,F690)))</f>
        <v/>
      </c>
      <c r="O690" s="13" t="str">
        <f t="shared" si="74"/>
        <v/>
      </c>
      <c r="P690" s="35" t="str">
        <f>_xlfn.SINGLE(IF(F690="","",_xlfn.XLOOKUP(F690,purchase!D:D,purchase!K:K,"")))</f>
        <v/>
      </c>
      <c r="Q690" s="29" t="str">
        <f t="shared" si="75"/>
        <v/>
      </c>
      <c r="R690" s="37" t="str">
        <f t="shared" si="76"/>
        <v/>
      </c>
    </row>
    <row r="691" spans="1:18" x14ac:dyDescent="0.35">
      <c r="A691" s="8">
        <v>687</v>
      </c>
      <c r="B691" s="9" t="str">
        <f t="shared" si="70"/>
        <v/>
      </c>
      <c r="C691" s="10"/>
      <c r="D691" s="9" t="str">
        <f>IF(F691="","",_xlfn.XLOOKUP(F691,purchase!D:D,purchase!#REF!,""))</f>
        <v/>
      </c>
      <c r="E691" s="9" t="str">
        <f>IF(F691="","",_xlfn.XLOOKUP(F691,purchase!D:D,purchase!B:B,""))</f>
        <v/>
      </c>
      <c r="F691" s="2"/>
      <c r="G691" s="4" t="str">
        <f t="shared" si="71"/>
        <v/>
      </c>
      <c r="H691" s="4" t="str">
        <f>IF(F691="","",_xlfn.XLOOKUP(F691,purchase!D:D,purchase!#REF!,""))</f>
        <v/>
      </c>
      <c r="I691" s="4" t="str">
        <f t="shared" si="72"/>
        <v/>
      </c>
      <c r="J691" s="4" t="str">
        <f t="shared" si="73"/>
        <v/>
      </c>
      <c r="K691" s="13" t="str">
        <f>_xlfn.SINGLE(IF(F691="","",_xlfn.XLOOKUP(F691,purchase!D:D,purchase!#REF!,"")))</f>
        <v/>
      </c>
      <c r="L691" s="2"/>
      <c r="M691" s="32"/>
      <c r="N691" s="13" t="str">
        <f>IF(F691="","",
MAX(0,
_xlfn.XLOOKUP(F691,purchase!D:D,purchase!#REF!,"")
-
SUMIFS(L:L,F:F,F691)))</f>
        <v/>
      </c>
      <c r="O691" s="13" t="str">
        <f t="shared" si="74"/>
        <v/>
      </c>
      <c r="P691" s="35" t="str">
        <f>_xlfn.SINGLE(IF(F691="","",_xlfn.XLOOKUP(F691,purchase!D:D,purchase!K:K,"")))</f>
        <v/>
      </c>
      <c r="Q691" s="29" t="str">
        <f t="shared" si="75"/>
        <v/>
      </c>
      <c r="R691" s="37" t="str">
        <f t="shared" si="76"/>
        <v/>
      </c>
    </row>
    <row r="692" spans="1:18" x14ac:dyDescent="0.35">
      <c r="A692" s="8">
        <v>688</v>
      </c>
      <c r="B692" s="9" t="str">
        <f t="shared" si="70"/>
        <v/>
      </c>
      <c r="C692" s="10"/>
      <c r="D692" s="9" t="str">
        <f>IF(F692="","",_xlfn.XLOOKUP(F692,purchase!D:D,purchase!#REF!,""))</f>
        <v/>
      </c>
      <c r="E692" s="9" t="str">
        <f>IF(F692="","",_xlfn.XLOOKUP(F692,purchase!D:D,purchase!B:B,""))</f>
        <v/>
      </c>
      <c r="F692" s="2"/>
      <c r="G692" s="4" t="str">
        <f t="shared" si="71"/>
        <v/>
      </c>
      <c r="H692" s="4" t="str">
        <f>IF(F692="","",_xlfn.XLOOKUP(F692,purchase!D:D,purchase!#REF!,""))</f>
        <v/>
      </c>
      <c r="I692" s="4" t="str">
        <f t="shared" si="72"/>
        <v/>
      </c>
      <c r="J692" s="4" t="str">
        <f t="shared" si="73"/>
        <v/>
      </c>
      <c r="K692" s="13" t="str">
        <f>_xlfn.SINGLE(IF(F692="","",_xlfn.XLOOKUP(F692,purchase!D:D,purchase!#REF!,"")))</f>
        <v/>
      </c>
      <c r="L692" s="2"/>
      <c r="M692" s="32"/>
      <c r="N692" s="13" t="str">
        <f>IF(F692="","",
MAX(0,
_xlfn.XLOOKUP(F692,purchase!D:D,purchase!#REF!,"")
-
SUMIFS(L:L,F:F,F692)))</f>
        <v/>
      </c>
      <c r="O692" s="13" t="str">
        <f t="shared" si="74"/>
        <v/>
      </c>
      <c r="P692" s="35" t="str">
        <f>_xlfn.SINGLE(IF(F692="","",_xlfn.XLOOKUP(F692,purchase!D:D,purchase!K:K,"")))</f>
        <v/>
      </c>
      <c r="Q692" s="29" t="str">
        <f t="shared" si="75"/>
        <v/>
      </c>
      <c r="R692" s="37" t="str">
        <f t="shared" si="76"/>
        <v/>
      </c>
    </row>
    <row r="693" spans="1:18" x14ac:dyDescent="0.35">
      <c r="A693" s="8">
        <v>689</v>
      </c>
      <c r="B693" s="9" t="str">
        <f t="shared" si="70"/>
        <v/>
      </c>
      <c r="C693" s="10"/>
      <c r="D693" s="9" t="str">
        <f>IF(F693="","",_xlfn.XLOOKUP(F693,purchase!D:D,purchase!#REF!,""))</f>
        <v/>
      </c>
      <c r="E693" s="9" t="str">
        <f>IF(F693="","",_xlfn.XLOOKUP(F693,purchase!D:D,purchase!B:B,""))</f>
        <v/>
      </c>
      <c r="F693" s="2"/>
      <c r="G693" s="4" t="str">
        <f t="shared" si="71"/>
        <v/>
      </c>
      <c r="H693" s="4" t="str">
        <f>IF(F693="","",_xlfn.XLOOKUP(F693,purchase!D:D,purchase!#REF!,""))</f>
        <v/>
      </c>
      <c r="I693" s="4" t="str">
        <f t="shared" si="72"/>
        <v/>
      </c>
      <c r="J693" s="4" t="str">
        <f t="shared" si="73"/>
        <v/>
      </c>
      <c r="K693" s="13" t="str">
        <f>_xlfn.SINGLE(IF(F693="","",_xlfn.XLOOKUP(F693,purchase!D:D,purchase!#REF!,"")))</f>
        <v/>
      </c>
      <c r="L693" s="2"/>
      <c r="M693" s="32"/>
      <c r="N693" s="13" t="str">
        <f>IF(F693="","",
MAX(0,
_xlfn.XLOOKUP(F693,purchase!D:D,purchase!#REF!,"")
-
SUMIFS(L:L,F:F,F693)))</f>
        <v/>
      </c>
      <c r="O693" s="13" t="str">
        <f t="shared" si="74"/>
        <v/>
      </c>
      <c r="P693" s="35" t="str">
        <f>_xlfn.SINGLE(IF(F693="","",_xlfn.XLOOKUP(F693,purchase!D:D,purchase!K:K,"")))</f>
        <v/>
      </c>
      <c r="Q693" s="29" t="str">
        <f t="shared" si="75"/>
        <v/>
      </c>
      <c r="R693" s="37" t="str">
        <f t="shared" si="76"/>
        <v/>
      </c>
    </row>
    <row r="694" spans="1:18" x14ac:dyDescent="0.35">
      <c r="A694" s="8">
        <v>690</v>
      </c>
      <c r="B694" s="9" t="str">
        <f t="shared" si="70"/>
        <v/>
      </c>
      <c r="C694" s="10"/>
      <c r="D694" s="9" t="str">
        <f>IF(F694="","",_xlfn.XLOOKUP(F694,purchase!D:D,purchase!#REF!,""))</f>
        <v/>
      </c>
      <c r="E694" s="9" t="str">
        <f>IF(F694="","",_xlfn.XLOOKUP(F694,purchase!D:D,purchase!B:B,""))</f>
        <v/>
      </c>
      <c r="F694" s="2"/>
      <c r="G694" s="4" t="str">
        <f t="shared" si="71"/>
        <v/>
      </c>
      <c r="H694" s="4" t="str">
        <f>IF(F694="","",_xlfn.XLOOKUP(F694,purchase!D:D,purchase!#REF!,""))</f>
        <v/>
      </c>
      <c r="I694" s="4" t="str">
        <f t="shared" si="72"/>
        <v/>
      </c>
      <c r="J694" s="4" t="str">
        <f t="shared" si="73"/>
        <v/>
      </c>
      <c r="K694" s="13" t="str">
        <f>_xlfn.SINGLE(IF(F694="","",_xlfn.XLOOKUP(F694,purchase!D:D,purchase!#REF!,"")))</f>
        <v/>
      </c>
      <c r="L694" s="2"/>
      <c r="M694" s="32"/>
      <c r="N694" s="13" t="str">
        <f>IF(F694="","",
MAX(0,
_xlfn.XLOOKUP(F694,purchase!D:D,purchase!#REF!,"")
-
SUMIFS(L:L,F:F,F694)))</f>
        <v/>
      </c>
      <c r="O694" s="13" t="str">
        <f t="shared" si="74"/>
        <v/>
      </c>
      <c r="P694" s="35" t="str">
        <f>_xlfn.SINGLE(IF(F694="","",_xlfn.XLOOKUP(F694,purchase!D:D,purchase!K:K,"")))</f>
        <v/>
      </c>
      <c r="Q694" s="29" t="str">
        <f t="shared" si="75"/>
        <v/>
      </c>
      <c r="R694" s="37" t="str">
        <f t="shared" si="76"/>
        <v/>
      </c>
    </row>
    <row r="695" spans="1:18" x14ac:dyDescent="0.35">
      <c r="A695" s="8">
        <v>691</v>
      </c>
      <c r="B695" s="9" t="str">
        <f t="shared" si="70"/>
        <v/>
      </c>
      <c r="C695" s="10"/>
      <c r="D695" s="9" t="str">
        <f>IF(F695="","",_xlfn.XLOOKUP(F695,purchase!D:D,purchase!#REF!,""))</f>
        <v/>
      </c>
      <c r="E695" s="9" t="str">
        <f>IF(F695="","",_xlfn.XLOOKUP(F695,purchase!D:D,purchase!B:B,""))</f>
        <v/>
      </c>
      <c r="F695" s="2"/>
      <c r="G695" s="4" t="str">
        <f t="shared" si="71"/>
        <v/>
      </c>
      <c r="H695" s="4" t="str">
        <f>IF(F695="","",_xlfn.XLOOKUP(F695,purchase!D:D,purchase!#REF!,""))</f>
        <v/>
      </c>
      <c r="I695" s="4" t="str">
        <f t="shared" si="72"/>
        <v/>
      </c>
      <c r="J695" s="4" t="str">
        <f t="shared" si="73"/>
        <v/>
      </c>
      <c r="K695" s="13" t="str">
        <f>_xlfn.SINGLE(IF(F695="","",_xlfn.XLOOKUP(F695,purchase!D:D,purchase!#REF!,"")))</f>
        <v/>
      </c>
      <c r="L695" s="2"/>
      <c r="M695" s="32"/>
      <c r="N695" s="13" t="str">
        <f>IF(F695="","",
MAX(0,
_xlfn.XLOOKUP(F695,purchase!D:D,purchase!#REF!,"")
-
SUMIFS(L:L,F:F,F695)))</f>
        <v/>
      </c>
      <c r="O695" s="13" t="str">
        <f t="shared" si="74"/>
        <v/>
      </c>
      <c r="P695" s="35" t="str">
        <f>_xlfn.SINGLE(IF(F695="","",_xlfn.XLOOKUP(F695,purchase!D:D,purchase!K:K,"")))</f>
        <v/>
      </c>
      <c r="Q695" s="29" t="str">
        <f t="shared" si="75"/>
        <v/>
      </c>
      <c r="R695" s="37" t="str">
        <f t="shared" si="76"/>
        <v/>
      </c>
    </row>
    <row r="696" spans="1:18" x14ac:dyDescent="0.35">
      <c r="A696" s="8">
        <v>692</v>
      </c>
      <c r="B696" s="9" t="str">
        <f t="shared" si="70"/>
        <v/>
      </c>
      <c r="C696" s="10"/>
      <c r="D696" s="9" t="str">
        <f>IF(F696="","",_xlfn.XLOOKUP(F696,purchase!D:D,purchase!#REF!,""))</f>
        <v/>
      </c>
      <c r="E696" s="9" t="str">
        <f>IF(F696="","",_xlfn.XLOOKUP(F696,purchase!D:D,purchase!B:B,""))</f>
        <v/>
      </c>
      <c r="F696" s="2"/>
      <c r="G696" s="4" t="str">
        <f t="shared" si="71"/>
        <v/>
      </c>
      <c r="H696" s="4" t="str">
        <f>IF(F696="","",_xlfn.XLOOKUP(F696,purchase!D:D,purchase!#REF!,""))</f>
        <v/>
      </c>
      <c r="I696" s="4" t="str">
        <f t="shared" si="72"/>
        <v/>
      </c>
      <c r="J696" s="4" t="str">
        <f t="shared" si="73"/>
        <v/>
      </c>
      <c r="K696" s="13" t="str">
        <f>_xlfn.SINGLE(IF(F696="","",_xlfn.XLOOKUP(F696,purchase!D:D,purchase!#REF!,"")))</f>
        <v/>
      </c>
      <c r="L696" s="2"/>
      <c r="M696" s="32"/>
      <c r="N696" s="13" t="str">
        <f>IF(F696="","",
MAX(0,
_xlfn.XLOOKUP(F696,purchase!D:D,purchase!#REF!,"")
-
SUMIFS(L:L,F:F,F696)))</f>
        <v/>
      </c>
      <c r="O696" s="13" t="str">
        <f t="shared" si="74"/>
        <v/>
      </c>
      <c r="P696" s="35" t="str">
        <f>_xlfn.SINGLE(IF(F696="","",_xlfn.XLOOKUP(F696,purchase!D:D,purchase!K:K,"")))</f>
        <v/>
      </c>
      <c r="Q696" s="29" t="str">
        <f t="shared" si="75"/>
        <v/>
      </c>
      <c r="R696" s="37" t="str">
        <f t="shared" si="76"/>
        <v/>
      </c>
    </row>
    <row r="697" spans="1:18" x14ac:dyDescent="0.35">
      <c r="A697" s="8">
        <v>693</v>
      </c>
      <c r="B697" s="9" t="str">
        <f t="shared" si="70"/>
        <v/>
      </c>
      <c r="C697" s="10"/>
      <c r="D697" s="9" t="str">
        <f>IF(F697="","",_xlfn.XLOOKUP(F697,purchase!D:D,purchase!#REF!,""))</f>
        <v/>
      </c>
      <c r="E697" s="9" t="str">
        <f>IF(F697="","",_xlfn.XLOOKUP(F697,purchase!D:D,purchase!B:B,""))</f>
        <v/>
      </c>
      <c r="F697" s="2"/>
      <c r="G697" s="4" t="str">
        <f t="shared" si="71"/>
        <v/>
      </c>
      <c r="H697" s="4" t="str">
        <f>IF(F697="","",_xlfn.XLOOKUP(F697,purchase!D:D,purchase!#REF!,""))</f>
        <v/>
      </c>
      <c r="I697" s="4" t="str">
        <f t="shared" si="72"/>
        <v/>
      </c>
      <c r="J697" s="4" t="str">
        <f t="shared" si="73"/>
        <v/>
      </c>
      <c r="K697" s="13" t="str">
        <f>_xlfn.SINGLE(IF(F697="","",_xlfn.XLOOKUP(F697,purchase!D:D,purchase!#REF!,"")))</f>
        <v/>
      </c>
      <c r="L697" s="2"/>
      <c r="M697" s="32"/>
      <c r="N697" s="13" t="str">
        <f>IF(F697="","",
MAX(0,
_xlfn.XLOOKUP(F697,purchase!D:D,purchase!#REF!,"")
-
SUMIFS(L:L,F:F,F697)))</f>
        <v/>
      </c>
      <c r="O697" s="13" t="str">
        <f t="shared" si="74"/>
        <v/>
      </c>
      <c r="P697" s="35" t="str">
        <f>_xlfn.SINGLE(IF(F697="","",_xlfn.XLOOKUP(F697,purchase!D:D,purchase!K:K,"")))</f>
        <v/>
      </c>
      <c r="Q697" s="29" t="str">
        <f t="shared" si="75"/>
        <v/>
      </c>
      <c r="R697" s="37" t="str">
        <f t="shared" si="76"/>
        <v/>
      </c>
    </row>
    <row r="698" spans="1:18" x14ac:dyDescent="0.35">
      <c r="A698" s="8">
        <v>694</v>
      </c>
      <c r="B698" s="9" t="str">
        <f t="shared" si="70"/>
        <v/>
      </c>
      <c r="C698" s="10"/>
      <c r="D698" s="9" t="str">
        <f>IF(F698="","",_xlfn.XLOOKUP(F698,purchase!D:D,purchase!#REF!,""))</f>
        <v/>
      </c>
      <c r="E698" s="9" t="str">
        <f>IF(F698="","",_xlfn.XLOOKUP(F698,purchase!D:D,purchase!B:B,""))</f>
        <v/>
      </c>
      <c r="F698" s="2"/>
      <c r="G698" s="4" t="str">
        <f t="shared" si="71"/>
        <v/>
      </c>
      <c r="H698" s="4" t="str">
        <f>IF(F698="","",_xlfn.XLOOKUP(F698,purchase!D:D,purchase!#REF!,""))</f>
        <v/>
      </c>
      <c r="I698" s="4" t="str">
        <f t="shared" si="72"/>
        <v/>
      </c>
      <c r="J698" s="4" t="str">
        <f t="shared" si="73"/>
        <v/>
      </c>
      <c r="K698" s="13" t="str">
        <f>_xlfn.SINGLE(IF(F698="","",_xlfn.XLOOKUP(F698,purchase!D:D,purchase!#REF!,"")))</f>
        <v/>
      </c>
      <c r="L698" s="2"/>
      <c r="M698" s="32"/>
      <c r="N698" s="13" t="str">
        <f>IF(F698="","",
MAX(0,
_xlfn.XLOOKUP(F698,purchase!D:D,purchase!#REF!,"")
-
SUMIFS(L:L,F:F,F698)))</f>
        <v/>
      </c>
      <c r="O698" s="13" t="str">
        <f t="shared" si="74"/>
        <v/>
      </c>
      <c r="P698" s="35" t="str">
        <f>_xlfn.SINGLE(IF(F698="","",_xlfn.XLOOKUP(F698,purchase!D:D,purchase!K:K,"")))</f>
        <v/>
      </c>
      <c r="Q698" s="29" t="str">
        <f t="shared" si="75"/>
        <v/>
      </c>
      <c r="R698" s="37" t="str">
        <f t="shared" si="76"/>
        <v/>
      </c>
    </row>
    <row r="699" spans="1:18" x14ac:dyDescent="0.35">
      <c r="A699" s="8">
        <v>695</v>
      </c>
      <c r="B699" s="9" t="str">
        <f t="shared" si="70"/>
        <v/>
      </c>
      <c r="C699" s="10"/>
      <c r="D699" s="9" t="str">
        <f>IF(F699="","",_xlfn.XLOOKUP(F699,purchase!D:D,purchase!#REF!,""))</f>
        <v/>
      </c>
      <c r="E699" s="9" t="str">
        <f>IF(F699="","",_xlfn.XLOOKUP(F699,purchase!D:D,purchase!B:B,""))</f>
        <v/>
      </c>
      <c r="F699" s="2"/>
      <c r="G699" s="4" t="str">
        <f t="shared" si="71"/>
        <v/>
      </c>
      <c r="H699" s="4" t="str">
        <f>IF(F699="","",_xlfn.XLOOKUP(F699,purchase!D:D,purchase!#REF!,""))</f>
        <v/>
      </c>
      <c r="I699" s="4" t="str">
        <f t="shared" si="72"/>
        <v/>
      </c>
      <c r="J699" s="4" t="str">
        <f t="shared" si="73"/>
        <v/>
      </c>
      <c r="K699" s="13" t="str">
        <f>_xlfn.SINGLE(IF(F699="","",_xlfn.XLOOKUP(F699,purchase!D:D,purchase!#REF!,"")))</f>
        <v/>
      </c>
      <c r="L699" s="2"/>
      <c r="M699" s="32"/>
      <c r="N699" s="13" t="str">
        <f>IF(F699="","",
MAX(0,
_xlfn.XLOOKUP(F699,purchase!D:D,purchase!#REF!,"")
-
SUMIFS(L:L,F:F,F699)))</f>
        <v/>
      </c>
      <c r="O699" s="13" t="str">
        <f t="shared" si="74"/>
        <v/>
      </c>
      <c r="P699" s="35" t="str">
        <f>_xlfn.SINGLE(IF(F699="","",_xlfn.XLOOKUP(F699,purchase!D:D,purchase!K:K,"")))</f>
        <v/>
      </c>
      <c r="Q699" s="29" t="str">
        <f t="shared" si="75"/>
        <v/>
      </c>
      <c r="R699" s="37" t="str">
        <f t="shared" si="76"/>
        <v/>
      </c>
    </row>
    <row r="700" spans="1:18" x14ac:dyDescent="0.35">
      <c r="A700" s="8">
        <v>696</v>
      </c>
      <c r="B700" s="9" t="str">
        <f t="shared" si="70"/>
        <v/>
      </c>
      <c r="C700" s="10"/>
      <c r="D700" s="9" t="str">
        <f>IF(F700="","",_xlfn.XLOOKUP(F700,purchase!D:D,purchase!#REF!,""))</f>
        <v/>
      </c>
      <c r="E700" s="9" t="str">
        <f>IF(F700="","",_xlfn.XLOOKUP(F700,purchase!D:D,purchase!B:B,""))</f>
        <v/>
      </c>
      <c r="F700" s="2"/>
      <c r="G700" s="4" t="str">
        <f t="shared" si="71"/>
        <v/>
      </c>
      <c r="H700" s="4" t="str">
        <f>IF(F700="","",_xlfn.XLOOKUP(F700,purchase!D:D,purchase!#REF!,""))</f>
        <v/>
      </c>
      <c r="I700" s="4" t="str">
        <f t="shared" si="72"/>
        <v/>
      </c>
      <c r="J700" s="4" t="str">
        <f t="shared" si="73"/>
        <v/>
      </c>
      <c r="K700" s="13" t="str">
        <f>_xlfn.SINGLE(IF(F700="","",_xlfn.XLOOKUP(F700,purchase!D:D,purchase!#REF!,"")))</f>
        <v/>
      </c>
      <c r="L700" s="2"/>
      <c r="M700" s="32"/>
      <c r="N700" s="13" t="str">
        <f>IF(F700="","",
MAX(0,
_xlfn.XLOOKUP(F700,purchase!D:D,purchase!#REF!,"")
-
SUMIFS(L:L,F:F,F700)))</f>
        <v/>
      </c>
      <c r="O700" s="13" t="str">
        <f t="shared" si="74"/>
        <v/>
      </c>
      <c r="P700" s="35" t="str">
        <f>_xlfn.SINGLE(IF(F700="","",_xlfn.XLOOKUP(F700,purchase!D:D,purchase!K:K,"")))</f>
        <v/>
      </c>
      <c r="Q700" s="29" t="str">
        <f t="shared" si="75"/>
        <v/>
      </c>
      <c r="R700" s="37" t="str">
        <f t="shared" si="76"/>
        <v/>
      </c>
    </row>
    <row r="701" spans="1:18" x14ac:dyDescent="0.35">
      <c r="A701" s="8">
        <v>697</v>
      </c>
      <c r="B701" s="9" t="str">
        <f t="shared" si="70"/>
        <v/>
      </c>
      <c r="C701" s="10"/>
      <c r="D701" s="9" t="str">
        <f>IF(F701="","",_xlfn.XLOOKUP(F701,purchase!D:D,purchase!#REF!,""))</f>
        <v/>
      </c>
      <c r="E701" s="9" t="str">
        <f>IF(F701="","",_xlfn.XLOOKUP(F701,purchase!D:D,purchase!B:B,""))</f>
        <v/>
      </c>
      <c r="F701" s="2"/>
      <c r="G701" s="4" t="str">
        <f t="shared" si="71"/>
        <v/>
      </c>
      <c r="H701" s="4" t="str">
        <f>IF(F701="","",_xlfn.XLOOKUP(F701,purchase!D:D,purchase!#REF!,""))</f>
        <v/>
      </c>
      <c r="I701" s="4" t="str">
        <f t="shared" si="72"/>
        <v/>
      </c>
      <c r="J701" s="4" t="str">
        <f t="shared" si="73"/>
        <v/>
      </c>
      <c r="K701" s="13" t="str">
        <f>_xlfn.SINGLE(IF(F701="","",_xlfn.XLOOKUP(F701,purchase!D:D,purchase!#REF!,"")))</f>
        <v/>
      </c>
      <c r="L701" s="2"/>
      <c r="M701" s="32"/>
      <c r="N701" s="13" t="str">
        <f>IF(F701="","",
MAX(0,
_xlfn.XLOOKUP(F701,purchase!D:D,purchase!#REF!,"")
-
SUMIFS(L:L,F:F,F701)))</f>
        <v/>
      </c>
      <c r="O701" s="13" t="str">
        <f t="shared" si="74"/>
        <v/>
      </c>
      <c r="P701" s="35" t="str">
        <f>_xlfn.SINGLE(IF(F701="","",_xlfn.XLOOKUP(F701,purchase!D:D,purchase!K:K,"")))</f>
        <v/>
      </c>
      <c r="Q701" s="29" t="str">
        <f t="shared" si="75"/>
        <v/>
      </c>
      <c r="R701" s="37" t="str">
        <f t="shared" si="76"/>
        <v/>
      </c>
    </row>
    <row r="702" spans="1:18" x14ac:dyDescent="0.35">
      <c r="A702" s="8">
        <v>698</v>
      </c>
      <c r="B702" s="9" t="str">
        <f t="shared" si="70"/>
        <v/>
      </c>
      <c r="C702" s="10"/>
      <c r="D702" s="9" t="str">
        <f>IF(F702="","",_xlfn.XLOOKUP(F702,purchase!D:D,purchase!#REF!,""))</f>
        <v/>
      </c>
      <c r="E702" s="9" t="str">
        <f>IF(F702="","",_xlfn.XLOOKUP(F702,purchase!D:D,purchase!B:B,""))</f>
        <v/>
      </c>
      <c r="F702" s="2"/>
      <c r="G702" s="4" t="str">
        <f t="shared" si="71"/>
        <v/>
      </c>
      <c r="H702" s="4" t="str">
        <f>IF(F702="","",_xlfn.XLOOKUP(F702,purchase!D:D,purchase!#REF!,""))</f>
        <v/>
      </c>
      <c r="I702" s="4" t="str">
        <f t="shared" si="72"/>
        <v/>
      </c>
      <c r="J702" s="4" t="str">
        <f t="shared" si="73"/>
        <v/>
      </c>
      <c r="K702" s="13" t="str">
        <f>_xlfn.SINGLE(IF(F702="","",_xlfn.XLOOKUP(F702,purchase!D:D,purchase!#REF!,"")))</f>
        <v/>
      </c>
      <c r="L702" s="2"/>
      <c r="M702" s="32"/>
      <c r="N702" s="13" t="str">
        <f>IF(F702="","",
MAX(0,
_xlfn.XLOOKUP(F702,purchase!D:D,purchase!#REF!,"")
-
SUMIFS(L:L,F:F,F702)))</f>
        <v/>
      </c>
      <c r="O702" s="13" t="str">
        <f t="shared" si="74"/>
        <v/>
      </c>
      <c r="P702" s="35" t="str">
        <f>_xlfn.SINGLE(IF(F702="","",_xlfn.XLOOKUP(F702,purchase!D:D,purchase!K:K,"")))</f>
        <v/>
      </c>
      <c r="Q702" s="29" t="str">
        <f t="shared" si="75"/>
        <v/>
      </c>
      <c r="R702" s="37" t="str">
        <f t="shared" si="76"/>
        <v/>
      </c>
    </row>
    <row r="703" spans="1:18" x14ac:dyDescent="0.35">
      <c r="A703" s="8">
        <v>699</v>
      </c>
      <c r="B703" s="9" t="str">
        <f t="shared" si="70"/>
        <v/>
      </c>
      <c r="C703" s="10"/>
      <c r="D703" s="9" t="str">
        <f>IF(F703="","",_xlfn.XLOOKUP(F703,purchase!D:D,purchase!#REF!,""))</f>
        <v/>
      </c>
      <c r="E703" s="9" t="str">
        <f>IF(F703="","",_xlfn.XLOOKUP(F703,purchase!D:D,purchase!B:B,""))</f>
        <v/>
      </c>
      <c r="F703" s="2"/>
      <c r="G703" s="4" t="str">
        <f t="shared" si="71"/>
        <v/>
      </c>
      <c r="H703" s="4" t="str">
        <f>IF(F703="","",_xlfn.XLOOKUP(F703,purchase!D:D,purchase!#REF!,""))</f>
        <v/>
      </c>
      <c r="I703" s="4" t="str">
        <f t="shared" si="72"/>
        <v/>
      </c>
      <c r="J703" s="4" t="str">
        <f t="shared" si="73"/>
        <v/>
      </c>
      <c r="K703" s="13" t="str">
        <f>_xlfn.SINGLE(IF(F703="","",_xlfn.XLOOKUP(F703,purchase!D:D,purchase!#REF!,"")))</f>
        <v/>
      </c>
      <c r="L703" s="2"/>
      <c r="M703" s="32"/>
      <c r="N703" s="13" t="str">
        <f>IF(F703="","",
MAX(0,
_xlfn.XLOOKUP(F703,purchase!D:D,purchase!#REF!,"")
-
SUMIFS(L:L,F:F,F703)))</f>
        <v/>
      </c>
      <c r="O703" s="13" t="str">
        <f t="shared" si="74"/>
        <v/>
      </c>
      <c r="P703" s="35" t="str">
        <f>_xlfn.SINGLE(IF(F703="","",_xlfn.XLOOKUP(F703,purchase!D:D,purchase!K:K,"")))</f>
        <v/>
      </c>
      <c r="Q703" s="29" t="str">
        <f t="shared" si="75"/>
        <v/>
      </c>
      <c r="R703" s="37" t="str">
        <f t="shared" si="76"/>
        <v/>
      </c>
    </row>
    <row r="704" spans="1:18" x14ac:dyDescent="0.35">
      <c r="A704" s="8">
        <v>700</v>
      </c>
      <c r="B704" s="9" t="str">
        <f t="shared" si="70"/>
        <v/>
      </c>
      <c r="C704" s="10"/>
      <c r="D704" s="9" t="str">
        <f>IF(F704="","",_xlfn.XLOOKUP(F704,purchase!D:D,purchase!#REF!,""))</f>
        <v/>
      </c>
      <c r="E704" s="9" t="str">
        <f>IF(F704="","",_xlfn.XLOOKUP(F704,purchase!D:D,purchase!B:B,""))</f>
        <v/>
      </c>
      <c r="F704" s="2"/>
      <c r="G704" s="4" t="str">
        <f t="shared" si="71"/>
        <v/>
      </c>
      <c r="H704" s="4" t="str">
        <f>IF(F704="","",_xlfn.XLOOKUP(F704,purchase!D:D,purchase!#REF!,""))</f>
        <v/>
      </c>
      <c r="I704" s="4" t="str">
        <f t="shared" si="72"/>
        <v/>
      </c>
      <c r="J704" s="4" t="str">
        <f t="shared" si="73"/>
        <v/>
      </c>
      <c r="K704" s="13" t="str">
        <f>_xlfn.SINGLE(IF(F704="","",_xlfn.XLOOKUP(F704,purchase!D:D,purchase!#REF!,"")))</f>
        <v/>
      </c>
      <c r="L704" s="2"/>
      <c r="M704" s="32"/>
      <c r="N704" s="13" t="str">
        <f>IF(F704="","",
MAX(0,
_xlfn.XLOOKUP(F704,purchase!D:D,purchase!#REF!,"")
-
SUMIFS(L:L,F:F,F704)))</f>
        <v/>
      </c>
      <c r="O704" s="13" t="str">
        <f t="shared" si="74"/>
        <v/>
      </c>
      <c r="P704" s="35" t="str">
        <f>_xlfn.SINGLE(IF(F704="","",_xlfn.XLOOKUP(F704,purchase!D:D,purchase!K:K,"")))</f>
        <v/>
      </c>
      <c r="Q704" s="29" t="str">
        <f t="shared" si="75"/>
        <v/>
      </c>
      <c r="R704" s="37" t="str">
        <f t="shared" si="76"/>
        <v/>
      </c>
    </row>
    <row r="705" spans="1:18" x14ac:dyDescent="0.35">
      <c r="A705" s="8">
        <v>701</v>
      </c>
      <c r="B705" s="9" t="str">
        <f t="shared" si="70"/>
        <v/>
      </c>
      <c r="C705" s="10"/>
      <c r="D705" s="9" t="str">
        <f>IF(F705="","",_xlfn.XLOOKUP(F705,purchase!D:D,purchase!#REF!,""))</f>
        <v/>
      </c>
      <c r="E705" s="9" t="str">
        <f>IF(F705="","",_xlfn.XLOOKUP(F705,purchase!D:D,purchase!B:B,""))</f>
        <v/>
      </c>
      <c r="F705" s="2"/>
      <c r="G705" s="4" t="str">
        <f t="shared" si="71"/>
        <v/>
      </c>
      <c r="H705" s="4" t="str">
        <f>IF(F705="","",_xlfn.XLOOKUP(F705,purchase!D:D,purchase!#REF!,""))</f>
        <v/>
      </c>
      <c r="I705" s="4" t="str">
        <f t="shared" si="72"/>
        <v/>
      </c>
      <c r="J705" s="4" t="str">
        <f t="shared" si="73"/>
        <v/>
      </c>
      <c r="K705" s="13" t="str">
        <f>_xlfn.SINGLE(IF(F705="","",_xlfn.XLOOKUP(F705,purchase!D:D,purchase!#REF!,"")))</f>
        <v/>
      </c>
      <c r="L705" s="2"/>
      <c r="M705" s="32"/>
      <c r="N705" s="13" t="str">
        <f>IF(F705="","",
MAX(0,
_xlfn.XLOOKUP(F705,purchase!D:D,purchase!#REF!,"")
-
SUMIFS(L:L,F:F,F705)))</f>
        <v/>
      </c>
      <c r="O705" s="13" t="str">
        <f t="shared" si="74"/>
        <v/>
      </c>
      <c r="P705" s="35" t="str">
        <f>_xlfn.SINGLE(IF(F705="","",_xlfn.XLOOKUP(F705,purchase!D:D,purchase!K:K,"")))</f>
        <v/>
      </c>
      <c r="Q705" s="29" t="str">
        <f t="shared" si="75"/>
        <v/>
      </c>
      <c r="R705" s="37" t="str">
        <f t="shared" si="76"/>
        <v/>
      </c>
    </row>
    <row r="706" spans="1:18" x14ac:dyDescent="0.35">
      <c r="A706" s="8">
        <v>702</v>
      </c>
      <c r="B706" s="9" t="str">
        <f t="shared" si="70"/>
        <v/>
      </c>
      <c r="C706" s="10"/>
      <c r="D706" s="9" t="str">
        <f>IF(F706="","",_xlfn.XLOOKUP(F706,purchase!D:D,purchase!#REF!,""))</f>
        <v/>
      </c>
      <c r="E706" s="9" t="str">
        <f>IF(F706="","",_xlfn.XLOOKUP(F706,purchase!D:D,purchase!B:B,""))</f>
        <v/>
      </c>
      <c r="F706" s="2"/>
      <c r="G706" s="4" t="str">
        <f t="shared" si="71"/>
        <v/>
      </c>
      <c r="H706" s="4" t="str">
        <f>IF(F706="","",_xlfn.XLOOKUP(F706,purchase!D:D,purchase!#REF!,""))</f>
        <v/>
      </c>
      <c r="I706" s="4" t="str">
        <f t="shared" si="72"/>
        <v/>
      </c>
      <c r="J706" s="4" t="str">
        <f t="shared" si="73"/>
        <v/>
      </c>
      <c r="K706" s="13" t="str">
        <f>_xlfn.SINGLE(IF(F706="","",_xlfn.XLOOKUP(F706,purchase!D:D,purchase!#REF!,"")))</f>
        <v/>
      </c>
      <c r="L706" s="2"/>
      <c r="M706" s="32"/>
      <c r="N706" s="13" t="str">
        <f>IF(F706="","",
MAX(0,
_xlfn.XLOOKUP(F706,purchase!D:D,purchase!#REF!,"")
-
SUMIFS(L:L,F:F,F706)))</f>
        <v/>
      </c>
      <c r="O706" s="13" t="str">
        <f t="shared" si="74"/>
        <v/>
      </c>
      <c r="P706" s="35" t="str">
        <f>_xlfn.SINGLE(IF(F706="","",_xlfn.XLOOKUP(F706,purchase!D:D,purchase!K:K,"")))</f>
        <v/>
      </c>
      <c r="Q706" s="29" t="str">
        <f t="shared" si="75"/>
        <v/>
      </c>
      <c r="R706" s="37" t="str">
        <f t="shared" si="76"/>
        <v/>
      </c>
    </row>
    <row r="707" spans="1:18" x14ac:dyDescent="0.35">
      <c r="A707" s="8">
        <v>703</v>
      </c>
      <c r="B707" s="9" t="str">
        <f t="shared" si="70"/>
        <v/>
      </c>
      <c r="C707" s="10"/>
      <c r="D707" s="9" t="str">
        <f>IF(F707="","",_xlfn.XLOOKUP(F707,purchase!D:D,purchase!#REF!,""))</f>
        <v/>
      </c>
      <c r="E707" s="9" t="str">
        <f>IF(F707="","",_xlfn.XLOOKUP(F707,purchase!D:D,purchase!B:B,""))</f>
        <v/>
      </c>
      <c r="F707" s="2"/>
      <c r="G707" s="4" t="str">
        <f t="shared" si="71"/>
        <v/>
      </c>
      <c r="H707" s="4" t="str">
        <f>IF(F707="","",_xlfn.XLOOKUP(F707,purchase!D:D,purchase!#REF!,""))</f>
        <v/>
      </c>
      <c r="I707" s="4" t="str">
        <f t="shared" si="72"/>
        <v/>
      </c>
      <c r="J707" s="4" t="str">
        <f t="shared" si="73"/>
        <v/>
      </c>
      <c r="K707" s="13" t="str">
        <f>_xlfn.SINGLE(IF(F707="","",_xlfn.XLOOKUP(F707,purchase!D:D,purchase!#REF!,"")))</f>
        <v/>
      </c>
      <c r="L707" s="2"/>
      <c r="M707" s="32"/>
      <c r="N707" s="13" t="str">
        <f>IF(F707="","",
MAX(0,
_xlfn.XLOOKUP(F707,purchase!D:D,purchase!#REF!,"")
-
SUMIFS(L:L,F:F,F707)))</f>
        <v/>
      </c>
      <c r="O707" s="13" t="str">
        <f t="shared" si="74"/>
        <v/>
      </c>
      <c r="P707" s="35" t="str">
        <f>_xlfn.SINGLE(IF(F707="","",_xlfn.XLOOKUP(F707,purchase!D:D,purchase!K:K,"")))</f>
        <v/>
      </c>
      <c r="Q707" s="29" t="str">
        <f t="shared" si="75"/>
        <v/>
      </c>
      <c r="R707" s="37" t="str">
        <f t="shared" si="76"/>
        <v/>
      </c>
    </row>
    <row r="708" spans="1:18" x14ac:dyDescent="0.35">
      <c r="A708" s="8">
        <v>704</v>
      </c>
      <c r="B708" s="9" t="str">
        <f t="shared" si="70"/>
        <v/>
      </c>
      <c r="C708" s="10"/>
      <c r="D708" s="9" t="str">
        <f>IF(F708="","",_xlfn.XLOOKUP(F708,purchase!D:D,purchase!#REF!,""))</f>
        <v/>
      </c>
      <c r="E708" s="9" t="str">
        <f>IF(F708="","",_xlfn.XLOOKUP(F708,purchase!D:D,purchase!B:B,""))</f>
        <v/>
      </c>
      <c r="F708" s="2"/>
      <c r="G708" s="4" t="str">
        <f t="shared" si="71"/>
        <v/>
      </c>
      <c r="H708" s="4" t="str">
        <f>IF(F708="","",_xlfn.XLOOKUP(F708,purchase!D:D,purchase!#REF!,""))</f>
        <v/>
      </c>
      <c r="I708" s="4" t="str">
        <f t="shared" si="72"/>
        <v/>
      </c>
      <c r="J708" s="4" t="str">
        <f t="shared" si="73"/>
        <v/>
      </c>
      <c r="K708" s="13" t="str">
        <f>_xlfn.SINGLE(IF(F708="","",_xlfn.XLOOKUP(F708,purchase!D:D,purchase!#REF!,"")))</f>
        <v/>
      </c>
      <c r="L708" s="2"/>
      <c r="M708" s="32"/>
      <c r="N708" s="13" t="str">
        <f>IF(F708="","",
MAX(0,
_xlfn.XLOOKUP(F708,purchase!D:D,purchase!#REF!,"")
-
SUMIFS(L:L,F:F,F708)))</f>
        <v/>
      </c>
      <c r="O708" s="13" t="str">
        <f t="shared" si="74"/>
        <v/>
      </c>
      <c r="P708" s="35" t="str">
        <f>_xlfn.SINGLE(IF(F708="","",_xlfn.XLOOKUP(F708,purchase!D:D,purchase!K:K,"")))</f>
        <v/>
      </c>
      <c r="Q708" s="29" t="str">
        <f t="shared" si="75"/>
        <v/>
      </c>
      <c r="R708" s="37" t="str">
        <f t="shared" si="76"/>
        <v/>
      </c>
    </row>
    <row r="709" spans="1:18" x14ac:dyDescent="0.35">
      <c r="A709" s="8">
        <v>705</v>
      </c>
      <c r="B709" s="9" t="str">
        <f t="shared" ref="B709:B772" si="77">IF(OR(C709="",F709=""),"",
"PRD-" &amp;
TEXT(DAY(C709),"00") &amp;
CHOOSE(MONTH(C709),"A","B","C","D","E","F","G","H","I","J","K","L") &amp;
TEXT(YEAR(C709),"00") &amp;
"-" &amp;
RIGHT(F709,4))</f>
        <v/>
      </c>
      <c r="C709" s="10"/>
      <c r="D709" s="9" t="str">
        <f>IF(F709="","",_xlfn.XLOOKUP(F709,purchase!D:D,purchase!#REF!,""))</f>
        <v/>
      </c>
      <c r="E709" s="9" t="str">
        <f>IF(F709="","",_xlfn.XLOOKUP(F709,purchase!D:D,purchase!B:B,""))</f>
        <v/>
      </c>
      <c r="F709" s="2"/>
      <c r="G709" s="4" t="str">
        <f t="shared" ref="G709:G772" si="78">IF(H709="NRFC","Natural Rubber Field Coagulam","")</f>
        <v/>
      </c>
      <c r="H709" s="4" t="str">
        <f>IF(F709="","",_xlfn.XLOOKUP(F709,purchase!D:D,purchase!#REF!,""))</f>
        <v/>
      </c>
      <c r="I709" s="4" t="str">
        <f t="shared" ref="I709:I772" si="79">IF(J709="ISNR20","Natural Rubber-TSNR (ISNR-20)","")</f>
        <v/>
      </c>
      <c r="J709" s="4" t="str">
        <f t="shared" ref="J709:J772" si="80">IF(H709="NRFC","ISNR20","")</f>
        <v/>
      </c>
      <c r="K709" s="13" t="str">
        <f>_xlfn.SINGLE(IF(F709="","",_xlfn.XLOOKUP(F709,purchase!D:D,purchase!#REF!,"")))</f>
        <v/>
      </c>
      <c r="L709" s="2"/>
      <c r="M709" s="32"/>
      <c r="N709" s="13" t="str">
        <f>IF(F709="","",
MAX(0,
_xlfn.XLOOKUP(F709,purchase!D:D,purchase!#REF!,"")
-
SUMIFS(L:L,F:F,F709)))</f>
        <v/>
      </c>
      <c r="O709" s="13" t="str">
        <f t="shared" ref="O709:O772" si="81">IF(OR(L709="",M709=""),"",L709-M709)</f>
        <v/>
      </c>
      <c r="P709" s="35" t="str">
        <f>_xlfn.SINGLE(IF(F709="","",_xlfn.XLOOKUP(F709,purchase!D:D,purchase!K:K,"")))</f>
        <v/>
      </c>
      <c r="Q709" s="29" t="str">
        <f t="shared" ref="Q709:Q772" si="82">IF(OR(L709="",M709=""),"",M709/L709)</f>
        <v/>
      </c>
      <c r="R709" s="37" t="str">
        <f t="shared" ref="R709:R772" si="83">IF(OR(P709="",Q709=""),"",Q709-P709)</f>
        <v/>
      </c>
    </row>
    <row r="710" spans="1:18" x14ac:dyDescent="0.35">
      <c r="A710" s="8">
        <v>706</v>
      </c>
      <c r="B710" s="9" t="str">
        <f t="shared" si="77"/>
        <v/>
      </c>
      <c r="C710" s="10"/>
      <c r="D710" s="9" t="str">
        <f>IF(F710="","",_xlfn.XLOOKUP(F710,purchase!D:D,purchase!#REF!,""))</f>
        <v/>
      </c>
      <c r="E710" s="9" t="str">
        <f>IF(F710="","",_xlfn.XLOOKUP(F710,purchase!D:D,purchase!B:B,""))</f>
        <v/>
      </c>
      <c r="F710" s="2"/>
      <c r="G710" s="4" t="str">
        <f t="shared" si="78"/>
        <v/>
      </c>
      <c r="H710" s="4" t="str">
        <f>IF(F710="","",_xlfn.XLOOKUP(F710,purchase!D:D,purchase!#REF!,""))</f>
        <v/>
      </c>
      <c r="I710" s="4" t="str">
        <f t="shared" si="79"/>
        <v/>
      </c>
      <c r="J710" s="4" t="str">
        <f t="shared" si="80"/>
        <v/>
      </c>
      <c r="K710" s="13" t="str">
        <f>_xlfn.SINGLE(IF(F710="","",_xlfn.XLOOKUP(F710,purchase!D:D,purchase!#REF!,"")))</f>
        <v/>
      </c>
      <c r="L710" s="2"/>
      <c r="M710" s="32"/>
      <c r="N710" s="13" t="str">
        <f>IF(F710="","",
MAX(0,
_xlfn.XLOOKUP(F710,purchase!D:D,purchase!#REF!,"")
-
SUMIFS(L:L,F:F,F710)))</f>
        <v/>
      </c>
      <c r="O710" s="13" t="str">
        <f t="shared" si="81"/>
        <v/>
      </c>
      <c r="P710" s="35" t="str">
        <f>_xlfn.SINGLE(IF(F710="","",_xlfn.XLOOKUP(F710,purchase!D:D,purchase!K:K,"")))</f>
        <v/>
      </c>
      <c r="Q710" s="29" t="str">
        <f t="shared" si="82"/>
        <v/>
      </c>
      <c r="R710" s="37" t="str">
        <f t="shared" si="83"/>
        <v/>
      </c>
    </row>
    <row r="711" spans="1:18" x14ac:dyDescent="0.35">
      <c r="A711" s="8">
        <v>707</v>
      </c>
      <c r="B711" s="9" t="str">
        <f t="shared" si="77"/>
        <v/>
      </c>
      <c r="C711" s="10"/>
      <c r="D711" s="9" t="str">
        <f>IF(F711="","",_xlfn.XLOOKUP(F711,purchase!D:D,purchase!#REF!,""))</f>
        <v/>
      </c>
      <c r="E711" s="9" t="str">
        <f>IF(F711="","",_xlfn.XLOOKUP(F711,purchase!D:D,purchase!B:B,""))</f>
        <v/>
      </c>
      <c r="F711" s="2"/>
      <c r="G711" s="4" t="str">
        <f t="shared" si="78"/>
        <v/>
      </c>
      <c r="H711" s="4" t="str">
        <f>IF(F711="","",_xlfn.XLOOKUP(F711,purchase!D:D,purchase!#REF!,""))</f>
        <v/>
      </c>
      <c r="I711" s="4" t="str">
        <f t="shared" si="79"/>
        <v/>
      </c>
      <c r="J711" s="4" t="str">
        <f t="shared" si="80"/>
        <v/>
      </c>
      <c r="K711" s="13" t="str">
        <f>_xlfn.SINGLE(IF(F711="","",_xlfn.XLOOKUP(F711,purchase!D:D,purchase!#REF!,"")))</f>
        <v/>
      </c>
      <c r="L711" s="2"/>
      <c r="M711" s="32"/>
      <c r="N711" s="13" t="str">
        <f>IF(F711="","",
MAX(0,
_xlfn.XLOOKUP(F711,purchase!D:D,purchase!#REF!,"")
-
SUMIFS(L:L,F:F,F711)))</f>
        <v/>
      </c>
      <c r="O711" s="13" t="str">
        <f t="shared" si="81"/>
        <v/>
      </c>
      <c r="P711" s="35" t="str">
        <f>_xlfn.SINGLE(IF(F711="","",_xlfn.XLOOKUP(F711,purchase!D:D,purchase!K:K,"")))</f>
        <v/>
      </c>
      <c r="Q711" s="29" t="str">
        <f t="shared" si="82"/>
        <v/>
      </c>
      <c r="R711" s="37" t="str">
        <f t="shared" si="83"/>
        <v/>
      </c>
    </row>
    <row r="712" spans="1:18" x14ac:dyDescent="0.35">
      <c r="A712" s="8">
        <v>708</v>
      </c>
      <c r="B712" s="9" t="str">
        <f t="shared" si="77"/>
        <v/>
      </c>
      <c r="C712" s="10"/>
      <c r="D712" s="9" t="str">
        <f>IF(F712="","",_xlfn.XLOOKUP(F712,purchase!D:D,purchase!#REF!,""))</f>
        <v/>
      </c>
      <c r="E712" s="9" t="str">
        <f>IF(F712="","",_xlfn.XLOOKUP(F712,purchase!D:D,purchase!B:B,""))</f>
        <v/>
      </c>
      <c r="F712" s="2"/>
      <c r="G712" s="4" t="str">
        <f t="shared" si="78"/>
        <v/>
      </c>
      <c r="H712" s="4" t="str">
        <f>IF(F712="","",_xlfn.XLOOKUP(F712,purchase!D:D,purchase!#REF!,""))</f>
        <v/>
      </c>
      <c r="I712" s="4" t="str">
        <f t="shared" si="79"/>
        <v/>
      </c>
      <c r="J712" s="4" t="str">
        <f t="shared" si="80"/>
        <v/>
      </c>
      <c r="K712" s="13" t="str">
        <f>_xlfn.SINGLE(IF(F712="","",_xlfn.XLOOKUP(F712,purchase!D:D,purchase!#REF!,"")))</f>
        <v/>
      </c>
      <c r="L712" s="2"/>
      <c r="M712" s="32"/>
      <c r="N712" s="13" t="str">
        <f>IF(F712="","",
MAX(0,
_xlfn.XLOOKUP(F712,purchase!D:D,purchase!#REF!,"")
-
SUMIFS(L:L,F:F,F712)))</f>
        <v/>
      </c>
      <c r="O712" s="13" t="str">
        <f t="shared" si="81"/>
        <v/>
      </c>
      <c r="P712" s="35" t="str">
        <f>_xlfn.SINGLE(IF(F712="","",_xlfn.XLOOKUP(F712,purchase!D:D,purchase!K:K,"")))</f>
        <v/>
      </c>
      <c r="Q712" s="29" t="str">
        <f t="shared" si="82"/>
        <v/>
      </c>
      <c r="R712" s="37" t="str">
        <f t="shared" si="83"/>
        <v/>
      </c>
    </row>
    <row r="713" spans="1:18" x14ac:dyDescent="0.35">
      <c r="A713" s="8">
        <v>709</v>
      </c>
      <c r="B713" s="9" t="str">
        <f t="shared" si="77"/>
        <v/>
      </c>
      <c r="C713" s="10"/>
      <c r="D713" s="9" t="str">
        <f>IF(F713="","",_xlfn.XLOOKUP(F713,purchase!D:D,purchase!#REF!,""))</f>
        <v/>
      </c>
      <c r="E713" s="9" t="str">
        <f>IF(F713="","",_xlfn.XLOOKUP(F713,purchase!D:D,purchase!B:B,""))</f>
        <v/>
      </c>
      <c r="F713" s="2"/>
      <c r="G713" s="4" t="str">
        <f t="shared" si="78"/>
        <v/>
      </c>
      <c r="H713" s="4" t="str">
        <f>IF(F713="","",_xlfn.XLOOKUP(F713,purchase!D:D,purchase!#REF!,""))</f>
        <v/>
      </c>
      <c r="I713" s="4" t="str">
        <f t="shared" si="79"/>
        <v/>
      </c>
      <c r="J713" s="4" t="str">
        <f t="shared" si="80"/>
        <v/>
      </c>
      <c r="K713" s="13" t="str">
        <f>_xlfn.SINGLE(IF(F713="","",_xlfn.XLOOKUP(F713,purchase!D:D,purchase!#REF!,"")))</f>
        <v/>
      </c>
      <c r="L713" s="2"/>
      <c r="M713" s="32"/>
      <c r="N713" s="13" t="str">
        <f>IF(F713="","",
MAX(0,
_xlfn.XLOOKUP(F713,purchase!D:D,purchase!#REF!,"")
-
SUMIFS(L:L,F:F,F713)))</f>
        <v/>
      </c>
      <c r="O713" s="13" t="str">
        <f t="shared" si="81"/>
        <v/>
      </c>
      <c r="P713" s="35" t="str">
        <f>_xlfn.SINGLE(IF(F713="","",_xlfn.XLOOKUP(F713,purchase!D:D,purchase!K:K,"")))</f>
        <v/>
      </c>
      <c r="Q713" s="29" t="str">
        <f t="shared" si="82"/>
        <v/>
      </c>
      <c r="R713" s="37" t="str">
        <f t="shared" si="83"/>
        <v/>
      </c>
    </row>
    <row r="714" spans="1:18" x14ac:dyDescent="0.35">
      <c r="A714" s="8">
        <v>710</v>
      </c>
      <c r="B714" s="9" t="str">
        <f t="shared" si="77"/>
        <v/>
      </c>
      <c r="C714" s="10"/>
      <c r="D714" s="9" t="str">
        <f>IF(F714="","",_xlfn.XLOOKUP(F714,purchase!D:D,purchase!#REF!,""))</f>
        <v/>
      </c>
      <c r="E714" s="9" t="str">
        <f>IF(F714="","",_xlfn.XLOOKUP(F714,purchase!D:D,purchase!B:B,""))</f>
        <v/>
      </c>
      <c r="F714" s="2"/>
      <c r="G714" s="4" t="str">
        <f t="shared" si="78"/>
        <v/>
      </c>
      <c r="H714" s="4" t="str">
        <f>IF(F714="","",_xlfn.XLOOKUP(F714,purchase!D:D,purchase!#REF!,""))</f>
        <v/>
      </c>
      <c r="I714" s="4" t="str">
        <f t="shared" si="79"/>
        <v/>
      </c>
      <c r="J714" s="4" t="str">
        <f t="shared" si="80"/>
        <v/>
      </c>
      <c r="K714" s="13" t="str">
        <f>_xlfn.SINGLE(IF(F714="","",_xlfn.XLOOKUP(F714,purchase!D:D,purchase!#REF!,"")))</f>
        <v/>
      </c>
      <c r="L714" s="2"/>
      <c r="M714" s="32"/>
      <c r="N714" s="13" t="str">
        <f>IF(F714="","",
MAX(0,
_xlfn.XLOOKUP(F714,purchase!D:D,purchase!#REF!,"")
-
SUMIFS(L:L,F:F,F714)))</f>
        <v/>
      </c>
      <c r="O714" s="13" t="str">
        <f t="shared" si="81"/>
        <v/>
      </c>
      <c r="P714" s="35" t="str">
        <f>_xlfn.SINGLE(IF(F714="","",_xlfn.XLOOKUP(F714,purchase!D:D,purchase!K:K,"")))</f>
        <v/>
      </c>
      <c r="Q714" s="29" t="str">
        <f t="shared" si="82"/>
        <v/>
      </c>
      <c r="R714" s="37" t="str">
        <f t="shared" si="83"/>
        <v/>
      </c>
    </row>
    <row r="715" spans="1:18" x14ac:dyDescent="0.35">
      <c r="A715" s="8">
        <v>711</v>
      </c>
      <c r="B715" s="9" t="str">
        <f t="shared" si="77"/>
        <v/>
      </c>
      <c r="C715" s="10"/>
      <c r="D715" s="9" t="str">
        <f>IF(F715="","",_xlfn.XLOOKUP(F715,purchase!D:D,purchase!#REF!,""))</f>
        <v/>
      </c>
      <c r="E715" s="9" t="str">
        <f>IF(F715="","",_xlfn.XLOOKUP(F715,purchase!D:D,purchase!B:B,""))</f>
        <v/>
      </c>
      <c r="F715" s="2"/>
      <c r="G715" s="4" t="str">
        <f t="shared" si="78"/>
        <v/>
      </c>
      <c r="H715" s="4" t="str">
        <f>IF(F715="","",_xlfn.XLOOKUP(F715,purchase!D:D,purchase!#REF!,""))</f>
        <v/>
      </c>
      <c r="I715" s="4" t="str">
        <f t="shared" si="79"/>
        <v/>
      </c>
      <c r="J715" s="4" t="str">
        <f t="shared" si="80"/>
        <v/>
      </c>
      <c r="K715" s="13" t="str">
        <f>_xlfn.SINGLE(IF(F715="","",_xlfn.XLOOKUP(F715,purchase!D:D,purchase!#REF!,"")))</f>
        <v/>
      </c>
      <c r="L715" s="2"/>
      <c r="M715" s="32"/>
      <c r="N715" s="13" t="str">
        <f>IF(F715="","",
MAX(0,
_xlfn.XLOOKUP(F715,purchase!D:D,purchase!#REF!,"")
-
SUMIFS(L:L,F:F,F715)))</f>
        <v/>
      </c>
      <c r="O715" s="13" t="str">
        <f t="shared" si="81"/>
        <v/>
      </c>
      <c r="P715" s="35" t="str">
        <f>_xlfn.SINGLE(IF(F715="","",_xlfn.XLOOKUP(F715,purchase!D:D,purchase!K:K,"")))</f>
        <v/>
      </c>
      <c r="Q715" s="29" t="str">
        <f t="shared" si="82"/>
        <v/>
      </c>
      <c r="R715" s="37" t="str">
        <f t="shared" si="83"/>
        <v/>
      </c>
    </row>
    <row r="716" spans="1:18" x14ac:dyDescent="0.35">
      <c r="A716" s="8">
        <v>712</v>
      </c>
      <c r="B716" s="9" t="str">
        <f t="shared" si="77"/>
        <v/>
      </c>
      <c r="C716" s="10"/>
      <c r="D716" s="9" t="str">
        <f>IF(F716="","",_xlfn.XLOOKUP(F716,purchase!D:D,purchase!#REF!,""))</f>
        <v/>
      </c>
      <c r="E716" s="9" t="str">
        <f>IF(F716="","",_xlfn.XLOOKUP(F716,purchase!D:D,purchase!B:B,""))</f>
        <v/>
      </c>
      <c r="F716" s="2"/>
      <c r="G716" s="4" t="str">
        <f t="shared" si="78"/>
        <v/>
      </c>
      <c r="H716" s="4" t="str">
        <f>IF(F716="","",_xlfn.XLOOKUP(F716,purchase!D:D,purchase!#REF!,""))</f>
        <v/>
      </c>
      <c r="I716" s="4" t="str">
        <f t="shared" si="79"/>
        <v/>
      </c>
      <c r="J716" s="4" t="str">
        <f t="shared" si="80"/>
        <v/>
      </c>
      <c r="K716" s="13" t="str">
        <f>_xlfn.SINGLE(IF(F716="","",_xlfn.XLOOKUP(F716,purchase!D:D,purchase!#REF!,"")))</f>
        <v/>
      </c>
      <c r="L716" s="2"/>
      <c r="M716" s="32"/>
      <c r="N716" s="13" t="str">
        <f>IF(F716="","",
MAX(0,
_xlfn.XLOOKUP(F716,purchase!D:D,purchase!#REF!,"")
-
SUMIFS(L:L,F:F,F716)))</f>
        <v/>
      </c>
      <c r="O716" s="13" t="str">
        <f t="shared" si="81"/>
        <v/>
      </c>
      <c r="P716" s="35" t="str">
        <f>_xlfn.SINGLE(IF(F716="","",_xlfn.XLOOKUP(F716,purchase!D:D,purchase!K:K,"")))</f>
        <v/>
      </c>
      <c r="Q716" s="29" t="str">
        <f t="shared" si="82"/>
        <v/>
      </c>
      <c r="R716" s="37" t="str">
        <f t="shared" si="83"/>
        <v/>
      </c>
    </row>
    <row r="717" spans="1:18" x14ac:dyDescent="0.35">
      <c r="A717" s="8">
        <v>713</v>
      </c>
      <c r="B717" s="9" t="str">
        <f t="shared" si="77"/>
        <v/>
      </c>
      <c r="C717" s="10"/>
      <c r="D717" s="9" t="str">
        <f>IF(F717="","",_xlfn.XLOOKUP(F717,purchase!D:D,purchase!#REF!,""))</f>
        <v/>
      </c>
      <c r="E717" s="9" t="str">
        <f>IF(F717="","",_xlfn.XLOOKUP(F717,purchase!D:D,purchase!B:B,""))</f>
        <v/>
      </c>
      <c r="F717" s="2"/>
      <c r="G717" s="4" t="str">
        <f t="shared" si="78"/>
        <v/>
      </c>
      <c r="H717" s="4" t="str">
        <f>IF(F717="","",_xlfn.XLOOKUP(F717,purchase!D:D,purchase!#REF!,""))</f>
        <v/>
      </c>
      <c r="I717" s="4" t="str">
        <f t="shared" si="79"/>
        <v/>
      </c>
      <c r="J717" s="4" t="str">
        <f t="shared" si="80"/>
        <v/>
      </c>
      <c r="K717" s="13" t="str">
        <f>_xlfn.SINGLE(IF(F717="","",_xlfn.XLOOKUP(F717,purchase!D:D,purchase!#REF!,"")))</f>
        <v/>
      </c>
      <c r="L717" s="2"/>
      <c r="M717" s="32"/>
      <c r="N717" s="13" t="str">
        <f>IF(F717="","",
MAX(0,
_xlfn.XLOOKUP(F717,purchase!D:D,purchase!#REF!,"")
-
SUMIFS(L:L,F:F,F717)))</f>
        <v/>
      </c>
      <c r="O717" s="13" t="str">
        <f t="shared" si="81"/>
        <v/>
      </c>
      <c r="P717" s="35" t="str">
        <f>_xlfn.SINGLE(IF(F717="","",_xlfn.XLOOKUP(F717,purchase!D:D,purchase!K:K,"")))</f>
        <v/>
      </c>
      <c r="Q717" s="29" t="str">
        <f t="shared" si="82"/>
        <v/>
      </c>
      <c r="R717" s="37" t="str">
        <f t="shared" si="83"/>
        <v/>
      </c>
    </row>
    <row r="718" spans="1:18" x14ac:dyDescent="0.35">
      <c r="A718" s="8">
        <v>714</v>
      </c>
      <c r="B718" s="9" t="str">
        <f t="shared" si="77"/>
        <v/>
      </c>
      <c r="C718" s="10"/>
      <c r="D718" s="9" t="str">
        <f>IF(F718="","",_xlfn.XLOOKUP(F718,purchase!D:D,purchase!#REF!,""))</f>
        <v/>
      </c>
      <c r="E718" s="9" t="str">
        <f>IF(F718="","",_xlfn.XLOOKUP(F718,purchase!D:D,purchase!B:B,""))</f>
        <v/>
      </c>
      <c r="F718" s="2"/>
      <c r="G718" s="4" t="str">
        <f t="shared" si="78"/>
        <v/>
      </c>
      <c r="H718" s="4" t="str">
        <f>IF(F718="","",_xlfn.XLOOKUP(F718,purchase!D:D,purchase!#REF!,""))</f>
        <v/>
      </c>
      <c r="I718" s="4" t="str">
        <f t="shared" si="79"/>
        <v/>
      </c>
      <c r="J718" s="4" t="str">
        <f t="shared" si="80"/>
        <v/>
      </c>
      <c r="K718" s="13" t="str">
        <f>_xlfn.SINGLE(IF(F718="","",_xlfn.XLOOKUP(F718,purchase!D:D,purchase!#REF!,"")))</f>
        <v/>
      </c>
      <c r="L718" s="2"/>
      <c r="M718" s="32"/>
      <c r="N718" s="13" t="str">
        <f>IF(F718="","",
MAX(0,
_xlfn.XLOOKUP(F718,purchase!D:D,purchase!#REF!,"")
-
SUMIFS(L:L,F:F,F718)))</f>
        <v/>
      </c>
      <c r="O718" s="13" t="str">
        <f t="shared" si="81"/>
        <v/>
      </c>
      <c r="P718" s="35" t="str">
        <f>_xlfn.SINGLE(IF(F718="","",_xlfn.XLOOKUP(F718,purchase!D:D,purchase!K:K,"")))</f>
        <v/>
      </c>
      <c r="Q718" s="29" t="str">
        <f t="shared" si="82"/>
        <v/>
      </c>
      <c r="R718" s="37" t="str">
        <f t="shared" si="83"/>
        <v/>
      </c>
    </row>
    <row r="719" spans="1:18" x14ac:dyDescent="0.35">
      <c r="A719" s="8">
        <v>715</v>
      </c>
      <c r="B719" s="9" t="str">
        <f t="shared" si="77"/>
        <v/>
      </c>
      <c r="C719" s="10"/>
      <c r="D719" s="9" t="str">
        <f>IF(F719="","",_xlfn.XLOOKUP(F719,purchase!D:D,purchase!#REF!,""))</f>
        <v/>
      </c>
      <c r="E719" s="9" t="str">
        <f>IF(F719="","",_xlfn.XLOOKUP(F719,purchase!D:D,purchase!B:B,""))</f>
        <v/>
      </c>
      <c r="F719" s="2"/>
      <c r="G719" s="4" t="str">
        <f t="shared" si="78"/>
        <v/>
      </c>
      <c r="H719" s="4" t="str">
        <f>IF(F719="","",_xlfn.XLOOKUP(F719,purchase!D:D,purchase!#REF!,""))</f>
        <v/>
      </c>
      <c r="I719" s="4" t="str">
        <f t="shared" si="79"/>
        <v/>
      </c>
      <c r="J719" s="4" t="str">
        <f t="shared" si="80"/>
        <v/>
      </c>
      <c r="K719" s="13" t="str">
        <f>_xlfn.SINGLE(IF(F719="","",_xlfn.XLOOKUP(F719,purchase!D:D,purchase!#REF!,"")))</f>
        <v/>
      </c>
      <c r="L719" s="2"/>
      <c r="M719" s="32"/>
      <c r="N719" s="13" t="str">
        <f>IF(F719="","",
MAX(0,
_xlfn.XLOOKUP(F719,purchase!D:D,purchase!#REF!,"")
-
SUMIFS(L:L,F:F,F719)))</f>
        <v/>
      </c>
      <c r="O719" s="13" t="str">
        <f t="shared" si="81"/>
        <v/>
      </c>
      <c r="P719" s="35" t="str">
        <f>_xlfn.SINGLE(IF(F719="","",_xlfn.XLOOKUP(F719,purchase!D:D,purchase!K:K,"")))</f>
        <v/>
      </c>
      <c r="Q719" s="29" t="str">
        <f t="shared" si="82"/>
        <v/>
      </c>
      <c r="R719" s="37" t="str">
        <f t="shared" si="83"/>
        <v/>
      </c>
    </row>
    <row r="720" spans="1:18" x14ac:dyDescent="0.35">
      <c r="A720" s="8">
        <v>716</v>
      </c>
      <c r="B720" s="9" t="str">
        <f t="shared" si="77"/>
        <v/>
      </c>
      <c r="C720" s="10"/>
      <c r="D720" s="9" t="str">
        <f>IF(F720="","",_xlfn.XLOOKUP(F720,purchase!D:D,purchase!#REF!,""))</f>
        <v/>
      </c>
      <c r="E720" s="9" t="str">
        <f>IF(F720="","",_xlfn.XLOOKUP(F720,purchase!D:D,purchase!B:B,""))</f>
        <v/>
      </c>
      <c r="F720" s="2"/>
      <c r="G720" s="4" t="str">
        <f t="shared" si="78"/>
        <v/>
      </c>
      <c r="H720" s="4" t="str">
        <f>IF(F720="","",_xlfn.XLOOKUP(F720,purchase!D:D,purchase!#REF!,""))</f>
        <v/>
      </c>
      <c r="I720" s="4" t="str">
        <f t="shared" si="79"/>
        <v/>
      </c>
      <c r="J720" s="4" t="str">
        <f t="shared" si="80"/>
        <v/>
      </c>
      <c r="K720" s="13" t="str">
        <f>_xlfn.SINGLE(IF(F720="","",_xlfn.XLOOKUP(F720,purchase!D:D,purchase!#REF!,"")))</f>
        <v/>
      </c>
      <c r="L720" s="2"/>
      <c r="M720" s="32"/>
      <c r="N720" s="13" t="str">
        <f>IF(F720="","",
MAX(0,
_xlfn.XLOOKUP(F720,purchase!D:D,purchase!#REF!,"")
-
SUMIFS(L:L,F:F,F720)))</f>
        <v/>
      </c>
      <c r="O720" s="13" t="str">
        <f t="shared" si="81"/>
        <v/>
      </c>
      <c r="P720" s="35" t="str">
        <f>_xlfn.SINGLE(IF(F720="","",_xlfn.XLOOKUP(F720,purchase!D:D,purchase!K:K,"")))</f>
        <v/>
      </c>
      <c r="Q720" s="29" t="str">
        <f t="shared" si="82"/>
        <v/>
      </c>
      <c r="R720" s="37" t="str">
        <f t="shared" si="83"/>
        <v/>
      </c>
    </row>
    <row r="721" spans="1:18" x14ac:dyDescent="0.35">
      <c r="A721" s="8">
        <v>717</v>
      </c>
      <c r="B721" s="9" t="str">
        <f t="shared" si="77"/>
        <v/>
      </c>
      <c r="C721" s="10"/>
      <c r="D721" s="9" t="str">
        <f>IF(F721="","",_xlfn.XLOOKUP(F721,purchase!D:D,purchase!#REF!,""))</f>
        <v/>
      </c>
      <c r="E721" s="9" t="str">
        <f>IF(F721="","",_xlfn.XLOOKUP(F721,purchase!D:D,purchase!B:B,""))</f>
        <v/>
      </c>
      <c r="F721" s="2"/>
      <c r="G721" s="4" t="str">
        <f t="shared" si="78"/>
        <v/>
      </c>
      <c r="H721" s="4" t="str">
        <f>IF(F721="","",_xlfn.XLOOKUP(F721,purchase!D:D,purchase!#REF!,""))</f>
        <v/>
      </c>
      <c r="I721" s="4" t="str">
        <f t="shared" si="79"/>
        <v/>
      </c>
      <c r="J721" s="4" t="str">
        <f t="shared" si="80"/>
        <v/>
      </c>
      <c r="K721" s="13" t="str">
        <f>_xlfn.SINGLE(IF(F721="","",_xlfn.XLOOKUP(F721,purchase!D:D,purchase!#REF!,"")))</f>
        <v/>
      </c>
      <c r="L721" s="2"/>
      <c r="M721" s="32"/>
      <c r="N721" s="13" t="str">
        <f>IF(F721="","",
MAX(0,
_xlfn.XLOOKUP(F721,purchase!D:D,purchase!#REF!,"")
-
SUMIFS(L:L,F:F,F721)))</f>
        <v/>
      </c>
      <c r="O721" s="13" t="str">
        <f t="shared" si="81"/>
        <v/>
      </c>
      <c r="P721" s="35" t="str">
        <f>_xlfn.SINGLE(IF(F721="","",_xlfn.XLOOKUP(F721,purchase!D:D,purchase!K:K,"")))</f>
        <v/>
      </c>
      <c r="Q721" s="29" t="str">
        <f t="shared" si="82"/>
        <v/>
      </c>
      <c r="R721" s="37" t="str">
        <f t="shared" si="83"/>
        <v/>
      </c>
    </row>
    <row r="722" spans="1:18" x14ac:dyDescent="0.35">
      <c r="A722" s="8">
        <v>718</v>
      </c>
      <c r="B722" s="9" t="str">
        <f t="shared" si="77"/>
        <v/>
      </c>
      <c r="C722" s="10"/>
      <c r="D722" s="9" t="str">
        <f>IF(F722="","",_xlfn.XLOOKUP(F722,purchase!D:D,purchase!#REF!,""))</f>
        <v/>
      </c>
      <c r="E722" s="9" t="str">
        <f>IF(F722="","",_xlfn.XLOOKUP(F722,purchase!D:D,purchase!B:B,""))</f>
        <v/>
      </c>
      <c r="F722" s="2"/>
      <c r="G722" s="4" t="str">
        <f t="shared" si="78"/>
        <v/>
      </c>
      <c r="H722" s="4" t="str">
        <f>IF(F722="","",_xlfn.XLOOKUP(F722,purchase!D:D,purchase!#REF!,""))</f>
        <v/>
      </c>
      <c r="I722" s="4" t="str">
        <f t="shared" si="79"/>
        <v/>
      </c>
      <c r="J722" s="4" t="str">
        <f t="shared" si="80"/>
        <v/>
      </c>
      <c r="K722" s="13" t="str">
        <f>_xlfn.SINGLE(IF(F722="","",_xlfn.XLOOKUP(F722,purchase!D:D,purchase!#REF!,"")))</f>
        <v/>
      </c>
      <c r="L722" s="2"/>
      <c r="M722" s="32"/>
      <c r="N722" s="13" t="str">
        <f>IF(F722="","",
MAX(0,
_xlfn.XLOOKUP(F722,purchase!D:D,purchase!#REF!,"")
-
SUMIFS(L:L,F:F,F722)))</f>
        <v/>
      </c>
      <c r="O722" s="13" t="str">
        <f t="shared" si="81"/>
        <v/>
      </c>
      <c r="P722" s="35" t="str">
        <f>_xlfn.SINGLE(IF(F722="","",_xlfn.XLOOKUP(F722,purchase!D:D,purchase!K:K,"")))</f>
        <v/>
      </c>
      <c r="Q722" s="29" t="str">
        <f t="shared" si="82"/>
        <v/>
      </c>
      <c r="R722" s="37" t="str">
        <f t="shared" si="83"/>
        <v/>
      </c>
    </row>
    <row r="723" spans="1:18" x14ac:dyDescent="0.35">
      <c r="A723" s="8">
        <v>719</v>
      </c>
      <c r="B723" s="9" t="str">
        <f t="shared" si="77"/>
        <v/>
      </c>
      <c r="C723" s="10"/>
      <c r="D723" s="9" t="str">
        <f>IF(F723="","",_xlfn.XLOOKUP(F723,purchase!D:D,purchase!#REF!,""))</f>
        <v/>
      </c>
      <c r="E723" s="9" t="str">
        <f>IF(F723="","",_xlfn.XLOOKUP(F723,purchase!D:D,purchase!B:B,""))</f>
        <v/>
      </c>
      <c r="F723" s="2"/>
      <c r="G723" s="4" t="str">
        <f t="shared" si="78"/>
        <v/>
      </c>
      <c r="H723" s="4" t="str">
        <f>IF(F723="","",_xlfn.XLOOKUP(F723,purchase!D:D,purchase!#REF!,""))</f>
        <v/>
      </c>
      <c r="I723" s="4" t="str">
        <f t="shared" si="79"/>
        <v/>
      </c>
      <c r="J723" s="4" t="str">
        <f t="shared" si="80"/>
        <v/>
      </c>
      <c r="K723" s="13" t="str">
        <f>_xlfn.SINGLE(IF(F723="","",_xlfn.XLOOKUP(F723,purchase!D:D,purchase!#REF!,"")))</f>
        <v/>
      </c>
      <c r="L723" s="2"/>
      <c r="M723" s="32"/>
      <c r="N723" s="13" t="str">
        <f>IF(F723="","",
MAX(0,
_xlfn.XLOOKUP(F723,purchase!D:D,purchase!#REF!,"")
-
SUMIFS(L:L,F:F,F723)))</f>
        <v/>
      </c>
      <c r="O723" s="13" t="str">
        <f t="shared" si="81"/>
        <v/>
      </c>
      <c r="P723" s="35" t="str">
        <f>_xlfn.SINGLE(IF(F723="","",_xlfn.XLOOKUP(F723,purchase!D:D,purchase!K:K,"")))</f>
        <v/>
      </c>
      <c r="Q723" s="29" t="str">
        <f t="shared" si="82"/>
        <v/>
      </c>
      <c r="R723" s="37" t="str">
        <f t="shared" si="83"/>
        <v/>
      </c>
    </row>
    <row r="724" spans="1:18" x14ac:dyDescent="0.35">
      <c r="A724" s="8">
        <v>720</v>
      </c>
      <c r="B724" s="9" t="str">
        <f t="shared" si="77"/>
        <v/>
      </c>
      <c r="C724" s="10"/>
      <c r="D724" s="9" t="str">
        <f>IF(F724="","",_xlfn.XLOOKUP(F724,purchase!D:D,purchase!#REF!,""))</f>
        <v/>
      </c>
      <c r="E724" s="9" t="str">
        <f>IF(F724="","",_xlfn.XLOOKUP(F724,purchase!D:D,purchase!B:B,""))</f>
        <v/>
      </c>
      <c r="F724" s="2"/>
      <c r="G724" s="4" t="str">
        <f t="shared" si="78"/>
        <v/>
      </c>
      <c r="H724" s="4" t="str">
        <f>IF(F724="","",_xlfn.XLOOKUP(F724,purchase!D:D,purchase!#REF!,""))</f>
        <v/>
      </c>
      <c r="I724" s="4" t="str">
        <f t="shared" si="79"/>
        <v/>
      </c>
      <c r="J724" s="4" t="str">
        <f t="shared" si="80"/>
        <v/>
      </c>
      <c r="K724" s="13" t="str">
        <f>_xlfn.SINGLE(IF(F724="","",_xlfn.XLOOKUP(F724,purchase!D:D,purchase!#REF!,"")))</f>
        <v/>
      </c>
      <c r="L724" s="2"/>
      <c r="M724" s="32"/>
      <c r="N724" s="13" t="str">
        <f>IF(F724="","",
MAX(0,
_xlfn.XLOOKUP(F724,purchase!D:D,purchase!#REF!,"")
-
SUMIFS(L:L,F:F,F724)))</f>
        <v/>
      </c>
      <c r="O724" s="13" t="str">
        <f t="shared" si="81"/>
        <v/>
      </c>
      <c r="P724" s="35" t="str">
        <f>_xlfn.SINGLE(IF(F724="","",_xlfn.XLOOKUP(F724,purchase!D:D,purchase!K:K,"")))</f>
        <v/>
      </c>
      <c r="Q724" s="29" t="str">
        <f t="shared" si="82"/>
        <v/>
      </c>
      <c r="R724" s="37" t="str">
        <f t="shared" si="83"/>
        <v/>
      </c>
    </row>
    <row r="725" spans="1:18" x14ac:dyDescent="0.35">
      <c r="A725" s="8">
        <v>721</v>
      </c>
      <c r="B725" s="9" t="str">
        <f t="shared" si="77"/>
        <v/>
      </c>
      <c r="C725" s="10"/>
      <c r="D725" s="9" t="str">
        <f>IF(F725="","",_xlfn.XLOOKUP(F725,purchase!D:D,purchase!#REF!,""))</f>
        <v/>
      </c>
      <c r="E725" s="9" t="str">
        <f>IF(F725="","",_xlfn.XLOOKUP(F725,purchase!D:D,purchase!B:B,""))</f>
        <v/>
      </c>
      <c r="F725" s="2"/>
      <c r="G725" s="4" t="str">
        <f t="shared" si="78"/>
        <v/>
      </c>
      <c r="H725" s="4" t="str">
        <f>IF(F725="","",_xlfn.XLOOKUP(F725,purchase!D:D,purchase!#REF!,""))</f>
        <v/>
      </c>
      <c r="I725" s="4" t="str">
        <f t="shared" si="79"/>
        <v/>
      </c>
      <c r="J725" s="4" t="str">
        <f t="shared" si="80"/>
        <v/>
      </c>
      <c r="K725" s="13" t="str">
        <f>_xlfn.SINGLE(IF(F725="","",_xlfn.XLOOKUP(F725,purchase!D:D,purchase!#REF!,"")))</f>
        <v/>
      </c>
      <c r="L725" s="2"/>
      <c r="M725" s="32"/>
      <c r="N725" s="13" t="str">
        <f>IF(F725="","",
MAX(0,
_xlfn.XLOOKUP(F725,purchase!D:D,purchase!#REF!,"")
-
SUMIFS(L:L,F:F,F725)))</f>
        <v/>
      </c>
      <c r="O725" s="13" t="str">
        <f t="shared" si="81"/>
        <v/>
      </c>
      <c r="P725" s="35" t="str">
        <f>_xlfn.SINGLE(IF(F725="","",_xlfn.XLOOKUP(F725,purchase!D:D,purchase!K:K,"")))</f>
        <v/>
      </c>
      <c r="Q725" s="29" t="str">
        <f t="shared" si="82"/>
        <v/>
      </c>
      <c r="R725" s="37" t="str">
        <f t="shared" si="83"/>
        <v/>
      </c>
    </row>
    <row r="726" spans="1:18" x14ac:dyDescent="0.35">
      <c r="A726" s="8">
        <v>722</v>
      </c>
      <c r="B726" s="9" t="str">
        <f t="shared" si="77"/>
        <v/>
      </c>
      <c r="C726" s="10"/>
      <c r="D726" s="9" t="str">
        <f>IF(F726="","",_xlfn.XLOOKUP(F726,purchase!D:D,purchase!#REF!,""))</f>
        <v/>
      </c>
      <c r="E726" s="9" t="str">
        <f>IF(F726="","",_xlfn.XLOOKUP(F726,purchase!D:D,purchase!B:B,""))</f>
        <v/>
      </c>
      <c r="F726" s="2"/>
      <c r="G726" s="4" t="str">
        <f t="shared" si="78"/>
        <v/>
      </c>
      <c r="H726" s="4" t="str">
        <f>IF(F726="","",_xlfn.XLOOKUP(F726,purchase!D:D,purchase!#REF!,""))</f>
        <v/>
      </c>
      <c r="I726" s="4" t="str">
        <f t="shared" si="79"/>
        <v/>
      </c>
      <c r="J726" s="4" t="str">
        <f t="shared" si="80"/>
        <v/>
      </c>
      <c r="K726" s="13" t="str">
        <f>_xlfn.SINGLE(IF(F726="","",_xlfn.XLOOKUP(F726,purchase!D:D,purchase!#REF!,"")))</f>
        <v/>
      </c>
      <c r="L726" s="2"/>
      <c r="M726" s="32"/>
      <c r="N726" s="13" t="str">
        <f>IF(F726="","",
MAX(0,
_xlfn.XLOOKUP(F726,purchase!D:D,purchase!#REF!,"")
-
SUMIFS(L:L,F:F,F726)))</f>
        <v/>
      </c>
      <c r="O726" s="13" t="str">
        <f t="shared" si="81"/>
        <v/>
      </c>
      <c r="P726" s="35" t="str">
        <f>_xlfn.SINGLE(IF(F726="","",_xlfn.XLOOKUP(F726,purchase!D:D,purchase!K:K,"")))</f>
        <v/>
      </c>
      <c r="Q726" s="29" t="str">
        <f t="shared" si="82"/>
        <v/>
      </c>
      <c r="R726" s="37" t="str">
        <f t="shared" si="83"/>
        <v/>
      </c>
    </row>
    <row r="727" spans="1:18" x14ac:dyDescent="0.35">
      <c r="A727" s="8">
        <v>723</v>
      </c>
      <c r="B727" s="9" t="str">
        <f t="shared" si="77"/>
        <v/>
      </c>
      <c r="C727" s="10"/>
      <c r="D727" s="9" t="str">
        <f>IF(F727="","",_xlfn.XLOOKUP(F727,purchase!D:D,purchase!#REF!,""))</f>
        <v/>
      </c>
      <c r="E727" s="9" t="str">
        <f>IF(F727="","",_xlfn.XLOOKUP(F727,purchase!D:D,purchase!B:B,""))</f>
        <v/>
      </c>
      <c r="F727" s="2"/>
      <c r="G727" s="4" t="str">
        <f t="shared" si="78"/>
        <v/>
      </c>
      <c r="H727" s="4" t="str">
        <f>IF(F727="","",_xlfn.XLOOKUP(F727,purchase!D:D,purchase!#REF!,""))</f>
        <v/>
      </c>
      <c r="I727" s="4" t="str">
        <f t="shared" si="79"/>
        <v/>
      </c>
      <c r="J727" s="4" t="str">
        <f t="shared" si="80"/>
        <v/>
      </c>
      <c r="K727" s="13" t="str">
        <f>_xlfn.SINGLE(IF(F727="","",_xlfn.XLOOKUP(F727,purchase!D:D,purchase!#REF!,"")))</f>
        <v/>
      </c>
      <c r="L727" s="2"/>
      <c r="M727" s="32"/>
      <c r="N727" s="13" t="str">
        <f>IF(F727="","",
MAX(0,
_xlfn.XLOOKUP(F727,purchase!D:D,purchase!#REF!,"")
-
SUMIFS(L:L,F:F,F727)))</f>
        <v/>
      </c>
      <c r="O727" s="13" t="str">
        <f t="shared" si="81"/>
        <v/>
      </c>
      <c r="P727" s="35" t="str">
        <f>_xlfn.SINGLE(IF(F727="","",_xlfn.XLOOKUP(F727,purchase!D:D,purchase!K:K,"")))</f>
        <v/>
      </c>
      <c r="Q727" s="29" t="str">
        <f t="shared" si="82"/>
        <v/>
      </c>
      <c r="R727" s="37" t="str">
        <f t="shared" si="83"/>
        <v/>
      </c>
    </row>
    <row r="728" spans="1:18" x14ac:dyDescent="0.35">
      <c r="A728" s="8">
        <v>724</v>
      </c>
      <c r="B728" s="9" t="str">
        <f t="shared" si="77"/>
        <v/>
      </c>
      <c r="C728" s="10"/>
      <c r="D728" s="9" t="str">
        <f>IF(F728="","",_xlfn.XLOOKUP(F728,purchase!D:D,purchase!#REF!,""))</f>
        <v/>
      </c>
      <c r="E728" s="9" t="str">
        <f>IF(F728="","",_xlfn.XLOOKUP(F728,purchase!D:D,purchase!B:B,""))</f>
        <v/>
      </c>
      <c r="F728" s="2"/>
      <c r="G728" s="4" t="str">
        <f t="shared" si="78"/>
        <v/>
      </c>
      <c r="H728" s="4" t="str">
        <f>IF(F728="","",_xlfn.XLOOKUP(F728,purchase!D:D,purchase!#REF!,""))</f>
        <v/>
      </c>
      <c r="I728" s="4" t="str">
        <f t="shared" si="79"/>
        <v/>
      </c>
      <c r="J728" s="4" t="str">
        <f t="shared" si="80"/>
        <v/>
      </c>
      <c r="K728" s="13" t="str">
        <f>_xlfn.SINGLE(IF(F728="","",_xlfn.XLOOKUP(F728,purchase!D:D,purchase!#REF!,"")))</f>
        <v/>
      </c>
      <c r="L728" s="2"/>
      <c r="M728" s="32"/>
      <c r="N728" s="13" t="str">
        <f>IF(F728="","",
MAX(0,
_xlfn.XLOOKUP(F728,purchase!D:D,purchase!#REF!,"")
-
SUMIFS(L:L,F:F,F728)))</f>
        <v/>
      </c>
      <c r="O728" s="13" t="str">
        <f t="shared" si="81"/>
        <v/>
      </c>
      <c r="P728" s="35" t="str">
        <f>_xlfn.SINGLE(IF(F728="","",_xlfn.XLOOKUP(F728,purchase!D:D,purchase!K:K,"")))</f>
        <v/>
      </c>
      <c r="Q728" s="29" t="str">
        <f t="shared" si="82"/>
        <v/>
      </c>
      <c r="R728" s="37" t="str">
        <f t="shared" si="83"/>
        <v/>
      </c>
    </row>
    <row r="729" spans="1:18" x14ac:dyDescent="0.35">
      <c r="A729" s="8">
        <v>725</v>
      </c>
      <c r="B729" s="9" t="str">
        <f t="shared" si="77"/>
        <v/>
      </c>
      <c r="C729" s="10"/>
      <c r="D729" s="9" t="str">
        <f>IF(F729="","",_xlfn.XLOOKUP(F729,purchase!D:D,purchase!#REF!,""))</f>
        <v/>
      </c>
      <c r="E729" s="9" t="str">
        <f>IF(F729="","",_xlfn.XLOOKUP(F729,purchase!D:D,purchase!B:B,""))</f>
        <v/>
      </c>
      <c r="F729" s="2"/>
      <c r="G729" s="4" t="str">
        <f t="shared" si="78"/>
        <v/>
      </c>
      <c r="H729" s="4" t="str">
        <f>IF(F729="","",_xlfn.XLOOKUP(F729,purchase!D:D,purchase!#REF!,""))</f>
        <v/>
      </c>
      <c r="I729" s="4" t="str">
        <f t="shared" si="79"/>
        <v/>
      </c>
      <c r="J729" s="4" t="str">
        <f t="shared" si="80"/>
        <v/>
      </c>
      <c r="K729" s="13" t="str">
        <f>_xlfn.SINGLE(IF(F729="","",_xlfn.XLOOKUP(F729,purchase!D:D,purchase!#REF!,"")))</f>
        <v/>
      </c>
      <c r="L729" s="2"/>
      <c r="M729" s="32"/>
      <c r="N729" s="13" t="str">
        <f>IF(F729="","",
MAX(0,
_xlfn.XLOOKUP(F729,purchase!D:D,purchase!#REF!,"")
-
SUMIFS(L:L,F:F,F729)))</f>
        <v/>
      </c>
      <c r="O729" s="13" t="str">
        <f t="shared" si="81"/>
        <v/>
      </c>
      <c r="P729" s="35" t="str">
        <f>_xlfn.SINGLE(IF(F729="","",_xlfn.XLOOKUP(F729,purchase!D:D,purchase!K:K,"")))</f>
        <v/>
      </c>
      <c r="Q729" s="29" t="str">
        <f t="shared" si="82"/>
        <v/>
      </c>
      <c r="R729" s="37" t="str">
        <f t="shared" si="83"/>
        <v/>
      </c>
    </row>
    <row r="730" spans="1:18" x14ac:dyDescent="0.35">
      <c r="A730" s="8">
        <v>726</v>
      </c>
      <c r="B730" s="9" t="str">
        <f t="shared" si="77"/>
        <v/>
      </c>
      <c r="C730" s="10"/>
      <c r="D730" s="9" t="str">
        <f>IF(F730="","",_xlfn.XLOOKUP(F730,purchase!D:D,purchase!#REF!,""))</f>
        <v/>
      </c>
      <c r="E730" s="9" t="str">
        <f>IF(F730="","",_xlfn.XLOOKUP(F730,purchase!D:D,purchase!B:B,""))</f>
        <v/>
      </c>
      <c r="F730" s="2"/>
      <c r="G730" s="4" t="str">
        <f t="shared" si="78"/>
        <v/>
      </c>
      <c r="H730" s="4" t="str">
        <f>IF(F730="","",_xlfn.XLOOKUP(F730,purchase!D:D,purchase!#REF!,""))</f>
        <v/>
      </c>
      <c r="I730" s="4" t="str">
        <f t="shared" si="79"/>
        <v/>
      </c>
      <c r="J730" s="4" t="str">
        <f t="shared" si="80"/>
        <v/>
      </c>
      <c r="K730" s="13" t="str">
        <f>_xlfn.SINGLE(IF(F730="","",_xlfn.XLOOKUP(F730,purchase!D:D,purchase!#REF!,"")))</f>
        <v/>
      </c>
      <c r="L730" s="2"/>
      <c r="M730" s="32"/>
      <c r="N730" s="13" t="str">
        <f>IF(F730="","",
MAX(0,
_xlfn.XLOOKUP(F730,purchase!D:D,purchase!#REF!,"")
-
SUMIFS(L:L,F:F,F730)))</f>
        <v/>
      </c>
      <c r="O730" s="13" t="str">
        <f t="shared" si="81"/>
        <v/>
      </c>
      <c r="P730" s="35" t="str">
        <f>_xlfn.SINGLE(IF(F730="","",_xlfn.XLOOKUP(F730,purchase!D:D,purchase!K:K,"")))</f>
        <v/>
      </c>
      <c r="Q730" s="29" t="str">
        <f t="shared" si="82"/>
        <v/>
      </c>
      <c r="R730" s="37" t="str">
        <f t="shared" si="83"/>
        <v/>
      </c>
    </row>
    <row r="731" spans="1:18" x14ac:dyDescent="0.35">
      <c r="A731" s="8">
        <v>727</v>
      </c>
      <c r="B731" s="9" t="str">
        <f t="shared" si="77"/>
        <v/>
      </c>
      <c r="C731" s="10"/>
      <c r="D731" s="9" t="str">
        <f>IF(F731="","",_xlfn.XLOOKUP(F731,purchase!D:D,purchase!#REF!,""))</f>
        <v/>
      </c>
      <c r="E731" s="9" t="str">
        <f>IF(F731="","",_xlfn.XLOOKUP(F731,purchase!D:D,purchase!B:B,""))</f>
        <v/>
      </c>
      <c r="F731" s="2"/>
      <c r="G731" s="4" t="str">
        <f t="shared" si="78"/>
        <v/>
      </c>
      <c r="H731" s="4" t="str">
        <f>IF(F731="","",_xlfn.XLOOKUP(F731,purchase!D:D,purchase!#REF!,""))</f>
        <v/>
      </c>
      <c r="I731" s="4" t="str">
        <f t="shared" si="79"/>
        <v/>
      </c>
      <c r="J731" s="4" t="str">
        <f t="shared" si="80"/>
        <v/>
      </c>
      <c r="K731" s="13" t="str">
        <f>_xlfn.SINGLE(IF(F731="","",_xlfn.XLOOKUP(F731,purchase!D:D,purchase!#REF!,"")))</f>
        <v/>
      </c>
      <c r="L731" s="2"/>
      <c r="M731" s="32"/>
      <c r="N731" s="13" t="str">
        <f>IF(F731="","",
MAX(0,
_xlfn.XLOOKUP(F731,purchase!D:D,purchase!#REF!,"")
-
SUMIFS(L:L,F:F,F731)))</f>
        <v/>
      </c>
      <c r="O731" s="13" t="str">
        <f t="shared" si="81"/>
        <v/>
      </c>
      <c r="P731" s="35" t="str">
        <f>_xlfn.SINGLE(IF(F731="","",_xlfn.XLOOKUP(F731,purchase!D:D,purchase!K:K,"")))</f>
        <v/>
      </c>
      <c r="Q731" s="29" t="str">
        <f t="shared" si="82"/>
        <v/>
      </c>
      <c r="R731" s="37" t="str">
        <f t="shared" si="83"/>
        <v/>
      </c>
    </row>
    <row r="732" spans="1:18" x14ac:dyDescent="0.35">
      <c r="A732" s="8">
        <v>728</v>
      </c>
      <c r="B732" s="9" t="str">
        <f t="shared" si="77"/>
        <v/>
      </c>
      <c r="C732" s="10"/>
      <c r="D732" s="9" t="str">
        <f>IF(F732="","",_xlfn.XLOOKUP(F732,purchase!D:D,purchase!#REF!,""))</f>
        <v/>
      </c>
      <c r="E732" s="9" t="str">
        <f>IF(F732="","",_xlfn.XLOOKUP(F732,purchase!D:D,purchase!B:B,""))</f>
        <v/>
      </c>
      <c r="F732" s="2"/>
      <c r="G732" s="4" t="str">
        <f t="shared" si="78"/>
        <v/>
      </c>
      <c r="H732" s="4" t="str">
        <f>IF(F732="","",_xlfn.XLOOKUP(F732,purchase!D:D,purchase!#REF!,""))</f>
        <v/>
      </c>
      <c r="I732" s="4" t="str">
        <f t="shared" si="79"/>
        <v/>
      </c>
      <c r="J732" s="4" t="str">
        <f t="shared" si="80"/>
        <v/>
      </c>
      <c r="K732" s="13" t="str">
        <f>_xlfn.SINGLE(IF(F732="","",_xlfn.XLOOKUP(F732,purchase!D:D,purchase!#REF!,"")))</f>
        <v/>
      </c>
      <c r="L732" s="2"/>
      <c r="M732" s="32"/>
      <c r="N732" s="13" t="str">
        <f>IF(F732="","",
MAX(0,
_xlfn.XLOOKUP(F732,purchase!D:D,purchase!#REF!,"")
-
SUMIFS(L:L,F:F,F732)))</f>
        <v/>
      </c>
      <c r="O732" s="13" t="str">
        <f t="shared" si="81"/>
        <v/>
      </c>
      <c r="P732" s="35" t="str">
        <f>_xlfn.SINGLE(IF(F732="","",_xlfn.XLOOKUP(F732,purchase!D:D,purchase!K:K,"")))</f>
        <v/>
      </c>
      <c r="Q732" s="29" t="str">
        <f t="shared" si="82"/>
        <v/>
      </c>
      <c r="R732" s="37" t="str">
        <f t="shared" si="83"/>
        <v/>
      </c>
    </row>
    <row r="733" spans="1:18" x14ac:dyDescent="0.35">
      <c r="A733" s="8">
        <v>729</v>
      </c>
      <c r="B733" s="9" t="str">
        <f t="shared" si="77"/>
        <v/>
      </c>
      <c r="C733" s="10"/>
      <c r="D733" s="9" t="str">
        <f>IF(F733="","",_xlfn.XLOOKUP(F733,purchase!D:D,purchase!#REF!,""))</f>
        <v/>
      </c>
      <c r="E733" s="9" t="str">
        <f>IF(F733="","",_xlfn.XLOOKUP(F733,purchase!D:D,purchase!B:B,""))</f>
        <v/>
      </c>
      <c r="F733" s="2"/>
      <c r="G733" s="4" t="str">
        <f t="shared" si="78"/>
        <v/>
      </c>
      <c r="H733" s="4" t="str">
        <f>IF(F733="","",_xlfn.XLOOKUP(F733,purchase!D:D,purchase!#REF!,""))</f>
        <v/>
      </c>
      <c r="I733" s="4" t="str">
        <f t="shared" si="79"/>
        <v/>
      </c>
      <c r="J733" s="4" t="str">
        <f t="shared" si="80"/>
        <v/>
      </c>
      <c r="K733" s="13" t="str">
        <f>_xlfn.SINGLE(IF(F733="","",_xlfn.XLOOKUP(F733,purchase!D:D,purchase!#REF!,"")))</f>
        <v/>
      </c>
      <c r="L733" s="2"/>
      <c r="M733" s="32"/>
      <c r="N733" s="13" t="str">
        <f>IF(F733="","",
MAX(0,
_xlfn.XLOOKUP(F733,purchase!D:D,purchase!#REF!,"")
-
SUMIFS(L:L,F:F,F733)))</f>
        <v/>
      </c>
      <c r="O733" s="13" t="str">
        <f t="shared" si="81"/>
        <v/>
      </c>
      <c r="P733" s="35" t="str">
        <f>_xlfn.SINGLE(IF(F733="","",_xlfn.XLOOKUP(F733,purchase!D:D,purchase!K:K,"")))</f>
        <v/>
      </c>
      <c r="Q733" s="29" t="str">
        <f t="shared" si="82"/>
        <v/>
      </c>
      <c r="R733" s="37" t="str">
        <f t="shared" si="83"/>
        <v/>
      </c>
    </row>
    <row r="734" spans="1:18" x14ac:dyDescent="0.35">
      <c r="A734" s="8">
        <v>730</v>
      </c>
      <c r="B734" s="9" t="str">
        <f t="shared" si="77"/>
        <v/>
      </c>
      <c r="C734" s="10"/>
      <c r="D734" s="9" t="str">
        <f>IF(F734="","",_xlfn.XLOOKUP(F734,purchase!D:D,purchase!#REF!,""))</f>
        <v/>
      </c>
      <c r="E734" s="9" t="str">
        <f>IF(F734="","",_xlfn.XLOOKUP(F734,purchase!D:D,purchase!B:B,""))</f>
        <v/>
      </c>
      <c r="F734" s="2"/>
      <c r="G734" s="4" t="str">
        <f t="shared" si="78"/>
        <v/>
      </c>
      <c r="H734" s="4" t="str">
        <f>IF(F734="","",_xlfn.XLOOKUP(F734,purchase!D:D,purchase!#REF!,""))</f>
        <v/>
      </c>
      <c r="I734" s="4" t="str">
        <f t="shared" si="79"/>
        <v/>
      </c>
      <c r="J734" s="4" t="str">
        <f t="shared" si="80"/>
        <v/>
      </c>
      <c r="K734" s="13" t="str">
        <f>_xlfn.SINGLE(IF(F734="","",_xlfn.XLOOKUP(F734,purchase!D:D,purchase!#REF!,"")))</f>
        <v/>
      </c>
      <c r="L734" s="2"/>
      <c r="M734" s="32"/>
      <c r="N734" s="13" t="str">
        <f>IF(F734="","",
MAX(0,
_xlfn.XLOOKUP(F734,purchase!D:D,purchase!#REF!,"")
-
SUMIFS(L:L,F:F,F734)))</f>
        <v/>
      </c>
      <c r="O734" s="13" t="str">
        <f t="shared" si="81"/>
        <v/>
      </c>
      <c r="P734" s="35" t="str">
        <f>_xlfn.SINGLE(IF(F734="","",_xlfn.XLOOKUP(F734,purchase!D:D,purchase!K:K,"")))</f>
        <v/>
      </c>
      <c r="Q734" s="29" t="str">
        <f t="shared" si="82"/>
        <v/>
      </c>
      <c r="R734" s="37" t="str">
        <f t="shared" si="83"/>
        <v/>
      </c>
    </row>
    <row r="735" spans="1:18" x14ac:dyDescent="0.35">
      <c r="A735" s="8">
        <v>731</v>
      </c>
      <c r="B735" s="9" t="str">
        <f t="shared" si="77"/>
        <v/>
      </c>
      <c r="C735" s="10"/>
      <c r="D735" s="9" t="str">
        <f>IF(F735="","",_xlfn.XLOOKUP(F735,purchase!D:D,purchase!#REF!,""))</f>
        <v/>
      </c>
      <c r="E735" s="9" t="str">
        <f>IF(F735="","",_xlfn.XLOOKUP(F735,purchase!D:D,purchase!B:B,""))</f>
        <v/>
      </c>
      <c r="F735" s="2"/>
      <c r="G735" s="4" t="str">
        <f t="shared" si="78"/>
        <v/>
      </c>
      <c r="H735" s="4" t="str">
        <f>IF(F735="","",_xlfn.XLOOKUP(F735,purchase!D:D,purchase!#REF!,""))</f>
        <v/>
      </c>
      <c r="I735" s="4" t="str">
        <f t="shared" si="79"/>
        <v/>
      </c>
      <c r="J735" s="4" t="str">
        <f t="shared" si="80"/>
        <v/>
      </c>
      <c r="K735" s="13" t="str">
        <f>_xlfn.SINGLE(IF(F735="","",_xlfn.XLOOKUP(F735,purchase!D:D,purchase!#REF!,"")))</f>
        <v/>
      </c>
      <c r="L735" s="2"/>
      <c r="M735" s="32"/>
      <c r="N735" s="13" t="str">
        <f>IF(F735="","",
MAX(0,
_xlfn.XLOOKUP(F735,purchase!D:D,purchase!#REF!,"")
-
SUMIFS(L:L,F:F,F735)))</f>
        <v/>
      </c>
      <c r="O735" s="13" t="str">
        <f t="shared" si="81"/>
        <v/>
      </c>
      <c r="P735" s="35" t="str">
        <f>_xlfn.SINGLE(IF(F735="","",_xlfn.XLOOKUP(F735,purchase!D:D,purchase!K:K,"")))</f>
        <v/>
      </c>
      <c r="Q735" s="29" t="str">
        <f t="shared" si="82"/>
        <v/>
      </c>
      <c r="R735" s="37" t="str">
        <f t="shared" si="83"/>
        <v/>
      </c>
    </row>
    <row r="736" spans="1:18" x14ac:dyDescent="0.35">
      <c r="A736" s="8">
        <v>732</v>
      </c>
      <c r="B736" s="9" t="str">
        <f t="shared" si="77"/>
        <v/>
      </c>
      <c r="C736" s="10"/>
      <c r="D736" s="9" t="str">
        <f>IF(F736="","",_xlfn.XLOOKUP(F736,purchase!D:D,purchase!#REF!,""))</f>
        <v/>
      </c>
      <c r="E736" s="9" t="str">
        <f>IF(F736="","",_xlfn.XLOOKUP(F736,purchase!D:D,purchase!B:B,""))</f>
        <v/>
      </c>
      <c r="F736" s="2"/>
      <c r="G736" s="4" t="str">
        <f t="shared" si="78"/>
        <v/>
      </c>
      <c r="H736" s="4" t="str">
        <f>IF(F736="","",_xlfn.XLOOKUP(F736,purchase!D:D,purchase!#REF!,""))</f>
        <v/>
      </c>
      <c r="I736" s="4" t="str">
        <f t="shared" si="79"/>
        <v/>
      </c>
      <c r="J736" s="4" t="str">
        <f t="shared" si="80"/>
        <v/>
      </c>
      <c r="K736" s="13" t="str">
        <f>_xlfn.SINGLE(IF(F736="","",_xlfn.XLOOKUP(F736,purchase!D:D,purchase!#REF!,"")))</f>
        <v/>
      </c>
      <c r="L736" s="2"/>
      <c r="M736" s="32"/>
      <c r="N736" s="13" t="str">
        <f>IF(F736="","",
MAX(0,
_xlfn.XLOOKUP(F736,purchase!D:D,purchase!#REF!,"")
-
SUMIFS(L:L,F:F,F736)))</f>
        <v/>
      </c>
      <c r="O736" s="13" t="str">
        <f t="shared" si="81"/>
        <v/>
      </c>
      <c r="P736" s="35" t="str">
        <f>_xlfn.SINGLE(IF(F736="","",_xlfn.XLOOKUP(F736,purchase!D:D,purchase!K:K,"")))</f>
        <v/>
      </c>
      <c r="Q736" s="29" t="str">
        <f t="shared" si="82"/>
        <v/>
      </c>
      <c r="R736" s="37" t="str">
        <f t="shared" si="83"/>
        <v/>
      </c>
    </row>
    <row r="737" spans="1:18" x14ac:dyDescent="0.35">
      <c r="A737" s="8">
        <v>733</v>
      </c>
      <c r="B737" s="9" t="str">
        <f t="shared" si="77"/>
        <v/>
      </c>
      <c r="C737" s="10"/>
      <c r="D737" s="9" t="str">
        <f>IF(F737="","",_xlfn.XLOOKUP(F737,purchase!D:D,purchase!#REF!,""))</f>
        <v/>
      </c>
      <c r="E737" s="9" t="str">
        <f>IF(F737="","",_xlfn.XLOOKUP(F737,purchase!D:D,purchase!B:B,""))</f>
        <v/>
      </c>
      <c r="F737" s="2"/>
      <c r="G737" s="4" t="str">
        <f t="shared" si="78"/>
        <v/>
      </c>
      <c r="H737" s="4" t="str">
        <f>IF(F737="","",_xlfn.XLOOKUP(F737,purchase!D:D,purchase!#REF!,""))</f>
        <v/>
      </c>
      <c r="I737" s="4" t="str">
        <f t="shared" si="79"/>
        <v/>
      </c>
      <c r="J737" s="4" t="str">
        <f t="shared" si="80"/>
        <v/>
      </c>
      <c r="K737" s="13" t="str">
        <f>_xlfn.SINGLE(IF(F737="","",_xlfn.XLOOKUP(F737,purchase!D:D,purchase!#REF!,"")))</f>
        <v/>
      </c>
      <c r="L737" s="2"/>
      <c r="M737" s="32"/>
      <c r="N737" s="13" t="str">
        <f>IF(F737="","",
MAX(0,
_xlfn.XLOOKUP(F737,purchase!D:D,purchase!#REF!,"")
-
SUMIFS(L:L,F:F,F737)))</f>
        <v/>
      </c>
      <c r="O737" s="13" t="str">
        <f t="shared" si="81"/>
        <v/>
      </c>
      <c r="P737" s="35" t="str">
        <f>_xlfn.SINGLE(IF(F737="","",_xlfn.XLOOKUP(F737,purchase!D:D,purchase!K:K,"")))</f>
        <v/>
      </c>
      <c r="Q737" s="29" t="str">
        <f t="shared" si="82"/>
        <v/>
      </c>
      <c r="R737" s="37" t="str">
        <f t="shared" si="83"/>
        <v/>
      </c>
    </row>
    <row r="738" spans="1:18" x14ac:dyDescent="0.35">
      <c r="A738" s="8">
        <v>734</v>
      </c>
      <c r="B738" s="9" t="str">
        <f t="shared" si="77"/>
        <v/>
      </c>
      <c r="C738" s="10"/>
      <c r="D738" s="9" t="str">
        <f>IF(F738="","",_xlfn.XLOOKUP(F738,purchase!D:D,purchase!#REF!,""))</f>
        <v/>
      </c>
      <c r="E738" s="9" t="str">
        <f>IF(F738="","",_xlfn.XLOOKUP(F738,purchase!D:D,purchase!B:B,""))</f>
        <v/>
      </c>
      <c r="F738" s="2"/>
      <c r="G738" s="4" t="str">
        <f t="shared" si="78"/>
        <v/>
      </c>
      <c r="H738" s="4" t="str">
        <f>IF(F738="","",_xlfn.XLOOKUP(F738,purchase!D:D,purchase!#REF!,""))</f>
        <v/>
      </c>
      <c r="I738" s="4" t="str">
        <f t="shared" si="79"/>
        <v/>
      </c>
      <c r="J738" s="4" t="str">
        <f t="shared" si="80"/>
        <v/>
      </c>
      <c r="K738" s="13" t="str">
        <f>_xlfn.SINGLE(IF(F738="","",_xlfn.XLOOKUP(F738,purchase!D:D,purchase!#REF!,"")))</f>
        <v/>
      </c>
      <c r="L738" s="2"/>
      <c r="M738" s="32"/>
      <c r="N738" s="13" t="str">
        <f>IF(F738="","",
MAX(0,
_xlfn.XLOOKUP(F738,purchase!D:D,purchase!#REF!,"")
-
SUMIFS(L:L,F:F,F738)))</f>
        <v/>
      </c>
      <c r="O738" s="13" t="str">
        <f t="shared" si="81"/>
        <v/>
      </c>
      <c r="P738" s="35" t="str">
        <f>_xlfn.SINGLE(IF(F738="","",_xlfn.XLOOKUP(F738,purchase!D:D,purchase!K:K,"")))</f>
        <v/>
      </c>
      <c r="Q738" s="29" t="str">
        <f t="shared" si="82"/>
        <v/>
      </c>
      <c r="R738" s="37" t="str">
        <f t="shared" si="83"/>
        <v/>
      </c>
    </row>
    <row r="739" spans="1:18" x14ac:dyDescent="0.35">
      <c r="A739" s="8">
        <v>735</v>
      </c>
      <c r="B739" s="9" t="str">
        <f t="shared" si="77"/>
        <v/>
      </c>
      <c r="C739" s="10"/>
      <c r="D739" s="9" t="str">
        <f>IF(F739="","",_xlfn.XLOOKUP(F739,purchase!D:D,purchase!#REF!,""))</f>
        <v/>
      </c>
      <c r="E739" s="9" t="str">
        <f>IF(F739="","",_xlfn.XLOOKUP(F739,purchase!D:D,purchase!B:B,""))</f>
        <v/>
      </c>
      <c r="F739" s="2"/>
      <c r="G739" s="4" t="str">
        <f t="shared" si="78"/>
        <v/>
      </c>
      <c r="H739" s="4" t="str">
        <f>IF(F739="","",_xlfn.XLOOKUP(F739,purchase!D:D,purchase!#REF!,""))</f>
        <v/>
      </c>
      <c r="I739" s="4" t="str">
        <f t="shared" si="79"/>
        <v/>
      </c>
      <c r="J739" s="4" t="str">
        <f t="shared" si="80"/>
        <v/>
      </c>
      <c r="K739" s="13" t="str">
        <f>_xlfn.SINGLE(IF(F739="","",_xlfn.XLOOKUP(F739,purchase!D:D,purchase!#REF!,"")))</f>
        <v/>
      </c>
      <c r="L739" s="2"/>
      <c r="M739" s="32"/>
      <c r="N739" s="13" t="str">
        <f>IF(F739="","",
MAX(0,
_xlfn.XLOOKUP(F739,purchase!D:D,purchase!#REF!,"")
-
SUMIFS(L:L,F:F,F739)))</f>
        <v/>
      </c>
      <c r="O739" s="13" t="str">
        <f t="shared" si="81"/>
        <v/>
      </c>
      <c r="P739" s="35" t="str">
        <f>_xlfn.SINGLE(IF(F739="","",_xlfn.XLOOKUP(F739,purchase!D:D,purchase!K:K,"")))</f>
        <v/>
      </c>
      <c r="Q739" s="29" t="str">
        <f t="shared" si="82"/>
        <v/>
      </c>
      <c r="R739" s="37" t="str">
        <f t="shared" si="83"/>
        <v/>
      </c>
    </row>
    <row r="740" spans="1:18" x14ac:dyDescent="0.35">
      <c r="A740" s="8">
        <v>736</v>
      </c>
      <c r="B740" s="9" t="str">
        <f t="shared" si="77"/>
        <v/>
      </c>
      <c r="C740" s="10"/>
      <c r="D740" s="9" t="str">
        <f>IF(F740="","",_xlfn.XLOOKUP(F740,purchase!D:D,purchase!#REF!,""))</f>
        <v/>
      </c>
      <c r="E740" s="9" t="str">
        <f>IF(F740="","",_xlfn.XLOOKUP(F740,purchase!D:D,purchase!B:B,""))</f>
        <v/>
      </c>
      <c r="F740" s="2"/>
      <c r="G740" s="4" t="str">
        <f t="shared" si="78"/>
        <v/>
      </c>
      <c r="H740" s="4" t="str">
        <f>IF(F740="","",_xlfn.XLOOKUP(F740,purchase!D:D,purchase!#REF!,""))</f>
        <v/>
      </c>
      <c r="I740" s="4" t="str">
        <f t="shared" si="79"/>
        <v/>
      </c>
      <c r="J740" s="4" t="str">
        <f t="shared" si="80"/>
        <v/>
      </c>
      <c r="K740" s="13" t="str">
        <f>_xlfn.SINGLE(IF(F740="","",_xlfn.XLOOKUP(F740,purchase!D:D,purchase!#REF!,"")))</f>
        <v/>
      </c>
      <c r="L740" s="2"/>
      <c r="M740" s="32"/>
      <c r="N740" s="13" t="str">
        <f>IF(F740="","",
MAX(0,
_xlfn.XLOOKUP(F740,purchase!D:D,purchase!#REF!,"")
-
SUMIFS(L:L,F:F,F740)))</f>
        <v/>
      </c>
      <c r="O740" s="13" t="str">
        <f t="shared" si="81"/>
        <v/>
      </c>
      <c r="P740" s="35" t="str">
        <f>_xlfn.SINGLE(IF(F740="","",_xlfn.XLOOKUP(F740,purchase!D:D,purchase!K:K,"")))</f>
        <v/>
      </c>
      <c r="Q740" s="29" t="str">
        <f t="shared" si="82"/>
        <v/>
      </c>
      <c r="R740" s="37" t="str">
        <f t="shared" si="83"/>
        <v/>
      </c>
    </row>
    <row r="741" spans="1:18" x14ac:dyDescent="0.35">
      <c r="A741" s="8">
        <v>737</v>
      </c>
      <c r="B741" s="9" t="str">
        <f t="shared" si="77"/>
        <v/>
      </c>
      <c r="C741" s="10"/>
      <c r="D741" s="9" t="str">
        <f>IF(F741="","",_xlfn.XLOOKUP(F741,purchase!D:D,purchase!#REF!,""))</f>
        <v/>
      </c>
      <c r="E741" s="9" t="str">
        <f>IF(F741="","",_xlfn.XLOOKUP(F741,purchase!D:D,purchase!B:B,""))</f>
        <v/>
      </c>
      <c r="F741" s="2"/>
      <c r="G741" s="4" t="str">
        <f t="shared" si="78"/>
        <v/>
      </c>
      <c r="H741" s="4" t="str">
        <f>IF(F741="","",_xlfn.XLOOKUP(F741,purchase!D:D,purchase!#REF!,""))</f>
        <v/>
      </c>
      <c r="I741" s="4" t="str">
        <f t="shared" si="79"/>
        <v/>
      </c>
      <c r="J741" s="4" t="str">
        <f t="shared" si="80"/>
        <v/>
      </c>
      <c r="K741" s="13" t="str">
        <f>_xlfn.SINGLE(IF(F741="","",_xlfn.XLOOKUP(F741,purchase!D:D,purchase!#REF!,"")))</f>
        <v/>
      </c>
      <c r="L741" s="2"/>
      <c r="M741" s="32"/>
      <c r="N741" s="13" t="str">
        <f>IF(F741="","",
MAX(0,
_xlfn.XLOOKUP(F741,purchase!D:D,purchase!#REF!,"")
-
SUMIFS(L:L,F:F,F741)))</f>
        <v/>
      </c>
      <c r="O741" s="13" t="str">
        <f t="shared" si="81"/>
        <v/>
      </c>
      <c r="P741" s="35" t="str">
        <f>_xlfn.SINGLE(IF(F741="","",_xlfn.XLOOKUP(F741,purchase!D:D,purchase!K:K,"")))</f>
        <v/>
      </c>
      <c r="Q741" s="29" t="str">
        <f t="shared" si="82"/>
        <v/>
      </c>
      <c r="R741" s="37" t="str">
        <f t="shared" si="83"/>
        <v/>
      </c>
    </row>
    <row r="742" spans="1:18" x14ac:dyDescent="0.35">
      <c r="A742" s="8">
        <v>738</v>
      </c>
      <c r="B742" s="9" t="str">
        <f t="shared" si="77"/>
        <v/>
      </c>
      <c r="C742" s="10"/>
      <c r="D742" s="9" t="str">
        <f>IF(F742="","",_xlfn.XLOOKUP(F742,purchase!D:D,purchase!#REF!,""))</f>
        <v/>
      </c>
      <c r="E742" s="9" t="str">
        <f>IF(F742="","",_xlfn.XLOOKUP(F742,purchase!D:D,purchase!B:B,""))</f>
        <v/>
      </c>
      <c r="F742" s="2"/>
      <c r="G742" s="4" t="str">
        <f t="shared" si="78"/>
        <v/>
      </c>
      <c r="H742" s="4" t="str">
        <f>IF(F742="","",_xlfn.XLOOKUP(F742,purchase!D:D,purchase!#REF!,""))</f>
        <v/>
      </c>
      <c r="I742" s="4" t="str">
        <f t="shared" si="79"/>
        <v/>
      </c>
      <c r="J742" s="4" t="str">
        <f t="shared" si="80"/>
        <v/>
      </c>
      <c r="K742" s="13" t="str">
        <f>_xlfn.SINGLE(IF(F742="","",_xlfn.XLOOKUP(F742,purchase!D:D,purchase!#REF!,"")))</f>
        <v/>
      </c>
      <c r="L742" s="2"/>
      <c r="M742" s="32"/>
      <c r="N742" s="13" t="str">
        <f>IF(F742="","",
MAX(0,
_xlfn.XLOOKUP(F742,purchase!D:D,purchase!#REF!,"")
-
SUMIFS(L:L,F:F,F742)))</f>
        <v/>
      </c>
      <c r="O742" s="13" t="str">
        <f t="shared" si="81"/>
        <v/>
      </c>
      <c r="P742" s="35" t="str">
        <f>_xlfn.SINGLE(IF(F742="","",_xlfn.XLOOKUP(F742,purchase!D:D,purchase!K:K,"")))</f>
        <v/>
      </c>
      <c r="Q742" s="29" t="str">
        <f t="shared" si="82"/>
        <v/>
      </c>
      <c r="R742" s="37" t="str">
        <f t="shared" si="83"/>
        <v/>
      </c>
    </row>
    <row r="743" spans="1:18" x14ac:dyDescent="0.35">
      <c r="A743" s="8">
        <v>739</v>
      </c>
      <c r="B743" s="9" t="str">
        <f t="shared" si="77"/>
        <v/>
      </c>
      <c r="C743" s="10"/>
      <c r="D743" s="9" t="str">
        <f>IF(F743="","",_xlfn.XLOOKUP(F743,purchase!D:D,purchase!#REF!,""))</f>
        <v/>
      </c>
      <c r="E743" s="9" t="str">
        <f>IF(F743="","",_xlfn.XLOOKUP(F743,purchase!D:D,purchase!B:B,""))</f>
        <v/>
      </c>
      <c r="F743" s="2"/>
      <c r="G743" s="4" t="str">
        <f t="shared" si="78"/>
        <v/>
      </c>
      <c r="H743" s="4" t="str">
        <f>IF(F743="","",_xlfn.XLOOKUP(F743,purchase!D:D,purchase!#REF!,""))</f>
        <v/>
      </c>
      <c r="I743" s="4" t="str">
        <f t="shared" si="79"/>
        <v/>
      </c>
      <c r="J743" s="4" t="str">
        <f t="shared" si="80"/>
        <v/>
      </c>
      <c r="K743" s="13" t="str">
        <f>_xlfn.SINGLE(IF(F743="","",_xlfn.XLOOKUP(F743,purchase!D:D,purchase!#REF!,"")))</f>
        <v/>
      </c>
      <c r="L743" s="2"/>
      <c r="M743" s="32"/>
      <c r="N743" s="13" t="str">
        <f>IF(F743="","",
MAX(0,
_xlfn.XLOOKUP(F743,purchase!D:D,purchase!#REF!,"")
-
SUMIFS(L:L,F:F,F743)))</f>
        <v/>
      </c>
      <c r="O743" s="13" t="str">
        <f t="shared" si="81"/>
        <v/>
      </c>
      <c r="P743" s="35" t="str">
        <f>_xlfn.SINGLE(IF(F743="","",_xlfn.XLOOKUP(F743,purchase!D:D,purchase!K:K,"")))</f>
        <v/>
      </c>
      <c r="Q743" s="29" t="str">
        <f t="shared" si="82"/>
        <v/>
      </c>
      <c r="R743" s="37" t="str">
        <f t="shared" si="83"/>
        <v/>
      </c>
    </row>
    <row r="744" spans="1:18" x14ac:dyDescent="0.35">
      <c r="A744" s="8">
        <v>740</v>
      </c>
      <c r="B744" s="9" t="str">
        <f t="shared" si="77"/>
        <v/>
      </c>
      <c r="C744" s="10"/>
      <c r="D744" s="9" t="str">
        <f>IF(F744="","",_xlfn.XLOOKUP(F744,purchase!D:D,purchase!#REF!,""))</f>
        <v/>
      </c>
      <c r="E744" s="9" t="str">
        <f>IF(F744="","",_xlfn.XLOOKUP(F744,purchase!D:D,purchase!B:B,""))</f>
        <v/>
      </c>
      <c r="F744" s="2"/>
      <c r="G744" s="4" t="str">
        <f t="shared" si="78"/>
        <v/>
      </c>
      <c r="H744" s="4" t="str">
        <f>IF(F744="","",_xlfn.XLOOKUP(F744,purchase!D:D,purchase!#REF!,""))</f>
        <v/>
      </c>
      <c r="I744" s="4" t="str">
        <f t="shared" si="79"/>
        <v/>
      </c>
      <c r="J744" s="4" t="str">
        <f t="shared" si="80"/>
        <v/>
      </c>
      <c r="K744" s="13" t="str">
        <f>_xlfn.SINGLE(IF(F744="","",_xlfn.XLOOKUP(F744,purchase!D:D,purchase!#REF!,"")))</f>
        <v/>
      </c>
      <c r="L744" s="2"/>
      <c r="M744" s="32"/>
      <c r="N744" s="13" t="str">
        <f>IF(F744="","",
MAX(0,
_xlfn.XLOOKUP(F744,purchase!D:D,purchase!#REF!,"")
-
SUMIFS(L:L,F:F,F744)))</f>
        <v/>
      </c>
      <c r="O744" s="13" t="str">
        <f t="shared" si="81"/>
        <v/>
      </c>
      <c r="P744" s="35" t="str">
        <f>_xlfn.SINGLE(IF(F744="","",_xlfn.XLOOKUP(F744,purchase!D:D,purchase!K:K,"")))</f>
        <v/>
      </c>
      <c r="Q744" s="29" t="str">
        <f t="shared" si="82"/>
        <v/>
      </c>
      <c r="R744" s="37" t="str">
        <f t="shared" si="83"/>
        <v/>
      </c>
    </row>
    <row r="745" spans="1:18" x14ac:dyDescent="0.35">
      <c r="A745" s="8">
        <v>741</v>
      </c>
      <c r="B745" s="9" t="str">
        <f t="shared" si="77"/>
        <v/>
      </c>
      <c r="C745" s="10"/>
      <c r="D745" s="9" t="str">
        <f>IF(F745="","",_xlfn.XLOOKUP(F745,purchase!D:D,purchase!#REF!,""))</f>
        <v/>
      </c>
      <c r="E745" s="9" t="str">
        <f>IF(F745="","",_xlfn.XLOOKUP(F745,purchase!D:D,purchase!B:B,""))</f>
        <v/>
      </c>
      <c r="F745" s="2"/>
      <c r="G745" s="4" t="str">
        <f t="shared" si="78"/>
        <v/>
      </c>
      <c r="H745" s="4" t="str">
        <f>IF(F745="","",_xlfn.XLOOKUP(F745,purchase!D:D,purchase!#REF!,""))</f>
        <v/>
      </c>
      <c r="I745" s="4" t="str">
        <f t="shared" si="79"/>
        <v/>
      </c>
      <c r="J745" s="4" t="str">
        <f t="shared" si="80"/>
        <v/>
      </c>
      <c r="K745" s="13" t="str">
        <f>_xlfn.SINGLE(IF(F745="","",_xlfn.XLOOKUP(F745,purchase!D:D,purchase!#REF!,"")))</f>
        <v/>
      </c>
      <c r="L745" s="2"/>
      <c r="M745" s="32"/>
      <c r="N745" s="13" t="str">
        <f>IF(F745="","",
MAX(0,
_xlfn.XLOOKUP(F745,purchase!D:D,purchase!#REF!,"")
-
SUMIFS(L:L,F:F,F745)))</f>
        <v/>
      </c>
      <c r="O745" s="13" t="str">
        <f t="shared" si="81"/>
        <v/>
      </c>
      <c r="P745" s="35" t="str">
        <f>_xlfn.SINGLE(IF(F745="","",_xlfn.XLOOKUP(F745,purchase!D:D,purchase!K:K,"")))</f>
        <v/>
      </c>
      <c r="Q745" s="29" t="str">
        <f t="shared" si="82"/>
        <v/>
      </c>
      <c r="R745" s="37" t="str">
        <f t="shared" si="83"/>
        <v/>
      </c>
    </row>
    <row r="746" spans="1:18" x14ac:dyDescent="0.35">
      <c r="A746" s="8">
        <v>742</v>
      </c>
      <c r="B746" s="9" t="str">
        <f t="shared" si="77"/>
        <v/>
      </c>
      <c r="C746" s="10"/>
      <c r="D746" s="9" t="str">
        <f>IF(F746="","",_xlfn.XLOOKUP(F746,purchase!D:D,purchase!#REF!,""))</f>
        <v/>
      </c>
      <c r="E746" s="9" t="str">
        <f>IF(F746="","",_xlfn.XLOOKUP(F746,purchase!D:D,purchase!B:B,""))</f>
        <v/>
      </c>
      <c r="F746" s="2"/>
      <c r="G746" s="4" t="str">
        <f t="shared" si="78"/>
        <v/>
      </c>
      <c r="H746" s="4" t="str">
        <f>IF(F746="","",_xlfn.XLOOKUP(F746,purchase!D:D,purchase!#REF!,""))</f>
        <v/>
      </c>
      <c r="I746" s="4" t="str">
        <f t="shared" si="79"/>
        <v/>
      </c>
      <c r="J746" s="4" t="str">
        <f t="shared" si="80"/>
        <v/>
      </c>
      <c r="K746" s="13" t="str">
        <f>_xlfn.SINGLE(IF(F746="","",_xlfn.XLOOKUP(F746,purchase!D:D,purchase!#REF!,"")))</f>
        <v/>
      </c>
      <c r="L746" s="2"/>
      <c r="M746" s="32"/>
      <c r="N746" s="13" t="str">
        <f>IF(F746="","",
MAX(0,
_xlfn.XLOOKUP(F746,purchase!D:D,purchase!#REF!,"")
-
SUMIFS(L:L,F:F,F746)))</f>
        <v/>
      </c>
      <c r="O746" s="13" t="str">
        <f t="shared" si="81"/>
        <v/>
      </c>
      <c r="P746" s="35" t="str">
        <f>_xlfn.SINGLE(IF(F746="","",_xlfn.XLOOKUP(F746,purchase!D:D,purchase!K:K,"")))</f>
        <v/>
      </c>
      <c r="Q746" s="29" t="str">
        <f t="shared" si="82"/>
        <v/>
      </c>
      <c r="R746" s="37" t="str">
        <f t="shared" si="83"/>
        <v/>
      </c>
    </row>
    <row r="747" spans="1:18" x14ac:dyDescent="0.35">
      <c r="A747" s="8">
        <v>743</v>
      </c>
      <c r="B747" s="9" t="str">
        <f t="shared" si="77"/>
        <v/>
      </c>
      <c r="C747" s="10"/>
      <c r="D747" s="9" t="str">
        <f>IF(F747="","",_xlfn.XLOOKUP(F747,purchase!D:D,purchase!#REF!,""))</f>
        <v/>
      </c>
      <c r="E747" s="9" t="str">
        <f>IF(F747="","",_xlfn.XLOOKUP(F747,purchase!D:D,purchase!B:B,""))</f>
        <v/>
      </c>
      <c r="F747" s="2"/>
      <c r="G747" s="4" t="str">
        <f t="shared" si="78"/>
        <v/>
      </c>
      <c r="H747" s="4" t="str">
        <f>IF(F747="","",_xlfn.XLOOKUP(F747,purchase!D:D,purchase!#REF!,""))</f>
        <v/>
      </c>
      <c r="I747" s="4" t="str">
        <f t="shared" si="79"/>
        <v/>
      </c>
      <c r="J747" s="4" t="str">
        <f t="shared" si="80"/>
        <v/>
      </c>
      <c r="K747" s="13" t="str">
        <f>_xlfn.SINGLE(IF(F747="","",_xlfn.XLOOKUP(F747,purchase!D:D,purchase!#REF!,"")))</f>
        <v/>
      </c>
      <c r="L747" s="2"/>
      <c r="M747" s="32"/>
      <c r="N747" s="13" t="str">
        <f>IF(F747="","",
MAX(0,
_xlfn.XLOOKUP(F747,purchase!D:D,purchase!#REF!,"")
-
SUMIFS(L:L,F:F,F747)))</f>
        <v/>
      </c>
      <c r="O747" s="13" t="str">
        <f t="shared" si="81"/>
        <v/>
      </c>
      <c r="P747" s="35" t="str">
        <f>_xlfn.SINGLE(IF(F747="","",_xlfn.XLOOKUP(F747,purchase!D:D,purchase!K:K,"")))</f>
        <v/>
      </c>
      <c r="Q747" s="29" t="str">
        <f t="shared" si="82"/>
        <v/>
      </c>
      <c r="R747" s="37" t="str">
        <f t="shared" si="83"/>
        <v/>
      </c>
    </row>
    <row r="748" spans="1:18" x14ac:dyDescent="0.35">
      <c r="A748" s="8">
        <v>744</v>
      </c>
      <c r="B748" s="9" t="str">
        <f t="shared" si="77"/>
        <v/>
      </c>
      <c r="C748" s="10"/>
      <c r="D748" s="9" t="str">
        <f>IF(F748="","",_xlfn.XLOOKUP(F748,purchase!D:D,purchase!#REF!,""))</f>
        <v/>
      </c>
      <c r="E748" s="9" t="str">
        <f>IF(F748="","",_xlfn.XLOOKUP(F748,purchase!D:D,purchase!B:B,""))</f>
        <v/>
      </c>
      <c r="F748" s="2"/>
      <c r="G748" s="4" t="str">
        <f t="shared" si="78"/>
        <v/>
      </c>
      <c r="H748" s="4" t="str">
        <f>IF(F748="","",_xlfn.XLOOKUP(F748,purchase!D:D,purchase!#REF!,""))</f>
        <v/>
      </c>
      <c r="I748" s="4" t="str">
        <f t="shared" si="79"/>
        <v/>
      </c>
      <c r="J748" s="4" t="str">
        <f t="shared" si="80"/>
        <v/>
      </c>
      <c r="K748" s="13" t="str">
        <f>_xlfn.SINGLE(IF(F748="","",_xlfn.XLOOKUP(F748,purchase!D:D,purchase!#REF!,"")))</f>
        <v/>
      </c>
      <c r="L748" s="2"/>
      <c r="M748" s="32"/>
      <c r="N748" s="13" t="str">
        <f>IF(F748="","",
MAX(0,
_xlfn.XLOOKUP(F748,purchase!D:D,purchase!#REF!,"")
-
SUMIFS(L:L,F:F,F748)))</f>
        <v/>
      </c>
      <c r="O748" s="13" t="str">
        <f t="shared" si="81"/>
        <v/>
      </c>
      <c r="P748" s="35" t="str">
        <f>_xlfn.SINGLE(IF(F748="","",_xlfn.XLOOKUP(F748,purchase!D:D,purchase!K:K,"")))</f>
        <v/>
      </c>
      <c r="Q748" s="29" t="str">
        <f t="shared" si="82"/>
        <v/>
      </c>
      <c r="R748" s="37" t="str">
        <f t="shared" si="83"/>
        <v/>
      </c>
    </row>
    <row r="749" spans="1:18" x14ac:dyDescent="0.35">
      <c r="A749" s="8">
        <v>745</v>
      </c>
      <c r="B749" s="9" t="str">
        <f t="shared" si="77"/>
        <v/>
      </c>
      <c r="C749" s="10"/>
      <c r="D749" s="9" t="str">
        <f>IF(F749="","",_xlfn.XLOOKUP(F749,purchase!D:D,purchase!#REF!,""))</f>
        <v/>
      </c>
      <c r="E749" s="9" t="str">
        <f>IF(F749="","",_xlfn.XLOOKUP(F749,purchase!D:D,purchase!B:B,""))</f>
        <v/>
      </c>
      <c r="F749" s="2"/>
      <c r="G749" s="4" t="str">
        <f t="shared" si="78"/>
        <v/>
      </c>
      <c r="H749" s="4" t="str">
        <f>IF(F749="","",_xlfn.XLOOKUP(F749,purchase!D:D,purchase!#REF!,""))</f>
        <v/>
      </c>
      <c r="I749" s="4" t="str">
        <f t="shared" si="79"/>
        <v/>
      </c>
      <c r="J749" s="4" t="str">
        <f t="shared" si="80"/>
        <v/>
      </c>
      <c r="K749" s="13" t="str">
        <f>_xlfn.SINGLE(IF(F749="","",_xlfn.XLOOKUP(F749,purchase!D:D,purchase!#REF!,"")))</f>
        <v/>
      </c>
      <c r="L749" s="2"/>
      <c r="M749" s="32"/>
      <c r="N749" s="13" t="str">
        <f>IF(F749="","",
MAX(0,
_xlfn.XLOOKUP(F749,purchase!D:D,purchase!#REF!,"")
-
SUMIFS(L:L,F:F,F749)))</f>
        <v/>
      </c>
      <c r="O749" s="13" t="str">
        <f t="shared" si="81"/>
        <v/>
      </c>
      <c r="P749" s="35" t="str">
        <f>_xlfn.SINGLE(IF(F749="","",_xlfn.XLOOKUP(F749,purchase!D:D,purchase!K:K,"")))</f>
        <v/>
      </c>
      <c r="Q749" s="29" t="str">
        <f t="shared" si="82"/>
        <v/>
      </c>
      <c r="R749" s="37" t="str">
        <f t="shared" si="83"/>
        <v/>
      </c>
    </row>
    <row r="750" spans="1:18" x14ac:dyDescent="0.35">
      <c r="A750" s="8">
        <v>746</v>
      </c>
      <c r="B750" s="9" t="str">
        <f t="shared" si="77"/>
        <v/>
      </c>
      <c r="C750" s="10"/>
      <c r="D750" s="9" t="str">
        <f>IF(F750="","",_xlfn.XLOOKUP(F750,purchase!D:D,purchase!#REF!,""))</f>
        <v/>
      </c>
      <c r="E750" s="9" t="str">
        <f>IF(F750="","",_xlfn.XLOOKUP(F750,purchase!D:D,purchase!B:B,""))</f>
        <v/>
      </c>
      <c r="F750" s="2"/>
      <c r="G750" s="4" t="str">
        <f t="shared" si="78"/>
        <v/>
      </c>
      <c r="H750" s="4" t="str">
        <f>IF(F750="","",_xlfn.XLOOKUP(F750,purchase!D:D,purchase!#REF!,""))</f>
        <v/>
      </c>
      <c r="I750" s="4" t="str">
        <f t="shared" si="79"/>
        <v/>
      </c>
      <c r="J750" s="4" t="str">
        <f t="shared" si="80"/>
        <v/>
      </c>
      <c r="K750" s="13" t="str">
        <f>_xlfn.SINGLE(IF(F750="","",_xlfn.XLOOKUP(F750,purchase!D:D,purchase!#REF!,"")))</f>
        <v/>
      </c>
      <c r="L750" s="2"/>
      <c r="M750" s="32"/>
      <c r="N750" s="13" t="str">
        <f>IF(F750="","",
MAX(0,
_xlfn.XLOOKUP(F750,purchase!D:D,purchase!#REF!,"")
-
SUMIFS(L:L,F:F,F750)))</f>
        <v/>
      </c>
      <c r="O750" s="13" t="str">
        <f t="shared" si="81"/>
        <v/>
      </c>
      <c r="P750" s="35" t="str">
        <f>_xlfn.SINGLE(IF(F750="","",_xlfn.XLOOKUP(F750,purchase!D:D,purchase!K:K,"")))</f>
        <v/>
      </c>
      <c r="Q750" s="29" t="str">
        <f t="shared" si="82"/>
        <v/>
      </c>
      <c r="R750" s="37" t="str">
        <f t="shared" si="83"/>
        <v/>
      </c>
    </row>
    <row r="751" spans="1:18" x14ac:dyDescent="0.35">
      <c r="A751" s="8">
        <v>747</v>
      </c>
      <c r="B751" s="9" t="str">
        <f t="shared" si="77"/>
        <v/>
      </c>
      <c r="C751" s="10"/>
      <c r="D751" s="9" t="str">
        <f>IF(F751="","",_xlfn.XLOOKUP(F751,purchase!D:D,purchase!#REF!,""))</f>
        <v/>
      </c>
      <c r="E751" s="9" t="str">
        <f>IF(F751="","",_xlfn.XLOOKUP(F751,purchase!D:D,purchase!B:B,""))</f>
        <v/>
      </c>
      <c r="F751" s="2"/>
      <c r="G751" s="4" t="str">
        <f t="shared" si="78"/>
        <v/>
      </c>
      <c r="H751" s="4" t="str">
        <f>IF(F751="","",_xlfn.XLOOKUP(F751,purchase!D:D,purchase!#REF!,""))</f>
        <v/>
      </c>
      <c r="I751" s="4" t="str">
        <f t="shared" si="79"/>
        <v/>
      </c>
      <c r="J751" s="4" t="str">
        <f t="shared" si="80"/>
        <v/>
      </c>
      <c r="K751" s="13" t="str">
        <f>_xlfn.SINGLE(IF(F751="","",_xlfn.XLOOKUP(F751,purchase!D:D,purchase!#REF!,"")))</f>
        <v/>
      </c>
      <c r="L751" s="2"/>
      <c r="M751" s="32"/>
      <c r="N751" s="13" t="str">
        <f>IF(F751="","",
MAX(0,
_xlfn.XLOOKUP(F751,purchase!D:D,purchase!#REF!,"")
-
SUMIFS(L:L,F:F,F751)))</f>
        <v/>
      </c>
      <c r="O751" s="13" t="str">
        <f t="shared" si="81"/>
        <v/>
      </c>
      <c r="P751" s="35" t="str">
        <f>_xlfn.SINGLE(IF(F751="","",_xlfn.XLOOKUP(F751,purchase!D:D,purchase!K:K,"")))</f>
        <v/>
      </c>
      <c r="Q751" s="29" t="str">
        <f t="shared" si="82"/>
        <v/>
      </c>
      <c r="R751" s="37" t="str">
        <f t="shared" si="83"/>
        <v/>
      </c>
    </row>
    <row r="752" spans="1:18" x14ac:dyDescent="0.35">
      <c r="A752" s="8">
        <v>748</v>
      </c>
      <c r="B752" s="9" t="str">
        <f t="shared" si="77"/>
        <v/>
      </c>
      <c r="C752" s="10"/>
      <c r="D752" s="9" t="str">
        <f>IF(F752="","",_xlfn.XLOOKUP(F752,purchase!D:D,purchase!#REF!,""))</f>
        <v/>
      </c>
      <c r="E752" s="9" t="str">
        <f>IF(F752="","",_xlfn.XLOOKUP(F752,purchase!D:D,purchase!B:B,""))</f>
        <v/>
      </c>
      <c r="F752" s="2"/>
      <c r="G752" s="4" t="str">
        <f t="shared" si="78"/>
        <v/>
      </c>
      <c r="H752" s="4" t="str">
        <f>IF(F752="","",_xlfn.XLOOKUP(F752,purchase!D:D,purchase!#REF!,""))</f>
        <v/>
      </c>
      <c r="I752" s="4" t="str">
        <f t="shared" si="79"/>
        <v/>
      </c>
      <c r="J752" s="4" t="str">
        <f t="shared" si="80"/>
        <v/>
      </c>
      <c r="K752" s="13" t="str">
        <f>_xlfn.SINGLE(IF(F752="","",_xlfn.XLOOKUP(F752,purchase!D:D,purchase!#REF!,"")))</f>
        <v/>
      </c>
      <c r="L752" s="2"/>
      <c r="M752" s="32"/>
      <c r="N752" s="13" t="str">
        <f>IF(F752="","",
MAX(0,
_xlfn.XLOOKUP(F752,purchase!D:D,purchase!#REF!,"")
-
SUMIFS(L:L,F:F,F752)))</f>
        <v/>
      </c>
      <c r="O752" s="13" t="str">
        <f t="shared" si="81"/>
        <v/>
      </c>
      <c r="P752" s="35" t="str">
        <f>_xlfn.SINGLE(IF(F752="","",_xlfn.XLOOKUP(F752,purchase!D:D,purchase!K:K,"")))</f>
        <v/>
      </c>
      <c r="Q752" s="29" t="str">
        <f t="shared" si="82"/>
        <v/>
      </c>
      <c r="R752" s="37" t="str">
        <f t="shared" si="83"/>
        <v/>
      </c>
    </row>
    <row r="753" spans="1:18" x14ac:dyDescent="0.35">
      <c r="A753" s="8">
        <v>749</v>
      </c>
      <c r="B753" s="9" t="str">
        <f t="shared" si="77"/>
        <v/>
      </c>
      <c r="C753" s="10"/>
      <c r="D753" s="9" t="str">
        <f>IF(F753="","",_xlfn.XLOOKUP(F753,purchase!D:D,purchase!#REF!,""))</f>
        <v/>
      </c>
      <c r="E753" s="9" t="str">
        <f>IF(F753="","",_xlfn.XLOOKUP(F753,purchase!D:D,purchase!B:B,""))</f>
        <v/>
      </c>
      <c r="F753" s="2"/>
      <c r="G753" s="4" t="str">
        <f t="shared" si="78"/>
        <v/>
      </c>
      <c r="H753" s="4" t="str">
        <f>IF(F753="","",_xlfn.XLOOKUP(F753,purchase!D:D,purchase!#REF!,""))</f>
        <v/>
      </c>
      <c r="I753" s="4" t="str">
        <f t="shared" si="79"/>
        <v/>
      </c>
      <c r="J753" s="4" t="str">
        <f t="shared" si="80"/>
        <v/>
      </c>
      <c r="K753" s="13" t="str">
        <f>_xlfn.SINGLE(IF(F753="","",_xlfn.XLOOKUP(F753,purchase!D:D,purchase!#REF!,"")))</f>
        <v/>
      </c>
      <c r="L753" s="2"/>
      <c r="M753" s="32"/>
      <c r="N753" s="13" t="str">
        <f>IF(F753="","",
MAX(0,
_xlfn.XLOOKUP(F753,purchase!D:D,purchase!#REF!,"")
-
SUMIFS(L:L,F:F,F753)))</f>
        <v/>
      </c>
      <c r="O753" s="13" t="str">
        <f t="shared" si="81"/>
        <v/>
      </c>
      <c r="P753" s="35" t="str">
        <f>_xlfn.SINGLE(IF(F753="","",_xlfn.XLOOKUP(F753,purchase!D:D,purchase!K:K,"")))</f>
        <v/>
      </c>
      <c r="Q753" s="29" t="str">
        <f t="shared" si="82"/>
        <v/>
      </c>
      <c r="R753" s="37" t="str">
        <f t="shared" si="83"/>
        <v/>
      </c>
    </row>
    <row r="754" spans="1:18" x14ac:dyDescent="0.35">
      <c r="A754" s="8">
        <v>750</v>
      </c>
      <c r="B754" s="9" t="str">
        <f t="shared" si="77"/>
        <v/>
      </c>
      <c r="C754" s="10"/>
      <c r="D754" s="9" t="str">
        <f>IF(F754="","",_xlfn.XLOOKUP(F754,purchase!D:D,purchase!#REF!,""))</f>
        <v/>
      </c>
      <c r="E754" s="9" t="str">
        <f>IF(F754="","",_xlfn.XLOOKUP(F754,purchase!D:D,purchase!B:B,""))</f>
        <v/>
      </c>
      <c r="F754" s="2"/>
      <c r="G754" s="4" t="str">
        <f t="shared" si="78"/>
        <v/>
      </c>
      <c r="H754" s="4" t="str">
        <f>IF(F754="","",_xlfn.XLOOKUP(F754,purchase!D:D,purchase!#REF!,""))</f>
        <v/>
      </c>
      <c r="I754" s="4" t="str">
        <f t="shared" si="79"/>
        <v/>
      </c>
      <c r="J754" s="4" t="str">
        <f t="shared" si="80"/>
        <v/>
      </c>
      <c r="K754" s="13" t="str">
        <f>_xlfn.SINGLE(IF(F754="","",_xlfn.XLOOKUP(F754,purchase!D:D,purchase!#REF!,"")))</f>
        <v/>
      </c>
      <c r="L754" s="2"/>
      <c r="M754" s="32"/>
      <c r="N754" s="13" t="str">
        <f>IF(F754="","",
MAX(0,
_xlfn.XLOOKUP(F754,purchase!D:D,purchase!#REF!,"")
-
SUMIFS(L:L,F:F,F754)))</f>
        <v/>
      </c>
      <c r="O754" s="13" t="str">
        <f t="shared" si="81"/>
        <v/>
      </c>
      <c r="P754" s="35" t="str">
        <f>_xlfn.SINGLE(IF(F754="","",_xlfn.XLOOKUP(F754,purchase!D:D,purchase!K:K,"")))</f>
        <v/>
      </c>
      <c r="Q754" s="29" t="str">
        <f t="shared" si="82"/>
        <v/>
      </c>
      <c r="R754" s="37" t="str">
        <f t="shared" si="83"/>
        <v/>
      </c>
    </row>
    <row r="755" spans="1:18" x14ac:dyDescent="0.35">
      <c r="A755" s="8">
        <v>751</v>
      </c>
      <c r="B755" s="9" t="str">
        <f t="shared" si="77"/>
        <v/>
      </c>
      <c r="C755" s="10"/>
      <c r="D755" s="9" t="str">
        <f>IF(F755="","",_xlfn.XLOOKUP(F755,purchase!D:D,purchase!#REF!,""))</f>
        <v/>
      </c>
      <c r="E755" s="9" t="str">
        <f>IF(F755="","",_xlfn.XLOOKUP(F755,purchase!D:D,purchase!B:B,""))</f>
        <v/>
      </c>
      <c r="F755" s="2"/>
      <c r="G755" s="4" t="str">
        <f t="shared" si="78"/>
        <v/>
      </c>
      <c r="H755" s="4" t="str">
        <f>IF(F755="","",_xlfn.XLOOKUP(F755,purchase!D:D,purchase!#REF!,""))</f>
        <v/>
      </c>
      <c r="I755" s="4" t="str">
        <f t="shared" si="79"/>
        <v/>
      </c>
      <c r="J755" s="4" t="str">
        <f t="shared" si="80"/>
        <v/>
      </c>
      <c r="K755" s="13" t="str">
        <f>_xlfn.SINGLE(IF(F755="","",_xlfn.XLOOKUP(F755,purchase!D:D,purchase!#REF!,"")))</f>
        <v/>
      </c>
      <c r="L755" s="2"/>
      <c r="M755" s="32"/>
      <c r="N755" s="13" t="str">
        <f>IF(F755="","",
MAX(0,
_xlfn.XLOOKUP(F755,purchase!D:D,purchase!#REF!,"")
-
SUMIFS(L:L,F:F,F755)))</f>
        <v/>
      </c>
      <c r="O755" s="13" t="str">
        <f t="shared" si="81"/>
        <v/>
      </c>
      <c r="P755" s="35" t="str">
        <f>_xlfn.SINGLE(IF(F755="","",_xlfn.XLOOKUP(F755,purchase!D:D,purchase!K:K,"")))</f>
        <v/>
      </c>
      <c r="Q755" s="29" t="str">
        <f t="shared" si="82"/>
        <v/>
      </c>
      <c r="R755" s="37" t="str">
        <f t="shared" si="83"/>
        <v/>
      </c>
    </row>
    <row r="756" spans="1:18" x14ac:dyDescent="0.35">
      <c r="A756" s="8">
        <v>752</v>
      </c>
      <c r="B756" s="9" t="str">
        <f t="shared" si="77"/>
        <v/>
      </c>
      <c r="C756" s="10"/>
      <c r="D756" s="9" t="str">
        <f>IF(F756="","",_xlfn.XLOOKUP(F756,purchase!D:D,purchase!#REF!,""))</f>
        <v/>
      </c>
      <c r="E756" s="9" t="str">
        <f>IF(F756="","",_xlfn.XLOOKUP(F756,purchase!D:D,purchase!B:B,""))</f>
        <v/>
      </c>
      <c r="F756" s="2"/>
      <c r="G756" s="4" t="str">
        <f t="shared" si="78"/>
        <v/>
      </c>
      <c r="H756" s="4" t="str">
        <f>IF(F756="","",_xlfn.XLOOKUP(F756,purchase!D:D,purchase!#REF!,""))</f>
        <v/>
      </c>
      <c r="I756" s="4" t="str">
        <f t="shared" si="79"/>
        <v/>
      </c>
      <c r="J756" s="4" t="str">
        <f t="shared" si="80"/>
        <v/>
      </c>
      <c r="K756" s="13" t="str">
        <f>_xlfn.SINGLE(IF(F756="","",_xlfn.XLOOKUP(F756,purchase!D:D,purchase!#REF!,"")))</f>
        <v/>
      </c>
      <c r="L756" s="2"/>
      <c r="M756" s="32"/>
      <c r="N756" s="13" t="str">
        <f>IF(F756="","",
MAX(0,
_xlfn.XLOOKUP(F756,purchase!D:D,purchase!#REF!,"")
-
SUMIFS(L:L,F:F,F756)))</f>
        <v/>
      </c>
      <c r="O756" s="13" t="str">
        <f t="shared" si="81"/>
        <v/>
      </c>
      <c r="P756" s="35" t="str">
        <f>_xlfn.SINGLE(IF(F756="","",_xlfn.XLOOKUP(F756,purchase!D:D,purchase!K:K,"")))</f>
        <v/>
      </c>
      <c r="Q756" s="29" t="str">
        <f t="shared" si="82"/>
        <v/>
      </c>
      <c r="R756" s="37" t="str">
        <f t="shared" si="83"/>
        <v/>
      </c>
    </row>
    <row r="757" spans="1:18" x14ac:dyDescent="0.35">
      <c r="A757" s="8">
        <v>753</v>
      </c>
      <c r="B757" s="9" t="str">
        <f t="shared" si="77"/>
        <v/>
      </c>
      <c r="C757" s="10"/>
      <c r="D757" s="9" t="str">
        <f>IF(F757="","",_xlfn.XLOOKUP(F757,purchase!D:D,purchase!#REF!,""))</f>
        <v/>
      </c>
      <c r="E757" s="9" t="str">
        <f>IF(F757="","",_xlfn.XLOOKUP(F757,purchase!D:D,purchase!B:B,""))</f>
        <v/>
      </c>
      <c r="F757" s="2"/>
      <c r="G757" s="4" t="str">
        <f t="shared" si="78"/>
        <v/>
      </c>
      <c r="H757" s="4" t="str">
        <f>IF(F757="","",_xlfn.XLOOKUP(F757,purchase!D:D,purchase!#REF!,""))</f>
        <v/>
      </c>
      <c r="I757" s="4" t="str">
        <f t="shared" si="79"/>
        <v/>
      </c>
      <c r="J757" s="4" t="str">
        <f t="shared" si="80"/>
        <v/>
      </c>
      <c r="K757" s="13" t="str">
        <f>_xlfn.SINGLE(IF(F757="","",_xlfn.XLOOKUP(F757,purchase!D:D,purchase!#REF!,"")))</f>
        <v/>
      </c>
      <c r="L757" s="2"/>
      <c r="M757" s="32"/>
      <c r="N757" s="13" t="str">
        <f>IF(F757="","",
MAX(0,
_xlfn.XLOOKUP(F757,purchase!D:D,purchase!#REF!,"")
-
SUMIFS(L:L,F:F,F757)))</f>
        <v/>
      </c>
      <c r="O757" s="13" t="str">
        <f t="shared" si="81"/>
        <v/>
      </c>
      <c r="P757" s="35" t="str">
        <f>_xlfn.SINGLE(IF(F757="","",_xlfn.XLOOKUP(F757,purchase!D:D,purchase!K:K,"")))</f>
        <v/>
      </c>
      <c r="Q757" s="29" t="str">
        <f t="shared" si="82"/>
        <v/>
      </c>
      <c r="R757" s="37" t="str">
        <f t="shared" si="83"/>
        <v/>
      </c>
    </row>
    <row r="758" spans="1:18" x14ac:dyDescent="0.35">
      <c r="A758" s="8">
        <v>754</v>
      </c>
      <c r="B758" s="9" t="str">
        <f t="shared" si="77"/>
        <v/>
      </c>
      <c r="C758" s="10"/>
      <c r="D758" s="9" t="str">
        <f>IF(F758="","",_xlfn.XLOOKUP(F758,purchase!D:D,purchase!#REF!,""))</f>
        <v/>
      </c>
      <c r="E758" s="9" t="str">
        <f>IF(F758="","",_xlfn.XLOOKUP(F758,purchase!D:D,purchase!B:B,""))</f>
        <v/>
      </c>
      <c r="F758" s="2"/>
      <c r="G758" s="4" t="str">
        <f t="shared" si="78"/>
        <v/>
      </c>
      <c r="H758" s="4" t="str">
        <f>IF(F758="","",_xlfn.XLOOKUP(F758,purchase!D:D,purchase!#REF!,""))</f>
        <v/>
      </c>
      <c r="I758" s="4" t="str">
        <f t="shared" si="79"/>
        <v/>
      </c>
      <c r="J758" s="4" t="str">
        <f t="shared" si="80"/>
        <v/>
      </c>
      <c r="K758" s="13" t="str">
        <f>_xlfn.SINGLE(IF(F758="","",_xlfn.XLOOKUP(F758,purchase!D:D,purchase!#REF!,"")))</f>
        <v/>
      </c>
      <c r="L758" s="2"/>
      <c r="M758" s="32"/>
      <c r="N758" s="13" t="str">
        <f>IF(F758="","",
MAX(0,
_xlfn.XLOOKUP(F758,purchase!D:D,purchase!#REF!,"")
-
SUMIFS(L:L,F:F,F758)))</f>
        <v/>
      </c>
      <c r="O758" s="13" t="str">
        <f t="shared" si="81"/>
        <v/>
      </c>
      <c r="P758" s="35" t="str">
        <f>_xlfn.SINGLE(IF(F758="","",_xlfn.XLOOKUP(F758,purchase!D:D,purchase!K:K,"")))</f>
        <v/>
      </c>
      <c r="Q758" s="29" t="str">
        <f t="shared" si="82"/>
        <v/>
      </c>
      <c r="R758" s="37" t="str">
        <f t="shared" si="83"/>
        <v/>
      </c>
    </row>
    <row r="759" spans="1:18" x14ac:dyDescent="0.35">
      <c r="A759" s="8">
        <v>755</v>
      </c>
      <c r="B759" s="9" t="str">
        <f t="shared" si="77"/>
        <v/>
      </c>
      <c r="C759" s="10"/>
      <c r="D759" s="9" t="str">
        <f>IF(F759="","",_xlfn.XLOOKUP(F759,purchase!D:D,purchase!#REF!,""))</f>
        <v/>
      </c>
      <c r="E759" s="9" t="str">
        <f>IF(F759="","",_xlfn.XLOOKUP(F759,purchase!D:D,purchase!B:B,""))</f>
        <v/>
      </c>
      <c r="F759" s="2"/>
      <c r="G759" s="4" t="str">
        <f t="shared" si="78"/>
        <v/>
      </c>
      <c r="H759" s="4" t="str">
        <f>IF(F759="","",_xlfn.XLOOKUP(F759,purchase!D:D,purchase!#REF!,""))</f>
        <v/>
      </c>
      <c r="I759" s="4" t="str">
        <f t="shared" si="79"/>
        <v/>
      </c>
      <c r="J759" s="4" t="str">
        <f t="shared" si="80"/>
        <v/>
      </c>
      <c r="K759" s="13" t="str">
        <f>_xlfn.SINGLE(IF(F759="","",_xlfn.XLOOKUP(F759,purchase!D:D,purchase!#REF!,"")))</f>
        <v/>
      </c>
      <c r="L759" s="2"/>
      <c r="M759" s="32"/>
      <c r="N759" s="13" t="str">
        <f>IF(F759="","",
MAX(0,
_xlfn.XLOOKUP(F759,purchase!D:D,purchase!#REF!,"")
-
SUMIFS(L:L,F:F,F759)))</f>
        <v/>
      </c>
      <c r="O759" s="13" t="str">
        <f t="shared" si="81"/>
        <v/>
      </c>
      <c r="P759" s="35" t="str">
        <f>_xlfn.SINGLE(IF(F759="","",_xlfn.XLOOKUP(F759,purchase!D:D,purchase!K:K,"")))</f>
        <v/>
      </c>
      <c r="Q759" s="29" t="str">
        <f t="shared" si="82"/>
        <v/>
      </c>
      <c r="R759" s="37" t="str">
        <f t="shared" si="83"/>
        <v/>
      </c>
    </row>
    <row r="760" spans="1:18" x14ac:dyDescent="0.35">
      <c r="A760" s="8">
        <v>756</v>
      </c>
      <c r="B760" s="9" t="str">
        <f t="shared" si="77"/>
        <v/>
      </c>
      <c r="C760" s="10"/>
      <c r="D760" s="9" t="str">
        <f>IF(F760="","",_xlfn.XLOOKUP(F760,purchase!D:D,purchase!#REF!,""))</f>
        <v/>
      </c>
      <c r="E760" s="9" t="str">
        <f>IF(F760="","",_xlfn.XLOOKUP(F760,purchase!D:D,purchase!B:B,""))</f>
        <v/>
      </c>
      <c r="F760" s="2"/>
      <c r="G760" s="4" t="str">
        <f t="shared" si="78"/>
        <v/>
      </c>
      <c r="H760" s="4" t="str">
        <f>IF(F760="","",_xlfn.XLOOKUP(F760,purchase!D:D,purchase!#REF!,""))</f>
        <v/>
      </c>
      <c r="I760" s="4" t="str">
        <f t="shared" si="79"/>
        <v/>
      </c>
      <c r="J760" s="4" t="str">
        <f t="shared" si="80"/>
        <v/>
      </c>
      <c r="K760" s="13" t="str">
        <f>_xlfn.SINGLE(IF(F760="","",_xlfn.XLOOKUP(F760,purchase!D:D,purchase!#REF!,"")))</f>
        <v/>
      </c>
      <c r="L760" s="2"/>
      <c r="M760" s="32"/>
      <c r="N760" s="13" t="str">
        <f>IF(F760="","",
MAX(0,
_xlfn.XLOOKUP(F760,purchase!D:D,purchase!#REF!,"")
-
SUMIFS(L:L,F:F,F760)))</f>
        <v/>
      </c>
      <c r="O760" s="13" t="str">
        <f t="shared" si="81"/>
        <v/>
      </c>
      <c r="P760" s="35" t="str">
        <f>_xlfn.SINGLE(IF(F760="","",_xlfn.XLOOKUP(F760,purchase!D:D,purchase!K:K,"")))</f>
        <v/>
      </c>
      <c r="Q760" s="29" t="str">
        <f t="shared" si="82"/>
        <v/>
      </c>
      <c r="R760" s="37" t="str">
        <f t="shared" si="83"/>
        <v/>
      </c>
    </row>
    <row r="761" spans="1:18" x14ac:dyDescent="0.35">
      <c r="A761" s="8">
        <v>757</v>
      </c>
      <c r="B761" s="9" t="str">
        <f t="shared" si="77"/>
        <v/>
      </c>
      <c r="C761" s="10"/>
      <c r="D761" s="9" t="str">
        <f>IF(F761="","",_xlfn.XLOOKUP(F761,purchase!D:D,purchase!#REF!,""))</f>
        <v/>
      </c>
      <c r="E761" s="9" t="str">
        <f>IF(F761="","",_xlfn.XLOOKUP(F761,purchase!D:D,purchase!B:B,""))</f>
        <v/>
      </c>
      <c r="F761" s="2"/>
      <c r="G761" s="4" t="str">
        <f t="shared" si="78"/>
        <v/>
      </c>
      <c r="H761" s="4" t="str">
        <f>IF(F761="","",_xlfn.XLOOKUP(F761,purchase!D:D,purchase!#REF!,""))</f>
        <v/>
      </c>
      <c r="I761" s="4" t="str">
        <f t="shared" si="79"/>
        <v/>
      </c>
      <c r="J761" s="4" t="str">
        <f t="shared" si="80"/>
        <v/>
      </c>
      <c r="K761" s="13" t="str">
        <f>_xlfn.SINGLE(IF(F761="","",_xlfn.XLOOKUP(F761,purchase!D:D,purchase!#REF!,"")))</f>
        <v/>
      </c>
      <c r="L761" s="2"/>
      <c r="M761" s="32"/>
      <c r="N761" s="13" t="str">
        <f>IF(F761="","",
MAX(0,
_xlfn.XLOOKUP(F761,purchase!D:D,purchase!#REF!,"")
-
SUMIFS(L:L,F:F,F761)))</f>
        <v/>
      </c>
      <c r="O761" s="13" t="str">
        <f t="shared" si="81"/>
        <v/>
      </c>
      <c r="P761" s="35" t="str">
        <f>_xlfn.SINGLE(IF(F761="","",_xlfn.XLOOKUP(F761,purchase!D:D,purchase!K:K,"")))</f>
        <v/>
      </c>
      <c r="Q761" s="29" t="str">
        <f t="shared" si="82"/>
        <v/>
      </c>
      <c r="R761" s="37" t="str">
        <f t="shared" si="83"/>
        <v/>
      </c>
    </row>
    <row r="762" spans="1:18" x14ac:dyDescent="0.35">
      <c r="A762" s="8">
        <v>758</v>
      </c>
      <c r="B762" s="9" t="str">
        <f t="shared" si="77"/>
        <v/>
      </c>
      <c r="C762" s="10"/>
      <c r="D762" s="9" t="str">
        <f>IF(F762="","",_xlfn.XLOOKUP(F762,purchase!D:D,purchase!#REF!,""))</f>
        <v/>
      </c>
      <c r="E762" s="9" t="str">
        <f>IF(F762="","",_xlfn.XLOOKUP(F762,purchase!D:D,purchase!B:B,""))</f>
        <v/>
      </c>
      <c r="F762" s="2"/>
      <c r="G762" s="4" t="str">
        <f t="shared" si="78"/>
        <v/>
      </c>
      <c r="H762" s="4" t="str">
        <f>IF(F762="","",_xlfn.XLOOKUP(F762,purchase!D:D,purchase!#REF!,""))</f>
        <v/>
      </c>
      <c r="I762" s="4" t="str">
        <f t="shared" si="79"/>
        <v/>
      </c>
      <c r="J762" s="4" t="str">
        <f t="shared" si="80"/>
        <v/>
      </c>
      <c r="K762" s="13" t="str">
        <f>_xlfn.SINGLE(IF(F762="","",_xlfn.XLOOKUP(F762,purchase!D:D,purchase!#REF!,"")))</f>
        <v/>
      </c>
      <c r="L762" s="2"/>
      <c r="M762" s="32"/>
      <c r="N762" s="13" t="str">
        <f>IF(F762="","",
MAX(0,
_xlfn.XLOOKUP(F762,purchase!D:D,purchase!#REF!,"")
-
SUMIFS(L:L,F:F,F762)))</f>
        <v/>
      </c>
      <c r="O762" s="13" t="str">
        <f t="shared" si="81"/>
        <v/>
      </c>
      <c r="P762" s="35" t="str">
        <f>_xlfn.SINGLE(IF(F762="","",_xlfn.XLOOKUP(F762,purchase!D:D,purchase!K:K,"")))</f>
        <v/>
      </c>
      <c r="Q762" s="29" t="str">
        <f t="shared" si="82"/>
        <v/>
      </c>
      <c r="R762" s="37" t="str">
        <f t="shared" si="83"/>
        <v/>
      </c>
    </row>
    <row r="763" spans="1:18" x14ac:dyDescent="0.35">
      <c r="A763" s="8">
        <v>759</v>
      </c>
      <c r="B763" s="9" t="str">
        <f t="shared" si="77"/>
        <v/>
      </c>
      <c r="C763" s="10"/>
      <c r="D763" s="9" t="str">
        <f>IF(F763="","",_xlfn.XLOOKUP(F763,purchase!D:D,purchase!#REF!,""))</f>
        <v/>
      </c>
      <c r="E763" s="9" t="str">
        <f>IF(F763="","",_xlfn.XLOOKUP(F763,purchase!D:D,purchase!B:B,""))</f>
        <v/>
      </c>
      <c r="F763" s="2"/>
      <c r="G763" s="4" t="str">
        <f t="shared" si="78"/>
        <v/>
      </c>
      <c r="H763" s="4" t="str">
        <f>IF(F763="","",_xlfn.XLOOKUP(F763,purchase!D:D,purchase!#REF!,""))</f>
        <v/>
      </c>
      <c r="I763" s="4" t="str">
        <f t="shared" si="79"/>
        <v/>
      </c>
      <c r="J763" s="4" t="str">
        <f t="shared" si="80"/>
        <v/>
      </c>
      <c r="K763" s="13" t="str">
        <f>_xlfn.SINGLE(IF(F763="","",_xlfn.XLOOKUP(F763,purchase!D:D,purchase!#REF!,"")))</f>
        <v/>
      </c>
      <c r="L763" s="2"/>
      <c r="M763" s="32"/>
      <c r="N763" s="13" t="str">
        <f>IF(F763="","",
MAX(0,
_xlfn.XLOOKUP(F763,purchase!D:D,purchase!#REF!,"")
-
SUMIFS(L:L,F:F,F763)))</f>
        <v/>
      </c>
      <c r="O763" s="13" t="str">
        <f t="shared" si="81"/>
        <v/>
      </c>
      <c r="P763" s="35" t="str">
        <f>_xlfn.SINGLE(IF(F763="","",_xlfn.XLOOKUP(F763,purchase!D:D,purchase!K:K,"")))</f>
        <v/>
      </c>
      <c r="Q763" s="29" t="str">
        <f t="shared" si="82"/>
        <v/>
      </c>
      <c r="R763" s="37" t="str">
        <f t="shared" si="83"/>
        <v/>
      </c>
    </row>
    <row r="764" spans="1:18" x14ac:dyDescent="0.35">
      <c r="A764" s="8">
        <v>760</v>
      </c>
      <c r="B764" s="9" t="str">
        <f t="shared" si="77"/>
        <v/>
      </c>
      <c r="C764" s="10"/>
      <c r="D764" s="9" t="str">
        <f>IF(F764="","",_xlfn.XLOOKUP(F764,purchase!D:D,purchase!#REF!,""))</f>
        <v/>
      </c>
      <c r="E764" s="9" t="str">
        <f>IF(F764="","",_xlfn.XLOOKUP(F764,purchase!D:D,purchase!B:B,""))</f>
        <v/>
      </c>
      <c r="F764" s="2"/>
      <c r="G764" s="4" t="str">
        <f t="shared" si="78"/>
        <v/>
      </c>
      <c r="H764" s="4" t="str">
        <f>IF(F764="","",_xlfn.XLOOKUP(F764,purchase!D:D,purchase!#REF!,""))</f>
        <v/>
      </c>
      <c r="I764" s="4" t="str">
        <f t="shared" si="79"/>
        <v/>
      </c>
      <c r="J764" s="4" t="str">
        <f t="shared" si="80"/>
        <v/>
      </c>
      <c r="K764" s="13" t="str">
        <f>_xlfn.SINGLE(IF(F764="","",_xlfn.XLOOKUP(F764,purchase!D:D,purchase!#REF!,"")))</f>
        <v/>
      </c>
      <c r="L764" s="2"/>
      <c r="M764" s="32"/>
      <c r="N764" s="13" t="str">
        <f>IF(F764="","",
MAX(0,
_xlfn.XLOOKUP(F764,purchase!D:D,purchase!#REF!,"")
-
SUMIFS(L:L,F:F,F764)))</f>
        <v/>
      </c>
      <c r="O764" s="13" t="str">
        <f t="shared" si="81"/>
        <v/>
      </c>
      <c r="P764" s="35" t="str">
        <f>_xlfn.SINGLE(IF(F764="","",_xlfn.XLOOKUP(F764,purchase!D:D,purchase!K:K,"")))</f>
        <v/>
      </c>
      <c r="Q764" s="29" t="str">
        <f t="shared" si="82"/>
        <v/>
      </c>
      <c r="R764" s="37" t="str">
        <f t="shared" si="83"/>
        <v/>
      </c>
    </row>
    <row r="765" spans="1:18" x14ac:dyDescent="0.35">
      <c r="A765" s="8">
        <v>761</v>
      </c>
      <c r="B765" s="9" t="str">
        <f t="shared" si="77"/>
        <v/>
      </c>
      <c r="C765" s="10"/>
      <c r="D765" s="9" t="str">
        <f>IF(F765="","",_xlfn.XLOOKUP(F765,purchase!D:D,purchase!#REF!,""))</f>
        <v/>
      </c>
      <c r="E765" s="9" t="str">
        <f>IF(F765="","",_xlfn.XLOOKUP(F765,purchase!D:D,purchase!B:B,""))</f>
        <v/>
      </c>
      <c r="F765" s="2"/>
      <c r="G765" s="4" t="str">
        <f t="shared" si="78"/>
        <v/>
      </c>
      <c r="H765" s="4" t="str">
        <f>IF(F765="","",_xlfn.XLOOKUP(F765,purchase!D:D,purchase!#REF!,""))</f>
        <v/>
      </c>
      <c r="I765" s="4" t="str">
        <f t="shared" si="79"/>
        <v/>
      </c>
      <c r="J765" s="4" t="str">
        <f t="shared" si="80"/>
        <v/>
      </c>
      <c r="K765" s="13" t="str">
        <f>_xlfn.SINGLE(IF(F765="","",_xlfn.XLOOKUP(F765,purchase!D:D,purchase!#REF!,"")))</f>
        <v/>
      </c>
      <c r="L765" s="2"/>
      <c r="M765" s="32"/>
      <c r="N765" s="13" t="str">
        <f>IF(F765="","",
MAX(0,
_xlfn.XLOOKUP(F765,purchase!D:D,purchase!#REF!,"")
-
SUMIFS(L:L,F:F,F765)))</f>
        <v/>
      </c>
      <c r="O765" s="13" t="str">
        <f t="shared" si="81"/>
        <v/>
      </c>
      <c r="P765" s="35" t="str">
        <f>_xlfn.SINGLE(IF(F765="","",_xlfn.XLOOKUP(F765,purchase!D:D,purchase!K:K,"")))</f>
        <v/>
      </c>
      <c r="Q765" s="29" t="str">
        <f t="shared" si="82"/>
        <v/>
      </c>
      <c r="R765" s="37" t="str">
        <f t="shared" si="83"/>
        <v/>
      </c>
    </row>
    <row r="766" spans="1:18" x14ac:dyDescent="0.35">
      <c r="A766" s="8">
        <v>762</v>
      </c>
      <c r="B766" s="9" t="str">
        <f t="shared" si="77"/>
        <v/>
      </c>
      <c r="C766" s="10"/>
      <c r="D766" s="9" t="str">
        <f>IF(F766="","",_xlfn.XLOOKUP(F766,purchase!D:D,purchase!#REF!,""))</f>
        <v/>
      </c>
      <c r="E766" s="9" t="str">
        <f>IF(F766="","",_xlfn.XLOOKUP(F766,purchase!D:D,purchase!B:B,""))</f>
        <v/>
      </c>
      <c r="F766" s="2"/>
      <c r="G766" s="4" t="str">
        <f t="shared" si="78"/>
        <v/>
      </c>
      <c r="H766" s="4" t="str">
        <f>IF(F766="","",_xlfn.XLOOKUP(F766,purchase!D:D,purchase!#REF!,""))</f>
        <v/>
      </c>
      <c r="I766" s="4" t="str">
        <f t="shared" si="79"/>
        <v/>
      </c>
      <c r="J766" s="4" t="str">
        <f t="shared" si="80"/>
        <v/>
      </c>
      <c r="K766" s="13" t="str">
        <f>_xlfn.SINGLE(IF(F766="","",_xlfn.XLOOKUP(F766,purchase!D:D,purchase!#REF!,"")))</f>
        <v/>
      </c>
      <c r="L766" s="2"/>
      <c r="M766" s="32"/>
      <c r="N766" s="13" t="str">
        <f>IF(F766="","",
MAX(0,
_xlfn.XLOOKUP(F766,purchase!D:D,purchase!#REF!,"")
-
SUMIFS(L:L,F:F,F766)))</f>
        <v/>
      </c>
      <c r="O766" s="13" t="str">
        <f t="shared" si="81"/>
        <v/>
      </c>
      <c r="P766" s="35" t="str">
        <f>_xlfn.SINGLE(IF(F766="","",_xlfn.XLOOKUP(F766,purchase!D:D,purchase!K:K,"")))</f>
        <v/>
      </c>
      <c r="Q766" s="29" t="str">
        <f t="shared" si="82"/>
        <v/>
      </c>
      <c r="R766" s="37" t="str">
        <f t="shared" si="83"/>
        <v/>
      </c>
    </row>
    <row r="767" spans="1:18" x14ac:dyDescent="0.35">
      <c r="A767" s="8">
        <v>763</v>
      </c>
      <c r="B767" s="9" t="str">
        <f t="shared" si="77"/>
        <v/>
      </c>
      <c r="C767" s="10"/>
      <c r="D767" s="9" t="str">
        <f>IF(F767="","",_xlfn.XLOOKUP(F767,purchase!D:D,purchase!#REF!,""))</f>
        <v/>
      </c>
      <c r="E767" s="9" t="str">
        <f>IF(F767="","",_xlfn.XLOOKUP(F767,purchase!D:D,purchase!B:B,""))</f>
        <v/>
      </c>
      <c r="F767" s="2"/>
      <c r="G767" s="4" t="str">
        <f t="shared" si="78"/>
        <v/>
      </c>
      <c r="H767" s="4" t="str">
        <f>IF(F767="","",_xlfn.XLOOKUP(F767,purchase!D:D,purchase!#REF!,""))</f>
        <v/>
      </c>
      <c r="I767" s="4" t="str">
        <f t="shared" si="79"/>
        <v/>
      </c>
      <c r="J767" s="4" t="str">
        <f t="shared" si="80"/>
        <v/>
      </c>
      <c r="K767" s="13" t="str">
        <f>_xlfn.SINGLE(IF(F767="","",_xlfn.XLOOKUP(F767,purchase!D:D,purchase!#REF!,"")))</f>
        <v/>
      </c>
      <c r="L767" s="2"/>
      <c r="M767" s="32"/>
      <c r="N767" s="13" t="str">
        <f>IF(F767="","",
MAX(0,
_xlfn.XLOOKUP(F767,purchase!D:D,purchase!#REF!,"")
-
SUMIFS(L:L,F:F,F767)))</f>
        <v/>
      </c>
      <c r="O767" s="13" t="str">
        <f t="shared" si="81"/>
        <v/>
      </c>
      <c r="P767" s="35" t="str">
        <f>_xlfn.SINGLE(IF(F767="","",_xlfn.XLOOKUP(F767,purchase!D:D,purchase!K:K,"")))</f>
        <v/>
      </c>
      <c r="Q767" s="29" t="str">
        <f t="shared" si="82"/>
        <v/>
      </c>
      <c r="R767" s="37" t="str">
        <f t="shared" si="83"/>
        <v/>
      </c>
    </row>
    <row r="768" spans="1:18" x14ac:dyDescent="0.35">
      <c r="A768" s="8">
        <v>764</v>
      </c>
      <c r="B768" s="9" t="str">
        <f t="shared" si="77"/>
        <v/>
      </c>
      <c r="C768" s="10"/>
      <c r="D768" s="9" t="str">
        <f>IF(F768="","",_xlfn.XLOOKUP(F768,purchase!D:D,purchase!#REF!,""))</f>
        <v/>
      </c>
      <c r="E768" s="9" t="str">
        <f>IF(F768="","",_xlfn.XLOOKUP(F768,purchase!D:D,purchase!B:B,""))</f>
        <v/>
      </c>
      <c r="F768" s="2"/>
      <c r="G768" s="4" t="str">
        <f t="shared" si="78"/>
        <v/>
      </c>
      <c r="H768" s="4" t="str">
        <f>IF(F768="","",_xlfn.XLOOKUP(F768,purchase!D:D,purchase!#REF!,""))</f>
        <v/>
      </c>
      <c r="I768" s="4" t="str">
        <f t="shared" si="79"/>
        <v/>
      </c>
      <c r="J768" s="4" t="str">
        <f t="shared" si="80"/>
        <v/>
      </c>
      <c r="K768" s="13" t="str">
        <f>_xlfn.SINGLE(IF(F768="","",_xlfn.XLOOKUP(F768,purchase!D:D,purchase!#REF!,"")))</f>
        <v/>
      </c>
      <c r="L768" s="2"/>
      <c r="M768" s="32"/>
      <c r="N768" s="13" t="str">
        <f>IF(F768="","",
MAX(0,
_xlfn.XLOOKUP(F768,purchase!D:D,purchase!#REF!,"")
-
SUMIFS(L:L,F:F,F768)))</f>
        <v/>
      </c>
      <c r="O768" s="13" t="str">
        <f t="shared" si="81"/>
        <v/>
      </c>
      <c r="P768" s="35" t="str">
        <f>_xlfn.SINGLE(IF(F768="","",_xlfn.XLOOKUP(F768,purchase!D:D,purchase!K:K,"")))</f>
        <v/>
      </c>
      <c r="Q768" s="29" t="str">
        <f t="shared" si="82"/>
        <v/>
      </c>
      <c r="R768" s="37" t="str">
        <f t="shared" si="83"/>
        <v/>
      </c>
    </row>
    <row r="769" spans="1:18" x14ac:dyDescent="0.35">
      <c r="A769" s="8">
        <v>765</v>
      </c>
      <c r="B769" s="9" t="str">
        <f t="shared" si="77"/>
        <v/>
      </c>
      <c r="C769" s="10"/>
      <c r="D769" s="9" t="str">
        <f>IF(F769="","",_xlfn.XLOOKUP(F769,purchase!D:D,purchase!#REF!,""))</f>
        <v/>
      </c>
      <c r="E769" s="9" t="str">
        <f>IF(F769="","",_xlfn.XLOOKUP(F769,purchase!D:D,purchase!B:B,""))</f>
        <v/>
      </c>
      <c r="F769" s="2"/>
      <c r="G769" s="4" t="str">
        <f t="shared" si="78"/>
        <v/>
      </c>
      <c r="H769" s="4" t="str">
        <f>IF(F769="","",_xlfn.XLOOKUP(F769,purchase!D:D,purchase!#REF!,""))</f>
        <v/>
      </c>
      <c r="I769" s="4" t="str">
        <f t="shared" si="79"/>
        <v/>
      </c>
      <c r="J769" s="4" t="str">
        <f t="shared" si="80"/>
        <v/>
      </c>
      <c r="K769" s="13" t="str">
        <f>_xlfn.SINGLE(IF(F769="","",_xlfn.XLOOKUP(F769,purchase!D:D,purchase!#REF!,"")))</f>
        <v/>
      </c>
      <c r="L769" s="2"/>
      <c r="M769" s="32"/>
      <c r="N769" s="13" t="str">
        <f>IF(F769="","",
MAX(0,
_xlfn.XLOOKUP(F769,purchase!D:D,purchase!#REF!,"")
-
SUMIFS(L:L,F:F,F769)))</f>
        <v/>
      </c>
      <c r="O769" s="13" t="str">
        <f t="shared" si="81"/>
        <v/>
      </c>
      <c r="P769" s="35" t="str">
        <f>_xlfn.SINGLE(IF(F769="","",_xlfn.XLOOKUP(F769,purchase!D:D,purchase!K:K,"")))</f>
        <v/>
      </c>
      <c r="Q769" s="29" t="str">
        <f t="shared" si="82"/>
        <v/>
      </c>
      <c r="R769" s="37" t="str">
        <f t="shared" si="83"/>
        <v/>
      </c>
    </row>
    <row r="770" spans="1:18" x14ac:dyDescent="0.35">
      <c r="A770" s="8">
        <v>766</v>
      </c>
      <c r="B770" s="9" t="str">
        <f t="shared" si="77"/>
        <v/>
      </c>
      <c r="C770" s="10"/>
      <c r="D770" s="9" t="str">
        <f>IF(F770="","",_xlfn.XLOOKUP(F770,purchase!D:D,purchase!#REF!,""))</f>
        <v/>
      </c>
      <c r="E770" s="9" t="str">
        <f>IF(F770="","",_xlfn.XLOOKUP(F770,purchase!D:D,purchase!B:B,""))</f>
        <v/>
      </c>
      <c r="F770" s="2"/>
      <c r="G770" s="4" t="str">
        <f t="shared" si="78"/>
        <v/>
      </c>
      <c r="H770" s="4" t="str">
        <f>IF(F770="","",_xlfn.XLOOKUP(F770,purchase!D:D,purchase!#REF!,""))</f>
        <v/>
      </c>
      <c r="I770" s="4" t="str">
        <f t="shared" si="79"/>
        <v/>
      </c>
      <c r="J770" s="4" t="str">
        <f t="shared" si="80"/>
        <v/>
      </c>
      <c r="K770" s="13" t="str">
        <f>_xlfn.SINGLE(IF(F770="","",_xlfn.XLOOKUP(F770,purchase!D:D,purchase!#REF!,"")))</f>
        <v/>
      </c>
      <c r="L770" s="2"/>
      <c r="M770" s="32"/>
      <c r="N770" s="13" t="str">
        <f>IF(F770="","",
MAX(0,
_xlfn.XLOOKUP(F770,purchase!D:D,purchase!#REF!,"")
-
SUMIFS(L:L,F:F,F770)))</f>
        <v/>
      </c>
      <c r="O770" s="13" t="str">
        <f t="shared" si="81"/>
        <v/>
      </c>
      <c r="P770" s="35" t="str">
        <f>_xlfn.SINGLE(IF(F770="","",_xlfn.XLOOKUP(F770,purchase!D:D,purchase!K:K,"")))</f>
        <v/>
      </c>
      <c r="Q770" s="29" t="str">
        <f t="shared" si="82"/>
        <v/>
      </c>
      <c r="R770" s="37" t="str">
        <f t="shared" si="83"/>
        <v/>
      </c>
    </row>
    <row r="771" spans="1:18" x14ac:dyDescent="0.35">
      <c r="A771" s="8">
        <v>767</v>
      </c>
      <c r="B771" s="9" t="str">
        <f t="shared" si="77"/>
        <v/>
      </c>
      <c r="C771" s="10"/>
      <c r="D771" s="9" t="str">
        <f>IF(F771="","",_xlfn.XLOOKUP(F771,purchase!D:D,purchase!#REF!,""))</f>
        <v/>
      </c>
      <c r="E771" s="9" t="str">
        <f>IF(F771="","",_xlfn.XLOOKUP(F771,purchase!D:D,purchase!B:B,""))</f>
        <v/>
      </c>
      <c r="F771" s="2"/>
      <c r="G771" s="4" t="str">
        <f t="shared" si="78"/>
        <v/>
      </c>
      <c r="H771" s="4" t="str">
        <f>IF(F771="","",_xlfn.XLOOKUP(F771,purchase!D:D,purchase!#REF!,""))</f>
        <v/>
      </c>
      <c r="I771" s="4" t="str">
        <f t="shared" si="79"/>
        <v/>
      </c>
      <c r="J771" s="4" t="str">
        <f t="shared" si="80"/>
        <v/>
      </c>
      <c r="K771" s="13" t="str">
        <f>_xlfn.SINGLE(IF(F771="","",_xlfn.XLOOKUP(F771,purchase!D:D,purchase!#REF!,"")))</f>
        <v/>
      </c>
      <c r="L771" s="2"/>
      <c r="M771" s="32"/>
      <c r="N771" s="13" t="str">
        <f>IF(F771="","",
MAX(0,
_xlfn.XLOOKUP(F771,purchase!D:D,purchase!#REF!,"")
-
SUMIFS(L:L,F:F,F771)))</f>
        <v/>
      </c>
      <c r="O771" s="13" t="str">
        <f t="shared" si="81"/>
        <v/>
      </c>
      <c r="P771" s="35" t="str">
        <f>_xlfn.SINGLE(IF(F771="","",_xlfn.XLOOKUP(F771,purchase!D:D,purchase!K:K,"")))</f>
        <v/>
      </c>
      <c r="Q771" s="29" t="str">
        <f t="shared" si="82"/>
        <v/>
      </c>
      <c r="R771" s="37" t="str">
        <f t="shared" si="83"/>
        <v/>
      </c>
    </row>
    <row r="772" spans="1:18" x14ac:dyDescent="0.35">
      <c r="A772" s="8">
        <v>768</v>
      </c>
      <c r="B772" s="9" t="str">
        <f t="shared" si="77"/>
        <v/>
      </c>
      <c r="C772" s="10"/>
      <c r="D772" s="9" t="str">
        <f>IF(F772="","",_xlfn.XLOOKUP(F772,purchase!D:D,purchase!#REF!,""))</f>
        <v/>
      </c>
      <c r="E772" s="9" t="str">
        <f>IF(F772="","",_xlfn.XLOOKUP(F772,purchase!D:D,purchase!B:B,""))</f>
        <v/>
      </c>
      <c r="F772" s="2"/>
      <c r="G772" s="4" t="str">
        <f t="shared" si="78"/>
        <v/>
      </c>
      <c r="H772" s="4" t="str">
        <f>IF(F772="","",_xlfn.XLOOKUP(F772,purchase!D:D,purchase!#REF!,""))</f>
        <v/>
      </c>
      <c r="I772" s="4" t="str">
        <f t="shared" si="79"/>
        <v/>
      </c>
      <c r="J772" s="4" t="str">
        <f t="shared" si="80"/>
        <v/>
      </c>
      <c r="K772" s="13" t="str">
        <f>_xlfn.SINGLE(IF(F772="","",_xlfn.XLOOKUP(F772,purchase!D:D,purchase!#REF!,"")))</f>
        <v/>
      </c>
      <c r="L772" s="2"/>
      <c r="M772" s="32"/>
      <c r="N772" s="13" t="str">
        <f>IF(F772="","",
MAX(0,
_xlfn.XLOOKUP(F772,purchase!D:D,purchase!#REF!,"")
-
SUMIFS(L:L,F:F,F772)))</f>
        <v/>
      </c>
      <c r="O772" s="13" t="str">
        <f t="shared" si="81"/>
        <v/>
      </c>
      <c r="P772" s="35" t="str">
        <f>_xlfn.SINGLE(IF(F772="","",_xlfn.XLOOKUP(F772,purchase!D:D,purchase!K:K,"")))</f>
        <v/>
      </c>
      <c r="Q772" s="29" t="str">
        <f t="shared" si="82"/>
        <v/>
      </c>
      <c r="R772" s="37" t="str">
        <f t="shared" si="83"/>
        <v/>
      </c>
    </row>
    <row r="773" spans="1:18" x14ac:dyDescent="0.35">
      <c r="A773" s="8">
        <v>769</v>
      </c>
      <c r="B773" s="9" t="str">
        <f t="shared" ref="B773:B836" si="84">IF(OR(C773="",F773=""),"",
"PRD-" &amp;
TEXT(DAY(C773),"00") &amp;
CHOOSE(MONTH(C773),"A","B","C","D","E","F","G","H","I","J","K","L") &amp;
TEXT(YEAR(C773),"00") &amp;
"-" &amp;
RIGHT(F773,4))</f>
        <v/>
      </c>
      <c r="C773" s="10"/>
      <c r="D773" s="9" t="str">
        <f>IF(F773="","",_xlfn.XLOOKUP(F773,purchase!D:D,purchase!#REF!,""))</f>
        <v/>
      </c>
      <c r="E773" s="9" t="str">
        <f>IF(F773="","",_xlfn.XLOOKUP(F773,purchase!D:D,purchase!B:B,""))</f>
        <v/>
      </c>
      <c r="F773" s="2"/>
      <c r="G773" s="4" t="str">
        <f t="shared" ref="G773:G836" si="85">IF(H773="NRFC","Natural Rubber Field Coagulam","")</f>
        <v/>
      </c>
      <c r="H773" s="4" t="str">
        <f>IF(F773="","",_xlfn.XLOOKUP(F773,purchase!D:D,purchase!#REF!,""))</f>
        <v/>
      </c>
      <c r="I773" s="4" t="str">
        <f t="shared" ref="I773:I836" si="86">IF(J773="ISNR20","Natural Rubber-TSNR (ISNR-20)","")</f>
        <v/>
      </c>
      <c r="J773" s="4" t="str">
        <f t="shared" ref="J773:J836" si="87">IF(H773="NRFC","ISNR20","")</f>
        <v/>
      </c>
      <c r="K773" s="13" t="str">
        <f>_xlfn.SINGLE(IF(F773="","",_xlfn.XLOOKUP(F773,purchase!D:D,purchase!#REF!,"")))</f>
        <v/>
      </c>
      <c r="L773" s="2"/>
      <c r="M773" s="32"/>
      <c r="N773" s="13" t="str">
        <f>IF(F773="","",
MAX(0,
_xlfn.XLOOKUP(F773,purchase!D:D,purchase!#REF!,"")
-
SUMIFS(L:L,F:F,F773)))</f>
        <v/>
      </c>
      <c r="O773" s="13" t="str">
        <f t="shared" ref="O773:O836" si="88">IF(OR(L773="",M773=""),"",L773-M773)</f>
        <v/>
      </c>
      <c r="P773" s="35" t="str">
        <f>_xlfn.SINGLE(IF(F773="","",_xlfn.XLOOKUP(F773,purchase!D:D,purchase!K:K,"")))</f>
        <v/>
      </c>
      <c r="Q773" s="29" t="str">
        <f t="shared" ref="Q773:Q836" si="89">IF(OR(L773="",M773=""),"",M773/L773)</f>
        <v/>
      </c>
      <c r="R773" s="37" t="str">
        <f t="shared" ref="R773:R836" si="90">IF(OR(P773="",Q773=""),"",Q773-P773)</f>
        <v/>
      </c>
    </row>
    <row r="774" spans="1:18" x14ac:dyDescent="0.35">
      <c r="A774" s="8">
        <v>770</v>
      </c>
      <c r="B774" s="9" t="str">
        <f t="shared" si="84"/>
        <v/>
      </c>
      <c r="C774" s="10"/>
      <c r="D774" s="9" t="str">
        <f>IF(F774="","",_xlfn.XLOOKUP(F774,purchase!D:D,purchase!#REF!,""))</f>
        <v/>
      </c>
      <c r="E774" s="9" t="str">
        <f>IF(F774="","",_xlfn.XLOOKUP(F774,purchase!D:D,purchase!B:B,""))</f>
        <v/>
      </c>
      <c r="F774" s="2"/>
      <c r="G774" s="4" t="str">
        <f t="shared" si="85"/>
        <v/>
      </c>
      <c r="H774" s="4" t="str">
        <f>IF(F774="","",_xlfn.XLOOKUP(F774,purchase!D:D,purchase!#REF!,""))</f>
        <v/>
      </c>
      <c r="I774" s="4" t="str">
        <f t="shared" si="86"/>
        <v/>
      </c>
      <c r="J774" s="4" t="str">
        <f t="shared" si="87"/>
        <v/>
      </c>
      <c r="K774" s="13" t="str">
        <f>_xlfn.SINGLE(IF(F774="","",_xlfn.XLOOKUP(F774,purchase!D:D,purchase!#REF!,"")))</f>
        <v/>
      </c>
      <c r="L774" s="2"/>
      <c r="M774" s="32"/>
      <c r="N774" s="13" t="str">
        <f>IF(F774="","",
MAX(0,
_xlfn.XLOOKUP(F774,purchase!D:D,purchase!#REF!,"")
-
SUMIFS(L:L,F:F,F774)))</f>
        <v/>
      </c>
      <c r="O774" s="13" t="str">
        <f t="shared" si="88"/>
        <v/>
      </c>
      <c r="P774" s="35" t="str">
        <f>_xlfn.SINGLE(IF(F774="","",_xlfn.XLOOKUP(F774,purchase!D:D,purchase!K:K,"")))</f>
        <v/>
      </c>
      <c r="Q774" s="29" t="str">
        <f t="shared" si="89"/>
        <v/>
      </c>
      <c r="R774" s="37" t="str">
        <f t="shared" si="90"/>
        <v/>
      </c>
    </row>
    <row r="775" spans="1:18" x14ac:dyDescent="0.35">
      <c r="A775" s="8">
        <v>771</v>
      </c>
      <c r="B775" s="9" t="str">
        <f t="shared" si="84"/>
        <v/>
      </c>
      <c r="C775" s="10"/>
      <c r="D775" s="9" t="str">
        <f>IF(F775="","",_xlfn.XLOOKUP(F775,purchase!D:D,purchase!#REF!,""))</f>
        <v/>
      </c>
      <c r="E775" s="9" t="str">
        <f>IF(F775="","",_xlfn.XLOOKUP(F775,purchase!D:D,purchase!B:B,""))</f>
        <v/>
      </c>
      <c r="F775" s="2"/>
      <c r="G775" s="4" t="str">
        <f t="shared" si="85"/>
        <v/>
      </c>
      <c r="H775" s="4" t="str">
        <f>IF(F775="","",_xlfn.XLOOKUP(F775,purchase!D:D,purchase!#REF!,""))</f>
        <v/>
      </c>
      <c r="I775" s="4" t="str">
        <f t="shared" si="86"/>
        <v/>
      </c>
      <c r="J775" s="4" t="str">
        <f t="shared" si="87"/>
        <v/>
      </c>
      <c r="K775" s="13" t="str">
        <f>_xlfn.SINGLE(IF(F775="","",_xlfn.XLOOKUP(F775,purchase!D:D,purchase!#REF!,"")))</f>
        <v/>
      </c>
      <c r="L775" s="2"/>
      <c r="M775" s="32"/>
      <c r="N775" s="13" t="str">
        <f>IF(F775="","",
MAX(0,
_xlfn.XLOOKUP(F775,purchase!D:D,purchase!#REF!,"")
-
SUMIFS(L:L,F:F,F775)))</f>
        <v/>
      </c>
      <c r="O775" s="13" t="str">
        <f t="shared" si="88"/>
        <v/>
      </c>
      <c r="P775" s="35" t="str">
        <f>_xlfn.SINGLE(IF(F775="","",_xlfn.XLOOKUP(F775,purchase!D:D,purchase!K:K,"")))</f>
        <v/>
      </c>
      <c r="Q775" s="29" t="str">
        <f t="shared" si="89"/>
        <v/>
      </c>
      <c r="R775" s="37" t="str">
        <f t="shared" si="90"/>
        <v/>
      </c>
    </row>
    <row r="776" spans="1:18" x14ac:dyDescent="0.35">
      <c r="A776" s="8">
        <v>772</v>
      </c>
      <c r="B776" s="9" t="str">
        <f t="shared" si="84"/>
        <v/>
      </c>
      <c r="C776" s="10"/>
      <c r="D776" s="9" t="str">
        <f>IF(F776="","",_xlfn.XLOOKUP(F776,purchase!D:D,purchase!#REF!,""))</f>
        <v/>
      </c>
      <c r="E776" s="9" t="str">
        <f>IF(F776="","",_xlfn.XLOOKUP(F776,purchase!D:D,purchase!B:B,""))</f>
        <v/>
      </c>
      <c r="F776" s="2"/>
      <c r="G776" s="4" t="str">
        <f t="shared" si="85"/>
        <v/>
      </c>
      <c r="H776" s="4" t="str">
        <f>IF(F776="","",_xlfn.XLOOKUP(F776,purchase!D:D,purchase!#REF!,""))</f>
        <v/>
      </c>
      <c r="I776" s="4" t="str">
        <f t="shared" si="86"/>
        <v/>
      </c>
      <c r="J776" s="4" t="str">
        <f t="shared" si="87"/>
        <v/>
      </c>
      <c r="K776" s="13" t="str">
        <f>_xlfn.SINGLE(IF(F776="","",_xlfn.XLOOKUP(F776,purchase!D:D,purchase!#REF!,"")))</f>
        <v/>
      </c>
      <c r="L776" s="2"/>
      <c r="M776" s="32"/>
      <c r="N776" s="13" t="str">
        <f>IF(F776="","",
MAX(0,
_xlfn.XLOOKUP(F776,purchase!D:D,purchase!#REF!,"")
-
SUMIFS(L:L,F:F,F776)))</f>
        <v/>
      </c>
      <c r="O776" s="13" t="str">
        <f t="shared" si="88"/>
        <v/>
      </c>
      <c r="P776" s="35" t="str">
        <f>_xlfn.SINGLE(IF(F776="","",_xlfn.XLOOKUP(F776,purchase!D:D,purchase!K:K,"")))</f>
        <v/>
      </c>
      <c r="Q776" s="29" t="str">
        <f t="shared" si="89"/>
        <v/>
      </c>
      <c r="R776" s="37" t="str">
        <f t="shared" si="90"/>
        <v/>
      </c>
    </row>
    <row r="777" spans="1:18" x14ac:dyDescent="0.35">
      <c r="A777" s="8">
        <v>773</v>
      </c>
      <c r="B777" s="9" t="str">
        <f t="shared" si="84"/>
        <v/>
      </c>
      <c r="C777" s="10"/>
      <c r="D777" s="9" t="str">
        <f>IF(F777="","",_xlfn.XLOOKUP(F777,purchase!D:D,purchase!#REF!,""))</f>
        <v/>
      </c>
      <c r="E777" s="9" t="str">
        <f>IF(F777="","",_xlfn.XLOOKUP(F777,purchase!D:D,purchase!B:B,""))</f>
        <v/>
      </c>
      <c r="F777" s="2"/>
      <c r="G777" s="4" t="str">
        <f t="shared" si="85"/>
        <v/>
      </c>
      <c r="H777" s="4" t="str">
        <f>IF(F777="","",_xlfn.XLOOKUP(F777,purchase!D:D,purchase!#REF!,""))</f>
        <v/>
      </c>
      <c r="I777" s="4" t="str">
        <f t="shared" si="86"/>
        <v/>
      </c>
      <c r="J777" s="4" t="str">
        <f t="shared" si="87"/>
        <v/>
      </c>
      <c r="K777" s="13" t="str">
        <f>_xlfn.SINGLE(IF(F777="","",_xlfn.XLOOKUP(F777,purchase!D:D,purchase!#REF!,"")))</f>
        <v/>
      </c>
      <c r="L777" s="2"/>
      <c r="M777" s="32"/>
      <c r="N777" s="13" t="str">
        <f>IF(F777="","",
MAX(0,
_xlfn.XLOOKUP(F777,purchase!D:D,purchase!#REF!,"")
-
SUMIFS(L:L,F:F,F777)))</f>
        <v/>
      </c>
      <c r="O777" s="13" t="str">
        <f t="shared" si="88"/>
        <v/>
      </c>
      <c r="P777" s="35" t="str">
        <f>_xlfn.SINGLE(IF(F777="","",_xlfn.XLOOKUP(F777,purchase!D:D,purchase!K:K,"")))</f>
        <v/>
      </c>
      <c r="Q777" s="29" t="str">
        <f t="shared" si="89"/>
        <v/>
      </c>
      <c r="R777" s="37" t="str">
        <f t="shared" si="90"/>
        <v/>
      </c>
    </row>
    <row r="778" spans="1:18" x14ac:dyDescent="0.35">
      <c r="A778" s="8">
        <v>774</v>
      </c>
      <c r="B778" s="9" t="str">
        <f t="shared" si="84"/>
        <v/>
      </c>
      <c r="C778" s="10"/>
      <c r="D778" s="9" t="str">
        <f>IF(F778="","",_xlfn.XLOOKUP(F778,purchase!D:D,purchase!#REF!,""))</f>
        <v/>
      </c>
      <c r="E778" s="9" t="str">
        <f>IF(F778="","",_xlfn.XLOOKUP(F778,purchase!D:D,purchase!B:B,""))</f>
        <v/>
      </c>
      <c r="F778" s="2"/>
      <c r="G778" s="4" t="str">
        <f t="shared" si="85"/>
        <v/>
      </c>
      <c r="H778" s="4" t="str">
        <f>IF(F778="","",_xlfn.XLOOKUP(F778,purchase!D:D,purchase!#REF!,""))</f>
        <v/>
      </c>
      <c r="I778" s="4" t="str">
        <f t="shared" si="86"/>
        <v/>
      </c>
      <c r="J778" s="4" t="str">
        <f t="shared" si="87"/>
        <v/>
      </c>
      <c r="K778" s="13" t="str">
        <f>_xlfn.SINGLE(IF(F778="","",_xlfn.XLOOKUP(F778,purchase!D:D,purchase!#REF!,"")))</f>
        <v/>
      </c>
      <c r="L778" s="2"/>
      <c r="M778" s="32"/>
      <c r="N778" s="13" t="str">
        <f>IF(F778="","",
MAX(0,
_xlfn.XLOOKUP(F778,purchase!D:D,purchase!#REF!,"")
-
SUMIFS(L:L,F:F,F778)))</f>
        <v/>
      </c>
      <c r="O778" s="13" t="str">
        <f t="shared" si="88"/>
        <v/>
      </c>
      <c r="P778" s="35" t="str">
        <f>_xlfn.SINGLE(IF(F778="","",_xlfn.XLOOKUP(F778,purchase!D:D,purchase!K:K,"")))</f>
        <v/>
      </c>
      <c r="Q778" s="29" t="str">
        <f t="shared" si="89"/>
        <v/>
      </c>
      <c r="R778" s="37" t="str">
        <f t="shared" si="90"/>
        <v/>
      </c>
    </row>
    <row r="779" spans="1:18" x14ac:dyDescent="0.35">
      <c r="A779" s="8">
        <v>775</v>
      </c>
      <c r="B779" s="9" t="str">
        <f t="shared" si="84"/>
        <v/>
      </c>
      <c r="C779" s="10"/>
      <c r="D779" s="9" t="str">
        <f>IF(F779="","",_xlfn.XLOOKUP(F779,purchase!D:D,purchase!#REF!,""))</f>
        <v/>
      </c>
      <c r="E779" s="9" t="str">
        <f>IF(F779="","",_xlfn.XLOOKUP(F779,purchase!D:D,purchase!B:B,""))</f>
        <v/>
      </c>
      <c r="F779" s="2"/>
      <c r="G779" s="4" t="str">
        <f t="shared" si="85"/>
        <v/>
      </c>
      <c r="H779" s="4" t="str">
        <f>IF(F779="","",_xlfn.XLOOKUP(F779,purchase!D:D,purchase!#REF!,""))</f>
        <v/>
      </c>
      <c r="I779" s="4" t="str">
        <f t="shared" si="86"/>
        <v/>
      </c>
      <c r="J779" s="4" t="str">
        <f t="shared" si="87"/>
        <v/>
      </c>
      <c r="K779" s="13" t="str">
        <f>_xlfn.SINGLE(IF(F779="","",_xlfn.XLOOKUP(F779,purchase!D:D,purchase!#REF!,"")))</f>
        <v/>
      </c>
      <c r="L779" s="2"/>
      <c r="M779" s="32"/>
      <c r="N779" s="13" t="str">
        <f>IF(F779="","",
MAX(0,
_xlfn.XLOOKUP(F779,purchase!D:D,purchase!#REF!,"")
-
SUMIFS(L:L,F:F,F779)))</f>
        <v/>
      </c>
      <c r="O779" s="13" t="str">
        <f t="shared" si="88"/>
        <v/>
      </c>
      <c r="P779" s="35" t="str">
        <f>_xlfn.SINGLE(IF(F779="","",_xlfn.XLOOKUP(F779,purchase!D:D,purchase!K:K,"")))</f>
        <v/>
      </c>
      <c r="Q779" s="29" t="str">
        <f t="shared" si="89"/>
        <v/>
      </c>
      <c r="R779" s="37" t="str">
        <f t="shared" si="90"/>
        <v/>
      </c>
    </row>
    <row r="780" spans="1:18" x14ac:dyDescent="0.35">
      <c r="A780" s="8">
        <v>776</v>
      </c>
      <c r="B780" s="9" t="str">
        <f t="shared" si="84"/>
        <v/>
      </c>
      <c r="C780" s="10"/>
      <c r="D780" s="9" t="str">
        <f>IF(F780="","",_xlfn.XLOOKUP(F780,purchase!D:D,purchase!#REF!,""))</f>
        <v/>
      </c>
      <c r="E780" s="9" t="str">
        <f>IF(F780="","",_xlfn.XLOOKUP(F780,purchase!D:D,purchase!B:B,""))</f>
        <v/>
      </c>
      <c r="F780" s="2"/>
      <c r="G780" s="4" t="str">
        <f t="shared" si="85"/>
        <v/>
      </c>
      <c r="H780" s="4" t="str">
        <f>IF(F780="","",_xlfn.XLOOKUP(F780,purchase!D:D,purchase!#REF!,""))</f>
        <v/>
      </c>
      <c r="I780" s="4" t="str">
        <f t="shared" si="86"/>
        <v/>
      </c>
      <c r="J780" s="4" t="str">
        <f t="shared" si="87"/>
        <v/>
      </c>
      <c r="K780" s="13" t="str">
        <f>_xlfn.SINGLE(IF(F780="","",_xlfn.XLOOKUP(F780,purchase!D:D,purchase!#REF!,"")))</f>
        <v/>
      </c>
      <c r="L780" s="2"/>
      <c r="M780" s="32"/>
      <c r="N780" s="13" t="str">
        <f>IF(F780="","",
MAX(0,
_xlfn.XLOOKUP(F780,purchase!D:D,purchase!#REF!,"")
-
SUMIFS(L:L,F:F,F780)))</f>
        <v/>
      </c>
      <c r="O780" s="13" t="str">
        <f t="shared" si="88"/>
        <v/>
      </c>
      <c r="P780" s="35" t="str">
        <f>_xlfn.SINGLE(IF(F780="","",_xlfn.XLOOKUP(F780,purchase!D:D,purchase!K:K,"")))</f>
        <v/>
      </c>
      <c r="Q780" s="29" t="str">
        <f t="shared" si="89"/>
        <v/>
      </c>
      <c r="R780" s="37" t="str">
        <f t="shared" si="90"/>
        <v/>
      </c>
    </row>
    <row r="781" spans="1:18" x14ac:dyDescent="0.35">
      <c r="A781" s="8">
        <v>777</v>
      </c>
      <c r="B781" s="9" t="str">
        <f t="shared" si="84"/>
        <v/>
      </c>
      <c r="C781" s="10"/>
      <c r="D781" s="9" t="str">
        <f>IF(F781="","",_xlfn.XLOOKUP(F781,purchase!D:D,purchase!#REF!,""))</f>
        <v/>
      </c>
      <c r="E781" s="9" t="str">
        <f>IF(F781="","",_xlfn.XLOOKUP(F781,purchase!D:D,purchase!B:B,""))</f>
        <v/>
      </c>
      <c r="F781" s="2"/>
      <c r="G781" s="4" t="str">
        <f t="shared" si="85"/>
        <v/>
      </c>
      <c r="H781" s="4" t="str">
        <f>IF(F781="","",_xlfn.XLOOKUP(F781,purchase!D:D,purchase!#REF!,""))</f>
        <v/>
      </c>
      <c r="I781" s="4" t="str">
        <f t="shared" si="86"/>
        <v/>
      </c>
      <c r="J781" s="4" t="str">
        <f t="shared" si="87"/>
        <v/>
      </c>
      <c r="K781" s="13" t="str">
        <f>_xlfn.SINGLE(IF(F781="","",_xlfn.XLOOKUP(F781,purchase!D:D,purchase!#REF!,"")))</f>
        <v/>
      </c>
      <c r="L781" s="2"/>
      <c r="M781" s="32"/>
      <c r="N781" s="13" t="str">
        <f>IF(F781="","",
MAX(0,
_xlfn.XLOOKUP(F781,purchase!D:D,purchase!#REF!,"")
-
SUMIFS(L:L,F:F,F781)))</f>
        <v/>
      </c>
      <c r="O781" s="13" t="str">
        <f t="shared" si="88"/>
        <v/>
      </c>
      <c r="P781" s="35" t="str">
        <f>_xlfn.SINGLE(IF(F781="","",_xlfn.XLOOKUP(F781,purchase!D:D,purchase!K:K,"")))</f>
        <v/>
      </c>
      <c r="Q781" s="29" t="str">
        <f t="shared" si="89"/>
        <v/>
      </c>
      <c r="R781" s="37" t="str">
        <f t="shared" si="90"/>
        <v/>
      </c>
    </row>
    <row r="782" spans="1:18" x14ac:dyDescent="0.35">
      <c r="A782" s="8">
        <v>778</v>
      </c>
      <c r="B782" s="9" t="str">
        <f t="shared" si="84"/>
        <v/>
      </c>
      <c r="C782" s="10"/>
      <c r="D782" s="9" t="str">
        <f>IF(F782="","",_xlfn.XLOOKUP(F782,purchase!D:D,purchase!#REF!,""))</f>
        <v/>
      </c>
      <c r="E782" s="9" t="str">
        <f>IF(F782="","",_xlfn.XLOOKUP(F782,purchase!D:D,purchase!B:B,""))</f>
        <v/>
      </c>
      <c r="F782" s="2"/>
      <c r="G782" s="4" t="str">
        <f t="shared" si="85"/>
        <v/>
      </c>
      <c r="H782" s="4" t="str">
        <f>IF(F782="","",_xlfn.XLOOKUP(F782,purchase!D:D,purchase!#REF!,""))</f>
        <v/>
      </c>
      <c r="I782" s="4" t="str">
        <f t="shared" si="86"/>
        <v/>
      </c>
      <c r="J782" s="4" t="str">
        <f t="shared" si="87"/>
        <v/>
      </c>
      <c r="K782" s="13" t="str">
        <f>_xlfn.SINGLE(IF(F782="","",_xlfn.XLOOKUP(F782,purchase!D:D,purchase!#REF!,"")))</f>
        <v/>
      </c>
      <c r="L782" s="2"/>
      <c r="M782" s="32"/>
      <c r="N782" s="13" t="str">
        <f>IF(F782="","",
MAX(0,
_xlfn.XLOOKUP(F782,purchase!D:D,purchase!#REF!,"")
-
SUMIFS(L:L,F:F,F782)))</f>
        <v/>
      </c>
      <c r="O782" s="13" t="str">
        <f t="shared" si="88"/>
        <v/>
      </c>
      <c r="P782" s="35" t="str">
        <f>_xlfn.SINGLE(IF(F782="","",_xlfn.XLOOKUP(F782,purchase!D:D,purchase!K:K,"")))</f>
        <v/>
      </c>
      <c r="Q782" s="29" t="str">
        <f t="shared" si="89"/>
        <v/>
      </c>
      <c r="R782" s="37" t="str">
        <f t="shared" si="90"/>
        <v/>
      </c>
    </row>
    <row r="783" spans="1:18" x14ac:dyDescent="0.35">
      <c r="A783" s="8">
        <v>779</v>
      </c>
      <c r="B783" s="9" t="str">
        <f t="shared" si="84"/>
        <v/>
      </c>
      <c r="C783" s="10"/>
      <c r="D783" s="9" t="str">
        <f>IF(F783="","",_xlfn.XLOOKUP(F783,purchase!D:D,purchase!#REF!,""))</f>
        <v/>
      </c>
      <c r="E783" s="9" t="str">
        <f>IF(F783="","",_xlfn.XLOOKUP(F783,purchase!D:D,purchase!B:B,""))</f>
        <v/>
      </c>
      <c r="F783" s="2"/>
      <c r="G783" s="4" t="str">
        <f t="shared" si="85"/>
        <v/>
      </c>
      <c r="H783" s="4" t="str">
        <f>IF(F783="","",_xlfn.XLOOKUP(F783,purchase!D:D,purchase!#REF!,""))</f>
        <v/>
      </c>
      <c r="I783" s="4" t="str">
        <f t="shared" si="86"/>
        <v/>
      </c>
      <c r="J783" s="4" t="str">
        <f t="shared" si="87"/>
        <v/>
      </c>
      <c r="K783" s="13" t="str">
        <f>_xlfn.SINGLE(IF(F783="","",_xlfn.XLOOKUP(F783,purchase!D:D,purchase!#REF!,"")))</f>
        <v/>
      </c>
      <c r="L783" s="2"/>
      <c r="M783" s="32"/>
      <c r="N783" s="13" t="str">
        <f>IF(F783="","",
MAX(0,
_xlfn.XLOOKUP(F783,purchase!D:D,purchase!#REF!,"")
-
SUMIFS(L:L,F:F,F783)))</f>
        <v/>
      </c>
      <c r="O783" s="13" t="str">
        <f t="shared" si="88"/>
        <v/>
      </c>
      <c r="P783" s="35" t="str">
        <f>_xlfn.SINGLE(IF(F783="","",_xlfn.XLOOKUP(F783,purchase!D:D,purchase!K:K,"")))</f>
        <v/>
      </c>
      <c r="Q783" s="29" t="str">
        <f t="shared" si="89"/>
        <v/>
      </c>
      <c r="R783" s="37" t="str">
        <f t="shared" si="90"/>
        <v/>
      </c>
    </row>
    <row r="784" spans="1:18" x14ac:dyDescent="0.35">
      <c r="A784" s="8">
        <v>780</v>
      </c>
      <c r="B784" s="9" t="str">
        <f t="shared" si="84"/>
        <v/>
      </c>
      <c r="C784" s="10"/>
      <c r="D784" s="9" t="str">
        <f>IF(F784="","",_xlfn.XLOOKUP(F784,purchase!D:D,purchase!#REF!,""))</f>
        <v/>
      </c>
      <c r="E784" s="9" t="str">
        <f>IF(F784="","",_xlfn.XLOOKUP(F784,purchase!D:D,purchase!B:B,""))</f>
        <v/>
      </c>
      <c r="F784" s="2"/>
      <c r="G784" s="4" t="str">
        <f t="shared" si="85"/>
        <v/>
      </c>
      <c r="H784" s="4" t="str">
        <f>IF(F784="","",_xlfn.XLOOKUP(F784,purchase!D:D,purchase!#REF!,""))</f>
        <v/>
      </c>
      <c r="I784" s="4" t="str">
        <f t="shared" si="86"/>
        <v/>
      </c>
      <c r="J784" s="4" t="str">
        <f t="shared" si="87"/>
        <v/>
      </c>
      <c r="K784" s="13" t="str">
        <f>_xlfn.SINGLE(IF(F784="","",_xlfn.XLOOKUP(F784,purchase!D:D,purchase!#REF!,"")))</f>
        <v/>
      </c>
      <c r="L784" s="2"/>
      <c r="M784" s="32"/>
      <c r="N784" s="13" t="str">
        <f>IF(F784="","",
MAX(0,
_xlfn.XLOOKUP(F784,purchase!D:D,purchase!#REF!,"")
-
SUMIFS(L:L,F:F,F784)))</f>
        <v/>
      </c>
      <c r="O784" s="13" t="str">
        <f t="shared" si="88"/>
        <v/>
      </c>
      <c r="P784" s="35" t="str">
        <f>_xlfn.SINGLE(IF(F784="","",_xlfn.XLOOKUP(F784,purchase!D:D,purchase!K:K,"")))</f>
        <v/>
      </c>
      <c r="Q784" s="29" t="str">
        <f t="shared" si="89"/>
        <v/>
      </c>
      <c r="R784" s="37" t="str">
        <f t="shared" si="90"/>
        <v/>
      </c>
    </row>
    <row r="785" spans="1:18" x14ac:dyDescent="0.35">
      <c r="A785" s="8">
        <v>781</v>
      </c>
      <c r="B785" s="9" t="str">
        <f t="shared" si="84"/>
        <v/>
      </c>
      <c r="C785" s="10"/>
      <c r="D785" s="9" t="str">
        <f>IF(F785="","",_xlfn.XLOOKUP(F785,purchase!D:D,purchase!#REF!,""))</f>
        <v/>
      </c>
      <c r="E785" s="9" t="str">
        <f>IF(F785="","",_xlfn.XLOOKUP(F785,purchase!D:D,purchase!B:B,""))</f>
        <v/>
      </c>
      <c r="F785" s="2"/>
      <c r="G785" s="4" t="str">
        <f t="shared" si="85"/>
        <v/>
      </c>
      <c r="H785" s="4" t="str">
        <f>IF(F785="","",_xlfn.XLOOKUP(F785,purchase!D:D,purchase!#REF!,""))</f>
        <v/>
      </c>
      <c r="I785" s="4" t="str">
        <f t="shared" si="86"/>
        <v/>
      </c>
      <c r="J785" s="4" t="str">
        <f t="shared" si="87"/>
        <v/>
      </c>
      <c r="K785" s="13" t="str">
        <f>_xlfn.SINGLE(IF(F785="","",_xlfn.XLOOKUP(F785,purchase!D:D,purchase!#REF!,"")))</f>
        <v/>
      </c>
      <c r="L785" s="2"/>
      <c r="M785" s="32"/>
      <c r="N785" s="13" t="str">
        <f>IF(F785="","",
MAX(0,
_xlfn.XLOOKUP(F785,purchase!D:D,purchase!#REF!,"")
-
SUMIFS(L:L,F:F,F785)))</f>
        <v/>
      </c>
      <c r="O785" s="13" t="str">
        <f t="shared" si="88"/>
        <v/>
      </c>
      <c r="P785" s="35" t="str">
        <f>_xlfn.SINGLE(IF(F785="","",_xlfn.XLOOKUP(F785,purchase!D:D,purchase!K:K,"")))</f>
        <v/>
      </c>
      <c r="Q785" s="29" t="str">
        <f t="shared" si="89"/>
        <v/>
      </c>
      <c r="R785" s="37" t="str">
        <f t="shared" si="90"/>
        <v/>
      </c>
    </row>
    <row r="786" spans="1:18" x14ac:dyDescent="0.35">
      <c r="A786" s="8">
        <v>782</v>
      </c>
      <c r="B786" s="9" t="str">
        <f t="shared" si="84"/>
        <v/>
      </c>
      <c r="C786" s="10"/>
      <c r="D786" s="9" t="str">
        <f>IF(F786="","",_xlfn.XLOOKUP(F786,purchase!D:D,purchase!#REF!,""))</f>
        <v/>
      </c>
      <c r="E786" s="9" t="str">
        <f>IF(F786="","",_xlfn.XLOOKUP(F786,purchase!D:D,purchase!B:B,""))</f>
        <v/>
      </c>
      <c r="F786" s="2"/>
      <c r="G786" s="4" t="str">
        <f t="shared" si="85"/>
        <v/>
      </c>
      <c r="H786" s="4" t="str">
        <f>IF(F786="","",_xlfn.XLOOKUP(F786,purchase!D:D,purchase!#REF!,""))</f>
        <v/>
      </c>
      <c r="I786" s="4" t="str">
        <f t="shared" si="86"/>
        <v/>
      </c>
      <c r="J786" s="4" t="str">
        <f t="shared" si="87"/>
        <v/>
      </c>
      <c r="K786" s="13" t="str">
        <f>_xlfn.SINGLE(IF(F786="","",_xlfn.XLOOKUP(F786,purchase!D:D,purchase!#REF!,"")))</f>
        <v/>
      </c>
      <c r="L786" s="2"/>
      <c r="M786" s="32"/>
      <c r="N786" s="13" t="str">
        <f>IF(F786="","",
MAX(0,
_xlfn.XLOOKUP(F786,purchase!D:D,purchase!#REF!,"")
-
SUMIFS(L:L,F:F,F786)))</f>
        <v/>
      </c>
      <c r="O786" s="13" t="str">
        <f t="shared" si="88"/>
        <v/>
      </c>
      <c r="P786" s="35" t="str">
        <f>_xlfn.SINGLE(IF(F786="","",_xlfn.XLOOKUP(F786,purchase!D:D,purchase!K:K,"")))</f>
        <v/>
      </c>
      <c r="Q786" s="29" t="str">
        <f t="shared" si="89"/>
        <v/>
      </c>
      <c r="R786" s="37" t="str">
        <f t="shared" si="90"/>
        <v/>
      </c>
    </row>
    <row r="787" spans="1:18" x14ac:dyDescent="0.35">
      <c r="A787" s="8">
        <v>783</v>
      </c>
      <c r="B787" s="9" t="str">
        <f t="shared" si="84"/>
        <v/>
      </c>
      <c r="C787" s="10"/>
      <c r="D787" s="9" t="str">
        <f>IF(F787="","",_xlfn.XLOOKUP(F787,purchase!D:D,purchase!#REF!,""))</f>
        <v/>
      </c>
      <c r="E787" s="9" t="str">
        <f>IF(F787="","",_xlfn.XLOOKUP(F787,purchase!D:D,purchase!B:B,""))</f>
        <v/>
      </c>
      <c r="F787" s="2"/>
      <c r="G787" s="4" t="str">
        <f t="shared" si="85"/>
        <v/>
      </c>
      <c r="H787" s="4" t="str">
        <f>IF(F787="","",_xlfn.XLOOKUP(F787,purchase!D:D,purchase!#REF!,""))</f>
        <v/>
      </c>
      <c r="I787" s="4" t="str">
        <f t="shared" si="86"/>
        <v/>
      </c>
      <c r="J787" s="4" t="str">
        <f t="shared" si="87"/>
        <v/>
      </c>
      <c r="K787" s="13" t="str">
        <f>_xlfn.SINGLE(IF(F787="","",_xlfn.XLOOKUP(F787,purchase!D:D,purchase!#REF!,"")))</f>
        <v/>
      </c>
      <c r="L787" s="2"/>
      <c r="M787" s="32"/>
      <c r="N787" s="13" t="str">
        <f>IF(F787="","",
MAX(0,
_xlfn.XLOOKUP(F787,purchase!D:D,purchase!#REF!,"")
-
SUMIFS(L:L,F:F,F787)))</f>
        <v/>
      </c>
      <c r="O787" s="13" t="str">
        <f t="shared" si="88"/>
        <v/>
      </c>
      <c r="P787" s="35" t="str">
        <f>_xlfn.SINGLE(IF(F787="","",_xlfn.XLOOKUP(F787,purchase!D:D,purchase!K:K,"")))</f>
        <v/>
      </c>
      <c r="Q787" s="29" t="str">
        <f t="shared" si="89"/>
        <v/>
      </c>
      <c r="R787" s="37" t="str">
        <f t="shared" si="90"/>
        <v/>
      </c>
    </row>
    <row r="788" spans="1:18" x14ac:dyDescent="0.35">
      <c r="A788" s="8">
        <v>784</v>
      </c>
      <c r="B788" s="9" t="str">
        <f t="shared" si="84"/>
        <v/>
      </c>
      <c r="C788" s="10"/>
      <c r="D788" s="9" t="str">
        <f>IF(F788="","",_xlfn.XLOOKUP(F788,purchase!D:D,purchase!#REF!,""))</f>
        <v/>
      </c>
      <c r="E788" s="9" t="str">
        <f>IF(F788="","",_xlfn.XLOOKUP(F788,purchase!D:D,purchase!B:B,""))</f>
        <v/>
      </c>
      <c r="F788" s="2"/>
      <c r="G788" s="4" t="str">
        <f t="shared" si="85"/>
        <v/>
      </c>
      <c r="H788" s="4" t="str">
        <f>IF(F788="","",_xlfn.XLOOKUP(F788,purchase!D:D,purchase!#REF!,""))</f>
        <v/>
      </c>
      <c r="I788" s="4" t="str">
        <f t="shared" si="86"/>
        <v/>
      </c>
      <c r="J788" s="4" t="str">
        <f t="shared" si="87"/>
        <v/>
      </c>
      <c r="K788" s="13" t="str">
        <f>_xlfn.SINGLE(IF(F788="","",_xlfn.XLOOKUP(F788,purchase!D:D,purchase!#REF!,"")))</f>
        <v/>
      </c>
      <c r="L788" s="2"/>
      <c r="M788" s="32"/>
      <c r="N788" s="13" t="str">
        <f>IF(F788="","",
MAX(0,
_xlfn.XLOOKUP(F788,purchase!D:D,purchase!#REF!,"")
-
SUMIFS(L:L,F:F,F788)))</f>
        <v/>
      </c>
      <c r="O788" s="13" t="str">
        <f t="shared" si="88"/>
        <v/>
      </c>
      <c r="P788" s="35" t="str">
        <f>_xlfn.SINGLE(IF(F788="","",_xlfn.XLOOKUP(F788,purchase!D:D,purchase!K:K,"")))</f>
        <v/>
      </c>
      <c r="Q788" s="29" t="str">
        <f t="shared" si="89"/>
        <v/>
      </c>
      <c r="R788" s="37" t="str">
        <f t="shared" si="90"/>
        <v/>
      </c>
    </row>
    <row r="789" spans="1:18" x14ac:dyDescent="0.35">
      <c r="A789" s="8">
        <v>785</v>
      </c>
      <c r="B789" s="9" t="str">
        <f t="shared" si="84"/>
        <v/>
      </c>
      <c r="C789" s="10"/>
      <c r="D789" s="9" t="str">
        <f>IF(F789="","",_xlfn.XLOOKUP(F789,purchase!D:D,purchase!#REF!,""))</f>
        <v/>
      </c>
      <c r="E789" s="9" t="str">
        <f>IF(F789="","",_xlfn.XLOOKUP(F789,purchase!D:D,purchase!B:B,""))</f>
        <v/>
      </c>
      <c r="F789" s="2"/>
      <c r="G789" s="4" t="str">
        <f t="shared" si="85"/>
        <v/>
      </c>
      <c r="H789" s="4" t="str">
        <f>IF(F789="","",_xlfn.XLOOKUP(F789,purchase!D:D,purchase!#REF!,""))</f>
        <v/>
      </c>
      <c r="I789" s="4" t="str">
        <f t="shared" si="86"/>
        <v/>
      </c>
      <c r="J789" s="4" t="str">
        <f t="shared" si="87"/>
        <v/>
      </c>
      <c r="K789" s="13" t="str">
        <f>_xlfn.SINGLE(IF(F789="","",_xlfn.XLOOKUP(F789,purchase!D:D,purchase!#REF!,"")))</f>
        <v/>
      </c>
      <c r="L789" s="2"/>
      <c r="M789" s="32"/>
      <c r="N789" s="13" t="str">
        <f>IF(F789="","",
MAX(0,
_xlfn.XLOOKUP(F789,purchase!D:D,purchase!#REF!,"")
-
SUMIFS(L:L,F:F,F789)))</f>
        <v/>
      </c>
      <c r="O789" s="13" t="str">
        <f t="shared" si="88"/>
        <v/>
      </c>
      <c r="P789" s="35" t="str">
        <f>_xlfn.SINGLE(IF(F789="","",_xlfn.XLOOKUP(F789,purchase!D:D,purchase!K:K,"")))</f>
        <v/>
      </c>
      <c r="Q789" s="29" t="str">
        <f t="shared" si="89"/>
        <v/>
      </c>
      <c r="R789" s="37" t="str">
        <f t="shared" si="90"/>
        <v/>
      </c>
    </row>
    <row r="790" spans="1:18" x14ac:dyDescent="0.35">
      <c r="A790" s="8">
        <v>786</v>
      </c>
      <c r="B790" s="9" t="str">
        <f t="shared" si="84"/>
        <v/>
      </c>
      <c r="C790" s="10"/>
      <c r="D790" s="9" t="str">
        <f>IF(F790="","",_xlfn.XLOOKUP(F790,purchase!D:D,purchase!#REF!,""))</f>
        <v/>
      </c>
      <c r="E790" s="9" t="str">
        <f>IF(F790="","",_xlfn.XLOOKUP(F790,purchase!D:D,purchase!B:B,""))</f>
        <v/>
      </c>
      <c r="F790" s="2"/>
      <c r="G790" s="4" t="str">
        <f t="shared" si="85"/>
        <v/>
      </c>
      <c r="H790" s="4" t="str">
        <f>IF(F790="","",_xlfn.XLOOKUP(F790,purchase!D:D,purchase!#REF!,""))</f>
        <v/>
      </c>
      <c r="I790" s="4" t="str">
        <f t="shared" si="86"/>
        <v/>
      </c>
      <c r="J790" s="4" t="str">
        <f t="shared" si="87"/>
        <v/>
      </c>
      <c r="K790" s="13" t="str">
        <f>_xlfn.SINGLE(IF(F790="","",_xlfn.XLOOKUP(F790,purchase!D:D,purchase!#REF!,"")))</f>
        <v/>
      </c>
      <c r="L790" s="2"/>
      <c r="M790" s="32"/>
      <c r="N790" s="13" t="str">
        <f>IF(F790="","",
MAX(0,
_xlfn.XLOOKUP(F790,purchase!D:D,purchase!#REF!,"")
-
SUMIFS(L:L,F:F,F790)))</f>
        <v/>
      </c>
      <c r="O790" s="13" t="str">
        <f t="shared" si="88"/>
        <v/>
      </c>
      <c r="P790" s="35" t="str">
        <f>_xlfn.SINGLE(IF(F790="","",_xlfn.XLOOKUP(F790,purchase!D:D,purchase!K:K,"")))</f>
        <v/>
      </c>
      <c r="Q790" s="29" t="str">
        <f t="shared" si="89"/>
        <v/>
      </c>
      <c r="R790" s="37" t="str">
        <f t="shared" si="90"/>
        <v/>
      </c>
    </row>
    <row r="791" spans="1:18" x14ac:dyDescent="0.35">
      <c r="A791" s="8">
        <v>787</v>
      </c>
      <c r="B791" s="9" t="str">
        <f t="shared" si="84"/>
        <v/>
      </c>
      <c r="C791" s="10"/>
      <c r="D791" s="9" t="str">
        <f>IF(F791="","",_xlfn.XLOOKUP(F791,purchase!D:D,purchase!#REF!,""))</f>
        <v/>
      </c>
      <c r="E791" s="9" t="str">
        <f>IF(F791="","",_xlfn.XLOOKUP(F791,purchase!D:D,purchase!B:B,""))</f>
        <v/>
      </c>
      <c r="F791" s="2"/>
      <c r="G791" s="4" t="str">
        <f t="shared" si="85"/>
        <v/>
      </c>
      <c r="H791" s="4" t="str">
        <f>IF(F791="","",_xlfn.XLOOKUP(F791,purchase!D:D,purchase!#REF!,""))</f>
        <v/>
      </c>
      <c r="I791" s="4" t="str">
        <f t="shared" si="86"/>
        <v/>
      </c>
      <c r="J791" s="4" t="str">
        <f t="shared" si="87"/>
        <v/>
      </c>
      <c r="K791" s="13" t="str">
        <f>_xlfn.SINGLE(IF(F791="","",_xlfn.XLOOKUP(F791,purchase!D:D,purchase!#REF!,"")))</f>
        <v/>
      </c>
      <c r="L791" s="2"/>
      <c r="M791" s="32"/>
      <c r="N791" s="13" t="str">
        <f>IF(F791="","",
MAX(0,
_xlfn.XLOOKUP(F791,purchase!D:D,purchase!#REF!,"")
-
SUMIFS(L:L,F:F,F791)))</f>
        <v/>
      </c>
      <c r="O791" s="13" t="str">
        <f t="shared" si="88"/>
        <v/>
      </c>
      <c r="P791" s="35" t="str">
        <f>_xlfn.SINGLE(IF(F791="","",_xlfn.XLOOKUP(F791,purchase!D:D,purchase!K:K,"")))</f>
        <v/>
      </c>
      <c r="Q791" s="29" t="str">
        <f t="shared" si="89"/>
        <v/>
      </c>
      <c r="R791" s="37" t="str">
        <f t="shared" si="90"/>
        <v/>
      </c>
    </row>
    <row r="792" spans="1:18" x14ac:dyDescent="0.35">
      <c r="A792" s="8">
        <v>788</v>
      </c>
      <c r="B792" s="9" t="str">
        <f t="shared" si="84"/>
        <v/>
      </c>
      <c r="C792" s="10"/>
      <c r="D792" s="9" t="str">
        <f>IF(F792="","",_xlfn.XLOOKUP(F792,purchase!D:D,purchase!#REF!,""))</f>
        <v/>
      </c>
      <c r="E792" s="9" t="str">
        <f>IF(F792="","",_xlfn.XLOOKUP(F792,purchase!D:D,purchase!B:B,""))</f>
        <v/>
      </c>
      <c r="F792" s="2"/>
      <c r="G792" s="4" t="str">
        <f t="shared" si="85"/>
        <v/>
      </c>
      <c r="H792" s="4" t="str">
        <f>IF(F792="","",_xlfn.XLOOKUP(F792,purchase!D:D,purchase!#REF!,""))</f>
        <v/>
      </c>
      <c r="I792" s="4" t="str">
        <f t="shared" si="86"/>
        <v/>
      </c>
      <c r="J792" s="4" t="str">
        <f t="shared" si="87"/>
        <v/>
      </c>
      <c r="K792" s="13" t="str">
        <f>_xlfn.SINGLE(IF(F792="","",_xlfn.XLOOKUP(F792,purchase!D:D,purchase!#REF!,"")))</f>
        <v/>
      </c>
      <c r="L792" s="2"/>
      <c r="M792" s="32"/>
      <c r="N792" s="13" t="str">
        <f>IF(F792="","",
MAX(0,
_xlfn.XLOOKUP(F792,purchase!D:D,purchase!#REF!,"")
-
SUMIFS(L:L,F:F,F792)))</f>
        <v/>
      </c>
      <c r="O792" s="13" t="str">
        <f t="shared" si="88"/>
        <v/>
      </c>
      <c r="P792" s="35" t="str">
        <f>_xlfn.SINGLE(IF(F792="","",_xlfn.XLOOKUP(F792,purchase!D:D,purchase!K:K,"")))</f>
        <v/>
      </c>
      <c r="Q792" s="29" t="str">
        <f t="shared" si="89"/>
        <v/>
      </c>
      <c r="R792" s="37" t="str">
        <f t="shared" si="90"/>
        <v/>
      </c>
    </row>
    <row r="793" spans="1:18" x14ac:dyDescent="0.35">
      <c r="A793" s="8">
        <v>789</v>
      </c>
      <c r="B793" s="9" t="str">
        <f t="shared" si="84"/>
        <v/>
      </c>
      <c r="C793" s="10"/>
      <c r="D793" s="9" t="str">
        <f>IF(F793="","",_xlfn.XLOOKUP(F793,purchase!D:D,purchase!#REF!,""))</f>
        <v/>
      </c>
      <c r="E793" s="9" t="str">
        <f>IF(F793="","",_xlfn.XLOOKUP(F793,purchase!D:D,purchase!B:B,""))</f>
        <v/>
      </c>
      <c r="F793" s="2"/>
      <c r="G793" s="4" t="str">
        <f t="shared" si="85"/>
        <v/>
      </c>
      <c r="H793" s="4" t="str">
        <f>IF(F793="","",_xlfn.XLOOKUP(F793,purchase!D:D,purchase!#REF!,""))</f>
        <v/>
      </c>
      <c r="I793" s="4" t="str">
        <f t="shared" si="86"/>
        <v/>
      </c>
      <c r="J793" s="4" t="str">
        <f t="shared" si="87"/>
        <v/>
      </c>
      <c r="K793" s="13" t="str">
        <f>_xlfn.SINGLE(IF(F793="","",_xlfn.XLOOKUP(F793,purchase!D:D,purchase!#REF!,"")))</f>
        <v/>
      </c>
      <c r="L793" s="2"/>
      <c r="M793" s="32"/>
      <c r="N793" s="13" t="str">
        <f>IF(F793="","",
MAX(0,
_xlfn.XLOOKUP(F793,purchase!D:D,purchase!#REF!,"")
-
SUMIFS(L:L,F:F,F793)))</f>
        <v/>
      </c>
      <c r="O793" s="13" t="str">
        <f t="shared" si="88"/>
        <v/>
      </c>
      <c r="P793" s="35" t="str">
        <f>_xlfn.SINGLE(IF(F793="","",_xlfn.XLOOKUP(F793,purchase!D:D,purchase!K:K,"")))</f>
        <v/>
      </c>
      <c r="Q793" s="29" t="str">
        <f t="shared" si="89"/>
        <v/>
      </c>
      <c r="R793" s="37" t="str">
        <f t="shared" si="90"/>
        <v/>
      </c>
    </row>
    <row r="794" spans="1:18" x14ac:dyDescent="0.35">
      <c r="A794" s="8">
        <v>790</v>
      </c>
      <c r="B794" s="9" t="str">
        <f t="shared" si="84"/>
        <v/>
      </c>
      <c r="C794" s="10"/>
      <c r="D794" s="9" t="str">
        <f>IF(F794="","",_xlfn.XLOOKUP(F794,purchase!D:D,purchase!#REF!,""))</f>
        <v/>
      </c>
      <c r="E794" s="9" t="str">
        <f>IF(F794="","",_xlfn.XLOOKUP(F794,purchase!D:D,purchase!B:B,""))</f>
        <v/>
      </c>
      <c r="F794" s="2"/>
      <c r="G794" s="4" t="str">
        <f t="shared" si="85"/>
        <v/>
      </c>
      <c r="H794" s="4" t="str">
        <f>IF(F794="","",_xlfn.XLOOKUP(F794,purchase!D:D,purchase!#REF!,""))</f>
        <v/>
      </c>
      <c r="I794" s="4" t="str">
        <f t="shared" si="86"/>
        <v/>
      </c>
      <c r="J794" s="4" t="str">
        <f t="shared" si="87"/>
        <v/>
      </c>
      <c r="K794" s="13" t="str">
        <f>_xlfn.SINGLE(IF(F794="","",_xlfn.XLOOKUP(F794,purchase!D:D,purchase!#REF!,"")))</f>
        <v/>
      </c>
      <c r="L794" s="2"/>
      <c r="M794" s="32"/>
      <c r="N794" s="13" t="str">
        <f>IF(F794="","",
MAX(0,
_xlfn.XLOOKUP(F794,purchase!D:D,purchase!#REF!,"")
-
SUMIFS(L:L,F:F,F794)))</f>
        <v/>
      </c>
      <c r="O794" s="13" t="str">
        <f t="shared" si="88"/>
        <v/>
      </c>
      <c r="P794" s="35" t="str">
        <f>_xlfn.SINGLE(IF(F794="","",_xlfn.XLOOKUP(F794,purchase!D:D,purchase!K:K,"")))</f>
        <v/>
      </c>
      <c r="Q794" s="29" t="str">
        <f t="shared" si="89"/>
        <v/>
      </c>
      <c r="R794" s="37" t="str">
        <f t="shared" si="90"/>
        <v/>
      </c>
    </row>
    <row r="795" spans="1:18" x14ac:dyDescent="0.35">
      <c r="A795" s="8">
        <v>791</v>
      </c>
      <c r="B795" s="9" t="str">
        <f t="shared" si="84"/>
        <v/>
      </c>
      <c r="C795" s="10"/>
      <c r="D795" s="9" t="str">
        <f>IF(F795="","",_xlfn.XLOOKUP(F795,purchase!D:D,purchase!#REF!,""))</f>
        <v/>
      </c>
      <c r="E795" s="9" t="str">
        <f>IF(F795="","",_xlfn.XLOOKUP(F795,purchase!D:D,purchase!B:B,""))</f>
        <v/>
      </c>
      <c r="F795" s="2"/>
      <c r="G795" s="4" t="str">
        <f t="shared" si="85"/>
        <v/>
      </c>
      <c r="H795" s="4" t="str">
        <f>IF(F795="","",_xlfn.XLOOKUP(F795,purchase!D:D,purchase!#REF!,""))</f>
        <v/>
      </c>
      <c r="I795" s="4" t="str">
        <f t="shared" si="86"/>
        <v/>
      </c>
      <c r="J795" s="4" t="str">
        <f t="shared" si="87"/>
        <v/>
      </c>
      <c r="K795" s="13" t="str">
        <f>_xlfn.SINGLE(IF(F795="","",_xlfn.XLOOKUP(F795,purchase!D:D,purchase!#REF!,"")))</f>
        <v/>
      </c>
      <c r="L795" s="2"/>
      <c r="M795" s="32"/>
      <c r="N795" s="13" t="str">
        <f>IF(F795="","",
MAX(0,
_xlfn.XLOOKUP(F795,purchase!D:D,purchase!#REF!,"")
-
SUMIFS(L:L,F:F,F795)))</f>
        <v/>
      </c>
      <c r="O795" s="13" t="str">
        <f t="shared" si="88"/>
        <v/>
      </c>
      <c r="P795" s="35" t="str">
        <f>_xlfn.SINGLE(IF(F795="","",_xlfn.XLOOKUP(F795,purchase!D:D,purchase!K:K,"")))</f>
        <v/>
      </c>
      <c r="Q795" s="29" t="str">
        <f t="shared" si="89"/>
        <v/>
      </c>
      <c r="R795" s="37" t="str">
        <f t="shared" si="90"/>
        <v/>
      </c>
    </row>
    <row r="796" spans="1:18" x14ac:dyDescent="0.35">
      <c r="A796" s="8">
        <v>792</v>
      </c>
      <c r="B796" s="9" t="str">
        <f t="shared" si="84"/>
        <v/>
      </c>
      <c r="C796" s="10"/>
      <c r="D796" s="9" t="str">
        <f>IF(F796="","",_xlfn.XLOOKUP(F796,purchase!D:D,purchase!#REF!,""))</f>
        <v/>
      </c>
      <c r="E796" s="9" t="str">
        <f>IF(F796="","",_xlfn.XLOOKUP(F796,purchase!D:D,purchase!B:B,""))</f>
        <v/>
      </c>
      <c r="F796" s="2"/>
      <c r="G796" s="4" t="str">
        <f t="shared" si="85"/>
        <v/>
      </c>
      <c r="H796" s="4" t="str">
        <f>IF(F796="","",_xlfn.XLOOKUP(F796,purchase!D:D,purchase!#REF!,""))</f>
        <v/>
      </c>
      <c r="I796" s="4" t="str">
        <f t="shared" si="86"/>
        <v/>
      </c>
      <c r="J796" s="4" t="str">
        <f t="shared" si="87"/>
        <v/>
      </c>
      <c r="K796" s="13" t="str">
        <f>_xlfn.SINGLE(IF(F796="","",_xlfn.XLOOKUP(F796,purchase!D:D,purchase!#REF!,"")))</f>
        <v/>
      </c>
      <c r="L796" s="2"/>
      <c r="M796" s="32"/>
      <c r="N796" s="13" t="str">
        <f>IF(F796="","",
MAX(0,
_xlfn.XLOOKUP(F796,purchase!D:D,purchase!#REF!,"")
-
SUMIFS(L:L,F:F,F796)))</f>
        <v/>
      </c>
      <c r="O796" s="13" t="str">
        <f t="shared" si="88"/>
        <v/>
      </c>
      <c r="P796" s="35" t="str">
        <f>_xlfn.SINGLE(IF(F796="","",_xlfn.XLOOKUP(F796,purchase!D:D,purchase!K:K,"")))</f>
        <v/>
      </c>
      <c r="Q796" s="29" t="str">
        <f t="shared" si="89"/>
        <v/>
      </c>
      <c r="R796" s="37" t="str">
        <f t="shared" si="90"/>
        <v/>
      </c>
    </row>
    <row r="797" spans="1:18" x14ac:dyDescent="0.35">
      <c r="A797" s="8">
        <v>793</v>
      </c>
      <c r="B797" s="9" t="str">
        <f t="shared" si="84"/>
        <v/>
      </c>
      <c r="C797" s="10"/>
      <c r="D797" s="9" t="str">
        <f>IF(F797="","",_xlfn.XLOOKUP(F797,purchase!D:D,purchase!#REF!,""))</f>
        <v/>
      </c>
      <c r="E797" s="9" t="str">
        <f>IF(F797="","",_xlfn.XLOOKUP(F797,purchase!D:D,purchase!B:B,""))</f>
        <v/>
      </c>
      <c r="F797" s="2"/>
      <c r="G797" s="4" t="str">
        <f t="shared" si="85"/>
        <v/>
      </c>
      <c r="H797" s="4" t="str">
        <f>IF(F797="","",_xlfn.XLOOKUP(F797,purchase!D:D,purchase!#REF!,""))</f>
        <v/>
      </c>
      <c r="I797" s="4" t="str">
        <f t="shared" si="86"/>
        <v/>
      </c>
      <c r="J797" s="4" t="str">
        <f t="shared" si="87"/>
        <v/>
      </c>
      <c r="K797" s="13" t="str">
        <f>_xlfn.SINGLE(IF(F797="","",_xlfn.XLOOKUP(F797,purchase!D:D,purchase!#REF!,"")))</f>
        <v/>
      </c>
      <c r="L797" s="2"/>
      <c r="M797" s="32"/>
      <c r="N797" s="13" t="str">
        <f>IF(F797="","",
MAX(0,
_xlfn.XLOOKUP(F797,purchase!D:D,purchase!#REF!,"")
-
SUMIFS(L:L,F:F,F797)))</f>
        <v/>
      </c>
      <c r="O797" s="13" t="str">
        <f t="shared" si="88"/>
        <v/>
      </c>
      <c r="P797" s="35" t="str">
        <f>_xlfn.SINGLE(IF(F797="","",_xlfn.XLOOKUP(F797,purchase!D:D,purchase!K:K,"")))</f>
        <v/>
      </c>
      <c r="Q797" s="29" t="str">
        <f t="shared" si="89"/>
        <v/>
      </c>
      <c r="R797" s="37" t="str">
        <f t="shared" si="90"/>
        <v/>
      </c>
    </row>
    <row r="798" spans="1:18" x14ac:dyDescent="0.35">
      <c r="A798" s="8">
        <v>794</v>
      </c>
      <c r="B798" s="9" t="str">
        <f t="shared" si="84"/>
        <v/>
      </c>
      <c r="C798" s="10"/>
      <c r="D798" s="9" t="str">
        <f>IF(F798="","",_xlfn.XLOOKUP(F798,purchase!D:D,purchase!#REF!,""))</f>
        <v/>
      </c>
      <c r="E798" s="9" t="str">
        <f>IF(F798="","",_xlfn.XLOOKUP(F798,purchase!D:D,purchase!B:B,""))</f>
        <v/>
      </c>
      <c r="F798" s="2"/>
      <c r="G798" s="4" t="str">
        <f t="shared" si="85"/>
        <v/>
      </c>
      <c r="H798" s="4" t="str">
        <f>IF(F798="","",_xlfn.XLOOKUP(F798,purchase!D:D,purchase!#REF!,""))</f>
        <v/>
      </c>
      <c r="I798" s="4" t="str">
        <f t="shared" si="86"/>
        <v/>
      </c>
      <c r="J798" s="4" t="str">
        <f t="shared" si="87"/>
        <v/>
      </c>
      <c r="K798" s="13" t="str">
        <f>_xlfn.SINGLE(IF(F798="","",_xlfn.XLOOKUP(F798,purchase!D:D,purchase!#REF!,"")))</f>
        <v/>
      </c>
      <c r="L798" s="2"/>
      <c r="M798" s="32"/>
      <c r="N798" s="13" t="str">
        <f>IF(F798="","",
MAX(0,
_xlfn.XLOOKUP(F798,purchase!D:D,purchase!#REF!,"")
-
SUMIFS(L:L,F:F,F798)))</f>
        <v/>
      </c>
      <c r="O798" s="13" t="str">
        <f t="shared" si="88"/>
        <v/>
      </c>
      <c r="P798" s="35" t="str">
        <f>_xlfn.SINGLE(IF(F798="","",_xlfn.XLOOKUP(F798,purchase!D:D,purchase!K:K,"")))</f>
        <v/>
      </c>
      <c r="Q798" s="29" t="str">
        <f t="shared" si="89"/>
        <v/>
      </c>
      <c r="R798" s="37" t="str">
        <f t="shared" si="90"/>
        <v/>
      </c>
    </row>
    <row r="799" spans="1:18" x14ac:dyDescent="0.35">
      <c r="A799" s="8">
        <v>795</v>
      </c>
      <c r="B799" s="9" t="str">
        <f t="shared" si="84"/>
        <v/>
      </c>
      <c r="C799" s="10"/>
      <c r="D799" s="9" t="str">
        <f>IF(F799="","",_xlfn.XLOOKUP(F799,purchase!D:D,purchase!#REF!,""))</f>
        <v/>
      </c>
      <c r="E799" s="9" t="str">
        <f>IF(F799="","",_xlfn.XLOOKUP(F799,purchase!D:D,purchase!B:B,""))</f>
        <v/>
      </c>
      <c r="F799" s="2"/>
      <c r="G799" s="4" t="str">
        <f t="shared" si="85"/>
        <v/>
      </c>
      <c r="H799" s="4" t="str">
        <f>IF(F799="","",_xlfn.XLOOKUP(F799,purchase!D:D,purchase!#REF!,""))</f>
        <v/>
      </c>
      <c r="I799" s="4" t="str">
        <f t="shared" si="86"/>
        <v/>
      </c>
      <c r="J799" s="4" t="str">
        <f t="shared" si="87"/>
        <v/>
      </c>
      <c r="K799" s="13" t="str">
        <f>_xlfn.SINGLE(IF(F799="","",_xlfn.XLOOKUP(F799,purchase!D:D,purchase!#REF!,"")))</f>
        <v/>
      </c>
      <c r="L799" s="2"/>
      <c r="M799" s="32"/>
      <c r="N799" s="13" t="str">
        <f>IF(F799="","",
MAX(0,
_xlfn.XLOOKUP(F799,purchase!D:D,purchase!#REF!,"")
-
SUMIFS(L:L,F:F,F799)))</f>
        <v/>
      </c>
      <c r="O799" s="13" t="str">
        <f t="shared" si="88"/>
        <v/>
      </c>
      <c r="P799" s="35" t="str">
        <f>_xlfn.SINGLE(IF(F799="","",_xlfn.XLOOKUP(F799,purchase!D:D,purchase!K:K,"")))</f>
        <v/>
      </c>
      <c r="Q799" s="29" t="str">
        <f t="shared" si="89"/>
        <v/>
      </c>
      <c r="R799" s="37" t="str">
        <f t="shared" si="90"/>
        <v/>
      </c>
    </row>
    <row r="800" spans="1:18" x14ac:dyDescent="0.35">
      <c r="A800" s="8">
        <v>796</v>
      </c>
      <c r="B800" s="9" t="str">
        <f t="shared" si="84"/>
        <v/>
      </c>
      <c r="C800" s="10"/>
      <c r="D800" s="9" t="str">
        <f>IF(F800="","",_xlfn.XLOOKUP(F800,purchase!D:D,purchase!#REF!,""))</f>
        <v/>
      </c>
      <c r="E800" s="9" t="str">
        <f>IF(F800="","",_xlfn.XLOOKUP(F800,purchase!D:D,purchase!B:B,""))</f>
        <v/>
      </c>
      <c r="F800" s="2"/>
      <c r="G800" s="4" t="str">
        <f t="shared" si="85"/>
        <v/>
      </c>
      <c r="H800" s="4" t="str">
        <f>IF(F800="","",_xlfn.XLOOKUP(F800,purchase!D:D,purchase!#REF!,""))</f>
        <v/>
      </c>
      <c r="I800" s="4" t="str">
        <f t="shared" si="86"/>
        <v/>
      </c>
      <c r="J800" s="4" t="str">
        <f t="shared" si="87"/>
        <v/>
      </c>
      <c r="K800" s="13" t="str">
        <f>_xlfn.SINGLE(IF(F800="","",_xlfn.XLOOKUP(F800,purchase!D:D,purchase!#REF!,"")))</f>
        <v/>
      </c>
      <c r="L800" s="2"/>
      <c r="M800" s="32"/>
      <c r="N800" s="13" t="str">
        <f>IF(F800="","",
MAX(0,
_xlfn.XLOOKUP(F800,purchase!D:D,purchase!#REF!,"")
-
SUMIFS(L:L,F:F,F800)))</f>
        <v/>
      </c>
      <c r="O800" s="13" t="str">
        <f t="shared" si="88"/>
        <v/>
      </c>
      <c r="P800" s="35" t="str">
        <f>_xlfn.SINGLE(IF(F800="","",_xlfn.XLOOKUP(F800,purchase!D:D,purchase!K:K,"")))</f>
        <v/>
      </c>
      <c r="Q800" s="29" t="str">
        <f t="shared" si="89"/>
        <v/>
      </c>
      <c r="R800" s="37" t="str">
        <f t="shared" si="90"/>
        <v/>
      </c>
    </row>
    <row r="801" spans="1:18" x14ac:dyDescent="0.35">
      <c r="A801" s="8">
        <v>797</v>
      </c>
      <c r="B801" s="9" t="str">
        <f t="shared" si="84"/>
        <v/>
      </c>
      <c r="C801" s="10"/>
      <c r="D801" s="9" t="str">
        <f>IF(F801="","",_xlfn.XLOOKUP(F801,purchase!D:D,purchase!#REF!,""))</f>
        <v/>
      </c>
      <c r="E801" s="9" t="str">
        <f>IF(F801="","",_xlfn.XLOOKUP(F801,purchase!D:D,purchase!B:B,""))</f>
        <v/>
      </c>
      <c r="F801" s="2"/>
      <c r="G801" s="4" t="str">
        <f t="shared" si="85"/>
        <v/>
      </c>
      <c r="H801" s="4" t="str">
        <f>IF(F801="","",_xlfn.XLOOKUP(F801,purchase!D:D,purchase!#REF!,""))</f>
        <v/>
      </c>
      <c r="I801" s="4" t="str">
        <f t="shared" si="86"/>
        <v/>
      </c>
      <c r="J801" s="4" t="str">
        <f t="shared" si="87"/>
        <v/>
      </c>
      <c r="K801" s="13" t="str">
        <f>_xlfn.SINGLE(IF(F801="","",_xlfn.XLOOKUP(F801,purchase!D:D,purchase!#REF!,"")))</f>
        <v/>
      </c>
      <c r="L801" s="2"/>
      <c r="M801" s="32"/>
      <c r="N801" s="13" t="str">
        <f>IF(F801="","",
MAX(0,
_xlfn.XLOOKUP(F801,purchase!D:D,purchase!#REF!,"")
-
SUMIFS(L:L,F:F,F801)))</f>
        <v/>
      </c>
      <c r="O801" s="13" t="str">
        <f t="shared" si="88"/>
        <v/>
      </c>
      <c r="P801" s="35" t="str">
        <f>_xlfn.SINGLE(IF(F801="","",_xlfn.XLOOKUP(F801,purchase!D:D,purchase!K:K,"")))</f>
        <v/>
      </c>
      <c r="Q801" s="29" t="str">
        <f t="shared" si="89"/>
        <v/>
      </c>
      <c r="R801" s="37" t="str">
        <f t="shared" si="90"/>
        <v/>
      </c>
    </row>
    <row r="802" spans="1:18" x14ac:dyDescent="0.35">
      <c r="A802" s="8">
        <v>798</v>
      </c>
      <c r="B802" s="9" t="str">
        <f t="shared" si="84"/>
        <v/>
      </c>
      <c r="C802" s="10"/>
      <c r="D802" s="9" t="str">
        <f>IF(F802="","",_xlfn.XLOOKUP(F802,purchase!D:D,purchase!#REF!,""))</f>
        <v/>
      </c>
      <c r="E802" s="9" t="str">
        <f>IF(F802="","",_xlfn.XLOOKUP(F802,purchase!D:D,purchase!B:B,""))</f>
        <v/>
      </c>
      <c r="F802" s="2"/>
      <c r="G802" s="4" t="str">
        <f t="shared" si="85"/>
        <v/>
      </c>
      <c r="H802" s="4" t="str">
        <f>IF(F802="","",_xlfn.XLOOKUP(F802,purchase!D:D,purchase!#REF!,""))</f>
        <v/>
      </c>
      <c r="I802" s="4" t="str">
        <f t="shared" si="86"/>
        <v/>
      </c>
      <c r="J802" s="4" t="str">
        <f t="shared" si="87"/>
        <v/>
      </c>
      <c r="K802" s="13" t="str">
        <f>_xlfn.SINGLE(IF(F802="","",_xlfn.XLOOKUP(F802,purchase!D:D,purchase!#REF!,"")))</f>
        <v/>
      </c>
      <c r="L802" s="2"/>
      <c r="M802" s="32"/>
      <c r="N802" s="13" t="str">
        <f>IF(F802="","",
MAX(0,
_xlfn.XLOOKUP(F802,purchase!D:D,purchase!#REF!,"")
-
SUMIFS(L:L,F:F,F802)))</f>
        <v/>
      </c>
      <c r="O802" s="13" t="str">
        <f t="shared" si="88"/>
        <v/>
      </c>
      <c r="P802" s="35" t="str">
        <f>_xlfn.SINGLE(IF(F802="","",_xlfn.XLOOKUP(F802,purchase!D:D,purchase!K:K,"")))</f>
        <v/>
      </c>
      <c r="Q802" s="29" t="str">
        <f t="shared" si="89"/>
        <v/>
      </c>
      <c r="R802" s="37" t="str">
        <f t="shared" si="90"/>
        <v/>
      </c>
    </row>
    <row r="803" spans="1:18" x14ac:dyDescent="0.35">
      <c r="A803" s="8">
        <v>799</v>
      </c>
      <c r="B803" s="9" t="str">
        <f t="shared" si="84"/>
        <v/>
      </c>
      <c r="C803" s="10"/>
      <c r="D803" s="9" t="str">
        <f>IF(F803="","",_xlfn.XLOOKUP(F803,purchase!D:D,purchase!#REF!,""))</f>
        <v/>
      </c>
      <c r="E803" s="9" t="str">
        <f>IF(F803="","",_xlfn.XLOOKUP(F803,purchase!D:D,purchase!B:B,""))</f>
        <v/>
      </c>
      <c r="F803" s="2"/>
      <c r="G803" s="4" t="str">
        <f t="shared" si="85"/>
        <v/>
      </c>
      <c r="H803" s="4" t="str">
        <f>IF(F803="","",_xlfn.XLOOKUP(F803,purchase!D:D,purchase!#REF!,""))</f>
        <v/>
      </c>
      <c r="I803" s="4" t="str">
        <f t="shared" si="86"/>
        <v/>
      </c>
      <c r="J803" s="4" t="str">
        <f t="shared" si="87"/>
        <v/>
      </c>
      <c r="K803" s="13" t="str">
        <f>_xlfn.SINGLE(IF(F803="","",_xlfn.XLOOKUP(F803,purchase!D:D,purchase!#REF!,"")))</f>
        <v/>
      </c>
      <c r="L803" s="2"/>
      <c r="M803" s="32"/>
      <c r="N803" s="13" t="str">
        <f>IF(F803="","",
MAX(0,
_xlfn.XLOOKUP(F803,purchase!D:D,purchase!#REF!,"")
-
SUMIFS(L:L,F:F,F803)))</f>
        <v/>
      </c>
      <c r="O803" s="13" t="str">
        <f t="shared" si="88"/>
        <v/>
      </c>
      <c r="P803" s="35" t="str">
        <f>_xlfn.SINGLE(IF(F803="","",_xlfn.XLOOKUP(F803,purchase!D:D,purchase!K:K,"")))</f>
        <v/>
      </c>
      <c r="Q803" s="29" t="str">
        <f t="shared" si="89"/>
        <v/>
      </c>
      <c r="R803" s="37" t="str">
        <f t="shared" si="90"/>
        <v/>
      </c>
    </row>
    <row r="804" spans="1:18" x14ac:dyDescent="0.35">
      <c r="A804" s="8">
        <v>800</v>
      </c>
      <c r="B804" s="9" t="str">
        <f t="shared" si="84"/>
        <v/>
      </c>
      <c r="C804" s="10"/>
      <c r="D804" s="9" t="str">
        <f>IF(F804="","",_xlfn.XLOOKUP(F804,purchase!D:D,purchase!#REF!,""))</f>
        <v/>
      </c>
      <c r="E804" s="9" t="str">
        <f>IF(F804="","",_xlfn.XLOOKUP(F804,purchase!D:D,purchase!B:B,""))</f>
        <v/>
      </c>
      <c r="F804" s="2"/>
      <c r="G804" s="4" t="str">
        <f t="shared" si="85"/>
        <v/>
      </c>
      <c r="H804" s="4" t="str">
        <f>IF(F804="","",_xlfn.XLOOKUP(F804,purchase!D:D,purchase!#REF!,""))</f>
        <v/>
      </c>
      <c r="I804" s="4" t="str">
        <f t="shared" si="86"/>
        <v/>
      </c>
      <c r="J804" s="4" t="str">
        <f t="shared" si="87"/>
        <v/>
      </c>
      <c r="K804" s="13" t="str">
        <f>_xlfn.SINGLE(IF(F804="","",_xlfn.XLOOKUP(F804,purchase!D:D,purchase!#REF!,"")))</f>
        <v/>
      </c>
      <c r="L804" s="2"/>
      <c r="M804" s="32"/>
      <c r="N804" s="13" t="str">
        <f>IF(F804="","",
MAX(0,
_xlfn.XLOOKUP(F804,purchase!D:D,purchase!#REF!,"")
-
SUMIFS(L:L,F:F,F804)))</f>
        <v/>
      </c>
      <c r="O804" s="13" t="str">
        <f t="shared" si="88"/>
        <v/>
      </c>
      <c r="P804" s="35" t="str">
        <f>_xlfn.SINGLE(IF(F804="","",_xlfn.XLOOKUP(F804,purchase!D:D,purchase!K:K,"")))</f>
        <v/>
      </c>
      <c r="Q804" s="29" t="str">
        <f t="shared" si="89"/>
        <v/>
      </c>
      <c r="R804" s="37" t="str">
        <f t="shared" si="90"/>
        <v/>
      </c>
    </row>
    <row r="805" spans="1:18" x14ac:dyDescent="0.35">
      <c r="A805" s="8">
        <v>801</v>
      </c>
      <c r="B805" s="9" t="str">
        <f t="shared" si="84"/>
        <v/>
      </c>
      <c r="C805" s="10"/>
      <c r="D805" s="9" t="str">
        <f>IF(F805="","",_xlfn.XLOOKUP(F805,purchase!D:D,purchase!#REF!,""))</f>
        <v/>
      </c>
      <c r="E805" s="9" t="str">
        <f>IF(F805="","",_xlfn.XLOOKUP(F805,purchase!D:D,purchase!B:B,""))</f>
        <v/>
      </c>
      <c r="F805" s="2"/>
      <c r="G805" s="4" t="str">
        <f t="shared" si="85"/>
        <v/>
      </c>
      <c r="H805" s="4" t="str">
        <f>IF(F805="","",_xlfn.XLOOKUP(F805,purchase!D:D,purchase!#REF!,""))</f>
        <v/>
      </c>
      <c r="I805" s="4" t="str">
        <f t="shared" si="86"/>
        <v/>
      </c>
      <c r="J805" s="4" t="str">
        <f t="shared" si="87"/>
        <v/>
      </c>
      <c r="K805" s="13" t="str">
        <f>_xlfn.SINGLE(IF(F805="","",_xlfn.XLOOKUP(F805,purchase!D:D,purchase!#REF!,"")))</f>
        <v/>
      </c>
      <c r="L805" s="2"/>
      <c r="M805" s="32"/>
      <c r="N805" s="13" t="str">
        <f>IF(F805="","",
MAX(0,
_xlfn.XLOOKUP(F805,purchase!D:D,purchase!#REF!,"")
-
SUMIFS(L:L,F:F,F805)))</f>
        <v/>
      </c>
      <c r="O805" s="13" t="str">
        <f t="shared" si="88"/>
        <v/>
      </c>
      <c r="P805" s="35" t="str">
        <f>_xlfn.SINGLE(IF(F805="","",_xlfn.XLOOKUP(F805,purchase!D:D,purchase!K:K,"")))</f>
        <v/>
      </c>
      <c r="Q805" s="29" t="str">
        <f t="shared" si="89"/>
        <v/>
      </c>
      <c r="R805" s="37" t="str">
        <f t="shared" si="90"/>
        <v/>
      </c>
    </row>
    <row r="806" spans="1:18" x14ac:dyDescent="0.35">
      <c r="A806" s="8">
        <v>802</v>
      </c>
      <c r="B806" s="9" t="str">
        <f t="shared" si="84"/>
        <v/>
      </c>
      <c r="C806" s="10"/>
      <c r="D806" s="9" t="str">
        <f>IF(F806="","",_xlfn.XLOOKUP(F806,purchase!D:D,purchase!#REF!,""))</f>
        <v/>
      </c>
      <c r="E806" s="9" t="str">
        <f>IF(F806="","",_xlfn.XLOOKUP(F806,purchase!D:D,purchase!B:B,""))</f>
        <v/>
      </c>
      <c r="F806" s="2"/>
      <c r="G806" s="4" t="str">
        <f t="shared" si="85"/>
        <v/>
      </c>
      <c r="H806" s="4" t="str">
        <f>IF(F806="","",_xlfn.XLOOKUP(F806,purchase!D:D,purchase!#REF!,""))</f>
        <v/>
      </c>
      <c r="I806" s="4" t="str">
        <f t="shared" si="86"/>
        <v/>
      </c>
      <c r="J806" s="4" t="str">
        <f t="shared" si="87"/>
        <v/>
      </c>
      <c r="K806" s="13" t="str">
        <f>_xlfn.SINGLE(IF(F806="","",_xlfn.XLOOKUP(F806,purchase!D:D,purchase!#REF!,"")))</f>
        <v/>
      </c>
      <c r="L806" s="2"/>
      <c r="M806" s="32"/>
      <c r="N806" s="13" t="str">
        <f>IF(F806="","",
MAX(0,
_xlfn.XLOOKUP(F806,purchase!D:D,purchase!#REF!,"")
-
SUMIFS(L:L,F:F,F806)))</f>
        <v/>
      </c>
      <c r="O806" s="13" t="str">
        <f t="shared" si="88"/>
        <v/>
      </c>
      <c r="P806" s="35" t="str">
        <f>_xlfn.SINGLE(IF(F806="","",_xlfn.XLOOKUP(F806,purchase!D:D,purchase!K:K,"")))</f>
        <v/>
      </c>
      <c r="Q806" s="29" t="str">
        <f t="shared" si="89"/>
        <v/>
      </c>
      <c r="R806" s="37" t="str">
        <f t="shared" si="90"/>
        <v/>
      </c>
    </row>
    <row r="807" spans="1:18" x14ac:dyDescent="0.35">
      <c r="A807" s="8">
        <v>803</v>
      </c>
      <c r="B807" s="9" t="str">
        <f t="shared" si="84"/>
        <v/>
      </c>
      <c r="C807" s="10"/>
      <c r="D807" s="9" t="str">
        <f>IF(F807="","",_xlfn.XLOOKUP(F807,purchase!D:D,purchase!#REF!,""))</f>
        <v/>
      </c>
      <c r="E807" s="9" t="str">
        <f>IF(F807="","",_xlfn.XLOOKUP(F807,purchase!D:D,purchase!B:B,""))</f>
        <v/>
      </c>
      <c r="F807" s="2"/>
      <c r="G807" s="4" t="str">
        <f t="shared" si="85"/>
        <v/>
      </c>
      <c r="H807" s="4" t="str">
        <f>IF(F807="","",_xlfn.XLOOKUP(F807,purchase!D:D,purchase!#REF!,""))</f>
        <v/>
      </c>
      <c r="I807" s="4" t="str">
        <f t="shared" si="86"/>
        <v/>
      </c>
      <c r="J807" s="4" t="str">
        <f t="shared" si="87"/>
        <v/>
      </c>
      <c r="K807" s="13" t="str">
        <f>_xlfn.SINGLE(IF(F807="","",_xlfn.XLOOKUP(F807,purchase!D:D,purchase!#REF!,"")))</f>
        <v/>
      </c>
      <c r="L807" s="2"/>
      <c r="M807" s="32"/>
      <c r="N807" s="13" t="str">
        <f>IF(F807="","",
MAX(0,
_xlfn.XLOOKUP(F807,purchase!D:D,purchase!#REF!,"")
-
SUMIFS(L:L,F:F,F807)))</f>
        <v/>
      </c>
      <c r="O807" s="13" t="str">
        <f t="shared" si="88"/>
        <v/>
      </c>
      <c r="P807" s="35" t="str">
        <f>_xlfn.SINGLE(IF(F807="","",_xlfn.XLOOKUP(F807,purchase!D:D,purchase!K:K,"")))</f>
        <v/>
      </c>
      <c r="Q807" s="29" t="str">
        <f t="shared" si="89"/>
        <v/>
      </c>
      <c r="R807" s="37" t="str">
        <f t="shared" si="90"/>
        <v/>
      </c>
    </row>
    <row r="808" spans="1:18" x14ac:dyDescent="0.35">
      <c r="A808" s="8">
        <v>804</v>
      </c>
      <c r="B808" s="9" t="str">
        <f t="shared" si="84"/>
        <v/>
      </c>
      <c r="C808" s="10"/>
      <c r="D808" s="9" t="str">
        <f>IF(F808="","",_xlfn.XLOOKUP(F808,purchase!D:D,purchase!#REF!,""))</f>
        <v/>
      </c>
      <c r="E808" s="9" t="str">
        <f>IF(F808="","",_xlfn.XLOOKUP(F808,purchase!D:D,purchase!B:B,""))</f>
        <v/>
      </c>
      <c r="F808" s="2"/>
      <c r="G808" s="4" t="str">
        <f t="shared" si="85"/>
        <v/>
      </c>
      <c r="H808" s="4" t="str">
        <f>IF(F808="","",_xlfn.XLOOKUP(F808,purchase!D:D,purchase!#REF!,""))</f>
        <v/>
      </c>
      <c r="I808" s="4" t="str">
        <f t="shared" si="86"/>
        <v/>
      </c>
      <c r="J808" s="4" t="str">
        <f t="shared" si="87"/>
        <v/>
      </c>
      <c r="K808" s="13" t="str">
        <f>_xlfn.SINGLE(IF(F808="","",_xlfn.XLOOKUP(F808,purchase!D:D,purchase!#REF!,"")))</f>
        <v/>
      </c>
      <c r="L808" s="2"/>
      <c r="M808" s="32"/>
      <c r="N808" s="13" t="str">
        <f>IF(F808="","",
MAX(0,
_xlfn.XLOOKUP(F808,purchase!D:D,purchase!#REF!,"")
-
SUMIFS(L:L,F:F,F808)))</f>
        <v/>
      </c>
      <c r="O808" s="13" t="str">
        <f t="shared" si="88"/>
        <v/>
      </c>
      <c r="P808" s="35" t="str">
        <f>_xlfn.SINGLE(IF(F808="","",_xlfn.XLOOKUP(F808,purchase!D:D,purchase!K:K,"")))</f>
        <v/>
      </c>
      <c r="Q808" s="29" t="str">
        <f t="shared" si="89"/>
        <v/>
      </c>
      <c r="R808" s="37" t="str">
        <f t="shared" si="90"/>
        <v/>
      </c>
    </row>
    <row r="809" spans="1:18" x14ac:dyDescent="0.35">
      <c r="A809" s="8">
        <v>805</v>
      </c>
      <c r="B809" s="9" t="str">
        <f t="shared" si="84"/>
        <v/>
      </c>
      <c r="C809" s="10"/>
      <c r="D809" s="9" t="str">
        <f>IF(F809="","",_xlfn.XLOOKUP(F809,purchase!D:D,purchase!#REF!,""))</f>
        <v/>
      </c>
      <c r="E809" s="9" t="str">
        <f>IF(F809="","",_xlfn.XLOOKUP(F809,purchase!D:D,purchase!B:B,""))</f>
        <v/>
      </c>
      <c r="F809" s="2"/>
      <c r="G809" s="4" t="str">
        <f t="shared" si="85"/>
        <v/>
      </c>
      <c r="H809" s="4" t="str">
        <f>IF(F809="","",_xlfn.XLOOKUP(F809,purchase!D:D,purchase!#REF!,""))</f>
        <v/>
      </c>
      <c r="I809" s="4" t="str">
        <f t="shared" si="86"/>
        <v/>
      </c>
      <c r="J809" s="4" t="str">
        <f t="shared" si="87"/>
        <v/>
      </c>
      <c r="K809" s="13" t="str">
        <f>_xlfn.SINGLE(IF(F809="","",_xlfn.XLOOKUP(F809,purchase!D:D,purchase!#REF!,"")))</f>
        <v/>
      </c>
      <c r="L809" s="2"/>
      <c r="M809" s="32"/>
      <c r="N809" s="13" t="str">
        <f>IF(F809="","",
MAX(0,
_xlfn.XLOOKUP(F809,purchase!D:D,purchase!#REF!,"")
-
SUMIFS(L:L,F:F,F809)))</f>
        <v/>
      </c>
      <c r="O809" s="13" t="str">
        <f t="shared" si="88"/>
        <v/>
      </c>
      <c r="P809" s="35" t="str">
        <f>_xlfn.SINGLE(IF(F809="","",_xlfn.XLOOKUP(F809,purchase!D:D,purchase!K:K,"")))</f>
        <v/>
      </c>
      <c r="Q809" s="29" t="str">
        <f t="shared" si="89"/>
        <v/>
      </c>
      <c r="R809" s="37" t="str">
        <f t="shared" si="90"/>
        <v/>
      </c>
    </row>
    <row r="810" spans="1:18" x14ac:dyDescent="0.35">
      <c r="A810" s="8">
        <v>806</v>
      </c>
      <c r="B810" s="9" t="str">
        <f t="shared" si="84"/>
        <v/>
      </c>
      <c r="C810" s="10"/>
      <c r="D810" s="9" t="str">
        <f>IF(F810="","",_xlfn.XLOOKUP(F810,purchase!D:D,purchase!#REF!,""))</f>
        <v/>
      </c>
      <c r="E810" s="9" t="str">
        <f>IF(F810="","",_xlfn.XLOOKUP(F810,purchase!D:D,purchase!B:B,""))</f>
        <v/>
      </c>
      <c r="F810" s="2"/>
      <c r="G810" s="4" t="str">
        <f t="shared" si="85"/>
        <v/>
      </c>
      <c r="H810" s="4" t="str">
        <f>IF(F810="","",_xlfn.XLOOKUP(F810,purchase!D:D,purchase!#REF!,""))</f>
        <v/>
      </c>
      <c r="I810" s="4" t="str">
        <f t="shared" si="86"/>
        <v/>
      </c>
      <c r="J810" s="4" t="str">
        <f t="shared" si="87"/>
        <v/>
      </c>
      <c r="K810" s="13" t="str">
        <f>_xlfn.SINGLE(IF(F810="","",_xlfn.XLOOKUP(F810,purchase!D:D,purchase!#REF!,"")))</f>
        <v/>
      </c>
      <c r="L810" s="2"/>
      <c r="M810" s="32"/>
      <c r="N810" s="13" t="str">
        <f>IF(F810="","",
MAX(0,
_xlfn.XLOOKUP(F810,purchase!D:D,purchase!#REF!,"")
-
SUMIFS(L:L,F:F,F810)))</f>
        <v/>
      </c>
      <c r="O810" s="13" t="str">
        <f t="shared" si="88"/>
        <v/>
      </c>
      <c r="P810" s="35" t="str">
        <f>_xlfn.SINGLE(IF(F810="","",_xlfn.XLOOKUP(F810,purchase!D:D,purchase!K:K,"")))</f>
        <v/>
      </c>
      <c r="Q810" s="29" t="str">
        <f t="shared" si="89"/>
        <v/>
      </c>
      <c r="R810" s="37" t="str">
        <f t="shared" si="90"/>
        <v/>
      </c>
    </row>
    <row r="811" spans="1:18" x14ac:dyDescent="0.35">
      <c r="A811" s="8">
        <v>807</v>
      </c>
      <c r="B811" s="9" t="str">
        <f t="shared" si="84"/>
        <v/>
      </c>
      <c r="C811" s="10"/>
      <c r="D811" s="9" t="str">
        <f>IF(F811="","",_xlfn.XLOOKUP(F811,purchase!D:D,purchase!#REF!,""))</f>
        <v/>
      </c>
      <c r="E811" s="9" t="str">
        <f>IF(F811="","",_xlfn.XLOOKUP(F811,purchase!D:D,purchase!B:B,""))</f>
        <v/>
      </c>
      <c r="F811" s="2"/>
      <c r="G811" s="4" t="str">
        <f t="shared" si="85"/>
        <v/>
      </c>
      <c r="H811" s="4" t="str">
        <f>IF(F811="","",_xlfn.XLOOKUP(F811,purchase!D:D,purchase!#REF!,""))</f>
        <v/>
      </c>
      <c r="I811" s="4" t="str">
        <f t="shared" si="86"/>
        <v/>
      </c>
      <c r="J811" s="4" t="str">
        <f t="shared" si="87"/>
        <v/>
      </c>
      <c r="K811" s="13" t="str">
        <f>_xlfn.SINGLE(IF(F811="","",_xlfn.XLOOKUP(F811,purchase!D:D,purchase!#REF!,"")))</f>
        <v/>
      </c>
      <c r="L811" s="2"/>
      <c r="M811" s="32"/>
      <c r="N811" s="13" t="str">
        <f>IF(F811="","",
MAX(0,
_xlfn.XLOOKUP(F811,purchase!D:D,purchase!#REF!,"")
-
SUMIFS(L:L,F:F,F811)))</f>
        <v/>
      </c>
      <c r="O811" s="13" t="str">
        <f t="shared" si="88"/>
        <v/>
      </c>
      <c r="P811" s="35" t="str">
        <f>_xlfn.SINGLE(IF(F811="","",_xlfn.XLOOKUP(F811,purchase!D:D,purchase!K:K,"")))</f>
        <v/>
      </c>
      <c r="Q811" s="29" t="str">
        <f t="shared" si="89"/>
        <v/>
      </c>
      <c r="R811" s="37" t="str">
        <f t="shared" si="90"/>
        <v/>
      </c>
    </row>
    <row r="812" spans="1:18" x14ac:dyDescent="0.35">
      <c r="A812" s="8">
        <v>808</v>
      </c>
      <c r="B812" s="9" t="str">
        <f t="shared" si="84"/>
        <v/>
      </c>
      <c r="C812" s="10"/>
      <c r="D812" s="9" t="str">
        <f>IF(F812="","",_xlfn.XLOOKUP(F812,purchase!D:D,purchase!#REF!,""))</f>
        <v/>
      </c>
      <c r="E812" s="9" t="str">
        <f>IF(F812="","",_xlfn.XLOOKUP(F812,purchase!D:D,purchase!B:B,""))</f>
        <v/>
      </c>
      <c r="F812" s="2"/>
      <c r="G812" s="4" t="str">
        <f t="shared" si="85"/>
        <v/>
      </c>
      <c r="H812" s="4" t="str">
        <f>IF(F812="","",_xlfn.XLOOKUP(F812,purchase!D:D,purchase!#REF!,""))</f>
        <v/>
      </c>
      <c r="I812" s="4" t="str">
        <f t="shared" si="86"/>
        <v/>
      </c>
      <c r="J812" s="4" t="str">
        <f t="shared" si="87"/>
        <v/>
      </c>
      <c r="K812" s="13" t="str">
        <f>_xlfn.SINGLE(IF(F812="","",_xlfn.XLOOKUP(F812,purchase!D:D,purchase!#REF!,"")))</f>
        <v/>
      </c>
      <c r="L812" s="2"/>
      <c r="M812" s="32"/>
      <c r="N812" s="13" t="str">
        <f>IF(F812="","",
MAX(0,
_xlfn.XLOOKUP(F812,purchase!D:D,purchase!#REF!,"")
-
SUMIFS(L:L,F:F,F812)))</f>
        <v/>
      </c>
      <c r="O812" s="13" t="str">
        <f t="shared" si="88"/>
        <v/>
      </c>
      <c r="P812" s="35" t="str">
        <f>_xlfn.SINGLE(IF(F812="","",_xlfn.XLOOKUP(F812,purchase!D:D,purchase!K:K,"")))</f>
        <v/>
      </c>
      <c r="Q812" s="29" t="str">
        <f t="shared" si="89"/>
        <v/>
      </c>
      <c r="R812" s="37" t="str">
        <f t="shared" si="90"/>
        <v/>
      </c>
    </row>
    <row r="813" spans="1:18" x14ac:dyDescent="0.35">
      <c r="A813" s="8">
        <v>809</v>
      </c>
      <c r="B813" s="9" t="str">
        <f t="shared" si="84"/>
        <v/>
      </c>
      <c r="C813" s="10"/>
      <c r="D813" s="9" t="str">
        <f>IF(F813="","",_xlfn.XLOOKUP(F813,purchase!D:D,purchase!#REF!,""))</f>
        <v/>
      </c>
      <c r="E813" s="9" t="str">
        <f>IF(F813="","",_xlfn.XLOOKUP(F813,purchase!D:D,purchase!B:B,""))</f>
        <v/>
      </c>
      <c r="F813" s="2"/>
      <c r="G813" s="4" t="str">
        <f t="shared" si="85"/>
        <v/>
      </c>
      <c r="H813" s="4" t="str">
        <f>IF(F813="","",_xlfn.XLOOKUP(F813,purchase!D:D,purchase!#REF!,""))</f>
        <v/>
      </c>
      <c r="I813" s="4" t="str">
        <f t="shared" si="86"/>
        <v/>
      </c>
      <c r="J813" s="4" t="str">
        <f t="shared" si="87"/>
        <v/>
      </c>
      <c r="K813" s="13" t="str">
        <f>_xlfn.SINGLE(IF(F813="","",_xlfn.XLOOKUP(F813,purchase!D:D,purchase!#REF!,"")))</f>
        <v/>
      </c>
      <c r="L813" s="2"/>
      <c r="M813" s="32"/>
      <c r="N813" s="13" t="str">
        <f>IF(F813="","",
MAX(0,
_xlfn.XLOOKUP(F813,purchase!D:D,purchase!#REF!,"")
-
SUMIFS(L:L,F:F,F813)))</f>
        <v/>
      </c>
      <c r="O813" s="13" t="str">
        <f t="shared" si="88"/>
        <v/>
      </c>
      <c r="P813" s="35" t="str">
        <f>_xlfn.SINGLE(IF(F813="","",_xlfn.XLOOKUP(F813,purchase!D:D,purchase!K:K,"")))</f>
        <v/>
      </c>
      <c r="Q813" s="29" t="str">
        <f t="shared" si="89"/>
        <v/>
      </c>
      <c r="R813" s="37" t="str">
        <f t="shared" si="90"/>
        <v/>
      </c>
    </row>
    <row r="814" spans="1:18" x14ac:dyDescent="0.35">
      <c r="A814" s="8">
        <v>810</v>
      </c>
      <c r="B814" s="9" t="str">
        <f t="shared" si="84"/>
        <v/>
      </c>
      <c r="C814" s="10"/>
      <c r="D814" s="9" t="str">
        <f>IF(F814="","",_xlfn.XLOOKUP(F814,purchase!D:D,purchase!#REF!,""))</f>
        <v/>
      </c>
      <c r="E814" s="9" t="str">
        <f>IF(F814="","",_xlfn.XLOOKUP(F814,purchase!D:D,purchase!B:B,""))</f>
        <v/>
      </c>
      <c r="F814" s="2"/>
      <c r="G814" s="4" t="str">
        <f t="shared" si="85"/>
        <v/>
      </c>
      <c r="H814" s="4" t="str">
        <f>IF(F814="","",_xlfn.XLOOKUP(F814,purchase!D:D,purchase!#REF!,""))</f>
        <v/>
      </c>
      <c r="I814" s="4" t="str">
        <f t="shared" si="86"/>
        <v/>
      </c>
      <c r="J814" s="4" t="str">
        <f t="shared" si="87"/>
        <v/>
      </c>
      <c r="K814" s="13" t="str">
        <f>_xlfn.SINGLE(IF(F814="","",_xlfn.XLOOKUP(F814,purchase!D:D,purchase!#REF!,"")))</f>
        <v/>
      </c>
      <c r="L814" s="2"/>
      <c r="M814" s="32"/>
      <c r="N814" s="13" t="str">
        <f>IF(F814="","",
MAX(0,
_xlfn.XLOOKUP(F814,purchase!D:D,purchase!#REF!,"")
-
SUMIFS(L:L,F:F,F814)))</f>
        <v/>
      </c>
      <c r="O814" s="13" t="str">
        <f t="shared" si="88"/>
        <v/>
      </c>
      <c r="P814" s="35" t="str">
        <f>_xlfn.SINGLE(IF(F814="","",_xlfn.XLOOKUP(F814,purchase!D:D,purchase!K:K,"")))</f>
        <v/>
      </c>
      <c r="Q814" s="29" t="str">
        <f t="shared" si="89"/>
        <v/>
      </c>
      <c r="R814" s="37" t="str">
        <f t="shared" si="90"/>
        <v/>
      </c>
    </row>
    <row r="815" spans="1:18" x14ac:dyDescent="0.35">
      <c r="A815" s="8">
        <v>811</v>
      </c>
      <c r="B815" s="9" t="str">
        <f t="shared" si="84"/>
        <v/>
      </c>
      <c r="C815" s="10"/>
      <c r="D815" s="9" t="str">
        <f>IF(F815="","",_xlfn.XLOOKUP(F815,purchase!D:D,purchase!#REF!,""))</f>
        <v/>
      </c>
      <c r="E815" s="9" t="str">
        <f>IF(F815="","",_xlfn.XLOOKUP(F815,purchase!D:D,purchase!B:B,""))</f>
        <v/>
      </c>
      <c r="F815" s="2"/>
      <c r="G815" s="4" t="str">
        <f t="shared" si="85"/>
        <v/>
      </c>
      <c r="H815" s="4" t="str">
        <f>IF(F815="","",_xlfn.XLOOKUP(F815,purchase!D:D,purchase!#REF!,""))</f>
        <v/>
      </c>
      <c r="I815" s="4" t="str">
        <f t="shared" si="86"/>
        <v/>
      </c>
      <c r="J815" s="4" t="str">
        <f t="shared" si="87"/>
        <v/>
      </c>
      <c r="K815" s="13" t="str">
        <f>_xlfn.SINGLE(IF(F815="","",_xlfn.XLOOKUP(F815,purchase!D:D,purchase!#REF!,"")))</f>
        <v/>
      </c>
      <c r="L815" s="2"/>
      <c r="M815" s="32"/>
      <c r="N815" s="13" t="str">
        <f>IF(F815="","",
MAX(0,
_xlfn.XLOOKUP(F815,purchase!D:D,purchase!#REF!,"")
-
SUMIFS(L:L,F:F,F815)))</f>
        <v/>
      </c>
      <c r="O815" s="13" t="str">
        <f t="shared" si="88"/>
        <v/>
      </c>
      <c r="P815" s="35" t="str">
        <f>_xlfn.SINGLE(IF(F815="","",_xlfn.XLOOKUP(F815,purchase!D:D,purchase!K:K,"")))</f>
        <v/>
      </c>
      <c r="Q815" s="29" t="str">
        <f t="shared" si="89"/>
        <v/>
      </c>
      <c r="R815" s="37" t="str">
        <f t="shared" si="90"/>
        <v/>
      </c>
    </row>
    <row r="816" spans="1:18" x14ac:dyDescent="0.35">
      <c r="A816" s="8">
        <v>812</v>
      </c>
      <c r="B816" s="9" t="str">
        <f t="shared" si="84"/>
        <v/>
      </c>
      <c r="C816" s="10"/>
      <c r="D816" s="9" t="str">
        <f>IF(F816="","",_xlfn.XLOOKUP(F816,purchase!D:D,purchase!#REF!,""))</f>
        <v/>
      </c>
      <c r="E816" s="9" t="str">
        <f>IF(F816="","",_xlfn.XLOOKUP(F816,purchase!D:D,purchase!B:B,""))</f>
        <v/>
      </c>
      <c r="F816" s="2"/>
      <c r="G816" s="4" t="str">
        <f t="shared" si="85"/>
        <v/>
      </c>
      <c r="H816" s="4" t="str">
        <f>IF(F816="","",_xlfn.XLOOKUP(F816,purchase!D:D,purchase!#REF!,""))</f>
        <v/>
      </c>
      <c r="I816" s="4" t="str">
        <f t="shared" si="86"/>
        <v/>
      </c>
      <c r="J816" s="4" t="str">
        <f t="shared" si="87"/>
        <v/>
      </c>
      <c r="K816" s="13" t="str">
        <f>_xlfn.SINGLE(IF(F816="","",_xlfn.XLOOKUP(F816,purchase!D:D,purchase!#REF!,"")))</f>
        <v/>
      </c>
      <c r="L816" s="2"/>
      <c r="M816" s="32"/>
      <c r="N816" s="13" t="str">
        <f>IF(F816="","",
MAX(0,
_xlfn.XLOOKUP(F816,purchase!D:D,purchase!#REF!,"")
-
SUMIFS(L:L,F:F,F816)))</f>
        <v/>
      </c>
      <c r="O816" s="13" t="str">
        <f t="shared" si="88"/>
        <v/>
      </c>
      <c r="P816" s="35" t="str">
        <f>_xlfn.SINGLE(IF(F816="","",_xlfn.XLOOKUP(F816,purchase!D:D,purchase!K:K,"")))</f>
        <v/>
      </c>
      <c r="Q816" s="29" t="str">
        <f t="shared" si="89"/>
        <v/>
      </c>
      <c r="R816" s="37" t="str">
        <f t="shared" si="90"/>
        <v/>
      </c>
    </row>
    <row r="817" spans="1:18" x14ac:dyDescent="0.35">
      <c r="A817" s="8">
        <v>813</v>
      </c>
      <c r="B817" s="9" t="str">
        <f t="shared" si="84"/>
        <v/>
      </c>
      <c r="C817" s="10"/>
      <c r="D817" s="9" t="str">
        <f>IF(F817="","",_xlfn.XLOOKUP(F817,purchase!D:D,purchase!#REF!,""))</f>
        <v/>
      </c>
      <c r="E817" s="9" t="str">
        <f>IF(F817="","",_xlfn.XLOOKUP(F817,purchase!D:D,purchase!B:B,""))</f>
        <v/>
      </c>
      <c r="F817" s="2"/>
      <c r="G817" s="4" t="str">
        <f t="shared" si="85"/>
        <v/>
      </c>
      <c r="H817" s="4" t="str">
        <f>IF(F817="","",_xlfn.XLOOKUP(F817,purchase!D:D,purchase!#REF!,""))</f>
        <v/>
      </c>
      <c r="I817" s="4" t="str">
        <f t="shared" si="86"/>
        <v/>
      </c>
      <c r="J817" s="4" t="str">
        <f t="shared" si="87"/>
        <v/>
      </c>
      <c r="K817" s="13" t="str">
        <f>_xlfn.SINGLE(IF(F817="","",_xlfn.XLOOKUP(F817,purchase!D:D,purchase!#REF!,"")))</f>
        <v/>
      </c>
      <c r="L817" s="2"/>
      <c r="M817" s="32"/>
      <c r="N817" s="13" t="str">
        <f>IF(F817="","",
MAX(0,
_xlfn.XLOOKUP(F817,purchase!D:D,purchase!#REF!,"")
-
SUMIFS(L:L,F:F,F817)))</f>
        <v/>
      </c>
      <c r="O817" s="13" t="str">
        <f t="shared" si="88"/>
        <v/>
      </c>
      <c r="P817" s="35" t="str">
        <f>_xlfn.SINGLE(IF(F817="","",_xlfn.XLOOKUP(F817,purchase!D:D,purchase!K:K,"")))</f>
        <v/>
      </c>
      <c r="Q817" s="29" t="str">
        <f t="shared" si="89"/>
        <v/>
      </c>
      <c r="R817" s="37" t="str">
        <f t="shared" si="90"/>
        <v/>
      </c>
    </row>
    <row r="818" spans="1:18" x14ac:dyDescent="0.35">
      <c r="A818" s="8">
        <v>814</v>
      </c>
      <c r="B818" s="9" t="str">
        <f t="shared" si="84"/>
        <v/>
      </c>
      <c r="C818" s="10"/>
      <c r="D818" s="9" t="str">
        <f>IF(F818="","",_xlfn.XLOOKUP(F818,purchase!D:D,purchase!#REF!,""))</f>
        <v/>
      </c>
      <c r="E818" s="9" t="str">
        <f>IF(F818="","",_xlfn.XLOOKUP(F818,purchase!D:D,purchase!B:B,""))</f>
        <v/>
      </c>
      <c r="F818" s="2"/>
      <c r="G818" s="4" t="str">
        <f t="shared" si="85"/>
        <v/>
      </c>
      <c r="H818" s="4" t="str">
        <f>IF(F818="","",_xlfn.XLOOKUP(F818,purchase!D:D,purchase!#REF!,""))</f>
        <v/>
      </c>
      <c r="I818" s="4" t="str">
        <f t="shared" si="86"/>
        <v/>
      </c>
      <c r="J818" s="4" t="str">
        <f t="shared" si="87"/>
        <v/>
      </c>
      <c r="K818" s="13" t="str">
        <f>_xlfn.SINGLE(IF(F818="","",_xlfn.XLOOKUP(F818,purchase!D:D,purchase!#REF!,"")))</f>
        <v/>
      </c>
      <c r="L818" s="2"/>
      <c r="M818" s="32"/>
      <c r="N818" s="13" t="str">
        <f>IF(F818="","",
MAX(0,
_xlfn.XLOOKUP(F818,purchase!D:D,purchase!#REF!,"")
-
SUMIFS(L:L,F:F,F818)))</f>
        <v/>
      </c>
      <c r="O818" s="13" t="str">
        <f t="shared" si="88"/>
        <v/>
      </c>
      <c r="P818" s="35" t="str">
        <f>_xlfn.SINGLE(IF(F818="","",_xlfn.XLOOKUP(F818,purchase!D:D,purchase!K:K,"")))</f>
        <v/>
      </c>
      <c r="Q818" s="29" t="str">
        <f t="shared" si="89"/>
        <v/>
      </c>
      <c r="R818" s="37" t="str">
        <f t="shared" si="90"/>
        <v/>
      </c>
    </row>
    <row r="819" spans="1:18" x14ac:dyDescent="0.35">
      <c r="A819" s="8">
        <v>815</v>
      </c>
      <c r="B819" s="9" t="str">
        <f t="shared" si="84"/>
        <v/>
      </c>
      <c r="C819" s="10"/>
      <c r="D819" s="9" t="str">
        <f>IF(F819="","",_xlfn.XLOOKUP(F819,purchase!D:D,purchase!#REF!,""))</f>
        <v/>
      </c>
      <c r="E819" s="9" t="str">
        <f>IF(F819="","",_xlfn.XLOOKUP(F819,purchase!D:D,purchase!B:B,""))</f>
        <v/>
      </c>
      <c r="F819" s="2"/>
      <c r="G819" s="4" t="str">
        <f t="shared" si="85"/>
        <v/>
      </c>
      <c r="H819" s="4" t="str">
        <f>IF(F819="","",_xlfn.XLOOKUP(F819,purchase!D:D,purchase!#REF!,""))</f>
        <v/>
      </c>
      <c r="I819" s="4" t="str">
        <f t="shared" si="86"/>
        <v/>
      </c>
      <c r="J819" s="4" t="str">
        <f t="shared" si="87"/>
        <v/>
      </c>
      <c r="K819" s="13" t="str">
        <f>_xlfn.SINGLE(IF(F819="","",_xlfn.XLOOKUP(F819,purchase!D:D,purchase!#REF!,"")))</f>
        <v/>
      </c>
      <c r="L819" s="2"/>
      <c r="M819" s="32"/>
      <c r="N819" s="13" t="str">
        <f>IF(F819="","",
MAX(0,
_xlfn.XLOOKUP(F819,purchase!D:D,purchase!#REF!,"")
-
SUMIFS(L:L,F:F,F819)))</f>
        <v/>
      </c>
      <c r="O819" s="13" t="str">
        <f t="shared" si="88"/>
        <v/>
      </c>
      <c r="P819" s="35" t="str">
        <f>_xlfn.SINGLE(IF(F819="","",_xlfn.XLOOKUP(F819,purchase!D:D,purchase!K:K,"")))</f>
        <v/>
      </c>
      <c r="Q819" s="29" t="str">
        <f t="shared" si="89"/>
        <v/>
      </c>
      <c r="R819" s="37" t="str">
        <f t="shared" si="90"/>
        <v/>
      </c>
    </row>
    <row r="820" spans="1:18" x14ac:dyDescent="0.35">
      <c r="A820" s="8">
        <v>816</v>
      </c>
      <c r="B820" s="9" t="str">
        <f t="shared" si="84"/>
        <v/>
      </c>
      <c r="C820" s="10"/>
      <c r="D820" s="9" t="str">
        <f>IF(F820="","",_xlfn.XLOOKUP(F820,purchase!D:D,purchase!#REF!,""))</f>
        <v/>
      </c>
      <c r="E820" s="9" t="str">
        <f>IF(F820="","",_xlfn.XLOOKUP(F820,purchase!D:D,purchase!B:B,""))</f>
        <v/>
      </c>
      <c r="F820" s="2"/>
      <c r="G820" s="4" t="str">
        <f t="shared" si="85"/>
        <v/>
      </c>
      <c r="H820" s="4" t="str">
        <f>IF(F820="","",_xlfn.XLOOKUP(F820,purchase!D:D,purchase!#REF!,""))</f>
        <v/>
      </c>
      <c r="I820" s="4" t="str">
        <f t="shared" si="86"/>
        <v/>
      </c>
      <c r="J820" s="4" t="str">
        <f t="shared" si="87"/>
        <v/>
      </c>
      <c r="K820" s="13" t="str">
        <f>_xlfn.SINGLE(IF(F820="","",_xlfn.XLOOKUP(F820,purchase!D:D,purchase!#REF!,"")))</f>
        <v/>
      </c>
      <c r="L820" s="2"/>
      <c r="M820" s="32"/>
      <c r="N820" s="13" t="str">
        <f>IF(F820="","",
MAX(0,
_xlfn.XLOOKUP(F820,purchase!D:D,purchase!#REF!,"")
-
SUMIFS(L:L,F:F,F820)))</f>
        <v/>
      </c>
      <c r="O820" s="13" t="str">
        <f t="shared" si="88"/>
        <v/>
      </c>
      <c r="P820" s="35" t="str">
        <f>_xlfn.SINGLE(IF(F820="","",_xlfn.XLOOKUP(F820,purchase!D:D,purchase!K:K,"")))</f>
        <v/>
      </c>
      <c r="Q820" s="29" t="str">
        <f t="shared" si="89"/>
        <v/>
      </c>
      <c r="R820" s="37" t="str">
        <f t="shared" si="90"/>
        <v/>
      </c>
    </row>
    <row r="821" spans="1:18" x14ac:dyDescent="0.35">
      <c r="A821" s="8">
        <v>817</v>
      </c>
      <c r="B821" s="9" t="str">
        <f t="shared" si="84"/>
        <v/>
      </c>
      <c r="C821" s="10"/>
      <c r="D821" s="9" t="str">
        <f>IF(F821="","",_xlfn.XLOOKUP(F821,purchase!D:D,purchase!#REF!,""))</f>
        <v/>
      </c>
      <c r="E821" s="9" t="str">
        <f>IF(F821="","",_xlfn.XLOOKUP(F821,purchase!D:D,purchase!B:B,""))</f>
        <v/>
      </c>
      <c r="F821" s="2"/>
      <c r="G821" s="4" t="str">
        <f t="shared" si="85"/>
        <v/>
      </c>
      <c r="H821" s="4" t="str">
        <f>IF(F821="","",_xlfn.XLOOKUP(F821,purchase!D:D,purchase!#REF!,""))</f>
        <v/>
      </c>
      <c r="I821" s="4" t="str">
        <f t="shared" si="86"/>
        <v/>
      </c>
      <c r="J821" s="4" t="str">
        <f t="shared" si="87"/>
        <v/>
      </c>
      <c r="K821" s="13" t="str">
        <f>_xlfn.SINGLE(IF(F821="","",_xlfn.XLOOKUP(F821,purchase!D:D,purchase!#REF!,"")))</f>
        <v/>
      </c>
      <c r="L821" s="2"/>
      <c r="M821" s="32"/>
      <c r="N821" s="13" t="str">
        <f>IF(F821="","",
MAX(0,
_xlfn.XLOOKUP(F821,purchase!D:D,purchase!#REF!,"")
-
SUMIFS(L:L,F:F,F821)))</f>
        <v/>
      </c>
      <c r="O821" s="13" t="str">
        <f t="shared" si="88"/>
        <v/>
      </c>
      <c r="P821" s="35" t="str">
        <f>_xlfn.SINGLE(IF(F821="","",_xlfn.XLOOKUP(F821,purchase!D:D,purchase!K:K,"")))</f>
        <v/>
      </c>
      <c r="Q821" s="29" t="str">
        <f t="shared" si="89"/>
        <v/>
      </c>
      <c r="R821" s="37" t="str">
        <f t="shared" si="90"/>
        <v/>
      </c>
    </row>
    <row r="822" spans="1:18" x14ac:dyDescent="0.35">
      <c r="A822" s="8">
        <v>818</v>
      </c>
      <c r="B822" s="9" t="str">
        <f t="shared" si="84"/>
        <v/>
      </c>
      <c r="C822" s="10"/>
      <c r="D822" s="9" t="str">
        <f>IF(F822="","",_xlfn.XLOOKUP(F822,purchase!D:D,purchase!#REF!,""))</f>
        <v/>
      </c>
      <c r="E822" s="9" t="str">
        <f>IF(F822="","",_xlfn.XLOOKUP(F822,purchase!D:D,purchase!B:B,""))</f>
        <v/>
      </c>
      <c r="F822" s="2"/>
      <c r="G822" s="4" t="str">
        <f t="shared" si="85"/>
        <v/>
      </c>
      <c r="H822" s="4" t="str">
        <f>IF(F822="","",_xlfn.XLOOKUP(F822,purchase!D:D,purchase!#REF!,""))</f>
        <v/>
      </c>
      <c r="I822" s="4" t="str">
        <f t="shared" si="86"/>
        <v/>
      </c>
      <c r="J822" s="4" t="str">
        <f t="shared" si="87"/>
        <v/>
      </c>
      <c r="K822" s="13" t="str">
        <f>_xlfn.SINGLE(IF(F822="","",_xlfn.XLOOKUP(F822,purchase!D:D,purchase!#REF!,"")))</f>
        <v/>
      </c>
      <c r="L822" s="2"/>
      <c r="M822" s="32"/>
      <c r="N822" s="13" t="str">
        <f>IF(F822="","",
MAX(0,
_xlfn.XLOOKUP(F822,purchase!D:D,purchase!#REF!,"")
-
SUMIFS(L:L,F:F,F822)))</f>
        <v/>
      </c>
      <c r="O822" s="13" t="str">
        <f t="shared" si="88"/>
        <v/>
      </c>
      <c r="P822" s="35" t="str">
        <f>_xlfn.SINGLE(IF(F822="","",_xlfn.XLOOKUP(F822,purchase!D:D,purchase!K:K,"")))</f>
        <v/>
      </c>
      <c r="Q822" s="29" t="str">
        <f t="shared" si="89"/>
        <v/>
      </c>
      <c r="R822" s="37" t="str">
        <f t="shared" si="90"/>
        <v/>
      </c>
    </row>
    <row r="823" spans="1:18" x14ac:dyDescent="0.35">
      <c r="A823" s="8">
        <v>819</v>
      </c>
      <c r="B823" s="9" t="str">
        <f t="shared" si="84"/>
        <v/>
      </c>
      <c r="C823" s="10"/>
      <c r="D823" s="9" t="str">
        <f>IF(F823="","",_xlfn.XLOOKUP(F823,purchase!D:D,purchase!#REF!,""))</f>
        <v/>
      </c>
      <c r="E823" s="9" t="str">
        <f>IF(F823="","",_xlfn.XLOOKUP(F823,purchase!D:D,purchase!B:B,""))</f>
        <v/>
      </c>
      <c r="F823" s="2"/>
      <c r="G823" s="4" t="str">
        <f t="shared" si="85"/>
        <v/>
      </c>
      <c r="H823" s="4" t="str">
        <f>IF(F823="","",_xlfn.XLOOKUP(F823,purchase!D:D,purchase!#REF!,""))</f>
        <v/>
      </c>
      <c r="I823" s="4" t="str">
        <f t="shared" si="86"/>
        <v/>
      </c>
      <c r="J823" s="4" t="str">
        <f t="shared" si="87"/>
        <v/>
      </c>
      <c r="K823" s="13" t="str">
        <f>_xlfn.SINGLE(IF(F823="","",_xlfn.XLOOKUP(F823,purchase!D:D,purchase!#REF!,"")))</f>
        <v/>
      </c>
      <c r="L823" s="2"/>
      <c r="M823" s="32"/>
      <c r="N823" s="13" t="str">
        <f>IF(F823="","",
MAX(0,
_xlfn.XLOOKUP(F823,purchase!D:D,purchase!#REF!,"")
-
SUMIFS(L:L,F:F,F823)))</f>
        <v/>
      </c>
      <c r="O823" s="13" t="str">
        <f t="shared" si="88"/>
        <v/>
      </c>
      <c r="P823" s="35" t="str">
        <f>_xlfn.SINGLE(IF(F823="","",_xlfn.XLOOKUP(F823,purchase!D:D,purchase!K:K,"")))</f>
        <v/>
      </c>
      <c r="Q823" s="29" t="str">
        <f t="shared" si="89"/>
        <v/>
      </c>
      <c r="R823" s="37" t="str">
        <f t="shared" si="90"/>
        <v/>
      </c>
    </row>
    <row r="824" spans="1:18" x14ac:dyDescent="0.35">
      <c r="A824" s="8">
        <v>820</v>
      </c>
      <c r="B824" s="9" t="str">
        <f t="shared" si="84"/>
        <v/>
      </c>
      <c r="C824" s="10"/>
      <c r="D824" s="9" t="str">
        <f>IF(F824="","",_xlfn.XLOOKUP(F824,purchase!D:D,purchase!#REF!,""))</f>
        <v/>
      </c>
      <c r="E824" s="9" t="str">
        <f>IF(F824="","",_xlfn.XLOOKUP(F824,purchase!D:D,purchase!B:B,""))</f>
        <v/>
      </c>
      <c r="F824" s="2"/>
      <c r="G824" s="4" t="str">
        <f t="shared" si="85"/>
        <v/>
      </c>
      <c r="H824" s="4" t="str">
        <f>IF(F824="","",_xlfn.XLOOKUP(F824,purchase!D:D,purchase!#REF!,""))</f>
        <v/>
      </c>
      <c r="I824" s="4" t="str">
        <f t="shared" si="86"/>
        <v/>
      </c>
      <c r="J824" s="4" t="str">
        <f t="shared" si="87"/>
        <v/>
      </c>
      <c r="K824" s="13" t="str">
        <f>_xlfn.SINGLE(IF(F824="","",_xlfn.XLOOKUP(F824,purchase!D:D,purchase!#REF!,"")))</f>
        <v/>
      </c>
      <c r="L824" s="2"/>
      <c r="M824" s="32"/>
      <c r="N824" s="13" t="str">
        <f>IF(F824="","",
MAX(0,
_xlfn.XLOOKUP(F824,purchase!D:D,purchase!#REF!,"")
-
SUMIFS(L:L,F:F,F824)))</f>
        <v/>
      </c>
      <c r="O824" s="13" t="str">
        <f t="shared" si="88"/>
        <v/>
      </c>
      <c r="P824" s="35" t="str">
        <f>_xlfn.SINGLE(IF(F824="","",_xlfn.XLOOKUP(F824,purchase!D:D,purchase!K:K,"")))</f>
        <v/>
      </c>
      <c r="Q824" s="29" t="str">
        <f t="shared" si="89"/>
        <v/>
      </c>
      <c r="R824" s="37" t="str">
        <f t="shared" si="90"/>
        <v/>
      </c>
    </row>
    <row r="825" spans="1:18" x14ac:dyDescent="0.35">
      <c r="A825" s="8">
        <v>821</v>
      </c>
      <c r="B825" s="9" t="str">
        <f t="shared" si="84"/>
        <v/>
      </c>
      <c r="C825" s="10"/>
      <c r="D825" s="9" t="str">
        <f>IF(F825="","",_xlfn.XLOOKUP(F825,purchase!D:D,purchase!#REF!,""))</f>
        <v/>
      </c>
      <c r="E825" s="9" t="str">
        <f>IF(F825="","",_xlfn.XLOOKUP(F825,purchase!D:D,purchase!B:B,""))</f>
        <v/>
      </c>
      <c r="F825" s="2"/>
      <c r="G825" s="4" t="str">
        <f t="shared" si="85"/>
        <v/>
      </c>
      <c r="H825" s="4" t="str">
        <f>IF(F825="","",_xlfn.XLOOKUP(F825,purchase!D:D,purchase!#REF!,""))</f>
        <v/>
      </c>
      <c r="I825" s="4" t="str">
        <f t="shared" si="86"/>
        <v/>
      </c>
      <c r="J825" s="4" t="str">
        <f t="shared" si="87"/>
        <v/>
      </c>
      <c r="K825" s="13" t="str">
        <f>_xlfn.SINGLE(IF(F825="","",_xlfn.XLOOKUP(F825,purchase!D:D,purchase!#REF!,"")))</f>
        <v/>
      </c>
      <c r="L825" s="2"/>
      <c r="M825" s="32"/>
      <c r="N825" s="13" t="str">
        <f>IF(F825="","",
MAX(0,
_xlfn.XLOOKUP(F825,purchase!D:D,purchase!#REF!,"")
-
SUMIFS(L:L,F:F,F825)))</f>
        <v/>
      </c>
      <c r="O825" s="13" t="str">
        <f t="shared" si="88"/>
        <v/>
      </c>
      <c r="P825" s="35" t="str">
        <f>_xlfn.SINGLE(IF(F825="","",_xlfn.XLOOKUP(F825,purchase!D:D,purchase!K:K,"")))</f>
        <v/>
      </c>
      <c r="Q825" s="29" t="str">
        <f t="shared" si="89"/>
        <v/>
      </c>
      <c r="R825" s="37" t="str">
        <f t="shared" si="90"/>
        <v/>
      </c>
    </row>
    <row r="826" spans="1:18" x14ac:dyDescent="0.35">
      <c r="A826" s="8">
        <v>822</v>
      </c>
      <c r="B826" s="9" t="str">
        <f t="shared" si="84"/>
        <v/>
      </c>
      <c r="C826" s="10"/>
      <c r="D826" s="9" t="str">
        <f>IF(F826="","",_xlfn.XLOOKUP(F826,purchase!D:D,purchase!#REF!,""))</f>
        <v/>
      </c>
      <c r="E826" s="9" t="str">
        <f>IF(F826="","",_xlfn.XLOOKUP(F826,purchase!D:D,purchase!B:B,""))</f>
        <v/>
      </c>
      <c r="F826" s="2"/>
      <c r="G826" s="4" t="str">
        <f t="shared" si="85"/>
        <v/>
      </c>
      <c r="H826" s="4" t="str">
        <f>IF(F826="","",_xlfn.XLOOKUP(F826,purchase!D:D,purchase!#REF!,""))</f>
        <v/>
      </c>
      <c r="I826" s="4" t="str">
        <f t="shared" si="86"/>
        <v/>
      </c>
      <c r="J826" s="4" t="str">
        <f t="shared" si="87"/>
        <v/>
      </c>
      <c r="K826" s="13" t="str">
        <f>_xlfn.SINGLE(IF(F826="","",_xlfn.XLOOKUP(F826,purchase!D:D,purchase!#REF!,"")))</f>
        <v/>
      </c>
      <c r="L826" s="2"/>
      <c r="M826" s="32"/>
      <c r="N826" s="13" t="str">
        <f>IF(F826="","",
MAX(0,
_xlfn.XLOOKUP(F826,purchase!D:D,purchase!#REF!,"")
-
SUMIFS(L:L,F:F,F826)))</f>
        <v/>
      </c>
      <c r="O826" s="13" t="str">
        <f t="shared" si="88"/>
        <v/>
      </c>
      <c r="P826" s="35" t="str">
        <f>_xlfn.SINGLE(IF(F826="","",_xlfn.XLOOKUP(F826,purchase!D:D,purchase!K:K,"")))</f>
        <v/>
      </c>
      <c r="Q826" s="29" t="str">
        <f t="shared" si="89"/>
        <v/>
      </c>
      <c r="R826" s="37" t="str">
        <f t="shared" si="90"/>
        <v/>
      </c>
    </row>
    <row r="827" spans="1:18" x14ac:dyDescent="0.35">
      <c r="A827" s="8">
        <v>823</v>
      </c>
      <c r="B827" s="9" t="str">
        <f t="shared" si="84"/>
        <v/>
      </c>
      <c r="C827" s="10"/>
      <c r="D827" s="9" t="str">
        <f>IF(F827="","",_xlfn.XLOOKUP(F827,purchase!D:D,purchase!#REF!,""))</f>
        <v/>
      </c>
      <c r="E827" s="9" t="str">
        <f>IF(F827="","",_xlfn.XLOOKUP(F827,purchase!D:D,purchase!B:B,""))</f>
        <v/>
      </c>
      <c r="F827" s="2"/>
      <c r="G827" s="4" t="str">
        <f t="shared" si="85"/>
        <v/>
      </c>
      <c r="H827" s="4" t="str">
        <f>IF(F827="","",_xlfn.XLOOKUP(F827,purchase!D:D,purchase!#REF!,""))</f>
        <v/>
      </c>
      <c r="I827" s="4" t="str">
        <f t="shared" si="86"/>
        <v/>
      </c>
      <c r="J827" s="4" t="str">
        <f t="shared" si="87"/>
        <v/>
      </c>
      <c r="K827" s="13" t="str">
        <f>_xlfn.SINGLE(IF(F827="","",_xlfn.XLOOKUP(F827,purchase!D:D,purchase!#REF!,"")))</f>
        <v/>
      </c>
      <c r="L827" s="2"/>
      <c r="M827" s="32"/>
      <c r="N827" s="13" t="str">
        <f>IF(F827="","",
MAX(0,
_xlfn.XLOOKUP(F827,purchase!D:D,purchase!#REF!,"")
-
SUMIFS(L:L,F:F,F827)))</f>
        <v/>
      </c>
      <c r="O827" s="13" t="str">
        <f t="shared" si="88"/>
        <v/>
      </c>
      <c r="P827" s="35" t="str">
        <f>_xlfn.SINGLE(IF(F827="","",_xlfn.XLOOKUP(F827,purchase!D:D,purchase!K:K,"")))</f>
        <v/>
      </c>
      <c r="Q827" s="29" t="str">
        <f t="shared" si="89"/>
        <v/>
      </c>
      <c r="R827" s="37" t="str">
        <f t="shared" si="90"/>
        <v/>
      </c>
    </row>
    <row r="828" spans="1:18" x14ac:dyDescent="0.35">
      <c r="A828" s="8">
        <v>824</v>
      </c>
      <c r="B828" s="9" t="str">
        <f t="shared" si="84"/>
        <v/>
      </c>
      <c r="C828" s="10"/>
      <c r="D828" s="9" t="str">
        <f>IF(F828="","",_xlfn.XLOOKUP(F828,purchase!D:D,purchase!#REF!,""))</f>
        <v/>
      </c>
      <c r="E828" s="9" t="str">
        <f>IF(F828="","",_xlfn.XLOOKUP(F828,purchase!D:D,purchase!B:B,""))</f>
        <v/>
      </c>
      <c r="F828" s="2"/>
      <c r="G828" s="4" t="str">
        <f t="shared" si="85"/>
        <v/>
      </c>
      <c r="H828" s="4" t="str">
        <f>IF(F828="","",_xlfn.XLOOKUP(F828,purchase!D:D,purchase!#REF!,""))</f>
        <v/>
      </c>
      <c r="I828" s="4" t="str">
        <f t="shared" si="86"/>
        <v/>
      </c>
      <c r="J828" s="4" t="str">
        <f t="shared" si="87"/>
        <v/>
      </c>
      <c r="K828" s="13" t="str">
        <f>_xlfn.SINGLE(IF(F828="","",_xlfn.XLOOKUP(F828,purchase!D:D,purchase!#REF!,"")))</f>
        <v/>
      </c>
      <c r="L828" s="2"/>
      <c r="M828" s="32"/>
      <c r="N828" s="13" t="str">
        <f>IF(F828="","",
MAX(0,
_xlfn.XLOOKUP(F828,purchase!D:D,purchase!#REF!,"")
-
SUMIFS(L:L,F:F,F828)))</f>
        <v/>
      </c>
      <c r="O828" s="13" t="str">
        <f t="shared" si="88"/>
        <v/>
      </c>
      <c r="P828" s="35" t="str">
        <f>_xlfn.SINGLE(IF(F828="","",_xlfn.XLOOKUP(F828,purchase!D:D,purchase!K:K,"")))</f>
        <v/>
      </c>
      <c r="Q828" s="29" t="str">
        <f t="shared" si="89"/>
        <v/>
      </c>
      <c r="R828" s="37" t="str">
        <f t="shared" si="90"/>
        <v/>
      </c>
    </row>
    <row r="829" spans="1:18" x14ac:dyDescent="0.35">
      <c r="A829" s="8">
        <v>825</v>
      </c>
      <c r="B829" s="9" t="str">
        <f t="shared" si="84"/>
        <v/>
      </c>
      <c r="C829" s="10"/>
      <c r="D829" s="9" t="str">
        <f>IF(F829="","",_xlfn.XLOOKUP(F829,purchase!D:D,purchase!#REF!,""))</f>
        <v/>
      </c>
      <c r="E829" s="9" t="str">
        <f>IF(F829="","",_xlfn.XLOOKUP(F829,purchase!D:D,purchase!B:B,""))</f>
        <v/>
      </c>
      <c r="F829" s="2"/>
      <c r="G829" s="4" t="str">
        <f t="shared" si="85"/>
        <v/>
      </c>
      <c r="H829" s="4" t="str">
        <f>IF(F829="","",_xlfn.XLOOKUP(F829,purchase!D:D,purchase!#REF!,""))</f>
        <v/>
      </c>
      <c r="I829" s="4" t="str">
        <f t="shared" si="86"/>
        <v/>
      </c>
      <c r="J829" s="4" t="str">
        <f t="shared" si="87"/>
        <v/>
      </c>
      <c r="K829" s="13" t="str">
        <f>_xlfn.SINGLE(IF(F829="","",_xlfn.XLOOKUP(F829,purchase!D:D,purchase!#REF!,"")))</f>
        <v/>
      </c>
      <c r="L829" s="2"/>
      <c r="M829" s="32"/>
      <c r="N829" s="13" t="str">
        <f>IF(F829="","",
MAX(0,
_xlfn.XLOOKUP(F829,purchase!D:D,purchase!#REF!,"")
-
SUMIFS(L:L,F:F,F829)))</f>
        <v/>
      </c>
      <c r="O829" s="13" t="str">
        <f t="shared" si="88"/>
        <v/>
      </c>
      <c r="P829" s="35" t="str">
        <f>_xlfn.SINGLE(IF(F829="","",_xlfn.XLOOKUP(F829,purchase!D:D,purchase!K:K,"")))</f>
        <v/>
      </c>
      <c r="Q829" s="29" t="str">
        <f t="shared" si="89"/>
        <v/>
      </c>
      <c r="R829" s="37" t="str">
        <f t="shared" si="90"/>
        <v/>
      </c>
    </row>
    <row r="830" spans="1:18" x14ac:dyDescent="0.35">
      <c r="A830" s="8">
        <v>826</v>
      </c>
      <c r="B830" s="9" t="str">
        <f t="shared" si="84"/>
        <v/>
      </c>
      <c r="C830" s="10"/>
      <c r="D830" s="9" t="str">
        <f>IF(F830="","",_xlfn.XLOOKUP(F830,purchase!D:D,purchase!#REF!,""))</f>
        <v/>
      </c>
      <c r="E830" s="9" t="str">
        <f>IF(F830="","",_xlfn.XLOOKUP(F830,purchase!D:D,purchase!B:B,""))</f>
        <v/>
      </c>
      <c r="F830" s="2"/>
      <c r="G830" s="4" t="str">
        <f t="shared" si="85"/>
        <v/>
      </c>
      <c r="H830" s="4" t="str">
        <f>IF(F830="","",_xlfn.XLOOKUP(F830,purchase!D:D,purchase!#REF!,""))</f>
        <v/>
      </c>
      <c r="I830" s="4" t="str">
        <f t="shared" si="86"/>
        <v/>
      </c>
      <c r="J830" s="4" t="str">
        <f t="shared" si="87"/>
        <v/>
      </c>
      <c r="K830" s="13" t="str">
        <f>_xlfn.SINGLE(IF(F830="","",_xlfn.XLOOKUP(F830,purchase!D:D,purchase!#REF!,"")))</f>
        <v/>
      </c>
      <c r="L830" s="2"/>
      <c r="M830" s="32"/>
      <c r="N830" s="13" t="str">
        <f>IF(F830="","",
MAX(0,
_xlfn.XLOOKUP(F830,purchase!D:D,purchase!#REF!,"")
-
SUMIFS(L:L,F:F,F830)))</f>
        <v/>
      </c>
      <c r="O830" s="13" t="str">
        <f t="shared" si="88"/>
        <v/>
      </c>
      <c r="P830" s="35" t="str">
        <f>_xlfn.SINGLE(IF(F830="","",_xlfn.XLOOKUP(F830,purchase!D:D,purchase!K:K,"")))</f>
        <v/>
      </c>
      <c r="Q830" s="29" t="str">
        <f t="shared" si="89"/>
        <v/>
      </c>
      <c r="R830" s="37" t="str">
        <f t="shared" si="90"/>
        <v/>
      </c>
    </row>
    <row r="831" spans="1:18" x14ac:dyDescent="0.35">
      <c r="A831" s="8">
        <v>827</v>
      </c>
      <c r="B831" s="9" t="str">
        <f t="shared" si="84"/>
        <v/>
      </c>
      <c r="C831" s="10"/>
      <c r="D831" s="9" t="str">
        <f>IF(F831="","",_xlfn.XLOOKUP(F831,purchase!D:D,purchase!#REF!,""))</f>
        <v/>
      </c>
      <c r="E831" s="9" t="str">
        <f>IF(F831="","",_xlfn.XLOOKUP(F831,purchase!D:D,purchase!B:B,""))</f>
        <v/>
      </c>
      <c r="F831" s="2"/>
      <c r="G831" s="4" t="str">
        <f t="shared" si="85"/>
        <v/>
      </c>
      <c r="H831" s="4" t="str">
        <f>IF(F831="","",_xlfn.XLOOKUP(F831,purchase!D:D,purchase!#REF!,""))</f>
        <v/>
      </c>
      <c r="I831" s="4" t="str">
        <f t="shared" si="86"/>
        <v/>
      </c>
      <c r="J831" s="4" t="str">
        <f t="shared" si="87"/>
        <v/>
      </c>
      <c r="K831" s="13" t="str">
        <f>_xlfn.SINGLE(IF(F831="","",_xlfn.XLOOKUP(F831,purchase!D:D,purchase!#REF!,"")))</f>
        <v/>
      </c>
      <c r="L831" s="2"/>
      <c r="M831" s="32"/>
      <c r="N831" s="13" t="str">
        <f>IF(F831="","",
MAX(0,
_xlfn.XLOOKUP(F831,purchase!D:D,purchase!#REF!,"")
-
SUMIFS(L:L,F:F,F831)))</f>
        <v/>
      </c>
      <c r="O831" s="13" t="str">
        <f t="shared" si="88"/>
        <v/>
      </c>
      <c r="P831" s="35" t="str">
        <f>_xlfn.SINGLE(IF(F831="","",_xlfn.XLOOKUP(F831,purchase!D:D,purchase!K:K,"")))</f>
        <v/>
      </c>
      <c r="Q831" s="29" t="str">
        <f t="shared" si="89"/>
        <v/>
      </c>
      <c r="R831" s="37" t="str">
        <f t="shared" si="90"/>
        <v/>
      </c>
    </row>
    <row r="832" spans="1:18" x14ac:dyDescent="0.35">
      <c r="A832" s="8">
        <v>828</v>
      </c>
      <c r="B832" s="9" t="str">
        <f t="shared" si="84"/>
        <v/>
      </c>
      <c r="C832" s="10"/>
      <c r="D832" s="9" t="str">
        <f>IF(F832="","",_xlfn.XLOOKUP(F832,purchase!D:D,purchase!#REF!,""))</f>
        <v/>
      </c>
      <c r="E832" s="9" t="str">
        <f>IF(F832="","",_xlfn.XLOOKUP(F832,purchase!D:D,purchase!B:B,""))</f>
        <v/>
      </c>
      <c r="F832" s="2"/>
      <c r="G832" s="4" t="str">
        <f t="shared" si="85"/>
        <v/>
      </c>
      <c r="H832" s="4" t="str">
        <f>IF(F832="","",_xlfn.XLOOKUP(F832,purchase!D:D,purchase!#REF!,""))</f>
        <v/>
      </c>
      <c r="I832" s="4" t="str">
        <f t="shared" si="86"/>
        <v/>
      </c>
      <c r="J832" s="4" t="str">
        <f t="shared" si="87"/>
        <v/>
      </c>
      <c r="K832" s="13" t="str">
        <f>_xlfn.SINGLE(IF(F832="","",_xlfn.XLOOKUP(F832,purchase!D:D,purchase!#REF!,"")))</f>
        <v/>
      </c>
      <c r="L832" s="2"/>
      <c r="M832" s="32"/>
      <c r="N832" s="13" t="str">
        <f>IF(F832="","",
MAX(0,
_xlfn.XLOOKUP(F832,purchase!D:D,purchase!#REF!,"")
-
SUMIFS(L:L,F:F,F832)))</f>
        <v/>
      </c>
      <c r="O832" s="13" t="str">
        <f t="shared" si="88"/>
        <v/>
      </c>
      <c r="P832" s="35" t="str">
        <f>_xlfn.SINGLE(IF(F832="","",_xlfn.XLOOKUP(F832,purchase!D:D,purchase!K:K,"")))</f>
        <v/>
      </c>
      <c r="Q832" s="29" t="str">
        <f t="shared" si="89"/>
        <v/>
      </c>
      <c r="R832" s="37" t="str">
        <f t="shared" si="90"/>
        <v/>
      </c>
    </row>
    <row r="833" spans="1:18" x14ac:dyDescent="0.35">
      <c r="A833" s="8">
        <v>829</v>
      </c>
      <c r="B833" s="9" t="str">
        <f t="shared" si="84"/>
        <v/>
      </c>
      <c r="C833" s="10"/>
      <c r="D833" s="9" t="str">
        <f>IF(F833="","",_xlfn.XLOOKUP(F833,purchase!D:D,purchase!#REF!,""))</f>
        <v/>
      </c>
      <c r="E833" s="9" t="str">
        <f>IF(F833="","",_xlfn.XLOOKUP(F833,purchase!D:D,purchase!B:B,""))</f>
        <v/>
      </c>
      <c r="F833" s="2"/>
      <c r="G833" s="4" t="str">
        <f t="shared" si="85"/>
        <v/>
      </c>
      <c r="H833" s="4" t="str">
        <f>IF(F833="","",_xlfn.XLOOKUP(F833,purchase!D:D,purchase!#REF!,""))</f>
        <v/>
      </c>
      <c r="I833" s="4" t="str">
        <f t="shared" si="86"/>
        <v/>
      </c>
      <c r="J833" s="4" t="str">
        <f t="shared" si="87"/>
        <v/>
      </c>
      <c r="K833" s="13" t="str">
        <f>_xlfn.SINGLE(IF(F833="","",_xlfn.XLOOKUP(F833,purchase!D:D,purchase!#REF!,"")))</f>
        <v/>
      </c>
      <c r="L833" s="2"/>
      <c r="M833" s="32"/>
      <c r="N833" s="13" t="str">
        <f>IF(F833="","",
MAX(0,
_xlfn.XLOOKUP(F833,purchase!D:D,purchase!#REF!,"")
-
SUMIFS(L:L,F:F,F833)))</f>
        <v/>
      </c>
      <c r="O833" s="13" t="str">
        <f t="shared" si="88"/>
        <v/>
      </c>
      <c r="P833" s="35" t="str">
        <f>_xlfn.SINGLE(IF(F833="","",_xlfn.XLOOKUP(F833,purchase!D:D,purchase!K:K,"")))</f>
        <v/>
      </c>
      <c r="Q833" s="29" t="str">
        <f t="shared" si="89"/>
        <v/>
      </c>
      <c r="R833" s="37" t="str">
        <f t="shared" si="90"/>
        <v/>
      </c>
    </row>
    <row r="834" spans="1:18" x14ac:dyDescent="0.35">
      <c r="A834" s="8">
        <v>830</v>
      </c>
      <c r="B834" s="9" t="str">
        <f t="shared" si="84"/>
        <v/>
      </c>
      <c r="C834" s="10"/>
      <c r="D834" s="9" t="str">
        <f>IF(F834="","",_xlfn.XLOOKUP(F834,purchase!D:D,purchase!#REF!,""))</f>
        <v/>
      </c>
      <c r="E834" s="9" t="str">
        <f>IF(F834="","",_xlfn.XLOOKUP(F834,purchase!D:D,purchase!B:B,""))</f>
        <v/>
      </c>
      <c r="F834" s="2"/>
      <c r="G834" s="4" t="str">
        <f t="shared" si="85"/>
        <v/>
      </c>
      <c r="H834" s="4" t="str">
        <f>IF(F834="","",_xlfn.XLOOKUP(F834,purchase!D:D,purchase!#REF!,""))</f>
        <v/>
      </c>
      <c r="I834" s="4" t="str">
        <f t="shared" si="86"/>
        <v/>
      </c>
      <c r="J834" s="4" t="str">
        <f t="shared" si="87"/>
        <v/>
      </c>
      <c r="K834" s="13" t="str">
        <f>_xlfn.SINGLE(IF(F834="","",_xlfn.XLOOKUP(F834,purchase!D:D,purchase!#REF!,"")))</f>
        <v/>
      </c>
      <c r="L834" s="2"/>
      <c r="M834" s="32"/>
      <c r="N834" s="13" t="str">
        <f>IF(F834="","",
MAX(0,
_xlfn.XLOOKUP(F834,purchase!D:D,purchase!#REF!,"")
-
SUMIFS(L:L,F:F,F834)))</f>
        <v/>
      </c>
      <c r="O834" s="13" t="str">
        <f t="shared" si="88"/>
        <v/>
      </c>
      <c r="P834" s="35" t="str">
        <f>_xlfn.SINGLE(IF(F834="","",_xlfn.XLOOKUP(F834,purchase!D:D,purchase!K:K,"")))</f>
        <v/>
      </c>
      <c r="Q834" s="29" t="str">
        <f t="shared" si="89"/>
        <v/>
      </c>
      <c r="R834" s="37" t="str">
        <f t="shared" si="90"/>
        <v/>
      </c>
    </row>
    <row r="835" spans="1:18" x14ac:dyDescent="0.35">
      <c r="A835" s="8">
        <v>831</v>
      </c>
      <c r="B835" s="9" t="str">
        <f t="shared" si="84"/>
        <v/>
      </c>
      <c r="C835" s="10"/>
      <c r="D835" s="9" t="str">
        <f>IF(F835="","",_xlfn.XLOOKUP(F835,purchase!D:D,purchase!#REF!,""))</f>
        <v/>
      </c>
      <c r="E835" s="9" t="str">
        <f>IF(F835="","",_xlfn.XLOOKUP(F835,purchase!D:D,purchase!B:B,""))</f>
        <v/>
      </c>
      <c r="F835" s="2"/>
      <c r="G835" s="4" t="str">
        <f t="shared" si="85"/>
        <v/>
      </c>
      <c r="H835" s="4" t="str">
        <f>IF(F835="","",_xlfn.XLOOKUP(F835,purchase!D:D,purchase!#REF!,""))</f>
        <v/>
      </c>
      <c r="I835" s="4" t="str">
        <f t="shared" si="86"/>
        <v/>
      </c>
      <c r="J835" s="4" t="str">
        <f t="shared" si="87"/>
        <v/>
      </c>
      <c r="K835" s="13" t="str">
        <f>_xlfn.SINGLE(IF(F835="","",_xlfn.XLOOKUP(F835,purchase!D:D,purchase!#REF!,"")))</f>
        <v/>
      </c>
      <c r="L835" s="2"/>
      <c r="M835" s="32"/>
      <c r="N835" s="13" t="str">
        <f>IF(F835="","",
MAX(0,
_xlfn.XLOOKUP(F835,purchase!D:D,purchase!#REF!,"")
-
SUMIFS(L:L,F:F,F835)))</f>
        <v/>
      </c>
      <c r="O835" s="13" t="str">
        <f t="shared" si="88"/>
        <v/>
      </c>
      <c r="P835" s="35" t="str">
        <f>_xlfn.SINGLE(IF(F835="","",_xlfn.XLOOKUP(F835,purchase!D:D,purchase!K:K,"")))</f>
        <v/>
      </c>
      <c r="Q835" s="29" t="str">
        <f t="shared" si="89"/>
        <v/>
      </c>
      <c r="R835" s="37" t="str">
        <f t="shared" si="90"/>
        <v/>
      </c>
    </row>
    <row r="836" spans="1:18" x14ac:dyDescent="0.35">
      <c r="A836" s="8">
        <v>832</v>
      </c>
      <c r="B836" s="9" t="str">
        <f t="shared" si="84"/>
        <v/>
      </c>
      <c r="C836" s="10"/>
      <c r="D836" s="9" t="str">
        <f>IF(F836="","",_xlfn.XLOOKUP(F836,purchase!D:D,purchase!#REF!,""))</f>
        <v/>
      </c>
      <c r="E836" s="9" t="str">
        <f>IF(F836="","",_xlfn.XLOOKUP(F836,purchase!D:D,purchase!B:B,""))</f>
        <v/>
      </c>
      <c r="F836" s="2"/>
      <c r="G836" s="4" t="str">
        <f t="shared" si="85"/>
        <v/>
      </c>
      <c r="H836" s="4" t="str">
        <f>IF(F836="","",_xlfn.XLOOKUP(F836,purchase!D:D,purchase!#REF!,""))</f>
        <v/>
      </c>
      <c r="I836" s="4" t="str">
        <f t="shared" si="86"/>
        <v/>
      </c>
      <c r="J836" s="4" t="str">
        <f t="shared" si="87"/>
        <v/>
      </c>
      <c r="K836" s="13" t="str">
        <f>_xlfn.SINGLE(IF(F836="","",_xlfn.XLOOKUP(F836,purchase!D:D,purchase!#REF!,"")))</f>
        <v/>
      </c>
      <c r="L836" s="2"/>
      <c r="M836" s="32"/>
      <c r="N836" s="13" t="str">
        <f>IF(F836="","",
MAX(0,
_xlfn.XLOOKUP(F836,purchase!D:D,purchase!#REF!,"")
-
SUMIFS(L:L,F:F,F836)))</f>
        <v/>
      </c>
      <c r="O836" s="13" t="str">
        <f t="shared" si="88"/>
        <v/>
      </c>
      <c r="P836" s="35" t="str">
        <f>_xlfn.SINGLE(IF(F836="","",_xlfn.XLOOKUP(F836,purchase!D:D,purchase!K:K,"")))</f>
        <v/>
      </c>
      <c r="Q836" s="29" t="str">
        <f t="shared" si="89"/>
        <v/>
      </c>
      <c r="R836" s="37" t="str">
        <f t="shared" si="90"/>
        <v/>
      </c>
    </row>
    <row r="837" spans="1:18" x14ac:dyDescent="0.35">
      <c r="A837" s="8">
        <v>833</v>
      </c>
      <c r="B837" s="9" t="str">
        <f t="shared" ref="B837:B900" si="91">IF(OR(C837="",F837=""),"",
"PRD-" &amp;
TEXT(DAY(C837),"00") &amp;
CHOOSE(MONTH(C837),"A","B","C","D","E","F","G","H","I","J","K","L") &amp;
TEXT(YEAR(C837),"00") &amp;
"-" &amp;
RIGHT(F837,4))</f>
        <v/>
      </c>
      <c r="C837" s="10"/>
      <c r="D837" s="9" t="str">
        <f>IF(F837="","",_xlfn.XLOOKUP(F837,purchase!D:D,purchase!#REF!,""))</f>
        <v/>
      </c>
      <c r="E837" s="9" t="str">
        <f>IF(F837="","",_xlfn.XLOOKUP(F837,purchase!D:D,purchase!B:B,""))</f>
        <v/>
      </c>
      <c r="F837" s="2"/>
      <c r="G837" s="4" t="str">
        <f t="shared" ref="G837:G900" si="92">IF(H837="NRFC","Natural Rubber Field Coagulam","")</f>
        <v/>
      </c>
      <c r="H837" s="4" t="str">
        <f>IF(F837="","",_xlfn.XLOOKUP(F837,purchase!D:D,purchase!#REF!,""))</f>
        <v/>
      </c>
      <c r="I837" s="4" t="str">
        <f t="shared" ref="I837:I900" si="93">IF(J837="ISNR20","Natural Rubber-TSNR (ISNR-20)","")</f>
        <v/>
      </c>
      <c r="J837" s="4" t="str">
        <f t="shared" ref="J837:J900" si="94">IF(H837="NRFC","ISNR20","")</f>
        <v/>
      </c>
      <c r="K837" s="13" t="str">
        <f>_xlfn.SINGLE(IF(F837="","",_xlfn.XLOOKUP(F837,purchase!D:D,purchase!#REF!,"")))</f>
        <v/>
      </c>
      <c r="L837" s="2"/>
      <c r="M837" s="32"/>
      <c r="N837" s="13" t="str">
        <f>IF(F837="","",
MAX(0,
_xlfn.XLOOKUP(F837,purchase!D:D,purchase!#REF!,"")
-
SUMIFS(L:L,F:F,F837)))</f>
        <v/>
      </c>
      <c r="O837" s="13" t="str">
        <f t="shared" ref="O837:O900" si="95">IF(OR(L837="",M837=""),"",L837-M837)</f>
        <v/>
      </c>
      <c r="P837" s="35" t="str">
        <f>_xlfn.SINGLE(IF(F837="","",_xlfn.XLOOKUP(F837,purchase!D:D,purchase!K:K,"")))</f>
        <v/>
      </c>
      <c r="Q837" s="29" t="str">
        <f t="shared" ref="Q837:Q900" si="96">IF(OR(L837="",M837=""),"",M837/L837)</f>
        <v/>
      </c>
      <c r="R837" s="37" t="str">
        <f t="shared" ref="R837:R900" si="97">IF(OR(P837="",Q837=""),"",Q837-P837)</f>
        <v/>
      </c>
    </row>
    <row r="838" spans="1:18" x14ac:dyDescent="0.35">
      <c r="A838" s="8">
        <v>834</v>
      </c>
      <c r="B838" s="9" t="str">
        <f t="shared" si="91"/>
        <v/>
      </c>
      <c r="C838" s="10"/>
      <c r="D838" s="9" t="str">
        <f>IF(F838="","",_xlfn.XLOOKUP(F838,purchase!D:D,purchase!#REF!,""))</f>
        <v/>
      </c>
      <c r="E838" s="9" t="str">
        <f>IF(F838="","",_xlfn.XLOOKUP(F838,purchase!D:D,purchase!B:B,""))</f>
        <v/>
      </c>
      <c r="F838" s="2"/>
      <c r="G838" s="4" t="str">
        <f t="shared" si="92"/>
        <v/>
      </c>
      <c r="H838" s="4" t="str">
        <f>IF(F838="","",_xlfn.XLOOKUP(F838,purchase!D:D,purchase!#REF!,""))</f>
        <v/>
      </c>
      <c r="I838" s="4" t="str">
        <f t="shared" si="93"/>
        <v/>
      </c>
      <c r="J838" s="4" t="str">
        <f t="shared" si="94"/>
        <v/>
      </c>
      <c r="K838" s="13" t="str">
        <f>_xlfn.SINGLE(IF(F838="","",_xlfn.XLOOKUP(F838,purchase!D:D,purchase!#REF!,"")))</f>
        <v/>
      </c>
      <c r="L838" s="2"/>
      <c r="M838" s="32"/>
      <c r="N838" s="13" t="str">
        <f>IF(F838="","",
MAX(0,
_xlfn.XLOOKUP(F838,purchase!D:D,purchase!#REF!,"")
-
SUMIFS(L:L,F:F,F838)))</f>
        <v/>
      </c>
      <c r="O838" s="13" t="str">
        <f t="shared" si="95"/>
        <v/>
      </c>
      <c r="P838" s="35" t="str">
        <f>_xlfn.SINGLE(IF(F838="","",_xlfn.XLOOKUP(F838,purchase!D:D,purchase!K:K,"")))</f>
        <v/>
      </c>
      <c r="Q838" s="29" t="str">
        <f t="shared" si="96"/>
        <v/>
      </c>
      <c r="R838" s="37" t="str">
        <f t="shared" si="97"/>
        <v/>
      </c>
    </row>
    <row r="839" spans="1:18" x14ac:dyDescent="0.35">
      <c r="A839" s="8">
        <v>835</v>
      </c>
      <c r="B839" s="9" t="str">
        <f t="shared" si="91"/>
        <v/>
      </c>
      <c r="C839" s="10"/>
      <c r="D839" s="9" t="str">
        <f>IF(F839="","",_xlfn.XLOOKUP(F839,purchase!D:D,purchase!#REF!,""))</f>
        <v/>
      </c>
      <c r="E839" s="9" t="str">
        <f>IF(F839="","",_xlfn.XLOOKUP(F839,purchase!D:D,purchase!B:B,""))</f>
        <v/>
      </c>
      <c r="F839" s="2"/>
      <c r="G839" s="4" t="str">
        <f t="shared" si="92"/>
        <v/>
      </c>
      <c r="H839" s="4" t="str">
        <f>IF(F839="","",_xlfn.XLOOKUP(F839,purchase!D:D,purchase!#REF!,""))</f>
        <v/>
      </c>
      <c r="I839" s="4" t="str">
        <f t="shared" si="93"/>
        <v/>
      </c>
      <c r="J839" s="4" t="str">
        <f t="shared" si="94"/>
        <v/>
      </c>
      <c r="K839" s="13" t="str">
        <f>_xlfn.SINGLE(IF(F839="","",_xlfn.XLOOKUP(F839,purchase!D:D,purchase!#REF!,"")))</f>
        <v/>
      </c>
      <c r="L839" s="2"/>
      <c r="M839" s="32"/>
      <c r="N839" s="13" t="str">
        <f>IF(F839="","",
MAX(0,
_xlfn.XLOOKUP(F839,purchase!D:D,purchase!#REF!,"")
-
SUMIFS(L:L,F:F,F839)))</f>
        <v/>
      </c>
      <c r="O839" s="13" t="str">
        <f t="shared" si="95"/>
        <v/>
      </c>
      <c r="P839" s="35" t="str">
        <f>_xlfn.SINGLE(IF(F839="","",_xlfn.XLOOKUP(F839,purchase!D:D,purchase!K:K,"")))</f>
        <v/>
      </c>
      <c r="Q839" s="29" t="str">
        <f t="shared" si="96"/>
        <v/>
      </c>
      <c r="R839" s="37" t="str">
        <f t="shared" si="97"/>
        <v/>
      </c>
    </row>
    <row r="840" spans="1:18" x14ac:dyDescent="0.35">
      <c r="A840" s="8">
        <v>836</v>
      </c>
      <c r="B840" s="9" t="str">
        <f t="shared" si="91"/>
        <v/>
      </c>
      <c r="C840" s="10"/>
      <c r="D840" s="9" t="str">
        <f>IF(F840="","",_xlfn.XLOOKUP(F840,purchase!D:D,purchase!#REF!,""))</f>
        <v/>
      </c>
      <c r="E840" s="9" t="str">
        <f>IF(F840="","",_xlfn.XLOOKUP(F840,purchase!D:D,purchase!B:B,""))</f>
        <v/>
      </c>
      <c r="F840" s="2"/>
      <c r="G840" s="4" t="str">
        <f t="shared" si="92"/>
        <v/>
      </c>
      <c r="H840" s="4" t="str">
        <f>IF(F840="","",_xlfn.XLOOKUP(F840,purchase!D:D,purchase!#REF!,""))</f>
        <v/>
      </c>
      <c r="I840" s="4" t="str">
        <f t="shared" si="93"/>
        <v/>
      </c>
      <c r="J840" s="4" t="str">
        <f t="shared" si="94"/>
        <v/>
      </c>
      <c r="K840" s="13" t="str">
        <f>_xlfn.SINGLE(IF(F840="","",_xlfn.XLOOKUP(F840,purchase!D:D,purchase!#REF!,"")))</f>
        <v/>
      </c>
      <c r="L840" s="2"/>
      <c r="M840" s="32"/>
      <c r="N840" s="13" t="str">
        <f>IF(F840="","",
MAX(0,
_xlfn.XLOOKUP(F840,purchase!D:D,purchase!#REF!,"")
-
SUMIFS(L:L,F:F,F840)))</f>
        <v/>
      </c>
      <c r="O840" s="13" t="str">
        <f t="shared" si="95"/>
        <v/>
      </c>
      <c r="P840" s="35" t="str">
        <f>_xlfn.SINGLE(IF(F840="","",_xlfn.XLOOKUP(F840,purchase!D:D,purchase!K:K,"")))</f>
        <v/>
      </c>
      <c r="Q840" s="29" t="str">
        <f t="shared" si="96"/>
        <v/>
      </c>
      <c r="R840" s="37" t="str">
        <f t="shared" si="97"/>
        <v/>
      </c>
    </row>
    <row r="841" spans="1:18" x14ac:dyDescent="0.35">
      <c r="A841" s="8">
        <v>837</v>
      </c>
      <c r="B841" s="9" t="str">
        <f t="shared" si="91"/>
        <v/>
      </c>
      <c r="C841" s="10"/>
      <c r="D841" s="9" t="str">
        <f>IF(F841="","",_xlfn.XLOOKUP(F841,purchase!D:D,purchase!#REF!,""))</f>
        <v/>
      </c>
      <c r="E841" s="9" t="str">
        <f>IF(F841="","",_xlfn.XLOOKUP(F841,purchase!D:D,purchase!B:B,""))</f>
        <v/>
      </c>
      <c r="F841" s="2"/>
      <c r="G841" s="4" t="str">
        <f t="shared" si="92"/>
        <v/>
      </c>
      <c r="H841" s="4" t="str">
        <f>IF(F841="","",_xlfn.XLOOKUP(F841,purchase!D:D,purchase!#REF!,""))</f>
        <v/>
      </c>
      <c r="I841" s="4" t="str">
        <f t="shared" si="93"/>
        <v/>
      </c>
      <c r="J841" s="4" t="str">
        <f t="shared" si="94"/>
        <v/>
      </c>
      <c r="K841" s="13" t="str">
        <f>_xlfn.SINGLE(IF(F841="","",_xlfn.XLOOKUP(F841,purchase!D:D,purchase!#REF!,"")))</f>
        <v/>
      </c>
      <c r="L841" s="2"/>
      <c r="M841" s="32"/>
      <c r="N841" s="13" t="str">
        <f>IF(F841="","",
MAX(0,
_xlfn.XLOOKUP(F841,purchase!D:D,purchase!#REF!,"")
-
SUMIFS(L:L,F:F,F841)))</f>
        <v/>
      </c>
      <c r="O841" s="13" t="str">
        <f t="shared" si="95"/>
        <v/>
      </c>
      <c r="P841" s="35" t="str">
        <f>_xlfn.SINGLE(IF(F841="","",_xlfn.XLOOKUP(F841,purchase!D:D,purchase!K:K,"")))</f>
        <v/>
      </c>
      <c r="Q841" s="29" t="str">
        <f t="shared" si="96"/>
        <v/>
      </c>
      <c r="R841" s="37" t="str">
        <f t="shared" si="97"/>
        <v/>
      </c>
    </row>
    <row r="842" spans="1:18" x14ac:dyDescent="0.35">
      <c r="A842" s="8">
        <v>838</v>
      </c>
      <c r="B842" s="9" t="str">
        <f t="shared" si="91"/>
        <v/>
      </c>
      <c r="C842" s="10"/>
      <c r="D842" s="9" t="str">
        <f>IF(F842="","",_xlfn.XLOOKUP(F842,purchase!D:D,purchase!#REF!,""))</f>
        <v/>
      </c>
      <c r="E842" s="9" t="str">
        <f>IF(F842="","",_xlfn.XLOOKUP(F842,purchase!D:D,purchase!B:B,""))</f>
        <v/>
      </c>
      <c r="F842" s="2"/>
      <c r="G842" s="4" t="str">
        <f t="shared" si="92"/>
        <v/>
      </c>
      <c r="H842" s="4" t="str">
        <f>IF(F842="","",_xlfn.XLOOKUP(F842,purchase!D:D,purchase!#REF!,""))</f>
        <v/>
      </c>
      <c r="I842" s="4" t="str">
        <f t="shared" si="93"/>
        <v/>
      </c>
      <c r="J842" s="4" t="str">
        <f t="shared" si="94"/>
        <v/>
      </c>
      <c r="K842" s="13" t="str">
        <f>_xlfn.SINGLE(IF(F842="","",_xlfn.XLOOKUP(F842,purchase!D:D,purchase!#REF!,"")))</f>
        <v/>
      </c>
      <c r="L842" s="2"/>
      <c r="M842" s="32"/>
      <c r="N842" s="13" t="str">
        <f>IF(F842="","",
MAX(0,
_xlfn.XLOOKUP(F842,purchase!D:D,purchase!#REF!,"")
-
SUMIFS(L:L,F:F,F842)))</f>
        <v/>
      </c>
      <c r="O842" s="13" t="str">
        <f t="shared" si="95"/>
        <v/>
      </c>
      <c r="P842" s="35" t="str">
        <f>_xlfn.SINGLE(IF(F842="","",_xlfn.XLOOKUP(F842,purchase!D:D,purchase!K:K,"")))</f>
        <v/>
      </c>
      <c r="Q842" s="29" t="str">
        <f t="shared" si="96"/>
        <v/>
      </c>
      <c r="R842" s="37" t="str">
        <f t="shared" si="97"/>
        <v/>
      </c>
    </row>
    <row r="843" spans="1:18" x14ac:dyDescent="0.35">
      <c r="A843" s="8">
        <v>839</v>
      </c>
      <c r="B843" s="9" t="str">
        <f t="shared" si="91"/>
        <v/>
      </c>
      <c r="C843" s="10"/>
      <c r="D843" s="9" t="str">
        <f>IF(F843="","",_xlfn.XLOOKUP(F843,purchase!D:D,purchase!#REF!,""))</f>
        <v/>
      </c>
      <c r="E843" s="9" t="str">
        <f>IF(F843="","",_xlfn.XLOOKUP(F843,purchase!D:D,purchase!B:B,""))</f>
        <v/>
      </c>
      <c r="F843" s="2"/>
      <c r="G843" s="4" t="str">
        <f t="shared" si="92"/>
        <v/>
      </c>
      <c r="H843" s="4" t="str">
        <f>IF(F843="","",_xlfn.XLOOKUP(F843,purchase!D:D,purchase!#REF!,""))</f>
        <v/>
      </c>
      <c r="I843" s="4" t="str">
        <f t="shared" si="93"/>
        <v/>
      </c>
      <c r="J843" s="4" t="str">
        <f t="shared" si="94"/>
        <v/>
      </c>
      <c r="K843" s="13" t="str">
        <f>_xlfn.SINGLE(IF(F843="","",_xlfn.XLOOKUP(F843,purchase!D:D,purchase!#REF!,"")))</f>
        <v/>
      </c>
      <c r="L843" s="2"/>
      <c r="M843" s="32"/>
      <c r="N843" s="13" t="str">
        <f>IF(F843="","",
MAX(0,
_xlfn.XLOOKUP(F843,purchase!D:D,purchase!#REF!,"")
-
SUMIFS(L:L,F:F,F843)))</f>
        <v/>
      </c>
      <c r="O843" s="13" t="str">
        <f t="shared" si="95"/>
        <v/>
      </c>
      <c r="P843" s="35" t="str">
        <f>_xlfn.SINGLE(IF(F843="","",_xlfn.XLOOKUP(F843,purchase!D:D,purchase!K:K,"")))</f>
        <v/>
      </c>
      <c r="Q843" s="29" t="str">
        <f t="shared" si="96"/>
        <v/>
      </c>
      <c r="R843" s="37" t="str">
        <f t="shared" si="97"/>
        <v/>
      </c>
    </row>
    <row r="844" spans="1:18" x14ac:dyDescent="0.35">
      <c r="A844" s="8">
        <v>840</v>
      </c>
      <c r="B844" s="9" t="str">
        <f t="shared" si="91"/>
        <v/>
      </c>
      <c r="C844" s="10"/>
      <c r="D844" s="9" t="str">
        <f>IF(F844="","",_xlfn.XLOOKUP(F844,purchase!D:D,purchase!#REF!,""))</f>
        <v/>
      </c>
      <c r="E844" s="9" t="str">
        <f>IF(F844="","",_xlfn.XLOOKUP(F844,purchase!D:D,purchase!B:B,""))</f>
        <v/>
      </c>
      <c r="F844" s="2"/>
      <c r="G844" s="4" t="str">
        <f t="shared" si="92"/>
        <v/>
      </c>
      <c r="H844" s="4" t="str">
        <f>IF(F844="","",_xlfn.XLOOKUP(F844,purchase!D:D,purchase!#REF!,""))</f>
        <v/>
      </c>
      <c r="I844" s="4" t="str">
        <f t="shared" si="93"/>
        <v/>
      </c>
      <c r="J844" s="4" t="str">
        <f t="shared" si="94"/>
        <v/>
      </c>
      <c r="K844" s="13" t="str">
        <f>_xlfn.SINGLE(IF(F844="","",_xlfn.XLOOKUP(F844,purchase!D:D,purchase!#REF!,"")))</f>
        <v/>
      </c>
      <c r="L844" s="2"/>
      <c r="M844" s="32"/>
      <c r="N844" s="13" t="str">
        <f>IF(F844="","",
MAX(0,
_xlfn.XLOOKUP(F844,purchase!D:D,purchase!#REF!,"")
-
SUMIFS(L:L,F:F,F844)))</f>
        <v/>
      </c>
      <c r="O844" s="13" t="str">
        <f t="shared" si="95"/>
        <v/>
      </c>
      <c r="P844" s="35" t="str">
        <f>_xlfn.SINGLE(IF(F844="","",_xlfn.XLOOKUP(F844,purchase!D:D,purchase!K:K,"")))</f>
        <v/>
      </c>
      <c r="Q844" s="29" t="str">
        <f t="shared" si="96"/>
        <v/>
      </c>
      <c r="R844" s="37" t="str">
        <f t="shared" si="97"/>
        <v/>
      </c>
    </row>
    <row r="845" spans="1:18" x14ac:dyDescent="0.35">
      <c r="A845" s="8">
        <v>841</v>
      </c>
      <c r="B845" s="9" t="str">
        <f t="shared" si="91"/>
        <v/>
      </c>
      <c r="C845" s="10"/>
      <c r="D845" s="9" t="str">
        <f>IF(F845="","",_xlfn.XLOOKUP(F845,purchase!D:D,purchase!#REF!,""))</f>
        <v/>
      </c>
      <c r="E845" s="9" t="str">
        <f>IF(F845="","",_xlfn.XLOOKUP(F845,purchase!D:D,purchase!B:B,""))</f>
        <v/>
      </c>
      <c r="F845" s="2"/>
      <c r="G845" s="4" t="str">
        <f t="shared" si="92"/>
        <v/>
      </c>
      <c r="H845" s="4" t="str">
        <f>IF(F845="","",_xlfn.XLOOKUP(F845,purchase!D:D,purchase!#REF!,""))</f>
        <v/>
      </c>
      <c r="I845" s="4" t="str">
        <f t="shared" si="93"/>
        <v/>
      </c>
      <c r="J845" s="4" t="str">
        <f t="shared" si="94"/>
        <v/>
      </c>
      <c r="K845" s="13" t="str">
        <f>_xlfn.SINGLE(IF(F845="","",_xlfn.XLOOKUP(F845,purchase!D:D,purchase!#REF!,"")))</f>
        <v/>
      </c>
      <c r="L845" s="2"/>
      <c r="M845" s="32"/>
      <c r="N845" s="13" t="str">
        <f>IF(F845="","",
MAX(0,
_xlfn.XLOOKUP(F845,purchase!D:D,purchase!#REF!,"")
-
SUMIFS(L:L,F:F,F845)))</f>
        <v/>
      </c>
      <c r="O845" s="13" t="str">
        <f t="shared" si="95"/>
        <v/>
      </c>
      <c r="P845" s="35" t="str">
        <f>_xlfn.SINGLE(IF(F845="","",_xlfn.XLOOKUP(F845,purchase!D:D,purchase!K:K,"")))</f>
        <v/>
      </c>
      <c r="Q845" s="29" t="str">
        <f t="shared" si="96"/>
        <v/>
      </c>
      <c r="R845" s="37" t="str">
        <f t="shared" si="97"/>
        <v/>
      </c>
    </row>
    <row r="846" spans="1:18" x14ac:dyDescent="0.35">
      <c r="A846" s="8">
        <v>842</v>
      </c>
      <c r="B846" s="9" t="str">
        <f t="shared" si="91"/>
        <v/>
      </c>
      <c r="C846" s="10"/>
      <c r="D846" s="9" t="str">
        <f>IF(F846="","",_xlfn.XLOOKUP(F846,purchase!D:D,purchase!#REF!,""))</f>
        <v/>
      </c>
      <c r="E846" s="9" t="str">
        <f>IF(F846="","",_xlfn.XLOOKUP(F846,purchase!D:D,purchase!B:B,""))</f>
        <v/>
      </c>
      <c r="F846" s="2"/>
      <c r="G846" s="4" t="str">
        <f t="shared" si="92"/>
        <v/>
      </c>
      <c r="H846" s="4" t="str">
        <f>IF(F846="","",_xlfn.XLOOKUP(F846,purchase!D:D,purchase!#REF!,""))</f>
        <v/>
      </c>
      <c r="I846" s="4" t="str">
        <f t="shared" si="93"/>
        <v/>
      </c>
      <c r="J846" s="4" t="str">
        <f t="shared" si="94"/>
        <v/>
      </c>
      <c r="K846" s="13" t="str">
        <f>_xlfn.SINGLE(IF(F846="","",_xlfn.XLOOKUP(F846,purchase!D:D,purchase!#REF!,"")))</f>
        <v/>
      </c>
      <c r="L846" s="2"/>
      <c r="M846" s="32"/>
      <c r="N846" s="13" t="str">
        <f>IF(F846="","",
MAX(0,
_xlfn.XLOOKUP(F846,purchase!D:D,purchase!#REF!,"")
-
SUMIFS(L:L,F:F,F846)))</f>
        <v/>
      </c>
      <c r="O846" s="13" t="str">
        <f t="shared" si="95"/>
        <v/>
      </c>
      <c r="P846" s="35" t="str">
        <f>_xlfn.SINGLE(IF(F846="","",_xlfn.XLOOKUP(F846,purchase!D:D,purchase!K:K,"")))</f>
        <v/>
      </c>
      <c r="Q846" s="29" t="str">
        <f t="shared" si="96"/>
        <v/>
      </c>
      <c r="R846" s="37" t="str">
        <f t="shared" si="97"/>
        <v/>
      </c>
    </row>
    <row r="847" spans="1:18" x14ac:dyDescent="0.35">
      <c r="A847" s="8">
        <v>843</v>
      </c>
      <c r="B847" s="9" t="str">
        <f t="shared" si="91"/>
        <v/>
      </c>
      <c r="C847" s="10"/>
      <c r="D847" s="9" t="str">
        <f>IF(F847="","",_xlfn.XLOOKUP(F847,purchase!D:D,purchase!#REF!,""))</f>
        <v/>
      </c>
      <c r="E847" s="9" t="str">
        <f>IF(F847="","",_xlfn.XLOOKUP(F847,purchase!D:D,purchase!B:B,""))</f>
        <v/>
      </c>
      <c r="F847" s="2"/>
      <c r="G847" s="4" t="str">
        <f t="shared" si="92"/>
        <v/>
      </c>
      <c r="H847" s="4" t="str">
        <f>IF(F847="","",_xlfn.XLOOKUP(F847,purchase!D:D,purchase!#REF!,""))</f>
        <v/>
      </c>
      <c r="I847" s="4" t="str">
        <f t="shared" si="93"/>
        <v/>
      </c>
      <c r="J847" s="4" t="str">
        <f t="shared" si="94"/>
        <v/>
      </c>
      <c r="K847" s="13" t="str">
        <f>_xlfn.SINGLE(IF(F847="","",_xlfn.XLOOKUP(F847,purchase!D:D,purchase!#REF!,"")))</f>
        <v/>
      </c>
      <c r="L847" s="2"/>
      <c r="M847" s="32"/>
      <c r="N847" s="13" t="str">
        <f>IF(F847="","",
MAX(0,
_xlfn.XLOOKUP(F847,purchase!D:D,purchase!#REF!,"")
-
SUMIFS(L:L,F:F,F847)))</f>
        <v/>
      </c>
      <c r="O847" s="13" t="str">
        <f t="shared" si="95"/>
        <v/>
      </c>
      <c r="P847" s="35" t="str">
        <f>_xlfn.SINGLE(IF(F847="","",_xlfn.XLOOKUP(F847,purchase!D:D,purchase!K:K,"")))</f>
        <v/>
      </c>
      <c r="Q847" s="29" t="str">
        <f t="shared" si="96"/>
        <v/>
      </c>
      <c r="R847" s="37" t="str">
        <f t="shared" si="97"/>
        <v/>
      </c>
    </row>
    <row r="848" spans="1:18" x14ac:dyDescent="0.35">
      <c r="A848" s="8">
        <v>844</v>
      </c>
      <c r="B848" s="9" t="str">
        <f t="shared" si="91"/>
        <v/>
      </c>
      <c r="C848" s="10"/>
      <c r="D848" s="9" t="str">
        <f>IF(F848="","",_xlfn.XLOOKUP(F848,purchase!D:D,purchase!#REF!,""))</f>
        <v/>
      </c>
      <c r="E848" s="9" t="str">
        <f>IF(F848="","",_xlfn.XLOOKUP(F848,purchase!D:D,purchase!B:B,""))</f>
        <v/>
      </c>
      <c r="F848" s="2"/>
      <c r="G848" s="4" t="str">
        <f t="shared" si="92"/>
        <v/>
      </c>
      <c r="H848" s="4" t="str">
        <f>IF(F848="","",_xlfn.XLOOKUP(F848,purchase!D:D,purchase!#REF!,""))</f>
        <v/>
      </c>
      <c r="I848" s="4" t="str">
        <f t="shared" si="93"/>
        <v/>
      </c>
      <c r="J848" s="4" t="str">
        <f t="shared" si="94"/>
        <v/>
      </c>
      <c r="K848" s="13" t="str">
        <f>_xlfn.SINGLE(IF(F848="","",_xlfn.XLOOKUP(F848,purchase!D:D,purchase!#REF!,"")))</f>
        <v/>
      </c>
      <c r="L848" s="2"/>
      <c r="M848" s="32"/>
      <c r="N848" s="13" t="str">
        <f>IF(F848="","",
MAX(0,
_xlfn.XLOOKUP(F848,purchase!D:D,purchase!#REF!,"")
-
SUMIFS(L:L,F:F,F848)))</f>
        <v/>
      </c>
      <c r="O848" s="13" t="str">
        <f t="shared" si="95"/>
        <v/>
      </c>
      <c r="P848" s="35" t="str">
        <f>_xlfn.SINGLE(IF(F848="","",_xlfn.XLOOKUP(F848,purchase!D:D,purchase!K:K,"")))</f>
        <v/>
      </c>
      <c r="Q848" s="29" t="str">
        <f t="shared" si="96"/>
        <v/>
      </c>
      <c r="R848" s="37" t="str">
        <f t="shared" si="97"/>
        <v/>
      </c>
    </row>
    <row r="849" spans="1:18" x14ac:dyDescent="0.35">
      <c r="A849" s="8">
        <v>845</v>
      </c>
      <c r="B849" s="9" t="str">
        <f t="shared" si="91"/>
        <v/>
      </c>
      <c r="C849" s="10"/>
      <c r="D849" s="9" t="str">
        <f>IF(F849="","",_xlfn.XLOOKUP(F849,purchase!D:D,purchase!#REF!,""))</f>
        <v/>
      </c>
      <c r="E849" s="9" t="str">
        <f>IF(F849="","",_xlfn.XLOOKUP(F849,purchase!D:D,purchase!B:B,""))</f>
        <v/>
      </c>
      <c r="F849" s="2"/>
      <c r="G849" s="4" t="str">
        <f t="shared" si="92"/>
        <v/>
      </c>
      <c r="H849" s="4" t="str">
        <f>IF(F849="","",_xlfn.XLOOKUP(F849,purchase!D:D,purchase!#REF!,""))</f>
        <v/>
      </c>
      <c r="I849" s="4" t="str">
        <f t="shared" si="93"/>
        <v/>
      </c>
      <c r="J849" s="4" t="str">
        <f t="shared" si="94"/>
        <v/>
      </c>
      <c r="K849" s="13" t="str">
        <f>_xlfn.SINGLE(IF(F849="","",_xlfn.XLOOKUP(F849,purchase!D:D,purchase!#REF!,"")))</f>
        <v/>
      </c>
      <c r="L849" s="2"/>
      <c r="M849" s="32"/>
      <c r="N849" s="13" t="str">
        <f>IF(F849="","",
MAX(0,
_xlfn.XLOOKUP(F849,purchase!D:D,purchase!#REF!,"")
-
SUMIFS(L:L,F:F,F849)))</f>
        <v/>
      </c>
      <c r="O849" s="13" t="str">
        <f t="shared" si="95"/>
        <v/>
      </c>
      <c r="P849" s="35" t="str">
        <f>_xlfn.SINGLE(IF(F849="","",_xlfn.XLOOKUP(F849,purchase!D:D,purchase!K:K,"")))</f>
        <v/>
      </c>
      <c r="Q849" s="29" t="str">
        <f t="shared" si="96"/>
        <v/>
      </c>
      <c r="R849" s="37" t="str">
        <f t="shared" si="97"/>
        <v/>
      </c>
    </row>
    <row r="850" spans="1:18" x14ac:dyDescent="0.35">
      <c r="A850" s="8">
        <v>846</v>
      </c>
      <c r="B850" s="9" t="str">
        <f t="shared" si="91"/>
        <v/>
      </c>
      <c r="C850" s="10"/>
      <c r="D850" s="9" t="str">
        <f>IF(F850="","",_xlfn.XLOOKUP(F850,purchase!D:D,purchase!#REF!,""))</f>
        <v/>
      </c>
      <c r="E850" s="9" t="str">
        <f>IF(F850="","",_xlfn.XLOOKUP(F850,purchase!D:D,purchase!B:B,""))</f>
        <v/>
      </c>
      <c r="F850" s="2"/>
      <c r="G850" s="4" t="str">
        <f t="shared" si="92"/>
        <v/>
      </c>
      <c r="H850" s="4" t="str">
        <f>IF(F850="","",_xlfn.XLOOKUP(F850,purchase!D:D,purchase!#REF!,""))</f>
        <v/>
      </c>
      <c r="I850" s="4" t="str">
        <f t="shared" si="93"/>
        <v/>
      </c>
      <c r="J850" s="4" t="str">
        <f t="shared" si="94"/>
        <v/>
      </c>
      <c r="K850" s="13" t="str">
        <f>_xlfn.SINGLE(IF(F850="","",_xlfn.XLOOKUP(F850,purchase!D:D,purchase!#REF!,"")))</f>
        <v/>
      </c>
      <c r="L850" s="2"/>
      <c r="M850" s="32"/>
      <c r="N850" s="13" t="str">
        <f>IF(F850="","",
MAX(0,
_xlfn.XLOOKUP(F850,purchase!D:D,purchase!#REF!,"")
-
SUMIFS(L:L,F:F,F850)))</f>
        <v/>
      </c>
      <c r="O850" s="13" t="str">
        <f t="shared" si="95"/>
        <v/>
      </c>
      <c r="P850" s="35" t="str">
        <f>_xlfn.SINGLE(IF(F850="","",_xlfn.XLOOKUP(F850,purchase!D:D,purchase!K:K,"")))</f>
        <v/>
      </c>
      <c r="Q850" s="29" t="str">
        <f t="shared" si="96"/>
        <v/>
      </c>
      <c r="R850" s="37" t="str">
        <f t="shared" si="97"/>
        <v/>
      </c>
    </row>
    <row r="851" spans="1:18" x14ac:dyDescent="0.35">
      <c r="A851" s="8">
        <v>847</v>
      </c>
      <c r="B851" s="9" t="str">
        <f t="shared" si="91"/>
        <v/>
      </c>
      <c r="C851" s="10"/>
      <c r="D851" s="9" t="str">
        <f>IF(F851="","",_xlfn.XLOOKUP(F851,purchase!D:D,purchase!#REF!,""))</f>
        <v/>
      </c>
      <c r="E851" s="9" t="str">
        <f>IF(F851="","",_xlfn.XLOOKUP(F851,purchase!D:D,purchase!B:B,""))</f>
        <v/>
      </c>
      <c r="F851" s="2"/>
      <c r="G851" s="4" t="str">
        <f t="shared" si="92"/>
        <v/>
      </c>
      <c r="H851" s="4" t="str">
        <f>IF(F851="","",_xlfn.XLOOKUP(F851,purchase!D:D,purchase!#REF!,""))</f>
        <v/>
      </c>
      <c r="I851" s="4" t="str">
        <f t="shared" si="93"/>
        <v/>
      </c>
      <c r="J851" s="4" t="str">
        <f t="shared" si="94"/>
        <v/>
      </c>
      <c r="K851" s="13" t="str">
        <f>_xlfn.SINGLE(IF(F851="","",_xlfn.XLOOKUP(F851,purchase!D:D,purchase!#REF!,"")))</f>
        <v/>
      </c>
      <c r="L851" s="2"/>
      <c r="M851" s="32"/>
      <c r="N851" s="13" t="str">
        <f>IF(F851="","",
MAX(0,
_xlfn.XLOOKUP(F851,purchase!D:D,purchase!#REF!,"")
-
SUMIFS(L:L,F:F,F851)))</f>
        <v/>
      </c>
      <c r="O851" s="13" t="str">
        <f t="shared" si="95"/>
        <v/>
      </c>
      <c r="P851" s="35" t="str">
        <f>_xlfn.SINGLE(IF(F851="","",_xlfn.XLOOKUP(F851,purchase!D:D,purchase!K:K,"")))</f>
        <v/>
      </c>
      <c r="Q851" s="29" t="str">
        <f t="shared" si="96"/>
        <v/>
      </c>
      <c r="R851" s="37" t="str">
        <f t="shared" si="97"/>
        <v/>
      </c>
    </row>
    <row r="852" spans="1:18" x14ac:dyDescent="0.35">
      <c r="A852" s="8">
        <v>848</v>
      </c>
      <c r="B852" s="9" t="str">
        <f t="shared" si="91"/>
        <v/>
      </c>
      <c r="C852" s="10"/>
      <c r="D852" s="9" t="str">
        <f>IF(F852="","",_xlfn.XLOOKUP(F852,purchase!D:D,purchase!#REF!,""))</f>
        <v/>
      </c>
      <c r="E852" s="9" t="str">
        <f>IF(F852="","",_xlfn.XLOOKUP(F852,purchase!D:D,purchase!B:B,""))</f>
        <v/>
      </c>
      <c r="F852" s="2"/>
      <c r="G852" s="4" t="str">
        <f t="shared" si="92"/>
        <v/>
      </c>
      <c r="H852" s="4" t="str">
        <f>IF(F852="","",_xlfn.XLOOKUP(F852,purchase!D:D,purchase!#REF!,""))</f>
        <v/>
      </c>
      <c r="I852" s="4" t="str">
        <f t="shared" si="93"/>
        <v/>
      </c>
      <c r="J852" s="4" t="str">
        <f t="shared" si="94"/>
        <v/>
      </c>
      <c r="K852" s="13" t="str">
        <f>_xlfn.SINGLE(IF(F852="","",_xlfn.XLOOKUP(F852,purchase!D:D,purchase!#REF!,"")))</f>
        <v/>
      </c>
      <c r="L852" s="2"/>
      <c r="M852" s="32"/>
      <c r="N852" s="13" t="str">
        <f>IF(F852="","",
MAX(0,
_xlfn.XLOOKUP(F852,purchase!D:D,purchase!#REF!,"")
-
SUMIFS(L:L,F:F,F852)))</f>
        <v/>
      </c>
      <c r="O852" s="13" t="str">
        <f t="shared" si="95"/>
        <v/>
      </c>
      <c r="P852" s="35" t="str">
        <f>_xlfn.SINGLE(IF(F852="","",_xlfn.XLOOKUP(F852,purchase!D:D,purchase!K:K,"")))</f>
        <v/>
      </c>
      <c r="Q852" s="29" t="str">
        <f t="shared" si="96"/>
        <v/>
      </c>
      <c r="R852" s="37" t="str">
        <f t="shared" si="97"/>
        <v/>
      </c>
    </row>
    <row r="853" spans="1:18" x14ac:dyDescent="0.35">
      <c r="A853" s="8">
        <v>849</v>
      </c>
      <c r="B853" s="9" t="str">
        <f t="shared" si="91"/>
        <v/>
      </c>
      <c r="C853" s="10"/>
      <c r="D853" s="9" t="str">
        <f>IF(F853="","",_xlfn.XLOOKUP(F853,purchase!D:D,purchase!#REF!,""))</f>
        <v/>
      </c>
      <c r="E853" s="9" t="str">
        <f>IF(F853="","",_xlfn.XLOOKUP(F853,purchase!D:D,purchase!B:B,""))</f>
        <v/>
      </c>
      <c r="F853" s="2"/>
      <c r="G853" s="4" t="str">
        <f t="shared" si="92"/>
        <v/>
      </c>
      <c r="H853" s="4" t="str">
        <f>IF(F853="","",_xlfn.XLOOKUP(F853,purchase!D:D,purchase!#REF!,""))</f>
        <v/>
      </c>
      <c r="I853" s="4" t="str">
        <f t="shared" si="93"/>
        <v/>
      </c>
      <c r="J853" s="4" t="str">
        <f t="shared" si="94"/>
        <v/>
      </c>
      <c r="K853" s="13" t="str">
        <f>_xlfn.SINGLE(IF(F853="","",_xlfn.XLOOKUP(F853,purchase!D:D,purchase!#REF!,"")))</f>
        <v/>
      </c>
      <c r="L853" s="2"/>
      <c r="M853" s="32"/>
      <c r="N853" s="13" t="str">
        <f>IF(F853="","",
MAX(0,
_xlfn.XLOOKUP(F853,purchase!D:D,purchase!#REF!,"")
-
SUMIFS(L:L,F:F,F853)))</f>
        <v/>
      </c>
      <c r="O853" s="13" t="str">
        <f t="shared" si="95"/>
        <v/>
      </c>
      <c r="P853" s="35" t="str">
        <f>_xlfn.SINGLE(IF(F853="","",_xlfn.XLOOKUP(F853,purchase!D:D,purchase!K:K,"")))</f>
        <v/>
      </c>
      <c r="Q853" s="29" t="str">
        <f t="shared" si="96"/>
        <v/>
      </c>
      <c r="R853" s="37" t="str">
        <f t="shared" si="97"/>
        <v/>
      </c>
    </row>
    <row r="854" spans="1:18" x14ac:dyDescent="0.35">
      <c r="A854" s="8">
        <v>850</v>
      </c>
      <c r="B854" s="9" t="str">
        <f t="shared" si="91"/>
        <v/>
      </c>
      <c r="C854" s="10"/>
      <c r="D854" s="9" t="str">
        <f>IF(F854="","",_xlfn.XLOOKUP(F854,purchase!D:D,purchase!#REF!,""))</f>
        <v/>
      </c>
      <c r="E854" s="9" t="str">
        <f>IF(F854="","",_xlfn.XLOOKUP(F854,purchase!D:D,purchase!B:B,""))</f>
        <v/>
      </c>
      <c r="F854" s="2"/>
      <c r="G854" s="4" t="str">
        <f t="shared" si="92"/>
        <v/>
      </c>
      <c r="H854" s="4" t="str">
        <f>IF(F854="","",_xlfn.XLOOKUP(F854,purchase!D:D,purchase!#REF!,""))</f>
        <v/>
      </c>
      <c r="I854" s="4" t="str">
        <f t="shared" si="93"/>
        <v/>
      </c>
      <c r="J854" s="4" t="str">
        <f t="shared" si="94"/>
        <v/>
      </c>
      <c r="K854" s="13" t="str">
        <f>_xlfn.SINGLE(IF(F854="","",_xlfn.XLOOKUP(F854,purchase!D:D,purchase!#REF!,"")))</f>
        <v/>
      </c>
      <c r="L854" s="2"/>
      <c r="M854" s="32"/>
      <c r="N854" s="13" t="str">
        <f>IF(F854="","",
MAX(0,
_xlfn.XLOOKUP(F854,purchase!D:D,purchase!#REF!,"")
-
SUMIFS(L:L,F:F,F854)))</f>
        <v/>
      </c>
      <c r="O854" s="13" t="str">
        <f t="shared" si="95"/>
        <v/>
      </c>
      <c r="P854" s="35" t="str">
        <f>_xlfn.SINGLE(IF(F854="","",_xlfn.XLOOKUP(F854,purchase!D:D,purchase!K:K,"")))</f>
        <v/>
      </c>
      <c r="Q854" s="29" t="str">
        <f t="shared" si="96"/>
        <v/>
      </c>
      <c r="R854" s="37" t="str">
        <f t="shared" si="97"/>
        <v/>
      </c>
    </row>
    <row r="855" spans="1:18" x14ac:dyDescent="0.35">
      <c r="A855" s="8">
        <v>851</v>
      </c>
      <c r="B855" s="9" t="str">
        <f t="shared" si="91"/>
        <v/>
      </c>
      <c r="C855" s="10"/>
      <c r="D855" s="9" t="str">
        <f>IF(F855="","",_xlfn.XLOOKUP(F855,purchase!D:D,purchase!#REF!,""))</f>
        <v/>
      </c>
      <c r="E855" s="9" t="str">
        <f>IF(F855="","",_xlfn.XLOOKUP(F855,purchase!D:D,purchase!B:B,""))</f>
        <v/>
      </c>
      <c r="F855" s="2"/>
      <c r="G855" s="4" t="str">
        <f t="shared" si="92"/>
        <v/>
      </c>
      <c r="H855" s="4" t="str">
        <f>IF(F855="","",_xlfn.XLOOKUP(F855,purchase!D:D,purchase!#REF!,""))</f>
        <v/>
      </c>
      <c r="I855" s="4" t="str">
        <f t="shared" si="93"/>
        <v/>
      </c>
      <c r="J855" s="4" t="str">
        <f t="shared" si="94"/>
        <v/>
      </c>
      <c r="K855" s="13" t="str">
        <f>_xlfn.SINGLE(IF(F855="","",_xlfn.XLOOKUP(F855,purchase!D:D,purchase!#REF!,"")))</f>
        <v/>
      </c>
      <c r="L855" s="2"/>
      <c r="M855" s="32"/>
      <c r="N855" s="13" t="str">
        <f>IF(F855="","",
MAX(0,
_xlfn.XLOOKUP(F855,purchase!D:D,purchase!#REF!,"")
-
SUMIFS(L:L,F:F,F855)))</f>
        <v/>
      </c>
      <c r="O855" s="13" t="str">
        <f t="shared" si="95"/>
        <v/>
      </c>
      <c r="P855" s="35" t="str">
        <f>_xlfn.SINGLE(IF(F855="","",_xlfn.XLOOKUP(F855,purchase!D:D,purchase!K:K,"")))</f>
        <v/>
      </c>
      <c r="Q855" s="29" t="str">
        <f t="shared" si="96"/>
        <v/>
      </c>
      <c r="R855" s="37" t="str">
        <f t="shared" si="97"/>
        <v/>
      </c>
    </row>
    <row r="856" spans="1:18" x14ac:dyDescent="0.35">
      <c r="A856" s="8">
        <v>852</v>
      </c>
      <c r="B856" s="9" t="str">
        <f t="shared" si="91"/>
        <v/>
      </c>
      <c r="C856" s="10"/>
      <c r="D856" s="9" t="str">
        <f>IF(F856="","",_xlfn.XLOOKUP(F856,purchase!D:D,purchase!#REF!,""))</f>
        <v/>
      </c>
      <c r="E856" s="9" t="str">
        <f>IF(F856="","",_xlfn.XLOOKUP(F856,purchase!D:D,purchase!B:B,""))</f>
        <v/>
      </c>
      <c r="F856" s="2"/>
      <c r="G856" s="4" t="str">
        <f t="shared" si="92"/>
        <v/>
      </c>
      <c r="H856" s="4" t="str">
        <f>IF(F856="","",_xlfn.XLOOKUP(F856,purchase!D:D,purchase!#REF!,""))</f>
        <v/>
      </c>
      <c r="I856" s="4" t="str">
        <f t="shared" si="93"/>
        <v/>
      </c>
      <c r="J856" s="4" t="str">
        <f t="shared" si="94"/>
        <v/>
      </c>
      <c r="K856" s="13" t="str">
        <f>_xlfn.SINGLE(IF(F856="","",_xlfn.XLOOKUP(F856,purchase!D:D,purchase!#REF!,"")))</f>
        <v/>
      </c>
      <c r="L856" s="2"/>
      <c r="M856" s="32"/>
      <c r="N856" s="13" t="str">
        <f>IF(F856="","",
MAX(0,
_xlfn.XLOOKUP(F856,purchase!D:D,purchase!#REF!,"")
-
SUMIFS(L:L,F:F,F856)))</f>
        <v/>
      </c>
      <c r="O856" s="13" t="str">
        <f t="shared" si="95"/>
        <v/>
      </c>
      <c r="P856" s="35" t="str">
        <f>_xlfn.SINGLE(IF(F856="","",_xlfn.XLOOKUP(F856,purchase!D:D,purchase!K:K,"")))</f>
        <v/>
      </c>
      <c r="Q856" s="29" t="str">
        <f t="shared" si="96"/>
        <v/>
      </c>
      <c r="R856" s="37" t="str">
        <f t="shared" si="97"/>
        <v/>
      </c>
    </row>
    <row r="857" spans="1:18" x14ac:dyDescent="0.35">
      <c r="A857" s="8">
        <v>853</v>
      </c>
      <c r="B857" s="9" t="str">
        <f t="shared" si="91"/>
        <v/>
      </c>
      <c r="C857" s="10"/>
      <c r="D857" s="9" t="str">
        <f>IF(F857="","",_xlfn.XLOOKUP(F857,purchase!D:D,purchase!#REF!,""))</f>
        <v/>
      </c>
      <c r="E857" s="9" t="str">
        <f>IF(F857="","",_xlfn.XLOOKUP(F857,purchase!D:D,purchase!B:B,""))</f>
        <v/>
      </c>
      <c r="F857" s="2"/>
      <c r="G857" s="4" t="str">
        <f t="shared" si="92"/>
        <v/>
      </c>
      <c r="H857" s="4" t="str">
        <f>IF(F857="","",_xlfn.XLOOKUP(F857,purchase!D:D,purchase!#REF!,""))</f>
        <v/>
      </c>
      <c r="I857" s="4" t="str">
        <f t="shared" si="93"/>
        <v/>
      </c>
      <c r="J857" s="4" t="str">
        <f t="shared" si="94"/>
        <v/>
      </c>
      <c r="K857" s="13" t="str">
        <f>_xlfn.SINGLE(IF(F857="","",_xlfn.XLOOKUP(F857,purchase!D:D,purchase!#REF!,"")))</f>
        <v/>
      </c>
      <c r="L857" s="2"/>
      <c r="M857" s="32"/>
      <c r="N857" s="13" t="str">
        <f>IF(F857="","",
MAX(0,
_xlfn.XLOOKUP(F857,purchase!D:D,purchase!#REF!,"")
-
SUMIFS(L:L,F:F,F857)))</f>
        <v/>
      </c>
      <c r="O857" s="13" t="str">
        <f t="shared" si="95"/>
        <v/>
      </c>
      <c r="P857" s="35" t="str">
        <f>_xlfn.SINGLE(IF(F857="","",_xlfn.XLOOKUP(F857,purchase!D:D,purchase!K:K,"")))</f>
        <v/>
      </c>
      <c r="Q857" s="29" t="str">
        <f t="shared" si="96"/>
        <v/>
      </c>
      <c r="R857" s="37" t="str">
        <f t="shared" si="97"/>
        <v/>
      </c>
    </row>
    <row r="858" spans="1:18" x14ac:dyDescent="0.35">
      <c r="A858" s="8">
        <v>854</v>
      </c>
      <c r="B858" s="9" t="str">
        <f t="shared" si="91"/>
        <v/>
      </c>
      <c r="C858" s="10"/>
      <c r="D858" s="9" t="str">
        <f>IF(F858="","",_xlfn.XLOOKUP(F858,purchase!D:D,purchase!#REF!,""))</f>
        <v/>
      </c>
      <c r="E858" s="9" t="str">
        <f>IF(F858="","",_xlfn.XLOOKUP(F858,purchase!D:D,purchase!B:B,""))</f>
        <v/>
      </c>
      <c r="F858" s="2"/>
      <c r="G858" s="4" t="str">
        <f t="shared" si="92"/>
        <v/>
      </c>
      <c r="H858" s="4" t="str">
        <f>IF(F858="","",_xlfn.XLOOKUP(F858,purchase!D:D,purchase!#REF!,""))</f>
        <v/>
      </c>
      <c r="I858" s="4" t="str">
        <f t="shared" si="93"/>
        <v/>
      </c>
      <c r="J858" s="4" t="str">
        <f t="shared" si="94"/>
        <v/>
      </c>
      <c r="K858" s="13" t="str">
        <f>_xlfn.SINGLE(IF(F858="","",_xlfn.XLOOKUP(F858,purchase!D:D,purchase!#REF!,"")))</f>
        <v/>
      </c>
      <c r="L858" s="2"/>
      <c r="M858" s="32"/>
      <c r="N858" s="13" t="str">
        <f>IF(F858="","",
MAX(0,
_xlfn.XLOOKUP(F858,purchase!D:D,purchase!#REF!,"")
-
SUMIFS(L:L,F:F,F858)))</f>
        <v/>
      </c>
      <c r="O858" s="13" t="str">
        <f t="shared" si="95"/>
        <v/>
      </c>
      <c r="P858" s="35" t="str">
        <f>_xlfn.SINGLE(IF(F858="","",_xlfn.XLOOKUP(F858,purchase!D:D,purchase!K:K,"")))</f>
        <v/>
      </c>
      <c r="Q858" s="29" t="str">
        <f t="shared" si="96"/>
        <v/>
      </c>
      <c r="R858" s="37" t="str">
        <f t="shared" si="97"/>
        <v/>
      </c>
    </row>
    <row r="859" spans="1:18" x14ac:dyDescent="0.35">
      <c r="A859" s="8">
        <v>855</v>
      </c>
      <c r="B859" s="9" t="str">
        <f t="shared" si="91"/>
        <v/>
      </c>
      <c r="C859" s="10"/>
      <c r="D859" s="9" t="str">
        <f>IF(F859="","",_xlfn.XLOOKUP(F859,purchase!D:D,purchase!#REF!,""))</f>
        <v/>
      </c>
      <c r="E859" s="9" t="str">
        <f>IF(F859="","",_xlfn.XLOOKUP(F859,purchase!D:D,purchase!B:B,""))</f>
        <v/>
      </c>
      <c r="F859" s="2"/>
      <c r="G859" s="4" t="str">
        <f t="shared" si="92"/>
        <v/>
      </c>
      <c r="H859" s="4" t="str">
        <f>IF(F859="","",_xlfn.XLOOKUP(F859,purchase!D:D,purchase!#REF!,""))</f>
        <v/>
      </c>
      <c r="I859" s="4" t="str">
        <f t="shared" si="93"/>
        <v/>
      </c>
      <c r="J859" s="4" t="str">
        <f t="shared" si="94"/>
        <v/>
      </c>
      <c r="K859" s="13" t="str">
        <f>_xlfn.SINGLE(IF(F859="","",_xlfn.XLOOKUP(F859,purchase!D:D,purchase!#REF!,"")))</f>
        <v/>
      </c>
      <c r="L859" s="2"/>
      <c r="M859" s="32"/>
      <c r="N859" s="13" t="str">
        <f>IF(F859="","",
MAX(0,
_xlfn.XLOOKUP(F859,purchase!D:D,purchase!#REF!,"")
-
SUMIFS(L:L,F:F,F859)))</f>
        <v/>
      </c>
      <c r="O859" s="13" t="str">
        <f t="shared" si="95"/>
        <v/>
      </c>
      <c r="P859" s="35" t="str">
        <f>_xlfn.SINGLE(IF(F859="","",_xlfn.XLOOKUP(F859,purchase!D:D,purchase!K:K,"")))</f>
        <v/>
      </c>
      <c r="Q859" s="29" t="str">
        <f t="shared" si="96"/>
        <v/>
      </c>
      <c r="R859" s="37" t="str">
        <f t="shared" si="97"/>
        <v/>
      </c>
    </row>
    <row r="860" spans="1:18" x14ac:dyDescent="0.35">
      <c r="A860" s="8">
        <v>856</v>
      </c>
      <c r="B860" s="9" t="str">
        <f t="shared" si="91"/>
        <v/>
      </c>
      <c r="C860" s="10"/>
      <c r="D860" s="9" t="str">
        <f>IF(F860="","",_xlfn.XLOOKUP(F860,purchase!D:D,purchase!#REF!,""))</f>
        <v/>
      </c>
      <c r="E860" s="9" t="str">
        <f>IF(F860="","",_xlfn.XLOOKUP(F860,purchase!D:D,purchase!B:B,""))</f>
        <v/>
      </c>
      <c r="F860" s="2"/>
      <c r="G860" s="4" t="str">
        <f t="shared" si="92"/>
        <v/>
      </c>
      <c r="H860" s="4" t="str">
        <f>IF(F860="","",_xlfn.XLOOKUP(F860,purchase!D:D,purchase!#REF!,""))</f>
        <v/>
      </c>
      <c r="I860" s="4" t="str">
        <f t="shared" si="93"/>
        <v/>
      </c>
      <c r="J860" s="4" t="str">
        <f t="shared" si="94"/>
        <v/>
      </c>
      <c r="K860" s="13" t="str">
        <f>_xlfn.SINGLE(IF(F860="","",_xlfn.XLOOKUP(F860,purchase!D:D,purchase!#REF!,"")))</f>
        <v/>
      </c>
      <c r="L860" s="2"/>
      <c r="M860" s="32"/>
      <c r="N860" s="13" t="str">
        <f>IF(F860="","",
MAX(0,
_xlfn.XLOOKUP(F860,purchase!D:D,purchase!#REF!,"")
-
SUMIFS(L:L,F:F,F860)))</f>
        <v/>
      </c>
      <c r="O860" s="13" t="str">
        <f t="shared" si="95"/>
        <v/>
      </c>
      <c r="P860" s="35" t="str">
        <f>_xlfn.SINGLE(IF(F860="","",_xlfn.XLOOKUP(F860,purchase!D:D,purchase!K:K,"")))</f>
        <v/>
      </c>
      <c r="Q860" s="29" t="str">
        <f t="shared" si="96"/>
        <v/>
      </c>
      <c r="R860" s="37" t="str">
        <f t="shared" si="97"/>
        <v/>
      </c>
    </row>
    <row r="861" spans="1:18" x14ac:dyDescent="0.35">
      <c r="A861" s="8">
        <v>857</v>
      </c>
      <c r="B861" s="9" t="str">
        <f t="shared" si="91"/>
        <v/>
      </c>
      <c r="C861" s="10"/>
      <c r="D861" s="9" t="str">
        <f>IF(F861="","",_xlfn.XLOOKUP(F861,purchase!D:D,purchase!#REF!,""))</f>
        <v/>
      </c>
      <c r="E861" s="9" t="str">
        <f>IF(F861="","",_xlfn.XLOOKUP(F861,purchase!D:D,purchase!B:B,""))</f>
        <v/>
      </c>
      <c r="F861" s="2"/>
      <c r="G861" s="4" t="str">
        <f t="shared" si="92"/>
        <v/>
      </c>
      <c r="H861" s="4" t="str">
        <f>IF(F861="","",_xlfn.XLOOKUP(F861,purchase!D:D,purchase!#REF!,""))</f>
        <v/>
      </c>
      <c r="I861" s="4" t="str">
        <f t="shared" si="93"/>
        <v/>
      </c>
      <c r="J861" s="4" t="str">
        <f t="shared" si="94"/>
        <v/>
      </c>
      <c r="K861" s="13" t="str">
        <f>_xlfn.SINGLE(IF(F861="","",_xlfn.XLOOKUP(F861,purchase!D:D,purchase!#REF!,"")))</f>
        <v/>
      </c>
      <c r="L861" s="2"/>
      <c r="M861" s="32"/>
      <c r="N861" s="13" t="str">
        <f>IF(F861="","",
MAX(0,
_xlfn.XLOOKUP(F861,purchase!D:D,purchase!#REF!,"")
-
SUMIFS(L:L,F:F,F861)))</f>
        <v/>
      </c>
      <c r="O861" s="13" t="str">
        <f t="shared" si="95"/>
        <v/>
      </c>
      <c r="P861" s="35" t="str">
        <f>_xlfn.SINGLE(IF(F861="","",_xlfn.XLOOKUP(F861,purchase!D:D,purchase!K:K,"")))</f>
        <v/>
      </c>
      <c r="Q861" s="29" t="str">
        <f t="shared" si="96"/>
        <v/>
      </c>
      <c r="R861" s="37" t="str">
        <f t="shared" si="97"/>
        <v/>
      </c>
    </row>
    <row r="862" spans="1:18" x14ac:dyDescent="0.35">
      <c r="A862" s="8">
        <v>858</v>
      </c>
      <c r="B862" s="9" t="str">
        <f t="shared" si="91"/>
        <v/>
      </c>
      <c r="C862" s="10"/>
      <c r="D862" s="9" t="str">
        <f>IF(F862="","",_xlfn.XLOOKUP(F862,purchase!D:D,purchase!#REF!,""))</f>
        <v/>
      </c>
      <c r="E862" s="9" t="str">
        <f>IF(F862="","",_xlfn.XLOOKUP(F862,purchase!D:D,purchase!B:B,""))</f>
        <v/>
      </c>
      <c r="F862" s="2"/>
      <c r="G862" s="4" t="str">
        <f t="shared" si="92"/>
        <v/>
      </c>
      <c r="H862" s="4" t="str">
        <f>IF(F862="","",_xlfn.XLOOKUP(F862,purchase!D:D,purchase!#REF!,""))</f>
        <v/>
      </c>
      <c r="I862" s="4" t="str">
        <f t="shared" si="93"/>
        <v/>
      </c>
      <c r="J862" s="4" t="str">
        <f t="shared" si="94"/>
        <v/>
      </c>
      <c r="K862" s="13" t="str">
        <f>_xlfn.SINGLE(IF(F862="","",_xlfn.XLOOKUP(F862,purchase!D:D,purchase!#REF!,"")))</f>
        <v/>
      </c>
      <c r="L862" s="2"/>
      <c r="M862" s="32"/>
      <c r="N862" s="13" t="str">
        <f>IF(F862="","",
MAX(0,
_xlfn.XLOOKUP(F862,purchase!D:D,purchase!#REF!,"")
-
SUMIFS(L:L,F:F,F862)))</f>
        <v/>
      </c>
      <c r="O862" s="13" t="str">
        <f t="shared" si="95"/>
        <v/>
      </c>
      <c r="P862" s="35" t="str">
        <f>_xlfn.SINGLE(IF(F862="","",_xlfn.XLOOKUP(F862,purchase!D:D,purchase!K:K,"")))</f>
        <v/>
      </c>
      <c r="Q862" s="29" t="str">
        <f t="shared" si="96"/>
        <v/>
      </c>
      <c r="R862" s="37" t="str">
        <f t="shared" si="97"/>
        <v/>
      </c>
    </row>
    <row r="863" spans="1:18" x14ac:dyDescent="0.35">
      <c r="A863" s="8">
        <v>859</v>
      </c>
      <c r="B863" s="9" t="str">
        <f t="shared" si="91"/>
        <v/>
      </c>
      <c r="C863" s="10"/>
      <c r="D863" s="9" t="str">
        <f>IF(F863="","",_xlfn.XLOOKUP(F863,purchase!D:D,purchase!#REF!,""))</f>
        <v/>
      </c>
      <c r="E863" s="9" t="str">
        <f>IF(F863="","",_xlfn.XLOOKUP(F863,purchase!D:D,purchase!B:B,""))</f>
        <v/>
      </c>
      <c r="F863" s="2"/>
      <c r="G863" s="4" t="str">
        <f t="shared" si="92"/>
        <v/>
      </c>
      <c r="H863" s="4" t="str">
        <f>IF(F863="","",_xlfn.XLOOKUP(F863,purchase!D:D,purchase!#REF!,""))</f>
        <v/>
      </c>
      <c r="I863" s="4" t="str">
        <f t="shared" si="93"/>
        <v/>
      </c>
      <c r="J863" s="4" t="str">
        <f t="shared" si="94"/>
        <v/>
      </c>
      <c r="K863" s="13" t="str">
        <f>_xlfn.SINGLE(IF(F863="","",_xlfn.XLOOKUP(F863,purchase!D:D,purchase!#REF!,"")))</f>
        <v/>
      </c>
      <c r="L863" s="2"/>
      <c r="M863" s="32"/>
      <c r="N863" s="13" t="str">
        <f>IF(F863="","",
MAX(0,
_xlfn.XLOOKUP(F863,purchase!D:D,purchase!#REF!,"")
-
SUMIFS(L:L,F:F,F863)))</f>
        <v/>
      </c>
      <c r="O863" s="13" t="str">
        <f t="shared" si="95"/>
        <v/>
      </c>
      <c r="P863" s="35" t="str">
        <f>_xlfn.SINGLE(IF(F863="","",_xlfn.XLOOKUP(F863,purchase!D:D,purchase!K:K,"")))</f>
        <v/>
      </c>
      <c r="Q863" s="29" t="str">
        <f t="shared" si="96"/>
        <v/>
      </c>
      <c r="R863" s="37" t="str">
        <f t="shared" si="97"/>
        <v/>
      </c>
    </row>
    <row r="864" spans="1:18" x14ac:dyDescent="0.35">
      <c r="A864" s="8">
        <v>860</v>
      </c>
      <c r="B864" s="9" t="str">
        <f t="shared" si="91"/>
        <v/>
      </c>
      <c r="C864" s="10"/>
      <c r="D864" s="9" t="str">
        <f>IF(F864="","",_xlfn.XLOOKUP(F864,purchase!D:D,purchase!#REF!,""))</f>
        <v/>
      </c>
      <c r="E864" s="9" t="str">
        <f>IF(F864="","",_xlfn.XLOOKUP(F864,purchase!D:D,purchase!B:B,""))</f>
        <v/>
      </c>
      <c r="F864" s="2"/>
      <c r="G864" s="4" t="str">
        <f t="shared" si="92"/>
        <v/>
      </c>
      <c r="H864" s="4" t="str">
        <f>IF(F864="","",_xlfn.XLOOKUP(F864,purchase!D:D,purchase!#REF!,""))</f>
        <v/>
      </c>
      <c r="I864" s="4" t="str">
        <f t="shared" si="93"/>
        <v/>
      </c>
      <c r="J864" s="4" t="str">
        <f t="shared" si="94"/>
        <v/>
      </c>
      <c r="K864" s="13" t="str">
        <f>_xlfn.SINGLE(IF(F864="","",_xlfn.XLOOKUP(F864,purchase!D:D,purchase!#REF!,"")))</f>
        <v/>
      </c>
      <c r="L864" s="2"/>
      <c r="M864" s="32"/>
      <c r="N864" s="13" t="str">
        <f>IF(F864="","",
MAX(0,
_xlfn.XLOOKUP(F864,purchase!D:D,purchase!#REF!,"")
-
SUMIFS(L:L,F:F,F864)))</f>
        <v/>
      </c>
      <c r="O864" s="13" t="str">
        <f t="shared" si="95"/>
        <v/>
      </c>
      <c r="P864" s="35" t="str">
        <f>_xlfn.SINGLE(IF(F864="","",_xlfn.XLOOKUP(F864,purchase!D:D,purchase!K:K,"")))</f>
        <v/>
      </c>
      <c r="Q864" s="29" t="str">
        <f t="shared" si="96"/>
        <v/>
      </c>
      <c r="R864" s="37" t="str">
        <f t="shared" si="97"/>
        <v/>
      </c>
    </row>
    <row r="865" spans="1:18" x14ac:dyDescent="0.35">
      <c r="A865" s="8">
        <v>861</v>
      </c>
      <c r="B865" s="9" t="str">
        <f t="shared" si="91"/>
        <v/>
      </c>
      <c r="C865" s="10"/>
      <c r="D865" s="9" t="str">
        <f>IF(F865="","",_xlfn.XLOOKUP(F865,purchase!D:D,purchase!#REF!,""))</f>
        <v/>
      </c>
      <c r="E865" s="9" t="str">
        <f>IF(F865="","",_xlfn.XLOOKUP(F865,purchase!D:D,purchase!B:B,""))</f>
        <v/>
      </c>
      <c r="F865" s="2"/>
      <c r="G865" s="4" t="str">
        <f t="shared" si="92"/>
        <v/>
      </c>
      <c r="H865" s="4" t="str">
        <f>IF(F865="","",_xlfn.XLOOKUP(F865,purchase!D:D,purchase!#REF!,""))</f>
        <v/>
      </c>
      <c r="I865" s="4" t="str">
        <f t="shared" si="93"/>
        <v/>
      </c>
      <c r="J865" s="4" t="str">
        <f t="shared" si="94"/>
        <v/>
      </c>
      <c r="K865" s="13" t="str">
        <f>_xlfn.SINGLE(IF(F865="","",_xlfn.XLOOKUP(F865,purchase!D:D,purchase!#REF!,"")))</f>
        <v/>
      </c>
      <c r="L865" s="2"/>
      <c r="M865" s="32"/>
      <c r="N865" s="13" t="str">
        <f>IF(F865="","",
MAX(0,
_xlfn.XLOOKUP(F865,purchase!D:D,purchase!#REF!,"")
-
SUMIFS(L:L,F:F,F865)))</f>
        <v/>
      </c>
      <c r="O865" s="13" t="str">
        <f t="shared" si="95"/>
        <v/>
      </c>
      <c r="P865" s="35" t="str">
        <f>_xlfn.SINGLE(IF(F865="","",_xlfn.XLOOKUP(F865,purchase!D:D,purchase!K:K,"")))</f>
        <v/>
      </c>
      <c r="Q865" s="29" t="str">
        <f t="shared" si="96"/>
        <v/>
      </c>
      <c r="R865" s="37" t="str">
        <f t="shared" si="97"/>
        <v/>
      </c>
    </row>
    <row r="866" spans="1:18" x14ac:dyDescent="0.35">
      <c r="A866" s="8">
        <v>862</v>
      </c>
      <c r="B866" s="9" t="str">
        <f t="shared" si="91"/>
        <v/>
      </c>
      <c r="C866" s="10"/>
      <c r="D866" s="9" t="str">
        <f>IF(F866="","",_xlfn.XLOOKUP(F866,purchase!D:D,purchase!#REF!,""))</f>
        <v/>
      </c>
      <c r="E866" s="9" t="str">
        <f>IF(F866="","",_xlfn.XLOOKUP(F866,purchase!D:D,purchase!B:B,""))</f>
        <v/>
      </c>
      <c r="F866" s="2"/>
      <c r="G866" s="4" t="str">
        <f t="shared" si="92"/>
        <v/>
      </c>
      <c r="H866" s="4" t="str">
        <f>IF(F866="","",_xlfn.XLOOKUP(F866,purchase!D:D,purchase!#REF!,""))</f>
        <v/>
      </c>
      <c r="I866" s="4" t="str">
        <f t="shared" si="93"/>
        <v/>
      </c>
      <c r="J866" s="4" t="str">
        <f t="shared" si="94"/>
        <v/>
      </c>
      <c r="K866" s="13" t="str">
        <f>_xlfn.SINGLE(IF(F866="","",_xlfn.XLOOKUP(F866,purchase!D:D,purchase!#REF!,"")))</f>
        <v/>
      </c>
      <c r="L866" s="2"/>
      <c r="M866" s="32"/>
      <c r="N866" s="13" t="str">
        <f>IF(F866="","",
MAX(0,
_xlfn.XLOOKUP(F866,purchase!D:D,purchase!#REF!,"")
-
SUMIFS(L:L,F:F,F866)))</f>
        <v/>
      </c>
      <c r="O866" s="13" t="str">
        <f t="shared" si="95"/>
        <v/>
      </c>
      <c r="P866" s="35" t="str">
        <f>_xlfn.SINGLE(IF(F866="","",_xlfn.XLOOKUP(F866,purchase!D:D,purchase!K:K,"")))</f>
        <v/>
      </c>
      <c r="Q866" s="29" t="str">
        <f t="shared" si="96"/>
        <v/>
      </c>
      <c r="R866" s="37" t="str">
        <f t="shared" si="97"/>
        <v/>
      </c>
    </row>
    <row r="867" spans="1:18" x14ac:dyDescent="0.35">
      <c r="A867" s="8">
        <v>863</v>
      </c>
      <c r="B867" s="9" t="str">
        <f t="shared" si="91"/>
        <v/>
      </c>
      <c r="C867" s="10"/>
      <c r="D867" s="9" t="str">
        <f>IF(F867="","",_xlfn.XLOOKUP(F867,purchase!D:D,purchase!#REF!,""))</f>
        <v/>
      </c>
      <c r="E867" s="9" t="str">
        <f>IF(F867="","",_xlfn.XLOOKUP(F867,purchase!D:D,purchase!B:B,""))</f>
        <v/>
      </c>
      <c r="F867" s="2"/>
      <c r="G867" s="4" t="str">
        <f t="shared" si="92"/>
        <v/>
      </c>
      <c r="H867" s="4" t="str">
        <f>IF(F867="","",_xlfn.XLOOKUP(F867,purchase!D:D,purchase!#REF!,""))</f>
        <v/>
      </c>
      <c r="I867" s="4" t="str">
        <f t="shared" si="93"/>
        <v/>
      </c>
      <c r="J867" s="4" t="str">
        <f t="shared" si="94"/>
        <v/>
      </c>
      <c r="K867" s="13" t="str">
        <f>_xlfn.SINGLE(IF(F867="","",_xlfn.XLOOKUP(F867,purchase!D:D,purchase!#REF!,"")))</f>
        <v/>
      </c>
      <c r="L867" s="2"/>
      <c r="M867" s="32"/>
      <c r="N867" s="13" t="str">
        <f>IF(F867="","",
MAX(0,
_xlfn.XLOOKUP(F867,purchase!D:D,purchase!#REF!,"")
-
SUMIFS(L:L,F:F,F867)))</f>
        <v/>
      </c>
      <c r="O867" s="13" t="str">
        <f t="shared" si="95"/>
        <v/>
      </c>
      <c r="P867" s="35" t="str">
        <f>_xlfn.SINGLE(IF(F867="","",_xlfn.XLOOKUP(F867,purchase!D:D,purchase!K:K,"")))</f>
        <v/>
      </c>
      <c r="Q867" s="29" t="str">
        <f t="shared" si="96"/>
        <v/>
      </c>
      <c r="R867" s="37" t="str">
        <f t="shared" si="97"/>
        <v/>
      </c>
    </row>
    <row r="868" spans="1:18" x14ac:dyDescent="0.35">
      <c r="A868" s="8">
        <v>864</v>
      </c>
      <c r="B868" s="9" t="str">
        <f t="shared" si="91"/>
        <v/>
      </c>
      <c r="C868" s="10"/>
      <c r="D868" s="9" t="str">
        <f>IF(F868="","",_xlfn.XLOOKUP(F868,purchase!D:D,purchase!#REF!,""))</f>
        <v/>
      </c>
      <c r="E868" s="9" t="str">
        <f>IF(F868="","",_xlfn.XLOOKUP(F868,purchase!D:D,purchase!B:B,""))</f>
        <v/>
      </c>
      <c r="F868" s="2"/>
      <c r="G868" s="4" t="str">
        <f t="shared" si="92"/>
        <v/>
      </c>
      <c r="H868" s="4" t="str">
        <f>IF(F868="","",_xlfn.XLOOKUP(F868,purchase!D:D,purchase!#REF!,""))</f>
        <v/>
      </c>
      <c r="I868" s="4" t="str">
        <f t="shared" si="93"/>
        <v/>
      </c>
      <c r="J868" s="4" t="str">
        <f t="shared" si="94"/>
        <v/>
      </c>
      <c r="K868" s="13" t="str">
        <f>_xlfn.SINGLE(IF(F868="","",_xlfn.XLOOKUP(F868,purchase!D:D,purchase!#REF!,"")))</f>
        <v/>
      </c>
      <c r="L868" s="2"/>
      <c r="M868" s="32"/>
      <c r="N868" s="13" t="str">
        <f>IF(F868="","",
MAX(0,
_xlfn.XLOOKUP(F868,purchase!D:D,purchase!#REF!,"")
-
SUMIFS(L:L,F:F,F868)))</f>
        <v/>
      </c>
      <c r="O868" s="13" t="str">
        <f t="shared" si="95"/>
        <v/>
      </c>
      <c r="P868" s="35" t="str">
        <f>_xlfn.SINGLE(IF(F868="","",_xlfn.XLOOKUP(F868,purchase!D:D,purchase!K:K,"")))</f>
        <v/>
      </c>
      <c r="Q868" s="29" t="str">
        <f t="shared" si="96"/>
        <v/>
      </c>
      <c r="R868" s="37" t="str">
        <f t="shared" si="97"/>
        <v/>
      </c>
    </row>
    <row r="869" spans="1:18" x14ac:dyDescent="0.35">
      <c r="A869" s="8">
        <v>865</v>
      </c>
      <c r="B869" s="9" t="str">
        <f t="shared" si="91"/>
        <v/>
      </c>
      <c r="C869" s="10"/>
      <c r="D869" s="9" t="str">
        <f>IF(F869="","",_xlfn.XLOOKUP(F869,purchase!D:D,purchase!#REF!,""))</f>
        <v/>
      </c>
      <c r="E869" s="9" t="str">
        <f>IF(F869="","",_xlfn.XLOOKUP(F869,purchase!D:D,purchase!B:B,""))</f>
        <v/>
      </c>
      <c r="F869" s="2"/>
      <c r="G869" s="4" t="str">
        <f t="shared" si="92"/>
        <v/>
      </c>
      <c r="H869" s="4" t="str">
        <f>IF(F869="","",_xlfn.XLOOKUP(F869,purchase!D:D,purchase!#REF!,""))</f>
        <v/>
      </c>
      <c r="I869" s="4" t="str">
        <f t="shared" si="93"/>
        <v/>
      </c>
      <c r="J869" s="4" t="str">
        <f t="shared" si="94"/>
        <v/>
      </c>
      <c r="K869" s="13" t="str">
        <f>_xlfn.SINGLE(IF(F869="","",_xlfn.XLOOKUP(F869,purchase!D:D,purchase!#REF!,"")))</f>
        <v/>
      </c>
      <c r="L869" s="2"/>
      <c r="M869" s="32"/>
      <c r="N869" s="13" t="str">
        <f>IF(F869="","",
MAX(0,
_xlfn.XLOOKUP(F869,purchase!D:D,purchase!#REF!,"")
-
SUMIFS(L:L,F:F,F869)))</f>
        <v/>
      </c>
      <c r="O869" s="13" t="str">
        <f t="shared" si="95"/>
        <v/>
      </c>
      <c r="P869" s="35" t="str">
        <f>_xlfn.SINGLE(IF(F869="","",_xlfn.XLOOKUP(F869,purchase!D:D,purchase!K:K,"")))</f>
        <v/>
      </c>
      <c r="Q869" s="29" t="str">
        <f t="shared" si="96"/>
        <v/>
      </c>
      <c r="R869" s="37" t="str">
        <f t="shared" si="97"/>
        <v/>
      </c>
    </row>
    <row r="870" spans="1:18" x14ac:dyDescent="0.35">
      <c r="A870" s="8">
        <v>866</v>
      </c>
      <c r="B870" s="9" t="str">
        <f t="shared" si="91"/>
        <v/>
      </c>
      <c r="C870" s="10"/>
      <c r="D870" s="9" t="str">
        <f>IF(F870="","",_xlfn.XLOOKUP(F870,purchase!D:D,purchase!#REF!,""))</f>
        <v/>
      </c>
      <c r="E870" s="9" t="str">
        <f>IF(F870="","",_xlfn.XLOOKUP(F870,purchase!D:D,purchase!B:B,""))</f>
        <v/>
      </c>
      <c r="F870" s="2"/>
      <c r="G870" s="4" t="str">
        <f t="shared" si="92"/>
        <v/>
      </c>
      <c r="H870" s="4" t="str">
        <f>IF(F870="","",_xlfn.XLOOKUP(F870,purchase!D:D,purchase!#REF!,""))</f>
        <v/>
      </c>
      <c r="I870" s="4" t="str">
        <f t="shared" si="93"/>
        <v/>
      </c>
      <c r="J870" s="4" t="str">
        <f t="shared" si="94"/>
        <v/>
      </c>
      <c r="K870" s="13" t="str">
        <f>_xlfn.SINGLE(IF(F870="","",_xlfn.XLOOKUP(F870,purchase!D:D,purchase!#REF!,"")))</f>
        <v/>
      </c>
      <c r="L870" s="2"/>
      <c r="M870" s="32"/>
      <c r="N870" s="13" t="str">
        <f>IF(F870="","",
MAX(0,
_xlfn.XLOOKUP(F870,purchase!D:D,purchase!#REF!,"")
-
SUMIFS(L:L,F:F,F870)))</f>
        <v/>
      </c>
      <c r="O870" s="13" t="str">
        <f t="shared" si="95"/>
        <v/>
      </c>
      <c r="P870" s="35" t="str">
        <f>_xlfn.SINGLE(IF(F870="","",_xlfn.XLOOKUP(F870,purchase!D:D,purchase!K:K,"")))</f>
        <v/>
      </c>
      <c r="Q870" s="29" t="str">
        <f t="shared" si="96"/>
        <v/>
      </c>
      <c r="R870" s="37" t="str">
        <f t="shared" si="97"/>
        <v/>
      </c>
    </row>
    <row r="871" spans="1:18" x14ac:dyDescent="0.35">
      <c r="A871" s="8">
        <v>867</v>
      </c>
      <c r="B871" s="9" t="str">
        <f t="shared" si="91"/>
        <v/>
      </c>
      <c r="C871" s="10"/>
      <c r="D871" s="9" t="str">
        <f>IF(F871="","",_xlfn.XLOOKUP(F871,purchase!D:D,purchase!#REF!,""))</f>
        <v/>
      </c>
      <c r="E871" s="9" t="str">
        <f>IF(F871="","",_xlfn.XLOOKUP(F871,purchase!D:D,purchase!B:B,""))</f>
        <v/>
      </c>
      <c r="F871" s="2"/>
      <c r="G871" s="4" t="str">
        <f t="shared" si="92"/>
        <v/>
      </c>
      <c r="H871" s="4" t="str">
        <f>IF(F871="","",_xlfn.XLOOKUP(F871,purchase!D:D,purchase!#REF!,""))</f>
        <v/>
      </c>
      <c r="I871" s="4" t="str">
        <f t="shared" si="93"/>
        <v/>
      </c>
      <c r="J871" s="4" t="str">
        <f t="shared" si="94"/>
        <v/>
      </c>
      <c r="K871" s="13" t="str">
        <f>_xlfn.SINGLE(IF(F871="","",_xlfn.XLOOKUP(F871,purchase!D:D,purchase!#REF!,"")))</f>
        <v/>
      </c>
      <c r="L871" s="2"/>
      <c r="M871" s="32"/>
      <c r="N871" s="13" t="str">
        <f>IF(F871="","",
MAX(0,
_xlfn.XLOOKUP(F871,purchase!D:D,purchase!#REF!,"")
-
SUMIFS(L:L,F:F,F871)))</f>
        <v/>
      </c>
      <c r="O871" s="13" t="str">
        <f t="shared" si="95"/>
        <v/>
      </c>
      <c r="P871" s="35" t="str">
        <f>_xlfn.SINGLE(IF(F871="","",_xlfn.XLOOKUP(F871,purchase!D:D,purchase!K:K,"")))</f>
        <v/>
      </c>
      <c r="Q871" s="29" t="str">
        <f t="shared" si="96"/>
        <v/>
      </c>
      <c r="R871" s="37" t="str">
        <f t="shared" si="97"/>
        <v/>
      </c>
    </row>
    <row r="872" spans="1:18" x14ac:dyDescent="0.35">
      <c r="A872" s="8">
        <v>868</v>
      </c>
      <c r="B872" s="9" t="str">
        <f t="shared" si="91"/>
        <v/>
      </c>
      <c r="C872" s="10"/>
      <c r="D872" s="9" t="str">
        <f>IF(F872="","",_xlfn.XLOOKUP(F872,purchase!D:D,purchase!#REF!,""))</f>
        <v/>
      </c>
      <c r="E872" s="9" t="str">
        <f>IF(F872="","",_xlfn.XLOOKUP(F872,purchase!D:D,purchase!B:B,""))</f>
        <v/>
      </c>
      <c r="F872" s="2"/>
      <c r="G872" s="4" t="str">
        <f t="shared" si="92"/>
        <v/>
      </c>
      <c r="H872" s="4" t="str">
        <f>IF(F872="","",_xlfn.XLOOKUP(F872,purchase!D:D,purchase!#REF!,""))</f>
        <v/>
      </c>
      <c r="I872" s="4" t="str">
        <f t="shared" si="93"/>
        <v/>
      </c>
      <c r="J872" s="4" t="str">
        <f t="shared" si="94"/>
        <v/>
      </c>
      <c r="K872" s="13" t="str">
        <f>_xlfn.SINGLE(IF(F872="","",_xlfn.XLOOKUP(F872,purchase!D:D,purchase!#REF!,"")))</f>
        <v/>
      </c>
      <c r="L872" s="2"/>
      <c r="M872" s="32"/>
      <c r="N872" s="13" t="str">
        <f>IF(F872="","",
MAX(0,
_xlfn.XLOOKUP(F872,purchase!D:D,purchase!#REF!,"")
-
SUMIFS(L:L,F:F,F872)))</f>
        <v/>
      </c>
      <c r="O872" s="13" t="str">
        <f t="shared" si="95"/>
        <v/>
      </c>
      <c r="P872" s="35" t="str">
        <f>_xlfn.SINGLE(IF(F872="","",_xlfn.XLOOKUP(F872,purchase!D:D,purchase!K:K,"")))</f>
        <v/>
      </c>
      <c r="Q872" s="29" t="str">
        <f t="shared" si="96"/>
        <v/>
      </c>
      <c r="R872" s="37" t="str">
        <f t="shared" si="97"/>
        <v/>
      </c>
    </row>
    <row r="873" spans="1:18" x14ac:dyDescent="0.35">
      <c r="A873" s="8">
        <v>869</v>
      </c>
      <c r="B873" s="9" t="str">
        <f t="shared" si="91"/>
        <v/>
      </c>
      <c r="C873" s="10"/>
      <c r="D873" s="9" t="str">
        <f>IF(F873="","",_xlfn.XLOOKUP(F873,purchase!D:D,purchase!#REF!,""))</f>
        <v/>
      </c>
      <c r="E873" s="9" t="str">
        <f>IF(F873="","",_xlfn.XLOOKUP(F873,purchase!D:D,purchase!B:B,""))</f>
        <v/>
      </c>
      <c r="F873" s="2"/>
      <c r="G873" s="4" t="str">
        <f t="shared" si="92"/>
        <v/>
      </c>
      <c r="H873" s="4" t="str">
        <f>IF(F873="","",_xlfn.XLOOKUP(F873,purchase!D:D,purchase!#REF!,""))</f>
        <v/>
      </c>
      <c r="I873" s="4" t="str">
        <f t="shared" si="93"/>
        <v/>
      </c>
      <c r="J873" s="4" t="str">
        <f t="shared" si="94"/>
        <v/>
      </c>
      <c r="K873" s="13" t="str">
        <f>_xlfn.SINGLE(IF(F873="","",_xlfn.XLOOKUP(F873,purchase!D:D,purchase!#REF!,"")))</f>
        <v/>
      </c>
      <c r="L873" s="2"/>
      <c r="M873" s="32"/>
      <c r="N873" s="13" t="str">
        <f>IF(F873="","",
MAX(0,
_xlfn.XLOOKUP(F873,purchase!D:D,purchase!#REF!,"")
-
SUMIFS(L:L,F:F,F873)))</f>
        <v/>
      </c>
      <c r="O873" s="13" t="str">
        <f t="shared" si="95"/>
        <v/>
      </c>
      <c r="P873" s="35" t="str">
        <f>_xlfn.SINGLE(IF(F873="","",_xlfn.XLOOKUP(F873,purchase!D:D,purchase!K:K,"")))</f>
        <v/>
      </c>
      <c r="Q873" s="29" t="str">
        <f t="shared" si="96"/>
        <v/>
      </c>
      <c r="R873" s="37" t="str">
        <f t="shared" si="97"/>
        <v/>
      </c>
    </row>
    <row r="874" spans="1:18" x14ac:dyDescent="0.35">
      <c r="A874" s="8">
        <v>870</v>
      </c>
      <c r="B874" s="9" t="str">
        <f t="shared" si="91"/>
        <v/>
      </c>
      <c r="C874" s="10"/>
      <c r="D874" s="9" t="str">
        <f>IF(F874="","",_xlfn.XLOOKUP(F874,purchase!D:D,purchase!#REF!,""))</f>
        <v/>
      </c>
      <c r="E874" s="9" t="str">
        <f>IF(F874="","",_xlfn.XLOOKUP(F874,purchase!D:D,purchase!B:B,""))</f>
        <v/>
      </c>
      <c r="F874" s="2"/>
      <c r="G874" s="4" t="str">
        <f t="shared" si="92"/>
        <v/>
      </c>
      <c r="H874" s="4" t="str">
        <f>IF(F874="","",_xlfn.XLOOKUP(F874,purchase!D:D,purchase!#REF!,""))</f>
        <v/>
      </c>
      <c r="I874" s="4" t="str">
        <f t="shared" si="93"/>
        <v/>
      </c>
      <c r="J874" s="4" t="str">
        <f t="shared" si="94"/>
        <v/>
      </c>
      <c r="K874" s="13" t="str">
        <f>_xlfn.SINGLE(IF(F874="","",_xlfn.XLOOKUP(F874,purchase!D:D,purchase!#REF!,"")))</f>
        <v/>
      </c>
      <c r="L874" s="2"/>
      <c r="M874" s="32"/>
      <c r="N874" s="13" t="str">
        <f>IF(F874="","",
MAX(0,
_xlfn.XLOOKUP(F874,purchase!D:D,purchase!#REF!,"")
-
SUMIFS(L:L,F:F,F874)))</f>
        <v/>
      </c>
      <c r="O874" s="13" t="str">
        <f t="shared" si="95"/>
        <v/>
      </c>
      <c r="P874" s="35" t="str">
        <f>_xlfn.SINGLE(IF(F874="","",_xlfn.XLOOKUP(F874,purchase!D:D,purchase!K:K,"")))</f>
        <v/>
      </c>
      <c r="Q874" s="29" t="str">
        <f t="shared" si="96"/>
        <v/>
      </c>
      <c r="R874" s="37" t="str">
        <f t="shared" si="97"/>
        <v/>
      </c>
    </row>
    <row r="875" spans="1:18" x14ac:dyDescent="0.35">
      <c r="A875" s="8">
        <v>871</v>
      </c>
      <c r="B875" s="9" t="str">
        <f t="shared" si="91"/>
        <v/>
      </c>
      <c r="C875" s="10"/>
      <c r="D875" s="9" t="str">
        <f>IF(F875="","",_xlfn.XLOOKUP(F875,purchase!D:D,purchase!#REF!,""))</f>
        <v/>
      </c>
      <c r="E875" s="9" t="str">
        <f>IF(F875="","",_xlfn.XLOOKUP(F875,purchase!D:D,purchase!B:B,""))</f>
        <v/>
      </c>
      <c r="F875" s="2"/>
      <c r="G875" s="4" t="str">
        <f t="shared" si="92"/>
        <v/>
      </c>
      <c r="H875" s="4" t="str">
        <f>IF(F875="","",_xlfn.XLOOKUP(F875,purchase!D:D,purchase!#REF!,""))</f>
        <v/>
      </c>
      <c r="I875" s="4" t="str">
        <f t="shared" si="93"/>
        <v/>
      </c>
      <c r="J875" s="4" t="str">
        <f t="shared" si="94"/>
        <v/>
      </c>
      <c r="K875" s="13" t="str">
        <f>_xlfn.SINGLE(IF(F875="","",_xlfn.XLOOKUP(F875,purchase!D:D,purchase!#REF!,"")))</f>
        <v/>
      </c>
      <c r="L875" s="2"/>
      <c r="M875" s="32"/>
      <c r="N875" s="13" t="str">
        <f>IF(F875="","",
MAX(0,
_xlfn.XLOOKUP(F875,purchase!D:D,purchase!#REF!,"")
-
SUMIFS(L:L,F:F,F875)))</f>
        <v/>
      </c>
      <c r="O875" s="13" t="str">
        <f t="shared" si="95"/>
        <v/>
      </c>
      <c r="P875" s="35" t="str">
        <f>_xlfn.SINGLE(IF(F875="","",_xlfn.XLOOKUP(F875,purchase!D:D,purchase!K:K,"")))</f>
        <v/>
      </c>
      <c r="Q875" s="29" t="str">
        <f t="shared" si="96"/>
        <v/>
      </c>
      <c r="R875" s="37" t="str">
        <f t="shared" si="97"/>
        <v/>
      </c>
    </row>
    <row r="876" spans="1:18" x14ac:dyDescent="0.35">
      <c r="A876" s="8">
        <v>872</v>
      </c>
      <c r="B876" s="9" t="str">
        <f t="shared" si="91"/>
        <v/>
      </c>
      <c r="C876" s="10"/>
      <c r="D876" s="9" t="str">
        <f>IF(F876="","",_xlfn.XLOOKUP(F876,purchase!D:D,purchase!#REF!,""))</f>
        <v/>
      </c>
      <c r="E876" s="9" t="str">
        <f>IF(F876="","",_xlfn.XLOOKUP(F876,purchase!D:D,purchase!B:B,""))</f>
        <v/>
      </c>
      <c r="F876" s="2"/>
      <c r="G876" s="4" t="str">
        <f t="shared" si="92"/>
        <v/>
      </c>
      <c r="H876" s="4" t="str">
        <f>IF(F876="","",_xlfn.XLOOKUP(F876,purchase!D:D,purchase!#REF!,""))</f>
        <v/>
      </c>
      <c r="I876" s="4" t="str">
        <f t="shared" si="93"/>
        <v/>
      </c>
      <c r="J876" s="4" t="str">
        <f t="shared" si="94"/>
        <v/>
      </c>
      <c r="K876" s="13" t="str">
        <f>_xlfn.SINGLE(IF(F876="","",_xlfn.XLOOKUP(F876,purchase!D:D,purchase!#REF!,"")))</f>
        <v/>
      </c>
      <c r="L876" s="2"/>
      <c r="M876" s="32"/>
      <c r="N876" s="13" t="str">
        <f>IF(F876="","",
MAX(0,
_xlfn.XLOOKUP(F876,purchase!D:D,purchase!#REF!,"")
-
SUMIFS(L:L,F:F,F876)))</f>
        <v/>
      </c>
      <c r="O876" s="13" t="str">
        <f t="shared" si="95"/>
        <v/>
      </c>
      <c r="P876" s="35" t="str">
        <f>_xlfn.SINGLE(IF(F876="","",_xlfn.XLOOKUP(F876,purchase!D:D,purchase!K:K,"")))</f>
        <v/>
      </c>
      <c r="Q876" s="29" t="str">
        <f t="shared" si="96"/>
        <v/>
      </c>
      <c r="R876" s="37" t="str">
        <f t="shared" si="97"/>
        <v/>
      </c>
    </row>
    <row r="877" spans="1:18" x14ac:dyDescent="0.35">
      <c r="A877" s="8">
        <v>873</v>
      </c>
      <c r="B877" s="9" t="str">
        <f t="shared" si="91"/>
        <v/>
      </c>
      <c r="C877" s="10"/>
      <c r="D877" s="9" t="str">
        <f>IF(F877="","",_xlfn.XLOOKUP(F877,purchase!D:D,purchase!#REF!,""))</f>
        <v/>
      </c>
      <c r="E877" s="9" t="str">
        <f>IF(F877="","",_xlfn.XLOOKUP(F877,purchase!D:D,purchase!B:B,""))</f>
        <v/>
      </c>
      <c r="F877" s="2"/>
      <c r="G877" s="4" t="str">
        <f t="shared" si="92"/>
        <v/>
      </c>
      <c r="H877" s="4" t="str">
        <f>IF(F877="","",_xlfn.XLOOKUP(F877,purchase!D:D,purchase!#REF!,""))</f>
        <v/>
      </c>
      <c r="I877" s="4" t="str">
        <f t="shared" si="93"/>
        <v/>
      </c>
      <c r="J877" s="4" t="str">
        <f t="shared" si="94"/>
        <v/>
      </c>
      <c r="K877" s="13" t="str">
        <f>_xlfn.SINGLE(IF(F877="","",_xlfn.XLOOKUP(F877,purchase!D:D,purchase!#REF!,"")))</f>
        <v/>
      </c>
      <c r="L877" s="2"/>
      <c r="M877" s="32"/>
      <c r="N877" s="13" t="str">
        <f>IF(F877="","",
MAX(0,
_xlfn.XLOOKUP(F877,purchase!D:D,purchase!#REF!,"")
-
SUMIFS(L:L,F:F,F877)))</f>
        <v/>
      </c>
      <c r="O877" s="13" t="str">
        <f t="shared" si="95"/>
        <v/>
      </c>
      <c r="P877" s="35" t="str">
        <f>_xlfn.SINGLE(IF(F877="","",_xlfn.XLOOKUP(F877,purchase!D:D,purchase!K:K,"")))</f>
        <v/>
      </c>
      <c r="Q877" s="29" t="str">
        <f t="shared" si="96"/>
        <v/>
      </c>
      <c r="R877" s="37" t="str">
        <f t="shared" si="97"/>
        <v/>
      </c>
    </row>
    <row r="878" spans="1:18" x14ac:dyDescent="0.35">
      <c r="A878" s="8">
        <v>874</v>
      </c>
      <c r="B878" s="9" t="str">
        <f t="shared" si="91"/>
        <v/>
      </c>
      <c r="C878" s="10"/>
      <c r="D878" s="9" t="str">
        <f>IF(F878="","",_xlfn.XLOOKUP(F878,purchase!D:D,purchase!#REF!,""))</f>
        <v/>
      </c>
      <c r="E878" s="9" t="str">
        <f>IF(F878="","",_xlfn.XLOOKUP(F878,purchase!D:D,purchase!B:B,""))</f>
        <v/>
      </c>
      <c r="F878" s="2"/>
      <c r="G878" s="4" t="str">
        <f t="shared" si="92"/>
        <v/>
      </c>
      <c r="H878" s="4" t="str">
        <f>IF(F878="","",_xlfn.XLOOKUP(F878,purchase!D:D,purchase!#REF!,""))</f>
        <v/>
      </c>
      <c r="I878" s="4" t="str">
        <f t="shared" si="93"/>
        <v/>
      </c>
      <c r="J878" s="4" t="str">
        <f t="shared" si="94"/>
        <v/>
      </c>
      <c r="K878" s="13" t="str">
        <f>_xlfn.SINGLE(IF(F878="","",_xlfn.XLOOKUP(F878,purchase!D:D,purchase!#REF!,"")))</f>
        <v/>
      </c>
      <c r="L878" s="2"/>
      <c r="M878" s="32"/>
      <c r="N878" s="13" t="str">
        <f>IF(F878="","",
MAX(0,
_xlfn.XLOOKUP(F878,purchase!D:D,purchase!#REF!,"")
-
SUMIFS(L:L,F:F,F878)))</f>
        <v/>
      </c>
      <c r="O878" s="13" t="str">
        <f t="shared" si="95"/>
        <v/>
      </c>
      <c r="P878" s="35" t="str">
        <f>_xlfn.SINGLE(IF(F878="","",_xlfn.XLOOKUP(F878,purchase!D:D,purchase!K:K,"")))</f>
        <v/>
      </c>
      <c r="Q878" s="29" t="str">
        <f t="shared" si="96"/>
        <v/>
      </c>
      <c r="R878" s="37" t="str">
        <f t="shared" si="97"/>
        <v/>
      </c>
    </row>
    <row r="879" spans="1:18" x14ac:dyDescent="0.35">
      <c r="A879" s="8">
        <v>875</v>
      </c>
      <c r="B879" s="9" t="str">
        <f t="shared" si="91"/>
        <v/>
      </c>
      <c r="C879" s="10"/>
      <c r="D879" s="9" t="str">
        <f>IF(F879="","",_xlfn.XLOOKUP(F879,purchase!D:D,purchase!#REF!,""))</f>
        <v/>
      </c>
      <c r="E879" s="9" t="str">
        <f>IF(F879="","",_xlfn.XLOOKUP(F879,purchase!D:D,purchase!B:B,""))</f>
        <v/>
      </c>
      <c r="F879" s="2"/>
      <c r="G879" s="4" t="str">
        <f t="shared" si="92"/>
        <v/>
      </c>
      <c r="H879" s="4" t="str">
        <f>IF(F879="","",_xlfn.XLOOKUP(F879,purchase!D:D,purchase!#REF!,""))</f>
        <v/>
      </c>
      <c r="I879" s="4" t="str">
        <f t="shared" si="93"/>
        <v/>
      </c>
      <c r="J879" s="4" t="str">
        <f t="shared" si="94"/>
        <v/>
      </c>
      <c r="K879" s="13" t="str">
        <f>_xlfn.SINGLE(IF(F879="","",_xlfn.XLOOKUP(F879,purchase!D:D,purchase!#REF!,"")))</f>
        <v/>
      </c>
      <c r="L879" s="2"/>
      <c r="M879" s="32"/>
      <c r="N879" s="13" t="str">
        <f>IF(F879="","",
MAX(0,
_xlfn.XLOOKUP(F879,purchase!D:D,purchase!#REF!,"")
-
SUMIFS(L:L,F:F,F879)))</f>
        <v/>
      </c>
      <c r="O879" s="13" t="str">
        <f t="shared" si="95"/>
        <v/>
      </c>
      <c r="P879" s="35" t="str">
        <f>_xlfn.SINGLE(IF(F879="","",_xlfn.XLOOKUP(F879,purchase!D:D,purchase!K:K,"")))</f>
        <v/>
      </c>
      <c r="Q879" s="29" t="str">
        <f t="shared" si="96"/>
        <v/>
      </c>
      <c r="R879" s="37" t="str">
        <f t="shared" si="97"/>
        <v/>
      </c>
    </row>
    <row r="880" spans="1:18" x14ac:dyDescent="0.35">
      <c r="A880" s="8">
        <v>876</v>
      </c>
      <c r="B880" s="9" t="str">
        <f t="shared" si="91"/>
        <v/>
      </c>
      <c r="C880" s="10"/>
      <c r="D880" s="9" t="str">
        <f>IF(F880="","",_xlfn.XLOOKUP(F880,purchase!D:D,purchase!#REF!,""))</f>
        <v/>
      </c>
      <c r="E880" s="9" t="str">
        <f>IF(F880="","",_xlfn.XLOOKUP(F880,purchase!D:D,purchase!B:B,""))</f>
        <v/>
      </c>
      <c r="F880" s="2"/>
      <c r="G880" s="4" t="str">
        <f t="shared" si="92"/>
        <v/>
      </c>
      <c r="H880" s="4" t="str">
        <f>IF(F880="","",_xlfn.XLOOKUP(F880,purchase!D:D,purchase!#REF!,""))</f>
        <v/>
      </c>
      <c r="I880" s="4" t="str">
        <f t="shared" si="93"/>
        <v/>
      </c>
      <c r="J880" s="4" t="str">
        <f t="shared" si="94"/>
        <v/>
      </c>
      <c r="K880" s="13" t="str">
        <f>_xlfn.SINGLE(IF(F880="","",_xlfn.XLOOKUP(F880,purchase!D:D,purchase!#REF!,"")))</f>
        <v/>
      </c>
      <c r="L880" s="2"/>
      <c r="M880" s="32"/>
      <c r="N880" s="13" t="str">
        <f>IF(F880="","",
MAX(0,
_xlfn.XLOOKUP(F880,purchase!D:D,purchase!#REF!,"")
-
SUMIFS(L:L,F:F,F880)))</f>
        <v/>
      </c>
      <c r="O880" s="13" t="str">
        <f t="shared" si="95"/>
        <v/>
      </c>
      <c r="P880" s="35" t="str">
        <f>_xlfn.SINGLE(IF(F880="","",_xlfn.XLOOKUP(F880,purchase!D:D,purchase!K:K,"")))</f>
        <v/>
      </c>
      <c r="Q880" s="29" t="str">
        <f t="shared" si="96"/>
        <v/>
      </c>
      <c r="R880" s="37" t="str">
        <f t="shared" si="97"/>
        <v/>
      </c>
    </row>
    <row r="881" spans="1:18" x14ac:dyDescent="0.35">
      <c r="A881" s="8">
        <v>877</v>
      </c>
      <c r="B881" s="9" t="str">
        <f t="shared" si="91"/>
        <v/>
      </c>
      <c r="C881" s="10"/>
      <c r="D881" s="9" t="str">
        <f>IF(F881="","",_xlfn.XLOOKUP(F881,purchase!D:D,purchase!#REF!,""))</f>
        <v/>
      </c>
      <c r="E881" s="9" t="str">
        <f>IF(F881="","",_xlfn.XLOOKUP(F881,purchase!D:D,purchase!B:B,""))</f>
        <v/>
      </c>
      <c r="F881" s="2"/>
      <c r="G881" s="4" t="str">
        <f t="shared" si="92"/>
        <v/>
      </c>
      <c r="H881" s="4" t="str">
        <f>IF(F881="","",_xlfn.XLOOKUP(F881,purchase!D:D,purchase!#REF!,""))</f>
        <v/>
      </c>
      <c r="I881" s="4" t="str">
        <f t="shared" si="93"/>
        <v/>
      </c>
      <c r="J881" s="4" t="str">
        <f t="shared" si="94"/>
        <v/>
      </c>
      <c r="K881" s="13" t="str">
        <f>_xlfn.SINGLE(IF(F881="","",_xlfn.XLOOKUP(F881,purchase!D:D,purchase!#REF!,"")))</f>
        <v/>
      </c>
      <c r="L881" s="2"/>
      <c r="M881" s="32"/>
      <c r="N881" s="13" t="str">
        <f>IF(F881="","",
MAX(0,
_xlfn.XLOOKUP(F881,purchase!D:D,purchase!#REF!,"")
-
SUMIFS(L:L,F:F,F881)))</f>
        <v/>
      </c>
      <c r="O881" s="13" t="str">
        <f t="shared" si="95"/>
        <v/>
      </c>
      <c r="P881" s="35" t="str">
        <f>_xlfn.SINGLE(IF(F881="","",_xlfn.XLOOKUP(F881,purchase!D:D,purchase!K:K,"")))</f>
        <v/>
      </c>
      <c r="Q881" s="29" t="str">
        <f t="shared" si="96"/>
        <v/>
      </c>
      <c r="R881" s="37" t="str">
        <f t="shared" si="97"/>
        <v/>
      </c>
    </row>
    <row r="882" spans="1:18" x14ac:dyDescent="0.35">
      <c r="A882" s="8">
        <v>878</v>
      </c>
      <c r="B882" s="9" t="str">
        <f t="shared" si="91"/>
        <v/>
      </c>
      <c r="C882" s="10"/>
      <c r="D882" s="9" t="str">
        <f>IF(F882="","",_xlfn.XLOOKUP(F882,purchase!D:D,purchase!#REF!,""))</f>
        <v/>
      </c>
      <c r="E882" s="9" t="str">
        <f>IF(F882="","",_xlfn.XLOOKUP(F882,purchase!D:D,purchase!B:B,""))</f>
        <v/>
      </c>
      <c r="F882" s="2"/>
      <c r="G882" s="4" t="str">
        <f t="shared" si="92"/>
        <v/>
      </c>
      <c r="H882" s="4" t="str">
        <f>IF(F882="","",_xlfn.XLOOKUP(F882,purchase!D:D,purchase!#REF!,""))</f>
        <v/>
      </c>
      <c r="I882" s="4" t="str">
        <f t="shared" si="93"/>
        <v/>
      </c>
      <c r="J882" s="4" t="str">
        <f t="shared" si="94"/>
        <v/>
      </c>
      <c r="K882" s="13" t="str">
        <f>_xlfn.SINGLE(IF(F882="","",_xlfn.XLOOKUP(F882,purchase!D:D,purchase!#REF!,"")))</f>
        <v/>
      </c>
      <c r="L882" s="2"/>
      <c r="M882" s="32"/>
      <c r="N882" s="13" t="str">
        <f>IF(F882="","",
MAX(0,
_xlfn.XLOOKUP(F882,purchase!D:D,purchase!#REF!,"")
-
SUMIFS(L:L,F:F,F882)))</f>
        <v/>
      </c>
      <c r="O882" s="13" t="str">
        <f t="shared" si="95"/>
        <v/>
      </c>
      <c r="P882" s="35" t="str">
        <f>_xlfn.SINGLE(IF(F882="","",_xlfn.XLOOKUP(F882,purchase!D:D,purchase!K:K,"")))</f>
        <v/>
      </c>
      <c r="Q882" s="29" t="str">
        <f t="shared" si="96"/>
        <v/>
      </c>
      <c r="R882" s="37" t="str">
        <f t="shared" si="97"/>
        <v/>
      </c>
    </row>
    <row r="883" spans="1:18" x14ac:dyDescent="0.35">
      <c r="A883" s="8">
        <v>879</v>
      </c>
      <c r="B883" s="9" t="str">
        <f t="shared" si="91"/>
        <v/>
      </c>
      <c r="C883" s="10"/>
      <c r="D883" s="9" t="str">
        <f>IF(F883="","",_xlfn.XLOOKUP(F883,purchase!D:D,purchase!#REF!,""))</f>
        <v/>
      </c>
      <c r="E883" s="9" t="str">
        <f>IF(F883="","",_xlfn.XLOOKUP(F883,purchase!D:D,purchase!B:B,""))</f>
        <v/>
      </c>
      <c r="F883" s="2"/>
      <c r="G883" s="4" t="str">
        <f t="shared" si="92"/>
        <v/>
      </c>
      <c r="H883" s="4" t="str">
        <f>IF(F883="","",_xlfn.XLOOKUP(F883,purchase!D:D,purchase!#REF!,""))</f>
        <v/>
      </c>
      <c r="I883" s="4" t="str">
        <f t="shared" si="93"/>
        <v/>
      </c>
      <c r="J883" s="4" t="str">
        <f t="shared" si="94"/>
        <v/>
      </c>
      <c r="K883" s="13" t="str">
        <f>_xlfn.SINGLE(IF(F883="","",_xlfn.XLOOKUP(F883,purchase!D:D,purchase!#REF!,"")))</f>
        <v/>
      </c>
      <c r="L883" s="2"/>
      <c r="M883" s="32"/>
      <c r="N883" s="13" t="str">
        <f>IF(F883="","",
MAX(0,
_xlfn.XLOOKUP(F883,purchase!D:D,purchase!#REF!,"")
-
SUMIFS(L:L,F:F,F883)))</f>
        <v/>
      </c>
      <c r="O883" s="13" t="str">
        <f t="shared" si="95"/>
        <v/>
      </c>
      <c r="P883" s="35" t="str">
        <f>_xlfn.SINGLE(IF(F883="","",_xlfn.XLOOKUP(F883,purchase!D:D,purchase!K:K,"")))</f>
        <v/>
      </c>
      <c r="Q883" s="29" t="str">
        <f t="shared" si="96"/>
        <v/>
      </c>
      <c r="R883" s="37" t="str">
        <f t="shared" si="97"/>
        <v/>
      </c>
    </row>
    <row r="884" spans="1:18" x14ac:dyDescent="0.35">
      <c r="A884" s="8">
        <v>880</v>
      </c>
      <c r="B884" s="9" t="str">
        <f t="shared" si="91"/>
        <v/>
      </c>
      <c r="C884" s="10"/>
      <c r="D884" s="9" t="str">
        <f>IF(F884="","",_xlfn.XLOOKUP(F884,purchase!D:D,purchase!#REF!,""))</f>
        <v/>
      </c>
      <c r="E884" s="9" t="str">
        <f>IF(F884="","",_xlfn.XLOOKUP(F884,purchase!D:D,purchase!B:B,""))</f>
        <v/>
      </c>
      <c r="F884" s="2"/>
      <c r="G884" s="4" t="str">
        <f t="shared" si="92"/>
        <v/>
      </c>
      <c r="H884" s="4" t="str">
        <f>IF(F884="","",_xlfn.XLOOKUP(F884,purchase!D:D,purchase!#REF!,""))</f>
        <v/>
      </c>
      <c r="I884" s="4" t="str">
        <f t="shared" si="93"/>
        <v/>
      </c>
      <c r="J884" s="4" t="str">
        <f t="shared" si="94"/>
        <v/>
      </c>
      <c r="K884" s="13" t="str">
        <f>_xlfn.SINGLE(IF(F884="","",_xlfn.XLOOKUP(F884,purchase!D:D,purchase!#REF!,"")))</f>
        <v/>
      </c>
      <c r="L884" s="2"/>
      <c r="M884" s="32"/>
      <c r="N884" s="13" t="str">
        <f>IF(F884="","",
MAX(0,
_xlfn.XLOOKUP(F884,purchase!D:D,purchase!#REF!,"")
-
SUMIFS(L:L,F:F,F884)))</f>
        <v/>
      </c>
      <c r="O884" s="13" t="str">
        <f t="shared" si="95"/>
        <v/>
      </c>
      <c r="P884" s="35" t="str">
        <f>_xlfn.SINGLE(IF(F884="","",_xlfn.XLOOKUP(F884,purchase!D:D,purchase!K:K,"")))</f>
        <v/>
      </c>
      <c r="Q884" s="29" t="str">
        <f t="shared" si="96"/>
        <v/>
      </c>
      <c r="R884" s="37" t="str">
        <f t="shared" si="97"/>
        <v/>
      </c>
    </row>
    <row r="885" spans="1:18" x14ac:dyDescent="0.35">
      <c r="A885" s="8">
        <v>881</v>
      </c>
      <c r="B885" s="9" t="str">
        <f t="shared" si="91"/>
        <v/>
      </c>
      <c r="C885" s="10"/>
      <c r="D885" s="9" t="str">
        <f>IF(F885="","",_xlfn.XLOOKUP(F885,purchase!D:D,purchase!#REF!,""))</f>
        <v/>
      </c>
      <c r="E885" s="9" t="str">
        <f>IF(F885="","",_xlfn.XLOOKUP(F885,purchase!D:D,purchase!B:B,""))</f>
        <v/>
      </c>
      <c r="F885" s="2"/>
      <c r="G885" s="4" t="str">
        <f t="shared" si="92"/>
        <v/>
      </c>
      <c r="H885" s="4" t="str">
        <f>IF(F885="","",_xlfn.XLOOKUP(F885,purchase!D:D,purchase!#REF!,""))</f>
        <v/>
      </c>
      <c r="I885" s="4" t="str">
        <f t="shared" si="93"/>
        <v/>
      </c>
      <c r="J885" s="4" t="str">
        <f t="shared" si="94"/>
        <v/>
      </c>
      <c r="K885" s="13" t="str">
        <f>_xlfn.SINGLE(IF(F885="","",_xlfn.XLOOKUP(F885,purchase!D:D,purchase!#REF!,"")))</f>
        <v/>
      </c>
      <c r="L885" s="2"/>
      <c r="M885" s="32"/>
      <c r="N885" s="13" t="str">
        <f>IF(F885="","",
MAX(0,
_xlfn.XLOOKUP(F885,purchase!D:D,purchase!#REF!,"")
-
SUMIFS(L:L,F:F,F885)))</f>
        <v/>
      </c>
      <c r="O885" s="13" t="str">
        <f t="shared" si="95"/>
        <v/>
      </c>
      <c r="P885" s="35" t="str">
        <f>_xlfn.SINGLE(IF(F885="","",_xlfn.XLOOKUP(F885,purchase!D:D,purchase!K:K,"")))</f>
        <v/>
      </c>
      <c r="Q885" s="29" t="str">
        <f t="shared" si="96"/>
        <v/>
      </c>
      <c r="R885" s="37" t="str">
        <f t="shared" si="97"/>
        <v/>
      </c>
    </row>
    <row r="886" spans="1:18" x14ac:dyDescent="0.35">
      <c r="A886" s="8">
        <v>882</v>
      </c>
      <c r="B886" s="9" t="str">
        <f t="shared" si="91"/>
        <v/>
      </c>
      <c r="C886" s="10"/>
      <c r="D886" s="9" t="str">
        <f>IF(F886="","",_xlfn.XLOOKUP(F886,purchase!D:D,purchase!#REF!,""))</f>
        <v/>
      </c>
      <c r="E886" s="9" t="str">
        <f>IF(F886="","",_xlfn.XLOOKUP(F886,purchase!D:D,purchase!B:B,""))</f>
        <v/>
      </c>
      <c r="F886" s="2"/>
      <c r="G886" s="4" t="str">
        <f t="shared" si="92"/>
        <v/>
      </c>
      <c r="H886" s="4" t="str">
        <f>IF(F886="","",_xlfn.XLOOKUP(F886,purchase!D:D,purchase!#REF!,""))</f>
        <v/>
      </c>
      <c r="I886" s="4" t="str">
        <f t="shared" si="93"/>
        <v/>
      </c>
      <c r="J886" s="4" t="str">
        <f t="shared" si="94"/>
        <v/>
      </c>
      <c r="K886" s="13" t="str">
        <f>_xlfn.SINGLE(IF(F886="","",_xlfn.XLOOKUP(F886,purchase!D:D,purchase!#REF!,"")))</f>
        <v/>
      </c>
      <c r="L886" s="2"/>
      <c r="M886" s="32"/>
      <c r="N886" s="13" t="str">
        <f>IF(F886="","",
MAX(0,
_xlfn.XLOOKUP(F886,purchase!D:D,purchase!#REF!,"")
-
SUMIFS(L:L,F:F,F886)))</f>
        <v/>
      </c>
      <c r="O886" s="13" t="str">
        <f t="shared" si="95"/>
        <v/>
      </c>
      <c r="P886" s="35" t="str">
        <f>_xlfn.SINGLE(IF(F886="","",_xlfn.XLOOKUP(F886,purchase!D:D,purchase!K:K,"")))</f>
        <v/>
      </c>
      <c r="Q886" s="29" t="str">
        <f t="shared" si="96"/>
        <v/>
      </c>
      <c r="R886" s="37" t="str">
        <f t="shared" si="97"/>
        <v/>
      </c>
    </row>
    <row r="887" spans="1:18" x14ac:dyDescent="0.35">
      <c r="A887" s="8">
        <v>883</v>
      </c>
      <c r="B887" s="9" t="str">
        <f t="shared" si="91"/>
        <v/>
      </c>
      <c r="C887" s="10"/>
      <c r="D887" s="9" t="str">
        <f>IF(F887="","",_xlfn.XLOOKUP(F887,purchase!D:D,purchase!#REF!,""))</f>
        <v/>
      </c>
      <c r="E887" s="9" t="str">
        <f>IF(F887="","",_xlfn.XLOOKUP(F887,purchase!D:D,purchase!B:B,""))</f>
        <v/>
      </c>
      <c r="F887" s="2"/>
      <c r="G887" s="4" t="str">
        <f t="shared" si="92"/>
        <v/>
      </c>
      <c r="H887" s="4" t="str">
        <f>IF(F887="","",_xlfn.XLOOKUP(F887,purchase!D:D,purchase!#REF!,""))</f>
        <v/>
      </c>
      <c r="I887" s="4" t="str">
        <f t="shared" si="93"/>
        <v/>
      </c>
      <c r="J887" s="4" t="str">
        <f t="shared" si="94"/>
        <v/>
      </c>
      <c r="K887" s="13" t="str">
        <f>_xlfn.SINGLE(IF(F887="","",_xlfn.XLOOKUP(F887,purchase!D:D,purchase!#REF!,"")))</f>
        <v/>
      </c>
      <c r="L887" s="2"/>
      <c r="M887" s="32"/>
      <c r="N887" s="13" t="str">
        <f>IF(F887="","",
MAX(0,
_xlfn.XLOOKUP(F887,purchase!D:D,purchase!#REF!,"")
-
SUMIFS(L:L,F:F,F887)))</f>
        <v/>
      </c>
      <c r="O887" s="13" t="str">
        <f t="shared" si="95"/>
        <v/>
      </c>
      <c r="P887" s="35" t="str">
        <f>_xlfn.SINGLE(IF(F887="","",_xlfn.XLOOKUP(F887,purchase!D:D,purchase!K:K,"")))</f>
        <v/>
      </c>
      <c r="Q887" s="29" t="str">
        <f t="shared" si="96"/>
        <v/>
      </c>
      <c r="R887" s="37" t="str">
        <f t="shared" si="97"/>
        <v/>
      </c>
    </row>
    <row r="888" spans="1:18" x14ac:dyDescent="0.35">
      <c r="A888" s="8">
        <v>884</v>
      </c>
      <c r="B888" s="9" t="str">
        <f t="shared" si="91"/>
        <v/>
      </c>
      <c r="C888" s="10"/>
      <c r="D888" s="9" t="str">
        <f>IF(F888="","",_xlfn.XLOOKUP(F888,purchase!D:D,purchase!#REF!,""))</f>
        <v/>
      </c>
      <c r="E888" s="9" t="str">
        <f>IF(F888="","",_xlfn.XLOOKUP(F888,purchase!D:D,purchase!B:B,""))</f>
        <v/>
      </c>
      <c r="F888" s="2"/>
      <c r="G888" s="4" t="str">
        <f t="shared" si="92"/>
        <v/>
      </c>
      <c r="H888" s="4" t="str">
        <f>IF(F888="","",_xlfn.XLOOKUP(F888,purchase!D:D,purchase!#REF!,""))</f>
        <v/>
      </c>
      <c r="I888" s="4" t="str">
        <f t="shared" si="93"/>
        <v/>
      </c>
      <c r="J888" s="4" t="str">
        <f t="shared" si="94"/>
        <v/>
      </c>
      <c r="K888" s="13" t="str">
        <f>_xlfn.SINGLE(IF(F888="","",_xlfn.XLOOKUP(F888,purchase!D:D,purchase!#REF!,"")))</f>
        <v/>
      </c>
      <c r="L888" s="2"/>
      <c r="M888" s="32"/>
      <c r="N888" s="13" t="str">
        <f>IF(F888="","",
MAX(0,
_xlfn.XLOOKUP(F888,purchase!D:D,purchase!#REF!,"")
-
SUMIFS(L:L,F:F,F888)))</f>
        <v/>
      </c>
      <c r="O888" s="13" t="str">
        <f t="shared" si="95"/>
        <v/>
      </c>
      <c r="P888" s="35" t="str">
        <f>_xlfn.SINGLE(IF(F888="","",_xlfn.XLOOKUP(F888,purchase!D:D,purchase!K:K,"")))</f>
        <v/>
      </c>
      <c r="Q888" s="29" t="str">
        <f t="shared" si="96"/>
        <v/>
      </c>
      <c r="R888" s="37" t="str">
        <f t="shared" si="97"/>
        <v/>
      </c>
    </row>
    <row r="889" spans="1:18" x14ac:dyDescent="0.35">
      <c r="A889" s="8">
        <v>885</v>
      </c>
      <c r="B889" s="9" t="str">
        <f t="shared" si="91"/>
        <v/>
      </c>
      <c r="C889" s="10"/>
      <c r="D889" s="9" t="str">
        <f>IF(F889="","",_xlfn.XLOOKUP(F889,purchase!D:D,purchase!#REF!,""))</f>
        <v/>
      </c>
      <c r="E889" s="9" t="str">
        <f>IF(F889="","",_xlfn.XLOOKUP(F889,purchase!D:D,purchase!B:B,""))</f>
        <v/>
      </c>
      <c r="F889" s="2"/>
      <c r="G889" s="4" t="str">
        <f t="shared" si="92"/>
        <v/>
      </c>
      <c r="H889" s="4" t="str">
        <f>IF(F889="","",_xlfn.XLOOKUP(F889,purchase!D:D,purchase!#REF!,""))</f>
        <v/>
      </c>
      <c r="I889" s="4" t="str">
        <f t="shared" si="93"/>
        <v/>
      </c>
      <c r="J889" s="4" t="str">
        <f t="shared" si="94"/>
        <v/>
      </c>
      <c r="K889" s="13" t="str">
        <f>_xlfn.SINGLE(IF(F889="","",_xlfn.XLOOKUP(F889,purchase!D:D,purchase!#REF!,"")))</f>
        <v/>
      </c>
      <c r="L889" s="2"/>
      <c r="M889" s="32"/>
      <c r="N889" s="13" t="str">
        <f>IF(F889="","",
MAX(0,
_xlfn.XLOOKUP(F889,purchase!D:D,purchase!#REF!,"")
-
SUMIFS(L:L,F:F,F889)))</f>
        <v/>
      </c>
      <c r="O889" s="13" t="str">
        <f t="shared" si="95"/>
        <v/>
      </c>
      <c r="P889" s="35" t="str">
        <f>_xlfn.SINGLE(IF(F889="","",_xlfn.XLOOKUP(F889,purchase!D:D,purchase!K:K,"")))</f>
        <v/>
      </c>
      <c r="Q889" s="29" t="str">
        <f t="shared" si="96"/>
        <v/>
      </c>
      <c r="R889" s="37" t="str">
        <f t="shared" si="97"/>
        <v/>
      </c>
    </row>
    <row r="890" spans="1:18" x14ac:dyDescent="0.35">
      <c r="A890" s="8">
        <v>886</v>
      </c>
      <c r="B890" s="9" t="str">
        <f t="shared" si="91"/>
        <v/>
      </c>
      <c r="C890" s="10"/>
      <c r="D890" s="9" t="str">
        <f>IF(F890="","",_xlfn.XLOOKUP(F890,purchase!D:D,purchase!#REF!,""))</f>
        <v/>
      </c>
      <c r="E890" s="9" t="str">
        <f>IF(F890="","",_xlfn.XLOOKUP(F890,purchase!D:D,purchase!B:B,""))</f>
        <v/>
      </c>
      <c r="F890" s="2"/>
      <c r="G890" s="4" t="str">
        <f t="shared" si="92"/>
        <v/>
      </c>
      <c r="H890" s="4" t="str">
        <f>IF(F890="","",_xlfn.XLOOKUP(F890,purchase!D:D,purchase!#REF!,""))</f>
        <v/>
      </c>
      <c r="I890" s="4" t="str">
        <f t="shared" si="93"/>
        <v/>
      </c>
      <c r="J890" s="4" t="str">
        <f t="shared" si="94"/>
        <v/>
      </c>
      <c r="K890" s="13" t="str">
        <f>_xlfn.SINGLE(IF(F890="","",_xlfn.XLOOKUP(F890,purchase!D:D,purchase!#REF!,"")))</f>
        <v/>
      </c>
      <c r="L890" s="2"/>
      <c r="M890" s="32"/>
      <c r="N890" s="13" t="str">
        <f>IF(F890="","",
MAX(0,
_xlfn.XLOOKUP(F890,purchase!D:D,purchase!#REF!,"")
-
SUMIFS(L:L,F:F,F890)))</f>
        <v/>
      </c>
      <c r="O890" s="13" t="str">
        <f t="shared" si="95"/>
        <v/>
      </c>
      <c r="P890" s="35" t="str">
        <f>_xlfn.SINGLE(IF(F890="","",_xlfn.XLOOKUP(F890,purchase!D:D,purchase!K:K,"")))</f>
        <v/>
      </c>
      <c r="Q890" s="29" t="str">
        <f t="shared" si="96"/>
        <v/>
      </c>
      <c r="R890" s="37" t="str">
        <f t="shared" si="97"/>
        <v/>
      </c>
    </row>
    <row r="891" spans="1:18" x14ac:dyDescent="0.35">
      <c r="A891" s="8">
        <v>887</v>
      </c>
      <c r="B891" s="9" t="str">
        <f t="shared" si="91"/>
        <v/>
      </c>
      <c r="C891" s="10"/>
      <c r="D891" s="9" t="str">
        <f>IF(F891="","",_xlfn.XLOOKUP(F891,purchase!D:D,purchase!#REF!,""))</f>
        <v/>
      </c>
      <c r="E891" s="9" t="str">
        <f>IF(F891="","",_xlfn.XLOOKUP(F891,purchase!D:D,purchase!B:B,""))</f>
        <v/>
      </c>
      <c r="F891" s="2"/>
      <c r="G891" s="4" t="str">
        <f t="shared" si="92"/>
        <v/>
      </c>
      <c r="H891" s="4" t="str">
        <f>IF(F891="","",_xlfn.XLOOKUP(F891,purchase!D:D,purchase!#REF!,""))</f>
        <v/>
      </c>
      <c r="I891" s="4" t="str">
        <f t="shared" si="93"/>
        <v/>
      </c>
      <c r="J891" s="4" t="str">
        <f t="shared" si="94"/>
        <v/>
      </c>
      <c r="K891" s="13" t="str">
        <f>_xlfn.SINGLE(IF(F891="","",_xlfn.XLOOKUP(F891,purchase!D:D,purchase!#REF!,"")))</f>
        <v/>
      </c>
      <c r="L891" s="2"/>
      <c r="M891" s="32"/>
      <c r="N891" s="13" t="str">
        <f>IF(F891="","",
MAX(0,
_xlfn.XLOOKUP(F891,purchase!D:D,purchase!#REF!,"")
-
SUMIFS(L:L,F:F,F891)))</f>
        <v/>
      </c>
      <c r="O891" s="13" t="str">
        <f t="shared" si="95"/>
        <v/>
      </c>
      <c r="P891" s="35" t="str">
        <f>_xlfn.SINGLE(IF(F891="","",_xlfn.XLOOKUP(F891,purchase!D:D,purchase!K:K,"")))</f>
        <v/>
      </c>
      <c r="Q891" s="29" t="str">
        <f t="shared" si="96"/>
        <v/>
      </c>
      <c r="R891" s="37" t="str">
        <f t="shared" si="97"/>
        <v/>
      </c>
    </row>
    <row r="892" spans="1:18" x14ac:dyDescent="0.35">
      <c r="A892" s="8">
        <v>888</v>
      </c>
      <c r="B892" s="9" t="str">
        <f t="shared" si="91"/>
        <v/>
      </c>
      <c r="C892" s="10"/>
      <c r="D892" s="9" t="str">
        <f>IF(F892="","",_xlfn.XLOOKUP(F892,purchase!D:D,purchase!#REF!,""))</f>
        <v/>
      </c>
      <c r="E892" s="9" t="str">
        <f>IF(F892="","",_xlfn.XLOOKUP(F892,purchase!D:D,purchase!B:B,""))</f>
        <v/>
      </c>
      <c r="F892" s="2"/>
      <c r="G892" s="4" t="str">
        <f t="shared" si="92"/>
        <v/>
      </c>
      <c r="H892" s="4" t="str">
        <f>IF(F892="","",_xlfn.XLOOKUP(F892,purchase!D:D,purchase!#REF!,""))</f>
        <v/>
      </c>
      <c r="I892" s="4" t="str">
        <f t="shared" si="93"/>
        <v/>
      </c>
      <c r="J892" s="4" t="str">
        <f t="shared" si="94"/>
        <v/>
      </c>
      <c r="K892" s="13" t="str">
        <f>_xlfn.SINGLE(IF(F892="","",_xlfn.XLOOKUP(F892,purchase!D:D,purchase!#REF!,"")))</f>
        <v/>
      </c>
      <c r="L892" s="2"/>
      <c r="M892" s="32"/>
      <c r="N892" s="13" t="str">
        <f>IF(F892="","",
MAX(0,
_xlfn.XLOOKUP(F892,purchase!D:D,purchase!#REF!,"")
-
SUMIFS(L:L,F:F,F892)))</f>
        <v/>
      </c>
      <c r="O892" s="13" t="str">
        <f t="shared" si="95"/>
        <v/>
      </c>
      <c r="P892" s="35" t="str">
        <f>_xlfn.SINGLE(IF(F892="","",_xlfn.XLOOKUP(F892,purchase!D:D,purchase!K:K,"")))</f>
        <v/>
      </c>
      <c r="Q892" s="29" t="str">
        <f t="shared" si="96"/>
        <v/>
      </c>
      <c r="R892" s="37" t="str">
        <f t="shared" si="97"/>
        <v/>
      </c>
    </row>
    <row r="893" spans="1:18" x14ac:dyDescent="0.35">
      <c r="A893" s="8">
        <v>889</v>
      </c>
      <c r="B893" s="9" t="str">
        <f t="shared" si="91"/>
        <v/>
      </c>
      <c r="C893" s="10"/>
      <c r="D893" s="9" t="str">
        <f>IF(F893="","",_xlfn.XLOOKUP(F893,purchase!D:D,purchase!#REF!,""))</f>
        <v/>
      </c>
      <c r="E893" s="9" t="str">
        <f>IF(F893="","",_xlfn.XLOOKUP(F893,purchase!D:D,purchase!B:B,""))</f>
        <v/>
      </c>
      <c r="F893" s="2"/>
      <c r="G893" s="4" t="str">
        <f t="shared" si="92"/>
        <v/>
      </c>
      <c r="H893" s="4" t="str">
        <f>IF(F893="","",_xlfn.XLOOKUP(F893,purchase!D:D,purchase!#REF!,""))</f>
        <v/>
      </c>
      <c r="I893" s="4" t="str">
        <f t="shared" si="93"/>
        <v/>
      </c>
      <c r="J893" s="4" t="str">
        <f t="shared" si="94"/>
        <v/>
      </c>
      <c r="K893" s="13" t="str">
        <f>_xlfn.SINGLE(IF(F893="","",_xlfn.XLOOKUP(F893,purchase!D:D,purchase!#REF!,"")))</f>
        <v/>
      </c>
      <c r="L893" s="2"/>
      <c r="M893" s="32"/>
      <c r="N893" s="13" t="str">
        <f>IF(F893="","",
MAX(0,
_xlfn.XLOOKUP(F893,purchase!D:D,purchase!#REF!,"")
-
SUMIFS(L:L,F:F,F893)))</f>
        <v/>
      </c>
      <c r="O893" s="13" t="str">
        <f t="shared" si="95"/>
        <v/>
      </c>
      <c r="P893" s="35" t="str">
        <f>_xlfn.SINGLE(IF(F893="","",_xlfn.XLOOKUP(F893,purchase!D:D,purchase!K:K,"")))</f>
        <v/>
      </c>
      <c r="Q893" s="29" t="str">
        <f t="shared" si="96"/>
        <v/>
      </c>
      <c r="R893" s="37" t="str">
        <f t="shared" si="97"/>
        <v/>
      </c>
    </row>
    <row r="894" spans="1:18" x14ac:dyDescent="0.35">
      <c r="A894" s="8">
        <v>890</v>
      </c>
      <c r="B894" s="9" t="str">
        <f t="shared" si="91"/>
        <v/>
      </c>
      <c r="C894" s="10"/>
      <c r="D894" s="9" t="str">
        <f>IF(F894="","",_xlfn.XLOOKUP(F894,purchase!D:D,purchase!#REF!,""))</f>
        <v/>
      </c>
      <c r="E894" s="9" t="str">
        <f>IF(F894="","",_xlfn.XLOOKUP(F894,purchase!D:D,purchase!B:B,""))</f>
        <v/>
      </c>
      <c r="F894" s="2"/>
      <c r="G894" s="4" t="str">
        <f t="shared" si="92"/>
        <v/>
      </c>
      <c r="H894" s="4" t="str">
        <f>IF(F894="","",_xlfn.XLOOKUP(F894,purchase!D:D,purchase!#REF!,""))</f>
        <v/>
      </c>
      <c r="I894" s="4" t="str">
        <f t="shared" si="93"/>
        <v/>
      </c>
      <c r="J894" s="4" t="str">
        <f t="shared" si="94"/>
        <v/>
      </c>
      <c r="K894" s="13" t="str">
        <f>_xlfn.SINGLE(IF(F894="","",_xlfn.XLOOKUP(F894,purchase!D:D,purchase!#REF!,"")))</f>
        <v/>
      </c>
      <c r="L894" s="2"/>
      <c r="M894" s="32"/>
      <c r="N894" s="13" t="str">
        <f>IF(F894="","",
MAX(0,
_xlfn.XLOOKUP(F894,purchase!D:D,purchase!#REF!,"")
-
SUMIFS(L:L,F:F,F894)))</f>
        <v/>
      </c>
      <c r="O894" s="13" t="str">
        <f t="shared" si="95"/>
        <v/>
      </c>
      <c r="P894" s="35" t="str">
        <f>_xlfn.SINGLE(IF(F894="","",_xlfn.XLOOKUP(F894,purchase!D:D,purchase!K:K,"")))</f>
        <v/>
      </c>
      <c r="Q894" s="29" t="str">
        <f t="shared" si="96"/>
        <v/>
      </c>
      <c r="R894" s="37" t="str">
        <f t="shared" si="97"/>
        <v/>
      </c>
    </row>
    <row r="895" spans="1:18" x14ac:dyDescent="0.35">
      <c r="A895" s="8">
        <v>891</v>
      </c>
      <c r="B895" s="9" t="str">
        <f t="shared" si="91"/>
        <v/>
      </c>
      <c r="C895" s="10"/>
      <c r="D895" s="9" t="str">
        <f>IF(F895="","",_xlfn.XLOOKUP(F895,purchase!D:D,purchase!#REF!,""))</f>
        <v/>
      </c>
      <c r="E895" s="9" t="str">
        <f>IF(F895="","",_xlfn.XLOOKUP(F895,purchase!D:D,purchase!B:B,""))</f>
        <v/>
      </c>
      <c r="F895" s="2"/>
      <c r="G895" s="4" t="str">
        <f t="shared" si="92"/>
        <v/>
      </c>
      <c r="H895" s="4" t="str">
        <f>IF(F895="","",_xlfn.XLOOKUP(F895,purchase!D:D,purchase!#REF!,""))</f>
        <v/>
      </c>
      <c r="I895" s="4" t="str">
        <f t="shared" si="93"/>
        <v/>
      </c>
      <c r="J895" s="4" t="str">
        <f t="shared" si="94"/>
        <v/>
      </c>
      <c r="K895" s="13" t="str">
        <f>_xlfn.SINGLE(IF(F895="","",_xlfn.XLOOKUP(F895,purchase!D:D,purchase!#REF!,"")))</f>
        <v/>
      </c>
      <c r="L895" s="2"/>
      <c r="M895" s="32"/>
      <c r="N895" s="13" t="str">
        <f>IF(F895="","",
MAX(0,
_xlfn.XLOOKUP(F895,purchase!D:D,purchase!#REF!,"")
-
SUMIFS(L:L,F:F,F895)))</f>
        <v/>
      </c>
      <c r="O895" s="13" t="str">
        <f t="shared" si="95"/>
        <v/>
      </c>
      <c r="P895" s="35" t="str">
        <f>_xlfn.SINGLE(IF(F895="","",_xlfn.XLOOKUP(F895,purchase!D:D,purchase!K:K,"")))</f>
        <v/>
      </c>
      <c r="Q895" s="29" t="str">
        <f t="shared" si="96"/>
        <v/>
      </c>
      <c r="R895" s="37" t="str">
        <f t="shared" si="97"/>
        <v/>
      </c>
    </row>
    <row r="896" spans="1:18" x14ac:dyDescent="0.35">
      <c r="A896" s="8">
        <v>892</v>
      </c>
      <c r="B896" s="9" t="str">
        <f t="shared" si="91"/>
        <v/>
      </c>
      <c r="C896" s="10"/>
      <c r="D896" s="9" t="str">
        <f>IF(F896="","",_xlfn.XLOOKUP(F896,purchase!D:D,purchase!#REF!,""))</f>
        <v/>
      </c>
      <c r="E896" s="9" t="str">
        <f>IF(F896="","",_xlfn.XLOOKUP(F896,purchase!D:D,purchase!B:B,""))</f>
        <v/>
      </c>
      <c r="F896" s="2"/>
      <c r="G896" s="4" t="str">
        <f t="shared" si="92"/>
        <v/>
      </c>
      <c r="H896" s="4" t="str">
        <f>IF(F896="","",_xlfn.XLOOKUP(F896,purchase!D:D,purchase!#REF!,""))</f>
        <v/>
      </c>
      <c r="I896" s="4" t="str">
        <f t="shared" si="93"/>
        <v/>
      </c>
      <c r="J896" s="4" t="str">
        <f t="shared" si="94"/>
        <v/>
      </c>
      <c r="K896" s="13" t="str">
        <f>_xlfn.SINGLE(IF(F896="","",_xlfn.XLOOKUP(F896,purchase!D:D,purchase!#REF!,"")))</f>
        <v/>
      </c>
      <c r="L896" s="2"/>
      <c r="M896" s="32"/>
      <c r="N896" s="13" t="str">
        <f>IF(F896="","",
MAX(0,
_xlfn.XLOOKUP(F896,purchase!D:D,purchase!#REF!,"")
-
SUMIFS(L:L,F:F,F896)))</f>
        <v/>
      </c>
      <c r="O896" s="13" t="str">
        <f t="shared" si="95"/>
        <v/>
      </c>
      <c r="P896" s="35" t="str">
        <f>_xlfn.SINGLE(IF(F896="","",_xlfn.XLOOKUP(F896,purchase!D:D,purchase!K:K,"")))</f>
        <v/>
      </c>
      <c r="Q896" s="29" t="str">
        <f t="shared" si="96"/>
        <v/>
      </c>
      <c r="R896" s="37" t="str">
        <f t="shared" si="97"/>
        <v/>
      </c>
    </row>
    <row r="897" spans="1:18" x14ac:dyDescent="0.35">
      <c r="A897" s="8">
        <v>893</v>
      </c>
      <c r="B897" s="9" t="str">
        <f t="shared" si="91"/>
        <v/>
      </c>
      <c r="C897" s="10"/>
      <c r="D897" s="9" t="str">
        <f>IF(F897="","",_xlfn.XLOOKUP(F897,purchase!D:D,purchase!#REF!,""))</f>
        <v/>
      </c>
      <c r="E897" s="9" t="str">
        <f>IF(F897="","",_xlfn.XLOOKUP(F897,purchase!D:D,purchase!B:B,""))</f>
        <v/>
      </c>
      <c r="F897" s="2"/>
      <c r="G897" s="4" t="str">
        <f t="shared" si="92"/>
        <v/>
      </c>
      <c r="H897" s="4" t="str">
        <f>IF(F897="","",_xlfn.XLOOKUP(F897,purchase!D:D,purchase!#REF!,""))</f>
        <v/>
      </c>
      <c r="I897" s="4" t="str">
        <f t="shared" si="93"/>
        <v/>
      </c>
      <c r="J897" s="4" t="str">
        <f t="shared" si="94"/>
        <v/>
      </c>
      <c r="K897" s="13" t="str">
        <f>_xlfn.SINGLE(IF(F897="","",_xlfn.XLOOKUP(F897,purchase!D:D,purchase!#REF!,"")))</f>
        <v/>
      </c>
      <c r="L897" s="2"/>
      <c r="M897" s="32"/>
      <c r="N897" s="13" t="str">
        <f>IF(F897="","",
MAX(0,
_xlfn.XLOOKUP(F897,purchase!D:D,purchase!#REF!,"")
-
SUMIFS(L:L,F:F,F897)))</f>
        <v/>
      </c>
      <c r="O897" s="13" t="str">
        <f t="shared" si="95"/>
        <v/>
      </c>
      <c r="P897" s="35" t="str">
        <f>_xlfn.SINGLE(IF(F897="","",_xlfn.XLOOKUP(F897,purchase!D:D,purchase!K:K,"")))</f>
        <v/>
      </c>
      <c r="Q897" s="29" t="str">
        <f t="shared" si="96"/>
        <v/>
      </c>
      <c r="R897" s="37" t="str">
        <f t="shared" si="97"/>
        <v/>
      </c>
    </row>
    <row r="898" spans="1:18" x14ac:dyDescent="0.35">
      <c r="A898" s="8">
        <v>894</v>
      </c>
      <c r="B898" s="9" t="str">
        <f t="shared" si="91"/>
        <v/>
      </c>
      <c r="C898" s="10"/>
      <c r="D898" s="9" t="str">
        <f>IF(F898="","",_xlfn.XLOOKUP(F898,purchase!D:D,purchase!#REF!,""))</f>
        <v/>
      </c>
      <c r="E898" s="9" t="str">
        <f>IF(F898="","",_xlfn.XLOOKUP(F898,purchase!D:D,purchase!B:B,""))</f>
        <v/>
      </c>
      <c r="F898" s="2"/>
      <c r="G898" s="4" t="str">
        <f t="shared" si="92"/>
        <v/>
      </c>
      <c r="H898" s="4" t="str">
        <f>IF(F898="","",_xlfn.XLOOKUP(F898,purchase!D:D,purchase!#REF!,""))</f>
        <v/>
      </c>
      <c r="I898" s="4" t="str">
        <f t="shared" si="93"/>
        <v/>
      </c>
      <c r="J898" s="4" t="str">
        <f t="shared" si="94"/>
        <v/>
      </c>
      <c r="K898" s="13" t="str">
        <f>_xlfn.SINGLE(IF(F898="","",_xlfn.XLOOKUP(F898,purchase!D:D,purchase!#REF!,"")))</f>
        <v/>
      </c>
      <c r="L898" s="2"/>
      <c r="M898" s="32"/>
      <c r="N898" s="13" t="str">
        <f>IF(F898="","",
MAX(0,
_xlfn.XLOOKUP(F898,purchase!D:D,purchase!#REF!,"")
-
SUMIFS(L:L,F:F,F898)))</f>
        <v/>
      </c>
      <c r="O898" s="13" t="str">
        <f t="shared" si="95"/>
        <v/>
      </c>
      <c r="P898" s="35" t="str">
        <f>_xlfn.SINGLE(IF(F898="","",_xlfn.XLOOKUP(F898,purchase!D:D,purchase!K:K,"")))</f>
        <v/>
      </c>
      <c r="Q898" s="29" t="str">
        <f t="shared" si="96"/>
        <v/>
      </c>
      <c r="R898" s="37" t="str">
        <f t="shared" si="97"/>
        <v/>
      </c>
    </row>
    <row r="899" spans="1:18" x14ac:dyDescent="0.35">
      <c r="A899" s="8">
        <v>895</v>
      </c>
      <c r="B899" s="9" t="str">
        <f t="shared" si="91"/>
        <v/>
      </c>
      <c r="C899" s="10"/>
      <c r="D899" s="9" t="str">
        <f>IF(F899="","",_xlfn.XLOOKUP(F899,purchase!D:D,purchase!#REF!,""))</f>
        <v/>
      </c>
      <c r="E899" s="9" t="str">
        <f>IF(F899="","",_xlfn.XLOOKUP(F899,purchase!D:D,purchase!B:B,""))</f>
        <v/>
      </c>
      <c r="F899" s="2"/>
      <c r="G899" s="4" t="str">
        <f t="shared" si="92"/>
        <v/>
      </c>
      <c r="H899" s="4" t="str">
        <f>IF(F899="","",_xlfn.XLOOKUP(F899,purchase!D:D,purchase!#REF!,""))</f>
        <v/>
      </c>
      <c r="I899" s="4" t="str">
        <f t="shared" si="93"/>
        <v/>
      </c>
      <c r="J899" s="4" t="str">
        <f t="shared" si="94"/>
        <v/>
      </c>
      <c r="K899" s="13" t="str">
        <f>_xlfn.SINGLE(IF(F899="","",_xlfn.XLOOKUP(F899,purchase!D:D,purchase!#REF!,"")))</f>
        <v/>
      </c>
      <c r="L899" s="2"/>
      <c r="M899" s="32"/>
      <c r="N899" s="13" t="str">
        <f>IF(F899="","",
MAX(0,
_xlfn.XLOOKUP(F899,purchase!D:D,purchase!#REF!,"")
-
SUMIFS(L:L,F:F,F899)))</f>
        <v/>
      </c>
      <c r="O899" s="13" t="str">
        <f t="shared" si="95"/>
        <v/>
      </c>
      <c r="P899" s="35" t="str">
        <f>_xlfn.SINGLE(IF(F899="","",_xlfn.XLOOKUP(F899,purchase!D:D,purchase!K:K,"")))</f>
        <v/>
      </c>
      <c r="Q899" s="29" t="str">
        <f t="shared" si="96"/>
        <v/>
      </c>
      <c r="R899" s="37" t="str">
        <f t="shared" si="97"/>
        <v/>
      </c>
    </row>
    <row r="900" spans="1:18" x14ac:dyDescent="0.35">
      <c r="A900" s="8">
        <v>896</v>
      </c>
      <c r="B900" s="9" t="str">
        <f t="shared" si="91"/>
        <v/>
      </c>
      <c r="C900" s="10"/>
      <c r="D900" s="9" t="str">
        <f>IF(F900="","",_xlfn.XLOOKUP(F900,purchase!D:D,purchase!#REF!,""))</f>
        <v/>
      </c>
      <c r="E900" s="9" t="str">
        <f>IF(F900="","",_xlfn.XLOOKUP(F900,purchase!D:D,purchase!B:B,""))</f>
        <v/>
      </c>
      <c r="F900" s="2"/>
      <c r="G900" s="4" t="str">
        <f t="shared" si="92"/>
        <v/>
      </c>
      <c r="H900" s="4" t="str">
        <f>IF(F900="","",_xlfn.XLOOKUP(F900,purchase!D:D,purchase!#REF!,""))</f>
        <v/>
      </c>
      <c r="I900" s="4" t="str">
        <f t="shared" si="93"/>
        <v/>
      </c>
      <c r="J900" s="4" t="str">
        <f t="shared" si="94"/>
        <v/>
      </c>
      <c r="K900" s="13" t="str">
        <f>_xlfn.SINGLE(IF(F900="","",_xlfn.XLOOKUP(F900,purchase!D:D,purchase!#REF!,"")))</f>
        <v/>
      </c>
      <c r="L900" s="2"/>
      <c r="M900" s="32"/>
      <c r="N900" s="13" t="str">
        <f>IF(F900="","",
MAX(0,
_xlfn.XLOOKUP(F900,purchase!D:D,purchase!#REF!,"")
-
SUMIFS(L:L,F:F,F900)))</f>
        <v/>
      </c>
      <c r="O900" s="13" t="str">
        <f t="shared" si="95"/>
        <v/>
      </c>
      <c r="P900" s="35" t="str">
        <f>_xlfn.SINGLE(IF(F900="","",_xlfn.XLOOKUP(F900,purchase!D:D,purchase!K:K,"")))</f>
        <v/>
      </c>
      <c r="Q900" s="29" t="str">
        <f t="shared" si="96"/>
        <v/>
      </c>
      <c r="R900" s="37" t="str">
        <f t="shared" si="97"/>
        <v/>
      </c>
    </row>
    <row r="901" spans="1:18" x14ac:dyDescent="0.35">
      <c r="A901" s="8">
        <v>897</v>
      </c>
      <c r="B901" s="9" t="str">
        <f t="shared" ref="B901:B964" si="98">IF(OR(C901="",F901=""),"",
"PRD-" &amp;
TEXT(DAY(C901),"00") &amp;
CHOOSE(MONTH(C901),"A","B","C","D","E","F","G","H","I","J","K","L") &amp;
TEXT(YEAR(C901),"00") &amp;
"-" &amp;
RIGHT(F901,4))</f>
        <v/>
      </c>
      <c r="C901" s="10"/>
      <c r="D901" s="9" t="str">
        <f>IF(F901="","",_xlfn.XLOOKUP(F901,purchase!D:D,purchase!#REF!,""))</f>
        <v/>
      </c>
      <c r="E901" s="9" t="str">
        <f>IF(F901="","",_xlfn.XLOOKUP(F901,purchase!D:D,purchase!B:B,""))</f>
        <v/>
      </c>
      <c r="F901" s="2"/>
      <c r="G901" s="4" t="str">
        <f t="shared" ref="G901:G964" si="99">IF(H901="NRFC","Natural Rubber Field Coagulam","")</f>
        <v/>
      </c>
      <c r="H901" s="4" t="str">
        <f>IF(F901="","",_xlfn.XLOOKUP(F901,purchase!D:D,purchase!#REF!,""))</f>
        <v/>
      </c>
      <c r="I901" s="4" t="str">
        <f t="shared" ref="I901:I964" si="100">IF(J901="ISNR20","Natural Rubber-TSNR (ISNR-20)","")</f>
        <v/>
      </c>
      <c r="J901" s="4" t="str">
        <f t="shared" ref="J901:J964" si="101">IF(H901="NRFC","ISNR20","")</f>
        <v/>
      </c>
      <c r="K901" s="13" t="str">
        <f>_xlfn.SINGLE(IF(F901="","",_xlfn.XLOOKUP(F901,purchase!D:D,purchase!#REF!,"")))</f>
        <v/>
      </c>
      <c r="L901" s="2"/>
      <c r="M901" s="32"/>
      <c r="N901" s="13" t="str">
        <f>IF(F901="","",
MAX(0,
_xlfn.XLOOKUP(F901,purchase!D:D,purchase!#REF!,"")
-
SUMIFS(L:L,F:F,F901)))</f>
        <v/>
      </c>
      <c r="O901" s="13" t="str">
        <f t="shared" ref="O901:O964" si="102">IF(OR(L901="",M901=""),"",L901-M901)</f>
        <v/>
      </c>
      <c r="P901" s="35" t="str">
        <f>_xlfn.SINGLE(IF(F901="","",_xlfn.XLOOKUP(F901,purchase!D:D,purchase!K:K,"")))</f>
        <v/>
      </c>
      <c r="Q901" s="29" t="str">
        <f t="shared" ref="Q901:Q964" si="103">IF(OR(L901="",M901=""),"",M901/L901)</f>
        <v/>
      </c>
      <c r="R901" s="37" t="str">
        <f t="shared" ref="R901:R964" si="104">IF(OR(P901="",Q901=""),"",Q901-P901)</f>
        <v/>
      </c>
    </row>
    <row r="902" spans="1:18" x14ac:dyDescent="0.35">
      <c r="A902" s="8">
        <v>898</v>
      </c>
      <c r="B902" s="9" t="str">
        <f t="shared" si="98"/>
        <v/>
      </c>
      <c r="C902" s="10"/>
      <c r="D902" s="9" t="str">
        <f>IF(F902="","",_xlfn.XLOOKUP(F902,purchase!D:D,purchase!#REF!,""))</f>
        <v/>
      </c>
      <c r="E902" s="9" t="str">
        <f>IF(F902="","",_xlfn.XLOOKUP(F902,purchase!D:D,purchase!B:B,""))</f>
        <v/>
      </c>
      <c r="F902" s="2"/>
      <c r="G902" s="4" t="str">
        <f t="shared" si="99"/>
        <v/>
      </c>
      <c r="H902" s="4" t="str">
        <f>IF(F902="","",_xlfn.XLOOKUP(F902,purchase!D:D,purchase!#REF!,""))</f>
        <v/>
      </c>
      <c r="I902" s="4" t="str">
        <f t="shared" si="100"/>
        <v/>
      </c>
      <c r="J902" s="4" t="str">
        <f t="shared" si="101"/>
        <v/>
      </c>
      <c r="K902" s="13" t="str">
        <f>_xlfn.SINGLE(IF(F902="","",_xlfn.XLOOKUP(F902,purchase!D:D,purchase!#REF!,"")))</f>
        <v/>
      </c>
      <c r="L902" s="2"/>
      <c r="M902" s="32"/>
      <c r="N902" s="13" t="str">
        <f>IF(F902="","",
MAX(0,
_xlfn.XLOOKUP(F902,purchase!D:D,purchase!#REF!,"")
-
SUMIFS(L:L,F:F,F902)))</f>
        <v/>
      </c>
      <c r="O902" s="13" t="str">
        <f t="shared" si="102"/>
        <v/>
      </c>
      <c r="P902" s="35" t="str">
        <f>_xlfn.SINGLE(IF(F902="","",_xlfn.XLOOKUP(F902,purchase!D:D,purchase!K:K,"")))</f>
        <v/>
      </c>
      <c r="Q902" s="29" t="str">
        <f t="shared" si="103"/>
        <v/>
      </c>
      <c r="R902" s="37" t="str">
        <f t="shared" si="104"/>
        <v/>
      </c>
    </row>
    <row r="903" spans="1:18" x14ac:dyDescent="0.35">
      <c r="A903" s="8">
        <v>899</v>
      </c>
      <c r="B903" s="9" t="str">
        <f t="shared" si="98"/>
        <v/>
      </c>
      <c r="C903" s="10"/>
      <c r="D903" s="9" t="str">
        <f>IF(F903="","",_xlfn.XLOOKUP(F903,purchase!D:D,purchase!#REF!,""))</f>
        <v/>
      </c>
      <c r="E903" s="9" t="str">
        <f>IF(F903="","",_xlfn.XLOOKUP(F903,purchase!D:D,purchase!B:B,""))</f>
        <v/>
      </c>
      <c r="F903" s="2"/>
      <c r="G903" s="4" t="str">
        <f t="shared" si="99"/>
        <v/>
      </c>
      <c r="H903" s="4" t="str">
        <f>IF(F903="","",_xlfn.XLOOKUP(F903,purchase!D:D,purchase!#REF!,""))</f>
        <v/>
      </c>
      <c r="I903" s="4" t="str">
        <f t="shared" si="100"/>
        <v/>
      </c>
      <c r="J903" s="4" t="str">
        <f t="shared" si="101"/>
        <v/>
      </c>
      <c r="K903" s="13" t="str">
        <f>_xlfn.SINGLE(IF(F903="","",_xlfn.XLOOKUP(F903,purchase!D:D,purchase!#REF!,"")))</f>
        <v/>
      </c>
      <c r="L903" s="2"/>
      <c r="M903" s="32"/>
      <c r="N903" s="13" t="str">
        <f>IF(F903="","",
MAX(0,
_xlfn.XLOOKUP(F903,purchase!D:D,purchase!#REF!,"")
-
SUMIFS(L:L,F:F,F903)))</f>
        <v/>
      </c>
      <c r="O903" s="13" t="str">
        <f t="shared" si="102"/>
        <v/>
      </c>
      <c r="P903" s="35" t="str">
        <f>_xlfn.SINGLE(IF(F903="","",_xlfn.XLOOKUP(F903,purchase!D:D,purchase!K:K,"")))</f>
        <v/>
      </c>
      <c r="Q903" s="29" t="str">
        <f t="shared" si="103"/>
        <v/>
      </c>
      <c r="R903" s="37" t="str">
        <f t="shared" si="104"/>
        <v/>
      </c>
    </row>
    <row r="904" spans="1:18" x14ac:dyDescent="0.35">
      <c r="A904" s="8">
        <v>900</v>
      </c>
      <c r="B904" s="9" t="str">
        <f t="shared" si="98"/>
        <v/>
      </c>
      <c r="C904" s="10"/>
      <c r="D904" s="9" t="str">
        <f>IF(F904="","",_xlfn.XLOOKUP(F904,purchase!D:D,purchase!#REF!,""))</f>
        <v/>
      </c>
      <c r="E904" s="9" t="str">
        <f>IF(F904="","",_xlfn.XLOOKUP(F904,purchase!D:D,purchase!B:B,""))</f>
        <v/>
      </c>
      <c r="F904" s="2"/>
      <c r="G904" s="4" t="str">
        <f t="shared" si="99"/>
        <v/>
      </c>
      <c r="H904" s="4" t="str">
        <f>IF(F904="","",_xlfn.XLOOKUP(F904,purchase!D:D,purchase!#REF!,""))</f>
        <v/>
      </c>
      <c r="I904" s="4" t="str">
        <f t="shared" si="100"/>
        <v/>
      </c>
      <c r="J904" s="4" t="str">
        <f t="shared" si="101"/>
        <v/>
      </c>
      <c r="K904" s="13" t="str">
        <f>_xlfn.SINGLE(IF(F904="","",_xlfn.XLOOKUP(F904,purchase!D:D,purchase!#REF!,"")))</f>
        <v/>
      </c>
      <c r="L904" s="2"/>
      <c r="M904" s="32"/>
      <c r="N904" s="13" t="str">
        <f>IF(F904="","",
MAX(0,
_xlfn.XLOOKUP(F904,purchase!D:D,purchase!#REF!,"")
-
SUMIFS(L:L,F:F,F904)))</f>
        <v/>
      </c>
      <c r="O904" s="13" t="str">
        <f t="shared" si="102"/>
        <v/>
      </c>
      <c r="P904" s="35" t="str">
        <f>_xlfn.SINGLE(IF(F904="","",_xlfn.XLOOKUP(F904,purchase!D:D,purchase!K:K,"")))</f>
        <v/>
      </c>
      <c r="Q904" s="29" t="str">
        <f t="shared" si="103"/>
        <v/>
      </c>
      <c r="R904" s="37" t="str">
        <f t="shared" si="104"/>
        <v/>
      </c>
    </row>
    <row r="905" spans="1:18" x14ac:dyDescent="0.35">
      <c r="A905" s="8">
        <v>901</v>
      </c>
      <c r="B905" s="9" t="str">
        <f t="shared" si="98"/>
        <v/>
      </c>
      <c r="C905" s="10"/>
      <c r="D905" s="9" t="str">
        <f>IF(F905="","",_xlfn.XLOOKUP(F905,purchase!D:D,purchase!#REF!,""))</f>
        <v/>
      </c>
      <c r="E905" s="9" t="str">
        <f>IF(F905="","",_xlfn.XLOOKUP(F905,purchase!D:D,purchase!B:B,""))</f>
        <v/>
      </c>
      <c r="F905" s="2"/>
      <c r="G905" s="4" t="str">
        <f t="shared" si="99"/>
        <v/>
      </c>
      <c r="H905" s="4" t="str">
        <f>IF(F905="","",_xlfn.XLOOKUP(F905,purchase!D:D,purchase!#REF!,""))</f>
        <v/>
      </c>
      <c r="I905" s="4" t="str">
        <f t="shared" si="100"/>
        <v/>
      </c>
      <c r="J905" s="4" t="str">
        <f t="shared" si="101"/>
        <v/>
      </c>
      <c r="K905" s="13" t="str">
        <f>_xlfn.SINGLE(IF(F905="","",_xlfn.XLOOKUP(F905,purchase!D:D,purchase!#REF!,"")))</f>
        <v/>
      </c>
      <c r="L905" s="2"/>
      <c r="M905" s="32"/>
      <c r="N905" s="13" t="str">
        <f>IF(F905="","",
MAX(0,
_xlfn.XLOOKUP(F905,purchase!D:D,purchase!#REF!,"")
-
SUMIFS(L:L,F:F,F905)))</f>
        <v/>
      </c>
      <c r="O905" s="13" t="str">
        <f t="shared" si="102"/>
        <v/>
      </c>
      <c r="P905" s="35" t="str">
        <f>_xlfn.SINGLE(IF(F905="","",_xlfn.XLOOKUP(F905,purchase!D:D,purchase!K:K,"")))</f>
        <v/>
      </c>
      <c r="Q905" s="29" t="str">
        <f t="shared" si="103"/>
        <v/>
      </c>
      <c r="R905" s="37" t="str">
        <f t="shared" si="104"/>
        <v/>
      </c>
    </row>
    <row r="906" spans="1:18" x14ac:dyDescent="0.35">
      <c r="A906" s="8">
        <v>902</v>
      </c>
      <c r="B906" s="9" t="str">
        <f t="shared" si="98"/>
        <v/>
      </c>
      <c r="C906" s="10"/>
      <c r="D906" s="9" t="str">
        <f>IF(F906="","",_xlfn.XLOOKUP(F906,purchase!D:D,purchase!#REF!,""))</f>
        <v/>
      </c>
      <c r="E906" s="9" t="str">
        <f>IF(F906="","",_xlfn.XLOOKUP(F906,purchase!D:D,purchase!B:B,""))</f>
        <v/>
      </c>
      <c r="F906" s="2"/>
      <c r="G906" s="4" t="str">
        <f t="shared" si="99"/>
        <v/>
      </c>
      <c r="H906" s="4" t="str">
        <f>IF(F906="","",_xlfn.XLOOKUP(F906,purchase!D:D,purchase!#REF!,""))</f>
        <v/>
      </c>
      <c r="I906" s="4" t="str">
        <f t="shared" si="100"/>
        <v/>
      </c>
      <c r="J906" s="4" t="str">
        <f t="shared" si="101"/>
        <v/>
      </c>
      <c r="K906" s="13" t="str">
        <f>_xlfn.SINGLE(IF(F906="","",_xlfn.XLOOKUP(F906,purchase!D:D,purchase!#REF!,"")))</f>
        <v/>
      </c>
      <c r="L906" s="2"/>
      <c r="M906" s="32"/>
      <c r="N906" s="13" t="str">
        <f>IF(F906="","",
MAX(0,
_xlfn.XLOOKUP(F906,purchase!D:D,purchase!#REF!,"")
-
SUMIFS(L:L,F:F,F906)))</f>
        <v/>
      </c>
      <c r="O906" s="13" t="str">
        <f t="shared" si="102"/>
        <v/>
      </c>
      <c r="P906" s="35" t="str">
        <f>_xlfn.SINGLE(IF(F906="","",_xlfn.XLOOKUP(F906,purchase!D:D,purchase!K:K,"")))</f>
        <v/>
      </c>
      <c r="Q906" s="29" t="str">
        <f t="shared" si="103"/>
        <v/>
      </c>
      <c r="R906" s="37" t="str">
        <f t="shared" si="104"/>
        <v/>
      </c>
    </row>
    <row r="907" spans="1:18" x14ac:dyDescent="0.35">
      <c r="A907" s="8">
        <v>903</v>
      </c>
      <c r="B907" s="9" t="str">
        <f t="shared" si="98"/>
        <v/>
      </c>
      <c r="C907" s="10"/>
      <c r="D907" s="9" t="str">
        <f>IF(F907="","",_xlfn.XLOOKUP(F907,purchase!D:D,purchase!#REF!,""))</f>
        <v/>
      </c>
      <c r="E907" s="9" t="str">
        <f>IF(F907="","",_xlfn.XLOOKUP(F907,purchase!D:D,purchase!B:B,""))</f>
        <v/>
      </c>
      <c r="F907" s="2"/>
      <c r="G907" s="4" t="str">
        <f t="shared" si="99"/>
        <v/>
      </c>
      <c r="H907" s="4" t="str">
        <f>IF(F907="","",_xlfn.XLOOKUP(F907,purchase!D:D,purchase!#REF!,""))</f>
        <v/>
      </c>
      <c r="I907" s="4" t="str">
        <f t="shared" si="100"/>
        <v/>
      </c>
      <c r="J907" s="4" t="str">
        <f t="shared" si="101"/>
        <v/>
      </c>
      <c r="K907" s="13" t="str">
        <f>_xlfn.SINGLE(IF(F907="","",_xlfn.XLOOKUP(F907,purchase!D:D,purchase!#REF!,"")))</f>
        <v/>
      </c>
      <c r="L907" s="2"/>
      <c r="M907" s="32"/>
      <c r="N907" s="13" t="str">
        <f>IF(F907="","",
MAX(0,
_xlfn.XLOOKUP(F907,purchase!D:D,purchase!#REF!,"")
-
SUMIFS(L:L,F:F,F907)))</f>
        <v/>
      </c>
      <c r="O907" s="13" t="str">
        <f t="shared" si="102"/>
        <v/>
      </c>
      <c r="P907" s="35" t="str">
        <f>_xlfn.SINGLE(IF(F907="","",_xlfn.XLOOKUP(F907,purchase!D:D,purchase!K:K,"")))</f>
        <v/>
      </c>
      <c r="Q907" s="29" t="str">
        <f t="shared" si="103"/>
        <v/>
      </c>
      <c r="R907" s="37" t="str">
        <f t="shared" si="104"/>
        <v/>
      </c>
    </row>
    <row r="908" spans="1:18" x14ac:dyDescent="0.35">
      <c r="A908" s="8">
        <v>904</v>
      </c>
      <c r="B908" s="9" t="str">
        <f t="shared" si="98"/>
        <v/>
      </c>
      <c r="C908" s="10"/>
      <c r="D908" s="9" t="str">
        <f>IF(F908="","",_xlfn.XLOOKUP(F908,purchase!D:D,purchase!#REF!,""))</f>
        <v/>
      </c>
      <c r="E908" s="9" t="str">
        <f>IF(F908="","",_xlfn.XLOOKUP(F908,purchase!D:D,purchase!B:B,""))</f>
        <v/>
      </c>
      <c r="F908" s="2"/>
      <c r="G908" s="4" t="str">
        <f t="shared" si="99"/>
        <v/>
      </c>
      <c r="H908" s="4" t="str">
        <f>IF(F908="","",_xlfn.XLOOKUP(F908,purchase!D:D,purchase!#REF!,""))</f>
        <v/>
      </c>
      <c r="I908" s="4" t="str">
        <f t="shared" si="100"/>
        <v/>
      </c>
      <c r="J908" s="4" t="str">
        <f t="shared" si="101"/>
        <v/>
      </c>
      <c r="K908" s="13" t="str">
        <f>_xlfn.SINGLE(IF(F908="","",_xlfn.XLOOKUP(F908,purchase!D:D,purchase!#REF!,"")))</f>
        <v/>
      </c>
      <c r="L908" s="2"/>
      <c r="M908" s="32"/>
      <c r="N908" s="13" t="str">
        <f>IF(F908="","",
MAX(0,
_xlfn.XLOOKUP(F908,purchase!D:D,purchase!#REF!,"")
-
SUMIFS(L:L,F:F,F908)))</f>
        <v/>
      </c>
      <c r="O908" s="13" t="str">
        <f t="shared" si="102"/>
        <v/>
      </c>
      <c r="P908" s="35" t="str">
        <f>_xlfn.SINGLE(IF(F908="","",_xlfn.XLOOKUP(F908,purchase!D:D,purchase!K:K,"")))</f>
        <v/>
      </c>
      <c r="Q908" s="29" t="str">
        <f t="shared" si="103"/>
        <v/>
      </c>
      <c r="R908" s="37" t="str">
        <f t="shared" si="104"/>
        <v/>
      </c>
    </row>
    <row r="909" spans="1:18" x14ac:dyDescent="0.35">
      <c r="A909" s="8">
        <v>905</v>
      </c>
      <c r="B909" s="9" t="str">
        <f t="shared" si="98"/>
        <v/>
      </c>
      <c r="C909" s="10"/>
      <c r="D909" s="9" t="str">
        <f>IF(F909="","",_xlfn.XLOOKUP(F909,purchase!D:D,purchase!#REF!,""))</f>
        <v/>
      </c>
      <c r="E909" s="9" t="str">
        <f>IF(F909="","",_xlfn.XLOOKUP(F909,purchase!D:D,purchase!B:B,""))</f>
        <v/>
      </c>
      <c r="F909" s="2"/>
      <c r="G909" s="4" t="str">
        <f t="shared" si="99"/>
        <v/>
      </c>
      <c r="H909" s="4" t="str">
        <f>IF(F909="","",_xlfn.XLOOKUP(F909,purchase!D:D,purchase!#REF!,""))</f>
        <v/>
      </c>
      <c r="I909" s="4" t="str">
        <f t="shared" si="100"/>
        <v/>
      </c>
      <c r="J909" s="4" t="str">
        <f t="shared" si="101"/>
        <v/>
      </c>
      <c r="K909" s="13" t="str">
        <f>_xlfn.SINGLE(IF(F909="","",_xlfn.XLOOKUP(F909,purchase!D:D,purchase!#REF!,"")))</f>
        <v/>
      </c>
      <c r="L909" s="2"/>
      <c r="M909" s="32"/>
      <c r="N909" s="13" t="str">
        <f>IF(F909="","",
MAX(0,
_xlfn.XLOOKUP(F909,purchase!D:D,purchase!#REF!,"")
-
SUMIFS(L:L,F:F,F909)))</f>
        <v/>
      </c>
      <c r="O909" s="13" t="str">
        <f t="shared" si="102"/>
        <v/>
      </c>
      <c r="P909" s="35" t="str">
        <f>_xlfn.SINGLE(IF(F909="","",_xlfn.XLOOKUP(F909,purchase!D:D,purchase!K:K,"")))</f>
        <v/>
      </c>
      <c r="Q909" s="29" t="str">
        <f t="shared" si="103"/>
        <v/>
      </c>
      <c r="R909" s="37" t="str">
        <f t="shared" si="104"/>
        <v/>
      </c>
    </row>
    <row r="910" spans="1:18" x14ac:dyDescent="0.35">
      <c r="A910" s="8">
        <v>906</v>
      </c>
      <c r="B910" s="9" t="str">
        <f t="shared" si="98"/>
        <v/>
      </c>
      <c r="C910" s="10"/>
      <c r="D910" s="9" t="str">
        <f>IF(F910="","",_xlfn.XLOOKUP(F910,purchase!D:D,purchase!#REF!,""))</f>
        <v/>
      </c>
      <c r="E910" s="9" t="str">
        <f>IF(F910="","",_xlfn.XLOOKUP(F910,purchase!D:D,purchase!B:B,""))</f>
        <v/>
      </c>
      <c r="F910" s="2"/>
      <c r="G910" s="4" t="str">
        <f t="shared" si="99"/>
        <v/>
      </c>
      <c r="H910" s="4" t="str">
        <f>IF(F910="","",_xlfn.XLOOKUP(F910,purchase!D:D,purchase!#REF!,""))</f>
        <v/>
      </c>
      <c r="I910" s="4" t="str">
        <f t="shared" si="100"/>
        <v/>
      </c>
      <c r="J910" s="4" t="str">
        <f t="shared" si="101"/>
        <v/>
      </c>
      <c r="K910" s="13" t="str">
        <f>_xlfn.SINGLE(IF(F910="","",_xlfn.XLOOKUP(F910,purchase!D:D,purchase!#REF!,"")))</f>
        <v/>
      </c>
      <c r="L910" s="2"/>
      <c r="M910" s="32"/>
      <c r="N910" s="13" t="str">
        <f>IF(F910="","",
MAX(0,
_xlfn.XLOOKUP(F910,purchase!D:D,purchase!#REF!,"")
-
SUMIFS(L:L,F:F,F910)))</f>
        <v/>
      </c>
      <c r="O910" s="13" t="str">
        <f t="shared" si="102"/>
        <v/>
      </c>
      <c r="P910" s="35" t="str">
        <f>_xlfn.SINGLE(IF(F910="","",_xlfn.XLOOKUP(F910,purchase!D:D,purchase!K:K,"")))</f>
        <v/>
      </c>
      <c r="Q910" s="29" t="str">
        <f t="shared" si="103"/>
        <v/>
      </c>
      <c r="R910" s="37" t="str">
        <f t="shared" si="104"/>
        <v/>
      </c>
    </row>
    <row r="911" spans="1:18" x14ac:dyDescent="0.35">
      <c r="A911" s="8">
        <v>907</v>
      </c>
      <c r="B911" s="9" t="str">
        <f t="shared" si="98"/>
        <v/>
      </c>
      <c r="C911" s="10"/>
      <c r="D911" s="9" t="str">
        <f>IF(F911="","",_xlfn.XLOOKUP(F911,purchase!D:D,purchase!#REF!,""))</f>
        <v/>
      </c>
      <c r="E911" s="9" t="str">
        <f>IF(F911="","",_xlfn.XLOOKUP(F911,purchase!D:D,purchase!B:B,""))</f>
        <v/>
      </c>
      <c r="F911" s="2"/>
      <c r="G911" s="4" t="str">
        <f t="shared" si="99"/>
        <v/>
      </c>
      <c r="H911" s="4" t="str">
        <f>IF(F911="","",_xlfn.XLOOKUP(F911,purchase!D:D,purchase!#REF!,""))</f>
        <v/>
      </c>
      <c r="I911" s="4" t="str">
        <f t="shared" si="100"/>
        <v/>
      </c>
      <c r="J911" s="4" t="str">
        <f t="shared" si="101"/>
        <v/>
      </c>
      <c r="K911" s="13" t="str">
        <f>_xlfn.SINGLE(IF(F911="","",_xlfn.XLOOKUP(F911,purchase!D:D,purchase!#REF!,"")))</f>
        <v/>
      </c>
      <c r="L911" s="2"/>
      <c r="M911" s="32"/>
      <c r="N911" s="13" t="str">
        <f>IF(F911="","",
MAX(0,
_xlfn.XLOOKUP(F911,purchase!D:D,purchase!#REF!,"")
-
SUMIFS(L:L,F:F,F911)))</f>
        <v/>
      </c>
      <c r="O911" s="13" t="str">
        <f t="shared" si="102"/>
        <v/>
      </c>
      <c r="P911" s="35" t="str">
        <f>_xlfn.SINGLE(IF(F911="","",_xlfn.XLOOKUP(F911,purchase!D:D,purchase!K:K,"")))</f>
        <v/>
      </c>
      <c r="Q911" s="29" t="str">
        <f t="shared" si="103"/>
        <v/>
      </c>
      <c r="R911" s="37" t="str">
        <f t="shared" si="104"/>
        <v/>
      </c>
    </row>
    <row r="912" spans="1:18" x14ac:dyDescent="0.35">
      <c r="A912" s="8">
        <v>908</v>
      </c>
      <c r="B912" s="9" t="str">
        <f t="shared" si="98"/>
        <v/>
      </c>
      <c r="C912" s="10"/>
      <c r="D912" s="9" t="str">
        <f>IF(F912="","",_xlfn.XLOOKUP(F912,purchase!D:D,purchase!#REF!,""))</f>
        <v/>
      </c>
      <c r="E912" s="9" t="str">
        <f>IF(F912="","",_xlfn.XLOOKUP(F912,purchase!D:D,purchase!B:B,""))</f>
        <v/>
      </c>
      <c r="F912" s="2"/>
      <c r="G912" s="4" t="str">
        <f t="shared" si="99"/>
        <v/>
      </c>
      <c r="H912" s="4" t="str">
        <f>IF(F912="","",_xlfn.XLOOKUP(F912,purchase!D:D,purchase!#REF!,""))</f>
        <v/>
      </c>
      <c r="I912" s="4" t="str">
        <f t="shared" si="100"/>
        <v/>
      </c>
      <c r="J912" s="4" t="str">
        <f t="shared" si="101"/>
        <v/>
      </c>
      <c r="K912" s="13" t="str">
        <f>_xlfn.SINGLE(IF(F912="","",_xlfn.XLOOKUP(F912,purchase!D:D,purchase!#REF!,"")))</f>
        <v/>
      </c>
      <c r="L912" s="2"/>
      <c r="M912" s="32"/>
      <c r="N912" s="13" t="str">
        <f>IF(F912="","",
MAX(0,
_xlfn.XLOOKUP(F912,purchase!D:D,purchase!#REF!,"")
-
SUMIFS(L:L,F:F,F912)))</f>
        <v/>
      </c>
      <c r="O912" s="13" t="str">
        <f t="shared" si="102"/>
        <v/>
      </c>
      <c r="P912" s="35" t="str">
        <f>_xlfn.SINGLE(IF(F912="","",_xlfn.XLOOKUP(F912,purchase!D:D,purchase!K:K,"")))</f>
        <v/>
      </c>
      <c r="Q912" s="29" t="str">
        <f t="shared" si="103"/>
        <v/>
      </c>
      <c r="R912" s="37" t="str">
        <f t="shared" si="104"/>
        <v/>
      </c>
    </row>
    <row r="913" spans="1:18" x14ac:dyDescent="0.35">
      <c r="A913" s="8">
        <v>909</v>
      </c>
      <c r="B913" s="9" t="str">
        <f t="shared" si="98"/>
        <v/>
      </c>
      <c r="C913" s="10"/>
      <c r="D913" s="9" t="str">
        <f>IF(F913="","",_xlfn.XLOOKUP(F913,purchase!D:D,purchase!#REF!,""))</f>
        <v/>
      </c>
      <c r="E913" s="9" t="str">
        <f>IF(F913="","",_xlfn.XLOOKUP(F913,purchase!D:D,purchase!B:B,""))</f>
        <v/>
      </c>
      <c r="F913" s="2"/>
      <c r="G913" s="4" t="str">
        <f t="shared" si="99"/>
        <v/>
      </c>
      <c r="H913" s="4" t="str">
        <f>IF(F913="","",_xlfn.XLOOKUP(F913,purchase!D:D,purchase!#REF!,""))</f>
        <v/>
      </c>
      <c r="I913" s="4" t="str">
        <f t="shared" si="100"/>
        <v/>
      </c>
      <c r="J913" s="4" t="str">
        <f t="shared" si="101"/>
        <v/>
      </c>
      <c r="K913" s="13" t="str">
        <f>_xlfn.SINGLE(IF(F913="","",_xlfn.XLOOKUP(F913,purchase!D:D,purchase!#REF!,"")))</f>
        <v/>
      </c>
      <c r="L913" s="2"/>
      <c r="M913" s="32"/>
      <c r="N913" s="13" t="str">
        <f>IF(F913="","",
MAX(0,
_xlfn.XLOOKUP(F913,purchase!D:D,purchase!#REF!,"")
-
SUMIFS(L:L,F:F,F913)))</f>
        <v/>
      </c>
      <c r="O913" s="13" t="str">
        <f t="shared" si="102"/>
        <v/>
      </c>
      <c r="P913" s="35" t="str">
        <f>_xlfn.SINGLE(IF(F913="","",_xlfn.XLOOKUP(F913,purchase!D:D,purchase!K:K,"")))</f>
        <v/>
      </c>
      <c r="Q913" s="29" t="str">
        <f t="shared" si="103"/>
        <v/>
      </c>
      <c r="R913" s="37" t="str">
        <f t="shared" si="104"/>
        <v/>
      </c>
    </row>
    <row r="914" spans="1:18" x14ac:dyDescent="0.35">
      <c r="A914" s="8">
        <v>910</v>
      </c>
      <c r="B914" s="9" t="str">
        <f t="shared" si="98"/>
        <v/>
      </c>
      <c r="C914" s="10"/>
      <c r="D914" s="9" t="str">
        <f>IF(F914="","",_xlfn.XLOOKUP(F914,purchase!D:D,purchase!#REF!,""))</f>
        <v/>
      </c>
      <c r="E914" s="9" t="str">
        <f>IF(F914="","",_xlfn.XLOOKUP(F914,purchase!D:D,purchase!B:B,""))</f>
        <v/>
      </c>
      <c r="F914" s="2"/>
      <c r="G914" s="4" t="str">
        <f t="shared" si="99"/>
        <v/>
      </c>
      <c r="H914" s="4" t="str">
        <f>IF(F914="","",_xlfn.XLOOKUP(F914,purchase!D:D,purchase!#REF!,""))</f>
        <v/>
      </c>
      <c r="I914" s="4" t="str">
        <f t="shared" si="100"/>
        <v/>
      </c>
      <c r="J914" s="4" t="str">
        <f t="shared" si="101"/>
        <v/>
      </c>
      <c r="K914" s="13" t="str">
        <f>_xlfn.SINGLE(IF(F914="","",_xlfn.XLOOKUP(F914,purchase!D:D,purchase!#REF!,"")))</f>
        <v/>
      </c>
      <c r="L914" s="2"/>
      <c r="M914" s="32"/>
      <c r="N914" s="13" t="str">
        <f>IF(F914="","",
MAX(0,
_xlfn.XLOOKUP(F914,purchase!D:D,purchase!#REF!,"")
-
SUMIFS(L:L,F:F,F914)))</f>
        <v/>
      </c>
      <c r="O914" s="13" t="str">
        <f t="shared" si="102"/>
        <v/>
      </c>
      <c r="P914" s="35" t="str">
        <f>_xlfn.SINGLE(IF(F914="","",_xlfn.XLOOKUP(F914,purchase!D:D,purchase!K:K,"")))</f>
        <v/>
      </c>
      <c r="Q914" s="29" t="str">
        <f t="shared" si="103"/>
        <v/>
      </c>
      <c r="R914" s="37" t="str">
        <f t="shared" si="104"/>
        <v/>
      </c>
    </row>
    <row r="915" spans="1:18" x14ac:dyDescent="0.35">
      <c r="A915" s="8">
        <v>911</v>
      </c>
      <c r="B915" s="9" t="str">
        <f t="shared" si="98"/>
        <v/>
      </c>
      <c r="C915" s="10"/>
      <c r="D915" s="9" t="str">
        <f>IF(F915="","",_xlfn.XLOOKUP(F915,purchase!D:D,purchase!#REF!,""))</f>
        <v/>
      </c>
      <c r="E915" s="9" t="str">
        <f>IF(F915="","",_xlfn.XLOOKUP(F915,purchase!D:D,purchase!B:B,""))</f>
        <v/>
      </c>
      <c r="F915" s="2"/>
      <c r="G915" s="4" t="str">
        <f t="shared" si="99"/>
        <v/>
      </c>
      <c r="H915" s="4" t="str">
        <f>IF(F915="","",_xlfn.XLOOKUP(F915,purchase!D:D,purchase!#REF!,""))</f>
        <v/>
      </c>
      <c r="I915" s="4" t="str">
        <f t="shared" si="100"/>
        <v/>
      </c>
      <c r="J915" s="4" t="str">
        <f t="shared" si="101"/>
        <v/>
      </c>
      <c r="K915" s="13" t="str">
        <f>_xlfn.SINGLE(IF(F915="","",_xlfn.XLOOKUP(F915,purchase!D:D,purchase!#REF!,"")))</f>
        <v/>
      </c>
      <c r="L915" s="2"/>
      <c r="M915" s="32"/>
      <c r="N915" s="13" t="str">
        <f>IF(F915="","",
MAX(0,
_xlfn.XLOOKUP(F915,purchase!D:D,purchase!#REF!,"")
-
SUMIFS(L:L,F:F,F915)))</f>
        <v/>
      </c>
      <c r="O915" s="13" t="str">
        <f t="shared" si="102"/>
        <v/>
      </c>
      <c r="P915" s="35" t="str">
        <f>_xlfn.SINGLE(IF(F915="","",_xlfn.XLOOKUP(F915,purchase!D:D,purchase!K:K,"")))</f>
        <v/>
      </c>
      <c r="Q915" s="29" t="str">
        <f t="shared" si="103"/>
        <v/>
      </c>
      <c r="R915" s="37" t="str">
        <f t="shared" si="104"/>
        <v/>
      </c>
    </row>
    <row r="916" spans="1:18" x14ac:dyDescent="0.35">
      <c r="A916" s="8">
        <v>912</v>
      </c>
      <c r="B916" s="9" t="str">
        <f t="shared" si="98"/>
        <v/>
      </c>
      <c r="C916" s="10"/>
      <c r="D916" s="9" t="str">
        <f>IF(F916="","",_xlfn.XLOOKUP(F916,purchase!D:D,purchase!#REF!,""))</f>
        <v/>
      </c>
      <c r="E916" s="9" t="str">
        <f>IF(F916="","",_xlfn.XLOOKUP(F916,purchase!D:D,purchase!B:B,""))</f>
        <v/>
      </c>
      <c r="F916" s="2"/>
      <c r="G916" s="4" t="str">
        <f t="shared" si="99"/>
        <v/>
      </c>
      <c r="H916" s="4" t="str">
        <f>IF(F916="","",_xlfn.XLOOKUP(F916,purchase!D:D,purchase!#REF!,""))</f>
        <v/>
      </c>
      <c r="I916" s="4" t="str">
        <f t="shared" si="100"/>
        <v/>
      </c>
      <c r="J916" s="4" t="str">
        <f t="shared" si="101"/>
        <v/>
      </c>
      <c r="K916" s="13" t="str">
        <f>_xlfn.SINGLE(IF(F916="","",_xlfn.XLOOKUP(F916,purchase!D:D,purchase!#REF!,"")))</f>
        <v/>
      </c>
      <c r="L916" s="2"/>
      <c r="M916" s="32"/>
      <c r="N916" s="13" t="str">
        <f>IF(F916="","",
MAX(0,
_xlfn.XLOOKUP(F916,purchase!D:D,purchase!#REF!,"")
-
SUMIFS(L:L,F:F,F916)))</f>
        <v/>
      </c>
      <c r="O916" s="13" t="str">
        <f t="shared" si="102"/>
        <v/>
      </c>
      <c r="P916" s="35" t="str">
        <f>_xlfn.SINGLE(IF(F916="","",_xlfn.XLOOKUP(F916,purchase!D:D,purchase!K:K,"")))</f>
        <v/>
      </c>
      <c r="Q916" s="29" t="str">
        <f t="shared" si="103"/>
        <v/>
      </c>
      <c r="R916" s="37" t="str">
        <f t="shared" si="104"/>
        <v/>
      </c>
    </row>
    <row r="917" spans="1:18" x14ac:dyDescent="0.35">
      <c r="A917" s="8">
        <v>913</v>
      </c>
      <c r="B917" s="9" t="str">
        <f t="shared" si="98"/>
        <v/>
      </c>
      <c r="C917" s="10"/>
      <c r="D917" s="9" t="str">
        <f>IF(F917="","",_xlfn.XLOOKUP(F917,purchase!D:D,purchase!#REF!,""))</f>
        <v/>
      </c>
      <c r="E917" s="9" t="str">
        <f>IF(F917="","",_xlfn.XLOOKUP(F917,purchase!D:D,purchase!B:B,""))</f>
        <v/>
      </c>
      <c r="F917" s="2"/>
      <c r="G917" s="4" t="str">
        <f t="shared" si="99"/>
        <v/>
      </c>
      <c r="H917" s="4" t="str">
        <f>IF(F917="","",_xlfn.XLOOKUP(F917,purchase!D:D,purchase!#REF!,""))</f>
        <v/>
      </c>
      <c r="I917" s="4" t="str">
        <f t="shared" si="100"/>
        <v/>
      </c>
      <c r="J917" s="4" t="str">
        <f t="shared" si="101"/>
        <v/>
      </c>
      <c r="K917" s="13" t="str">
        <f>_xlfn.SINGLE(IF(F917="","",_xlfn.XLOOKUP(F917,purchase!D:D,purchase!#REF!,"")))</f>
        <v/>
      </c>
      <c r="L917" s="2"/>
      <c r="M917" s="32"/>
      <c r="N917" s="13" t="str">
        <f>IF(F917="","",
MAX(0,
_xlfn.XLOOKUP(F917,purchase!D:D,purchase!#REF!,"")
-
SUMIFS(L:L,F:F,F917)))</f>
        <v/>
      </c>
      <c r="O917" s="13" t="str">
        <f t="shared" si="102"/>
        <v/>
      </c>
      <c r="P917" s="35" t="str">
        <f>_xlfn.SINGLE(IF(F917="","",_xlfn.XLOOKUP(F917,purchase!D:D,purchase!K:K,"")))</f>
        <v/>
      </c>
      <c r="Q917" s="29" t="str">
        <f t="shared" si="103"/>
        <v/>
      </c>
      <c r="R917" s="37" t="str">
        <f t="shared" si="104"/>
        <v/>
      </c>
    </row>
    <row r="918" spans="1:18" x14ac:dyDescent="0.35">
      <c r="A918" s="8">
        <v>914</v>
      </c>
      <c r="B918" s="9" t="str">
        <f t="shared" si="98"/>
        <v/>
      </c>
      <c r="C918" s="10"/>
      <c r="D918" s="9" t="str">
        <f>IF(F918="","",_xlfn.XLOOKUP(F918,purchase!D:D,purchase!#REF!,""))</f>
        <v/>
      </c>
      <c r="E918" s="9" t="str">
        <f>IF(F918="","",_xlfn.XLOOKUP(F918,purchase!D:D,purchase!B:B,""))</f>
        <v/>
      </c>
      <c r="F918" s="2"/>
      <c r="G918" s="4" t="str">
        <f t="shared" si="99"/>
        <v/>
      </c>
      <c r="H918" s="4" t="str">
        <f>IF(F918="","",_xlfn.XLOOKUP(F918,purchase!D:D,purchase!#REF!,""))</f>
        <v/>
      </c>
      <c r="I918" s="4" t="str">
        <f t="shared" si="100"/>
        <v/>
      </c>
      <c r="J918" s="4" t="str">
        <f t="shared" si="101"/>
        <v/>
      </c>
      <c r="K918" s="13" t="str">
        <f>_xlfn.SINGLE(IF(F918="","",_xlfn.XLOOKUP(F918,purchase!D:D,purchase!#REF!,"")))</f>
        <v/>
      </c>
      <c r="L918" s="2"/>
      <c r="M918" s="32"/>
      <c r="N918" s="13" t="str">
        <f>IF(F918="","",
MAX(0,
_xlfn.XLOOKUP(F918,purchase!D:D,purchase!#REF!,"")
-
SUMIFS(L:L,F:F,F918)))</f>
        <v/>
      </c>
      <c r="O918" s="13" t="str">
        <f t="shared" si="102"/>
        <v/>
      </c>
      <c r="P918" s="35" t="str">
        <f>_xlfn.SINGLE(IF(F918="","",_xlfn.XLOOKUP(F918,purchase!D:D,purchase!K:K,"")))</f>
        <v/>
      </c>
      <c r="Q918" s="29" t="str">
        <f t="shared" si="103"/>
        <v/>
      </c>
      <c r="R918" s="37" t="str">
        <f t="shared" si="104"/>
        <v/>
      </c>
    </row>
    <row r="919" spans="1:18" x14ac:dyDescent="0.35">
      <c r="A919" s="8">
        <v>915</v>
      </c>
      <c r="B919" s="9" t="str">
        <f t="shared" si="98"/>
        <v/>
      </c>
      <c r="C919" s="10"/>
      <c r="D919" s="9" t="str">
        <f>IF(F919="","",_xlfn.XLOOKUP(F919,purchase!D:D,purchase!#REF!,""))</f>
        <v/>
      </c>
      <c r="E919" s="9" t="str">
        <f>IF(F919="","",_xlfn.XLOOKUP(F919,purchase!D:D,purchase!B:B,""))</f>
        <v/>
      </c>
      <c r="F919" s="2"/>
      <c r="G919" s="4" t="str">
        <f t="shared" si="99"/>
        <v/>
      </c>
      <c r="H919" s="4" t="str">
        <f>IF(F919="","",_xlfn.XLOOKUP(F919,purchase!D:D,purchase!#REF!,""))</f>
        <v/>
      </c>
      <c r="I919" s="4" t="str">
        <f t="shared" si="100"/>
        <v/>
      </c>
      <c r="J919" s="4" t="str">
        <f t="shared" si="101"/>
        <v/>
      </c>
      <c r="K919" s="13" t="str">
        <f>_xlfn.SINGLE(IF(F919="","",_xlfn.XLOOKUP(F919,purchase!D:D,purchase!#REF!,"")))</f>
        <v/>
      </c>
      <c r="L919" s="2"/>
      <c r="M919" s="32"/>
      <c r="N919" s="13" t="str">
        <f>IF(F919="","",
MAX(0,
_xlfn.XLOOKUP(F919,purchase!D:D,purchase!#REF!,"")
-
SUMIFS(L:L,F:F,F919)))</f>
        <v/>
      </c>
      <c r="O919" s="13" t="str">
        <f t="shared" si="102"/>
        <v/>
      </c>
      <c r="P919" s="35" t="str">
        <f>_xlfn.SINGLE(IF(F919="","",_xlfn.XLOOKUP(F919,purchase!D:D,purchase!K:K,"")))</f>
        <v/>
      </c>
      <c r="Q919" s="29" t="str">
        <f t="shared" si="103"/>
        <v/>
      </c>
      <c r="R919" s="37" t="str">
        <f t="shared" si="104"/>
        <v/>
      </c>
    </row>
    <row r="920" spans="1:18" x14ac:dyDescent="0.35">
      <c r="A920" s="8">
        <v>916</v>
      </c>
      <c r="B920" s="9" t="str">
        <f t="shared" si="98"/>
        <v/>
      </c>
      <c r="C920" s="10"/>
      <c r="D920" s="9" t="str">
        <f>IF(F920="","",_xlfn.XLOOKUP(F920,purchase!D:D,purchase!#REF!,""))</f>
        <v/>
      </c>
      <c r="E920" s="9" t="str">
        <f>IF(F920="","",_xlfn.XLOOKUP(F920,purchase!D:D,purchase!B:B,""))</f>
        <v/>
      </c>
      <c r="F920" s="2"/>
      <c r="G920" s="4" t="str">
        <f t="shared" si="99"/>
        <v/>
      </c>
      <c r="H920" s="4" t="str">
        <f>IF(F920="","",_xlfn.XLOOKUP(F920,purchase!D:D,purchase!#REF!,""))</f>
        <v/>
      </c>
      <c r="I920" s="4" t="str">
        <f t="shared" si="100"/>
        <v/>
      </c>
      <c r="J920" s="4" t="str">
        <f t="shared" si="101"/>
        <v/>
      </c>
      <c r="K920" s="13" t="str">
        <f>_xlfn.SINGLE(IF(F920="","",_xlfn.XLOOKUP(F920,purchase!D:D,purchase!#REF!,"")))</f>
        <v/>
      </c>
      <c r="L920" s="2"/>
      <c r="M920" s="32"/>
      <c r="N920" s="13" t="str">
        <f>IF(F920="","",
MAX(0,
_xlfn.XLOOKUP(F920,purchase!D:D,purchase!#REF!,"")
-
SUMIFS(L:L,F:F,F920)))</f>
        <v/>
      </c>
      <c r="O920" s="13" t="str">
        <f t="shared" si="102"/>
        <v/>
      </c>
      <c r="P920" s="35" t="str">
        <f>_xlfn.SINGLE(IF(F920="","",_xlfn.XLOOKUP(F920,purchase!D:D,purchase!K:K,"")))</f>
        <v/>
      </c>
      <c r="Q920" s="29" t="str">
        <f t="shared" si="103"/>
        <v/>
      </c>
      <c r="R920" s="37" t="str">
        <f t="shared" si="104"/>
        <v/>
      </c>
    </row>
    <row r="921" spans="1:18" x14ac:dyDescent="0.35">
      <c r="A921" s="8">
        <v>917</v>
      </c>
      <c r="B921" s="9" t="str">
        <f t="shared" si="98"/>
        <v/>
      </c>
      <c r="C921" s="10"/>
      <c r="D921" s="9" t="str">
        <f>IF(F921="","",_xlfn.XLOOKUP(F921,purchase!D:D,purchase!#REF!,""))</f>
        <v/>
      </c>
      <c r="E921" s="9" t="str">
        <f>IF(F921="","",_xlfn.XLOOKUP(F921,purchase!D:D,purchase!B:B,""))</f>
        <v/>
      </c>
      <c r="F921" s="2"/>
      <c r="G921" s="4" t="str">
        <f t="shared" si="99"/>
        <v/>
      </c>
      <c r="H921" s="4" t="str">
        <f>IF(F921="","",_xlfn.XLOOKUP(F921,purchase!D:D,purchase!#REF!,""))</f>
        <v/>
      </c>
      <c r="I921" s="4" t="str">
        <f t="shared" si="100"/>
        <v/>
      </c>
      <c r="J921" s="4" t="str">
        <f t="shared" si="101"/>
        <v/>
      </c>
      <c r="K921" s="13" t="str">
        <f>_xlfn.SINGLE(IF(F921="","",_xlfn.XLOOKUP(F921,purchase!D:D,purchase!#REF!,"")))</f>
        <v/>
      </c>
      <c r="L921" s="2"/>
      <c r="M921" s="32"/>
      <c r="N921" s="13" t="str">
        <f>IF(F921="","",
MAX(0,
_xlfn.XLOOKUP(F921,purchase!D:D,purchase!#REF!,"")
-
SUMIFS(L:L,F:F,F921)))</f>
        <v/>
      </c>
      <c r="O921" s="13" t="str">
        <f t="shared" si="102"/>
        <v/>
      </c>
      <c r="P921" s="35" t="str">
        <f>_xlfn.SINGLE(IF(F921="","",_xlfn.XLOOKUP(F921,purchase!D:D,purchase!K:K,"")))</f>
        <v/>
      </c>
      <c r="Q921" s="29" t="str">
        <f t="shared" si="103"/>
        <v/>
      </c>
      <c r="R921" s="37" t="str">
        <f t="shared" si="104"/>
        <v/>
      </c>
    </row>
    <row r="922" spans="1:18" x14ac:dyDescent="0.35">
      <c r="A922" s="8">
        <v>918</v>
      </c>
      <c r="B922" s="9" t="str">
        <f t="shared" si="98"/>
        <v/>
      </c>
      <c r="C922" s="10"/>
      <c r="D922" s="9" t="str">
        <f>IF(F922="","",_xlfn.XLOOKUP(F922,purchase!D:D,purchase!#REF!,""))</f>
        <v/>
      </c>
      <c r="E922" s="9" t="str">
        <f>IF(F922="","",_xlfn.XLOOKUP(F922,purchase!D:D,purchase!B:B,""))</f>
        <v/>
      </c>
      <c r="F922" s="2"/>
      <c r="G922" s="4" t="str">
        <f t="shared" si="99"/>
        <v/>
      </c>
      <c r="H922" s="4" t="str">
        <f>IF(F922="","",_xlfn.XLOOKUP(F922,purchase!D:D,purchase!#REF!,""))</f>
        <v/>
      </c>
      <c r="I922" s="4" t="str">
        <f t="shared" si="100"/>
        <v/>
      </c>
      <c r="J922" s="4" t="str">
        <f t="shared" si="101"/>
        <v/>
      </c>
      <c r="K922" s="13" t="str">
        <f>_xlfn.SINGLE(IF(F922="","",_xlfn.XLOOKUP(F922,purchase!D:D,purchase!#REF!,"")))</f>
        <v/>
      </c>
      <c r="L922" s="2"/>
      <c r="M922" s="32"/>
      <c r="N922" s="13" t="str">
        <f>IF(F922="","",
MAX(0,
_xlfn.XLOOKUP(F922,purchase!D:D,purchase!#REF!,"")
-
SUMIFS(L:L,F:F,F922)))</f>
        <v/>
      </c>
      <c r="O922" s="13" t="str">
        <f t="shared" si="102"/>
        <v/>
      </c>
      <c r="P922" s="35" t="str">
        <f>_xlfn.SINGLE(IF(F922="","",_xlfn.XLOOKUP(F922,purchase!D:D,purchase!K:K,"")))</f>
        <v/>
      </c>
      <c r="Q922" s="29" t="str">
        <f t="shared" si="103"/>
        <v/>
      </c>
      <c r="R922" s="37" t="str">
        <f t="shared" si="104"/>
        <v/>
      </c>
    </row>
    <row r="923" spans="1:18" x14ac:dyDescent="0.35">
      <c r="A923" s="8">
        <v>919</v>
      </c>
      <c r="B923" s="9" t="str">
        <f t="shared" si="98"/>
        <v/>
      </c>
      <c r="C923" s="10"/>
      <c r="D923" s="9" t="str">
        <f>IF(F923="","",_xlfn.XLOOKUP(F923,purchase!D:D,purchase!#REF!,""))</f>
        <v/>
      </c>
      <c r="E923" s="9" t="str">
        <f>IF(F923="","",_xlfn.XLOOKUP(F923,purchase!D:D,purchase!B:B,""))</f>
        <v/>
      </c>
      <c r="F923" s="2"/>
      <c r="G923" s="4" t="str">
        <f t="shared" si="99"/>
        <v/>
      </c>
      <c r="H923" s="4" t="str">
        <f>IF(F923="","",_xlfn.XLOOKUP(F923,purchase!D:D,purchase!#REF!,""))</f>
        <v/>
      </c>
      <c r="I923" s="4" t="str">
        <f t="shared" si="100"/>
        <v/>
      </c>
      <c r="J923" s="4" t="str">
        <f t="shared" si="101"/>
        <v/>
      </c>
      <c r="K923" s="13" t="str">
        <f>_xlfn.SINGLE(IF(F923="","",_xlfn.XLOOKUP(F923,purchase!D:D,purchase!#REF!,"")))</f>
        <v/>
      </c>
      <c r="L923" s="2"/>
      <c r="M923" s="32"/>
      <c r="N923" s="13" t="str">
        <f>IF(F923="","",
MAX(0,
_xlfn.XLOOKUP(F923,purchase!D:D,purchase!#REF!,"")
-
SUMIFS(L:L,F:F,F923)))</f>
        <v/>
      </c>
      <c r="O923" s="13" t="str">
        <f t="shared" si="102"/>
        <v/>
      </c>
      <c r="P923" s="35" t="str">
        <f>_xlfn.SINGLE(IF(F923="","",_xlfn.XLOOKUP(F923,purchase!D:D,purchase!K:K,"")))</f>
        <v/>
      </c>
      <c r="Q923" s="29" t="str">
        <f t="shared" si="103"/>
        <v/>
      </c>
      <c r="R923" s="37" t="str">
        <f t="shared" si="104"/>
        <v/>
      </c>
    </row>
    <row r="924" spans="1:18" x14ac:dyDescent="0.35">
      <c r="A924" s="8">
        <v>920</v>
      </c>
      <c r="B924" s="9" t="str">
        <f t="shared" si="98"/>
        <v/>
      </c>
      <c r="C924" s="10"/>
      <c r="D924" s="9" t="str">
        <f>IF(F924="","",_xlfn.XLOOKUP(F924,purchase!D:D,purchase!#REF!,""))</f>
        <v/>
      </c>
      <c r="E924" s="9" t="str">
        <f>IF(F924="","",_xlfn.XLOOKUP(F924,purchase!D:D,purchase!B:B,""))</f>
        <v/>
      </c>
      <c r="F924" s="2"/>
      <c r="G924" s="4" t="str">
        <f t="shared" si="99"/>
        <v/>
      </c>
      <c r="H924" s="4" t="str">
        <f>IF(F924="","",_xlfn.XLOOKUP(F924,purchase!D:D,purchase!#REF!,""))</f>
        <v/>
      </c>
      <c r="I924" s="4" t="str">
        <f t="shared" si="100"/>
        <v/>
      </c>
      <c r="J924" s="4" t="str">
        <f t="shared" si="101"/>
        <v/>
      </c>
      <c r="K924" s="13" t="str">
        <f>_xlfn.SINGLE(IF(F924="","",_xlfn.XLOOKUP(F924,purchase!D:D,purchase!#REF!,"")))</f>
        <v/>
      </c>
      <c r="L924" s="2"/>
      <c r="M924" s="32"/>
      <c r="N924" s="13" t="str">
        <f>IF(F924="","",
MAX(0,
_xlfn.XLOOKUP(F924,purchase!D:D,purchase!#REF!,"")
-
SUMIFS(L:L,F:F,F924)))</f>
        <v/>
      </c>
      <c r="O924" s="13" t="str">
        <f t="shared" si="102"/>
        <v/>
      </c>
      <c r="P924" s="35" t="str">
        <f>_xlfn.SINGLE(IF(F924="","",_xlfn.XLOOKUP(F924,purchase!D:D,purchase!K:K,"")))</f>
        <v/>
      </c>
      <c r="Q924" s="29" t="str">
        <f t="shared" si="103"/>
        <v/>
      </c>
      <c r="R924" s="37" t="str">
        <f t="shared" si="104"/>
        <v/>
      </c>
    </row>
    <row r="925" spans="1:18" x14ac:dyDescent="0.35">
      <c r="A925" s="8">
        <v>921</v>
      </c>
      <c r="B925" s="9" t="str">
        <f t="shared" si="98"/>
        <v/>
      </c>
      <c r="C925" s="10"/>
      <c r="D925" s="9" t="str">
        <f>IF(F925="","",_xlfn.XLOOKUP(F925,purchase!D:D,purchase!#REF!,""))</f>
        <v/>
      </c>
      <c r="E925" s="9" t="str">
        <f>IF(F925="","",_xlfn.XLOOKUP(F925,purchase!D:D,purchase!B:B,""))</f>
        <v/>
      </c>
      <c r="F925" s="2"/>
      <c r="G925" s="4" t="str">
        <f t="shared" si="99"/>
        <v/>
      </c>
      <c r="H925" s="4" t="str">
        <f>IF(F925="","",_xlfn.XLOOKUP(F925,purchase!D:D,purchase!#REF!,""))</f>
        <v/>
      </c>
      <c r="I925" s="4" t="str">
        <f t="shared" si="100"/>
        <v/>
      </c>
      <c r="J925" s="4" t="str">
        <f t="shared" si="101"/>
        <v/>
      </c>
      <c r="K925" s="13" t="str">
        <f>_xlfn.SINGLE(IF(F925="","",_xlfn.XLOOKUP(F925,purchase!D:D,purchase!#REF!,"")))</f>
        <v/>
      </c>
      <c r="L925" s="2"/>
      <c r="M925" s="32"/>
      <c r="N925" s="13" t="str">
        <f>IF(F925="","",
MAX(0,
_xlfn.XLOOKUP(F925,purchase!D:D,purchase!#REF!,"")
-
SUMIFS(L:L,F:F,F925)))</f>
        <v/>
      </c>
      <c r="O925" s="13" t="str">
        <f t="shared" si="102"/>
        <v/>
      </c>
      <c r="P925" s="35" t="str">
        <f>_xlfn.SINGLE(IF(F925="","",_xlfn.XLOOKUP(F925,purchase!D:D,purchase!K:K,"")))</f>
        <v/>
      </c>
      <c r="Q925" s="29" t="str">
        <f t="shared" si="103"/>
        <v/>
      </c>
      <c r="R925" s="37" t="str">
        <f t="shared" si="104"/>
        <v/>
      </c>
    </row>
    <row r="926" spans="1:18" x14ac:dyDescent="0.35">
      <c r="A926" s="8">
        <v>922</v>
      </c>
      <c r="B926" s="9" t="str">
        <f t="shared" si="98"/>
        <v/>
      </c>
      <c r="C926" s="10"/>
      <c r="D926" s="9" t="str">
        <f>IF(F926="","",_xlfn.XLOOKUP(F926,purchase!D:D,purchase!#REF!,""))</f>
        <v/>
      </c>
      <c r="E926" s="9" t="str">
        <f>IF(F926="","",_xlfn.XLOOKUP(F926,purchase!D:D,purchase!B:B,""))</f>
        <v/>
      </c>
      <c r="F926" s="2"/>
      <c r="G926" s="4" t="str">
        <f t="shared" si="99"/>
        <v/>
      </c>
      <c r="H926" s="4" t="str">
        <f>IF(F926="","",_xlfn.XLOOKUP(F926,purchase!D:D,purchase!#REF!,""))</f>
        <v/>
      </c>
      <c r="I926" s="4" t="str">
        <f t="shared" si="100"/>
        <v/>
      </c>
      <c r="J926" s="4" t="str">
        <f t="shared" si="101"/>
        <v/>
      </c>
      <c r="K926" s="13" t="str">
        <f>_xlfn.SINGLE(IF(F926="","",_xlfn.XLOOKUP(F926,purchase!D:D,purchase!#REF!,"")))</f>
        <v/>
      </c>
      <c r="L926" s="2"/>
      <c r="M926" s="32"/>
      <c r="N926" s="13" t="str">
        <f>IF(F926="","",
MAX(0,
_xlfn.XLOOKUP(F926,purchase!D:D,purchase!#REF!,"")
-
SUMIFS(L:L,F:F,F926)))</f>
        <v/>
      </c>
      <c r="O926" s="13" t="str">
        <f t="shared" si="102"/>
        <v/>
      </c>
      <c r="P926" s="35" t="str">
        <f>_xlfn.SINGLE(IF(F926="","",_xlfn.XLOOKUP(F926,purchase!D:D,purchase!K:K,"")))</f>
        <v/>
      </c>
      <c r="Q926" s="29" t="str">
        <f t="shared" si="103"/>
        <v/>
      </c>
      <c r="R926" s="37" t="str">
        <f t="shared" si="104"/>
        <v/>
      </c>
    </row>
    <row r="927" spans="1:18" x14ac:dyDescent="0.35">
      <c r="A927" s="8">
        <v>923</v>
      </c>
      <c r="B927" s="9" t="str">
        <f t="shared" si="98"/>
        <v/>
      </c>
      <c r="C927" s="10"/>
      <c r="D927" s="9" t="str">
        <f>IF(F927="","",_xlfn.XLOOKUP(F927,purchase!D:D,purchase!#REF!,""))</f>
        <v/>
      </c>
      <c r="E927" s="9" t="str">
        <f>IF(F927="","",_xlfn.XLOOKUP(F927,purchase!D:D,purchase!B:B,""))</f>
        <v/>
      </c>
      <c r="F927" s="2"/>
      <c r="G927" s="4" t="str">
        <f t="shared" si="99"/>
        <v/>
      </c>
      <c r="H927" s="4" t="str">
        <f>IF(F927="","",_xlfn.XLOOKUP(F927,purchase!D:D,purchase!#REF!,""))</f>
        <v/>
      </c>
      <c r="I927" s="4" t="str">
        <f t="shared" si="100"/>
        <v/>
      </c>
      <c r="J927" s="4" t="str">
        <f t="shared" si="101"/>
        <v/>
      </c>
      <c r="K927" s="13" t="str">
        <f>_xlfn.SINGLE(IF(F927="","",_xlfn.XLOOKUP(F927,purchase!D:D,purchase!#REF!,"")))</f>
        <v/>
      </c>
      <c r="L927" s="2"/>
      <c r="M927" s="32"/>
      <c r="N927" s="13" t="str">
        <f>IF(F927="","",
MAX(0,
_xlfn.XLOOKUP(F927,purchase!D:D,purchase!#REF!,"")
-
SUMIFS(L:L,F:F,F927)))</f>
        <v/>
      </c>
      <c r="O927" s="13" t="str">
        <f t="shared" si="102"/>
        <v/>
      </c>
      <c r="P927" s="35" t="str">
        <f>_xlfn.SINGLE(IF(F927="","",_xlfn.XLOOKUP(F927,purchase!D:D,purchase!K:K,"")))</f>
        <v/>
      </c>
      <c r="Q927" s="29" t="str">
        <f t="shared" si="103"/>
        <v/>
      </c>
      <c r="R927" s="37" t="str">
        <f t="shared" si="104"/>
        <v/>
      </c>
    </row>
    <row r="928" spans="1:18" x14ac:dyDescent="0.35">
      <c r="A928" s="8">
        <v>924</v>
      </c>
      <c r="B928" s="9" t="str">
        <f t="shared" si="98"/>
        <v/>
      </c>
      <c r="C928" s="10"/>
      <c r="D928" s="9" t="str">
        <f>IF(F928="","",_xlfn.XLOOKUP(F928,purchase!D:D,purchase!#REF!,""))</f>
        <v/>
      </c>
      <c r="E928" s="9" t="str">
        <f>IF(F928="","",_xlfn.XLOOKUP(F928,purchase!D:D,purchase!B:B,""))</f>
        <v/>
      </c>
      <c r="F928" s="2"/>
      <c r="G928" s="4" t="str">
        <f t="shared" si="99"/>
        <v/>
      </c>
      <c r="H928" s="4" t="str">
        <f>IF(F928="","",_xlfn.XLOOKUP(F928,purchase!D:D,purchase!#REF!,""))</f>
        <v/>
      </c>
      <c r="I928" s="4" t="str">
        <f t="shared" si="100"/>
        <v/>
      </c>
      <c r="J928" s="4" t="str">
        <f t="shared" si="101"/>
        <v/>
      </c>
      <c r="K928" s="13" t="str">
        <f>_xlfn.SINGLE(IF(F928="","",_xlfn.XLOOKUP(F928,purchase!D:D,purchase!#REF!,"")))</f>
        <v/>
      </c>
      <c r="L928" s="2"/>
      <c r="M928" s="32"/>
      <c r="N928" s="13" t="str">
        <f>IF(F928="","",
MAX(0,
_xlfn.XLOOKUP(F928,purchase!D:D,purchase!#REF!,"")
-
SUMIFS(L:L,F:F,F928)))</f>
        <v/>
      </c>
      <c r="O928" s="13" t="str">
        <f t="shared" si="102"/>
        <v/>
      </c>
      <c r="P928" s="35" t="str">
        <f>_xlfn.SINGLE(IF(F928="","",_xlfn.XLOOKUP(F928,purchase!D:D,purchase!K:K,"")))</f>
        <v/>
      </c>
      <c r="Q928" s="29" t="str">
        <f t="shared" si="103"/>
        <v/>
      </c>
      <c r="R928" s="37" t="str">
        <f t="shared" si="104"/>
        <v/>
      </c>
    </row>
    <row r="929" spans="1:18" x14ac:dyDescent="0.35">
      <c r="A929" s="8">
        <v>925</v>
      </c>
      <c r="B929" s="9" t="str">
        <f t="shared" si="98"/>
        <v/>
      </c>
      <c r="C929" s="10"/>
      <c r="D929" s="9" t="str">
        <f>IF(F929="","",_xlfn.XLOOKUP(F929,purchase!D:D,purchase!#REF!,""))</f>
        <v/>
      </c>
      <c r="E929" s="9" t="str">
        <f>IF(F929="","",_xlfn.XLOOKUP(F929,purchase!D:D,purchase!B:B,""))</f>
        <v/>
      </c>
      <c r="F929" s="2"/>
      <c r="G929" s="4" t="str">
        <f t="shared" si="99"/>
        <v/>
      </c>
      <c r="H929" s="4" t="str">
        <f>IF(F929="","",_xlfn.XLOOKUP(F929,purchase!D:D,purchase!#REF!,""))</f>
        <v/>
      </c>
      <c r="I929" s="4" t="str">
        <f t="shared" si="100"/>
        <v/>
      </c>
      <c r="J929" s="4" t="str">
        <f t="shared" si="101"/>
        <v/>
      </c>
      <c r="K929" s="13" t="str">
        <f>_xlfn.SINGLE(IF(F929="","",_xlfn.XLOOKUP(F929,purchase!D:D,purchase!#REF!,"")))</f>
        <v/>
      </c>
      <c r="L929" s="2"/>
      <c r="M929" s="32"/>
      <c r="N929" s="13" t="str">
        <f>IF(F929="","",
MAX(0,
_xlfn.XLOOKUP(F929,purchase!D:D,purchase!#REF!,"")
-
SUMIFS(L:L,F:F,F929)))</f>
        <v/>
      </c>
      <c r="O929" s="13" t="str">
        <f t="shared" si="102"/>
        <v/>
      </c>
      <c r="P929" s="35" t="str">
        <f>_xlfn.SINGLE(IF(F929="","",_xlfn.XLOOKUP(F929,purchase!D:D,purchase!K:K,"")))</f>
        <v/>
      </c>
      <c r="Q929" s="29" t="str">
        <f t="shared" si="103"/>
        <v/>
      </c>
      <c r="R929" s="37" t="str">
        <f t="shared" si="104"/>
        <v/>
      </c>
    </row>
    <row r="930" spans="1:18" x14ac:dyDescent="0.35">
      <c r="A930" s="8">
        <v>926</v>
      </c>
      <c r="B930" s="9" t="str">
        <f t="shared" si="98"/>
        <v/>
      </c>
      <c r="C930" s="10"/>
      <c r="D930" s="9" t="str">
        <f>IF(F930="","",_xlfn.XLOOKUP(F930,purchase!D:D,purchase!#REF!,""))</f>
        <v/>
      </c>
      <c r="E930" s="9" t="str">
        <f>IF(F930="","",_xlfn.XLOOKUP(F930,purchase!D:D,purchase!B:B,""))</f>
        <v/>
      </c>
      <c r="F930" s="2"/>
      <c r="G930" s="4" t="str">
        <f t="shared" si="99"/>
        <v/>
      </c>
      <c r="H930" s="4" t="str">
        <f>IF(F930="","",_xlfn.XLOOKUP(F930,purchase!D:D,purchase!#REF!,""))</f>
        <v/>
      </c>
      <c r="I930" s="4" t="str">
        <f t="shared" si="100"/>
        <v/>
      </c>
      <c r="J930" s="4" t="str">
        <f t="shared" si="101"/>
        <v/>
      </c>
      <c r="K930" s="13" t="str">
        <f>_xlfn.SINGLE(IF(F930="","",_xlfn.XLOOKUP(F930,purchase!D:D,purchase!#REF!,"")))</f>
        <v/>
      </c>
      <c r="L930" s="2"/>
      <c r="M930" s="32"/>
      <c r="N930" s="13" t="str">
        <f>IF(F930="","",
MAX(0,
_xlfn.XLOOKUP(F930,purchase!D:D,purchase!#REF!,"")
-
SUMIFS(L:L,F:F,F930)))</f>
        <v/>
      </c>
      <c r="O930" s="13" t="str">
        <f t="shared" si="102"/>
        <v/>
      </c>
      <c r="P930" s="35" t="str">
        <f>_xlfn.SINGLE(IF(F930="","",_xlfn.XLOOKUP(F930,purchase!D:D,purchase!K:K,"")))</f>
        <v/>
      </c>
      <c r="Q930" s="29" t="str">
        <f t="shared" si="103"/>
        <v/>
      </c>
      <c r="R930" s="37" t="str">
        <f t="shared" si="104"/>
        <v/>
      </c>
    </row>
    <row r="931" spans="1:18" x14ac:dyDescent="0.35">
      <c r="A931" s="8">
        <v>927</v>
      </c>
      <c r="B931" s="9" t="str">
        <f t="shared" si="98"/>
        <v/>
      </c>
      <c r="C931" s="10"/>
      <c r="D931" s="9" t="str">
        <f>IF(F931="","",_xlfn.XLOOKUP(F931,purchase!D:D,purchase!#REF!,""))</f>
        <v/>
      </c>
      <c r="E931" s="9" t="str">
        <f>IF(F931="","",_xlfn.XLOOKUP(F931,purchase!D:D,purchase!B:B,""))</f>
        <v/>
      </c>
      <c r="F931" s="2"/>
      <c r="G931" s="4" t="str">
        <f t="shared" si="99"/>
        <v/>
      </c>
      <c r="H931" s="4" t="str">
        <f>IF(F931="","",_xlfn.XLOOKUP(F931,purchase!D:D,purchase!#REF!,""))</f>
        <v/>
      </c>
      <c r="I931" s="4" t="str">
        <f t="shared" si="100"/>
        <v/>
      </c>
      <c r="J931" s="4" t="str">
        <f t="shared" si="101"/>
        <v/>
      </c>
      <c r="K931" s="13" t="str">
        <f>_xlfn.SINGLE(IF(F931="","",_xlfn.XLOOKUP(F931,purchase!D:D,purchase!#REF!,"")))</f>
        <v/>
      </c>
      <c r="L931" s="2"/>
      <c r="M931" s="32"/>
      <c r="N931" s="13" t="str">
        <f>IF(F931="","",
MAX(0,
_xlfn.XLOOKUP(F931,purchase!D:D,purchase!#REF!,"")
-
SUMIFS(L:L,F:F,F931)))</f>
        <v/>
      </c>
      <c r="O931" s="13" t="str">
        <f t="shared" si="102"/>
        <v/>
      </c>
      <c r="P931" s="35" t="str">
        <f>_xlfn.SINGLE(IF(F931="","",_xlfn.XLOOKUP(F931,purchase!D:D,purchase!K:K,"")))</f>
        <v/>
      </c>
      <c r="Q931" s="29" t="str">
        <f t="shared" si="103"/>
        <v/>
      </c>
      <c r="R931" s="37" t="str">
        <f t="shared" si="104"/>
        <v/>
      </c>
    </row>
    <row r="932" spans="1:18" x14ac:dyDescent="0.35">
      <c r="A932" s="8">
        <v>928</v>
      </c>
      <c r="B932" s="9" t="str">
        <f t="shared" si="98"/>
        <v/>
      </c>
      <c r="C932" s="10"/>
      <c r="D932" s="9" t="str">
        <f>IF(F932="","",_xlfn.XLOOKUP(F932,purchase!D:D,purchase!#REF!,""))</f>
        <v/>
      </c>
      <c r="E932" s="9" t="str">
        <f>IF(F932="","",_xlfn.XLOOKUP(F932,purchase!D:D,purchase!B:B,""))</f>
        <v/>
      </c>
      <c r="F932" s="2"/>
      <c r="G932" s="4" t="str">
        <f t="shared" si="99"/>
        <v/>
      </c>
      <c r="H932" s="4" t="str">
        <f>IF(F932="","",_xlfn.XLOOKUP(F932,purchase!D:D,purchase!#REF!,""))</f>
        <v/>
      </c>
      <c r="I932" s="4" t="str">
        <f t="shared" si="100"/>
        <v/>
      </c>
      <c r="J932" s="4" t="str">
        <f t="shared" si="101"/>
        <v/>
      </c>
      <c r="K932" s="13" t="str">
        <f>_xlfn.SINGLE(IF(F932="","",_xlfn.XLOOKUP(F932,purchase!D:D,purchase!#REF!,"")))</f>
        <v/>
      </c>
      <c r="L932" s="2"/>
      <c r="M932" s="32"/>
      <c r="N932" s="13" t="str">
        <f>IF(F932="","",
MAX(0,
_xlfn.XLOOKUP(F932,purchase!D:D,purchase!#REF!,"")
-
SUMIFS(L:L,F:F,F932)))</f>
        <v/>
      </c>
      <c r="O932" s="13" t="str">
        <f t="shared" si="102"/>
        <v/>
      </c>
      <c r="P932" s="35" t="str">
        <f>_xlfn.SINGLE(IF(F932="","",_xlfn.XLOOKUP(F932,purchase!D:D,purchase!K:K,"")))</f>
        <v/>
      </c>
      <c r="Q932" s="29" t="str">
        <f t="shared" si="103"/>
        <v/>
      </c>
      <c r="R932" s="37" t="str">
        <f t="shared" si="104"/>
        <v/>
      </c>
    </row>
    <row r="933" spans="1:18" x14ac:dyDescent="0.35">
      <c r="A933" s="8">
        <v>929</v>
      </c>
      <c r="B933" s="9" t="str">
        <f t="shared" si="98"/>
        <v/>
      </c>
      <c r="C933" s="10"/>
      <c r="D933" s="9" t="str">
        <f>IF(F933="","",_xlfn.XLOOKUP(F933,purchase!D:D,purchase!#REF!,""))</f>
        <v/>
      </c>
      <c r="E933" s="9" t="str">
        <f>IF(F933="","",_xlfn.XLOOKUP(F933,purchase!D:D,purchase!B:B,""))</f>
        <v/>
      </c>
      <c r="F933" s="2"/>
      <c r="G933" s="4" t="str">
        <f t="shared" si="99"/>
        <v/>
      </c>
      <c r="H933" s="4" t="str">
        <f>IF(F933="","",_xlfn.XLOOKUP(F933,purchase!D:D,purchase!#REF!,""))</f>
        <v/>
      </c>
      <c r="I933" s="4" t="str">
        <f t="shared" si="100"/>
        <v/>
      </c>
      <c r="J933" s="4" t="str">
        <f t="shared" si="101"/>
        <v/>
      </c>
      <c r="K933" s="13" t="str">
        <f>_xlfn.SINGLE(IF(F933="","",_xlfn.XLOOKUP(F933,purchase!D:D,purchase!#REF!,"")))</f>
        <v/>
      </c>
      <c r="L933" s="2"/>
      <c r="M933" s="32"/>
      <c r="N933" s="13" t="str">
        <f>IF(F933="","",
MAX(0,
_xlfn.XLOOKUP(F933,purchase!D:D,purchase!#REF!,"")
-
SUMIFS(L:L,F:F,F933)))</f>
        <v/>
      </c>
      <c r="O933" s="13" t="str">
        <f t="shared" si="102"/>
        <v/>
      </c>
      <c r="P933" s="35" t="str">
        <f>_xlfn.SINGLE(IF(F933="","",_xlfn.XLOOKUP(F933,purchase!D:D,purchase!K:K,"")))</f>
        <v/>
      </c>
      <c r="Q933" s="29" t="str">
        <f t="shared" si="103"/>
        <v/>
      </c>
      <c r="R933" s="37" t="str">
        <f t="shared" si="104"/>
        <v/>
      </c>
    </row>
    <row r="934" spans="1:18" x14ac:dyDescent="0.35">
      <c r="A934" s="8">
        <v>930</v>
      </c>
      <c r="B934" s="9" t="str">
        <f t="shared" si="98"/>
        <v/>
      </c>
      <c r="C934" s="10"/>
      <c r="D934" s="9" t="str">
        <f>IF(F934="","",_xlfn.XLOOKUP(F934,purchase!D:D,purchase!#REF!,""))</f>
        <v/>
      </c>
      <c r="E934" s="9" t="str">
        <f>IF(F934="","",_xlfn.XLOOKUP(F934,purchase!D:D,purchase!B:B,""))</f>
        <v/>
      </c>
      <c r="F934" s="2"/>
      <c r="G934" s="4" t="str">
        <f t="shared" si="99"/>
        <v/>
      </c>
      <c r="H934" s="4" t="str">
        <f>IF(F934="","",_xlfn.XLOOKUP(F934,purchase!D:D,purchase!#REF!,""))</f>
        <v/>
      </c>
      <c r="I934" s="4" t="str">
        <f t="shared" si="100"/>
        <v/>
      </c>
      <c r="J934" s="4" t="str">
        <f t="shared" si="101"/>
        <v/>
      </c>
      <c r="K934" s="13" t="str">
        <f>_xlfn.SINGLE(IF(F934="","",_xlfn.XLOOKUP(F934,purchase!D:D,purchase!#REF!,"")))</f>
        <v/>
      </c>
      <c r="L934" s="2"/>
      <c r="M934" s="32"/>
      <c r="N934" s="13" t="str">
        <f>IF(F934="","",
MAX(0,
_xlfn.XLOOKUP(F934,purchase!D:D,purchase!#REF!,"")
-
SUMIFS(L:L,F:F,F934)))</f>
        <v/>
      </c>
      <c r="O934" s="13" t="str">
        <f t="shared" si="102"/>
        <v/>
      </c>
      <c r="P934" s="35" t="str">
        <f>_xlfn.SINGLE(IF(F934="","",_xlfn.XLOOKUP(F934,purchase!D:D,purchase!K:K,"")))</f>
        <v/>
      </c>
      <c r="Q934" s="29" t="str">
        <f t="shared" si="103"/>
        <v/>
      </c>
      <c r="R934" s="37" t="str">
        <f t="shared" si="104"/>
        <v/>
      </c>
    </row>
    <row r="935" spans="1:18" x14ac:dyDescent="0.35">
      <c r="A935" s="8">
        <v>931</v>
      </c>
      <c r="B935" s="9" t="str">
        <f t="shared" si="98"/>
        <v/>
      </c>
      <c r="C935" s="10"/>
      <c r="D935" s="9" t="str">
        <f>IF(F935="","",_xlfn.XLOOKUP(F935,purchase!D:D,purchase!#REF!,""))</f>
        <v/>
      </c>
      <c r="E935" s="9" t="str">
        <f>IF(F935="","",_xlfn.XLOOKUP(F935,purchase!D:D,purchase!B:B,""))</f>
        <v/>
      </c>
      <c r="F935" s="2"/>
      <c r="G935" s="4" t="str">
        <f t="shared" si="99"/>
        <v/>
      </c>
      <c r="H935" s="4" t="str">
        <f>IF(F935="","",_xlfn.XLOOKUP(F935,purchase!D:D,purchase!#REF!,""))</f>
        <v/>
      </c>
      <c r="I935" s="4" t="str">
        <f t="shared" si="100"/>
        <v/>
      </c>
      <c r="J935" s="4" t="str">
        <f t="shared" si="101"/>
        <v/>
      </c>
      <c r="K935" s="13" t="str">
        <f>_xlfn.SINGLE(IF(F935="","",_xlfn.XLOOKUP(F935,purchase!D:D,purchase!#REF!,"")))</f>
        <v/>
      </c>
      <c r="L935" s="2"/>
      <c r="M935" s="32"/>
      <c r="N935" s="13" t="str">
        <f>IF(F935="","",
MAX(0,
_xlfn.XLOOKUP(F935,purchase!D:D,purchase!#REF!,"")
-
SUMIFS(L:L,F:F,F935)))</f>
        <v/>
      </c>
      <c r="O935" s="13" t="str">
        <f t="shared" si="102"/>
        <v/>
      </c>
      <c r="P935" s="35" t="str">
        <f>_xlfn.SINGLE(IF(F935="","",_xlfn.XLOOKUP(F935,purchase!D:D,purchase!K:K,"")))</f>
        <v/>
      </c>
      <c r="Q935" s="29" t="str">
        <f t="shared" si="103"/>
        <v/>
      </c>
      <c r="R935" s="37" t="str">
        <f t="shared" si="104"/>
        <v/>
      </c>
    </row>
    <row r="936" spans="1:18" x14ac:dyDescent="0.35">
      <c r="A936" s="8">
        <v>932</v>
      </c>
      <c r="B936" s="9" t="str">
        <f t="shared" si="98"/>
        <v/>
      </c>
      <c r="C936" s="10"/>
      <c r="D936" s="9" t="str">
        <f>IF(F936="","",_xlfn.XLOOKUP(F936,purchase!D:D,purchase!#REF!,""))</f>
        <v/>
      </c>
      <c r="E936" s="9" t="str">
        <f>IF(F936="","",_xlfn.XLOOKUP(F936,purchase!D:D,purchase!B:B,""))</f>
        <v/>
      </c>
      <c r="F936" s="2"/>
      <c r="G936" s="4" t="str">
        <f t="shared" si="99"/>
        <v/>
      </c>
      <c r="H936" s="4" t="str">
        <f>IF(F936="","",_xlfn.XLOOKUP(F936,purchase!D:D,purchase!#REF!,""))</f>
        <v/>
      </c>
      <c r="I936" s="4" t="str">
        <f t="shared" si="100"/>
        <v/>
      </c>
      <c r="J936" s="4" t="str">
        <f t="shared" si="101"/>
        <v/>
      </c>
      <c r="K936" s="13" t="str">
        <f>_xlfn.SINGLE(IF(F936="","",_xlfn.XLOOKUP(F936,purchase!D:D,purchase!#REF!,"")))</f>
        <v/>
      </c>
      <c r="L936" s="2"/>
      <c r="M936" s="32"/>
      <c r="N936" s="13" t="str">
        <f>IF(F936="","",
MAX(0,
_xlfn.XLOOKUP(F936,purchase!D:D,purchase!#REF!,"")
-
SUMIFS(L:L,F:F,F936)))</f>
        <v/>
      </c>
      <c r="O936" s="13" t="str">
        <f t="shared" si="102"/>
        <v/>
      </c>
      <c r="P936" s="35" t="str">
        <f>_xlfn.SINGLE(IF(F936="","",_xlfn.XLOOKUP(F936,purchase!D:D,purchase!K:K,"")))</f>
        <v/>
      </c>
      <c r="Q936" s="29" t="str">
        <f t="shared" si="103"/>
        <v/>
      </c>
      <c r="R936" s="37" t="str">
        <f t="shared" si="104"/>
        <v/>
      </c>
    </row>
    <row r="937" spans="1:18" x14ac:dyDescent="0.35">
      <c r="A937" s="8">
        <v>933</v>
      </c>
      <c r="B937" s="9" t="str">
        <f t="shared" si="98"/>
        <v/>
      </c>
      <c r="C937" s="10"/>
      <c r="D937" s="9" t="str">
        <f>IF(F937="","",_xlfn.XLOOKUP(F937,purchase!D:D,purchase!#REF!,""))</f>
        <v/>
      </c>
      <c r="E937" s="9" t="str">
        <f>IF(F937="","",_xlfn.XLOOKUP(F937,purchase!D:D,purchase!B:B,""))</f>
        <v/>
      </c>
      <c r="F937" s="2"/>
      <c r="G937" s="4" t="str">
        <f t="shared" si="99"/>
        <v/>
      </c>
      <c r="H937" s="4" t="str">
        <f>IF(F937="","",_xlfn.XLOOKUP(F937,purchase!D:D,purchase!#REF!,""))</f>
        <v/>
      </c>
      <c r="I937" s="4" t="str">
        <f t="shared" si="100"/>
        <v/>
      </c>
      <c r="J937" s="4" t="str">
        <f t="shared" si="101"/>
        <v/>
      </c>
      <c r="K937" s="13" t="str">
        <f>_xlfn.SINGLE(IF(F937="","",_xlfn.XLOOKUP(F937,purchase!D:D,purchase!#REF!,"")))</f>
        <v/>
      </c>
      <c r="L937" s="2"/>
      <c r="M937" s="32"/>
      <c r="N937" s="13" t="str">
        <f>IF(F937="","",
MAX(0,
_xlfn.XLOOKUP(F937,purchase!D:D,purchase!#REF!,"")
-
SUMIFS(L:L,F:F,F937)))</f>
        <v/>
      </c>
      <c r="O937" s="13" t="str">
        <f t="shared" si="102"/>
        <v/>
      </c>
      <c r="P937" s="35" t="str">
        <f>_xlfn.SINGLE(IF(F937="","",_xlfn.XLOOKUP(F937,purchase!D:D,purchase!K:K,"")))</f>
        <v/>
      </c>
      <c r="Q937" s="29" t="str">
        <f t="shared" si="103"/>
        <v/>
      </c>
      <c r="R937" s="37" t="str">
        <f t="shared" si="104"/>
        <v/>
      </c>
    </row>
    <row r="938" spans="1:18" x14ac:dyDescent="0.35">
      <c r="A938" s="8">
        <v>934</v>
      </c>
      <c r="B938" s="9" t="str">
        <f t="shared" si="98"/>
        <v/>
      </c>
      <c r="C938" s="10"/>
      <c r="D938" s="9" t="str">
        <f>IF(F938="","",_xlfn.XLOOKUP(F938,purchase!D:D,purchase!#REF!,""))</f>
        <v/>
      </c>
      <c r="E938" s="9" t="str">
        <f>IF(F938="","",_xlfn.XLOOKUP(F938,purchase!D:D,purchase!B:B,""))</f>
        <v/>
      </c>
      <c r="F938" s="2"/>
      <c r="G938" s="4" t="str">
        <f t="shared" si="99"/>
        <v/>
      </c>
      <c r="H938" s="4" t="str">
        <f>IF(F938="","",_xlfn.XLOOKUP(F938,purchase!D:D,purchase!#REF!,""))</f>
        <v/>
      </c>
      <c r="I938" s="4" t="str">
        <f t="shared" si="100"/>
        <v/>
      </c>
      <c r="J938" s="4" t="str">
        <f t="shared" si="101"/>
        <v/>
      </c>
      <c r="K938" s="13" t="str">
        <f>_xlfn.SINGLE(IF(F938="","",_xlfn.XLOOKUP(F938,purchase!D:D,purchase!#REF!,"")))</f>
        <v/>
      </c>
      <c r="L938" s="2"/>
      <c r="M938" s="32"/>
      <c r="N938" s="13" t="str">
        <f>IF(F938="","",
MAX(0,
_xlfn.XLOOKUP(F938,purchase!D:D,purchase!#REF!,"")
-
SUMIFS(L:L,F:F,F938)))</f>
        <v/>
      </c>
      <c r="O938" s="13" t="str">
        <f t="shared" si="102"/>
        <v/>
      </c>
      <c r="P938" s="35" t="str">
        <f>_xlfn.SINGLE(IF(F938="","",_xlfn.XLOOKUP(F938,purchase!D:D,purchase!K:K,"")))</f>
        <v/>
      </c>
      <c r="Q938" s="29" t="str">
        <f t="shared" si="103"/>
        <v/>
      </c>
      <c r="R938" s="37" t="str">
        <f t="shared" si="104"/>
        <v/>
      </c>
    </row>
    <row r="939" spans="1:18" x14ac:dyDescent="0.35">
      <c r="A939" s="8">
        <v>935</v>
      </c>
      <c r="B939" s="9" t="str">
        <f t="shared" si="98"/>
        <v/>
      </c>
      <c r="C939" s="10"/>
      <c r="D939" s="9" t="str">
        <f>IF(F939="","",_xlfn.XLOOKUP(F939,purchase!D:D,purchase!#REF!,""))</f>
        <v/>
      </c>
      <c r="E939" s="9" t="str">
        <f>IF(F939="","",_xlfn.XLOOKUP(F939,purchase!D:D,purchase!B:B,""))</f>
        <v/>
      </c>
      <c r="F939" s="2"/>
      <c r="G939" s="4" t="str">
        <f t="shared" si="99"/>
        <v/>
      </c>
      <c r="H939" s="4" t="str">
        <f>IF(F939="","",_xlfn.XLOOKUP(F939,purchase!D:D,purchase!#REF!,""))</f>
        <v/>
      </c>
      <c r="I939" s="4" t="str">
        <f t="shared" si="100"/>
        <v/>
      </c>
      <c r="J939" s="4" t="str">
        <f t="shared" si="101"/>
        <v/>
      </c>
      <c r="K939" s="13" t="str">
        <f>_xlfn.SINGLE(IF(F939="","",_xlfn.XLOOKUP(F939,purchase!D:D,purchase!#REF!,"")))</f>
        <v/>
      </c>
      <c r="L939" s="2"/>
      <c r="M939" s="32"/>
      <c r="N939" s="13" t="str">
        <f>IF(F939="","",
MAX(0,
_xlfn.XLOOKUP(F939,purchase!D:D,purchase!#REF!,"")
-
SUMIFS(L:L,F:F,F939)))</f>
        <v/>
      </c>
      <c r="O939" s="13" t="str">
        <f t="shared" si="102"/>
        <v/>
      </c>
      <c r="P939" s="35" t="str">
        <f>_xlfn.SINGLE(IF(F939="","",_xlfn.XLOOKUP(F939,purchase!D:D,purchase!K:K,"")))</f>
        <v/>
      </c>
      <c r="Q939" s="29" t="str">
        <f t="shared" si="103"/>
        <v/>
      </c>
      <c r="R939" s="37" t="str">
        <f t="shared" si="104"/>
        <v/>
      </c>
    </row>
    <row r="940" spans="1:18" x14ac:dyDescent="0.35">
      <c r="A940" s="8">
        <v>936</v>
      </c>
      <c r="B940" s="9" t="str">
        <f t="shared" si="98"/>
        <v/>
      </c>
      <c r="C940" s="10"/>
      <c r="D940" s="9" t="str">
        <f>IF(F940="","",_xlfn.XLOOKUP(F940,purchase!D:D,purchase!#REF!,""))</f>
        <v/>
      </c>
      <c r="E940" s="9" t="str">
        <f>IF(F940="","",_xlfn.XLOOKUP(F940,purchase!D:D,purchase!B:B,""))</f>
        <v/>
      </c>
      <c r="F940" s="2"/>
      <c r="G940" s="4" t="str">
        <f t="shared" si="99"/>
        <v/>
      </c>
      <c r="H940" s="4" t="str">
        <f>IF(F940="","",_xlfn.XLOOKUP(F940,purchase!D:D,purchase!#REF!,""))</f>
        <v/>
      </c>
      <c r="I940" s="4" t="str">
        <f t="shared" si="100"/>
        <v/>
      </c>
      <c r="J940" s="4" t="str">
        <f t="shared" si="101"/>
        <v/>
      </c>
      <c r="K940" s="13" t="str">
        <f>_xlfn.SINGLE(IF(F940="","",_xlfn.XLOOKUP(F940,purchase!D:D,purchase!#REF!,"")))</f>
        <v/>
      </c>
      <c r="L940" s="2"/>
      <c r="M940" s="32"/>
      <c r="N940" s="13" t="str">
        <f>IF(F940="","",
MAX(0,
_xlfn.XLOOKUP(F940,purchase!D:D,purchase!#REF!,"")
-
SUMIFS(L:L,F:F,F940)))</f>
        <v/>
      </c>
      <c r="O940" s="13" t="str">
        <f t="shared" si="102"/>
        <v/>
      </c>
      <c r="P940" s="35" t="str">
        <f>_xlfn.SINGLE(IF(F940="","",_xlfn.XLOOKUP(F940,purchase!D:D,purchase!K:K,"")))</f>
        <v/>
      </c>
      <c r="Q940" s="29" t="str">
        <f t="shared" si="103"/>
        <v/>
      </c>
      <c r="R940" s="37" t="str">
        <f t="shared" si="104"/>
        <v/>
      </c>
    </row>
    <row r="941" spans="1:18" x14ac:dyDescent="0.35">
      <c r="A941" s="8">
        <v>937</v>
      </c>
      <c r="B941" s="9" t="str">
        <f t="shared" si="98"/>
        <v/>
      </c>
      <c r="C941" s="10"/>
      <c r="D941" s="9" t="str">
        <f>IF(F941="","",_xlfn.XLOOKUP(F941,purchase!D:D,purchase!#REF!,""))</f>
        <v/>
      </c>
      <c r="E941" s="9" t="str">
        <f>IF(F941="","",_xlfn.XLOOKUP(F941,purchase!D:D,purchase!B:B,""))</f>
        <v/>
      </c>
      <c r="F941" s="2"/>
      <c r="G941" s="4" t="str">
        <f t="shared" si="99"/>
        <v/>
      </c>
      <c r="H941" s="4" t="str">
        <f>IF(F941="","",_xlfn.XLOOKUP(F941,purchase!D:D,purchase!#REF!,""))</f>
        <v/>
      </c>
      <c r="I941" s="4" t="str">
        <f t="shared" si="100"/>
        <v/>
      </c>
      <c r="J941" s="4" t="str">
        <f t="shared" si="101"/>
        <v/>
      </c>
      <c r="K941" s="13" t="str">
        <f>_xlfn.SINGLE(IF(F941="","",_xlfn.XLOOKUP(F941,purchase!D:D,purchase!#REF!,"")))</f>
        <v/>
      </c>
      <c r="L941" s="2"/>
      <c r="M941" s="32"/>
      <c r="N941" s="13" t="str">
        <f>IF(F941="","",
MAX(0,
_xlfn.XLOOKUP(F941,purchase!D:D,purchase!#REF!,"")
-
SUMIFS(L:L,F:F,F941)))</f>
        <v/>
      </c>
      <c r="O941" s="13" t="str">
        <f t="shared" si="102"/>
        <v/>
      </c>
      <c r="P941" s="35" t="str">
        <f>_xlfn.SINGLE(IF(F941="","",_xlfn.XLOOKUP(F941,purchase!D:D,purchase!K:K,"")))</f>
        <v/>
      </c>
      <c r="Q941" s="29" t="str">
        <f t="shared" si="103"/>
        <v/>
      </c>
      <c r="R941" s="37" t="str">
        <f t="shared" si="104"/>
        <v/>
      </c>
    </row>
    <row r="942" spans="1:18" x14ac:dyDescent="0.35">
      <c r="A942" s="8">
        <v>938</v>
      </c>
      <c r="B942" s="9" t="str">
        <f t="shared" si="98"/>
        <v/>
      </c>
      <c r="C942" s="10"/>
      <c r="D942" s="9" t="str">
        <f>IF(F942="","",_xlfn.XLOOKUP(F942,purchase!D:D,purchase!#REF!,""))</f>
        <v/>
      </c>
      <c r="E942" s="9" t="str">
        <f>IF(F942="","",_xlfn.XLOOKUP(F942,purchase!D:D,purchase!B:B,""))</f>
        <v/>
      </c>
      <c r="F942" s="2"/>
      <c r="G942" s="4" t="str">
        <f t="shared" si="99"/>
        <v/>
      </c>
      <c r="H942" s="4" t="str">
        <f>IF(F942="","",_xlfn.XLOOKUP(F942,purchase!D:D,purchase!#REF!,""))</f>
        <v/>
      </c>
      <c r="I942" s="4" t="str">
        <f t="shared" si="100"/>
        <v/>
      </c>
      <c r="J942" s="4" t="str">
        <f t="shared" si="101"/>
        <v/>
      </c>
      <c r="K942" s="13" t="str">
        <f>_xlfn.SINGLE(IF(F942="","",_xlfn.XLOOKUP(F942,purchase!D:D,purchase!#REF!,"")))</f>
        <v/>
      </c>
      <c r="L942" s="2"/>
      <c r="M942" s="32"/>
      <c r="N942" s="13" t="str">
        <f>IF(F942="","",
MAX(0,
_xlfn.XLOOKUP(F942,purchase!D:D,purchase!#REF!,"")
-
SUMIFS(L:L,F:F,F942)))</f>
        <v/>
      </c>
      <c r="O942" s="13" t="str">
        <f t="shared" si="102"/>
        <v/>
      </c>
      <c r="P942" s="35" t="str">
        <f>_xlfn.SINGLE(IF(F942="","",_xlfn.XLOOKUP(F942,purchase!D:D,purchase!K:K,"")))</f>
        <v/>
      </c>
      <c r="Q942" s="29" t="str">
        <f t="shared" si="103"/>
        <v/>
      </c>
      <c r="R942" s="37" t="str">
        <f t="shared" si="104"/>
        <v/>
      </c>
    </row>
    <row r="943" spans="1:18" x14ac:dyDescent="0.35">
      <c r="A943" s="8">
        <v>939</v>
      </c>
      <c r="B943" s="9" t="str">
        <f t="shared" si="98"/>
        <v/>
      </c>
      <c r="C943" s="10"/>
      <c r="D943" s="9" t="str">
        <f>IF(F943="","",_xlfn.XLOOKUP(F943,purchase!D:D,purchase!#REF!,""))</f>
        <v/>
      </c>
      <c r="E943" s="9" t="str">
        <f>IF(F943="","",_xlfn.XLOOKUP(F943,purchase!D:D,purchase!B:B,""))</f>
        <v/>
      </c>
      <c r="F943" s="2"/>
      <c r="G943" s="4" t="str">
        <f t="shared" si="99"/>
        <v/>
      </c>
      <c r="H943" s="4" t="str">
        <f>IF(F943="","",_xlfn.XLOOKUP(F943,purchase!D:D,purchase!#REF!,""))</f>
        <v/>
      </c>
      <c r="I943" s="4" t="str">
        <f t="shared" si="100"/>
        <v/>
      </c>
      <c r="J943" s="4" t="str">
        <f t="shared" si="101"/>
        <v/>
      </c>
      <c r="K943" s="13" t="str">
        <f>_xlfn.SINGLE(IF(F943="","",_xlfn.XLOOKUP(F943,purchase!D:D,purchase!#REF!,"")))</f>
        <v/>
      </c>
      <c r="L943" s="2"/>
      <c r="M943" s="32"/>
      <c r="N943" s="13" t="str">
        <f>IF(F943="","",
MAX(0,
_xlfn.XLOOKUP(F943,purchase!D:D,purchase!#REF!,"")
-
SUMIFS(L:L,F:F,F943)))</f>
        <v/>
      </c>
      <c r="O943" s="13" t="str">
        <f t="shared" si="102"/>
        <v/>
      </c>
      <c r="P943" s="35" t="str">
        <f>_xlfn.SINGLE(IF(F943="","",_xlfn.XLOOKUP(F943,purchase!D:D,purchase!K:K,"")))</f>
        <v/>
      </c>
      <c r="Q943" s="29" t="str">
        <f t="shared" si="103"/>
        <v/>
      </c>
      <c r="R943" s="37" t="str">
        <f t="shared" si="104"/>
        <v/>
      </c>
    </row>
    <row r="944" spans="1:18" x14ac:dyDescent="0.35">
      <c r="A944" s="8">
        <v>940</v>
      </c>
      <c r="B944" s="9" t="str">
        <f t="shared" si="98"/>
        <v/>
      </c>
      <c r="C944" s="10"/>
      <c r="D944" s="9" t="str">
        <f>IF(F944="","",_xlfn.XLOOKUP(F944,purchase!D:D,purchase!#REF!,""))</f>
        <v/>
      </c>
      <c r="E944" s="9" t="str">
        <f>IF(F944="","",_xlfn.XLOOKUP(F944,purchase!D:D,purchase!B:B,""))</f>
        <v/>
      </c>
      <c r="F944" s="2"/>
      <c r="G944" s="4" t="str">
        <f t="shared" si="99"/>
        <v/>
      </c>
      <c r="H944" s="4" t="str">
        <f>IF(F944="","",_xlfn.XLOOKUP(F944,purchase!D:D,purchase!#REF!,""))</f>
        <v/>
      </c>
      <c r="I944" s="4" t="str">
        <f t="shared" si="100"/>
        <v/>
      </c>
      <c r="J944" s="4" t="str">
        <f t="shared" si="101"/>
        <v/>
      </c>
      <c r="K944" s="13" t="str">
        <f>_xlfn.SINGLE(IF(F944="","",_xlfn.XLOOKUP(F944,purchase!D:D,purchase!#REF!,"")))</f>
        <v/>
      </c>
      <c r="L944" s="2"/>
      <c r="M944" s="32"/>
      <c r="N944" s="13" t="str">
        <f>IF(F944="","",
MAX(0,
_xlfn.XLOOKUP(F944,purchase!D:D,purchase!#REF!,"")
-
SUMIFS(L:L,F:F,F944)))</f>
        <v/>
      </c>
      <c r="O944" s="13" t="str">
        <f t="shared" si="102"/>
        <v/>
      </c>
      <c r="P944" s="35" t="str">
        <f>_xlfn.SINGLE(IF(F944="","",_xlfn.XLOOKUP(F944,purchase!D:D,purchase!K:K,"")))</f>
        <v/>
      </c>
      <c r="Q944" s="29" t="str">
        <f t="shared" si="103"/>
        <v/>
      </c>
      <c r="R944" s="37" t="str">
        <f t="shared" si="104"/>
        <v/>
      </c>
    </row>
    <row r="945" spans="1:18" x14ac:dyDescent="0.35">
      <c r="A945" s="8">
        <v>941</v>
      </c>
      <c r="B945" s="9" t="str">
        <f t="shared" si="98"/>
        <v/>
      </c>
      <c r="C945" s="10"/>
      <c r="D945" s="9" t="str">
        <f>IF(F945="","",_xlfn.XLOOKUP(F945,purchase!D:D,purchase!#REF!,""))</f>
        <v/>
      </c>
      <c r="E945" s="9" t="str">
        <f>IF(F945="","",_xlfn.XLOOKUP(F945,purchase!D:D,purchase!B:B,""))</f>
        <v/>
      </c>
      <c r="F945" s="2"/>
      <c r="G945" s="4" t="str">
        <f t="shared" si="99"/>
        <v/>
      </c>
      <c r="H945" s="4" t="str">
        <f>IF(F945="","",_xlfn.XLOOKUP(F945,purchase!D:D,purchase!#REF!,""))</f>
        <v/>
      </c>
      <c r="I945" s="4" t="str">
        <f t="shared" si="100"/>
        <v/>
      </c>
      <c r="J945" s="4" t="str">
        <f t="shared" si="101"/>
        <v/>
      </c>
      <c r="K945" s="13" t="str">
        <f>_xlfn.SINGLE(IF(F945="","",_xlfn.XLOOKUP(F945,purchase!D:D,purchase!#REF!,"")))</f>
        <v/>
      </c>
      <c r="L945" s="2"/>
      <c r="M945" s="32"/>
      <c r="N945" s="13" t="str">
        <f>IF(F945="","",
MAX(0,
_xlfn.XLOOKUP(F945,purchase!D:D,purchase!#REF!,"")
-
SUMIFS(L:L,F:F,F945)))</f>
        <v/>
      </c>
      <c r="O945" s="13" t="str">
        <f t="shared" si="102"/>
        <v/>
      </c>
      <c r="P945" s="35" t="str">
        <f>_xlfn.SINGLE(IF(F945="","",_xlfn.XLOOKUP(F945,purchase!D:D,purchase!K:K,"")))</f>
        <v/>
      </c>
      <c r="Q945" s="29" t="str">
        <f t="shared" si="103"/>
        <v/>
      </c>
      <c r="R945" s="37" t="str">
        <f t="shared" si="104"/>
        <v/>
      </c>
    </row>
    <row r="946" spans="1:18" x14ac:dyDescent="0.35">
      <c r="A946" s="8">
        <v>942</v>
      </c>
      <c r="B946" s="9" t="str">
        <f t="shared" si="98"/>
        <v/>
      </c>
      <c r="C946" s="10"/>
      <c r="D946" s="9" t="str">
        <f>IF(F946="","",_xlfn.XLOOKUP(F946,purchase!D:D,purchase!#REF!,""))</f>
        <v/>
      </c>
      <c r="E946" s="9" t="str">
        <f>IF(F946="","",_xlfn.XLOOKUP(F946,purchase!D:D,purchase!B:B,""))</f>
        <v/>
      </c>
      <c r="F946" s="2"/>
      <c r="G946" s="4" t="str">
        <f t="shared" si="99"/>
        <v/>
      </c>
      <c r="H946" s="4" t="str">
        <f>IF(F946="","",_xlfn.XLOOKUP(F946,purchase!D:D,purchase!#REF!,""))</f>
        <v/>
      </c>
      <c r="I946" s="4" t="str">
        <f t="shared" si="100"/>
        <v/>
      </c>
      <c r="J946" s="4" t="str">
        <f t="shared" si="101"/>
        <v/>
      </c>
      <c r="K946" s="13" t="str">
        <f>_xlfn.SINGLE(IF(F946="","",_xlfn.XLOOKUP(F946,purchase!D:D,purchase!#REF!,"")))</f>
        <v/>
      </c>
      <c r="L946" s="2"/>
      <c r="M946" s="32"/>
      <c r="N946" s="13" t="str">
        <f>IF(F946="","",
MAX(0,
_xlfn.XLOOKUP(F946,purchase!D:D,purchase!#REF!,"")
-
SUMIFS(L:L,F:F,F946)))</f>
        <v/>
      </c>
      <c r="O946" s="13" t="str">
        <f t="shared" si="102"/>
        <v/>
      </c>
      <c r="P946" s="35" t="str">
        <f>_xlfn.SINGLE(IF(F946="","",_xlfn.XLOOKUP(F946,purchase!D:D,purchase!K:K,"")))</f>
        <v/>
      </c>
      <c r="Q946" s="29" t="str">
        <f t="shared" si="103"/>
        <v/>
      </c>
      <c r="R946" s="37" t="str">
        <f t="shared" si="104"/>
        <v/>
      </c>
    </row>
    <row r="947" spans="1:18" x14ac:dyDescent="0.35">
      <c r="A947" s="8">
        <v>943</v>
      </c>
      <c r="B947" s="9" t="str">
        <f t="shared" si="98"/>
        <v/>
      </c>
      <c r="C947" s="10"/>
      <c r="D947" s="9" t="str">
        <f>IF(F947="","",_xlfn.XLOOKUP(F947,purchase!D:D,purchase!#REF!,""))</f>
        <v/>
      </c>
      <c r="E947" s="9" t="str">
        <f>IF(F947="","",_xlfn.XLOOKUP(F947,purchase!D:D,purchase!B:B,""))</f>
        <v/>
      </c>
      <c r="F947" s="2"/>
      <c r="G947" s="4" t="str">
        <f t="shared" si="99"/>
        <v/>
      </c>
      <c r="H947" s="4" t="str">
        <f>IF(F947="","",_xlfn.XLOOKUP(F947,purchase!D:D,purchase!#REF!,""))</f>
        <v/>
      </c>
      <c r="I947" s="4" t="str">
        <f t="shared" si="100"/>
        <v/>
      </c>
      <c r="J947" s="4" t="str">
        <f t="shared" si="101"/>
        <v/>
      </c>
      <c r="K947" s="13" t="str">
        <f>_xlfn.SINGLE(IF(F947="","",_xlfn.XLOOKUP(F947,purchase!D:D,purchase!#REF!,"")))</f>
        <v/>
      </c>
      <c r="L947" s="2"/>
      <c r="M947" s="32"/>
      <c r="N947" s="13" t="str">
        <f>IF(F947="","",
MAX(0,
_xlfn.XLOOKUP(F947,purchase!D:D,purchase!#REF!,"")
-
SUMIFS(L:L,F:F,F947)))</f>
        <v/>
      </c>
      <c r="O947" s="13" t="str">
        <f t="shared" si="102"/>
        <v/>
      </c>
      <c r="P947" s="35" t="str">
        <f>_xlfn.SINGLE(IF(F947="","",_xlfn.XLOOKUP(F947,purchase!D:D,purchase!K:K,"")))</f>
        <v/>
      </c>
      <c r="Q947" s="29" t="str">
        <f t="shared" si="103"/>
        <v/>
      </c>
      <c r="R947" s="37" t="str">
        <f t="shared" si="104"/>
        <v/>
      </c>
    </row>
    <row r="948" spans="1:18" x14ac:dyDescent="0.35">
      <c r="A948" s="8">
        <v>944</v>
      </c>
      <c r="B948" s="9" t="str">
        <f t="shared" si="98"/>
        <v/>
      </c>
      <c r="C948" s="10"/>
      <c r="D948" s="9" t="str">
        <f>IF(F948="","",_xlfn.XLOOKUP(F948,purchase!D:D,purchase!#REF!,""))</f>
        <v/>
      </c>
      <c r="E948" s="9" t="str">
        <f>IF(F948="","",_xlfn.XLOOKUP(F948,purchase!D:D,purchase!B:B,""))</f>
        <v/>
      </c>
      <c r="F948" s="2"/>
      <c r="G948" s="4" t="str">
        <f t="shared" si="99"/>
        <v/>
      </c>
      <c r="H948" s="4" t="str">
        <f>IF(F948="","",_xlfn.XLOOKUP(F948,purchase!D:D,purchase!#REF!,""))</f>
        <v/>
      </c>
      <c r="I948" s="4" t="str">
        <f t="shared" si="100"/>
        <v/>
      </c>
      <c r="J948" s="4" t="str">
        <f t="shared" si="101"/>
        <v/>
      </c>
      <c r="K948" s="13" t="str">
        <f>_xlfn.SINGLE(IF(F948="","",_xlfn.XLOOKUP(F948,purchase!D:D,purchase!#REF!,"")))</f>
        <v/>
      </c>
      <c r="L948" s="2"/>
      <c r="M948" s="32"/>
      <c r="N948" s="13" t="str">
        <f>IF(F948="","",
MAX(0,
_xlfn.XLOOKUP(F948,purchase!D:D,purchase!#REF!,"")
-
SUMIFS(L:L,F:F,F948)))</f>
        <v/>
      </c>
      <c r="O948" s="13" t="str">
        <f t="shared" si="102"/>
        <v/>
      </c>
      <c r="P948" s="35" t="str">
        <f>_xlfn.SINGLE(IF(F948="","",_xlfn.XLOOKUP(F948,purchase!D:D,purchase!K:K,"")))</f>
        <v/>
      </c>
      <c r="Q948" s="29" t="str">
        <f t="shared" si="103"/>
        <v/>
      </c>
      <c r="R948" s="37" t="str">
        <f t="shared" si="104"/>
        <v/>
      </c>
    </row>
    <row r="949" spans="1:18" x14ac:dyDescent="0.35">
      <c r="A949" s="8">
        <v>945</v>
      </c>
      <c r="B949" s="9" t="str">
        <f t="shared" si="98"/>
        <v/>
      </c>
      <c r="C949" s="10"/>
      <c r="D949" s="9" t="str">
        <f>IF(F949="","",_xlfn.XLOOKUP(F949,purchase!D:D,purchase!#REF!,""))</f>
        <v/>
      </c>
      <c r="E949" s="9" t="str">
        <f>IF(F949="","",_xlfn.XLOOKUP(F949,purchase!D:D,purchase!B:B,""))</f>
        <v/>
      </c>
      <c r="F949" s="2"/>
      <c r="G949" s="4" t="str">
        <f t="shared" si="99"/>
        <v/>
      </c>
      <c r="H949" s="4" t="str">
        <f>IF(F949="","",_xlfn.XLOOKUP(F949,purchase!D:D,purchase!#REF!,""))</f>
        <v/>
      </c>
      <c r="I949" s="4" t="str">
        <f t="shared" si="100"/>
        <v/>
      </c>
      <c r="J949" s="4" t="str">
        <f t="shared" si="101"/>
        <v/>
      </c>
      <c r="K949" s="13" t="str">
        <f>_xlfn.SINGLE(IF(F949="","",_xlfn.XLOOKUP(F949,purchase!D:D,purchase!#REF!,"")))</f>
        <v/>
      </c>
      <c r="L949" s="2"/>
      <c r="M949" s="32"/>
      <c r="N949" s="13" t="str">
        <f>IF(F949="","",
MAX(0,
_xlfn.XLOOKUP(F949,purchase!D:D,purchase!#REF!,"")
-
SUMIFS(L:L,F:F,F949)))</f>
        <v/>
      </c>
      <c r="O949" s="13" t="str">
        <f t="shared" si="102"/>
        <v/>
      </c>
      <c r="P949" s="35" t="str">
        <f>_xlfn.SINGLE(IF(F949="","",_xlfn.XLOOKUP(F949,purchase!D:D,purchase!K:K,"")))</f>
        <v/>
      </c>
      <c r="Q949" s="29" t="str">
        <f t="shared" si="103"/>
        <v/>
      </c>
      <c r="R949" s="37" t="str">
        <f t="shared" si="104"/>
        <v/>
      </c>
    </row>
    <row r="950" spans="1:18" x14ac:dyDescent="0.35">
      <c r="A950" s="8">
        <v>946</v>
      </c>
      <c r="B950" s="9" t="str">
        <f t="shared" si="98"/>
        <v/>
      </c>
      <c r="C950" s="10"/>
      <c r="D950" s="9" t="str">
        <f>IF(F950="","",_xlfn.XLOOKUP(F950,purchase!D:D,purchase!#REF!,""))</f>
        <v/>
      </c>
      <c r="E950" s="9" t="str">
        <f>IF(F950="","",_xlfn.XLOOKUP(F950,purchase!D:D,purchase!B:B,""))</f>
        <v/>
      </c>
      <c r="F950" s="2"/>
      <c r="G950" s="4" t="str">
        <f t="shared" si="99"/>
        <v/>
      </c>
      <c r="H950" s="4" t="str">
        <f>IF(F950="","",_xlfn.XLOOKUP(F950,purchase!D:D,purchase!#REF!,""))</f>
        <v/>
      </c>
      <c r="I950" s="4" t="str">
        <f t="shared" si="100"/>
        <v/>
      </c>
      <c r="J950" s="4" t="str">
        <f t="shared" si="101"/>
        <v/>
      </c>
      <c r="K950" s="13" t="str">
        <f>_xlfn.SINGLE(IF(F950="","",_xlfn.XLOOKUP(F950,purchase!D:D,purchase!#REF!,"")))</f>
        <v/>
      </c>
      <c r="L950" s="2"/>
      <c r="M950" s="32"/>
      <c r="N950" s="13" t="str">
        <f>IF(F950="","",
MAX(0,
_xlfn.XLOOKUP(F950,purchase!D:D,purchase!#REF!,"")
-
SUMIFS(L:L,F:F,F950)))</f>
        <v/>
      </c>
      <c r="O950" s="13" t="str">
        <f t="shared" si="102"/>
        <v/>
      </c>
      <c r="P950" s="35" t="str">
        <f>_xlfn.SINGLE(IF(F950="","",_xlfn.XLOOKUP(F950,purchase!D:D,purchase!K:K,"")))</f>
        <v/>
      </c>
      <c r="Q950" s="29" t="str">
        <f t="shared" si="103"/>
        <v/>
      </c>
      <c r="R950" s="37" t="str">
        <f t="shared" si="104"/>
        <v/>
      </c>
    </row>
    <row r="951" spans="1:18" x14ac:dyDescent="0.35">
      <c r="A951" s="8">
        <v>947</v>
      </c>
      <c r="B951" s="9" t="str">
        <f t="shared" si="98"/>
        <v/>
      </c>
      <c r="C951" s="10"/>
      <c r="D951" s="9" t="str">
        <f>IF(F951="","",_xlfn.XLOOKUP(F951,purchase!D:D,purchase!#REF!,""))</f>
        <v/>
      </c>
      <c r="E951" s="9" t="str">
        <f>IF(F951="","",_xlfn.XLOOKUP(F951,purchase!D:D,purchase!B:B,""))</f>
        <v/>
      </c>
      <c r="F951" s="2"/>
      <c r="G951" s="4" t="str">
        <f t="shared" si="99"/>
        <v/>
      </c>
      <c r="H951" s="4" t="str">
        <f>IF(F951="","",_xlfn.XLOOKUP(F951,purchase!D:D,purchase!#REF!,""))</f>
        <v/>
      </c>
      <c r="I951" s="4" t="str">
        <f t="shared" si="100"/>
        <v/>
      </c>
      <c r="J951" s="4" t="str">
        <f t="shared" si="101"/>
        <v/>
      </c>
      <c r="K951" s="13" t="str">
        <f>_xlfn.SINGLE(IF(F951="","",_xlfn.XLOOKUP(F951,purchase!D:D,purchase!#REF!,"")))</f>
        <v/>
      </c>
      <c r="L951" s="2"/>
      <c r="M951" s="32"/>
      <c r="N951" s="13" t="str">
        <f>IF(F951="","",
MAX(0,
_xlfn.XLOOKUP(F951,purchase!D:D,purchase!#REF!,"")
-
SUMIFS(L:L,F:F,F951)))</f>
        <v/>
      </c>
      <c r="O951" s="13" t="str">
        <f t="shared" si="102"/>
        <v/>
      </c>
      <c r="P951" s="35" t="str">
        <f>_xlfn.SINGLE(IF(F951="","",_xlfn.XLOOKUP(F951,purchase!D:D,purchase!K:K,"")))</f>
        <v/>
      </c>
      <c r="Q951" s="29" t="str">
        <f t="shared" si="103"/>
        <v/>
      </c>
      <c r="R951" s="37" t="str">
        <f t="shared" si="104"/>
        <v/>
      </c>
    </row>
    <row r="952" spans="1:18" x14ac:dyDescent="0.35">
      <c r="A952" s="8">
        <v>948</v>
      </c>
      <c r="B952" s="9" t="str">
        <f t="shared" si="98"/>
        <v/>
      </c>
      <c r="C952" s="10"/>
      <c r="D952" s="9" t="str">
        <f>IF(F952="","",_xlfn.XLOOKUP(F952,purchase!D:D,purchase!#REF!,""))</f>
        <v/>
      </c>
      <c r="E952" s="9" t="str">
        <f>IF(F952="","",_xlfn.XLOOKUP(F952,purchase!D:D,purchase!B:B,""))</f>
        <v/>
      </c>
      <c r="F952" s="2"/>
      <c r="G952" s="4" t="str">
        <f t="shared" si="99"/>
        <v/>
      </c>
      <c r="H952" s="4" t="str">
        <f>IF(F952="","",_xlfn.XLOOKUP(F952,purchase!D:D,purchase!#REF!,""))</f>
        <v/>
      </c>
      <c r="I952" s="4" t="str">
        <f t="shared" si="100"/>
        <v/>
      </c>
      <c r="J952" s="4" t="str">
        <f t="shared" si="101"/>
        <v/>
      </c>
      <c r="K952" s="13" t="str">
        <f>_xlfn.SINGLE(IF(F952="","",_xlfn.XLOOKUP(F952,purchase!D:D,purchase!#REF!,"")))</f>
        <v/>
      </c>
      <c r="L952" s="2"/>
      <c r="M952" s="32"/>
      <c r="N952" s="13" t="str">
        <f>IF(F952="","",
MAX(0,
_xlfn.XLOOKUP(F952,purchase!D:D,purchase!#REF!,"")
-
SUMIFS(L:L,F:F,F952)))</f>
        <v/>
      </c>
      <c r="O952" s="13" t="str">
        <f t="shared" si="102"/>
        <v/>
      </c>
      <c r="P952" s="35" t="str">
        <f>_xlfn.SINGLE(IF(F952="","",_xlfn.XLOOKUP(F952,purchase!D:D,purchase!K:K,"")))</f>
        <v/>
      </c>
      <c r="Q952" s="29" t="str">
        <f t="shared" si="103"/>
        <v/>
      </c>
      <c r="R952" s="37" t="str">
        <f t="shared" si="104"/>
        <v/>
      </c>
    </row>
    <row r="953" spans="1:18" x14ac:dyDescent="0.35">
      <c r="A953" s="8">
        <v>949</v>
      </c>
      <c r="B953" s="9" t="str">
        <f t="shared" si="98"/>
        <v/>
      </c>
      <c r="C953" s="10"/>
      <c r="D953" s="9" t="str">
        <f>IF(F953="","",_xlfn.XLOOKUP(F953,purchase!D:D,purchase!#REF!,""))</f>
        <v/>
      </c>
      <c r="E953" s="9" t="str">
        <f>IF(F953="","",_xlfn.XLOOKUP(F953,purchase!D:D,purchase!B:B,""))</f>
        <v/>
      </c>
      <c r="F953" s="2"/>
      <c r="G953" s="4" t="str">
        <f t="shared" si="99"/>
        <v/>
      </c>
      <c r="H953" s="4" t="str">
        <f>IF(F953="","",_xlfn.XLOOKUP(F953,purchase!D:D,purchase!#REF!,""))</f>
        <v/>
      </c>
      <c r="I953" s="4" t="str">
        <f t="shared" si="100"/>
        <v/>
      </c>
      <c r="J953" s="4" t="str">
        <f t="shared" si="101"/>
        <v/>
      </c>
      <c r="K953" s="13" t="str">
        <f>_xlfn.SINGLE(IF(F953="","",_xlfn.XLOOKUP(F953,purchase!D:D,purchase!#REF!,"")))</f>
        <v/>
      </c>
      <c r="L953" s="2"/>
      <c r="M953" s="32"/>
      <c r="N953" s="13" t="str">
        <f>IF(F953="","",
MAX(0,
_xlfn.XLOOKUP(F953,purchase!D:D,purchase!#REF!,"")
-
SUMIFS(L:L,F:F,F953)))</f>
        <v/>
      </c>
      <c r="O953" s="13" t="str">
        <f t="shared" si="102"/>
        <v/>
      </c>
      <c r="P953" s="35" t="str">
        <f>_xlfn.SINGLE(IF(F953="","",_xlfn.XLOOKUP(F953,purchase!D:D,purchase!K:K,"")))</f>
        <v/>
      </c>
      <c r="Q953" s="29" t="str">
        <f t="shared" si="103"/>
        <v/>
      </c>
      <c r="R953" s="37" t="str">
        <f t="shared" si="104"/>
        <v/>
      </c>
    </row>
    <row r="954" spans="1:18" x14ac:dyDescent="0.35">
      <c r="A954" s="8">
        <v>950</v>
      </c>
      <c r="B954" s="9" t="str">
        <f t="shared" si="98"/>
        <v/>
      </c>
      <c r="C954" s="10"/>
      <c r="D954" s="9" t="str">
        <f>IF(F954="","",_xlfn.XLOOKUP(F954,purchase!D:D,purchase!#REF!,""))</f>
        <v/>
      </c>
      <c r="E954" s="9" t="str">
        <f>IF(F954="","",_xlfn.XLOOKUP(F954,purchase!D:D,purchase!B:B,""))</f>
        <v/>
      </c>
      <c r="F954" s="2"/>
      <c r="G954" s="4" t="str">
        <f t="shared" si="99"/>
        <v/>
      </c>
      <c r="H954" s="4" t="str">
        <f>IF(F954="","",_xlfn.XLOOKUP(F954,purchase!D:D,purchase!#REF!,""))</f>
        <v/>
      </c>
      <c r="I954" s="4" t="str">
        <f t="shared" si="100"/>
        <v/>
      </c>
      <c r="J954" s="4" t="str">
        <f t="shared" si="101"/>
        <v/>
      </c>
      <c r="K954" s="13" t="str">
        <f>_xlfn.SINGLE(IF(F954="","",_xlfn.XLOOKUP(F954,purchase!D:D,purchase!#REF!,"")))</f>
        <v/>
      </c>
      <c r="L954" s="2"/>
      <c r="M954" s="32"/>
      <c r="N954" s="13" t="str">
        <f>IF(F954="","",
MAX(0,
_xlfn.XLOOKUP(F954,purchase!D:D,purchase!#REF!,"")
-
SUMIFS(L:L,F:F,F954)))</f>
        <v/>
      </c>
      <c r="O954" s="13" t="str">
        <f t="shared" si="102"/>
        <v/>
      </c>
      <c r="P954" s="35" t="str">
        <f>_xlfn.SINGLE(IF(F954="","",_xlfn.XLOOKUP(F954,purchase!D:D,purchase!K:K,"")))</f>
        <v/>
      </c>
      <c r="Q954" s="29" t="str">
        <f t="shared" si="103"/>
        <v/>
      </c>
      <c r="R954" s="37" t="str">
        <f t="shared" si="104"/>
        <v/>
      </c>
    </row>
    <row r="955" spans="1:18" x14ac:dyDescent="0.35">
      <c r="A955" s="8">
        <v>951</v>
      </c>
      <c r="B955" s="9" t="str">
        <f t="shared" si="98"/>
        <v/>
      </c>
      <c r="C955" s="10"/>
      <c r="D955" s="9" t="str">
        <f>IF(F955="","",_xlfn.XLOOKUP(F955,purchase!D:D,purchase!#REF!,""))</f>
        <v/>
      </c>
      <c r="E955" s="9" t="str">
        <f>IF(F955="","",_xlfn.XLOOKUP(F955,purchase!D:D,purchase!B:B,""))</f>
        <v/>
      </c>
      <c r="F955" s="2"/>
      <c r="G955" s="4" t="str">
        <f t="shared" si="99"/>
        <v/>
      </c>
      <c r="H955" s="4" t="str">
        <f>IF(F955="","",_xlfn.XLOOKUP(F955,purchase!D:D,purchase!#REF!,""))</f>
        <v/>
      </c>
      <c r="I955" s="4" t="str">
        <f t="shared" si="100"/>
        <v/>
      </c>
      <c r="J955" s="4" t="str">
        <f t="shared" si="101"/>
        <v/>
      </c>
      <c r="K955" s="13" t="str">
        <f>_xlfn.SINGLE(IF(F955="","",_xlfn.XLOOKUP(F955,purchase!D:D,purchase!#REF!,"")))</f>
        <v/>
      </c>
      <c r="L955" s="2"/>
      <c r="M955" s="32"/>
      <c r="N955" s="13" t="str">
        <f>IF(F955="","",
MAX(0,
_xlfn.XLOOKUP(F955,purchase!D:D,purchase!#REF!,"")
-
SUMIFS(L:L,F:F,F955)))</f>
        <v/>
      </c>
      <c r="O955" s="13" t="str">
        <f t="shared" si="102"/>
        <v/>
      </c>
      <c r="P955" s="35" t="str">
        <f>_xlfn.SINGLE(IF(F955="","",_xlfn.XLOOKUP(F955,purchase!D:D,purchase!K:K,"")))</f>
        <v/>
      </c>
      <c r="Q955" s="29" t="str">
        <f t="shared" si="103"/>
        <v/>
      </c>
      <c r="R955" s="37" t="str">
        <f t="shared" si="104"/>
        <v/>
      </c>
    </row>
    <row r="956" spans="1:18" x14ac:dyDescent="0.35">
      <c r="A956" s="8">
        <v>952</v>
      </c>
      <c r="B956" s="9" t="str">
        <f t="shared" si="98"/>
        <v/>
      </c>
      <c r="C956" s="10"/>
      <c r="D956" s="9" t="str">
        <f>IF(F956="","",_xlfn.XLOOKUP(F956,purchase!D:D,purchase!#REF!,""))</f>
        <v/>
      </c>
      <c r="E956" s="9" t="str">
        <f>IF(F956="","",_xlfn.XLOOKUP(F956,purchase!D:D,purchase!B:B,""))</f>
        <v/>
      </c>
      <c r="F956" s="2"/>
      <c r="G956" s="4" t="str">
        <f t="shared" si="99"/>
        <v/>
      </c>
      <c r="H956" s="4" t="str">
        <f>IF(F956="","",_xlfn.XLOOKUP(F956,purchase!D:D,purchase!#REF!,""))</f>
        <v/>
      </c>
      <c r="I956" s="4" t="str">
        <f t="shared" si="100"/>
        <v/>
      </c>
      <c r="J956" s="4" t="str">
        <f t="shared" si="101"/>
        <v/>
      </c>
      <c r="K956" s="13" t="str">
        <f>_xlfn.SINGLE(IF(F956="","",_xlfn.XLOOKUP(F956,purchase!D:D,purchase!#REF!,"")))</f>
        <v/>
      </c>
      <c r="L956" s="2"/>
      <c r="M956" s="32"/>
      <c r="N956" s="13" t="str">
        <f>IF(F956="","",
MAX(0,
_xlfn.XLOOKUP(F956,purchase!D:D,purchase!#REF!,"")
-
SUMIFS(L:L,F:F,F956)))</f>
        <v/>
      </c>
      <c r="O956" s="13" t="str">
        <f t="shared" si="102"/>
        <v/>
      </c>
      <c r="P956" s="35" t="str">
        <f>_xlfn.SINGLE(IF(F956="","",_xlfn.XLOOKUP(F956,purchase!D:D,purchase!K:K,"")))</f>
        <v/>
      </c>
      <c r="Q956" s="29" t="str">
        <f t="shared" si="103"/>
        <v/>
      </c>
      <c r="R956" s="37" t="str">
        <f t="shared" si="104"/>
        <v/>
      </c>
    </row>
    <row r="957" spans="1:18" x14ac:dyDescent="0.35">
      <c r="A957" s="8">
        <v>953</v>
      </c>
      <c r="B957" s="9" t="str">
        <f t="shared" si="98"/>
        <v/>
      </c>
      <c r="C957" s="10"/>
      <c r="D957" s="9" t="str">
        <f>IF(F957="","",_xlfn.XLOOKUP(F957,purchase!D:D,purchase!#REF!,""))</f>
        <v/>
      </c>
      <c r="E957" s="9" t="str">
        <f>IF(F957="","",_xlfn.XLOOKUP(F957,purchase!D:D,purchase!B:B,""))</f>
        <v/>
      </c>
      <c r="F957" s="2"/>
      <c r="G957" s="4" t="str">
        <f t="shared" si="99"/>
        <v/>
      </c>
      <c r="H957" s="4" t="str">
        <f>IF(F957="","",_xlfn.XLOOKUP(F957,purchase!D:D,purchase!#REF!,""))</f>
        <v/>
      </c>
      <c r="I957" s="4" t="str">
        <f t="shared" si="100"/>
        <v/>
      </c>
      <c r="J957" s="4" t="str">
        <f t="shared" si="101"/>
        <v/>
      </c>
      <c r="K957" s="13" t="str">
        <f>_xlfn.SINGLE(IF(F957="","",_xlfn.XLOOKUP(F957,purchase!D:D,purchase!#REF!,"")))</f>
        <v/>
      </c>
      <c r="L957" s="2"/>
      <c r="M957" s="32"/>
      <c r="N957" s="13" t="str">
        <f>IF(F957="","",
MAX(0,
_xlfn.XLOOKUP(F957,purchase!D:D,purchase!#REF!,"")
-
SUMIFS(L:L,F:F,F957)))</f>
        <v/>
      </c>
      <c r="O957" s="13" t="str">
        <f t="shared" si="102"/>
        <v/>
      </c>
      <c r="P957" s="35" t="str">
        <f>_xlfn.SINGLE(IF(F957="","",_xlfn.XLOOKUP(F957,purchase!D:D,purchase!K:K,"")))</f>
        <v/>
      </c>
      <c r="Q957" s="29" t="str">
        <f t="shared" si="103"/>
        <v/>
      </c>
      <c r="R957" s="37" t="str">
        <f t="shared" si="104"/>
        <v/>
      </c>
    </row>
    <row r="958" spans="1:18" x14ac:dyDescent="0.35">
      <c r="A958" s="8">
        <v>954</v>
      </c>
      <c r="B958" s="9" t="str">
        <f t="shared" si="98"/>
        <v/>
      </c>
      <c r="C958" s="10"/>
      <c r="D958" s="9" t="str">
        <f>IF(F958="","",_xlfn.XLOOKUP(F958,purchase!D:D,purchase!#REF!,""))</f>
        <v/>
      </c>
      <c r="E958" s="9" t="str">
        <f>IF(F958="","",_xlfn.XLOOKUP(F958,purchase!D:D,purchase!B:B,""))</f>
        <v/>
      </c>
      <c r="F958" s="2"/>
      <c r="G958" s="4" t="str">
        <f t="shared" si="99"/>
        <v/>
      </c>
      <c r="H958" s="4" t="str">
        <f>IF(F958="","",_xlfn.XLOOKUP(F958,purchase!D:D,purchase!#REF!,""))</f>
        <v/>
      </c>
      <c r="I958" s="4" t="str">
        <f t="shared" si="100"/>
        <v/>
      </c>
      <c r="J958" s="4" t="str">
        <f t="shared" si="101"/>
        <v/>
      </c>
      <c r="K958" s="13" t="str">
        <f>_xlfn.SINGLE(IF(F958="","",_xlfn.XLOOKUP(F958,purchase!D:D,purchase!#REF!,"")))</f>
        <v/>
      </c>
      <c r="L958" s="2"/>
      <c r="M958" s="32"/>
      <c r="N958" s="13" t="str">
        <f>IF(F958="","",
MAX(0,
_xlfn.XLOOKUP(F958,purchase!D:D,purchase!#REF!,"")
-
SUMIFS(L:L,F:F,F958)))</f>
        <v/>
      </c>
      <c r="O958" s="13" t="str">
        <f t="shared" si="102"/>
        <v/>
      </c>
      <c r="P958" s="35" t="str">
        <f>_xlfn.SINGLE(IF(F958="","",_xlfn.XLOOKUP(F958,purchase!D:D,purchase!K:K,"")))</f>
        <v/>
      </c>
      <c r="Q958" s="29" t="str">
        <f t="shared" si="103"/>
        <v/>
      </c>
      <c r="R958" s="37" t="str">
        <f t="shared" si="104"/>
        <v/>
      </c>
    </row>
    <row r="959" spans="1:18" x14ac:dyDescent="0.35">
      <c r="A959" s="8">
        <v>955</v>
      </c>
      <c r="B959" s="9" t="str">
        <f t="shared" si="98"/>
        <v/>
      </c>
      <c r="C959" s="10"/>
      <c r="D959" s="9" t="str">
        <f>IF(F959="","",_xlfn.XLOOKUP(F959,purchase!D:D,purchase!#REF!,""))</f>
        <v/>
      </c>
      <c r="E959" s="9" t="str">
        <f>IF(F959="","",_xlfn.XLOOKUP(F959,purchase!D:D,purchase!B:B,""))</f>
        <v/>
      </c>
      <c r="F959" s="2"/>
      <c r="G959" s="4" t="str">
        <f t="shared" si="99"/>
        <v/>
      </c>
      <c r="H959" s="4" t="str">
        <f>IF(F959="","",_xlfn.XLOOKUP(F959,purchase!D:D,purchase!#REF!,""))</f>
        <v/>
      </c>
      <c r="I959" s="4" t="str">
        <f t="shared" si="100"/>
        <v/>
      </c>
      <c r="J959" s="4" t="str">
        <f t="shared" si="101"/>
        <v/>
      </c>
      <c r="K959" s="13" t="str">
        <f>_xlfn.SINGLE(IF(F959="","",_xlfn.XLOOKUP(F959,purchase!D:D,purchase!#REF!,"")))</f>
        <v/>
      </c>
      <c r="L959" s="2"/>
      <c r="M959" s="32"/>
      <c r="N959" s="13" t="str">
        <f>IF(F959="","",
MAX(0,
_xlfn.XLOOKUP(F959,purchase!D:D,purchase!#REF!,"")
-
SUMIFS(L:L,F:F,F959)))</f>
        <v/>
      </c>
      <c r="O959" s="13" t="str">
        <f t="shared" si="102"/>
        <v/>
      </c>
      <c r="P959" s="35" t="str">
        <f>_xlfn.SINGLE(IF(F959="","",_xlfn.XLOOKUP(F959,purchase!D:D,purchase!K:K,"")))</f>
        <v/>
      </c>
      <c r="Q959" s="29" t="str">
        <f t="shared" si="103"/>
        <v/>
      </c>
      <c r="R959" s="37" t="str">
        <f t="shared" si="104"/>
        <v/>
      </c>
    </row>
    <row r="960" spans="1:18" x14ac:dyDescent="0.35">
      <c r="A960" s="8">
        <v>956</v>
      </c>
      <c r="B960" s="9" t="str">
        <f t="shared" si="98"/>
        <v/>
      </c>
      <c r="C960" s="10"/>
      <c r="D960" s="9" t="str">
        <f>IF(F960="","",_xlfn.XLOOKUP(F960,purchase!D:D,purchase!#REF!,""))</f>
        <v/>
      </c>
      <c r="E960" s="9" t="str">
        <f>IF(F960="","",_xlfn.XLOOKUP(F960,purchase!D:D,purchase!B:B,""))</f>
        <v/>
      </c>
      <c r="F960" s="2"/>
      <c r="G960" s="4" t="str">
        <f t="shared" si="99"/>
        <v/>
      </c>
      <c r="H960" s="4" t="str">
        <f>IF(F960="","",_xlfn.XLOOKUP(F960,purchase!D:D,purchase!#REF!,""))</f>
        <v/>
      </c>
      <c r="I960" s="4" t="str">
        <f t="shared" si="100"/>
        <v/>
      </c>
      <c r="J960" s="4" t="str">
        <f t="shared" si="101"/>
        <v/>
      </c>
      <c r="K960" s="13" t="str">
        <f>_xlfn.SINGLE(IF(F960="","",_xlfn.XLOOKUP(F960,purchase!D:D,purchase!#REF!,"")))</f>
        <v/>
      </c>
      <c r="L960" s="2"/>
      <c r="M960" s="32"/>
      <c r="N960" s="13" t="str">
        <f>IF(F960="","",
MAX(0,
_xlfn.XLOOKUP(F960,purchase!D:D,purchase!#REF!,"")
-
SUMIFS(L:L,F:F,F960)))</f>
        <v/>
      </c>
      <c r="O960" s="13" t="str">
        <f t="shared" si="102"/>
        <v/>
      </c>
      <c r="P960" s="35" t="str">
        <f>_xlfn.SINGLE(IF(F960="","",_xlfn.XLOOKUP(F960,purchase!D:D,purchase!K:K,"")))</f>
        <v/>
      </c>
      <c r="Q960" s="29" t="str">
        <f t="shared" si="103"/>
        <v/>
      </c>
      <c r="R960" s="37" t="str">
        <f t="shared" si="104"/>
        <v/>
      </c>
    </row>
    <row r="961" spans="1:18" x14ac:dyDescent="0.35">
      <c r="A961" s="8">
        <v>957</v>
      </c>
      <c r="B961" s="9" t="str">
        <f t="shared" si="98"/>
        <v/>
      </c>
      <c r="C961" s="10"/>
      <c r="D961" s="9" t="str">
        <f>IF(F961="","",_xlfn.XLOOKUP(F961,purchase!D:D,purchase!#REF!,""))</f>
        <v/>
      </c>
      <c r="E961" s="9" t="str">
        <f>IF(F961="","",_xlfn.XLOOKUP(F961,purchase!D:D,purchase!B:B,""))</f>
        <v/>
      </c>
      <c r="F961" s="2"/>
      <c r="G961" s="4" t="str">
        <f t="shared" si="99"/>
        <v/>
      </c>
      <c r="H961" s="4" t="str">
        <f>IF(F961="","",_xlfn.XLOOKUP(F961,purchase!D:D,purchase!#REF!,""))</f>
        <v/>
      </c>
      <c r="I961" s="4" t="str">
        <f t="shared" si="100"/>
        <v/>
      </c>
      <c r="J961" s="4" t="str">
        <f t="shared" si="101"/>
        <v/>
      </c>
      <c r="K961" s="13" t="str">
        <f>_xlfn.SINGLE(IF(F961="","",_xlfn.XLOOKUP(F961,purchase!D:D,purchase!#REF!,"")))</f>
        <v/>
      </c>
      <c r="L961" s="2"/>
      <c r="M961" s="32"/>
      <c r="N961" s="13" t="str">
        <f>IF(F961="","",
MAX(0,
_xlfn.XLOOKUP(F961,purchase!D:D,purchase!#REF!,"")
-
SUMIFS(L:L,F:F,F961)))</f>
        <v/>
      </c>
      <c r="O961" s="13" t="str">
        <f t="shared" si="102"/>
        <v/>
      </c>
      <c r="P961" s="35" t="str">
        <f>_xlfn.SINGLE(IF(F961="","",_xlfn.XLOOKUP(F961,purchase!D:D,purchase!K:K,"")))</f>
        <v/>
      </c>
      <c r="Q961" s="29" t="str">
        <f t="shared" si="103"/>
        <v/>
      </c>
      <c r="R961" s="37" t="str">
        <f t="shared" si="104"/>
        <v/>
      </c>
    </row>
    <row r="962" spans="1:18" x14ac:dyDescent="0.35">
      <c r="A962" s="8">
        <v>958</v>
      </c>
      <c r="B962" s="9" t="str">
        <f t="shared" si="98"/>
        <v/>
      </c>
      <c r="C962" s="10"/>
      <c r="D962" s="9" t="str">
        <f>IF(F962="","",_xlfn.XLOOKUP(F962,purchase!D:D,purchase!#REF!,""))</f>
        <v/>
      </c>
      <c r="E962" s="9" t="str">
        <f>IF(F962="","",_xlfn.XLOOKUP(F962,purchase!D:D,purchase!B:B,""))</f>
        <v/>
      </c>
      <c r="F962" s="2"/>
      <c r="G962" s="4" t="str">
        <f t="shared" si="99"/>
        <v/>
      </c>
      <c r="H962" s="4" t="str">
        <f>IF(F962="","",_xlfn.XLOOKUP(F962,purchase!D:D,purchase!#REF!,""))</f>
        <v/>
      </c>
      <c r="I962" s="4" t="str">
        <f t="shared" si="100"/>
        <v/>
      </c>
      <c r="J962" s="4" t="str">
        <f t="shared" si="101"/>
        <v/>
      </c>
      <c r="K962" s="13" t="str">
        <f>_xlfn.SINGLE(IF(F962="","",_xlfn.XLOOKUP(F962,purchase!D:D,purchase!#REF!,"")))</f>
        <v/>
      </c>
      <c r="L962" s="2"/>
      <c r="M962" s="32"/>
      <c r="N962" s="13" t="str">
        <f>IF(F962="","",
MAX(0,
_xlfn.XLOOKUP(F962,purchase!D:D,purchase!#REF!,"")
-
SUMIFS(L:L,F:F,F962)))</f>
        <v/>
      </c>
      <c r="O962" s="13" t="str">
        <f t="shared" si="102"/>
        <v/>
      </c>
      <c r="P962" s="35" t="str">
        <f>_xlfn.SINGLE(IF(F962="","",_xlfn.XLOOKUP(F962,purchase!D:D,purchase!K:K,"")))</f>
        <v/>
      </c>
      <c r="Q962" s="29" t="str">
        <f t="shared" si="103"/>
        <v/>
      </c>
      <c r="R962" s="37" t="str">
        <f t="shared" si="104"/>
        <v/>
      </c>
    </row>
    <row r="963" spans="1:18" x14ac:dyDescent="0.35">
      <c r="A963" s="8">
        <v>959</v>
      </c>
      <c r="B963" s="9" t="str">
        <f t="shared" si="98"/>
        <v/>
      </c>
      <c r="C963" s="10"/>
      <c r="D963" s="9" t="str">
        <f>IF(F963="","",_xlfn.XLOOKUP(F963,purchase!D:D,purchase!#REF!,""))</f>
        <v/>
      </c>
      <c r="E963" s="9" t="str">
        <f>IF(F963="","",_xlfn.XLOOKUP(F963,purchase!D:D,purchase!B:B,""))</f>
        <v/>
      </c>
      <c r="F963" s="2"/>
      <c r="G963" s="4" t="str">
        <f t="shared" si="99"/>
        <v/>
      </c>
      <c r="H963" s="4" t="str">
        <f>IF(F963="","",_xlfn.XLOOKUP(F963,purchase!D:D,purchase!#REF!,""))</f>
        <v/>
      </c>
      <c r="I963" s="4" t="str">
        <f t="shared" si="100"/>
        <v/>
      </c>
      <c r="J963" s="4" t="str">
        <f t="shared" si="101"/>
        <v/>
      </c>
      <c r="K963" s="13" t="str">
        <f>_xlfn.SINGLE(IF(F963="","",_xlfn.XLOOKUP(F963,purchase!D:D,purchase!#REF!,"")))</f>
        <v/>
      </c>
      <c r="L963" s="2"/>
      <c r="M963" s="32"/>
      <c r="N963" s="13" t="str">
        <f>IF(F963="","",
MAX(0,
_xlfn.XLOOKUP(F963,purchase!D:D,purchase!#REF!,"")
-
SUMIFS(L:L,F:F,F963)))</f>
        <v/>
      </c>
      <c r="O963" s="13" t="str">
        <f t="shared" si="102"/>
        <v/>
      </c>
      <c r="P963" s="35" t="str">
        <f>_xlfn.SINGLE(IF(F963="","",_xlfn.XLOOKUP(F963,purchase!D:D,purchase!K:K,"")))</f>
        <v/>
      </c>
      <c r="Q963" s="29" t="str">
        <f t="shared" si="103"/>
        <v/>
      </c>
      <c r="R963" s="37" t="str">
        <f t="shared" si="104"/>
        <v/>
      </c>
    </row>
    <row r="964" spans="1:18" x14ac:dyDescent="0.35">
      <c r="A964" s="8">
        <v>960</v>
      </c>
      <c r="B964" s="9" t="str">
        <f t="shared" si="98"/>
        <v/>
      </c>
      <c r="C964" s="10"/>
      <c r="D964" s="9" t="str">
        <f>IF(F964="","",_xlfn.XLOOKUP(F964,purchase!D:D,purchase!#REF!,""))</f>
        <v/>
      </c>
      <c r="E964" s="9" t="str">
        <f>IF(F964="","",_xlfn.XLOOKUP(F964,purchase!D:D,purchase!B:B,""))</f>
        <v/>
      </c>
      <c r="F964" s="2"/>
      <c r="G964" s="4" t="str">
        <f t="shared" si="99"/>
        <v/>
      </c>
      <c r="H964" s="4" t="str">
        <f>IF(F964="","",_xlfn.XLOOKUP(F964,purchase!D:D,purchase!#REF!,""))</f>
        <v/>
      </c>
      <c r="I964" s="4" t="str">
        <f t="shared" si="100"/>
        <v/>
      </c>
      <c r="J964" s="4" t="str">
        <f t="shared" si="101"/>
        <v/>
      </c>
      <c r="K964" s="13" t="str">
        <f>_xlfn.SINGLE(IF(F964="","",_xlfn.XLOOKUP(F964,purchase!D:D,purchase!#REF!,"")))</f>
        <v/>
      </c>
      <c r="L964" s="2"/>
      <c r="M964" s="32"/>
      <c r="N964" s="13" t="str">
        <f>IF(F964="","",
MAX(0,
_xlfn.XLOOKUP(F964,purchase!D:D,purchase!#REF!,"")
-
SUMIFS(L:L,F:F,F964)))</f>
        <v/>
      </c>
      <c r="O964" s="13" t="str">
        <f t="shared" si="102"/>
        <v/>
      </c>
      <c r="P964" s="35" t="str">
        <f>_xlfn.SINGLE(IF(F964="","",_xlfn.XLOOKUP(F964,purchase!D:D,purchase!K:K,"")))</f>
        <v/>
      </c>
      <c r="Q964" s="29" t="str">
        <f t="shared" si="103"/>
        <v/>
      </c>
      <c r="R964" s="37" t="str">
        <f t="shared" si="104"/>
        <v/>
      </c>
    </row>
    <row r="965" spans="1:18" x14ac:dyDescent="0.35">
      <c r="A965" s="8">
        <v>961</v>
      </c>
      <c r="B965" s="9" t="str">
        <f t="shared" ref="B965:B1028" si="105">IF(OR(C965="",F965=""),"",
"PRD-" &amp;
TEXT(DAY(C965),"00") &amp;
CHOOSE(MONTH(C965),"A","B","C","D","E","F","G","H","I","J","K","L") &amp;
TEXT(YEAR(C965),"00") &amp;
"-" &amp;
RIGHT(F965,4))</f>
        <v/>
      </c>
      <c r="C965" s="10"/>
      <c r="D965" s="9" t="str">
        <f>IF(F965="","",_xlfn.XLOOKUP(F965,purchase!D:D,purchase!#REF!,""))</f>
        <v/>
      </c>
      <c r="E965" s="9" t="str">
        <f>IF(F965="","",_xlfn.XLOOKUP(F965,purchase!D:D,purchase!B:B,""))</f>
        <v/>
      </c>
      <c r="F965" s="2"/>
      <c r="G965" s="4" t="str">
        <f t="shared" ref="G965:G1028" si="106">IF(H965="NRFC","Natural Rubber Field Coagulam","")</f>
        <v/>
      </c>
      <c r="H965" s="4" t="str">
        <f>IF(F965="","",_xlfn.XLOOKUP(F965,purchase!D:D,purchase!#REF!,""))</f>
        <v/>
      </c>
      <c r="I965" s="4" t="str">
        <f t="shared" ref="I965:I1028" si="107">IF(J965="ISNR20","Natural Rubber-TSNR (ISNR-20)","")</f>
        <v/>
      </c>
      <c r="J965" s="4" t="str">
        <f t="shared" ref="J965:J1028" si="108">IF(H965="NRFC","ISNR20","")</f>
        <v/>
      </c>
      <c r="K965" s="13" t="str">
        <f>_xlfn.SINGLE(IF(F965="","",_xlfn.XLOOKUP(F965,purchase!D:D,purchase!#REF!,"")))</f>
        <v/>
      </c>
      <c r="L965" s="2"/>
      <c r="M965" s="32"/>
      <c r="N965" s="13" t="str">
        <f>IF(F965="","",
MAX(0,
_xlfn.XLOOKUP(F965,purchase!D:D,purchase!#REF!,"")
-
SUMIFS(L:L,F:F,F965)))</f>
        <v/>
      </c>
      <c r="O965" s="13" t="str">
        <f t="shared" ref="O965:O1028" si="109">IF(OR(L965="",M965=""),"",L965-M965)</f>
        <v/>
      </c>
      <c r="P965" s="35" t="str">
        <f>_xlfn.SINGLE(IF(F965="","",_xlfn.XLOOKUP(F965,purchase!D:D,purchase!K:K,"")))</f>
        <v/>
      </c>
      <c r="Q965" s="29" t="str">
        <f t="shared" ref="Q965:Q1028" si="110">IF(OR(L965="",M965=""),"",M965/L965)</f>
        <v/>
      </c>
      <c r="R965" s="37" t="str">
        <f t="shared" ref="R965:R1028" si="111">IF(OR(P965="",Q965=""),"",Q965-P965)</f>
        <v/>
      </c>
    </row>
    <row r="966" spans="1:18" x14ac:dyDescent="0.35">
      <c r="A966" s="8">
        <v>962</v>
      </c>
      <c r="B966" s="9" t="str">
        <f t="shared" si="105"/>
        <v/>
      </c>
      <c r="C966" s="10"/>
      <c r="D966" s="9" t="str">
        <f>IF(F966="","",_xlfn.XLOOKUP(F966,purchase!D:D,purchase!#REF!,""))</f>
        <v/>
      </c>
      <c r="E966" s="9" t="str">
        <f>IF(F966="","",_xlfn.XLOOKUP(F966,purchase!D:D,purchase!B:B,""))</f>
        <v/>
      </c>
      <c r="F966" s="2"/>
      <c r="G966" s="4" t="str">
        <f t="shared" si="106"/>
        <v/>
      </c>
      <c r="H966" s="4" t="str">
        <f>IF(F966="","",_xlfn.XLOOKUP(F966,purchase!D:D,purchase!#REF!,""))</f>
        <v/>
      </c>
      <c r="I966" s="4" t="str">
        <f t="shared" si="107"/>
        <v/>
      </c>
      <c r="J966" s="4" t="str">
        <f t="shared" si="108"/>
        <v/>
      </c>
      <c r="K966" s="13" t="str">
        <f>_xlfn.SINGLE(IF(F966="","",_xlfn.XLOOKUP(F966,purchase!D:D,purchase!#REF!,"")))</f>
        <v/>
      </c>
      <c r="L966" s="2"/>
      <c r="M966" s="32"/>
      <c r="N966" s="13" t="str">
        <f>IF(F966="","",
MAX(0,
_xlfn.XLOOKUP(F966,purchase!D:D,purchase!#REF!,"")
-
SUMIFS(L:L,F:F,F966)))</f>
        <v/>
      </c>
      <c r="O966" s="13" t="str">
        <f t="shared" si="109"/>
        <v/>
      </c>
      <c r="P966" s="35" t="str">
        <f>_xlfn.SINGLE(IF(F966="","",_xlfn.XLOOKUP(F966,purchase!D:D,purchase!K:K,"")))</f>
        <v/>
      </c>
      <c r="Q966" s="29" t="str">
        <f t="shared" si="110"/>
        <v/>
      </c>
      <c r="R966" s="37" t="str">
        <f t="shared" si="111"/>
        <v/>
      </c>
    </row>
    <row r="967" spans="1:18" x14ac:dyDescent="0.35">
      <c r="A967" s="8">
        <v>963</v>
      </c>
      <c r="B967" s="9" t="str">
        <f t="shared" si="105"/>
        <v/>
      </c>
      <c r="C967" s="10"/>
      <c r="D967" s="9" t="str">
        <f>IF(F967="","",_xlfn.XLOOKUP(F967,purchase!D:D,purchase!#REF!,""))</f>
        <v/>
      </c>
      <c r="E967" s="9" t="str">
        <f>IF(F967="","",_xlfn.XLOOKUP(F967,purchase!D:D,purchase!B:B,""))</f>
        <v/>
      </c>
      <c r="F967" s="2"/>
      <c r="G967" s="4" t="str">
        <f t="shared" si="106"/>
        <v/>
      </c>
      <c r="H967" s="4" t="str">
        <f>IF(F967="","",_xlfn.XLOOKUP(F967,purchase!D:D,purchase!#REF!,""))</f>
        <v/>
      </c>
      <c r="I967" s="4" t="str">
        <f t="shared" si="107"/>
        <v/>
      </c>
      <c r="J967" s="4" t="str">
        <f t="shared" si="108"/>
        <v/>
      </c>
      <c r="K967" s="13" t="str">
        <f>_xlfn.SINGLE(IF(F967="","",_xlfn.XLOOKUP(F967,purchase!D:D,purchase!#REF!,"")))</f>
        <v/>
      </c>
      <c r="L967" s="2"/>
      <c r="M967" s="32"/>
      <c r="N967" s="13" t="str">
        <f>IF(F967="","",
MAX(0,
_xlfn.XLOOKUP(F967,purchase!D:D,purchase!#REF!,"")
-
SUMIFS(L:L,F:F,F967)))</f>
        <v/>
      </c>
      <c r="O967" s="13" t="str">
        <f t="shared" si="109"/>
        <v/>
      </c>
      <c r="P967" s="35" t="str">
        <f>_xlfn.SINGLE(IF(F967="","",_xlfn.XLOOKUP(F967,purchase!D:D,purchase!K:K,"")))</f>
        <v/>
      </c>
      <c r="Q967" s="29" t="str">
        <f t="shared" si="110"/>
        <v/>
      </c>
      <c r="R967" s="37" t="str">
        <f t="shared" si="111"/>
        <v/>
      </c>
    </row>
    <row r="968" spans="1:18" x14ac:dyDescent="0.35">
      <c r="A968" s="8">
        <v>964</v>
      </c>
      <c r="B968" s="9" t="str">
        <f t="shared" si="105"/>
        <v/>
      </c>
      <c r="C968" s="10"/>
      <c r="D968" s="9" t="str">
        <f>IF(F968="","",_xlfn.XLOOKUP(F968,purchase!D:D,purchase!#REF!,""))</f>
        <v/>
      </c>
      <c r="E968" s="9" t="str">
        <f>IF(F968="","",_xlfn.XLOOKUP(F968,purchase!D:D,purchase!B:B,""))</f>
        <v/>
      </c>
      <c r="F968" s="2"/>
      <c r="G968" s="4" t="str">
        <f t="shared" si="106"/>
        <v/>
      </c>
      <c r="H968" s="4" t="str">
        <f>IF(F968="","",_xlfn.XLOOKUP(F968,purchase!D:D,purchase!#REF!,""))</f>
        <v/>
      </c>
      <c r="I968" s="4" t="str">
        <f t="shared" si="107"/>
        <v/>
      </c>
      <c r="J968" s="4" t="str">
        <f t="shared" si="108"/>
        <v/>
      </c>
      <c r="K968" s="13" t="str">
        <f>_xlfn.SINGLE(IF(F968="","",_xlfn.XLOOKUP(F968,purchase!D:D,purchase!#REF!,"")))</f>
        <v/>
      </c>
      <c r="L968" s="2"/>
      <c r="M968" s="32"/>
      <c r="N968" s="13" t="str">
        <f>IF(F968="","",
MAX(0,
_xlfn.XLOOKUP(F968,purchase!D:D,purchase!#REF!,"")
-
SUMIFS(L:L,F:F,F968)))</f>
        <v/>
      </c>
      <c r="O968" s="13" t="str">
        <f t="shared" si="109"/>
        <v/>
      </c>
      <c r="P968" s="35" t="str">
        <f>_xlfn.SINGLE(IF(F968="","",_xlfn.XLOOKUP(F968,purchase!D:D,purchase!K:K,"")))</f>
        <v/>
      </c>
      <c r="Q968" s="29" t="str">
        <f t="shared" si="110"/>
        <v/>
      </c>
      <c r="R968" s="37" t="str">
        <f t="shared" si="111"/>
        <v/>
      </c>
    </row>
    <row r="969" spans="1:18" x14ac:dyDescent="0.35">
      <c r="A969" s="8">
        <v>965</v>
      </c>
      <c r="B969" s="9" t="str">
        <f t="shared" si="105"/>
        <v/>
      </c>
      <c r="C969" s="10"/>
      <c r="D969" s="9" t="str">
        <f>IF(F969="","",_xlfn.XLOOKUP(F969,purchase!D:D,purchase!#REF!,""))</f>
        <v/>
      </c>
      <c r="E969" s="9" t="str">
        <f>IF(F969="","",_xlfn.XLOOKUP(F969,purchase!D:D,purchase!B:B,""))</f>
        <v/>
      </c>
      <c r="F969" s="2"/>
      <c r="G969" s="4" t="str">
        <f t="shared" si="106"/>
        <v/>
      </c>
      <c r="H969" s="4" t="str">
        <f>IF(F969="","",_xlfn.XLOOKUP(F969,purchase!D:D,purchase!#REF!,""))</f>
        <v/>
      </c>
      <c r="I969" s="4" t="str">
        <f t="shared" si="107"/>
        <v/>
      </c>
      <c r="J969" s="4" t="str">
        <f t="shared" si="108"/>
        <v/>
      </c>
      <c r="K969" s="13" t="str">
        <f>_xlfn.SINGLE(IF(F969="","",_xlfn.XLOOKUP(F969,purchase!D:D,purchase!#REF!,"")))</f>
        <v/>
      </c>
      <c r="L969" s="2"/>
      <c r="M969" s="32"/>
      <c r="N969" s="13" t="str">
        <f>IF(F969="","",
MAX(0,
_xlfn.XLOOKUP(F969,purchase!D:D,purchase!#REF!,"")
-
SUMIFS(L:L,F:F,F969)))</f>
        <v/>
      </c>
      <c r="O969" s="13" t="str">
        <f t="shared" si="109"/>
        <v/>
      </c>
      <c r="P969" s="35" t="str">
        <f>_xlfn.SINGLE(IF(F969="","",_xlfn.XLOOKUP(F969,purchase!D:D,purchase!K:K,"")))</f>
        <v/>
      </c>
      <c r="Q969" s="29" t="str">
        <f t="shared" si="110"/>
        <v/>
      </c>
      <c r="R969" s="37" t="str">
        <f t="shared" si="111"/>
        <v/>
      </c>
    </row>
    <row r="970" spans="1:18" x14ac:dyDescent="0.35">
      <c r="A970" s="8">
        <v>966</v>
      </c>
      <c r="B970" s="9" t="str">
        <f t="shared" si="105"/>
        <v/>
      </c>
      <c r="C970" s="10"/>
      <c r="D970" s="9" t="str">
        <f>IF(F970="","",_xlfn.XLOOKUP(F970,purchase!D:D,purchase!#REF!,""))</f>
        <v/>
      </c>
      <c r="E970" s="9" t="str">
        <f>IF(F970="","",_xlfn.XLOOKUP(F970,purchase!D:D,purchase!B:B,""))</f>
        <v/>
      </c>
      <c r="F970" s="2"/>
      <c r="G970" s="4" t="str">
        <f t="shared" si="106"/>
        <v/>
      </c>
      <c r="H970" s="4" t="str">
        <f>IF(F970="","",_xlfn.XLOOKUP(F970,purchase!D:D,purchase!#REF!,""))</f>
        <v/>
      </c>
      <c r="I970" s="4" t="str">
        <f t="shared" si="107"/>
        <v/>
      </c>
      <c r="J970" s="4" t="str">
        <f t="shared" si="108"/>
        <v/>
      </c>
      <c r="K970" s="13" t="str">
        <f>_xlfn.SINGLE(IF(F970="","",_xlfn.XLOOKUP(F970,purchase!D:D,purchase!#REF!,"")))</f>
        <v/>
      </c>
      <c r="L970" s="2"/>
      <c r="M970" s="32"/>
      <c r="N970" s="13" t="str">
        <f>IF(F970="","",
MAX(0,
_xlfn.XLOOKUP(F970,purchase!D:D,purchase!#REF!,"")
-
SUMIFS(L:L,F:F,F970)))</f>
        <v/>
      </c>
      <c r="O970" s="13" t="str">
        <f t="shared" si="109"/>
        <v/>
      </c>
      <c r="P970" s="35" t="str">
        <f>_xlfn.SINGLE(IF(F970="","",_xlfn.XLOOKUP(F970,purchase!D:D,purchase!K:K,"")))</f>
        <v/>
      </c>
      <c r="Q970" s="29" t="str">
        <f t="shared" si="110"/>
        <v/>
      </c>
      <c r="R970" s="37" t="str">
        <f t="shared" si="111"/>
        <v/>
      </c>
    </row>
    <row r="971" spans="1:18" x14ac:dyDescent="0.35">
      <c r="A971" s="8">
        <v>967</v>
      </c>
      <c r="B971" s="9" t="str">
        <f t="shared" si="105"/>
        <v/>
      </c>
      <c r="C971" s="10"/>
      <c r="D971" s="9" t="str">
        <f>IF(F971="","",_xlfn.XLOOKUP(F971,purchase!D:D,purchase!#REF!,""))</f>
        <v/>
      </c>
      <c r="E971" s="9" t="str">
        <f>IF(F971="","",_xlfn.XLOOKUP(F971,purchase!D:D,purchase!B:B,""))</f>
        <v/>
      </c>
      <c r="F971" s="2"/>
      <c r="G971" s="4" t="str">
        <f t="shared" si="106"/>
        <v/>
      </c>
      <c r="H971" s="4" t="str">
        <f>IF(F971="","",_xlfn.XLOOKUP(F971,purchase!D:D,purchase!#REF!,""))</f>
        <v/>
      </c>
      <c r="I971" s="4" t="str">
        <f t="shared" si="107"/>
        <v/>
      </c>
      <c r="J971" s="4" t="str">
        <f t="shared" si="108"/>
        <v/>
      </c>
      <c r="K971" s="13" t="str">
        <f>_xlfn.SINGLE(IF(F971="","",_xlfn.XLOOKUP(F971,purchase!D:D,purchase!#REF!,"")))</f>
        <v/>
      </c>
      <c r="L971" s="2"/>
      <c r="M971" s="32"/>
      <c r="N971" s="13" t="str">
        <f>IF(F971="","",
MAX(0,
_xlfn.XLOOKUP(F971,purchase!D:D,purchase!#REF!,"")
-
SUMIFS(L:L,F:F,F971)))</f>
        <v/>
      </c>
      <c r="O971" s="13" t="str">
        <f t="shared" si="109"/>
        <v/>
      </c>
      <c r="P971" s="35" t="str">
        <f>_xlfn.SINGLE(IF(F971="","",_xlfn.XLOOKUP(F971,purchase!D:D,purchase!K:K,"")))</f>
        <v/>
      </c>
      <c r="Q971" s="29" t="str">
        <f t="shared" si="110"/>
        <v/>
      </c>
      <c r="R971" s="37" t="str">
        <f t="shared" si="111"/>
        <v/>
      </c>
    </row>
    <row r="972" spans="1:18" x14ac:dyDescent="0.35">
      <c r="A972" s="8">
        <v>968</v>
      </c>
      <c r="B972" s="9" t="str">
        <f t="shared" si="105"/>
        <v/>
      </c>
      <c r="C972" s="10"/>
      <c r="D972" s="9" t="str">
        <f>IF(F972="","",_xlfn.XLOOKUP(F972,purchase!D:D,purchase!#REF!,""))</f>
        <v/>
      </c>
      <c r="E972" s="9" t="str">
        <f>IF(F972="","",_xlfn.XLOOKUP(F972,purchase!D:D,purchase!B:B,""))</f>
        <v/>
      </c>
      <c r="F972" s="2"/>
      <c r="G972" s="4" t="str">
        <f t="shared" si="106"/>
        <v/>
      </c>
      <c r="H972" s="4" t="str">
        <f>IF(F972="","",_xlfn.XLOOKUP(F972,purchase!D:D,purchase!#REF!,""))</f>
        <v/>
      </c>
      <c r="I972" s="4" t="str">
        <f t="shared" si="107"/>
        <v/>
      </c>
      <c r="J972" s="4" t="str">
        <f t="shared" si="108"/>
        <v/>
      </c>
      <c r="K972" s="13" t="str">
        <f>_xlfn.SINGLE(IF(F972="","",_xlfn.XLOOKUP(F972,purchase!D:D,purchase!#REF!,"")))</f>
        <v/>
      </c>
      <c r="L972" s="2"/>
      <c r="M972" s="32"/>
      <c r="N972" s="13" t="str">
        <f>IF(F972="","",
MAX(0,
_xlfn.XLOOKUP(F972,purchase!D:D,purchase!#REF!,"")
-
SUMIFS(L:L,F:F,F972)))</f>
        <v/>
      </c>
      <c r="O972" s="13" t="str">
        <f t="shared" si="109"/>
        <v/>
      </c>
      <c r="P972" s="35" t="str">
        <f>_xlfn.SINGLE(IF(F972="","",_xlfn.XLOOKUP(F972,purchase!D:D,purchase!K:K,"")))</f>
        <v/>
      </c>
      <c r="Q972" s="29" t="str">
        <f t="shared" si="110"/>
        <v/>
      </c>
      <c r="R972" s="37" t="str">
        <f t="shared" si="111"/>
        <v/>
      </c>
    </row>
    <row r="973" spans="1:18" x14ac:dyDescent="0.35">
      <c r="A973" s="8">
        <v>969</v>
      </c>
      <c r="B973" s="9" t="str">
        <f t="shared" si="105"/>
        <v/>
      </c>
      <c r="C973" s="10"/>
      <c r="D973" s="9" t="str">
        <f>IF(F973="","",_xlfn.XLOOKUP(F973,purchase!D:D,purchase!#REF!,""))</f>
        <v/>
      </c>
      <c r="E973" s="9" t="str">
        <f>IF(F973="","",_xlfn.XLOOKUP(F973,purchase!D:D,purchase!B:B,""))</f>
        <v/>
      </c>
      <c r="F973" s="2"/>
      <c r="G973" s="4" t="str">
        <f t="shared" si="106"/>
        <v/>
      </c>
      <c r="H973" s="4" t="str">
        <f>IF(F973="","",_xlfn.XLOOKUP(F973,purchase!D:D,purchase!#REF!,""))</f>
        <v/>
      </c>
      <c r="I973" s="4" t="str">
        <f t="shared" si="107"/>
        <v/>
      </c>
      <c r="J973" s="4" t="str">
        <f t="shared" si="108"/>
        <v/>
      </c>
      <c r="K973" s="13" t="str">
        <f>_xlfn.SINGLE(IF(F973="","",_xlfn.XLOOKUP(F973,purchase!D:D,purchase!#REF!,"")))</f>
        <v/>
      </c>
      <c r="L973" s="2"/>
      <c r="M973" s="32"/>
      <c r="N973" s="13" t="str">
        <f>IF(F973="","",
MAX(0,
_xlfn.XLOOKUP(F973,purchase!D:D,purchase!#REF!,"")
-
SUMIFS(L:L,F:F,F973)))</f>
        <v/>
      </c>
      <c r="O973" s="13" t="str">
        <f t="shared" si="109"/>
        <v/>
      </c>
      <c r="P973" s="35" t="str">
        <f>_xlfn.SINGLE(IF(F973="","",_xlfn.XLOOKUP(F973,purchase!D:D,purchase!K:K,"")))</f>
        <v/>
      </c>
      <c r="Q973" s="29" t="str">
        <f t="shared" si="110"/>
        <v/>
      </c>
      <c r="R973" s="37" t="str">
        <f t="shared" si="111"/>
        <v/>
      </c>
    </row>
    <row r="974" spans="1:18" x14ac:dyDescent="0.35">
      <c r="A974" s="8">
        <v>970</v>
      </c>
      <c r="B974" s="9" t="str">
        <f t="shared" si="105"/>
        <v/>
      </c>
      <c r="C974" s="10"/>
      <c r="D974" s="9" t="str">
        <f>IF(F974="","",_xlfn.XLOOKUP(F974,purchase!D:D,purchase!#REF!,""))</f>
        <v/>
      </c>
      <c r="E974" s="9" t="str">
        <f>IF(F974="","",_xlfn.XLOOKUP(F974,purchase!D:D,purchase!B:B,""))</f>
        <v/>
      </c>
      <c r="F974" s="2"/>
      <c r="G974" s="4" t="str">
        <f t="shared" si="106"/>
        <v/>
      </c>
      <c r="H974" s="4" t="str">
        <f>IF(F974="","",_xlfn.XLOOKUP(F974,purchase!D:D,purchase!#REF!,""))</f>
        <v/>
      </c>
      <c r="I974" s="4" t="str">
        <f t="shared" si="107"/>
        <v/>
      </c>
      <c r="J974" s="4" t="str">
        <f t="shared" si="108"/>
        <v/>
      </c>
      <c r="K974" s="13" t="str">
        <f>_xlfn.SINGLE(IF(F974="","",_xlfn.XLOOKUP(F974,purchase!D:D,purchase!#REF!,"")))</f>
        <v/>
      </c>
      <c r="L974" s="2"/>
      <c r="M974" s="32"/>
      <c r="N974" s="13" t="str">
        <f>IF(F974="","",
MAX(0,
_xlfn.XLOOKUP(F974,purchase!D:D,purchase!#REF!,"")
-
SUMIFS(L:L,F:F,F974)))</f>
        <v/>
      </c>
      <c r="O974" s="13" t="str">
        <f t="shared" si="109"/>
        <v/>
      </c>
      <c r="P974" s="35" t="str">
        <f>_xlfn.SINGLE(IF(F974="","",_xlfn.XLOOKUP(F974,purchase!D:D,purchase!K:K,"")))</f>
        <v/>
      </c>
      <c r="Q974" s="29" t="str">
        <f t="shared" si="110"/>
        <v/>
      </c>
      <c r="R974" s="37" t="str">
        <f t="shared" si="111"/>
        <v/>
      </c>
    </row>
    <row r="975" spans="1:18" x14ac:dyDescent="0.35">
      <c r="A975" s="8">
        <v>971</v>
      </c>
      <c r="B975" s="9" t="str">
        <f t="shared" si="105"/>
        <v/>
      </c>
      <c r="C975" s="10"/>
      <c r="D975" s="9" t="str">
        <f>IF(F975="","",_xlfn.XLOOKUP(F975,purchase!D:D,purchase!#REF!,""))</f>
        <v/>
      </c>
      <c r="E975" s="9" t="str">
        <f>IF(F975="","",_xlfn.XLOOKUP(F975,purchase!D:D,purchase!B:B,""))</f>
        <v/>
      </c>
      <c r="F975" s="2"/>
      <c r="G975" s="4" t="str">
        <f t="shared" si="106"/>
        <v/>
      </c>
      <c r="H975" s="4" t="str">
        <f>IF(F975="","",_xlfn.XLOOKUP(F975,purchase!D:D,purchase!#REF!,""))</f>
        <v/>
      </c>
      <c r="I975" s="4" t="str">
        <f t="shared" si="107"/>
        <v/>
      </c>
      <c r="J975" s="4" t="str">
        <f t="shared" si="108"/>
        <v/>
      </c>
      <c r="K975" s="13" t="str">
        <f>_xlfn.SINGLE(IF(F975="","",_xlfn.XLOOKUP(F975,purchase!D:D,purchase!#REF!,"")))</f>
        <v/>
      </c>
      <c r="L975" s="2"/>
      <c r="M975" s="32"/>
      <c r="N975" s="13" t="str">
        <f>IF(F975="","",
MAX(0,
_xlfn.XLOOKUP(F975,purchase!D:D,purchase!#REF!,"")
-
SUMIFS(L:L,F:F,F975)))</f>
        <v/>
      </c>
      <c r="O975" s="13" t="str">
        <f t="shared" si="109"/>
        <v/>
      </c>
      <c r="P975" s="35" t="str">
        <f>_xlfn.SINGLE(IF(F975="","",_xlfn.XLOOKUP(F975,purchase!D:D,purchase!K:K,"")))</f>
        <v/>
      </c>
      <c r="Q975" s="29" t="str">
        <f t="shared" si="110"/>
        <v/>
      </c>
      <c r="R975" s="37" t="str">
        <f t="shared" si="111"/>
        <v/>
      </c>
    </row>
    <row r="976" spans="1:18" x14ac:dyDescent="0.35">
      <c r="A976" s="8">
        <v>972</v>
      </c>
      <c r="B976" s="9" t="str">
        <f t="shared" si="105"/>
        <v/>
      </c>
      <c r="C976" s="10"/>
      <c r="D976" s="9" t="str">
        <f>IF(F976="","",_xlfn.XLOOKUP(F976,purchase!D:D,purchase!#REF!,""))</f>
        <v/>
      </c>
      <c r="E976" s="9" t="str">
        <f>IF(F976="","",_xlfn.XLOOKUP(F976,purchase!D:D,purchase!B:B,""))</f>
        <v/>
      </c>
      <c r="F976" s="2"/>
      <c r="G976" s="4" t="str">
        <f t="shared" si="106"/>
        <v/>
      </c>
      <c r="H976" s="4" t="str">
        <f>IF(F976="","",_xlfn.XLOOKUP(F976,purchase!D:D,purchase!#REF!,""))</f>
        <v/>
      </c>
      <c r="I976" s="4" t="str">
        <f t="shared" si="107"/>
        <v/>
      </c>
      <c r="J976" s="4" t="str">
        <f t="shared" si="108"/>
        <v/>
      </c>
      <c r="K976" s="13" t="str">
        <f>_xlfn.SINGLE(IF(F976="","",_xlfn.XLOOKUP(F976,purchase!D:D,purchase!#REF!,"")))</f>
        <v/>
      </c>
      <c r="L976" s="2"/>
      <c r="M976" s="32"/>
      <c r="N976" s="13" t="str">
        <f>IF(F976="","",
MAX(0,
_xlfn.XLOOKUP(F976,purchase!D:D,purchase!#REF!,"")
-
SUMIFS(L:L,F:F,F976)))</f>
        <v/>
      </c>
      <c r="O976" s="13" t="str">
        <f t="shared" si="109"/>
        <v/>
      </c>
      <c r="P976" s="35" t="str">
        <f>_xlfn.SINGLE(IF(F976="","",_xlfn.XLOOKUP(F976,purchase!D:D,purchase!K:K,"")))</f>
        <v/>
      </c>
      <c r="Q976" s="29" t="str">
        <f t="shared" si="110"/>
        <v/>
      </c>
      <c r="R976" s="37" t="str">
        <f t="shared" si="111"/>
        <v/>
      </c>
    </row>
    <row r="977" spans="1:18" x14ac:dyDescent="0.35">
      <c r="A977" s="8">
        <v>973</v>
      </c>
      <c r="B977" s="9" t="str">
        <f t="shared" si="105"/>
        <v/>
      </c>
      <c r="C977" s="10"/>
      <c r="D977" s="9" t="str">
        <f>IF(F977="","",_xlfn.XLOOKUP(F977,purchase!D:D,purchase!#REF!,""))</f>
        <v/>
      </c>
      <c r="E977" s="9" t="str">
        <f>IF(F977="","",_xlfn.XLOOKUP(F977,purchase!D:D,purchase!B:B,""))</f>
        <v/>
      </c>
      <c r="F977" s="2"/>
      <c r="G977" s="4" t="str">
        <f t="shared" si="106"/>
        <v/>
      </c>
      <c r="H977" s="4" t="str">
        <f>IF(F977="","",_xlfn.XLOOKUP(F977,purchase!D:D,purchase!#REF!,""))</f>
        <v/>
      </c>
      <c r="I977" s="4" t="str">
        <f t="shared" si="107"/>
        <v/>
      </c>
      <c r="J977" s="4" t="str">
        <f t="shared" si="108"/>
        <v/>
      </c>
      <c r="K977" s="13" t="str">
        <f>_xlfn.SINGLE(IF(F977="","",_xlfn.XLOOKUP(F977,purchase!D:D,purchase!#REF!,"")))</f>
        <v/>
      </c>
      <c r="L977" s="2"/>
      <c r="M977" s="32"/>
      <c r="N977" s="13" t="str">
        <f>IF(F977="","",
MAX(0,
_xlfn.XLOOKUP(F977,purchase!D:D,purchase!#REF!,"")
-
SUMIFS(L:L,F:F,F977)))</f>
        <v/>
      </c>
      <c r="O977" s="13" t="str">
        <f t="shared" si="109"/>
        <v/>
      </c>
      <c r="P977" s="35" t="str">
        <f>_xlfn.SINGLE(IF(F977="","",_xlfn.XLOOKUP(F977,purchase!D:D,purchase!K:K,"")))</f>
        <v/>
      </c>
      <c r="Q977" s="29" t="str">
        <f t="shared" si="110"/>
        <v/>
      </c>
      <c r="R977" s="37" t="str">
        <f t="shared" si="111"/>
        <v/>
      </c>
    </row>
    <row r="978" spans="1:18" x14ac:dyDescent="0.35">
      <c r="A978" s="8">
        <v>974</v>
      </c>
      <c r="B978" s="9" t="str">
        <f t="shared" si="105"/>
        <v/>
      </c>
      <c r="C978" s="10"/>
      <c r="D978" s="9" t="str">
        <f>IF(F978="","",_xlfn.XLOOKUP(F978,purchase!D:D,purchase!#REF!,""))</f>
        <v/>
      </c>
      <c r="E978" s="9" t="str">
        <f>IF(F978="","",_xlfn.XLOOKUP(F978,purchase!D:D,purchase!B:B,""))</f>
        <v/>
      </c>
      <c r="F978" s="2"/>
      <c r="G978" s="4" t="str">
        <f t="shared" si="106"/>
        <v/>
      </c>
      <c r="H978" s="4" t="str">
        <f>IF(F978="","",_xlfn.XLOOKUP(F978,purchase!D:D,purchase!#REF!,""))</f>
        <v/>
      </c>
      <c r="I978" s="4" t="str">
        <f t="shared" si="107"/>
        <v/>
      </c>
      <c r="J978" s="4" t="str">
        <f t="shared" si="108"/>
        <v/>
      </c>
      <c r="K978" s="13" t="str">
        <f>_xlfn.SINGLE(IF(F978="","",_xlfn.XLOOKUP(F978,purchase!D:D,purchase!#REF!,"")))</f>
        <v/>
      </c>
      <c r="L978" s="2"/>
      <c r="M978" s="32"/>
      <c r="N978" s="13" t="str">
        <f>IF(F978="","",
MAX(0,
_xlfn.XLOOKUP(F978,purchase!D:D,purchase!#REF!,"")
-
SUMIFS(L:L,F:F,F978)))</f>
        <v/>
      </c>
      <c r="O978" s="13" t="str">
        <f t="shared" si="109"/>
        <v/>
      </c>
      <c r="P978" s="35" t="str">
        <f>_xlfn.SINGLE(IF(F978="","",_xlfn.XLOOKUP(F978,purchase!D:D,purchase!K:K,"")))</f>
        <v/>
      </c>
      <c r="Q978" s="29" t="str">
        <f t="shared" si="110"/>
        <v/>
      </c>
      <c r="R978" s="37" t="str">
        <f t="shared" si="111"/>
        <v/>
      </c>
    </row>
    <row r="979" spans="1:18" x14ac:dyDescent="0.35">
      <c r="A979" s="8">
        <v>975</v>
      </c>
      <c r="B979" s="9" t="str">
        <f t="shared" si="105"/>
        <v/>
      </c>
      <c r="C979" s="10"/>
      <c r="D979" s="9" t="str">
        <f>IF(F979="","",_xlfn.XLOOKUP(F979,purchase!D:D,purchase!#REF!,""))</f>
        <v/>
      </c>
      <c r="E979" s="9" t="str">
        <f>IF(F979="","",_xlfn.XLOOKUP(F979,purchase!D:D,purchase!B:B,""))</f>
        <v/>
      </c>
      <c r="F979" s="2"/>
      <c r="G979" s="4" t="str">
        <f t="shared" si="106"/>
        <v/>
      </c>
      <c r="H979" s="4" t="str">
        <f>IF(F979="","",_xlfn.XLOOKUP(F979,purchase!D:D,purchase!#REF!,""))</f>
        <v/>
      </c>
      <c r="I979" s="4" t="str">
        <f t="shared" si="107"/>
        <v/>
      </c>
      <c r="J979" s="4" t="str">
        <f t="shared" si="108"/>
        <v/>
      </c>
      <c r="K979" s="13" t="str">
        <f>_xlfn.SINGLE(IF(F979="","",_xlfn.XLOOKUP(F979,purchase!D:D,purchase!#REF!,"")))</f>
        <v/>
      </c>
      <c r="L979" s="2"/>
      <c r="M979" s="32"/>
      <c r="N979" s="13" t="str">
        <f>IF(F979="","",
MAX(0,
_xlfn.XLOOKUP(F979,purchase!D:D,purchase!#REF!,"")
-
SUMIFS(L:L,F:F,F979)))</f>
        <v/>
      </c>
      <c r="O979" s="13" t="str">
        <f t="shared" si="109"/>
        <v/>
      </c>
      <c r="P979" s="35" t="str">
        <f>_xlfn.SINGLE(IF(F979="","",_xlfn.XLOOKUP(F979,purchase!D:D,purchase!K:K,"")))</f>
        <v/>
      </c>
      <c r="Q979" s="29" t="str">
        <f t="shared" si="110"/>
        <v/>
      </c>
      <c r="R979" s="37" t="str">
        <f t="shared" si="111"/>
        <v/>
      </c>
    </row>
    <row r="980" spans="1:18" x14ac:dyDescent="0.35">
      <c r="A980" s="8">
        <v>976</v>
      </c>
      <c r="B980" s="9" t="str">
        <f t="shared" si="105"/>
        <v/>
      </c>
      <c r="C980" s="10"/>
      <c r="D980" s="9" t="str">
        <f>IF(F980="","",_xlfn.XLOOKUP(F980,purchase!D:D,purchase!#REF!,""))</f>
        <v/>
      </c>
      <c r="E980" s="9" t="str">
        <f>IF(F980="","",_xlfn.XLOOKUP(F980,purchase!D:D,purchase!B:B,""))</f>
        <v/>
      </c>
      <c r="F980" s="2"/>
      <c r="G980" s="4" t="str">
        <f t="shared" si="106"/>
        <v/>
      </c>
      <c r="H980" s="4" t="str">
        <f>IF(F980="","",_xlfn.XLOOKUP(F980,purchase!D:D,purchase!#REF!,""))</f>
        <v/>
      </c>
      <c r="I980" s="4" t="str">
        <f t="shared" si="107"/>
        <v/>
      </c>
      <c r="J980" s="4" t="str">
        <f t="shared" si="108"/>
        <v/>
      </c>
      <c r="K980" s="13" t="str">
        <f>_xlfn.SINGLE(IF(F980="","",_xlfn.XLOOKUP(F980,purchase!D:D,purchase!#REF!,"")))</f>
        <v/>
      </c>
      <c r="L980" s="2"/>
      <c r="M980" s="32"/>
      <c r="N980" s="13" t="str">
        <f>IF(F980="","",
MAX(0,
_xlfn.XLOOKUP(F980,purchase!D:D,purchase!#REF!,"")
-
SUMIFS(L:L,F:F,F980)))</f>
        <v/>
      </c>
      <c r="O980" s="13" t="str">
        <f t="shared" si="109"/>
        <v/>
      </c>
      <c r="P980" s="35" t="str">
        <f>_xlfn.SINGLE(IF(F980="","",_xlfn.XLOOKUP(F980,purchase!D:D,purchase!K:K,"")))</f>
        <v/>
      </c>
      <c r="Q980" s="29" t="str">
        <f t="shared" si="110"/>
        <v/>
      </c>
      <c r="R980" s="37" t="str">
        <f t="shared" si="111"/>
        <v/>
      </c>
    </row>
    <row r="981" spans="1:18" x14ac:dyDescent="0.35">
      <c r="A981" s="8">
        <v>977</v>
      </c>
      <c r="B981" s="9" t="str">
        <f t="shared" si="105"/>
        <v/>
      </c>
      <c r="C981" s="10"/>
      <c r="D981" s="9" t="str">
        <f>IF(F981="","",_xlfn.XLOOKUP(F981,purchase!D:D,purchase!#REF!,""))</f>
        <v/>
      </c>
      <c r="E981" s="9" t="str">
        <f>IF(F981="","",_xlfn.XLOOKUP(F981,purchase!D:D,purchase!B:B,""))</f>
        <v/>
      </c>
      <c r="F981" s="2"/>
      <c r="G981" s="4" t="str">
        <f t="shared" si="106"/>
        <v/>
      </c>
      <c r="H981" s="4" t="str">
        <f>IF(F981="","",_xlfn.XLOOKUP(F981,purchase!D:D,purchase!#REF!,""))</f>
        <v/>
      </c>
      <c r="I981" s="4" t="str">
        <f t="shared" si="107"/>
        <v/>
      </c>
      <c r="J981" s="4" t="str">
        <f t="shared" si="108"/>
        <v/>
      </c>
      <c r="K981" s="13" t="str">
        <f>_xlfn.SINGLE(IF(F981="","",_xlfn.XLOOKUP(F981,purchase!D:D,purchase!#REF!,"")))</f>
        <v/>
      </c>
      <c r="L981" s="2"/>
      <c r="M981" s="32"/>
      <c r="N981" s="13" t="str">
        <f>IF(F981="","",
MAX(0,
_xlfn.XLOOKUP(F981,purchase!D:D,purchase!#REF!,"")
-
SUMIFS(L:L,F:F,F981)))</f>
        <v/>
      </c>
      <c r="O981" s="13" t="str">
        <f t="shared" si="109"/>
        <v/>
      </c>
      <c r="P981" s="35" t="str">
        <f>_xlfn.SINGLE(IF(F981="","",_xlfn.XLOOKUP(F981,purchase!D:D,purchase!K:K,"")))</f>
        <v/>
      </c>
      <c r="Q981" s="29" t="str">
        <f t="shared" si="110"/>
        <v/>
      </c>
      <c r="R981" s="37" t="str">
        <f t="shared" si="111"/>
        <v/>
      </c>
    </row>
    <row r="982" spans="1:18" x14ac:dyDescent="0.35">
      <c r="A982" s="8">
        <v>978</v>
      </c>
      <c r="B982" s="9" t="str">
        <f t="shared" si="105"/>
        <v/>
      </c>
      <c r="C982" s="10"/>
      <c r="D982" s="9" t="str">
        <f>IF(F982="","",_xlfn.XLOOKUP(F982,purchase!D:D,purchase!#REF!,""))</f>
        <v/>
      </c>
      <c r="E982" s="9" t="str">
        <f>IF(F982="","",_xlfn.XLOOKUP(F982,purchase!D:D,purchase!B:B,""))</f>
        <v/>
      </c>
      <c r="F982" s="2"/>
      <c r="G982" s="4" t="str">
        <f t="shared" si="106"/>
        <v/>
      </c>
      <c r="H982" s="4" t="str">
        <f>IF(F982="","",_xlfn.XLOOKUP(F982,purchase!D:D,purchase!#REF!,""))</f>
        <v/>
      </c>
      <c r="I982" s="4" t="str">
        <f t="shared" si="107"/>
        <v/>
      </c>
      <c r="J982" s="4" t="str">
        <f t="shared" si="108"/>
        <v/>
      </c>
      <c r="K982" s="13" t="str">
        <f>_xlfn.SINGLE(IF(F982="","",_xlfn.XLOOKUP(F982,purchase!D:D,purchase!#REF!,"")))</f>
        <v/>
      </c>
      <c r="L982" s="2"/>
      <c r="M982" s="32"/>
      <c r="N982" s="13" t="str">
        <f>IF(F982="","",
MAX(0,
_xlfn.XLOOKUP(F982,purchase!D:D,purchase!#REF!,"")
-
SUMIFS(L:L,F:F,F982)))</f>
        <v/>
      </c>
      <c r="O982" s="13" t="str">
        <f t="shared" si="109"/>
        <v/>
      </c>
      <c r="P982" s="35" t="str">
        <f>_xlfn.SINGLE(IF(F982="","",_xlfn.XLOOKUP(F982,purchase!D:D,purchase!K:K,"")))</f>
        <v/>
      </c>
      <c r="Q982" s="29" t="str">
        <f t="shared" si="110"/>
        <v/>
      </c>
      <c r="R982" s="37" t="str">
        <f t="shared" si="111"/>
        <v/>
      </c>
    </row>
    <row r="983" spans="1:18" x14ac:dyDescent="0.35">
      <c r="A983" s="8">
        <v>979</v>
      </c>
      <c r="B983" s="9" t="str">
        <f t="shared" si="105"/>
        <v/>
      </c>
      <c r="C983" s="10"/>
      <c r="D983" s="9" t="str">
        <f>IF(F983="","",_xlfn.XLOOKUP(F983,purchase!D:D,purchase!#REF!,""))</f>
        <v/>
      </c>
      <c r="E983" s="9" t="str">
        <f>IF(F983="","",_xlfn.XLOOKUP(F983,purchase!D:D,purchase!B:B,""))</f>
        <v/>
      </c>
      <c r="F983" s="2"/>
      <c r="G983" s="4" t="str">
        <f t="shared" si="106"/>
        <v/>
      </c>
      <c r="H983" s="4" t="str">
        <f>IF(F983="","",_xlfn.XLOOKUP(F983,purchase!D:D,purchase!#REF!,""))</f>
        <v/>
      </c>
      <c r="I983" s="4" t="str">
        <f t="shared" si="107"/>
        <v/>
      </c>
      <c r="J983" s="4" t="str">
        <f t="shared" si="108"/>
        <v/>
      </c>
      <c r="K983" s="13" t="str">
        <f>_xlfn.SINGLE(IF(F983="","",_xlfn.XLOOKUP(F983,purchase!D:D,purchase!#REF!,"")))</f>
        <v/>
      </c>
      <c r="L983" s="2"/>
      <c r="M983" s="32"/>
      <c r="N983" s="13" t="str">
        <f>IF(F983="","",
MAX(0,
_xlfn.XLOOKUP(F983,purchase!D:D,purchase!#REF!,"")
-
SUMIFS(L:L,F:F,F983)))</f>
        <v/>
      </c>
      <c r="O983" s="13" t="str">
        <f t="shared" si="109"/>
        <v/>
      </c>
      <c r="P983" s="35" t="str">
        <f>_xlfn.SINGLE(IF(F983="","",_xlfn.XLOOKUP(F983,purchase!D:D,purchase!K:K,"")))</f>
        <v/>
      </c>
      <c r="Q983" s="29" t="str">
        <f t="shared" si="110"/>
        <v/>
      </c>
      <c r="R983" s="37" t="str">
        <f t="shared" si="111"/>
        <v/>
      </c>
    </row>
    <row r="984" spans="1:18" x14ac:dyDescent="0.35">
      <c r="A984" s="8">
        <v>980</v>
      </c>
      <c r="B984" s="9" t="str">
        <f t="shared" si="105"/>
        <v/>
      </c>
      <c r="C984" s="10"/>
      <c r="D984" s="9" t="str">
        <f>IF(F984="","",_xlfn.XLOOKUP(F984,purchase!D:D,purchase!#REF!,""))</f>
        <v/>
      </c>
      <c r="E984" s="9" t="str">
        <f>IF(F984="","",_xlfn.XLOOKUP(F984,purchase!D:D,purchase!B:B,""))</f>
        <v/>
      </c>
      <c r="F984" s="2"/>
      <c r="G984" s="4" t="str">
        <f t="shared" si="106"/>
        <v/>
      </c>
      <c r="H984" s="4" t="str">
        <f>IF(F984="","",_xlfn.XLOOKUP(F984,purchase!D:D,purchase!#REF!,""))</f>
        <v/>
      </c>
      <c r="I984" s="4" t="str">
        <f t="shared" si="107"/>
        <v/>
      </c>
      <c r="J984" s="4" t="str">
        <f t="shared" si="108"/>
        <v/>
      </c>
      <c r="K984" s="13" t="str">
        <f>_xlfn.SINGLE(IF(F984="","",_xlfn.XLOOKUP(F984,purchase!D:D,purchase!#REF!,"")))</f>
        <v/>
      </c>
      <c r="L984" s="2"/>
      <c r="M984" s="32"/>
      <c r="N984" s="13" t="str">
        <f>IF(F984="","",
MAX(0,
_xlfn.XLOOKUP(F984,purchase!D:D,purchase!#REF!,"")
-
SUMIFS(L:L,F:F,F984)))</f>
        <v/>
      </c>
      <c r="O984" s="13" t="str">
        <f t="shared" si="109"/>
        <v/>
      </c>
      <c r="P984" s="35" t="str">
        <f>_xlfn.SINGLE(IF(F984="","",_xlfn.XLOOKUP(F984,purchase!D:D,purchase!K:K,"")))</f>
        <v/>
      </c>
      <c r="Q984" s="29" t="str">
        <f t="shared" si="110"/>
        <v/>
      </c>
      <c r="R984" s="37" t="str">
        <f t="shared" si="111"/>
        <v/>
      </c>
    </row>
    <row r="985" spans="1:18" x14ac:dyDescent="0.35">
      <c r="A985" s="8">
        <v>981</v>
      </c>
      <c r="B985" s="9" t="str">
        <f t="shared" si="105"/>
        <v/>
      </c>
      <c r="C985" s="10"/>
      <c r="D985" s="9" t="str">
        <f>IF(F985="","",_xlfn.XLOOKUP(F985,purchase!D:D,purchase!#REF!,""))</f>
        <v/>
      </c>
      <c r="E985" s="9" t="str">
        <f>IF(F985="","",_xlfn.XLOOKUP(F985,purchase!D:D,purchase!B:B,""))</f>
        <v/>
      </c>
      <c r="F985" s="2"/>
      <c r="G985" s="4" t="str">
        <f t="shared" si="106"/>
        <v/>
      </c>
      <c r="H985" s="4" t="str">
        <f>IF(F985="","",_xlfn.XLOOKUP(F985,purchase!D:D,purchase!#REF!,""))</f>
        <v/>
      </c>
      <c r="I985" s="4" t="str">
        <f t="shared" si="107"/>
        <v/>
      </c>
      <c r="J985" s="4" t="str">
        <f t="shared" si="108"/>
        <v/>
      </c>
      <c r="K985" s="13" t="str">
        <f>_xlfn.SINGLE(IF(F985="","",_xlfn.XLOOKUP(F985,purchase!D:D,purchase!#REF!,"")))</f>
        <v/>
      </c>
      <c r="L985" s="2"/>
      <c r="M985" s="32"/>
      <c r="N985" s="13" t="str">
        <f>IF(F985="","",
MAX(0,
_xlfn.XLOOKUP(F985,purchase!D:D,purchase!#REF!,"")
-
SUMIFS(L:L,F:F,F985)))</f>
        <v/>
      </c>
      <c r="O985" s="13" t="str">
        <f t="shared" si="109"/>
        <v/>
      </c>
      <c r="P985" s="35" t="str">
        <f>_xlfn.SINGLE(IF(F985="","",_xlfn.XLOOKUP(F985,purchase!D:D,purchase!K:K,"")))</f>
        <v/>
      </c>
      <c r="Q985" s="29" t="str">
        <f t="shared" si="110"/>
        <v/>
      </c>
      <c r="R985" s="37" t="str">
        <f t="shared" si="111"/>
        <v/>
      </c>
    </row>
    <row r="986" spans="1:18" x14ac:dyDescent="0.35">
      <c r="A986" s="8">
        <v>982</v>
      </c>
      <c r="B986" s="9" t="str">
        <f t="shared" si="105"/>
        <v/>
      </c>
      <c r="C986" s="10"/>
      <c r="D986" s="9" t="str">
        <f>IF(F986="","",_xlfn.XLOOKUP(F986,purchase!D:D,purchase!#REF!,""))</f>
        <v/>
      </c>
      <c r="E986" s="9" t="str">
        <f>IF(F986="","",_xlfn.XLOOKUP(F986,purchase!D:D,purchase!B:B,""))</f>
        <v/>
      </c>
      <c r="F986" s="2"/>
      <c r="G986" s="4" t="str">
        <f t="shared" si="106"/>
        <v/>
      </c>
      <c r="H986" s="4" t="str">
        <f>IF(F986="","",_xlfn.XLOOKUP(F986,purchase!D:D,purchase!#REF!,""))</f>
        <v/>
      </c>
      <c r="I986" s="4" t="str">
        <f t="shared" si="107"/>
        <v/>
      </c>
      <c r="J986" s="4" t="str">
        <f t="shared" si="108"/>
        <v/>
      </c>
      <c r="K986" s="13" t="str">
        <f>_xlfn.SINGLE(IF(F986="","",_xlfn.XLOOKUP(F986,purchase!D:D,purchase!#REF!,"")))</f>
        <v/>
      </c>
      <c r="L986" s="2"/>
      <c r="M986" s="32"/>
      <c r="N986" s="13" t="str">
        <f>IF(F986="","",
MAX(0,
_xlfn.XLOOKUP(F986,purchase!D:D,purchase!#REF!,"")
-
SUMIFS(L:L,F:F,F986)))</f>
        <v/>
      </c>
      <c r="O986" s="13" t="str">
        <f t="shared" si="109"/>
        <v/>
      </c>
      <c r="P986" s="35" t="str">
        <f>_xlfn.SINGLE(IF(F986="","",_xlfn.XLOOKUP(F986,purchase!D:D,purchase!K:K,"")))</f>
        <v/>
      </c>
      <c r="Q986" s="29" t="str">
        <f t="shared" si="110"/>
        <v/>
      </c>
      <c r="R986" s="37" t="str">
        <f t="shared" si="111"/>
        <v/>
      </c>
    </row>
    <row r="987" spans="1:18" x14ac:dyDescent="0.35">
      <c r="A987" s="8">
        <v>983</v>
      </c>
      <c r="B987" s="9" t="str">
        <f t="shared" si="105"/>
        <v/>
      </c>
      <c r="C987" s="10"/>
      <c r="D987" s="9" t="str">
        <f>IF(F987="","",_xlfn.XLOOKUP(F987,purchase!D:D,purchase!#REF!,""))</f>
        <v/>
      </c>
      <c r="E987" s="9" t="str">
        <f>IF(F987="","",_xlfn.XLOOKUP(F987,purchase!D:D,purchase!B:B,""))</f>
        <v/>
      </c>
      <c r="F987" s="2"/>
      <c r="G987" s="4" t="str">
        <f t="shared" si="106"/>
        <v/>
      </c>
      <c r="H987" s="4" t="str">
        <f>IF(F987="","",_xlfn.XLOOKUP(F987,purchase!D:D,purchase!#REF!,""))</f>
        <v/>
      </c>
      <c r="I987" s="4" t="str">
        <f t="shared" si="107"/>
        <v/>
      </c>
      <c r="J987" s="4" t="str">
        <f t="shared" si="108"/>
        <v/>
      </c>
      <c r="K987" s="13" t="str">
        <f>_xlfn.SINGLE(IF(F987="","",_xlfn.XLOOKUP(F987,purchase!D:D,purchase!#REF!,"")))</f>
        <v/>
      </c>
      <c r="L987" s="2"/>
      <c r="M987" s="32"/>
      <c r="N987" s="13" t="str">
        <f>IF(F987="","",
MAX(0,
_xlfn.XLOOKUP(F987,purchase!D:D,purchase!#REF!,"")
-
SUMIFS(L:L,F:F,F987)))</f>
        <v/>
      </c>
      <c r="O987" s="13" t="str">
        <f t="shared" si="109"/>
        <v/>
      </c>
      <c r="P987" s="35" t="str">
        <f>_xlfn.SINGLE(IF(F987="","",_xlfn.XLOOKUP(F987,purchase!D:D,purchase!K:K,"")))</f>
        <v/>
      </c>
      <c r="Q987" s="29" t="str">
        <f t="shared" si="110"/>
        <v/>
      </c>
      <c r="R987" s="37" t="str">
        <f t="shared" si="111"/>
        <v/>
      </c>
    </row>
    <row r="988" spans="1:18" x14ac:dyDescent="0.35">
      <c r="A988" s="8">
        <v>984</v>
      </c>
      <c r="B988" s="9" t="str">
        <f t="shared" si="105"/>
        <v/>
      </c>
      <c r="C988" s="10"/>
      <c r="D988" s="9" t="str">
        <f>IF(F988="","",_xlfn.XLOOKUP(F988,purchase!D:D,purchase!#REF!,""))</f>
        <v/>
      </c>
      <c r="E988" s="9" t="str">
        <f>IF(F988="","",_xlfn.XLOOKUP(F988,purchase!D:D,purchase!B:B,""))</f>
        <v/>
      </c>
      <c r="F988" s="2"/>
      <c r="G988" s="4" t="str">
        <f t="shared" si="106"/>
        <v/>
      </c>
      <c r="H988" s="4" t="str">
        <f>IF(F988="","",_xlfn.XLOOKUP(F988,purchase!D:D,purchase!#REF!,""))</f>
        <v/>
      </c>
      <c r="I988" s="4" t="str">
        <f t="shared" si="107"/>
        <v/>
      </c>
      <c r="J988" s="4" t="str">
        <f t="shared" si="108"/>
        <v/>
      </c>
      <c r="K988" s="13" t="str">
        <f>_xlfn.SINGLE(IF(F988="","",_xlfn.XLOOKUP(F988,purchase!D:D,purchase!#REF!,"")))</f>
        <v/>
      </c>
      <c r="L988" s="2"/>
      <c r="M988" s="32"/>
      <c r="N988" s="13" t="str">
        <f>IF(F988="","",
MAX(0,
_xlfn.XLOOKUP(F988,purchase!D:D,purchase!#REF!,"")
-
SUMIFS(L:L,F:F,F988)))</f>
        <v/>
      </c>
      <c r="O988" s="13" t="str">
        <f t="shared" si="109"/>
        <v/>
      </c>
      <c r="P988" s="35" t="str">
        <f>_xlfn.SINGLE(IF(F988="","",_xlfn.XLOOKUP(F988,purchase!D:D,purchase!K:K,"")))</f>
        <v/>
      </c>
      <c r="Q988" s="29" t="str">
        <f t="shared" si="110"/>
        <v/>
      </c>
      <c r="R988" s="37" t="str">
        <f t="shared" si="111"/>
        <v/>
      </c>
    </row>
    <row r="989" spans="1:18" x14ac:dyDescent="0.35">
      <c r="A989" s="8">
        <v>985</v>
      </c>
      <c r="B989" s="9" t="str">
        <f t="shared" si="105"/>
        <v/>
      </c>
      <c r="C989" s="10"/>
      <c r="D989" s="9" t="str">
        <f>IF(F989="","",_xlfn.XLOOKUP(F989,purchase!D:D,purchase!#REF!,""))</f>
        <v/>
      </c>
      <c r="E989" s="9" t="str">
        <f>IF(F989="","",_xlfn.XLOOKUP(F989,purchase!D:D,purchase!B:B,""))</f>
        <v/>
      </c>
      <c r="F989" s="2"/>
      <c r="G989" s="4" t="str">
        <f t="shared" si="106"/>
        <v/>
      </c>
      <c r="H989" s="4" t="str">
        <f>IF(F989="","",_xlfn.XLOOKUP(F989,purchase!D:D,purchase!#REF!,""))</f>
        <v/>
      </c>
      <c r="I989" s="4" t="str">
        <f t="shared" si="107"/>
        <v/>
      </c>
      <c r="J989" s="4" t="str">
        <f t="shared" si="108"/>
        <v/>
      </c>
      <c r="K989" s="13" t="str">
        <f>_xlfn.SINGLE(IF(F989="","",_xlfn.XLOOKUP(F989,purchase!D:D,purchase!#REF!,"")))</f>
        <v/>
      </c>
      <c r="L989" s="2"/>
      <c r="M989" s="32"/>
      <c r="N989" s="13" t="str">
        <f>IF(F989="","",
MAX(0,
_xlfn.XLOOKUP(F989,purchase!D:D,purchase!#REF!,"")
-
SUMIFS(L:L,F:F,F989)))</f>
        <v/>
      </c>
      <c r="O989" s="13" t="str">
        <f t="shared" si="109"/>
        <v/>
      </c>
      <c r="P989" s="35" t="str">
        <f>_xlfn.SINGLE(IF(F989="","",_xlfn.XLOOKUP(F989,purchase!D:D,purchase!K:K,"")))</f>
        <v/>
      </c>
      <c r="Q989" s="29" t="str">
        <f t="shared" si="110"/>
        <v/>
      </c>
      <c r="R989" s="37" t="str">
        <f t="shared" si="111"/>
        <v/>
      </c>
    </row>
    <row r="990" spans="1:18" x14ac:dyDescent="0.35">
      <c r="A990" s="8">
        <v>986</v>
      </c>
      <c r="B990" s="9" t="str">
        <f t="shared" si="105"/>
        <v/>
      </c>
      <c r="C990" s="10"/>
      <c r="D990" s="9" t="str">
        <f>IF(F990="","",_xlfn.XLOOKUP(F990,purchase!D:D,purchase!#REF!,""))</f>
        <v/>
      </c>
      <c r="E990" s="9" t="str">
        <f>IF(F990="","",_xlfn.XLOOKUP(F990,purchase!D:D,purchase!B:B,""))</f>
        <v/>
      </c>
      <c r="F990" s="2"/>
      <c r="G990" s="4" t="str">
        <f t="shared" si="106"/>
        <v/>
      </c>
      <c r="H990" s="4" t="str">
        <f>IF(F990="","",_xlfn.XLOOKUP(F990,purchase!D:D,purchase!#REF!,""))</f>
        <v/>
      </c>
      <c r="I990" s="4" t="str">
        <f t="shared" si="107"/>
        <v/>
      </c>
      <c r="J990" s="4" t="str">
        <f t="shared" si="108"/>
        <v/>
      </c>
      <c r="K990" s="13" t="str">
        <f>_xlfn.SINGLE(IF(F990="","",_xlfn.XLOOKUP(F990,purchase!D:D,purchase!#REF!,"")))</f>
        <v/>
      </c>
      <c r="L990" s="2"/>
      <c r="M990" s="32"/>
      <c r="N990" s="13" t="str">
        <f>IF(F990="","",
MAX(0,
_xlfn.XLOOKUP(F990,purchase!D:D,purchase!#REF!,"")
-
SUMIFS(L:L,F:F,F990)))</f>
        <v/>
      </c>
      <c r="O990" s="13" t="str">
        <f t="shared" si="109"/>
        <v/>
      </c>
      <c r="P990" s="35" t="str">
        <f>_xlfn.SINGLE(IF(F990="","",_xlfn.XLOOKUP(F990,purchase!D:D,purchase!K:K,"")))</f>
        <v/>
      </c>
      <c r="Q990" s="29" t="str">
        <f t="shared" si="110"/>
        <v/>
      </c>
      <c r="R990" s="37" t="str">
        <f t="shared" si="111"/>
        <v/>
      </c>
    </row>
    <row r="991" spans="1:18" x14ac:dyDescent="0.35">
      <c r="A991" s="8">
        <v>987</v>
      </c>
      <c r="B991" s="9" t="str">
        <f t="shared" si="105"/>
        <v/>
      </c>
      <c r="C991" s="10"/>
      <c r="D991" s="9" t="str">
        <f>IF(F991="","",_xlfn.XLOOKUP(F991,purchase!D:D,purchase!#REF!,""))</f>
        <v/>
      </c>
      <c r="E991" s="9" t="str">
        <f>IF(F991="","",_xlfn.XLOOKUP(F991,purchase!D:D,purchase!B:B,""))</f>
        <v/>
      </c>
      <c r="F991" s="2"/>
      <c r="G991" s="4" t="str">
        <f t="shared" si="106"/>
        <v/>
      </c>
      <c r="H991" s="4" t="str">
        <f>IF(F991="","",_xlfn.XLOOKUP(F991,purchase!D:D,purchase!#REF!,""))</f>
        <v/>
      </c>
      <c r="I991" s="4" t="str">
        <f t="shared" si="107"/>
        <v/>
      </c>
      <c r="J991" s="4" t="str">
        <f t="shared" si="108"/>
        <v/>
      </c>
      <c r="K991" s="13" t="str">
        <f>_xlfn.SINGLE(IF(F991="","",_xlfn.XLOOKUP(F991,purchase!D:D,purchase!#REF!,"")))</f>
        <v/>
      </c>
      <c r="L991" s="2"/>
      <c r="M991" s="32"/>
      <c r="N991" s="13" t="str">
        <f>IF(F991="","",
MAX(0,
_xlfn.XLOOKUP(F991,purchase!D:D,purchase!#REF!,"")
-
SUMIFS(L:L,F:F,F991)))</f>
        <v/>
      </c>
      <c r="O991" s="13" t="str">
        <f t="shared" si="109"/>
        <v/>
      </c>
      <c r="P991" s="35" t="str">
        <f>_xlfn.SINGLE(IF(F991="","",_xlfn.XLOOKUP(F991,purchase!D:D,purchase!K:K,"")))</f>
        <v/>
      </c>
      <c r="Q991" s="29" t="str">
        <f t="shared" si="110"/>
        <v/>
      </c>
      <c r="R991" s="37" t="str">
        <f t="shared" si="111"/>
        <v/>
      </c>
    </row>
    <row r="992" spans="1:18" x14ac:dyDescent="0.35">
      <c r="A992" s="8">
        <v>988</v>
      </c>
      <c r="B992" s="9" t="str">
        <f t="shared" si="105"/>
        <v/>
      </c>
      <c r="C992" s="10"/>
      <c r="D992" s="9" t="str">
        <f>IF(F992="","",_xlfn.XLOOKUP(F992,purchase!D:D,purchase!#REF!,""))</f>
        <v/>
      </c>
      <c r="E992" s="9" t="str">
        <f>IF(F992="","",_xlfn.XLOOKUP(F992,purchase!D:D,purchase!B:B,""))</f>
        <v/>
      </c>
      <c r="F992" s="2"/>
      <c r="G992" s="4" t="str">
        <f t="shared" si="106"/>
        <v/>
      </c>
      <c r="H992" s="4" t="str">
        <f>IF(F992="","",_xlfn.XLOOKUP(F992,purchase!D:D,purchase!#REF!,""))</f>
        <v/>
      </c>
      <c r="I992" s="4" t="str">
        <f t="shared" si="107"/>
        <v/>
      </c>
      <c r="J992" s="4" t="str">
        <f t="shared" si="108"/>
        <v/>
      </c>
      <c r="K992" s="13" t="str">
        <f>_xlfn.SINGLE(IF(F992="","",_xlfn.XLOOKUP(F992,purchase!D:D,purchase!#REF!,"")))</f>
        <v/>
      </c>
      <c r="L992" s="2"/>
      <c r="M992" s="32"/>
      <c r="N992" s="13" t="str">
        <f>IF(F992="","",
MAX(0,
_xlfn.XLOOKUP(F992,purchase!D:D,purchase!#REF!,"")
-
SUMIFS(L:L,F:F,F992)))</f>
        <v/>
      </c>
      <c r="O992" s="13" t="str">
        <f t="shared" si="109"/>
        <v/>
      </c>
      <c r="P992" s="35" t="str">
        <f>_xlfn.SINGLE(IF(F992="","",_xlfn.XLOOKUP(F992,purchase!D:D,purchase!K:K,"")))</f>
        <v/>
      </c>
      <c r="Q992" s="29" t="str">
        <f t="shared" si="110"/>
        <v/>
      </c>
      <c r="R992" s="37" t="str">
        <f t="shared" si="111"/>
        <v/>
      </c>
    </row>
    <row r="993" spans="1:18" x14ac:dyDescent="0.35">
      <c r="A993" s="8">
        <v>989</v>
      </c>
      <c r="B993" s="9" t="str">
        <f t="shared" si="105"/>
        <v/>
      </c>
      <c r="C993" s="10"/>
      <c r="D993" s="9" t="str">
        <f>IF(F993="","",_xlfn.XLOOKUP(F993,purchase!D:D,purchase!#REF!,""))</f>
        <v/>
      </c>
      <c r="E993" s="9" t="str">
        <f>IF(F993="","",_xlfn.XLOOKUP(F993,purchase!D:D,purchase!B:B,""))</f>
        <v/>
      </c>
      <c r="F993" s="2"/>
      <c r="G993" s="4" t="str">
        <f t="shared" si="106"/>
        <v/>
      </c>
      <c r="H993" s="4" t="str">
        <f>IF(F993="","",_xlfn.XLOOKUP(F993,purchase!D:D,purchase!#REF!,""))</f>
        <v/>
      </c>
      <c r="I993" s="4" t="str">
        <f t="shared" si="107"/>
        <v/>
      </c>
      <c r="J993" s="4" t="str">
        <f t="shared" si="108"/>
        <v/>
      </c>
      <c r="K993" s="13" t="str">
        <f>_xlfn.SINGLE(IF(F993="","",_xlfn.XLOOKUP(F993,purchase!D:D,purchase!#REF!,"")))</f>
        <v/>
      </c>
      <c r="L993" s="2"/>
      <c r="M993" s="32"/>
      <c r="N993" s="13" t="str">
        <f>IF(F993="","",
MAX(0,
_xlfn.XLOOKUP(F993,purchase!D:D,purchase!#REF!,"")
-
SUMIFS(L:L,F:F,F993)))</f>
        <v/>
      </c>
      <c r="O993" s="13" t="str">
        <f t="shared" si="109"/>
        <v/>
      </c>
      <c r="P993" s="35" t="str">
        <f>_xlfn.SINGLE(IF(F993="","",_xlfn.XLOOKUP(F993,purchase!D:D,purchase!K:K,"")))</f>
        <v/>
      </c>
      <c r="Q993" s="29" t="str">
        <f t="shared" si="110"/>
        <v/>
      </c>
      <c r="R993" s="37" t="str">
        <f t="shared" si="111"/>
        <v/>
      </c>
    </row>
    <row r="994" spans="1:18" x14ac:dyDescent="0.35">
      <c r="A994" s="8">
        <v>990</v>
      </c>
      <c r="B994" s="9" t="str">
        <f t="shared" si="105"/>
        <v/>
      </c>
      <c r="C994" s="10"/>
      <c r="D994" s="9" t="str">
        <f>IF(F994="","",_xlfn.XLOOKUP(F994,purchase!D:D,purchase!#REF!,""))</f>
        <v/>
      </c>
      <c r="E994" s="9" t="str">
        <f>IF(F994="","",_xlfn.XLOOKUP(F994,purchase!D:D,purchase!B:B,""))</f>
        <v/>
      </c>
      <c r="F994" s="2"/>
      <c r="G994" s="4" t="str">
        <f t="shared" si="106"/>
        <v/>
      </c>
      <c r="H994" s="4" t="str">
        <f>IF(F994="","",_xlfn.XLOOKUP(F994,purchase!D:D,purchase!#REF!,""))</f>
        <v/>
      </c>
      <c r="I994" s="4" t="str">
        <f t="shared" si="107"/>
        <v/>
      </c>
      <c r="J994" s="4" t="str">
        <f t="shared" si="108"/>
        <v/>
      </c>
      <c r="K994" s="13" t="str">
        <f>_xlfn.SINGLE(IF(F994="","",_xlfn.XLOOKUP(F994,purchase!D:D,purchase!#REF!,"")))</f>
        <v/>
      </c>
      <c r="L994" s="2"/>
      <c r="M994" s="32"/>
      <c r="N994" s="13" t="str">
        <f>IF(F994="","",
MAX(0,
_xlfn.XLOOKUP(F994,purchase!D:D,purchase!#REF!,"")
-
SUMIFS(L:L,F:F,F994)))</f>
        <v/>
      </c>
      <c r="O994" s="13" t="str">
        <f t="shared" si="109"/>
        <v/>
      </c>
      <c r="P994" s="35" t="str">
        <f>_xlfn.SINGLE(IF(F994="","",_xlfn.XLOOKUP(F994,purchase!D:D,purchase!K:K,"")))</f>
        <v/>
      </c>
      <c r="Q994" s="29" t="str">
        <f t="shared" si="110"/>
        <v/>
      </c>
      <c r="R994" s="37" t="str">
        <f t="shared" si="111"/>
        <v/>
      </c>
    </row>
    <row r="995" spans="1:18" x14ac:dyDescent="0.35">
      <c r="A995" s="8">
        <v>991</v>
      </c>
      <c r="B995" s="9" t="str">
        <f t="shared" si="105"/>
        <v/>
      </c>
      <c r="C995" s="10"/>
      <c r="D995" s="9" t="str">
        <f>IF(F995="","",_xlfn.XLOOKUP(F995,purchase!D:D,purchase!#REF!,""))</f>
        <v/>
      </c>
      <c r="E995" s="9" t="str">
        <f>IF(F995="","",_xlfn.XLOOKUP(F995,purchase!D:D,purchase!B:B,""))</f>
        <v/>
      </c>
      <c r="F995" s="2"/>
      <c r="G995" s="4" t="str">
        <f t="shared" si="106"/>
        <v/>
      </c>
      <c r="H995" s="4" t="str">
        <f>IF(F995="","",_xlfn.XLOOKUP(F995,purchase!D:D,purchase!#REF!,""))</f>
        <v/>
      </c>
      <c r="I995" s="4" t="str">
        <f t="shared" si="107"/>
        <v/>
      </c>
      <c r="J995" s="4" t="str">
        <f t="shared" si="108"/>
        <v/>
      </c>
      <c r="K995" s="13" t="str">
        <f>_xlfn.SINGLE(IF(F995="","",_xlfn.XLOOKUP(F995,purchase!D:D,purchase!#REF!,"")))</f>
        <v/>
      </c>
      <c r="L995" s="2"/>
      <c r="M995" s="32"/>
      <c r="N995" s="13" t="str">
        <f>IF(F995="","",
MAX(0,
_xlfn.XLOOKUP(F995,purchase!D:D,purchase!#REF!,"")
-
SUMIFS(L:L,F:F,F995)))</f>
        <v/>
      </c>
      <c r="O995" s="13" t="str">
        <f t="shared" si="109"/>
        <v/>
      </c>
      <c r="P995" s="35" t="str">
        <f>_xlfn.SINGLE(IF(F995="","",_xlfn.XLOOKUP(F995,purchase!D:D,purchase!K:K,"")))</f>
        <v/>
      </c>
      <c r="Q995" s="29" t="str">
        <f t="shared" si="110"/>
        <v/>
      </c>
      <c r="R995" s="37" t="str">
        <f t="shared" si="111"/>
        <v/>
      </c>
    </row>
    <row r="996" spans="1:18" x14ac:dyDescent="0.35">
      <c r="A996" s="8">
        <v>992</v>
      </c>
      <c r="B996" s="9" t="str">
        <f t="shared" si="105"/>
        <v/>
      </c>
      <c r="C996" s="10"/>
      <c r="D996" s="9" t="str">
        <f>IF(F996="","",_xlfn.XLOOKUP(F996,purchase!D:D,purchase!#REF!,""))</f>
        <v/>
      </c>
      <c r="E996" s="9" t="str">
        <f>IF(F996="","",_xlfn.XLOOKUP(F996,purchase!D:D,purchase!B:B,""))</f>
        <v/>
      </c>
      <c r="F996" s="2"/>
      <c r="G996" s="4" t="str">
        <f t="shared" si="106"/>
        <v/>
      </c>
      <c r="H996" s="4" t="str">
        <f>IF(F996="","",_xlfn.XLOOKUP(F996,purchase!D:D,purchase!#REF!,""))</f>
        <v/>
      </c>
      <c r="I996" s="4" t="str">
        <f t="shared" si="107"/>
        <v/>
      </c>
      <c r="J996" s="4" t="str">
        <f t="shared" si="108"/>
        <v/>
      </c>
      <c r="K996" s="13" t="str">
        <f>_xlfn.SINGLE(IF(F996="","",_xlfn.XLOOKUP(F996,purchase!D:D,purchase!#REF!,"")))</f>
        <v/>
      </c>
      <c r="L996" s="2"/>
      <c r="M996" s="32"/>
      <c r="N996" s="13" t="str">
        <f>IF(F996="","",
MAX(0,
_xlfn.XLOOKUP(F996,purchase!D:D,purchase!#REF!,"")
-
SUMIFS(L:L,F:F,F996)))</f>
        <v/>
      </c>
      <c r="O996" s="13" t="str">
        <f t="shared" si="109"/>
        <v/>
      </c>
      <c r="P996" s="35" t="str">
        <f>_xlfn.SINGLE(IF(F996="","",_xlfn.XLOOKUP(F996,purchase!D:D,purchase!K:K,"")))</f>
        <v/>
      </c>
      <c r="Q996" s="29" t="str">
        <f t="shared" si="110"/>
        <v/>
      </c>
      <c r="R996" s="37" t="str">
        <f t="shared" si="111"/>
        <v/>
      </c>
    </row>
    <row r="997" spans="1:18" x14ac:dyDescent="0.35">
      <c r="A997" s="8">
        <v>993</v>
      </c>
      <c r="B997" s="9" t="str">
        <f t="shared" si="105"/>
        <v/>
      </c>
      <c r="C997" s="10"/>
      <c r="D997" s="9" t="str">
        <f>IF(F997="","",_xlfn.XLOOKUP(F997,purchase!D:D,purchase!#REF!,""))</f>
        <v/>
      </c>
      <c r="E997" s="9" t="str">
        <f>IF(F997="","",_xlfn.XLOOKUP(F997,purchase!D:D,purchase!B:B,""))</f>
        <v/>
      </c>
      <c r="F997" s="2"/>
      <c r="G997" s="4" t="str">
        <f t="shared" si="106"/>
        <v/>
      </c>
      <c r="H997" s="4" t="str">
        <f>IF(F997="","",_xlfn.XLOOKUP(F997,purchase!D:D,purchase!#REF!,""))</f>
        <v/>
      </c>
      <c r="I997" s="4" t="str">
        <f t="shared" si="107"/>
        <v/>
      </c>
      <c r="J997" s="4" t="str">
        <f t="shared" si="108"/>
        <v/>
      </c>
      <c r="K997" s="13" t="str">
        <f>_xlfn.SINGLE(IF(F997="","",_xlfn.XLOOKUP(F997,purchase!D:D,purchase!#REF!,"")))</f>
        <v/>
      </c>
      <c r="L997" s="2"/>
      <c r="M997" s="32"/>
      <c r="N997" s="13" t="str">
        <f>IF(F997="","",
MAX(0,
_xlfn.XLOOKUP(F997,purchase!D:D,purchase!#REF!,"")
-
SUMIFS(L:L,F:F,F997)))</f>
        <v/>
      </c>
      <c r="O997" s="13" t="str">
        <f t="shared" si="109"/>
        <v/>
      </c>
      <c r="P997" s="35" t="str">
        <f>_xlfn.SINGLE(IF(F997="","",_xlfn.XLOOKUP(F997,purchase!D:D,purchase!K:K,"")))</f>
        <v/>
      </c>
      <c r="Q997" s="29" t="str">
        <f t="shared" si="110"/>
        <v/>
      </c>
      <c r="R997" s="37" t="str">
        <f t="shared" si="111"/>
        <v/>
      </c>
    </row>
    <row r="998" spans="1:18" x14ac:dyDescent="0.35">
      <c r="A998" s="8">
        <v>994</v>
      </c>
      <c r="B998" s="9" t="str">
        <f t="shared" si="105"/>
        <v/>
      </c>
      <c r="C998" s="10"/>
      <c r="D998" s="9" t="str">
        <f>IF(F998="","",_xlfn.XLOOKUP(F998,purchase!D:D,purchase!#REF!,""))</f>
        <v/>
      </c>
      <c r="E998" s="9" t="str">
        <f>IF(F998="","",_xlfn.XLOOKUP(F998,purchase!D:D,purchase!B:B,""))</f>
        <v/>
      </c>
      <c r="F998" s="2"/>
      <c r="G998" s="4" t="str">
        <f t="shared" si="106"/>
        <v/>
      </c>
      <c r="H998" s="4" t="str">
        <f>IF(F998="","",_xlfn.XLOOKUP(F998,purchase!D:D,purchase!#REF!,""))</f>
        <v/>
      </c>
      <c r="I998" s="4" t="str">
        <f t="shared" si="107"/>
        <v/>
      </c>
      <c r="J998" s="4" t="str">
        <f t="shared" si="108"/>
        <v/>
      </c>
      <c r="K998" s="13" t="str">
        <f>_xlfn.SINGLE(IF(F998="","",_xlfn.XLOOKUP(F998,purchase!D:D,purchase!#REF!,"")))</f>
        <v/>
      </c>
      <c r="L998" s="2"/>
      <c r="M998" s="32"/>
      <c r="N998" s="13" t="str">
        <f>IF(F998="","",
MAX(0,
_xlfn.XLOOKUP(F998,purchase!D:D,purchase!#REF!,"")
-
SUMIFS(L:L,F:F,F998)))</f>
        <v/>
      </c>
      <c r="O998" s="13" t="str">
        <f t="shared" si="109"/>
        <v/>
      </c>
      <c r="P998" s="35" t="str">
        <f>_xlfn.SINGLE(IF(F998="","",_xlfn.XLOOKUP(F998,purchase!D:D,purchase!K:K,"")))</f>
        <v/>
      </c>
      <c r="Q998" s="29" t="str">
        <f t="shared" si="110"/>
        <v/>
      </c>
      <c r="R998" s="37" t="str">
        <f t="shared" si="111"/>
        <v/>
      </c>
    </row>
    <row r="999" spans="1:18" x14ac:dyDescent="0.35">
      <c r="A999" s="8">
        <v>995</v>
      </c>
      <c r="B999" s="9" t="str">
        <f t="shared" si="105"/>
        <v/>
      </c>
      <c r="C999" s="10"/>
      <c r="D999" s="9" t="str">
        <f>IF(F999="","",_xlfn.XLOOKUP(F999,purchase!D:D,purchase!#REF!,""))</f>
        <v/>
      </c>
      <c r="E999" s="9" t="str">
        <f>IF(F999="","",_xlfn.XLOOKUP(F999,purchase!D:D,purchase!B:B,""))</f>
        <v/>
      </c>
      <c r="F999" s="2"/>
      <c r="G999" s="4" t="str">
        <f t="shared" si="106"/>
        <v/>
      </c>
      <c r="H999" s="4" t="str">
        <f>IF(F999="","",_xlfn.XLOOKUP(F999,purchase!D:D,purchase!#REF!,""))</f>
        <v/>
      </c>
      <c r="I999" s="4" t="str">
        <f t="shared" si="107"/>
        <v/>
      </c>
      <c r="J999" s="4" t="str">
        <f t="shared" si="108"/>
        <v/>
      </c>
      <c r="K999" s="13" t="str">
        <f>_xlfn.SINGLE(IF(F999="","",_xlfn.XLOOKUP(F999,purchase!D:D,purchase!#REF!,"")))</f>
        <v/>
      </c>
      <c r="L999" s="2"/>
      <c r="M999" s="32"/>
      <c r="N999" s="13" t="str">
        <f>IF(F999="","",
MAX(0,
_xlfn.XLOOKUP(F999,purchase!D:D,purchase!#REF!,"")
-
SUMIFS(L:L,F:F,F999)))</f>
        <v/>
      </c>
      <c r="O999" s="13" t="str">
        <f t="shared" si="109"/>
        <v/>
      </c>
      <c r="P999" s="35" t="str">
        <f>_xlfn.SINGLE(IF(F999="","",_xlfn.XLOOKUP(F999,purchase!D:D,purchase!K:K,"")))</f>
        <v/>
      </c>
      <c r="Q999" s="29" t="str">
        <f t="shared" si="110"/>
        <v/>
      </c>
      <c r="R999" s="37" t="str">
        <f t="shared" si="111"/>
        <v/>
      </c>
    </row>
    <row r="1000" spans="1:18" x14ac:dyDescent="0.35">
      <c r="A1000" s="8">
        <v>996</v>
      </c>
      <c r="B1000" s="9" t="str">
        <f t="shared" si="105"/>
        <v/>
      </c>
      <c r="C1000" s="10"/>
      <c r="D1000" s="9" t="str">
        <f>IF(F1000="","",_xlfn.XLOOKUP(F1000,purchase!D:D,purchase!#REF!,""))</f>
        <v/>
      </c>
      <c r="E1000" s="9" t="str">
        <f>IF(F1000="","",_xlfn.XLOOKUP(F1000,purchase!D:D,purchase!B:B,""))</f>
        <v/>
      </c>
      <c r="F1000" s="2"/>
      <c r="G1000" s="4" t="str">
        <f t="shared" si="106"/>
        <v/>
      </c>
      <c r="H1000" s="4" t="str">
        <f>IF(F1000="","",_xlfn.XLOOKUP(F1000,purchase!D:D,purchase!#REF!,""))</f>
        <v/>
      </c>
      <c r="I1000" s="4" t="str">
        <f t="shared" si="107"/>
        <v/>
      </c>
      <c r="J1000" s="4" t="str">
        <f t="shared" si="108"/>
        <v/>
      </c>
      <c r="K1000" s="13" t="str">
        <f>_xlfn.SINGLE(IF(F1000="","",_xlfn.XLOOKUP(F1000,purchase!D:D,purchase!#REF!,"")))</f>
        <v/>
      </c>
      <c r="L1000" s="2"/>
      <c r="M1000" s="32"/>
      <c r="N1000" s="13" t="str">
        <f>IF(F1000="","",
MAX(0,
_xlfn.XLOOKUP(F1000,purchase!D:D,purchase!#REF!,"")
-
SUMIFS(L:L,F:F,F1000)))</f>
        <v/>
      </c>
      <c r="O1000" s="13" t="str">
        <f t="shared" si="109"/>
        <v/>
      </c>
      <c r="P1000" s="35" t="str">
        <f>_xlfn.SINGLE(IF(F1000="","",_xlfn.XLOOKUP(F1000,purchase!D:D,purchase!K:K,"")))</f>
        <v/>
      </c>
      <c r="Q1000" s="29" t="str">
        <f t="shared" si="110"/>
        <v/>
      </c>
      <c r="R1000" s="37" t="str">
        <f t="shared" si="111"/>
        <v/>
      </c>
    </row>
    <row r="1001" spans="1:18" x14ac:dyDescent="0.35">
      <c r="A1001" s="8">
        <v>997</v>
      </c>
      <c r="B1001" s="9" t="str">
        <f t="shared" si="105"/>
        <v/>
      </c>
      <c r="C1001" s="10"/>
      <c r="D1001" s="9" t="str">
        <f>IF(F1001="","",_xlfn.XLOOKUP(F1001,purchase!D:D,purchase!#REF!,""))</f>
        <v/>
      </c>
      <c r="E1001" s="9" t="str">
        <f>IF(F1001="","",_xlfn.XLOOKUP(F1001,purchase!D:D,purchase!B:B,""))</f>
        <v/>
      </c>
      <c r="F1001" s="2"/>
      <c r="G1001" s="4" t="str">
        <f t="shared" si="106"/>
        <v/>
      </c>
      <c r="H1001" s="4" t="str">
        <f>IF(F1001="","",_xlfn.XLOOKUP(F1001,purchase!D:D,purchase!#REF!,""))</f>
        <v/>
      </c>
      <c r="I1001" s="4" t="str">
        <f t="shared" si="107"/>
        <v/>
      </c>
      <c r="J1001" s="4" t="str">
        <f t="shared" si="108"/>
        <v/>
      </c>
      <c r="K1001" s="13" t="str">
        <f>_xlfn.SINGLE(IF(F1001="","",_xlfn.XLOOKUP(F1001,purchase!D:D,purchase!#REF!,"")))</f>
        <v/>
      </c>
      <c r="L1001" s="2"/>
      <c r="M1001" s="32"/>
      <c r="N1001" s="13" t="str">
        <f>IF(F1001="","",
MAX(0,
_xlfn.XLOOKUP(F1001,purchase!D:D,purchase!#REF!,"")
-
SUMIFS(L:L,F:F,F1001)))</f>
        <v/>
      </c>
      <c r="O1001" s="13" t="str">
        <f t="shared" si="109"/>
        <v/>
      </c>
      <c r="P1001" s="35" t="str">
        <f>_xlfn.SINGLE(IF(F1001="","",_xlfn.XLOOKUP(F1001,purchase!D:D,purchase!K:K,"")))</f>
        <v/>
      </c>
      <c r="Q1001" s="29" t="str">
        <f t="shared" si="110"/>
        <v/>
      </c>
      <c r="R1001" s="37" t="str">
        <f t="shared" si="111"/>
        <v/>
      </c>
    </row>
    <row r="1002" spans="1:18" x14ac:dyDescent="0.35">
      <c r="A1002" s="8">
        <v>998</v>
      </c>
      <c r="B1002" s="9" t="str">
        <f t="shared" si="105"/>
        <v/>
      </c>
      <c r="C1002" s="10"/>
      <c r="D1002" s="9" t="str">
        <f>IF(F1002="","",_xlfn.XLOOKUP(F1002,purchase!D:D,purchase!#REF!,""))</f>
        <v/>
      </c>
      <c r="E1002" s="9" t="str">
        <f>IF(F1002="","",_xlfn.XLOOKUP(F1002,purchase!D:D,purchase!B:B,""))</f>
        <v/>
      </c>
      <c r="F1002" s="2"/>
      <c r="G1002" s="4" t="str">
        <f t="shared" si="106"/>
        <v/>
      </c>
      <c r="H1002" s="4" t="str">
        <f>IF(F1002="","",_xlfn.XLOOKUP(F1002,purchase!D:D,purchase!#REF!,""))</f>
        <v/>
      </c>
      <c r="I1002" s="4" t="str">
        <f t="shared" si="107"/>
        <v/>
      </c>
      <c r="J1002" s="4" t="str">
        <f t="shared" si="108"/>
        <v/>
      </c>
      <c r="K1002" s="13" t="str">
        <f>_xlfn.SINGLE(IF(F1002="","",_xlfn.XLOOKUP(F1002,purchase!D:D,purchase!#REF!,"")))</f>
        <v/>
      </c>
      <c r="L1002" s="2"/>
      <c r="M1002" s="32"/>
      <c r="N1002" s="13" t="str">
        <f>IF(F1002="","",
MAX(0,
_xlfn.XLOOKUP(F1002,purchase!D:D,purchase!#REF!,"")
-
SUMIFS(L:L,F:F,F1002)))</f>
        <v/>
      </c>
      <c r="O1002" s="13" t="str">
        <f t="shared" si="109"/>
        <v/>
      </c>
      <c r="P1002" s="35" t="str">
        <f>_xlfn.SINGLE(IF(F1002="","",_xlfn.XLOOKUP(F1002,purchase!D:D,purchase!K:K,"")))</f>
        <v/>
      </c>
      <c r="Q1002" s="29" t="str">
        <f t="shared" si="110"/>
        <v/>
      </c>
      <c r="R1002" s="37" t="str">
        <f t="shared" si="111"/>
        <v/>
      </c>
    </row>
    <row r="1003" spans="1:18" x14ac:dyDescent="0.35">
      <c r="A1003" s="8">
        <v>999</v>
      </c>
      <c r="B1003" s="9" t="str">
        <f t="shared" si="105"/>
        <v/>
      </c>
      <c r="C1003" s="10"/>
      <c r="D1003" s="9" t="str">
        <f>IF(F1003="","",_xlfn.XLOOKUP(F1003,purchase!D:D,purchase!#REF!,""))</f>
        <v/>
      </c>
      <c r="E1003" s="9" t="str">
        <f>IF(F1003="","",_xlfn.XLOOKUP(F1003,purchase!D:D,purchase!B:B,""))</f>
        <v/>
      </c>
      <c r="F1003" s="2"/>
      <c r="G1003" s="4" t="str">
        <f t="shared" si="106"/>
        <v/>
      </c>
      <c r="H1003" s="4" t="str">
        <f>IF(F1003="","",_xlfn.XLOOKUP(F1003,purchase!D:D,purchase!#REF!,""))</f>
        <v/>
      </c>
      <c r="I1003" s="4" t="str">
        <f t="shared" si="107"/>
        <v/>
      </c>
      <c r="J1003" s="4" t="str">
        <f t="shared" si="108"/>
        <v/>
      </c>
      <c r="K1003" s="13" t="str">
        <f>_xlfn.SINGLE(IF(F1003="","",_xlfn.XLOOKUP(F1003,purchase!D:D,purchase!#REF!,"")))</f>
        <v/>
      </c>
      <c r="L1003" s="2"/>
      <c r="M1003" s="32"/>
      <c r="N1003" s="13" t="str">
        <f>IF(F1003="","",
MAX(0,
_xlfn.XLOOKUP(F1003,purchase!D:D,purchase!#REF!,"")
-
SUMIFS(L:L,F:F,F1003)))</f>
        <v/>
      </c>
      <c r="O1003" s="13" t="str">
        <f t="shared" si="109"/>
        <v/>
      </c>
      <c r="P1003" s="35" t="str">
        <f>_xlfn.SINGLE(IF(F1003="","",_xlfn.XLOOKUP(F1003,purchase!D:D,purchase!K:K,"")))</f>
        <v/>
      </c>
      <c r="Q1003" s="29" t="str">
        <f t="shared" si="110"/>
        <v/>
      </c>
      <c r="R1003" s="37" t="str">
        <f t="shared" si="111"/>
        <v/>
      </c>
    </row>
    <row r="1004" spans="1:18" x14ac:dyDescent="0.35">
      <c r="A1004" s="8">
        <v>1000</v>
      </c>
      <c r="B1004" s="9" t="str">
        <f t="shared" si="105"/>
        <v/>
      </c>
      <c r="C1004" s="10"/>
      <c r="D1004" s="9" t="str">
        <f>IF(F1004="","",_xlfn.XLOOKUP(F1004,purchase!D:D,purchase!#REF!,""))</f>
        <v/>
      </c>
      <c r="E1004" s="9" t="str">
        <f>IF(F1004="","",_xlfn.XLOOKUP(F1004,purchase!D:D,purchase!B:B,""))</f>
        <v/>
      </c>
      <c r="F1004" s="2"/>
      <c r="G1004" s="4" t="str">
        <f t="shared" si="106"/>
        <v/>
      </c>
      <c r="H1004" s="4" t="str">
        <f>IF(F1004="","",_xlfn.XLOOKUP(F1004,purchase!D:D,purchase!#REF!,""))</f>
        <v/>
      </c>
      <c r="I1004" s="4" t="str">
        <f t="shared" si="107"/>
        <v/>
      </c>
      <c r="J1004" s="4" t="str">
        <f t="shared" si="108"/>
        <v/>
      </c>
      <c r="K1004" s="13" t="str">
        <f>_xlfn.SINGLE(IF(F1004="","",_xlfn.XLOOKUP(F1004,purchase!D:D,purchase!#REF!,"")))</f>
        <v/>
      </c>
      <c r="L1004" s="2"/>
      <c r="M1004" s="32"/>
      <c r="N1004" s="13" t="str">
        <f>IF(F1004="","",
MAX(0,
_xlfn.XLOOKUP(F1004,purchase!D:D,purchase!#REF!,"")
-
SUMIFS(L:L,F:F,F1004)))</f>
        <v/>
      </c>
      <c r="O1004" s="13" t="str">
        <f t="shared" si="109"/>
        <v/>
      </c>
      <c r="P1004" s="35" t="str">
        <f>_xlfn.SINGLE(IF(F1004="","",_xlfn.XLOOKUP(F1004,purchase!D:D,purchase!K:K,"")))</f>
        <v/>
      </c>
      <c r="Q1004" s="29" t="str">
        <f t="shared" si="110"/>
        <v/>
      </c>
      <c r="R1004" s="37" t="str">
        <f t="shared" si="111"/>
        <v/>
      </c>
    </row>
    <row r="1005" spans="1:18" x14ac:dyDescent="0.35">
      <c r="A1005" s="8">
        <v>1001</v>
      </c>
      <c r="B1005" s="9" t="str">
        <f t="shared" si="105"/>
        <v/>
      </c>
      <c r="C1005" s="10"/>
      <c r="D1005" s="9" t="str">
        <f>IF(F1005="","",_xlfn.XLOOKUP(F1005,purchase!D:D,purchase!#REF!,""))</f>
        <v/>
      </c>
      <c r="E1005" s="9" t="str">
        <f>IF(F1005="","",_xlfn.XLOOKUP(F1005,purchase!D:D,purchase!B:B,""))</f>
        <v/>
      </c>
      <c r="F1005" s="2"/>
      <c r="G1005" s="4" t="str">
        <f t="shared" si="106"/>
        <v/>
      </c>
      <c r="H1005" s="4" t="str">
        <f>IF(F1005="","",_xlfn.XLOOKUP(F1005,purchase!D:D,purchase!#REF!,""))</f>
        <v/>
      </c>
      <c r="I1005" s="4" t="str">
        <f t="shared" si="107"/>
        <v/>
      </c>
      <c r="J1005" s="4" t="str">
        <f t="shared" si="108"/>
        <v/>
      </c>
      <c r="K1005" s="13" t="str">
        <f>_xlfn.SINGLE(IF(F1005="","",_xlfn.XLOOKUP(F1005,purchase!D:D,purchase!#REF!,"")))</f>
        <v/>
      </c>
      <c r="L1005" s="2"/>
      <c r="M1005" s="32"/>
      <c r="N1005" s="13" t="str">
        <f>IF(F1005="","",
MAX(0,
_xlfn.XLOOKUP(F1005,purchase!D:D,purchase!#REF!,"")
-
SUMIFS(L:L,F:F,F1005)))</f>
        <v/>
      </c>
      <c r="O1005" s="13" t="str">
        <f t="shared" si="109"/>
        <v/>
      </c>
      <c r="P1005" s="35" t="str">
        <f>_xlfn.SINGLE(IF(F1005="","",_xlfn.XLOOKUP(F1005,purchase!D:D,purchase!K:K,"")))</f>
        <v/>
      </c>
      <c r="Q1005" s="29" t="str">
        <f t="shared" si="110"/>
        <v/>
      </c>
      <c r="R1005" s="37" t="str">
        <f t="shared" si="111"/>
        <v/>
      </c>
    </row>
    <row r="1006" spans="1:18" x14ac:dyDescent="0.35">
      <c r="A1006" s="8">
        <v>1002</v>
      </c>
      <c r="B1006" s="9" t="str">
        <f t="shared" si="105"/>
        <v/>
      </c>
      <c r="C1006" s="10"/>
      <c r="D1006" s="9" t="str">
        <f>IF(F1006="","",_xlfn.XLOOKUP(F1006,purchase!D:D,purchase!#REF!,""))</f>
        <v/>
      </c>
      <c r="E1006" s="9" t="str">
        <f>IF(F1006="","",_xlfn.XLOOKUP(F1006,purchase!D:D,purchase!B:B,""))</f>
        <v/>
      </c>
      <c r="F1006" s="2"/>
      <c r="G1006" s="4" t="str">
        <f t="shared" si="106"/>
        <v/>
      </c>
      <c r="H1006" s="4" t="str">
        <f>IF(F1006="","",_xlfn.XLOOKUP(F1006,purchase!D:D,purchase!#REF!,""))</f>
        <v/>
      </c>
      <c r="I1006" s="4" t="str">
        <f t="shared" si="107"/>
        <v/>
      </c>
      <c r="J1006" s="4" t="str">
        <f t="shared" si="108"/>
        <v/>
      </c>
      <c r="K1006" s="13" t="str">
        <f>_xlfn.SINGLE(IF(F1006="","",_xlfn.XLOOKUP(F1006,purchase!D:D,purchase!#REF!,"")))</f>
        <v/>
      </c>
      <c r="L1006" s="2"/>
      <c r="M1006" s="32"/>
      <c r="N1006" s="13" t="str">
        <f>IF(F1006="","",
MAX(0,
_xlfn.XLOOKUP(F1006,purchase!D:D,purchase!#REF!,"")
-
SUMIFS(L:L,F:F,F1006)))</f>
        <v/>
      </c>
      <c r="O1006" s="13" t="str">
        <f t="shared" si="109"/>
        <v/>
      </c>
      <c r="P1006" s="35" t="str">
        <f>_xlfn.SINGLE(IF(F1006="","",_xlfn.XLOOKUP(F1006,purchase!D:D,purchase!K:K,"")))</f>
        <v/>
      </c>
      <c r="Q1006" s="29" t="str">
        <f t="shared" si="110"/>
        <v/>
      </c>
      <c r="R1006" s="37" t="str">
        <f t="shared" si="111"/>
        <v/>
      </c>
    </row>
    <row r="1007" spans="1:18" x14ac:dyDescent="0.35">
      <c r="A1007" s="8">
        <v>1003</v>
      </c>
      <c r="B1007" s="9" t="str">
        <f t="shared" si="105"/>
        <v/>
      </c>
      <c r="C1007" s="10"/>
      <c r="D1007" s="9" t="str">
        <f>IF(F1007="","",_xlfn.XLOOKUP(F1007,purchase!D:D,purchase!#REF!,""))</f>
        <v/>
      </c>
      <c r="E1007" s="9" t="str">
        <f>IF(F1007="","",_xlfn.XLOOKUP(F1007,purchase!D:D,purchase!B:B,""))</f>
        <v/>
      </c>
      <c r="F1007" s="2"/>
      <c r="G1007" s="4" t="str">
        <f t="shared" si="106"/>
        <v/>
      </c>
      <c r="H1007" s="4" t="str">
        <f>IF(F1007="","",_xlfn.XLOOKUP(F1007,purchase!D:D,purchase!#REF!,""))</f>
        <v/>
      </c>
      <c r="I1007" s="4" t="str">
        <f t="shared" si="107"/>
        <v/>
      </c>
      <c r="J1007" s="4" t="str">
        <f t="shared" si="108"/>
        <v/>
      </c>
      <c r="K1007" s="13" t="str">
        <f>_xlfn.SINGLE(IF(F1007="","",_xlfn.XLOOKUP(F1007,purchase!D:D,purchase!#REF!,"")))</f>
        <v/>
      </c>
      <c r="L1007" s="2"/>
      <c r="M1007" s="32"/>
      <c r="N1007" s="13" t="str">
        <f>IF(F1007="","",
MAX(0,
_xlfn.XLOOKUP(F1007,purchase!D:D,purchase!#REF!,"")
-
SUMIFS(L:L,F:F,F1007)))</f>
        <v/>
      </c>
      <c r="O1007" s="13" t="str">
        <f t="shared" si="109"/>
        <v/>
      </c>
      <c r="P1007" s="35" t="str">
        <f>_xlfn.SINGLE(IF(F1007="","",_xlfn.XLOOKUP(F1007,purchase!D:D,purchase!K:K,"")))</f>
        <v/>
      </c>
      <c r="Q1007" s="29" t="str">
        <f t="shared" si="110"/>
        <v/>
      </c>
      <c r="R1007" s="37" t="str">
        <f t="shared" si="111"/>
        <v/>
      </c>
    </row>
    <row r="1008" spans="1:18" x14ac:dyDescent="0.35">
      <c r="A1008" s="8">
        <v>1004</v>
      </c>
      <c r="B1008" s="9" t="str">
        <f t="shared" si="105"/>
        <v/>
      </c>
      <c r="C1008" s="10"/>
      <c r="D1008" s="9" t="str">
        <f>IF(F1008="","",_xlfn.XLOOKUP(F1008,purchase!D:D,purchase!#REF!,""))</f>
        <v/>
      </c>
      <c r="E1008" s="9" t="str">
        <f>IF(F1008="","",_xlfn.XLOOKUP(F1008,purchase!D:D,purchase!B:B,""))</f>
        <v/>
      </c>
      <c r="F1008" s="2"/>
      <c r="G1008" s="4" t="str">
        <f t="shared" si="106"/>
        <v/>
      </c>
      <c r="H1008" s="4" t="str">
        <f>IF(F1008="","",_xlfn.XLOOKUP(F1008,purchase!D:D,purchase!#REF!,""))</f>
        <v/>
      </c>
      <c r="I1008" s="4" t="str">
        <f t="shared" si="107"/>
        <v/>
      </c>
      <c r="J1008" s="4" t="str">
        <f t="shared" si="108"/>
        <v/>
      </c>
      <c r="K1008" s="13" t="str">
        <f>_xlfn.SINGLE(IF(F1008="","",_xlfn.XLOOKUP(F1008,purchase!D:D,purchase!#REF!,"")))</f>
        <v/>
      </c>
      <c r="L1008" s="2"/>
      <c r="M1008" s="32"/>
      <c r="N1008" s="13" t="str">
        <f>IF(F1008="","",
MAX(0,
_xlfn.XLOOKUP(F1008,purchase!D:D,purchase!#REF!,"")
-
SUMIFS(L:L,F:F,F1008)))</f>
        <v/>
      </c>
      <c r="O1008" s="13" t="str">
        <f t="shared" si="109"/>
        <v/>
      </c>
      <c r="P1008" s="35" t="str">
        <f>_xlfn.SINGLE(IF(F1008="","",_xlfn.XLOOKUP(F1008,purchase!D:D,purchase!K:K,"")))</f>
        <v/>
      </c>
      <c r="Q1008" s="29" t="str">
        <f t="shared" si="110"/>
        <v/>
      </c>
      <c r="R1008" s="37" t="str">
        <f t="shared" si="111"/>
        <v/>
      </c>
    </row>
    <row r="1009" spans="1:18" x14ac:dyDescent="0.35">
      <c r="A1009" s="8">
        <v>1005</v>
      </c>
      <c r="B1009" s="9" t="str">
        <f t="shared" si="105"/>
        <v/>
      </c>
      <c r="C1009" s="10"/>
      <c r="D1009" s="9" t="str">
        <f>IF(F1009="","",_xlfn.XLOOKUP(F1009,purchase!D:D,purchase!#REF!,""))</f>
        <v/>
      </c>
      <c r="E1009" s="9" t="str">
        <f>IF(F1009="","",_xlfn.XLOOKUP(F1009,purchase!D:D,purchase!B:B,""))</f>
        <v/>
      </c>
      <c r="F1009" s="2"/>
      <c r="G1009" s="4" t="str">
        <f t="shared" si="106"/>
        <v/>
      </c>
      <c r="H1009" s="4" t="str">
        <f>IF(F1009="","",_xlfn.XLOOKUP(F1009,purchase!D:D,purchase!#REF!,""))</f>
        <v/>
      </c>
      <c r="I1009" s="4" t="str">
        <f t="shared" si="107"/>
        <v/>
      </c>
      <c r="J1009" s="4" t="str">
        <f t="shared" si="108"/>
        <v/>
      </c>
      <c r="K1009" s="13" t="str">
        <f>_xlfn.SINGLE(IF(F1009="","",_xlfn.XLOOKUP(F1009,purchase!D:D,purchase!#REF!,"")))</f>
        <v/>
      </c>
      <c r="L1009" s="2"/>
      <c r="M1009" s="32"/>
      <c r="N1009" s="13" t="str">
        <f>IF(F1009="","",
MAX(0,
_xlfn.XLOOKUP(F1009,purchase!D:D,purchase!#REF!,"")
-
SUMIFS(L:L,F:F,F1009)))</f>
        <v/>
      </c>
      <c r="O1009" s="13" t="str">
        <f t="shared" si="109"/>
        <v/>
      </c>
      <c r="P1009" s="35" t="str">
        <f>_xlfn.SINGLE(IF(F1009="","",_xlfn.XLOOKUP(F1009,purchase!D:D,purchase!K:K,"")))</f>
        <v/>
      </c>
      <c r="Q1009" s="29" t="str">
        <f t="shared" si="110"/>
        <v/>
      </c>
      <c r="R1009" s="37" t="str">
        <f t="shared" si="111"/>
        <v/>
      </c>
    </row>
    <row r="1010" spans="1:18" x14ac:dyDescent="0.35">
      <c r="A1010" s="8">
        <v>1006</v>
      </c>
      <c r="B1010" s="9" t="str">
        <f t="shared" si="105"/>
        <v/>
      </c>
      <c r="C1010" s="10"/>
      <c r="D1010" s="9" t="str">
        <f>IF(F1010="","",_xlfn.XLOOKUP(F1010,purchase!D:D,purchase!#REF!,""))</f>
        <v/>
      </c>
      <c r="E1010" s="9" t="str">
        <f>IF(F1010="","",_xlfn.XLOOKUP(F1010,purchase!D:D,purchase!B:B,""))</f>
        <v/>
      </c>
      <c r="F1010" s="2"/>
      <c r="G1010" s="4" t="str">
        <f t="shared" si="106"/>
        <v/>
      </c>
      <c r="H1010" s="4" t="str">
        <f>IF(F1010="","",_xlfn.XLOOKUP(F1010,purchase!D:D,purchase!#REF!,""))</f>
        <v/>
      </c>
      <c r="I1010" s="4" t="str">
        <f t="shared" si="107"/>
        <v/>
      </c>
      <c r="J1010" s="4" t="str">
        <f t="shared" si="108"/>
        <v/>
      </c>
      <c r="K1010" s="13" t="str">
        <f>_xlfn.SINGLE(IF(F1010="","",_xlfn.XLOOKUP(F1010,purchase!D:D,purchase!#REF!,"")))</f>
        <v/>
      </c>
      <c r="L1010" s="2"/>
      <c r="M1010" s="32"/>
      <c r="N1010" s="13" t="str">
        <f>IF(F1010="","",
MAX(0,
_xlfn.XLOOKUP(F1010,purchase!D:D,purchase!#REF!,"")
-
SUMIFS(L:L,F:F,F1010)))</f>
        <v/>
      </c>
      <c r="O1010" s="13" t="str">
        <f t="shared" si="109"/>
        <v/>
      </c>
      <c r="P1010" s="35" t="str">
        <f>_xlfn.SINGLE(IF(F1010="","",_xlfn.XLOOKUP(F1010,purchase!D:D,purchase!K:K,"")))</f>
        <v/>
      </c>
      <c r="Q1010" s="29" t="str">
        <f t="shared" si="110"/>
        <v/>
      </c>
      <c r="R1010" s="37" t="str">
        <f t="shared" si="111"/>
        <v/>
      </c>
    </row>
    <row r="1011" spans="1:18" x14ac:dyDescent="0.35">
      <c r="A1011" s="8">
        <v>1007</v>
      </c>
      <c r="B1011" s="9" t="str">
        <f t="shared" si="105"/>
        <v/>
      </c>
      <c r="C1011" s="10"/>
      <c r="D1011" s="9" t="str">
        <f>IF(F1011="","",_xlfn.XLOOKUP(F1011,purchase!D:D,purchase!#REF!,""))</f>
        <v/>
      </c>
      <c r="E1011" s="9" t="str">
        <f>IF(F1011="","",_xlfn.XLOOKUP(F1011,purchase!D:D,purchase!B:B,""))</f>
        <v/>
      </c>
      <c r="F1011" s="2"/>
      <c r="G1011" s="4" t="str">
        <f t="shared" si="106"/>
        <v/>
      </c>
      <c r="H1011" s="4" t="str">
        <f>IF(F1011="","",_xlfn.XLOOKUP(F1011,purchase!D:D,purchase!#REF!,""))</f>
        <v/>
      </c>
      <c r="I1011" s="4" t="str">
        <f t="shared" si="107"/>
        <v/>
      </c>
      <c r="J1011" s="4" t="str">
        <f t="shared" si="108"/>
        <v/>
      </c>
      <c r="K1011" s="13" t="str">
        <f>_xlfn.SINGLE(IF(F1011="","",_xlfn.XLOOKUP(F1011,purchase!D:D,purchase!#REF!,"")))</f>
        <v/>
      </c>
      <c r="L1011" s="2"/>
      <c r="M1011" s="32"/>
      <c r="N1011" s="13" t="str">
        <f>IF(F1011="","",
MAX(0,
_xlfn.XLOOKUP(F1011,purchase!D:D,purchase!#REF!,"")
-
SUMIFS(L:L,F:F,F1011)))</f>
        <v/>
      </c>
      <c r="O1011" s="13" t="str">
        <f t="shared" si="109"/>
        <v/>
      </c>
      <c r="P1011" s="35" t="str">
        <f>_xlfn.SINGLE(IF(F1011="","",_xlfn.XLOOKUP(F1011,purchase!D:D,purchase!K:K,"")))</f>
        <v/>
      </c>
      <c r="Q1011" s="29" t="str">
        <f t="shared" si="110"/>
        <v/>
      </c>
      <c r="R1011" s="37" t="str">
        <f t="shared" si="111"/>
        <v/>
      </c>
    </row>
    <row r="1012" spans="1:18" x14ac:dyDescent="0.35">
      <c r="A1012" s="8">
        <v>1008</v>
      </c>
      <c r="B1012" s="9" t="str">
        <f t="shared" si="105"/>
        <v/>
      </c>
      <c r="C1012" s="10"/>
      <c r="D1012" s="9" t="str">
        <f>IF(F1012="","",_xlfn.XLOOKUP(F1012,purchase!D:D,purchase!#REF!,""))</f>
        <v/>
      </c>
      <c r="E1012" s="9" t="str">
        <f>IF(F1012="","",_xlfn.XLOOKUP(F1012,purchase!D:D,purchase!B:B,""))</f>
        <v/>
      </c>
      <c r="F1012" s="2"/>
      <c r="G1012" s="4" t="str">
        <f t="shared" si="106"/>
        <v/>
      </c>
      <c r="H1012" s="4" t="str">
        <f>IF(F1012="","",_xlfn.XLOOKUP(F1012,purchase!D:D,purchase!#REF!,""))</f>
        <v/>
      </c>
      <c r="I1012" s="4" t="str">
        <f t="shared" si="107"/>
        <v/>
      </c>
      <c r="J1012" s="4" t="str">
        <f t="shared" si="108"/>
        <v/>
      </c>
      <c r="K1012" s="13" t="str">
        <f>_xlfn.SINGLE(IF(F1012="","",_xlfn.XLOOKUP(F1012,purchase!D:D,purchase!#REF!,"")))</f>
        <v/>
      </c>
      <c r="L1012" s="2"/>
      <c r="M1012" s="32"/>
      <c r="N1012" s="13" t="str">
        <f>IF(F1012="","",
MAX(0,
_xlfn.XLOOKUP(F1012,purchase!D:D,purchase!#REF!,"")
-
SUMIFS(L:L,F:F,F1012)))</f>
        <v/>
      </c>
      <c r="O1012" s="13" t="str">
        <f t="shared" si="109"/>
        <v/>
      </c>
      <c r="P1012" s="35" t="str">
        <f>_xlfn.SINGLE(IF(F1012="","",_xlfn.XLOOKUP(F1012,purchase!D:D,purchase!K:K,"")))</f>
        <v/>
      </c>
      <c r="Q1012" s="29" t="str">
        <f t="shared" si="110"/>
        <v/>
      </c>
      <c r="R1012" s="37" t="str">
        <f t="shared" si="111"/>
        <v/>
      </c>
    </row>
    <row r="1013" spans="1:18" x14ac:dyDescent="0.35">
      <c r="A1013" s="8">
        <v>1009</v>
      </c>
      <c r="B1013" s="9" t="str">
        <f t="shared" si="105"/>
        <v/>
      </c>
      <c r="C1013" s="10"/>
      <c r="D1013" s="9" t="str">
        <f>IF(F1013="","",_xlfn.XLOOKUP(F1013,purchase!D:D,purchase!#REF!,""))</f>
        <v/>
      </c>
      <c r="E1013" s="9" t="str">
        <f>IF(F1013="","",_xlfn.XLOOKUP(F1013,purchase!D:D,purchase!B:B,""))</f>
        <v/>
      </c>
      <c r="F1013" s="2"/>
      <c r="G1013" s="4" t="str">
        <f t="shared" si="106"/>
        <v/>
      </c>
      <c r="H1013" s="4" t="str">
        <f>IF(F1013="","",_xlfn.XLOOKUP(F1013,purchase!D:D,purchase!#REF!,""))</f>
        <v/>
      </c>
      <c r="I1013" s="4" t="str">
        <f t="shared" si="107"/>
        <v/>
      </c>
      <c r="J1013" s="4" t="str">
        <f t="shared" si="108"/>
        <v/>
      </c>
      <c r="K1013" s="13" t="str">
        <f>_xlfn.SINGLE(IF(F1013="","",_xlfn.XLOOKUP(F1013,purchase!D:D,purchase!#REF!,"")))</f>
        <v/>
      </c>
      <c r="L1013" s="2"/>
      <c r="M1013" s="32"/>
      <c r="N1013" s="13" t="str">
        <f>IF(F1013="","",
MAX(0,
_xlfn.XLOOKUP(F1013,purchase!D:D,purchase!#REF!,"")
-
SUMIFS(L:L,F:F,F1013)))</f>
        <v/>
      </c>
      <c r="O1013" s="13" t="str">
        <f t="shared" si="109"/>
        <v/>
      </c>
      <c r="P1013" s="35" t="str">
        <f>_xlfn.SINGLE(IF(F1013="","",_xlfn.XLOOKUP(F1013,purchase!D:D,purchase!K:K,"")))</f>
        <v/>
      </c>
      <c r="Q1013" s="29" t="str">
        <f t="shared" si="110"/>
        <v/>
      </c>
      <c r="R1013" s="37" t="str">
        <f t="shared" si="111"/>
        <v/>
      </c>
    </row>
    <row r="1014" spans="1:18" x14ac:dyDescent="0.35">
      <c r="A1014" s="8">
        <v>1010</v>
      </c>
      <c r="B1014" s="9" t="str">
        <f t="shared" si="105"/>
        <v/>
      </c>
      <c r="C1014" s="10"/>
      <c r="D1014" s="9" t="str">
        <f>IF(F1014="","",_xlfn.XLOOKUP(F1014,purchase!D:D,purchase!#REF!,""))</f>
        <v/>
      </c>
      <c r="E1014" s="9" t="str">
        <f>IF(F1014="","",_xlfn.XLOOKUP(F1014,purchase!D:D,purchase!B:B,""))</f>
        <v/>
      </c>
      <c r="F1014" s="2"/>
      <c r="G1014" s="4" t="str">
        <f t="shared" si="106"/>
        <v/>
      </c>
      <c r="H1014" s="4" t="str">
        <f>IF(F1014="","",_xlfn.XLOOKUP(F1014,purchase!D:D,purchase!#REF!,""))</f>
        <v/>
      </c>
      <c r="I1014" s="4" t="str">
        <f t="shared" si="107"/>
        <v/>
      </c>
      <c r="J1014" s="4" t="str">
        <f t="shared" si="108"/>
        <v/>
      </c>
      <c r="K1014" s="13" t="str">
        <f>_xlfn.SINGLE(IF(F1014="","",_xlfn.XLOOKUP(F1014,purchase!D:D,purchase!#REF!,"")))</f>
        <v/>
      </c>
      <c r="L1014" s="2"/>
      <c r="M1014" s="32"/>
      <c r="N1014" s="13" t="str">
        <f>IF(F1014="","",
MAX(0,
_xlfn.XLOOKUP(F1014,purchase!D:D,purchase!#REF!,"")
-
SUMIFS(L:L,F:F,F1014)))</f>
        <v/>
      </c>
      <c r="O1014" s="13" t="str">
        <f t="shared" si="109"/>
        <v/>
      </c>
      <c r="P1014" s="35" t="str">
        <f>_xlfn.SINGLE(IF(F1014="","",_xlfn.XLOOKUP(F1014,purchase!D:D,purchase!K:K,"")))</f>
        <v/>
      </c>
      <c r="Q1014" s="29" t="str">
        <f t="shared" si="110"/>
        <v/>
      </c>
      <c r="R1014" s="37" t="str">
        <f t="shared" si="111"/>
        <v/>
      </c>
    </row>
    <row r="1015" spans="1:18" x14ac:dyDescent="0.35">
      <c r="A1015" s="8">
        <v>1011</v>
      </c>
      <c r="B1015" s="9" t="str">
        <f t="shared" si="105"/>
        <v/>
      </c>
      <c r="C1015" s="10"/>
      <c r="D1015" s="9" t="str">
        <f>IF(F1015="","",_xlfn.XLOOKUP(F1015,purchase!D:D,purchase!#REF!,""))</f>
        <v/>
      </c>
      <c r="E1015" s="9" t="str">
        <f>IF(F1015="","",_xlfn.XLOOKUP(F1015,purchase!D:D,purchase!B:B,""))</f>
        <v/>
      </c>
      <c r="F1015" s="2"/>
      <c r="G1015" s="4" t="str">
        <f t="shared" si="106"/>
        <v/>
      </c>
      <c r="H1015" s="4" t="str">
        <f>IF(F1015="","",_xlfn.XLOOKUP(F1015,purchase!D:D,purchase!#REF!,""))</f>
        <v/>
      </c>
      <c r="I1015" s="4" t="str">
        <f t="shared" si="107"/>
        <v/>
      </c>
      <c r="J1015" s="4" t="str">
        <f t="shared" si="108"/>
        <v/>
      </c>
      <c r="K1015" s="13" t="str">
        <f>_xlfn.SINGLE(IF(F1015="","",_xlfn.XLOOKUP(F1015,purchase!D:D,purchase!#REF!,"")))</f>
        <v/>
      </c>
      <c r="L1015" s="2"/>
      <c r="M1015" s="32"/>
      <c r="N1015" s="13" t="str">
        <f>IF(F1015="","",
MAX(0,
_xlfn.XLOOKUP(F1015,purchase!D:D,purchase!#REF!,"")
-
SUMIFS(L:L,F:F,F1015)))</f>
        <v/>
      </c>
      <c r="O1015" s="13" t="str">
        <f t="shared" si="109"/>
        <v/>
      </c>
      <c r="P1015" s="35" t="str">
        <f>_xlfn.SINGLE(IF(F1015="","",_xlfn.XLOOKUP(F1015,purchase!D:D,purchase!K:K,"")))</f>
        <v/>
      </c>
      <c r="Q1015" s="29" t="str">
        <f t="shared" si="110"/>
        <v/>
      </c>
      <c r="R1015" s="37" t="str">
        <f t="shared" si="111"/>
        <v/>
      </c>
    </row>
    <row r="1016" spans="1:18" x14ac:dyDescent="0.35">
      <c r="A1016" s="8">
        <v>1012</v>
      </c>
      <c r="B1016" s="9" t="str">
        <f t="shared" si="105"/>
        <v/>
      </c>
      <c r="C1016" s="10"/>
      <c r="D1016" s="9" t="str">
        <f>IF(F1016="","",_xlfn.XLOOKUP(F1016,purchase!D:D,purchase!#REF!,""))</f>
        <v/>
      </c>
      <c r="E1016" s="9" t="str">
        <f>IF(F1016="","",_xlfn.XLOOKUP(F1016,purchase!D:D,purchase!B:B,""))</f>
        <v/>
      </c>
      <c r="F1016" s="2"/>
      <c r="G1016" s="4" t="str">
        <f t="shared" si="106"/>
        <v/>
      </c>
      <c r="H1016" s="4" t="str">
        <f>IF(F1016="","",_xlfn.XLOOKUP(F1016,purchase!D:D,purchase!#REF!,""))</f>
        <v/>
      </c>
      <c r="I1016" s="4" t="str">
        <f t="shared" si="107"/>
        <v/>
      </c>
      <c r="J1016" s="4" t="str">
        <f t="shared" si="108"/>
        <v/>
      </c>
      <c r="K1016" s="13" t="str">
        <f>_xlfn.SINGLE(IF(F1016="","",_xlfn.XLOOKUP(F1016,purchase!D:D,purchase!#REF!,"")))</f>
        <v/>
      </c>
      <c r="L1016" s="2"/>
      <c r="M1016" s="32"/>
      <c r="N1016" s="13" t="str">
        <f>IF(F1016="","",
MAX(0,
_xlfn.XLOOKUP(F1016,purchase!D:D,purchase!#REF!,"")
-
SUMIFS(L:L,F:F,F1016)))</f>
        <v/>
      </c>
      <c r="O1016" s="13" t="str">
        <f t="shared" si="109"/>
        <v/>
      </c>
      <c r="P1016" s="35" t="str">
        <f>_xlfn.SINGLE(IF(F1016="","",_xlfn.XLOOKUP(F1016,purchase!D:D,purchase!K:K,"")))</f>
        <v/>
      </c>
      <c r="Q1016" s="29" t="str">
        <f t="shared" si="110"/>
        <v/>
      </c>
      <c r="R1016" s="37" t="str">
        <f t="shared" si="111"/>
        <v/>
      </c>
    </row>
    <row r="1017" spans="1:18" x14ac:dyDescent="0.35">
      <c r="A1017" s="8">
        <v>1013</v>
      </c>
      <c r="B1017" s="9" t="str">
        <f t="shared" si="105"/>
        <v/>
      </c>
      <c r="C1017" s="10"/>
      <c r="D1017" s="9" t="str">
        <f>IF(F1017="","",_xlfn.XLOOKUP(F1017,purchase!D:D,purchase!#REF!,""))</f>
        <v/>
      </c>
      <c r="E1017" s="9" t="str">
        <f>IF(F1017="","",_xlfn.XLOOKUP(F1017,purchase!D:D,purchase!B:B,""))</f>
        <v/>
      </c>
      <c r="F1017" s="2"/>
      <c r="G1017" s="4" t="str">
        <f t="shared" si="106"/>
        <v/>
      </c>
      <c r="H1017" s="4" t="str">
        <f>IF(F1017="","",_xlfn.XLOOKUP(F1017,purchase!D:D,purchase!#REF!,""))</f>
        <v/>
      </c>
      <c r="I1017" s="4" t="str">
        <f t="shared" si="107"/>
        <v/>
      </c>
      <c r="J1017" s="4" t="str">
        <f t="shared" si="108"/>
        <v/>
      </c>
      <c r="K1017" s="13" t="str">
        <f>_xlfn.SINGLE(IF(F1017="","",_xlfn.XLOOKUP(F1017,purchase!D:D,purchase!#REF!,"")))</f>
        <v/>
      </c>
      <c r="L1017" s="2"/>
      <c r="M1017" s="32"/>
      <c r="N1017" s="13" t="str">
        <f>IF(F1017="","",
MAX(0,
_xlfn.XLOOKUP(F1017,purchase!D:D,purchase!#REF!,"")
-
SUMIFS(L:L,F:F,F1017)))</f>
        <v/>
      </c>
      <c r="O1017" s="13" t="str">
        <f t="shared" si="109"/>
        <v/>
      </c>
      <c r="P1017" s="35" t="str">
        <f>_xlfn.SINGLE(IF(F1017="","",_xlfn.XLOOKUP(F1017,purchase!D:D,purchase!K:K,"")))</f>
        <v/>
      </c>
      <c r="Q1017" s="29" t="str">
        <f t="shared" si="110"/>
        <v/>
      </c>
      <c r="R1017" s="37" t="str">
        <f t="shared" si="111"/>
        <v/>
      </c>
    </row>
    <row r="1018" spans="1:18" x14ac:dyDescent="0.35">
      <c r="A1018" s="8">
        <v>1014</v>
      </c>
      <c r="B1018" s="9" t="str">
        <f t="shared" si="105"/>
        <v/>
      </c>
      <c r="C1018" s="10"/>
      <c r="D1018" s="9" t="str">
        <f>IF(F1018="","",_xlfn.XLOOKUP(F1018,purchase!D:D,purchase!#REF!,""))</f>
        <v/>
      </c>
      <c r="E1018" s="9" t="str">
        <f>IF(F1018="","",_xlfn.XLOOKUP(F1018,purchase!D:D,purchase!B:B,""))</f>
        <v/>
      </c>
      <c r="F1018" s="2"/>
      <c r="G1018" s="4" t="str">
        <f t="shared" si="106"/>
        <v/>
      </c>
      <c r="H1018" s="4" t="str">
        <f>IF(F1018="","",_xlfn.XLOOKUP(F1018,purchase!D:D,purchase!#REF!,""))</f>
        <v/>
      </c>
      <c r="I1018" s="4" t="str">
        <f t="shared" si="107"/>
        <v/>
      </c>
      <c r="J1018" s="4" t="str">
        <f t="shared" si="108"/>
        <v/>
      </c>
      <c r="K1018" s="13" t="str">
        <f>_xlfn.SINGLE(IF(F1018="","",_xlfn.XLOOKUP(F1018,purchase!D:D,purchase!#REF!,"")))</f>
        <v/>
      </c>
      <c r="L1018" s="2"/>
      <c r="M1018" s="32"/>
      <c r="N1018" s="13" t="str">
        <f>IF(F1018="","",
MAX(0,
_xlfn.XLOOKUP(F1018,purchase!D:D,purchase!#REF!,"")
-
SUMIFS(L:L,F:F,F1018)))</f>
        <v/>
      </c>
      <c r="O1018" s="13" t="str">
        <f t="shared" si="109"/>
        <v/>
      </c>
      <c r="P1018" s="35" t="str">
        <f>_xlfn.SINGLE(IF(F1018="","",_xlfn.XLOOKUP(F1018,purchase!D:D,purchase!K:K,"")))</f>
        <v/>
      </c>
      <c r="Q1018" s="29" t="str">
        <f t="shared" si="110"/>
        <v/>
      </c>
      <c r="R1018" s="37" t="str">
        <f t="shared" si="111"/>
        <v/>
      </c>
    </row>
    <row r="1019" spans="1:18" x14ac:dyDescent="0.35">
      <c r="A1019" s="8">
        <v>1015</v>
      </c>
      <c r="B1019" s="9" t="str">
        <f t="shared" si="105"/>
        <v/>
      </c>
      <c r="C1019" s="10"/>
      <c r="D1019" s="9" t="str">
        <f>IF(F1019="","",_xlfn.XLOOKUP(F1019,purchase!D:D,purchase!#REF!,""))</f>
        <v/>
      </c>
      <c r="E1019" s="9" t="str">
        <f>IF(F1019="","",_xlfn.XLOOKUP(F1019,purchase!D:D,purchase!B:B,""))</f>
        <v/>
      </c>
      <c r="F1019" s="2"/>
      <c r="G1019" s="4" t="str">
        <f t="shared" si="106"/>
        <v/>
      </c>
      <c r="H1019" s="4" t="str">
        <f>IF(F1019="","",_xlfn.XLOOKUP(F1019,purchase!D:D,purchase!#REF!,""))</f>
        <v/>
      </c>
      <c r="I1019" s="4" t="str">
        <f t="shared" si="107"/>
        <v/>
      </c>
      <c r="J1019" s="4" t="str">
        <f t="shared" si="108"/>
        <v/>
      </c>
      <c r="K1019" s="13" t="str">
        <f>_xlfn.SINGLE(IF(F1019="","",_xlfn.XLOOKUP(F1019,purchase!D:D,purchase!#REF!,"")))</f>
        <v/>
      </c>
      <c r="L1019" s="2"/>
      <c r="M1019" s="32"/>
      <c r="N1019" s="13" t="str">
        <f>IF(F1019="","",
MAX(0,
_xlfn.XLOOKUP(F1019,purchase!D:D,purchase!#REF!,"")
-
SUMIFS(L:L,F:F,F1019)))</f>
        <v/>
      </c>
      <c r="O1019" s="13" t="str">
        <f t="shared" si="109"/>
        <v/>
      </c>
      <c r="P1019" s="35" t="str">
        <f>_xlfn.SINGLE(IF(F1019="","",_xlfn.XLOOKUP(F1019,purchase!D:D,purchase!K:K,"")))</f>
        <v/>
      </c>
      <c r="Q1019" s="29" t="str">
        <f t="shared" si="110"/>
        <v/>
      </c>
      <c r="R1019" s="37" t="str">
        <f t="shared" si="111"/>
        <v/>
      </c>
    </row>
    <row r="1020" spans="1:18" x14ac:dyDescent="0.35">
      <c r="A1020" s="8">
        <v>1016</v>
      </c>
      <c r="B1020" s="9" t="str">
        <f t="shared" si="105"/>
        <v/>
      </c>
      <c r="C1020" s="10"/>
      <c r="D1020" s="9" t="str">
        <f>IF(F1020="","",_xlfn.XLOOKUP(F1020,purchase!D:D,purchase!#REF!,""))</f>
        <v/>
      </c>
      <c r="E1020" s="9" t="str">
        <f>IF(F1020="","",_xlfn.XLOOKUP(F1020,purchase!D:D,purchase!B:B,""))</f>
        <v/>
      </c>
      <c r="F1020" s="2"/>
      <c r="G1020" s="4" t="str">
        <f t="shared" si="106"/>
        <v/>
      </c>
      <c r="H1020" s="4" t="str">
        <f>IF(F1020="","",_xlfn.XLOOKUP(F1020,purchase!D:D,purchase!#REF!,""))</f>
        <v/>
      </c>
      <c r="I1020" s="4" t="str">
        <f t="shared" si="107"/>
        <v/>
      </c>
      <c r="J1020" s="4" t="str">
        <f t="shared" si="108"/>
        <v/>
      </c>
      <c r="K1020" s="13" t="str">
        <f>_xlfn.SINGLE(IF(F1020="","",_xlfn.XLOOKUP(F1020,purchase!D:D,purchase!#REF!,"")))</f>
        <v/>
      </c>
      <c r="L1020" s="2"/>
      <c r="M1020" s="32"/>
      <c r="N1020" s="13" t="str">
        <f>IF(F1020="","",
MAX(0,
_xlfn.XLOOKUP(F1020,purchase!D:D,purchase!#REF!,"")
-
SUMIFS(L:L,F:F,F1020)))</f>
        <v/>
      </c>
      <c r="O1020" s="13" t="str">
        <f t="shared" si="109"/>
        <v/>
      </c>
      <c r="P1020" s="35" t="str">
        <f>_xlfn.SINGLE(IF(F1020="","",_xlfn.XLOOKUP(F1020,purchase!D:D,purchase!K:K,"")))</f>
        <v/>
      </c>
      <c r="Q1020" s="29" t="str">
        <f t="shared" si="110"/>
        <v/>
      </c>
      <c r="R1020" s="37" t="str">
        <f t="shared" si="111"/>
        <v/>
      </c>
    </row>
    <row r="1021" spans="1:18" x14ac:dyDescent="0.35">
      <c r="A1021" s="8">
        <v>1017</v>
      </c>
      <c r="B1021" s="9" t="str">
        <f t="shared" si="105"/>
        <v/>
      </c>
      <c r="C1021" s="10"/>
      <c r="D1021" s="9" t="str">
        <f>IF(F1021="","",_xlfn.XLOOKUP(F1021,purchase!D:D,purchase!#REF!,""))</f>
        <v/>
      </c>
      <c r="E1021" s="9" t="str">
        <f>IF(F1021="","",_xlfn.XLOOKUP(F1021,purchase!D:D,purchase!B:B,""))</f>
        <v/>
      </c>
      <c r="F1021" s="2"/>
      <c r="G1021" s="4" t="str">
        <f t="shared" si="106"/>
        <v/>
      </c>
      <c r="H1021" s="4" t="str">
        <f>IF(F1021="","",_xlfn.XLOOKUP(F1021,purchase!D:D,purchase!#REF!,""))</f>
        <v/>
      </c>
      <c r="I1021" s="4" t="str">
        <f t="shared" si="107"/>
        <v/>
      </c>
      <c r="J1021" s="4" t="str">
        <f t="shared" si="108"/>
        <v/>
      </c>
      <c r="K1021" s="13" t="str">
        <f>_xlfn.SINGLE(IF(F1021="","",_xlfn.XLOOKUP(F1021,purchase!D:D,purchase!#REF!,"")))</f>
        <v/>
      </c>
      <c r="L1021" s="2"/>
      <c r="M1021" s="32"/>
      <c r="N1021" s="13" t="str">
        <f>IF(F1021="","",
MAX(0,
_xlfn.XLOOKUP(F1021,purchase!D:D,purchase!#REF!,"")
-
SUMIFS(L:L,F:F,F1021)))</f>
        <v/>
      </c>
      <c r="O1021" s="13" t="str">
        <f t="shared" si="109"/>
        <v/>
      </c>
      <c r="P1021" s="35" t="str">
        <f>_xlfn.SINGLE(IF(F1021="","",_xlfn.XLOOKUP(F1021,purchase!D:D,purchase!K:K,"")))</f>
        <v/>
      </c>
      <c r="Q1021" s="29" t="str">
        <f t="shared" si="110"/>
        <v/>
      </c>
      <c r="R1021" s="37" t="str">
        <f t="shared" si="111"/>
        <v/>
      </c>
    </row>
    <row r="1022" spans="1:18" x14ac:dyDescent="0.35">
      <c r="A1022" s="8">
        <v>1018</v>
      </c>
      <c r="B1022" s="9" t="str">
        <f t="shared" si="105"/>
        <v/>
      </c>
      <c r="C1022" s="10"/>
      <c r="D1022" s="9" t="str">
        <f>IF(F1022="","",_xlfn.XLOOKUP(F1022,purchase!D:D,purchase!#REF!,""))</f>
        <v/>
      </c>
      <c r="E1022" s="9" t="str">
        <f>IF(F1022="","",_xlfn.XLOOKUP(F1022,purchase!D:D,purchase!B:B,""))</f>
        <v/>
      </c>
      <c r="F1022" s="2"/>
      <c r="G1022" s="4" t="str">
        <f t="shared" si="106"/>
        <v/>
      </c>
      <c r="H1022" s="4" t="str">
        <f>IF(F1022="","",_xlfn.XLOOKUP(F1022,purchase!D:D,purchase!#REF!,""))</f>
        <v/>
      </c>
      <c r="I1022" s="4" t="str">
        <f t="shared" si="107"/>
        <v/>
      </c>
      <c r="J1022" s="4" t="str">
        <f t="shared" si="108"/>
        <v/>
      </c>
      <c r="K1022" s="13" t="str">
        <f>_xlfn.SINGLE(IF(F1022="","",_xlfn.XLOOKUP(F1022,purchase!D:D,purchase!#REF!,"")))</f>
        <v/>
      </c>
      <c r="L1022" s="2"/>
      <c r="M1022" s="32"/>
      <c r="N1022" s="13" t="str">
        <f>IF(F1022="","",
MAX(0,
_xlfn.XLOOKUP(F1022,purchase!D:D,purchase!#REF!,"")
-
SUMIFS(L:L,F:F,F1022)))</f>
        <v/>
      </c>
      <c r="O1022" s="13" t="str">
        <f t="shared" si="109"/>
        <v/>
      </c>
      <c r="P1022" s="35" t="str">
        <f>_xlfn.SINGLE(IF(F1022="","",_xlfn.XLOOKUP(F1022,purchase!D:D,purchase!K:K,"")))</f>
        <v/>
      </c>
      <c r="Q1022" s="29" t="str">
        <f t="shared" si="110"/>
        <v/>
      </c>
      <c r="R1022" s="37" t="str">
        <f t="shared" si="111"/>
        <v/>
      </c>
    </row>
    <row r="1023" spans="1:18" x14ac:dyDescent="0.35">
      <c r="A1023" s="8">
        <v>1019</v>
      </c>
      <c r="B1023" s="9" t="str">
        <f t="shared" si="105"/>
        <v/>
      </c>
      <c r="C1023" s="10"/>
      <c r="D1023" s="9" t="str">
        <f>IF(F1023="","",_xlfn.XLOOKUP(F1023,purchase!D:D,purchase!#REF!,""))</f>
        <v/>
      </c>
      <c r="E1023" s="9" t="str">
        <f>IF(F1023="","",_xlfn.XLOOKUP(F1023,purchase!D:D,purchase!B:B,""))</f>
        <v/>
      </c>
      <c r="F1023" s="2"/>
      <c r="G1023" s="4" t="str">
        <f t="shared" si="106"/>
        <v/>
      </c>
      <c r="H1023" s="4" t="str">
        <f>IF(F1023="","",_xlfn.XLOOKUP(F1023,purchase!D:D,purchase!#REF!,""))</f>
        <v/>
      </c>
      <c r="I1023" s="4" t="str">
        <f t="shared" si="107"/>
        <v/>
      </c>
      <c r="J1023" s="4" t="str">
        <f t="shared" si="108"/>
        <v/>
      </c>
      <c r="K1023" s="13" t="str">
        <f>_xlfn.SINGLE(IF(F1023="","",_xlfn.XLOOKUP(F1023,purchase!D:D,purchase!#REF!,"")))</f>
        <v/>
      </c>
      <c r="L1023" s="2"/>
      <c r="M1023" s="32"/>
      <c r="N1023" s="13" t="str">
        <f>IF(F1023="","",
MAX(0,
_xlfn.XLOOKUP(F1023,purchase!D:D,purchase!#REF!,"")
-
SUMIFS(L:L,F:F,F1023)))</f>
        <v/>
      </c>
      <c r="O1023" s="13" t="str">
        <f t="shared" si="109"/>
        <v/>
      </c>
      <c r="P1023" s="35" t="str">
        <f>_xlfn.SINGLE(IF(F1023="","",_xlfn.XLOOKUP(F1023,purchase!D:D,purchase!K:K,"")))</f>
        <v/>
      </c>
      <c r="Q1023" s="29" t="str">
        <f t="shared" si="110"/>
        <v/>
      </c>
      <c r="R1023" s="37" t="str">
        <f t="shared" si="111"/>
        <v/>
      </c>
    </row>
    <row r="1024" spans="1:18" x14ac:dyDescent="0.35">
      <c r="A1024" s="8">
        <v>1020</v>
      </c>
      <c r="B1024" s="9" t="str">
        <f t="shared" si="105"/>
        <v/>
      </c>
      <c r="C1024" s="10"/>
      <c r="D1024" s="9" t="str">
        <f>IF(F1024="","",_xlfn.XLOOKUP(F1024,purchase!D:D,purchase!#REF!,""))</f>
        <v/>
      </c>
      <c r="E1024" s="9" t="str">
        <f>IF(F1024="","",_xlfn.XLOOKUP(F1024,purchase!D:D,purchase!B:B,""))</f>
        <v/>
      </c>
      <c r="F1024" s="2"/>
      <c r="G1024" s="4" t="str">
        <f t="shared" si="106"/>
        <v/>
      </c>
      <c r="H1024" s="4" t="str">
        <f>IF(F1024="","",_xlfn.XLOOKUP(F1024,purchase!D:D,purchase!#REF!,""))</f>
        <v/>
      </c>
      <c r="I1024" s="4" t="str">
        <f t="shared" si="107"/>
        <v/>
      </c>
      <c r="J1024" s="4" t="str">
        <f t="shared" si="108"/>
        <v/>
      </c>
      <c r="K1024" s="13" t="str">
        <f>_xlfn.SINGLE(IF(F1024="","",_xlfn.XLOOKUP(F1024,purchase!D:D,purchase!#REF!,"")))</f>
        <v/>
      </c>
      <c r="L1024" s="2"/>
      <c r="M1024" s="32"/>
      <c r="N1024" s="13" t="str">
        <f>IF(F1024="","",
MAX(0,
_xlfn.XLOOKUP(F1024,purchase!D:D,purchase!#REF!,"")
-
SUMIFS(L:L,F:F,F1024)))</f>
        <v/>
      </c>
      <c r="O1024" s="13" t="str">
        <f t="shared" si="109"/>
        <v/>
      </c>
      <c r="P1024" s="35" t="str">
        <f>_xlfn.SINGLE(IF(F1024="","",_xlfn.XLOOKUP(F1024,purchase!D:D,purchase!K:K,"")))</f>
        <v/>
      </c>
      <c r="Q1024" s="29" t="str">
        <f t="shared" si="110"/>
        <v/>
      </c>
      <c r="R1024" s="37" t="str">
        <f t="shared" si="111"/>
        <v/>
      </c>
    </row>
    <row r="1025" spans="1:18" x14ac:dyDescent="0.35">
      <c r="A1025" s="8">
        <v>1021</v>
      </c>
      <c r="B1025" s="9" t="str">
        <f t="shared" si="105"/>
        <v/>
      </c>
      <c r="C1025" s="10"/>
      <c r="D1025" s="9" t="str">
        <f>IF(F1025="","",_xlfn.XLOOKUP(F1025,purchase!D:D,purchase!#REF!,""))</f>
        <v/>
      </c>
      <c r="E1025" s="9" t="str">
        <f>IF(F1025="","",_xlfn.XLOOKUP(F1025,purchase!D:D,purchase!B:B,""))</f>
        <v/>
      </c>
      <c r="F1025" s="2"/>
      <c r="G1025" s="4" t="str">
        <f t="shared" si="106"/>
        <v/>
      </c>
      <c r="H1025" s="4" t="str">
        <f>IF(F1025="","",_xlfn.XLOOKUP(F1025,purchase!D:D,purchase!#REF!,""))</f>
        <v/>
      </c>
      <c r="I1025" s="4" t="str">
        <f t="shared" si="107"/>
        <v/>
      </c>
      <c r="J1025" s="4" t="str">
        <f t="shared" si="108"/>
        <v/>
      </c>
      <c r="K1025" s="13" t="str">
        <f>_xlfn.SINGLE(IF(F1025="","",_xlfn.XLOOKUP(F1025,purchase!D:D,purchase!#REF!,"")))</f>
        <v/>
      </c>
      <c r="L1025" s="2"/>
      <c r="M1025" s="32"/>
      <c r="N1025" s="13" t="str">
        <f>IF(F1025="","",
MAX(0,
_xlfn.XLOOKUP(F1025,purchase!D:D,purchase!#REF!,"")
-
SUMIFS(L:L,F:F,F1025)))</f>
        <v/>
      </c>
      <c r="O1025" s="13" t="str">
        <f t="shared" si="109"/>
        <v/>
      </c>
      <c r="P1025" s="35" t="str">
        <f>_xlfn.SINGLE(IF(F1025="","",_xlfn.XLOOKUP(F1025,purchase!D:D,purchase!K:K,"")))</f>
        <v/>
      </c>
      <c r="Q1025" s="29" t="str">
        <f t="shared" si="110"/>
        <v/>
      </c>
      <c r="R1025" s="37" t="str">
        <f t="shared" si="111"/>
        <v/>
      </c>
    </row>
    <row r="1026" spans="1:18" x14ac:dyDescent="0.35">
      <c r="A1026" s="8">
        <v>1022</v>
      </c>
      <c r="B1026" s="9" t="str">
        <f t="shared" si="105"/>
        <v/>
      </c>
      <c r="C1026" s="10"/>
      <c r="D1026" s="9" t="str">
        <f>IF(F1026="","",_xlfn.XLOOKUP(F1026,purchase!D:D,purchase!#REF!,""))</f>
        <v/>
      </c>
      <c r="E1026" s="9" t="str">
        <f>IF(F1026="","",_xlfn.XLOOKUP(F1026,purchase!D:D,purchase!B:B,""))</f>
        <v/>
      </c>
      <c r="F1026" s="2"/>
      <c r="G1026" s="4" t="str">
        <f t="shared" si="106"/>
        <v/>
      </c>
      <c r="H1026" s="4" t="str">
        <f>IF(F1026="","",_xlfn.XLOOKUP(F1026,purchase!D:D,purchase!#REF!,""))</f>
        <v/>
      </c>
      <c r="I1026" s="4" t="str">
        <f t="shared" si="107"/>
        <v/>
      </c>
      <c r="J1026" s="4" t="str">
        <f t="shared" si="108"/>
        <v/>
      </c>
      <c r="K1026" s="13" t="str">
        <f>_xlfn.SINGLE(IF(F1026="","",_xlfn.XLOOKUP(F1026,purchase!D:D,purchase!#REF!,"")))</f>
        <v/>
      </c>
      <c r="L1026" s="2"/>
      <c r="M1026" s="32"/>
      <c r="N1026" s="13" t="str">
        <f>IF(F1026="","",
MAX(0,
_xlfn.XLOOKUP(F1026,purchase!D:D,purchase!#REF!,"")
-
SUMIFS(L:L,F:F,F1026)))</f>
        <v/>
      </c>
      <c r="O1026" s="13" t="str">
        <f t="shared" si="109"/>
        <v/>
      </c>
      <c r="P1026" s="35" t="str">
        <f>_xlfn.SINGLE(IF(F1026="","",_xlfn.XLOOKUP(F1026,purchase!D:D,purchase!K:K,"")))</f>
        <v/>
      </c>
      <c r="Q1026" s="29" t="str">
        <f t="shared" si="110"/>
        <v/>
      </c>
      <c r="R1026" s="37" t="str">
        <f t="shared" si="111"/>
        <v/>
      </c>
    </row>
    <row r="1027" spans="1:18" x14ac:dyDescent="0.35">
      <c r="A1027" s="8">
        <v>1023</v>
      </c>
      <c r="B1027" s="9" t="str">
        <f t="shared" si="105"/>
        <v/>
      </c>
      <c r="C1027" s="10"/>
      <c r="D1027" s="9" t="str">
        <f>IF(F1027="","",_xlfn.XLOOKUP(F1027,purchase!D:D,purchase!#REF!,""))</f>
        <v/>
      </c>
      <c r="E1027" s="9" t="str">
        <f>IF(F1027="","",_xlfn.XLOOKUP(F1027,purchase!D:D,purchase!B:B,""))</f>
        <v/>
      </c>
      <c r="F1027" s="2"/>
      <c r="G1027" s="4" t="str">
        <f t="shared" si="106"/>
        <v/>
      </c>
      <c r="H1027" s="4" t="str">
        <f>IF(F1027="","",_xlfn.XLOOKUP(F1027,purchase!D:D,purchase!#REF!,""))</f>
        <v/>
      </c>
      <c r="I1027" s="4" t="str">
        <f t="shared" si="107"/>
        <v/>
      </c>
      <c r="J1027" s="4" t="str">
        <f t="shared" si="108"/>
        <v/>
      </c>
      <c r="K1027" s="13" t="str">
        <f>_xlfn.SINGLE(IF(F1027="","",_xlfn.XLOOKUP(F1027,purchase!D:D,purchase!#REF!,"")))</f>
        <v/>
      </c>
      <c r="L1027" s="2"/>
      <c r="M1027" s="32"/>
      <c r="N1027" s="13" t="str">
        <f>IF(F1027="","",
MAX(0,
_xlfn.XLOOKUP(F1027,purchase!D:D,purchase!#REF!,"")
-
SUMIFS(L:L,F:F,F1027)))</f>
        <v/>
      </c>
      <c r="O1027" s="13" t="str">
        <f t="shared" si="109"/>
        <v/>
      </c>
      <c r="P1027" s="35" t="str">
        <f>_xlfn.SINGLE(IF(F1027="","",_xlfn.XLOOKUP(F1027,purchase!D:D,purchase!K:K,"")))</f>
        <v/>
      </c>
      <c r="Q1027" s="29" t="str">
        <f t="shared" si="110"/>
        <v/>
      </c>
      <c r="R1027" s="37" t="str">
        <f t="shared" si="111"/>
        <v/>
      </c>
    </row>
    <row r="1028" spans="1:18" x14ac:dyDescent="0.35">
      <c r="A1028" s="8">
        <v>1024</v>
      </c>
      <c r="B1028" s="9" t="str">
        <f t="shared" si="105"/>
        <v/>
      </c>
      <c r="C1028" s="10"/>
      <c r="D1028" s="9" t="str">
        <f>IF(F1028="","",_xlfn.XLOOKUP(F1028,purchase!D:D,purchase!#REF!,""))</f>
        <v/>
      </c>
      <c r="E1028" s="9" t="str">
        <f>IF(F1028="","",_xlfn.XLOOKUP(F1028,purchase!D:D,purchase!B:B,""))</f>
        <v/>
      </c>
      <c r="F1028" s="2"/>
      <c r="G1028" s="4" t="str">
        <f t="shared" si="106"/>
        <v/>
      </c>
      <c r="H1028" s="4" t="str">
        <f>IF(F1028="","",_xlfn.XLOOKUP(F1028,purchase!D:D,purchase!#REF!,""))</f>
        <v/>
      </c>
      <c r="I1028" s="4" t="str">
        <f t="shared" si="107"/>
        <v/>
      </c>
      <c r="J1028" s="4" t="str">
        <f t="shared" si="108"/>
        <v/>
      </c>
      <c r="K1028" s="13" t="str">
        <f>_xlfn.SINGLE(IF(F1028="","",_xlfn.XLOOKUP(F1028,purchase!D:D,purchase!#REF!,"")))</f>
        <v/>
      </c>
      <c r="L1028" s="2"/>
      <c r="M1028" s="32"/>
      <c r="N1028" s="13" t="str">
        <f>IF(F1028="","",
MAX(0,
_xlfn.XLOOKUP(F1028,purchase!D:D,purchase!#REF!,"")
-
SUMIFS(L:L,F:F,F1028)))</f>
        <v/>
      </c>
      <c r="O1028" s="13" t="str">
        <f t="shared" si="109"/>
        <v/>
      </c>
      <c r="P1028" s="35" t="str">
        <f>_xlfn.SINGLE(IF(F1028="","",_xlfn.XLOOKUP(F1028,purchase!D:D,purchase!K:K,"")))</f>
        <v/>
      </c>
      <c r="Q1028" s="29" t="str">
        <f t="shared" si="110"/>
        <v/>
      </c>
      <c r="R1028" s="37" t="str">
        <f t="shared" si="111"/>
        <v/>
      </c>
    </row>
    <row r="1029" spans="1:18" x14ac:dyDescent="0.35">
      <c r="A1029" s="8">
        <v>1025</v>
      </c>
      <c r="B1029" s="9" t="str">
        <f t="shared" ref="B1029:B1092" si="112">IF(OR(C1029="",F1029=""),"",
"PRD-" &amp;
TEXT(DAY(C1029),"00") &amp;
CHOOSE(MONTH(C1029),"A","B","C","D","E","F","G","H","I","J","K","L") &amp;
TEXT(YEAR(C1029),"00") &amp;
"-" &amp;
RIGHT(F1029,4))</f>
        <v/>
      </c>
      <c r="C1029" s="10"/>
      <c r="D1029" s="9" t="str">
        <f>IF(F1029="","",_xlfn.XLOOKUP(F1029,purchase!D:D,purchase!#REF!,""))</f>
        <v/>
      </c>
      <c r="E1029" s="9" t="str">
        <f>IF(F1029="","",_xlfn.XLOOKUP(F1029,purchase!D:D,purchase!B:B,""))</f>
        <v/>
      </c>
      <c r="F1029" s="2"/>
      <c r="G1029" s="4" t="str">
        <f t="shared" ref="G1029:G1092" si="113">IF(H1029="NRFC","Natural Rubber Field Coagulam","")</f>
        <v/>
      </c>
      <c r="H1029" s="4" t="str">
        <f>IF(F1029="","",_xlfn.XLOOKUP(F1029,purchase!D:D,purchase!#REF!,""))</f>
        <v/>
      </c>
      <c r="I1029" s="4" t="str">
        <f t="shared" ref="I1029:I1092" si="114">IF(J1029="ISNR20","Natural Rubber-TSNR (ISNR-20)","")</f>
        <v/>
      </c>
      <c r="J1029" s="4" t="str">
        <f t="shared" ref="J1029:J1092" si="115">IF(H1029="NRFC","ISNR20","")</f>
        <v/>
      </c>
      <c r="K1029" s="13" t="str">
        <f>_xlfn.SINGLE(IF(F1029="","",_xlfn.XLOOKUP(F1029,purchase!D:D,purchase!#REF!,"")))</f>
        <v/>
      </c>
      <c r="L1029" s="2"/>
      <c r="M1029" s="32"/>
      <c r="N1029" s="13" t="str">
        <f>IF(F1029="","",
MAX(0,
_xlfn.XLOOKUP(F1029,purchase!D:D,purchase!#REF!,"")
-
SUMIFS(L:L,F:F,F1029)))</f>
        <v/>
      </c>
      <c r="O1029" s="13" t="str">
        <f t="shared" ref="O1029:O1092" si="116">IF(OR(L1029="",M1029=""),"",L1029-M1029)</f>
        <v/>
      </c>
      <c r="P1029" s="35" t="str">
        <f>_xlfn.SINGLE(IF(F1029="","",_xlfn.XLOOKUP(F1029,purchase!D:D,purchase!K:K,"")))</f>
        <v/>
      </c>
      <c r="Q1029" s="29" t="str">
        <f t="shared" ref="Q1029:Q1092" si="117">IF(OR(L1029="",M1029=""),"",M1029/L1029)</f>
        <v/>
      </c>
      <c r="R1029" s="37" t="str">
        <f t="shared" ref="R1029:R1092" si="118">IF(OR(P1029="",Q1029=""),"",Q1029-P1029)</f>
        <v/>
      </c>
    </row>
    <row r="1030" spans="1:18" x14ac:dyDescent="0.35">
      <c r="A1030" s="8">
        <v>1026</v>
      </c>
      <c r="B1030" s="9" t="str">
        <f t="shared" si="112"/>
        <v/>
      </c>
      <c r="C1030" s="10"/>
      <c r="D1030" s="9" t="str">
        <f>IF(F1030="","",_xlfn.XLOOKUP(F1030,purchase!D:D,purchase!#REF!,""))</f>
        <v/>
      </c>
      <c r="E1030" s="9" t="str">
        <f>IF(F1030="","",_xlfn.XLOOKUP(F1030,purchase!D:D,purchase!B:B,""))</f>
        <v/>
      </c>
      <c r="F1030" s="2"/>
      <c r="G1030" s="4" t="str">
        <f t="shared" si="113"/>
        <v/>
      </c>
      <c r="H1030" s="4" t="str">
        <f>IF(F1030="","",_xlfn.XLOOKUP(F1030,purchase!D:D,purchase!#REF!,""))</f>
        <v/>
      </c>
      <c r="I1030" s="4" t="str">
        <f t="shared" si="114"/>
        <v/>
      </c>
      <c r="J1030" s="4" t="str">
        <f t="shared" si="115"/>
        <v/>
      </c>
      <c r="K1030" s="13" t="str">
        <f>_xlfn.SINGLE(IF(F1030="","",_xlfn.XLOOKUP(F1030,purchase!D:D,purchase!#REF!,"")))</f>
        <v/>
      </c>
      <c r="L1030" s="2"/>
      <c r="M1030" s="32"/>
      <c r="N1030" s="13" t="str">
        <f>IF(F1030="","",
MAX(0,
_xlfn.XLOOKUP(F1030,purchase!D:D,purchase!#REF!,"")
-
SUMIFS(L:L,F:F,F1030)))</f>
        <v/>
      </c>
      <c r="O1030" s="13" t="str">
        <f t="shared" si="116"/>
        <v/>
      </c>
      <c r="P1030" s="35" t="str">
        <f>_xlfn.SINGLE(IF(F1030="","",_xlfn.XLOOKUP(F1030,purchase!D:D,purchase!K:K,"")))</f>
        <v/>
      </c>
      <c r="Q1030" s="29" t="str">
        <f t="shared" si="117"/>
        <v/>
      </c>
      <c r="R1030" s="37" t="str">
        <f t="shared" si="118"/>
        <v/>
      </c>
    </row>
    <row r="1031" spans="1:18" x14ac:dyDescent="0.35">
      <c r="A1031" s="8">
        <v>1027</v>
      </c>
      <c r="B1031" s="9" t="str">
        <f t="shared" si="112"/>
        <v/>
      </c>
      <c r="C1031" s="10"/>
      <c r="D1031" s="9" t="str">
        <f>IF(F1031="","",_xlfn.XLOOKUP(F1031,purchase!D:D,purchase!#REF!,""))</f>
        <v/>
      </c>
      <c r="E1031" s="9" t="str">
        <f>IF(F1031="","",_xlfn.XLOOKUP(F1031,purchase!D:D,purchase!B:B,""))</f>
        <v/>
      </c>
      <c r="F1031" s="2"/>
      <c r="G1031" s="4" t="str">
        <f t="shared" si="113"/>
        <v/>
      </c>
      <c r="H1031" s="4" t="str">
        <f>IF(F1031="","",_xlfn.XLOOKUP(F1031,purchase!D:D,purchase!#REF!,""))</f>
        <v/>
      </c>
      <c r="I1031" s="4" t="str">
        <f t="shared" si="114"/>
        <v/>
      </c>
      <c r="J1031" s="4" t="str">
        <f t="shared" si="115"/>
        <v/>
      </c>
      <c r="K1031" s="13" t="str">
        <f>_xlfn.SINGLE(IF(F1031="","",_xlfn.XLOOKUP(F1031,purchase!D:D,purchase!#REF!,"")))</f>
        <v/>
      </c>
      <c r="L1031" s="2"/>
      <c r="M1031" s="32"/>
      <c r="N1031" s="13" t="str">
        <f>IF(F1031="","",
MAX(0,
_xlfn.XLOOKUP(F1031,purchase!D:D,purchase!#REF!,"")
-
SUMIFS(L:L,F:F,F1031)))</f>
        <v/>
      </c>
      <c r="O1031" s="13" t="str">
        <f t="shared" si="116"/>
        <v/>
      </c>
      <c r="P1031" s="35" t="str">
        <f>_xlfn.SINGLE(IF(F1031="","",_xlfn.XLOOKUP(F1031,purchase!D:D,purchase!K:K,"")))</f>
        <v/>
      </c>
      <c r="Q1031" s="29" t="str">
        <f t="shared" si="117"/>
        <v/>
      </c>
      <c r="R1031" s="37" t="str">
        <f t="shared" si="118"/>
        <v/>
      </c>
    </row>
    <row r="1032" spans="1:18" x14ac:dyDescent="0.35">
      <c r="A1032" s="8">
        <v>1028</v>
      </c>
      <c r="B1032" s="9" t="str">
        <f t="shared" si="112"/>
        <v/>
      </c>
      <c r="C1032" s="10"/>
      <c r="D1032" s="9" t="str">
        <f>IF(F1032="","",_xlfn.XLOOKUP(F1032,purchase!D:D,purchase!#REF!,""))</f>
        <v/>
      </c>
      <c r="E1032" s="9" t="str">
        <f>IF(F1032="","",_xlfn.XLOOKUP(F1032,purchase!D:D,purchase!B:B,""))</f>
        <v/>
      </c>
      <c r="F1032" s="2"/>
      <c r="G1032" s="4" t="str">
        <f t="shared" si="113"/>
        <v/>
      </c>
      <c r="H1032" s="4" t="str">
        <f>IF(F1032="","",_xlfn.XLOOKUP(F1032,purchase!D:D,purchase!#REF!,""))</f>
        <v/>
      </c>
      <c r="I1032" s="4" t="str">
        <f t="shared" si="114"/>
        <v/>
      </c>
      <c r="J1032" s="4" t="str">
        <f t="shared" si="115"/>
        <v/>
      </c>
      <c r="K1032" s="13" t="str">
        <f>_xlfn.SINGLE(IF(F1032="","",_xlfn.XLOOKUP(F1032,purchase!D:D,purchase!#REF!,"")))</f>
        <v/>
      </c>
      <c r="L1032" s="2"/>
      <c r="M1032" s="32"/>
      <c r="N1032" s="13" t="str">
        <f>IF(F1032="","",
MAX(0,
_xlfn.XLOOKUP(F1032,purchase!D:D,purchase!#REF!,"")
-
SUMIFS(L:L,F:F,F1032)))</f>
        <v/>
      </c>
      <c r="O1032" s="13" t="str">
        <f t="shared" si="116"/>
        <v/>
      </c>
      <c r="P1032" s="35" t="str">
        <f>_xlfn.SINGLE(IF(F1032="","",_xlfn.XLOOKUP(F1032,purchase!D:D,purchase!K:K,"")))</f>
        <v/>
      </c>
      <c r="Q1032" s="29" t="str">
        <f t="shared" si="117"/>
        <v/>
      </c>
      <c r="R1032" s="37" t="str">
        <f t="shared" si="118"/>
        <v/>
      </c>
    </row>
    <row r="1033" spans="1:18" x14ac:dyDescent="0.35">
      <c r="A1033" s="8">
        <v>1029</v>
      </c>
      <c r="B1033" s="9" t="str">
        <f t="shared" si="112"/>
        <v/>
      </c>
      <c r="C1033" s="10"/>
      <c r="D1033" s="9" t="str">
        <f>IF(F1033="","",_xlfn.XLOOKUP(F1033,purchase!D:D,purchase!#REF!,""))</f>
        <v/>
      </c>
      <c r="E1033" s="9" t="str">
        <f>IF(F1033="","",_xlfn.XLOOKUP(F1033,purchase!D:D,purchase!B:B,""))</f>
        <v/>
      </c>
      <c r="F1033" s="2"/>
      <c r="G1033" s="4" t="str">
        <f t="shared" si="113"/>
        <v/>
      </c>
      <c r="H1033" s="4" t="str">
        <f>IF(F1033="","",_xlfn.XLOOKUP(F1033,purchase!D:D,purchase!#REF!,""))</f>
        <v/>
      </c>
      <c r="I1033" s="4" t="str">
        <f t="shared" si="114"/>
        <v/>
      </c>
      <c r="J1033" s="4" t="str">
        <f t="shared" si="115"/>
        <v/>
      </c>
      <c r="K1033" s="13" t="str">
        <f>_xlfn.SINGLE(IF(F1033="","",_xlfn.XLOOKUP(F1033,purchase!D:D,purchase!#REF!,"")))</f>
        <v/>
      </c>
      <c r="L1033" s="2"/>
      <c r="M1033" s="32"/>
      <c r="N1033" s="13" t="str">
        <f>IF(F1033="","",
MAX(0,
_xlfn.XLOOKUP(F1033,purchase!D:D,purchase!#REF!,"")
-
SUMIFS(L:L,F:F,F1033)))</f>
        <v/>
      </c>
      <c r="O1033" s="13" t="str">
        <f t="shared" si="116"/>
        <v/>
      </c>
      <c r="P1033" s="35" t="str">
        <f>_xlfn.SINGLE(IF(F1033="","",_xlfn.XLOOKUP(F1033,purchase!D:D,purchase!K:K,"")))</f>
        <v/>
      </c>
      <c r="Q1033" s="29" t="str">
        <f t="shared" si="117"/>
        <v/>
      </c>
      <c r="R1033" s="37" t="str">
        <f t="shared" si="118"/>
        <v/>
      </c>
    </row>
    <row r="1034" spans="1:18" x14ac:dyDescent="0.35">
      <c r="A1034" s="8">
        <v>1030</v>
      </c>
      <c r="B1034" s="9" t="str">
        <f t="shared" si="112"/>
        <v/>
      </c>
      <c r="C1034" s="10"/>
      <c r="D1034" s="9" t="str">
        <f>IF(F1034="","",_xlfn.XLOOKUP(F1034,purchase!D:D,purchase!#REF!,""))</f>
        <v/>
      </c>
      <c r="E1034" s="9" t="str">
        <f>IF(F1034="","",_xlfn.XLOOKUP(F1034,purchase!D:D,purchase!B:B,""))</f>
        <v/>
      </c>
      <c r="F1034" s="2"/>
      <c r="G1034" s="4" t="str">
        <f t="shared" si="113"/>
        <v/>
      </c>
      <c r="H1034" s="4" t="str">
        <f>IF(F1034="","",_xlfn.XLOOKUP(F1034,purchase!D:D,purchase!#REF!,""))</f>
        <v/>
      </c>
      <c r="I1034" s="4" t="str">
        <f t="shared" si="114"/>
        <v/>
      </c>
      <c r="J1034" s="4" t="str">
        <f t="shared" si="115"/>
        <v/>
      </c>
      <c r="K1034" s="13" t="str">
        <f>_xlfn.SINGLE(IF(F1034="","",_xlfn.XLOOKUP(F1034,purchase!D:D,purchase!#REF!,"")))</f>
        <v/>
      </c>
      <c r="L1034" s="2"/>
      <c r="M1034" s="32"/>
      <c r="N1034" s="13" t="str">
        <f>IF(F1034="","",
MAX(0,
_xlfn.XLOOKUP(F1034,purchase!D:D,purchase!#REF!,"")
-
SUMIFS(L:L,F:F,F1034)))</f>
        <v/>
      </c>
      <c r="O1034" s="13" t="str">
        <f t="shared" si="116"/>
        <v/>
      </c>
      <c r="P1034" s="35" t="str">
        <f>_xlfn.SINGLE(IF(F1034="","",_xlfn.XLOOKUP(F1034,purchase!D:D,purchase!K:K,"")))</f>
        <v/>
      </c>
      <c r="Q1034" s="29" t="str">
        <f t="shared" si="117"/>
        <v/>
      </c>
      <c r="R1034" s="37" t="str">
        <f t="shared" si="118"/>
        <v/>
      </c>
    </row>
    <row r="1035" spans="1:18" x14ac:dyDescent="0.35">
      <c r="A1035" s="8">
        <v>1031</v>
      </c>
      <c r="B1035" s="9" t="str">
        <f t="shared" si="112"/>
        <v/>
      </c>
      <c r="C1035" s="10"/>
      <c r="D1035" s="9" t="str">
        <f>IF(F1035="","",_xlfn.XLOOKUP(F1035,purchase!D:D,purchase!#REF!,""))</f>
        <v/>
      </c>
      <c r="E1035" s="9" t="str">
        <f>IF(F1035="","",_xlfn.XLOOKUP(F1035,purchase!D:D,purchase!B:B,""))</f>
        <v/>
      </c>
      <c r="F1035" s="2"/>
      <c r="G1035" s="4" t="str">
        <f t="shared" si="113"/>
        <v/>
      </c>
      <c r="H1035" s="4" t="str">
        <f>IF(F1035="","",_xlfn.XLOOKUP(F1035,purchase!D:D,purchase!#REF!,""))</f>
        <v/>
      </c>
      <c r="I1035" s="4" t="str">
        <f t="shared" si="114"/>
        <v/>
      </c>
      <c r="J1035" s="4" t="str">
        <f t="shared" si="115"/>
        <v/>
      </c>
      <c r="K1035" s="13" t="str">
        <f>_xlfn.SINGLE(IF(F1035="","",_xlfn.XLOOKUP(F1035,purchase!D:D,purchase!#REF!,"")))</f>
        <v/>
      </c>
      <c r="L1035" s="2"/>
      <c r="M1035" s="32"/>
      <c r="N1035" s="13" t="str">
        <f>IF(F1035="","",
MAX(0,
_xlfn.XLOOKUP(F1035,purchase!D:D,purchase!#REF!,"")
-
SUMIFS(L:L,F:F,F1035)))</f>
        <v/>
      </c>
      <c r="O1035" s="13" t="str">
        <f t="shared" si="116"/>
        <v/>
      </c>
      <c r="P1035" s="35" t="str">
        <f>_xlfn.SINGLE(IF(F1035="","",_xlfn.XLOOKUP(F1035,purchase!D:D,purchase!K:K,"")))</f>
        <v/>
      </c>
      <c r="Q1035" s="29" t="str">
        <f t="shared" si="117"/>
        <v/>
      </c>
      <c r="R1035" s="37" t="str">
        <f t="shared" si="118"/>
        <v/>
      </c>
    </row>
    <row r="1036" spans="1:18" x14ac:dyDescent="0.35">
      <c r="A1036" s="8">
        <v>1032</v>
      </c>
      <c r="B1036" s="9" t="str">
        <f t="shared" si="112"/>
        <v/>
      </c>
      <c r="C1036" s="10"/>
      <c r="D1036" s="9" t="str">
        <f>IF(F1036="","",_xlfn.XLOOKUP(F1036,purchase!D:D,purchase!#REF!,""))</f>
        <v/>
      </c>
      <c r="E1036" s="9" t="str">
        <f>IF(F1036="","",_xlfn.XLOOKUP(F1036,purchase!D:D,purchase!B:B,""))</f>
        <v/>
      </c>
      <c r="F1036" s="2"/>
      <c r="G1036" s="4" t="str">
        <f t="shared" si="113"/>
        <v/>
      </c>
      <c r="H1036" s="4" t="str">
        <f>IF(F1036="","",_xlfn.XLOOKUP(F1036,purchase!D:D,purchase!#REF!,""))</f>
        <v/>
      </c>
      <c r="I1036" s="4" t="str">
        <f t="shared" si="114"/>
        <v/>
      </c>
      <c r="J1036" s="4" t="str">
        <f t="shared" si="115"/>
        <v/>
      </c>
      <c r="K1036" s="13" t="str">
        <f>_xlfn.SINGLE(IF(F1036="","",_xlfn.XLOOKUP(F1036,purchase!D:D,purchase!#REF!,"")))</f>
        <v/>
      </c>
      <c r="L1036" s="2"/>
      <c r="M1036" s="32"/>
      <c r="N1036" s="13" t="str">
        <f>IF(F1036="","",
MAX(0,
_xlfn.XLOOKUP(F1036,purchase!D:D,purchase!#REF!,"")
-
SUMIFS(L:L,F:F,F1036)))</f>
        <v/>
      </c>
      <c r="O1036" s="13" t="str">
        <f t="shared" si="116"/>
        <v/>
      </c>
      <c r="P1036" s="35" t="str">
        <f>_xlfn.SINGLE(IF(F1036="","",_xlfn.XLOOKUP(F1036,purchase!D:D,purchase!K:K,"")))</f>
        <v/>
      </c>
      <c r="Q1036" s="29" t="str">
        <f t="shared" si="117"/>
        <v/>
      </c>
      <c r="R1036" s="37" t="str">
        <f t="shared" si="118"/>
        <v/>
      </c>
    </row>
    <row r="1037" spans="1:18" x14ac:dyDescent="0.35">
      <c r="A1037" s="8">
        <v>1033</v>
      </c>
      <c r="B1037" s="9" t="str">
        <f t="shared" si="112"/>
        <v/>
      </c>
      <c r="C1037" s="10"/>
      <c r="D1037" s="9" t="str">
        <f>IF(F1037="","",_xlfn.XLOOKUP(F1037,purchase!D:D,purchase!#REF!,""))</f>
        <v/>
      </c>
      <c r="E1037" s="9" t="str">
        <f>IF(F1037="","",_xlfn.XLOOKUP(F1037,purchase!D:D,purchase!B:B,""))</f>
        <v/>
      </c>
      <c r="F1037" s="2"/>
      <c r="G1037" s="4" t="str">
        <f t="shared" si="113"/>
        <v/>
      </c>
      <c r="H1037" s="4" t="str">
        <f>IF(F1037="","",_xlfn.XLOOKUP(F1037,purchase!D:D,purchase!#REF!,""))</f>
        <v/>
      </c>
      <c r="I1037" s="4" t="str">
        <f t="shared" si="114"/>
        <v/>
      </c>
      <c r="J1037" s="4" t="str">
        <f t="shared" si="115"/>
        <v/>
      </c>
      <c r="K1037" s="13" t="str">
        <f>_xlfn.SINGLE(IF(F1037="","",_xlfn.XLOOKUP(F1037,purchase!D:D,purchase!#REF!,"")))</f>
        <v/>
      </c>
      <c r="L1037" s="2"/>
      <c r="M1037" s="32"/>
      <c r="N1037" s="13" t="str">
        <f>IF(F1037="","",
MAX(0,
_xlfn.XLOOKUP(F1037,purchase!D:D,purchase!#REF!,"")
-
SUMIFS(L:L,F:F,F1037)))</f>
        <v/>
      </c>
      <c r="O1037" s="13" t="str">
        <f t="shared" si="116"/>
        <v/>
      </c>
      <c r="P1037" s="35" t="str">
        <f>_xlfn.SINGLE(IF(F1037="","",_xlfn.XLOOKUP(F1037,purchase!D:D,purchase!K:K,"")))</f>
        <v/>
      </c>
      <c r="Q1037" s="29" t="str">
        <f t="shared" si="117"/>
        <v/>
      </c>
      <c r="R1037" s="37" t="str">
        <f t="shared" si="118"/>
        <v/>
      </c>
    </row>
    <row r="1038" spans="1:18" x14ac:dyDescent="0.35">
      <c r="A1038" s="8">
        <v>1034</v>
      </c>
      <c r="B1038" s="9" t="str">
        <f t="shared" si="112"/>
        <v/>
      </c>
      <c r="C1038" s="10"/>
      <c r="D1038" s="9" t="str">
        <f>IF(F1038="","",_xlfn.XLOOKUP(F1038,purchase!D:D,purchase!#REF!,""))</f>
        <v/>
      </c>
      <c r="E1038" s="9" t="str">
        <f>IF(F1038="","",_xlfn.XLOOKUP(F1038,purchase!D:D,purchase!B:B,""))</f>
        <v/>
      </c>
      <c r="F1038" s="2"/>
      <c r="G1038" s="4" t="str">
        <f t="shared" si="113"/>
        <v/>
      </c>
      <c r="H1038" s="4" t="str">
        <f>IF(F1038="","",_xlfn.XLOOKUP(F1038,purchase!D:D,purchase!#REF!,""))</f>
        <v/>
      </c>
      <c r="I1038" s="4" t="str">
        <f t="shared" si="114"/>
        <v/>
      </c>
      <c r="J1038" s="4" t="str">
        <f t="shared" si="115"/>
        <v/>
      </c>
      <c r="K1038" s="13" t="str">
        <f>_xlfn.SINGLE(IF(F1038="","",_xlfn.XLOOKUP(F1038,purchase!D:D,purchase!#REF!,"")))</f>
        <v/>
      </c>
      <c r="L1038" s="2"/>
      <c r="M1038" s="32"/>
      <c r="N1038" s="13" t="str">
        <f>IF(F1038="","",
MAX(0,
_xlfn.XLOOKUP(F1038,purchase!D:D,purchase!#REF!,"")
-
SUMIFS(L:L,F:F,F1038)))</f>
        <v/>
      </c>
      <c r="O1038" s="13" t="str">
        <f t="shared" si="116"/>
        <v/>
      </c>
      <c r="P1038" s="35" t="str">
        <f>_xlfn.SINGLE(IF(F1038="","",_xlfn.XLOOKUP(F1038,purchase!D:D,purchase!K:K,"")))</f>
        <v/>
      </c>
      <c r="Q1038" s="29" t="str">
        <f t="shared" si="117"/>
        <v/>
      </c>
      <c r="R1038" s="37" t="str">
        <f t="shared" si="118"/>
        <v/>
      </c>
    </row>
    <row r="1039" spans="1:18" x14ac:dyDescent="0.35">
      <c r="A1039" s="8">
        <v>1035</v>
      </c>
      <c r="B1039" s="9" t="str">
        <f t="shared" si="112"/>
        <v/>
      </c>
      <c r="C1039" s="10"/>
      <c r="D1039" s="9" t="str">
        <f>IF(F1039="","",_xlfn.XLOOKUP(F1039,purchase!D:D,purchase!#REF!,""))</f>
        <v/>
      </c>
      <c r="E1039" s="9" t="str">
        <f>IF(F1039="","",_xlfn.XLOOKUP(F1039,purchase!D:D,purchase!B:B,""))</f>
        <v/>
      </c>
      <c r="F1039" s="2"/>
      <c r="G1039" s="4" t="str">
        <f t="shared" si="113"/>
        <v/>
      </c>
      <c r="H1039" s="4" t="str">
        <f>IF(F1039="","",_xlfn.XLOOKUP(F1039,purchase!D:D,purchase!#REF!,""))</f>
        <v/>
      </c>
      <c r="I1039" s="4" t="str">
        <f t="shared" si="114"/>
        <v/>
      </c>
      <c r="J1039" s="4" t="str">
        <f t="shared" si="115"/>
        <v/>
      </c>
      <c r="K1039" s="13" t="str">
        <f>_xlfn.SINGLE(IF(F1039="","",_xlfn.XLOOKUP(F1039,purchase!D:D,purchase!#REF!,"")))</f>
        <v/>
      </c>
      <c r="L1039" s="2"/>
      <c r="M1039" s="32"/>
      <c r="N1039" s="13" t="str">
        <f>IF(F1039="","",
MAX(0,
_xlfn.XLOOKUP(F1039,purchase!D:D,purchase!#REF!,"")
-
SUMIFS(L:L,F:F,F1039)))</f>
        <v/>
      </c>
      <c r="O1039" s="13" t="str">
        <f t="shared" si="116"/>
        <v/>
      </c>
      <c r="P1039" s="35" t="str">
        <f>_xlfn.SINGLE(IF(F1039="","",_xlfn.XLOOKUP(F1039,purchase!D:D,purchase!K:K,"")))</f>
        <v/>
      </c>
      <c r="Q1039" s="29" t="str">
        <f t="shared" si="117"/>
        <v/>
      </c>
      <c r="R1039" s="37" t="str">
        <f t="shared" si="118"/>
        <v/>
      </c>
    </row>
    <row r="1040" spans="1:18" x14ac:dyDescent="0.35">
      <c r="A1040" s="8">
        <v>1036</v>
      </c>
      <c r="B1040" s="9" t="str">
        <f t="shared" si="112"/>
        <v/>
      </c>
      <c r="C1040" s="10"/>
      <c r="D1040" s="9" t="str">
        <f>IF(F1040="","",_xlfn.XLOOKUP(F1040,purchase!D:D,purchase!#REF!,""))</f>
        <v/>
      </c>
      <c r="E1040" s="9" t="str">
        <f>IF(F1040="","",_xlfn.XLOOKUP(F1040,purchase!D:D,purchase!B:B,""))</f>
        <v/>
      </c>
      <c r="F1040" s="2"/>
      <c r="G1040" s="4" t="str">
        <f t="shared" si="113"/>
        <v/>
      </c>
      <c r="H1040" s="4" t="str">
        <f>IF(F1040="","",_xlfn.XLOOKUP(F1040,purchase!D:D,purchase!#REF!,""))</f>
        <v/>
      </c>
      <c r="I1040" s="4" t="str">
        <f t="shared" si="114"/>
        <v/>
      </c>
      <c r="J1040" s="4" t="str">
        <f t="shared" si="115"/>
        <v/>
      </c>
      <c r="K1040" s="13" t="str">
        <f>_xlfn.SINGLE(IF(F1040="","",_xlfn.XLOOKUP(F1040,purchase!D:D,purchase!#REF!,"")))</f>
        <v/>
      </c>
      <c r="L1040" s="2"/>
      <c r="M1040" s="32"/>
      <c r="N1040" s="13" t="str">
        <f>IF(F1040="","",
MAX(0,
_xlfn.XLOOKUP(F1040,purchase!D:D,purchase!#REF!,"")
-
SUMIFS(L:L,F:F,F1040)))</f>
        <v/>
      </c>
      <c r="O1040" s="13" t="str">
        <f t="shared" si="116"/>
        <v/>
      </c>
      <c r="P1040" s="35" t="str">
        <f>_xlfn.SINGLE(IF(F1040="","",_xlfn.XLOOKUP(F1040,purchase!D:D,purchase!K:K,"")))</f>
        <v/>
      </c>
      <c r="Q1040" s="29" t="str">
        <f t="shared" si="117"/>
        <v/>
      </c>
      <c r="R1040" s="37" t="str">
        <f t="shared" si="118"/>
        <v/>
      </c>
    </row>
    <row r="1041" spans="1:18" x14ac:dyDescent="0.35">
      <c r="A1041" s="8">
        <v>1037</v>
      </c>
      <c r="B1041" s="9" t="str">
        <f t="shared" si="112"/>
        <v/>
      </c>
      <c r="C1041" s="10"/>
      <c r="D1041" s="9" t="str">
        <f>IF(F1041="","",_xlfn.XLOOKUP(F1041,purchase!D:D,purchase!#REF!,""))</f>
        <v/>
      </c>
      <c r="E1041" s="9" t="str">
        <f>IF(F1041="","",_xlfn.XLOOKUP(F1041,purchase!D:D,purchase!B:B,""))</f>
        <v/>
      </c>
      <c r="F1041" s="2"/>
      <c r="G1041" s="4" t="str">
        <f t="shared" si="113"/>
        <v/>
      </c>
      <c r="H1041" s="4" t="str">
        <f>IF(F1041="","",_xlfn.XLOOKUP(F1041,purchase!D:D,purchase!#REF!,""))</f>
        <v/>
      </c>
      <c r="I1041" s="4" t="str">
        <f t="shared" si="114"/>
        <v/>
      </c>
      <c r="J1041" s="4" t="str">
        <f t="shared" si="115"/>
        <v/>
      </c>
      <c r="K1041" s="13" t="str">
        <f>_xlfn.SINGLE(IF(F1041="","",_xlfn.XLOOKUP(F1041,purchase!D:D,purchase!#REF!,"")))</f>
        <v/>
      </c>
      <c r="L1041" s="2"/>
      <c r="M1041" s="32"/>
      <c r="N1041" s="13" t="str">
        <f>IF(F1041="","",
MAX(0,
_xlfn.XLOOKUP(F1041,purchase!D:D,purchase!#REF!,"")
-
SUMIFS(L:L,F:F,F1041)))</f>
        <v/>
      </c>
      <c r="O1041" s="13" t="str">
        <f t="shared" si="116"/>
        <v/>
      </c>
      <c r="P1041" s="35" t="str">
        <f>_xlfn.SINGLE(IF(F1041="","",_xlfn.XLOOKUP(F1041,purchase!D:D,purchase!K:K,"")))</f>
        <v/>
      </c>
      <c r="Q1041" s="29" t="str">
        <f t="shared" si="117"/>
        <v/>
      </c>
      <c r="R1041" s="37" t="str">
        <f t="shared" si="118"/>
        <v/>
      </c>
    </row>
    <row r="1042" spans="1:18" x14ac:dyDescent="0.35">
      <c r="A1042" s="8">
        <v>1038</v>
      </c>
      <c r="B1042" s="9" t="str">
        <f t="shared" si="112"/>
        <v/>
      </c>
      <c r="C1042" s="10"/>
      <c r="D1042" s="9" t="str">
        <f>IF(F1042="","",_xlfn.XLOOKUP(F1042,purchase!D:D,purchase!#REF!,""))</f>
        <v/>
      </c>
      <c r="E1042" s="9" t="str">
        <f>IF(F1042="","",_xlfn.XLOOKUP(F1042,purchase!D:D,purchase!B:B,""))</f>
        <v/>
      </c>
      <c r="F1042" s="2"/>
      <c r="G1042" s="4" t="str">
        <f t="shared" si="113"/>
        <v/>
      </c>
      <c r="H1042" s="4" t="str">
        <f>IF(F1042="","",_xlfn.XLOOKUP(F1042,purchase!D:D,purchase!#REF!,""))</f>
        <v/>
      </c>
      <c r="I1042" s="4" t="str">
        <f t="shared" si="114"/>
        <v/>
      </c>
      <c r="J1042" s="4" t="str">
        <f t="shared" si="115"/>
        <v/>
      </c>
      <c r="K1042" s="13" t="str">
        <f>_xlfn.SINGLE(IF(F1042="","",_xlfn.XLOOKUP(F1042,purchase!D:D,purchase!#REF!,"")))</f>
        <v/>
      </c>
      <c r="L1042" s="2"/>
      <c r="M1042" s="32"/>
      <c r="N1042" s="13" t="str">
        <f>IF(F1042="","",
MAX(0,
_xlfn.XLOOKUP(F1042,purchase!D:D,purchase!#REF!,"")
-
SUMIFS(L:L,F:F,F1042)))</f>
        <v/>
      </c>
      <c r="O1042" s="13" t="str">
        <f t="shared" si="116"/>
        <v/>
      </c>
      <c r="P1042" s="35" t="str">
        <f>_xlfn.SINGLE(IF(F1042="","",_xlfn.XLOOKUP(F1042,purchase!D:D,purchase!K:K,"")))</f>
        <v/>
      </c>
      <c r="Q1042" s="29" t="str">
        <f t="shared" si="117"/>
        <v/>
      </c>
      <c r="R1042" s="37" t="str">
        <f t="shared" si="118"/>
        <v/>
      </c>
    </row>
    <row r="1043" spans="1:18" x14ac:dyDescent="0.35">
      <c r="A1043" s="8">
        <v>1039</v>
      </c>
      <c r="B1043" s="9" t="str">
        <f t="shared" si="112"/>
        <v/>
      </c>
      <c r="C1043" s="10"/>
      <c r="D1043" s="9" t="str">
        <f>IF(F1043="","",_xlfn.XLOOKUP(F1043,purchase!D:D,purchase!#REF!,""))</f>
        <v/>
      </c>
      <c r="E1043" s="9" t="str">
        <f>IF(F1043="","",_xlfn.XLOOKUP(F1043,purchase!D:D,purchase!B:B,""))</f>
        <v/>
      </c>
      <c r="F1043" s="2"/>
      <c r="G1043" s="4" t="str">
        <f t="shared" si="113"/>
        <v/>
      </c>
      <c r="H1043" s="4" t="str">
        <f>IF(F1043="","",_xlfn.XLOOKUP(F1043,purchase!D:D,purchase!#REF!,""))</f>
        <v/>
      </c>
      <c r="I1043" s="4" t="str">
        <f t="shared" si="114"/>
        <v/>
      </c>
      <c r="J1043" s="4" t="str">
        <f t="shared" si="115"/>
        <v/>
      </c>
      <c r="K1043" s="13" t="str">
        <f>_xlfn.SINGLE(IF(F1043="","",_xlfn.XLOOKUP(F1043,purchase!D:D,purchase!#REF!,"")))</f>
        <v/>
      </c>
      <c r="L1043" s="2"/>
      <c r="M1043" s="32"/>
      <c r="N1043" s="13" t="str">
        <f>IF(F1043="","",
MAX(0,
_xlfn.XLOOKUP(F1043,purchase!D:D,purchase!#REF!,"")
-
SUMIFS(L:L,F:F,F1043)))</f>
        <v/>
      </c>
      <c r="O1043" s="13" t="str">
        <f t="shared" si="116"/>
        <v/>
      </c>
      <c r="P1043" s="35" t="str">
        <f>_xlfn.SINGLE(IF(F1043="","",_xlfn.XLOOKUP(F1043,purchase!D:D,purchase!K:K,"")))</f>
        <v/>
      </c>
      <c r="Q1043" s="29" t="str">
        <f t="shared" si="117"/>
        <v/>
      </c>
      <c r="R1043" s="37" t="str">
        <f t="shared" si="118"/>
        <v/>
      </c>
    </row>
    <row r="1044" spans="1:18" x14ac:dyDescent="0.35">
      <c r="A1044" s="8">
        <v>1040</v>
      </c>
      <c r="B1044" s="9" t="str">
        <f t="shared" si="112"/>
        <v/>
      </c>
      <c r="C1044" s="10"/>
      <c r="D1044" s="9" t="str">
        <f>IF(F1044="","",_xlfn.XLOOKUP(F1044,purchase!D:D,purchase!#REF!,""))</f>
        <v/>
      </c>
      <c r="E1044" s="9" t="str">
        <f>IF(F1044="","",_xlfn.XLOOKUP(F1044,purchase!D:D,purchase!B:B,""))</f>
        <v/>
      </c>
      <c r="F1044" s="2"/>
      <c r="G1044" s="4" t="str">
        <f t="shared" si="113"/>
        <v/>
      </c>
      <c r="H1044" s="4" t="str">
        <f>IF(F1044="","",_xlfn.XLOOKUP(F1044,purchase!D:D,purchase!#REF!,""))</f>
        <v/>
      </c>
      <c r="I1044" s="4" t="str">
        <f t="shared" si="114"/>
        <v/>
      </c>
      <c r="J1044" s="4" t="str">
        <f t="shared" si="115"/>
        <v/>
      </c>
      <c r="K1044" s="13" t="str">
        <f>_xlfn.SINGLE(IF(F1044="","",_xlfn.XLOOKUP(F1044,purchase!D:D,purchase!#REF!,"")))</f>
        <v/>
      </c>
      <c r="L1044" s="2"/>
      <c r="M1044" s="32"/>
      <c r="N1044" s="13" t="str">
        <f>IF(F1044="","",
MAX(0,
_xlfn.XLOOKUP(F1044,purchase!D:D,purchase!#REF!,"")
-
SUMIFS(L:L,F:F,F1044)))</f>
        <v/>
      </c>
      <c r="O1044" s="13" t="str">
        <f t="shared" si="116"/>
        <v/>
      </c>
      <c r="P1044" s="35" t="str">
        <f>_xlfn.SINGLE(IF(F1044="","",_xlfn.XLOOKUP(F1044,purchase!D:D,purchase!K:K,"")))</f>
        <v/>
      </c>
      <c r="Q1044" s="29" t="str">
        <f t="shared" si="117"/>
        <v/>
      </c>
      <c r="R1044" s="37" t="str">
        <f t="shared" si="118"/>
        <v/>
      </c>
    </row>
    <row r="1045" spans="1:18" x14ac:dyDescent="0.35">
      <c r="A1045" s="8">
        <v>1041</v>
      </c>
      <c r="B1045" s="9" t="str">
        <f t="shared" si="112"/>
        <v/>
      </c>
      <c r="C1045" s="10"/>
      <c r="D1045" s="9" t="str">
        <f>IF(F1045="","",_xlfn.XLOOKUP(F1045,purchase!D:D,purchase!#REF!,""))</f>
        <v/>
      </c>
      <c r="E1045" s="9" t="str">
        <f>IF(F1045="","",_xlfn.XLOOKUP(F1045,purchase!D:D,purchase!B:B,""))</f>
        <v/>
      </c>
      <c r="F1045" s="2"/>
      <c r="G1045" s="4" t="str">
        <f t="shared" si="113"/>
        <v/>
      </c>
      <c r="H1045" s="4" t="str">
        <f>IF(F1045="","",_xlfn.XLOOKUP(F1045,purchase!D:D,purchase!#REF!,""))</f>
        <v/>
      </c>
      <c r="I1045" s="4" t="str">
        <f t="shared" si="114"/>
        <v/>
      </c>
      <c r="J1045" s="4" t="str">
        <f t="shared" si="115"/>
        <v/>
      </c>
      <c r="K1045" s="13" t="str">
        <f>_xlfn.SINGLE(IF(F1045="","",_xlfn.XLOOKUP(F1045,purchase!D:D,purchase!#REF!,"")))</f>
        <v/>
      </c>
      <c r="L1045" s="2"/>
      <c r="M1045" s="32"/>
      <c r="N1045" s="13" t="str">
        <f>IF(F1045="","",
MAX(0,
_xlfn.XLOOKUP(F1045,purchase!D:D,purchase!#REF!,"")
-
SUMIFS(L:L,F:F,F1045)))</f>
        <v/>
      </c>
      <c r="O1045" s="13" t="str">
        <f t="shared" si="116"/>
        <v/>
      </c>
      <c r="P1045" s="35" t="str">
        <f>_xlfn.SINGLE(IF(F1045="","",_xlfn.XLOOKUP(F1045,purchase!D:D,purchase!K:K,"")))</f>
        <v/>
      </c>
      <c r="Q1045" s="29" t="str">
        <f t="shared" si="117"/>
        <v/>
      </c>
      <c r="R1045" s="37" t="str">
        <f t="shared" si="118"/>
        <v/>
      </c>
    </row>
    <row r="1046" spans="1:18" x14ac:dyDescent="0.35">
      <c r="A1046" s="8">
        <v>1042</v>
      </c>
      <c r="B1046" s="9" t="str">
        <f t="shared" si="112"/>
        <v/>
      </c>
      <c r="C1046" s="10"/>
      <c r="D1046" s="9" t="str">
        <f>IF(F1046="","",_xlfn.XLOOKUP(F1046,purchase!D:D,purchase!#REF!,""))</f>
        <v/>
      </c>
      <c r="E1046" s="9" t="str">
        <f>IF(F1046="","",_xlfn.XLOOKUP(F1046,purchase!D:D,purchase!B:B,""))</f>
        <v/>
      </c>
      <c r="F1046" s="2"/>
      <c r="G1046" s="4" t="str">
        <f t="shared" si="113"/>
        <v/>
      </c>
      <c r="H1046" s="4" t="str">
        <f>IF(F1046="","",_xlfn.XLOOKUP(F1046,purchase!D:D,purchase!#REF!,""))</f>
        <v/>
      </c>
      <c r="I1046" s="4" t="str">
        <f t="shared" si="114"/>
        <v/>
      </c>
      <c r="J1046" s="4" t="str">
        <f t="shared" si="115"/>
        <v/>
      </c>
      <c r="K1046" s="13" t="str">
        <f>_xlfn.SINGLE(IF(F1046="","",_xlfn.XLOOKUP(F1046,purchase!D:D,purchase!#REF!,"")))</f>
        <v/>
      </c>
      <c r="L1046" s="2"/>
      <c r="M1046" s="32"/>
      <c r="N1046" s="13" t="str">
        <f>IF(F1046="","",
MAX(0,
_xlfn.XLOOKUP(F1046,purchase!D:D,purchase!#REF!,"")
-
SUMIFS(L:L,F:F,F1046)))</f>
        <v/>
      </c>
      <c r="O1046" s="13" t="str">
        <f t="shared" si="116"/>
        <v/>
      </c>
      <c r="P1046" s="35" t="str">
        <f>_xlfn.SINGLE(IF(F1046="","",_xlfn.XLOOKUP(F1046,purchase!D:D,purchase!K:K,"")))</f>
        <v/>
      </c>
      <c r="Q1046" s="29" t="str">
        <f t="shared" si="117"/>
        <v/>
      </c>
      <c r="R1046" s="37" t="str">
        <f t="shared" si="118"/>
        <v/>
      </c>
    </row>
    <row r="1047" spans="1:18" x14ac:dyDescent="0.35">
      <c r="A1047" s="8">
        <v>1043</v>
      </c>
      <c r="B1047" s="9" t="str">
        <f t="shared" si="112"/>
        <v/>
      </c>
      <c r="C1047" s="10"/>
      <c r="D1047" s="9" t="str">
        <f>IF(F1047="","",_xlfn.XLOOKUP(F1047,purchase!D:D,purchase!#REF!,""))</f>
        <v/>
      </c>
      <c r="E1047" s="9" t="str">
        <f>IF(F1047="","",_xlfn.XLOOKUP(F1047,purchase!D:D,purchase!B:B,""))</f>
        <v/>
      </c>
      <c r="F1047" s="2"/>
      <c r="G1047" s="4" t="str">
        <f t="shared" si="113"/>
        <v/>
      </c>
      <c r="H1047" s="4" t="str">
        <f>IF(F1047="","",_xlfn.XLOOKUP(F1047,purchase!D:D,purchase!#REF!,""))</f>
        <v/>
      </c>
      <c r="I1047" s="4" t="str">
        <f t="shared" si="114"/>
        <v/>
      </c>
      <c r="J1047" s="4" t="str">
        <f t="shared" si="115"/>
        <v/>
      </c>
      <c r="K1047" s="13" t="str">
        <f>_xlfn.SINGLE(IF(F1047="","",_xlfn.XLOOKUP(F1047,purchase!D:D,purchase!#REF!,"")))</f>
        <v/>
      </c>
      <c r="L1047" s="2"/>
      <c r="M1047" s="32"/>
      <c r="N1047" s="13" t="str">
        <f>IF(F1047="","",
MAX(0,
_xlfn.XLOOKUP(F1047,purchase!D:D,purchase!#REF!,"")
-
SUMIFS(L:L,F:F,F1047)))</f>
        <v/>
      </c>
      <c r="O1047" s="13" t="str">
        <f t="shared" si="116"/>
        <v/>
      </c>
      <c r="P1047" s="35" t="str">
        <f>_xlfn.SINGLE(IF(F1047="","",_xlfn.XLOOKUP(F1047,purchase!D:D,purchase!K:K,"")))</f>
        <v/>
      </c>
      <c r="Q1047" s="29" t="str">
        <f t="shared" si="117"/>
        <v/>
      </c>
      <c r="R1047" s="37" t="str">
        <f t="shared" si="118"/>
        <v/>
      </c>
    </row>
    <row r="1048" spans="1:18" x14ac:dyDescent="0.35">
      <c r="A1048" s="8">
        <v>1044</v>
      </c>
      <c r="B1048" s="9" t="str">
        <f t="shared" si="112"/>
        <v/>
      </c>
      <c r="C1048" s="10"/>
      <c r="D1048" s="9" t="str">
        <f>IF(F1048="","",_xlfn.XLOOKUP(F1048,purchase!D:D,purchase!#REF!,""))</f>
        <v/>
      </c>
      <c r="E1048" s="9" t="str">
        <f>IF(F1048="","",_xlfn.XLOOKUP(F1048,purchase!D:D,purchase!B:B,""))</f>
        <v/>
      </c>
      <c r="F1048" s="2"/>
      <c r="G1048" s="4" t="str">
        <f t="shared" si="113"/>
        <v/>
      </c>
      <c r="H1048" s="4" t="str">
        <f>IF(F1048="","",_xlfn.XLOOKUP(F1048,purchase!D:D,purchase!#REF!,""))</f>
        <v/>
      </c>
      <c r="I1048" s="4" t="str">
        <f t="shared" si="114"/>
        <v/>
      </c>
      <c r="J1048" s="4" t="str">
        <f t="shared" si="115"/>
        <v/>
      </c>
      <c r="K1048" s="13" t="str">
        <f>_xlfn.SINGLE(IF(F1048="","",_xlfn.XLOOKUP(F1048,purchase!D:D,purchase!#REF!,"")))</f>
        <v/>
      </c>
      <c r="L1048" s="2"/>
      <c r="M1048" s="32"/>
      <c r="N1048" s="13" t="str">
        <f>IF(F1048="","",
MAX(0,
_xlfn.XLOOKUP(F1048,purchase!D:D,purchase!#REF!,"")
-
SUMIFS(L:L,F:F,F1048)))</f>
        <v/>
      </c>
      <c r="O1048" s="13" t="str">
        <f t="shared" si="116"/>
        <v/>
      </c>
      <c r="P1048" s="35" t="str">
        <f>_xlfn.SINGLE(IF(F1048="","",_xlfn.XLOOKUP(F1048,purchase!D:D,purchase!K:K,"")))</f>
        <v/>
      </c>
      <c r="Q1048" s="29" t="str">
        <f t="shared" si="117"/>
        <v/>
      </c>
      <c r="R1048" s="37" t="str">
        <f t="shared" si="118"/>
        <v/>
      </c>
    </row>
    <row r="1049" spans="1:18" x14ac:dyDescent="0.35">
      <c r="A1049" s="8">
        <v>1045</v>
      </c>
      <c r="B1049" s="9" t="str">
        <f t="shared" si="112"/>
        <v/>
      </c>
      <c r="C1049" s="10"/>
      <c r="D1049" s="9" t="str">
        <f>IF(F1049="","",_xlfn.XLOOKUP(F1049,purchase!D:D,purchase!#REF!,""))</f>
        <v/>
      </c>
      <c r="E1049" s="9" t="str">
        <f>IF(F1049="","",_xlfn.XLOOKUP(F1049,purchase!D:D,purchase!B:B,""))</f>
        <v/>
      </c>
      <c r="F1049" s="2"/>
      <c r="G1049" s="4" t="str">
        <f t="shared" si="113"/>
        <v/>
      </c>
      <c r="H1049" s="4" t="str">
        <f>IF(F1049="","",_xlfn.XLOOKUP(F1049,purchase!D:D,purchase!#REF!,""))</f>
        <v/>
      </c>
      <c r="I1049" s="4" t="str">
        <f t="shared" si="114"/>
        <v/>
      </c>
      <c r="J1049" s="4" t="str">
        <f t="shared" si="115"/>
        <v/>
      </c>
      <c r="K1049" s="13" t="str">
        <f>_xlfn.SINGLE(IF(F1049="","",_xlfn.XLOOKUP(F1049,purchase!D:D,purchase!#REF!,"")))</f>
        <v/>
      </c>
      <c r="L1049" s="2"/>
      <c r="M1049" s="32"/>
      <c r="N1049" s="13" t="str">
        <f>IF(F1049="","",
MAX(0,
_xlfn.XLOOKUP(F1049,purchase!D:D,purchase!#REF!,"")
-
SUMIFS(L:L,F:F,F1049)))</f>
        <v/>
      </c>
      <c r="O1049" s="13" t="str">
        <f t="shared" si="116"/>
        <v/>
      </c>
      <c r="P1049" s="35" t="str">
        <f>_xlfn.SINGLE(IF(F1049="","",_xlfn.XLOOKUP(F1049,purchase!D:D,purchase!K:K,"")))</f>
        <v/>
      </c>
      <c r="Q1049" s="29" t="str">
        <f t="shared" si="117"/>
        <v/>
      </c>
      <c r="R1049" s="37" t="str">
        <f t="shared" si="118"/>
        <v/>
      </c>
    </row>
    <row r="1050" spans="1:18" x14ac:dyDescent="0.35">
      <c r="A1050" s="8">
        <v>1046</v>
      </c>
      <c r="B1050" s="9" t="str">
        <f t="shared" si="112"/>
        <v/>
      </c>
      <c r="C1050" s="10"/>
      <c r="D1050" s="9" t="str">
        <f>IF(F1050="","",_xlfn.XLOOKUP(F1050,purchase!D:D,purchase!#REF!,""))</f>
        <v/>
      </c>
      <c r="E1050" s="9" t="str">
        <f>IF(F1050="","",_xlfn.XLOOKUP(F1050,purchase!D:D,purchase!B:B,""))</f>
        <v/>
      </c>
      <c r="F1050" s="2"/>
      <c r="G1050" s="4" t="str">
        <f t="shared" si="113"/>
        <v/>
      </c>
      <c r="H1050" s="4" t="str">
        <f>IF(F1050="","",_xlfn.XLOOKUP(F1050,purchase!D:D,purchase!#REF!,""))</f>
        <v/>
      </c>
      <c r="I1050" s="4" t="str">
        <f t="shared" si="114"/>
        <v/>
      </c>
      <c r="J1050" s="4" t="str">
        <f t="shared" si="115"/>
        <v/>
      </c>
      <c r="K1050" s="13" t="str">
        <f>_xlfn.SINGLE(IF(F1050="","",_xlfn.XLOOKUP(F1050,purchase!D:D,purchase!#REF!,"")))</f>
        <v/>
      </c>
      <c r="L1050" s="2"/>
      <c r="M1050" s="32"/>
      <c r="N1050" s="13" t="str">
        <f>IF(F1050="","",
MAX(0,
_xlfn.XLOOKUP(F1050,purchase!D:D,purchase!#REF!,"")
-
SUMIFS(L:L,F:F,F1050)))</f>
        <v/>
      </c>
      <c r="O1050" s="13" t="str">
        <f t="shared" si="116"/>
        <v/>
      </c>
      <c r="P1050" s="35" t="str">
        <f>_xlfn.SINGLE(IF(F1050="","",_xlfn.XLOOKUP(F1050,purchase!D:D,purchase!K:K,"")))</f>
        <v/>
      </c>
      <c r="Q1050" s="29" t="str">
        <f t="shared" si="117"/>
        <v/>
      </c>
      <c r="R1050" s="37" t="str">
        <f t="shared" si="118"/>
        <v/>
      </c>
    </row>
    <row r="1051" spans="1:18" x14ac:dyDescent="0.35">
      <c r="A1051" s="8">
        <v>1047</v>
      </c>
      <c r="B1051" s="9" t="str">
        <f t="shared" si="112"/>
        <v/>
      </c>
      <c r="C1051" s="10"/>
      <c r="D1051" s="9" t="str">
        <f>IF(F1051="","",_xlfn.XLOOKUP(F1051,purchase!D:D,purchase!#REF!,""))</f>
        <v/>
      </c>
      <c r="E1051" s="9" t="str">
        <f>IF(F1051="","",_xlfn.XLOOKUP(F1051,purchase!D:D,purchase!B:B,""))</f>
        <v/>
      </c>
      <c r="F1051" s="2"/>
      <c r="G1051" s="4" t="str">
        <f t="shared" si="113"/>
        <v/>
      </c>
      <c r="H1051" s="4" t="str">
        <f>IF(F1051="","",_xlfn.XLOOKUP(F1051,purchase!D:D,purchase!#REF!,""))</f>
        <v/>
      </c>
      <c r="I1051" s="4" t="str">
        <f t="shared" si="114"/>
        <v/>
      </c>
      <c r="J1051" s="4" t="str">
        <f t="shared" si="115"/>
        <v/>
      </c>
      <c r="K1051" s="13" t="str">
        <f>_xlfn.SINGLE(IF(F1051="","",_xlfn.XLOOKUP(F1051,purchase!D:D,purchase!#REF!,"")))</f>
        <v/>
      </c>
      <c r="L1051" s="2"/>
      <c r="M1051" s="32"/>
      <c r="N1051" s="13" t="str">
        <f>IF(F1051="","",
MAX(0,
_xlfn.XLOOKUP(F1051,purchase!D:D,purchase!#REF!,"")
-
SUMIFS(L:L,F:F,F1051)))</f>
        <v/>
      </c>
      <c r="O1051" s="13" t="str">
        <f t="shared" si="116"/>
        <v/>
      </c>
      <c r="P1051" s="35" t="str">
        <f>_xlfn.SINGLE(IF(F1051="","",_xlfn.XLOOKUP(F1051,purchase!D:D,purchase!K:K,"")))</f>
        <v/>
      </c>
      <c r="Q1051" s="29" t="str">
        <f t="shared" si="117"/>
        <v/>
      </c>
      <c r="R1051" s="37" t="str">
        <f t="shared" si="118"/>
        <v/>
      </c>
    </row>
    <row r="1052" spans="1:18" x14ac:dyDescent="0.35">
      <c r="A1052" s="8">
        <v>1048</v>
      </c>
      <c r="B1052" s="9" t="str">
        <f t="shared" si="112"/>
        <v/>
      </c>
      <c r="C1052" s="10"/>
      <c r="D1052" s="9" t="str">
        <f>IF(F1052="","",_xlfn.XLOOKUP(F1052,purchase!D:D,purchase!#REF!,""))</f>
        <v/>
      </c>
      <c r="E1052" s="9" t="str">
        <f>IF(F1052="","",_xlfn.XLOOKUP(F1052,purchase!D:D,purchase!B:B,""))</f>
        <v/>
      </c>
      <c r="F1052" s="2"/>
      <c r="G1052" s="4" t="str">
        <f t="shared" si="113"/>
        <v/>
      </c>
      <c r="H1052" s="4" t="str">
        <f>IF(F1052="","",_xlfn.XLOOKUP(F1052,purchase!D:D,purchase!#REF!,""))</f>
        <v/>
      </c>
      <c r="I1052" s="4" t="str">
        <f t="shared" si="114"/>
        <v/>
      </c>
      <c r="J1052" s="4" t="str">
        <f t="shared" si="115"/>
        <v/>
      </c>
      <c r="K1052" s="13" t="str">
        <f>_xlfn.SINGLE(IF(F1052="","",_xlfn.XLOOKUP(F1052,purchase!D:D,purchase!#REF!,"")))</f>
        <v/>
      </c>
      <c r="L1052" s="2"/>
      <c r="M1052" s="32"/>
      <c r="N1052" s="13" t="str">
        <f>IF(F1052="","",
MAX(0,
_xlfn.XLOOKUP(F1052,purchase!D:D,purchase!#REF!,"")
-
SUMIFS(L:L,F:F,F1052)))</f>
        <v/>
      </c>
      <c r="O1052" s="13" t="str">
        <f t="shared" si="116"/>
        <v/>
      </c>
      <c r="P1052" s="35" t="str">
        <f>_xlfn.SINGLE(IF(F1052="","",_xlfn.XLOOKUP(F1052,purchase!D:D,purchase!K:K,"")))</f>
        <v/>
      </c>
      <c r="Q1052" s="29" t="str">
        <f t="shared" si="117"/>
        <v/>
      </c>
      <c r="R1052" s="37" t="str">
        <f t="shared" si="118"/>
        <v/>
      </c>
    </row>
    <row r="1053" spans="1:18" x14ac:dyDescent="0.35">
      <c r="A1053" s="8">
        <v>1049</v>
      </c>
      <c r="B1053" s="9" t="str">
        <f t="shared" si="112"/>
        <v/>
      </c>
      <c r="C1053" s="10"/>
      <c r="D1053" s="9" t="str">
        <f>IF(F1053="","",_xlfn.XLOOKUP(F1053,purchase!D:D,purchase!#REF!,""))</f>
        <v/>
      </c>
      <c r="E1053" s="9" t="str">
        <f>IF(F1053="","",_xlfn.XLOOKUP(F1053,purchase!D:D,purchase!B:B,""))</f>
        <v/>
      </c>
      <c r="F1053" s="2"/>
      <c r="G1053" s="4" t="str">
        <f t="shared" si="113"/>
        <v/>
      </c>
      <c r="H1053" s="4" t="str">
        <f>IF(F1053="","",_xlfn.XLOOKUP(F1053,purchase!D:D,purchase!#REF!,""))</f>
        <v/>
      </c>
      <c r="I1053" s="4" t="str">
        <f t="shared" si="114"/>
        <v/>
      </c>
      <c r="J1053" s="4" t="str">
        <f t="shared" si="115"/>
        <v/>
      </c>
      <c r="K1053" s="13" t="str">
        <f>_xlfn.SINGLE(IF(F1053="","",_xlfn.XLOOKUP(F1053,purchase!D:D,purchase!#REF!,"")))</f>
        <v/>
      </c>
      <c r="L1053" s="2"/>
      <c r="M1053" s="32"/>
      <c r="N1053" s="13" t="str">
        <f>IF(F1053="","",
MAX(0,
_xlfn.XLOOKUP(F1053,purchase!D:D,purchase!#REF!,"")
-
SUMIFS(L:L,F:F,F1053)))</f>
        <v/>
      </c>
      <c r="O1053" s="13" t="str">
        <f t="shared" si="116"/>
        <v/>
      </c>
      <c r="P1053" s="35" t="str">
        <f>_xlfn.SINGLE(IF(F1053="","",_xlfn.XLOOKUP(F1053,purchase!D:D,purchase!K:K,"")))</f>
        <v/>
      </c>
      <c r="Q1053" s="29" t="str">
        <f t="shared" si="117"/>
        <v/>
      </c>
      <c r="R1053" s="37" t="str">
        <f t="shared" si="118"/>
        <v/>
      </c>
    </row>
    <row r="1054" spans="1:18" x14ac:dyDescent="0.35">
      <c r="A1054" s="8">
        <v>1050</v>
      </c>
      <c r="B1054" s="9" t="str">
        <f t="shared" si="112"/>
        <v/>
      </c>
      <c r="C1054" s="10"/>
      <c r="D1054" s="9" t="str">
        <f>IF(F1054="","",_xlfn.XLOOKUP(F1054,purchase!D:D,purchase!#REF!,""))</f>
        <v/>
      </c>
      <c r="E1054" s="9" t="str">
        <f>IF(F1054="","",_xlfn.XLOOKUP(F1054,purchase!D:D,purchase!B:B,""))</f>
        <v/>
      </c>
      <c r="F1054" s="2"/>
      <c r="G1054" s="4" t="str">
        <f t="shared" si="113"/>
        <v/>
      </c>
      <c r="H1054" s="4" t="str">
        <f>IF(F1054="","",_xlfn.XLOOKUP(F1054,purchase!D:D,purchase!#REF!,""))</f>
        <v/>
      </c>
      <c r="I1054" s="4" t="str">
        <f t="shared" si="114"/>
        <v/>
      </c>
      <c r="J1054" s="4" t="str">
        <f t="shared" si="115"/>
        <v/>
      </c>
      <c r="K1054" s="13" t="str">
        <f>_xlfn.SINGLE(IF(F1054="","",_xlfn.XLOOKUP(F1054,purchase!D:D,purchase!#REF!,"")))</f>
        <v/>
      </c>
      <c r="L1054" s="2"/>
      <c r="M1054" s="32"/>
      <c r="N1054" s="13" t="str">
        <f>IF(F1054="","",
MAX(0,
_xlfn.XLOOKUP(F1054,purchase!D:D,purchase!#REF!,"")
-
SUMIFS(L:L,F:F,F1054)))</f>
        <v/>
      </c>
      <c r="O1054" s="13" t="str">
        <f t="shared" si="116"/>
        <v/>
      </c>
      <c r="P1054" s="35" t="str">
        <f>_xlfn.SINGLE(IF(F1054="","",_xlfn.XLOOKUP(F1054,purchase!D:D,purchase!K:K,"")))</f>
        <v/>
      </c>
      <c r="Q1054" s="29" t="str">
        <f t="shared" si="117"/>
        <v/>
      </c>
      <c r="R1054" s="37" t="str">
        <f t="shared" si="118"/>
        <v/>
      </c>
    </row>
    <row r="1055" spans="1:18" x14ac:dyDescent="0.35">
      <c r="A1055" s="8">
        <v>1051</v>
      </c>
      <c r="B1055" s="9" t="str">
        <f t="shared" si="112"/>
        <v/>
      </c>
      <c r="C1055" s="10"/>
      <c r="D1055" s="9" t="str">
        <f>IF(F1055="","",_xlfn.XLOOKUP(F1055,purchase!D:D,purchase!#REF!,""))</f>
        <v/>
      </c>
      <c r="E1055" s="9" t="str">
        <f>IF(F1055="","",_xlfn.XLOOKUP(F1055,purchase!D:D,purchase!B:B,""))</f>
        <v/>
      </c>
      <c r="F1055" s="2"/>
      <c r="G1055" s="4" t="str">
        <f t="shared" si="113"/>
        <v/>
      </c>
      <c r="H1055" s="4" t="str">
        <f>IF(F1055="","",_xlfn.XLOOKUP(F1055,purchase!D:D,purchase!#REF!,""))</f>
        <v/>
      </c>
      <c r="I1055" s="4" t="str">
        <f t="shared" si="114"/>
        <v/>
      </c>
      <c r="J1055" s="4" t="str">
        <f t="shared" si="115"/>
        <v/>
      </c>
      <c r="K1055" s="13" t="str">
        <f>_xlfn.SINGLE(IF(F1055="","",_xlfn.XLOOKUP(F1055,purchase!D:D,purchase!#REF!,"")))</f>
        <v/>
      </c>
      <c r="L1055" s="2"/>
      <c r="M1055" s="32"/>
      <c r="N1055" s="13" t="str">
        <f>IF(F1055="","",
MAX(0,
_xlfn.XLOOKUP(F1055,purchase!D:D,purchase!#REF!,"")
-
SUMIFS(L:L,F:F,F1055)))</f>
        <v/>
      </c>
      <c r="O1055" s="13" t="str">
        <f t="shared" si="116"/>
        <v/>
      </c>
      <c r="P1055" s="35" t="str">
        <f>_xlfn.SINGLE(IF(F1055="","",_xlfn.XLOOKUP(F1055,purchase!D:D,purchase!K:K,"")))</f>
        <v/>
      </c>
      <c r="Q1055" s="29" t="str">
        <f t="shared" si="117"/>
        <v/>
      </c>
      <c r="R1055" s="37" t="str">
        <f t="shared" si="118"/>
        <v/>
      </c>
    </row>
    <row r="1056" spans="1:18" x14ac:dyDescent="0.35">
      <c r="A1056" s="8">
        <v>1052</v>
      </c>
      <c r="B1056" s="9" t="str">
        <f t="shared" si="112"/>
        <v/>
      </c>
      <c r="C1056" s="10"/>
      <c r="D1056" s="9" t="str">
        <f>IF(F1056="","",_xlfn.XLOOKUP(F1056,purchase!D:D,purchase!#REF!,""))</f>
        <v/>
      </c>
      <c r="E1056" s="9" t="str">
        <f>IF(F1056="","",_xlfn.XLOOKUP(F1056,purchase!D:D,purchase!B:B,""))</f>
        <v/>
      </c>
      <c r="F1056" s="2"/>
      <c r="G1056" s="4" t="str">
        <f t="shared" si="113"/>
        <v/>
      </c>
      <c r="H1056" s="4" t="str">
        <f>IF(F1056="","",_xlfn.XLOOKUP(F1056,purchase!D:D,purchase!#REF!,""))</f>
        <v/>
      </c>
      <c r="I1056" s="4" t="str">
        <f t="shared" si="114"/>
        <v/>
      </c>
      <c r="J1056" s="4" t="str">
        <f t="shared" si="115"/>
        <v/>
      </c>
      <c r="K1056" s="13" t="str">
        <f>_xlfn.SINGLE(IF(F1056="","",_xlfn.XLOOKUP(F1056,purchase!D:D,purchase!#REF!,"")))</f>
        <v/>
      </c>
      <c r="L1056" s="2"/>
      <c r="M1056" s="32"/>
      <c r="N1056" s="13" t="str">
        <f>IF(F1056="","",
MAX(0,
_xlfn.XLOOKUP(F1056,purchase!D:D,purchase!#REF!,"")
-
SUMIFS(L:L,F:F,F1056)))</f>
        <v/>
      </c>
      <c r="O1056" s="13" t="str">
        <f t="shared" si="116"/>
        <v/>
      </c>
      <c r="P1056" s="35" t="str">
        <f>_xlfn.SINGLE(IF(F1056="","",_xlfn.XLOOKUP(F1056,purchase!D:D,purchase!K:K,"")))</f>
        <v/>
      </c>
      <c r="Q1056" s="29" t="str">
        <f t="shared" si="117"/>
        <v/>
      </c>
      <c r="R1056" s="37" t="str">
        <f t="shared" si="118"/>
        <v/>
      </c>
    </row>
    <row r="1057" spans="1:18" x14ac:dyDescent="0.35">
      <c r="A1057" s="8">
        <v>1053</v>
      </c>
      <c r="B1057" s="9" t="str">
        <f t="shared" si="112"/>
        <v/>
      </c>
      <c r="C1057" s="10"/>
      <c r="D1057" s="9" t="str">
        <f>IF(F1057="","",_xlfn.XLOOKUP(F1057,purchase!D:D,purchase!#REF!,""))</f>
        <v/>
      </c>
      <c r="E1057" s="9" t="str">
        <f>IF(F1057="","",_xlfn.XLOOKUP(F1057,purchase!D:D,purchase!B:B,""))</f>
        <v/>
      </c>
      <c r="F1057" s="2"/>
      <c r="G1057" s="4" t="str">
        <f t="shared" si="113"/>
        <v/>
      </c>
      <c r="H1057" s="4" t="str">
        <f>IF(F1057="","",_xlfn.XLOOKUP(F1057,purchase!D:D,purchase!#REF!,""))</f>
        <v/>
      </c>
      <c r="I1057" s="4" t="str">
        <f t="shared" si="114"/>
        <v/>
      </c>
      <c r="J1057" s="4" t="str">
        <f t="shared" si="115"/>
        <v/>
      </c>
      <c r="K1057" s="13" t="str">
        <f>_xlfn.SINGLE(IF(F1057="","",_xlfn.XLOOKUP(F1057,purchase!D:D,purchase!#REF!,"")))</f>
        <v/>
      </c>
      <c r="L1057" s="2"/>
      <c r="M1057" s="32"/>
      <c r="N1057" s="13" t="str">
        <f>IF(F1057="","",
MAX(0,
_xlfn.XLOOKUP(F1057,purchase!D:D,purchase!#REF!,"")
-
SUMIFS(L:L,F:F,F1057)))</f>
        <v/>
      </c>
      <c r="O1057" s="13" t="str">
        <f t="shared" si="116"/>
        <v/>
      </c>
      <c r="P1057" s="35" t="str">
        <f>_xlfn.SINGLE(IF(F1057="","",_xlfn.XLOOKUP(F1057,purchase!D:D,purchase!K:K,"")))</f>
        <v/>
      </c>
      <c r="Q1057" s="29" t="str">
        <f t="shared" si="117"/>
        <v/>
      </c>
      <c r="R1057" s="37" t="str">
        <f t="shared" si="118"/>
        <v/>
      </c>
    </row>
    <row r="1058" spans="1:18" x14ac:dyDescent="0.35">
      <c r="A1058" s="8">
        <v>1054</v>
      </c>
      <c r="B1058" s="9" t="str">
        <f t="shared" si="112"/>
        <v/>
      </c>
      <c r="C1058" s="10"/>
      <c r="D1058" s="9" t="str">
        <f>IF(F1058="","",_xlfn.XLOOKUP(F1058,purchase!D:D,purchase!#REF!,""))</f>
        <v/>
      </c>
      <c r="E1058" s="9" t="str">
        <f>IF(F1058="","",_xlfn.XLOOKUP(F1058,purchase!D:D,purchase!B:B,""))</f>
        <v/>
      </c>
      <c r="F1058" s="2"/>
      <c r="G1058" s="4" t="str">
        <f t="shared" si="113"/>
        <v/>
      </c>
      <c r="H1058" s="4" t="str">
        <f>IF(F1058="","",_xlfn.XLOOKUP(F1058,purchase!D:D,purchase!#REF!,""))</f>
        <v/>
      </c>
      <c r="I1058" s="4" t="str">
        <f t="shared" si="114"/>
        <v/>
      </c>
      <c r="J1058" s="4" t="str">
        <f t="shared" si="115"/>
        <v/>
      </c>
      <c r="K1058" s="13" t="str">
        <f>_xlfn.SINGLE(IF(F1058="","",_xlfn.XLOOKUP(F1058,purchase!D:D,purchase!#REF!,"")))</f>
        <v/>
      </c>
      <c r="L1058" s="2"/>
      <c r="M1058" s="32"/>
      <c r="N1058" s="13" t="str">
        <f>IF(F1058="","",
MAX(0,
_xlfn.XLOOKUP(F1058,purchase!D:D,purchase!#REF!,"")
-
SUMIFS(L:L,F:F,F1058)))</f>
        <v/>
      </c>
      <c r="O1058" s="13" t="str">
        <f t="shared" si="116"/>
        <v/>
      </c>
      <c r="P1058" s="35" t="str">
        <f>_xlfn.SINGLE(IF(F1058="","",_xlfn.XLOOKUP(F1058,purchase!D:D,purchase!K:K,"")))</f>
        <v/>
      </c>
      <c r="Q1058" s="29" t="str">
        <f t="shared" si="117"/>
        <v/>
      </c>
      <c r="R1058" s="37" t="str">
        <f t="shared" si="118"/>
        <v/>
      </c>
    </row>
    <row r="1059" spans="1:18" x14ac:dyDescent="0.35">
      <c r="A1059" s="8">
        <v>1055</v>
      </c>
      <c r="B1059" s="9" t="str">
        <f t="shared" si="112"/>
        <v/>
      </c>
      <c r="C1059" s="10"/>
      <c r="D1059" s="9" t="str">
        <f>IF(F1059="","",_xlfn.XLOOKUP(F1059,purchase!D:D,purchase!#REF!,""))</f>
        <v/>
      </c>
      <c r="E1059" s="9" t="str">
        <f>IF(F1059="","",_xlfn.XLOOKUP(F1059,purchase!D:D,purchase!B:B,""))</f>
        <v/>
      </c>
      <c r="F1059" s="2"/>
      <c r="G1059" s="4" t="str">
        <f t="shared" si="113"/>
        <v/>
      </c>
      <c r="H1059" s="4" t="str">
        <f>IF(F1059="","",_xlfn.XLOOKUP(F1059,purchase!D:D,purchase!#REF!,""))</f>
        <v/>
      </c>
      <c r="I1059" s="4" t="str">
        <f t="shared" si="114"/>
        <v/>
      </c>
      <c r="J1059" s="4" t="str">
        <f t="shared" si="115"/>
        <v/>
      </c>
      <c r="K1059" s="13" t="str">
        <f>_xlfn.SINGLE(IF(F1059="","",_xlfn.XLOOKUP(F1059,purchase!D:D,purchase!#REF!,"")))</f>
        <v/>
      </c>
      <c r="L1059" s="2"/>
      <c r="M1059" s="32"/>
      <c r="N1059" s="13" t="str">
        <f>IF(F1059="","",
MAX(0,
_xlfn.XLOOKUP(F1059,purchase!D:D,purchase!#REF!,"")
-
SUMIFS(L:L,F:F,F1059)))</f>
        <v/>
      </c>
      <c r="O1059" s="13" t="str">
        <f t="shared" si="116"/>
        <v/>
      </c>
      <c r="P1059" s="35" t="str">
        <f>_xlfn.SINGLE(IF(F1059="","",_xlfn.XLOOKUP(F1059,purchase!D:D,purchase!K:K,"")))</f>
        <v/>
      </c>
      <c r="Q1059" s="29" t="str">
        <f t="shared" si="117"/>
        <v/>
      </c>
      <c r="R1059" s="37" t="str">
        <f t="shared" si="118"/>
        <v/>
      </c>
    </row>
    <row r="1060" spans="1:18" x14ac:dyDescent="0.35">
      <c r="A1060" s="8">
        <v>1056</v>
      </c>
      <c r="B1060" s="9" t="str">
        <f t="shared" si="112"/>
        <v/>
      </c>
      <c r="C1060" s="10"/>
      <c r="D1060" s="9" t="str">
        <f>IF(F1060="","",_xlfn.XLOOKUP(F1060,purchase!D:D,purchase!#REF!,""))</f>
        <v/>
      </c>
      <c r="E1060" s="9" t="str">
        <f>IF(F1060="","",_xlfn.XLOOKUP(F1060,purchase!D:D,purchase!B:B,""))</f>
        <v/>
      </c>
      <c r="F1060" s="2"/>
      <c r="G1060" s="4" t="str">
        <f t="shared" si="113"/>
        <v/>
      </c>
      <c r="H1060" s="4" t="str">
        <f>IF(F1060="","",_xlfn.XLOOKUP(F1060,purchase!D:D,purchase!#REF!,""))</f>
        <v/>
      </c>
      <c r="I1060" s="4" t="str">
        <f t="shared" si="114"/>
        <v/>
      </c>
      <c r="J1060" s="4" t="str">
        <f t="shared" si="115"/>
        <v/>
      </c>
      <c r="K1060" s="13" t="str">
        <f>_xlfn.SINGLE(IF(F1060="","",_xlfn.XLOOKUP(F1060,purchase!D:D,purchase!#REF!,"")))</f>
        <v/>
      </c>
      <c r="L1060" s="2"/>
      <c r="M1060" s="32"/>
      <c r="N1060" s="13" t="str">
        <f>IF(F1060="","",
MAX(0,
_xlfn.XLOOKUP(F1060,purchase!D:D,purchase!#REF!,"")
-
SUMIFS(L:L,F:F,F1060)))</f>
        <v/>
      </c>
      <c r="O1060" s="13" t="str">
        <f t="shared" si="116"/>
        <v/>
      </c>
      <c r="P1060" s="35" t="str">
        <f>_xlfn.SINGLE(IF(F1060="","",_xlfn.XLOOKUP(F1060,purchase!D:D,purchase!K:K,"")))</f>
        <v/>
      </c>
      <c r="Q1060" s="29" t="str">
        <f t="shared" si="117"/>
        <v/>
      </c>
      <c r="R1060" s="37" t="str">
        <f t="shared" si="118"/>
        <v/>
      </c>
    </row>
    <row r="1061" spans="1:18" x14ac:dyDescent="0.35">
      <c r="A1061" s="8">
        <v>1057</v>
      </c>
      <c r="B1061" s="9" t="str">
        <f t="shared" si="112"/>
        <v/>
      </c>
      <c r="C1061" s="10"/>
      <c r="D1061" s="9" t="str">
        <f>IF(F1061="","",_xlfn.XLOOKUP(F1061,purchase!D:D,purchase!#REF!,""))</f>
        <v/>
      </c>
      <c r="E1061" s="9" t="str">
        <f>IF(F1061="","",_xlfn.XLOOKUP(F1061,purchase!D:D,purchase!B:B,""))</f>
        <v/>
      </c>
      <c r="F1061" s="2"/>
      <c r="G1061" s="4" t="str">
        <f t="shared" si="113"/>
        <v/>
      </c>
      <c r="H1061" s="4" t="str">
        <f>IF(F1061="","",_xlfn.XLOOKUP(F1061,purchase!D:D,purchase!#REF!,""))</f>
        <v/>
      </c>
      <c r="I1061" s="4" t="str">
        <f t="shared" si="114"/>
        <v/>
      </c>
      <c r="J1061" s="4" t="str">
        <f t="shared" si="115"/>
        <v/>
      </c>
      <c r="K1061" s="13" t="str">
        <f>_xlfn.SINGLE(IF(F1061="","",_xlfn.XLOOKUP(F1061,purchase!D:D,purchase!#REF!,"")))</f>
        <v/>
      </c>
      <c r="L1061" s="2"/>
      <c r="M1061" s="32"/>
      <c r="N1061" s="13" t="str">
        <f>IF(F1061="","",
MAX(0,
_xlfn.XLOOKUP(F1061,purchase!D:D,purchase!#REF!,"")
-
SUMIFS(L:L,F:F,F1061)))</f>
        <v/>
      </c>
      <c r="O1061" s="13" t="str">
        <f t="shared" si="116"/>
        <v/>
      </c>
      <c r="P1061" s="35" t="str">
        <f>_xlfn.SINGLE(IF(F1061="","",_xlfn.XLOOKUP(F1061,purchase!D:D,purchase!K:K,"")))</f>
        <v/>
      </c>
      <c r="Q1061" s="29" t="str">
        <f t="shared" si="117"/>
        <v/>
      </c>
      <c r="R1061" s="37" t="str">
        <f t="shared" si="118"/>
        <v/>
      </c>
    </row>
    <row r="1062" spans="1:18" x14ac:dyDescent="0.35">
      <c r="A1062" s="8">
        <v>1058</v>
      </c>
      <c r="B1062" s="9" t="str">
        <f t="shared" si="112"/>
        <v/>
      </c>
      <c r="C1062" s="10"/>
      <c r="D1062" s="9" t="str">
        <f>IF(F1062="","",_xlfn.XLOOKUP(F1062,purchase!D:D,purchase!#REF!,""))</f>
        <v/>
      </c>
      <c r="E1062" s="9" t="str">
        <f>IF(F1062="","",_xlfn.XLOOKUP(F1062,purchase!D:D,purchase!B:B,""))</f>
        <v/>
      </c>
      <c r="F1062" s="2"/>
      <c r="G1062" s="4" t="str">
        <f t="shared" si="113"/>
        <v/>
      </c>
      <c r="H1062" s="4" t="str">
        <f>IF(F1062="","",_xlfn.XLOOKUP(F1062,purchase!D:D,purchase!#REF!,""))</f>
        <v/>
      </c>
      <c r="I1062" s="4" t="str">
        <f t="shared" si="114"/>
        <v/>
      </c>
      <c r="J1062" s="4" t="str">
        <f t="shared" si="115"/>
        <v/>
      </c>
      <c r="K1062" s="13" t="str">
        <f>_xlfn.SINGLE(IF(F1062="","",_xlfn.XLOOKUP(F1062,purchase!D:D,purchase!#REF!,"")))</f>
        <v/>
      </c>
      <c r="L1062" s="2"/>
      <c r="M1062" s="32"/>
      <c r="N1062" s="13" t="str">
        <f>IF(F1062="","",
MAX(0,
_xlfn.XLOOKUP(F1062,purchase!D:D,purchase!#REF!,"")
-
SUMIFS(L:L,F:F,F1062)))</f>
        <v/>
      </c>
      <c r="O1062" s="13" t="str">
        <f t="shared" si="116"/>
        <v/>
      </c>
      <c r="P1062" s="35" t="str">
        <f>_xlfn.SINGLE(IF(F1062="","",_xlfn.XLOOKUP(F1062,purchase!D:D,purchase!K:K,"")))</f>
        <v/>
      </c>
      <c r="Q1062" s="29" t="str">
        <f t="shared" si="117"/>
        <v/>
      </c>
      <c r="R1062" s="37" t="str">
        <f t="shared" si="118"/>
        <v/>
      </c>
    </row>
    <row r="1063" spans="1:18" x14ac:dyDescent="0.35">
      <c r="A1063" s="8">
        <v>1059</v>
      </c>
      <c r="B1063" s="9" t="str">
        <f t="shared" si="112"/>
        <v/>
      </c>
      <c r="C1063" s="10"/>
      <c r="D1063" s="9" t="str">
        <f>IF(F1063="","",_xlfn.XLOOKUP(F1063,purchase!D:D,purchase!#REF!,""))</f>
        <v/>
      </c>
      <c r="E1063" s="9" t="str">
        <f>IF(F1063="","",_xlfn.XLOOKUP(F1063,purchase!D:D,purchase!B:B,""))</f>
        <v/>
      </c>
      <c r="F1063" s="2"/>
      <c r="G1063" s="4" t="str">
        <f t="shared" si="113"/>
        <v/>
      </c>
      <c r="H1063" s="4" t="str">
        <f>IF(F1063="","",_xlfn.XLOOKUP(F1063,purchase!D:D,purchase!#REF!,""))</f>
        <v/>
      </c>
      <c r="I1063" s="4" t="str">
        <f t="shared" si="114"/>
        <v/>
      </c>
      <c r="J1063" s="4" t="str">
        <f t="shared" si="115"/>
        <v/>
      </c>
      <c r="K1063" s="13" t="str">
        <f>_xlfn.SINGLE(IF(F1063="","",_xlfn.XLOOKUP(F1063,purchase!D:D,purchase!#REF!,"")))</f>
        <v/>
      </c>
      <c r="L1063" s="2"/>
      <c r="M1063" s="32"/>
      <c r="N1063" s="13" t="str">
        <f>IF(F1063="","",
MAX(0,
_xlfn.XLOOKUP(F1063,purchase!D:D,purchase!#REF!,"")
-
SUMIFS(L:L,F:F,F1063)))</f>
        <v/>
      </c>
      <c r="O1063" s="13" t="str">
        <f t="shared" si="116"/>
        <v/>
      </c>
      <c r="P1063" s="35" t="str">
        <f>_xlfn.SINGLE(IF(F1063="","",_xlfn.XLOOKUP(F1063,purchase!D:D,purchase!K:K,"")))</f>
        <v/>
      </c>
      <c r="Q1063" s="29" t="str">
        <f t="shared" si="117"/>
        <v/>
      </c>
      <c r="R1063" s="37" t="str">
        <f t="shared" si="118"/>
        <v/>
      </c>
    </row>
    <row r="1064" spans="1:18" x14ac:dyDescent="0.35">
      <c r="A1064" s="8">
        <v>1060</v>
      </c>
      <c r="B1064" s="9" t="str">
        <f t="shared" si="112"/>
        <v/>
      </c>
      <c r="C1064" s="10"/>
      <c r="D1064" s="9" t="str">
        <f>IF(F1064="","",_xlfn.XLOOKUP(F1064,purchase!D:D,purchase!#REF!,""))</f>
        <v/>
      </c>
      <c r="E1064" s="9" t="str">
        <f>IF(F1064="","",_xlfn.XLOOKUP(F1064,purchase!D:D,purchase!B:B,""))</f>
        <v/>
      </c>
      <c r="F1064" s="2"/>
      <c r="G1064" s="4" t="str">
        <f t="shared" si="113"/>
        <v/>
      </c>
      <c r="H1064" s="4" t="str">
        <f>IF(F1064="","",_xlfn.XLOOKUP(F1064,purchase!D:D,purchase!#REF!,""))</f>
        <v/>
      </c>
      <c r="I1064" s="4" t="str">
        <f t="shared" si="114"/>
        <v/>
      </c>
      <c r="J1064" s="4" t="str">
        <f t="shared" si="115"/>
        <v/>
      </c>
      <c r="K1064" s="13" t="str">
        <f>_xlfn.SINGLE(IF(F1064="","",_xlfn.XLOOKUP(F1064,purchase!D:D,purchase!#REF!,"")))</f>
        <v/>
      </c>
      <c r="L1064" s="2"/>
      <c r="M1064" s="32"/>
      <c r="N1064" s="13" t="str">
        <f>IF(F1064="","",
MAX(0,
_xlfn.XLOOKUP(F1064,purchase!D:D,purchase!#REF!,"")
-
SUMIFS(L:L,F:F,F1064)))</f>
        <v/>
      </c>
      <c r="O1064" s="13" t="str">
        <f t="shared" si="116"/>
        <v/>
      </c>
      <c r="P1064" s="35" t="str">
        <f>_xlfn.SINGLE(IF(F1064="","",_xlfn.XLOOKUP(F1064,purchase!D:D,purchase!K:K,"")))</f>
        <v/>
      </c>
      <c r="Q1064" s="29" t="str">
        <f t="shared" si="117"/>
        <v/>
      </c>
      <c r="R1064" s="37" t="str">
        <f t="shared" si="118"/>
        <v/>
      </c>
    </row>
    <row r="1065" spans="1:18" x14ac:dyDescent="0.35">
      <c r="A1065" s="8">
        <v>1061</v>
      </c>
      <c r="B1065" s="9" t="str">
        <f t="shared" si="112"/>
        <v/>
      </c>
      <c r="C1065" s="10"/>
      <c r="D1065" s="9" t="str">
        <f>IF(F1065="","",_xlfn.XLOOKUP(F1065,purchase!D:D,purchase!#REF!,""))</f>
        <v/>
      </c>
      <c r="E1065" s="9" t="str">
        <f>IF(F1065="","",_xlfn.XLOOKUP(F1065,purchase!D:D,purchase!B:B,""))</f>
        <v/>
      </c>
      <c r="F1065" s="2"/>
      <c r="G1065" s="4" t="str">
        <f t="shared" si="113"/>
        <v/>
      </c>
      <c r="H1065" s="4" t="str">
        <f>IF(F1065="","",_xlfn.XLOOKUP(F1065,purchase!D:D,purchase!#REF!,""))</f>
        <v/>
      </c>
      <c r="I1065" s="4" t="str">
        <f t="shared" si="114"/>
        <v/>
      </c>
      <c r="J1065" s="4" t="str">
        <f t="shared" si="115"/>
        <v/>
      </c>
      <c r="K1065" s="13" t="str">
        <f>_xlfn.SINGLE(IF(F1065="","",_xlfn.XLOOKUP(F1065,purchase!D:D,purchase!#REF!,"")))</f>
        <v/>
      </c>
      <c r="L1065" s="2"/>
      <c r="M1065" s="32"/>
      <c r="N1065" s="13" t="str">
        <f>IF(F1065="","",
MAX(0,
_xlfn.XLOOKUP(F1065,purchase!D:D,purchase!#REF!,"")
-
SUMIFS(L:L,F:F,F1065)))</f>
        <v/>
      </c>
      <c r="O1065" s="13" t="str">
        <f t="shared" si="116"/>
        <v/>
      </c>
      <c r="P1065" s="35" t="str">
        <f>_xlfn.SINGLE(IF(F1065="","",_xlfn.XLOOKUP(F1065,purchase!D:D,purchase!K:K,"")))</f>
        <v/>
      </c>
      <c r="Q1065" s="29" t="str">
        <f t="shared" si="117"/>
        <v/>
      </c>
      <c r="R1065" s="37" t="str">
        <f t="shared" si="118"/>
        <v/>
      </c>
    </row>
    <row r="1066" spans="1:18" x14ac:dyDescent="0.35">
      <c r="A1066" s="8">
        <v>1062</v>
      </c>
      <c r="B1066" s="9" t="str">
        <f t="shared" si="112"/>
        <v/>
      </c>
      <c r="C1066" s="10"/>
      <c r="D1066" s="9" t="str">
        <f>IF(F1066="","",_xlfn.XLOOKUP(F1066,purchase!D:D,purchase!#REF!,""))</f>
        <v/>
      </c>
      <c r="E1066" s="9" t="str">
        <f>IF(F1066="","",_xlfn.XLOOKUP(F1066,purchase!D:D,purchase!B:B,""))</f>
        <v/>
      </c>
      <c r="F1066" s="2"/>
      <c r="G1066" s="4" t="str">
        <f t="shared" si="113"/>
        <v/>
      </c>
      <c r="H1066" s="4" t="str">
        <f>IF(F1066="","",_xlfn.XLOOKUP(F1066,purchase!D:D,purchase!#REF!,""))</f>
        <v/>
      </c>
      <c r="I1066" s="4" t="str">
        <f t="shared" si="114"/>
        <v/>
      </c>
      <c r="J1066" s="4" t="str">
        <f t="shared" si="115"/>
        <v/>
      </c>
      <c r="K1066" s="13" t="str">
        <f>_xlfn.SINGLE(IF(F1066="","",_xlfn.XLOOKUP(F1066,purchase!D:D,purchase!#REF!,"")))</f>
        <v/>
      </c>
      <c r="L1066" s="2"/>
      <c r="M1066" s="32"/>
      <c r="N1066" s="13" t="str">
        <f>IF(F1066="","",
MAX(0,
_xlfn.XLOOKUP(F1066,purchase!D:D,purchase!#REF!,"")
-
SUMIFS(L:L,F:F,F1066)))</f>
        <v/>
      </c>
      <c r="O1066" s="13" t="str">
        <f t="shared" si="116"/>
        <v/>
      </c>
      <c r="P1066" s="35" t="str">
        <f>_xlfn.SINGLE(IF(F1066="","",_xlfn.XLOOKUP(F1066,purchase!D:D,purchase!K:K,"")))</f>
        <v/>
      </c>
      <c r="Q1066" s="29" t="str">
        <f t="shared" si="117"/>
        <v/>
      </c>
      <c r="R1066" s="37" t="str">
        <f t="shared" si="118"/>
        <v/>
      </c>
    </row>
    <row r="1067" spans="1:18" x14ac:dyDescent="0.35">
      <c r="A1067" s="8">
        <v>1063</v>
      </c>
      <c r="B1067" s="9" t="str">
        <f t="shared" si="112"/>
        <v/>
      </c>
      <c r="C1067" s="10"/>
      <c r="D1067" s="9" t="str">
        <f>IF(F1067="","",_xlfn.XLOOKUP(F1067,purchase!D:D,purchase!#REF!,""))</f>
        <v/>
      </c>
      <c r="E1067" s="9" t="str">
        <f>IF(F1067="","",_xlfn.XLOOKUP(F1067,purchase!D:D,purchase!B:B,""))</f>
        <v/>
      </c>
      <c r="F1067" s="2"/>
      <c r="G1067" s="4" t="str">
        <f t="shared" si="113"/>
        <v/>
      </c>
      <c r="H1067" s="4" t="str">
        <f>IF(F1067="","",_xlfn.XLOOKUP(F1067,purchase!D:D,purchase!#REF!,""))</f>
        <v/>
      </c>
      <c r="I1067" s="4" t="str">
        <f t="shared" si="114"/>
        <v/>
      </c>
      <c r="J1067" s="4" t="str">
        <f t="shared" si="115"/>
        <v/>
      </c>
      <c r="K1067" s="13" t="str">
        <f>_xlfn.SINGLE(IF(F1067="","",_xlfn.XLOOKUP(F1067,purchase!D:D,purchase!#REF!,"")))</f>
        <v/>
      </c>
      <c r="L1067" s="2"/>
      <c r="M1067" s="32"/>
      <c r="N1067" s="13" t="str">
        <f>IF(F1067="","",
MAX(0,
_xlfn.XLOOKUP(F1067,purchase!D:D,purchase!#REF!,"")
-
SUMIFS(L:L,F:F,F1067)))</f>
        <v/>
      </c>
      <c r="O1067" s="13" t="str">
        <f t="shared" si="116"/>
        <v/>
      </c>
      <c r="P1067" s="35" t="str">
        <f>_xlfn.SINGLE(IF(F1067="","",_xlfn.XLOOKUP(F1067,purchase!D:D,purchase!K:K,"")))</f>
        <v/>
      </c>
      <c r="Q1067" s="29" t="str">
        <f t="shared" si="117"/>
        <v/>
      </c>
      <c r="R1067" s="37" t="str">
        <f t="shared" si="118"/>
        <v/>
      </c>
    </row>
    <row r="1068" spans="1:18" x14ac:dyDescent="0.35">
      <c r="A1068" s="8">
        <v>1064</v>
      </c>
      <c r="B1068" s="9" t="str">
        <f t="shared" si="112"/>
        <v/>
      </c>
      <c r="C1068" s="10"/>
      <c r="D1068" s="9" t="str">
        <f>IF(F1068="","",_xlfn.XLOOKUP(F1068,purchase!D:D,purchase!#REF!,""))</f>
        <v/>
      </c>
      <c r="E1068" s="9" t="str">
        <f>IF(F1068="","",_xlfn.XLOOKUP(F1068,purchase!D:D,purchase!B:B,""))</f>
        <v/>
      </c>
      <c r="F1068" s="2"/>
      <c r="G1068" s="4" t="str">
        <f t="shared" si="113"/>
        <v/>
      </c>
      <c r="H1068" s="4" t="str">
        <f>IF(F1068="","",_xlfn.XLOOKUP(F1068,purchase!D:D,purchase!#REF!,""))</f>
        <v/>
      </c>
      <c r="I1068" s="4" t="str">
        <f t="shared" si="114"/>
        <v/>
      </c>
      <c r="J1068" s="4" t="str">
        <f t="shared" si="115"/>
        <v/>
      </c>
      <c r="K1068" s="13" t="str">
        <f>_xlfn.SINGLE(IF(F1068="","",_xlfn.XLOOKUP(F1068,purchase!D:D,purchase!#REF!,"")))</f>
        <v/>
      </c>
      <c r="L1068" s="2"/>
      <c r="M1068" s="32"/>
      <c r="N1068" s="13" t="str">
        <f>IF(F1068="","",
MAX(0,
_xlfn.XLOOKUP(F1068,purchase!D:D,purchase!#REF!,"")
-
SUMIFS(L:L,F:F,F1068)))</f>
        <v/>
      </c>
      <c r="O1068" s="13" t="str">
        <f t="shared" si="116"/>
        <v/>
      </c>
      <c r="P1068" s="35" t="str">
        <f>_xlfn.SINGLE(IF(F1068="","",_xlfn.XLOOKUP(F1068,purchase!D:D,purchase!K:K,"")))</f>
        <v/>
      </c>
      <c r="Q1068" s="29" t="str">
        <f t="shared" si="117"/>
        <v/>
      </c>
      <c r="R1068" s="37" t="str">
        <f t="shared" si="118"/>
        <v/>
      </c>
    </row>
    <row r="1069" spans="1:18" x14ac:dyDescent="0.35">
      <c r="A1069" s="8">
        <v>1065</v>
      </c>
      <c r="B1069" s="9" t="str">
        <f t="shared" si="112"/>
        <v/>
      </c>
      <c r="C1069" s="10"/>
      <c r="D1069" s="9" t="str">
        <f>IF(F1069="","",_xlfn.XLOOKUP(F1069,purchase!D:D,purchase!#REF!,""))</f>
        <v/>
      </c>
      <c r="E1069" s="9" t="str">
        <f>IF(F1069="","",_xlfn.XLOOKUP(F1069,purchase!D:D,purchase!B:B,""))</f>
        <v/>
      </c>
      <c r="F1069" s="2"/>
      <c r="G1069" s="4" t="str">
        <f t="shared" si="113"/>
        <v/>
      </c>
      <c r="H1069" s="4" t="str">
        <f>IF(F1069="","",_xlfn.XLOOKUP(F1069,purchase!D:D,purchase!#REF!,""))</f>
        <v/>
      </c>
      <c r="I1069" s="4" t="str">
        <f t="shared" si="114"/>
        <v/>
      </c>
      <c r="J1069" s="4" t="str">
        <f t="shared" si="115"/>
        <v/>
      </c>
      <c r="K1069" s="13" t="str">
        <f>_xlfn.SINGLE(IF(F1069="","",_xlfn.XLOOKUP(F1069,purchase!D:D,purchase!#REF!,"")))</f>
        <v/>
      </c>
      <c r="L1069" s="2"/>
      <c r="M1069" s="32"/>
      <c r="N1069" s="13" t="str">
        <f>IF(F1069="","",
MAX(0,
_xlfn.XLOOKUP(F1069,purchase!D:D,purchase!#REF!,"")
-
SUMIFS(L:L,F:F,F1069)))</f>
        <v/>
      </c>
      <c r="O1069" s="13" t="str">
        <f t="shared" si="116"/>
        <v/>
      </c>
      <c r="P1069" s="35" t="str">
        <f>_xlfn.SINGLE(IF(F1069="","",_xlfn.XLOOKUP(F1069,purchase!D:D,purchase!K:K,"")))</f>
        <v/>
      </c>
      <c r="Q1069" s="29" t="str">
        <f t="shared" si="117"/>
        <v/>
      </c>
      <c r="R1069" s="37" t="str">
        <f t="shared" si="118"/>
        <v/>
      </c>
    </row>
    <row r="1070" spans="1:18" x14ac:dyDescent="0.35">
      <c r="A1070" s="8">
        <v>1066</v>
      </c>
      <c r="B1070" s="9" t="str">
        <f t="shared" si="112"/>
        <v/>
      </c>
      <c r="C1070" s="10"/>
      <c r="D1070" s="9" t="str">
        <f>IF(F1070="","",_xlfn.XLOOKUP(F1070,purchase!D:D,purchase!#REF!,""))</f>
        <v/>
      </c>
      <c r="E1070" s="9" t="str">
        <f>IF(F1070="","",_xlfn.XLOOKUP(F1070,purchase!D:D,purchase!B:B,""))</f>
        <v/>
      </c>
      <c r="F1070" s="2"/>
      <c r="G1070" s="4" t="str">
        <f t="shared" si="113"/>
        <v/>
      </c>
      <c r="H1070" s="4" t="str">
        <f>IF(F1070="","",_xlfn.XLOOKUP(F1070,purchase!D:D,purchase!#REF!,""))</f>
        <v/>
      </c>
      <c r="I1070" s="4" t="str">
        <f t="shared" si="114"/>
        <v/>
      </c>
      <c r="J1070" s="4" t="str">
        <f t="shared" si="115"/>
        <v/>
      </c>
      <c r="K1070" s="13" t="str">
        <f>_xlfn.SINGLE(IF(F1070="","",_xlfn.XLOOKUP(F1070,purchase!D:D,purchase!#REF!,"")))</f>
        <v/>
      </c>
      <c r="L1070" s="2"/>
      <c r="M1070" s="32"/>
      <c r="N1070" s="13" t="str">
        <f>IF(F1070="","",
MAX(0,
_xlfn.XLOOKUP(F1070,purchase!D:D,purchase!#REF!,"")
-
SUMIFS(L:L,F:F,F1070)))</f>
        <v/>
      </c>
      <c r="O1070" s="13" t="str">
        <f t="shared" si="116"/>
        <v/>
      </c>
      <c r="P1070" s="35" t="str">
        <f>_xlfn.SINGLE(IF(F1070="","",_xlfn.XLOOKUP(F1070,purchase!D:D,purchase!K:K,"")))</f>
        <v/>
      </c>
      <c r="Q1070" s="29" t="str">
        <f t="shared" si="117"/>
        <v/>
      </c>
      <c r="R1070" s="37" t="str">
        <f t="shared" si="118"/>
        <v/>
      </c>
    </row>
    <row r="1071" spans="1:18" x14ac:dyDescent="0.35">
      <c r="A1071" s="8">
        <v>1067</v>
      </c>
      <c r="B1071" s="9" t="str">
        <f t="shared" si="112"/>
        <v/>
      </c>
      <c r="C1071" s="10"/>
      <c r="D1071" s="9" t="str">
        <f>IF(F1071="","",_xlfn.XLOOKUP(F1071,purchase!D:D,purchase!#REF!,""))</f>
        <v/>
      </c>
      <c r="E1071" s="9" t="str">
        <f>IF(F1071="","",_xlfn.XLOOKUP(F1071,purchase!D:D,purchase!B:B,""))</f>
        <v/>
      </c>
      <c r="F1071" s="2"/>
      <c r="G1071" s="4" t="str">
        <f t="shared" si="113"/>
        <v/>
      </c>
      <c r="H1071" s="4" t="str">
        <f>IF(F1071="","",_xlfn.XLOOKUP(F1071,purchase!D:D,purchase!#REF!,""))</f>
        <v/>
      </c>
      <c r="I1071" s="4" t="str">
        <f t="shared" si="114"/>
        <v/>
      </c>
      <c r="J1071" s="4" t="str">
        <f t="shared" si="115"/>
        <v/>
      </c>
      <c r="K1071" s="13" t="str">
        <f>_xlfn.SINGLE(IF(F1071="","",_xlfn.XLOOKUP(F1071,purchase!D:D,purchase!#REF!,"")))</f>
        <v/>
      </c>
      <c r="L1071" s="2"/>
      <c r="M1071" s="32"/>
      <c r="N1071" s="13" t="str">
        <f>IF(F1071="","",
MAX(0,
_xlfn.XLOOKUP(F1071,purchase!D:D,purchase!#REF!,"")
-
SUMIFS(L:L,F:F,F1071)))</f>
        <v/>
      </c>
      <c r="O1071" s="13" t="str">
        <f t="shared" si="116"/>
        <v/>
      </c>
      <c r="P1071" s="35" t="str">
        <f>_xlfn.SINGLE(IF(F1071="","",_xlfn.XLOOKUP(F1071,purchase!D:D,purchase!K:K,"")))</f>
        <v/>
      </c>
      <c r="Q1071" s="29" t="str">
        <f t="shared" si="117"/>
        <v/>
      </c>
      <c r="R1071" s="37" t="str">
        <f t="shared" si="118"/>
        <v/>
      </c>
    </row>
    <row r="1072" spans="1:18" x14ac:dyDescent="0.35">
      <c r="A1072" s="8">
        <v>1068</v>
      </c>
      <c r="B1072" s="9" t="str">
        <f t="shared" si="112"/>
        <v/>
      </c>
      <c r="C1072" s="10"/>
      <c r="D1072" s="9" t="str">
        <f>IF(F1072="","",_xlfn.XLOOKUP(F1072,purchase!D:D,purchase!#REF!,""))</f>
        <v/>
      </c>
      <c r="E1072" s="9" t="str">
        <f>IF(F1072="","",_xlfn.XLOOKUP(F1072,purchase!D:D,purchase!B:B,""))</f>
        <v/>
      </c>
      <c r="F1072" s="2"/>
      <c r="G1072" s="4" t="str">
        <f t="shared" si="113"/>
        <v/>
      </c>
      <c r="H1072" s="4" t="str">
        <f>IF(F1072="","",_xlfn.XLOOKUP(F1072,purchase!D:D,purchase!#REF!,""))</f>
        <v/>
      </c>
      <c r="I1072" s="4" t="str">
        <f t="shared" si="114"/>
        <v/>
      </c>
      <c r="J1072" s="4" t="str">
        <f t="shared" si="115"/>
        <v/>
      </c>
      <c r="K1072" s="13" t="str">
        <f>_xlfn.SINGLE(IF(F1072="","",_xlfn.XLOOKUP(F1072,purchase!D:D,purchase!#REF!,"")))</f>
        <v/>
      </c>
      <c r="L1072" s="2"/>
      <c r="M1072" s="32"/>
      <c r="N1072" s="13" t="str">
        <f>IF(F1072="","",
MAX(0,
_xlfn.XLOOKUP(F1072,purchase!D:D,purchase!#REF!,"")
-
SUMIFS(L:L,F:F,F1072)))</f>
        <v/>
      </c>
      <c r="O1072" s="13" t="str">
        <f t="shared" si="116"/>
        <v/>
      </c>
      <c r="P1072" s="35" t="str">
        <f>_xlfn.SINGLE(IF(F1072="","",_xlfn.XLOOKUP(F1072,purchase!D:D,purchase!K:K,"")))</f>
        <v/>
      </c>
      <c r="Q1072" s="29" t="str">
        <f t="shared" si="117"/>
        <v/>
      </c>
      <c r="R1072" s="37" t="str">
        <f t="shared" si="118"/>
        <v/>
      </c>
    </row>
    <row r="1073" spans="1:18" x14ac:dyDescent="0.35">
      <c r="A1073" s="8">
        <v>1069</v>
      </c>
      <c r="B1073" s="9" t="str">
        <f t="shared" si="112"/>
        <v/>
      </c>
      <c r="C1073" s="10"/>
      <c r="D1073" s="9" t="str">
        <f>IF(F1073="","",_xlfn.XLOOKUP(F1073,purchase!D:D,purchase!#REF!,""))</f>
        <v/>
      </c>
      <c r="E1073" s="9" t="str">
        <f>IF(F1073="","",_xlfn.XLOOKUP(F1073,purchase!D:D,purchase!B:B,""))</f>
        <v/>
      </c>
      <c r="F1073" s="2"/>
      <c r="G1073" s="4" t="str">
        <f t="shared" si="113"/>
        <v/>
      </c>
      <c r="H1073" s="4" t="str">
        <f>IF(F1073="","",_xlfn.XLOOKUP(F1073,purchase!D:D,purchase!#REF!,""))</f>
        <v/>
      </c>
      <c r="I1073" s="4" t="str">
        <f t="shared" si="114"/>
        <v/>
      </c>
      <c r="J1073" s="4" t="str">
        <f t="shared" si="115"/>
        <v/>
      </c>
      <c r="K1073" s="13" t="str">
        <f>_xlfn.SINGLE(IF(F1073="","",_xlfn.XLOOKUP(F1073,purchase!D:D,purchase!#REF!,"")))</f>
        <v/>
      </c>
      <c r="L1073" s="2"/>
      <c r="M1073" s="32"/>
      <c r="N1073" s="13" t="str">
        <f>IF(F1073="","",
MAX(0,
_xlfn.XLOOKUP(F1073,purchase!D:D,purchase!#REF!,"")
-
SUMIFS(L:L,F:F,F1073)))</f>
        <v/>
      </c>
      <c r="O1073" s="13" t="str">
        <f t="shared" si="116"/>
        <v/>
      </c>
      <c r="P1073" s="35" t="str">
        <f>_xlfn.SINGLE(IF(F1073="","",_xlfn.XLOOKUP(F1073,purchase!D:D,purchase!K:K,"")))</f>
        <v/>
      </c>
      <c r="Q1073" s="29" t="str">
        <f t="shared" si="117"/>
        <v/>
      </c>
      <c r="R1073" s="37" t="str">
        <f t="shared" si="118"/>
        <v/>
      </c>
    </row>
    <row r="1074" spans="1:18" x14ac:dyDescent="0.35">
      <c r="A1074" s="8">
        <v>1070</v>
      </c>
      <c r="B1074" s="9" t="str">
        <f t="shared" si="112"/>
        <v/>
      </c>
      <c r="C1074" s="10"/>
      <c r="D1074" s="9" t="str">
        <f>IF(F1074="","",_xlfn.XLOOKUP(F1074,purchase!D:D,purchase!#REF!,""))</f>
        <v/>
      </c>
      <c r="E1074" s="9" t="str">
        <f>IF(F1074="","",_xlfn.XLOOKUP(F1074,purchase!D:D,purchase!B:B,""))</f>
        <v/>
      </c>
      <c r="F1074" s="2"/>
      <c r="G1074" s="4" t="str">
        <f t="shared" si="113"/>
        <v/>
      </c>
      <c r="H1074" s="4" t="str">
        <f>IF(F1074="","",_xlfn.XLOOKUP(F1074,purchase!D:D,purchase!#REF!,""))</f>
        <v/>
      </c>
      <c r="I1074" s="4" t="str">
        <f t="shared" si="114"/>
        <v/>
      </c>
      <c r="J1074" s="4" t="str">
        <f t="shared" si="115"/>
        <v/>
      </c>
      <c r="K1074" s="13" t="str">
        <f>_xlfn.SINGLE(IF(F1074="","",_xlfn.XLOOKUP(F1074,purchase!D:D,purchase!#REF!,"")))</f>
        <v/>
      </c>
      <c r="L1074" s="2"/>
      <c r="M1074" s="32"/>
      <c r="N1074" s="13" t="str">
        <f>IF(F1074="","",
MAX(0,
_xlfn.XLOOKUP(F1074,purchase!D:D,purchase!#REF!,"")
-
SUMIFS(L:L,F:F,F1074)))</f>
        <v/>
      </c>
      <c r="O1074" s="13" t="str">
        <f t="shared" si="116"/>
        <v/>
      </c>
      <c r="P1074" s="35" t="str">
        <f>_xlfn.SINGLE(IF(F1074="","",_xlfn.XLOOKUP(F1074,purchase!D:D,purchase!K:K,"")))</f>
        <v/>
      </c>
      <c r="Q1074" s="29" t="str">
        <f t="shared" si="117"/>
        <v/>
      </c>
      <c r="R1074" s="37" t="str">
        <f t="shared" si="118"/>
        <v/>
      </c>
    </row>
    <row r="1075" spans="1:18" x14ac:dyDescent="0.35">
      <c r="A1075" s="8">
        <v>1071</v>
      </c>
      <c r="B1075" s="9" t="str">
        <f t="shared" si="112"/>
        <v/>
      </c>
      <c r="C1075" s="10"/>
      <c r="D1075" s="9" t="str">
        <f>IF(F1075="","",_xlfn.XLOOKUP(F1075,purchase!D:D,purchase!#REF!,""))</f>
        <v/>
      </c>
      <c r="E1075" s="9" t="str">
        <f>IF(F1075="","",_xlfn.XLOOKUP(F1075,purchase!D:D,purchase!B:B,""))</f>
        <v/>
      </c>
      <c r="F1075" s="2"/>
      <c r="G1075" s="4" t="str">
        <f t="shared" si="113"/>
        <v/>
      </c>
      <c r="H1075" s="4" t="str">
        <f>IF(F1075="","",_xlfn.XLOOKUP(F1075,purchase!D:D,purchase!#REF!,""))</f>
        <v/>
      </c>
      <c r="I1075" s="4" t="str">
        <f t="shared" si="114"/>
        <v/>
      </c>
      <c r="J1075" s="4" t="str">
        <f t="shared" si="115"/>
        <v/>
      </c>
      <c r="K1075" s="13" t="str">
        <f>_xlfn.SINGLE(IF(F1075="","",_xlfn.XLOOKUP(F1075,purchase!D:D,purchase!#REF!,"")))</f>
        <v/>
      </c>
      <c r="L1075" s="2"/>
      <c r="M1075" s="32"/>
      <c r="N1075" s="13" t="str">
        <f>IF(F1075="","",
MAX(0,
_xlfn.XLOOKUP(F1075,purchase!D:D,purchase!#REF!,"")
-
SUMIFS(L:L,F:F,F1075)))</f>
        <v/>
      </c>
      <c r="O1075" s="13" t="str">
        <f t="shared" si="116"/>
        <v/>
      </c>
      <c r="P1075" s="35" t="str">
        <f>_xlfn.SINGLE(IF(F1075="","",_xlfn.XLOOKUP(F1075,purchase!D:D,purchase!K:K,"")))</f>
        <v/>
      </c>
      <c r="Q1075" s="29" t="str">
        <f t="shared" si="117"/>
        <v/>
      </c>
      <c r="R1075" s="37" t="str">
        <f t="shared" si="118"/>
        <v/>
      </c>
    </row>
    <row r="1076" spans="1:18" x14ac:dyDescent="0.35">
      <c r="A1076" s="8">
        <v>1072</v>
      </c>
      <c r="B1076" s="9" t="str">
        <f t="shared" si="112"/>
        <v/>
      </c>
      <c r="C1076" s="10"/>
      <c r="D1076" s="9" t="str">
        <f>IF(F1076="","",_xlfn.XLOOKUP(F1076,purchase!D:D,purchase!#REF!,""))</f>
        <v/>
      </c>
      <c r="E1076" s="9" t="str">
        <f>IF(F1076="","",_xlfn.XLOOKUP(F1076,purchase!D:D,purchase!B:B,""))</f>
        <v/>
      </c>
      <c r="F1076" s="2"/>
      <c r="G1076" s="4" t="str">
        <f t="shared" si="113"/>
        <v/>
      </c>
      <c r="H1076" s="4" t="str">
        <f>IF(F1076="","",_xlfn.XLOOKUP(F1076,purchase!D:D,purchase!#REF!,""))</f>
        <v/>
      </c>
      <c r="I1076" s="4" t="str">
        <f t="shared" si="114"/>
        <v/>
      </c>
      <c r="J1076" s="4" t="str">
        <f t="shared" si="115"/>
        <v/>
      </c>
      <c r="K1076" s="13" t="str">
        <f>_xlfn.SINGLE(IF(F1076="","",_xlfn.XLOOKUP(F1076,purchase!D:D,purchase!#REF!,"")))</f>
        <v/>
      </c>
      <c r="L1076" s="2"/>
      <c r="M1076" s="32"/>
      <c r="N1076" s="13" t="str">
        <f>IF(F1076="","",
MAX(0,
_xlfn.XLOOKUP(F1076,purchase!D:D,purchase!#REF!,"")
-
SUMIFS(L:L,F:F,F1076)))</f>
        <v/>
      </c>
      <c r="O1076" s="13" t="str">
        <f t="shared" si="116"/>
        <v/>
      </c>
      <c r="P1076" s="35" t="str">
        <f>_xlfn.SINGLE(IF(F1076="","",_xlfn.XLOOKUP(F1076,purchase!D:D,purchase!K:K,"")))</f>
        <v/>
      </c>
      <c r="Q1076" s="29" t="str">
        <f t="shared" si="117"/>
        <v/>
      </c>
      <c r="R1076" s="37" t="str">
        <f t="shared" si="118"/>
        <v/>
      </c>
    </row>
    <row r="1077" spans="1:18" x14ac:dyDescent="0.35">
      <c r="A1077" s="8">
        <v>1073</v>
      </c>
      <c r="B1077" s="9" t="str">
        <f t="shared" si="112"/>
        <v/>
      </c>
      <c r="C1077" s="10"/>
      <c r="D1077" s="9" t="str">
        <f>IF(F1077="","",_xlfn.XLOOKUP(F1077,purchase!D:D,purchase!#REF!,""))</f>
        <v/>
      </c>
      <c r="E1077" s="9" t="str">
        <f>IF(F1077="","",_xlfn.XLOOKUP(F1077,purchase!D:D,purchase!B:B,""))</f>
        <v/>
      </c>
      <c r="F1077" s="2"/>
      <c r="G1077" s="4" t="str">
        <f t="shared" si="113"/>
        <v/>
      </c>
      <c r="H1077" s="4" t="str">
        <f>IF(F1077="","",_xlfn.XLOOKUP(F1077,purchase!D:D,purchase!#REF!,""))</f>
        <v/>
      </c>
      <c r="I1077" s="4" t="str">
        <f t="shared" si="114"/>
        <v/>
      </c>
      <c r="J1077" s="4" t="str">
        <f t="shared" si="115"/>
        <v/>
      </c>
      <c r="K1077" s="13" t="str">
        <f>_xlfn.SINGLE(IF(F1077="","",_xlfn.XLOOKUP(F1077,purchase!D:D,purchase!#REF!,"")))</f>
        <v/>
      </c>
      <c r="L1077" s="2"/>
      <c r="M1077" s="32"/>
      <c r="N1077" s="13" t="str">
        <f>IF(F1077="","",
MAX(0,
_xlfn.XLOOKUP(F1077,purchase!D:D,purchase!#REF!,"")
-
SUMIFS(L:L,F:F,F1077)))</f>
        <v/>
      </c>
      <c r="O1077" s="13" t="str">
        <f t="shared" si="116"/>
        <v/>
      </c>
      <c r="P1077" s="35" t="str">
        <f>_xlfn.SINGLE(IF(F1077="","",_xlfn.XLOOKUP(F1077,purchase!D:D,purchase!K:K,"")))</f>
        <v/>
      </c>
      <c r="Q1077" s="29" t="str">
        <f t="shared" si="117"/>
        <v/>
      </c>
      <c r="R1077" s="37" t="str">
        <f t="shared" si="118"/>
        <v/>
      </c>
    </row>
    <row r="1078" spans="1:18" x14ac:dyDescent="0.35">
      <c r="A1078" s="8">
        <v>1074</v>
      </c>
      <c r="B1078" s="9" t="str">
        <f t="shared" si="112"/>
        <v/>
      </c>
      <c r="C1078" s="10"/>
      <c r="D1078" s="9" t="str">
        <f>IF(F1078="","",_xlfn.XLOOKUP(F1078,purchase!D:D,purchase!#REF!,""))</f>
        <v/>
      </c>
      <c r="E1078" s="9" t="str">
        <f>IF(F1078="","",_xlfn.XLOOKUP(F1078,purchase!D:D,purchase!B:B,""))</f>
        <v/>
      </c>
      <c r="F1078" s="2"/>
      <c r="G1078" s="4" t="str">
        <f t="shared" si="113"/>
        <v/>
      </c>
      <c r="H1078" s="4" t="str">
        <f>IF(F1078="","",_xlfn.XLOOKUP(F1078,purchase!D:D,purchase!#REF!,""))</f>
        <v/>
      </c>
      <c r="I1078" s="4" t="str">
        <f t="shared" si="114"/>
        <v/>
      </c>
      <c r="J1078" s="4" t="str">
        <f t="shared" si="115"/>
        <v/>
      </c>
      <c r="K1078" s="13" t="str">
        <f>_xlfn.SINGLE(IF(F1078="","",_xlfn.XLOOKUP(F1078,purchase!D:D,purchase!#REF!,"")))</f>
        <v/>
      </c>
      <c r="L1078" s="2"/>
      <c r="M1078" s="32"/>
      <c r="N1078" s="13" t="str">
        <f>IF(F1078="","",
MAX(0,
_xlfn.XLOOKUP(F1078,purchase!D:D,purchase!#REF!,"")
-
SUMIFS(L:L,F:F,F1078)))</f>
        <v/>
      </c>
      <c r="O1078" s="13" t="str">
        <f t="shared" si="116"/>
        <v/>
      </c>
      <c r="P1078" s="35" t="str">
        <f>_xlfn.SINGLE(IF(F1078="","",_xlfn.XLOOKUP(F1078,purchase!D:D,purchase!K:K,"")))</f>
        <v/>
      </c>
      <c r="Q1078" s="29" t="str">
        <f t="shared" si="117"/>
        <v/>
      </c>
      <c r="R1078" s="37" t="str">
        <f t="shared" si="118"/>
        <v/>
      </c>
    </row>
    <row r="1079" spans="1:18" x14ac:dyDescent="0.35">
      <c r="A1079" s="8">
        <v>1075</v>
      </c>
      <c r="B1079" s="9" t="str">
        <f t="shared" si="112"/>
        <v/>
      </c>
      <c r="C1079" s="10"/>
      <c r="D1079" s="9" t="str">
        <f>IF(F1079="","",_xlfn.XLOOKUP(F1079,purchase!D:D,purchase!#REF!,""))</f>
        <v/>
      </c>
      <c r="E1079" s="9" t="str">
        <f>IF(F1079="","",_xlfn.XLOOKUP(F1079,purchase!D:D,purchase!B:B,""))</f>
        <v/>
      </c>
      <c r="F1079" s="2"/>
      <c r="G1079" s="4" t="str">
        <f t="shared" si="113"/>
        <v/>
      </c>
      <c r="H1079" s="4" t="str">
        <f>IF(F1079="","",_xlfn.XLOOKUP(F1079,purchase!D:D,purchase!#REF!,""))</f>
        <v/>
      </c>
      <c r="I1079" s="4" t="str">
        <f t="shared" si="114"/>
        <v/>
      </c>
      <c r="J1079" s="4" t="str">
        <f t="shared" si="115"/>
        <v/>
      </c>
      <c r="K1079" s="13" t="str">
        <f>_xlfn.SINGLE(IF(F1079="","",_xlfn.XLOOKUP(F1079,purchase!D:D,purchase!#REF!,"")))</f>
        <v/>
      </c>
      <c r="L1079" s="2"/>
      <c r="M1079" s="32"/>
      <c r="N1079" s="13" t="str">
        <f>IF(F1079="","",
MAX(0,
_xlfn.XLOOKUP(F1079,purchase!D:D,purchase!#REF!,"")
-
SUMIFS(L:L,F:F,F1079)))</f>
        <v/>
      </c>
      <c r="O1079" s="13" t="str">
        <f t="shared" si="116"/>
        <v/>
      </c>
      <c r="P1079" s="35" t="str">
        <f>_xlfn.SINGLE(IF(F1079="","",_xlfn.XLOOKUP(F1079,purchase!D:D,purchase!K:K,"")))</f>
        <v/>
      </c>
      <c r="Q1079" s="29" t="str">
        <f t="shared" si="117"/>
        <v/>
      </c>
      <c r="R1079" s="37" t="str">
        <f t="shared" si="118"/>
        <v/>
      </c>
    </row>
    <row r="1080" spans="1:18" x14ac:dyDescent="0.35">
      <c r="A1080" s="8">
        <v>1076</v>
      </c>
      <c r="B1080" s="9" t="str">
        <f t="shared" si="112"/>
        <v/>
      </c>
      <c r="C1080" s="10"/>
      <c r="D1080" s="9" t="str">
        <f>IF(F1080="","",_xlfn.XLOOKUP(F1080,purchase!D:D,purchase!#REF!,""))</f>
        <v/>
      </c>
      <c r="E1080" s="9" t="str">
        <f>IF(F1080="","",_xlfn.XLOOKUP(F1080,purchase!D:D,purchase!B:B,""))</f>
        <v/>
      </c>
      <c r="F1080" s="2"/>
      <c r="G1080" s="4" t="str">
        <f t="shared" si="113"/>
        <v/>
      </c>
      <c r="H1080" s="4" t="str">
        <f>IF(F1080="","",_xlfn.XLOOKUP(F1080,purchase!D:D,purchase!#REF!,""))</f>
        <v/>
      </c>
      <c r="I1080" s="4" t="str">
        <f t="shared" si="114"/>
        <v/>
      </c>
      <c r="J1080" s="4" t="str">
        <f t="shared" si="115"/>
        <v/>
      </c>
      <c r="K1080" s="13" t="str">
        <f>_xlfn.SINGLE(IF(F1080="","",_xlfn.XLOOKUP(F1080,purchase!D:D,purchase!#REF!,"")))</f>
        <v/>
      </c>
      <c r="L1080" s="2"/>
      <c r="M1080" s="32"/>
      <c r="N1080" s="13" t="str">
        <f>IF(F1080="","",
MAX(0,
_xlfn.XLOOKUP(F1080,purchase!D:D,purchase!#REF!,"")
-
SUMIFS(L:L,F:F,F1080)))</f>
        <v/>
      </c>
      <c r="O1080" s="13" t="str">
        <f t="shared" si="116"/>
        <v/>
      </c>
      <c r="P1080" s="35" t="str">
        <f>_xlfn.SINGLE(IF(F1080="","",_xlfn.XLOOKUP(F1080,purchase!D:D,purchase!K:K,"")))</f>
        <v/>
      </c>
      <c r="Q1080" s="29" t="str">
        <f t="shared" si="117"/>
        <v/>
      </c>
      <c r="R1080" s="37" t="str">
        <f t="shared" si="118"/>
        <v/>
      </c>
    </row>
    <row r="1081" spans="1:18" x14ac:dyDescent="0.35">
      <c r="A1081" s="8">
        <v>1077</v>
      </c>
      <c r="B1081" s="9" t="str">
        <f t="shared" si="112"/>
        <v/>
      </c>
      <c r="C1081" s="10"/>
      <c r="D1081" s="9" t="str">
        <f>IF(F1081="","",_xlfn.XLOOKUP(F1081,purchase!D:D,purchase!#REF!,""))</f>
        <v/>
      </c>
      <c r="E1081" s="9" t="str">
        <f>IF(F1081="","",_xlfn.XLOOKUP(F1081,purchase!D:D,purchase!B:B,""))</f>
        <v/>
      </c>
      <c r="F1081" s="2"/>
      <c r="G1081" s="4" t="str">
        <f t="shared" si="113"/>
        <v/>
      </c>
      <c r="H1081" s="4" t="str">
        <f>IF(F1081="","",_xlfn.XLOOKUP(F1081,purchase!D:D,purchase!#REF!,""))</f>
        <v/>
      </c>
      <c r="I1081" s="4" t="str">
        <f t="shared" si="114"/>
        <v/>
      </c>
      <c r="J1081" s="4" t="str">
        <f t="shared" si="115"/>
        <v/>
      </c>
      <c r="K1081" s="13" t="str">
        <f>_xlfn.SINGLE(IF(F1081="","",_xlfn.XLOOKUP(F1081,purchase!D:D,purchase!#REF!,"")))</f>
        <v/>
      </c>
      <c r="L1081" s="2"/>
      <c r="M1081" s="32"/>
      <c r="N1081" s="13" t="str">
        <f>IF(F1081="","",
MAX(0,
_xlfn.XLOOKUP(F1081,purchase!D:D,purchase!#REF!,"")
-
SUMIFS(L:L,F:F,F1081)))</f>
        <v/>
      </c>
      <c r="O1081" s="13" t="str">
        <f t="shared" si="116"/>
        <v/>
      </c>
      <c r="P1081" s="35" t="str">
        <f>_xlfn.SINGLE(IF(F1081="","",_xlfn.XLOOKUP(F1081,purchase!D:D,purchase!K:K,"")))</f>
        <v/>
      </c>
      <c r="Q1081" s="29" t="str">
        <f t="shared" si="117"/>
        <v/>
      </c>
      <c r="R1081" s="37" t="str">
        <f t="shared" si="118"/>
        <v/>
      </c>
    </row>
    <row r="1082" spans="1:18" x14ac:dyDescent="0.35">
      <c r="A1082" s="8">
        <v>1078</v>
      </c>
      <c r="B1082" s="9" t="str">
        <f t="shared" si="112"/>
        <v/>
      </c>
      <c r="C1082" s="10"/>
      <c r="D1082" s="9" t="str">
        <f>IF(F1082="","",_xlfn.XLOOKUP(F1082,purchase!D:D,purchase!#REF!,""))</f>
        <v/>
      </c>
      <c r="E1082" s="9" t="str">
        <f>IF(F1082="","",_xlfn.XLOOKUP(F1082,purchase!D:D,purchase!B:B,""))</f>
        <v/>
      </c>
      <c r="F1082" s="2"/>
      <c r="G1082" s="4" t="str">
        <f t="shared" si="113"/>
        <v/>
      </c>
      <c r="H1082" s="4" t="str">
        <f>IF(F1082="","",_xlfn.XLOOKUP(F1082,purchase!D:D,purchase!#REF!,""))</f>
        <v/>
      </c>
      <c r="I1082" s="4" t="str">
        <f t="shared" si="114"/>
        <v/>
      </c>
      <c r="J1082" s="4" t="str">
        <f t="shared" si="115"/>
        <v/>
      </c>
      <c r="K1082" s="13" t="str">
        <f>_xlfn.SINGLE(IF(F1082="","",_xlfn.XLOOKUP(F1082,purchase!D:D,purchase!#REF!,"")))</f>
        <v/>
      </c>
      <c r="L1082" s="2"/>
      <c r="M1082" s="32"/>
      <c r="N1082" s="13" t="str">
        <f>IF(F1082="","",
MAX(0,
_xlfn.XLOOKUP(F1082,purchase!D:D,purchase!#REF!,"")
-
SUMIFS(L:L,F:F,F1082)))</f>
        <v/>
      </c>
      <c r="O1082" s="13" t="str">
        <f t="shared" si="116"/>
        <v/>
      </c>
      <c r="P1082" s="35" t="str">
        <f>_xlfn.SINGLE(IF(F1082="","",_xlfn.XLOOKUP(F1082,purchase!D:D,purchase!K:K,"")))</f>
        <v/>
      </c>
      <c r="Q1082" s="29" t="str">
        <f t="shared" si="117"/>
        <v/>
      </c>
      <c r="R1082" s="37" t="str">
        <f t="shared" si="118"/>
        <v/>
      </c>
    </row>
    <row r="1083" spans="1:18" x14ac:dyDescent="0.35">
      <c r="A1083" s="8">
        <v>1079</v>
      </c>
      <c r="B1083" s="9" t="str">
        <f t="shared" si="112"/>
        <v/>
      </c>
      <c r="C1083" s="10"/>
      <c r="D1083" s="9" t="str">
        <f>IF(F1083="","",_xlfn.XLOOKUP(F1083,purchase!D:D,purchase!#REF!,""))</f>
        <v/>
      </c>
      <c r="E1083" s="9" t="str">
        <f>IF(F1083="","",_xlfn.XLOOKUP(F1083,purchase!D:D,purchase!B:B,""))</f>
        <v/>
      </c>
      <c r="F1083" s="2"/>
      <c r="G1083" s="4" t="str">
        <f t="shared" si="113"/>
        <v/>
      </c>
      <c r="H1083" s="4" t="str">
        <f>IF(F1083="","",_xlfn.XLOOKUP(F1083,purchase!D:D,purchase!#REF!,""))</f>
        <v/>
      </c>
      <c r="I1083" s="4" t="str">
        <f t="shared" si="114"/>
        <v/>
      </c>
      <c r="J1083" s="4" t="str">
        <f t="shared" si="115"/>
        <v/>
      </c>
      <c r="K1083" s="13" t="str">
        <f>_xlfn.SINGLE(IF(F1083="","",_xlfn.XLOOKUP(F1083,purchase!D:D,purchase!#REF!,"")))</f>
        <v/>
      </c>
      <c r="L1083" s="2"/>
      <c r="M1083" s="32"/>
      <c r="N1083" s="13" t="str">
        <f>IF(F1083="","",
MAX(0,
_xlfn.XLOOKUP(F1083,purchase!D:D,purchase!#REF!,"")
-
SUMIFS(L:L,F:F,F1083)))</f>
        <v/>
      </c>
      <c r="O1083" s="13" t="str">
        <f t="shared" si="116"/>
        <v/>
      </c>
      <c r="P1083" s="35" t="str">
        <f>_xlfn.SINGLE(IF(F1083="","",_xlfn.XLOOKUP(F1083,purchase!D:D,purchase!K:K,"")))</f>
        <v/>
      </c>
      <c r="Q1083" s="29" t="str">
        <f t="shared" si="117"/>
        <v/>
      </c>
      <c r="R1083" s="37" t="str">
        <f t="shared" si="118"/>
        <v/>
      </c>
    </row>
    <row r="1084" spans="1:18" x14ac:dyDescent="0.35">
      <c r="A1084" s="8">
        <v>1080</v>
      </c>
      <c r="B1084" s="9" t="str">
        <f t="shared" si="112"/>
        <v/>
      </c>
      <c r="C1084" s="10"/>
      <c r="D1084" s="9" t="str">
        <f>IF(F1084="","",_xlfn.XLOOKUP(F1084,purchase!D:D,purchase!#REF!,""))</f>
        <v/>
      </c>
      <c r="E1084" s="9" t="str">
        <f>IF(F1084="","",_xlfn.XLOOKUP(F1084,purchase!D:D,purchase!B:B,""))</f>
        <v/>
      </c>
      <c r="F1084" s="2"/>
      <c r="G1084" s="4" t="str">
        <f t="shared" si="113"/>
        <v/>
      </c>
      <c r="H1084" s="4" t="str">
        <f>IF(F1084="","",_xlfn.XLOOKUP(F1084,purchase!D:D,purchase!#REF!,""))</f>
        <v/>
      </c>
      <c r="I1084" s="4" t="str">
        <f t="shared" si="114"/>
        <v/>
      </c>
      <c r="J1084" s="4" t="str">
        <f t="shared" si="115"/>
        <v/>
      </c>
      <c r="K1084" s="13" t="str">
        <f>_xlfn.SINGLE(IF(F1084="","",_xlfn.XLOOKUP(F1084,purchase!D:D,purchase!#REF!,"")))</f>
        <v/>
      </c>
      <c r="L1084" s="2"/>
      <c r="M1084" s="32"/>
      <c r="N1084" s="13" t="str">
        <f>IF(F1084="","",
MAX(0,
_xlfn.XLOOKUP(F1084,purchase!D:D,purchase!#REF!,"")
-
SUMIFS(L:L,F:F,F1084)))</f>
        <v/>
      </c>
      <c r="O1084" s="13" t="str">
        <f t="shared" si="116"/>
        <v/>
      </c>
      <c r="P1084" s="35" t="str">
        <f>_xlfn.SINGLE(IF(F1084="","",_xlfn.XLOOKUP(F1084,purchase!D:D,purchase!K:K,"")))</f>
        <v/>
      </c>
      <c r="Q1084" s="29" t="str">
        <f t="shared" si="117"/>
        <v/>
      </c>
      <c r="R1084" s="37" t="str">
        <f t="shared" si="118"/>
        <v/>
      </c>
    </row>
    <row r="1085" spans="1:18" x14ac:dyDescent="0.35">
      <c r="A1085" s="8">
        <v>1081</v>
      </c>
      <c r="B1085" s="9" t="str">
        <f t="shared" si="112"/>
        <v/>
      </c>
      <c r="C1085" s="10"/>
      <c r="D1085" s="9" t="str">
        <f>IF(F1085="","",_xlfn.XLOOKUP(F1085,purchase!D:D,purchase!#REF!,""))</f>
        <v/>
      </c>
      <c r="E1085" s="9" t="str">
        <f>IF(F1085="","",_xlfn.XLOOKUP(F1085,purchase!D:D,purchase!B:B,""))</f>
        <v/>
      </c>
      <c r="F1085" s="2"/>
      <c r="G1085" s="4" t="str">
        <f t="shared" si="113"/>
        <v/>
      </c>
      <c r="H1085" s="4" t="str">
        <f>IF(F1085="","",_xlfn.XLOOKUP(F1085,purchase!D:D,purchase!#REF!,""))</f>
        <v/>
      </c>
      <c r="I1085" s="4" t="str">
        <f t="shared" si="114"/>
        <v/>
      </c>
      <c r="J1085" s="4" t="str">
        <f t="shared" si="115"/>
        <v/>
      </c>
      <c r="K1085" s="13" t="str">
        <f>_xlfn.SINGLE(IF(F1085="","",_xlfn.XLOOKUP(F1085,purchase!D:D,purchase!#REF!,"")))</f>
        <v/>
      </c>
      <c r="L1085" s="2"/>
      <c r="M1085" s="32"/>
      <c r="N1085" s="13" t="str">
        <f>IF(F1085="","",
MAX(0,
_xlfn.XLOOKUP(F1085,purchase!D:D,purchase!#REF!,"")
-
SUMIFS(L:L,F:F,F1085)))</f>
        <v/>
      </c>
      <c r="O1085" s="13" t="str">
        <f t="shared" si="116"/>
        <v/>
      </c>
      <c r="P1085" s="35" t="str">
        <f>_xlfn.SINGLE(IF(F1085="","",_xlfn.XLOOKUP(F1085,purchase!D:D,purchase!K:K,"")))</f>
        <v/>
      </c>
      <c r="Q1085" s="29" t="str">
        <f t="shared" si="117"/>
        <v/>
      </c>
      <c r="R1085" s="37" t="str">
        <f t="shared" si="118"/>
        <v/>
      </c>
    </row>
    <row r="1086" spans="1:18" x14ac:dyDescent="0.35">
      <c r="A1086" s="8">
        <v>1082</v>
      </c>
      <c r="B1086" s="9" t="str">
        <f t="shared" si="112"/>
        <v/>
      </c>
      <c r="C1086" s="10"/>
      <c r="D1086" s="9" t="str">
        <f>IF(F1086="","",_xlfn.XLOOKUP(F1086,purchase!D:D,purchase!#REF!,""))</f>
        <v/>
      </c>
      <c r="E1086" s="9" t="str">
        <f>IF(F1086="","",_xlfn.XLOOKUP(F1086,purchase!D:D,purchase!B:B,""))</f>
        <v/>
      </c>
      <c r="F1086" s="2"/>
      <c r="G1086" s="4" t="str">
        <f t="shared" si="113"/>
        <v/>
      </c>
      <c r="H1086" s="4" t="str">
        <f>IF(F1086="","",_xlfn.XLOOKUP(F1086,purchase!D:D,purchase!#REF!,""))</f>
        <v/>
      </c>
      <c r="I1086" s="4" t="str">
        <f t="shared" si="114"/>
        <v/>
      </c>
      <c r="J1086" s="4" t="str">
        <f t="shared" si="115"/>
        <v/>
      </c>
      <c r="K1086" s="13" t="str">
        <f>_xlfn.SINGLE(IF(F1086="","",_xlfn.XLOOKUP(F1086,purchase!D:D,purchase!#REF!,"")))</f>
        <v/>
      </c>
      <c r="L1086" s="2"/>
      <c r="M1086" s="32"/>
      <c r="N1086" s="13" t="str">
        <f>IF(F1086="","",
MAX(0,
_xlfn.XLOOKUP(F1086,purchase!D:D,purchase!#REF!,"")
-
SUMIFS(L:L,F:F,F1086)))</f>
        <v/>
      </c>
      <c r="O1086" s="13" t="str">
        <f t="shared" si="116"/>
        <v/>
      </c>
      <c r="P1086" s="35" t="str">
        <f>_xlfn.SINGLE(IF(F1086="","",_xlfn.XLOOKUP(F1086,purchase!D:D,purchase!K:K,"")))</f>
        <v/>
      </c>
      <c r="Q1086" s="29" t="str">
        <f t="shared" si="117"/>
        <v/>
      </c>
      <c r="R1086" s="37" t="str">
        <f t="shared" si="118"/>
        <v/>
      </c>
    </row>
    <row r="1087" spans="1:18" x14ac:dyDescent="0.35">
      <c r="A1087" s="8">
        <v>1083</v>
      </c>
      <c r="B1087" s="9" t="str">
        <f t="shared" si="112"/>
        <v/>
      </c>
      <c r="C1087" s="10"/>
      <c r="D1087" s="9" t="str">
        <f>IF(F1087="","",_xlfn.XLOOKUP(F1087,purchase!D:D,purchase!#REF!,""))</f>
        <v/>
      </c>
      <c r="E1087" s="9" t="str">
        <f>IF(F1087="","",_xlfn.XLOOKUP(F1087,purchase!D:D,purchase!B:B,""))</f>
        <v/>
      </c>
      <c r="F1087" s="2"/>
      <c r="G1087" s="4" t="str">
        <f t="shared" si="113"/>
        <v/>
      </c>
      <c r="H1087" s="4" t="str">
        <f>IF(F1087="","",_xlfn.XLOOKUP(F1087,purchase!D:D,purchase!#REF!,""))</f>
        <v/>
      </c>
      <c r="I1087" s="4" t="str">
        <f t="shared" si="114"/>
        <v/>
      </c>
      <c r="J1087" s="4" t="str">
        <f t="shared" si="115"/>
        <v/>
      </c>
      <c r="K1087" s="13" t="str">
        <f>_xlfn.SINGLE(IF(F1087="","",_xlfn.XLOOKUP(F1087,purchase!D:D,purchase!#REF!,"")))</f>
        <v/>
      </c>
      <c r="L1087" s="2"/>
      <c r="M1087" s="32"/>
      <c r="N1087" s="13" t="str">
        <f>IF(F1087="","",
MAX(0,
_xlfn.XLOOKUP(F1087,purchase!D:D,purchase!#REF!,"")
-
SUMIFS(L:L,F:F,F1087)))</f>
        <v/>
      </c>
      <c r="O1087" s="13" t="str">
        <f t="shared" si="116"/>
        <v/>
      </c>
      <c r="P1087" s="35" t="str">
        <f>_xlfn.SINGLE(IF(F1087="","",_xlfn.XLOOKUP(F1087,purchase!D:D,purchase!K:K,"")))</f>
        <v/>
      </c>
      <c r="Q1087" s="29" t="str">
        <f t="shared" si="117"/>
        <v/>
      </c>
      <c r="R1087" s="37" t="str">
        <f t="shared" si="118"/>
        <v/>
      </c>
    </row>
    <row r="1088" spans="1:18" x14ac:dyDescent="0.35">
      <c r="A1088" s="8">
        <v>1084</v>
      </c>
      <c r="B1088" s="9" t="str">
        <f t="shared" si="112"/>
        <v/>
      </c>
      <c r="C1088" s="10"/>
      <c r="D1088" s="9" t="str">
        <f>IF(F1088="","",_xlfn.XLOOKUP(F1088,purchase!D:D,purchase!#REF!,""))</f>
        <v/>
      </c>
      <c r="E1088" s="9" t="str">
        <f>IF(F1088="","",_xlfn.XLOOKUP(F1088,purchase!D:D,purchase!B:B,""))</f>
        <v/>
      </c>
      <c r="F1088" s="2"/>
      <c r="G1088" s="4" t="str">
        <f t="shared" si="113"/>
        <v/>
      </c>
      <c r="H1088" s="4" t="str">
        <f>IF(F1088="","",_xlfn.XLOOKUP(F1088,purchase!D:D,purchase!#REF!,""))</f>
        <v/>
      </c>
      <c r="I1088" s="4" t="str">
        <f t="shared" si="114"/>
        <v/>
      </c>
      <c r="J1088" s="4" t="str">
        <f t="shared" si="115"/>
        <v/>
      </c>
      <c r="K1088" s="13" t="str">
        <f>_xlfn.SINGLE(IF(F1088="","",_xlfn.XLOOKUP(F1088,purchase!D:D,purchase!#REF!,"")))</f>
        <v/>
      </c>
      <c r="L1088" s="2"/>
      <c r="M1088" s="32"/>
      <c r="N1088" s="13" t="str">
        <f>IF(F1088="","",
MAX(0,
_xlfn.XLOOKUP(F1088,purchase!D:D,purchase!#REF!,"")
-
SUMIFS(L:L,F:F,F1088)))</f>
        <v/>
      </c>
      <c r="O1088" s="13" t="str">
        <f t="shared" si="116"/>
        <v/>
      </c>
      <c r="P1088" s="35" t="str">
        <f>_xlfn.SINGLE(IF(F1088="","",_xlfn.XLOOKUP(F1088,purchase!D:D,purchase!K:K,"")))</f>
        <v/>
      </c>
      <c r="Q1088" s="29" t="str">
        <f t="shared" si="117"/>
        <v/>
      </c>
      <c r="R1088" s="37" t="str">
        <f t="shared" si="118"/>
        <v/>
      </c>
    </row>
    <row r="1089" spans="1:18" x14ac:dyDescent="0.35">
      <c r="A1089" s="8">
        <v>1085</v>
      </c>
      <c r="B1089" s="9" t="str">
        <f t="shared" si="112"/>
        <v/>
      </c>
      <c r="C1089" s="10"/>
      <c r="D1089" s="9" t="str">
        <f>IF(F1089="","",_xlfn.XLOOKUP(F1089,purchase!D:D,purchase!#REF!,""))</f>
        <v/>
      </c>
      <c r="E1089" s="9" t="str">
        <f>IF(F1089="","",_xlfn.XLOOKUP(F1089,purchase!D:D,purchase!B:B,""))</f>
        <v/>
      </c>
      <c r="F1089" s="2"/>
      <c r="G1089" s="4" t="str">
        <f t="shared" si="113"/>
        <v/>
      </c>
      <c r="H1089" s="4" t="str">
        <f>IF(F1089="","",_xlfn.XLOOKUP(F1089,purchase!D:D,purchase!#REF!,""))</f>
        <v/>
      </c>
      <c r="I1089" s="4" t="str">
        <f t="shared" si="114"/>
        <v/>
      </c>
      <c r="J1089" s="4" t="str">
        <f t="shared" si="115"/>
        <v/>
      </c>
      <c r="K1089" s="13" t="str">
        <f>_xlfn.SINGLE(IF(F1089="","",_xlfn.XLOOKUP(F1089,purchase!D:D,purchase!#REF!,"")))</f>
        <v/>
      </c>
      <c r="L1089" s="2"/>
      <c r="M1089" s="32"/>
      <c r="N1089" s="13" t="str">
        <f>IF(F1089="","",
MAX(0,
_xlfn.XLOOKUP(F1089,purchase!D:D,purchase!#REF!,"")
-
SUMIFS(L:L,F:F,F1089)))</f>
        <v/>
      </c>
      <c r="O1089" s="13" t="str">
        <f t="shared" si="116"/>
        <v/>
      </c>
      <c r="P1089" s="35" t="str">
        <f>_xlfn.SINGLE(IF(F1089="","",_xlfn.XLOOKUP(F1089,purchase!D:D,purchase!K:K,"")))</f>
        <v/>
      </c>
      <c r="Q1089" s="29" t="str">
        <f t="shared" si="117"/>
        <v/>
      </c>
      <c r="R1089" s="37" t="str">
        <f t="shared" si="118"/>
        <v/>
      </c>
    </row>
    <row r="1090" spans="1:18" x14ac:dyDescent="0.35">
      <c r="A1090" s="8">
        <v>1086</v>
      </c>
      <c r="B1090" s="9" t="str">
        <f t="shared" si="112"/>
        <v/>
      </c>
      <c r="C1090" s="10"/>
      <c r="D1090" s="9" t="str">
        <f>IF(F1090="","",_xlfn.XLOOKUP(F1090,purchase!D:D,purchase!#REF!,""))</f>
        <v/>
      </c>
      <c r="E1090" s="9" t="str">
        <f>IF(F1090="","",_xlfn.XLOOKUP(F1090,purchase!D:D,purchase!B:B,""))</f>
        <v/>
      </c>
      <c r="F1090" s="2"/>
      <c r="G1090" s="4" t="str">
        <f t="shared" si="113"/>
        <v/>
      </c>
      <c r="H1090" s="4" t="str">
        <f>IF(F1090="","",_xlfn.XLOOKUP(F1090,purchase!D:D,purchase!#REF!,""))</f>
        <v/>
      </c>
      <c r="I1090" s="4" t="str">
        <f t="shared" si="114"/>
        <v/>
      </c>
      <c r="J1090" s="4" t="str">
        <f t="shared" si="115"/>
        <v/>
      </c>
      <c r="K1090" s="13" t="str">
        <f>_xlfn.SINGLE(IF(F1090="","",_xlfn.XLOOKUP(F1090,purchase!D:D,purchase!#REF!,"")))</f>
        <v/>
      </c>
      <c r="L1090" s="2"/>
      <c r="M1090" s="32"/>
      <c r="N1090" s="13" t="str">
        <f>IF(F1090="","",
MAX(0,
_xlfn.XLOOKUP(F1090,purchase!D:D,purchase!#REF!,"")
-
SUMIFS(L:L,F:F,F1090)))</f>
        <v/>
      </c>
      <c r="O1090" s="13" t="str">
        <f t="shared" si="116"/>
        <v/>
      </c>
      <c r="P1090" s="35" t="str">
        <f>_xlfn.SINGLE(IF(F1090="","",_xlfn.XLOOKUP(F1090,purchase!D:D,purchase!K:K,"")))</f>
        <v/>
      </c>
      <c r="Q1090" s="29" t="str">
        <f t="shared" si="117"/>
        <v/>
      </c>
      <c r="R1090" s="37" t="str">
        <f t="shared" si="118"/>
        <v/>
      </c>
    </row>
    <row r="1091" spans="1:18" x14ac:dyDescent="0.35">
      <c r="A1091" s="8">
        <v>1087</v>
      </c>
      <c r="B1091" s="9" t="str">
        <f t="shared" si="112"/>
        <v/>
      </c>
      <c r="C1091" s="10"/>
      <c r="D1091" s="9" t="str">
        <f>IF(F1091="","",_xlfn.XLOOKUP(F1091,purchase!D:D,purchase!#REF!,""))</f>
        <v/>
      </c>
      <c r="E1091" s="9" t="str">
        <f>IF(F1091="","",_xlfn.XLOOKUP(F1091,purchase!D:D,purchase!B:B,""))</f>
        <v/>
      </c>
      <c r="F1091" s="2"/>
      <c r="G1091" s="4" t="str">
        <f t="shared" si="113"/>
        <v/>
      </c>
      <c r="H1091" s="4" t="str">
        <f>IF(F1091="","",_xlfn.XLOOKUP(F1091,purchase!D:D,purchase!#REF!,""))</f>
        <v/>
      </c>
      <c r="I1091" s="4" t="str">
        <f t="shared" si="114"/>
        <v/>
      </c>
      <c r="J1091" s="4" t="str">
        <f t="shared" si="115"/>
        <v/>
      </c>
      <c r="K1091" s="13" t="str">
        <f>_xlfn.SINGLE(IF(F1091="","",_xlfn.XLOOKUP(F1091,purchase!D:D,purchase!#REF!,"")))</f>
        <v/>
      </c>
      <c r="L1091" s="2"/>
      <c r="M1091" s="32"/>
      <c r="N1091" s="13" t="str">
        <f>IF(F1091="","",
MAX(0,
_xlfn.XLOOKUP(F1091,purchase!D:D,purchase!#REF!,"")
-
SUMIFS(L:L,F:F,F1091)))</f>
        <v/>
      </c>
      <c r="O1091" s="13" t="str">
        <f t="shared" si="116"/>
        <v/>
      </c>
      <c r="P1091" s="35" t="str">
        <f>_xlfn.SINGLE(IF(F1091="","",_xlfn.XLOOKUP(F1091,purchase!D:D,purchase!K:K,"")))</f>
        <v/>
      </c>
      <c r="Q1091" s="29" t="str">
        <f t="shared" si="117"/>
        <v/>
      </c>
      <c r="R1091" s="37" t="str">
        <f t="shared" si="118"/>
        <v/>
      </c>
    </row>
    <row r="1092" spans="1:18" x14ac:dyDescent="0.35">
      <c r="A1092" s="8">
        <v>1088</v>
      </c>
      <c r="B1092" s="9" t="str">
        <f t="shared" si="112"/>
        <v/>
      </c>
      <c r="C1092" s="10"/>
      <c r="D1092" s="9" t="str">
        <f>IF(F1092="","",_xlfn.XLOOKUP(F1092,purchase!D:D,purchase!#REF!,""))</f>
        <v/>
      </c>
      <c r="E1092" s="9" t="str">
        <f>IF(F1092="","",_xlfn.XLOOKUP(F1092,purchase!D:D,purchase!B:B,""))</f>
        <v/>
      </c>
      <c r="F1092" s="2"/>
      <c r="G1092" s="4" t="str">
        <f t="shared" si="113"/>
        <v/>
      </c>
      <c r="H1092" s="4" t="str">
        <f>IF(F1092="","",_xlfn.XLOOKUP(F1092,purchase!D:D,purchase!#REF!,""))</f>
        <v/>
      </c>
      <c r="I1092" s="4" t="str">
        <f t="shared" si="114"/>
        <v/>
      </c>
      <c r="J1092" s="4" t="str">
        <f t="shared" si="115"/>
        <v/>
      </c>
      <c r="K1092" s="13" t="str">
        <f>_xlfn.SINGLE(IF(F1092="","",_xlfn.XLOOKUP(F1092,purchase!D:D,purchase!#REF!,"")))</f>
        <v/>
      </c>
      <c r="L1092" s="2"/>
      <c r="M1092" s="32"/>
      <c r="N1092" s="13" t="str">
        <f>IF(F1092="","",
MAX(0,
_xlfn.XLOOKUP(F1092,purchase!D:D,purchase!#REF!,"")
-
SUMIFS(L:L,F:F,F1092)))</f>
        <v/>
      </c>
      <c r="O1092" s="13" t="str">
        <f t="shared" si="116"/>
        <v/>
      </c>
      <c r="P1092" s="35" t="str">
        <f>_xlfn.SINGLE(IF(F1092="","",_xlfn.XLOOKUP(F1092,purchase!D:D,purchase!K:K,"")))</f>
        <v/>
      </c>
      <c r="Q1092" s="29" t="str">
        <f t="shared" si="117"/>
        <v/>
      </c>
      <c r="R1092" s="37" t="str">
        <f t="shared" si="118"/>
        <v/>
      </c>
    </row>
    <row r="1093" spans="1:18" x14ac:dyDescent="0.35">
      <c r="A1093" s="8">
        <v>1089</v>
      </c>
      <c r="B1093" s="9" t="str">
        <f t="shared" ref="B1093:B1156" si="119">IF(OR(C1093="",F1093=""),"",
"PRD-" &amp;
TEXT(DAY(C1093),"00") &amp;
CHOOSE(MONTH(C1093),"A","B","C","D","E","F","G","H","I","J","K","L") &amp;
TEXT(YEAR(C1093),"00") &amp;
"-" &amp;
RIGHT(F1093,4))</f>
        <v/>
      </c>
      <c r="C1093" s="10"/>
      <c r="D1093" s="9" t="str">
        <f>IF(F1093="","",_xlfn.XLOOKUP(F1093,purchase!D:D,purchase!#REF!,""))</f>
        <v/>
      </c>
      <c r="E1093" s="9" t="str">
        <f>IF(F1093="","",_xlfn.XLOOKUP(F1093,purchase!D:D,purchase!B:B,""))</f>
        <v/>
      </c>
      <c r="F1093" s="2"/>
      <c r="G1093" s="4" t="str">
        <f t="shared" ref="G1093:G1156" si="120">IF(H1093="NRFC","Natural Rubber Field Coagulam","")</f>
        <v/>
      </c>
      <c r="H1093" s="4" t="str">
        <f>IF(F1093="","",_xlfn.XLOOKUP(F1093,purchase!D:D,purchase!#REF!,""))</f>
        <v/>
      </c>
      <c r="I1093" s="4" t="str">
        <f t="shared" ref="I1093:I1156" si="121">IF(J1093="ISNR20","Natural Rubber-TSNR (ISNR-20)","")</f>
        <v/>
      </c>
      <c r="J1093" s="4" t="str">
        <f t="shared" ref="J1093:J1156" si="122">IF(H1093="NRFC","ISNR20","")</f>
        <v/>
      </c>
      <c r="K1093" s="13" t="str">
        <f>_xlfn.SINGLE(IF(F1093="","",_xlfn.XLOOKUP(F1093,purchase!D:D,purchase!#REF!,"")))</f>
        <v/>
      </c>
      <c r="L1093" s="2"/>
      <c r="M1093" s="32"/>
      <c r="N1093" s="13" t="str">
        <f>IF(F1093="","",
MAX(0,
_xlfn.XLOOKUP(F1093,purchase!D:D,purchase!#REF!,"")
-
SUMIFS(L:L,F:F,F1093)))</f>
        <v/>
      </c>
      <c r="O1093" s="13" t="str">
        <f t="shared" ref="O1093:O1156" si="123">IF(OR(L1093="",M1093=""),"",L1093-M1093)</f>
        <v/>
      </c>
      <c r="P1093" s="35" t="str">
        <f>_xlfn.SINGLE(IF(F1093="","",_xlfn.XLOOKUP(F1093,purchase!D:D,purchase!K:K,"")))</f>
        <v/>
      </c>
      <c r="Q1093" s="29" t="str">
        <f t="shared" ref="Q1093:Q1156" si="124">IF(OR(L1093="",M1093=""),"",M1093/L1093)</f>
        <v/>
      </c>
      <c r="R1093" s="37" t="str">
        <f t="shared" ref="R1093:R1156" si="125">IF(OR(P1093="",Q1093=""),"",Q1093-P1093)</f>
        <v/>
      </c>
    </row>
    <row r="1094" spans="1:18" x14ac:dyDescent="0.35">
      <c r="A1094" s="8">
        <v>1090</v>
      </c>
      <c r="B1094" s="9" t="str">
        <f t="shared" si="119"/>
        <v/>
      </c>
      <c r="C1094" s="10"/>
      <c r="D1094" s="9" t="str">
        <f>IF(F1094="","",_xlfn.XLOOKUP(F1094,purchase!D:D,purchase!#REF!,""))</f>
        <v/>
      </c>
      <c r="E1094" s="9" t="str">
        <f>IF(F1094="","",_xlfn.XLOOKUP(F1094,purchase!D:D,purchase!B:B,""))</f>
        <v/>
      </c>
      <c r="F1094" s="2"/>
      <c r="G1094" s="4" t="str">
        <f t="shared" si="120"/>
        <v/>
      </c>
      <c r="H1094" s="4" t="str">
        <f>IF(F1094="","",_xlfn.XLOOKUP(F1094,purchase!D:D,purchase!#REF!,""))</f>
        <v/>
      </c>
      <c r="I1094" s="4" t="str">
        <f t="shared" si="121"/>
        <v/>
      </c>
      <c r="J1094" s="4" t="str">
        <f t="shared" si="122"/>
        <v/>
      </c>
      <c r="K1094" s="13" t="str">
        <f>_xlfn.SINGLE(IF(F1094="","",_xlfn.XLOOKUP(F1094,purchase!D:D,purchase!#REF!,"")))</f>
        <v/>
      </c>
      <c r="L1094" s="2"/>
      <c r="M1094" s="32"/>
      <c r="N1094" s="13" t="str">
        <f>IF(F1094="","",
MAX(0,
_xlfn.XLOOKUP(F1094,purchase!D:D,purchase!#REF!,"")
-
SUMIFS(L:L,F:F,F1094)))</f>
        <v/>
      </c>
      <c r="O1094" s="13" t="str">
        <f t="shared" si="123"/>
        <v/>
      </c>
      <c r="P1094" s="35" t="str">
        <f>_xlfn.SINGLE(IF(F1094="","",_xlfn.XLOOKUP(F1094,purchase!D:D,purchase!K:K,"")))</f>
        <v/>
      </c>
      <c r="Q1094" s="29" t="str">
        <f t="shared" si="124"/>
        <v/>
      </c>
      <c r="R1094" s="37" t="str">
        <f t="shared" si="125"/>
        <v/>
      </c>
    </row>
    <row r="1095" spans="1:18" x14ac:dyDescent="0.35">
      <c r="A1095" s="8">
        <v>1091</v>
      </c>
      <c r="B1095" s="9" t="str">
        <f t="shared" si="119"/>
        <v/>
      </c>
      <c r="C1095" s="10"/>
      <c r="D1095" s="9" t="str">
        <f>IF(F1095="","",_xlfn.XLOOKUP(F1095,purchase!D:D,purchase!#REF!,""))</f>
        <v/>
      </c>
      <c r="E1095" s="9" t="str">
        <f>IF(F1095="","",_xlfn.XLOOKUP(F1095,purchase!D:D,purchase!B:B,""))</f>
        <v/>
      </c>
      <c r="F1095" s="2"/>
      <c r="G1095" s="4" t="str">
        <f t="shared" si="120"/>
        <v/>
      </c>
      <c r="H1095" s="4" t="str">
        <f>IF(F1095="","",_xlfn.XLOOKUP(F1095,purchase!D:D,purchase!#REF!,""))</f>
        <v/>
      </c>
      <c r="I1095" s="4" t="str">
        <f t="shared" si="121"/>
        <v/>
      </c>
      <c r="J1095" s="4" t="str">
        <f t="shared" si="122"/>
        <v/>
      </c>
      <c r="K1095" s="13" t="str">
        <f>_xlfn.SINGLE(IF(F1095="","",_xlfn.XLOOKUP(F1095,purchase!D:D,purchase!#REF!,"")))</f>
        <v/>
      </c>
      <c r="L1095" s="2"/>
      <c r="M1095" s="32"/>
      <c r="N1095" s="13" t="str">
        <f>IF(F1095="","",
MAX(0,
_xlfn.XLOOKUP(F1095,purchase!D:D,purchase!#REF!,"")
-
SUMIFS(L:L,F:F,F1095)))</f>
        <v/>
      </c>
      <c r="O1095" s="13" t="str">
        <f t="shared" si="123"/>
        <v/>
      </c>
      <c r="P1095" s="35" t="str">
        <f>_xlfn.SINGLE(IF(F1095="","",_xlfn.XLOOKUP(F1095,purchase!D:D,purchase!K:K,"")))</f>
        <v/>
      </c>
      <c r="Q1095" s="29" t="str">
        <f t="shared" si="124"/>
        <v/>
      </c>
      <c r="R1095" s="37" t="str">
        <f t="shared" si="125"/>
        <v/>
      </c>
    </row>
    <row r="1096" spans="1:18" x14ac:dyDescent="0.35">
      <c r="A1096" s="8">
        <v>1092</v>
      </c>
      <c r="B1096" s="9" t="str">
        <f t="shared" si="119"/>
        <v/>
      </c>
      <c r="C1096" s="10"/>
      <c r="D1096" s="9" t="str">
        <f>IF(F1096="","",_xlfn.XLOOKUP(F1096,purchase!D:D,purchase!#REF!,""))</f>
        <v/>
      </c>
      <c r="E1096" s="9" t="str">
        <f>IF(F1096="","",_xlfn.XLOOKUP(F1096,purchase!D:D,purchase!B:B,""))</f>
        <v/>
      </c>
      <c r="F1096" s="2"/>
      <c r="G1096" s="4" t="str">
        <f t="shared" si="120"/>
        <v/>
      </c>
      <c r="H1096" s="4" t="str">
        <f>IF(F1096="","",_xlfn.XLOOKUP(F1096,purchase!D:D,purchase!#REF!,""))</f>
        <v/>
      </c>
      <c r="I1096" s="4" t="str">
        <f t="shared" si="121"/>
        <v/>
      </c>
      <c r="J1096" s="4" t="str">
        <f t="shared" si="122"/>
        <v/>
      </c>
      <c r="K1096" s="13" t="str">
        <f>_xlfn.SINGLE(IF(F1096="","",_xlfn.XLOOKUP(F1096,purchase!D:D,purchase!#REF!,"")))</f>
        <v/>
      </c>
      <c r="L1096" s="2"/>
      <c r="M1096" s="32"/>
      <c r="N1096" s="13" t="str">
        <f>IF(F1096="","",
MAX(0,
_xlfn.XLOOKUP(F1096,purchase!D:D,purchase!#REF!,"")
-
SUMIFS(L:L,F:F,F1096)))</f>
        <v/>
      </c>
      <c r="O1096" s="13" t="str">
        <f t="shared" si="123"/>
        <v/>
      </c>
      <c r="P1096" s="35" t="str">
        <f>_xlfn.SINGLE(IF(F1096="","",_xlfn.XLOOKUP(F1096,purchase!D:D,purchase!K:K,"")))</f>
        <v/>
      </c>
      <c r="Q1096" s="29" t="str">
        <f t="shared" si="124"/>
        <v/>
      </c>
      <c r="R1096" s="37" t="str">
        <f t="shared" si="125"/>
        <v/>
      </c>
    </row>
    <row r="1097" spans="1:18" x14ac:dyDescent="0.35">
      <c r="A1097" s="8">
        <v>1093</v>
      </c>
      <c r="B1097" s="9" t="str">
        <f t="shared" si="119"/>
        <v/>
      </c>
      <c r="C1097" s="10"/>
      <c r="D1097" s="9" t="str">
        <f>IF(F1097="","",_xlfn.XLOOKUP(F1097,purchase!D:D,purchase!#REF!,""))</f>
        <v/>
      </c>
      <c r="E1097" s="9" t="str">
        <f>IF(F1097="","",_xlfn.XLOOKUP(F1097,purchase!D:D,purchase!B:B,""))</f>
        <v/>
      </c>
      <c r="F1097" s="2"/>
      <c r="G1097" s="4" t="str">
        <f t="shared" si="120"/>
        <v/>
      </c>
      <c r="H1097" s="4" t="str">
        <f>IF(F1097="","",_xlfn.XLOOKUP(F1097,purchase!D:D,purchase!#REF!,""))</f>
        <v/>
      </c>
      <c r="I1097" s="4" t="str">
        <f t="shared" si="121"/>
        <v/>
      </c>
      <c r="J1097" s="4" t="str">
        <f t="shared" si="122"/>
        <v/>
      </c>
      <c r="K1097" s="13" t="str">
        <f>_xlfn.SINGLE(IF(F1097="","",_xlfn.XLOOKUP(F1097,purchase!D:D,purchase!#REF!,"")))</f>
        <v/>
      </c>
      <c r="L1097" s="2"/>
      <c r="M1097" s="32"/>
      <c r="N1097" s="13" t="str">
        <f>IF(F1097="","",
MAX(0,
_xlfn.XLOOKUP(F1097,purchase!D:D,purchase!#REF!,"")
-
SUMIFS(L:L,F:F,F1097)))</f>
        <v/>
      </c>
      <c r="O1097" s="13" t="str">
        <f t="shared" si="123"/>
        <v/>
      </c>
      <c r="P1097" s="35" t="str">
        <f>_xlfn.SINGLE(IF(F1097="","",_xlfn.XLOOKUP(F1097,purchase!D:D,purchase!K:K,"")))</f>
        <v/>
      </c>
      <c r="Q1097" s="29" t="str">
        <f t="shared" si="124"/>
        <v/>
      </c>
      <c r="R1097" s="37" t="str">
        <f t="shared" si="125"/>
        <v/>
      </c>
    </row>
    <row r="1098" spans="1:18" x14ac:dyDescent="0.35">
      <c r="A1098" s="8">
        <v>1094</v>
      </c>
      <c r="B1098" s="9" t="str">
        <f t="shared" si="119"/>
        <v/>
      </c>
      <c r="C1098" s="10"/>
      <c r="D1098" s="9" t="str">
        <f>IF(F1098="","",_xlfn.XLOOKUP(F1098,purchase!D:D,purchase!#REF!,""))</f>
        <v/>
      </c>
      <c r="E1098" s="9" t="str">
        <f>IF(F1098="","",_xlfn.XLOOKUP(F1098,purchase!D:D,purchase!B:B,""))</f>
        <v/>
      </c>
      <c r="F1098" s="2"/>
      <c r="G1098" s="4" t="str">
        <f t="shared" si="120"/>
        <v/>
      </c>
      <c r="H1098" s="4" t="str">
        <f>IF(F1098="","",_xlfn.XLOOKUP(F1098,purchase!D:D,purchase!#REF!,""))</f>
        <v/>
      </c>
      <c r="I1098" s="4" t="str">
        <f t="shared" si="121"/>
        <v/>
      </c>
      <c r="J1098" s="4" t="str">
        <f t="shared" si="122"/>
        <v/>
      </c>
      <c r="K1098" s="13" t="str">
        <f>_xlfn.SINGLE(IF(F1098="","",_xlfn.XLOOKUP(F1098,purchase!D:D,purchase!#REF!,"")))</f>
        <v/>
      </c>
      <c r="L1098" s="2"/>
      <c r="M1098" s="32"/>
      <c r="N1098" s="13" t="str">
        <f>IF(F1098="","",
MAX(0,
_xlfn.XLOOKUP(F1098,purchase!D:D,purchase!#REF!,"")
-
SUMIFS(L:L,F:F,F1098)))</f>
        <v/>
      </c>
      <c r="O1098" s="13" t="str">
        <f t="shared" si="123"/>
        <v/>
      </c>
      <c r="P1098" s="35" t="str">
        <f>_xlfn.SINGLE(IF(F1098="","",_xlfn.XLOOKUP(F1098,purchase!D:D,purchase!K:K,"")))</f>
        <v/>
      </c>
      <c r="Q1098" s="29" t="str">
        <f t="shared" si="124"/>
        <v/>
      </c>
      <c r="R1098" s="37" t="str">
        <f t="shared" si="125"/>
        <v/>
      </c>
    </row>
    <row r="1099" spans="1:18" x14ac:dyDescent="0.35">
      <c r="A1099" s="8">
        <v>1095</v>
      </c>
      <c r="B1099" s="9" t="str">
        <f t="shared" si="119"/>
        <v/>
      </c>
      <c r="C1099" s="10"/>
      <c r="D1099" s="9" t="str">
        <f>IF(F1099="","",_xlfn.XLOOKUP(F1099,purchase!D:D,purchase!#REF!,""))</f>
        <v/>
      </c>
      <c r="E1099" s="9" t="str">
        <f>IF(F1099="","",_xlfn.XLOOKUP(F1099,purchase!D:D,purchase!B:B,""))</f>
        <v/>
      </c>
      <c r="F1099" s="2"/>
      <c r="G1099" s="4" t="str">
        <f t="shared" si="120"/>
        <v/>
      </c>
      <c r="H1099" s="4" t="str">
        <f>IF(F1099="","",_xlfn.XLOOKUP(F1099,purchase!D:D,purchase!#REF!,""))</f>
        <v/>
      </c>
      <c r="I1099" s="4" t="str">
        <f t="shared" si="121"/>
        <v/>
      </c>
      <c r="J1099" s="4" t="str">
        <f t="shared" si="122"/>
        <v/>
      </c>
      <c r="K1099" s="13" t="str">
        <f>_xlfn.SINGLE(IF(F1099="","",_xlfn.XLOOKUP(F1099,purchase!D:D,purchase!#REF!,"")))</f>
        <v/>
      </c>
      <c r="L1099" s="2"/>
      <c r="M1099" s="32"/>
      <c r="N1099" s="13" t="str">
        <f>IF(F1099="","",
MAX(0,
_xlfn.XLOOKUP(F1099,purchase!D:D,purchase!#REF!,"")
-
SUMIFS(L:L,F:F,F1099)))</f>
        <v/>
      </c>
      <c r="O1099" s="13" t="str">
        <f t="shared" si="123"/>
        <v/>
      </c>
      <c r="P1099" s="35" t="str">
        <f>_xlfn.SINGLE(IF(F1099="","",_xlfn.XLOOKUP(F1099,purchase!D:D,purchase!K:K,"")))</f>
        <v/>
      </c>
      <c r="Q1099" s="29" t="str">
        <f t="shared" si="124"/>
        <v/>
      </c>
      <c r="R1099" s="37" t="str">
        <f t="shared" si="125"/>
        <v/>
      </c>
    </row>
    <row r="1100" spans="1:18" x14ac:dyDescent="0.35">
      <c r="A1100" s="8">
        <v>1096</v>
      </c>
      <c r="B1100" s="9" t="str">
        <f t="shared" si="119"/>
        <v/>
      </c>
      <c r="C1100" s="10"/>
      <c r="D1100" s="9" t="str">
        <f>IF(F1100="","",_xlfn.XLOOKUP(F1100,purchase!D:D,purchase!#REF!,""))</f>
        <v/>
      </c>
      <c r="E1100" s="9" t="str">
        <f>IF(F1100="","",_xlfn.XLOOKUP(F1100,purchase!D:D,purchase!B:B,""))</f>
        <v/>
      </c>
      <c r="F1100" s="2"/>
      <c r="G1100" s="4" t="str">
        <f t="shared" si="120"/>
        <v/>
      </c>
      <c r="H1100" s="4" t="str">
        <f>IF(F1100="","",_xlfn.XLOOKUP(F1100,purchase!D:D,purchase!#REF!,""))</f>
        <v/>
      </c>
      <c r="I1100" s="4" t="str">
        <f t="shared" si="121"/>
        <v/>
      </c>
      <c r="J1100" s="4" t="str">
        <f t="shared" si="122"/>
        <v/>
      </c>
      <c r="K1100" s="13" t="str">
        <f>_xlfn.SINGLE(IF(F1100="","",_xlfn.XLOOKUP(F1100,purchase!D:D,purchase!#REF!,"")))</f>
        <v/>
      </c>
      <c r="L1100" s="2"/>
      <c r="M1100" s="32"/>
      <c r="N1100" s="13" t="str">
        <f>IF(F1100="","",
MAX(0,
_xlfn.XLOOKUP(F1100,purchase!D:D,purchase!#REF!,"")
-
SUMIFS(L:L,F:F,F1100)))</f>
        <v/>
      </c>
      <c r="O1100" s="13" t="str">
        <f t="shared" si="123"/>
        <v/>
      </c>
      <c r="P1100" s="35" t="str">
        <f>_xlfn.SINGLE(IF(F1100="","",_xlfn.XLOOKUP(F1100,purchase!D:D,purchase!K:K,"")))</f>
        <v/>
      </c>
      <c r="Q1100" s="29" t="str">
        <f t="shared" si="124"/>
        <v/>
      </c>
      <c r="R1100" s="37" t="str">
        <f t="shared" si="125"/>
        <v/>
      </c>
    </row>
    <row r="1101" spans="1:18" x14ac:dyDescent="0.35">
      <c r="A1101" s="8">
        <v>1097</v>
      </c>
      <c r="B1101" s="9" t="str">
        <f t="shared" si="119"/>
        <v/>
      </c>
      <c r="C1101" s="10"/>
      <c r="D1101" s="9" t="str">
        <f>IF(F1101="","",_xlfn.XLOOKUP(F1101,purchase!D:D,purchase!#REF!,""))</f>
        <v/>
      </c>
      <c r="E1101" s="9" t="str">
        <f>IF(F1101="","",_xlfn.XLOOKUP(F1101,purchase!D:D,purchase!B:B,""))</f>
        <v/>
      </c>
      <c r="F1101" s="2"/>
      <c r="G1101" s="4" t="str">
        <f t="shared" si="120"/>
        <v/>
      </c>
      <c r="H1101" s="4" t="str">
        <f>IF(F1101="","",_xlfn.XLOOKUP(F1101,purchase!D:D,purchase!#REF!,""))</f>
        <v/>
      </c>
      <c r="I1101" s="4" t="str">
        <f t="shared" si="121"/>
        <v/>
      </c>
      <c r="J1101" s="4" t="str">
        <f t="shared" si="122"/>
        <v/>
      </c>
      <c r="K1101" s="13" t="str">
        <f>_xlfn.SINGLE(IF(F1101="","",_xlfn.XLOOKUP(F1101,purchase!D:D,purchase!#REF!,"")))</f>
        <v/>
      </c>
      <c r="L1101" s="2"/>
      <c r="M1101" s="32"/>
      <c r="N1101" s="13" t="str">
        <f>IF(F1101="","",
MAX(0,
_xlfn.XLOOKUP(F1101,purchase!D:D,purchase!#REF!,"")
-
SUMIFS(L:L,F:F,F1101)))</f>
        <v/>
      </c>
      <c r="O1101" s="13" t="str">
        <f t="shared" si="123"/>
        <v/>
      </c>
      <c r="P1101" s="35" t="str">
        <f>_xlfn.SINGLE(IF(F1101="","",_xlfn.XLOOKUP(F1101,purchase!D:D,purchase!K:K,"")))</f>
        <v/>
      </c>
      <c r="Q1101" s="29" t="str">
        <f t="shared" si="124"/>
        <v/>
      </c>
      <c r="R1101" s="37" t="str">
        <f t="shared" si="125"/>
        <v/>
      </c>
    </row>
    <row r="1102" spans="1:18" x14ac:dyDescent="0.35">
      <c r="A1102" s="8">
        <v>1098</v>
      </c>
      <c r="B1102" s="9" t="str">
        <f t="shared" si="119"/>
        <v/>
      </c>
      <c r="C1102" s="10"/>
      <c r="D1102" s="9" t="str">
        <f>IF(F1102="","",_xlfn.XLOOKUP(F1102,purchase!D:D,purchase!#REF!,""))</f>
        <v/>
      </c>
      <c r="E1102" s="9" t="str">
        <f>IF(F1102="","",_xlfn.XLOOKUP(F1102,purchase!D:D,purchase!B:B,""))</f>
        <v/>
      </c>
      <c r="F1102" s="2"/>
      <c r="G1102" s="4" t="str">
        <f t="shared" si="120"/>
        <v/>
      </c>
      <c r="H1102" s="4" t="str">
        <f>IF(F1102="","",_xlfn.XLOOKUP(F1102,purchase!D:D,purchase!#REF!,""))</f>
        <v/>
      </c>
      <c r="I1102" s="4" t="str">
        <f t="shared" si="121"/>
        <v/>
      </c>
      <c r="J1102" s="4" t="str">
        <f t="shared" si="122"/>
        <v/>
      </c>
      <c r="K1102" s="13" t="str">
        <f>_xlfn.SINGLE(IF(F1102="","",_xlfn.XLOOKUP(F1102,purchase!D:D,purchase!#REF!,"")))</f>
        <v/>
      </c>
      <c r="L1102" s="2"/>
      <c r="M1102" s="32"/>
      <c r="N1102" s="13" t="str">
        <f>IF(F1102="","",
MAX(0,
_xlfn.XLOOKUP(F1102,purchase!D:D,purchase!#REF!,"")
-
SUMIFS(L:L,F:F,F1102)))</f>
        <v/>
      </c>
      <c r="O1102" s="13" t="str">
        <f t="shared" si="123"/>
        <v/>
      </c>
      <c r="P1102" s="35" t="str">
        <f>_xlfn.SINGLE(IF(F1102="","",_xlfn.XLOOKUP(F1102,purchase!D:D,purchase!K:K,"")))</f>
        <v/>
      </c>
      <c r="Q1102" s="29" t="str">
        <f t="shared" si="124"/>
        <v/>
      </c>
      <c r="R1102" s="37" t="str">
        <f t="shared" si="125"/>
        <v/>
      </c>
    </row>
    <row r="1103" spans="1:18" x14ac:dyDescent="0.35">
      <c r="A1103" s="8">
        <v>1099</v>
      </c>
      <c r="B1103" s="9" t="str">
        <f t="shared" si="119"/>
        <v/>
      </c>
      <c r="C1103" s="10"/>
      <c r="D1103" s="9" t="str">
        <f>IF(F1103="","",_xlfn.XLOOKUP(F1103,purchase!D:D,purchase!#REF!,""))</f>
        <v/>
      </c>
      <c r="E1103" s="9" t="str">
        <f>IF(F1103="","",_xlfn.XLOOKUP(F1103,purchase!D:D,purchase!B:B,""))</f>
        <v/>
      </c>
      <c r="F1103" s="2"/>
      <c r="G1103" s="4" t="str">
        <f t="shared" si="120"/>
        <v/>
      </c>
      <c r="H1103" s="4" t="str">
        <f>IF(F1103="","",_xlfn.XLOOKUP(F1103,purchase!D:D,purchase!#REF!,""))</f>
        <v/>
      </c>
      <c r="I1103" s="4" t="str">
        <f t="shared" si="121"/>
        <v/>
      </c>
      <c r="J1103" s="4" t="str">
        <f t="shared" si="122"/>
        <v/>
      </c>
      <c r="K1103" s="13" t="str">
        <f>_xlfn.SINGLE(IF(F1103="","",_xlfn.XLOOKUP(F1103,purchase!D:D,purchase!#REF!,"")))</f>
        <v/>
      </c>
      <c r="L1103" s="2"/>
      <c r="M1103" s="32"/>
      <c r="N1103" s="13" t="str">
        <f>IF(F1103="","",
MAX(0,
_xlfn.XLOOKUP(F1103,purchase!D:D,purchase!#REF!,"")
-
SUMIFS(L:L,F:F,F1103)))</f>
        <v/>
      </c>
      <c r="O1103" s="13" t="str">
        <f t="shared" si="123"/>
        <v/>
      </c>
      <c r="P1103" s="35" t="str">
        <f>_xlfn.SINGLE(IF(F1103="","",_xlfn.XLOOKUP(F1103,purchase!D:D,purchase!K:K,"")))</f>
        <v/>
      </c>
      <c r="Q1103" s="29" t="str">
        <f t="shared" si="124"/>
        <v/>
      </c>
      <c r="R1103" s="37" t="str">
        <f t="shared" si="125"/>
        <v/>
      </c>
    </row>
    <row r="1104" spans="1:18" x14ac:dyDescent="0.35">
      <c r="A1104" s="8">
        <v>1100</v>
      </c>
      <c r="B1104" s="9" t="str">
        <f t="shared" si="119"/>
        <v/>
      </c>
      <c r="C1104" s="10"/>
      <c r="D1104" s="9" t="str">
        <f>IF(F1104="","",_xlfn.XLOOKUP(F1104,purchase!D:D,purchase!#REF!,""))</f>
        <v/>
      </c>
      <c r="E1104" s="9" t="str">
        <f>IF(F1104="","",_xlfn.XLOOKUP(F1104,purchase!D:D,purchase!B:B,""))</f>
        <v/>
      </c>
      <c r="F1104" s="2"/>
      <c r="G1104" s="4" t="str">
        <f t="shared" si="120"/>
        <v/>
      </c>
      <c r="H1104" s="4" t="str">
        <f>IF(F1104="","",_xlfn.XLOOKUP(F1104,purchase!D:D,purchase!#REF!,""))</f>
        <v/>
      </c>
      <c r="I1104" s="4" t="str">
        <f t="shared" si="121"/>
        <v/>
      </c>
      <c r="J1104" s="4" t="str">
        <f t="shared" si="122"/>
        <v/>
      </c>
      <c r="K1104" s="13" t="str">
        <f>_xlfn.SINGLE(IF(F1104="","",_xlfn.XLOOKUP(F1104,purchase!D:D,purchase!#REF!,"")))</f>
        <v/>
      </c>
      <c r="L1104" s="2"/>
      <c r="M1104" s="32"/>
      <c r="N1104" s="13" t="str">
        <f>IF(F1104="","",
MAX(0,
_xlfn.XLOOKUP(F1104,purchase!D:D,purchase!#REF!,"")
-
SUMIFS(L:L,F:F,F1104)))</f>
        <v/>
      </c>
      <c r="O1104" s="13" t="str">
        <f t="shared" si="123"/>
        <v/>
      </c>
      <c r="P1104" s="35" t="str">
        <f>_xlfn.SINGLE(IF(F1104="","",_xlfn.XLOOKUP(F1104,purchase!D:D,purchase!K:K,"")))</f>
        <v/>
      </c>
      <c r="Q1104" s="29" t="str">
        <f t="shared" si="124"/>
        <v/>
      </c>
      <c r="R1104" s="37" t="str">
        <f t="shared" si="125"/>
        <v/>
      </c>
    </row>
    <row r="1105" spans="1:18" x14ac:dyDescent="0.35">
      <c r="A1105" s="8">
        <v>1101</v>
      </c>
      <c r="B1105" s="9" t="str">
        <f t="shared" si="119"/>
        <v/>
      </c>
      <c r="C1105" s="10"/>
      <c r="D1105" s="9" t="str">
        <f>IF(F1105="","",_xlfn.XLOOKUP(F1105,purchase!D:D,purchase!#REF!,""))</f>
        <v/>
      </c>
      <c r="E1105" s="9" t="str">
        <f>IF(F1105="","",_xlfn.XLOOKUP(F1105,purchase!D:D,purchase!B:B,""))</f>
        <v/>
      </c>
      <c r="F1105" s="2"/>
      <c r="G1105" s="4" t="str">
        <f t="shared" si="120"/>
        <v/>
      </c>
      <c r="H1105" s="4" t="str">
        <f>IF(F1105="","",_xlfn.XLOOKUP(F1105,purchase!D:D,purchase!#REF!,""))</f>
        <v/>
      </c>
      <c r="I1105" s="4" t="str">
        <f t="shared" si="121"/>
        <v/>
      </c>
      <c r="J1105" s="4" t="str">
        <f t="shared" si="122"/>
        <v/>
      </c>
      <c r="K1105" s="13" t="str">
        <f>_xlfn.SINGLE(IF(F1105="","",_xlfn.XLOOKUP(F1105,purchase!D:D,purchase!#REF!,"")))</f>
        <v/>
      </c>
      <c r="L1105" s="2"/>
      <c r="M1105" s="32"/>
      <c r="N1105" s="13" t="str">
        <f>IF(F1105="","",
MAX(0,
_xlfn.XLOOKUP(F1105,purchase!D:D,purchase!#REF!,"")
-
SUMIFS(L:L,F:F,F1105)))</f>
        <v/>
      </c>
      <c r="O1105" s="13" t="str">
        <f t="shared" si="123"/>
        <v/>
      </c>
      <c r="P1105" s="35" t="str">
        <f>_xlfn.SINGLE(IF(F1105="","",_xlfn.XLOOKUP(F1105,purchase!D:D,purchase!K:K,"")))</f>
        <v/>
      </c>
      <c r="Q1105" s="29" t="str">
        <f t="shared" si="124"/>
        <v/>
      </c>
      <c r="R1105" s="37" t="str">
        <f t="shared" si="125"/>
        <v/>
      </c>
    </row>
    <row r="1106" spans="1:18" x14ac:dyDescent="0.35">
      <c r="A1106" s="8">
        <v>1102</v>
      </c>
      <c r="B1106" s="9" t="str">
        <f t="shared" si="119"/>
        <v/>
      </c>
      <c r="C1106" s="10"/>
      <c r="D1106" s="9" t="str">
        <f>IF(F1106="","",_xlfn.XLOOKUP(F1106,purchase!D:D,purchase!#REF!,""))</f>
        <v/>
      </c>
      <c r="E1106" s="9" t="str">
        <f>IF(F1106="","",_xlfn.XLOOKUP(F1106,purchase!D:D,purchase!B:B,""))</f>
        <v/>
      </c>
      <c r="F1106" s="2"/>
      <c r="G1106" s="4" t="str">
        <f t="shared" si="120"/>
        <v/>
      </c>
      <c r="H1106" s="4" t="str">
        <f>IF(F1106="","",_xlfn.XLOOKUP(F1106,purchase!D:D,purchase!#REF!,""))</f>
        <v/>
      </c>
      <c r="I1106" s="4" t="str">
        <f t="shared" si="121"/>
        <v/>
      </c>
      <c r="J1106" s="4" t="str">
        <f t="shared" si="122"/>
        <v/>
      </c>
      <c r="K1106" s="13" t="str">
        <f>_xlfn.SINGLE(IF(F1106="","",_xlfn.XLOOKUP(F1106,purchase!D:D,purchase!#REF!,"")))</f>
        <v/>
      </c>
      <c r="L1106" s="2"/>
      <c r="M1106" s="32"/>
      <c r="N1106" s="13" t="str">
        <f>IF(F1106="","",
MAX(0,
_xlfn.XLOOKUP(F1106,purchase!D:D,purchase!#REF!,"")
-
SUMIFS(L:L,F:F,F1106)))</f>
        <v/>
      </c>
      <c r="O1106" s="13" t="str">
        <f t="shared" si="123"/>
        <v/>
      </c>
      <c r="P1106" s="35" t="str">
        <f>_xlfn.SINGLE(IF(F1106="","",_xlfn.XLOOKUP(F1106,purchase!D:D,purchase!K:K,"")))</f>
        <v/>
      </c>
      <c r="Q1106" s="29" t="str">
        <f t="shared" si="124"/>
        <v/>
      </c>
      <c r="R1106" s="37" t="str">
        <f t="shared" si="125"/>
        <v/>
      </c>
    </row>
    <row r="1107" spans="1:18" x14ac:dyDescent="0.35">
      <c r="A1107" s="8">
        <v>1103</v>
      </c>
      <c r="B1107" s="9" t="str">
        <f t="shared" si="119"/>
        <v/>
      </c>
      <c r="C1107" s="10"/>
      <c r="D1107" s="9" t="str">
        <f>IF(F1107="","",_xlfn.XLOOKUP(F1107,purchase!D:D,purchase!#REF!,""))</f>
        <v/>
      </c>
      <c r="E1107" s="9" t="str">
        <f>IF(F1107="","",_xlfn.XLOOKUP(F1107,purchase!D:D,purchase!B:B,""))</f>
        <v/>
      </c>
      <c r="F1107" s="2"/>
      <c r="G1107" s="4" t="str">
        <f t="shared" si="120"/>
        <v/>
      </c>
      <c r="H1107" s="4" t="str">
        <f>IF(F1107="","",_xlfn.XLOOKUP(F1107,purchase!D:D,purchase!#REF!,""))</f>
        <v/>
      </c>
      <c r="I1107" s="4" t="str">
        <f t="shared" si="121"/>
        <v/>
      </c>
      <c r="J1107" s="4" t="str">
        <f t="shared" si="122"/>
        <v/>
      </c>
      <c r="K1107" s="13" t="str">
        <f>_xlfn.SINGLE(IF(F1107="","",_xlfn.XLOOKUP(F1107,purchase!D:D,purchase!#REF!,"")))</f>
        <v/>
      </c>
      <c r="L1107" s="2"/>
      <c r="M1107" s="32"/>
      <c r="N1107" s="13" t="str">
        <f>IF(F1107="","",
MAX(0,
_xlfn.XLOOKUP(F1107,purchase!D:D,purchase!#REF!,"")
-
SUMIFS(L:L,F:F,F1107)))</f>
        <v/>
      </c>
      <c r="O1107" s="13" t="str">
        <f t="shared" si="123"/>
        <v/>
      </c>
      <c r="P1107" s="35" t="str">
        <f>_xlfn.SINGLE(IF(F1107="","",_xlfn.XLOOKUP(F1107,purchase!D:D,purchase!K:K,"")))</f>
        <v/>
      </c>
      <c r="Q1107" s="29" t="str">
        <f t="shared" si="124"/>
        <v/>
      </c>
      <c r="R1107" s="37" t="str">
        <f t="shared" si="125"/>
        <v/>
      </c>
    </row>
    <row r="1108" spans="1:18" x14ac:dyDescent="0.35">
      <c r="A1108" s="8">
        <v>1104</v>
      </c>
      <c r="B1108" s="9" t="str">
        <f t="shared" si="119"/>
        <v/>
      </c>
      <c r="C1108" s="10"/>
      <c r="D1108" s="9" t="str">
        <f>IF(F1108="","",_xlfn.XLOOKUP(F1108,purchase!D:D,purchase!#REF!,""))</f>
        <v/>
      </c>
      <c r="E1108" s="9" t="str">
        <f>IF(F1108="","",_xlfn.XLOOKUP(F1108,purchase!D:D,purchase!B:B,""))</f>
        <v/>
      </c>
      <c r="F1108" s="2"/>
      <c r="G1108" s="4" t="str">
        <f t="shared" si="120"/>
        <v/>
      </c>
      <c r="H1108" s="4" t="str">
        <f>IF(F1108="","",_xlfn.XLOOKUP(F1108,purchase!D:D,purchase!#REF!,""))</f>
        <v/>
      </c>
      <c r="I1108" s="4" t="str">
        <f t="shared" si="121"/>
        <v/>
      </c>
      <c r="J1108" s="4" t="str">
        <f t="shared" si="122"/>
        <v/>
      </c>
      <c r="K1108" s="13" t="str">
        <f>_xlfn.SINGLE(IF(F1108="","",_xlfn.XLOOKUP(F1108,purchase!D:D,purchase!#REF!,"")))</f>
        <v/>
      </c>
      <c r="L1108" s="2"/>
      <c r="M1108" s="32"/>
      <c r="N1108" s="13" t="str">
        <f>IF(F1108="","",
MAX(0,
_xlfn.XLOOKUP(F1108,purchase!D:D,purchase!#REF!,"")
-
SUMIFS(L:L,F:F,F1108)))</f>
        <v/>
      </c>
      <c r="O1108" s="13" t="str">
        <f t="shared" si="123"/>
        <v/>
      </c>
      <c r="P1108" s="35" t="str">
        <f>_xlfn.SINGLE(IF(F1108="","",_xlfn.XLOOKUP(F1108,purchase!D:D,purchase!K:K,"")))</f>
        <v/>
      </c>
      <c r="Q1108" s="29" t="str">
        <f t="shared" si="124"/>
        <v/>
      </c>
      <c r="R1108" s="37" t="str">
        <f t="shared" si="125"/>
        <v/>
      </c>
    </row>
    <row r="1109" spans="1:18" x14ac:dyDescent="0.35">
      <c r="A1109" s="8">
        <v>1105</v>
      </c>
      <c r="B1109" s="9" t="str">
        <f t="shared" si="119"/>
        <v/>
      </c>
      <c r="C1109" s="10"/>
      <c r="D1109" s="9" t="str">
        <f>IF(F1109="","",_xlfn.XLOOKUP(F1109,purchase!D:D,purchase!#REF!,""))</f>
        <v/>
      </c>
      <c r="E1109" s="9" t="str">
        <f>IF(F1109="","",_xlfn.XLOOKUP(F1109,purchase!D:D,purchase!B:B,""))</f>
        <v/>
      </c>
      <c r="F1109" s="2"/>
      <c r="G1109" s="4" t="str">
        <f t="shared" si="120"/>
        <v/>
      </c>
      <c r="H1109" s="4" t="str">
        <f>IF(F1109="","",_xlfn.XLOOKUP(F1109,purchase!D:D,purchase!#REF!,""))</f>
        <v/>
      </c>
      <c r="I1109" s="4" t="str">
        <f t="shared" si="121"/>
        <v/>
      </c>
      <c r="J1109" s="4" t="str">
        <f t="shared" si="122"/>
        <v/>
      </c>
      <c r="K1109" s="13" t="str">
        <f>_xlfn.SINGLE(IF(F1109="","",_xlfn.XLOOKUP(F1109,purchase!D:D,purchase!#REF!,"")))</f>
        <v/>
      </c>
      <c r="L1109" s="2"/>
      <c r="M1109" s="32"/>
      <c r="N1109" s="13" t="str">
        <f>IF(F1109="","",
MAX(0,
_xlfn.XLOOKUP(F1109,purchase!D:D,purchase!#REF!,"")
-
SUMIFS(L:L,F:F,F1109)))</f>
        <v/>
      </c>
      <c r="O1109" s="13" t="str">
        <f t="shared" si="123"/>
        <v/>
      </c>
      <c r="P1109" s="35" t="str">
        <f>_xlfn.SINGLE(IF(F1109="","",_xlfn.XLOOKUP(F1109,purchase!D:D,purchase!K:K,"")))</f>
        <v/>
      </c>
      <c r="Q1109" s="29" t="str">
        <f t="shared" si="124"/>
        <v/>
      </c>
      <c r="R1109" s="37" t="str">
        <f t="shared" si="125"/>
        <v/>
      </c>
    </row>
    <row r="1110" spans="1:18" x14ac:dyDescent="0.35">
      <c r="A1110" s="8">
        <v>1106</v>
      </c>
      <c r="B1110" s="9" t="str">
        <f t="shared" si="119"/>
        <v/>
      </c>
      <c r="C1110" s="10"/>
      <c r="D1110" s="9" t="str">
        <f>IF(F1110="","",_xlfn.XLOOKUP(F1110,purchase!D:D,purchase!#REF!,""))</f>
        <v/>
      </c>
      <c r="E1110" s="9" t="str">
        <f>IF(F1110="","",_xlfn.XLOOKUP(F1110,purchase!D:D,purchase!B:B,""))</f>
        <v/>
      </c>
      <c r="F1110" s="2"/>
      <c r="G1110" s="4" t="str">
        <f t="shared" si="120"/>
        <v/>
      </c>
      <c r="H1110" s="4" t="str">
        <f>IF(F1110="","",_xlfn.XLOOKUP(F1110,purchase!D:D,purchase!#REF!,""))</f>
        <v/>
      </c>
      <c r="I1110" s="4" t="str">
        <f t="shared" si="121"/>
        <v/>
      </c>
      <c r="J1110" s="4" t="str">
        <f t="shared" si="122"/>
        <v/>
      </c>
      <c r="K1110" s="13" t="str">
        <f>_xlfn.SINGLE(IF(F1110="","",_xlfn.XLOOKUP(F1110,purchase!D:D,purchase!#REF!,"")))</f>
        <v/>
      </c>
      <c r="L1110" s="2"/>
      <c r="M1110" s="32"/>
      <c r="N1110" s="13" t="str">
        <f>IF(F1110="","",
MAX(0,
_xlfn.XLOOKUP(F1110,purchase!D:D,purchase!#REF!,"")
-
SUMIFS(L:L,F:F,F1110)))</f>
        <v/>
      </c>
      <c r="O1110" s="13" t="str">
        <f t="shared" si="123"/>
        <v/>
      </c>
      <c r="P1110" s="35" t="str">
        <f>_xlfn.SINGLE(IF(F1110="","",_xlfn.XLOOKUP(F1110,purchase!D:D,purchase!K:K,"")))</f>
        <v/>
      </c>
      <c r="Q1110" s="29" t="str">
        <f t="shared" si="124"/>
        <v/>
      </c>
      <c r="R1110" s="37" t="str">
        <f t="shared" si="125"/>
        <v/>
      </c>
    </row>
    <row r="1111" spans="1:18" x14ac:dyDescent="0.35">
      <c r="A1111" s="8">
        <v>1107</v>
      </c>
      <c r="B1111" s="9" t="str">
        <f t="shared" si="119"/>
        <v/>
      </c>
      <c r="C1111" s="10"/>
      <c r="D1111" s="9" t="str">
        <f>IF(F1111="","",_xlfn.XLOOKUP(F1111,purchase!D:D,purchase!#REF!,""))</f>
        <v/>
      </c>
      <c r="E1111" s="9" t="str">
        <f>IF(F1111="","",_xlfn.XLOOKUP(F1111,purchase!D:D,purchase!B:B,""))</f>
        <v/>
      </c>
      <c r="F1111" s="2"/>
      <c r="G1111" s="4" t="str">
        <f t="shared" si="120"/>
        <v/>
      </c>
      <c r="H1111" s="4" t="str">
        <f>IF(F1111="","",_xlfn.XLOOKUP(F1111,purchase!D:D,purchase!#REF!,""))</f>
        <v/>
      </c>
      <c r="I1111" s="4" t="str">
        <f t="shared" si="121"/>
        <v/>
      </c>
      <c r="J1111" s="4" t="str">
        <f t="shared" si="122"/>
        <v/>
      </c>
      <c r="K1111" s="13" t="str">
        <f>_xlfn.SINGLE(IF(F1111="","",_xlfn.XLOOKUP(F1111,purchase!D:D,purchase!#REF!,"")))</f>
        <v/>
      </c>
      <c r="L1111" s="2"/>
      <c r="M1111" s="32"/>
      <c r="N1111" s="13" t="str">
        <f>IF(F1111="","",
MAX(0,
_xlfn.XLOOKUP(F1111,purchase!D:D,purchase!#REF!,"")
-
SUMIFS(L:L,F:F,F1111)))</f>
        <v/>
      </c>
      <c r="O1111" s="13" t="str">
        <f t="shared" si="123"/>
        <v/>
      </c>
      <c r="P1111" s="35" t="str">
        <f>_xlfn.SINGLE(IF(F1111="","",_xlfn.XLOOKUP(F1111,purchase!D:D,purchase!K:K,"")))</f>
        <v/>
      </c>
      <c r="Q1111" s="29" t="str">
        <f t="shared" si="124"/>
        <v/>
      </c>
      <c r="R1111" s="37" t="str">
        <f t="shared" si="125"/>
        <v/>
      </c>
    </row>
    <row r="1112" spans="1:18" x14ac:dyDescent="0.35">
      <c r="A1112" s="8">
        <v>1108</v>
      </c>
      <c r="B1112" s="9" t="str">
        <f t="shared" si="119"/>
        <v/>
      </c>
      <c r="C1112" s="10"/>
      <c r="D1112" s="9" t="str">
        <f>IF(F1112="","",_xlfn.XLOOKUP(F1112,purchase!D:D,purchase!#REF!,""))</f>
        <v/>
      </c>
      <c r="E1112" s="9" t="str">
        <f>IF(F1112="","",_xlfn.XLOOKUP(F1112,purchase!D:D,purchase!B:B,""))</f>
        <v/>
      </c>
      <c r="F1112" s="2"/>
      <c r="G1112" s="4" t="str">
        <f t="shared" si="120"/>
        <v/>
      </c>
      <c r="H1112" s="4" t="str">
        <f>IF(F1112="","",_xlfn.XLOOKUP(F1112,purchase!D:D,purchase!#REF!,""))</f>
        <v/>
      </c>
      <c r="I1112" s="4" t="str">
        <f t="shared" si="121"/>
        <v/>
      </c>
      <c r="J1112" s="4" t="str">
        <f t="shared" si="122"/>
        <v/>
      </c>
      <c r="K1112" s="13" t="str">
        <f>_xlfn.SINGLE(IF(F1112="","",_xlfn.XLOOKUP(F1112,purchase!D:D,purchase!#REF!,"")))</f>
        <v/>
      </c>
      <c r="L1112" s="2"/>
      <c r="M1112" s="32"/>
      <c r="N1112" s="13" t="str">
        <f>IF(F1112="","",
MAX(0,
_xlfn.XLOOKUP(F1112,purchase!D:D,purchase!#REF!,"")
-
SUMIFS(L:L,F:F,F1112)))</f>
        <v/>
      </c>
      <c r="O1112" s="13" t="str">
        <f t="shared" si="123"/>
        <v/>
      </c>
      <c r="P1112" s="35" t="str">
        <f>_xlfn.SINGLE(IF(F1112="","",_xlfn.XLOOKUP(F1112,purchase!D:D,purchase!K:K,"")))</f>
        <v/>
      </c>
      <c r="Q1112" s="29" t="str">
        <f t="shared" si="124"/>
        <v/>
      </c>
      <c r="R1112" s="37" t="str">
        <f t="shared" si="125"/>
        <v/>
      </c>
    </row>
    <row r="1113" spans="1:18" x14ac:dyDescent="0.35">
      <c r="A1113" s="8">
        <v>1109</v>
      </c>
      <c r="B1113" s="9" t="str">
        <f t="shared" si="119"/>
        <v/>
      </c>
      <c r="C1113" s="10"/>
      <c r="D1113" s="9" t="str">
        <f>IF(F1113="","",_xlfn.XLOOKUP(F1113,purchase!D:D,purchase!#REF!,""))</f>
        <v/>
      </c>
      <c r="E1113" s="9" t="str">
        <f>IF(F1113="","",_xlfn.XLOOKUP(F1113,purchase!D:D,purchase!B:B,""))</f>
        <v/>
      </c>
      <c r="F1113" s="2"/>
      <c r="G1113" s="4" t="str">
        <f t="shared" si="120"/>
        <v/>
      </c>
      <c r="H1113" s="4" t="str">
        <f>IF(F1113="","",_xlfn.XLOOKUP(F1113,purchase!D:D,purchase!#REF!,""))</f>
        <v/>
      </c>
      <c r="I1113" s="4" t="str">
        <f t="shared" si="121"/>
        <v/>
      </c>
      <c r="J1113" s="4" t="str">
        <f t="shared" si="122"/>
        <v/>
      </c>
      <c r="K1113" s="13" t="str">
        <f>_xlfn.SINGLE(IF(F1113="","",_xlfn.XLOOKUP(F1113,purchase!D:D,purchase!#REF!,"")))</f>
        <v/>
      </c>
      <c r="L1113" s="2"/>
      <c r="M1113" s="32"/>
      <c r="N1113" s="13" t="str">
        <f>IF(F1113="","",
MAX(0,
_xlfn.XLOOKUP(F1113,purchase!D:D,purchase!#REF!,"")
-
SUMIFS(L:L,F:F,F1113)))</f>
        <v/>
      </c>
      <c r="O1113" s="13" t="str">
        <f t="shared" si="123"/>
        <v/>
      </c>
      <c r="P1113" s="35" t="str">
        <f>_xlfn.SINGLE(IF(F1113="","",_xlfn.XLOOKUP(F1113,purchase!D:D,purchase!K:K,"")))</f>
        <v/>
      </c>
      <c r="Q1113" s="29" t="str">
        <f t="shared" si="124"/>
        <v/>
      </c>
      <c r="R1113" s="37" t="str">
        <f t="shared" si="125"/>
        <v/>
      </c>
    </row>
    <row r="1114" spans="1:18" x14ac:dyDescent="0.35">
      <c r="A1114" s="8">
        <v>1110</v>
      </c>
      <c r="B1114" s="9" t="str">
        <f t="shared" si="119"/>
        <v/>
      </c>
      <c r="C1114" s="10"/>
      <c r="D1114" s="9" t="str">
        <f>IF(F1114="","",_xlfn.XLOOKUP(F1114,purchase!D:D,purchase!#REF!,""))</f>
        <v/>
      </c>
      <c r="E1114" s="9" t="str">
        <f>IF(F1114="","",_xlfn.XLOOKUP(F1114,purchase!D:D,purchase!B:B,""))</f>
        <v/>
      </c>
      <c r="F1114" s="2"/>
      <c r="G1114" s="4" t="str">
        <f t="shared" si="120"/>
        <v/>
      </c>
      <c r="H1114" s="4" t="str">
        <f>IF(F1114="","",_xlfn.XLOOKUP(F1114,purchase!D:D,purchase!#REF!,""))</f>
        <v/>
      </c>
      <c r="I1114" s="4" t="str">
        <f t="shared" si="121"/>
        <v/>
      </c>
      <c r="J1114" s="4" t="str">
        <f t="shared" si="122"/>
        <v/>
      </c>
      <c r="K1114" s="13" t="str">
        <f>_xlfn.SINGLE(IF(F1114="","",_xlfn.XLOOKUP(F1114,purchase!D:D,purchase!#REF!,"")))</f>
        <v/>
      </c>
      <c r="L1114" s="2"/>
      <c r="M1114" s="32"/>
      <c r="N1114" s="13" t="str">
        <f>IF(F1114="","",
MAX(0,
_xlfn.XLOOKUP(F1114,purchase!D:D,purchase!#REF!,"")
-
SUMIFS(L:L,F:F,F1114)))</f>
        <v/>
      </c>
      <c r="O1114" s="13" t="str">
        <f t="shared" si="123"/>
        <v/>
      </c>
      <c r="P1114" s="35" t="str">
        <f>_xlfn.SINGLE(IF(F1114="","",_xlfn.XLOOKUP(F1114,purchase!D:D,purchase!K:K,"")))</f>
        <v/>
      </c>
      <c r="Q1114" s="29" t="str">
        <f t="shared" si="124"/>
        <v/>
      </c>
      <c r="R1114" s="37" t="str">
        <f t="shared" si="125"/>
        <v/>
      </c>
    </row>
    <row r="1115" spans="1:18" x14ac:dyDescent="0.35">
      <c r="A1115" s="8">
        <v>1111</v>
      </c>
      <c r="B1115" s="9" t="str">
        <f t="shared" si="119"/>
        <v/>
      </c>
      <c r="C1115" s="10"/>
      <c r="D1115" s="9" t="str">
        <f>IF(F1115="","",_xlfn.XLOOKUP(F1115,purchase!D:D,purchase!#REF!,""))</f>
        <v/>
      </c>
      <c r="E1115" s="9" t="str">
        <f>IF(F1115="","",_xlfn.XLOOKUP(F1115,purchase!D:D,purchase!B:B,""))</f>
        <v/>
      </c>
      <c r="F1115" s="2"/>
      <c r="G1115" s="4" t="str">
        <f t="shared" si="120"/>
        <v/>
      </c>
      <c r="H1115" s="4" t="str">
        <f>IF(F1115="","",_xlfn.XLOOKUP(F1115,purchase!D:D,purchase!#REF!,""))</f>
        <v/>
      </c>
      <c r="I1115" s="4" t="str">
        <f t="shared" si="121"/>
        <v/>
      </c>
      <c r="J1115" s="4" t="str">
        <f t="shared" si="122"/>
        <v/>
      </c>
      <c r="K1115" s="13" t="str">
        <f>_xlfn.SINGLE(IF(F1115="","",_xlfn.XLOOKUP(F1115,purchase!D:D,purchase!#REF!,"")))</f>
        <v/>
      </c>
      <c r="L1115" s="2"/>
      <c r="M1115" s="32"/>
      <c r="N1115" s="13" t="str">
        <f>IF(F1115="","",
MAX(0,
_xlfn.XLOOKUP(F1115,purchase!D:D,purchase!#REF!,"")
-
SUMIFS(L:L,F:F,F1115)))</f>
        <v/>
      </c>
      <c r="O1115" s="13" t="str">
        <f t="shared" si="123"/>
        <v/>
      </c>
      <c r="P1115" s="35" t="str">
        <f>_xlfn.SINGLE(IF(F1115="","",_xlfn.XLOOKUP(F1115,purchase!D:D,purchase!K:K,"")))</f>
        <v/>
      </c>
      <c r="Q1115" s="29" t="str">
        <f t="shared" si="124"/>
        <v/>
      </c>
      <c r="R1115" s="37" t="str">
        <f t="shared" si="125"/>
        <v/>
      </c>
    </row>
    <row r="1116" spans="1:18" x14ac:dyDescent="0.35">
      <c r="A1116" s="8">
        <v>1112</v>
      </c>
      <c r="B1116" s="9" t="str">
        <f t="shared" si="119"/>
        <v/>
      </c>
      <c r="C1116" s="10"/>
      <c r="D1116" s="9" t="str">
        <f>IF(F1116="","",_xlfn.XLOOKUP(F1116,purchase!D:D,purchase!#REF!,""))</f>
        <v/>
      </c>
      <c r="E1116" s="9" t="str">
        <f>IF(F1116="","",_xlfn.XLOOKUP(F1116,purchase!D:D,purchase!B:B,""))</f>
        <v/>
      </c>
      <c r="F1116" s="2"/>
      <c r="G1116" s="4" t="str">
        <f t="shared" si="120"/>
        <v/>
      </c>
      <c r="H1116" s="4" t="str">
        <f>IF(F1116="","",_xlfn.XLOOKUP(F1116,purchase!D:D,purchase!#REF!,""))</f>
        <v/>
      </c>
      <c r="I1116" s="4" t="str">
        <f t="shared" si="121"/>
        <v/>
      </c>
      <c r="J1116" s="4" t="str">
        <f t="shared" si="122"/>
        <v/>
      </c>
      <c r="K1116" s="13" t="str">
        <f>_xlfn.SINGLE(IF(F1116="","",_xlfn.XLOOKUP(F1116,purchase!D:D,purchase!#REF!,"")))</f>
        <v/>
      </c>
      <c r="L1116" s="2"/>
      <c r="M1116" s="32"/>
      <c r="N1116" s="13" t="str">
        <f>IF(F1116="","",
MAX(0,
_xlfn.XLOOKUP(F1116,purchase!D:D,purchase!#REF!,"")
-
SUMIFS(L:L,F:F,F1116)))</f>
        <v/>
      </c>
      <c r="O1116" s="13" t="str">
        <f t="shared" si="123"/>
        <v/>
      </c>
      <c r="P1116" s="35" t="str">
        <f>_xlfn.SINGLE(IF(F1116="","",_xlfn.XLOOKUP(F1116,purchase!D:D,purchase!K:K,"")))</f>
        <v/>
      </c>
      <c r="Q1116" s="29" t="str">
        <f t="shared" si="124"/>
        <v/>
      </c>
      <c r="R1116" s="37" t="str">
        <f t="shared" si="125"/>
        <v/>
      </c>
    </row>
    <row r="1117" spans="1:18" x14ac:dyDescent="0.35">
      <c r="A1117" s="8">
        <v>1113</v>
      </c>
      <c r="B1117" s="9" t="str">
        <f t="shared" si="119"/>
        <v/>
      </c>
      <c r="C1117" s="10"/>
      <c r="D1117" s="9" t="str">
        <f>IF(F1117="","",_xlfn.XLOOKUP(F1117,purchase!D:D,purchase!#REF!,""))</f>
        <v/>
      </c>
      <c r="E1117" s="9" t="str">
        <f>IF(F1117="","",_xlfn.XLOOKUP(F1117,purchase!D:D,purchase!B:B,""))</f>
        <v/>
      </c>
      <c r="F1117" s="2"/>
      <c r="G1117" s="4" t="str">
        <f t="shared" si="120"/>
        <v/>
      </c>
      <c r="H1117" s="4" t="str">
        <f>IF(F1117="","",_xlfn.XLOOKUP(F1117,purchase!D:D,purchase!#REF!,""))</f>
        <v/>
      </c>
      <c r="I1117" s="4" t="str">
        <f t="shared" si="121"/>
        <v/>
      </c>
      <c r="J1117" s="4" t="str">
        <f t="shared" si="122"/>
        <v/>
      </c>
      <c r="K1117" s="13" t="str">
        <f>_xlfn.SINGLE(IF(F1117="","",_xlfn.XLOOKUP(F1117,purchase!D:D,purchase!#REF!,"")))</f>
        <v/>
      </c>
      <c r="L1117" s="2"/>
      <c r="M1117" s="32"/>
      <c r="N1117" s="13" t="str">
        <f>IF(F1117="","",
MAX(0,
_xlfn.XLOOKUP(F1117,purchase!D:D,purchase!#REF!,"")
-
SUMIFS(L:L,F:F,F1117)))</f>
        <v/>
      </c>
      <c r="O1117" s="13" t="str">
        <f t="shared" si="123"/>
        <v/>
      </c>
      <c r="P1117" s="35" t="str">
        <f>_xlfn.SINGLE(IF(F1117="","",_xlfn.XLOOKUP(F1117,purchase!D:D,purchase!K:K,"")))</f>
        <v/>
      </c>
      <c r="Q1117" s="29" t="str">
        <f t="shared" si="124"/>
        <v/>
      </c>
      <c r="R1117" s="37" t="str">
        <f t="shared" si="125"/>
        <v/>
      </c>
    </row>
    <row r="1118" spans="1:18" x14ac:dyDescent="0.35">
      <c r="A1118" s="8">
        <v>1114</v>
      </c>
      <c r="B1118" s="9" t="str">
        <f t="shared" si="119"/>
        <v/>
      </c>
      <c r="C1118" s="10"/>
      <c r="D1118" s="9" t="str">
        <f>IF(F1118="","",_xlfn.XLOOKUP(F1118,purchase!D:D,purchase!#REF!,""))</f>
        <v/>
      </c>
      <c r="E1118" s="9" t="str">
        <f>IF(F1118="","",_xlfn.XLOOKUP(F1118,purchase!D:D,purchase!B:B,""))</f>
        <v/>
      </c>
      <c r="F1118" s="2"/>
      <c r="G1118" s="4" t="str">
        <f t="shared" si="120"/>
        <v/>
      </c>
      <c r="H1118" s="4" t="str">
        <f>IF(F1118="","",_xlfn.XLOOKUP(F1118,purchase!D:D,purchase!#REF!,""))</f>
        <v/>
      </c>
      <c r="I1118" s="4" t="str">
        <f t="shared" si="121"/>
        <v/>
      </c>
      <c r="J1118" s="4" t="str">
        <f t="shared" si="122"/>
        <v/>
      </c>
      <c r="K1118" s="13" t="str">
        <f>_xlfn.SINGLE(IF(F1118="","",_xlfn.XLOOKUP(F1118,purchase!D:D,purchase!#REF!,"")))</f>
        <v/>
      </c>
      <c r="L1118" s="2"/>
      <c r="M1118" s="32"/>
      <c r="N1118" s="13" t="str">
        <f>IF(F1118="","",
MAX(0,
_xlfn.XLOOKUP(F1118,purchase!D:D,purchase!#REF!,"")
-
SUMIFS(L:L,F:F,F1118)))</f>
        <v/>
      </c>
      <c r="O1118" s="13" t="str">
        <f t="shared" si="123"/>
        <v/>
      </c>
      <c r="P1118" s="35" t="str">
        <f>_xlfn.SINGLE(IF(F1118="","",_xlfn.XLOOKUP(F1118,purchase!D:D,purchase!K:K,"")))</f>
        <v/>
      </c>
      <c r="Q1118" s="29" t="str">
        <f t="shared" si="124"/>
        <v/>
      </c>
      <c r="R1118" s="37" t="str">
        <f t="shared" si="125"/>
        <v/>
      </c>
    </row>
    <row r="1119" spans="1:18" x14ac:dyDescent="0.35">
      <c r="A1119" s="8">
        <v>1115</v>
      </c>
      <c r="B1119" s="9" t="str">
        <f t="shared" si="119"/>
        <v/>
      </c>
      <c r="C1119" s="10"/>
      <c r="D1119" s="9" t="str">
        <f>IF(F1119="","",_xlfn.XLOOKUP(F1119,purchase!D:D,purchase!#REF!,""))</f>
        <v/>
      </c>
      <c r="E1119" s="9" t="str">
        <f>IF(F1119="","",_xlfn.XLOOKUP(F1119,purchase!D:D,purchase!B:B,""))</f>
        <v/>
      </c>
      <c r="F1119" s="2"/>
      <c r="G1119" s="4" t="str">
        <f t="shared" si="120"/>
        <v/>
      </c>
      <c r="H1119" s="4" t="str">
        <f>IF(F1119="","",_xlfn.XLOOKUP(F1119,purchase!D:D,purchase!#REF!,""))</f>
        <v/>
      </c>
      <c r="I1119" s="4" t="str">
        <f t="shared" si="121"/>
        <v/>
      </c>
      <c r="J1119" s="4" t="str">
        <f t="shared" si="122"/>
        <v/>
      </c>
      <c r="K1119" s="13" t="str">
        <f>_xlfn.SINGLE(IF(F1119="","",_xlfn.XLOOKUP(F1119,purchase!D:D,purchase!#REF!,"")))</f>
        <v/>
      </c>
      <c r="L1119" s="2"/>
      <c r="M1119" s="32"/>
      <c r="N1119" s="13" t="str">
        <f>IF(F1119="","",
MAX(0,
_xlfn.XLOOKUP(F1119,purchase!D:D,purchase!#REF!,"")
-
SUMIFS(L:L,F:F,F1119)))</f>
        <v/>
      </c>
      <c r="O1119" s="13" t="str">
        <f t="shared" si="123"/>
        <v/>
      </c>
      <c r="P1119" s="35" t="str">
        <f>_xlfn.SINGLE(IF(F1119="","",_xlfn.XLOOKUP(F1119,purchase!D:D,purchase!K:K,"")))</f>
        <v/>
      </c>
      <c r="Q1119" s="29" t="str">
        <f t="shared" si="124"/>
        <v/>
      </c>
      <c r="R1119" s="37" t="str">
        <f t="shared" si="125"/>
        <v/>
      </c>
    </row>
    <row r="1120" spans="1:18" x14ac:dyDescent="0.35">
      <c r="A1120" s="8">
        <v>1116</v>
      </c>
      <c r="B1120" s="9" t="str">
        <f t="shared" si="119"/>
        <v/>
      </c>
      <c r="C1120" s="10"/>
      <c r="D1120" s="9" t="str">
        <f>IF(F1120="","",_xlfn.XLOOKUP(F1120,purchase!D:D,purchase!#REF!,""))</f>
        <v/>
      </c>
      <c r="E1120" s="9" t="str">
        <f>IF(F1120="","",_xlfn.XLOOKUP(F1120,purchase!D:D,purchase!B:B,""))</f>
        <v/>
      </c>
      <c r="F1120" s="2"/>
      <c r="G1120" s="4" t="str">
        <f t="shared" si="120"/>
        <v/>
      </c>
      <c r="H1120" s="4" t="str">
        <f>IF(F1120="","",_xlfn.XLOOKUP(F1120,purchase!D:D,purchase!#REF!,""))</f>
        <v/>
      </c>
      <c r="I1120" s="4" t="str">
        <f t="shared" si="121"/>
        <v/>
      </c>
      <c r="J1120" s="4" t="str">
        <f t="shared" si="122"/>
        <v/>
      </c>
      <c r="K1120" s="13" t="str">
        <f>_xlfn.SINGLE(IF(F1120="","",_xlfn.XLOOKUP(F1120,purchase!D:D,purchase!#REF!,"")))</f>
        <v/>
      </c>
      <c r="L1120" s="2"/>
      <c r="M1120" s="32"/>
      <c r="N1120" s="13" t="str">
        <f>IF(F1120="","",
MAX(0,
_xlfn.XLOOKUP(F1120,purchase!D:D,purchase!#REF!,"")
-
SUMIFS(L:L,F:F,F1120)))</f>
        <v/>
      </c>
      <c r="O1120" s="13" t="str">
        <f t="shared" si="123"/>
        <v/>
      </c>
      <c r="P1120" s="35" t="str">
        <f>_xlfn.SINGLE(IF(F1120="","",_xlfn.XLOOKUP(F1120,purchase!D:D,purchase!K:K,"")))</f>
        <v/>
      </c>
      <c r="Q1120" s="29" t="str">
        <f t="shared" si="124"/>
        <v/>
      </c>
      <c r="R1120" s="37" t="str">
        <f t="shared" si="125"/>
        <v/>
      </c>
    </row>
    <row r="1121" spans="1:18" x14ac:dyDescent="0.35">
      <c r="A1121" s="8">
        <v>1117</v>
      </c>
      <c r="B1121" s="9" t="str">
        <f t="shared" si="119"/>
        <v/>
      </c>
      <c r="C1121" s="10"/>
      <c r="D1121" s="9" t="str">
        <f>IF(F1121="","",_xlfn.XLOOKUP(F1121,purchase!D:D,purchase!#REF!,""))</f>
        <v/>
      </c>
      <c r="E1121" s="9" t="str">
        <f>IF(F1121="","",_xlfn.XLOOKUP(F1121,purchase!D:D,purchase!B:B,""))</f>
        <v/>
      </c>
      <c r="F1121" s="2"/>
      <c r="G1121" s="4" t="str">
        <f t="shared" si="120"/>
        <v/>
      </c>
      <c r="H1121" s="4" t="str">
        <f>IF(F1121="","",_xlfn.XLOOKUP(F1121,purchase!D:D,purchase!#REF!,""))</f>
        <v/>
      </c>
      <c r="I1121" s="4" t="str">
        <f t="shared" si="121"/>
        <v/>
      </c>
      <c r="J1121" s="4" t="str">
        <f t="shared" si="122"/>
        <v/>
      </c>
      <c r="K1121" s="13" t="str">
        <f>_xlfn.SINGLE(IF(F1121="","",_xlfn.XLOOKUP(F1121,purchase!D:D,purchase!#REF!,"")))</f>
        <v/>
      </c>
      <c r="L1121" s="2"/>
      <c r="M1121" s="32"/>
      <c r="N1121" s="13" t="str">
        <f>IF(F1121="","",
MAX(0,
_xlfn.XLOOKUP(F1121,purchase!D:D,purchase!#REF!,"")
-
SUMIFS(L:L,F:F,F1121)))</f>
        <v/>
      </c>
      <c r="O1121" s="13" t="str">
        <f t="shared" si="123"/>
        <v/>
      </c>
      <c r="P1121" s="35" t="str">
        <f>_xlfn.SINGLE(IF(F1121="","",_xlfn.XLOOKUP(F1121,purchase!D:D,purchase!K:K,"")))</f>
        <v/>
      </c>
      <c r="Q1121" s="29" t="str">
        <f t="shared" si="124"/>
        <v/>
      </c>
      <c r="R1121" s="37" t="str">
        <f t="shared" si="125"/>
        <v/>
      </c>
    </row>
    <row r="1122" spans="1:18" x14ac:dyDescent="0.35">
      <c r="A1122" s="8">
        <v>1118</v>
      </c>
      <c r="B1122" s="9" t="str">
        <f t="shared" si="119"/>
        <v/>
      </c>
      <c r="C1122" s="10"/>
      <c r="D1122" s="9" t="str">
        <f>IF(F1122="","",_xlfn.XLOOKUP(F1122,purchase!D:D,purchase!#REF!,""))</f>
        <v/>
      </c>
      <c r="E1122" s="9" t="str">
        <f>IF(F1122="","",_xlfn.XLOOKUP(F1122,purchase!D:D,purchase!B:B,""))</f>
        <v/>
      </c>
      <c r="F1122" s="2"/>
      <c r="G1122" s="4" t="str">
        <f t="shared" si="120"/>
        <v/>
      </c>
      <c r="H1122" s="4" t="str">
        <f>IF(F1122="","",_xlfn.XLOOKUP(F1122,purchase!D:D,purchase!#REF!,""))</f>
        <v/>
      </c>
      <c r="I1122" s="4" t="str">
        <f t="shared" si="121"/>
        <v/>
      </c>
      <c r="J1122" s="4" t="str">
        <f t="shared" si="122"/>
        <v/>
      </c>
      <c r="K1122" s="13" t="str">
        <f>_xlfn.SINGLE(IF(F1122="","",_xlfn.XLOOKUP(F1122,purchase!D:D,purchase!#REF!,"")))</f>
        <v/>
      </c>
      <c r="L1122" s="2"/>
      <c r="M1122" s="32"/>
      <c r="N1122" s="13" t="str">
        <f>IF(F1122="","",
MAX(0,
_xlfn.XLOOKUP(F1122,purchase!D:D,purchase!#REF!,"")
-
SUMIFS(L:L,F:F,F1122)))</f>
        <v/>
      </c>
      <c r="O1122" s="13" t="str">
        <f t="shared" si="123"/>
        <v/>
      </c>
      <c r="P1122" s="35" t="str">
        <f>_xlfn.SINGLE(IF(F1122="","",_xlfn.XLOOKUP(F1122,purchase!D:D,purchase!K:K,"")))</f>
        <v/>
      </c>
      <c r="Q1122" s="29" t="str">
        <f t="shared" si="124"/>
        <v/>
      </c>
      <c r="R1122" s="37" t="str">
        <f t="shared" si="125"/>
        <v/>
      </c>
    </row>
    <row r="1123" spans="1:18" x14ac:dyDescent="0.35">
      <c r="A1123" s="8">
        <v>1119</v>
      </c>
      <c r="B1123" s="9" t="str">
        <f t="shared" si="119"/>
        <v/>
      </c>
      <c r="C1123" s="10"/>
      <c r="D1123" s="9" t="str">
        <f>IF(F1123="","",_xlfn.XLOOKUP(F1123,purchase!D:D,purchase!#REF!,""))</f>
        <v/>
      </c>
      <c r="E1123" s="9" t="str">
        <f>IF(F1123="","",_xlfn.XLOOKUP(F1123,purchase!D:D,purchase!B:B,""))</f>
        <v/>
      </c>
      <c r="F1123" s="2"/>
      <c r="G1123" s="4" t="str">
        <f t="shared" si="120"/>
        <v/>
      </c>
      <c r="H1123" s="4" t="str">
        <f>IF(F1123="","",_xlfn.XLOOKUP(F1123,purchase!D:D,purchase!#REF!,""))</f>
        <v/>
      </c>
      <c r="I1123" s="4" t="str">
        <f t="shared" si="121"/>
        <v/>
      </c>
      <c r="J1123" s="4" t="str">
        <f t="shared" si="122"/>
        <v/>
      </c>
      <c r="K1123" s="13" t="str">
        <f>_xlfn.SINGLE(IF(F1123="","",_xlfn.XLOOKUP(F1123,purchase!D:D,purchase!#REF!,"")))</f>
        <v/>
      </c>
      <c r="L1123" s="2"/>
      <c r="M1123" s="32"/>
      <c r="N1123" s="13" t="str">
        <f>IF(F1123="","",
MAX(0,
_xlfn.XLOOKUP(F1123,purchase!D:D,purchase!#REF!,"")
-
SUMIFS(L:L,F:F,F1123)))</f>
        <v/>
      </c>
      <c r="O1123" s="13" t="str">
        <f t="shared" si="123"/>
        <v/>
      </c>
      <c r="P1123" s="35" t="str">
        <f>_xlfn.SINGLE(IF(F1123="","",_xlfn.XLOOKUP(F1123,purchase!D:D,purchase!K:K,"")))</f>
        <v/>
      </c>
      <c r="Q1123" s="29" t="str">
        <f t="shared" si="124"/>
        <v/>
      </c>
      <c r="R1123" s="37" t="str">
        <f t="shared" si="125"/>
        <v/>
      </c>
    </row>
    <row r="1124" spans="1:18" x14ac:dyDescent="0.35">
      <c r="A1124" s="8">
        <v>1120</v>
      </c>
      <c r="B1124" s="9" t="str">
        <f t="shared" si="119"/>
        <v/>
      </c>
      <c r="C1124" s="10"/>
      <c r="D1124" s="9" t="str">
        <f>IF(F1124="","",_xlfn.XLOOKUP(F1124,purchase!D:D,purchase!#REF!,""))</f>
        <v/>
      </c>
      <c r="E1124" s="9" t="str">
        <f>IF(F1124="","",_xlfn.XLOOKUP(F1124,purchase!D:D,purchase!B:B,""))</f>
        <v/>
      </c>
      <c r="F1124" s="2"/>
      <c r="G1124" s="4" t="str">
        <f t="shared" si="120"/>
        <v/>
      </c>
      <c r="H1124" s="4" t="str">
        <f>IF(F1124="","",_xlfn.XLOOKUP(F1124,purchase!D:D,purchase!#REF!,""))</f>
        <v/>
      </c>
      <c r="I1124" s="4" t="str">
        <f t="shared" si="121"/>
        <v/>
      </c>
      <c r="J1124" s="4" t="str">
        <f t="shared" si="122"/>
        <v/>
      </c>
      <c r="K1124" s="13" t="str">
        <f>_xlfn.SINGLE(IF(F1124="","",_xlfn.XLOOKUP(F1124,purchase!D:D,purchase!#REF!,"")))</f>
        <v/>
      </c>
      <c r="L1124" s="2"/>
      <c r="M1124" s="32"/>
      <c r="N1124" s="13" t="str">
        <f>IF(F1124="","",
MAX(0,
_xlfn.XLOOKUP(F1124,purchase!D:D,purchase!#REF!,"")
-
SUMIFS(L:L,F:F,F1124)))</f>
        <v/>
      </c>
      <c r="O1124" s="13" t="str">
        <f t="shared" si="123"/>
        <v/>
      </c>
      <c r="P1124" s="35" t="str">
        <f>_xlfn.SINGLE(IF(F1124="","",_xlfn.XLOOKUP(F1124,purchase!D:D,purchase!K:K,"")))</f>
        <v/>
      </c>
      <c r="Q1124" s="29" t="str">
        <f t="shared" si="124"/>
        <v/>
      </c>
      <c r="R1124" s="37" t="str">
        <f t="shared" si="125"/>
        <v/>
      </c>
    </row>
    <row r="1125" spans="1:18" x14ac:dyDescent="0.35">
      <c r="A1125" s="8">
        <v>1121</v>
      </c>
      <c r="B1125" s="9" t="str">
        <f t="shared" si="119"/>
        <v/>
      </c>
      <c r="C1125" s="10"/>
      <c r="D1125" s="9" t="str">
        <f>IF(F1125="","",_xlfn.XLOOKUP(F1125,purchase!D:D,purchase!#REF!,""))</f>
        <v/>
      </c>
      <c r="E1125" s="9" t="str">
        <f>IF(F1125="","",_xlfn.XLOOKUP(F1125,purchase!D:D,purchase!B:B,""))</f>
        <v/>
      </c>
      <c r="F1125" s="2"/>
      <c r="G1125" s="4" t="str">
        <f t="shared" si="120"/>
        <v/>
      </c>
      <c r="H1125" s="4" t="str">
        <f>IF(F1125="","",_xlfn.XLOOKUP(F1125,purchase!D:D,purchase!#REF!,""))</f>
        <v/>
      </c>
      <c r="I1125" s="4" t="str">
        <f t="shared" si="121"/>
        <v/>
      </c>
      <c r="J1125" s="4" t="str">
        <f t="shared" si="122"/>
        <v/>
      </c>
      <c r="K1125" s="13" t="str">
        <f>_xlfn.SINGLE(IF(F1125="","",_xlfn.XLOOKUP(F1125,purchase!D:D,purchase!#REF!,"")))</f>
        <v/>
      </c>
      <c r="L1125" s="2"/>
      <c r="M1125" s="32"/>
      <c r="N1125" s="13" t="str">
        <f>IF(F1125="","",
MAX(0,
_xlfn.XLOOKUP(F1125,purchase!D:D,purchase!#REF!,"")
-
SUMIFS(L:L,F:F,F1125)))</f>
        <v/>
      </c>
      <c r="O1125" s="13" t="str">
        <f t="shared" si="123"/>
        <v/>
      </c>
      <c r="P1125" s="35" t="str">
        <f>_xlfn.SINGLE(IF(F1125="","",_xlfn.XLOOKUP(F1125,purchase!D:D,purchase!K:K,"")))</f>
        <v/>
      </c>
      <c r="Q1125" s="29" t="str">
        <f t="shared" si="124"/>
        <v/>
      </c>
      <c r="R1125" s="37" t="str">
        <f t="shared" si="125"/>
        <v/>
      </c>
    </row>
    <row r="1126" spans="1:18" x14ac:dyDescent="0.35">
      <c r="A1126" s="8">
        <v>1122</v>
      </c>
      <c r="B1126" s="9" t="str">
        <f t="shared" si="119"/>
        <v/>
      </c>
      <c r="C1126" s="10"/>
      <c r="D1126" s="9" t="str">
        <f>IF(F1126="","",_xlfn.XLOOKUP(F1126,purchase!D:D,purchase!#REF!,""))</f>
        <v/>
      </c>
      <c r="E1126" s="9" t="str">
        <f>IF(F1126="","",_xlfn.XLOOKUP(F1126,purchase!D:D,purchase!B:B,""))</f>
        <v/>
      </c>
      <c r="F1126" s="2"/>
      <c r="G1126" s="4" t="str">
        <f t="shared" si="120"/>
        <v/>
      </c>
      <c r="H1126" s="4" t="str">
        <f>IF(F1126="","",_xlfn.XLOOKUP(F1126,purchase!D:D,purchase!#REF!,""))</f>
        <v/>
      </c>
      <c r="I1126" s="4" t="str">
        <f t="shared" si="121"/>
        <v/>
      </c>
      <c r="J1126" s="4" t="str">
        <f t="shared" si="122"/>
        <v/>
      </c>
      <c r="K1126" s="13" t="str">
        <f>_xlfn.SINGLE(IF(F1126="","",_xlfn.XLOOKUP(F1126,purchase!D:D,purchase!#REF!,"")))</f>
        <v/>
      </c>
      <c r="L1126" s="2"/>
      <c r="M1126" s="32"/>
      <c r="N1126" s="13" t="str">
        <f>IF(F1126="","",
MAX(0,
_xlfn.XLOOKUP(F1126,purchase!D:D,purchase!#REF!,"")
-
SUMIFS(L:L,F:F,F1126)))</f>
        <v/>
      </c>
      <c r="O1126" s="13" t="str">
        <f t="shared" si="123"/>
        <v/>
      </c>
      <c r="P1126" s="35" t="str">
        <f>_xlfn.SINGLE(IF(F1126="","",_xlfn.XLOOKUP(F1126,purchase!D:D,purchase!K:K,"")))</f>
        <v/>
      </c>
      <c r="Q1126" s="29" t="str">
        <f t="shared" si="124"/>
        <v/>
      </c>
      <c r="R1126" s="37" t="str">
        <f t="shared" si="125"/>
        <v/>
      </c>
    </row>
    <row r="1127" spans="1:18" x14ac:dyDescent="0.35">
      <c r="A1127" s="8">
        <v>1123</v>
      </c>
      <c r="B1127" s="9" t="str">
        <f t="shared" si="119"/>
        <v/>
      </c>
      <c r="C1127" s="10"/>
      <c r="D1127" s="9" t="str">
        <f>IF(F1127="","",_xlfn.XLOOKUP(F1127,purchase!D:D,purchase!#REF!,""))</f>
        <v/>
      </c>
      <c r="E1127" s="9" t="str">
        <f>IF(F1127="","",_xlfn.XLOOKUP(F1127,purchase!D:D,purchase!B:B,""))</f>
        <v/>
      </c>
      <c r="F1127" s="2"/>
      <c r="G1127" s="4" t="str">
        <f t="shared" si="120"/>
        <v/>
      </c>
      <c r="H1127" s="4" t="str">
        <f>IF(F1127="","",_xlfn.XLOOKUP(F1127,purchase!D:D,purchase!#REF!,""))</f>
        <v/>
      </c>
      <c r="I1127" s="4" t="str">
        <f t="shared" si="121"/>
        <v/>
      </c>
      <c r="J1127" s="4" t="str">
        <f t="shared" si="122"/>
        <v/>
      </c>
      <c r="K1127" s="13" t="str">
        <f>_xlfn.SINGLE(IF(F1127="","",_xlfn.XLOOKUP(F1127,purchase!D:D,purchase!#REF!,"")))</f>
        <v/>
      </c>
      <c r="L1127" s="2"/>
      <c r="M1127" s="32"/>
      <c r="N1127" s="13" t="str">
        <f>IF(F1127="","",
MAX(0,
_xlfn.XLOOKUP(F1127,purchase!D:D,purchase!#REF!,"")
-
SUMIFS(L:L,F:F,F1127)))</f>
        <v/>
      </c>
      <c r="O1127" s="13" t="str">
        <f t="shared" si="123"/>
        <v/>
      </c>
      <c r="P1127" s="35" t="str">
        <f>_xlfn.SINGLE(IF(F1127="","",_xlfn.XLOOKUP(F1127,purchase!D:D,purchase!K:K,"")))</f>
        <v/>
      </c>
      <c r="Q1127" s="29" t="str">
        <f t="shared" si="124"/>
        <v/>
      </c>
      <c r="R1127" s="37" t="str">
        <f t="shared" si="125"/>
        <v/>
      </c>
    </row>
    <row r="1128" spans="1:18" x14ac:dyDescent="0.35">
      <c r="A1128" s="8">
        <v>1124</v>
      </c>
      <c r="B1128" s="9" t="str">
        <f t="shared" si="119"/>
        <v/>
      </c>
      <c r="C1128" s="10"/>
      <c r="D1128" s="9" t="str">
        <f>IF(F1128="","",_xlfn.XLOOKUP(F1128,purchase!D:D,purchase!#REF!,""))</f>
        <v/>
      </c>
      <c r="E1128" s="9" t="str">
        <f>IF(F1128="","",_xlfn.XLOOKUP(F1128,purchase!D:D,purchase!B:B,""))</f>
        <v/>
      </c>
      <c r="F1128" s="2"/>
      <c r="G1128" s="4" t="str">
        <f t="shared" si="120"/>
        <v/>
      </c>
      <c r="H1128" s="4" t="str">
        <f>IF(F1128="","",_xlfn.XLOOKUP(F1128,purchase!D:D,purchase!#REF!,""))</f>
        <v/>
      </c>
      <c r="I1128" s="4" t="str">
        <f t="shared" si="121"/>
        <v/>
      </c>
      <c r="J1128" s="4" t="str">
        <f t="shared" si="122"/>
        <v/>
      </c>
      <c r="K1128" s="13" t="str">
        <f>_xlfn.SINGLE(IF(F1128="","",_xlfn.XLOOKUP(F1128,purchase!D:D,purchase!#REF!,"")))</f>
        <v/>
      </c>
      <c r="L1128" s="2"/>
      <c r="M1128" s="32"/>
      <c r="N1128" s="13" t="str">
        <f>IF(F1128="","",
MAX(0,
_xlfn.XLOOKUP(F1128,purchase!D:D,purchase!#REF!,"")
-
SUMIFS(L:L,F:F,F1128)))</f>
        <v/>
      </c>
      <c r="O1128" s="13" t="str">
        <f t="shared" si="123"/>
        <v/>
      </c>
      <c r="P1128" s="35" t="str">
        <f>_xlfn.SINGLE(IF(F1128="","",_xlfn.XLOOKUP(F1128,purchase!D:D,purchase!K:K,"")))</f>
        <v/>
      </c>
      <c r="Q1128" s="29" t="str">
        <f t="shared" si="124"/>
        <v/>
      </c>
      <c r="R1128" s="37" t="str">
        <f t="shared" si="125"/>
        <v/>
      </c>
    </row>
    <row r="1129" spans="1:18" x14ac:dyDescent="0.35">
      <c r="A1129" s="8">
        <v>1125</v>
      </c>
      <c r="B1129" s="9" t="str">
        <f t="shared" si="119"/>
        <v/>
      </c>
      <c r="C1129" s="10"/>
      <c r="D1129" s="9" t="str">
        <f>IF(F1129="","",_xlfn.XLOOKUP(F1129,purchase!D:D,purchase!#REF!,""))</f>
        <v/>
      </c>
      <c r="E1129" s="9" t="str">
        <f>IF(F1129="","",_xlfn.XLOOKUP(F1129,purchase!D:D,purchase!B:B,""))</f>
        <v/>
      </c>
      <c r="F1129" s="2"/>
      <c r="G1129" s="4" t="str">
        <f t="shared" si="120"/>
        <v/>
      </c>
      <c r="H1129" s="4" t="str">
        <f>IF(F1129="","",_xlfn.XLOOKUP(F1129,purchase!D:D,purchase!#REF!,""))</f>
        <v/>
      </c>
      <c r="I1129" s="4" t="str">
        <f t="shared" si="121"/>
        <v/>
      </c>
      <c r="J1129" s="4" t="str">
        <f t="shared" si="122"/>
        <v/>
      </c>
      <c r="K1129" s="13" t="str">
        <f>_xlfn.SINGLE(IF(F1129="","",_xlfn.XLOOKUP(F1129,purchase!D:D,purchase!#REF!,"")))</f>
        <v/>
      </c>
      <c r="L1129" s="2"/>
      <c r="M1129" s="32"/>
      <c r="N1129" s="13" t="str">
        <f>IF(F1129="","",
MAX(0,
_xlfn.XLOOKUP(F1129,purchase!D:D,purchase!#REF!,"")
-
SUMIFS(L:L,F:F,F1129)))</f>
        <v/>
      </c>
      <c r="O1129" s="13" t="str">
        <f t="shared" si="123"/>
        <v/>
      </c>
      <c r="P1129" s="35" t="str">
        <f>_xlfn.SINGLE(IF(F1129="","",_xlfn.XLOOKUP(F1129,purchase!D:D,purchase!K:K,"")))</f>
        <v/>
      </c>
      <c r="Q1129" s="29" t="str">
        <f t="shared" si="124"/>
        <v/>
      </c>
      <c r="R1129" s="37" t="str">
        <f t="shared" si="125"/>
        <v/>
      </c>
    </row>
    <row r="1130" spans="1:18" x14ac:dyDescent="0.35">
      <c r="A1130" s="8">
        <v>1126</v>
      </c>
      <c r="B1130" s="9" t="str">
        <f t="shared" si="119"/>
        <v/>
      </c>
      <c r="C1130" s="10"/>
      <c r="D1130" s="9" t="str">
        <f>IF(F1130="","",_xlfn.XLOOKUP(F1130,purchase!D:D,purchase!#REF!,""))</f>
        <v/>
      </c>
      <c r="E1130" s="9" t="str">
        <f>IF(F1130="","",_xlfn.XLOOKUP(F1130,purchase!D:D,purchase!B:B,""))</f>
        <v/>
      </c>
      <c r="F1130" s="2"/>
      <c r="G1130" s="4" t="str">
        <f t="shared" si="120"/>
        <v/>
      </c>
      <c r="H1130" s="4" t="str">
        <f>IF(F1130="","",_xlfn.XLOOKUP(F1130,purchase!D:D,purchase!#REF!,""))</f>
        <v/>
      </c>
      <c r="I1130" s="4" t="str">
        <f t="shared" si="121"/>
        <v/>
      </c>
      <c r="J1130" s="4" t="str">
        <f t="shared" si="122"/>
        <v/>
      </c>
      <c r="K1130" s="13" t="str">
        <f>_xlfn.SINGLE(IF(F1130="","",_xlfn.XLOOKUP(F1130,purchase!D:D,purchase!#REF!,"")))</f>
        <v/>
      </c>
      <c r="L1130" s="2"/>
      <c r="M1130" s="32"/>
      <c r="N1130" s="13" t="str">
        <f>IF(F1130="","",
MAX(0,
_xlfn.XLOOKUP(F1130,purchase!D:D,purchase!#REF!,"")
-
SUMIFS(L:L,F:F,F1130)))</f>
        <v/>
      </c>
      <c r="O1130" s="13" t="str">
        <f t="shared" si="123"/>
        <v/>
      </c>
      <c r="P1130" s="35" t="str">
        <f>_xlfn.SINGLE(IF(F1130="","",_xlfn.XLOOKUP(F1130,purchase!D:D,purchase!K:K,"")))</f>
        <v/>
      </c>
      <c r="Q1130" s="29" t="str">
        <f t="shared" si="124"/>
        <v/>
      </c>
      <c r="R1130" s="37" t="str">
        <f t="shared" si="125"/>
        <v/>
      </c>
    </row>
    <row r="1131" spans="1:18" x14ac:dyDescent="0.35">
      <c r="A1131" s="8">
        <v>1127</v>
      </c>
      <c r="B1131" s="9" t="str">
        <f t="shared" si="119"/>
        <v/>
      </c>
      <c r="C1131" s="10"/>
      <c r="D1131" s="9" t="str">
        <f>IF(F1131="","",_xlfn.XLOOKUP(F1131,purchase!D:D,purchase!#REF!,""))</f>
        <v/>
      </c>
      <c r="E1131" s="9" t="str">
        <f>IF(F1131="","",_xlfn.XLOOKUP(F1131,purchase!D:D,purchase!B:B,""))</f>
        <v/>
      </c>
      <c r="F1131" s="2"/>
      <c r="G1131" s="4" t="str">
        <f t="shared" si="120"/>
        <v/>
      </c>
      <c r="H1131" s="4" t="str">
        <f>IF(F1131="","",_xlfn.XLOOKUP(F1131,purchase!D:D,purchase!#REF!,""))</f>
        <v/>
      </c>
      <c r="I1131" s="4" t="str">
        <f t="shared" si="121"/>
        <v/>
      </c>
      <c r="J1131" s="4" t="str">
        <f t="shared" si="122"/>
        <v/>
      </c>
      <c r="K1131" s="13" t="str">
        <f>_xlfn.SINGLE(IF(F1131="","",_xlfn.XLOOKUP(F1131,purchase!D:D,purchase!#REF!,"")))</f>
        <v/>
      </c>
      <c r="L1131" s="2"/>
      <c r="M1131" s="32"/>
      <c r="N1131" s="13" t="str">
        <f>IF(F1131="","",
MAX(0,
_xlfn.XLOOKUP(F1131,purchase!D:D,purchase!#REF!,"")
-
SUMIFS(L:L,F:F,F1131)))</f>
        <v/>
      </c>
      <c r="O1131" s="13" t="str">
        <f t="shared" si="123"/>
        <v/>
      </c>
      <c r="P1131" s="35" t="str">
        <f>_xlfn.SINGLE(IF(F1131="","",_xlfn.XLOOKUP(F1131,purchase!D:D,purchase!K:K,"")))</f>
        <v/>
      </c>
      <c r="Q1131" s="29" t="str">
        <f t="shared" si="124"/>
        <v/>
      </c>
      <c r="R1131" s="37" t="str">
        <f t="shared" si="125"/>
        <v/>
      </c>
    </row>
    <row r="1132" spans="1:18" x14ac:dyDescent="0.35">
      <c r="A1132" s="8">
        <v>1128</v>
      </c>
      <c r="B1132" s="9" t="str">
        <f t="shared" si="119"/>
        <v/>
      </c>
      <c r="C1132" s="10"/>
      <c r="D1132" s="9" t="str">
        <f>IF(F1132="","",_xlfn.XLOOKUP(F1132,purchase!D:D,purchase!#REF!,""))</f>
        <v/>
      </c>
      <c r="E1132" s="9" t="str">
        <f>IF(F1132="","",_xlfn.XLOOKUP(F1132,purchase!D:D,purchase!B:B,""))</f>
        <v/>
      </c>
      <c r="F1132" s="2"/>
      <c r="G1132" s="4" t="str">
        <f t="shared" si="120"/>
        <v/>
      </c>
      <c r="H1132" s="4" t="str">
        <f>IF(F1132="","",_xlfn.XLOOKUP(F1132,purchase!D:D,purchase!#REF!,""))</f>
        <v/>
      </c>
      <c r="I1132" s="4" t="str">
        <f t="shared" si="121"/>
        <v/>
      </c>
      <c r="J1132" s="4" t="str">
        <f t="shared" si="122"/>
        <v/>
      </c>
      <c r="K1132" s="13" t="str">
        <f>_xlfn.SINGLE(IF(F1132="","",_xlfn.XLOOKUP(F1132,purchase!D:D,purchase!#REF!,"")))</f>
        <v/>
      </c>
      <c r="L1132" s="2"/>
      <c r="M1132" s="32"/>
      <c r="N1132" s="13" t="str">
        <f>IF(F1132="","",
MAX(0,
_xlfn.XLOOKUP(F1132,purchase!D:D,purchase!#REF!,"")
-
SUMIFS(L:L,F:F,F1132)))</f>
        <v/>
      </c>
      <c r="O1132" s="13" t="str">
        <f t="shared" si="123"/>
        <v/>
      </c>
      <c r="P1132" s="35" t="str">
        <f>_xlfn.SINGLE(IF(F1132="","",_xlfn.XLOOKUP(F1132,purchase!D:D,purchase!K:K,"")))</f>
        <v/>
      </c>
      <c r="Q1132" s="29" t="str">
        <f t="shared" si="124"/>
        <v/>
      </c>
      <c r="R1132" s="37" t="str">
        <f t="shared" si="125"/>
        <v/>
      </c>
    </row>
    <row r="1133" spans="1:18" x14ac:dyDescent="0.35">
      <c r="A1133" s="8">
        <v>1129</v>
      </c>
      <c r="B1133" s="9" t="str">
        <f t="shared" si="119"/>
        <v/>
      </c>
      <c r="C1133" s="10"/>
      <c r="D1133" s="9" t="str">
        <f>IF(F1133="","",_xlfn.XLOOKUP(F1133,purchase!D:D,purchase!#REF!,""))</f>
        <v/>
      </c>
      <c r="E1133" s="9" t="str">
        <f>IF(F1133="","",_xlfn.XLOOKUP(F1133,purchase!D:D,purchase!B:B,""))</f>
        <v/>
      </c>
      <c r="F1133" s="2"/>
      <c r="G1133" s="4" t="str">
        <f t="shared" si="120"/>
        <v/>
      </c>
      <c r="H1133" s="4" t="str">
        <f>IF(F1133="","",_xlfn.XLOOKUP(F1133,purchase!D:D,purchase!#REF!,""))</f>
        <v/>
      </c>
      <c r="I1133" s="4" t="str">
        <f t="shared" si="121"/>
        <v/>
      </c>
      <c r="J1133" s="4" t="str">
        <f t="shared" si="122"/>
        <v/>
      </c>
      <c r="K1133" s="13" t="str">
        <f>_xlfn.SINGLE(IF(F1133="","",_xlfn.XLOOKUP(F1133,purchase!D:D,purchase!#REF!,"")))</f>
        <v/>
      </c>
      <c r="L1133" s="2"/>
      <c r="M1133" s="32"/>
      <c r="N1133" s="13" t="str">
        <f>IF(F1133="","",
MAX(0,
_xlfn.XLOOKUP(F1133,purchase!D:D,purchase!#REF!,"")
-
SUMIFS(L:L,F:F,F1133)))</f>
        <v/>
      </c>
      <c r="O1133" s="13" t="str">
        <f t="shared" si="123"/>
        <v/>
      </c>
      <c r="P1133" s="35" t="str">
        <f>_xlfn.SINGLE(IF(F1133="","",_xlfn.XLOOKUP(F1133,purchase!D:D,purchase!K:K,"")))</f>
        <v/>
      </c>
      <c r="Q1133" s="29" t="str">
        <f t="shared" si="124"/>
        <v/>
      </c>
      <c r="R1133" s="37" t="str">
        <f t="shared" si="125"/>
        <v/>
      </c>
    </row>
    <row r="1134" spans="1:18" x14ac:dyDescent="0.35">
      <c r="A1134" s="8">
        <v>1130</v>
      </c>
      <c r="B1134" s="9" t="str">
        <f t="shared" si="119"/>
        <v/>
      </c>
      <c r="C1134" s="10"/>
      <c r="D1134" s="9" t="str">
        <f>IF(F1134="","",_xlfn.XLOOKUP(F1134,purchase!D:D,purchase!#REF!,""))</f>
        <v/>
      </c>
      <c r="E1134" s="9" t="str">
        <f>IF(F1134="","",_xlfn.XLOOKUP(F1134,purchase!D:D,purchase!B:B,""))</f>
        <v/>
      </c>
      <c r="F1134" s="2"/>
      <c r="G1134" s="4" t="str">
        <f t="shared" si="120"/>
        <v/>
      </c>
      <c r="H1134" s="4" t="str">
        <f>IF(F1134="","",_xlfn.XLOOKUP(F1134,purchase!D:D,purchase!#REF!,""))</f>
        <v/>
      </c>
      <c r="I1134" s="4" t="str">
        <f t="shared" si="121"/>
        <v/>
      </c>
      <c r="J1134" s="4" t="str">
        <f t="shared" si="122"/>
        <v/>
      </c>
      <c r="K1134" s="13" t="str">
        <f>_xlfn.SINGLE(IF(F1134="","",_xlfn.XLOOKUP(F1134,purchase!D:D,purchase!#REF!,"")))</f>
        <v/>
      </c>
      <c r="L1134" s="2"/>
      <c r="M1134" s="32"/>
      <c r="N1134" s="13" t="str">
        <f>IF(F1134="","",
MAX(0,
_xlfn.XLOOKUP(F1134,purchase!D:D,purchase!#REF!,"")
-
SUMIFS(L:L,F:F,F1134)))</f>
        <v/>
      </c>
      <c r="O1134" s="13" t="str">
        <f t="shared" si="123"/>
        <v/>
      </c>
      <c r="P1134" s="35" t="str">
        <f>_xlfn.SINGLE(IF(F1134="","",_xlfn.XLOOKUP(F1134,purchase!D:D,purchase!K:K,"")))</f>
        <v/>
      </c>
      <c r="Q1134" s="29" t="str">
        <f t="shared" si="124"/>
        <v/>
      </c>
      <c r="R1134" s="37" t="str">
        <f t="shared" si="125"/>
        <v/>
      </c>
    </row>
    <row r="1135" spans="1:18" x14ac:dyDescent="0.35">
      <c r="A1135" s="8">
        <v>1131</v>
      </c>
      <c r="B1135" s="9" t="str">
        <f t="shared" si="119"/>
        <v/>
      </c>
      <c r="C1135" s="10"/>
      <c r="D1135" s="9" t="str">
        <f>IF(F1135="","",_xlfn.XLOOKUP(F1135,purchase!D:D,purchase!#REF!,""))</f>
        <v/>
      </c>
      <c r="E1135" s="9" t="str">
        <f>IF(F1135="","",_xlfn.XLOOKUP(F1135,purchase!D:D,purchase!B:B,""))</f>
        <v/>
      </c>
      <c r="F1135" s="2"/>
      <c r="G1135" s="4" t="str">
        <f t="shared" si="120"/>
        <v/>
      </c>
      <c r="H1135" s="4" t="str">
        <f>IF(F1135="","",_xlfn.XLOOKUP(F1135,purchase!D:D,purchase!#REF!,""))</f>
        <v/>
      </c>
      <c r="I1135" s="4" t="str">
        <f t="shared" si="121"/>
        <v/>
      </c>
      <c r="J1135" s="4" t="str">
        <f t="shared" si="122"/>
        <v/>
      </c>
      <c r="K1135" s="13" t="str">
        <f>_xlfn.SINGLE(IF(F1135="","",_xlfn.XLOOKUP(F1135,purchase!D:D,purchase!#REF!,"")))</f>
        <v/>
      </c>
      <c r="L1135" s="2"/>
      <c r="M1135" s="32"/>
      <c r="N1135" s="13" t="str">
        <f>IF(F1135="","",
MAX(0,
_xlfn.XLOOKUP(F1135,purchase!D:D,purchase!#REF!,"")
-
SUMIFS(L:L,F:F,F1135)))</f>
        <v/>
      </c>
      <c r="O1135" s="13" t="str">
        <f t="shared" si="123"/>
        <v/>
      </c>
      <c r="P1135" s="35" t="str">
        <f>_xlfn.SINGLE(IF(F1135="","",_xlfn.XLOOKUP(F1135,purchase!D:D,purchase!K:K,"")))</f>
        <v/>
      </c>
      <c r="Q1135" s="29" t="str">
        <f t="shared" si="124"/>
        <v/>
      </c>
      <c r="R1135" s="37" t="str">
        <f t="shared" si="125"/>
        <v/>
      </c>
    </row>
    <row r="1136" spans="1:18" x14ac:dyDescent="0.35">
      <c r="A1136" s="8">
        <v>1132</v>
      </c>
      <c r="B1136" s="9" t="str">
        <f t="shared" si="119"/>
        <v/>
      </c>
      <c r="C1136" s="10"/>
      <c r="D1136" s="9" t="str">
        <f>IF(F1136="","",_xlfn.XLOOKUP(F1136,purchase!D:D,purchase!#REF!,""))</f>
        <v/>
      </c>
      <c r="E1136" s="9" t="str">
        <f>IF(F1136="","",_xlfn.XLOOKUP(F1136,purchase!D:D,purchase!B:B,""))</f>
        <v/>
      </c>
      <c r="F1136" s="2"/>
      <c r="G1136" s="4" t="str">
        <f t="shared" si="120"/>
        <v/>
      </c>
      <c r="H1136" s="4" t="str">
        <f>IF(F1136="","",_xlfn.XLOOKUP(F1136,purchase!D:D,purchase!#REF!,""))</f>
        <v/>
      </c>
      <c r="I1136" s="4" t="str">
        <f t="shared" si="121"/>
        <v/>
      </c>
      <c r="J1136" s="4" t="str">
        <f t="shared" si="122"/>
        <v/>
      </c>
      <c r="K1136" s="13" t="str">
        <f>_xlfn.SINGLE(IF(F1136="","",_xlfn.XLOOKUP(F1136,purchase!D:D,purchase!#REF!,"")))</f>
        <v/>
      </c>
      <c r="L1136" s="2"/>
      <c r="M1136" s="32"/>
      <c r="N1136" s="13" t="str">
        <f>IF(F1136="","",
MAX(0,
_xlfn.XLOOKUP(F1136,purchase!D:D,purchase!#REF!,"")
-
SUMIFS(L:L,F:F,F1136)))</f>
        <v/>
      </c>
      <c r="O1136" s="13" t="str">
        <f t="shared" si="123"/>
        <v/>
      </c>
      <c r="P1136" s="35" t="str">
        <f>_xlfn.SINGLE(IF(F1136="","",_xlfn.XLOOKUP(F1136,purchase!D:D,purchase!K:K,"")))</f>
        <v/>
      </c>
      <c r="Q1136" s="29" t="str">
        <f t="shared" si="124"/>
        <v/>
      </c>
      <c r="R1136" s="37" t="str">
        <f t="shared" si="125"/>
        <v/>
      </c>
    </row>
    <row r="1137" spans="1:18" x14ac:dyDescent="0.35">
      <c r="A1137" s="8">
        <v>1133</v>
      </c>
      <c r="B1137" s="9" t="str">
        <f t="shared" si="119"/>
        <v/>
      </c>
      <c r="C1137" s="10"/>
      <c r="D1137" s="9" t="str">
        <f>IF(F1137="","",_xlfn.XLOOKUP(F1137,purchase!D:D,purchase!#REF!,""))</f>
        <v/>
      </c>
      <c r="E1137" s="9" t="str">
        <f>IF(F1137="","",_xlfn.XLOOKUP(F1137,purchase!D:D,purchase!B:B,""))</f>
        <v/>
      </c>
      <c r="F1137" s="2"/>
      <c r="G1137" s="4" t="str">
        <f t="shared" si="120"/>
        <v/>
      </c>
      <c r="H1137" s="4" t="str">
        <f>IF(F1137="","",_xlfn.XLOOKUP(F1137,purchase!D:D,purchase!#REF!,""))</f>
        <v/>
      </c>
      <c r="I1137" s="4" t="str">
        <f t="shared" si="121"/>
        <v/>
      </c>
      <c r="J1137" s="4" t="str">
        <f t="shared" si="122"/>
        <v/>
      </c>
      <c r="K1137" s="13" t="str">
        <f>_xlfn.SINGLE(IF(F1137="","",_xlfn.XLOOKUP(F1137,purchase!D:D,purchase!#REF!,"")))</f>
        <v/>
      </c>
      <c r="L1137" s="2"/>
      <c r="M1137" s="32"/>
      <c r="N1137" s="13" t="str">
        <f>IF(F1137="","",
MAX(0,
_xlfn.XLOOKUP(F1137,purchase!D:D,purchase!#REF!,"")
-
SUMIFS(L:L,F:F,F1137)))</f>
        <v/>
      </c>
      <c r="O1137" s="13" t="str">
        <f t="shared" si="123"/>
        <v/>
      </c>
      <c r="P1137" s="35" t="str">
        <f>_xlfn.SINGLE(IF(F1137="","",_xlfn.XLOOKUP(F1137,purchase!D:D,purchase!K:K,"")))</f>
        <v/>
      </c>
      <c r="Q1137" s="29" t="str">
        <f t="shared" si="124"/>
        <v/>
      </c>
      <c r="R1137" s="37" t="str">
        <f t="shared" si="125"/>
        <v/>
      </c>
    </row>
    <row r="1138" spans="1:18" x14ac:dyDescent="0.35">
      <c r="A1138" s="8">
        <v>1134</v>
      </c>
      <c r="B1138" s="9" t="str">
        <f t="shared" si="119"/>
        <v/>
      </c>
      <c r="C1138" s="10"/>
      <c r="D1138" s="9" t="str">
        <f>IF(F1138="","",_xlfn.XLOOKUP(F1138,purchase!D:D,purchase!#REF!,""))</f>
        <v/>
      </c>
      <c r="E1138" s="9" t="str">
        <f>IF(F1138="","",_xlfn.XLOOKUP(F1138,purchase!D:D,purchase!B:B,""))</f>
        <v/>
      </c>
      <c r="F1138" s="2"/>
      <c r="G1138" s="4" t="str">
        <f t="shared" si="120"/>
        <v/>
      </c>
      <c r="H1138" s="4" t="str">
        <f>IF(F1138="","",_xlfn.XLOOKUP(F1138,purchase!D:D,purchase!#REF!,""))</f>
        <v/>
      </c>
      <c r="I1138" s="4" t="str">
        <f t="shared" si="121"/>
        <v/>
      </c>
      <c r="J1138" s="4" t="str">
        <f t="shared" si="122"/>
        <v/>
      </c>
      <c r="K1138" s="13" t="str">
        <f>_xlfn.SINGLE(IF(F1138="","",_xlfn.XLOOKUP(F1138,purchase!D:D,purchase!#REF!,"")))</f>
        <v/>
      </c>
      <c r="L1138" s="2"/>
      <c r="M1138" s="32"/>
      <c r="N1138" s="13" t="str">
        <f>IF(F1138="","",
MAX(0,
_xlfn.XLOOKUP(F1138,purchase!D:D,purchase!#REF!,"")
-
SUMIFS(L:L,F:F,F1138)))</f>
        <v/>
      </c>
      <c r="O1138" s="13" t="str">
        <f t="shared" si="123"/>
        <v/>
      </c>
      <c r="P1138" s="35" t="str">
        <f>_xlfn.SINGLE(IF(F1138="","",_xlfn.XLOOKUP(F1138,purchase!D:D,purchase!K:K,"")))</f>
        <v/>
      </c>
      <c r="Q1138" s="29" t="str">
        <f t="shared" si="124"/>
        <v/>
      </c>
      <c r="R1138" s="37" t="str">
        <f t="shared" si="125"/>
        <v/>
      </c>
    </row>
    <row r="1139" spans="1:18" x14ac:dyDescent="0.35">
      <c r="A1139" s="8">
        <v>1135</v>
      </c>
      <c r="B1139" s="9" t="str">
        <f t="shared" si="119"/>
        <v/>
      </c>
      <c r="C1139" s="10"/>
      <c r="D1139" s="9" t="str">
        <f>IF(F1139="","",_xlfn.XLOOKUP(F1139,purchase!D:D,purchase!#REF!,""))</f>
        <v/>
      </c>
      <c r="E1139" s="9" t="str">
        <f>IF(F1139="","",_xlfn.XLOOKUP(F1139,purchase!D:D,purchase!B:B,""))</f>
        <v/>
      </c>
      <c r="F1139" s="2"/>
      <c r="G1139" s="4" t="str">
        <f t="shared" si="120"/>
        <v/>
      </c>
      <c r="H1139" s="4" t="str">
        <f>IF(F1139="","",_xlfn.XLOOKUP(F1139,purchase!D:D,purchase!#REF!,""))</f>
        <v/>
      </c>
      <c r="I1139" s="4" t="str">
        <f t="shared" si="121"/>
        <v/>
      </c>
      <c r="J1139" s="4" t="str">
        <f t="shared" si="122"/>
        <v/>
      </c>
      <c r="K1139" s="13" t="str">
        <f>_xlfn.SINGLE(IF(F1139="","",_xlfn.XLOOKUP(F1139,purchase!D:D,purchase!#REF!,"")))</f>
        <v/>
      </c>
      <c r="L1139" s="2"/>
      <c r="M1139" s="32"/>
      <c r="N1139" s="13" t="str">
        <f>IF(F1139="","",
MAX(0,
_xlfn.XLOOKUP(F1139,purchase!D:D,purchase!#REF!,"")
-
SUMIFS(L:L,F:F,F1139)))</f>
        <v/>
      </c>
      <c r="O1139" s="13" t="str">
        <f t="shared" si="123"/>
        <v/>
      </c>
      <c r="P1139" s="35" t="str">
        <f>_xlfn.SINGLE(IF(F1139="","",_xlfn.XLOOKUP(F1139,purchase!D:D,purchase!K:K,"")))</f>
        <v/>
      </c>
      <c r="Q1139" s="29" t="str">
        <f t="shared" si="124"/>
        <v/>
      </c>
      <c r="R1139" s="37" t="str">
        <f t="shared" si="125"/>
        <v/>
      </c>
    </row>
    <row r="1140" spans="1:18" x14ac:dyDescent="0.35">
      <c r="A1140" s="8">
        <v>1136</v>
      </c>
      <c r="B1140" s="9" t="str">
        <f t="shared" si="119"/>
        <v/>
      </c>
      <c r="C1140" s="10"/>
      <c r="D1140" s="9" t="str">
        <f>IF(F1140="","",_xlfn.XLOOKUP(F1140,purchase!D:D,purchase!#REF!,""))</f>
        <v/>
      </c>
      <c r="E1140" s="9" t="str">
        <f>IF(F1140="","",_xlfn.XLOOKUP(F1140,purchase!D:D,purchase!B:B,""))</f>
        <v/>
      </c>
      <c r="F1140" s="2"/>
      <c r="G1140" s="4" t="str">
        <f t="shared" si="120"/>
        <v/>
      </c>
      <c r="H1140" s="4" t="str">
        <f>IF(F1140="","",_xlfn.XLOOKUP(F1140,purchase!D:D,purchase!#REF!,""))</f>
        <v/>
      </c>
      <c r="I1140" s="4" t="str">
        <f t="shared" si="121"/>
        <v/>
      </c>
      <c r="J1140" s="4" t="str">
        <f t="shared" si="122"/>
        <v/>
      </c>
      <c r="K1140" s="13" t="str">
        <f>_xlfn.SINGLE(IF(F1140="","",_xlfn.XLOOKUP(F1140,purchase!D:D,purchase!#REF!,"")))</f>
        <v/>
      </c>
      <c r="L1140" s="2"/>
      <c r="M1140" s="32"/>
      <c r="N1140" s="13" t="str">
        <f>IF(F1140="","",
MAX(0,
_xlfn.XLOOKUP(F1140,purchase!D:D,purchase!#REF!,"")
-
SUMIFS(L:L,F:F,F1140)))</f>
        <v/>
      </c>
      <c r="O1140" s="13" t="str">
        <f t="shared" si="123"/>
        <v/>
      </c>
      <c r="P1140" s="35" t="str">
        <f>_xlfn.SINGLE(IF(F1140="","",_xlfn.XLOOKUP(F1140,purchase!D:D,purchase!K:K,"")))</f>
        <v/>
      </c>
      <c r="Q1140" s="29" t="str">
        <f t="shared" si="124"/>
        <v/>
      </c>
      <c r="R1140" s="37" t="str">
        <f t="shared" si="125"/>
        <v/>
      </c>
    </row>
    <row r="1141" spans="1:18" x14ac:dyDescent="0.35">
      <c r="A1141" s="8">
        <v>1137</v>
      </c>
      <c r="B1141" s="9" t="str">
        <f t="shared" si="119"/>
        <v/>
      </c>
      <c r="C1141" s="10"/>
      <c r="D1141" s="9" t="str">
        <f>IF(F1141="","",_xlfn.XLOOKUP(F1141,purchase!D:D,purchase!#REF!,""))</f>
        <v/>
      </c>
      <c r="E1141" s="9" t="str">
        <f>IF(F1141="","",_xlfn.XLOOKUP(F1141,purchase!D:D,purchase!B:B,""))</f>
        <v/>
      </c>
      <c r="F1141" s="2"/>
      <c r="G1141" s="4" t="str">
        <f t="shared" si="120"/>
        <v/>
      </c>
      <c r="H1141" s="4" t="str">
        <f>IF(F1141="","",_xlfn.XLOOKUP(F1141,purchase!D:D,purchase!#REF!,""))</f>
        <v/>
      </c>
      <c r="I1141" s="4" t="str">
        <f t="shared" si="121"/>
        <v/>
      </c>
      <c r="J1141" s="4" t="str">
        <f t="shared" si="122"/>
        <v/>
      </c>
      <c r="K1141" s="13" t="str">
        <f>_xlfn.SINGLE(IF(F1141="","",_xlfn.XLOOKUP(F1141,purchase!D:D,purchase!#REF!,"")))</f>
        <v/>
      </c>
      <c r="L1141" s="2"/>
      <c r="M1141" s="32"/>
      <c r="N1141" s="13" t="str">
        <f>IF(F1141="","",
MAX(0,
_xlfn.XLOOKUP(F1141,purchase!D:D,purchase!#REF!,"")
-
SUMIFS(L:L,F:F,F1141)))</f>
        <v/>
      </c>
      <c r="O1141" s="13" t="str">
        <f t="shared" si="123"/>
        <v/>
      </c>
      <c r="P1141" s="35" t="str">
        <f>_xlfn.SINGLE(IF(F1141="","",_xlfn.XLOOKUP(F1141,purchase!D:D,purchase!K:K,"")))</f>
        <v/>
      </c>
      <c r="Q1141" s="29" t="str">
        <f t="shared" si="124"/>
        <v/>
      </c>
      <c r="R1141" s="37" t="str">
        <f t="shared" si="125"/>
        <v/>
      </c>
    </row>
    <row r="1142" spans="1:18" x14ac:dyDescent="0.35">
      <c r="A1142" s="8">
        <v>1138</v>
      </c>
      <c r="B1142" s="9" t="str">
        <f t="shared" si="119"/>
        <v/>
      </c>
      <c r="C1142" s="10"/>
      <c r="D1142" s="9" t="str">
        <f>IF(F1142="","",_xlfn.XLOOKUP(F1142,purchase!D:D,purchase!#REF!,""))</f>
        <v/>
      </c>
      <c r="E1142" s="9" t="str">
        <f>IF(F1142="","",_xlfn.XLOOKUP(F1142,purchase!D:D,purchase!B:B,""))</f>
        <v/>
      </c>
      <c r="F1142" s="2"/>
      <c r="G1142" s="4" t="str">
        <f t="shared" si="120"/>
        <v/>
      </c>
      <c r="H1142" s="4" t="str">
        <f>IF(F1142="","",_xlfn.XLOOKUP(F1142,purchase!D:D,purchase!#REF!,""))</f>
        <v/>
      </c>
      <c r="I1142" s="4" t="str">
        <f t="shared" si="121"/>
        <v/>
      </c>
      <c r="J1142" s="4" t="str">
        <f t="shared" si="122"/>
        <v/>
      </c>
      <c r="K1142" s="13" t="str">
        <f>_xlfn.SINGLE(IF(F1142="","",_xlfn.XLOOKUP(F1142,purchase!D:D,purchase!#REF!,"")))</f>
        <v/>
      </c>
      <c r="L1142" s="2"/>
      <c r="M1142" s="32"/>
      <c r="N1142" s="13" t="str">
        <f>IF(F1142="","",
MAX(0,
_xlfn.XLOOKUP(F1142,purchase!D:D,purchase!#REF!,"")
-
SUMIFS(L:L,F:F,F1142)))</f>
        <v/>
      </c>
      <c r="O1142" s="13" t="str">
        <f t="shared" si="123"/>
        <v/>
      </c>
      <c r="P1142" s="35" t="str">
        <f>_xlfn.SINGLE(IF(F1142="","",_xlfn.XLOOKUP(F1142,purchase!D:D,purchase!K:K,"")))</f>
        <v/>
      </c>
      <c r="Q1142" s="29" t="str">
        <f t="shared" si="124"/>
        <v/>
      </c>
      <c r="R1142" s="37" t="str">
        <f t="shared" si="125"/>
        <v/>
      </c>
    </row>
    <row r="1143" spans="1:18" x14ac:dyDescent="0.35">
      <c r="A1143" s="8">
        <v>1139</v>
      </c>
      <c r="B1143" s="9" t="str">
        <f t="shared" si="119"/>
        <v/>
      </c>
      <c r="C1143" s="10"/>
      <c r="D1143" s="9" t="str">
        <f>IF(F1143="","",_xlfn.XLOOKUP(F1143,purchase!D:D,purchase!#REF!,""))</f>
        <v/>
      </c>
      <c r="E1143" s="9" t="str">
        <f>IF(F1143="","",_xlfn.XLOOKUP(F1143,purchase!D:D,purchase!B:B,""))</f>
        <v/>
      </c>
      <c r="F1143" s="2"/>
      <c r="G1143" s="4" t="str">
        <f t="shared" si="120"/>
        <v/>
      </c>
      <c r="H1143" s="4" t="str">
        <f>IF(F1143="","",_xlfn.XLOOKUP(F1143,purchase!D:D,purchase!#REF!,""))</f>
        <v/>
      </c>
      <c r="I1143" s="4" t="str">
        <f t="shared" si="121"/>
        <v/>
      </c>
      <c r="J1143" s="4" t="str">
        <f t="shared" si="122"/>
        <v/>
      </c>
      <c r="K1143" s="13" t="str">
        <f>_xlfn.SINGLE(IF(F1143="","",_xlfn.XLOOKUP(F1143,purchase!D:D,purchase!#REF!,"")))</f>
        <v/>
      </c>
      <c r="L1143" s="2"/>
      <c r="M1143" s="32"/>
      <c r="N1143" s="13" t="str">
        <f>IF(F1143="","",
MAX(0,
_xlfn.XLOOKUP(F1143,purchase!D:D,purchase!#REF!,"")
-
SUMIFS(L:L,F:F,F1143)))</f>
        <v/>
      </c>
      <c r="O1143" s="13" t="str">
        <f t="shared" si="123"/>
        <v/>
      </c>
      <c r="P1143" s="35" t="str">
        <f>_xlfn.SINGLE(IF(F1143="","",_xlfn.XLOOKUP(F1143,purchase!D:D,purchase!K:K,"")))</f>
        <v/>
      </c>
      <c r="Q1143" s="29" t="str">
        <f t="shared" si="124"/>
        <v/>
      </c>
      <c r="R1143" s="37" t="str">
        <f t="shared" si="125"/>
        <v/>
      </c>
    </row>
    <row r="1144" spans="1:18" x14ac:dyDescent="0.35">
      <c r="A1144" s="8">
        <v>1140</v>
      </c>
      <c r="B1144" s="9" t="str">
        <f t="shared" si="119"/>
        <v/>
      </c>
      <c r="C1144" s="10"/>
      <c r="D1144" s="9" t="str">
        <f>IF(F1144="","",_xlfn.XLOOKUP(F1144,purchase!D:D,purchase!#REF!,""))</f>
        <v/>
      </c>
      <c r="E1144" s="9" t="str">
        <f>IF(F1144="","",_xlfn.XLOOKUP(F1144,purchase!D:D,purchase!B:B,""))</f>
        <v/>
      </c>
      <c r="F1144" s="2"/>
      <c r="G1144" s="4" t="str">
        <f t="shared" si="120"/>
        <v/>
      </c>
      <c r="H1144" s="4" t="str">
        <f>IF(F1144="","",_xlfn.XLOOKUP(F1144,purchase!D:D,purchase!#REF!,""))</f>
        <v/>
      </c>
      <c r="I1144" s="4" t="str">
        <f t="shared" si="121"/>
        <v/>
      </c>
      <c r="J1144" s="4" t="str">
        <f t="shared" si="122"/>
        <v/>
      </c>
      <c r="K1144" s="13" t="str">
        <f>_xlfn.SINGLE(IF(F1144="","",_xlfn.XLOOKUP(F1144,purchase!D:D,purchase!#REF!,"")))</f>
        <v/>
      </c>
      <c r="L1144" s="2"/>
      <c r="M1144" s="32"/>
      <c r="N1144" s="13" t="str">
        <f>IF(F1144="","",
MAX(0,
_xlfn.XLOOKUP(F1144,purchase!D:D,purchase!#REF!,"")
-
SUMIFS(L:L,F:F,F1144)))</f>
        <v/>
      </c>
      <c r="O1144" s="13" t="str">
        <f t="shared" si="123"/>
        <v/>
      </c>
      <c r="P1144" s="35" t="str">
        <f>_xlfn.SINGLE(IF(F1144="","",_xlfn.XLOOKUP(F1144,purchase!D:D,purchase!K:K,"")))</f>
        <v/>
      </c>
      <c r="Q1144" s="29" t="str">
        <f t="shared" si="124"/>
        <v/>
      </c>
      <c r="R1144" s="37" t="str">
        <f t="shared" si="125"/>
        <v/>
      </c>
    </row>
    <row r="1145" spans="1:18" x14ac:dyDescent="0.35">
      <c r="A1145" s="8">
        <v>1141</v>
      </c>
      <c r="B1145" s="9" t="str">
        <f t="shared" si="119"/>
        <v/>
      </c>
      <c r="C1145" s="10"/>
      <c r="D1145" s="9" t="str">
        <f>IF(F1145="","",_xlfn.XLOOKUP(F1145,purchase!D:D,purchase!#REF!,""))</f>
        <v/>
      </c>
      <c r="E1145" s="9" t="str">
        <f>IF(F1145="","",_xlfn.XLOOKUP(F1145,purchase!D:D,purchase!B:B,""))</f>
        <v/>
      </c>
      <c r="F1145" s="2"/>
      <c r="G1145" s="4" t="str">
        <f t="shared" si="120"/>
        <v/>
      </c>
      <c r="H1145" s="4" t="str">
        <f>IF(F1145="","",_xlfn.XLOOKUP(F1145,purchase!D:D,purchase!#REF!,""))</f>
        <v/>
      </c>
      <c r="I1145" s="4" t="str">
        <f t="shared" si="121"/>
        <v/>
      </c>
      <c r="J1145" s="4" t="str">
        <f t="shared" si="122"/>
        <v/>
      </c>
      <c r="K1145" s="13" t="str">
        <f>_xlfn.SINGLE(IF(F1145="","",_xlfn.XLOOKUP(F1145,purchase!D:D,purchase!#REF!,"")))</f>
        <v/>
      </c>
      <c r="L1145" s="2"/>
      <c r="M1145" s="32"/>
      <c r="N1145" s="13" t="str">
        <f>IF(F1145="","",
MAX(0,
_xlfn.XLOOKUP(F1145,purchase!D:D,purchase!#REF!,"")
-
SUMIFS(L:L,F:F,F1145)))</f>
        <v/>
      </c>
      <c r="O1145" s="13" t="str">
        <f t="shared" si="123"/>
        <v/>
      </c>
      <c r="P1145" s="35" t="str">
        <f>_xlfn.SINGLE(IF(F1145="","",_xlfn.XLOOKUP(F1145,purchase!D:D,purchase!K:K,"")))</f>
        <v/>
      </c>
      <c r="Q1145" s="29" t="str">
        <f t="shared" si="124"/>
        <v/>
      </c>
      <c r="R1145" s="37" t="str">
        <f t="shared" si="125"/>
        <v/>
      </c>
    </row>
    <row r="1146" spans="1:18" x14ac:dyDescent="0.35">
      <c r="A1146" s="8">
        <v>1142</v>
      </c>
      <c r="B1146" s="9" t="str">
        <f t="shared" si="119"/>
        <v/>
      </c>
      <c r="C1146" s="10"/>
      <c r="D1146" s="9" t="str">
        <f>IF(F1146="","",_xlfn.XLOOKUP(F1146,purchase!D:D,purchase!#REF!,""))</f>
        <v/>
      </c>
      <c r="E1146" s="9" t="str">
        <f>IF(F1146="","",_xlfn.XLOOKUP(F1146,purchase!D:D,purchase!B:B,""))</f>
        <v/>
      </c>
      <c r="F1146" s="2"/>
      <c r="G1146" s="4" t="str">
        <f t="shared" si="120"/>
        <v/>
      </c>
      <c r="H1146" s="4" t="str">
        <f>IF(F1146="","",_xlfn.XLOOKUP(F1146,purchase!D:D,purchase!#REF!,""))</f>
        <v/>
      </c>
      <c r="I1146" s="4" t="str">
        <f t="shared" si="121"/>
        <v/>
      </c>
      <c r="J1146" s="4" t="str">
        <f t="shared" si="122"/>
        <v/>
      </c>
      <c r="K1146" s="13" t="str">
        <f>_xlfn.SINGLE(IF(F1146="","",_xlfn.XLOOKUP(F1146,purchase!D:D,purchase!#REF!,"")))</f>
        <v/>
      </c>
      <c r="L1146" s="2"/>
      <c r="M1146" s="32"/>
      <c r="N1146" s="13" t="str">
        <f>IF(F1146="","",
MAX(0,
_xlfn.XLOOKUP(F1146,purchase!D:D,purchase!#REF!,"")
-
SUMIFS(L:L,F:F,F1146)))</f>
        <v/>
      </c>
      <c r="O1146" s="13" t="str">
        <f t="shared" si="123"/>
        <v/>
      </c>
      <c r="P1146" s="35" t="str">
        <f>_xlfn.SINGLE(IF(F1146="","",_xlfn.XLOOKUP(F1146,purchase!D:D,purchase!K:K,"")))</f>
        <v/>
      </c>
      <c r="Q1146" s="29" t="str">
        <f t="shared" si="124"/>
        <v/>
      </c>
      <c r="R1146" s="37" t="str">
        <f t="shared" si="125"/>
        <v/>
      </c>
    </row>
    <row r="1147" spans="1:18" x14ac:dyDescent="0.35">
      <c r="A1147" s="8">
        <v>1143</v>
      </c>
      <c r="B1147" s="9" t="str">
        <f t="shared" si="119"/>
        <v/>
      </c>
      <c r="C1147" s="10"/>
      <c r="D1147" s="9" t="str">
        <f>IF(F1147="","",_xlfn.XLOOKUP(F1147,purchase!D:D,purchase!#REF!,""))</f>
        <v/>
      </c>
      <c r="E1147" s="9" t="str">
        <f>IF(F1147="","",_xlfn.XLOOKUP(F1147,purchase!D:D,purchase!B:B,""))</f>
        <v/>
      </c>
      <c r="F1147" s="2"/>
      <c r="G1147" s="4" t="str">
        <f t="shared" si="120"/>
        <v/>
      </c>
      <c r="H1147" s="4" t="str">
        <f>IF(F1147="","",_xlfn.XLOOKUP(F1147,purchase!D:D,purchase!#REF!,""))</f>
        <v/>
      </c>
      <c r="I1147" s="4" t="str">
        <f t="shared" si="121"/>
        <v/>
      </c>
      <c r="J1147" s="4" t="str">
        <f t="shared" si="122"/>
        <v/>
      </c>
      <c r="K1147" s="13" t="str">
        <f>_xlfn.SINGLE(IF(F1147="","",_xlfn.XLOOKUP(F1147,purchase!D:D,purchase!#REF!,"")))</f>
        <v/>
      </c>
      <c r="L1147" s="2"/>
      <c r="M1147" s="32"/>
      <c r="N1147" s="13" t="str">
        <f>IF(F1147="","",
MAX(0,
_xlfn.XLOOKUP(F1147,purchase!D:D,purchase!#REF!,"")
-
SUMIFS(L:L,F:F,F1147)))</f>
        <v/>
      </c>
      <c r="O1147" s="13" t="str">
        <f t="shared" si="123"/>
        <v/>
      </c>
      <c r="P1147" s="35" t="str">
        <f>_xlfn.SINGLE(IF(F1147="","",_xlfn.XLOOKUP(F1147,purchase!D:D,purchase!K:K,"")))</f>
        <v/>
      </c>
      <c r="Q1147" s="29" t="str">
        <f t="shared" si="124"/>
        <v/>
      </c>
      <c r="R1147" s="37" t="str">
        <f t="shared" si="125"/>
        <v/>
      </c>
    </row>
    <row r="1148" spans="1:18" x14ac:dyDescent="0.35">
      <c r="A1148" s="8">
        <v>1144</v>
      </c>
      <c r="B1148" s="9" t="str">
        <f t="shared" si="119"/>
        <v/>
      </c>
      <c r="C1148" s="10"/>
      <c r="D1148" s="9" t="str">
        <f>IF(F1148="","",_xlfn.XLOOKUP(F1148,purchase!D:D,purchase!#REF!,""))</f>
        <v/>
      </c>
      <c r="E1148" s="9" t="str">
        <f>IF(F1148="","",_xlfn.XLOOKUP(F1148,purchase!D:D,purchase!B:B,""))</f>
        <v/>
      </c>
      <c r="F1148" s="2"/>
      <c r="G1148" s="4" t="str">
        <f t="shared" si="120"/>
        <v/>
      </c>
      <c r="H1148" s="4" t="str">
        <f>IF(F1148="","",_xlfn.XLOOKUP(F1148,purchase!D:D,purchase!#REF!,""))</f>
        <v/>
      </c>
      <c r="I1148" s="4" t="str">
        <f t="shared" si="121"/>
        <v/>
      </c>
      <c r="J1148" s="4" t="str">
        <f t="shared" si="122"/>
        <v/>
      </c>
      <c r="K1148" s="13" t="str">
        <f>_xlfn.SINGLE(IF(F1148="","",_xlfn.XLOOKUP(F1148,purchase!D:D,purchase!#REF!,"")))</f>
        <v/>
      </c>
      <c r="L1148" s="2"/>
      <c r="M1148" s="32"/>
      <c r="N1148" s="13" t="str">
        <f>IF(F1148="","",
MAX(0,
_xlfn.XLOOKUP(F1148,purchase!D:D,purchase!#REF!,"")
-
SUMIFS(L:L,F:F,F1148)))</f>
        <v/>
      </c>
      <c r="O1148" s="13" t="str">
        <f t="shared" si="123"/>
        <v/>
      </c>
      <c r="P1148" s="35" t="str">
        <f>_xlfn.SINGLE(IF(F1148="","",_xlfn.XLOOKUP(F1148,purchase!D:D,purchase!K:K,"")))</f>
        <v/>
      </c>
      <c r="Q1148" s="29" t="str">
        <f t="shared" si="124"/>
        <v/>
      </c>
      <c r="R1148" s="37" t="str">
        <f t="shared" si="125"/>
        <v/>
      </c>
    </row>
    <row r="1149" spans="1:18" x14ac:dyDescent="0.35">
      <c r="A1149" s="8">
        <v>1145</v>
      </c>
      <c r="B1149" s="9" t="str">
        <f t="shared" si="119"/>
        <v/>
      </c>
      <c r="C1149" s="10"/>
      <c r="D1149" s="9" t="str">
        <f>IF(F1149="","",_xlfn.XLOOKUP(F1149,purchase!D:D,purchase!#REF!,""))</f>
        <v/>
      </c>
      <c r="E1149" s="9" t="str">
        <f>IF(F1149="","",_xlfn.XLOOKUP(F1149,purchase!D:D,purchase!B:B,""))</f>
        <v/>
      </c>
      <c r="F1149" s="2"/>
      <c r="G1149" s="4" t="str">
        <f t="shared" si="120"/>
        <v/>
      </c>
      <c r="H1149" s="4" t="str">
        <f>IF(F1149="","",_xlfn.XLOOKUP(F1149,purchase!D:D,purchase!#REF!,""))</f>
        <v/>
      </c>
      <c r="I1149" s="4" t="str">
        <f t="shared" si="121"/>
        <v/>
      </c>
      <c r="J1149" s="4" t="str">
        <f t="shared" si="122"/>
        <v/>
      </c>
      <c r="K1149" s="13" t="str">
        <f>_xlfn.SINGLE(IF(F1149="","",_xlfn.XLOOKUP(F1149,purchase!D:D,purchase!#REF!,"")))</f>
        <v/>
      </c>
      <c r="L1149" s="2"/>
      <c r="M1149" s="32"/>
      <c r="N1149" s="13" t="str">
        <f>IF(F1149="","",
MAX(0,
_xlfn.XLOOKUP(F1149,purchase!D:D,purchase!#REF!,"")
-
SUMIFS(L:L,F:F,F1149)))</f>
        <v/>
      </c>
      <c r="O1149" s="13" t="str">
        <f t="shared" si="123"/>
        <v/>
      </c>
      <c r="P1149" s="35" t="str">
        <f>_xlfn.SINGLE(IF(F1149="","",_xlfn.XLOOKUP(F1149,purchase!D:D,purchase!K:K,"")))</f>
        <v/>
      </c>
      <c r="Q1149" s="29" t="str">
        <f t="shared" si="124"/>
        <v/>
      </c>
      <c r="R1149" s="37" t="str">
        <f t="shared" si="125"/>
        <v/>
      </c>
    </row>
    <row r="1150" spans="1:18" x14ac:dyDescent="0.35">
      <c r="A1150" s="8">
        <v>1146</v>
      </c>
      <c r="B1150" s="9" t="str">
        <f t="shared" si="119"/>
        <v/>
      </c>
      <c r="C1150" s="10"/>
      <c r="D1150" s="9" t="str">
        <f>IF(F1150="","",_xlfn.XLOOKUP(F1150,purchase!D:D,purchase!#REF!,""))</f>
        <v/>
      </c>
      <c r="E1150" s="9" t="str">
        <f>IF(F1150="","",_xlfn.XLOOKUP(F1150,purchase!D:D,purchase!B:B,""))</f>
        <v/>
      </c>
      <c r="F1150" s="2"/>
      <c r="G1150" s="4" t="str">
        <f t="shared" si="120"/>
        <v/>
      </c>
      <c r="H1150" s="4" t="str">
        <f>IF(F1150="","",_xlfn.XLOOKUP(F1150,purchase!D:D,purchase!#REF!,""))</f>
        <v/>
      </c>
      <c r="I1150" s="4" t="str">
        <f t="shared" si="121"/>
        <v/>
      </c>
      <c r="J1150" s="4" t="str">
        <f t="shared" si="122"/>
        <v/>
      </c>
      <c r="K1150" s="13" t="str">
        <f>_xlfn.SINGLE(IF(F1150="","",_xlfn.XLOOKUP(F1150,purchase!D:D,purchase!#REF!,"")))</f>
        <v/>
      </c>
      <c r="L1150" s="2"/>
      <c r="M1150" s="32"/>
      <c r="N1150" s="13" t="str">
        <f>IF(F1150="","",
MAX(0,
_xlfn.XLOOKUP(F1150,purchase!D:D,purchase!#REF!,"")
-
SUMIFS(L:L,F:F,F1150)))</f>
        <v/>
      </c>
      <c r="O1150" s="13" t="str">
        <f t="shared" si="123"/>
        <v/>
      </c>
      <c r="P1150" s="35" t="str">
        <f>_xlfn.SINGLE(IF(F1150="","",_xlfn.XLOOKUP(F1150,purchase!D:D,purchase!K:K,"")))</f>
        <v/>
      </c>
      <c r="Q1150" s="29" t="str">
        <f t="shared" si="124"/>
        <v/>
      </c>
      <c r="R1150" s="37" t="str">
        <f t="shared" si="125"/>
        <v/>
      </c>
    </row>
    <row r="1151" spans="1:18" x14ac:dyDescent="0.35">
      <c r="A1151" s="8">
        <v>1147</v>
      </c>
      <c r="B1151" s="9" t="str">
        <f t="shared" si="119"/>
        <v/>
      </c>
      <c r="C1151" s="10"/>
      <c r="D1151" s="9" t="str">
        <f>IF(F1151="","",_xlfn.XLOOKUP(F1151,purchase!D:D,purchase!#REF!,""))</f>
        <v/>
      </c>
      <c r="E1151" s="9" t="str">
        <f>IF(F1151="","",_xlfn.XLOOKUP(F1151,purchase!D:D,purchase!B:B,""))</f>
        <v/>
      </c>
      <c r="F1151" s="2"/>
      <c r="G1151" s="4" t="str">
        <f t="shared" si="120"/>
        <v/>
      </c>
      <c r="H1151" s="4" t="str">
        <f>IF(F1151="","",_xlfn.XLOOKUP(F1151,purchase!D:D,purchase!#REF!,""))</f>
        <v/>
      </c>
      <c r="I1151" s="4" t="str">
        <f t="shared" si="121"/>
        <v/>
      </c>
      <c r="J1151" s="4" t="str">
        <f t="shared" si="122"/>
        <v/>
      </c>
      <c r="K1151" s="13" t="str">
        <f>_xlfn.SINGLE(IF(F1151="","",_xlfn.XLOOKUP(F1151,purchase!D:D,purchase!#REF!,"")))</f>
        <v/>
      </c>
      <c r="L1151" s="2"/>
      <c r="M1151" s="32"/>
      <c r="N1151" s="13" t="str">
        <f>IF(F1151="","",
MAX(0,
_xlfn.XLOOKUP(F1151,purchase!D:D,purchase!#REF!,"")
-
SUMIFS(L:L,F:F,F1151)))</f>
        <v/>
      </c>
      <c r="O1151" s="13" t="str">
        <f t="shared" si="123"/>
        <v/>
      </c>
      <c r="P1151" s="35" t="str">
        <f>_xlfn.SINGLE(IF(F1151="","",_xlfn.XLOOKUP(F1151,purchase!D:D,purchase!K:K,"")))</f>
        <v/>
      </c>
      <c r="Q1151" s="29" t="str">
        <f t="shared" si="124"/>
        <v/>
      </c>
      <c r="R1151" s="37" t="str">
        <f t="shared" si="125"/>
        <v/>
      </c>
    </row>
    <row r="1152" spans="1:18" x14ac:dyDescent="0.35">
      <c r="A1152" s="8">
        <v>1148</v>
      </c>
      <c r="B1152" s="9" t="str">
        <f t="shared" si="119"/>
        <v/>
      </c>
      <c r="C1152" s="10"/>
      <c r="D1152" s="9" t="str">
        <f>IF(F1152="","",_xlfn.XLOOKUP(F1152,purchase!D:D,purchase!#REF!,""))</f>
        <v/>
      </c>
      <c r="E1152" s="9" t="str">
        <f>IF(F1152="","",_xlfn.XLOOKUP(F1152,purchase!D:D,purchase!B:B,""))</f>
        <v/>
      </c>
      <c r="F1152" s="2"/>
      <c r="G1152" s="4" t="str">
        <f t="shared" si="120"/>
        <v/>
      </c>
      <c r="H1152" s="4" t="str">
        <f>IF(F1152="","",_xlfn.XLOOKUP(F1152,purchase!D:D,purchase!#REF!,""))</f>
        <v/>
      </c>
      <c r="I1152" s="4" t="str">
        <f t="shared" si="121"/>
        <v/>
      </c>
      <c r="J1152" s="4" t="str">
        <f t="shared" si="122"/>
        <v/>
      </c>
      <c r="K1152" s="13" t="str">
        <f>_xlfn.SINGLE(IF(F1152="","",_xlfn.XLOOKUP(F1152,purchase!D:D,purchase!#REF!,"")))</f>
        <v/>
      </c>
      <c r="L1152" s="2"/>
      <c r="M1152" s="32"/>
      <c r="N1152" s="13" t="str">
        <f>IF(F1152="","",
MAX(0,
_xlfn.XLOOKUP(F1152,purchase!D:D,purchase!#REF!,"")
-
SUMIFS(L:L,F:F,F1152)))</f>
        <v/>
      </c>
      <c r="O1152" s="13" t="str">
        <f t="shared" si="123"/>
        <v/>
      </c>
      <c r="P1152" s="35" t="str">
        <f>_xlfn.SINGLE(IF(F1152="","",_xlfn.XLOOKUP(F1152,purchase!D:D,purchase!K:K,"")))</f>
        <v/>
      </c>
      <c r="Q1152" s="29" t="str">
        <f t="shared" si="124"/>
        <v/>
      </c>
      <c r="R1152" s="37" t="str">
        <f t="shared" si="125"/>
        <v/>
      </c>
    </row>
    <row r="1153" spans="1:18" x14ac:dyDescent="0.35">
      <c r="A1153" s="8">
        <v>1149</v>
      </c>
      <c r="B1153" s="9" t="str">
        <f t="shared" si="119"/>
        <v/>
      </c>
      <c r="C1153" s="10"/>
      <c r="D1153" s="9" t="str">
        <f>IF(F1153="","",_xlfn.XLOOKUP(F1153,purchase!D:D,purchase!#REF!,""))</f>
        <v/>
      </c>
      <c r="E1153" s="9" t="str">
        <f>IF(F1153="","",_xlfn.XLOOKUP(F1153,purchase!D:D,purchase!B:B,""))</f>
        <v/>
      </c>
      <c r="F1153" s="2"/>
      <c r="G1153" s="4" t="str">
        <f t="shared" si="120"/>
        <v/>
      </c>
      <c r="H1153" s="4" t="str">
        <f>IF(F1153="","",_xlfn.XLOOKUP(F1153,purchase!D:D,purchase!#REF!,""))</f>
        <v/>
      </c>
      <c r="I1153" s="4" t="str">
        <f t="shared" si="121"/>
        <v/>
      </c>
      <c r="J1153" s="4" t="str">
        <f t="shared" si="122"/>
        <v/>
      </c>
      <c r="K1153" s="13" t="str">
        <f>_xlfn.SINGLE(IF(F1153="","",_xlfn.XLOOKUP(F1153,purchase!D:D,purchase!#REF!,"")))</f>
        <v/>
      </c>
      <c r="L1153" s="2"/>
      <c r="M1153" s="32"/>
      <c r="N1153" s="13" t="str">
        <f>IF(F1153="","",
MAX(0,
_xlfn.XLOOKUP(F1153,purchase!D:D,purchase!#REF!,"")
-
SUMIFS(L:L,F:F,F1153)))</f>
        <v/>
      </c>
      <c r="O1153" s="13" t="str">
        <f t="shared" si="123"/>
        <v/>
      </c>
      <c r="P1153" s="35" t="str">
        <f>_xlfn.SINGLE(IF(F1153="","",_xlfn.XLOOKUP(F1153,purchase!D:D,purchase!K:K,"")))</f>
        <v/>
      </c>
      <c r="Q1153" s="29" t="str">
        <f t="shared" si="124"/>
        <v/>
      </c>
      <c r="R1153" s="37" t="str">
        <f t="shared" si="125"/>
        <v/>
      </c>
    </row>
    <row r="1154" spans="1:18" x14ac:dyDescent="0.35">
      <c r="A1154" s="8">
        <v>1150</v>
      </c>
      <c r="B1154" s="9" t="str">
        <f t="shared" si="119"/>
        <v/>
      </c>
      <c r="C1154" s="10"/>
      <c r="D1154" s="9" t="str">
        <f>IF(F1154="","",_xlfn.XLOOKUP(F1154,purchase!D:D,purchase!#REF!,""))</f>
        <v/>
      </c>
      <c r="E1154" s="9" t="str">
        <f>IF(F1154="","",_xlfn.XLOOKUP(F1154,purchase!D:D,purchase!B:B,""))</f>
        <v/>
      </c>
      <c r="F1154" s="2"/>
      <c r="G1154" s="4" t="str">
        <f t="shared" si="120"/>
        <v/>
      </c>
      <c r="H1154" s="4" t="str">
        <f>IF(F1154="","",_xlfn.XLOOKUP(F1154,purchase!D:D,purchase!#REF!,""))</f>
        <v/>
      </c>
      <c r="I1154" s="4" t="str">
        <f t="shared" si="121"/>
        <v/>
      </c>
      <c r="J1154" s="4" t="str">
        <f t="shared" si="122"/>
        <v/>
      </c>
      <c r="K1154" s="13" t="str">
        <f>_xlfn.SINGLE(IF(F1154="","",_xlfn.XLOOKUP(F1154,purchase!D:D,purchase!#REF!,"")))</f>
        <v/>
      </c>
      <c r="L1154" s="2"/>
      <c r="M1154" s="32"/>
      <c r="N1154" s="13" t="str">
        <f>IF(F1154="","",
MAX(0,
_xlfn.XLOOKUP(F1154,purchase!D:D,purchase!#REF!,"")
-
SUMIFS(L:L,F:F,F1154)))</f>
        <v/>
      </c>
      <c r="O1154" s="13" t="str">
        <f t="shared" si="123"/>
        <v/>
      </c>
      <c r="P1154" s="35" t="str">
        <f>_xlfn.SINGLE(IF(F1154="","",_xlfn.XLOOKUP(F1154,purchase!D:D,purchase!K:K,"")))</f>
        <v/>
      </c>
      <c r="Q1154" s="29" t="str">
        <f t="shared" si="124"/>
        <v/>
      </c>
      <c r="R1154" s="37" t="str">
        <f t="shared" si="125"/>
        <v/>
      </c>
    </row>
    <row r="1155" spans="1:18" x14ac:dyDescent="0.35">
      <c r="A1155" s="8">
        <v>1151</v>
      </c>
      <c r="B1155" s="9" t="str">
        <f t="shared" si="119"/>
        <v/>
      </c>
      <c r="C1155" s="10"/>
      <c r="D1155" s="9" t="str">
        <f>IF(F1155="","",_xlfn.XLOOKUP(F1155,purchase!D:D,purchase!#REF!,""))</f>
        <v/>
      </c>
      <c r="E1155" s="9" t="str">
        <f>IF(F1155="","",_xlfn.XLOOKUP(F1155,purchase!D:D,purchase!B:B,""))</f>
        <v/>
      </c>
      <c r="F1155" s="2"/>
      <c r="G1155" s="4" t="str">
        <f t="shared" si="120"/>
        <v/>
      </c>
      <c r="H1155" s="4" t="str">
        <f>IF(F1155="","",_xlfn.XLOOKUP(F1155,purchase!D:D,purchase!#REF!,""))</f>
        <v/>
      </c>
      <c r="I1155" s="4" t="str">
        <f t="shared" si="121"/>
        <v/>
      </c>
      <c r="J1155" s="4" t="str">
        <f t="shared" si="122"/>
        <v/>
      </c>
      <c r="K1155" s="13" t="str">
        <f>_xlfn.SINGLE(IF(F1155="","",_xlfn.XLOOKUP(F1155,purchase!D:D,purchase!#REF!,"")))</f>
        <v/>
      </c>
      <c r="L1155" s="2"/>
      <c r="M1155" s="32"/>
      <c r="N1155" s="13" t="str">
        <f>IF(F1155="","",
MAX(0,
_xlfn.XLOOKUP(F1155,purchase!D:D,purchase!#REF!,"")
-
SUMIFS(L:L,F:F,F1155)))</f>
        <v/>
      </c>
      <c r="O1155" s="13" t="str">
        <f t="shared" si="123"/>
        <v/>
      </c>
      <c r="P1155" s="35" t="str">
        <f>_xlfn.SINGLE(IF(F1155="","",_xlfn.XLOOKUP(F1155,purchase!D:D,purchase!K:K,"")))</f>
        <v/>
      </c>
      <c r="Q1155" s="29" t="str">
        <f t="shared" si="124"/>
        <v/>
      </c>
      <c r="R1155" s="37" t="str">
        <f t="shared" si="125"/>
        <v/>
      </c>
    </row>
    <row r="1156" spans="1:18" x14ac:dyDescent="0.35">
      <c r="A1156" s="8">
        <v>1152</v>
      </c>
      <c r="B1156" s="9" t="str">
        <f t="shared" si="119"/>
        <v/>
      </c>
      <c r="C1156" s="10"/>
      <c r="D1156" s="9" t="str">
        <f>IF(F1156="","",_xlfn.XLOOKUP(F1156,purchase!D:D,purchase!#REF!,""))</f>
        <v/>
      </c>
      <c r="E1156" s="9" t="str">
        <f>IF(F1156="","",_xlfn.XLOOKUP(F1156,purchase!D:D,purchase!B:B,""))</f>
        <v/>
      </c>
      <c r="F1156" s="2"/>
      <c r="G1156" s="4" t="str">
        <f t="shared" si="120"/>
        <v/>
      </c>
      <c r="H1156" s="4" t="str">
        <f>IF(F1156="","",_xlfn.XLOOKUP(F1156,purchase!D:D,purchase!#REF!,""))</f>
        <v/>
      </c>
      <c r="I1156" s="4" t="str">
        <f t="shared" si="121"/>
        <v/>
      </c>
      <c r="J1156" s="4" t="str">
        <f t="shared" si="122"/>
        <v/>
      </c>
      <c r="K1156" s="13" t="str">
        <f>_xlfn.SINGLE(IF(F1156="","",_xlfn.XLOOKUP(F1156,purchase!D:D,purchase!#REF!,"")))</f>
        <v/>
      </c>
      <c r="L1156" s="2"/>
      <c r="M1156" s="32"/>
      <c r="N1156" s="13" t="str">
        <f>IF(F1156="","",
MAX(0,
_xlfn.XLOOKUP(F1156,purchase!D:D,purchase!#REF!,"")
-
SUMIFS(L:L,F:F,F1156)))</f>
        <v/>
      </c>
      <c r="O1156" s="13" t="str">
        <f t="shared" si="123"/>
        <v/>
      </c>
      <c r="P1156" s="35" t="str">
        <f>_xlfn.SINGLE(IF(F1156="","",_xlfn.XLOOKUP(F1156,purchase!D:D,purchase!K:K,"")))</f>
        <v/>
      </c>
      <c r="Q1156" s="29" t="str">
        <f t="shared" si="124"/>
        <v/>
      </c>
      <c r="R1156" s="37" t="str">
        <f t="shared" si="125"/>
        <v/>
      </c>
    </row>
    <row r="1157" spans="1:18" x14ac:dyDescent="0.35">
      <c r="A1157" s="8">
        <v>1153</v>
      </c>
      <c r="B1157" s="9" t="str">
        <f t="shared" ref="B1157:B1220" si="126">IF(OR(C1157="",F1157=""),"",
"PRD-" &amp;
TEXT(DAY(C1157),"00") &amp;
CHOOSE(MONTH(C1157),"A","B","C","D","E","F","G","H","I","J","K","L") &amp;
TEXT(YEAR(C1157),"00") &amp;
"-" &amp;
RIGHT(F1157,4))</f>
        <v/>
      </c>
      <c r="C1157" s="10"/>
      <c r="D1157" s="9" t="str">
        <f>IF(F1157="","",_xlfn.XLOOKUP(F1157,purchase!D:D,purchase!#REF!,""))</f>
        <v/>
      </c>
      <c r="E1157" s="9" t="str">
        <f>IF(F1157="","",_xlfn.XLOOKUP(F1157,purchase!D:D,purchase!B:B,""))</f>
        <v/>
      </c>
      <c r="F1157" s="2"/>
      <c r="G1157" s="4" t="str">
        <f t="shared" ref="G1157:G1220" si="127">IF(H1157="NRFC","Natural Rubber Field Coagulam","")</f>
        <v/>
      </c>
      <c r="H1157" s="4" t="str">
        <f>IF(F1157="","",_xlfn.XLOOKUP(F1157,purchase!D:D,purchase!#REF!,""))</f>
        <v/>
      </c>
      <c r="I1157" s="4" t="str">
        <f t="shared" ref="I1157:I1220" si="128">IF(J1157="ISNR20","Natural Rubber-TSNR (ISNR-20)","")</f>
        <v/>
      </c>
      <c r="J1157" s="4" t="str">
        <f t="shared" ref="J1157:J1220" si="129">IF(H1157="NRFC","ISNR20","")</f>
        <v/>
      </c>
      <c r="K1157" s="13" t="str">
        <f>_xlfn.SINGLE(IF(F1157="","",_xlfn.XLOOKUP(F1157,purchase!D:D,purchase!#REF!,"")))</f>
        <v/>
      </c>
      <c r="L1157" s="2"/>
      <c r="M1157" s="32"/>
      <c r="N1157" s="13" t="str">
        <f>IF(F1157="","",
MAX(0,
_xlfn.XLOOKUP(F1157,purchase!D:D,purchase!#REF!,"")
-
SUMIFS(L:L,F:F,F1157)))</f>
        <v/>
      </c>
      <c r="O1157" s="13" t="str">
        <f t="shared" ref="O1157:O1220" si="130">IF(OR(L1157="",M1157=""),"",L1157-M1157)</f>
        <v/>
      </c>
      <c r="P1157" s="35" t="str">
        <f>_xlfn.SINGLE(IF(F1157="","",_xlfn.XLOOKUP(F1157,purchase!D:D,purchase!K:K,"")))</f>
        <v/>
      </c>
      <c r="Q1157" s="29" t="str">
        <f t="shared" ref="Q1157:Q1220" si="131">IF(OR(L1157="",M1157=""),"",M1157/L1157)</f>
        <v/>
      </c>
      <c r="R1157" s="37" t="str">
        <f t="shared" ref="R1157:R1220" si="132">IF(OR(P1157="",Q1157=""),"",Q1157-P1157)</f>
        <v/>
      </c>
    </row>
    <row r="1158" spans="1:18" x14ac:dyDescent="0.35">
      <c r="A1158" s="8">
        <v>1154</v>
      </c>
      <c r="B1158" s="9" t="str">
        <f t="shared" si="126"/>
        <v/>
      </c>
      <c r="C1158" s="10"/>
      <c r="D1158" s="9" t="str">
        <f>IF(F1158="","",_xlfn.XLOOKUP(F1158,purchase!D:D,purchase!#REF!,""))</f>
        <v/>
      </c>
      <c r="E1158" s="9" t="str">
        <f>IF(F1158="","",_xlfn.XLOOKUP(F1158,purchase!D:D,purchase!B:B,""))</f>
        <v/>
      </c>
      <c r="F1158" s="2"/>
      <c r="G1158" s="4" t="str">
        <f t="shared" si="127"/>
        <v/>
      </c>
      <c r="H1158" s="4" t="str">
        <f>IF(F1158="","",_xlfn.XLOOKUP(F1158,purchase!D:D,purchase!#REF!,""))</f>
        <v/>
      </c>
      <c r="I1158" s="4" t="str">
        <f t="shared" si="128"/>
        <v/>
      </c>
      <c r="J1158" s="4" t="str">
        <f t="shared" si="129"/>
        <v/>
      </c>
      <c r="K1158" s="13" t="str">
        <f>_xlfn.SINGLE(IF(F1158="","",_xlfn.XLOOKUP(F1158,purchase!D:D,purchase!#REF!,"")))</f>
        <v/>
      </c>
      <c r="L1158" s="2"/>
      <c r="M1158" s="32"/>
      <c r="N1158" s="13" t="str">
        <f>IF(F1158="","",
MAX(0,
_xlfn.XLOOKUP(F1158,purchase!D:D,purchase!#REF!,"")
-
SUMIFS(L:L,F:F,F1158)))</f>
        <v/>
      </c>
      <c r="O1158" s="13" t="str">
        <f t="shared" si="130"/>
        <v/>
      </c>
      <c r="P1158" s="35" t="str">
        <f>_xlfn.SINGLE(IF(F1158="","",_xlfn.XLOOKUP(F1158,purchase!D:D,purchase!K:K,"")))</f>
        <v/>
      </c>
      <c r="Q1158" s="29" t="str">
        <f t="shared" si="131"/>
        <v/>
      </c>
      <c r="R1158" s="37" t="str">
        <f t="shared" si="132"/>
        <v/>
      </c>
    </row>
    <row r="1159" spans="1:18" x14ac:dyDescent="0.35">
      <c r="A1159" s="8">
        <v>1155</v>
      </c>
      <c r="B1159" s="9" t="str">
        <f t="shared" si="126"/>
        <v/>
      </c>
      <c r="C1159" s="10"/>
      <c r="D1159" s="9" t="str">
        <f>IF(F1159="","",_xlfn.XLOOKUP(F1159,purchase!D:D,purchase!#REF!,""))</f>
        <v/>
      </c>
      <c r="E1159" s="9" t="str">
        <f>IF(F1159="","",_xlfn.XLOOKUP(F1159,purchase!D:D,purchase!B:B,""))</f>
        <v/>
      </c>
      <c r="F1159" s="2"/>
      <c r="G1159" s="4" t="str">
        <f t="shared" si="127"/>
        <v/>
      </c>
      <c r="H1159" s="4" t="str">
        <f>IF(F1159="","",_xlfn.XLOOKUP(F1159,purchase!D:D,purchase!#REF!,""))</f>
        <v/>
      </c>
      <c r="I1159" s="4" t="str">
        <f t="shared" si="128"/>
        <v/>
      </c>
      <c r="J1159" s="4" t="str">
        <f t="shared" si="129"/>
        <v/>
      </c>
      <c r="K1159" s="13" t="str">
        <f>_xlfn.SINGLE(IF(F1159="","",_xlfn.XLOOKUP(F1159,purchase!D:D,purchase!#REF!,"")))</f>
        <v/>
      </c>
      <c r="L1159" s="2"/>
      <c r="M1159" s="32"/>
      <c r="N1159" s="13" t="str">
        <f>IF(F1159="","",
MAX(0,
_xlfn.XLOOKUP(F1159,purchase!D:D,purchase!#REF!,"")
-
SUMIFS(L:L,F:F,F1159)))</f>
        <v/>
      </c>
      <c r="O1159" s="13" t="str">
        <f t="shared" si="130"/>
        <v/>
      </c>
      <c r="P1159" s="35" t="str">
        <f>_xlfn.SINGLE(IF(F1159="","",_xlfn.XLOOKUP(F1159,purchase!D:D,purchase!K:K,"")))</f>
        <v/>
      </c>
      <c r="Q1159" s="29" t="str">
        <f t="shared" si="131"/>
        <v/>
      </c>
      <c r="R1159" s="37" t="str">
        <f t="shared" si="132"/>
        <v/>
      </c>
    </row>
    <row r="1160" spans="1:18" x14ac:dyDescent="0.35">
      <c r="A1160" s="8">
        <v>1156</v>
      </c>
      <c r="B1160" s="9" t="str">
        <f t="shared" si="126"/>
        <v/>
      </c>
      <c r="C1160" s="10"/>
      <c r="D1160" s="9" t="str">
        <f>IF(F1160="","",_xlfn.XLOOKUP(F1160,purchase!D:D,purchase!#REF!,""))</f>
        <v/>
      </c>
      <c r="E1160" s="9" t="str">
        <f>IF(F1160="","",_xlfn.XLOOKUP(F1160,purchase!D:D,purchase!B:B,""))</f>
        <v/>
      </c>
      <c r="F1160" s="2"/>
      <c r="G1160" s="4" t="str">
        <f t="shared" si="127"/>
        <v/>
      </c>
      <c r="H1160" s="4" t="str">
        <f>IF(F1160="","",_xlfn.XLOOKUP(F1160,purchase!D:D,purchase!#REF!,""))</f>
        <v/>
      </c>
      <c r="I1160" s="4" t="str">
        <f t="shared" si="128"/>
        <v/>
      </c>
      <c r="J1160" s="4" t="str">
        <f t="shared" si="129"/>
        <v/>
      </c>
      <c r="K1160" s="13" t="str">
        <f>_xlfn.SINGLE(IF(F1160="","",_xlfn.XLOOKUP(F1160,purchase!D:D,purchase!#REF!,"")))</f>
        <v/>
      </c>
      <c r="L1160" s="2"/>
      <c r="M1160" s="32"/>
      <c r="N1160" s="13" t="str">
        <f>IF(F1160="","",
MAX(0,
_xlfn.XLOOKUP(F1160,purchase!D:D,purchase!#REF!,"")
-
SUMIFS(L:L,F:F,F1160)))</f>
        <v/>
      </c>
      <c r="O1160" s="13" t="str">
        <f t="shared" si="130"/>
        <v/>
      </c>
      <c r="P1160" s="35" t="str">
        <f>_xlfn.SINGLE(IF(F1160="","",_xlfn.XLOOKUP(F1160,purchase!D:D,purchase!K:K,"")))</f>
        <v/>
      </c>
      <c r="Q1160" s="29" t="str">
        <f t="shared" si="131"/>
        <v/>
      </c>
      <c r="R1160" s="37" t="str">
        <f t="shared" si="132"/>
        <v/>
      </c>
    </row>
    <row r="1161" spans="1:18" x14ac:dyDescent="0.35">
      <c r="A1161" s="8">
        <v>1157</v>
      </c>
      <c r="B1161" s="9" t="str">
        <f t="shared" si="126"/>
        <v/>
      </c>
      <c r="C1161" s="10"/>
      <c r="D1161" s="9" t="str">
        <f>IF(F1161="","",_xlfn.XLOOKUP(F1161,purchase!D:D,purchase!#REF!,""))</f>
        <v/>
      </c>
      <c r="E1161" s="9" t="str">
        <f>IF(F1161="","",_xlfn.XLOOKUP(F1161,purchase!D:D,purchase!B:B,""))</f>
        <v/>
      </c>
      <c r="F1161" s="2"/>
      <c r="G1161" s="4" t="str">
        <f t="shared" si="127"/>
        <v/>
      </c>
      <c r="H1161" s="4" t="str">
        <f>IF(F1161="","",_xlfn.XLOOKUP(F1161,purchase!D:D,purchase!#REF!,""))</f>
        <v/>
      </c>
      <c r="I1161" s="4" t="str">
        <f t="shared" si="128"/>
        <v/>
      </c>
      <c r="J1161" s="4" t="str">
        <f t="shared" si="129"/>
        <v/>
      </c>
      <c r="K1161" s="13" t="str">
        <f>_xlfn.SINGLE(IF(F1161="","",_xlfn.XLOOKUP(F1161,purchase!D:D,purchase!#REF!,"")))</f>
        <v/>
      </c>
      <c r="L1161" s="2"/>
      <c r="M1161" s="32"/>
      <c r="N1161" s="13" t="str">
        <f>IF(F1161="","",
MAX(0,
_xlfn.XLOOKUP(F1161,purchase!D:D,purchase!#REF!,"")
-
SUMIFS(L:L,F:F,F1161)))</f>
        <v/>
      </c>
      <c r="O1161" s="13" t="str">
        <f t="shared" si="130"/>
        <v/>
      </c>
      <c r="P1161" s="35" t="str">
        <f>_xlfn.SINGLE(IF(F1161="","",_xlfn.XLOOKUP(F1161,purchase!D:D,purchase!K:K,"")))</f>
        <v/>
      </c>
      <c r="Q1161" s="29" t="str">
        <f t="shared" si="131"/>
        <v/>
      </c>
      <c r="R1161" s="37" t="str">
        <f t="shared" si="132"/>
        <v/>
      </c>
    </row>
    <row r="1162" spans="1:18" x14ac:dyDescent="0.35">
      <c r="A1162" s="8">
        <v>1158</v>
      </c>
      <c r="B1162" s="9" t="str">
        <f t="shared" si="126"/>
        <v/>
      </c>
      <c r="C1162" s="10"/>
      <c r="D1162" s="9" t="str">
        <f>IF(F1162="","",_xlfn.XLOOKUP(F1162,purchase!D:D,purchase!#REF!,""))</f>
        <v/>
      </c>
      <c r="E1162" s="9" t="str">
        <f>IF(F1162="","",_xlfn.XLOOKUP(F1162,purchase!D:D,purchase!B:B,""))</f>
        <v/>
      </c>
      <c r="F1162" s="2"/>
      <c r="G1162" s="4" t="str">
        <f t="shared" si="127"/>
        <v/>
      </c>
      <c r="H1162" s="4" t="str">
        <f>IF(F1162="","",_xlfn.XLOOKUP(F1162,purchase!D:D,purchase!#REF!,""))</f>
        <v/>
      </c>
      <c r="I1162" s="4" t="str">
        <f t="shared" si="128"/>
        <v/>
      </c>
      <c r="J1162" s="4" t="str">
        <f t="shared" si="129"/>
        <v/>
      </c>
      <c r="K1162" s="13" t="str">
        <f>_xlfn.SINGLE(IF(F1162="","",_xlfn.XLOOKUP(F1162,purchase!D:D,purchase!#REF!,"")))</f>
        <v/>
      </c>
      <c r="L1162" s="2"/>
      <c r="M1162" s="32"/>
      <c r="N1162" s="13" t="str">
        <f>IF(F1162="","",
MAX(0,
_xlfn.XLOOKUP(F1162,purchase!D:D,purchase!#REF!,"")
-
SUMIFS(L:L,F:F,F1162)))</f>
        <v/>
      </c>
      <c r="O1162" s="13" t="str">
        <f t="shared" si="130"/>
        <v/>
      </c>
      <c r="P1162" s="35" t="str">
        <f>_xlfn.SINGLE(IF(F1162="","",_xlfn.XLOOKUP(F1162,purchase!D:D,purchase!K:K,"")))</f>
        <v/>
      </c>
      <c r="Q1162" s="29" t="str">
        <f t="shared" si="131"/>
        <v/>
      </c>
      <c r="R1162" s="37" t="str">
        <f t="shared" si="132"/>
        <v/>
      </c>
    </row>
    <row r="1163" spans="1:18" x14ac:dyDescent="0.35">
      <c r="A1163" s="8">
        <v>1159</v>
      </c>
      <c r="B1163" s="9" t="str">
        <f t="shared" si="126"/>
        <v/>
      </c>
      <c r="C1163" s="10"/>
      <c r="D1163" s="9" t="str">
        <f>IF(F1163="","",_xlfn.XLOOKUP(F1163,purchase!D:D,purchase!#REF!,""))</f>
        <v/>
      </c>
      <c r="E1163" s="9" t="str">
        <f>IF(F1163="","",_xlfn.XLOOKUP(F1163,purchase!D:D,purchase!B:B,""))</f>
        <v/>
      </c>
      <c r="F1163" s="2"/>
      <c r="G1163" s="4" t="str">
        <f t="shared" si="127"/>
        <v/>
      </c>
      <c r="H1163" s="4" t="str">
        <f>IF(F1163="","",_xlfn.XLOOKUP(F1163,purchase!D:D,purchase!#REF!,""))</f>
        <v/>
      </c>
      <c r="I1163" s="4" t="str">
        <f t="shared" si="128"/>
        <v/>
      </c>
      <c r="J1163" s="4" t="str">
        <f t="shared" si="129"/>
        <v/>
      </c>
      <c r="K1163" s="13" t="str">
        <f>_xlfn.SINGLE(IF(F1163="","",_xlfn.XLOOKUP(F1163,purchase!D:D,purchase!#REF!,"")))</f>
        <v/>
      </c>
      <c r="L1163" s="2"/>
      <c r="M1163" s="32"/>
      <c r="N1163" s="13" t="str">
        <f>IF(F1163="","",
MAX(0,
_xlfn.XLOOKUP(F1163,purchase!D:D,purchase!#REF!,"")
-
SUMIFS(L:L,F:F,F1163)))</f>
        <v/>
      </c>
      <c r="O1163" s="13" t="str">
        <f t="shared" si="130"/>
        <v/>
      </c>
      <c r="P1163" s="35" t="str">
        <f>_xlfn.SINGLE(IF(F1163="","",_xlfn.XLOOKUP(F1163,purchase!D:D,purchase!K:K,"")))</f>
        <v/>
      </c>
      <c r="Q1163" s="29" t="str">
        <f t="shared" si="131"/>
        <v/>
      </c>
      <c r="R1163" s="37" t="str">
        <f t="shared" si="132"/>
        <v/>
      </c>
    </row>
    <row r="1164" spans="1:18" x14ac:dyDescent="0.35">
      <c r="A1164" s="8">
        <v>1160</v>
      </c>
      <c r="B1164" s="9" t="str">
        <f t="shared" si="126"/>
        <v/>
      </c>
      <c r="C1164" s="10"/>
      <c r="D1164" s="9" t="str">
        <f>IF(F1164="","",_xlfn.XLOOKUP(F1164,purchase!D:D,purchase!#REF!,""))</f>
        <v/>
      </c>
      <c r="E1164" s="9" t="str">
        <f>IF(F1164="","",_xlfn.XLOOKUP(F1164,purchase!D:D,purchase!B:B,""))</f>
        <v/>
      </c>
      <c r="F1164" s="2"/>
      <c r="G1164" s="4" t="str">
        <f t="shared" si="127"/>
        <v/>
      </c>
      <c r="H1164" s="4" t="str">
        <f>IF(F1164="","",_xlfn.XLOOKUP(F1164,purchase!D:D,purchase!#REF!,""))</f>
        <v/>
      </c>
      <c r="I1164" s="4" t="str">
        <f t="shared" si="128"/>
        <v/>
      </c>
      <c r="J1164" s="4" t="str">
        <f t="shared" si="129"/>
        <v/>
      </c>
      <c r="K1164" s="13" t="str">
        <f>_xlfn.SINGLE(IF(F1164="","",_xlfn.XLOOKUP(F1164,purchase!D:D,purchase!#REF!,"")))</f>
        <v/>
      </c>
      <c r="L1164" s="2"/>
      <c r="M1164" s="32"/>
      <c r="N1164" s="13" t="str">
        <f>IF(F1164="","",
MAX(0,
_xlfn.XLOOKUP(F1164,purchase!D:D,purchase!#REF!,"")
-
SUMIFS(L:L,F:F,F1164)))</f>
        <v/>
      </c>
      <c r="O1164" s="13" t="str">
        <f t="shared" si="130"/>
        <v/>
      </c>
      <c r="P1164" s="35" t="str">
        <f>_xlfn.SINGLE(IF(F1164="","",_xlfn.XLOOKUP(F1164,purchase!D:D,purchase!K:K,"")))</f>
        <v/>
      </c>
      <c r="Q1164" s="29" t="str">
        <f t="shared" si="131"/>
        <v/>
      </c>
      <c r="R1164" s="37" t="str">
        <f t="shared" si="132"/>
        <v/>
      </c>
    </row>
    <row r="1165" spans="1:18" x14ac:dyDescent="0.35">
      <c r="A1165" s="8">
        <v>1161</v>
      </c>
      <c r="B1165" s="9" t="str">
        <f t="shared" si="126"/>
        <v/>
      </c>
      <c r="C1165" s="10"/>
      <c r="D1165" s="9" t="str">
        <f>IF(F1165="","",_xlfn.XLOOKUP(F1165,purchase!D:D,purchase!#REF!,""))</f>
        <v/>
      </c>
      <c r="E1165" s="9" t="str">
        <f>IF(F1165="","",_xlfn.XLOOKUP(F1165,purchase!D:D,purchase!B:B,""))</f>
        <v/>
      </c>
      <c r="F1165" s="2"/>
      <c r="G1165" s="4" t="str">
        <f t="shared" si="127"/>
        <v/>
      </c>
      <c r="H1165" s="4" t="str">
        <f>IF(F1165="","",_xlfn.XLOOKUP(F1165,purchase!D:D,purchase!#REF!,""))</f>
        <v/>
      </c>
      <c r="I1165" s="4" t="str">
        <f t="shared" si="128"/>
        <v/>
      </c>
      <c r="J1165" s="4" t="str">
        <f t="shared" si="129"/>
        <v/>
      </c>
      <c r="K1165" s="13" t="str">
        <f>_xlfn.SINGLE(IF(F1165="","",_xlfn.XLOOKUP(F1165,purchase!D:D,purchase!#REF!,"")))</f>
        <v/>
      </c>
      <c r="L1165" s="2"/>
      <c r="M1165" s="32"/>
      <c r="N1165" s="13" t="str">
        <f>IF(F1165="","",
MAX(0,
_xlfn.XLOOKUP(F1165,purchase!D:D,purchase!#REF!,"")
-
SUMIFS(L:L,F:F,F1165)))</f>
        <v/>
      </c>
      <c r="O1165" s="13" t="str">
        <f t="shared" si="130"/>
        <v/>
      </c>
      <c r="P1165" s="35" t="str">
        <f>_xlfn.SINGLE(IF(F1165="","",_xlfn.XLOOKUP(F1165,purchase!D:D,purchase!K:K,"")))</f>
        <v/>
      </c>
      <c r="Q1165" s="29" t="str">
        <f t="shared" si="131"/>
        <v/>
      </c>
      <c r="R1165" s="37" t="str">
        <f t="shared" si="132"/>
        <v/>
      </c>
    </row>
    <row r="1166" spans="1:18" x14ac:dyDescent="0.35">
      <c r="A1166" s="8">
        <v>1162</v>
      </c>
      <c r="B1166" s="9" t="str">
        <f t="shared" si="126"/>
        <v/>
      </c>
      <c r="C1166" s="10"/>
      <c r="D1166" s="9" t="str">
        <f>IF(F1166="","",_xlfn.XLOOKUP(F1166,purchase!D:D,purchase!#REF!,""))</f>
        <v/>
      </c>
      <c r="E1166" s="9" t="str">
        <f>IF(F1166="","",_xlfn.XLOOKUP(F1166,purchase!D:D,purchase!B:B,""))</f>
        <v/>
      </c>
      <c r="F1166" s="2"/>
      <c r="G1166" s="4" t="str">
        <f t="shared" si="127"/>
        <v/>
      </c>
      <c r="H1166" s="4" t="str">
        <f>IF(F1166="","",_xlfn.XLOOKUP(F1166,purchase!D:D,purchase!#REF!,""))</f>
        <v/>
      </c>
      <c r="I1166" s="4" t="str">
        <f t="shared" si="128"/>
        <v/>
      </c>
      <c r="J1166" s="4" t="str">
        <f t="shared" si="129"/>
        <v/>
      </c>
      <c r="K1166" s="13" t="str">
        <f>_xlfn.SINGLE(IF(F1166="","",_xlfn.XLOOKUP(F1166,purchase!D:D,purchase!#REF!,"")))</f>
        <v/>
      </c>
      <c r="L1166" s="2"/>
      <c r="M1166" s="32"/>
      <c r="N1166" s="13" t="str">
        <f>IF(F1166="","",
MAX(0,
_xlfn.XLOOKUP(F1166,purchase!D:D,purchase!#REF!,"")
-
SUMIFS(L:L,F:F,F1166)))</f>
        <v/>
      </c>
      <c r="O1166" s="13" t="str">
        <f t="shared" si="130"/>
        <v/>
      </c>
      <c r="P1166" s="35" t="str">
        <f>_xlfn.SINGLE(IF(F1166="","",_xlfn.XLOOKUP(F1166,purchase!D:D,purchase!K:K,"")))</f>
        <v/>
      </c>
      <c r="Q1166" s="29" t="str">
        <f t="shared" si="131"/>
        <v/>
      </c>
      <c r="R1166" s="37" t="str">
        <f t="shared" si="132"/>
        <v/>
      </c>
    </row>
    <row r="1167" spans="1:18" x14ac:dyDescent="0.35">
      <c r="A1167" s="8">
        <v>1163</v>
      </c>
      <c r="B1167" s="9" t="str">
        <f t="shared" si="126"/>
        <v/>
      </c>
      <c r="C1167" s="10"/>
      <c r="D1167" s="9" t="str">
        <f>IF(F1167="","",_xlfn.XLOOKUP(F1167,purchase!D:D,purchase!#REF!,""))</f>
        <v/>
      </c>
      <c r="E1167" s="9" t="str">
        <f>IF(F1167="","",_xlfn.XLOOKUP(F1167,purchase!D:D,purchase!B:B,""))</f>
        <v/>
      </c>
      <c r="F1167" s="2"/>
      <c r="G1167" s="4" t="str">
        <f t="shared" si="127"/>
        <v/>
      </c>
      <c r="H1167" s="4" t="str">
        <f>IF(F1167="","",_xlfn.XLOOKUP(F1167,purchase!D:D,purchase!#REF!,""))</f>
        <v/>
      </c>
      <c r="I1167" s="4" t="str">
        <f t="shared" si="128"/>
        <v/>
      </c>
      <c r="J1167" s="4" t="str">
        <f t="shared" si="129"/>
        <v/>
      </c>
      <c r="K1167" s="13" t="str">
        <f>_xlfn.SINGLE(IF(F1167="","",_xlfn.XLOOKUP(F1167,purchase!D:D,purchase!#REF!,"")))</f>
        <v/>
      </c>
      <c r="L1167" s="2"/>
      <c r="M1167" s="32"/>
      <c r="N1167" s="13" t="str">
        <f>IF(F1167="","",
MAX(0,
_xlfn.XLOOKUP(F1167,purchase!D:D,purchase!#REF!,"")
-
SUMIFS(L:L,F:F,F1167)))</f>
        <v/>
      </c>
      <c r="O1167" s="13" t="str">
        <f t="shared" si="130"/>
        <v/>
      </c>
      <c r="P1167" s="35" t="str">
        <f>_xlfn.SINGLE(IF(F1167="","",_xlfn.XLOOKUP(F1167,purchase!D:D,purchase!K:K,"")))</f>
        <v/>
      </c>
      <c r="Q1167" s="29" t="str">
        <f t="shared" si="131"/>
        <v/>
      </c>
      <c r="R1167" s="37" t="str">
        <f t="shared" si="132"/>
        <v/>
      </c>
    </row>
    <row r="1168" spans="1:18" x14ac:dyDescent="0.35">
      <c r="A1168" s="8">
        <v>1164</v>
      </c>
      <c r="B1168" s="9" t="str">
        <f t="shared" si="126"/>
        <v/>
      </c>
      <c r="C1168" s="10"/>
      <c r="D1168" s="9" t="str">
        <f>IF(F1168="","",_xlfn.XLOOKUP(F1168,purchase!D:D,purchase!#REF!,""))</f>
        <v/>
      </c>
      <c r="E1168" s="9" t="str">
        <f>IF(F1168="","",_xlfn.XLOOKUP(F1168,purchase!D:D,purchase!B:B,""))</f>
        <v/>
      </c>
      <c r="F1168" s="2"/>
      <c r="G1168" s="4" t="str">
        <f t="shared" si="127"/>
        <v/>
      </c>
      <c r="H1168" s="4" t="str">
        <f>IF(F1168="","",_xlfn.XLOOKUP(F1168,purchase!D:D,purchase!#REF!,""))</f>
        <v/>
      </c>
      <c r="I1168" s="4" t="str">
        <f t="shared" si="128"/>
        <v/>
      </c>
      <c r="J1168" s="4" t="str">
        <f t="shared" si="129"/>
        <v/>
      </c>
      <c r="K1168" s="13" t="str">
        <f>_xlfn.SINGLE(IF(F1168="","",_xlfn.XLOOKUP(F1168,purchase!D:D,purchase!#REF!,"")))</f>
        <v/>
      </c>
      <c r="L1168" s="2"/>
      <c r="M1168" s="32"/>
      <c r="N1168" s="13" t="str">
        <f>IF(F1168="","",
MAX(0,
_xlfn.XLOOKUP(F1168,purchase!D:D,purchase!#REF!,"")
-
SUMIFS(L:L,F:F,F1168)))</f>
        <v/>
      </c>
      <c r="O1168" s="13" t="str">
        <f t="shared" si="130"/>
        <v/>
      </c>
      <c r="P1168" s="35" t="str">
        <f>_xlfn.SINGLE(IF(F1168="","",_xlfn.XLOOKUP(F1168,purchase!D:D,purchase!K:K,"")))</f>
        <v/>
      </c>
      <c r="Q1168" s="29" t="str">
        <f t="shared" si="131"/>
        <v/>
      </c>
      <c r="R1168" s="37" t="str">
        <f t="shared" si="132"/>
        <v/>
      </c>
    </row>
    <row r="1169" spans="1:18" x14ac:dyDescent="0.35">
      <c r="A1169" s="8">
        <v>1165</v>
      </c>
      <c r="B1169" s="9" t="str">
        <f t="shared" si="126"/>
        <v/>
      </c>
      <c r="C1169" s="10"/>
      <c r="D1169" s="9" t="str">
        <f>IF(F1169="","",_xlfn.XLOOKUP(F1169,purchase!D:D,purchase!#REF!,""))</f>
        <v/>
      </c>
      <c r="E1169" s="9" t="str">
        <f>IF(F1169="","",_xlfn.XLOOKUP(F1169,purchase!D:D,purchase!B:B,""))</f>
        <v/>
      </c>
      <c r="F1169" s="2"/>
      <c r="G1169" s="4" t="str">
        <f t="shared" si="127"/>
        <v/>
      </c>
      <c r="H1169" s="4" t="str">
        <f>IF(F1169="","",_xlfn.XLOOKUP(F1169,purchase!D:D,purchase!#REF!,""))</f>
        <v/>
      </c>
      <c r="I1169" s="4" t="str">
        <f t="shared" si="128"/>
        <v/>
      </c>
      <c r="J1169" s="4" t="str">
        <f t="shared" si="129"/>
        <v/>
      </c>
      <c r="K1169" s="13" t="str">
        <f>_xlfn.SINGLE(IF(F1169="","",_xlfn.XLOOKUP(F1169,purchase!D:D,purchase!#REF!,"")))</f>
        <v/>
      </c>
      <c r="L1169" s="2"/>
      <c r="M1169" s="32"/>
      <c r="N1169" s="13" t="str">
        <f>IF(F1169="","",
MAX(0,
_xlfn.XLOOKUP(F1169,purchase!D:D,purchase!#REF!,"")
-
SUMIFS(L:L,F:F,F1169)))</f>
        <v/>
      </c>
      <c r="O1169" s="13" t="str">
        <f t="shared" si="130"/>
        <v/>
      </c>
      <c r="P1169" s="35" t="str">
        <f>_xlfn.SINGLE(IF(F1169="","",_xlfn.XLOOKUP(F1169,purchase!D:D,purchase!K:K,"")))</f>
        <v/>
      </c>
      <c r="Q1169" s="29" t="str">
        <f t="shared" si="131"/>
        <v/>
      </c>
      <c r="R1169" s="37" t="str">
        <f t="shared" si="132"/>
        <v/>
      </c>
    </row>
    <row r="1170" spans="1:18" x14ac:dyDescent="0.35">
      <c r="A1170" s="8">
        <v>1166</v>
      </c>
      <c r="B1170" s="9" t="str">
        <f t="shared" si="126"/>
        <v/>
      </c>
      <c r="C1170" s="10"/>
      <c r="D1170" s="9" t="str">
        <f>IF(F1170="","",_xlfn.XLOOKUP(F1170,purchase!D:D,purchase!#REF!,""))</f>
        <v/>
      </c>
      <c r="E1170" s="9" t="str">
        <f>IF(F1170="","",_xlfn.XLOOKUP(F1170,purchase!D:D,purchase!B:B,""))</f>
        <v/>
      </c>
      <c r="F1170" s="2"/>
      <c r="G1170" s="4" t="str">
        <f t="shared" si="127"/>
        <v/>
      </c>
      <c r="H1170" s="4" t="str">
        <f>IF(F1170="","",_xlfn.XLOOKUP(F1170,purchase!D:D,purchase!#REF!,""))</f>
        <v/>
      </c>
      <c r="I1170" s="4" t="str">
        <f t="shared" si="128"/>
        <v/>
      </c>
      <c r="J1170" s="4" t="str">
        <f t="shared" si="129"/>
        <v/>
      </c>
      <c r="K1170" s="13" t="str">
        <f>_xlfn.SINGLE(IF(F1170="","",_xlfn.XLOOKUP(F1170,purchase!D:D,purchase!#REF!,"")))</f>
        <v/>
      </c>
      <c r="L1170" s="2"/>
      <c r="M1170" s="32"/>
      <c r="N1170" s="13" t="str">
        <f>IF(F1170="","",
MAX(0,
_xlfn.XLOOKUP(F1170,purchase!D:D,purchase!#REF!,"")
-
SUMIFS(L:L,F:F,F1170)))</f>
        <v/>
      </c>
      <c r="O1170" s="13" t="str">
        <f t="shared" si="130"/>
        <v/>
      </c>
      <c r="P1170" s="35" t="str">
        <f>_xlfn.SINGLE(IF(F1170="","",_xlfn.XLOOKUP(F1170,purchase!D:D,purchase!K:K,"")))</f>
        <v/>
      </c>
      <c r="Q1170" s="29" t="str">
        <f t="shared" si="131"/>
        <v/>
      </c>
      <c r="R1170" s="37" t="str">
        <f t="shared" si="132"/>
        <v/>
      </c>
    </row>
    <row r="1171" spans="1:18" x14ac:dyDescent="0.35">
      <c r="A1171" s="8">
        <v>1167</v>
      </c>
      <c r="B1171" s="9" t="str">
        <f t="shared" si="126"/>
        <v/>
      </c>
      <c r="C1171" s="10"/>
      <c r="D1171" s="9" t="str">
        <f>IF(F1171="","",_xlfn.XLOOKUP(F1171,purchase!D:D,purchase!#REF!,""))</f>
        <v/>
      </c>
      <c r="E1171" s="9" t="str">
        <f>IF(F1171="","",_xlfn.XLOOKUP(F1171,purchase!D:D,purchase!B:B,""))</f>
        <v/>
      </c>
      <c r="F1171" s="2"/>
      <c r="G1171" s="4" t="str">
        <f t="shared" si="127"/>
        <v/>
      </c>
      <c r="H1171" s="4" t="str">
        <f>IF(F1171="","",_xlfn.XLOOKUP(F1171,purchase!D:D,purchase!#REF!,""))</f>
        <v/>
      </c>
      <c r="I1171" s="4" t="str">
        <f t="shared" si="128"/>
        <v/>
      </c>
      <c r="J1171" s="4" t="str">
        <f t="shared" si="129"/>
        <v/>
      </c>
      <c r="K1171" s="13" t="str">
        <f>_xlfn.SINGLE(IF(F1171="","",_xlfn.XLOOKUP(F1171,purchase!D:D,purchase!#REF!,"")))</f>
        <v/>
      </c>
      <c r="L1171" s="2"/>
      <c r="M1171" s="32"/>
      <c r="N1171" s="13" t="str">
        <f>IF(F1171="","",
MAX(0,
_xlfn.XLOOKUP(F1171,purchase!D:D,purchase!#REF!,"")
-
SUMIFS(L:L,F:F,F1171)))</f>
        <v/>
      </c>
      <c r="O1171" s="13" t="str">
        <f t="shared" si="130"/>
        <v/>
      </c>
      <c r="P1171" s="35" t="str">
        <f>_xlfn.SINGLE(IF(F1171="","",_xlfn.XLOOKUP(F1171,purchase!D:D,purchase!K:K,"")))</f>
        <v/>
      </c>
      <c r="Q1171" s="29" t="str">
        <f t="shared" si="131"/>
        <v/>
      </c>
      <c r="R1171" s="37" t="str">
        <f t="shared" si="132"/>
        <v/>
      </c>
    </row>
    <row r="1172" spans="1:18" x14ac:dyDescent="0.35">
      <c r="A1172" s="8">
        <v>1168</v>
      </c>
      <c r="B1172" s="9" t="str">
        <f t="shared" si="126"/>
        <v/>
      </c>
      <c r="C1172" s="10"/>
      <c r="D1172" s="9" t="str">
        <f>IF(F1172="","",_xlfn.XLOOKUP(F1172,purchase!D:D,purchase!#REF!,""))</f>
        <v/>
      </c>
      <c r="E1172" s="9" t="str">
        <f>IF(F1172="","",_xlfn.XLOOKUP(F1172,purchase!D:D,purchase!B:B,""))</f>
        <v/>
      </c>
      <c r="F1172" s="2"/>
      <c r="G1172" s="4" t="str">
        <f t="shared" si="127"/>
        <v/>
      </c>
      <c r="H1172" s="4" t="str">
        <f>IF(F1172="","",_xlfn.XLOOKUP(F1172,purchase!D:D,purchase!#REF!,""))</f>
        <v/>
      </c>
      <c r="I1172" s="4" t="str">
        <f t="shared" si="128"/>
        <v/>
      </c>
      <c r="J1172" s="4" t="str">
        <f t="shared" si="129"/>
        <v/>
      </c>
      <c r="K1172" s="13" t="str">
        <f>_xlfn.SINGLE(IF(F1172="","",_xlfn.XLOOKUP(F1172,purchase!D:D,purchase!#REF!,"")))</f>
        <v/>
      </c>
      <c r="L1172" s="2"/>
      <c r="M1172" s="32"/>
      <c r="N1172" s="13" t="str">
        <f>IF(F1172="","",
MAX(0,
_xlfn.XLOOKUP(F1172,purchase!D:D,purchase!#REF!,"")
-
SUMIFS(L:L,F:F,F1172)))</f>
        <v/>
      </c>
      <c r="O1172" s="13" t="str">
        <f t="shared" si="130"/>
        <v/>
      </c>
      <c r="P1172" s="35" t="str">
        <f>_xlfn.SINGLE(IF(F1172="","",_xlfn.XLOOKUP(F1172,purchase!D:D,purchase!K:K,"")))</f>
        <v/>
      </c>
      <c r="Q1172" s="29" t="str">
        <f t="shared" si="131"/>
        <v/>
      </c>
      <c r="R1172" s="37" t="str">
        <f t="shared" si="132"/>
        <v/>
      </c>
    </row>
    <row r="1173" spans="1:18" x14ac:dyDescent="0.35">
      <c r="A1173" s="8">
        <v>1169</v>
      </c>
      <c r="B1173" s="9" t="str">
        <f t="shared" si="126"/>
        <v/>
      </c>
      <c r="C1173" s="10"/>
      <c r="D1173" s="9" t="str">
        <f>IF(F1173="","",_xlfn.XLOOKUP(F1173,purchase!D:D,purchase!#REF!,""))</f>
        <v/>
      </c>
      <c r="E1173" s="9" t="str">
        <f>IF(F1173="","",_xlfn.XLOOKUP(F1173,purchase!D:D,purchase!B:B,""))</f>
        <v/>
      </c>
      <c r="F1173" s="2"/>
      <c r="G1173" s="4" t="str">
        <f t="shared" si="127"/>
        <v/>
      </c>
      <c r="H1173" s="4" t="str">
        <f>IF(F1173="","",_xlfn.XLOOKUP(F1173,purchase!D:D,purchase!#REF!,""))</f>
        <v/>
      </c>
      <c r="I1173" s="4" t="str">
        <f t="shared" si="128"/>
        <v/>
      </c>
      <c r="J1173" s="4" t="str">
        <f t="shared" si="129"/>
        <v/>
      </c>
      <c r="K1173" s="13" t="str">
        <f>_xlfn.SINGLE(IF(F1173="","",_xlfn.XLOOKUP(F1173,purchase!D:D,purchase!#REF!,"")))</f>
        <v/>
      </c>
      <c r="L1173" s="2"/>
      <c r="M1173" s="32"/>
      <c r="N1173" s="13" t="str">
        <f>IF(F1173="","",
MAX(0,
_xlfn.XLOOKUP(F1173,purchase!D:D,purchase!#REF!,"")
-
SUMIFS(L:L,F:F,F1173)))</f>
        <v/>
      </c>
      <c r="O1173" s="13" t="str">
        <f t="shared" si="130"/>
        <v/>
      </c>
      <c r="P1173" s="35" t="str">
        <f>_xlfn.SINGLE(IF(F1173="","",_xlfn.XLOOKUP(F1173,purchase!D:D,purchase!K:K,"")))</f>
        <v/>
      </c>
      <c r="Q1173" s="29" t="str">
        <f t="shared" si="131"/>
        <v/>
      </c>
      <c r="R1173" s="37" t="str">
        <f t="shared" si="132"/>
        <v/>
      </c>
    </row>
    <row r="1174" spans="1:18" x14ac:dyDescent="0.35">
      <c r="A1174" s="8">
        <v>1170</v>
      </c>
      <c r="B1174" s="9" t="str">
        <f t="shared" si="126"/>
        <v/>
      </c>
      <c r="C1174" s="10"/>
      <c r="D1174" s="9" t="str">
        <f>IF(F1174="","",_xlfn.XLOOKUP(F1174,purchase!D:D,purchase!#REF!,""))</f>
        <v/>
      </c>
      <c r="E1174" s="9" t="str">
        <f>IF(F1174="","",_xlfn.XLOOKUP(F1174,purchase!D:D,purchase!B:B,""))</f>
        <v/>
      </c>
      <c r="F1174" s="2"/>
      <c r="G1174" s="4" t="str">
        <f t="shared" si="127"/>
        <v/>
      </c>
      <c r="H1174" s="4" t="str">
        <f>IF(F1174="","",_xlfn.XLOOKUP(F1174,purchase!D:D,purchase!#REF!,""))</f>
        <v/>
      </c>
      <c r="I1174" s="4" t="str">
        <f t="shared" si="128"/>
        <v/>
      </c>
      <c r="J1174" s="4" t="str">
        <f t="shared" si="129"/>
        <v/>
      </c>
      <c r="K1174" s="13" t="str">
        <f>_xlfn.SINGLE(IF(F1174="","",_xlfn.XLOOKUP(F1174,purchase!D:D,purchase!#REF!,"")))</f>
        <v/>
      </c>
      <c r="L1174" s="2"/>
      <c r="M1174" s="32"/>
      <c r="N1174" s="13" t="str">
        <f>IF(F1174="","",
MAX(0,
_xlfn.XLOOKUP(F1174,purchase!D:D,purchase!#REF!,"")
-
SUMIFS(L:L,F:F,F1174)))</f>
        <v/>
      </c>
      <c r="O1174" s="13" t="str">
        <f t="shared" si="130"/>
        <v/>
      </c>
      <c r="P1174" s="35" t="str">
        <f>_xlfn.SINGLE(IF(F1174="","",_xlfn.XLOOKUP(F1174,purchase!D:D,purchase!K:K,"")))</f>
        <v/>
      </c>
      <c r="Q1174" s="29" t="str">
        <f t="shared" si="131"/>
        <v/>
      </c>
      <c r="R1174" s="37" t="str">
        <f t="shared" si="132"/>
        <v/>
      </c>
    </row>
    <row r="1175" spans="1:18" x14ac:dyDescent="0.35">
      <c r="A1175" s="8">
        <v>1171</v>
      </c>
      <c r="B1175" s="9" t="str">
        <f t="shared" si="126"/>
        <v/>
      </c>
      <c r="C1175" s="10"/>
      <c r="D1175" s="9" t="str">
        <f>IF(F1175="","",_xlfn.XLOOKUP(F1175,purchase!D:D,purchase!#REF!,""))</f>
        <v/>
      </c>
      <c r="E1175" s="9" t="str">
        <f>IF(F1175="","",_xlfn.XLOOKUP(F1175,purchase!D:D,purchase!B:B,""))</f>
        <v/>
      </c>
      <c r="F1175" s="2"/>
      <c r="G1175" s="4" t="str">
        <f t="shared" si="127"/>
        <v/>
      </c>
      <c r="H1175" s="4" t="str">
        <f>IF(F1175="","",_xlfn.XLOOKUP(F1175,purchase!D:D,purchase!#REF!,""))</f>
        <v/>
      </c>
      <c r="I1175" s="4" t="str">
        <f t="shared" si="128"/>
        <v/>
      </c>
      <c r="J1175" s="4" t="str">
        <f t="shared" si="129"/>
        <v/>
      </c>
      <c r="K1175" s="13" t="str">
        <f>_xlfn.SINGLE(IF(F1175="","",_xlfn.XLOOKUP(F1175,purchase!D:D,purchase!#REF!,"")))</f>
        <v/>
      </c>
      <c r="L1175" s="2"/>
      <c r="M1175" s="32"/>
      <c r="N1175" s="13" t="str">
        <f>IF(F1175="","",
MAX(0,
_xlfn.XLOOKUP(F1175,purchase!D:D,purchase!#REF!,"")
-
SUMIFS(L:L,F:F,F1175)))</f>
        <v/>
      </c>
      <c r="O1175" s="13" t="str">
        <f t="shared" si="130"/>
        <v/>
      </c>
      <c r="P1175" s="35" t="str">
        <f>_xlfn.SINGLE(IF(F1175="","",_xlfn.XLOOKUP(F1175,purchase!D:D,purchase!K:K,"")))</f>
        <v/>
      </c>
      <c r="Q1175" s="29" t="str">
        <f t="shared" si="131"/>
        <v/>
      </c>
      <c r="R1175" s="37" t="str">
        <f t="shared" si="132"/>
        <v/>
      </c>
    </row>
    <row r="1176" spans="1:18" x14ac:dyDescent="0.35">
      <c r="A1176" s="8">
        <v>1172</v>
      </c>
      <c r="B1176" s="9" t="str">
        <f t="shared" si="126"/>
        <v/>
      </c>
      <c r="C1176" s="10"/>
      <c r="D1176" s="9" t="str">
        <f>IF(F1176="","",_xlfn.XLOOKUP(F1176,purchase!D:D,purchase!#REF!,""))</f>
        <v/>
      </c>
      <c r="E1176" s="9" t="str">
        <f>IF(F1176="","",_xlfn.XLOOKUP(F1176,purchase!D:D,purchase!B:B,""))</f>
        <v/>
      </c>
      <c r="F1176" s="2"/>
      <c r="G1176" s="4" t="str">
        <f t="shared" si="127"/>
        <v/>
      </c>
      <c r="H1176" s="4" t="str">
        <f>IF(F1176="","",_xlfn.XLOOKUP(F1176,purchase!D:D,purchase!#REF!,""))</f>
        <v/>
      </c>
      <c r="I1176" s="4" t="str">
        <f t="shared" si="128"/>
        <v/>
      </c>
      <c r="J1176" s="4" t="str">
        <f t="shared" si="129"/>
        <v/>
      </c>
      <c r="K1176" s="13" t="str">
        <f>_xlfn.SINGLE(IF(F1176="","",_xlfn.XLOOKUP(F1176,purchase!D:D,purchase!#REF!,"")))</f>
        <v/>
      </c>
      <c r="L1176" s="2"/>
      <c r="M1176" s="32"/>
      <c r="N1176" s="13" t="str">
        <f>IF(F1176="","",
MAX(0,
_xlfn.XLOOKUP(F1176,purchase!D:D,purchase!#REF!,"")
-
SUMIFS(L:L,F:F,F1176)))</f>
        <v/>
      </c>
      <c r="O1176" s="13" t="str">
        <f t="shared" si="130"/>
        <v/>
      </c>
      <c r="P1176" s="35" t="str">
        <f>_xlfn.SINGLE(IF(F1176="","",_xlfn.XLOOKUP(F1176,purchase!D:D,purchase!K:K,"")))</f>
        <v/>
      </c>
      <c r="Q1176" s="29" t="str">
        <f t="shared" si="131"/>
        <v/>
      </c>
      <c r="R1176" s="37" t="str">
        <f t="shared" si="132"/>
        <v/>
      </c>
    </row>
    <row r="1177" spans="1:18" x14ac:dyDescent="0.35">
      <c r="A1177" s="8">
        <v>1173</v>
      </c>
      <c r="B1177" s="9" t="str">
        <f t="shared" si="126"/>
        <v/>
      </c>
      <c r="C1177" s="10"/>
      <c r="D1177" s="9" t="str">
        <f>IF(F1177="","",_xlfn.XLOOKUP(F1177,purchase!D:D,purchase!#REF!,""))</f>
        <v/>
      </c>
      <c r="E1177" s="9" t="str">
        <f>IF(F1177="","",_xlfn.XLOOKUP(F1177,purchase!D:D,purchase!B:B,""))</f>
        <v/>
      </c>
      <c r="F1177" s="2"/>
      <c r="G1177" s="4" t="str">
        <f t="shared" si="127"/>
        <v/>
      </c>
      <c r="H1177" s="4" t="str">
        <f>IF(F1177="","",_xlfn.XLOOKUP(F1177,purchase!D:D,purchase!#REF!,""))</f>
        <v/>
      </c>
      <c r="I1177" s="4" t="str">
        <f t="shared" si="128"/>
        <v/>
      </c>
      <c r="J1177" s="4" t="str">
        <f t="shared" si="129"/>
        <v/>
      </c>
      <c r="K1177" s="13" t="str">
        <f>_xlfn.SINGLE(IF(F1177="","",_xlfn.XLOOKUP(F1177,purchase!D:D,purchase!#REF!,"")))</f>
        <v/>
      </c>
      <c r="L1177" s="2"/>
      <c r="M1177" s="32"/>
      <c r="N1177" s="13" t="str">
        <f>IF(F1177="","",
MAX(0,
_xlfn.XLOOKUP(F1177,purchase!D:D,purchase!#REF!,"")
-
SUMIFS(L:L,F:F,F1177)))</f>
        <v/>
      </c>
      <c r="O1177" s="13" t="str">
        <f t="shared" si="130"/>
        <v/>
      </c>
      <c r="P1177" s="35" t="str">
        <f>_xlfn.SINGLE(IF(F1177="","",_xlfn.XLOOKUP(F1177,purchase!D:D,purchase!K:K,"")))</f>
        <v/>
      </c>
      <c r="Q1177" s="29" t="str">
        <f t="shared" si="131"/>
        <v/>
      </c>
      <c r="R1177" s="37" t="str">
        <f t="shared" si="132"/>
        <v/>
      </c>
    </row>
    <row r="1178" spans="1:18" x14ac:dyDescent="0.35">
      <c r="A1178" s="8">
        <v>1174</v>
      </c>
      <c r="B1178" s="9" t="str">
        <f t="shared" si="126"/>
        <v/>
      </c>
      <c r="C1178" s="10"/>
      <c r="D1178" s="9" t="str">
        <f>IF(F1178="","",_xlfn.XLOOKUP(F1178,purchase!D:D,purchase!#REF!,""))</f>
        <v/>
      </c>
      <c r="E1178" s="9" t="str">
        <f>IF(F1178="","",_xlfn.XLOOKUP(F1178,purchase!D:D,purchase!B:B,""))</f>
        <v/>
      </c>
      <c r="F1178" s="2"/>
      <c r="G1178" s="4" t="str">
        <f t="shared" si="127"/>
        <v/>
      </c>
      <c r="H1178" s="4" t="str">
        <f>IF(F1178="","",_xlfn.XLOOKUP(F1178,purchase!D:D,purchase!#REF!,""))</f>
        <v/>
      </c>
      <c r="I1178" s="4" t="str">
        <f t="shared" si="128"/>
        <v/>
      </c>
      <c r="J1178" s="4" t="str">
        <f t="shared" si="129"/>
        <v/>
      </c>
      <c r="K1178" s="13" t="str">
        <f>_xlfn.SINGLE(IF(F1178="","",_xlfn.XLOOKUP(F1178,purchase!D:D,purchase!#REF!,"")))</f>
        <v/>
      </c>
      <c r="L1178" s="2"/>
      <c r="M1178" s="32"/>
      <c r="N1178" s="13" t="str">
        <f>IF(F1178="","",
MAX(0,
_xlfn.XLOOKUP(F1178,purchase!D:D,purchase!#REF!,"")
-
SUMIFS(L:L,F:F,F1178)))</f>
        <v/>
      </c>
      <c r="O1178" s="13" t="str">
        <f t="shared" si="130"/>
        <v/>
      </c>
      <c r="P1178" s="35" t="str">
        <f>_xlfn.SINGLE(IF(F1178="","",_xlfn.XLOOKUP(F1178,purchase!D:D,purchase!K:K,"")))</f>
        <v/>
      </c>
      <c r="Q1178" s="29" t="str">
        <f t="shared" si="131"/>
        <v/>
      </c>
      <c r="R1178" s="37" t="str">
        <f t="shared" si="132"/>
        <v/>
      </c>
    </row>
    <row r="1179" spans="1:18" x14ac:dyDescent="0.35">
      <c r="A1179" s="8">
        <v>1175</v>
      </c>
      <c r="B1179" s="9" t="str">
        <f t="shared" si="126"/>
        <v/>
      </c>
      <c r="C1179" s="10"/>
      <c r="D1179" s="9" t="str">
        <f>IF(F1179="","",_xlfn.XLOOKUP(F1179,purchase!D:D,purchase!#REF!,""))</f>
        <v/>
      </c>
      <c r="E1179" s="9" t="str">
        <f>IF(F1179="","",_xlfn.XLOOKUP(F1179,purchase!D:D,purchase!B:B,""))</f>
        <v/>
      </c>
      <c r="F1179" s="2"/>
      <c r="G1179" s="4" t="str">
        <f t="shared" si="127"/>
        <v/>
      </c>
      <c r="H1179" s="4" t="str">
        <f>IF(F1179="","",_xlfn.XLOOKUP(F1179,purchase!D:D,purchase!#REF!,""))</f>
        <v/>
      </c>
      <c r="I1179" s="4" t="str">
        <f t="shared" si="128"/>
        <v/>
      </c>
      <c r="J1179" s="4" t="str">
        <f t="shared" si="129"/>
        <v/>
      </c>
      <c r="K1179" s="13" t="str">
        <f>_xlfn.SINGLE(IF(F1179="","",_xlfn.XLOOKUP(F1179,purchase!D:D,purchase!#REF!,"")))</f>
        <v/>
      </c>
      <c r="L1179" s="2"/>
      <c r="M1179" s="32"/>
      <c r="N1179" s="13" t="str">
        <f>IF(F1179="","",
MAX(0,
_xlfn.XLOOKUP(F1179,purchase!D:D,purchase!#REF!,"")
-
SUMIFS(L:L,F:F,F1179)))</f>
        <v/>
      </c>
      <c r="O1179" s="13" t="str">
        <f t="shared" si="130"/>
        <v/>
      </c>
      <c r="P1179" s="35" t="str">
        <f>_xlfn.SINGLE(IF(F1179="","",_xlfn.XLOOKUP(F1179,purchase!D:D,purchase!K:K,"")))</f>
        <v/>
      </c>
      <c r="Q1179" s="29" t="str">
        <f t="shared" si="131"/>
        <v/>
      </c>
      <c r="R1179" s="37" t="str">
        <f t="shared" si="132"/>
        <v/>
      </c>
    </row>
    <row r="1180" spans="1:18" x14ac:dyDescent="0.35">
      <c r="A1180" s="8">
        <v>1176</v>
      </c>
      <c r="B1180" s="9" t="str">
        <f t="shared" si="126"/>
        <v/>
      </c>
      <c r="C1180" s="10"/>
      <c r="D1180" s="9" t="str">
        <f>IF(F1180="","",_xlfn.XLOOKUP(F1180,purchase!D:D,purchase!#REF!,""))</f>
        <v/>
      </c>
      <c r="E1180" s="9" t="str">
        <f>IF(F1180="","",_xlfn.XLOOKUP(F1180,purchase!D:D,purchase!B:B,""))</f>
        <v/>
      </c>
      <c r="F1180" s="2"/>
      <c r="G1180" s="4" t="str">
        <f t="shared" si="127"/>
        <v/>
      </c>
      <c r="H1180" s="4" t="str">
        <f>IF(F1180="","",_xlfn.XLOOKUP(F1180,purchase!D:D,purchase!#REF!,""))</f>
        <v/>
      </c>
      <c r="I1180" s="4" t="str">
        <f t="shared" si="128"/>
        <v/>
      </c>
      <c r="J1180" s="4" t="str">
        <f t="shared" si="129"/>
        <v/>
      </c>
      <c r="K1180" s="13" t="str">
        <f>_xlfn.SINGLE(IF(F1180="","",_xlfn.XLOOKUP(F1180,purchase!D:D,purchase!#REF!,"")))</f>
        <v/>
      </c>
      <c r="L1180" s="2"/>
      <c r="M1180" s="32"/>
      <c r="N1180" s="13" t="str">
        <f>IF(F1180="","",
MAX(0,
_xlfn.XLOOKUP(F1180,purchase!D:D,purchase!#REF!,"")
-
SUMIFS(L:L,F:F,F1180)))</f>
        <v/>
      </c>
      <c r="O1180" s="13" t="str">
        <f t="shared" si="130"/>
        <v/>
      </c>
      <c r="P1180" s="35" t="str">
        <f>_xlfn.SINGLE(IF(F1180="","",_xlfn.XLOOKUP(F1180,purchase!D:D,purchase!K:K,"")))</f>
        <v/>
      </c>
      <c r="Q1180" s="29" t="str">
        <f t="shared" si="131"/>
        <v/>
      </c>
      <c r="R1180" s="37" t="str">
        <f t="shared" si="132"/>
        <v/>
      </c>
    </row>
    <row r="1181" spans="1:18" x14ac:dyDescent="0.35">
      <c r="A1181" s="8">
        <v>1177</v>
      </c>
      <c r="B1181" s="9" t="str">
        <f t="shared" si="126"/>
        <v/>
      </c>
      <c r="C1181" s="10"/>
      <c r="D1181" s="9" t="str">
        <f>IF(F1181="","",_xlfn.XLOOKUP(F1181,purchase!D:D,purchase!#REF!,""))</f>
        <v/>
      </c>
      <c r="E1181" s="9" t="str">
        <f>IF(F1181="","",_xlfn.XLOOKUP(F1181,purchase!D:D,purchase!B:B,""))</f>
        <v/>
      </c>
      <c r="F1181" s="2"/>
      <c r="G1181" s="4" t="str">
        <f t="shared" si="127"/>
        <v/>
      </c>
      <c r="H1181" s="4" t="str">
        <f>IF(F1181="","",_xlfn.XLOOKUP(F1181,purchase!D:D,purchase!#REF!,""))</f>
        <v/>
      </c>
      <c r="I1181" s="4" t="str">
        <f t="shared" si="128"/>
        <v/>
      </c>
      <c r="J1181" s="4" t="str">
        <f t="shared" si="129"/>
        <v/>
      </c>
      <c r="K1181" s="13" t="str">
        <f>_xlfn.SINGLE(IF(F1181="","",_xlfn.XLOOKUP(F1181,purchase!D:D,purchase!#REF!,"")))</f>
        <v/>
      </c>
      <c r="L1181" s="2"/>
      <c r="M1181" s="32"/>
      <c r="N1181" s="13" t="str">
        <f>IF(F1181="","",
MAX(0,
_xlfn.XLOOKUP(F1181,purchase!D:D,purchase!#REF!,"")
-
SUMIFS(L:L,F:F,F1181)))</f>
        <v/>
      </c>
      <c r="O1181" s="13" t="str">
        <f t="shared" si="130"/>
        <v/>
      </c>
      <c r="P1181" s="35" t="str">
        <f>_xlfn.SINGLE(IF(F1181="","",_xlfn.XLOOKUP(F1181,purchase!D:D,purchase!K:K,"")))</f>
        <v/>
      </c>
      <c r="Q1181" s="29" t="str">
        <f t="shared" si="131"/>
        <v/>
      </c>
      <c r="R1181" s="37" t="str">
        <f t="shared" si="132"/>
        <v/>
      </c>
    </row>
    <row r="1182" spans="1:18" x14ac:dyDescent="0.35">
      <c r="A1182" s="8">
        <v>1178</v>
      </c>
      <c r="B1182" s="9" t="str">
        <f t="shared" si="126"/>
        <v/>
      </c>
      <c r="C1182" s="10"/>
      <c r="D1182" s="9" t="str">
        <f>IF(F1182="","",_xlfn.XLOOKUP(F1182,purchase!D:D,purchase!#REF!,""))</f>
        <v/>
      </c>
      <c r="E1182" s="9" t="str">
        <f>IF(F1182="","",_xlfn.XLOOKUP(F1182,purchase!D:D,purchase!B:B,""))</f>
        <v/>
      </c>
      <c r="F1182" s="2"/>
      <c r="G1182" s="4" t="str">
        <f t="shared" si="127"/>
        <v/>
      </c>
      <c r="H1182" s="4" t="str">
        <f>IF(F1182="","",_xlfn.XLOOKUP(F1182,purchase!D:D,purchase!#REF!,""))</f>
        <v/>
      </c>
      <c r="I1182" s="4" t="str">
        <f t="shared" si="128"/>
        <v/>
      </c>
      <c r="J1182" s="4" t="str">
        <f t="shared" si="129"/>
        <v/>
      </c>
      <c r="K1182" s="13" t="str">
        <f>_xlfn.SINGLE(IF(F1182="","",_xlfn.XLOOKUP(F1182,purchase!D:D,purchase!#REF!,"")))</f>
        <v/>
      </c>
      <c r="L1182" s="2"/>
      <c r="M1182" s="32"/>
      <c r="N1182" s="13" t="str">
        <f>IF(F1182="","",
MAX(0,
_xlfn.XLOOKUP(F1182,purchase!D:D,purchase!#REF!,"")
-
SUMIFS(L:L,F:F,F1182)))</f>
        <v/>
      </c>
      <c r="O1182" s="13" t="str">
        <f t="shared" si="130"/>
        <v/>
      </c>
      <c r="P1182" s="35" t="str">
        <f>_xlfn.SINGLE(IF(F1182="","",_xlfn.XLOOKUP(F1182,purchase!D:D,purchase!K:K,"")))</f>
        <v/>
      </c>
      <c r="Q1182" s="29" t="str">
        <f t="shared" si="131"/>
        <v/>
      </c>
      <c r="R1182" s="37" t="str">
        <f t="shared" si="132"/>
        <v/>
      </c>
    </row>
    <row r="1183" spans="1:18" x14ac:dyDescent="0.35">
      <c r="A1183" s="8">
        <v>1179</v>
      </c>
      <c r="B1183" s="9" t="str">
        <f t="shared" si="126"/>
        <v/>
      </c>
      <c r="C1183" s="10"/>
      <c r="D1183" s="9" t="str">
        <f>IF(F1183="","",_xlfn.XLOOKUP(F1183,purchase!D:D,purchase!#REF!,""))</f>
        <v/>
      </c>
      <c r="E1183" s="9" t="str">
        <f>IF(F1183="","",_xlfn.XLOOKUP(F1183,purchase!D:D,purchase!B:B,""))</f>
        <v/>
      </c>
      <c r="F1183" s="2"/>
      <c r="G1183" s="4" t="str">
        <f t="shared" si="127"/>
        <v/>
      </c>
      <c r="H1183" s="4" t="str">
        <f>IF(F1183="","",_xlfn.XLOOKUP(F1183,purchase!D:D,purchase!#REF!,""))</f>
        <v/>
      </c>
      <c r="I1183" s="4" t="str">
        <f t="shared" si="128"/>
        <v/>
      </c>
      <c r="J1183" s="4" t="str">
        <f t="shared" si="129"/>
        <v/>
      </c>
      <c r="K1183" s="13" t="str">
        <f>_xlfn.SINGLE(IF(F1183="","",_xlfn.XLOOKUP(F1183,purchase!D:D,purchase!#REF!,"")))</f>
        <v/>
      </c>
      <c r="L1183" s="2"/>
      <c r="M1183" s="32"/>
      <c r="N1183" s="13" t="str">
        <f>IF(F1183="","",
MAX(0,
_xlfn.XLOOKUP(F1183,purchase!D:D,purchase!#REF!,"")
-
SUMIFS(L:L,F:F,F1183)))</f>
        <v/>
      </c>
      <c r="O1183" s="13" t="str">
        <f t="shared" si="130"/>
        <v/>
      </c>
      <c r="P1183" s="35" t="str">
        <f>_xlfn.SINGLE(IF(F1183="","",_xlfn.XLOOKUP(F1183,purchase!D:D,purchase!K:K,"")))</f>
        <v/>
      </c>
      <c r="Q1183" s="29" t="str">
        <f t="shared" si="131"/>
        <v/>
      </c>
      <c r="R1183" s="37" t="str">
        <f t="shared" si="132"/>
        <v/>
      </c>
    </row>
    <row r="1184" spans="1:18" x14ac:dyDescent="0.35">
      <c r="A1184" s="8">
        <v>1180</v>
      </c>
      <c r="B1184" s="9" t="str">
        <f t="shared" si="126"/>
        <v/>
      </c>
      <c r="C1184" s="10"/>
      <c r="D1184" s="9" t="str">
        <f>IF(F1184="","",_xlfn.XLOOKUP(F1184,purchase!D:D,purchase!#REF!,""))</f>
        <v/>
      </c>
      <c r="E1184" s="9" t="str">
        <f>IF(F1184="","",_xlfn.XLOOKUP(F1184,purchase!D:D,purchase!B:B,""))</f>
        <v/>
      </c>
      <c r="F1184" s="2"/>
      <c r="G1184" s="4" t="str">
        <f t="shared" si="127"/>
        <v/>
      </c>
      <c r="H1184" s="4" t="str">
        <f>IF(F1184="","",_xlfn.XLOOKUP(F1184,purchase!D:D,purchase!#REF!,""))</f>
        <v/>
      </c>
      <c r="I1184" s="4" t="str">
        <f t="shared" si="128"/>
        <v/>
      </c>
      <c r="J1184" s="4" t="str">
        <f t="shared" si="129"/>
        <v/>
      </c>
      <c r="K1184" s="13" t="str">
        <f>_xlfn.SINGLE(IF(F1184="","",_xlfn.XLOOKUP(F1184,purchase!D:D,purchase!#REF!,"")))</f>
        <v/>
      </c>
      <c r="L1184" s="2"/>
      <c r="M1184" s="32"/>
      <c r="N1184" s="13" t="str">
        <f>IF(F1184="","",
MAX(0,
_xlfn.XLOOKUP(F1184,purchase!D:D,purchase!#REF!,"")
-
SUMIFS(L:L,F:F,F1184)))</f>
        <v/>
      </c>
      <c r="O1184" s="13" t="str">
        <f t="shared" si="130"/>
        <v/>
      </c>
      <c r="P1184" s="35" t="str">
        <f>_xlfn.SINGLE(IF(F1184="","",_xlfn.XLOOKUP(F1184,purchase!D:D,purchase!K:K,"")))</f>
        <v/>
      </c>
      <c r="Q1184" s="29" t="str">
        <f t="shared" si="131"/>
        <v/>
      </c>
      <c r="R1184" s="37" t="str">
        <f t="shared" si="132"/>
        <v/>
      </c>
    </row>
    <row r="1185" spans="1:18" x14ac:dyDescent="0.35">
      <c r="A1185" s="8">
        <v>1181</v>
      </c>
      <c r="B1185" s="9" t="str">
        <f t="shared" si="126"/>
        <v/>
      </c>
      <c r="C1185" s="10"/>
      <c r="D1185" s="9" t="str">
        <f>IF(F1185="","",_xlfn.XLOOKUP(F1185,purchase!D:D,purchase!#REF!,""))</f>
        <v/>
      </c>
      <c r="E1185" s="9" t="str">
        <f>IF(F1185="","",_xlfn.XLOOKUP(F1185,purchase!D:D,purchase!B:B,""))</f>
        <v/>
      </c>
      <c r="F1185" s="2"/>
      <c r="G1185" s="4" t="str">
        <f t="shared" si="127"/>
        <v/>
      </c>
      <c r="H1185" s="4" t="str">
        <f>IF(F1185="","",_xlfn.XLOOKUP(F1185,purchase!D:D,purchase!#REF!,""))</f>
        <v/>
      </c>
      <c r="I1185" s="4" t="str">
        <f t="shared" si="128"/>
        <v/>
      </c>
      <c r="J1185" s="4" t="str">
        <f t="shared" si="129"/>
        <v/>
      </c>
      <c r="K1185" s="13" t="str">
        <f>_xlfn.SINGLE(IF(F1185="","",_xlfn.XLOOKUP(F1185,purchase!D:D,purchase!#REF!,"")))</f>
        <v/>
      </c>
      <c r="L1185" s="2"/>
      <c r="M1185" s="32"/>
      <c r="N1185" s="13" t="str">
        <f>IF(F1185="","",
MAX(0,
_xlfn.XLOOKUP(F1185,purchase!D:D,purchase!#REF!,"")
-
SUMIFS(L:L,F:F,F1185)))</f>
        <v/>
      </c>
      <c r="O1185" s="13" t="str">
        <f t="shared" si="130"/>
        <v/>
      </c>
      <c r="P1185" s="35" t="str">
        <f>_xlfn.SINGLE(IF(F1185="","",_xlfn.XLOOKUP(F1185,purchase!D:D,purchase!K:K,"")))</f>
        <v/>
      </c>
      <c r="Q1185" s="29" t="str">
        <f t="shared" si="131"/>
        <v/>
      </c>
      <c r="R1185" s="37" t="str">
        <f t="shared" si="132"/>
        <v/>
      </c>
    </row>
    <row r="1186" spans="1:18" x14ac:dyDescent="0.35">
      <c r="A1186" s="8">
        <v>1182</v>
      </c>
      <c r="B1186" s="9" t="str">
        <f t="shared" si="126"/>
        <v/>
      </c>
      <c r="C1186" s="10"/>
      <c r="D1186" s="9" t="str">
        <f>IF(F1186="","",_xlfn.XLOOKUP(F1186,purchase!D:D,purchase!#REF!,""))</f>
        <v/>
      </c>
      <c r="E1186" s="9" t="str">
        <f>IF(F1186="","",_xlfn.XLOOKUP(F1186,purchase!D:D,purchase!B:B,""))</f>
        <v/>
      </c>
      <c r="F1186" s="2"/>
      <c r="G1186" s="4" t="str">
        <f t="shared" si="127"/>
        <v/>
      </c>
      <c r="H1186" s="4" t="str">
        <f>IF(F1186="","",_xlfn.XLOOKUP(F1186,purchase!D:D,purchase!#REF!,""))</f>
        <v/>
      </c>
      <c r="I1186" s="4" t="str">
        <f t="shared" si="128"/>
        <v/>
      </c>
      <c r="J1186" s="4" t="str">
        <f t="shared" si="129"/>
        <v/>
      </c>
      <c r="K1186" s="13" t="str">
        <f>_xlfn.SINGLE(IF(F1186="","",_xlfn.XLOOKUP(F1186,purchase!D:D,purchase!#REF!,"")))</f>
        <v/>
      </c>
      <c r="L1186" s="2"/>
      <c r="M1186" s="32"/>
      <c r="N1186" s="13" t="str">
        <f>IF(F1186="","",
MAX(0,
_xlfn.XLOOKUP(F1186,purchase!D:D,purchase!#REF!,"")
-
SUMIFS(L:L,F:F,F1186)))</f>
        <v/>
      </c>
      <c r="O1186" s="13" t="str">
        <f t="shared" si="130"/>
        <v/>
      </c>
      <c r="P1186" s="35" t="str">
        <f>_xlfn.SINGLE(IF(F1186="","",_xlfn.XLOOKUP(F1186,purchase!D:D,purchase!K:K,"")))</f>
        <v/>
      </c>
      <c r="Q1186" s="29" t="str">
        <f t="shared" si="131"/>
        <v/>
      </c>
      <c r="R1186" s="37" t="str">
        <f t="shared" si="132"/>
        <v/>
      </c>
    </row>
    <row r="1187" spans="1:18" x14ac:dyDescent="0.35">
      <c r="A1187" s="8">
        <v>1183</v>
      </c>
      <c r="B1187" s="9" t="str">
        <f t="shared" si="126"/>
        <v/>
      </c>
      <c r="C1187" s="10"/>
      <c r="D1187" s="9" t="str">
        <f>IF(F1187="","",_xlfn.XLOOKUP(F1187,purchase!D:D,purchase!#REF!,""))</f>
        <v/>
      </c>
      <c r="E1187" s="9" t="str">
        <f>IF(F1187="","",_xlfn.XLOOKUP(F1187,purchase!D:D,purchase!B:B,""))</f>
        <v/>
      </c>
      <c r="F1187" s="2"/>
      <c r="G1187" s="4" t="str">
        <f t="shared" si="127"/>
        <v/>
      </c>
      <c r="H1187" s="4" t="str">
        <f>IF(F1187="","",_xlfn.XLOOKUP(F1187,purchase!D:D,purchase!#REF!,""))</f>
        <v/>
      </c>
      <c r="I1187" s="4" t="str">
        <f t="shared" si="128"/>
        <v/>
      </c>
      <c r="J1187" s="4" t="str">
        <f t="shared" si="129"/>
        <v/>
      </c>
      <c r="K1187" s="13" t="str">
        <f>_xlfn.SINGLE(IF(F1187="","",_xlfn.XLOOKUP(F1187,purchase!D:D,purchase!#REF!,"")))</f>
        <v/>
      </c>
      <c r="L1187" s="2"/>
      <c r="M1187" s="32"/>
      <c r="N1187" s="13" t="str">
        <f>IF(F1187="","",
MAX(0,
_xlfn.XLOOKUP(F1187,purchase!D:D,purchase!#REF!,"")
-
SUMIFS(L:L,F:F,F1187)))</f>
        <v/>
      </c>
      <c r="O1187" s="13" t="str">
        <f t="shared" si="130"/>
        <v/>
      </c>
      <c r="P1187" s="35" t="str">
        <f>_xlfn.SINGLE(IF(F1187="","",_xlfn.XLOOKUP(F1187,purchase!D:D,purchase!K:K,"")))</f>
        <v/>
      </c>
      <c r="Q1187" s="29" t="str">
        <f t="shared" si="131"/>
        <v/>
      </c>
      <c r="R1187" s="37" t="str">
        <f t="shared" si="132"/>
        <v/>
      </c>
    </row>
    <row r="1188" spans="1:18" x14ac:dyDescent="0.35">
      <c r="A1188" s="8">
        <v>1184</v>
      </c>
      <c r="B1188" s="9" t="str">
        <f t="shared" si="126"/>
        <v/>
      </c>
      <c r="C1188" s="10"/>
      <c r="D1188" s="9" t="str">
        <f>IF(F1188="","",_xlfn.XLOOKUP(F1188,purchase!D:D,purchase!#REF!,""))</f>
        <v/>
      </c>
      <c r="E1188" s="9" t="str">
        <f>IF(F1188="","",_xlfn.XLOOKUP(F1188,purchase!D:D,purchase!B:B,""))</f>
        <v/>
      </c>
      <c r="F1188" s="2"/>
      <c r="G1188" s="4" t="str">
        <f t="shared" si="127"/>
        <v/>
      </c>
      <c r="H1188" s="4" t="str">
        <f>IF(F1188="","",_xlfn.XLOOKUP(F1188,purchase!D:D,purchase!#REF!,""))</f>
        <v/>
      </c>
      <c r="I1188" s="4" t="str">
        <f t="shared" si="128"/>
        <v/>
      </c>
      <c r="J1188" s="4" t="str">
        <f t="shared" si="129"/>
        <v/>
      </c>
      <c r="K1188" s="13" t="str">
        <f>_xlfn.SINGLE(IF(F1188="","",_xlfn.XLOOKUP(F1188,purchase!D:D,purchase!#REF!,"")))</f>
        <v/>
      </c>
      <c r="L1188" s="2"/>
      <c r="M1188" s="32"/>
      <c r="N1188" s="13" t="str">
        <f>IF(F1188="","",
MAX(0,
_xlfn.XLOOKUP(F1188,purchase!D:D,purchase!#REF!,"")
-
SUMIFS(L:L,F:F,F1188)))</f>
        <v/>
      </c>
      <c r="O1188" s="13" t="str">
        <f t="shared" si="130"/>
        <v/>
      </c>
      <c r="P1188" s="35" t="str">
        <f>_xlfn.SINGLE(IF(F1188="","",_xlfn.XLOOKUP(F1188,purchase!D:D,purchase!K:K,"")))</f>
        <v/>
      </c>
      <c r="Q1188" s="29" t="str">
        <f t="shared" si="131"/>
        <v/>
      </c>
      <c r="R1188" s="37" t="str">
        <f t="shared" si="132"/>
        <v/>
      </c>
    </row>
    <row r="1189" spans="1:18" x14ac:dyDescent="0.35">
      <c r="A1189" s="8">
        <v>1185</v>
      </c>
      <c r="B1189" s="9" t="str">
        <f t="shared" si="126"/>
        <v/>
      </c>
      <c r="C1189" s="10"/>
      <c r="D1189" s="9" t="str">
        <f>IF(F1189="","",_xlfn.XLOOKUP(F1189,purchase!D:D,purchase!#REF!,""))</f>
        <v/>
      </c>
      <c r="E1189" s="9" t="str">
        <f>IF(F1189="","",_xlfn.XLOOKUP(F1189,purchase!D:D,purchase!B:B,""))</f>
        <v/>
      </c>
      <c r="F1189" s="2"/>
      <c r="G1189" s="4" t="str">
        <f t="shared" si="127"/>
        <v/>
      </c>
      <c r="H1189" s="4" t="str">
        <f>IF(F1189="","",_xlfn.XLOOKUP(F1189,purchase!D:D,purchase!#REF!,""))</f>
        <v/>
      </c>
      <c r="I1189" s="4" t="str">
        <f t="shared" si="128"/>
        <v/>
      </c>
      <c r="J1189" s="4" t="str">
        <f t="shared" si="129"/>
        <v/>
      </c>
      <c r="K1189" s="13" t="str">
        <f>_xlfn.SINGLE(IF(F1189="","",_xlfn.XLOOKUP(F1189,purchase!D:D,purchase!#REF!,"")))</f>
        <v/>
      </c>
      <c r="L1189" s="2"/>
      <c r="M1189" s="32"/>
      <c r="N1189" s="13" t="str">
        <f>IF(F1189="","",
MAX(0,
_xlfn.XLOOKUP(F1189,purchase!D:D,purchase!#REF!,"")
-
SUMIFS(L:L,F:F,F1189)))</f>
        <v/>
      </c>
      <c r="O1189" s="13" t="str">
        <f t="shared" si="130"/>
        <v/>
      </c>
      <c r="P1189" s="35" t="str">
        <f>_xlfn.SINGLE(IF(F1189="","",_xlfn.XLOOKUP(F1189,purchase!D:D,purchase!K:K,"")))</f>
        <v/>
      </c>
      <c r="Q1189" s="29" t="str">
        <f t="shared" si="131"/>
        <v/>
      </c>
      <c r="R1189" s="37" t="str">
        <f t="shared" si="132"/>
        <v/>
      </c>
    </row>
    <row r="1190" spans="1:18" x14ac:dyDescent="0.35">
      <c r="A1190" s="8">
        <v>1186</v>
      </c>
      <c r="B1190" s="9" t="str">
        <f t="shared" si="126"/>
        <v/>
      </c>
      <c r="C1190" s="10"/>
      <c r="D1190" s="9" t="str">
        <f>IF(F1190="","",_xlfn.XLOOKUP(F1190,purchase!D:D,purchase!#REF!,""))</f>
        <v/>
      </c>
      <c r="E1190" s="9" t="str">
        <f>IF(F1190="","",_xlfn.XLOOKUP(F1190,purchase!D:D,purchase!B:B,""))</f>
        <v/>
      </c>
      <c r="F1190" s="2"/>
      <c r="G1190" s="4" t="str">
        <f t="shared" si="127"/>
        <v/>
      </c>
      <c r="H1190" s="4" t="str">
        <f>IF(F1190="","",_xlfn.XLOOKUP(F1190,purchase!D:D,purchase!#REF!,""))</f>
        <v/>
      </c>
      <c r="I1190" s="4" t="str">
        <f t="shared" si="128"/>
        <v/>
      </c>
      <c r="J1190" s="4" t="str">
        <f t="shared" si="129"/>
        <v/>
      </c>
      <c r="K1190" s="13" t="str">
        <f>_xlfn.SINGLE(IF(F1190="","",_xlfn.XLOOKUP(F1190,purchase!D:D,purchase!#REF!,"")))</f>
        <v/>
      </c>
      <c r="L1190" s="2"/>
      <c r="M1190" s="32"/>
      <c r="N1190" s="13" t="str">
        <f>IF(F1190="","",
MAX(0,
_xlfn.XLOOKUP(F1190,purchase!D:D,purchase!#REF!,"")
-
SUMIFS(L:L,F:F,F1190)))</f>
        <v/>
      </c>
      <c r="O1190" s="13" t="str">
        <f t="shared" si="130"/>
        <v/>
      </c>
      <c r="P1190" s="35" t="str">
        <f>_xlfn.SINGLE(IF(F1190="","",_xlfn.XLOOKUP(F1190,purchase!D:D,purchase!K:K,"")))</f>
        <v/>
      </c>
      <c r="Q1190" s="29" t="str">
        <f t="shared" si="131"/>
        <v/>
      </c>
      <c r="R1190" s="37" t="str">
        <f t="shared" si="132"/>
        <v/>
      </c>
    </row>
    <row r="1191" spans="1:18" x14ac:dyDescent="0.35">
      <c r="A1191" s="8">
        <v>1187</v>
      </c>
      <c r="B1191" s="9" t="str">
        <f t="shared" si="126"/>
        <v/>
      </c>
      <c r="C1191" s="10"/>
      <c r="D1191" s="9" t="str">
        <f>IF(F1191="","",_xlfn.XLOOKUP(F1191,purchase!D:D,purchase!#REF!,""))</f>
        <v/>
      </c>
      <c r="E1191" s="9" t="str">
        <f>IF(F1191="","",_xlfn.XLOOKUP(F1191,purchase!D:D,purchase!B:B,""))</f>
        <v/>
      </c>
      <c r="F1191" s="2"/>
      <c r="G1191" s="4" t="str">
        <f t="shared" si="127"/>
        <v/>
      </c>
      <c r="H1191" s="4" t="str">
        <f>IF(F1191="","",_xlfn.XLOOKUP(F1191,purchase!D:D,purchase!#REF!,""))</f>
        <v/>
      </c>
      <c r="I1191" s="4" t="str">
        <f t="shared" si="128"/>
        <v/>
      </c>
      <c r="J1191" s="4" t="str">
        <f t="shared" si="129"/>
        <v/>
      </c>
      <c r="K1191" s="13" t="str">
        <f>_xlfn.SINGLE(IF(F1191="","",_xlfn.XLOOKUP(F1191,purchase!D:D,purchase!#REF!,"")))</f>
        <v/>
      </c>
      <c r="L1191" s="2"/>
      <c r="M1191" s="32"/>
      <c r="N1191" s="13" t="str">
        <f>IF(F1191="","",
MAX(0,
_xlfn.XLOOKUP(F1191,purchase!D:D,purchase!#REF!,"")
-
SUMIFS(L:L,F:F,F1191)))</f>
        <v/>
      </c>
      <c r="O1191" s="13" t="str">
        <f t="shared" si="130"/>
        <v/>
      </c>
      <c r="P1191" s="35" t="str">
        <f>_xlfn.SINGLE(IF(F1191="","",_xlfn.XLOOKUP(F1191,purchase!D:D,purchase!K:K,"")))</f>
        <v/>
      </c>
      <c r="Q1191" s="29" t="str">
        <f t="shared" si="131"/>
        <v/>
      </c>
      <c r="R1191" s="37" t="str">
        <f t="shared" si="132"/>
        <v/>
      </c>
    </row>
    <row r="1192" spans="1:18" x14ac:dyDescent="0.35">
      <c r="A1192" s="8">
        <v>1188</v>
      </c>
      <c r="B1192" s="9" t="str">
        <f t="shared" si="126"/>
        <v/>
      </c>
      <c r="C1192" s="10"/>
      <c r="D1192" s="9" t="str">
        <f>IF(F1192="","",_xlfn.XLOOKUP(F1192,purchase!D:D,purchase!#REF!,""))</f>
        <v/>
      </c>
      <c r="E1192" s="9" t="str">
        <f>IF(F1192="","",_xlfn.XLOOKUP(F1192,purchase!D:D,purchase!B:B,""))</f>
        <v/>
      </c>
      <c r="F1192" s="2"/>
      <c r="G1192" s="4" t="str">
        <f t="shared" si="127"/>
        <v/>
      </c>
      <c r="H1192" s="4" t="str">
        <f>IF(F1192="","",_xlfn.XLOOKUP(F1192,purchase!D:D,purchase!#REF!,""))</f>
        <v/>
      </c>
      <c r="I1192" s="4" t="str">
        <f t="shared" si="128"/>
        <v/>
      </c>
      <c r="J1192" s="4" t="str">
        <f t="shared" si="129"/>
        <v/>
      </c>
      <c r="K1192" s="13" t="str">
        <f>_xlfn.SINGLE(IF(F1192="","",_xlfn.XLOOKUP(F1192,purchase!D:D,purchase!#REF!,"")))</f>
        <v/>
      </c>
      <c r="L1192" s="2"/>
      <c r="M1192" s="32"/>
      <c r="N1192" s="13" t="str">
        <f>IF(F1192="","",
MAX(0,
_xlfn.XLOOKUP(F1192,purchase!D:D,purchase!#REF!,"")
-
SUMIFS(L:L,F:F,F1192)))</f>
        <v/>
      </c>
      <c r="O1192" s="13" t="str">
        <f t="shared" si="130"/>
        <v/>
      </c>
      <c r="P1192" s="35" t="str">
        <f>_xlfn.SINGLE(IF(F1192="","",_xlfn.XLOOKUP(F1192,purchase!D:D,purchase!K:K,"")))</f>
        <v/>
      </c>
      <c r="Q1192" s="29" t="str">
        <f t="shared" si="131"/>
        <v/>
      </c>
      <c r="R1192" s="37" t="str">
        <f t="shared" si="132"/>
        <v/>
      </c>
    </row>
    <row r="1193" spans="1:18" x14ac:dyDescent="0.35">
      <c r="A1193" s="8">
        <v>1189</v>
      </c>
      <c r="B1193" s="9" t="str">
        <f t="shared" si="126"/>
        <v/>
      </c>
      <c r="C1193" s="10"/>
      <c r="D1193" s="9" t="str">
        <f>IF(F1193="","",_xlfn.XLOOKUP(F1193,purchase!D:D,purchase!#REF!,""))</f>
        <v/>
      </c>
      <c r="E1193" s="9" t="str">
        <f>IF(F1193="","",_xlfn.XLOOKUP(F1193,purchase!D:D,purchase!B:B,""))</f>
        <v/>
      </c>
      <c r="F1193" s="2"/>
      <c r="G1193" s="4" t="str">
        <f t="shared" si="127"/>
        <v/>
      </c>
      <c r="H1193" s="4" t="str">
        <f>IF(F1193="","",_xlfn.XLOOKUP(F1193,purchase!D:D,purchase!#REF!,""))</f>
        <v/>
      </c>
      <c r="I1193" s="4" t="str">
        <f t="shared" si="128"/>
        <v/>
      </c>
      <c r="J1193" s="4" t="str">
        <f t="shared" si="129"/>
        <v/>
      </c>
      <c r="K1193" s="13" t="str">
        <f>_xlfn.SINGLE(IF(F1193="","",_xlfn.XLOOKUP(F1193,purchase!D:D,purchase!#REF!,"")))</f>
        <v/>
      </c>
      <c r="L1193" s="2"/>
      <c r="M1193" s="32"/>
      <c r="N1193" s="13" t="str">
        <f>IF(F1193="","",
MAX(0,
_xlfn.XLOOKUP(F1193,purchase!D:D,purchase!#REF!,"")
-
SUMIFS(L:L,F:F,F1193)))</f>
        <v/>
      </c>
      <c r="O1193" s="13" t="str">
        <f t="shared" si="130"/>
        <v/>
      </c>
      <c r="P1193" s="35" t="str">
        <f>_xlfn.SINGLE(IF(F1193="","",_xlfn.XLOOKUP(F1193,purchase!D:D,purchase!K:K,"")))</f>
        <v/>
      </c>
      <c r="Q1193" s="29" t="str">
        <f t="shared" si="131"/>
        <v/>
      </c>
      <c r="R1193" s="37" t="str">
        <f t="shared" si="132"/>
        <v/>
      </c>
    </row>
    <row r="1194" spans="1:18" x14ac:dyDescent="0.35">
      <c r="A1194" s="8">
        <v>1190</v>
      </c>
      <c r="B1194" s="9" t="str">
        <f t="shared" si="126"/>
        <v/>
      </c>
      <c r="C1194" s="10"/>
      <c r="D1194" s="9" t="str">
        <f>IF(F1194="","",_xlfn.XLOOKUP(F1194,purchase!D:D,purchase!#REF!,""))</f>
        <v/>
      </c>
      <c r="E1194" s="9" t="str">
        <f>IF(F1194="","",_xlfn.XLOOKUP(F1194,purchase!D:D,purchase!B:B,""))</f>
        <v/>
      </c>
      <c r="F1194" s="2"/>
      <c r="G1194" s="4" t="str">
        <f t="shared" si="127"/>
        <v/>
      </c>
      <c r="H1194" s="4" t="str">
        <f>IF(F1194="","",_xlfn.XLOOKUP(F1194,purchase!D:D,purchase!#REF!,""))</f>
        <v/>
      </c>
      <c r="I1194" s="4" t="str">
        <f t="shared" si="128"/>
        <v/>
      </c>
      <c r="J1194" s="4" t="str">
        <f t="shared" si="129"/>
        <v/>
      </c>
      <c r="K1194" s="13" t="str">
        <f>_xlfn.SINGLE(IF(F1194="","",_xlfn.XLOOKUP(F1194,purchase!D:D,purchase!#REF!,"")))</f>
        <v/>
      </c>
      <c r="L1194" s="2"/>
      <c r="M1194" s="32"/>
      <c r="N1194" s="13" t="str">
        <f>IF(F1194="","",
MAX(0,
_xlfn.XLOOKUP(F1194,purchase!D:D,purchase!#REF!,"")
-
SUMIFS(L:L,F:F,F1194)))</f>
        <v/>
      </c>
      <c r="O1194" s="13" t="str">
        <f t="shared" si="130"/>
        <v/>
      </c>
      <c r="P1194" s="35" t="str">
        <f>_xlfn.SINGLE(IF(F1194="","",_xlfn.XLOOKUP(F1194,purchase!D:D,purchase!K:K,"")))</f>
        <v/>
      </c>
      <c r="Q1194" s="29" t="str">
        <f t="shared" si="131"/>
        <v/>
      </c>
      <c r="R1194" s="37" t="str">
        <f t="shared" si="132"/>
        <v/>
      </c>
    </row>
    <row r="1195" spans="1:18" x14ac:dyDescent="0.35">
      <c r="A1195" s="8">
        <v>1191</v>
      </c>
      <c r="B1195" s="9" t="str">
        <f t="shared" si="126"/>
        <v/>
      </c>
      <c r="C1195" s="10"/>
      <c r="D1195" s="9" t="str">
        <f>IF(F1195="","",_xlfn.XLOOKUP(F1195,purchase!D:D,purchase!#REF!,""))</f>
        <v/>
      </c>
      <c r="E1195" s="9" t="str">
        <f>IF(F1195="","",_xlfn.XLOOKUP(F1195,purchase!D:D,purchase!B:B,""))</f>
        <v/>
      </c>
      <c r="F1195" s="2"/>
      <c r="G1195" s="4" t="str">
        <f t="shared" si="127"/>
        <v/>
      </c>
      <c r="H1195" s="4" t="str">
        <f>IF(F1195="","",_xlfn.XLOOKUP(F1195,purchase!D:D,purchase!#REF!,""))</f>
        <v/>
      </c>
      <c r="I1195" s="4" t="str">
        <f t="shared" si="128"/>
        <v/>
      </c>
      <c r="J1195" s="4" t="str">
        <f t="shared" si="129"/>
        <v/>
      </c>
      <c r="K1195" s="13" t="str">
        <f>_xlfn.SINGLE(IF(F1195="","",_xlfn.XLOOKUP(F1195,purchase!D:D,purchase!#REF!,"")))</f>
        <v/>
      </c>
      <c r="L1195" s="2"/>
      <c r="M1195" s="32"/>
      <c r="N1195" s="13" t="str">
        <f>IF(F1195="","",
MAX(0,
_xlfn.XLOOKUP(F1195,purchase!D:D,purchase!#REF!,"")
-
SUMIFS(L:L,F:F,F1195)))</f>
        <v/>
      </c>
      <c r="O1195" s="13" t="str">
        <f t="shared" si="130"/>
        <v/>
      </c>
      <c r="P1195" s="35" t="str">
        <f>_xlfn.SINGLE(IF(F1195="","",_xlfn.XLOOKUP(F1195,purchase!D:D,purchase!K:K,"")))</f>
        <v/>
      </c>
      <c r="Q1195" s="29" t="str">
        <f t="shared" si="131"/>
        <v/>
      </c>
      <c r="R1195" s="37" t="str">
        <f t="shared" si="132"/>
        <v/>
      </c>
    </row>
    <row r="1196" spans="1:18" x14ac:dyDescent="0.35">
      <c r="A1196" s="8">
        <v>1192</v>
      </c>
      <c r="B1196" s="9" t="str">
        <f t="shared" si="126"/>
        <v/>
      </c>
      <c r="C1196" s="10"/>
      <c r="D1196" s="9" t="str">
        <f>IF(F1196="","",_xlfn.XLOOKUP(F1196,purchase!D:D,purchase!#REF!,""))</f>
        <v/>
      </c>
      <c r="E1196" s="9" t="str">
        <f>IF(F1196="","",_xlfn.XLOOKUP(F1196,purchase!D:D,purchase!B:B,""))</f>
        <v/>
      </c>
      <c r="F1196" s="2"/>
      <c r="G1196" s="4" t="str">
        <f t="shared" si="127"/>
        <v/>
      </c>
      <c r="H1196" s="4" t="str">
        <f>IF(F1196="","",_xlfn.XLOOKUP(F1196,purchase!D:D,purchase!#REF!,""))</f>
        <v/>
      </c>
      <c r="I1196" s="4" t="str">
        <f t="shared" si="128"/>
        <v/>
      </c>
      <c r="J1196" s="4" t="str">
        <f t="shared" si="129"/>
        <v/>
      </c>
      <c r="K1196" s="13" t="str">
        <f>_xlfn.SINGLE(IF(F1196="","",_xlfn.XLOOKUP(F1196,purchase!D:D,purchase!#REF!,"")))</f>
        <v/>
      </c>
      <c r="L1196" s="2"/>
      <c r="M1196" s="32"/>
      <c r="N1196" s="13" t="str">
        <f>IF(F1196="","",
MAX(0,
_xlfn.XLOOKUP(F1196,purchase!D:D,purchase!#REF!,"")
-
SUMIFS(L:L,F:F,F1196)))</f>
        <v/>
      </c>
      <c r="O1196" s="13" t="str">
        <f t="shared" si="130"/>
        <v/>
      </c>
      <c r="P1196" s="35" t="str">
        <f>_xlfn.SINGLE(IF(F1196="","",_xlfn.XLOOKUP(F1196,purchase!D:D,purchase!K:K,"")))</f>
        <v/>
      </c>
      <c r="Q1196" s="29" t="str">
        <f t="shared" si="131"/>
        <v/>
      </c>
      <c r="R1196" s="37" t="str">
        <f t="shared" si="132"/>
        <v/>
      </c>
    </row>
    <row r="1197" spans="1:18" x14ac:dyDescent="0.35">
      <c r="A1197" s="8">
        <v>1193</v>
      </c>
      <c r="B1197" s="9" t="str">
        <f t="shared" si="126"/>
        <v/>
      </c>
      <c r="C1197" s="10"/>
      <c r="D1197" s="9" t="str">
        <f>IF(F1197="","",_xlfn.XLOOKUP(F1197,purchase!D:D,purchase!#REF!,""))</f>
        <v/>
      </c>
      <c r="E1197" s="9" t="str">
        <f>IF(F1197="","",_xlfn.XLOOKUP(F1197,purchase!D:D,purchase!B:B,""))</f>
        <v/>
      </c>
      <c r="F1197" s="2"/>
      <c r="G1197" s="4" t="str">
        <f t="shared" si="127"/>
        <v/>
      </c>
      <c r="H1197" s="4" t="str">
        <f>IF(F1197="","",_xlfn.XLOOKUP(F1197,purchase!D:D,purchase!#REF!,""))</f>
        <v/>
      </c>
      <c r="I1197" s="4" t="str">
        <f t="shared" si="128"/>
        <v/>
      </c>
      <c r="J1197" s="4" t="str">
        <f t="shared" si="129"/>
        <v/>
      </c>
      <c r="K1197" s="13" t="str">
        <f>_xlfn.SINGLE(IF(F1197="","",_xlfn.XLOOKUP(F1197,purchase!D:D,purchase!#REF!,"")))</f>
        <v/>
      </c>
      <c r="L1197" s="2"/>
      <c r="M1197" s="32"/>
      <c r="N1197" s="13" t="str">
        <f>IF(F1197="","",
MAX(0,
_xlfn.XLOOKUP(F1197,purchase!D:D,purchase!#REF!,"")
-
SUMIFS(L:L,F:F,F1197)))</f>
        <v/>
      </c>
      <c r="O1197" s="13" t="str">
        <f t="shared" si="130"/>
        <v/>
      </c>
      <c r="P1197" s="35" t="str">
        <f>_xlfn.SINGLE(IF(F1197="","",_xlfn.XLOOKUP(F1197,purchase!D:D,purchase!K:K,"")))</f>
        <v/>
      </c>
      <c r="Q1197" s="29" t="str">
        <f t="shared" si="131"/>
        <v/>
      </c>
      <c r="R1197" s="37" t="str">
        <f t="shared" si="132"/>
        <v/>
      </c>
    </row>
    <row r="1198" spans="1:18" x14ac:dyDescent="0.35">
      <c r="A1198" s="8">
        <v>1194</v>
      </c>
      <c r="B1198" s="9" t="str">
        <f t="shared" si="126"/>
        <v/>
      </c>
      <c r="C1198" s="10"/>
      <c r="D1198" s="9" t="str">
        <f>IF(F1198="","",_xlfn.XLOOKUP(F1198,purchase!D:D,purchase!#REF!,""))</f>
        <v/>
      </c>
      <c r="E1198" s="9" t="str">
        <f>IF(F1198="","",_xlfn.XLOOKUP(F1198,purchase!D:D,purchase!B:B,""))</f>
        <v/>
      </c>
      <c r="F1198" s="2"/>
      <c r="G1198" s="4" t="str">
        <f t="shared" si="127"/>
        <v/>
      </c>
      <c r="H1198" s="4" t="str">
        <f>IF(F1198="","",_xlfn.XLOOKUP(F1198,purchase!D:D,purchase!#REF!,""))</f>
        <v/>
      </c>
      <c r="I1198" s="4" t="str">
        <f t="shared" si="128"/>
        <v/>
      </c>
      <c r="J1198" s="4" t="str">
        <f t="shared" si="129"/>
        <v/>
      </c>
      <c r="K1198" s="13" t="str">
        <f>_xlfn.SINGLE(IF(F1198="","",_xlfn.XLOOKUP(F1198,purchase!D:D,purchase!#REF!,"")))</f>
        <v/>
      </c>
      <c r="L1198" s="2"/>
      <c r="M1198" s="32"/>
      <c r="N1198" s="13" t="str">
        <f>IF(F1198="","",
MAX(0,
_xlfn.XLOOKUP(F1198,purchase!D:D,purchase!#REF!,"")
-
SUMIFS(L:L,F:F,F1198)))</f>
        <v/>
      </c>
      <c r="O1198" s="13" t="str">
        <f t="shared" si="130"/>
        <v/>
      </c>
      <c r="P1198" s="35" t="str">
        <f>_xlfn.SINGLE(IF(F1198="","",_xlfn.XLOOKUP(F1198,purchase!D:D,purchase!K:K,"")))</f>
        <v/>
      </c>
      <c r="Q1198" s="29" t="str">
        <f t="shared" si="131"/>
        <v/>
      </c>
      <c r="R1198" s="37" t="str">
        <f t="shared" si="132"/>
        <v/>
      </c>
    </row>
    <row r="1199" spans="1:18" x14ac:dyDescent="0.35">
      <c r="A1199" s="8">
        <v>1195</v>
      </c>
      <c r="B1199" s="9" t="str">
        <f t="shared" si="126"/>
        <v/>
      </c>
      <c r="C1199" s="10"/>
      <c r="D1199" s="9" t="str">
        <f>IF(F1199="","",_xlfn.XLOOKUP(F1199,purchase!D:D,purchase!#REF!,""))</f>
        <v/>
      </c>
      <c r="E1199" s="9" t="str">
        <f>IF(F1199="","",_xlfn.XLOOKUP(F1199,purchase!D:D,purchase!B:B,""))</f>
        <v/>
      </c>
      <c r="F1199" s="2"/>
      <c r="G1199" s="4" t="str">
        <f t="shared" si="127"/>
        <v/>
      </c>
      <c r="H1199" s="4" t="str">
        <f>IF(F1199="","",_xlfn.XLOOKUP(F1199,purchase!D:D,purchase!#REF!,""))</f>
        <v/>
      </c>
      <c r="I1199" s="4" t="str">
        <f t="shared" si="128"/>
        <v/>
      </c>
      <c r="J1199" s="4" t="str">
        <f t="shared" si="129"/>
        <v/>
      </c>
      <c r="K1199" s="13" t="str">
        <f>_xlfn.SINGLE(IF(F1199="","",_xlfn.XLOOKUP(F1199,purchase!D:D,purchase!#REF!,"")))</f>
        <v/>
      </c>
      <c r="L1199" s="2"/>
      <c r="M1199" s="32"/>
      <c r="N1199" s="13" t="str">
        <f>IF(F1199="","",
MAX(0,
_xlfn.XLOOKUP(F1199,purchase!D:D,purchase!#REF!,"")
-
SUMIFS(L:L,F:F,F1199)))</f>
        <v/>
      </c>
      <c r="O1199" s="13" t="str">
        <f t="shared" si="130"/>
        <v/>
      </c>
      <c r="P1199" s="35" t="str">
        <f>_xlfn.SINGLE(IF(F1199="","",_xlfn.XLOOKUP(F1199,purchase!D:D,purchase!K:K,"")))</f>
        <v/>
      </c>
      <c r="Q1199" s="29" t="str">
        <f t="shared" si="131"/>
        <v/>
      </c>
      <c r="R1199" s="37" t="str">
        <f t="shared" si="132"/>
        <v/>
      </c>
    </row>
    <row r="1200" spans="1:18" x14ac:dyDescent="0.35">
      <c r="A1200" s="8">
        <v>1196</v>
      </c>
      <c r="B1200" s="9" t="str">
        <f t="shared" si="126"/>
        <v/>
      </c>
      <c r="C1200" s="10"/>
      <c r="D1200" s="9" t="str">
        <f>IF(F1200="","",_xlfn.XLOOKUP(F1200,purchase!D:D,purchase!#REF!,""))</f>
        <v/>
      </c>
      <c r="E1200" s="9" t="str">
        <f>IF(F1200="","",_xlfn.XLOOKUP(F1200,purchase!D:D,purchase!B:B,""))</f>
        <v/>
      </c>
      <c r="F1200" s="2"/>
      <c r="G1200" s="4" t="str">
        <f t="shared" si="127"/>
        <v/>
      </c>
      <c r="H1200" s="4" t="str">
        <f>IF(F1200="","",_xlfn.XLOOKUP(F1200,purchase!D:D,purchase!#REF!,""))</f>
        <v/>
      </c>
      <c r="I1200" s="4" t="str">
        <f t="shared" si="128"/>
        <v/>
      </c>
      <c r="J1200" s="4" t="str">
        <f t="shared" si="129"/>
        <v/>
      </c>
      <c r="K1200" s="13" t="str">
        <f>_xlfn.SINGLE(IF(F1200="","",_xlfn.XLOOKUP(F1200,purchase!D:D,purchase!#REF!,"")))</f>
        <v/>
      </c>
      <c r="L1200" s="2"/>
      <c r="M1200" s="32"/>
      <c r="N1200" s="13" t="str">
        <f>IF(F1200="","",
MAX(0,
_xlfn.XLOOKUP(F1200,purchase!D:D,purchase!#REF!,"")
-
SUMIFS(L:L,F:F,F1200)))</f>
        <v/>
      </c>
      <c r="O1200" s="13" t="str">
        <f t="shared" si="130"/>
        <v/>
      </c>
      <c r="P1200" s="35" t="str">
        <f>_xlfn.SINGLE(IF(F1200="","",_xlfn.XLOOKUP(F1200,purchase!D:D,purchase!K:K,"")))</f>
        <v/>
      </c>
      <c r="Q1200" s="29" t="str">
        <f t="shared" si="131"/>
        <v/>
      </c>
      <c r="R1200" s="37" t="str">
        <f t="shared" si="132"/>
        <v/>
      </c>
    </row>
    <row r="1201" spans="1:18" x14ac:dyDescent="0.35">
      <c r="A1201" s="8">
        <v>1197</v>
      </c>
      <c r="B1201" s="9" t="str">
        <f t="shared" si="126"/>
        <v/>
      </c>
      <c r="C1201" s="10"/>
      <c r="D1201" s="9" t="str">
        <f>IF(F1201="","",_xlfn.XLOOKUP(F1201,purchase!D:D,purchase!#REF!,""))</f>
        <v/>
      </c>
      <c r="E1201" s="9" t="str">
        <f>IF(F1201="","",_xlfn.XLOOKUP(F1201,purchase!D:D,purchase!B:B,""))</f>
        <v/>
      </c>
      <c r="F1201" s="2"/>
      <c r="G1201" s="4" t="str">
        <f t="shared" si="127"/>
        <v/>
      </c>
      <c r="H1201" s="4" t="str">
        <f>IF(F1201="","",_xlfn.XLOOKUP(F1201,purchase!D:D,purchase!#REF!,""))</f>
        <v/>
      </c>
      <c r="I1201" s="4" t="str">
        <f t="shared" si="128"/>
        <v/>
      </c>
      <c r="J1201" s="4" t="str">
        <f t="shared" si="129"/>
        <v/>
      </c>
      <c r="K1201" s="13" t="str">
        <f>_xlfn.SINGLE(IF(F1201="","",_xlfn.XLOOKUP(F1201,purchase!D:D,purchase!#REF!,"")))</f>
        <v/>
      </c>
      <c r="L1201" s="2"/>
      <c r="M1201" s="32"/>
      <c r="N1201" s="13" t="str">
        <f>IF(F1201="","",
MAX(0,
_xlfn.XLOOKUP(F1201,purchase!D:D,purchase!#REF!,"")
-
SUMIFS(L:L,F:F,F1201)))</f>
        <v/>
      </c>
      <c r="O1201" s="13" t="str">
        <f t="shared" si="130"/>
        <v/>
      </c>
      <c r="P1201" s="35" t="str">
        <f>_xlfn.SINGLE(IF(F1201="","",_xlfn.XLOOKUP(F1201,purchase!D:D,purchase!K:K,"")))</f>
        <v/>
      </c>
      <c r="Q1201" s="29" t="str">
        <f t="shared" si="131"/>
        <v/>
      </c>
      <c r="R1201" s="37" t="str">
        <f t="shared" si="132"/>
        <v/>
      </c>
    </row>
    <row r="1202" spans="1:18" x14ac:dyDescent="0.35">
      <c r="A1202" s="8">
        <v>1198</v>
      </c>
      <c r="B1202" s="9" t="str">
        <f t="shared" si="126"/>
        <v/>
      </c>
      <c r="C1202" s="10"/>
      <c r="D1202" s="9" t="str">
        <f>IF(F1202="","",_xlfn.XLOOKUP(F1202,purchase!D:D,purchase!#REF!,""))</f>
        <v/>
      </c>
      <c r="E1202" s="9" t="str">
        <f>IF(F1202="","",_xlfn.XLOOKUP(F1202,purchase!D:D,purchase!B:B,""))</f>
        <v/>
      </c>
      <c r="F1202" s="2"/>
      <c r="G1202" s="4" t="str">
        <f t="shared" si="127"/>
        <v/>
      </c>
      <c r="H1202" s="4" t="str">
        <f>IF(F1202="","",_xlfn.XLOOKUP(F1202,purchase!D:D,purchase!#REF!,""))</f>
        <v/>
      </c>
      <c r="I1202" s="4" t="str">
        <f t="shared" si="128"/>
        <v/>
      </c>
      <c r="J1202" s="4" t="str">
        <f t="shared" si="129"/>
        <v/>
      </c>
      <c r="K1202" s="13" t="str">
        <f>_xlfn.SINGLE(IF(F1202="","",_xlfn.XLOOKUP(F1202,purchase!D:D,purchase!#REF!,"")))</f>
        <v/>
      </c>
      <c r="L1202" s="2"/>
      <c r="M1202" s="32"/>
      <c r="N1202" s="13" t="str">
        <f>IF(F1202="","",
MAX(0,
_xlfn.XLOOKUP(F1202,purchase!D:D,purchase!#REF!,"")
-
SUMIFS(L:L,F:F,F1202)))</f>
        <v/>
      </c>
      <c r="O1202" s="13" t="str">
        <f t="shared" si="130"/>
        <v/>
      </c>
      <c r="P1202" s="35" t="str">
        <f>_xlfn.SINGLE(IF(F1202="","",_xlfn.XLOOKUP(F1202,purchase!D:D,purchase!K:K,"")))</f>
        <v/>
      </c>
      <c r="Q1202" s="29" t="str">
        <f t="shared" si="131"/>
        <v/>
      </c>
      <c r="R1202" s="37" t="str">
        <f t="shared" si="132"/>
        <v/>
      </c>
    </row>
    <row r="1203" spans="1:18" x14ac:dyDescent="0.35">
      <c r="A1203" s="8">
        <v>1199</v>
      </c>
      <c r="B1203" s="9" t="str">
        <f t="shared" si="126"/>
        <v/>
      </c>
      <c r="C1203" s="10"/>
      <c r="D1203" s="9" t="str">
        <f>IF(F1203="","",_xlfn.XLOOKUP(F1203,purchase!D:D,purchase!#REF!,""))</f>
        <v/>
      </c>
      <c r="E1203" s="9" t="str">
        <f>IF(F1203="","",_xlfn.XLOOKUP(F1203,purchase!D:D,purchase!B:B,""))</f>
        <v/>
      </c>
      <c r="F1203" s="2"/>
      <c r="G1203" s="4" t="str">
        <f t="shared" si="127"/>
        <v/>
      </c>
      <c r="H1203" s="4" t="str">
        <f>IF(F1203="","",_xlfn.XLOOKUP(F1203,purchase!D:D,purchase!#REF!,""))</f>
        <v/>
      </c>
      <c r="I1203" s="4" t="str">
        <f t="shared" si="128"/>
        <v/>
      </c>
      <c r="J1203" s="4" t="str">
        <f t="shared" si="129"/>
        <v/>
      </c>
      <c r="K1203" s="13" t="str">
        <f>_xlfn.SINGLE(IF(F1203="","",_xlfn.XLOOKUP(F1203,purchase!D:D,purchase!#REF!,"")))</f>
        <v/>
      </c>
      <c r="L1203" s="2"/>
      <c r="M1203" s="32"/>
      <c r="N1203" s="13" t="str">
        <f>IF(F1203="","",
MAX(0,
_xlfn.XLOOKUP(F1203,purchase!D:D,purchase!#REF!,"")
-
SUMIFS(L:L,F:F,F1203)))</f>
        <v/>
      </c>
      <c r="O1203" s="13" t="str">
        <f t="shared" si="130"/>
        <v/>
      </c>
      <c r="P1203" s="35" t="str">
        <f>_xlfn.SINGLE(IF(F1203="","",_xlfn.XLOOKUP(F1203,purchase!D:D,purchase!K:K,"")))</f>
        <v/>
      </c>
      <c r="Q1203" s="29" t="str">
        <f t="shared" si="131"/>
        <v/>
      </c>
      <c r="R1203" s="37" t="str">
        <f t="shared" si="132"/>
        <v/>
      </c>
    </row>
    <row r="1204" spans="1:18" x14ac:dyDescent="0.35">
      <c r="A1204" s="8">
        <v>1200</v>
      </c>
      <c r="B1204" s="9" t="str">
        <f t="shared" si="126"/>
        <v/>
      </c>
      <c r="C1204" s="10"/>
      <c r="D1204" s="9" t="str">
        <f>IF(F1204="","",_xlfn.XLOOKUP(F1204,purchase!D:D,purchase!#REF!,""))</f>
        <v/>
      </c>
      <c r="E1204" s="9" t="str">
        <f>IF(F1204="","",_xlfn.XLOOKUP(F1204,purchase!D:D,purchase!B:B,""))</f>
        <v/>
      </c>
      <c r="F1204" s="2"/>
      <c r="G1204" s="4" t="str">
        <f t="shared" si="127"/>
        <v/>
      </c>
      <c r="H1204" s="4" t="str">
        <f>IF(F1204="","",_xlfn.XLOOKUP(F1204,purchase!D:D,purchase!#REF!,""))</f>
        <v/>
      </c>
      <c r="I1204" s="4" t="str">
        <f t="shared" si="128"/>
        <v/>
      </c>
      <c r="J1204" s="4" t="str">
        <f t="shared" si="129"/>
        <v/>
      </c>
      <c r="K1204" s="13" t="str">
        <f>_xlfn.SINGLE(IF(F1204="","",_xlfn.XLOOKUP(F1204,purchase!D:D,purchase!#REF!,"")))</f>
        <v/>
      </c>
      <c r="L1204" s="2"/>
      <c r="M1204" s="32"/>
      <c r="N1204" s="13" t="str">
        <f>IF(F1204="","",
MAX(0,
_xlfn.XLOOKUP(F1204,purchase!D:D,purchase!#REF!,"")
-
SUMIFS(L:L,F:F,F1204)))</f>
        <v/>
      </c>
      <c r="O1204" s="13" t="str">
        <f t="shared" si="130"/>
        <v/>
      </c>
      <c r="P1204" s="35" t="str">
        <f>_xlfn.SINGLE(IF(F1204="","",_xlfn.XLOOKUP(F1204,purchase!D:D,purchase!K:K,"")))</f>
        <v/>
      </c>
      <c r="Q1204" s="29" t="str">
        <f t="shared" si="131"/>
        <v/>
      </c>
      <c r="R1204" s="37" t="str">
        <f t="shared" si="132"/>
        <v/>
      </c>
    </row>
    <row r="1205" spans="1:18" x14ac:dyDescent="0.35">
      <c r="A1205" s="8">
        <v>1201</v>
      </c>
      <c r="B1205" s="9" t="str">
        <f t="shared" si="126"/>
        <v/>
      </c>
      <c r="C1205" s="10"/>
      <c r="D1205" s="9" t="str">
        <f>IF(F1205="","",_xlfn.XLOOKUP(F1205,purchase!D:D,purchase!#REF!,""))</f>
        <v/>
      </c>
      <c r="E1205" s="9" t="str">
        <f>IF(F1205="","",_xlfn.XLOOKUP(F1205,purchase!D:D,purchase!B:B,""))</f>
        <v/>
      </c>
      <c r="F1205" s="2"/>
      <c r="G1205" s="4" t="str">
        <f t="shared" si="127"/>
        <v/>
      </c>
      <c r="H1205" s="4" t="str">
        <f>IF(F1205="","",_xlfn.XLOOKUP(F1205,purchase!D:D,purchase!#REF!,""))</f>
        <v/>
      </c>
      <c r="I1205" s="4" t="str">
        <f t="shared" si="128"/>
        <v/>
      </c>
      <c r="J1205" s="4" t="str">
        <f t="shared" si="129"/>
        <v/>
      </c>
      <c r="K1205" s="13" t="str">
        <f>_xlfn.SINGLE(IF(F1205="","",_xlfn.XLOOKUP(F1205,purchase!D:D,purchase!#REF!,"")))</f>
        <v/>
      </c>
      <c r="L1205" s="2"/>
      <c r="M1205" s="32"/>
      <c r="N1205" s="13" t="str">
        <f>IF(F1205="","",
MAX(0,
_xlfn.XLOOKUP(F1205,purchase!D:D,purchase!#REF!,"")
-
SUMIFS(L:L,F:F,F1205)))</f>
        <v/>
      </c>
      <c r="O1205" s="13" t="str">
        <f t="shared" si="130"/>
        <v/>
      </c>
      <c r="P1205" s="35" t="str">
        <f>_xlfn.SINGLE(IF(F1205="","",_xlfn.XLOOKUP(F1205,purchase!D:D,purchase!K:K,"")))</f>
        <v/>
      </c>
      <c r="Q1205" s="29" t="str">
        <f t="shared" si="131"/>
        <v/>
      </c>
      <c r="R1205" s="37" t="str">
        <f t="shared" si="132"/>
        <v/>
      </c>
    </row>
    <row r="1206" spans="1:18" x14ac:dyDescent="0.35">
      <c r="A1206" s="8">
        <v>1202</v>
      </c>
      <c r="B1206" s="9" t="str">
        <f t="shared" si="126"/>
        <v/>
      </c>
      <c r="C1206" s="10"/>
      <c r="D1206" s="9" t="str">
        <f>IF(F1206="","",_xlfn.XLOOKUP(F1206,purchase!D:D,purchase!#REF!,""))</f>
        <v/>
      </c>
      <c r="E1206" s="9" t="str">
        <f>IF(F1206="","",_xlfn.XLOOKUP(F1206,purchase!D:D,purchase!B:B,""))</f>
        <v/>
      </c>
      <c r="F1206" s="2"/>
      <c r="G1206" s="4" t="str">
        <f t="shared" si="127"/>
        <v/>
      </c>
      <c r="H1206" s="4" t="str">
        <f>IF(F1206="","",_xlfn.XLOOKUP(F1206,purchase!D:D,purchase!#REF!,""))</f>
        <v/>
      </c>
      <c r="I1206" s="4" t="str">
        <f t="shared" si="128"/>
        <v/>
      </c>
      <c r="J1206" s="4" t="str">
        <f t="shared" si="129"/>
        <v/>
      </c>
      <c r="K1206" s="13" t="str">
        <f>_xlfn.SINGLE(IF(F1206="","",_xlfn.XLOOKUP(F1206,purchase!D:D,purchase!#REF!,"")))</f>
        <v/>
      </c>
      <c r="L1206" s="2"/>
      <c r="M1206" s="32"/>
      <c r="N1206" s="13" t="str">
        <f>IF(F1206="","",
MAX(0,
_xlfn.XLOOKUP(F1206,purchase!D:D,purchase!#REF!,"")
-
SUMIFS(L:L,F:F,F1206)))</f>
        <v/>
      </c>
      <c r="O1206" s="13" t="str">
        <f t="shared" si="130"/>
        <v/>
      </c>
      <c r="P1206" s="35" t="str">
        <f>_xlfn.SINGLE(IF(F1206="","",_xlfn.XLOOKUP(F1206,purchase!D:D,purchase!K:K,"")))</f>
        <v/>
      </c>
      <c r="Q1206" s="29" t="str">
        <f t="shared" si="131"/>
        <v/>
      </c>
      <c r="R1206" s="37" t="str">
        <f t="shared" si="132"/>
        <v/>
      </c>
    </row>
    <row r="1207" spans="1:18" x14ac:dyDescent="0.35">
      <c r="A1207" s="8">
        <v>1203</v>
      </c>
      <c r="B1207" s="9" t="str">
        <f t="shared" si="126"/>
        <v/>
      </c>
      <c r="C1207" s="10"/>
      <c r="D1207" s="9" t="str">
        <f>IF(F1207="","",_xlfn.XLOOKUP(F1207,purchase!D:D,purchase!#REF!,""))</f>
        <v/>
      </c>
      <c r="E1207" s="9" t="str">
        <f>IF(F1207="","",_xlfn.XLOOKUP(F1207,purchase!D:D,purchase!B:B,""))</f>
        <v/>
      </c>
      <c r="F1207" s="2"/>
      <c r="G1207" s="4" t="str">
        <f t="shared" si="127"/>
        <v/>
      </c>
      <c r="H1207" s="4" t="str">
        <f>IF(F1207="","",_xlfn.XLOOKUP(F1207,purchase!D:D,purchase!#REF!,""))</f>
        <v/>
      </c>
      <c r="I1207" s="4" t="str">
        <f t="shared" si="128"/>
        <v/>
      </c>
      <c r="J1207" s="4" t="str">
        <f t="shared" si="129"/>
        <v/>
      </c>
      <c r="K1207" s="13" t="str">
        <f>_xlfn.SINGLE(IF(F1207="","",_xlfn.XLOOKUP(F1207,purchase!D:D,purchase!#REF!,"")))</f>
        <v/>
      </c>
      <c r="L1207" s="2"/>
      <c r="M1207" s="32"/>
      <c r="N1207" s="13" t="str">
        <f>IF(F1207="","",
MAX(0,
_xlfn.XLOOKUP(F1207,purchase!D:D,purchase!#REF!,"")
-
SUMIFS(L:L,F:F,F1207)))</f>
        <v/>
      </c>
      <c r="O1207" s="13" t="str">
        <f t="shared" si="130"/>
        <v/>
      </c>
      <c r="P1207" s="35" t="str">
        <f>_xlfn.SINGLE(IF(F1207="","",_xlfn.XLOOKUP(F1207,purchase!D:D,purchase!K:K,"")))</f>
        <v/>
      </c>
      <c r="Q1207" s="29" t="str">
        <f t="shared" si="131"/>
        <v/>
      </c>
      <c r="R1207" s="37" t="str">
        <f t="shared" si="132"/>
        <v/>
      </c>
    </row>
    <row r="1208" spans="1:18" x14ac:dyDescent="0.35">
      <c r="A1208" s="8">
        <v>1204</v>
      </c>
      <c r="B1208" s="9" t="str">
        <f t="shared" si="126"/>
        <v/>
      </c>
      <c r="C1208" s="10"/>
      <c r="D1208" s="9" t="str">
        <f>IF(F1208="","",_xlfn.XLOOKUP(F1208,purchase!D:D,purchase!#REF!,""))</f>
        <v/>
      </c>
      <c r="E1208" s="9" t="str">
        <f>IF(F1208="","",_xlfn.XLOOKUP(F1208,purchase!D:D,purchase!B:B,""))</f>
        <v/>
      </c>
      <c r="F1208" s="2"/>
      <c r="G1208" s="4" t="str">
        <f t="shared" si="127"/>
        <v/>
      </c>
      <c r="H1208" s="4" t="str">
        <f>IF(F1208="","",_xlfn.XLOOKUP(F1208,purchase!D:D,purchase!#REF!,""))</f>
        <v/>
      </c>
      <c r="I1208" s="4" t="str">
        <f t="shared" si="128"/>
        <v/>
      </c>
      <c r="J1208" s="4" t="str">
        <f t="shared" si="129"/>
        <v/>
      </c>
      <c r="K1208" s="13" t="str">
        <f>_xlfn.SINGLE(IF(F1208="","",_xlfn.XLOOKUP(F1208,purchase!D:D,purchase!#REF!,"")))</f>
        <v/>
      </c>
      <c r="L1208" s="2"/>
      <c r="M1208" s="32"/>
      <c r="N1208" s="13" t="str">
        <f>IF(F1208="","",
MAX(0,
_xlfn.XLOOKUP(F1208,purchase!D:D,purchase!#REF!,"")
-
SUMIFS(L:L,F:F,F1208)))</f>
        <v/>
      </c>
      <c r="O1208" s="13" t="str">
        <f t="shared" si="130"/>
        <v/>
      </c>
      <c r="P1208" s="35" t="str">
        <f>_xlfn.SINGLE(IF(F1208="","",_xlfn.XLOOKUP(F1208,purchase!D:D,purchase!K:K,"")))</f>
        <v/>
      </c>
      <c r="Q1208" s="29" t="str">
        <f t="shared" si="131"/>
        <v/>
      </c>
      <c r="R1208" s="37" t="str">
        <f t="shared" si="132"/>
        <v/>
      </c>
    </row>
    <row r="1209" spans="1:18" x14ac:dyDescent="0.35">
      <c r="A1209" s="8">
        <v>1205</v>
      </c>
      <c r="B1209" s="9" t="str">
        <f t="shared" si="126"/>
        <v/>
      </c>
      <c r="C1209" s="10"/>
      <c r="D1209" s="9" t="str">
        <f>IF(F1209="","",_xlfn.XLOOKUP(F1209,purchase!D:D,purchase!#REF!,""))</f>
        <v/>
      </c>
      <c r="E1209" s="9" t="str">
        <f>IF(F1209="","",_xlfn.XLOOKUP(F1209,purchase!D:D,purchase!B:B,""))</f>
        <v/>
      </c>
      <c r="F1209" s="2"/>
      <c r="G1209" s="4" t="str">
        <f t="shared" si="127"/>
        <v/>
      </c>
      <c r="H1209" s="4" t="str">
        <f>IF(F1209="","",_xlfn.XLOOKUP(F1209,purchase!D:D,purchase!#REF!,""))</f>
        <v/>
      </c>
      <c r="I1209" s="4" t="str">
        <f t="shared" si="128"/>
        <v/>
      </c>
      <c r="J1209" s="4" t="str">
        <f t="shared" si="129"/>
        <v/>
      </c>
      <c r="K1209" s="13" t="str">
        <f>_xlfn.SINGLE(IF(F1209="","",_xlfn.XLOOKUP(F1209,purchase!D:D,purchase!#REF!,"")))</f>
        <v/>
      </c>
      <c r="L1209" s="2"/>
      <c r="M1209" s="32"/>
      <c r="N1209" s="13" t="str">
        <f>IF(F1209="","",
MAX(0,
_xlfn.XLOOKUP(F1209,purchase!D:D,purchase!#REF!,"")
-
SUMIFS(L:L,F:F,F1209)))</f>
        <v/>
      </c>
      <c r="O1209" s="13" t="str">
        <f t="shared" si="130"/>
        <v/>
      </c>
      <c r="P1209" s="35" t="str">
        <f>_xlfn.SINGLE(IF(F1209="","",_xlfn.XLOOKUP(F1209,purchase!D:D,purchase!K:K,"")))</f>
        <v/>
      </c>
      <c r="Q1209" s="29" t="str">
        <f t="shared" si="131"/>
        <v/>
      </c>
      <c r="R1209" s="37" t="str">
        <f t="shared" si="132"/>
        <v/>
      </c>
    </row>
    <row r="1210" spans="1:18" x14ac:dyDescent="0.35">
      <c r="A1210" s="8">
        <v>1206</v>
      </c>
      <c r="B1210" s="9" t="str">
        <f t="shared" si="126"/>
        <v/>
      </c>
      <c r="C1210" s="10"/>
      <c r="D1210" s="9" t="str">
        <f>IF(F1210="","",_xlfn.XLOOKUP(F1210,purchase!D:D,purchase!#REF!,""))</f>
        <v/>
      </c>
      <c r="E1210" s="9" t="str">
        <f>IF(F1210="","",_xlfn.XLOOKUP(F1210,purchase!D:D,purchase!B:B,""))</f>
        <v/>
      </c>
      <c r="F1210" s="2"/>
      <c r="G1210" s="4" t="str">
        <f t="shared" si="127"/>
        <v/>
      </c>
      <c r="H1210" s="4" t="str">
        <f>IF(F1210="","",_xlfn.XLOOKUP(F1210,purchase!D:D,purchase!#REF!,""))</f>
        <v/>
      </c>
      <c r="I1210" s="4" t="str">
        <f t="shared" si="128"/>
        <v/>
      </c>
      <c r="J1210" s="4" t="str">
        <f t="shared" si="129"/>
        <v/>
      </c>
      <c r="K1210" s="13" t="str">
        <f>_xlfn.SINGLE(IF(F1210="","",_xlfn.XLOOKUP(F1210,purchase!D:D,purchase!#REF!,"")))</f>
        <v/>
      </c>
      <c r="L1210" s="2"/>
      <c r="M1210" s="32"/>
      <c r="N1210" s="13" t="str">
        <f>IF(F1210="","",
MAX(0,
_xlfn.XLOOKUP(F1210,purchase!D:D,purchase!#REF!,"")
-
SUMIFS(L:L,F:F,F1210)))</f>
        <v/>
      </c>
      <c r="O1210" s="13" t="str">
        <f t="shared" si="130"/>
        <v/>
      </c>
      <c r="P1210" s="35" t="str">
        <f>_xlfn.SINGLE(IF(F1210="","",_xlfn.XLOOKUP(F1210,purchase!D:D,purchase!K:K,"")))</f>
        <v/>
      </c>
      <c r="Q1210" s="29" t="str">
        <f t="shared" si="131"/>
        <v/>
      </c>
      <c r="R1210" s="37" t="str">
        <f t="shared" si="132"/>
        <v/>
      </c>
    </row>
    <row r="1211" spans="1:18" x14ac:dyDescent="0.35">
      <c r="A1211" s="8">
        <v>1207</v>
      </c>
      <c r="B1211" s="9" t="str">
        <f t="shared" si="126"/>
        <v/>
      </c>
      <c r="C1211" s="10"/>
      <c r="D1211" s="9" t="str">
        <f>IF(F1211="","",_xlfn.XLOOKUP(F1211,purchase!D:D,purchase!#REF!,""))</f>
        <v/>
      </c>
      <c r="E1211" s="9" t="str">
        <f>IF(F1211="","",_xlfn.XLOOKUP(F1211,purchase!D:D,purchase!B:B,""))</f>
        <v/>
      </c>
      <c r="F1211" s="2"/>
      <c r="G1211" s="4" t="str">
        <f t="shared" si="127"/>
        <v/>
      </c>
      <c r="H1211" s="4" t="str">
        <f>IF(F1211="","",_xlfn.XLOOKUP(F1211,purchase!D:D,purchase!#REF!,""))</f>
        <v/>
      </c>
      <c r="I1211" s="4" t="str">
        <f t="shared" si="128"/>
        <v/>
      </c>
      <c r="J1211" s="4" t="str">
        <f t="shared" si="129"/>
        <v/>
      </c>
      <c r="K1211" s="13" t="str">
        <f>_xlfn.SINGLE(IF(F1211="","",_xlfn.XLOOKUP(F1211,purchase!D:D,purchase!#REF!,"")))</f>
        <v/>
      </c>
      <c r="L1211" s="2"/>
      <c r="M1211" s="32"/>
      <c r="N1211" s="13" t="str">
        <f>IF(F1211="","",
MAX(0,
_xlfn.XLOOKUP(F1211,purchase!D:D,purchase!#REF!,"")
-
SUMIFS(L:L,F:F,F1211)))</f>
        <v/>
      </c>
      <c r="O1211" s="13" t="str">
        <f t="shared" si="130"/>
        <v/>
      </c>
      <c r="P1211" s="35" t="str">
        <f>_xlfn.SINGLE(IF(F1211="","",_xlfn.XLOOKUP(F1211,purchase!D:D,purchase!K:K,"")))</f>
        <v/>
      </c>
      <c r="Q1211" s="29" t="str">
        <f t="shared" si="131"/>
        <v/>
      </c>
      <c r="R1211" s="37" t="str">
        <f t="shared" si="132"/>
        <v/>
      </c>
    </row>
    <row r="1212" spans="1:18" x14ac:dyDescent="0.35">
      <c r="A1212" s="8">
        <v>1208</v>
      </c>
      <c r="B1212" s="9" t="str">
        <f t="shared" si="126"/>
        <v/>
      </c>
      <c r="C1212" s="10"/>
      <c r="D1212" s="9" t="str">
        <f>IF(F1212="","",_xlfn.XLOOKUP(F1212,purchase!D:D,purchase!#REF!,""))</f>
        <v/>
      </c>
      <c r="E1212" s="9" t="str">
        <f>IF(F1212="","",_xlfn.XLOOKUP(F1212,purchase!D:D,purchase!B:B,""))</f>
        <v/>
      </c>
      <c r="F1212" s="2"/>
      <c r="G1212" s="4" t="str">
        <f t="shared" si="127"/>
        <v/>
      </c>
      <c r="H1212" s="4" t="str">
        <f>IF(F1212="","",_xlfn.XLOOKUP(F1212,purchase!D:D,purchase!#REF!,""))</f>
        <v/>
      </c>
      <c r="I1212" s="4" t="str">
        <f t="shared" si="128"/>
        <v/>
      </c>
      <c r="J1212" s="4" t="str">
        <f t="shared" si="129"/>
        <v/>
      </c>
      <c r="K1212" s="13" t="str">
        <f>_xlfn.SINGLE(IF(F1212="","",_xlfn.XLOOKUP(F1212,purchase!D:D,purchase!#REF!,"")))</f>
        <v/>
      </c>
      <c r="L1212" s="2"/>
      <c r="M1212" s="32"/>
      <c r="N1212" s="13" t="str">
        <f>IF(F1212="","",
MAX(0,
_xlfn.XLOOKUP(F1212,purchase!D:D,purchase!#REF!,"")
-
SUMIFS(L:L,F:F,F1212)))</f>
        <v/>
      </c>
      <c r="O1212" s="13" t="str">
        <f t="shared" si="130"/>
        <v/>
      </c>
      <c r="P1212" s="35" t="str">
        <f>_xlfn.SINGLE(IF(F1212="","",_xlfn.XLOOKUP(F1212,purchase!D:D,purchase!K:K,"")))</f>
        <v/>
      </c>
      <c r="Q1212" s="29" t="str">
        <f t="shared" si="131"/>
        <v/>
      </c>
      <c r="R1212" s="37" t="str">
        <f t="shared" si="132"/>
        <v/>
      </c>
    </row>
    <row r="1213" spans="1:18" x14ac:dyDescent="0.35">
      <c r="A1213" s="8">
        <v>1209</v>
      </c>
      <c r="B1213" s="9" t="str">
        <f t="shared" si="126"/>
        <v/>
      </c>
      <c r="C1213" s="10"/>
      <c r="D1213" s="9" t="str">
        <f>IF(F1213="","",_xlfn.XLOOKUP(F1213,purchase!D:D,purchase!#REF!,""))</f>
        <v/>
      </c>
      <c r="E1213" s="9" t="str">
        <f>IF(F1213="","",_xlfn.XLOOKUP(F1213,purchase!D:D,purchase!B:B,""))</f>
        <v/>
      </c>
      <c r="F1213" s="2"/>
      <c r="G1213" s="4" t="str">
        <f t="shared" si="127"/>
        <v/>
      </c>
      <c r="H1213" s="4" t="str">
        <f>IF(F1213="","",_xlfn.XLOOKUP(F1213,purchase!D:D,purchase!#REF!,""))</f>
        <v/>
      </c>
      <c r="I1213" s="4" t="str">
        <f t="shared" si="128"/>
        <v/>
      </c>
      <c r="J1213" s="4" t="str">
        <f t="shared" si="129"/>
        <v/>
      </c>
      <c r="K1213" s="13" t="str">
        <f>_xlfn.SINGLE(IF(F1213="","",_xlfn.XLOOKUP(F1213,purchase!D:D,purchase!#REF!,"")))</f>
        <v/>
      </c>
      <c r="L1213" s="2"/>
      <c r="M1213" s="32"/>
      <c r="N1213" s="13" t="str">
        <f>IF(F1213="","",
MAX(0,
_xlfn.XLOOKUP(F1213,purchase!D:D,purchase!#REF!,"")
-
SUMIFS(L:L,F:F,F1213)))</f>
        <v/>
      </c>
      <c r="O1213" s="13" t="str">
        <f t="shared" si="130"/>
        <v/>
      </c>
      <c r="P1213" s="35" t="str">
        <f>_xlfn.SINGLE(IF(F1213="","",_xlfn.XLOOKUP(F1213,purchase!D:D,purchase!K:K,"")))</f>
        <v/>
      </c>
      <c r="Q1213" s="29" t="str">
        <f t="shared" si="131"/>
        <v/>
      </c>
      <c r="R1213" s="37" t="str">
        <f t="shared" si="132"/>
        <v/>
      </c>
    </row>
    <row r="1214" spans="1:18" x14ac:dyDescent="0.35">
      <c r="A1214" s="8">
        <v>1210</v>
      </c>
      <c r="B1214" s="9" t="str">
        <f t="shared" si="126"/>
        <v/>
      </c>
      <c r="C1214" s="10"/>
      <c r="D1214" s="9" t="str">
        <f>IF(F1214="","",_xlfn.XLOOKUP(F1214,purchase!D:D,purchase!#REF!,""))</f>
        <v/>
      </c>
      <c r="E1214" s="9" t="str">
        <f>IF(F1214="","",_xlfn.XLOOKUP(F1214,purchase!D:D,purchase!B:B,""))</f>
        <v/>
      </c>
      <c r="F1214" s="2"/>
      <c r="G1214" s="4" t="str">
        <f t="shared" si="127"/>
        <v/>
      </c>
      <c r="H1214" s="4" t="str">
        <f>IF(F1214="","",_xlfn.XLOOKUP(F1214,purchase!D:D,purchase!#REF!,""))</f>
        <v/>
      </c>
      <c r="I1214" s="4" t="str">
        <f t="shared" si="128"/>
        <v/>
      </c>
      <c r="J1214" s="4" t="str">
        <f t="shared" si="129"/>
        <v/>
      </c>
      <c r="K1214" s="13" t="str">
        <f>_xlfn.SINGLE(IF(F1214="","",_xlfn.XLOOKUP(F1214,purchase!D:D,purchase!#REF!,"")))</f>
        <v/>
      </c>
      <c r="L1214" s="2"/>
      <c r="M1214" s="32"/>
      <c r="N1214" s="13" t="str">
        <f>IF(F1214="","",
MAX(0,
_xlfn.XLOOKUP(F1214,purchase!D:D,purchase!#REF!,"")
-
SUMIFS(L:L,F:F,F1214)))</f>
        <v/>
      </c>
      <c r="O1214" s="13" t="str">
        <f t="shared" si="130"/>
        <v/>
      </c>
      <c r="P1214" s="35" t="str">
        <f>_xlfn.SINGLE(IF(F1214="","",_xlfn.XLOOKUP(F1214,purchase!D:D,purchase!K:K,"")))</f>
        <v/>
      </c>
      <c r="Q1214" s="29" t="str">
        <f t="shared" si="131"/>
        <v/>
      </c>
      <c r="R1214" s="37" t="str">
        <f t="shared" si="132"/>
        <v/>
      </c>
    </row>
    <row r="1215" spans="1:18" x14ac:dyDescent="0.35">
      <c r="A1215" s="8">
        <v>1211</v>
      </c>
      <c r="B1215" s="9" t="str">
        <f t="shared" si="126"/>
        <v/>
      </c>
      <c r="C1215" s="10"/>
      <c r="D1215" s="9" t="str">
        <f>IF(F1215="","",_xlfn.XLOOKUP(F1215,purchase!D:D,purchase!#REF!,""))</f>
        <v/>
      </c>
      <c r="E1215" s="9" t="str">
        <f>IF(F1215="","",_xlfn.XLOOKUP(F1215,purchase!D:D,purchase!B:B,""))</f>
        <v/>
      </c>
      <c r="F1215" s="2"/>
      <c r="G1215" s="4" t="str">
        <f t="shared" si="127"/>
        <v/>
      </c>
      <c r="H1215" s="4" t="str">
        <f>IF(F1215="","",_xlfn.XLOOKUP(F1215,purchase!D:D,purchase!#REF!,""))</f>
        <v/>
      </c>
      <c r="I1215" s="4" t="str">
        <f t="shared" si="128"/>
        <v/>
      </c>
      <c r="J1215" s="4" t="str">
        <f t="shared" si="129"/>
        <v/>
      </c>
      <c r="K1215" s="13" t="str">
        <f>_xlfn.SINGLE(IF(F1215="","",_xlfn.XLOOKUP(F1215,purchase!D:D,purchase!#REF!,"")))</f>
        <v/>
      </c>
      <c r="L1215" s="2"/>
      <c r="M1215" s="32"/>
      <c r="N1215" s="13" t="str">
        <f>IF(F1215="","",
MAX(0,
_xlfn.XLOOKUP(F1215,purchase!D:D,purchase!#REF!,"")
-
SUMIFS(L:L,F:F,F1215)))</f>
        <v/>
      </c>
      <c r="O1215" s="13" t="str">
        <f t="shared" si="130"/>
        <v/>
      </c>
      <c r="P1215" s="35" t="str">
        <f>_xlfn.SINGLE(IF(F1215="","",_xlfn.XLOOKUP(F1215,purchase!D:D,purchase!K:K,"")))</f>
        <v/>
      </c>
      <c r="Q1215" s="29" t="str">
        <f t="shared" si="131"/>
        <v/>
      </c>
      <c r="R1215" s="37" t="str">
        <f t="shared" si="132"/>
        <v/>
      </c>
    </row>
    <row r="1216" spans="1:18" x14ac:dyDescent="0.35">
      <c r="A1216" s="8">
        <v>1212</v>
      </c>
      <c r="B1216" s="9" t="str">
        <f t="shared" si="126"/>
        <v/>
      </c>
      <c r="C1216" s="10"/>
      <c r="D1216" s="9" t="str">
        <f>IF(F1216="","",_xlfn.XLOOKUP(F1216,purchase!D:D,purchase!#REF!,""))</f>
        <v/>
      </c>
      <c r="E1216" s="9" t="str">
        <f>IF(F1216="","",_xlfn.XLOOKUP(F1216,purchase!D:D,purchase!B:B,""))</f>
        <v/>
      </c>
      <c r="F1216" s="2"/>
      <c r="G1216" s="4" t="str">
        <f t="shared" si="127"/>
        <v/>
      </c>
      <c r="H1216" s="4" t="str">
        <f>IF(F1216="","",_xlfn.XLOOKUP(F1216,purchase!D:D,purchase!#REF!,""))</f>
        <v/>
      </c>
      <c r="I1216" s="4" t="str">
        <f t="shared" si="128"/>
        <v/>
      </c>
      <c r="J1216" s="4" t="str">
        <f t="shared" si="129"/>
        <v/>
      </c>
      <c r="K1216" s="13" t="str">
        <f>_xlfn.SINGLE(IF(F1216="","",_xlfn.XLOOKUP(F1216,purchase!D:D,purchase!#REF!,"")))</f>
        <v/>
      </c>
      <c r="L1216" s="2"/>
      <c r="M1216" s="32"/>
      <c r="N1216" s="13" t="str">
        <f>IF(F1216="","",
MAX(0,
_xlfn.XLOOKUP(F1216,purchase!D:D,purchase!#REF!,"")
-
SUMIFS(L:L,F:F,F1216)))</f>
        <v/>
      </c>
      <c r="O1216" s="13" t="str">
        <f t="shared" si="130"/>
        <v/>
      </c>
      <c r="P1216" s="35" t="str">
        <f>_xlfn.SINGLE(IF(F1216="","",_xlfn.XLOOKUP(F1216,purchase!D:D,purchase!K:K,"")))</f>
        <v/>
      </c>
      <c r="Q1216" s="29" t="str">
        <f t="shared" si="131"/>
        <v/>
      </c>
      <c r="R1216" s="37" t="str">
        <f t="shared" si="132"/>
        <v/>
      </c>
    </row>
    <row r="1217" spans="1:18" x14ac:dyDescent="0.35">
      <c r="A1217" s="8">
        <v>1213</v>
      </c>
      <c r="B1217" s="9" t="str">
        <f t="shared" si="126"/>
        <v/>
      </c>
      <c r="C1217" s="10"/>
      <c r="D1217" s="9" t="str">
        <f>IF(F1217="","",_xlfn.XLOOKUP(F1217,purchase!D:D,purchase!#REF!,""))</f>
        <v/>
      </c>
      <c r="E1217" s="9" t="str">
        <f>IF(F1217="","",_xlfn.XLOOKUP(F1217,purchase!D:D,purchase!B:B,""))</f>
        <v/>
      </c>
      <c r="F1217" s="2"/>
      <c r="G1217" s="4" t="str">
        <f t="shared" si="127"/>
        <v/>
      </c>
      <c r="H1217" s="4" t="str">
        <f>IF(F1217="","",_xlfn.XLOOKUP(F1217,purchase!D:D,purchase!#REF!,""))</f>
        <v/>
      </c>
      <c r="I1217" s="4" t="str">
        <f t="shared" si="128"/>
        <v/>
      </c>
      <c r="J1217" s="4" t="str">
        <f t="shared" si="129"/>
        <v/>
      </c>
      <c r="K1217" s="13" t="str">
        <f>_xlfn.SINGLE(IF(F1217="","",_xlfn.XLOOKUP(F1217,purchase!D:D,purchase!#REF!,"")))</f>
        <v/>
      </c>
      <c r="L1217" s="2"/>
      <c r="M1217" s="32"/>
      <c r="N1217" s="13" t="str">
        <f>IF(F1217="","",
MAX(0,
_xlfn.XLOOKUP(F1217,purchase!D:D,purchase!#REF!,"")
-
SUMIFS(L:L,F:F,F1217)))</f>
        <v/>
      </c>
      <c r="O1217" s="13" t="str">
        <f t="shared" si="130"/>
        <v/>
      </c>
      <c r="P1217" s="35" t="str">
        <f>_xlfn.SINGLE(IF(F1217="","",_xlfn.XLOOKUP(F1217,purchase!D:D,purchase!K:K,"")))</f>
        <v/>
      </c>
      <c r="Q1217" s="29" t="str">
        <f t="shared" si="131"/>
        <v/>
      </c>
      <c r="R1217" s="37" t="str">
        <f t="shared" si="132"/>
        <v/>
      </c>
    </row>
    <row r="1218" spans="1:18" x14ac:dyDescent="0.35">
      <c r="A1218" s="8">
        <v>1214</v>
      </c>
      <c r="B1218" s="9" t="str">
        <f t="shared" si="126"/>
        <v/>
      </c>
      <c r="C1218" s="10"/>
      <c r="D1218" s="9" t="str">
        <f>IF(F1218="","",_xlfn.XLOOKUP(F1218,purchase!D:D,purchase!#REF!,""))</f>
        <v/>
      </c>
      <c r="E1218" s="9" t="str">
        <f>IF(F1218="","",_xlfn.XLOOKUP(F1218,purchase!D:D,purchase!B:B,""))</f>
        <v/>
      </c>
      <c r="F1218" s="2"/>
      <c r="G1218" s="4" t="str">
        <f t="shared" si="127"/>
        <v/>
      </c>
      <c r="H1218" s="4" t="str">
        <f>IF(F1218="","",_xlfn.XLOOKUP(F1218,purchase!D:D,purchase!#REF!,""))</f>
        <v/>
      </c>
      <c r="I1218" s="4" t="str">
        <f t="shared" si="128"/>
        <v/>
      </c>
      <c r="J1218" s="4" t="str">
        <f t="shared" si="129"/>
        <v/>
      </c>
      <c r="K1218" s="13" t="str">
        <f>_xlfn.SINGLE(IF(F1218="","",_xlfn.XLOOKUP(F1218,purchase!D:D,purchase!#REF!,"")))</f>
        <v/>
      </c>
      <c r="L1218" s="2"/>
      <c r="M1218" s="32"/>
      <c r="N1218" s="13" t="str">
        <f>IF(F1218="","",
MAX(0,
_xlfn.XLOOKUP(F1218,purchase!D:D,purchase!#REF!,"")
-
SUMIFS(L:L,F:F,F1218)))</f>
        <v/>
      </c>
      <c r="O1218" s="13" t="str">
        <f t="shared" si="130"/>
        <v/>
      </c>
      <c r="P1218" s="35" t="str">
        <f>_xlfn.SINGLE(IF(F1218="","",_xlfn.XLOOKUP(F1218,purchase!D:D,purchase!K:K,"")))</f>
        <v/>
      </c>
      <c r="Q1218" s="29" t="str">
        <f t="shared" si="131"/>
        <v/>
      </c>
      <c r="R1218" s="37" t="str">
        <f t="shared" si="132"/>
        <v/>
      </c>
    </row>
    <row r="1219" spans="1:18" x14ac:dyDescent="0.35">
      <c r="A1219" s="8">
        <v>1215</v>
      </c>
      <c r="B1219" s="9" t="str">
        <f t="shared" si="126"/>
        <v/>
      </c>
      <c r="C1219" s="10"/>
      <c r="D1219" s="9" t="str">
        <f>IF(F1219="","",_xlfn.XLOOKUP(F1219,purchase!D:D,purchase!#REF!,""))</f>
        <v/>
      </c>
      <c r="E1219" s="9" t="str">
        <f>IF(F1219="","",_xlfn.XLOOKUP(F1219,purchase!D:D,purchase!B:B,""))</f>
        <v/>
      </c>
      <c r="F1219" s="2"/>
      <c r="G1219" s="4" t="str">
        <f t="shared" si="127"/>
        <v/>
      </c>
      <c r="H1219" s="4" t="str">
        <f>IF(F1219="","",_xlfn.XLOOKUP(F1219,purchase!D:D,purchase!#REF!,""))</f>
        <v/>
      </c>
      <c r="I1219" s="4" t="str">
        <f t="shared" si="128"/>
        <v/>
      </c>
      <c r="J1219" s="4" t="str">
        <f t="shared" si="129"/>
        <v/>
      </c>
      <c r="K1219" s="13" t="str">
        <f>_xlfn.SINGLE(IF(F1219="","",_xlfn.XLOOKUP(F1219,purchase!D:D,purchase!#REF!,"")))</f>
        <v/>
      </c>
      <c r="L1219" s="2"/>
      <c r="M1219" s="32"/>
      <c r="N1219" s="13" t="str">
        <f>IF(F1219="","",
MAX(0,
_xlfn.XLOOKUP(F1219,purchase!D:D,purchase!#REF!,"")
-
SUMIFS(L:L,F:F,F1219)))</f>
        <v/>
      </c>
      <c r="O1219" s="13" t="str">
        <f t="shared" si="130"/>
        <v/>
      </c>
      <c r="P1219" s="35" t="str">
        <f>_xlfn.SINGLE(IF(F1219="","",_xlfn.XLOOKUP(F1219,purchase!D:D,purchase!K:K,"")))</f>
        <v/>
      </c>
      <c r="Q1219" s="29" t="str">
        <f t="shared" si="131"/>
        <v/>
      </c>
      <c r="R1219" s="37" t="str">
        <f t="shared" si="132"/>
        <v/>
      </c>
    </row>
    <row r="1220" spans="1:18" x14ac:dyDescent="0.35">
      <c r="A1220" s="8">
        <v>1216</v>
      </c>
      <c r="B1220" s="9" t="str">
        <f t="shared" si="126"/>
        <v/>
      </c>
      <c r="C1220" s="10"/>
      <c r="D1220" s="9" t="str">
        <f>IF(F1220="","",_xlfn.XLOOKUP(F1220,purchase!D:D,purchase!#REF!,""))</f>
        <v/>
      </c>
      <c r="E1220" s="9" t="str">
        <f>IF(F1220="","",_xlfn.XLOOKUP(F1220,purchase!D:D,purchase!B:B,""))</f>
        <v/>
      </c>
      <c r="F1220" s="2"/>
      <c r="G1220" s="4" t="str">
        <f t="shared" si="127"/>
        <v/>
      </c>
      <c r="H1220" s="4" t="str">
        <f>IF(F1220="","",_xlfn.XLOOKUP(F1220,purchase!D:D,purchase!#REF!,""))</f>
        <v/>
      </c>
      <c r="I1220" s="4" t="str">
        <f t="shared" si="128"/>
        <v/>
      </c>
      <c r="J1220" s="4" t="str">
        <f t="shared" si="129"/>
        <v/>
      </c>
      <c r="K1220" s="13" t="str">
        <f>_xlfn.SINGLE(IF(F1220="","",_xlfn.XLOOKUP(F1220,purchase!D:D,purchase!#REF!,"")))</f>
        <v/>
      </c>
      <c r="L1220" s="2"/>
      <c r="M1220" s="32"/>
      <c r="N1220" s="13" t="str">
        <f>IF(F1220="","",
MAX(0,
_xlfn.XLOOKUP(F1220,purchase!D:D,purchase!#REF!,"")
-
SUMIFS(L:L,F:F,F1220)))</f>
        <v/>
      </c>
      <c r="O1220" s="13" t="str">
        <f t="shared" si="130"/>
        <v/>
      </c>
      <c r="P1220" s="35" t="str">
        <f>_xlfn.SINGLE(IF(F1220="","",_xlfn.XLOOKUP(F1220,purchase!D:D,purchase!K:K,"")))</f>
        <v/>
      </c>
      <c r="Q1220" s="29" t="str">
        <f t="shared" si="131"/>
        <v/>
      </c>
      <c r="R1220" s="37" t="str">
        <f t="shared" si="132"/>
        <v/>
      </c>
    </row>
    <row r="1221" spans="1:18" x14ac:dyDescent="0.35">
      <c r="A1221" s="8">
        <v>1217</v>
      </c>
      <c r="B1221" s="9" t="str">
        <f t="shared" ref="B1221:B1284" si="133">IF(OR(C1221="",F1221=""),"",
"PRD-" &amp;
TEXT(DAY(C1221),"00") &amp;
CHOOSE(MONTH(C1221),"A","B","C","D","E","F","G","H","I","J","K","L") &amp;
TEXT(YEAR(C1221),"00") &amp;
"-" &amp;
RIGHT(F1221,4))</f>
        <v/>
      </c>
      <c r="C1221" s="10"/>
      <c r="D1221" s="9" t="str">
        <f>IF(F1221="","",_xlfn.XLOOKUP(F1221,purchase!D:D,purchase!#REF!,""))</f>
        <v/>
      </c>
      <c r="E1221" s="9" t="str">
        <f>IF(F1221="","",_xlfn.XLOOKUP(F1221,purchase!D:D,purchase!B:B,""))</f>
        <v/>
      </c>
      <c r="F1221" s="2"/>
      <c r="G1221" s="4" t="str">
        <f t="shared" ref="G1221:G1284" si="134">IF(H1221="NRFC","Natural Rubber Field Coagulam","")</f>
        <v/>
      </c>
      <c r="H1221" s="4" t="str">
        <f>IF(F1221="","",_xlfn.XLOOKUP(F1221,purchase!D:D,purchase!#REF!,""))</f>
        <v/>
      </c>
      <c r="I1221" s="4" t="str">
        <f t="shared" ref="I1221:I1284" si="135">IF(J1221="ISNR20","Natural Rubber-TSNR (ISNR-20)","")</f>
        <v/>
      </c>
      <c r="J1221" s="4" t="str">
        <f t="shared" ref="J1221:J1284" si="136">IF(H1221="NRFC","ISNR20","")</f>
        <v/>
      </c>
      <c r="K1221" s="13" t="str">
        <f>_xlfn.SINGLE(IF(F1221="","",_xlfn.XLOOKUP(F1221,purchase!D:D,purchase!#REF!,"")))</f>
        <v/>
      </c>
      <c r="L1221" s="2"/>
      <c r="M1221" s="32"/>
      <c r="N1221" s="13" t="str">
        <f>IF(F1221="","",
MAX(0,
_xlfn.XLOOKUP(F1221,purchase!D:D,purchase!#REF!,"")
-
SUMIFS(L:L,F:F,F1221)))</f>
        <v/>
      </c>
      <c r="O1221" s="13" t="str">
        <f t="shared" ref="O1221:O1284" si="137">IF(OR(L1221="",M1221=""),"",L1221-M1221)</f>
        <v/>
      </c>
      <c r="P1221" s="35" t="str">
        <f>_xlfn.SINGLE(IF(F1221="","",_xlfn.XLOOKUP(F1221,purchase!D:D,purchase!K:K,"")))</f>
        <v/>
      </c>
      <c r="Q1221" s="29" t="str">
        <f t="shared" ref="Q1221:Q1284" si="138">IF(OR(L1221="",M1221=""),"",M1221/L1221)</f>
        <v/>
      </c>
      <c r="R1221" s="37" t="str">
        <f t="shared" ref="R1221:R1284" si="139">IF(OR(P1221="",Q1221=""),"",Q1221-P1221)</f>
        <v/>
      </c>
    </row>
    <row r="1222" spans="1:18" x14ac:dyDescent="0.35">
      <c r="A1222" s="8">
        <v>1218</v>
      </c>
      <c r="B1222" s="9" t="str">
        <f t="shared" si="133"/>
        <v/>
      </c>
      <c r="C1222" s="10"/>
      <c r="D1222" s="9" t="str">
        <f>IF(F1222="","",_xlfn.XLOOKUP(F1222,purchase!D:D,purchase!#REF!,""))</f>
        <v/>
      </c>
      <c r="E1222" s="9" t="str">
        <f>IF(F1222="","",_xlfn.XLOOKUP(F1222,purchase!D:D,purchase!B:B,""))</f>
        <v/>
      </c>
      <c r="F1222" s="2"/>
      <c r="G1222" s="4" t="str">
        <f t="shared" si="134"/>
        <v/>
      </c>
      <c r="H1222" s="4" t="str">
        <f>IF(F1222="","",_xlfn.XLOOKUP(F1222,purchase!D:D,purchase!#REF!,""))</f>
        <v/>
      </c>
      <c r="I1222" s="4" t="str">
        <f t="shared" si="135"/>
        <v/>
      </c>
      <c r="J1222" s="4" t="str">
        <f t="shared" si="136"/>
        <v/>
      </c>
      <c r="K1222" s="13" t="str">
        <f>_xlfn.SINGLE(IF(F1222="","",_xlfn.XLOOKUP(F1222,purchase!D:D,purchase!#REF!,"")))</f>
        <v/>
      </c>
      <c r="L1222" s="2"/>
      <c r="M1222" s="32"/>
      <c r="N1222" s="13" t="str">
        <f>IF(F1222="","",
MAX(0,
_xlfn.XLOOKUP(F1222,purchase!D:D,purchase!#REF!,"")
-
SUMIFS(L:L,F:F,F1222)))</f>
        <v/>
      </c>
      <c r="O1222" s="13" t="str">
        <f t="shared" si="137"/>
        <v/>
      </c>
      <c r="P1222" s="35" t="str">
        <f>_xlfn.SINGLE(IF(F1222="","",_xlfn.XLOOKUP(F1222,purchase!D:D,purchase!K:K,"")))</f>
        <v/>
      </c>
      <c r="Q1222" s="29" t="str">
        <f t="shared" si="138"/>
        <v/>
      </c>
      <c r="R1222" s="37" t="str">
        <f t="shared" si="139"/>
        <v/>
      </c>
    </row>
    <row r="1223" spans="1:18" x14ac:dyDescent="0.35">
      <c r="A1223" s="8">
        <v>1219</v>
      </c>
      <c r="B1223" s="9" t="str">
        <f t="shared" si="133"/>
        <v/>
      </c>
      <c r="C1223" s="10"/>
      <c r="D1223" s="9" t="str">
        <f>IF(F1223="","",_xlfn.XLOOKUP(F1223,purchase!D:D,purchase!#REF!,""))</f>
        <v/>
      </c>
      <c r="E1223" s="9" t="str">
        <f>IF(F1223="","",_xlfn.XLOOKUP(F1223,purchase!D:D,purchase!B:B,""))</f>
        <v/>
      </c>
      <c r="F1223" s="2"/>
      <c r="G1223" s="4" t="str">
        <f t="shared" si="134"/>
        <v/>
      </c>
      <c r="H1223" s="4" t="str">
        <f>IF(F1223="","",_xlfn.XLOOKUP(F1223,purchase!D:D,purchase!#REF!,""))</f>
        <v/>
      </c>
      <c r="I1223" s="4" t="str">
        <f t="shared" si="135"/>
        <v/>
      </c>
      <c r="J1223" s="4" t="str">
        <f t="shared" si="136"/>
        <v/>
      </c>
      <c r="K1223" s="13" t="str">
        <f>_xlfn.SINGLE(IF(F1223="","",_xlfn.XLOOKUP(F1223,purchase!D:D,purchase!#REF!,"")))</f>
        <v/>
      </c>
      <c r="L1223" s="2"/>
      <c r="M1223" s="32"/>
      <c r="N1223" s="13" t="str">
        <f>IF(F1223="","",
MAX(0,
_xlfn.XLOOKUP(F1223,purchase!D:D,purchase!#REF!,"")
-
SUMIFS(L:L,F:F,F1223)))</f>
        <v/>
      </c>
      <c r="O1223" s="13" t="str">
        <f t="shared" si="137"/>
        <v/>
      </c>
      <c r="P1223" s="35" t="str">
        <f>_xlfn.SINGLE(IF(F1223="","",_xlfn.XLOOKUP(F1223,purchase!D:D,purchase!K:K,"")))</f>
        <v/>
      </c>
      <c r="Q1223" s="29" t="str">
        <f t="shared" si="138"/>
        <v/>
      </c>
      <c r="R1223" s="37" t="str">
        <f t="shared" si="139"/>
        <v/>
      </c>
    </row>
    <row r="1224" spans="1:18" x14ac:dyDescent="0.35">
      <c r="A1224" s="8">
        <v>1220</v>
      </c>
      <c r="B1224" s="9" t="str">
        <f t="shared" si="133"/>
        <v/>
      </c>
      <c r="C1224" s="10"/>
      <c r="D1224" s="9" t="str">
        <f>IF(F1224="","",_xlfn.XLOOKUP(F1224,purchase!D:D,purchase!#REF!,""))</f>
        <v/>
      </c>
      <c r="E1224" s="9" t="str">
        <f>IF(F1224="","",_xlfn.XLOOKUP(F1224,purchase!D:D,purchase!B:B,""))</f>
        <v/>
      </c>
      <c r="F1224" s="2"/>
      <c r="G1224" s="4" t="str">
        <f t="shared" si="134"/>
        <v/>
      </c>
      <c r="H1224" s="4" t="str">
        <f>IF(F1224="","",_xlfn.XLOOKUP(F1224,purchase!D:D,purchase!#REF!,""))</f>
        <v/>
      </c>
      <c r="I1224" s="4" t="str">
        <f t="shared" si="135"/>
        <v/>
      </c>
      <c r="J1224" s="4" t="str">
        <f t="shared" si="136"/>
        <v/>
      </c>
      <c r="K1224" s="13" t="str">
        <f>_xlfn.SINGLE(IF(F1224="","",_xlfn.XLOOKUP(F1224,purchase!D:D,purchase!#REF!,"")))</f>
        <v/>
      </c>
      <c r="L1224" s="2"/>
      <c r="M1224" s="32"/>
      <c r="N1224" s="13" t="str">
        <f>IF(F1224="","",
MAX(0,
_xlfn.XLOOKUP(F1224,purchase!D:D,purchase!#REF!,"")
-
SUMIFS(L:L,F:F,F1224)))</f>
        <v/>
      </c>
      <c r="O1224" s="13" t="str">
        <f t="shared" si="137"/>
        <v/>
      </c>
      <c r="P1224" s="35" t="str">
        <f>_xlfn.SINGLE(IF(F1224="","",_xlfn.XLOOKUP(F1224,purchase!D:D,purchase!K:K,"")))</f>
        <v/>
      </c>
      <c r="Q1224" s="29" t="str">
        <f t="shared" si="138"/>
        <v/>
      </c>
      <c r="R1224" s="37" t="str">
        <f t="shared" si="139"/>
        <v/>
      </c>
    </row>
    <row r="1225" spans="1:18" x14ac:dyDescent="0.35">
      <c r="A1225" s="8">
        <v>1221</v>
      </c>
      <c r="B1225" s="9" t="str">
        <f t="shared" si="133"/>
        <v/>
      </c>
      <c r="C1225" s="10"/>
      <c r="D1225" s="9" t="str">
        <f>IF(F1225="","",_xlfn.XLOOKUP(F1225,purchase!D:D,purchase!#REF!,""))</f>
        <v/>
      </c>
      <c r="E1225" s="9" t="str">
        <f>IF(F1225="","",_xlfn.XLOOKUP(F1225,purchase!D:D,purchase!B:B,""))</f>
        <v/>
      </c>
      <c r="F1225" s="2"/>
      <c r="G1225" s="4" t="str">
        <f t="shared" si="134"/>
        <v/>
      </c>
      <c r="H1225" s="4" t="str">
        <f>IF(F1225="","",_xlfn.XLOOKUP(F1225,purchase!D:D,purchase!#REF!,""))</f>
        <v/>
      </c>
      <c r="I1225" s="4" t="str">
        <f t="shared" si="135"/>
        <v/>
      </c>
      <c r="J1225" s="4" t="str">
        <f t="shared" si="136"/>
        <v/>
      </c>
      <c r="K1225" s="13" t="str">
        <f>_xlfn.SINGLE(IF(F1225="","",_xlfn.XLOOKUP(F1225,purchase!D:D,purchase!#REF!,"")))</f>
        <v/>
      </c>
      <c r="L1225" s="2"/>
      <c r="M1225" s="32"/>
      <c r="N1225" s="13" t="str">
        <f>IF(F1225="","",
MAX(0,
_xlfn.XLOOKUP(F1225,purchase!D:D,purchase!#REF!,"")
-
SUMIFS(L:L,F:F,F1225)))</f>
        <v/>
      </c>
      <c r="O1225" s="13" t="str">
        <f t="shared" si="137"/>
        <v/>
      </c>
      <c r="P1225" s="35" t="str">
        <f>_xlfn.SINGLE(IF(F1225="","",_xlfn.XLOOKUP(F1225,purchase!D:D,purchase!K:K,"")))</f>
        <v/>
      </c>
      <c r="Q1225" s="29" t="str">
        <f t="shared" si="138"/>
        <v/>
      </c>
      <c r="R1225" s="37" t="str">
        <f t="shared" si="139"/>
        <v/>
      </c>
    </row>
    <row r="1226" spans="1:18" x14ac:dyDescent="0.35">
      <c r="A1226" s="8">
        <v>1222</v>
      </c>
      <c r="B1226" s="9" t="str">
        <f t="shared" si="133"/>
        <v/>
      </c>
      <c r="C1226" s="10"/>
      <c r="D1226" s="9" t="str">
        <f>IF(F1226="","",_xlfn.XLOOKUP(F1226,purchase!D:D,purchase!#REF!,""))</f>
        <v/>
      </c>
      <c r="E1226" s="9" t="str">
        <f>IF(F1226="","",_xlfn.XLOOKUP(F1226,purchase!D:D,purchase!B:B,""))</f>
        <v/>
      </c>
      <c r="F1226" s="2"/>
      <c r="G1226" s="4" t="str">
        <f t="shared" si="134"/>
        <v/>
      </c>
      <c r="H1226" s="4" t="str">
        <f>IF(F1226="","",_xlfn.XLOOKUP(F1226,purchase!D:D,purchase!#REF!,""))</f>
        <v/>
      </c>
      <c r="I1226" s="4" t="str">
        <f t="shared" si="135"/>
        <v/>
      </c>
      <c r="J1226" s="4" t="str">
        <f t="shared" si="136"/>
        <v/>
      </c>
      <c r="K1226" s="13" t="str">
        <f>_xlfn.SINGLE(IF(F1226="","",_xlfn.XLOOKUP(F1226,purchase!D:D,purchase!#REF!,"")))</f>
        <v/>
      </c>
      <c r="L1226" s="2"/>
      <c r="M1226" s="32"/>
      <c r="N1226" s="13" t="str">
        <f>IF(F1226="","",
MAX(0,
_xlfn.XLOOKUP(F1226,purchase!D:D,purchase!#REF!,"")
-
SUMIFS(L:L,F:F,F1226)))</f>
        <v/>
      </c>
      <c r="O1226" s="13" t="str">
        <f t="shared" si="137"/>
        <v/>
      </c>
      <c r="P1226" s="35" t="str">
        <f>_xlfn.SINGLE(IF(F1226="","",_xlfn.XLOOKUP(F1226,purchase!D:D,purchase!K:K,"")))</f>
        <v/>
      </c>
      <c r="Q1226" s="29" t="str">
        <f t="shared" si="138"/>
        <v/>
      </c>
      <c r="R1226" s="37" t="str">
        <f t="shared" si="139"/>
        <v/>
      </c>
    </row>
    <row r="1227" spans="1:18" x14ac:dyDescent="0.35">
      <c r="A1227" s="8">
        <v>1223</v>
      </c>
      <c r="B1227" s="9" t="str">
        <f t="shared" si="133"/>
        <v/>
      </c>
      <c r="C1227" s="10"/>
      <c r="D1227" s="9" t="str">
        <f>IF(F1227="","",_xlfn.XLOOKUP(F1227,purchase!D:D,purchase!#REF!,""))</f>
        <v/>
      </c>
      <c r="E1227" s="9" t="str">
        <f>IF(F1227="","",_xlfn.XLOOKUP(F1227,purchase!D:D,purchase!B:B,""))</f>
        <v/>
      </c>
      <c r="F1227" s="2"/>
      <c r="G1227" s="4" t="str">
        <f t="shared" si="134"/>
        <v/>
      </c>
      <c r="H1227" s="4" t="str">
        <f>IF(F1227="","",_xlfn.XLOOKUP(F1227,purchase!D:D,purchase!#REF!,""))</f>
        <v/>
      </c>
      <c r="I1227" s="4" t="str">
        <f t="shared" si="135"/>
        <v/>
      </c>
      <c r="J1227" s="4" t="str">
        <f t="shared" si="136"/>
        <v/>
      </c>
      <c r="K1227" s="13" t="str">
        <f>_xlfn.SINGLE(IF(F1227="","",_xlfn.XLOOKUP(F1227,purchase!D:D,purchase!#REF!,"")))</f>
        <v/>
      </c>
      <c r="L1227" s="2"/>
      <c r="M1227" s="32"/>
      <c r="N1227" s="13" t="str">
        <f>IF(F1227="","",
MAX(0,
_xlfn.XLOOKUP(F1227,purchase!D:D,purchase!#REF!,"")
-
SUMIFS(L:L,F:F,F1227)))</f>
        <v/>
      </c>
      <c r="O1227" s="13" t="str">
        <f t="shared" si="137"/>
        <v/>
      </c>
      <c r="P1227" s="35" t="str">
        <f>_xlfn.SINGLE(IF(F1227="","",_xlfn.XLOOKUP(F1227,purchase!D:D,purchase!K:K,"")))</f>
        <v/>
      </c>
      <c r="Q1227" s="29" t="str">
        <f t="shared" si="138"/>
        <v/>
      </c>
      <c r="R1227" s="37" t="str">
        <f t="shared" si="139"/>
        <v/>
      </c>
    </row>
    <row r="1228" spans="1:18" x14ac:dyDescent="0.35">
      <c r="A1228" s="8">
        <v>1224</v>
      </c>
      <c r="B1228" s="9" t="str">
        <f t="shared" si="133"/>
        <v/>
      </c>
      <c r="C1228" s="10"/>
      <c r="D1228" s="9" t="str">
        <f>IF(F1228="","",_xlfn.XLOOKUP(F1228,purchase!D:D,purchase!#REF!,""))</f>
        <v/>
      </c>
      <c r="E1228" s="9" t="str">
        <f>IF(F1228="","",_xlfn.XLOOKUP(F1228,purchase!D:D,purchase!B:B,""))</f>
        <v/>
      </c>
      <c r="F1228" s="2"/>
      <c r="G1228" s="4" t="str">
        <f t="shared" si="134"/>
        <v/>
      </c>
      <c r="H1228" s="4" t="str">
        <f>IF(F1228="","",_xlfn.XLOOKUP(F1228,purchase!D:D,purchase!#REF!,""))</f>
        <v/>
      </c>
      <c r="I1228" s="4" t="str">
        <f t="shared" si="135"/>
        <v/>
      </c>
      <c r="J1228" s="4" t="str">
        <f t="shared" si="136"/>
        <v/>
      </c>
      <c r="K1228" s="13" t="str">
        <f>_xlfn.SINGLE(IF(F1228="","",_xlfn.XLOOKUP(F1228,purchase!D:D,purchase!#REF!,"")))</f>
        <v/>
      </c>
      <c r="L1228" s="2"/>
      <c r="M1228" s="32"/>
      <c r="N1228" s="13" t="str">
        <f>IF(F1228="","",
MAX(0,
_xlfn.XLOOKUP(F1228,purchase!D:D,purchase!#REF!,"")
-
SUMIFS(L:L,F:F,F1228)))</f>
        <v/>
      </c>
      <c r="O1228" s="13" t="str">
        <f t="shared" si="137"/>
        <v/>
      </c>
      <c r="P1228" s="35" t="str">
        <f>_xlfn.SINGLE(IF(F1228="","",_xlfn.XLOOKUP(F1228,purchase!D:D,purchase!K:K,"")))</f>
        <v/>
      </c>
      <c r="Q1228" s="29" t="str">
        <f t="shared" si="138"/>
        <v/>
      </c>
      <c r="R1228" s="37" t="str">
        <f t="shared" si="139"/>
        <v/>
      </c>
    </row>
    <row r="1229" spans="1:18" x14ac:dyDescent="0.35">
      <c r="A1229" s="8">
        <v>1225</v>
      </c>
      <c r="B1229" s="9" t="str">
        <f t="shared" si="133"/>
        <v/>
      </c>
      <c r="C1229" s="10"/>
      <c r="D1229" s="9" t="str">
        <f>IF(F1229="","",_xlfn.XLOOKUP(F1229,purchase!D:D,purchase!#REF!,""))</f>
        <v/>
      </c>
      <c r="E1229" s="9" t="str">
        <f>IF(F1229="","",_xlfn.XLOOKUP(F1229,purchase!D:D,purchase!B:B,""))</f>
        <v/>
      </c>
      <c r="F1229" s="2"/>
      <c r="G1229" s="4" t="str">
        <f t="shared" si="134"/>
        <v/>
      </c>
      <c r="H1229" s="4" t="str">
        <f>IF(F1229="","",_xlfn.XLOOKUP(F1229,purchase!D:D,purchase!#REF!,""))</f>
        <v/>
      </c>
      <c r="I1229" s="4" t="str">
        <f t="shared" si="135"/>
        <v/>
      </c>
      <c r="J1229" s="4" t="str">
        <f t="shared" si="136"/>
        <v/>
      </c>
      <c r="K1229" s="13" t="str">
        <f>_xlfn.SINGLE(IF(F1229="","",_xlfn.XLOOKUP(F1229,purchase!D:D,purchase!#REF!,"")))</f>
        <v/>
      </c>
      <c r="L1229" s="2"/>
      <c r="M1229" s="32"/>
      <c r="N1229" s="13" t="str">
        <f>IF(F1229="","",
MAX(0,
_xlfn.XLOOKUP(F1229,purchase!D:D,purchase!#REF!,"")
-
SUMIFS(L:L,F:F,F1229)))</f>
        <v/>
      </c>
      <c r="O1229" s="13" t="str">
        <f t="shared" si="137"/>
        <v/>
      </c>
      <c r="P1229" s="35" t="str">
        <f>_xlfn.SINGLE(IF(F1229="","",_xlfn.XLOOKUP(F1229,purchase!D:D,purchase!K:K,"")))</f>
        <v/>
      </c>
      <c r="Q1229" s="29" t="str">
        <f t="shared" si="138"/>
        <v/>
      </c>
      <c r="R1229" s="37" t="str">
        <f t="shared" si="139"/>
        <v/>
      </c>
    </row>
    <row r="1230" spans="1:18" x14ac:dyDescent="0.35">
      <c r="A1230" s="8">
        <v>1226</v>
      </c>
      <c r="B1230" s="9" t="str">
        <f t="shared" si="133"/>
        <v/>
      </c>
      <c r="C1230" s="10"/>
      <c r="D1230" s="9" t="str">
        <f>IF(F1230="","",_xlfn.XLOOKUP(F1230,purchase!D:D,purchase!#REF!,""))</f>
        <v/>
      </c>
      <c r="E1230" s="9" t="str">
        <f>IF(F1230="","",_xlfn.XLOOKUP(F1230,purchase!D:D,purchase!B:B,""))</f>
        <v/>
      </c>
      <c r="F1230" s="2"/>
      <c r="G1230" s="4" t="str">
        <f t="shared" si="134"/>
        <v/>
      </c>
      <c r="H1230" s="4" t="str">
        <f>IF(F1230="","",_xlfn.XLOOKUP(F1230,purchase!D:D,purchase!#REF!,""))</f>
        <v/>
      </c>
      <c r="I1230" s="4" t="str">
        <f t="shared" si="135"/>
        <v/>
      </c>
      <c r="J1230" s="4" t="str">
        <f t="shared" si="136"/>
        <v/>
      </c>
      <c r="K1230" s="13" t="str">
        <f>_xlfn.SINGLE(IF(F1230="","",_xlfn.XLOOKUP(F1230,purchase!D:D,purchase!#REF!,"")))</f>
        <v/>
      </c>
      <c r="L1230" s="2"/>
      <c r="M1230" s="32"/>
      <c r="N1230" s="13" t="str">
        <f>IF(F1230="","",
MAX(0,
_xlfn.XLOOKUP(F1230,purchase!D:D,purchase!#REF!,"")
-
SUMIFS(L:L,F:F,F1230)))</f>
        <v/>
      </c>
      <c r="O1230" s="13" t="str">
        <f t="shared" si="137"/>
        <v/>
      </c>
      <c r="P1230" s="35" t="str">
        <f>_xlfn.SINGLE(IF(F1230="","",_xlfn.XLOOKUP(F1230,purchase!D:D,purchase!K:K,"")))</f>
        <v/>
      </c>
      <c r="Q1230" s="29" t="str">
        <f t="shared" si="138"/>
        <v/>
      </c>
      <c r="R1230" s="37" t="str">
        <f t="shared" si="139"/>
        <v/>
      </c>
    </row>
    <row r="1231" spans="1:18" x14ac:dyDescent="0.35">
      <c r="A1231" s="8">
        <v>1227</v>
      </c>
      <c r="B1231" s="9" t="str">
        <f t="shared" si="133"/>
        <v/>
      </c>
      <c r="C1231" s="10"/>
      <c r="D1231" s="9" t="str">
        <f>IF(F1231="","",_xlfn.XLOOKUP(F1231,purchase!D:D,purchase!#REF!,""))</f>
        <v/>
      </c>
      <c r="E1231" s="9" t="str">
        <f>IF(F1231="","",_xlfn.XLOOKUP(F1231,purchase!D:D,purchase!B:B,""))</f>
        <v/>
      </c>
      <c r="F1231" s="2"/>
      <c r="G1231" s="4" t="str">
        <f t="shared" si="134"/>
        <v/>
      </c>
      <c r="H1231" s="4" t="str">
        <f>IF(F1231="","",_xlfn.XLOOKUP(F1231,purchase!D:D,purchase!#REF!,""))</f>
        <v/>
      </c>
      <c r="I1231" s="4" t="str">
        <f t="shared" si="135"/>
        <v/>
      </c>
      <c r="J1231" s="4" t="str">
        <f t="shared" si="136"/>
        <v/>
      </c>
      <c r="K1231" s="13" t="str">
        <f>_xlfn.SINGLE(IF(F1231="","",_xlfn.XLOOKUP(F1231,purchase!D:D,purchase!#REF!,"")))</f>
        <v/>
      </c>
      <c r="L1231" s="2"/>
      <c r="M1231" s="32"/>
      <c r="N1231" s="13" t="str">
        <f>IF(F1231="","",
MAX(0,
_xlfn.XLOOKUP(F1231,purchase!D:D,purchase!#REF!,"")
-
SUMIFS(L:L,F:F,F1231)))</f>
        <v/>
      </c>
      <c r="O1231" s="13" t="str">
        <f t="shared" si="137"/>
        <v/>
      </c>
      <c r="P1231" s="35" t="str">
        <f>_xlfn.SINGLE(IF(F1231="","",_xlfn.XLOOKUP(F1231,purchase!D:D,purchase!K:K,"")))</f>
        <v/>
      </c>
      <c r="Q1231" s="29" t="str">
        <f t="shared" si="138"/>
        <v/>
      </c>
      <c r="R1231" s="37" t="str">
        <f t="shared" si="139"/>
        <v/>
      </c>
    </row>
    <row r="1232" spans="1:18" x14ac:dyDescent="0.35">
      <c r="A1232" s="8">
        <v>1228</v>
      </c>
      <c r="B1232" s="9" t="str">
        <f t="shared" si="133"/>
        <v/>
      </c>
      <c r="C1232" s="10"/>
      <c r="D1232" s="9" t="str">
        <f>IF(F1232="","",_xlfn.XLOOKUP(F1232,purchase!D:D,purchase!#REF!,""))</f>
        <v/>
      </c>
      <c r="E1232" s="9" t="str">
        <f>IF(F1232="","",_xlfn.XLOOKUP(F1232,purchase!D:D,purchase!B:B,""))</f>
        <v/>
      </c>
      <c r="F1232" s="2"/>
      <c r="G1232" s="4" t="str">
        <f t="shared" si="134"/>
        <v/>
      </c>
      <c r="H1232" s="4" t="str">
        <f>IF(F1232="","",_xlfn.XLOOKUP(F1232,purchase!D:D,purchase!#REF!,""))</f>
        <v/>
      </c>
      <c r="I1232" s="4" t="str">
        <f t="shared" si="135"/>
        <v/>
      </c>
      <c r="J1232" s="4" t="str">
        <f t="shared" si="136"/>
        <v/>
      </c>
      <c r="K1232" s="13" t="str">
        <f>_xlfn.SINGLE(IF(F1232="","",_xlfn.XLOOKUP(F1232,purchase!D:D,purchase!#REF!,"")))</f>
        <v/>
      </c>
      <c r="L1232" s="2"/>
      <c r="M1232" s="32"/>
      <c r="N1232" s="13" t="str">
        <f>IF(F1232="","",
MAX(0,
_xlfn.XLOOKUP(F1232,purchase!D:D,purchase!#REF!,"")
-
SUMIFS(L:L,F:F,F1232)))</f>
        <v/>
      </c>
      <c r="O1232" s="13" t="str">
        <f t="shared" si="137"/>
        <v/>
      </c>
      <c r="P1232" s="35" t="str">
        <f>_xlfn.SINGLE(IF(F1232="","",_xlfn.XLOOKUP(F1232,purchase!D:D,purchase!K:K,"")))</f>
        <v/>
      </c>
      <c r="Q1232" s="29" t="str">
        <f t="shared" si="138"/>
        <v/>
      </c>
      <c r="R1232" s="37" t="str">
        <f t="shared" si="139"/>
        <v/>
      </c>
    </row>
    <row r="1233" spans="1:18" x14ac:dyDescent="0.35">
      <c r="A1233" s="8">
        <v>1229</v>
      </c>
      <c r="B1233" s="9" t="str">
        <f t="shared" si="133"/>
        <v/>
      </c>
      <c r="C1233" s="10"/>
      <c r="D1233" s="9" t="str">
        <f>IF(F1233="","",_xlfn.XLOOKUP(F1233,purchase!D:D,purchase!#REF!,""))</f>
        <v/>
      </c>
      <c r="E1233" s="9" t="str">
        <f>IF(F1233="","",_xlfn.XLOOKUP(F1233,purchase!D:D,purchase!B:B,""))</f>
        <v/>
      </c>
      <c r="F1233" s="2"/>
      <c r="G1233" s="4" t="str">
        <f t="shared" si="134"/>
        <v/>
      </c>
      <c r="H1233" s="4" t="str">
        <f>IF(F1233="","",_xlfn.XLOOKUP(F1233,purchase!D:D,purchase!#REF!,""))</f>
        <v/>
      </c>
      <c r="I1233" s="4" t="str">
        <f t="shared" si="135"/>
        <v/>
      </c>
      <c r="J1233" s="4" t="str">
        <f t="shared" si="136"/>
        <v/>
      </c>
      <c r="K1233" s="13" t="str">
        <f>_xlfn.SINGLE(IF(F1233="","",_xlfn.XLOOKUP(F1233,purchase!D:D,purchase!#REF!,"")))</f>
        <v/>
      </c>
      <c r="L1233" s="2"/>
      <c r="M1233" s="32"/>
      <c r="N1233" s="13" t="str">
        <f>IF(F1233="","",
MAX(0,
_xlfn.XLOOKUP(F1233,purchase!D:D,purchase!#REF!,"")
-
SUMIFS(L:L,F:F,F1233)))</f>
        <v/>
      </c>
      <c r="O1233" s="13" t="str">
        <f t="shared" si="137"/>
        <v/>
      </c>
      <c r="P1233" s="35" t="str">
        <f>_xlfn.SINGLE(IF(F1233="","",_xlfn.XLOOKUP(F1233,purchase!D:D,purchase!K:K,"")))</f>
        <v/>
      </c>
      <c r="Q1233" s="29" t="str">
        <f t="shared" si="138"/>
        <v/>
      </c>
      <c r="R1233" s="37" t="str">
        <f t="shared" si="139"/>
        <v/>
      </c>
    </row>
    <row r="1234" spans="1:18" x14ac:dyDescent="0.35">
      <c r="A1234" s="8">
        <v>1230</v>
      </c>
      <c r="B1234" s="9" t="str">
        <f t="shared" si="133"/>
        <v/>
      </c>
      <c r="C1234" s="10"/>
      <c r="D1234" s="9" t="str">
        <f>IF(F1234="","",_xlfn.XLOOKUP(F1234,purchase!D:D,purchase!#REF!,""))</f>
        <v/>
      </c>
      <c r="E1234" s="9" t="str">
        <f>IF(F1234="","",_xlfn.XLOOKUP(F1234,purchase!D:D,purchase!B:B,""))</f>
        <v/>
      </c>
      <c r="F1234" s="2"/>
      <c r="G1234" s="4" t="str">
        <f t="shared" si="134"/>
        <v/>
      </c>
      <c r="H1234" s="4" t="str">
        <f>IF(F1234="","",_xlfn.XLOOKUP(F1234,purchase!D:D,purchase!#REF!,""))</f>
        <v/>
      </c>
      <c r="I1234" s="4" t="str">
        <f t="shared" si="135"/>
        <v/>
      </c>
      <c r="J1234" s="4" t="str">
        <f t="shared" si="136"/>
        <v/>
      </c>
      <c r="K1234" s="13" t="str">
        <f>_xlfn.SINGLE(IF(F1234="","",_xlfn.XLOOKUP(F1234,purchase!D:D,purchase!#REF!,"")))</f>
        <v/>
      </c>
      <c r="L1234" s="2"/>
      <c r="M1234" s="32"/>
      <c r="N1234" s="13" t="str">
        <f>IF(F1234="","",
MAX(0,
_xlfn.XLOOKUP(F1234,purchase!D:D,purchase!#REF!,"")
-
SUMIFS(L:L,F:F,F1234)))</f>
        <v/>
      </c>
      <c r="O1234" s="13" t="str">
        <f t="shared" si="137"/>
        <v/>
      </c>
      <c r="P1234" s="35" t="str">
        <f>_xlfn.SINGLE(IF(F1234="","",_xlfn.XLOOKUP(F1234,purchase!D:D,purchase!K:K,"")))</f>
        <v/>
      </c>
      <c r="Q1234" s="29" t="str">
        <f t="shared" si="138"/>
        <v/>
      </c>
      <c r="R1234" s="37" t="str">
        <f t="shared" si="139"/>
        <v/>
      </c>
    </row>
    <row r="1235" spans="1:18" x14ac:dyDescent="0.35">
      <c r="A1235" s="8">
        <v>1231</v>
      </c>
      <c r="B1235" s="9" t="str">
        <f t="shared" si="133"/>
        <v/>
      </c>
      <c r="C1235" s="10"/>
      <c r="D1235" s="9" t="str">
        <f>IF(F1235="","",_xlfn.XLOOKUP(F1235,purchase!D:D,purchase!#REF!,""))</f>
        <v/>
      </c>
      <c r="E1235" s="9" t="str">
        <f>IF(F1235="","",_xlfn.XLOOKUP(F1235,purchase!D:D,purchase!B:B,""))</f>
        <v/>
      </c>
      <c r="F1235" s="2"/>
      <c r="G1235" s="4" t="str">
        <f t="shared" si="134"/>
        <v/>
      </c>
      <c r="H1235" s="4" t="str">
        <f>IF(F1235="","",_xlfn.XLOOKUP(F1235,purchase!D:D,purchase!#REF!,""))</f>
        <v/>
      </c>
      <c r="I1235" s="4" t="str">
        <f t="shared" si="135"/>
        <v/>
      </c>
      <c r="J1235" s="4" t="str">
        <f t="shared" si="136"/>
        <v/>
      </c>
      <c r="K1235" s="13" t="str">
        <f>_xlfn.SINGLE(IF(F1235="","",_xlfn.XLOOKUP(F1235,purchase!D:D,purchase!#REF!,"")))</f>
        <v/>
      </c>
      <c r="L1235" s="2"/>
      <c r="M1235" s="32"/>
      <c r="N1235" s="13" t="str">
        <f>IF(F1235="","",
MAX(0,
_xlfn.XLOOKUP(F1235,purchase!D:D,purchase!#REF!,"")
-
SUMIFS(L:L,F:F,F1235)))</f>
        <v/>
      </c>
      <c r="O1235" s="13" t="str">
        <f t="shared" si="137"/>
        <v/>
      </c>
      <c r="P1235" s="35" t="str">
        <f>_xlfn.SINGLE(IF(F1235="","",_xlfn.XLOOKUP(F1235,purchase!D:D,purchase!K:K,"")))</f>
        <v/>
      </c>
      <c r="Q1235" s="29" t="str">
        <f t="shared" si="138"/>
        <v/>
      </c>
      <c r="R1235" s="37" t="str">
        <f t="shared" si="139"/>
        <v/>
      </c>
    </row>
    <row r="1236" spans="1:18" x14ac:dyDescent="0.35">
      <c r="A1236" s="8">
        <v>1232</v>
      </c>
      <c r="B1236" s="9" t="str">
        <f t="shared" si="133"/>
        <v/>
      </c>
      <c r="C1236" s="10"/>
      <c r="D1236" s="9" t="str">
        <f>IF(F1236="","",_xlfn.XLOOKUP(F1236,purchase!D:D,purchase!#REF!,""))</f>
        <v/>
      </c>
      <c r="E1236" s="9" t="str">
        <f>IF(F1236="","",_xlfn.XLOOKUP(F1236,purchase!D:D,purchase!B:B,""))</f>
        <v/>
      </c>
      <c r="F1236" s="2"/>
      <c r="G1236" s="4" t="str">
        <f t="shared" si="134"/>
        <v/>
      </c>
      <c r="H1236" s="4" t="str">
        <f>IF(F1236="","",_xlfn.XLOOKUP(F1236,purchase!D:D,purchase!#REF!,""))</f>
        <v/>
      </c>
      <c r="I1236" s="4" t="str">
        <f t="shared" si="135"/>
        <v/>
      </c>
      <c r="J1236" s="4" t="str">
        <f t="shared" si="136"/>
        <v/>
      </c>
      <c r="K1236" s="13" t="str">
        <f>_xlfn.SINGLE(IF(F1236="","",_xlfn.XLOOKUP(F1236,purchase!D:D,purchase!#REF!,"")))</f>
        <v/>
      </c>
      <c r="L1236" s="2"/>
      <c r="M1236" s="32"/>
      <c r="N1236" s="13" t="str">
        <f>IF(F1236="","",
MAX(0,
_xlfn.XLOOKUP(F1236,purchase!D:D,purchase!#REF!,"")
-
SUMIFS(L:L,F:F,F1236)))</f>
        <v/>
      </c>
      <c r="O1236" s="13" t="str">
        <f t="shared" si="137"/>
        <v/>
      </c>
      <c r="P1236" s="35" t="str">
        <f>_xlfn.SINGLE(IF(F1236="","",_xlfn.XLOOKUP(F1236,purchase!D:D,purchase!K:K,"")))</f>
        <v/>
      </c>
      <c r="Q1236" s="29" t="str">
        <f t="shared" si="138"/>
        <v/>
      </c>
      <c r="R1236" s="37" t="str">
        <f t="shared" si="139"/>
        <v/>
      </c>
    </row>
    <row r="1237" spans="1:18" x14ac:dyDescent="0.35">
      <c r="A1237" s="8">
        <v>1233</v>
      </c>
      <c r="B1237" s="9" t="str">
        <f t="shared" si="133"/>
        <v/>
      </c>
      <c r="C1237" s="10"/>
      <c r="D1237" s="9" t="str">
        <f>IF(F1237="","",_xlfn.XLOOKUP(F1237,purchase!D:D,purchase!#REF!,""))</f>
        <v/>
      </c>
      <c r="E1237" s="9" t="str">
        <f>IF(F1237="","",_xlfn.XLOOKUP(F1237,purchase!D:D,purchase!B:B,""))</f>
        <v/>
      </c>
      <c r="F1237" s="2"/>
      <c r="G1237" s="4" t="str">
        <f t="shared" si="134"/>
        <v/>
      </c>
      <c r="H1237" s="4" t="str">
        <f>IF(F1237="","",_xlfn.XLOOKUP(F1237,purchase!D:D,purchase!#REF!,""))</f>
        <v/>
      </c>
      <c r="I1237" s="4" t="str">
        <f t="shared" si="135"/>
        <v/>
      </c>
      <c r="J1237" s="4" t="str">
        <f t="shared" si="136"/>
        <v/>
      </c>
      <c r="K1237" s="13" t="str">
        <f>_xlfn.SINGLE(IF(F1237="","",_xlfn.XLOOKUP(F1237,purchase!D:D,purchase!#REF!,"")))</f>
        <v/>
      </c>
      <c r="L1237" s="2"/>
      <c r="M1237" s="32"/>
      <c r="N1237" s="13" t="str">
        <f>IF(F1237="","",
MAX(0,
_xlfn.XLOOKUP(F1237,purchase!D:D,purchase!#REF!,"")
-
SUMIFS(L:L,F:F,F1237)))</f>
        <v/>
      </c>
      <c r="O1237" s="13" t="str">
        <f t="shared" si="137"/>
        <v/>
      </c>
      <c r="P1237" s="35" t="str">
        <f>_xlfn.SINGLE(IF(F1237="","",_xlfn.XLOOKUP(F1237,purchase!D:D,purchase!K:K,"")))</f>
        <v/>
      </c>
      <c r="Q1237" s="29" t="str">
        <f t="shared" si="138"/>
        <v/>
      </c>
      <c r="R1237" s="37" t="str">
        <f t="shared" si="139"/>
        <v/>
      </c>
    </row>
    <row r="1238" spans="1:18" x14ac:dyDescent="0.35">
      <c r="A1238" s="8">
        <v>1234</v>
      </c>
      <c r="B1238" s="9" t="str">
        <f t="shared" si="133"/>
        <v/>
      </c>
      <c r="C1238" s="10"/>
      <c r="D1238" s="9" t="str">
        <f>IF(F1238="","",_xlfn.XLOOKUP(F1238,purchase!D:D,purchase!#REF!,""))</f>
        <v/>
      </c>
      <c r="E1238" s="9" t="str">
        <f>IF(F1238="","",_xlfn.XLOOKUP(F1238,purchase!D:D,purchase!B:B,""))</f>
        <v/>
      </c>
      <c r="F1238" s="2"/>
      <c r="G1238" s="4" t="str">
        <f t="shared" si="134"/>
        <v/>
      </c>
      <c r="H1238" s="4" t="str">
        <f>IF(F1238="","",_xlfn.XLOOKUP(F1238,purchase!D:D,purchase!#REF!,""))</f>
        <v/>
      </c>
      <c r="I1238" s="4" t="str">
        <f t="shared" si="135"/>
        <v/>
      </c>
      <c r="J1238" s="4" t="str">
        <f t="shared" si="136"/>
        <v/>
      </c>
      <c r="K1238" s="13" t="str">
        <f>_xlfn.SINGLE(IF(F1238="","",_xlfn.XLOOKUP(F1238,purchase!D:D,purchase!#REF!,"")))</f>
        <v/>
      </c>
      <c r="L1238" s="2"/>
      <c r="M1238" s="32"/>
      <c r="N1238" s="13" t="str">
        <f>IF(F1238="","",
MAX(0,
_xlfn.XLOOKUP(F1238,purchase!D:D,purchase!#REF!,"")
-
SUMIFS(L:L,F:F,F1238)))</f>
        <v/>
      </c>
      <c r="O1238" s="13" t="str">
        <f t="shared" si="137"/>
        <v/>
      </c>
      <c r="P1238" s="35" t="str">
        <f>_xlfn.SINGLE(IF(F1238="","",_xlfn.XLOOKUP(F1238,purchase!D:D,purchase!K:K,"")))</f>
        <v/>
      </c>
      <c r="Q1238" s="29" t="str">
        <f t="shared" si="138"/>
        <v/>
      </c>
      <c r="R1238" s="37" t="str">
        <f t="shared" si="139"/>
        <v/>
      </c>
    </row>
    <row r="1239" spans="1:18" x14ac:dyDescent="0.35">
      <c r="A1239" s="8">
        <v>1235</v>
      </c>
      <c r="B1239" s="9" t="str">
        <f t="shared" si="133"/>
        <v/>
      </c>
      <c r="C1239" s="10"/>
      <c r="D1239" s="9" t="str">
        <f>IF(F1239="","",_xlfn.XLOOKUP(F1239,purchase!D:D,purchase!#REF!,""))</f>
        <v/>
      </c>
      <c r="E1239" s="9" t="str">
        <f>IF(F1239="","",_xlfn.XLOOKUP(F1239,purchase!D:D,purchase!B:B,""))</f>
        <v/>
      </c>
      <c r="F1239" s="2"/>
      <c r="G1239" s="4" t="str">
        <f t="shared" si="134"/>
        <v/>
      </c>
      <c r="H1239" s="4" t="str">
        <f>IF(F1239="","",_xlfn.XLOOKUP(F1239,purchase!D:D,purchase!#REF!,""))</f>
        <v/>
      </c>
      <c r="I1239" s="4" t="str">
        <f t="shared" si="135"/>
        <v/>
      </c>
      <c r="J1239" s="4" t="str">
        <f t="shared" si="136"/>
        <v/>
      </c>
      <c r="K1239" s="13" t="str">
        <f>_xlfn.SINGLE(IF(F1239="","",_xlfn.XLOOKUP(F1239,purchase!D:D,purchase!#REF!,"")))</f>
        <v/>
      </c>
      <c r="L1239" s="2"/>
      <c r="M1239" s="32"/>
      <c r="N1239" s="13" t="str">
        <f>IF(F1239="","",
MAX(0,
_xlfn.XLOOKUP(F1239,purchase!D:D,purchase!#REF!,"")
-
SUMIFS(L:L,F:F,F1239)))</f>
        <v/>
      </c>
      <c r="O1239" s="13" t="str">
        <f t="shared" si="137"/>
        <v/>
      </c>
      <c r="P1239" s="35" t="str">
        <f>_xlfn.SINGLE(IF(F1239="","",_xlfn.XLOOKUP(F1239,purchase!D:D,purchase!K:K,"")))</f>
        <v/>
      </c>
      <c r="Q1239" s="29" t="str">
        <f t="shared" si="138"/>
        <v/>
      </c>
      <c r="R1239" s="37" t="str">
        <f t="shared" si="139"/>
        <v/>
      </c>
    </row>
    <row r="1240" spans="1:18" x14ac:dyDescent="0.35">
      <c r="A1240" s="8">
        <v>1236</v>
      </c>
      <c r="B1240" s="9" t="str">
        <f t="shared" si="133"/>
        <v/>
      </c>
      <c r="C1240" s="10"/>
      <c r="D1240" s="9" t="str">
        <f>IF(F1240="","",_xlfn.XLOOKUP(F1240,purchase!D:D,purchase!#REF!,""))</f>
        <v/>
      </c>
      <c r="E1240" s="9" t="str">
        <f>IF(F1240="","",_xlfn.XLOOKUP(F1240,purchase!D:D,purchase!B:B,""))</f>
        <v/>
      </c>
      <c r="F1240" s="2"/>
      <c r="G1240" s="4" t="str">
        <f t="shared" si="134"/>
        <v/>
      </c>
      <c r="H1240" s="4" t="str">
        <f>IF(F1240="","",_xlfn.XLOOKUP(F1240,purchase!D:D,purchase!#REF!,""))</f>
        <v/>
      </c>
      <c r="I1240" s="4" t="str">
        <f t="shared" si="135"/>
        <v/>
      </c>
      <c r="J1240" s="4" t="str">
        <f t="shared" si="136"/>
        <v/>
      </c>
      <c r="K1240" s="13" t="str">
        <f>_xlfn.SINGLE(IF(F1240="","",_xlfn.XLOOKUP(F1240,purchase!D:D,purchase!#REF!,"")))</f>
        <v/>
      </c>
      <c r="L1240" s="2"/>
      <c r="M1240" s="32"/>
      <c r="N1240" s="13" t="str">
        <f>IF(F1240="","",
MAX(0,
_xlfn.XLOOKUP(F1240,purchase!D:D,purchase!#REF!,"")
-
SUMIFS(L:L,F:F,F1240)))</f>
        <v/>
      </c>
      <c r="O1240" s="13" t="str">
        <f t="shared" si="137"/>
        <v/>
      </c>
      <c r="P1240" s="35" t="str">
        <f>_xlfn.SINGLE(IF(F1240="","",_xlfn.XLOOKUP(F1240,purchase!D:D,purchase!K:K,"")))</f>
        <v/>
      </c>
      <c r="Q1240" s="29" t="str">
        <f t="shared" si="138"/>
        <v/>
      </c>
      <c r="R1240" s="37" t="str">
        <f t="shared" si="139"/>
        <v/>
      </c>
    </row>
    <row r="1241" spans="1:18" x14ac:dyDescent="0.35">
      <c r="A1241" s="8">
        <v>1237</v>
      </c>
      <c r="B1241" s="9" t="str">
        <f t="shared" si="133"/>
        <v/>
      </c>
      <c r="C1241" s="10"/>
      <c r="D1241" s="9" t="str">
        <f>IF(F1241="","",_xlfn.XLOOKUP(F1241,purchase!D:D,purchase!#REF!,""))</f>
        <v/>
      </c>
      <c r="E1241" s="9" t="str">
        <f>IF(F1241="","",_xlfn.XLOOKUP(F1241,purchase!D:D,purchase!B:B,""))</f>
        <v/>
      </c>
      <c r="F1241" s="2"/>
      <c r="G1241" s="4" t="str">
        <f t="shared" si="134"/>
        <v/>
      </c>
      <c r="H1241" s="4" t="str">
        <f>IF(F1241="","",_xlfn.XLOOKUP(F1241,purchase!D:D,purchase!#REF!,""))</f>
        <v/>
      </c>
      <c r="I1241" s="4" t="str">
        <f t="shared" si="135"/>
        <v/>
      </c>
      <c r="J1241" s="4" t="str">
        <f t="shared" si="136"/>
        <v/>
      </c>
      <c r="K1241" s="13" t="str">
        <f>_xlfn.SINGLE(IF(F1241="","",_xlfn.XLOOKUP(F1241,purchase!D:D,purchase!#REF!,"")))</f>
        <v/>
      </c>
      <c r="L1241" s="2"/>
      <c r="M1241" s="32"/>
      <c r="N1241" s="13" t="str">
        <f>IF(F1241="","",
MAX(0,
_xlfn.XLOOKUP(F1241,purchase!D:D,purchase!#REF!,"")
-
SUMIFS(L:L,F:F,F1241)))</f>
        <v/>
      </c>
      <c r="O1241" s="13" t="str">
        <f t="shared" si="137"/>
        <v/>
      </c>
      <c r="P1241" s="35" t="str">
        <f>_xlfn.SINGLE(IF(F1241="","",_xlfn.XLOOKUP(F1241,purchase!D:D,purchase!K:K,"")))</f>
        <v/>
      </c>
      <c r="Q1241" s="29" t="str">
        <f t="shared" si="138"/>
        <v/>
      </c>
      <c r="R1241" s="37" t="str">
        <f t="shared" si="139"/>
        <v/>
      </c>
    </row>
    <row r="1242" spans="1:18" x14ac:dyDescent="0.35">
      <c r="A1242" s="8">
        <v>1238</v>
      </c>
      <c r="B1242" s="9" t="str">
        <f t="shared" si="133"/>
        <v/>
      </c>
      <c r="C1242" s="10"/>
      <c r="D1242" s="9" t="str">
        <f>IF(F1242="","",_xlfn.XLOOKUP(F1242,purchase!D:D,purchase!#REF!,""))</f>
        <v/>
      </c>
      <c r="E1242" s="9" t="str">
        <f>IF(F1242="","",_xlfn.XLOOKUP(F1242,purchase!D:D,purchase!B:B,""))</f>
        <v/>
      </c>
      <c r="F1242" s="2"/>
      <c r="G1242" s="4" t="str">
        <f t="shared" si="134"/>
        <v/>
      </c>
      <c r="H1242" s="4" t="str">
        <f>IF(F1242="","",_xlfn.XLOOKUP(F1242,purchase!D:D,purchase!#REF!,""))</f>
        <v/>
      </c>
      <c r="I1242" s="4" t="str">
        <f t="shared" si="135"/>
        <v/>
      </c>
      <c r="J1242" s="4" t="str">
        <f t="shared" si="136"/>
        <v/>
      </c>
      <c r="K1242" s="13" t="str">
        <f>_xlfn.SINGLE(IF(F1242="","",_xlfn.XLOOKUP(F1242,purchase!D:D,purchase!#REF!,"")))</f>
        <v/>
      </c>
      <c r="L1242" s="2"/>
      <c r="M1242" s="32"/>
      <c r="N1242" s="13" t="str">
        <f>IF(F1242="","",
MAX(0,
_xlfn.XLOOKUP(F1242,purchase!D:D,purchase!#REF!,"")
-
SUMIFS(L:L,F:F,F1242)))</f>
        <v/>
      </c>
      <c r="O1242" s="13" t="str">
        <f t="shared" si="137"/>
        <v/>
      </c>
      <c r="P1242" s="35" t="str">
        <f>_xlfn.SINGLE(IF(F1242="","",_xlfn.XLOOKUP(F1242,purchase!D:D,purchase!K:K,"")))</f>
        <v/>
      </c>
      <c r="Q1242" s="29" t="str">
        <f t="shared" si="138"/>
        <v/>
      </c>
      <c r="R1242" s="37" t="str">
        <f t="shared" si="139"/>
        <v/>
      </c>
    </row>
    <row r="1243" spans="1:18" x14ac:dyDescent="0.35">
      <c r="A1243" s="8">
        <v>1239</v>
      </c>
      <c r="B1243" s="9" t="str">
        <f t="shared" si="133"/>
        <v/>
      </c>
      <c r="C1243" s="10"/>
      <c r="D1243" s="9" t="str">
        <f>IF(F1243="","",_xlfn.XLOOKUP(F1243,purchase!D:D,purchase!#REF!,""))</f>
        <v/>
      </c>
      <c r="E1243" s="9" t="str">
        <f>IF(F1243="","",_xlfn.XLOOKUP(F1243,purchase!D:D,purchase!B:B,""))</f>
        <v/>
      </c>
      <c r="F1243" s="2"/>
      <c r="G1243" s="4" t="str">
        <f t="shared" si="134"/>
        <v/>
      </c>
      <c r="H1243" s="4" t="str">
        <f>IF(F1243="","",_xlfn.XLOOKUP(F1243,purchase!D:D,purchase!#REF!,""))</f>
        <v/>
      </c>
      <c r="I1243" s="4" t="str">
        <f t="shared" si="135"/>
        <v/>
      </c>
      <c r="J1243" s="4" t="str">
        <f t="shared" si="136"/>
        <v/>
      </c>
      <c r="K1243" s="13" t="str">
        <f>_xlfn.SINGLE(IF(F1243="","",_xlfn.XLOOKUP(F1243,purchase!D:D,purchase!#REF!,"")))</f>
        <v/>
      </c>
      <c r="L1243" s="2"/>
      <c r="M1243" s="32"/>
      <c r="N1243" s="13" t="str">
        <f>IF(F1243="","",
MAX(0,
_xlfn.XLOOKUP(F1243,purchase!D:D,purchase!#REF!,"")
-
SUMIFS(L:L,F:F,F1243)))</f>
        <v/>
      </c>
      <c r="O1243" s="13" t="str">
        <f t="shared" si="137"/>
        <v/>
      </c>
      <c r="P1243" s="35" t="str">
        <f>_xlfn.SINGLE(IF(F1243="","",_xlfn.XLOOKUP(F1243,purchase!D:D,purchase!K:K,"")))</f>
        <v/>
      </c>
      <c r="Q1243" s="29" t="str">
        <f t="shared" si="138"/>
        <v/>
      </c>
      <c r="R1243" s="37" t="str">
        <f t="shared" si="139"/>
        <v/>
      </c>
    </row>
    <row r="1244" spans="1:18" x14ac:dyDescent="0.35">
      <c r="A1244" s="8">
        <v>1240</v>
      </c>
      <c r="B1244" s="9" t="str">
        <f t="shared" si="133"/>
        <v/>
      </c>
      <c r="C1244" s="10"/>
      <c r="D1244" s="9" t="str">
        <f>IF(F1244="","",_xlfn.XLOOKUP(F1244,purchase!D:D,purchase!#REF!,""))</f>
        <v/>
      </c>
      <c r="E1244" s="9" t="str">
        <f>IF(F1244="","",_xlfn.XLOOKUP(F1244,purchase!D:D,purchase!B:B,""))</f>
        <v/>
      </c>
      <c r="F1244" s="2"/>
      <c r="G1244" s="4" t="str">
        <f t="shared" si="134"/>
        <v/>
      </c>
      <c r="H1244" s="4" t="str">
        <f>IF(F1244="","",_xlfn.XLOOKUP(F1244,purchase!D:D,purchase!#REF!,""))</f>
        <v/>
      </c>
      <c r="I1244" s="4" t="str">
        <f t="shared" si="135"/>
        <v/>
      </c>
      <c r="J1244" s="4" t="str">
        <f t="shared" si="136"/>
        <v/>
      </c>
      <c r="K1244" s="13" t="str">
        <f>_xlfn.SINGLE(IF(F1244="","",_xlfn.XLOOKUP(F1244,purchase!D:D,purchase!#REF!,"")))</f>
        <v/>
      </c>
      <c r="L1244" s="2"/>
      <c r="M1244" s="32"/>
      <c r="N1244" s="13" t="str">
        <f>IF(F1244="","",
MAX(0,
_xlfn.XLOOKUP(F1244,purchase!D:D,purchase!#REF!,"")
-
SUMIFS(L:L,F:F,F1244)))</f>
        <v/>
      </c>
      <c r="O1244" s="13" t="str">
        <f t="shared" si="137"/>
        <v/>
      </c>
      <c r="P1244" s="35" t="str">
        <f>_xlfn.SINGLE(IF(F1244="","",_xlfn.XLOOKUP(F1244,purchase!D:D,purchase!K:K,"")))</f>
        <v/>
      </c>
      <c r="Q1244" s="29" t="str">
        <f t="shared" si="138"/>
        <v/>
      </c>
      <c r="R1244" s="37" t="str">
        <f t="shared" si="139"/>
        <v/>
      </c>
    </row>
    <row r="1245" spans="1:18" x14ac:dyDescent="0.35">
      <c r="A1245" s="8">
        <v>1241</v>
      </c>
      <c r="B1245" s="9" t="str">
        <f t="shared" si="133"/>
        <v/>
      </c>
      <c r="C1245" s="10"/>
      <c r="D1245" s="9" t="str">
        <f>IF(F1245="","",_xlfn.XLOOKUP(F1245,purchase!D:D,purchase!#REF!,""))</f>
        <v/>
      </c>
      <c r="E1245" s="9" t="str">
        <f>IF(F1245="","",_xlfn.XLOOKUP(F1245,purchase!D:D,purchase!B:B,""))</f>
        <v/>
      </c>
      <c r="F1245" s="2"/>
      <c r="G1245" s="4" t="str">
        <f t="shared" si="134"/>
        <v/>
      </c>
      <c r="H1245" s="4" t="str">
        <f>IF(F1245="","",_xlfn.XLOOKUP(F1245,purchase!D:D,purchase!#REF!,""))</f>
        <v/>
      </c>
      <c r="I1245" s="4" t="str">
        <f t="shared" si="135"/>
        <v/>
      </c>
      <c r="J1245" s="4" t="str">
        <f t="shared" si="136"/>
        <v/>
      </c>
      <c r="K1245" s="13" t="str">
        <f>_xlfn.SINGLE(IF(F1245="","",_xlfn.XLOOKUP(F1245,purchase!D:D,purchase!#REF!,"")))</f>
        <v/>
      </c>
      <c r="L1245" s="2"/>
      <c r="M1245" s="32"/>
      <c r="N1245" s="13" t="str">
        <f>IF(F1245="","",
MAX(0,
_xlfn.XLOOKUP(F1245,purchase!D:D,purchase!#REF!,"")
-
SUMIFS(L:L,F:F,F1245)))</f>
        <v/>
      </c>
      <c r="O1245" s="13" t="str">
        <f t="shared" si="137"/>
        <v/>
      </c>
      <c r="P1245" s="35" t="str">
        <f>_xlfn.SINGLE(IF(F1245="","",_xlfn.XLOOKUP(F1245,purchase!D:D,purchase!K:K,"")))</f>
        <v/>
      </c>
      <c r="Q1245" s="29" t="str">
        <f t="shared" si="138"/>
        <v/>
      </c>
      <c r="R1245" s="37" t="str">
        <f t="shared" si="139"/>
        <v/>
      </c>
    </row>
    <row r="1246" spans="1:18" x14ac:dyDescent="0.35">
      <c r="A1246" s="8">
        <v>1242</v>
      </c>
      <c r="B1246" s="9" t="str">
        <f t="shared" si="133"/>
        <v/>
      </c>
      <c r="C1246" s="10"/>
      <c r="D1246" s="9" t="str">
        <f>IF(F1246="","",_xlfn.XLOOKUP(F1246,purchase!D:D,purchase!#REF!,""))</f>
        <v/>
      </c>
      <c r="E1246" s="9" t="str">
        <f>IF(F1246="","",_xlfn.XLOOKUP(F1246,purchase!D:D,purchase!B:B,""))</f>
        <v/>
      </c>
      <c r="F1246" s="2"/>
      <c r="G1246" s="4" t="str">
        <f t="shared" si="134"/>
        <v/>
      </c>
      <c r="H1246" s="4" t="str">
        <f>IF(F1246="","",_xlfn.XLOOKUP(F1246,purchase!D:D,purchase!#REF!,""))</f>
        <v/>
      </c>
      <c r="I1246" s="4" t="str">
        <f t="shared" si="135"/>
        <v/>
      </c>
      <c r="J1246" s="4" t="str">
        <f t="shared" si="136"/>
        <v/>
      </c>
      <c r="K1246" s="13" t="str">
        <f>_xlfn.SINGLE(IF(F1246="","",_xlfn.XLOOKUP(F1246,purchase!D:D,purchase!#REF!,"")))</f>
        <v/>
      </c>
      <c r="L1246" s="2"/>
      <c r="M1246" s="32"/>
      <c r="N1246" s="13" t="str">
        <f>IF(F1246="","",
MAX(0,
_xlfn.XLOOKUP(F1246,purchase!D:D,purchase!#REF!,"")
-
SUMIFS(L:L,F:F,F1246)))</f>
        <v/>
      </c>
      <c r="O1246" s="13" t="str">
        <f t="shared" si="137"/>
        <v/>
      </c>
      <c r="P1246" s="35" t="str">
        <f>_xlfn.SINGLE(IF(F1246="","",_xlfn.XLOOKUP(F1246,purchase!D:D,purchase!K:K,"")))</f>
        <v/>
      </c>
      <c r="Q1246" s="29" t="str">
        <f t="shared" si="138"/>
        <v/>
      </c>
      <c r="R1246" s="37" t="str">
        <f t="shared" si="139"/>
        <v/>
      </c>
    </row>
    <row r="1247" spans="1:18" x14ac:dyDescent="0.35">
      <c r="A1247" s="8">
        <v>1243</v>
      </c>
      <c r="B1247" s="9" t="str">
        <f t="shared" si="133"/>
        <v/>
      </c>
      <c r="C1247" s="10"/>
      <c r="D1247" s="9" t="str">
        <f>IF(F1247="","",_xlfn.XLOOKUP(F1247,purchase!D:D,purchase!#REF!,""))</f>
        <v/>
      </c>
      <c r="E1247" s="9" t="str">
        <f>IF(F1247="","",_xlfn.XLOOKUP(F1247,purchase!D:D,purchase!B:B,""))</f>
        <v/>
      </c>
      <c r="F1247" s="2"/>
      <c r="G1247" s="4" t="str">
        <f t="shared" si="134"/>
        <v/>
      </c>
      <c r="H1247" s="4" t="str">
        <f>IF(F1247="","",_xlfn.XLOOKUP(F1247,purchase!D:D,purchase!#REF!,""))</f>
        <v/>
      </c>
      <c r="I1247" s="4" t="str">
        <f t="shared" si="135"/>
        <v/>
      </c>
      <c r="J1247" s="4" t="str">
        <f t="shared" si="136"/>
        <v/>
      </c>
      <c r="K1247" s="13" t="str">
        <f>_xlfn.SINGLE(IF(F1247="","",_xlfn.XLOOKUP(F1247,purchase!D:D,purchase!#REF!,"")))</f>
        <v/>
      </c>
      <c r="L1247" s="2"/>
      <c r="M1247" s="32"/>
      <c r="N1247" s="13" t="str">
        <f>IF(F1247="","",
MAX(0,
_xlfn.XLOOKUP(F1247,purchase!D:D,purchase!#REF!,"")
-
SUMIFS(L:L,F:F,F1247)))</f>
        <v/>
      </c>
      <c r="O1247" s="13" t="str">
        <f t="shared" si="137"/>
        <v/>
      </c>
      <c r="P1247" s="35" t="str">
        <f>_xlfn.SINGLE(IF(F1247="","",_xlfn.XLOOKUP(F1247,purchase!D:D,purchase!K:K,"")))</f>
        <v/>
      </c>
      <c r="Q1247" s="29" t="str">
        <f t="shared" si="138"/>
        <v/>
      </c>
      <c r="R1247" s="37" t="str">
        <f t="shared" si="139"/>
        <v/>
      </c>
    </row>
    <row r="1248" spans="1:18" x14ac:dyDescent="0.35">
      <c r="A1248" s="8">
        <v>1244</v>
      </c>
      <c r="B1248" s="9" t="str">
        <f t="shared" si="133"/>
        <v/>
      </c>
      <c r="C1248" s="10"/>
      <c r="D1248" s="9" t="str">
        <f>IF(F1248="","",_xlfn.XLOOKUP(F1248,purchase!D:D,purchase!#REF!,""))</f>
        <v/>
      </c>
      <c r="E1248" s="9" t="str">
        <f>IF(F1248="","",_xlfn.XLOOKUP(F1248,purchase!D:D,purchase!B:B,""))</f>
        <v/>
      </c>
      <c r="F1248" s="2"/>
      <c r="G1248" s="4" t="str">
        <f t="shared" si="134"/>
        <v/>
      </c>
      <c r="H1248" s="4" t="str">
        <f>IF(F1248="","",_xlfn.XLOOKUP(F1248,purchase!D:D,purchase!#REF!,""))</f>
        <v/>
      </c>
      <c r="I1248" s="4" t="str">
        <f t="shared" si="135"/>
        <v/>
      </c>
      <c r="J1248" s="4" t="str">
        <f t="shared" si="136"/>
        <v/>
      </c>
      <c r="K1248" s="13" t="str">
        <f>_xlfn.SINGLE(IF(F1248="","",_xlfn.XLOOKUP(F1248,purchase!D:D,purchase!#REF!,"")))</f>
        <v/>
      </c>
      <c r="L1248" s="2"/>
      <c r="M1248" s="32"/>
      <c r="N1248" s="13" t="str">
        <f>IF(F1248="","",
MAX(0,
_xlfn.XLOOKUP(F1248,purchase!D:D,purchase!#REF!,"")
-
SUMIFS(L:L,F:F,F1248)))</f>
        <v/>
      </c>
      <c r="O1248" s="13" t="str">
        <f t="shared" si="137"/>
        <v/>
      </c>
      <c r="P1248" s="35" t="str">
        <f>_xlfn.SINGLE(IF(F1248="","",_xlfn.XLOOKUP(F1248,purchase!D:D,purchase!K:K,"")))</f>
        <v/>
      </c>
      <c r="Q1248" s="29" t="str">
        <f t="shared" si="138"/>
        <v/>
      </c>
      <c r="R1248" s="37" t="str">
        <f t="shared" si="139"/>
        <v/>
      </c>
    </row>
    <row r="1249" spans="1:18" x14ac:dyDescent="0.35">
      <c r="A1249" s="8">
        <v>1245</v>
      </c>
      <c r="B1249" s="9" t="str">
        <f t="shared" si="133"/>
        <v/>
      </c>
      <c r="C1249" s="10"/>
      <c r="D1249" s="9" t="str">
        <f>IF(F1249="","",_xlfn.XLOOKUP(F1249,purchase!D:D,purchase!#REF!,""))</f>
        <v/>
      </c>
      <c r="E1249" s="9" t="str">
        <f>IF(F1249="","",_xlfn.XLOOKUP(F1249,purchase!D:D,purchase!B:B,""))</f>
        <v/>
      </c>
      <c r="F1249" s="2"/>
      <c r="G1249" s="4" t="str">
        <f t="shared" si="134"/>
        <v/>
      </c>
      <c r="H1249" s="4" t="str">
        <f>IF(F1249="","",_xlfn.XLOOKUP(F1249,purchase!D:D,purchase!#REF!,""))</f>
        <v/>
      </c>
      <c r="I1249" s="4" t="str">
        <f t="shared" si="135"/>
        <v/>
      </c>
      <c r="J1249" s="4" t="str">
        <f t="shared" si="136"/>
        <v/>
      </c>
      <c r="K1249" s="13" t="str">
        <f>_xlfn.SINGLE(IF(F1249="","",_xlfn.XLOOKUP(F1249,purchase!D:D,purchase!#REF!,"")))</f>
        <v/>
      </c>
      <c r="L1249" s="2"/>
      <c r="M1249" s="32"/>
      <c r="N1249" s="13" t="str">
        <f>IF(F1249="","",
MAX(0,
_xlfn.XLOOKUP(F1249,purchase!D:D,purchase!#REF!,"")
-
SUMIFS(L:L,F:F,F1249)))</f>
        <v/>
      </c>
      <c r="O1249" s="13" t="str">
        <f t="shared" si="137"/>
        <v/>
      </c>
      <c r="P1249" s="35" t="str">
        <f>_xlfn.SINGLE(IF(F1249="","",_xlfn.XLOOKUP(F1249,purchase!D:D,purchase!K:K,"")))</f>
        <v/>
      </c>
      <c r="Q1249" s="29" t="str">
        <f t="shared" si="138"/>
        <v/>
      </c>
      <c r="R1249" s="37" t="str">
        <f t="shared" si="139"/>
        <v/>
      </c>
    </row>
    <row r="1250" spans="1:18" x14ac:dyDescent="0.35">
      <c r="A1250" s="8">
        <v>1246</v>
      </c>
      <c r="B1250" s="9" t="str">
        <f t="shared" si="133"/>
        <v/>
      </c>
      <c r="C1250" s="10"/>
      <c r="D1250" s="9" t="str">
        <f>IF(F1250="","",_xlfn.XLOOKUP(F1250,purchase!D:D,purchase!#REF!,""))</f>
        <v/>
      </c>
      <c r="E1250" s="9" t="str">
        <f>IF(F1250="","",_xlfn.XLOOKUP(F1250,purchase!D:D,purchase!B:B,""))</f>
        <v/>
      </c>
      <c r="F1250" s="2"/>
      <c r="G1250" s="4" t="str">
        <f t="shared" si="134"/>
        <v/>
      </c>
      <c r="H1250" s="4" t="str">
        <f>IF(F1250="","",_xlfn.XLOOKUP(F1250,purchase!D:D,purchase!#REF!,""))</f>
        <v/>
      </c>
      <c r="I1250" s="4" t="str">
        <f t="shared" si="135"/>
        <v/>
      </c>
      <c r="J1250" s="4" t="str">
        <f t="shared" si="136"/>
        <v/>
      </c>
      <c r="K1250" s="13" t="str">
        <f>_xlfn.SINGLE(IF(F1250="","",_xlfn.XLOOKUP(F1250,purchase!D:D,purchase!#REF!,"")))</f>
        <v/>
      </c>
      <c r="L1250" s="2"/>
      <c r="M1250" s="32"/>
      <c r="N1250" s="13" t="str">
        <f>IF(F1250="","",
MAX(0,
_xlfn.XLOOKUP(F1250,purchase!D:D,purchase!#REF!,"")
-
SUMIFS(L:L,F:F,F1250)))</f>
        <v/>
      </c>
      <c r="O1250" s="13" t="str">
        <f t="shared" si="137"/>
        <v/>
      </c>
      <c r="P1250" s="35" t="str">
        <f>_xlfn.SINGLE(IF(F1250="","",_xlfn.XLOOKUP(F1250,purchase!D:D,purchase!K:K,"")))</f>
        <v/>
      </c>
      <c r="Q1250" s="29" t="str">
        <f t="shared" si="138"/>
        <v/>
      </c>
      <c r="R1250" s="37" t="str">
        <f t="shared" si="139"/>
        <v/>
      </c>
    </row>
    <row r="1251" spans="1:18" x14ac:dyDescent="0.35">
      <c r="A1251" s="8">
        <v>1247</v>
      </c>
      <c r="B1251" s="9" t="str">
        <f t="shared" si="133"/>
        <v/>
      </c>
      <c r="C1251" s="10"/>
      <c r="D1251" s="9" t="str">
        <f>IF(F1251="","",_xlfn.XLOOKUP(F1251,purchase!D:D,purchase!#REF!,""))</f>
        <v/>
      </c>
      <c r="E1251" s="9" t="str">
        <f>IF(F1251="","",_xlfn.XLOOKUP(F1251,purchase!D:D,purchase!B:B,""))</f>
        <v/>
      </c>
      <c r="F1251" s="2"/>
      <c r="G1251" s="4" t="str">
        <f t="shared" si="134"/>
        <v/>
      </c>
      <c r="H1251" s="4" t="str">
        <f>IF(F1251="","",_xlfn.XLOOKUP(F1251,purchase!D:D,purchase!#REF!,""))</f>
        <v/>
      </c>
      <c r="I1251" s="4" t="str">
        <f t="shared" si="135"/>
        <v/>
      </c>
      <c r="J1251" s="4" t="str">
        <f t="shared" si="136"/>
        <v/>
      </c>
      <c r="K1251" s="13" t="str">
        <f>_xlfn.SINGLE(IF(F1251="","",_xlfn.XLOOKUP(F1251,purchase!D:D,purchase!#REF!,"")))</f>
        <v/>
      </c>
      <c r="L1251" s="2"/>
      <c r="M1251" s="32"/>
      <c r="N1251" s="13" t="str">
        <f>IF(F1251="","",
MAX(0,
_xlfn.XLOOKUP(F1251,purchase!D:D,purchase!#REF!,"")
-
SUMIFS(L:L,F:F,F1251)))</f>
        <v/>
      </c>
      <c r="O1251" s="13" t="str">
        <f t="shared" si="137"/>
        <v/>
      </c>
      <c r="P1251" s="35" t="str">
        <f>_xlfn.SINGLE(IF(F1251="","",_xlfn.XLOOKUP(F1251,purchase!D:D,purchase!K:K,"")))</f>
        <v/>
      </c>
      <c r="Q1251" s="29" t="str">
        <f t="shared" si="138"/>
        <v/>
      </c>
      <c r="R1251" s="37" t="str">
        <f t="shared" si="139"/>
        <v/>
      </c>
    </row>
    <row r="1252" spans="1:18" x14ac:dyDescent="0.35">
      <c r="A1252" s="8">
        <v>1248</v>
      </c>
      <c r="B1252" s="9" t="str">
        <f t="shared" si="133"/>
        <v/>
      </c>
      <c r="C1252" s="10"/>
      <c r="D1252" s="9" t="str">
        <f>IF(F1252="","",_xlfn.XLOOKUP(F1252,purchase!D:D,purchase!#REF!,""))</f>
        <v/>
      </c>
      <c r="E1252" s="9" t="str">
        <f>IF(F1252="","",_xlfn.XLOOKUP(F1252,purchase!D:D,purchase!B:B,""))</f>
        <v/>
      </c>
      <c r="F1252" s="2"/>
      <c r="G1252" s="4" t="str">
        <f t="shared" si="134"/>
        <v/>
      </c>
      <c r="H1252" s="4" t="str">
        <f>IF(F1252="","",_xlfn.XLOOKUP(F1252,purchase!D:D,purchase!#REF!,""))</f>
        <v/>
      </c>
      <c r="I1252" s="4" t="str">
        <f t="shared" si="135"/>
        <v/>
      </c>
      <c r="J1252" s="4" t="str">
        <f t="shared" si="136"/>
        <v/>
      </c>
      <c r="K1252" s="13" t="str">
        <f>_xlfn.SINGLE(IF(F1252="","",_xlfn.XLOOKUP(F1252,purchase!D:D,purchase!#REF!,"")))</f>
        <v/>
      </c>
      <c r="L1252" s="2"/>
      <c r="M1252" s="32"/>
      <c r="N1252" s="13" t="str">
        <f>IF(F1252="","",
MAX(0,
_xlfn.XLOOKUP(F1252,purchase!D:D,purchase!#REF!,"")
-
SUMIFS(L:L,F:F,F1252)))</f>
        <v/>
      </c>
      <c r="O1252" s="13" t="str">
        <f t="shared" si="137"/>
        <v/>
      </c>
      <c r="P1252" s="35" t="str">
        <f>_xlfn.SINGLE(IF(F1252="","",_xlfn.XLOOKUP(F1252,purchase!D:D,purchase!K:K,"")))</f>
        <v/>
      </c>
      <c r="Q1252" s="29" t="str">
        <f t="shared" si="138"/>
        <v/>
      </c>
      <c r="R1252" s="37" t="str">
        <f t="shared" si="139"/>
        <v/>
      </c>
    </row>
    <row r="1253" spans="1:18" x14ac:dyDescent="0.35">
      <c r="A1253" s="8">
        <v>1249</v>
      </c>
      <c r="B1253" s="9" t="str">
        <f t="shared" si="133"/>
        <v/>
      </c>
      <c r="C1253" s="10"/>
      <c r="D1253" s="9" t="str">
        <f>IF(F1253="","",_xlfn.XLOOKUP(F1253,purchase!D:D,purchase!#REF!,""))</f>
        <v/>
      </c>
      <c r="E1253" s="9" t="str">
        <f>IF(F1253="","",_xlfn.XLOOKUP(F1253,purchase!D:D,purchase!B:B,""))</f>
        <v/>
      </c>
      <c r="F1253" s="2"/>
      <c r="G1253" s="4" t="str">
        <f t="shared" si="134"/>
        <v/>
      </c>
      <c r="H1253" s="4" t="str">
        <f>IF(F1253="","",_xlfn.XLOOKUP(F1253,purchase!D:D,purchase!#REF!,""))</f>
        <v/>
      </c>
      <c r="I1253" s="4" t="str">
        <f t="shared" si="135"/>
        <v/>
      </c>
      <c r="J1253" s="4" t="str">
        <f t="shared" si="136"/>
        <v/>
      </c>
      <c r="K1253" s="13" t="str">
        <f>_xlfn.SINGLE(IF(F1253="","",_xlfn.XLOOKUP(F1253,purchase!D:D,purchase!#REF!,"")))</f>
        <v/>
      </c>
      <c r="L1253" s="2"/>
      <c r="M1253" s="32"/>
      <c r="N1253" s="13" t="str">
        <f>IF(F1253="","",
MAX(0,
_xlfn.XLOOKUP(F1253,purchase!D:D,purchase!#REF!,"")
-
SUMIFS(L:L,F:F,F1253)))</f>
        <v/>
      </c>
      <c r="O1253" s="13" t="str">
        <f t="shared" si="137"/>
        <v/>
      </c>
      <c r="P1253" s="35" t="str">
        <f>_xlfn.SINGLE(IF(F1253="","",_xlfn.XLOOKUP(F1253,purchase!D:D,purchase!K:K,"")))</f>
        <v/>
      </c>
      <c r="Q1253" s="29" t="str">
        <f t="shared" si="138"/>
        <v/>
      </c>
      <c r="R1253" s="37" t="str">
        <f t="shared" si="139"/>
        <v/>
      </c>
    </row>
    <row r="1254" spans="1:18" x14ac:dyDescent="0.35">
      <c r="A1254" s="8">
        <v>1250</v>
      </c>
      <c r="B1254" s="9" t="str">
        <f t="shared" si="133"/>
        <v/>
      </c>
      <c r="C1254" s="10"/>
      <c r="D1254" s="9" t="str">
        <f>IF(F1254="","",_xlfn.XLOOKUP(F1254,purchase!D:D,purchase!#REF!,""))</f>
        <v/>
      </c>
      <c r="E1254" s="9" t="str">
        <f>IF(F1254="","",_xlfn.XLOOKUP(F1254,purchase!D:D,purchase!B:B,""))</f>
        <v/>
      </c>
      <c r="F1254" s="2"/>
      <c r="G1254" s="4" t="str">
        <f t="shared" si="134"/>
        <v/>
      </c>
      <c r="H1254" s="4" t="str">
        <f>IF(F1254="","",_xlfn.XLOOKUP(F1254,purchase!D:D,purchase!#REF!,""))</f>
        <v/>
      </c>
      <c r="I1254" s="4" t="str">
        <f t="shared" si="135"/>
        <v/>
      </c>
      <c r="J1254" s="4" t="str">
        <f t="shared" si="136"/>
        <v/>
      </c>
      <c r="K1254" s="13" t="str">
        <f>_xlfn.SINGLE(IF(F1254="","",_xlfn.XLOOKUP(F1254,purchase!D:D,purchase!#REF!,"")))</f>
        <v/>
      </c>
      <c r="L1254" s="2"/>
      <c r="M1254" s="32"/>
      <c r="N1254" s="13" t="str">
        <f>IF(F1254="","",
MAX(0,
_xlfn.XLOOKUP(F1254,purchase!D:D,purchase!#REF!,"")
-
SUMIFS(L:L,F:F,F1254)))</f>
        <v/>
      </c>
      <c r="O1254" s="13" t="str">
        <f t="shared" si="137"/>
        <v/>
      </c>
      <c r="P1254" s="35" t="str">
        <f>_xlfn.SINGLE(IF(F1254="","",_xlfn.XLOOKUP(F1254,purchase!D:D,purchase!K:K,"")))</f>
        <v/>
      </c>
      <c r="Q1254" s="29" t="str">
        <f t="shared" si="138"/>
        <v/>
      </c>
      <c r="R1254" s="37" t="str">
        <f t="shared" si="139"/>
        <v/>
      </c>
    </row>
    <row r="1255" spans="1:18" x14ac:dyDescent="0.35">
      <c r="A1255" s="8">
        <v>1251</v>
      </c>
      <c r="B1255" s="9" t="str">
        <f t="shared" si="133"/>
        <v/>
      </c>
      <c r="C1255" s="10"/>
      <c r="D1255" s="9" t="str">
        <f>IF(F1255="","",_xlfn.XLOOKUP(F1255,purchase!D:D,purchase!#REF!,""))</f>
        <v/>
      </c>
      <c r="E1255" s="9" t="str">
        <f>IF(F1255="","",_xlfn.XLOOKUP(F1255,purchase!D:D,purchase!B:B,""))</f>
        <v/>
      </c>
      <c r="F1255" s="2"/>
      <c r="G1255" s="4" t="str">
        <f t="shared" si="134"/>
        <v/>
      </c>
      <c r="H1255" s="4" t="str">
        <f>IF(F1255="","",_xlfn.XLOOKUP(F1255,purchase!D:D,purchase!#REF!,""))</f>
        <v/>
      </c>
      <c r="I1255" s="4" t="str">
        <f t="shared" si="135"/>
        <v/>
      </c>
      <c r="J1255" s="4" t="str">
        <f t="shared" si="136"/>
        <v/>
      </c>
      <c r="K1255" s="13" t="str">
        <f>_xlfn.SINGLE(IF(F1255="","",_xlfn.XLOOKUP(F1255,purchase!D:D,purchase!#REF!,"")))</f>
        <v/>
      </c>
      <c r="L1255" s="2"/>
      <c r="M1255" s="32"/>
      <c r="N1255" s="13" t="str">
        <f>IF(F1255="","",
MAX(0,
_xlfn.XLOOKUP(F1255,purchase!D:D,purchase!#REF!,"")
-
SUMIFS(L:L,F:F,F1255)))</f>
        <v/>
      </c>
      <c r="O1255" s="13" t="str">
        <f t="shared" si="137"/>
        <v/>
      </c>
      <c r="P1255" s="35" t="str">
        <f>_xlfn.SINGLE(IF(F1255="","",_xlfn.XLOOKUP(F1255,purchase!D:D,purchase!K:K,"")))</f>
        <v/>
      </c>
      <c r="Q1255" s="29" t="str">
        <f t="shared" si="138"/>
        <v/>
      </c>
      <c r="R1255" s="37" t="str">
        <f t="shared" si="139"/>
        <v/>
      </c>
    </row>
    <row r="1256" spans="1:18" x14ac:dyDescent="0.35">
      <c r="A1256" s="8">
        <v>1252</v>
      </c>
      <c r="B1256" s="9" t="str">
        <f t="shared" si="133"/>
        <v/>
      </c>
      <c r="C1256" s="10"/>
      <c r="D1256" s="9" t="str">
        <f>IF(F1256="","",_xlfn.XLOOKUP(F1256,purchase!D:D,purchase!#REF!,""))</f>
        <v/>
      </c>
      <c r="E1256" s="9" t="str">
        <f>IF(F1256="","",_xlfn.XLOOKUP(F1256,purchase!D:D,purchase!B:B,""))</f>
        <v/>
      </c>
      <c r="F1256" s="2"/>
      <c r="G1256" s="4" t="str">
        <f t="shared" si="134"/>
        <v/>
      </c>
      <c r="H1256" s="4" t="str">
        <f>IF(F1256="","",_xlfn.XLOOKUP(F1256,purchase!D:D,purchase!#REF!,""))</f>
        <v/>
      </c>
      <c r="I1256" s="4" t="str">
        <f t="shared" si="135"/>
        <v/>
      </c>
      <c r="J1256" s="4" t="str">
        <f t="shared" si="136"/>
        <v/>
      </c>
      <c r="K1256" s="13" t="str">
        <f>_xlfn.SINGLE(IF(F1256="","",_xlfn.XLOOKUP(F1256,purchase!D:D,purchase!#REF!,"")))</f>
        <v/>
      </c>
      <c r="L1256" s="2"/>
      <c r="M1256" s="32"/>
      <c r="N1256" s="13" t="str">
        <f>IF(F1256="","",
MAX(0,
_xlfn.XLOOKUP(F1256,purchase!D:D,purchase!#REF!,"")
-
SUMIFS(L:L,F:F,F1256)))</f>
        <v/>
      </c>
      <c r="O1256" s="13" t="str">
        <f t="shared" si="137"/>
        <v/>
      </c>
      <c r="P1256" s="35" t="str">
        <f>_xlfn.SINGLE(IF(F1256="","",_xlfn.XLOOKUP(F1256,purchase!D:D,purchase!K:K,"")))</f>
        <v/>
      </c>
      <c r="Q1256" s="29" t="str">
        <f t="shared" si="138"/>
        <v/>
      </c>
      <c r="R1256" s="37" t="str">
        <f t="shared" si="139"/>
        <v/>
      </c>
    </row>
    <row r="1257" spans="1:18" x14ac:dyDescent="0.35">
      <c r="A1257" s="8">
        <v>1253</v>
      </c>
      <c r="B1257" s="9" t="str">
        <f t="shared" si="133"/>
        <v/>
      </c>
      <c r="C1257" s="10"/>
      <c r="D1257" s="9" t="str">
        <f>IF(F1257="","",_xlfn.XLOOKUP(F1257,purchase!D:D,purchase!#REF!,""))</f>
        <v/>
      </c>
      <c r="E1257" s="9" t="str">
        <f>IF(F1257="","",_xlfn.XLOOKUP(F1257,purchase!D:D,purchase!B:B,""))</f>
        <v/>
      </c>
      <c r="F1257" s="2"/>
      <c r="G1257" s="4" t="str">
        <f t="shared" si="134"/>
        <v/>
      </c>
      <c r="H1257" s="4" t="str">
        <f>IF(F1257="","",_xlfn.XLOOKUP(F1257,purchase!D:D,purchase!#REF!,""))</f>
        <v/>
      </c>
      <c r="I1257" s="4" t="str">
        <f t="shared" si="135"/>
        <v/>
      </c>
      <c r="J1257" s="4" t="str">
        <f t="shared" si="136"/>
        <v/>
      </c>
      <c r="K1257" s="13" t="str">
        <f>_xlfn.SINGLE(IF(F1257="","",_xlfn.XLOOKUP(F1257,purchase!D:D,purchase!#REF!,"")))</f>
        <v/>
      </c>
      <c r="L1257" s="2"/>
      <c r="M1257" s="32"/>
      <c r="N1257" s="13" t="str">
        <f>IF(F1257="","",
MAX(0,
_xlfn.XLOOKUP(F1257,purchase!D:D,purchase!#REF!,"")
-
SUMIFS(L:L,F:F,F1257)))</f>
        <v/>
      </c>
      <c r="O1257" s="13" t="str">
        <f t="shared" si="137"/>
        <v/>
      </c>
      <c r="P1257" s="35" t="str">
        <f>_xlfn.SINGLE(IF(F1257="","",_xlfn.XLOOKUP(F1257,purchase!D:D,purchase!K:K,"")))</f>
        <v/>
      </c>
      <c r="Q1257" s="29" t="str">
        <f t="shared" si="138"/>
        <v/>
      </c>
      <c r="R1257" s="37" t="str">
        <f t="shared" si="139"/>
        <v/>
      </c>
    </row>
    <row r="1258" spans="1:18" x14ac:dyDescent="0.35">
      <c r="A1258" s="8">
        <v>1254</v>
      </c>
      <c r="B1258" s="9" t="str">
        <f t="shared" si="133"/>
        <v/>
      </c>
      <c r="C1258" s="10"/>
      <c r="D1258" s="9" t="str">
        <f>IF(F1258="","",_xlfn.XLOOKUP(F1258,purchase!D:D,purchase!#REF!,""))</f>
        <v/>
      </c>
      <c r="E1258" s="9" t="str">
        <f>IF(F1258="","",_xlfn.XLOOKUP(F1258,purchase!D:D,purchase!B:B,""))</f>
        <v/>
      </c>
      <c r="F1258" s="2"/>
      <c r="G1258" s="4" t="str">
        <f t="shared" si="134"/>
        <v/>
      </c>
      <c r="H1258" s="4" t="str">
        <f>IF(F1258="","",_xlfn.XLOOKUP(F1258,purchase!D:D,purchase!#REF!,""))</f>
        <v/>
      </c>
      <c r="I1258" s="4" t="str">
        <f t="shared" si="135"/>
        <v/>
      </c>
      <c r="J1258" s="4" t="str">
        <f t="shared" si="136"/>
        <v/>
      </c>
      <c r="K1258" s="13" t="str">
        <f>_xlfn.SINGLE(IF(F1258="","",_xlfn.XLOOKUP(F1258,purchase!D:D,purchase!#REF!,"")))</f>
        <v/>
      </c>
      <c r="L1258" s="2"/>
      <c r="M1258" s="32"/>
      <c r="N1258" s="13" t="str">
        <f>IF(F1258="","",
MAX(0,
_xlfn.XLOOKUP(F1258,purchase!D:D,purchase!#REF!,"")
-
SUMIFS(L:L,F:F,F1258)))</f>
        <v/>
      </c>
      <c r="O1258" s="13" t="str">
        <f t="shared" si="137"/>
        <v/>
      </c>
      <c r="P1258" s="35" t="str">
        <f>_xlfn.SINGLE(IF(F1258="","",_xlfn.XLOOKUP(F1258,purchase!D:D,purchase!K:K,"")))</f>
        <v/>
      </c>
      <c r="Q1258" s="29" t="str">
        <f t="shared" si="138"/>
        <v/>
      </c>
      <c r="R1258" s="37" t="str">
        <f t="shared" si="139"/>
        <v/>
      </c>
    </row>
    <row r="1259" spans="1:18" x14ac:dyDescent="0.35">
      <c r="A1259" s="8">
        <v>1255</v>
      </c>
      <c r="B1259" s="9" t="str">
        <f t="shared" si="133"/>
        <v/>
      </c>
      <c r="C1259" s="10"/>
      <c r="D1259" s="9" t="str">
        <f>IF(F1259="","",_xlfn.XLOOKUP(F1259,purchase!D:D,purchase!#REF!,""))</f>
        <v/>
      </c>
      <c r="E1259" s="9" t="str">
        <f>IF(F1259="","",_xlfn.XLOOKUP(F1259,purchase!D:D,purchase!B:B,""))</f>
        <v/>
      </c>
      <c r="F1259" s="2"/>
      <c r="G1259" s="4" t="str">
        <f t="shared" si="134"/>
        <v/>
      </c>
      <c r="H1259" s="4" t="str">
        <f>IF(F1259="","",_xlfn.XLOOKUP(F1259,purchase!D:D,purchase!#REF!,""))</f>
        <v/>
      </c>
      <c r="I1259" s="4" t="str">
        <f t="shared" si="135"/>
        <v/>
      </c>
      <c r="J1259" s="4" t="str">
        <f t="shared" si="136"/>
        <v/>
      </c>
      <c r="K1259" s="13" t="str">
        <f>_xlfn.SINGLE(IF(F1259="","",_xlfn.XLOOKUP(F1259,purchase!D:D,purchase!#REF!,"")))</f>
        <v/>
      </c>
      <c r="L1259" s="2"/>
      <c r="M1259" s="32"/>
      <c r="N1259" s="13" t="str">
        <f>IF(F1259="","",
MAX(0,
_xlfn.XLOOKUP(F1259,purchase!D:D,purchase!#REF!,"")
-
SUMIFS(L:L,F:F,F1259)))</f>
        <v/>
      </c>
      <c r="O1259" s="13" t="str">
        <f t="shared" si="137"/>
        <v/>
      </c>
      <c r="P1259" s="35" t="str">
        <f>_xlfn.SINGLE(IF(F1259="","",_xlfn.XLOOKUP(F1259,purchase!D:D,purchase!K:K,"")))</f>
        <v/>
      </c>
      <c r="Q1259" s="29" t="str">
        <f t="shared" si="138"/>
        <v/>
      </c>
      <c r="R1259" s="37" t="str">
        <f t="shared" si="139"/>
        <v/>
      </c>
    </row>
    <row r="1260" spans="1:18" x14ac:dyDescent="0.35">
      <c r="A1260" s="8">
        <v>1256</v>
      </c>
      <c r="B1260" s="9" t="str">
        <f t="shared" si="133"/>
        <v/>
      </c>
      <c r="C1260" s="10"/>
      <c r="D1260" s="9" t="str">
        <f>IF(F1260="","",_xlfn.XLOOKUP(F1260,purchase!D:D,purchase!#REF!,""))</f>
        <v/>
      </c>
      <c r="E1260" s="9" t="str">
        <f>IF(F1260="","",_xlfn.XLOOKUP(F1260,purchase!D:D,purchase!B:B,""))</f>
        <v/>
      </c>
      <c r="F1260" s="2"/>
      <c r="G1260" s="4" t="str">
        <f t="shared" si="134"/>
        <v/>
      </c>
      <c r="H1260" s="4" t="str">
        <f>IF(F1260="","",_xlfn.XLOOKUP(F1260,purchase!D:D,purchase!#REF!,""))</f>
        <v/>
      </c>
      <c r="I1260" s="4" t="str">
        <f t="shared" si="135"/>
        <v/>
      </c>
      <c r="J1260" s="4" t="str">
        <f t="shared" si="136"/>
        <v/>
      </c>
      <c r="K1260" s="13" t="str">
        <f>_xlfn.SINGLE(IF(F1260="","",_xlfn.XLOOKUP(F1260,purchase!D:D,purchase!#REF!,"")))</f>
        <v/>
      </c>
      <c r="L1260" s="2"/>
      <c r="M1260" s="32"/>
      <c r="N1260" s="13" t="str">
        <f>IF(F1260="","",
MAX(0,
_xlfn.XLOOKUP(F1260,purchase!D:D,purchase!#REF!,"")
-
SUMIFS(L:L,F:F,F1260)))</f>
        <v/>
      </c>
      <c r="O1260" s="13" t="str">
        <f t="shared" si="137"/>
        <v/>
      </c>
      <c r="P1260" s="35" t="str">
        <f>_xlfn.SINGLE(IF(F1260="","",_xlfn.XLOOKUP(F1260,purchase!D:D,purchase!K:K,"")))</f>
        <v/>
      </c>
      <c r="Q1260" s="29" t="str">
        <f t="shared" si="138"/>
        <v/>
      </c>
      <c r="R1260" s="37" t="str">
        <f t="shared" si="139"/>
        <v/>
      </c>
    </row>
    <row r="1261" spans="1:18" x14ac:dyDescent="0.35">
      <c r="A1261" s="8">
        <v>1257</v>
      </c>
      <c r="B1261" s="9" t="str">
        <f t="shared" si="133"/>
        <v/>
      </c>
      <c r="C1261" s="10"/>
      <c r="D1261" s="9" t="str">
        <f>IF(F1261="","",_xlfn.XLOOKUP(F1261,purchase!D:D,purchase!#REF!,""))</f>
        <v/>
      </c>
      <c r="E1261" s="9" t="str">
        <f>IF(F1261="","",_xlfn.XLOOKUP(F1261,purchase!D:D,purchase!B:B,""))</f>
        <v/>
      </c>
      <c r="F1261" s="2"/>
      <c r="G1261" s="4" t="str">
        <f t="shared" si="134"/>
        <v/>
      </c>
      <c r="H1261" s="4" t="str">
        <f>IF(F1261="","",_xlfn.XLOOKUP(F1261,purchase!D:D,purchase!#REF!,""))</f>
        <v/>
      </c>
      <c r="I1261" s="4" t="str">
        <f t="shared" si="135"/>
        <v/>
      </c>
      <c r="J1261" s="4" t="str">
        <f t="shared" si="136"/>
        <v/>
      </c>
      <c r="K1261" s="13" t="str">
        <f>_xlfn.SINGLE(IF(F1261="","",_xlfn.XLOOKUP(F1261,purchase!D:D,purchase!#REF!,"")))</f>
        <v/>
      </c>
      <c r="L1261" s="2"/>
      <c r="M1261" s="32"/>
      <c r="N1261" s="13" t="str">
        <f>IF(F1261="","",
MAX(0,
_xlfn.XLOOKUP(F1261,purchase!D:D,purchase!#REF!,"")
-
SUMIFS(L:L,F:F,F1261)))</f>
        <v/>
      </c>
      <c r="O1261" s="13" t="str">
        <f t="shared" si="137"/>
        <v/>
      </c>
      <c r="P1261" s="35" t="str">
        <f>_xlfn.SINGLE(IF(F1261="","",_xlfn.XLOOKUP(F1261,purchase!D:D,purchase!K:K,"")))</f>
        <v/>
      </c>
      <c r="Q1261" s="29" t="str">
        <f t="shared" si="138"/>
        <v/>
      </c>
      <c r="R1261" s="37" t="str">
        <f t="shared" si="139"/>
        <v/>
      </c>
    </row>
    <row r="1262" spans="1:18" x14ac:dyDescent="0.35">
      <c r="A1262" s="8">
        <v>1258</v>
      </c>
      <c r="B1262" s="9" t="str">
        <f t="shared" si="133"/>
        <v/>
      </c>
      <c r="C1262" s="10"/>
      <c r="D1262" s="9" t="str">
        <f>IF(F1262="","",_xlfn.XLOOKUP(F1262,purchase!D:D,purchase!#REF!,""))</f>
        <v/>
      </c>
      <c r="E1262" s="9" t="str">
        <f>IF(F1262="","",_xlfn.XLOOKUP(F1262,purchase!D:D,purchase!B:B,""))</f>
        <v/>
      </c>
      <c r="F1262" s="2"/>
      <c r="G1262" s="4" t="str">
        <f t="shared" si="134"/>
        <v/>
      </c>
      <c r="H1262" s="4" t="str">
        <f>IF(F1262="","",_xlfn.XLOOKUP(F1262,purchase!D:D,purchase!#REF!,""))</f>
        <v/>
      </c>
      <c r="I1262" s="4" t="str">
        <f t="shared" si="135"/>
        <v/>
      </c>
      <c r="J1262" s="4" t="str">
        <f t="shared" si="136"/>
        <v/>
      </c>
      <c r="K1262" s="13" t="str">
        <f>_xlfn.SINGLE(IF(F1262="","",_xlfn.XLOOKUP(F1262,purchase!D:D,purchase!#REF!,"")))</f>
        <v/>
      </c>
      <c r="L1262" s="2"/>
      <c r="M1262" s="32"/>
      <c r="N1262" s="13" t="str">
        <f>IF(F1262="","",
MAX(0,
_xlfn.XLOOKUP(F1262,purchase!D:D,purchase!#REF!,"")
-
SUMIFS(L:L,F:F,F1262)))</f>
        <v/>
      </c>
      <c r="O1262" s="13" t="str">
        <f t="shared" si="137"/>
        <v/>
      </c>
      <c r="P1262" s="35" t="str">
        <f>_xlfn.SINGLE(IF(F1262="","",_xlfn.XLOOKUP(F1262,purchase!D:D,purchase!K:K,"")))</f>
        <v/>
      </c>
      <c r="Q1262" s="29" t="str">
        <f t="shared" si="138"/>
        <v/>
      </c>
      <c r="R1262" s="37" t="str">
        <f t="shared" si="139"/>
        <v/>
      </c>
    </row>
    <row r="1263" spans="1:18" x14ac:dyDescent="0.35">
      <c r="A1263" s="8">
        <v>1259</v>
      </c>
      <c r="B1263" s="9" t="str">
        <f t="shared" si="133"/>
        <v/>
      </c>
      <c r="C1263" s="10"/>
      <c r="D1263" s="9" t="str">
        <f>IF(F1263="","",_xlfn.XLOOKUP(F1263,purchase!D:D,purchase!#REF!,""))</f>
        <v/>
      </c>
      <c r="E1263" s="9" t="str">
        <f>IF(F1263="","",_xlfn.XLOOKUP(F1263,purchase!D:D,purchase!B:B,""))</f>
        <v/>
      </c>
      <c r="F1263" s="2"/>
      <c r="G1263" s="4" t="str">
        <f t="shared" si="134"/>
        <v/>
      </c>
      <c r="H1263" s="4" t="str">
        <f>IF(F1263="","",_xlfn.XLOOKUP(F1263,purchase!D:D,purchase!#REF!,""))</f>
        <v/>
      </c>
      <c r="I1263" s="4" t="str">
        <f t="shared" si="135"/>
        <v/>
      </c>
      <c r="J1263" s="4" t="str">
        <f t="shared" si="136"/>
        <v/>
      </c>
      <c r="K1263" s="13" t="str">
        <f>_xlfn.SINGLE(IF(F1263="","",_xlfn.XLOOKUP(F1263,purchase!D:D,purchase!#REF!,"")))</f>
        <v/>
      </c>
      <c r="L1263" s="2"/>
      <c r="M1263" s="32"/>
      <c r="N1263" s="13" t="str">
        <f>IF(F1263="","",
MAX(0,
_xlfn.XLOOKUP(F1263,purchase!D:D,purchase!#REF!,"")
-
SUMIFS(L:L,F:F,F1263)))</f>
        <v/>
      </c>
      <c r="O1263" s="13" t="str">
        <f t="shared" si="137"/>
        <v/>
      </c>
      <c r="P1263" s="35" t="str">
        <f>_xlfn.SINGLE(IF(F1263="","",_xlfn.XLOOKUP(F1263,purchase!D:D,purchase!K:K,"")))</f>
        <v/>
      </c>
      <c r="Q1263" s="29" t="str">
        <f t="shared" si="138"/>
        <v/>
      </c>
      <c r="R1263" s="37" t="str">
        <f t="shared" si="139"/>
        <v/>
      </c>
    </row>
    <row r="1264" spans="1:18" x14ac:dyDescent="0.35">
      <c r="A1264" s="8">
        <v>1260</v>
      </c>
      <c r="B1264" s="9" t="str">
        <f t="shared" si="133"/>
        <v/>
      </c>
      <c r="C1264" s="10"/>
      <c r="D1264" s="9" t="str">
        <f>IF(F1264="","",_xlfn.XLOOKUP(F1264,purchase!D:D,purchase!#REF!,""))</f>
        <v/>
      </c>
      <c r="E1264" s="9" t="str">
        <f>IF(F1264="","",_xlfn.XLOOKUP(F1264,purchase!D:D,purchase!B:B,""))</f>
        <v/>
      </c>
      <c r="F1264" s="2"/>
      <c r="G1264" s="4" t="str">
        <f t="shared" si="134"/>
        <v/>
      </c>
      <c r="H1264" s="4" t="str">
        <f>IF(F1264="","",_xlfn.XLOOKUP(F1264,purchase!D:D,purchase!#REF!,""))</f>
        <v/>
      </c>
      <c r="I1264" s="4" t="str">
        <f t="shared" si="135"/>
        <v/>
      </c>
      <c r="J1264" s="4" t="str">
        <f t="shared" si="136"/>
        <v/>
      </c>
      <c r="K1264" s="13" t="str">
        <f>_xlfn.SINGLE(IF(F1264="","",_xlfn.XLOOKUP(F1264,purchase!D:D,purchase!#REF!,"")))</f>
        <v/>
      </c>
      <c r="L1264" s="2"/>
      <c r="M1264" s="32"/>
      <c r="N1264" s="13" t="str">
        <f>IF(F1264="","",
MAX(0,
_xlfn.XLOOKUP(F1264,purchase!D:D,purchase!#REF!,"")
-
SUMIFS(L:L,F:F,F1264)))</f>
        <v/>
      </c>
      <c r="O1264" s="13" t="str">
        <f t="shared" si="137"/>
        <v/>
      </c>
      <c r="P1264" s="35" t="str">
        <f>_xlfn.SINGLE(IF(F1264="","",_xlfn.XLOOKUP(F1264,purchase!D:D,purchase!K:K,"")))</f>
        <v/>
      </c>
      <c r="Q1264" s="29" t="str">
        <f t="shared" si="138"/>
        <v/>
      </c>
      <c r="R1264" s="37" t="str">
        <f t="shared" si="139"/>
        <v/>
      </c>
    </row>
    <row r="1265" spans="1:18" x14ac:dyDescent="0.35">
      <c r="A1265" s="8">
        <v>1261</v>
      </c>
      <c r="B1265" s="9" t="str">
        <f t="shared" si="133"/>
        <v/>
      </c>
      <c r="C1265" s="10"/>
      <c r="D1265" s="9" t="str">
        <f>IF(F1265="","",_xlfn.XLOOKUP(F1265,purchase!D:D,purchase!#REF!,""))</f>
        <v/>
      </c>
      <c r="E1265" s="9" t="str">
        <f>IF(F1265="","",_xlfn.XLOOKUP(F1265,purchase!D:D,purchase!B:B,""))</f>
        <v/>
      </c>
      <c r="F1265" s="2"/>
      <c r="G1265" s="4" t="str">
        <f t="shared" si="134"/>
        <v/>
      </c>
      <c r="H1265" s="4" t="str">
        <f>IF(F1265="","",_xlfn.XLOOKUP(F1265,purchase!D:D,purchase!#REF!,""))</f>
        <v/>
      </c>
      <c r="I1265" s="4" t="str">
        <f t="shared" si="135"/>
        <v/>
      </c>
      <c r="J1265" s="4" t="str">
        <f t="shared" si="136"/>
        <v/>
      </c>
      <c r="K1265" s="13" t="str">
        <f>_xlfn.SINGLE(IF(F1265="","",_xlfn.XLOOKUP(F1265,purchase!D:D,purchase!#REF!,"")))</f>
        <v/>
      </c>
      <c r="L1265" s="2"/>
      <c r="M1265" s="32"/>
      <c r="N1265" s="13" t="str">
        <f>IF(F1265="","",
MAX(0,
_xlfn.XLOOKUP(F1265,purchase!D:D,purchase!#REF!,"")
-
SUMIFS(L:L,F:F,F1265)))</f>
        <v/>
      </c>
      <c r="O1265" s="13" t="str">
        <f t="shared" si="137"/>
        <v/>
      </c>
      <c r="P1265" s="35" t="str">
        <f>_xlfn.SINGLE(IF(F1265="","",_xlfn.XLOOKUP(F1265,purchase!D:D,purchase!K:K,"")))</f>
        <v/>
      </c>
      <c r="Q1265" s="29" t="str">
        <f t="shared" si="138"/>
        <v/>
      </c>
      <c r="R1265" s="37" t="str">
        <f t="shared" si="139"/>
        <v/>
      </c>
    </row>
    <row r="1266" spans="1:18" x14ac:dyDescent="0.35">
      <c r="A1266" s="8">
        <v>1262</v>
      </c>
      <c r="B1266" s="9" t="str">
        <f t="shared" si="133"/>
        <v/>
      </c>
      <c r="C1266" s="10"/>
      <c r="D1266" s="9" t="str">
        <f>IF(F1266="","",_xlfn.XLOOKUP(F1266,purchase!D:D,purchase!#REF!,""))</f>
        <v/>
      </c>
      <c r="E1266" s="9" t="str">
        <f>IF(F1266="","",_xlfn.XLOOKUP(F1266,purchase!D:D,purchase!B:B,""))</f>
        <v/>
      </c>
      <c r="F1266" s="2"/>
      <c r="G1266" s="4" t="str">
        <f t="shared" si="134"/>
        <v/>
      </c>
      <c r="H1266" s="4" t="str">
        <f>IF(F1266="","",_xlfn.XLOOKUP(F1266,purchase!D:D,purchase!#REF!,""))</f>
        <v/>
      </c>
      <c r="I1266" s="4" t="str">
        <f t="shared" si="135"/>
        <v/>
      </c>
      <c r="J1266" s="4" t="str">
        <f t="shared" si="136"/>
        <v/>
      </c>
      <c r="K1266" s="13" t="str">
        <f>_xlfn.SINGLE(IF(F1266="","",_xlfn.XLOOKUP(F1266,purchase!D:D,purchase!#REF!,"")))</f>
        <v/>
      </c>
      <c r="L1266" s="2"/>
      <c r="M1266" s="32"/>
      <c r="N1266" s="13" t="str">
        <f>IF(F1266="","",
MAX(0,
_xlfn.XLOOKUP(F1266,purchase!D:D,purchase!#REF!,"")
-
SUMIFS(L:L,F:F,F1266)))</f>
        <v/>
      </c>
      <c r="O1266" s="13" t="str">
        <f t="shared" si="137"/>
        <v/>
      </c>
      <c r="P1266" s="35" t="str">
        <f>_xlfn.SINGLE(IF(F1266="","",_xlfn.XLOOKUP(F1266,purchase!D:D,purchase!K:K,"")))</f>
        <v/>
      </c>
      <c r="Q1266" s="29" t="str">
        <f t="shared" si="138"/>
        <v/>
      </c>
      <c r="R1266" s="37" t="str">
        <f t="shared" si="139"/>
        <v/>
      </c>
    </row>
    <row r="1267" spans="1:18" x14ac:dyDescent="0.35">
      <c r="A1267" s="8">
        <v>1263</v>
      </c>
      <c r="B1267" s="9" t="str">
        <f t="shared" si="133"/>
        <v/>
      </c>
      <c r="C1267" s="10"/>
      <c r="D1267" s="9" t="str">
        <f>IF(F1267="","",_xlfn.XLOOKUP(F1267,purchase!D:D,purchase!#REF!,""))</f>
        <v/>
      </c>
      <c r="E1267" s="9" t="str">
        <f>IF(F1267="","",_xlfn.XLOOKUP(F1267,purchase!D:D,purchase!B:B,""))</f>
        <v/>
      </c>
      <c r="F1267" s="2"/>
      <c r="G1267" s="4" t="str">
        <f t="shared" si="134"/>
        <v/>
      </c>
      <c r="H1267" s="4" t="str">
        <f>IF(F1267="","",_xlfn.XLOOKUP(F1267,purchase!D:D,purchase!#REF!,""))</f>
        <v/>
      </c>
      <c r="I1267" s="4" t="str">
        <f t="shared" si="135"/>
        <v/>
      </c>
      <c r="J1267" s="4" t="str">
        <f t="shared" si="136"/>
        <v/>
      </c>
      <c r="K1267" s="13" t="str">
        <f>_xlfn.SINGLE(IF(F1267="","",_xlfn.XLOOKUP(F1267,purchase!D:D,purchase!#REF!,"")))</f>
        <v/>
      </c>
      <c r="L1267" s="2"/>
      <c r="M1267" s="32"/>
      <c r="N1267" s="13" t="str">
        <f>IF(F1267="","",
MAX(0,
_xlfn.XLOOKUP(F1267,purchase!D:D,purchase!#REF!,"")
-
SUMIFS(L:L,F:F,F1267)))</f>
        <v/>
      </c>
      <c r="O1267" s="13" t="str">
        <f t="shared" si="137"/>
        <v/>
      </c>
      <c r="P1267" s="35" t="str">
        <f>_xlfn.SINGLE(IF(F1267="","",_xlfn.XLOOKUP(F1267,purchase!D:D,purchase!K:K,"")))</f>
        <v/>
      </c>
      <c r="Q1267" s="29" t="str">
        <f t="shared" si="138"/>
        <v/>
      </c>
      <c r="R1267" s="37" t="str">
        <f t="shared" si="139"/>
        <v/>
      </c>
    </row>
    <row r="1268" spans="1:18" x14ac:dyDescent="0.35">
      <c r="A1268" s="8">
        <v>1264</v>
      </c>
      <c r="B1268" s="9" t="str">
        <f t="shared" si="133"/>
        <v/>
      </c>
      <c r="C1268" s="10"/>
      <c r="D1268" s="9" t="str">
        <f>IF(F1268="","",_xlfn.XLOOKUP(F1268,purchase!D:D,purchase!#REF!,""))</f>
        <v/>
      </c>
      <c r="E1268" s="9" t="str">
        <f>IF(F1268="","",_xlfn.XLOOKUP(F1268,purchase!D:D,purchase!B:B,""))</f>
        <v/>
      </c>
      <c r="F1268" s="2"/>
      <c r="G1268" s="4" t="str">
        <f t="shared" si="134"/>
        <v/>
      </c>
      <c r="H1268" s="4" t="str">
        <f>IF(F1268="","",_xlfn.XLOOKUP(F1268,purchase!D:D,purchase!#REF!,""))</f>
        <v/>
      </c>
      <c r="I1268" s="4" t="str">
        <f t="shared" si="135"/>
        <v/>
      </c>
      <c r="J1268" s="4" t="str">
        <f t="shared" si="136"/>
        <v/>
      </c>
      <c r="K1268" s="13" t="str">
        <f>_xlfn.SINGLE(IF(F1268="","",_xlfn.XLOOKUP(F1268,purchase!D:D,purchase!#REF!,"")))</f>
        <v/>
      </c>
      <c r="L1268" s="2"/>
      <c r="M1268" s="32"/>
      <c r="N1268" s="13" t="str">
        <f>IF(F1268="","",
MAX(0,
_xlfn.XLOOKUP(F1268,purchase!D:D,purchase!#REF!,"")
-
SUMIFS(L:L,F:F,F1268)))</f>
        <v/>
      </c>
      <c r="O1268" s="13" t="str">
        <f t="shared" si="137"/>
        <v/>
      </c>
      <c r="P1268" s="35" t="str">
        <f>_xlfn.SINGLE(IF(F1268="","",_xlfn.XLOOKUP(F1268,purchase!D:D,purchase!K:K,"")))</f>
        <v/>
      </c>
      <c r="Q1268" s="29" t="str">
        <f t="shared" si="138"/>
        <v/>
      </c>
      <c r="R1268" s="37" t="str">
        <f t="shared" si="139"/>
        <v/>
      </c>
    </row>
    <row r="1269" spans="1:18" x14ac:dyDescent="0.35">
      <c r="A1269" s="8">
        <v>1265</v>
      </c>
      <c r="B1269" s="9" t="str">
        <f t="shared" si="133"/>
        <v/>
      </c>
      <c r="C1269" s="10"/>
      <c r="D1269" s="9" t="str">
        <f>IF(F1269="","",_xlfn.XLOOKUP(F1269,purchase!D:D,purchase!#REF!,""))</f>
        <v/>
      </c>
      <c r="E1269" s="9" t="str">
        <f>IF(F1269="","",_xlfn.XLOOKUP(F1269,purchase!D:D,purchase!B:B,""))</f>
        <v/>
      </c>
      <c r="F1269" s="2"/>
      <c r="G1269" s="4" t="str">
        <f t="shared" si="134"/>
        <v/>
      </c>
      <c r="H1269" s="4" t="str">
        <f>IF(F1269="","",_xlfn.XLOOKUP(F1269,purchase!D:D,purchase!#REF!,""))</f>
        <v/>
      </c>
      <c r="I1269" s="4" t="str">
        <f t="shared" si="135"/>
        <v/>
      </c>
      <c r="J1269" s="4" t="str">
        <f t="shared" si="136"/>
        <v/>
      </c>
      <c r="K1269" s="13" t="str">
        <f>_xlfn.SINGLE(IF(F1269="","",_xlfn.XLOOKUP(F1269,purchase!D:D,purchase!#REF!,"")))</f>
        <v/>
      </c>
      <c r="L1269" s="2"/>
      <c r="M1269" s="32"/>
      <c r="N1269" s="13" t="str">
        <f>IF(F1269="","",
MAX(0,
_xlfn.XLOOKUP(F1269,purchase!D:D,purchase!#REF!,"")
-
SUMIFS(L:L,F:F,F1269)))</f>
        <v/>
      </c>
      <c r="O1269" s="13" t="str">
        <f t="shared" si="137"/>
        <v/>
      </c>
      <c r="P1269" s="35" t="str">
        <f>_xlfn.SINGLE(IF(F1269="","",_xlfn.XLOOKUP(F1269,purchase!D:D,purchase!K:K,"")))</f>
        <v/>
      </c>
      <c r="Q1269" s="29" t="str">
        <f t="shared" si="138"/>
        <v/>
      </c>
      <c r="R1269" s="37" t="str">
        <f t="shared" si="139"/>
        <v/>
      </c>
    </row>
    <row r="1270" spans="1:18" x14ac:dyDescent="0.35">
      <c r="A1270" s="8">
        <v>1266</v>
      </c>
      <c r="B1270" s="9" t="str">
        <f t="shared" si="133"/>
        <v/>
      </c>
      <c r="C1270" s="10"/>
      <c r="D1270" s="9" t="str">
        <f>IF(F1270="","",_xlfn.XLOOKUP(F1270,purchase!D:D,purchase!#REF!,""))</f>
        <v/>
      </c>
      <c r="E1270" s="9" t="str">
        <f>IF(F1270="","",_xlfn.XLOOKUP(F1270,purchase!D:D,purchase!B:B,""))</f>
        <v/>
      </c>
      <c r="F1270" s="2"/>
      <c r="G1270" s="4" t="str">
        <f t="shared" si="134"/>
        <v/>
      </c>
      <c r="H1270" s="4" t="str">
        <f>IF(F1270="","",_xlfn.XLOOKUP(F1270,purchase!D:D,purchase!#REF!,""))</f>
        <v/>
      </c>
      <c r="I1270" s="4" t="str">
        <f t="shared" si="135"/>
        <v/>
      </c>
      <c r="J1270" s="4" t="str">
        <f t="shared" si="136"/>
        <v/>
      </c>
      <c r="K1270" s="13" t="str">
        <f>_xlfn.SINGLE(IF(F1270="","",_xlfn.XLOOKUP(F1270,purchase!D:D,purchase!#REF!,"")))</f>
        <v/>
      </c>
      <c r="L1270" s="2"/>
      <c r="M1270" s="32"/>
      <c r="N1270" s="13" t="str">
        <f>IF(F1270="","",
MAX(0,
_xlfn.XLOOKUP(F1270,purchase!D:D,purchase!#REF!,"")
-
SUMIFS(L:L,F:F,F1270)))</f>
        <v/>
      </c>
      <c r="O1270" s="13" t="str">
        <f t="shared" si="137"/>
        <v/>
      </c>
      <c r="P1270" s="35" t="str">
        <f>_xlfn.SINGLE(IF(F1270="","",_xlfn.XLOOKUP(F1270,purchase!D:D,purchase!K:K,"")))</f>
        <v/>
      </c>
      <c r="Q1270" s="29" t="str">
        <f t="shared" si="138"/>
        <v/>
      </c>
      <c r="R1270" s="37" t="str">
        <f t="shared" si="139"/>
        <v/>
      </c>
    </row>
    <row r="1271" spans="1:18" x14ac:dyDescent="0.35">
      <c r="A1271" s="8">
        <v>1267</v>
      </c>
      <c r="B1271" s="9" t="str">
        <f t="shared" si="133"/>
        <v/>
      </c>
      <c r="C1271" s="10"/>
      <c r="D1271" s="9" t="str">
        <f>IF(F1271="","",_xlfn.XLOOKUP(F1271,purchase!D:D,purchase!#REF!,""))</f>
        <v/>
      </c>
      <c r="E1271" s="9" t="str">
        <f>IF(F1271="","",_xlfn.XLOOKUP(F1271,purchase!D:D,purchase!B:B,""))</f>
        <v/>
      </c>
      <c r="F1271" s="2"/>
      <c r="G1271" s="4" t="str">
        <f t="shared" si="134"/>
        <v/>
      </c>
      <c r="H1271" s="4" t="str">
        <f>IF(F1271="","",_xlfn.XLOOKUP(F1271,purchase!D:D,purchase!#REF!,""))</f>
        <v/>
      </c>
      <c r="I1271" s="4" t="str">
        <f t="shared" si="135"/>
        <v/>
      </c>
      <c r="J1271" s="4" t="str">
        <f t="shared" si="136"/>
        <v/>
      </c>
      <c r="K1271" s="13" t="str">
        <f>_xlfn.SINGLE(IF(F1271="","",_xlfn.XLOOKUP(F1271,purchase!D:D,purchase!#REF!,"")))</f>
        <v/>
      </c>
      <c r="L1271" s="2"/>
      <c r="M1271" s="32"/>
      <c r="N1271" s="13" t="str">
        <f>IF(F1271="","",
MAX(0,
_xlfn.XLOOKUP(F1271,purchase!D:D,purchase!#REF!,"")
-
SUMIFS(L:L,F:F,F1271)))</f>
        <v/>
      </c>
      <c r="O1271" s="13" t="str">
        <f t="shared" si="137"/>
        <v/>
      </c>
      <c r="P1271" s="35" t="str">
        <f>_xlfn.SINGLE(IF(F1271="","",_xlfn.XLOOKUP(F1271,purchase!D:D,purchase!K:K,"")))</f>
        <v/>
      </c>
      <c r="Q1271" s="29" t="str">
        <f t="shared" si="138"/>
        <v/>
      </c>
      <c r="R1271" s="37" t="str">
        <f t="shared" si="139"/>
        <v/>
      </c>
    </row>
    <row r="1272" spans="1:18" x14ac:dyDescent="0.35">
      <c r="A1272" s="8">
        <v>1268</v>
      </c>
      <c r="B1272" s="9" t="str">
        <f t="shared" si="133"/>
        <v/>
      </c>
      <c r="C1272" s="10"/>
      <c r="D1272" s="9" t="str">
        <f>IF(F1272="","",_xlfn.XLOOKUP(F1272,purchase!D:D,purchase!#REF!,""))</f>
        <v/>
      </c>
      <c r="E1272" s="9" t="str">
        <f>IF(F1272="","",_xlfn.XLOOKUP(F1272,purchase!D:D,purchase!B:B,""))</f>
        <v/>
      </c>
      <c r="F1272" s="2"/>
      <c r="G1272" s="4" t="str">
        <f t="shared" si="134"/>
        <v/>
      </c>
      <c r="H1272" s="4" t="str">
        <f>IF(F1272="","",_xlfn.XLOOKUP(F1272,purchase!D:D,purchase!#REF!,""))</f>
        <v/>
      </c>
      <c r="I1272" s="4" t="str">
        <f t="shared" si="135"/>
        <v/>
      </c>
      <c r="J1272" s="4" t="str">
        <f t="shared" si="136"/>
        <v/>
      </c>
      <c r="K1272" s="13" t="str">
        <f>_xlfn.SINGLE(IF(F1272="","",_xlfn.XLOOKUP(F1272,purchase!D:D,purchase!#REF!,"")))</f>
        <v/>
      </c>
      <c r="L1272" s="2"/>
      <c r="M1272" s="32"/>
      <c r="N1272" s="13" t="str">
        <f>IF(F1272="","",
MAX(0,
_xlfn.XLOOKUP(F1272,purchase!D:D,purchase!#REF!,"")
-
SUMIFS(L:L,F:F,F1272)))</f>
        <v/>
      </c>
      <c r="O1272" s="13" t="str">
        <f t="shared" si="137"/>
        <v/>
      </c>
      <c r="P1272" s="35" t="str">
        <f>_xlfn.SINGLE(IF(F1272="","",_xlfn.XLOOKUP(F1272,purchase!D:D,purchase!K:K,"")))</f>
        <v/>
      </c>
      <c r="Q1272" s="29" t="str">
        <f t="shared" si="138"/>
        <v/>
      </c>
      <c r="R1272" s="37" t="str">
        <f t="shared" si="139"/>
        <v/>
      </c>
    </row>
    <row r="1273" spans="1:18" x14ac:dyDescent="0.35">
      <c r="A1273" s="8">
        <v>1269</v>
      </c>
      <c r="B1273" s="9" t="str">
        <f t="shared" si="133"/>
        <v/>
      </c>
      <c r="C1273" s="10"/>
      <c r="D1273" s="9" t="str">
        <f>IF(F1273="","",_xlfn.XLOOKUP(F1273,purchase!D:D,purchase!#REF!,""))</f>
        <v/>
      </c>
      <c r="E1273" s="9" t="str">
        <f>IF(F1273="","",_xlfn.XLOOKUP(F1273,purchase!D:D,purchase!B:B,""))</f>
        <v/>
      </c>
      <c r="F1273" s="2"/>
      <c r="G1273" s="4" t="str">
        <f t="shared" si="134"/>
        <v/>
      </c>
      <c r="H1273" s="4" t="str">
        <f>IF(F1273="","",_xlfn.XLOOKUP(F1273,purchase!D:D,purchase!#REF!,""))</f>
        <v/>
      </c>
      <c r="I1273" s="4" t="str">
        <f t="shared" si="135"/>
        <v/>
      </c>
      <c r="J1273" s="4" t="str">
        <f t="shared" si="136"/>
        <v/>
      </c>
      <c r="K1273" s="13" t="str">
        <f>_xlfn.SINGLE(IF(F1273="","",_xlfn.XLOOKUP(F1273,purchase!D:D,purchase!#REF!,"")))</f>
        <v/>
      </c>
      <c r="L1273" s="2"/>
      <c r="M1273" s="32"/>
      <c r="N1273" s="13" t="str">
        <f>IF(F1273="","",
MAX(0,
_xlfn.XLOOKUP(F1273,purchase!D:D,purchase!#REF!,"")
-
SUMIFS(L:L,F:F,F1273)))</f>
        <v/>
      </c>
      <c r="O1273" s="13" t="str">
        <f t="shared" si="137"/>
        <v/>
      </c>
      <c r="P1273" s="35" t="str">
        <f>_xlfn.SINGLE(IF(F1273="","",_xlfn.XLOOKUP(F1273,purchase!D:D,purchase!K:K,"")))</f>
        <v/>
      </c>
      <c r="Q1273" s="29" t="str">
        <f t="shared" si="138"/>
        <v/>
      </c>
      <c r="R1273" s="37" t="str">
        <f t="shared" si="139"/>
        <v/>
      </c>
    </row>
    <row r="1274" spans="1:18" x14ac:dyDescent="0.35">
      <c r="A1274" s="8">
        <v>1270</v>
      </c>
      <c r="B1274" s="9" t="str">
        <f t="shared" si="133"/>
        <v/>
      </c>
      <c r="C1274" s="10"/>
      <c r="D1274" s="9" t="str">
        <f>IF(F1274="","",_xlfn.XLOOKUP(F1274,purchase!D:D,purchase!#REF!,""))</f>
        <v/>
      </c>
      <c r="E1274" s="9" t="str">
        <f>IF(F1274="","",_xlfn.XLOOKUP(F1274,purchase!D:D,purchase!B:B,""))</f>
        <v/>
      </c>
      <c r="F1274" s="2"/>
      <c r="G1274" s="4" t="str">
        <f t="shared" si="134"/>
        <v/>
      </c>
      <c r="H1274" s="4" t="str">
        <f>IF(F1274="","",_xlfn.XLOOKUP(F1274,purchase!D:D,purchase!#REF!,""))</f>
        <v/>
      </c>
      <c r="I1274" s="4" t="str">
        <f t="shared" si="135"/>
        <v/>
      </c>
      <c r="J1274" s="4" t="str">
        <f t="shared" si="136"/>
        <v/>
      </c>
      <c r="K1274" s="13" t="str">
        <f>_xlfn.SINGLE(IF(F1274="","",_xlfn.XLOOKUP(F1274,purchase!D:D,purchase!#REF!,"")))</f>
        <v/>
      </c>
      <c r="L1274" s="2"/>
      <c r="M1274" s="32"/>
      <c r="N1274" s="13" t="str">
        <f>IF(F1274="","",
MAX(0,
_xlfn.XLOOKUP(F1274,purchase!D:D,purchase!#REF!,"")
-
SUMIFS(L:L,F:F,F1274)))</f>
        <v/>
      </c>
      <c r="O1274" s="13" t="str">
        <f t="shared" si="137"/>
        <v/>
      </c>
      <c r="P1274" s="35" t="str">
        <f>_xlfn.SINGLE(IF(F1274="","",_xlfn.XLOOKUP(F1274,purchase!D:D,purchase!K:K,"")))</f>
        <v/>
      </c>
      <c r="Q1274" s="29" t="str">
        <f t="shared" si="138"/>
        <v/>
      </c>
      <c r="R1274" s="37" t="str">
        <f t="shared" si="139"/>
        <v/>
      </c>
    </row>
    <row r="1275" spans="1:18" x14ac:dyDescent="0.35">
      <c r="A1275" s="8">
        <v>1271</v>
      </c>
      <c r="B1275" s="9" t="str">
        <f t="shared" si="133"/>
        <v/>
      </c>
      <c r="C1275" s="10"/>
      <c r="D1275" s="9" t="str">
        <f>IF(F1275="","",_xlfn.XLOOKUP(F1275,purchase!D:D,purchase!#REF!,""))</f>
        <v/>
      </c>
      <c r="E1275" s="9" t="str">
        <f>IF(F1275="","",_xlfn.XLOOKUP(F1275,purchase!D:D,purchase!B:B,""))</f>
        <v/>
      </c>
      <c r="F1275" s="2"/>
      <c r="G1275" s="4" t="str">
        <f t="shared" si="134"/>
        <v/>
      </c>
      <c r="H1275" s="4" t="str">
        <f>IF(F1275="","",_xlfn.XLOOKUP(F1275,purchase!D:D,purchase!#REF!,""))</f>
        <v/>
      </c>
      <c r="I1275" s="4" t="str">
        <f t="shared" si="135"/>
        <v/>
      </c>
      <c r="J1275" s="4" t="str">
        <f t="shared" si="136"/>
        <v/>
      </c>
      <c r="K1275" s="13" t="str">
        <f>_xlfn.SINGLE(IF(F1275="","",_xlfn.XLOOKUP(F1275,purchase!D:D,purchase!#REF!,"")))</f>
        <v/>
      </c>
      <c r="L1275" s="2"/>
      <c r="M1275" s="32"/>
      <c r="N1275" s="13" t="str">
        <f>IF(F1275="","",
MAX(0,
_xlfn.XLOOKUP(F1275,purchase!D:D,purchase!#REF!,"")
-
SUMIFS(L:L,F:F,F1275)))</f>
        <v/>
      </c>
      <c r="O1275" s="13" t="str">
        <f t="shared" si="137"/>
        <v/>
      </c>
      <c r="P1275" s="35" t="str">
        <f>_xlfn.SINGLE(IF(F1275="","",_xlfn.XLOOKUP(F1275,purchase!D:D,purchase!K:K,"")))</f>
        <v/>
      </c>
      <c r="Q1275" s="29" t="str">
        <f t="shared" si="138"/>
        <v/>
      </c>
      <c r="R1275" s="37" t="str">
        <f t="shared" si="139"/>
        <v/>
      </c>
    </row>
    <row r="1276" spans="1:18" x14ac:dyDescent="0.35">
      <c r="A1276" s="8">
        <v>1272</v>
      </c>
      <c r="B1276" s="9" t="str">
        <f t="shared" si="133"/>
        <v/>
      </c>
      <c r="C1276" s="10"/>
      <c r="D1276" s="9" t="str">
        <f>IF(F1276="","",_xlfn.XLOOKUP(F1276,purchase!D:D,purchase!#REF!,""))</f>
        <v/>
      </c>
      <c r="E1276" s="9" t="str">
        <f>IF(F1276="","",_xlfn.XLOOKUP(F1276,purchase!D:D,purchase!B:B,""))</f>
        <v/>
      </c>
      <c r="F1276" s="2"/>
      <c r="G1276" s="4" t="str">
        <f t="shared" si="134"/>
        <v/>
      </c>
      <c r="H1276" s="4" t="str">
        <f>IF(F1276="","",_xlfn.XLOOKUP(F1276,purchase!D:D,purchase!#REF!,""))</f>
        <v/>
      </c>
      <c r="I1276" s="4" t="str">
        <f t="shared" si="135"/>
        <v/>
      </c>
      <c r="J1276" s="4" t="str">
        <f t="shared" si="136"/>
        <v/>
      </c>
      <c r="K1276" s="13" t="str">
        <f>_xlfn.SINGLE(IF(F1276="","",_xlfn.XLOOKUP(F1276,purchase!D:D,purchase!#REF!,"")))</f>
        <v/>
      </c>
      <c r="L1276" s="2"/>
      <c r="M1276" s="32"/>
      <c r="N1276" s="13" t="str">
        <f>IF(F1276="","",
MAX(0,
_xlfn.XLOOKUP(F1276,purchase!D:D,purchase!#REF!,"")
-
SUMIFS(L:L,F:F,F1276)))</f>
        <v/>
      </c>
      <c r="O1276" s="13" t="str">
        <f t="shared" si="137"/>
        <v/>
      </c>
      <c r="P1276" s="35" t="str">
        <f>_xlfn.SINGLE(IF(F1276="","",_xlfn.XLOOKUP(F1276,purchase!D:D,purchase!K:K,"")))</f>
        <v/>
      </c>
      <c r="Q1276" s="29" t="str">
        <f t="shared" si="138"/>
        <v/>
      </c>
      <c r="R1276" s="37" t="str">
        <f t="shared" si="139"/>
        <v/>
      </c>
    </row>
    <row r="1277" spans="1:18" x14ac:dyDescent="0.35">
      <c r="A1277" s="8">
        <v>1273</v>
      </c>
      <c r="B1277" s="9" t="str">
        <f t="shared" si="133"/>
        <v/>
      </c>
      <c r="C1277" s="10"/>
      <c r="D1277" s="9" t="str">
        <f>IF(F1277="","",_xlfn.XLOOKUP(F1277,purchase!D:D,purchase!#REF!,""))</f>
        <v/>
      </c>
      <c r="E1277" s="9" t="str">
        <f>IF(F1277="","",_xlfn.XLOOKUP(F1277,purchase!D:D,purchase!B:B,""))</f>
        <v/>
      </c>
      <c r="F1277" s="2"/>
      <c r="G1277" s="4" t="str">
        <f t="shared" si="134"/>
        <v/>
      </c>
      <c r="H1277" s="4" t="str">
        <f>IF(F1277="","",_xlfn.XLOOKUP(F1277,purchase!D:D,purchase!#REF!,""))</f>
        <v/>
      </c>
      <c r="I1277" s="4" t="str">
        <f t="shared" si="135"/>
        <v/>
      </c>
      <c r="J1277" s="4" t="str">
        <f t="shared" si="136"/>
        <v/>
      </c>
      <c r="K1277" s="13" t="str">
        <f>_xlfn.SINGLE(IF(F1277="","",_xlfn.XLOOKUP(F1277,purchase!D:D,purchase!#REF!,"")))</f>
        <v/>
      </c>
      <c r="L1277" s="2"/>
      <c r="M1277" s="32"/>
      <c r="N1277" s="13" t="str">
        <f>IF(F1277="","",
MAX(0,
_xlfn.XLOOKUP(F1277,purchase!D:D,purchase!#REF!,"")
-
SUMIFS(L:L,F:F,F1277)))</f>
        <v/>
      </c>
      <c r="O1277" s="13" t="str">
        <f t="shared" si="137"/>
        <v/>
      </c>
      <c r="P1277" s="35" t="str">
        <f>_xlfn.SINGLE(IF(F1277="","",_xlfn.XLOOKUP(F1277,purchase!D:D,purchase!K:K,"")))</f>
        <v/>
      </c>
      <c r="Q1277" s="29" t="str">
        <f t="shared" si="138"/>
        <v/>
      </c>
      <c r="R1277" s="37" t="str">
        <f t="shared" si="139"/>
        <v/>
      </c>
    </row>
    <row r="1278" spans="1:18" x14ac:dyDescent="0.35">
      <c r="A1278" s="8">
        <v>1274</v>
      </c>
      <c r="B1278" s="9" t="str">
        <f t="shared" si="133"/>
        <v/>
      </c>
      <c r="C1278" s="10"/>
      <c r="D1278" s="9" t="str">
        <f>IF(F1278="","",_xlfn.XLOOKUP(F1278,purchase!D:D,purchase!#REF!,""))</f>
        <v/>
      </c>
      <c r="E1278" s="9" t="str">
        <f>IF(F1278="","",_xlfn.XLOOKUP(F1278,purchase!D:D,purchase!B:B,""))</f>
        <v/>
      </c>
      <c r="F1278" s="2"/>
      <c r="G1278" s="4" t="str">
        <f t="shared" si="134"/>
        <v/>
      </c>
      <c r="H1278" s="4" t="str">
        <f>IF(F1278="","",_xlfn.XLOOKUP(F1278,purchase!D:D,purchase!#REF!,""))</f>
        <v/>
      </c>
      <c r="I1278" s="4" t="str">
        <f t="shared" si="135"/>
        <v/>
      </c>
      <c r="J1278" s="4" t="str">
        <f t="shared" si="136"/>
        <v/>
      </c>
      <c r="K1278" s="13" t="str">
        <f>_xlfn.SINGLE(IF(F1278="","",_xlfn.XLOOKUP(F1278,purchase!D:D,purchase!#REF!,"")))</f>
        <v/>
      </c>
      <c r="L1278" s="2"/>
      <c r="M1278" s="32"/>
      <c r="N1278" s="13" t="str">
        <f>IF(F1278="","",
MAX(0,
_xlfn.XLOOKUP(F1278,purchase!D:D,purchase!#REF!,"")
-
SUMIFS(L:L,F:F,F1278)))</f>
        <v/>
      </c>
      <c r="O1278" s="13" t="str">
        <f t="shared" si="137"/>
        <v/>
      </c>
      <c r="P1278" s="35" t="str">
        <f>_xlfn.SINGLE(IF(F1278="","",_xlfn.XLOOKUP(F1278,purchase!D:D,purchase!K:K,"")))</f>
        <v/>
      </c>
      <c r="Q1278" s="29" t="str">
        <f t="shared" si="138"/>
        <v/>
      </c>
      <c r="R1278" s="37" t="str">
        <f t="shared" si="139"/>
        <v/>
      </c>
    </row>
    <row r="1279" spans="1:18" x14ac:dyDescent="0.35">
      <c r="A1279" s="8">
        <v>1275</v>
      </c>
      <c r="B1279" s="9" t="str">
        <f t="shared" si="133"/>
        <v/>
      </c>
      <c r="C1279" s="10"/>
      <c r="D1279" s="9" t="str">
        <f>IF(F1279="","",_xlfn.XLOOKUP(F1279,purchase!D:D,purchase!#REF!,""))</f>
        <v/>
      </c>
      <c r="E1279" s="9" t="str">
        <f>IF(F1279="","",_xlfn.XLOOKUP(F1279,purchase!D:D,purchase!B:B,""))</f>
        <v/>
      </c>
      <c r="F1279" s="2"/>
      <c r="G1279" s="4" t="str">
        <f t="shared" si="134"/>
        <v/>
      </c>
      <c r="H1279" s="4" t="str">
        <f>IF(F1279="","",_xlfn.XLOOKUP(F1279,purchase!D:D,purchase!#REF!,""))</f>
        <v/>
      </c>
      <c r="I1279" s="4" t="str">
        <f t="shared" si="135"/>
        <v/>
      </c>
      <c r="J1279" s="4" t="str">
        <f t="shared" si="136"/>
        <v/>
      </c>
      <c r="K1279" s="13" t="str">
        <f>_xlfn.SINGLE(IF(F1279="","",_xlfn.XLOOKUP(F1279,purchase!D:D,purchase!#REF!,"")))</f>
        <v/>
      </c>
      <c r="L1279" s="2"/>
      <c r="M1279" s="32"/>
      <c r="N1279" s="13" t="str">
        <f>IF(F1279="","",
MAX(0,
_xlfn.XLOOKUP(F1279,purchase!D:D,purchase!#REF!,"")
-
SUMIFS(L:L,F:F,F1279)))</f>
        <v/>
      </c>
      <c r="O1279" s="13" t="str">
        <f t="shared" si="137"/>
        <v/>
      </c>
      <c r="P1279" s="35" t="str">
        <f>_xlfn.SINGLE(IF(F1279="","",_xlfn.XLOOKUP(F1279,purchase!D:D,purchase!K:K,"")))</f>
        <v/>
      </c>
      <c r="Q1279" s="29" t="str">
        <f t="shared" si="138"/>
        <v/>
      </c>
      <c r="R1279" s="37" t="str">
        <f t="shared" si="139"/>
        <v/>
      </c>
    </row>
    <row r="1280" spans="1:18" x14ac:dyDescent="0.35">
      <c r="A1280" s="8">
        <v>1276</v>
      </c>
      <c r="B1280" s="9" t="str">
        <f t="shared" si="133"/>
        <v/>
      </c>
      <c r="C1280" s="10"/>
      <c r="D1280" s="9" t="str">
        <f>IF(F1280="","",_xlfn.XLOOKUP(F1280,purchase!D:D,purchase!#REF!,""))</f>
        <v/>
      </c>
      <c r="E1280" s="9" t="str">
        <f>IF(F1280="","",_xlfn.XLOOKUP(F1280,purchase!D:D,purchase!B:B,""))</f>
        <v/>
      </c>
      <c r="F1280" s="2"/>
      <c r="G1280" s="4" t="str">
        <f t="shared" si="134"/>
        <v/>
      </c>
      <c r="H1280" s="4" t="str">
        <f>IF(F1280="","",_xlfn.XLOOKUP(F1280,purchase!D:D,purchase!#REF!,""))</f>
        <v/>
      </c>
      <c r="I1280" s="4" t="str">
        <f t="shared" si="135"/>
        <v/>
      </c>
      <c r="J1280" s="4" t="str">
        <f t="shared" si="136"/>
        <v/>
      </c>
      <c r="K1280" s="13" t="str">
        <f>_xlfn.SINGLE(IF(F1280="","",_xlfn.XLOOKUP(F1280,purchase!D:D,purchase!#REF!,"")))</f>
        <v/>
      </c>
      <c r="L1280" s="2"/>
      <c r="M1280" s="32"/>
      <c r="N1280" s="13" t="str">
        <f>IF(F1280="","",
MAX(0,
_xlfn.XLOOKUP(F1280,purchase!D:D,purchase!#REF!,"")
-
SUMIFS(L:L,F:F,F1280)))</f>
        <v/>
      </c>
      <c r="O1280" s="13" t="str">
        <f t="shared" si="137"/>
        <v/>
      </c>
      <c r="P1280" s="35" t="str">
        <f>_xlfn.SINGLE(IF(F1280="","",_xlfn.XLOOKUP(F1280,purchase!D:D,purchase!K:K,"")))</f>
        <v/>
      </c>
      <c r="Q1280" s="29" t="str">
        <f t="shared" si="138"/>
        <v/>
      </c>
      <c r="R1280" s="37" t="str">
        <f t="shared" si="139"/>
        <v/>
      </c>
    </row>
    <row r="1281" spans="1:18" x14ac:dyDescent="0.35">
      <c r="A1281" s="8">
        <v>1277</v>
      </c>
      <c r="B1281" s="9" t="str">
        <f t="shared" si="133"/>
        <v/>
      </c>
      <c r="C1281" s="10"/>
      <c r="D1281" s="9" t="str">
        <f>IF(F1281="","",_xlfn.XLOOKUP(F1281,purchase!D:D,purchase!#REF!,""))</f>
        <v/>
      </c>
      <c r="E1281" s="9" t="str">
        <f>IF(F1281="","",_xlfn.XLOOKUP(F1281,purchase!D:D,purchase!B:B,""))</f>
        <v/>
      </c>
      <c r="F1281" s="2"/>
      <c r="G1281" s="4" t="str">
        <f t="shared" si="134"/>
        <v/>
      </c>
      <c r="H1281" s="4" t="str">
        <f>IF(F1281="","",_xlfn.XLOOKUP(F1281,purchase!D:D,purchase!#REF!,""))</f>
        <v/>
      </c>
      <c r="I1281" s="4" t="str">
        <f t="shared" si="135"/>
        <v/>
      </c>
      <c r="J1281" s="4" t="str">
        <f t="shared" si="136"/>
        <v/>
      </c>
      <c r="K1281" s="13" t="str">
        <f>_xlfn.SINGLE(IF(F1281="","",_xlfn.XLOOKUP(F1281,purchase!D:D,purchase!#REF!,"")))</f>
        <v/>
      </c>
      <c r="L1281" s="2"/>
      <c r="M1281" s="32"/>
      <c r="N1281" s="13" t="str">
        <f>IF(F1281="","",
MAX(0,
_xlfn.XLOOKUP(F1281,purchase!D:D,purchase!#REF!,"")
-
SUMIFS(L:L,F:F,F1281)))</f>
        <v/>
      </c>
      <c r="O1281" s="13" t="str">
        <f t="shared" si="137"/>
        <v/>
      </c>
      <c r="P1281" s="35" t="str">
        <f>_xlfn.SINGLE(IF(F1281="","",_xlfn.XLOOKUP(F1281,purchase!D:D,purchase!K:K,"")))</f>
        <v/>
      </c>
      <c r="Q1281" s="29" t="str">
        <f t="shared" si="138"/>
        <v/>
      </c>
      <c r="R1281" s="37" t="str">
        <f t="shared" si="139"/>
        <v/>
      </c>
    </row>
    <row r="1282" spans="1:18" x14ac:dyDescent="0.35">
      <c r="A1282" s="8">
        <v>1278</v>
      </c>
      <c r="B1282" s="9" t="str">
        <f t="shared" si="133"/>
        <v/>
      </c>
      <c r="C1282" s="10"/>
      <c r="D1282" s="9" t="str">
        <f>IF(F1282="","",_xlfn.XLOOKUP(F1282,purchase!D:D,purchase!#REF!,""))</f>
        <v/>
      </c>
      <c r="E1282" s="9" t="str">
        <f>IF(F1282="","",_xlfn.XLOOKUP(F1282,purchase!D:D,purchase!B:B,""))</f>
        <v/>
      </c>
      <c r="F1282" s="2"/>
      <c r="G1282" s="4" t="str">
        <f t="shared" si="134"/>
        <v/>
      </c>
      <c r="H1282" s="4" t="str">
        <f>IF(F1282="","",_xlfn.XLOOKUP(F1282,purchase!D:D,purchase!#REF!,""))</f>
        <v/>
      </c>
      <c r="I1282" s="4" t="str">
        <f t="shared" si="135"/>
        <v/>
      </c>
      <c r="J1282" s="4" t="str">
        <f t="shared" si="136"/>
        <v/>
      </c>
      <c r="K1282" s="13" t="str">
        <f>_xlfn.SINGLE(IF(F1282="","",_xlfn.XLOOKUP(F1282,purchase!D:D,purchase!#REF!,"")))</f>
        <v/>
      </c>
      <c r="L1282" s="2"/>
      <c r="M1282" s="32"/>
      <c r="N1282" s="13" t="str">
        <f>IF(F1282="","",
MAX(0,
_xlfn.XLOOKUP(F1282,purchase!D:D,purchase!#REF!,"")
-
SUMIFS(L:L,F:F,F1282)))</f>
        <v/>
      </c>
      <c r="O1282" s="13" t="str">
        <f t="shared" si="137"/>
        <v/>
      </c>
      <c r="P1282" s="35" t="str">
        <f>_xlfn.SINGLE(IF(F1282="","",_xlfn.XLOOKUP(F1282,purchase!D:D,purchase!K:K,"")))</f>
        <v/>
      </c>
      <c r="Q1282" s="29" t="str">
        <f t="shared" si="138"/>
        <v/>
      </c>
      <c r="R1282" s="37" t="str">
        <f t="shared" si="139"/>
        <v/>
      </c>
    </row>
    <row r="1283" spans="1:18" x14ac:dyDescent="0.35">
      <c r="A1283" s="8">
        <v>1279</v>
      </c>
      <c r="B1283" s="9" t="str">
        <f t="shared" si="133"/>
        <v/>
      </c>
      <c r="C1283" s="10"/>
      <c r="D1283" s="9" t="str">
        <f>IF(F1283="","",_xlfn.XLOOKUP(F1283,purchase!D:D,purchase!#REF!,""))</f>
        <v/>
      </c>
      <c r="E1283" s="9" t="str">
        <f>IF(F1283="","",_xlfn.XLOOKUP(F1283,purchase!D:D,purchase!B:B,""))</f>
        <v/>
      </c>
      <c r="F1283" s="2"/>
      <c r="G1283" s="4" t="str">
        <f t="shared" si="134"/>
        <v/>
      </c>
      <c r="H1283" s="4" t="str">
        <f>IF(F1283="","",_xlfn.XLOOKUP(F1283,purchase!D:D,purchase!#REF!,""))</f>
        <v/>
      </c>
      <c r="I1283" s="4" t="str">
        <f t="shared" si="135"/>
        <v/>
      </c>
      <c r="J1283" s="4" t="str">
        <f t="shared" si="136"/>
        <v/>
      </c>
      <c r="K1283" s="13" t="str">
        <f>_xlfn.SINGLE(IF(F1283="","",_xlfn.XLOOKUP(F1283,purchase!D:D,purchase!#REF!,"")))</f>
        <v/>
      </c>
      <c r="L1283" s="2"/>
      <c r="M1283" s="32"/>
      <c r="N1283" s="13" t="str">
        <f>IF(F1283="","",
MAX(0,
_xlfn.XLOOKUP(F1283,purchase!D:D,purchase!#REF!,"")
-
SUMIFS(L:L,F:F,F1283)))</f>
        <v/>
      </c>
      <c r="O1283" s="13" t="str">
        <f t="shared" si="137"/>
        <v/>
      </c>
      <c r="P1283" s="35" t="str">
        <f>_xlfn.SINGLE(IF(F1283="","",_xlfn.XLOOKUP(F1283,purchase!D:D,purchase!K:K,"")))</f>
        <v/>
      </c>
      <c r="Q1283" s="29" t="str">
        <f t="shared" si="138"/>
        <v/>
      </c>
      <c r="R1283" s="37" t="str">
        <f t="shared" si="139"/>
        <v/>
      </c>
    </row>
    <row r="1284" spans="1:18" x14ac:dyDescent="0.35">
      <c r="A1284" s="8">
        <v>1280</v>
      </c>
      <c r="B1284" s="9" t="str">
        <f t="shared" si="133"/>
        <v/>
      </c>
      <c r="C1284" s="10"/>
      <c r="D1284" s="9" t="str">
        <f>IF(F1284="","",_xlfn.XLOOKUP(F1284,purchase!D:D,purchase!#REF!,""))</f>
        <v/>
      </c>
      <c r="E1284" s="9" t="str">
        <f>IF(F1284="","",_xlfn.XLOOKUP(F1284,purchase!D:D,purchase!B:B,""))</f>
        <v/>
      </c>
      <c r="F1284" s="2"/>
      <c r="G1284" s="4" t="str">
        <f t="shared" si="134"/>
        <v/>
      </c>
      <c r="H1284" s="4" t="str">
        <f>IF(F1284="","",_xlfn.XLOOKUP(F1284,purchase!D:D,purchase!#REF!,""))</f>
        <v/>
      </c>
      <c r="I1284" s="4" t="str">
        <f t="shared" si="135"/>
        <v/>
      </c>
      <c r="J1284" s="4" t="str">
        <f t="shared" si="136"/>
        <v/>
      </c>
      <c r="K1284" s="13" t="str">
        <f>_xlfn.SINGLE(IF(F1284="","",_xlfn.XLOOKUP(F1284,purchase!D:D,purchase!#REF!,"")))</f>
        <v/>
      </c>
      <c r="L1284" s="2"/>
      <c r="M1284" s="32"/>
      <c r="N1284" s="13" t="str">
        <f>IF(F1284="","",
MAX(0,
_xlfn.XLOOKUP(F1284,purchase!D:D,purchase!#REF!,"")
-
SUMIFS(L:L,F:F,F1284)))</f>
        <v/>
      </c>
      <c r="O1284" s="13" t="str">
        <f t="shared" si="137"/>
        <v/>
      </c>
      <c r="P1284" s="35" t="str">
        <f>_xlfn.SINGLE(IF(F1284="","",_xlfn.XLOOKUP(F1284,purchase!D:D,purchase!K:K,"")))</f>
        <v/>
      </c>
      <c r="Q1284" s="29" t="str">
        <f t="shared" si="138"/>
        <v/>
      </c>
      <c r="R1284" s="37" t="str">
        <f t="shared" si="139"/>
        <v/>
      </c>
    </row>
    <row r="1285" spans="1:18" x14ac:dyDescent="0.35">
      <c r="A1285" s="8">
        <v>1281</v>
      </c>
      <c r="B1285" s="9" t="str">
        <f t="shared" ref="B1285:B1348" si="140">IF(OR(C1285="",F1285=""),"",
"PRD-" &amp;
TEXT(DAY(C1285),"00") &amp;
CHOOSE(MONTH(C1285),"A","B","C","D","E","F","G","H","I","J","K","L") &amp;
TEXT(YEAR(C1285),"00") &amp;
"-" &amp;
RIGHT(F1285,4))</f>
        <v/>
      </c>
      <c r="C1285" s="10"/>
      <c r="D1285" s="9" t="str">
        <f>IF(F1285="","",_xlfn.XLOOKUP(F1285,purchase!D:D,purchase!#REF!,""))</f>
        <v/>
      </c>
      <c r="E1285" s="9" t="str">
        <f>IF(F1285="","",_xlfn.XLOOKUP(F1285,purchase!D:D,purchase!B:B,""))</f>
        <v/>
      </c>
      <c r="F1285" s="2"/>
      <c r="G1285" s="4" t="str">
        <f t="shared" ref="G1285:G1348" si="141">IF(H1285="NRFC","Natural Rubber Field Coagulam","")</f>
        <v/>
      </c>
      <c r="H1285" s="4" t="str">
        <f>IF(F1285="","",_xlfn.XLOOKUP(F1285,purchase!D:D,purchase!#REF!,""))</f>
        <v/>
      </c>
      <c r="I1285" s="4" t="str">
        <f t="shared" ref="I1285:I1348" si="142">IF(J1285="ISNR20","Natural Rubber-TSNR (ISNR-20)","")</f>
        <v/>
      </c>
      <c r="J1285" s="4" t="str">
        <f t="shared" ref="J1285:J1348" si="143">IF(H1285="NRFC","ISNR20","")</f>
        <v/>
      </c>
      <c r="K1285" s="13" t="str">
        <f>_xlfn.SINGLE(IF(F1285="","",_xlfn.XLOOKUP(F1285,purchase!D:D,purchase!#REF!,"")))</f>
        <v/>
      </c>
      <c r="L1285" s="2"/>
      <c r="M1285" s="32"/>
      <c r="N1285" s="13" t="str">
        <f>IF(F1285="","",
MAX(0,
_xlfn.XLOOKUP(F1285,purchase!D:D,purchase!#REF!,"")
-
SUMIFS(L:L,F:F,F1285)))</f>
        <v/>
      </c>
      <c r="O1285" s="13" t="str">
        <f t="shared" ref="O1285:O1348" si="144">IF(OR(L1285="",M1285=""),"",L1285-M1285)</f>
        <v/>
      </c>
      <c r="P1285" s="35" t="str">
        <f>_xlfn.SINGLE(IF(F1285="","",_xlfn.XLOOKUP(F1285,purchase!D:D,purchase!K:K,"")))</f>
        <v/>
      </c>
      <c r="Q1285" s="29" t="str">
        <f t="shared" ref="Q1285:Q1348" si="145">IF(OR(L1285="",M1285=""),"",M1285/L1285)</f>
        <v/>
      </c>
      <c r="R1285" s="37" t="str">
        <f t="shared" ref="R1285:R1348" si="146">IF(OR(P1285="",Q1285=""),"",Q1285-P1285)</f>
        <v/>
      </c>
    </row>
    <row r="1286" spans="1:18" x14ac:dyDescent="0.35">
      <c r="A1286" s="8">
        <v>1282</v>
      </c>
      <c r="B1286" s="9" t="str">
        <f t="shared" si="140"/>
        <v/>
      </c>
      <c r="C1286" s="10"/>
      <c r="D1286" s="9" t="str">
        <f>IF(F1286="","",_xlfn.XLOOKUP(F1286,purchase!D:D,purchase!#REF!,""))</f>
        <v/>
      </c>
      <c r="E1286" s="9" t="str">
        <f>IF(F1286="","",_xlfn.XLOOKUP(F1286,purchase!D:D,purchase!B:B,""))</f>
        <v/>
      </c>
      <c r="F1286" s="2"/>
      <c r="G1286" s="4" t="str">
        <f t="shared" si="141"/>
        <v/>
      </c>
      <c r="H1286" s="4" t="str">
        <f>IF(F1286="","",_xlfn.XLOOKUP(F1286,purchase!D:D,purchase!#REF!,""))</f>
        <v/>
      </c>
      <c r="I1286" s="4" t="str">
        <f t="shared" si="142"/>
        <v/>
      </c>
      <c r="J1286" s="4" t="str">
        <f t="shared" si="143"/>
        <v/>
      </c>
      <c r="K1286" s="13" t="str">
        <f>_xlfn.SINGLE(IF(F1286="","",_xlfn.XLOOKUP(F1286,purchase!D:D,purchase!#REF!,"")))</f>
        <v/>
      </c>
      <c r="L1286" s="2"/>
      <c r="M1286" s="32"/>
      <c r="N1286" s="13" t="str">
        <f>IF(F1286="","",
MAX(0,
_xlfn.XLOOKUP(F1286,purchase!D:D,purchase!#REF!,"")
-
SUMIFS(L:L,F:F,F1286)))</f>
        <v/>
      </c>
      <c r="O1286" s="13" t="str">
        <f t="shared" si="144"/>
        <v/>
      </c>
      <c r="P1286" s="35" t="str">
        <f>_xlfn.SINGLE(IF(F1286="","",_xlfn.XLOOKUP(F1286,purchase!D:D,purchase!K:K,"")))</f>
        <v/>
      </c>
      <c r="Q1286" s="29" t="str">
        <f t="shared" si="145"/>
        <v/>
      </c>
      <c r="R1286" s="37" t="str">
        <f t="shared" si="146"/>
        <v/>
      </c>
    </row>
    <row r="1287" spans="1:18" x14ac:dyDescent="0.35">
      <c r="A1287" s="8">
        <v>1283</v>
      </c>
      <c r="B1287" s="9" t="str">
        <f t="shared" si="140"/>
        <v/>
      </c>
      <c r="C1287" s="10"/>
      <c r="D1287" s="9" t="str">
        <f>IF(F1287="","",_xlfn.XLOOKUP(F1287,purchase!D:D,purchase!#REF!,""))</f>
        <v/>
      </c>
      <c r="E1287" s="9" t="str">
        <f>IF(F1287="","",_xlfn.XLOOKUP(F1287,purchase!D:D,purchase!B:B,""))</f>
        <v/>
      </c>
      <c r="F1287" s="2"/>
      <c r="G1287" s="4" t="str">
        <f t="shared" si="141"/>
        <v/>
      </c>
      <c r="H1287" s="4" t="str">
        <f>IF(F1287="","",_xlfn.XLOOKUP(F1287,purchase!D:D,purchase!#REF!,""))</f>
        <v/>
      </c>
      <c r="I1287" s="4" t="str">
        <f t="shared" si="142"/>
        <v/>
      </c>
      <c r="J1287" s="4" t="str">
        <f t="shared" si="143"/>
        <v/>
      </c>
      <c r="K1287" s="13" t="str">
        <f>_xlfn.SINGLE(IF(F1287="","",_xlfn.XLOOKUP(F1287,purchase!D:D,purchase!#REF!,"")))</f>
        <v/>
      </c>
      <c r="L1287" s="2"/>
      <c r="M1287" s="32"/>
      <c r="N1287" s="13" t="str">
        <f>IF(F1287="","",
MAX(0,
_xlfn.XLOOKUP(F1287,purchase!D:D,purchase!#REF!,"")
-
SUMIFS(L:L,F:F,F1287)))</f>
        <v/>
      </c>
      <c r="O1287" s="13" t="str">
        <f t="shared" si="144"/>
        <v/>
      </c>
      <c r="P1287" s="35" t="str">
        <f>_xlfn.SINGLE(IF(F1287="","",_xlfn.XLOOKUP(F1287,purchase!D:D,purchase!K:K,"")))</f>
        <v/>
      </c>
      <c r="Q1287" s="29" t="str">
        <f t="shared" si="145"/>
        <v/>
      </c>
      <c r="R1287" s="37" t="str">
        <f t="shared" si="146"/>
        <v/>
      </c>
    </row>
    <row r="1288" spans="1:18" x14ac:dyDescent="0.35">
      <c r="A1288" s="8">
        <v>1284</v>
      </c>
      <c r="B1288" s="9" t="str">
        <f t="shared" si="140"/>
        <v/>
      </c>
      <c r="C1288" s="10"/>
      <c r="D1288" s="9" t="str">
        <f>IF(F1288="","",_xlfn.XLOOKUP(F1288,purchase!D:D,purchase!#REF!,""))</f>
        <v/>
      </c>
      <c r="E1288" s="9" t="str">
        <f>IF(F1288="","",_xlfn.XLOOKUP(F1288,purchase!D:D,purchase!B:B,""))</f>
        <v/>
      </c>
      <c r="F1288" s="2"/>
      <c r="G1288" s="4" t="str">
        <f t="shared" si="141"/>
        <v/>
      </c>
      <c r="H1288" s="4" t="str">
        <f>IF(F1288="","",_xlfn.XLOOKUP(F1288,purchase!D:D,purchase!#REF!,""))</f>
        <v/>
      </c>
      <c r="I1288" s="4" t="str">
        <f t="shared" si="142"/>
        <v/>
      </c>
      <c r="J1288" s="4" t="str">
        <f t="shared" si="143"/>
        <v/>
      </c>
      <c r="K1288" s="13" t="str">
        <f>_xlfn.SINGLE(IF(F1288="","",_xlfn.XLOOKUP(F1288,purchase!D:D,purchase!#REF!,"")))</f>
        <v/>
      </c>
      <c r="L1288" s="2"/>
      <c r="M1288" s="32"/>
      <c r="N1288" s="13" t="str">
        <f>IF(F1288="","",
MAX(0,
_xlfn.XLOOKUP(F1288,purchase!D:D,purchase!#REF!,"")
-
SUMIFS(L:L,F:F,F1288)))</f>
        <v/>
      </c>
      <c r="O1288" s="13" t="str">
        <f t="shared" si="144"/>
        <v/>
      </c>
      <c r="P1288" s="35" t="str">
        <f>_xlfn.SINGLE(IF(F1288="","",_xlfn.XLOOKUP(F1288,purchase!D:D,purchase!K:K,"")))</f>
        <v/>
      </c>
      <c r="Q1288" s="29" t="str">
        <f t="shared" si="145"/>
        <v/>
      </c>
      <c r="R1288" s="37" t="str">
        <f t="shared" si="146"/>
        <v/>
      </c>
    </row>
    <row r="1289" spans="1:18" x14ac:dyDescent="0.35">
      <c r="A1289" s="8">
        <v>1285</v>
      </c>
      <c r="B1289" s="9" t="str">
        <f t="shared" si="140"/>
        <v/>
      </c>
      <c r="C1289" s="10"/>
      <c r="D1289" s="9" t="str">
        <f>IF(F1289="","",_xlfn.XLOOKUP(F1289,purchase!D:D,purchase!#REF!,""))</f>
        <v/>
      </c>
      <c r="E1289" s="9" t="str">
        <f>IF(F1289="","",_xlfn.XLOOKUP(F1289,purchase!D:D,purchase!B:B,""))</f>
        <v/>
      </c>
      <c r="F1289" s="2"/>
      <c r="G1289" s="4" t="str">
        <f t="shared" si="141"/>
        <v/>
      </c>
      <c r="H1289" s="4" t="str">
        <f>IF(F1289="","",_xlfn.XLOOKUP(F1289,purchase!D:D,purchase!#REF!,""))</f>
        <v/>
      </c>
      <c r="I1289" s="4" t="str">
        <f t="shared" si="142"/>
        <v/>
      </c>
      <c r="J1289" s="4" t="str">
        <f t="shared" si="143"/>
        <v/>
      </c>
      <c r="K1289" s="13" t="str">
        <f>_xlfn.SINGLE(IF(F1289="","",_xlfn.XLOOKUP(F1289,purchase!D:D,purchase!#REF!,"")))</f>
        <v/>
      </c>
      <c r="L1289" s="2"/>
      <c r="M1289" s="32"/>
      <c r="N1289" s="13" t="str">
        <f>IF(F1289="","",
MAX(0,
_xlfn.XLOOKUP(F1289,purchase!D:D,purchase!#REF!,"")
-
SUMIFS(L:L,F:F,F1289)))</f>
        <v/>
      </c>
      <c r="O1289" s="13" t="str">
        <f t="shared" si="144"/>
        <v/>
      </c>
      <c r="P1289" s="35" t="str">
        <f>_xlfn.SINGLE(IF(F1289="","",_xlfn.XLOOKUP(F1289,purchase!D:D,purchase!K:K,"")))</f>
        <v/>
      </c>
      <c r="Q1289" s="29" t="str">
        <f t="shared" si="145"/>
        <v/>
      </c>
      <c r="R1289" s="37" t="str">
        <f t="shared" si="146"/>
        <v/>
      </c>
    </row>
    <row r="1290" spans="1:18" x14ac:dyDescent="0.35">
      <c r="A1290" s="8">
        <v>1286</v>
      </c>
      <c r="B1290" s="9" t="str">
        <f t="shared" si="140"/>
        <v/>
      </c>
      <c r="C1290" s="10"/>
      <c r="D1290" s="9" t="str">
        <f>IF(F1290="","",_xlfn.XLOOKUP(F1290,purchase!D:D,purchase!#REF!,""))</f>
        <v/>
      </c>
      <c r="E1290" s="9" t="str">
        <f>IF(F1290="","",_xlfn.XLOOKUP(F1290,purchase!D:D,purchase!B:B,""))</f>
        <v/>
      </c>
      <c r="F1290" s="2"/>
      <c r="G1290" s="4" t="str">
        <f t="shared" si="141"/>
        <v/>
      </c>
      <c r="H1290" s="4" t="str">
        <f>IF(F1290="","",_xlfn.XLOOKUP(F1290,purchase!D:D,purchase!#REF!,""))</f>
        <v/>
      </c>
      <c r="I1290" s="4" t="str">
        <f t="shared" si="142"/>
        <v/>
      </c>
      <c r="J1290" s="4" t="str">
        <f t="shared" si="143"/>
        <v/>
      </c>
      <c r="K1290" s="13" t="str">
        <f>_xlfn.SINGLE(IF(F1290="","",_xlfn.XLOOKUP(F1290,purchase!D:D,purchase!#REF!,"")))</f>
        <v/>
      </c>
      <c r="L1290" s="2"/>
      <c r="M1290" s="32"/>
      <c r="N1290" s="13" t="str">
        <f>IF(F1290="","",
MAX(0,
_xlfn.XLOOKUP(F1290,purchase!D:D,purchase!#REF!,"")
-
SUMIFS(L:L,F:F,F1290)))</f>
        <v/>
      </c>
      <c r="O1290" s="13" t="str">
        <f t="shared" si="144"/>
        <v/>
      </c>
      <c r="P1290" s="35" t="str">
        <f>_xlfn.SINGLE(IF(F1290="","",_xlfn.XLOOKUP(F1290,purchase!D:D,purchase!K:K,"")))</f>
        <v/>
      </c>
      <c r="Q1290" s="29" t="str">
        <f t="shared" si="145"/>
        <v/>
      </c>
      <c r="R1290" s="37" t="str">
        <f t="shared" si="146"/>
        <v/>
      </c>
    </row>
    <row r="1291" spans="1:18" x14ac:dyDescent="0.35">
      <c r="A1291" s="8">
        <v>1287</v>
      </c>
      <c r="B1291" s="9" t="str">
        <f t="shared" si="140"/>
        <v/>
      </c>
      <c r="C1291" s="10"/>
      <c r="D1291" s="9" t="str">
        <f>IF(F1291="","",_xlfn.XLOOKUP(F1291,purchase!D:D,purchase!#REF!,""))</f>
        <v/>
      </c>
      <c r="E1291" s="9" t="str">
        <f>IF(F1291="","",_xlfn.XLOOKUP(F1291,purchase!D:D,purchase!B:B,""))</f>
        <v/>
      </c>
      <c r="F1291" s="2"/>
      <c r="G1291" s="4" t="str">
        <f t="shared" si="141"/>
        <v/>
      </c>
      <c r="H1291" s="4" t="str">
        <f>IF(F1291="","",_xlfn.XLOOKUP(F1291,purchase!D:D,purchase!#REF!,""))</f>
        <v/>
      </c>
      <c r="I1291" s="4" t="str">
        <f t="shared" si="142"/>
        <v/>
      </c>
      <c r="J1291" s="4" t="str">
        <f t="shared" si="143"/>
        <v/>
      </c>
      <c r="K1291" s="13" t="str">
        <f>_xlfn.SINGLE(IF(F1291="","",_xlfn.XLOOKUP(F1291,purchase!D:D,purchase!#REF!,"")))</f>
        <v/>
      </c>
      <c r="L1291" s="2"/>
      <c r="M1291" s="32"/>
      <c r="N1291" s="13" t="str">
        <f>IF(F1291="","",
MAX(0,
_xlfn.XLOOKUP(F1291,purchase!D:D,purchase!#REF!,"")
-
SUMIFS(L:L,F:F,F1291)))</f>
        <v/>
      </c>
      <c r="O1291" s="13" t="str">
        <f t="shared" si="144"/>
        <v/>
      </c>
      <c r="P1291" s="35" t="str">
        <f>_xlfn.SINGLE(IF(F1291="","",_xlfn.XLOOKUP(F1291,purchase!D:D,purchase!K:K,"")))</f>
        <v/>
      </c>
      <c r="Q1291" s="29" t="str">
        <f t="shared" si="145"/>
        <v/>
      </c>
      <c r="R1291" s="37" t="str">
        <f t="shared" si="146"/>
        <v/>
      </c>
    </row>
    <row r="1292" spans="1:18" x14ac:dyDescent="0.35">
      <c r="A1292" s="8">
        <v>1288</v>
      </c>
      <c r="B1292" s="9" t="str">
        <f t="shared" si="140"/>
        <v/>
      </c>
      <c r="C1292" s="10"/>
      <c r="D1292" s="9" t="str">
        <f>IF(F1292="","",_xlfn.XLOOKUP(F1292,purchase!D:D,purchase!#REF!,""))</f>
        <v/>
      </c>
      <c r="E1292" s="9" t="str">
        <f>IF(F1292="","",_xlfn.XLOOKUP(F1292,purchase!D:D,purchase!B:B,""))</f>
        <v/>
      </c>
      <c r="F1292" s="2"/>
      <c r="G1292" s="4" t="str">
        <f t="shared" si="141"/>
        <v/>
      </c>
      <c r="H1292" s="4" t="str">
        <f>IF(F1292="","",_xlfn.XLOOKUP(F1292,purchase!D:D,purchase!#REF!,""))</f>
        <v/>
      </c>
      <c r="I1292" s="4" t="str">
        <f t="shared" si="142"/>
        <v/>
      </c>
      <c r="J1292" s="4" t="str">
        <f t="shared" si="143"/>
        <v/>
      </c>
      <c r="K1292" s="13" t="str">
        <f>_xlfn.SINGLE(IF(F1292="","",_xlfn.XLOOKUP(F1292,purchase!D:D,purchase!#REF!,"")))</f>
        <v/>
      </c>
      <c r="L1292" s="2"/>
      <c r="M1292" s="32"/>
      <c r="N1292" s="13" t="str">
        <f>IF(F1292="","",
MAX(0,
_xlfn.XLOOKUP(F1292,purchase!D:D,purchase!#REF!,"")
-
SUMIFS(L:L,F:F,F1292)))</f>
        <v/>
      </c>
      <c r="O1292" s="13" t="str">
        <f t="shared" si="144"/>
        <v/>
      </c>
      <c r="P1292" s="35" t="str">
        <f>_xlfn.SINGLE(IF(F1292="","",_xlfn.XLOOKUP(F1292,purchase!D:D,purchase!K:K,"")))</f>
        <v/>
      </c>
      <c r="Q1292" s="29" t="str">
        <f t="shared" si="145"/>
        <v/>
      </c>
      <c r="R1292" s="37" t="str">
        <f t="shared" si="146"/>
        <v/>
      </c>
    </row>
    <row r="1293" spans="1:18" x14ac:dyDescent="0.35">
      <c r="A1293" s="8">
        <v>1289</v>
      </c>
      <c r="B1293" s="9" t="str">
        <f t="shared" si="140"/>
        <v/>
      </c>
      <c r="C1293" s="10"/>
      <c r="D1293" s="9" t="str">
        <f>IF(F1293="","",_xlfn.XLOOKUP(F1293,purchase!D:D,purchase!#REF!,""))</f>
        <v/>
      </c>
      <c r="E1293" s="9" t="str">
        <f>IF(F1293="","",_xlfn.XLOOKUP(F1293,purchase!D:D,purchase!B:B,""))</f>
        <v/>
      </c>
      <c r="F1293" s="2"/>
      <c r="G1293" s="4" t="str">
        <f t="shared" si="141"/>
        <v/>
      </c>
      <c r="H1293" s="4" t="str">
        <f>IF(F1293="","",_xlfn.XLOOKUP(F1293,purchase!D:D,purchase!#REF!,""))</f>
        <v/>
      </c>
      <c r="I1293" s="4" t="str">
        <f t="shared" si="142"/>
        <v/>
      </c>
      <c r="J1293" s="4" t="str">
        <f t="shared" si="143"/>
        <v/>
      </c>
      <c r="K1293" s="13" t="str">
        <f>_xlfn.SINGLE(IF(F1293="","",_xlfn.XLOOKUP(F1293,purchase!D:D,purchase!#REF!,"")))</f>
        <v/>
      </c>
      <c r="L1293" s="2"/>
      <c r="M1293" s="32"/>
      <c r="N1293" s="13" t="str">
        <f>IF(F1293="","",
MAX(0,
_xlfn.XLOOKUP(F1293,purchase!D:D,purchase!#REF!,"")
-
SUMIFS(L:L,F:F,F1293)))</f>
        <v/>
      </c>
      <c r="O1293" s="13" t="str">
        <f t="shared" si="144"/>
        <v/>
      </c>
      <c r="P1293" s="35" t="str">
        <f>_xlfn.SINGLE(IF(F1293="","",_xlfn.XLOOKUP(F1293,purchase!D:D,purchase!K:K,"")))</f>
        <v/>
      </c>
      <c r="Q1293" s="29" t="str">
        <f t="shared" si="145"/>
        <v/>
      </c>
      <c r="R1293" s="37" t="str">
        <f t="shared" si="146"/>
        <v/>
      </c>
    </row>
    <row r="1294" spans="1:18" x14ac:dyDescent="0.35">
      <c r="A1294" s="8">
        <v>1290</v>
      </c>
      <c r="B1294" s="9" t="str">
        <f t="shared" si="140"/>
        <v/>
      </c>
      <c r="C1294" s="10"/>
      <c r="D1294" s="9" t="str">
        <f>IF(F1294="","",_xlfn.XLOOKUP(F1294,purchase!D:D,purchase!#REF!,""))</f>
        <v/>
      </c>
      <c r="E1294" s="9" t="str">
        <f>IF(F1294="","",_xlfn.XLOOKUP(F1294,purchase!D:D,purchase!B:B,""))</f>
        <v/>
      </c>
      <c r="F1294" s="2"/>
      <c r="G1294" s="4" t="str">
        <f t="shared" si="141"/>
        <v/>
      </c>
      <c r="H1294" s="4" t="str">
        <f>IF(F1294="","",_xlfn.XLOOKUP(F1294,purchase!D:D,purchase!#REF!,""))</f>
        <v/>
      </c>
      <c r="I1294" s="4" t="str">
        <f t="shared" si="142"/>
        <v/>
      </c>
      <c r="J1294" s="4" t="str">
        <f t="shared" si="143"/>
        <v/>
      </c>
      <c r="K1294" s="13" t="str">
        <f>_xlfn.SINGLE(IF(F1294="","",_xlfn.XLOOKUP(F1294,purchase!D:D,purchase!#REF!,"")))</f>
        <v/>
      </c>
      <c r="L1294" s="2"/>
      <c r="M1294" s="32"/>
      <c r="N1294" s="13" t="str">
        <f>IF(F1294="","",
MAX(0,
_xlfn.XLOOKUP(F1294,purchase!D:D,purchase!#REF!,"")
-
SUMIFS(L:L,F:F,F1294)))</f>
        <v/>
      </c>
      <c r="O1294" s="13" t="str">
        <f t="shared" si="144"/>
        <v/>
      </c>
      <c r="P1294" s="35" t="str">
        <f>_xlfn.SINGLE(IF(F1294="","",_xlfn.XLOOKUP(F1294,purchase!D:D,purchase!K:K,"")))</f>
        <v/>
      </c>
      <c r="Q1294" s="29" t="str">
        <f t="shared" si="145"/>
        <v/>
      </c>
      <c r="R1294" s="37" t="str">
        <f t="shared" si="146"/>
        <v/>
      </c>
    </row>
    <row r="1295" spans="1:18" x14ac:dyDescent="0.35">
      <c r="A1295" s="8">
        <v>1291</v>
      </c>
      <c r="B1295" s="9" t="str">
        <f t="shared" si="140"/>
        <v/>
      </c>
      <c r="C1295" s="10"/>
      <c r="D1295" s="9" t="str">
        <f>IF(F1295="","",_xlfn.XLOOKUP(F1295,purchase!D:D,purchase!#REF!,""))</f>
        <v/>
      </c>
      <c r="E1295" s="9" t="str">
        <f>IF(F1295="","",_xlfn.XLOOKUP(F1295,purchase!D:D,purchase!B:B,""))</f>
        <v/>
      </c>
      <c r="F1295" s="2"/>
      <c r="G1295" s="4" t="str">
        <f t="shared" si="141"/>
        <v/>
      </c>
      <c r="H1295" s="4" t="str">
        <f>IF(F1295="","",_xlfn.XLOOKUP(F1295,purchase!D:D,purchase!#REF!,""))</f>
        <v/>
      </c>
      <c r="I1295" s="4" t="str">
        <f t="shared" si="142"/>
        <v/>
      </c>
      <c r="J1295" s="4" t="str">
        <f t="shared" si="143"/>
        <v/>
      </c>
      <c r="K1295" s="13" t="str">
        <f>_xlfn.SINGLE(IF(F1295="","",_xlfn.XLOOKUP(F1295,purchase!D:D,purchase!#REF!,"")))</f>
        <v/>
      </c>
      <c r="L1295" s="2"/>
      <c r="M1295" s="32"/>
      <c r="N1295" s="13" t="str">
        <f>IF(F1295="","",
MAX(0,
_xlfn.XLOOKUP(F1295,purchase!D:D,purchase!#REF!,"")
-
SUMIFS(L:L,F:F,F1295)))</f>
        <v/>
      </c>
      <c r="O1295" s="13" t="str">
        <f t="shared" si="144"/>
        <v/>
      </c>
      <c r="P1295" s="35" t="str">
        <f>_xlfn.SINGLE(IF(F1295="","",_xlfn.XLOOKUP(F1295,purchase!D:D,purchase!K:K,"")))</f>
        <v/>
      </c>
      <c r="Q1295" s="29" t="str">
        <f t="shared" si="145"/>
        <v/>
      </c>
      <c r="R1295" s="37" t="str">
        <f t="shared" si="146"/>
        <v/>
      </c>
    </row>
    <row r="1296" spans="1:18" x14ac:dyDescent="0.35">
      <c r="A1296" s="8">
        <v>1292</v>
      </c>
      <c r="B1296" s="9" t="str">
        <f t="shared" si="140"/>
        <v/>
      </c>
      <c r="C1296" s="10"/>
      <c r="D1296" s="9" t="str">
        <f>IF(F1296="","",_xlfn.XLOOKUP(F1296,purchase!D:D,purchase!#REF!,""))</f>
        <v/>
      </c>
      <c r="E1296" s="9" t="str">
        <f>IF(F1296="","",_xlfn.XLOOKUP(F1296,purchase!D:D,purchase!B:B,""))</f>
        <v/>
      </c>
      <c r="F1296" s="2"/>
      <c r="G1296" s="4" t="str">
        <f t="shared" si="141"/>
        <v/>
      </c>
      <c r="H1296" s="4" t="str">
        <f>IF(F1296="","",_xlfn.XLOOKUP(F1296,purchase!D:D,purchase!#REF!,""))</f>
        <v/>
      </c>
      <c r="I1296" s="4" t="str">
        <f t="shared" si="142"/>
        <v/>
      </c>
      <c r="J1296" s="4" t="str">
        <f t="shared" si="143"/>
        <v/>
      </c>
      <c r="K1296" s="13" t="str">
        <f>_xlfn.SINGLE(IF(F1296="","",_xlfn.XLOOKUP(F1296,purchase!D:D,purchase!#REF!,"")))</f>
        <v/>
      </c>
      <c r="L1296" s="2"/>
      <c r="M1296" s="32"/>
      <c r="N1296" s="13" t="str">
        <f>IF(F1296="","",
MAX(0,
_xlfn.XLOOKUP(F1296,purchase!D:D,purchase!#REF!,"")
-
SUMIFS(L:L,F:F,F1296)))</f>
        <v/>
      </c>
      <c r="O1296" s="13" t="str">
        <f t="shared" si="144"/>
        <v/>
      </c>
      <c r="P1296" s="35" t="str">
        <f>_xlfn.SINGLE(IF(F1296="","",_xlfn.XLOOKUP(F1296,purchase!D:D,purchase!K:K,"")))</f>
        <v/>
      </c>
      <c r="Q1296" s="29" t="str">
        <f t="shared" si="145"/>
        <v/>
      </c>
      <c r="R1296" s="37" t="str">
        <f t="shared" si="146"/>
        <v/>
      </c>
    </row>
    <row r="1297" spans="1:18" x14ac:dyDescent="0.35">
      <c r="A1297" s="8">
        <v>1293</v>
      </c>
      <c r="B1297" s="9" t="str">
        <f t="shared" si="140"/>
        <v/>
      </c>
      <c r="C1297" s="10"/>
      <c r="D1297" s="9" t="str">
        <f>IF(F1297="","",_xlfn.XLOOKUP(F1297,purchase!D:D,purchase!#REF!,""))</f>
        <v/>
      </c>
      <c r="E1297" s="9" t="str">
        <f>IF(F1297="","",_xlfn.XLOOKUP(F1297,purchase!D:D,purchase!B:B,""))</f>
        <v/>
      </c>
      <c r="F1297" s="2"/>
      <c r="G1297" s="4" t="str">
        <f t="shared" si="141"/>
        <v/>
      </c>
      <c r="H1297" s="4" t="str">
        <f>IF(F1297="","",_xlfn.XLOOKUP(F1297,purchase!D:D,purchase!#REF!,""))</f>
        <v/>
      </c>
      <c r="I1297" s="4" t="str">
        <f t="shared" si="142"/>
        <v/>
      </c>
      <c r="J1297" s="4" t="str">
        <f t="shared" si="143"/>
        <v/>
      </c>
      <c r="K1297" s="13" t="str">
        <f>_xlfn.SINGLE(IF(F1297="","",_xlfn.XLOOKUP(F1297,purchase!D:D,purchase!#REF!,"")))</f>
        <v/>
      </c>
      <c r="L1297" s="2"/>
      <c r="M1297" s="32"/>
      <c r="N1297" s="13" t="str">
        <f>IF(F1297="","",
MAX(0,
_xlfn.XLOOKUP(F1297,purchase!D:D,purchase!#REF!,"")
-
SUMIFS(L:L,F:F,F1297)))</f>
        <v/>
      </c>
      <c r="O1297" s="13" t="str">
        <f t="shared" si="144"/>
        <v/>
      </c>
      <c r="P1297" s="35" t="str">
        <f>_xlfn.SINGLE(IF(F1297="","",_xlfn.XLOOKUP(F1297,purchase!D:D,purchase!K:K,"")))</f>
        <v/>
      </c>
      <c r="Q1297" s="29" t="str">
        <f t="shared" si="145"/>
        <v/>
      </c>
      <c r="R1297" s="37" t="str">
        <f t="shared" si="146"/>
        <v/>
      </c>
    </row>
    <row r="1298" spans="1:18" x14ac:dyDescent="0.35">
      <c r="A1298" s="8">
        <v>1294</v>
      </c>
      <c r="B1298" s="9" t="str">
        <f t="shared" si="140"/>
        <v/>
      </c>
      <c r="C1298" s="10"/>
      <c r="D1298" s="9" t="str">
        <f>IF(F1298="","",_xlfn.XLOOKUP(F1298,purchase!D:D,purchase!#REF!,""))</f>
        <v/>
      </c>
      <c r="E1298" s="9" t="str">
        <f>IF(F1298="","",_xlfn.XLOOKUP(F1298,purchase!D:D,purchase!B:B,""))</f>
        <v/>
      </c>
      <c r="F1298" s="2"/>
      <c r="G1298" s="4" t="str">
        <f t="shared" si="141"/>
        <v/>
      </c>
      <c r="H1298" s="4" t="str">
        <f>IF(F1298="","",_xlfn.XLOOKUP(F1298,purchase!D:D,purchase!#REF!,""))</f>
        <v/>
      </c>
      <c r="I1298" s="4" t="str">
        <f t="shared" si="142"/>
        <v/>
      </c>
      <c r="J1298" s="4" t="str">
        <f t="shared" si="143"/>
        <v/>
      </c>
      <c r="K1298" s="13" t="str">
        <f>_xlfn.SINGLE(IF(F1298="","",_xlfn.XLOOKUP(F1298,purchase!D:D,purchase!#REF!,"")))</f>
        <v/>
      </c>
      <c r="L1298" s="2"/>
      <c r="M1298" s="32"/>
      <c r="N1298" s="13" t="str">
        <f>IF(F1298="","",
MAX(0,
_xlfn.XLOOKUP(F1298,purchase!D:D,purchase!#REF!,"")
-
SUMIFS(L:L,F:F,F1298)))</f>
        <v/>
      </c>
      <c r="O1298" s="13" t="str">
        <f t="shared" si="144"/>
        <v/>
      </c>
      <c r="P1298" s="35" t="str">
        <f>_xlfn.SINGLE(IF(F1298="","",_xlfn.XLOOKUP(F1298,purchase!D:D,purchase!K:K,"")))</f>
        <v/>
      </c>
      <c r="Q1298" s="29" t="str">
        <f t="shared" si="145"/>
        <v/>
      </c>
      <c r="R1298" s="37" t="str">
        <f t="shared" si="146"/>
        <v/>
      </c>
    </row>
    <row r="1299" spans="1:18" x14ac:dyDescent="0.35">
      <c r="A1299" s="8">
        <v>1295</v>
      </c>
      <c r="B1299" s="9" t="str">
        <f t="shared" si="140"/>
        <v/>
      </c>
      <c r="C1299" s="10"/>
      <c r="D1299" s="9" t="str">
        <f>IF(F1299="","",_xlfn.XLOOKUP(F1299,purchase!D:D,purchase!#REF!,""))</f>
        <v/>
      </c>
      <c r="E1299" s="9" t="str">
        <f>IF(F1299="","",_xlfn.XLOOKUP(F1299,purchase!D:D,purchase!B:B,""))</f>
        <v/>
      </c>
      <c r="F1299" s="2"/>
      <c r="G1299" s="4" t="str">
        <f t="shared" si="141"/>
        <v/>
      </c>
      <c r="H1299" s="4" t="str">
        <f>IF(F1299="","",_xlfn.XLOOKUP(F1299,purchase!D:D,purchase!#REF!,""))</f>
        <v/>
      </c>
      <c r="I1299" s="4" t="str">
        <f t="shared" si="142"/>
        <v/>
      </c>
      <c r="J1299" s="4" t="str">
        <f t="shared" si="143"/>
        <v/>
      </c>
      <c r="K1299" s="13" t="str">
        <f>_xlfn.SINGLE(IF(F1299="","",_xlfn.XLOOKUP(F1299,purchase!D:D,purchase!#REF!,"")))</f>
        <v/>
      </c>
      <c r="L1299" s="2"/>
      <c r="M1299" s="32"/>
      <c r="N1299" s="13" t="str">
        <f>IF(F1299="","",
MAX(0,
_xlfn.XLOOKUP(F1299,purchase!D:D,purchase!#REF!,"")
-
SUMIFS(L:L,F:F,F1299)))</f>
        <v/>
      </c>
      <c r="O1299" s="13" t="str">
        <f t="shared" si="144"/>
        <v/>
      </c>
      <c r="P1299" s="35" t="str">
        <f>_xlfn.SINGLE(IF(F1299="","",_xlfn.XLOOKUP(F1299,purchase!D:D,purchase!K:K,"")))</f>
        <v/>
      </c>
      <c r="Q1299" s="29" t="str">
        <f t="shared" si="145"/>
        <v/>
      </c>
      <c r="R1299" s="37" t="str">
        <f t="shared" si="146"/>
        <v/>
      </c>
    </row>
    <row r="1300" spans="1:18" x14ac:dyDescent="0.35">
      <c r="A1300" s="8">
        <v>1296</v>
      </c>
      <c r="B1300" s="9" t="str">
        <f t="shared" si="140"/>
        <v/>
      </c>
      <c r="C1300" s="10"/>
      <c r="D1300" s="9" t="str">
        <f>IF(F1300="","",_xlfn.XLOOKUP(F1300,purchase!D:D,purchase!#REF!,""))</f>
        <v/>
      </c>
      <c r="E1300" s="9" t="str">
        <f>IF(F1300="","",_xlfn.XLOOKUP(F1300,purchase!D:D,purchase!B:B,""))</f>
        <v/>
      </c>
      <c r="F1300" s="2"/>
      <c r="G1300" s="4" t="str">
        <f t="shared" si="141"/>
        <v/>
      </c>
      <c r="H1300" s="4" t="str">
        <f>IF(F1300="","",_xlfn.XLOOKUP(F1300,purchase!D:D,purchase!#REF!,""))</f>
        <v/>
      </c>
      <c r="I1300" s="4" t="str">
        <f t="shared" si="142"/>
        <v/>
      </c>
      <c r="J1300" s="4" t="str">
        <f t="shared" si="143"/>
        <v/>
      </c>
      <c r="K1300" s="13" t="str">
        <f>_xlfn.SINGLE(IF(F1300="","",_xlfn.XLOOKUP(F1300,purchase!D:D,purchase!#REF!,"")))</f>
        <v/>
      </c>
      <c r="L1300" s="2"/>
      <c r="M1300" s="32"/>
      <c r="N1300" s="13" t="str">
        <f>IF(F1300="","",
MAX(0,
_xlfn.XLOOKUP(F1300,purchase!D:D,purchase!#REF!,"")
-
SUMIFS(L:L,F:F,F1300)))</f>
        <v/>
      </c>
      <c r="O1300" s="13" t="str">
        <f t="shared" si="144"/>
        <v/>
      </c>
      <c r="P1300" s="35" t="str">
        <f>_xlfn.SINGLE(IF(F1300="","",_xlfn.XLOOKUP(F1300,purchase!D:D,purchase!K:K,"")))</f>
        <v/>
      </c>
      <c r="Q1300" s="29" t="str">
        <f t="shared" si="145"/>
        <v/>
      </c>
      <c r="R1300" s="37" t="str">
        <f t="shared" si="146"/>
        <v/>
      </c>
    </row>
    <row r="1301" spans="1:18" x14ac:dyDescent="0.35">
      <c r="A1301" s="8">
        <v>1297</v>
      </c>
      <c r="B1301" s="9" t="str">
        <f t="shared" si="140"/>
        <v/>
      </c>
      <c r="C1301" s="10"/>
      <c r="D1301" s="9" t="str">
        <f>IF(F1301="","",_xlfn.XLOOKUP(F1301,purchase!D:D,purchase!#REF!,""))</f>
        <v/>
      </c>
      <c r="E1301" s="9" t="str">
        <f>IF(F1301="","",_xlfn.XLOOKUP(F1301,purchase!D:D,purchase!B:B,""))</f>
        <v/>
      </c>
      <c r="F1301" s="2"/>
      <c r="G1301" s="4" t="str">
        <f t="shared" si="141"/>
        <v/>
      </c>
      <c r="H1301" s="4" t="str">
        <f>IF(F1301="","",_xlfn.XLOOKUP(F1301,purchase!D:D,purchase!#REF!,""))</f>
        <v/>
      </c>
      <c r="I1301" s="4" t="str">
        <f t="shared" si="142"/>
        <v/>
      </c>
      <c r="J1301" s="4" t="str">
        <f t="shared" si="143"/>
        <v/>
      </c>
      <c r="K1301" s="13" t="str">
        <f>_xlfn.SINGLE(IF(F1301="","",_xlfn.XLOOKUP(F1301,purchase!D:D,purchase!#REF!,"")))</f>
        <v/>
      </c>
      <c r="L1301" s="2"/>
      <c r="M1301" s="32"/>
      <c r="N1301" s="13" t="str">
        <f>IF(F1301="","",
MAX(0,
_xlfn.XLOOKUP(F1301,purchase!D:D,purchase!#REF!,"")
-
SUMIFS(L:L,F:F,F1301)))</f>
        <v/>
      </c>
      <c r="O1301" s="13" t="str">
        <f t="shared" si="144"/>
        <v/>
      </c>
      <c r="P1301" s="35" t="str">
        <f>_xlfn.SINGLE(IF(F1301="","",_xlfn.XLOOKUP(F1301,purchase!D:D,purchase!K:K,"")))</f>
        <v/>
      </c>
      <c r="Q1301" s="29" t="str">
        <f t="shared" si="145"/>
        <v/>
      </c>
      <c r="R1301" s="37" t="str">
        <f t="shared" si="146"/>
        <v/>
      </c>
    </row>
    <row r="1302" spans="1:18" x14ac:dyDescent="0.35">
      <c r="A1302" s="8">
        <v>1298</v>
      </c>
      <c r="B1302" s="9" t="str">
        <f t="shared" si="140"/>
        <v/>
      </c>
      <c r="C1302" s="10"/>
      <c r="D1302" s="9" t="str">
        <f>IF(F1302="","",_xlfn.XLOOKUP(F1302,purchase!D:D,purchase!#REF!,""))</f>
        <v/>
      </c>
      <c r="E1302" s="9" t="str">
        <f>IF(F1302="","",_xlfn.XLOOKUP(F1302,purchase!D:D,purchase!B:B,""))</f>
        <v/>
      </c>
      <c r="F1302" s="2"/>
      <c r="G1302" s="4" t="str">
        <f t="shared" si="141"/>
        <v/>
      </c>
      <c r="H1302" s="4" t="str">
        <f>IF(F1302="","",_xlfn.XLOOKUP(F1302,purchase!D:D,purchase!#REF!,""))</f>
        <v/>
      </c>
      <c r="I1302" s="4" t="str">
        <f t="shared" si="142"/>
        <v/>
      </c>
      <c r="J1302" s="4" t="str">
        <f t="shared" si="143"/>
        <v/>
      </c>
      <c r="K1302" s="13" t="str">
        <f>_xlfn.SINGLE(IF(F1302="","",_xlfn.XLOOKUP(F1302,purchase!D:D,purchase!#REF!,"")))</f>
        <v/>
      </c>
      <c r="L1302" s="2"/>
      <c r="M1302" s="32"/>
      <c r="N1302" s="13" t="str">
        <f>IF(F1302="","",
MAX(0,
_xlfn.XLOOKUP(F1302,purchase!D:D,purchase!#REF!,"")
-
SUMIFS(L:L,F:F,F1302)))</f>
        <v/>
      </c>
      <c r="O1302" s="13" t="str">
        <f t="shared" si="144"/>
        <v/>
      </c>
      <c r="P1302" s="35" t="str">
        <f>_xlfn.SINGLE(IF(F1302="","",_xlfn.XLOOKUP(F1302,purchase!D:D,purchase!K:K,"")))</f>
        <v/>
      </c>
      <c r="Q1302" s="29" t="str">
        <f t="shared" si="145"/>
        <v/>
      </c>
      <c r="R1302" s="37" t="str">
        <f t="shared" si="146"/>
        <v/>
      </c>
    </row>
    <row r="1303" spans="1:18" x14ac:dyDescent="0.35">
      <c r="A1303" s="8">
        <v>1299</v>
      </c>
      <c r="B1303" s="9" t="str">
        <f t="shared" si="140"/>
        <v/>
      </c>
      <c r="C1303" s="10"/>
      <c r="D1303" s="9" t="str">
        <f>IF(F1303="","",_xlfn.XLOOKUP(F1303,purchase!D:D,purchase!#REF!,""))</f>
        <v/>
      </c>
      <c r="E1303" s="9" t="str">
        <f>IF(F1303="","",_xlfn.XLOOKUP(F1303,purchase!D:D,purchase!B:B,""))</f>
        <v/>
      </c>
      <c r="F1303" s="2"/>
      <c r="G1303" s="4" t="str">
        <f t="shared" si="141"/>
        <v/>
      </c>
      <c r="H1303" s="4" t="str">
        <f>IF(F1303="","",_xlfn.XLOOKUP(F1303,purchase!D:D,purchase!#REF!,""))</f>
        <v/>
      </c>
      <c r="I1303" s="4" t="str">
        <f t="shared" si="142"/>
        <v/>
      </c>
      <c r="J1303" s="4" t="str">
        <f t="shared" si="143"/>
        <v/>
      </c>
      <c r="K1303" s="13" t="str">
        <f>_xlfn.SINGLE(IF(F1303="","",_xlfn.XLOOKUP(F1303,purchase!D:D,purchase!#REF!,"")))</f>
        <v/>
      </c>
      <c r="L1303" s="2"/>
      <c r="M1303" s="32"/>
      <c r="N1303" s="13" t="str">
        <f>IF(F1303="","",
MAX(0,
_xlfn.XLOOKUP(F1303,purchase!D:D,purchase!#REF!,"")
-
SUMIFS(L:L,F:F,F1303)))</f>
        <v/>
      </c>
      <c r="O1303" s="13" t="str">
        <f t="shared" si="144"/>
        <v/>
      </c>
      <c r="P1303" s="35" t="str">
        <f>_xlfn.SINGLE(IF(F1303="","",_xlfn.XLOOKUP(F1303,purchase!D:D,purchase!K:K,"")))</f>
        <v/>
      </c>
      <c r="Q1303" s="29" t="str">
        <f t="shared" si="145"/>
        <v/>
      </c>
      <c r="R1303" s="37" t="str">
        <f t="shared" si="146"/>
        <v/>
      </c>
    </row>
    <row r="1304" spans="1:18" x14ac:dyDescent="0.35">
      <c r="A1304" s="8">
        <v>1300</v>
      </c>
      <c r="B1304" s="9" t="str">
        <f t="shared" si="140"/>
        <v/>
      </c>
      <c r="C1304" s="10"/>
      <c r="D1304" s="9" t="str">
        <f>IF(F1304="","",_xlfn.XLOOKUP(F1304,purchase!D:D,purchase!#REF!,""))</f>
        <v/>
      </c>
      <c r="E1304" s="9" t="str">
        <f>IF(F1304="","",_xlfn.XLOOKUP(F1304,purchase!D:D,purchase!B:B,""))</f>
        <v/>
      </c>
      <c r="F1304" s="2"/>
      <c r="G1304" s="4" t="str">
        <f t="shared" si="141"/>
        <v/>
      </c>
      <c r="H1304" s="4" t="str">
        <f>IF(F1304="","",_xlfn.XLOOKUP(F1304,purchase!D:D,purchase!#REF!,""))</f>
        <v/>
      </c>
      <c r="I1304" s="4" t="str">
        <f t="shared" si="142"/>
        <v/>
      </c>
      <c r="J1304" s="4" t="str">
        <f t="shared" si="143"/>
        <v/>
      </c>
      <c r="K1304" s="13" t="str">
        <f>_xlfn.SINGLE(IF(F1304="","",_xlfn.XLOOKUP(F1304,purchase!D:D,purchase!#REF!,"")))</f>
        <v/>
      </c>
      <c r="L1304" s="2"/>
      <c r="M1304" s="32"/>
      <c r="N1304" s="13" t="str">
        <f>IF(F1304="","",
MAX(0,
_xlfn.XLOOKUP(F1304,purchase!D:D,purchase!#REF!,"")
-
SUMIFS(L:L,F:F,F1304)))</f>
        <v/>
      </c>
      <c r="O1304" s="13" t="str">
        <f t="shared" si="144"/>
        <v/>
      </c>
      <c r="P1304" s="35" t="str">
        <f>_xlfn.SINGLE(IF(F1304="","",_xlfn.XLOOKUP(F1304,purchase!D:D,purchase!K:K,"")))</f>
        <v/>
      </c>
      <c r="Q1304" s="29" t="str">
        <f t="shared" si="145"/>
        <v/>
      </c>
      <c r="R1304" s="37" t="str">
        <f t="shared" si="146"/>
        <v/>
      </c>
    </row>
    <row r="1305" spans="1:18" x14ac:dyDescent="0.35">
      <c r="A1305" s="8">
        <v>1301</v>
      </c>
      <c r="B1305" s="9" t="str">
        <f t="shared" si="140"/>
        <v/>
      </c>
      <c r="C1305" s="10"/>
      <c r="D1305" s="9" t="str">
        <f>IF(F1305="","",_xlfn.XLOOKUP(F1305,purchase!D:D,purchase!#REF!,""))</f>
        <v/>
      </c>
      <c r="E1305" s="9" t="str">
        <f>IF(F1305="","",_xlfn.XLOOKUP(F1305,purchase!D:D,purchase!B:B,""))</f>
        <v/>
      </c>
      <c r="F1305" s="2"/>
      <c r="G1305" s="4" t="str">
        <f t="shared" si="141"/>
        <v/>
      </c>
      <c r="H1305" s="4" t="str">
        <f>IF(F1305="","",_xlfn.XLOOKUP(F1305,purchase!D:D,purchase!#REF!,""))</f>
        <v/>
      </c>
      <c r="I1305" s="4" t="str">
        <f t="shared" si="142"/>
        <v/>
      </c>
      <c r="J1305" s="4" t="str">
        <f t="shared" si="143"/>
        <v/>
      </c>
      <c r="K1305" s="13" t="str">
        <f>_xlfn.SINGLE(IF(F1305="","",_xlfn.XLOOKUP(F1305,purchase!D:D,purchase!#REF!,"")))</f>
        <v/>
      </c>
      <c r="L1305" s="2"/>
      <c r="M1305" s="32"/>
      <c r="N1305" s="13" t="str">
        <f>IF(F1305="","",
MAX(0,
_xlfn.XLOOKUP(F1305,purchase!D:D,purchase!#REF!,"")
-
SUMIFS(L:L,F:F,F1305)))</f>
        <v/>
      </c>
      <c r="O1305" s="13" t="str">
        <f t="shared" si="144"/>
        <v/>
      </c>
      <c r="P1305" s="35" t="str">
        <f>_xlfn.SINGLE(IF(F1305="","",_xlfn.XLOOKUP(F1305,purchase!D:D,purchase!K:K,"")))</f>
        <v/>
      </c>
      <c r="Q1305" s="29" t="str">
        <f t="shared" si="145"/>
        <v/>
      </c>
      <c r="R1305" s="37" t="str">
        <f t="shared" si="146"/>
        <v/>
      </c>
    </row>
    <row r="1306" spans="1:18" x14ac:dyDescent="0.35">
      <c r="A1306" s="8">
        <v>1302</v>
      </c>
      <c r="B1306" s="9" t="str">
        <f t="shared" si="140"/>
        <v/>
      </c>
      <c r="C1306" s="10"/>
      <c r="D1306" s="9" t="str">
        <f>IF(F1306="","",_xlfn.XLOOKUP(F1306,purchase!D:D,purchase!#REF!,""))</f>
        <v/>
      </c>
      <c r="E1306" s="9" t="str">
        <f>IF(F1306="","",_xlfn.XLOOKUP(F1306,purchase!D:D,purchase!B:B,""))</f>
        <v/>
      </c>
      <c r="F1306" s="2"/>
      <c r="G1306" s="4" t="str">
        <f t="shared" si="141"/>
        <v/>
      </c>
      <c r="H1306" s="4" t="str">
        <f>IF(F1306="","",_xlfn.XLOOKUP(F1306,purchase!D:D,purchase!#REF!,""))</f>
        <v/>
      </c>
      <c r="I1306" s="4" t="str">
        <f t="shared" si="142"/>
        <v/>
      </c>
      <c r="J1306" s="4" t="str">
        <f t="shared" si="143"/>
        <v/>
      </c>
      <c r="K1306" s="13" t="str">
        <f>_xlfn.SINGLE(IF(F1306="","",_xlfn.XLOOKUP(F1306,purchase!D:D,purchase!#REF!,"")))</f>
        <v/>
      </c>
      <c r="L1306" s="2"/>
      <c r="M1306" s="32"/>
      <c r="N1306" s="13" t="str">
        <f>IF(F1306="","",
MAX(0,
_xlfn.XLOOKUP(F1306,purchase!D:D,purchase!#REF!,"")
-
SUMIFS(L:L,F:F,F1306)))</f>
        <v/>
      </c>
      <c r="O1306" s="13" t="str">
        <f t="shared" si="144"/>
        <v/>
      </c>
      <c r="P1306" s="35" t="str">
        <f>_xlfn.SINGLE(IF(F1306="","",_xlfn.XLOOKUP(F1306,purchase!D:D,purchase!K:K,"")))</f>
        <v/>
      </c>
      <c r="Q1306" s="29" t="str">
        <f t="shared" si="145"/>
        <v/>
      </c>
      <c r="R1306" s="37" t="str">
        <f t="shared" si="146"/>
        <v/>
      </c>
    </row>
    <row r="1307" spans="1:18" x14ac:dyDescent="0.35">
      <c r="A1307" s="8">
        <v>1303</v>
      </c>
      <c r="B1307" s="9" t="str">
        <f t="shared" si="140"/>
        <v/>
      </c>
      <c r="C1307" s="10"/>
      <c r="D1307" s="9" t="str">
        <f>IF(F1307="","",_xlfn.XLOOKUP(F1307,purchase!D:D,purchase!#REF!,""))</f>
        <v/>
      </c>
      <c r="E1307" s="9" t="str">
        <f>IF(F1307="","",_xlfn.XLOOKUP(F1307,purchase!D:D,purchase!B:B,""))</f>
        <v/>
      </c>
      <c r="F1307" s="2"/>
      <c r="G1307" s="4" t="str">
        <f t="shared" si="141"/>
        <v/>
      </c>
      <c r="H1307" s="4" t="str">
        <f>IF(F1307="","",_xlfn.XLOOKUP(F1307,purchase!D:D,purchase!#REF!,""))</f>
        <v/>
      </c>
      <c r="I1307" s="4" t="str">
        <f t="shared" si="142"/>
        <v/>
      </c>
      <c r="J1307" s="4" t="str">
        <f t="shared" si="143"/>
        <v/>
      </c>
      <c r="K1307" s="13" t="str">
        <f>_xlfn.SINGLE(IF(F1307="","",_xlfn.XLOOKUP(F1307,purchase!D:D,purchase!#REF!,"")))</f>
        <v/>
      </c>
      <c r="L1307" s="2"/>
      <c r="M1307" s="32"/>
      <c r="N1307" s="13" t="str">
        <f>IF(F1307="","",
MAX(0,
_xlfn.XLOOKUP(F1307,purchase!D:D,purchase!#REF!,"")
-
SUMIFS(L:L,F:F,F1307)))</f>
        <v/>
      </c>
      <c r="O1307" s="13" t="str">
        <f t="shared" si="144"/>
        <v/>
      </c>
      <c r="P1307" s="35" t="str">
        <f>_xlfn.SINGLE(IF(F1307="","",_xlfn.XLOOKUP(F1307,purchase!D:D,purchase!K:K,"")))</f>
        <v/>
      </c>
      <c r="Q1307" s="29" t="str">
        <f t="shared" si="145"/>
        <v/>
      </c>
      <c r="R1307" s="37" t="str">
        <f t="shared" si="146"/>
        <v/>
      </c>
    </row>
    <row r="1308" spans="1:18" x14ac:dyDescent="0.35">
      <c r="A1308" s="8">
        <v>1304</v>
      </c>
      <c r="B1308" s="9" t="str">
        <f t="shared" si="140"/>
        <v/>
      </c>
      <c r="C1308" s="10"/>
      <c r="D1308" s="9" t="str">
        <f>IF(F1308="","",_xlfn.XLOOKUP(F1308,purchase!D:D,purchase!#REF!,""))</f>
        <v/>
      </c>
      <c r="E1308" s="9" t="str">
        <f>IF(F1308="","",_xlfn.XLOOKUP(F1308,purchase!D:D,purchase!B:B,""))</f>
        <v/>
      </c>
      <c r="F1308" s="2"/>
      <c r="G1308" s="4" t="str">
        <f t="shared" si="141"/>
        <v/>
      </c>
      <c r="H1308" s="4" t="str">
        <f>IF(F1308="","",_xlfn.XLOOKUP(F1308,purchase!D:D,purchase!#REF!,""))</f>
        <v/>
      </c>
      <c r="I1308" s="4" t="str">
        <f t="shared" si="142"/>
        <v/>
      </c>
      <c r="J1308" s="4" t="str">
        <f t="shared" si="143"/>
        <v/>
      </c>
      <c r="K1308" s="13" t="str">
        <f>_xlfn.SINGLE(IF(F1308="","",_xlfn.XLOOKUP(F1308,purchase!D:D,purchase!#REF!,"")))</f>
        <v/>
      </c>
      <c r="L1308" s="2"/>
      <c r="M1308" s="32"/>
      <c r="N1308" s="13" t="str">
        <f>IF(F1308="","",
MAX(0,
_xlfn.XLOOKUP(F1308,purchase!D:D,purchase!#REF!,"")
-
SUMIFS(L:L,F:F,F1308)))</f>
        <v/>
      </c>
      <c r="O1308" s="13" t="str">
        <f t="shared" si="144"/>
        <v/>
      </c>
      <c r="P1308" s="35" t="str">
        <f>_xlfn.SINGLE(IF(F1308="","",_xlfn.XLOOKUP(F1308,purchase!D:D,purchase!K:K,"")))</f>
        <v/>
      </c>
      <c r="Q1308" s="29" t="str">
        <f t="shared" si="145"/>
        <v/>
      </c>
      <c r="R1308" s="37" t="str">
        <f t="shared" si="146"/>
        <v/>
      </c>
    </row>
    <row r="1309" spans="1:18" x14ac:dyDescent="0.35">
      <c r="A1309" s="8">
        <v>1305</v>
      </c>
      <c r="B1309" s="9" t="str">
        <f t="shared" si="140"/>
        <v/>
      </c>
      <c r="C1309" s="10"/>
      <c r="D1309" s="9" t="str">
        <f>IF(F1309="","",_xlfn.XLOOKUP(F1309,purchase!D:D,purchase!#REF!,""))</f>
        <v/>
      </c>
      <c r="E1309" s="9" t="str">
        <f>IF(F1309="","",_xlfn.XLOOKUP(F1309,purchase!D:D,purchase!B:B,""))</f>
        <v/>
      </c>
      <c r="F1309" s="2"/>
      <c r="G1309" s="4" t="str">
        <f t="shared" si="141"/>
        <v/>
      </c>
      <c r="H1309" s="4" t="str">
        <f>IF(F1309="","",_xlfn.XLOOKUP(F1309,purchase!D:D,purchase!#REF!,""))</f>
        <v/>
      </c>
      <c r="I1309" s="4" t="str">
        <f t="shared" si="142"/>
        <v/>
      </c>
      <c r="J1309" s="4" t="str">
        <f t="shared" si="143"/>
        <v/>
      </c>
      <c r="K1309" s="13" t="str">
        <f>_xlfn.SINGLE(IF(F1309="","",_xlfn.XLOOKUP(F1309,purchase!D:D,purchase!#REF!,"")))</f>
        <v/>
      </c>
      <c r="L1309" s="2"/>
      <c r="M1309" s="32"/>
      <c r="N1309" s="13" t="str">
        <f>IF(F1309="","",
MAX(0,
_xlfn.XLOOKUP(F1309,purchase!D:D,purchase!#REF!,"")
-
SUMIFS(L:L,F:F,F1309)))</f>
        <v/>
      </c>
      <c r="O1309" s="13" t="str">
        <f t="shared" si="144"/>
        <v/>
      </c>
      <c r="P1309" s="35" t="str">
        <f>_xlfn.SINGLE(IF(F1309="","",_xlfn.XLOOKUP(F1309,purchase!D:D,purchase!K:K,"")))</f>
        <v/>
      </c>
      <c r="Q1309" s="29" t="str">
        <f t="shared" si="145"/>
        <v/>
      </c>
      <c r="R1309" s="37" t="str">
        <f t="shared" si="146"/>
        <v/>
      </c>
    </row>
    <row r="1310" spans="1:18" x14ac:dyDescent="0.35">
      <c r="A1310" s="8">
        <v>1306</v>
      </c>
      <c r="B1310" s="9" t="str">
        <f t="shared" si="140"/>
        <v/>
      </c>
      <c r="C1310" s="10"/>
      <c r="D1310" s="9" t="str">
        <f>IF(F1310="","",_xlfn.XLOOKUP(F1310,purchase!D:D,purchase!#REF!,""))</f>
        <v/>
      </c>
      <c r="E1310" s="9" t="str">
        <f>IF(F1310="","",_xlfn.XLOOKUP(F1310,purchase!D:D,purchase!B:B,""))</f>
        <v/>
      </c>
      <c r="F1310" s="2"/>
      <c r="G1310" s="4" t="str">
        <f t="shared" si="141"/>
        <v/>
      </c>
      <c r="H1310" s="4" t="str">
        <f>IF(F1310="","",_xlfn.XLOOKUP(F1310,purchase!D:D,purchase!#REF!,""))</f>
        <v/>
      </c>
      <c r="I1310" s="4" t="str">
        <f t="shared" si="142"/>
        <v/>
      </c>
      <c r="J1310" s="4" t="str">
        <f t="shared" si="143"/>
        <v/>
      </c>
      <c r="K1310" s="13" t="str">
        <f>_xlfn.SINGLE(IF(F1310="","",_xlfn.XLOOKUP(F1310,purchase!D:D,purchase!#REF!,"")))</f>
        <v/>
      </c>
      <c r="L1310" s="2"/>
      <c r="M1310" s="32"/>
      <c r="N1310" s="13" t="str">
        <f>IF(F1310="","",
MAX(0,
_xlfn.XLOOKUP(F1310,purchase!D:D,purchase!#REF!,"")
-
SUMIFS(L:L,F:F,F1310)))</f>
        <v/>
      </c>
      <c r="O1310" s="13" t="str">
        <f t="shared" si="144"/>
        <v/>
      </c>
      <c r="P1310" s="35" t="str">
        <f>_xlfn.SINGLE(IF(F1310="","",_xlfn.XLOOKUP(F1310,purchase!D:D,purchase!K:K,"")))</f>
        <v/>
      </c>
      <c r="Q1310" s="29" t="str">
        <f t="shared" si="145"/>
        <v/>
      </c>
      <c r="R1310" s="37" t="str">
        <f t="shared" si="146"/>
        <v/>
      </c>
    </row>
    <row r="1311" spans="1:18" x14ac:dyDescent="0.35">
      <c r="A1311" s="8">
        <v>1307</v>
      </c>
      <c r="B1311" s="9" t="str">
        <f t="shared" si="140"/>
        <v/>
      </c>
      <c r="C1311" s="10"/>
      <c r="D1311" s="9" t="str">
        <f>IF(F1311="","",_xlfn.XLOOKUP(F1311,purchase!D:D,purchase!#REF!,""))</f>
        <v/>
      </c>
      <c r="E1311" s="9" t="str">
        <f>IF(F1311="","",_xlfn.XLOOKUP(F1311,purchase!D:D,purchase!B:B,""))</f>
        <v/>
      </c>
      <c r="F1311" s="2"/>
      <c r="G1311" s="4" t="str">
        <f t="shared" si="141"/>
        <v/>
      </c>
      <c r="H1311" s="4" t="str">
        <f>IF(F1311="","",_xlfn.XLOOKUP(F1311,purchase!D:D,purchase!#REF!,""))</f>
        <v/>
      </c>
      <c r="I1311" s="4" t="str">
        <f t="shared" si="142"/>
        <v/>
      </c>
      <c r="J1311" s="4" t="str">
        <f t="shared" si="143"/>
        <v/>
      </c>
      <c r="K1311" s="13" t="str">
        <f>_xlfn.SINGLE(IF(F1311="","",_xlfn.XLOOKUP(F1311,purchase!D:D,purchase!#REF!,"")))</f>
        <v/>
      </c>
      <c r="L1311" s="2"/>
      <c r="M1311" s="32"/>
      <c r="N1311" s="13" t="str">
        <f>IF(F1311="","",
MAX(0,
_xlfn.XLOOKUP(F1311,purchase!D:D,purchase!#REF!,"")
-
SUMIFS(L:L,F:F,F1311)))</f>
        <v/>
      </c>
      <c r="O1311" s="13" t="str">
        <f t="shared" si="144"/>
        <v/>
      </c>
      <c r="P1311" s="35" t="str">
        <f>_xlfn.SINGLE(IF(F1311="","",_xlfn.XLOOKUP(F1311,purchase!D:D,purchase!K:K,"")))</f>
        <v/>
      </c>
      <c r="Q1311" s="29" t="str">
        <f t="shared" si="145"/>
        <v/>
      </c>
      <c r="R1311" s="37" t="str">
        <f t="shared" si="146"/>
        <v/>
      </c>
    </row>
    <row r="1312" spans="1:18" x14ac:dyDescent="0.35">
      <c r="A1312" s="8">
        <v>1308</v>
      </c>
      <c r="B1312" s="9" t="str">
        <f t="shared" si="140"/>
        <v/>
      </c>
      <c r="C1312" s="10"/>
      <c r="D1312" s="9" t="str">
        <f>IF(F1312="","",_xlfn.XLOOKUP(F1312,purchase!D:D,purchase!#REF!,""))</f>
        <v/>
      </c>
      <c r="E1312" s="9" t="str">
        <f>IF(F1312="","",_xlfn.XLOOKUP(F1312,purchase!D:D,purchase!B:B,""))</f>
        <v/>
      </c>
      <c r="F1312" s="2"/>
      <c r="G1312" s="4" t="str">
        <f t="shared" si="141"/>
        <v/>
      </c>
      <c r="H1312" s="4" t="str">
        <f>IF(F1312="","",_xlfn.XLOOKUP(F1312,purchase!D:D,purchase!#REF!,""))</f>
        <v/>
      </c>
      <c r="I1312" s="4" t="str">
        <f t="shared" si="142"/>
        <v/>
      </c>
      <c r="J1312" s="4" t="str">
        <f t="shared" si="143"/>
        <v/>
      </c>
      <c r="K1312" s="13" t="str">
        <f>_xlfn.SINGLE(IF(F1312="","",_xlfn.XLOOKUP(F1312,purchase!D:D,purchase!#REF!,"")))</f>
        <v/>
      </c>
      <c r="L1312" s="2"/>
      <c r="M1312" s="32"/>
      <c r="N1312" s="13" t="str">
        <f>IF(F1312="","",
MAX(0,
_xlfn.XLOOKUP(F1312,purchase!D:D,purchase!#REF!,"")
-
SUMIFS(L:L,F:F,F1312)))</f>
        <v/>
      </c>
      <c r="O1312" s="13" t="str">
        <f t="shared" si="144"/>
        <v/>
      </c>
      <c r="P1312" s="35" t="str">
        <f>_xlfn.SINGLE(IF(F1312="","",_xlfn.XLOOKUP(F1312,purchase!D:D,purchase!K:K,"")))</f>
        <v/>
      </c>
      <c r="Q1312" s="29" t="str">
        <f t="shared" si="145"/>
        <v/>
      </c>
      <c r="R1312" s="37" t="str">
        <f t="shared" si="146"/>
        <v/>
      </c>
    </row>
    <row r="1313" spans="1:18" x14ac:dyDescent="0.35">
      <c r="A1313" s="8">
        <v>1309</v>
      </c>
      <c r="B1313" s="9" t="str">
        <f t="shared" si="140"/>
        <v/>
      </c>
      <c r="C1313" s="10"/>
      <c r="D1313" s="9" t="str">
        <f>IF(F1313="","",_xlfn.XLOOKUP(F1313,purchase!D:D,purchase!#REF!,""))</f>
        <v/>
      </c>
      <c r="E1313" s="9" t="str">
        <f>IF(F1313="","",_xlfn.XLOOKUP(F1313,purchase!D:D,purchase!B:B,""))</f>
        <v/>
      </c>
      <c r="F1313" s="2"/>
      <c r="G1313" s="4" t="str">
        <f t="shared" si="141"/>
        <v/>
      </c>
      <c r="H1313" s="4" t="str">
        <f>IF(F1313="","",_xlfn.XLOOKUP(F1313,purchase!D:D,purchase!#REF!,""))</f>
        <v/>
      </c>
      <c r="I1313" s="4" t="str">
        <f t="shared" si="142"/>
        <v/>
      </c>
      <c r="J1313" s="4" t="str">
        <f t="shared" si="143"/>
        <v/>
      </c>
      <c r="K1313" s="13" t="str">
        <f>_xlfn.SINGLE(IF(F1313="","",_xlfn.XLOOKUP(F1313,purchase!D:D,purchase!#REF!,"")))</f>
        <v/>
      </c>
      <c r="L1313" s="2"/>
      <c r="M1313" s="32"/>
      <c r="N1313" s="13" t="str">
        <f>IF(F1313="","",
MAX(0,
_xlfn.XLOOKUP(F1313,purchase!D:D,purchase!#REF!,"")
-
SUMIFS(L:L,F:F,F1313)))</f>
        <v/>
      </c>
      <c r="O1313" s="13" t="str">
        <f t="shared" si="144"/>
        <v/>
      </c>
      <c r="P1313" s="35" t="str">
        <f>_xlfn.SINGLE(IF(F1313="","",_xlfn.XLOOKUP(F1313,purchase!D:D,purchase!K:K,"")))</f>
        <v/>
      </c>
      <c r="Q1313" s="29" t="str">
        <f t="shared" si="145"/>
        <v/>
      </c>
      <c r="R1313" s="37" t="str">
        <f t="shared" si="146"/>
        <v/>
      </c>
    </row>
    <row r="1314" spans="1:18" x14ac:dyDescent="0.35">
      <c r="A1314" s="8">
        <v>1310</v>
      </c>
      <c r="B1314" s="9" t="str">
        <f t="shared" si="140"/>
        <v/>
      </c>
      <c r="C1314" s="10"/>
      <c r="D1314" s="9" t="str">
        <f>IF(F1314="","",_xlfn.XLOOKUP(F1314,purchase!D:D,purchase!#REF!,""))</f>
        <v/>
      </c>
      <c r="E1314" s="9" t="str">
        <f>IF(F1314="","",_xlfn.XLOOKUP(F1314,purchase!D:D,purchase!B:B,""))</f>
        <v/>
      </c>
      <c r="F1314" s="2"/>
      <c r="G1314" s="4" t="str">
        <f t="shared" si="141"/>
        <v/>
      </c>
      <c r="H1314" s="4" t="str">
        <f>IF(F1314="","",_xlfn.XLOOKUP(F1314,purchase!D:D,purchase!#REF!,""))</f>
        <v/>
      </c>
      <c r="I1314" s="4" t="str">
        <f t="shared" si="142"/>
        <v/>
      </c>
      <c r="J1314" s="4" t="str">
        <f t="shared" si="143"/>
        <v/>
      </c>
      <c r="K1314" s="13" t="str">
        <f>_xlfn.SINGLE(IF(F1314="","",_xlfn.XLOOKUP(F1314,purchase!D:D,purchase!#REF!,"")))</f>
        <v/>
      </c>
      <c r="L1314" s="2"/>
      <c r="M1314" s="32"/>
      <c r="N1314" s="13" t="str">
        <f>IF(F1314="","",
MAX(0,
_xlfn.XLOOKUP(F1314,purchase!D:D,purchase!#REF!,"")
-
SUMIFS(L:L,F:F,F1314)))</f>
        <v/>
      </c>
      <c r="O1314" s="13" t="str">
        <f t="shared" si="144"/>
        <v/>
      </c>
      <c r="P1314" s="35" t="str">
        <f>_xlfn.SINGLE(IF(F1314="","",_xlfn.XLOOKUP(F1314,purchase!D:D,purchase!K:K,"")))</f>
        <v/>
      </c>
      <c r="Q1314" s="29" t="str">
        <f t="shared" si="145"/>
        <v/>
      </c>
      <c r="R1314" s="37" t="str">
        <f t="shared" si="146"/>
        <v/>
      </c>
    </row>
    <row r="1315" spans="1:18" x14ac:dyDescent="0.35">
      <c r="A1315" s="8">
        <v>1311</v>
      </c>
      <c r="B1315" s="9" t="str">
        <f t="shared" si="140"/>
        <v/>
      </c>
      <c r="C1315" s="10"/>
      <c r="D1315" s="9" t="str">
        <f>IF(F1315="","",_xlfn.XLOOKUP(F1315,purchase!D:D,purchase!#REF!,""))</f>
        <v/>
      </c>
      <c r="E1315" s="9" t="str">
        <f>IF(F1315="","",_xlfn.XLOOKUP(F1315,purchase!D:D,purchase!B:B,""))</f>
        <v/>
      </c>
      <c r="F1315" s="2"/>
      <c r="G1315" s="4" t="str">
        <f t="shared" si="141"/>
        <v/>
      </c>
      <c r="H1315" s="4" t="str">
        <f>IF(F1315="","",_xlfn.XLOOKUP(F1315,purchase!D:D,purchase!#REF!,""))</f>
        <v/>
      </c>
      <c r="I1315" s="4" t="str">
        <f t="shared" si="142"/>
        <v/>
      </c>
      <c r="J1315" s="4" t="str">
        <f t="shared" si="143"/>
        <v/>
      </c>
      <c r="K1315" s="13" t="str">
        <f>_xlfn.SINGLE(IF(F1315="","",_xlfn.XLOOKUP(F1315,purchase!D:D,purchase!#REF!,"")))</f>
        <v/>
      </c>
      <c r="L1315" s="2"/>
      <c r="M1315" s="32"/>
      <c r="N1315" s="13" t="str">
        <f>IF(F1315="","",
MAX(0,
_xlfn.XLOOKUP(F1315,purchase!D:D,purchase!#REF!,"")
-
SUMIFS(L:L,F:F,F1315)))</f>
        <v/>
      </c>
      <c r="O1315" s="13" t="str">
        <f t="shared" si="144"/>
        <v/>
      </c>
      <c r="P1315" s="35" t="str">
        <f>_xlfn.SINGLE(IF(F1315="","",_xlfn.XLOOKUP(F1315,purchase!D:D,purchase!K:K,"")))</f>
        <v/>
      </c>
      <c r="Q1315" s="29" t="str">
        <f t="shared" si="145"/>
        <v/>
      </c>
      <c r="R1315" s="37" t="str">
        <f t="shared" si="146"/>
        <v/>
      </c>
    </row>
    <row r="1316" spans="1:18" x14ac:dyDescent="0.35">
      <c r="A1316" s="8">
        <v>1312</v>
      </c>
      <c r="B1316" s="9" t="str">
        <f t="shared" si="140"/>
        <v/>
      </c>
      <c r="C1316" s="10"/>
      <c r="D1316" s="9" t="str">
        <f>IF(F1316="","",_xlfn.XLOOKUP(F1316,purchase!D:D,purchase!#REF!,""))</f>
        <v/>
      </c>
      <c r="E1316" s="9" t="str">
        <f>IF(F1316="","",_xlfn.XLOOKUP(F1316,purchase!D:D,purchase!B:B,""))</f>
        <v/>
      </c>
      <c r="F1316" s="2"/>
      <c r="G1316" s="4" t="str">
        <f t="shared" si="141"/>
        <v/>
      </c>
      <c r="H1316" s="4" t="str">
        <f>IF(F1316="","",_xlfn.XLOOKUP(F1316,purchase!D:D,purchase!#REF!,""))</f>
        <v/>
      </c>
      <c r="I1316" s="4" t="str">
        <f t="shared" si="142"/>
        <v/>
      </c>
      <c r="J1316" s="4" t="str">
        <f t="shared" si="143"/>
        <v/>
      </c>
      <c r="K1316" s="13" t="str">
        <f>_xlfn.SINGLE(IF(F1316="","",_xlfn.XLOOKUP(F1316,purchase!D:D,purchase!#REF!,"")))</f>
        <v/>
      </c>
      <c r="L1316" s="2"/>
      <c r="M1316" s="32"/>
      <c r="N1316" s="13" t="str">
        <f>IF(F1316="","",
MAX(0,
_xlfn.XLOOKUP(F1316,purchase!D:D,purchase!#REF!,"")
-
SUMIFS(L:L,F:F,F1316)))</f>
        <v/>
      </c>
      <c r="O1316" s="13" t="str">
        <f t="shared" si="144"/>
        <v/>
      </c>
      <c r="P1316" s="35" t="str">
        <f>_xlfn.SINGLE(IF(F1316="","",_xlfn.XLOOKUP(F1316,purchase!D:D,purchase!K:K,"")))</f>
        <v/>
      </c>
      <c r="Q1316" s="29" t="str">
        <f t="shared" si="145"/>
        <v/>
      </c>
      <c r="R1316" s="37" t="str">
        <f t="shared" si="146"/>
        <v/>
      </c>
    </row>
    <row r="1317" spans="1:18" x14ac:dyDescent="0.35">
      <c r="A1317" s="8">
        <v>1313</v>
      </c>
      <c r="B1317" s="9" t="str">
        <f t="shared" si="140"/>
        <v/>
      </c>
      <c r="C1317" s="10"/>
      <c r="D1317" s="9" t="str">
        <f>IF(F1317="","",_xlfn.XLOOKUP(F1317,purchase!D:D,purchase!#REF!,""))</f>
        <v/>
      </c>
      <c r="E1317" s="9" t="str">
        <f>IF(F1317="","",_xlfn.XLOOKUP(F1317,purchase!D:D,purchase!B:B,""))</f>
        <v/>
      </c>
      <c r="F1317" s="2"/>
      <c r="G1317" s="4" t="str">
        <f t="shared" si="141"/>
        <v/>
      </c>
      <c r="H1317" s="4" t="str">
        <f>IF(F1317="","",_xlfn.XLOOKUP(F1317,purchase!D:D,purchase!#REF!,""))</f>
        <v/>
      </c>
      <c r="I1317" s="4" t="str">
        <f t="shared" si="142"/>
        <v/>
      </c>
      <c r="J1317" s="4" t="str">
        <f t="shared" si="143"/>
        <v/>
      </c>
      <c r="K1317" s="13" t="str">
        <f>_xlfn.SINGLE(IF(F1317="","",_xlfn.XLOOKUP(F1317,purchase!D:D,purchase!#REF!,"")))</f>
        <v/>
      </c>
      <c r="L1317" s="2"/>
      <c r="M1317" s="32"/>
      <c r="N1317" s="13" t="str">
        <f>IF(F1317="","",
MAX(0,
_xlfn.XLOOKUP(F1317,purchase!D:D,purchase!#REF!,"")
-
SUMIFS(L:L,F:F,F1317)))</f>
        <v/>
      </c>
      <c r="O1317" s="13" t="str">
        <f t="shared" si="144"/>
        <v/>
      </c>
      <c r="P1317" s="35" t="str">
        <f>_xlfn.SINGLE(IF(F1317="","",_xlfn.XLOOKUP(F1317,purchase!D:D,purchase!K:K,"")))</f>
        <v/>
      </c>
      <c r="Q1317" s="29" t="str">
        <f t="shared" si="145"/>
        <v/>
      </c>
      <c r="R1317" s="37" t="str">
        <f t="shared" si="146"/>
        <v/>
      </c>
    </row>
    <row r="1318" spans="1:18" x14ac:dyDescent="0.35">
      <c r="A1318" s="8">
        <v>1314</v>
      </c>
      <c r="B1318" s="9" t="str">
        <f t="shared" si="140"/>
        <v/>
      </c>
      <c r="C1318" s="10"/>
      <c r="D1318" s="9" t="str">
        <f>IF(F1318="","",_xlfn.XLOOKUP(F1318,purchase!D:D,purchase!#REF!,""))</f>
        <v/>
      </c>
      <c r="E1318" s="9" t="str">
        <f>IF(F1318="","",_xlfn.XLOOKUP(F1318,purchase!D:D,purchase!B:B,""))</f>
        <v/>
      </c>
      <c r="F1318" s="2"/>
      <c r="G1318" s="4" t="str">
        <f t="shared" si="141"/>
        <v/>
      </c>
      <c r="H1318" s="4" t="str">
        <f>IF(F1318="","",_xlfn.XLOOKUP(F1318,purchase!D:D,purchase!#REF!,""))</f>
        <v/>
      </c>
      <c r="I1318" s="4" t="str">
        <f t="shared" si="142"/>
        <v/>
      </c>
      <c r="J1318" s="4" t="str">
        <f t="shared" si="143"/>
        <v/>
      </c>
      <c r="K1318" s="13" t="str">
        <f>_xlfn.SINGLE(IF(F1318="","",_xlfn.XLOOKUP(F1318,purchase!D:D,purchase!#REF!,"")))</f>
        <v/>
      </c>
      <c r="L1318" s="2"/>
      <c r="M1318" s="32"/>
      <c r="N1318" s="13" t="str">
        <f>IF(F1318="","",
MAX(0,
_xlfn.XLOOKUP(F1318,purchase!D:D,purchase!#REF!,"")
-
SUMIFS(L:L,F:F,F1318)))</f>
        <v/>
      </c>
      <c r="O1318" s="13" t="str">
        <f t="shared" si="144"/>
        <v/>
      </c>
      <c r="P1318" s="35" t="str">
        <f>_xlfn.SINGLE(IF(F1318="","",_xlfn.XLOOKUP(F1318,purchase!D:D,purchase!K:K,"")))</f>
        <v/>
      </c>
      <c r="Q1318" s="29" t="str">
        <f t="shared" si="145"/>
        <v/>
      </c>
      <c r="R1318" s="37" t="str">
        <f t="shared" si="146"/>
        <v/>
      </c>
    </row>
    <row r="1319" spans="1:18" x14ac:dyDescent="0.35">
      <c r="A1319" s="8">
        <v>1315</v>
      </c>
      <c r="B1319" s="9" t="str">
        <f t="shared" si="140"/>
        <v/>
      </c>
      <c r="C1319" s="10"/>
      <c r="D1319" s="9" t="str">
        <f>IF(F1319="","",_xlfn.XLOOKUP(F1319,purchase!D:D,purchase!#REF!,""))</f>
        <v/>
      </c>
      <c r="E1319" s="9" t="str">
        <f>IF(F1319="","",_xlfn.XLOOKUP(F1319,purchase!D:D,purchase!B:B,""))</f>
        <v/>
      </c>
      <c r="F1319" s="2"/>
      <c r="G1319" s="4" t="str">
        <f t="shared" si="141"/>
        <v/>
      </c>
      <c r="H1319" s="4" t="str">
        <f>IF(F1319="","",_xlfn.XLOOKUP(F1319,purchase!D:D,purchase!#REF!,""))</f>
        <v/>
      </c>
      <c r="I1319" s="4" t="str">
        <f t="shared" si="142"/>
        <v/>
      </c>
      <c r="J1319" s="4" t="str">
        <f t="shared" si="143"/>
        <v/>
      </c>
      <c r="K1319" s="13" t="str">
        <f>_xlfn.SINGLE(IF(F1319="","",_xlfn.XLOOKUP(F1319,purchase!D:D,purchase!#REF!,"")))</f>
        <v/>
      </c>
      <c r="L1319" s="2"/>
      <c r="M1319" s="32"/>
      <c r="N1319" s="13" t="str">
        <f>IF(F1319="","",
MAX(0,
_xlfn.XLOOKUP(F1319,purchase!D:D,purchase!#REF!,"")
-
SUMIFS(L:L,F:F,F1319)))</f>
        <v/>
      </c>
      <c r="O1319" s="13" t="str">
        <f t="shared" si="144"/>
        <v/>
      </c>
      <c r="P1319" s="35" t="str">
        <f>_xlfn.SINGLE(IF(F1319="","",_xlfn.XLOOKUP(F1319,purchase!D:D,purchase!K:K,"")))</f>
        <v/>
      </c>
      <c r="Q1319" s="29" t="str">
        <f t="shared" si="145"/>
        <v/>
      </c>
      <c r="R1319" s="37" t="str">
        <f t="shared" si="146"/>
        <v/>
      </c>
    </row>
    <row r="1320" spans="1:18" x14ac:dyDescent="0.35">
      <c r="A1320" s="8">
        <v>1316</v>
      </c>
      <c r="B1320" s="9" t="str">
        <f t="shared" si="140"/>
        <v/>
      </c>
      <c r="C1320" s="10"/>
      <c r="D1320" s="9" t="str">
        <f>IF(F1320="","",_xlfn.XLOOKUP(F1320,purchase!D:D,purchase!#REF!,""))</f>
        <v/>
      </c>
      <c r="E1320" s="9" t="str">
        <f>IF(F1320="","",_xlfn.XLOOKUP(F1320,purchase!D:D,purchase!B:B,""))</f>
        <v/>
      </c>
      <c r="F1320" s="2"/>
      <c r="G1320" s="4" t="str">
        <f t="shared" si="141"/>
        <v/>
      </c>
      <c r="H1320" s="4" t="str">
        <f>IF(F1320="","",_xlfn.XLOOKUP(F1320,purchase!D:D,purchase!#REF!,""))</f>
        <v/>
      </c>
      <c r="I1320" s="4" t="str">
        <f t="shared" si="142"/>
        <v/>
      </c>
      <c r="J1320" s="4" t="str">
        <f t="shared" si="143"/>
        <v/>
      </c>
      <c r="K1320" s="13" t="str">
        <f>_xlfn.SINGLE(IF(F1320="","",_xlfn.XLOOKUP(F1320,purchase!D:D,purchase!#REF!,"")))</f>
        <v/>
      </c>
      <c r="L1320" s="2"/>
      <c r="M1320" s="32"/>
      <c r="N1320" s="13" t="str">
        <f>IF(F1320="","",
MAX(0,
_xlfn.XLOOKUP(F1320,purchase!D:D,purchase!#REF!,"")
-
SUMIFS(L:L,F:F,F1320)))</f>
        <v/>
      </c>
      <c r="O1320" s="13" t="str">
        <f t="shared" si="144"/>
        <v/>
      </c>
      <c r="P1320" s="35" t="str">
        <f>_xlfn.SINGLE(IF(F1320="","",_xlfn.XLOOKUP(F1320,purchase!D:D,purchase!K:K,"")))</f>
        <v/>
      </c>
      <c r="Q1320" s="29" t="str">
        <f t="shared" si="145"/>
        <v/>
      </c>
      <c r="R1320" s="37" t="str">
        <f t="shared" si="146"/>
        <v/>
      </c>
    </row>
    <row r="1321" spans="1:18" x14ac:dyDescent="0.35">
      <c r="A1321" s="8">
        <v>1317</v>
      </c>
      <c r="B1321" s="9" t="str">
        <f t="shared" si="140"/>
        <v/>
      </c>
      <c r="C1321" s="10"/>
      <c r="D1321" s="9" t="str">
        <f>IF(F1321="","",_xlfn.XLOOKUP(F1321,purchase!D:D,purchase!#REF!,""))</f>
        <v/>
      </c>
      <c r="E1321" s="9" t="str">
        <f>IF(F1321="","",_xlfn.XLOOKUP(F1321,purchase!D:D,purchase!B:B,""))</f>
        <v/>
      </c>
      <c r="F1321" s="2"/>
      <c r="G1321" s="4" t="str">
        <f t="shared" si="141"/>
        <v/>
      </c>
      <c r="H1321" s="4" t="str">
        <f>IF(F1321="","",_xlfn.XLOOKUP(F1321,purchase!D:D,purchase!#REF!,""))</f>
        <v/>
      </c>
      <c r="I1321" s="4" t="str">
        <f t="shared" si="142"/>
        <v/>
      </c>
      <c r="J1321" s="4" t="str">
        <f t="shared" si="143"/>
        <v/>
      </c>
      <c r="K1321" s="13" t="str">
        <f>_xlfn.SINGLE(IF(F1321="","",_xlfn.XLOOKUP(F1321,purchase!D:D,purchase!#REF!,"")))</f>
        <v/>
      </c>
      <c r="L1321" s="2"/>
      <c r="M1321" s="32"/>
      <c r="N1321" s="13" t="str">
        <f>IF(F1321="","",
MAX(0,
_xlfn.XLOOKUP(F1321,purchase!D:D,purchase!#REF!,"")
-
SUMIFS(L:L,F:F,F1321)))</f>
        <v/>
      </c>
      <c r="O1321" s="13" t="str">
        <f t="shared" si="144"/>
        <v/>
      </c>
      <c r="P1321" s="35" t="str">
        <f>_xlfn.SINGLE(IF(F1321="","",_xlfn.XLOOKUP(F1321,purchase!D:D,purchase!K:K,"")))</f>
        <v/>
      </c>
      <c r="Q1321" s="29" t="str">
        <f t="shared" si="145"/>
        <v/>
      </c>
      <c r="R1321" s="37" t="str">
        <f t="shared" si="146"/>
        <v/>
      </c>
    </row>
    <row r="1322" spans="1:18" x14ac:dyDescent="0.35">
      <c r="A1322" s="8">
        <v>1318</v>
      </c>
      <c r="B1322" s="9" t="str">
        <f t="shared" si="140"/>
        <v/>
      </c>
      <c r="C1322" s="10"/>
      <c r="D1322" s="9" t="str">
        <f>IF(F1322="","",_xlfn.XLOOKUP(F1322,purchase!D:D,purchase!#REF!,""))</f>
        <v/>
      </c>
      <c r="E1322" s="9" t="str">
        <f>IF(F1322="","",_xlfn.XLOOKUP(F1322,purchase!D:D,purchase!B:B,""))</f>
        <v/>
      </c>
      <c r="F1322" s="2"/>
      <c r="G1322" s="4" t="str">
        <f t="shared" si="141"/>
        <v/>
      </c>
      <c r="H1322" s="4" t="str">
        <f>IF(F1322="","",_xlfn.XLOOKUP(F1322,purchase!D:D,purchase!#REF!,""))</f>
        <v/>
      </c>
      <c r="I1322" s="4" t="str">
        <f t="shared" si="142"/>
        <v/>
      </c>
      <c r="J1322" s="4" t="str">
        <f t="shared" si="143"/>
        <v/>
      </c>
      <c r="K1322" s="13" t="str">
        <f>_xlfn.SINGLE(IF(F1322="","",_xlfn.XLOOKUP(F1322,purchase!D:D,purchase!#REF!,"")))</f>
        <v/>
      </c>
      <c r="L1322" s="2"/>
      <c r="M1322" s="32"/>
      <c r="N1322" s="13" t="str">
        <f>IF(F1322="","",
MAX(0,
_xlfn.XLOOKUP(F1322,purchase!D:D,purchase!#REF!,"")
-
SUMIFS(L:L,F:F,F1322)))</f>
        <v/>
      </c>
      <c r="O1322" s="13" t="str">
        <f t="shared" si="144"/>
        <v/>
      </c>
      <c r="P1322" s="35" t="str">
        <f>_xlfn.SINGLE(IF(F1322="","",_xlfn.XLOOKUP(F1322,purchase!D:D,purchase!K:K,"")))</f>
        <v/>
      </c>
      <c r="Q1322" s="29" t="str">
        <f t="shared" si="145"/>
        <v/>
      </c>
      <c r="R1322" s="37" t="str">
        <f t="shared" si="146"/>
        <v/>
      </c>
    </row>
    <row r="1323" spans="1:18" x14ac:dyDescent="0.35">
      <c r="A1323" s="8">
        <v>1319</v>
      </c>
      <c r="B1323" s="9" t="str">
        <f t="shared" si="140"/>
        <v/>
      </c>
      <c r="C1323" s="10"/>
      <c r="D1323" s="9" t="str">
        <f>IF(F1323="","",_xlfn.XLOOKUP(F1323,purchase!D:D,purchase!#REF!,""))</f>
        <v/>
      </c>
      <c r="E1323" s="9" t="str">
        <f>IF(F1323="","",_xlfn.XLOOKUP(F1323,purchase!D:D,purchase!B:B,""))</f>
        <v/>
      </c>
      <c r="F1323" s="2"/>
      <c r="G1323" s="4" t="str">
        <f t="shared" si="141"/>
        <v/>
      </c>
      <c r="H1323" s="4" t="str">
        <f>IF(F1323="","",_xlfn.XLOOKUP(F1323,purchase!D:D,purchase!#REF!,""))</f>
        <v/>
      </c>
      <c r="I1323" s="4" t="str">
        <f t="shared" si="142"/>
        <v/>
      </c>
      <c r="J1323" s="4" t="str">
        <f t="shared" si="143"/>
        <v/>
      </c>
      <c r="K1323" s="13" t="str">
        <f>_xlfn.SINGLE(IF(F1323="","",_xlfn.XLOOKUP(F1323,purchase!D:D,purchase!#REF!,"")))</f>
        <v/>
      </c>
      <c r="L1323" s="2"/>
      <c r="M1323" s="32"/>
      <c r="N1323" s="13" t="str">
        <f>IF(F1323="","",
MAX(0,
_xlfn.XLOOKUP(F1323,purchase!D:D,purchase!#REF!,"")
-
SUMIFS(L:L,F:F,F1323)))</f>
        <v/>
      </c>
      <c r="O1323" s="13" t="str">
        <f t="shared" si="144"/>
        <v/>
      </c>
      <c r="P1323" s="35" t="str">
        <f>_xlfn.SINGLE(IF(F1323="","",_xlfn.XLOOKUP(F1323,purchase!D:D,purchase!K:K,"")))</f>
        <v/>
      </c>
      <c r="Q1323" s="29" t="str">
        <f t="shared" si="145"/>
        <v/>
      </c>
      <c r="R1323" s="37" t="str">
        <f t="shared" si="146"/>
        <v/>
      </c>
    </row>
    <row r="1324" spans="1:18" x14ac:dyDescent="0.35">
      <c r="A1324" s="8">
        <v>1320</v>
      </c>
      <c r="B1324" s="9" t="str">
        <f t="shared" si="140"/>
        <v/>
      </c>
      <c r="C1324" s="10"/>
      <c r="D1324" s="9" t="str">
        <f>IF(F1324="","",_xlfn.XLOOKUP(F1324,purchase!D:D,purchase!#REF!,""))</f>
        <v/>
      </c>
      <c r="E1324" s="9" t="str">
        <f>IF(F1324="","",_xlfn.XLOOKUP(F1324,purchase!D:D,purchase!B:B,""))</f>
        <v/>
      </c>
      <c r="F1324" s="2"/>
      <c r="G1324" s="4" t="str">
        <f t="shared" si="141"/>
        <v/>
      </c>
      <c r="H1324" s="4" t="str">
        <f>IF(F1324="","",_xlfn.XLOOKUP(F1324,purchase!D:D,purchase!#REF!,""))</f>
        <v/>
      </c>
      <c r="I1324" s="4" t="str">
        <f t="shared" si="142"/>
        <v/>
      </c>
      <c r="J1324" s="4" t="str">
        <f t="shared" si="143"/>
        <v/>
      </c>
      <c r="K1324" s="13" t="str">
        <f>_xlfn.SINGLE(IF(F1324="","",_xlfn.XLOOKUP(F1324,purchase!D:D,purchase!#REF!,"")))</f>
        <v/>
      </c>
      <c r="L1324" s="2"/>
      <c r="M1324" s="32"/>
      <c r="N1324" s="13" t="str">
        <f>IF(F1324="","",
MAX(0,
_xlfn.XLOOKUP(F1324,purchase!D:D,purchase!#REF!,"")
-
SUMIFS(L:L,F:F,F1324)))</f>
        <v/>
      </c>
      <c r="O1324" s="13" t="str">
        <f t="shared" si="144"/>
        <v/>
      </c>
      <c r="P1324" s="35" t="str">
        <f>_xlfn.SINGLE(IF(F1324="","",_xlfn.XLOOKUP(F1324,purchase!D:D,purchase!K:K,"")))</f>
        <v/>
      </c>
      <c r="Q1324" s="29" t="str">
        <f t="shared" si="145"/>
        <v/>
      </c>
      <c r="R1324" s="37" t="str">
        <f t="shared" si="146"/>
        <v/>
      </c>
    </row>
    <row r="1325" spans="1:18" x14ac:dyDescent="0.35">
      <c r="A1325" s="8">
        <v>1321</v>
      </c>
      <c r="B1325" s="9" t="str">
        <f t="shared" si="140"/>
        <v/>
      </c>
      <c r="C1325" s="10"/>
      <c r="D1325" s="9" t="str">
        <f>IF(F1325="","",_xlfn.XLOOKUP(F1325,purchase!D:D,purchase!#REF!,""))</f>
        <v/>
      </c>
      <c r="E1325" s="9" t="str">
        <f>IF(F1325="","",_xlfn.XLOOKUP(F1325,purchase!D:D,purchase!B:B,""))</f>
        <v/>
      </c>
      <c r="F1325" s="2"/>
      <c r="G1325" s="4" t="str">
        <f t="shared" si="141"/>
        <v/>
      </c>
      <c r="H1325" s="4" t="str">
        <f>IF(F1325="","",_xlfn.XLOOKUP(F1325,purchase!D:D,purchase!#REF!,""))</f>
        <v/>
      </c>
      <c r="I1325" s="4" t="str">
        <f t="shared" si="142"/>
        <v/>
      </c>
      <c r="J1325" s="4" t="str">
        <f t="shared" si="143"/>
        <v/>
      </c>
      <c r="K1325" s="13" t="str">
        <f>_xlfn.SINGLE(IF(F1325="","",_xlfn.XLOOKUP(F1325,purchase!D:D,purchase!#REF!,"")))</f>
        <v/>
      </c>
      <c r="L1325" s="2"/>
      <c r="M1325" s="32"/>
      <c r="N1325" s="13" t="str">
        <f>IF(F1325="","",
MAX(0,
_xlfn.XLOOKUP(F1325,purchase!D:D,purchase!#REF!,"")
-
SUMIFS(L:L,F:F,F1325)))</f>
        <v/>
      </c>
      <c r="O1325" s="13" t="str">
        <f t="shared" si="144"/>
        <v/>
      </c>
      <c r="P1325" s="35" t="str">
        <f>_xlfn.SINGLE(IF(F1325="","",_xlfn.XLOOKUP(F1325,purchase!D:D,purchase!K:K,"")))</f>
        <v/>
      </c>
      <c r="Q1325" s="29" t="str">
        <f t="shared" si="145"/>
        <v/>
      </c>
      <c r="R1325" s="37" t="str">
        <f t="shared" si="146"/>
        <v/>
      </c>
    </row>
    <row r="1326" spans="1:18" x14ac:dyDescent="0.35">
      <c r="A1326" s="8">
        <v>1322</v>
      </c>
      <c r="B1326" s="9" t="str">
        <f t="shared" si="140"/>
        <v/>
      </c>
      <c r="C1326" s="10"/>
      <c r="D1326" s="9" t="str">
        <f>IF(F1326="","",_xlfn.XLOOKUP(F1326,purchase!D:D,purchase!#REF!,""))</f>
        <v/>
      </c>
      <c r="E1326" s="9" t="str">
        <f>IF(F1326="","",_xlfn.XLOOKUP(F1326,purchase!D:D,purchase!B:B,""))</f>
        <v/>
      </c>
      <c r="F1326" s="2"/>
      <c r="G1326" s="4" t="str">
        <f t="shared" si="141"/>
        <v/>
      </c>
      <c r="H1326" s="4" t="str">
        <f>IF(F1326="","",_xlfn.XLOOKUP(F1326,purchase!D:D,purchase!#REF!,""))</f>
        <v/>
      </c>
      <c r="I1326" s="4" t="str">
        <f t="shared" si="142"/>
        <v/>
      </c>
      <c r="J1326" s="4" t="str">
        <f t="shared" si="143"/>
        <v/>
      </c>
      <c r="K1326" s="13" t="str">
        <f>_xlfn.SINGLE(IF(F1326="","",_xlfn.XLOOKUP(F1326,purchase!D:D,purchase!#REF!,"")))</f>
        <v/>
      </c>
      <c r="L1326" s="2"/>
      <c r="M1326" s="32"/>
      <c r="N1326" s="13" t="str">
        <f>IF(F1326="","",
MAX(0,
_xlfn.XLOOKUP(F1326,purchase!D:D,purchase!#REF!,"")
-
SUMIFS(L:L,F:F,F1326)))</f>
        <v/>
      </c>
      <c r="O1326" s="13" t="str">
        <f t="shared" si="144"/>
        <v/>
      </c>
      <c r="P1326" s="35" t="str">
        <f>_xlfn.SINGLE(IF(F1326="","",_xlfn.XLOOKUP(F1326,purchase!D:D,purchase!K:K,"")))</f>
        <v/>
      </c>
      <c r="Q1326" s="29" t="str">
        <f t="shared" si="145"/>
        <v/>
      </c>
      <c r="R1326" s="37" t="str">
        <f t="shared" si="146"/>
        <v/>
      </c>
    </row>
    <row r="1327" spans="1:18" x14ac:dyDescent="0.35">
      <c r="A1327" s="8">
        <v>1323</v>
      </c>
      <c r="B1327" s="9" t="str">
        <f t="shared" si="140"/>
        <v/>
      </c>
      <c r="C1327" s="10"/>
      <c r="D1327" s="9" t="str">
        <f>IF(F1327="","",_xlfn.XLOOKUP(F1327,purchase!D:D,purchase!#REF!,""))</f>
        <v/>
      </c>
      <c r="E1327" s="9" t="str">
        <f>IF(F1327="","",_xlfn.XLOOKUP(F1327,purchase!D:D,purchase!B:B,""))</f>
        <v/>
      </c>
      <c r="F1327" s="2"/>
      <c r="G1327" s="4" t="str">
        <f t="shared" si="141"/>
        <v/>
      </c>
      <c r="H1327" s="4" t="str">
        <f>IF(F1327="","",_xlfn.XLOOKUP(F1327,purchase!D:D,purchase!#REF!,""))</f>
        <v/>
      </c>
      <c r="I1327" s="4" t="str">
        <f t="shared" si="142"/>
        <v/>
      </c>
      <c r="J1327" s="4" t="str">
        <f t="shared" si="143"/>
        <v/>
      </c>
      <c r="K1327" s="13" t="str">
        <f>_xlfn.SINGLE(IF(F1327="","",_xlfn.XLOOKUP(F1327,purchase!D:D,purchase!#REF!,"")))</f>
        <v/>
      </c>
      <c r="L1327" s="2"/>
      <c r="M1327" s="32"/>
      <c r="N1327" s="13" t="str">
        <f>IF(F1327="","",
MAX(0,
_xlfn.XLOOKUP(F1327,purchase!D:D,purchase!#REF!,"")
-
SUMIFS(L:L,F:F,F1327)))</f>
        <v/>
      </c>
      <c r="O1327" s="13" t="str">
        <f t="shared" si="144"/>
        <v/>
      </c>
      <c r="P1327" s="35" t="str">
        <f>_xlfn.SINGLE(IF(F1327="","",_xlfn.XLOOKUP(F1327,purchase!D:D,purchase!K:K,"")))</f>
        <v/>
      </c>
      <c r="Q1327" s="29" t="str">
        <f t="shared" si="145"/>
        <v/>
      </c>
      <c r="R1327" s="37" t="str">
        <f t="shared" si="146"/>
        <v/>
      </c>
    </row>
    <row r="1328" spans="1:18" x14ac:dyDescent="0.35">
      <c r="A1328" s="8">
        <v>1324</v>
      </c>
      <c r="B1328" s="9" t="str">
        <f t="shared" si="140"/>
        <v/>
      </c>
      <c r="C1328" s="10"/>
      <c r="D1328" s="9" t="str">
        <f>IF(F1328="","",_xlfn.XLOOKUP(F1328,purchase!D:D,purchase!#REF!,""))</f>
        <v/>
      </c>
      <c r="E1328" s="9" t="str">
        <f>IF(F1328="","",_xlfn.XLOOKUP(F1328,purchase!D:D,purchase!B:B,""))</f>
        <v/>
      </c>
      <c r="F1328" s="2"/>
      <c r="G1328" s="4" t="str">
        <f t="shared" si="141"/>
        <v/>
      </c>
      <c r="H1328" s="4" t="str">
        <f>IF(F1328="","",_xlfn.XLOOKUP(F1328,purchase!D:D,purchase!#REF!,""))</f>
        <v/>
      </c>
      <c r="I1328" s="4" t="str">
        <f t="shared" si="142"/>
        <v/>
      </c>
      <c r="J1328" s="4" t="str">
        <f t="shared" si="143"/>
        <v/>
      </c>
      <c r="K1328" s="13" t="str">
        <f>_xlfn.SINGLE(IF(F1328="","",_xlfn.XLOOKUP(F1328,purchase!D:D,purchase!#REF!,"")))</f>
        <v/>
      </c>
      <c r="L1328" s="2"/>
      <c r="M1328" s="32"/>
      <c r="N1328" s="13" t="str">
        <f>IF(F1328="","",
MAX(0,
_xlfn.XLOOKUP(F1328,purchase!D:D,purchase!#REF!,"")
-
SUMIFS(L:L,F:F,F1328)))</f>
        <v/>
      </c>
      <c r="O1328" s="13" t="str">
        <f t="shared" si="144"/>
        <v/>
      </c>
      <c r="P1328" s="35" t="str">
        <f>_xlfn.SINGLE(IF(F1328="","",_xlfn.XLOOKUP(F1328,purchase!D:D,purchase!K:K,"")))</f>
        <v/>
      </c>
      <c r="Q1328" s="29" t="str">
        <f t="shared" si="145"/>
        <v/>
      </c>
      <c r="R1328" s="37" t="str">
        <f t="shared" si="146"/>
        <v/>
      </c>
    </row>
    <row r="1329" spans="1:18" x14ac:dyDescent="0.35">
      <c r="A1329" s="8">
        <v>1325</v>
      </c>
      <c r="B1329" s="9" t="str">
        <f t="shared" si="140"/>
        <v/>
      </c>
      <c r="C1329" s="10"/>
      <c r="D1329" s="9" t="str">
        <f>IF(F1329="","",_xlfn.XLOOKUP(F1329,purchase!D:D,purchase!#REF!,""))</f>
        <v/>
      </c>
      <c r="E1329" s="9" t="str">
        <f>IF(F1329="","",_xlfn.XLOOKUP(F1329,purchase!D:D,purchase!B:B,""))</f>
        <v/>
      </c>
      <c r="F1329" s="2"/>
      <c r="G1329" s="4" t="str">
        <f t="shared" si="141"/>
        <v/>
      </c>
      <c r="H1329" s="4" t="str">
        <f>IF(F1329="","",_xlfn.XLOOKUP(F1329,purchase!D:D,purchase!#REF!,""))</f>
        <v/>
      </c>
      <c r="I1329" s="4" t="str">
        <f t="shared" si="142"/>
        <v/>
      </c>
      <c r="J1329" s="4" t="str">
        <f t="shared" si="143"/>
        <v/>
      </c>
      <c r="K1329" s="13" t="str">
        <f>_xlfn.SINGLE(IF(F1329="","",_xlfn.XLOOKUP(F1329,purchase!D:D,purchase!#REF!,"")))</f>
        <v/>
      </c>
      <c r="L1329" s="2"/>
      <c r="M1329" s="32"/>
      <c r="N1329" s="13" t="str">
        <f>IF(F1329="","",
MAX(0,
_xlfn.XLOOKUP(F1329,purchase!D:D,purchase!#REF!,"")
-
SUMIFS(L:L,F:F,F1329)))</f>
        <v/>
      </c>
      <c r="O1329" s="13" t="str">
        <f t="shared" si="144"/>
        <v/>
      </c>
      <c r="P1329" s="35" t="str">
        <f>_xlfn.SINGLE(IF(F1329="","",_xlfn.XLOOKUP(F1329,purchase!D:D,purchase!K:K,"")))</f>
        <v/>
      </c>
      <c r="Q1329" s="29" t="str">
        <f t="shared" si="145"/>
        <v/>
      </c>
      <c r="R1329" s="37" t="str">
        <f t="shared" si="146"/>
        <v/>
      </c>
    </row>
    <row r="1330" spans="1:18" x14ac:dyDescent="0.35">
      <c r="A1330" s="8">
        <v>1326</v>
      </c>
      <c r="B1330" s="9" t="str">
        <f t="shared" si="140"/>
        <v/>
      </c>
      <c r="C1330" s="10"/>
      <c r="D1330" s="9" t="str">
        <f>IF(F1330="","",_xlfn.XLOOKUP(F1330,purchase!D:D,purchase!#REF!,""))</f>
        <v/>
      </c>
      <c r="E1330" s="9" t="str">
        <f>IF(F1330="","",_xlfn.XLOOKUP(F1330,purchase!D:D,purchase!B:B,""))</f>
        <v/>
      </c>
      <c r="F1330" s="2"/>
      <c r="G1330" s="4" t="str">
        <f t="shared" si="141"/>
        <v/>
      </c>
      <c r="H1330" s="4" t="str">
        <f>IF(F1330="","",_xlfn.XLOOKUP(F1330,purchase!D:D,purchase!#REF!,""))</f>
        <v/>
      </c>
      <c r="I1330" s="4" t="str">
        <f t="shared" si="142"/>
        <v/>
      </c>
      <c r="J1330" s="4" t="str">
        <f t="shared" si="143"/>
        <v/>
      </c>
      <c r="K1330" s="13" t="str">
        <f>_xlfn.SINGLE(IF(F1330="","",_xlfn.XLOOKUP(F1330,purchase!D:D,purchase!#REF!,"")))</f>
        <v/>
      </c>
      <c r="L1330" s="2"/>
      <c r="M1330" s="32"/>
      <c r="N1330" s="13" t="str">
        <f>IF(F1330="","",
MAX(0,
_xlfn.XLOOKUP(F1330,purchase!D:D,purchase!#REF!,"")
-
SUMIFS(L:L,F:F,F1330)))</f>
        <v/>
      </c>
      <c r="O1330" s="13" t="str">
        <f t="shared" si="144"/>
        <v/>
      </c>
      <c r="P1330" s="35" t="str">
        <f>_xlfn.SINGLE(IF(F1330="","",_xlfn.XLOOKUP(F1330,purchase!D:D,purchase!K:K,"")))</f>
        <v/>
      </c>
      <c r="Q1330" s="29" t="str">
        <f t="shared" si="145"/>
        <v/>
      </c>
      <c r="R1330" s="37" t="str">
        <f t="shared" si="146"/>
        <v/>
      </c>
    </row>
    <row r="1331" spans="1:18" x14ac:dyDescent="0.35">
      <c r="A1331" s="8">
        <v>1327</v>
      </c>
      <c r="B1331" s="9" t="str">
        <f t="shared" si="140"/>
        <v/>
      </c>
      <c r="C1331" s="10"/>
      <c r="D1331" s="9" t="str">
        <f>IF(F1331="","",_xlfn.XLOOKUP(F1331,purchase!D:D,purchase!#REF!,""))</f>
        <v/>
      </c>
      <c r="E1331" s="9" t="str">
        <f>IF(F1331="","",_xlfn.XLOOKUP(F1331,purchase!D:D,purchase!B:B,""))</f>
        <v/>
      </c>
      <c r="F1331" s="2"/>
      <c r="G1331" s="4" t="str">
        <f t="shared" si="141"/>
        <v/>
      </c>
      <c r="H1331" s="4" t="str">
        <f>IF(F1331="","",_xlfn.XLOOKUP(F1331,purchase!D:D,purchase!#REF!,""))</f>
        <v/>
      </c>
      <c r="I1331" s="4" t="str">
        <f t="shared" si="142"/>
        <v/>
      </c>
      <c r="J1331" s="4" t="str">
        <f t="shared" si="143"/>
        <v/>
      </c>
      <c r="K1331" s="13" t="str">
        <f>_xlfn.SINGLE(IF(F1331="","",_xlfn.XLOOKUP(F1331,purchase!D:D,purchase!#REF!,"")))</f>
        <v/>
      </c>
      <c r="L1331" s="2"/>
      <c r="M1331" s="32"/>
      <c r="N1331" s="13" t="str">
        <f>IF(F1331="","",
MAX(0,
_xlfn.XLOOKUP(F1331,purchase!D:D,purchase!#REF!,"")
-
SUMIFS(L:L,F:F,F1331)))</f>
        <v/>
      </c>
      <c r="O1331" s="13" t="str">
        <f t="shared" si="144"/>
        <v/>
      </c>
      <c r="P1331" s="35" t="str">
        <f>_xlfn.SINGLE(IF(F1331="","",_xlfn.XLOOKUP(F1331,purchase!D:D,purchase!K:K,"")))</f>
        <v/>
      </c>
      <c r="Q1331" s="29" t="str">
        <f t="shared" si="145"/>
        <v/>
      </c>
      <c r="R1331" s="37" t="str">
        <f t="shared" si="146"/>
        <v/>
      </c>
    </row>
    <row r="1332" spans="1:18" x14ac:dyDescent="0.35">
      <c r="A1332" s="8">
        <v>1328</v>
      </c>
      <c r="B1332" s="9" t="str">
        <f t="shared" si="140"/>
        <v/>
      </c>
      <c r="C1332" s="10"/>
      <c r="D1332" s="9" t="str">
        <f>IF(F1332="","",_xlfn.XLOOKUP(F1332,purchase!D:D,purchase!#REF!,""))</f>
        <v/>
      </c>
      <c r="E1332" s="9" t="str">
        <f>IF(F1332="","",_xlfn.XLOOKUP(F1332,purchase!D:D,purchase!B:B,""))</f>
        <v/>
      </c>
      <c r="F1332" s="2"/>
      <c r="G1332" s="4" t="str">
        <f t="shared" si="141"/>
        <v/>
      </c>
      <c r="H1332" s="4" t="str">
        <f>IF(F1332="","",_xlfn.XLOOKUP(F1332,purchase!D:D,purchase!#REF!,""))</f>
        <v/>
      </c>
      <c r="I1332" s="4" t="str">
        <f t="shared" si="142"/>
        <v/>
      </c>
      <c r="J1332" s="4" t="str">
        <f t="shared" si="143"/>
        <v/>
      </c>
      <c r="K1332" s="13" t="str">
        <f>_xlfn.SINGLE(IF(F1332="","",_xlfn.XLOOKUP(F1332,purchase!D:D,purchase!#REF!,"")))</f>
        <v/>
      </c>
      <c r="L1332" s="2"/>
      <c r="M1332" s="32"/>
      <c r="N1332" s="13" t="str">
        <f>IF(F1332="","",
MAX(0,
_xlfn.XLOOKUP(F1332,purchase!D:D,purchase!#REF!,"")
-
SUMIFS(L:L,F:F,F1332)))</f>
        <v/>
      </c>
      <c r="O1332" s="13" t="str">
        <f t="shared" si="144"/>
        <v/>
      </c>
      <c r="P1332" s="35" t="str">
        <f>_xlfn.SINGLE(IF(F1332="","",_xlfn.XLOOKUP(F1332,purchase!D:D,purchase!K:K,"")))</f>
        <v/>
      </c>
      <c r="Q1332" s="29" t="str">
        <f t="shared" si="145"/>
        <v/>
      </c>
      <c r="R1332" s="37" t="str">
        <f t="shared" si="146"/>
        <v/>
      </c>
    </row>
    <row r="1333" spans="1:18" x14ac:dyDescent="0.35">
      <c r="A1333" s="8">
        <v>1329</v>
      </c>
      <c r="B1333" s="9" t="str">
        <f t="shared" si="140"/>
        <v/>
      </c>
      <c r="C1333" s="10"/>
      <c r="D1333" s="9" t="str">
        <f>IF(F1333="","",_xlfn.XLOOKUP(F1333,purchase!D:D,purchase!#REF!,""))</f>
        <v/>
      </c>
      <c r="E1333" s="9" t="str">
        <f>IF(F1333="","",_xlfn.XLOOKUP(F1333,purchase!D:D,purchase!B:B,""))</f>
        <v/>
      </c>
      <c r="F1333" s="2"/>
      <c r="G1333" s="4" t="str">
        <f t="shared" si="141"/>
        <v/>
      </c>
      <c r="H1333" s="4" t="str">
        <f>IF(F1333="","",_xlfn.XLOOKUP(F1333,purchase!D:D,purchase!#REF!,""))</f>
        <v/>
      </c>
      <c r="I1333" s="4" t="str">
        <f t="shared" si="142"/>
        <v/>
      </c>
      <c r="J1333" s="4" t="str">
        <f t="shared" si="143"/>
        <v/>
      </c>
      <c r="K1333" s="13" t="str">
        <f>_xlfn.SINGLE(IF(F1333="","",_xlfn.XLOOKUP(F1333,purchase!D:D,purchase!#REF!,"")))</f>
        <v/>
      </c>
      <c r="L1333" s="2"/>
      <c r="M1333" s="32"/>
      <c r="N1333" s="13" t="str">
        <f>IF(F1333="","",
MAX(0,
_xlfn.XLOOKUP(F1333,purchase!D:D,purchase!#REF!,"")
-
SUMIFS(L:L,F:F,F1333)))</f>
        <v/>
      </c>
      <c r="O1333" s="13" t="str">
        <f t="shared" si="144"/>
        <v/>
      </c>
      <c r="P1333" s="35" t="str">
        <f>_xlfn.SINGLE(IF(F1333="","",_xlfn.XLOOKUP(F1333,purchase!D:D,purchase!K:K,"")))</f>
        <v/>
      </c>
      <c r="Q1333" s="29" t="str">
        <f t="shared" si="145"/>
        <v/>
      </c>
      <c r="R1333" s="37" t="str">
        <f t="shared" si="146"/>
        <v/>
      </c>
    </row>
    <row r="1334" spans="1:18" x14ac:dyDescent="0.35">
      <c r="A1334" s="8">
        <v>1330</v>
      </c>
      <c r="B1334" s="9" t="str">
        <f t="shared" si="140"/>
        <v/>
      </c>
      <c r="C1334" s="10"/>
      <c r="D1334" s="9" t="str">
        <f>IF(F1334="","",_xlfn.XLOOKUP(F1334,purchase!D:D,purchase!#REF!,""))</f>
        <v/>
      </c>
      <c r="E1334" s="9" t="str">
        <f>IF(F1334="","",_xlfn.XLOOKUP(F1334,purchase!D:D,purchase!B:B,""))</f>
        <v/>
      </c>
      <c r="F1334" s="2"/>
      <c r="G1334" s="4" t="str">
        <f t="shared" si="141"/>
        <v/>
      </c>
      <c r="H1334" s="4" t="str">
        <f>IF(F1334="","",_xlfn.XLOOKUP(F1334,purchase!D:D,purchase!#REF!,""))</f>
        <v/>
      </c>
      <c r="I1334" s="4" t="str">
        <f t="shared" si="142"/>
        <v/>
      </c>
      <c r="J1334" s="4" t="str">
        <f t="shared" si="143"/>
        <v/>
      </c>
      <c r="K1334" s="13" t="str">
        <f>_xlfn.SINGLE(IF(F1334="","",_xlfn.XLOOKUP(F1334,purchase!D:D,purchase!#REF!,"")))</f>
        <v/>
      </c>
      <c r="L1334" s="2"/>
      <c r="M1334" s="32"/>
      <c r="N1334" s="13" t="str">
        <f>IF(F1334="","",
MAX(0,
_xlfn.XLOOKUP(F1334,purchase!D:D,purchase!#REF!,"")
-
SUMIFS(L:L,F:F,F1334)))</f>
        <v/>
      </c>
      <c r="O1334" s="13" t="str">
        <f t="shared" si="144"/>
        <v/>
      </c>
      <c r="P1334" s="35" t="str">
        <f>_xlfn.SINGLE(IF(F1334="","",_xlfn.XLOOKUP(F1334,purchase!D:D,purchase!K:K,"")))</f>
        <v/>
      </c>
      <c r="Q1334" s="29" t="str">
        <f t="shared" si="145"/>
        <v/>
      </c>
      <c r="R1334" s="37" t="str">
        <f t="shared" si="146"/>
        <v/>
      </c>
    </row>
    <row r="1335" spans="1:18" x14ac:dyDescent="0.35">
      <c r="A1335" s="8">
        <v>1331</v>
      </c>
      <c r="B1335" s="9" t="str">
        <f t="shared" si="140"/>
        <v/>
      </c>
      <c r="C1335" s="10"/>
      <c r="D1335" s="9" t="str">
        <f>IF(F1335="","",_xlfn.XLOOKUP(F1335,purchase!D:D,purchase!#REF!,""))</f>
        <v/>
      </c>
      <c r="E1335" s="9" t="str">
        <f>IF(F1335="","",_xlfn.XLOOKUP(F1335,purchase!D:D,purchase!B:B,""))</f>
        <v/>
      </c>
      <c r="F1335" s="2"/>
      <c r="G1335" s="4" t="str">
        <f t="shared" si="141"/>
        <v/>
      </c>
      <c r="H1335" s="4" t="str">
        <f>IF(F1335="","",_xlfn.XLOOKUP(F1335,purchase!D:D,purchase!#REF!,""))</f>
        <v/>
      </c>
      <c r="I1335" s="4" t="str">
        <f t="shared" si="142"/>
        <v/>
      </c>
      <c r="J1335" s="4" t="str">
        <f t="shared" si="143"/>
        <v/>
      </c>
      <c r="K1335" s="13" t="str">
        <f>_xlfn.SINGLE(IF(F1335="","",_xlfn.XLOOKUP(F1335,purchase!D:D,purchase!#REF!,"")))</f>
        <v/>
      </c>
      <c r="L1335" s="2"/>
      <c r="M1335" s="32"/>
      <c r="N1335" s="13" t="str">
        <f>IF(F1335="","",
MAX(0,
_xlfn.XLOOKUP(F1335,purchase!D:D,purchase!#REF!,"")
-
SUMIFS(L:L,F:F,F1335)))</f>
        <v/>
      </c>
      <c r="O1335" s="13" t="str">
        <f t="shared" si="144"/>
        <v/>
      </c>
      <c r="P1335" s="35" t="str">
        <f>_xlfn.SINGLE(IF(F1335="","",_xlfn.XLOOKUP(F1335,purchase!D:D,purchase!K:K,"")))</f>
        <v/>
      </c>
      <c r="Q1335" s="29" t="str">
        <f t="shared" si="145"/>
        <v/>
      </c>
      <c r="R1335" s="37" t="str">
        <f t="shared" si="146"/>
        <v/>
      </c>
    </row>
    <row r="1336" spans="1:18" x14ac:dyDescent="0.35">
      <c r="A1336" s="8">
        <v>1332</v>
      </c>
      <c r="B1336" s="9" t="str">
        <f t="shared" si="140"/>
        <v/>
      </c>
      <c r="C1336" s="10"/>
      <c r="D1336" s="9" t="str">
        <f>IF(F1336="","",_xlfn.XLOOKUP(F1336,purchase!D:D,purchase!#REF!,""))</f>
        <v/>
      </c>
      <c r="E1336" s="9" t="str">
        <f>IF(F1336="","",_xlfn.XLOOKUP(F1336,purchase!D:D,purchase!B:B,""))</f>
        <v/>
      </c>
      <c r="F1336" s="2"/>
      <c r="G1336" s="4" t="str">
        <f t="shared" si="141"/>
        <v/>
      </c>
      <c r="H1336" s="4" t="str">
        <f>IF(F1336="","",_xlfn.XLOOKUP(F1336,purchase!D:D,purchase!#REF!,""))</f>
        <v/>
      </c>
      <c r="I1336" s="4" t="str">
        <f t="shared" si="142"/>
        <v/>
      </c>
      <c r="J1336" s="4" t="str">
        <f t="shared" si="143"/>
        <v/>
      </c>
      <c r="K1336" s="13" t="str">
        <f>_xlfn.SINGLE(IF(F1336="","",_xlfn.XLOOKUP(F1336,purchase!D:D,purchase!#REF!,"")))</f>
        <v/>
      </c>
      <c r="L1336" s="2"/>
      <c r="M1336" s="32"/>
      <c r="N1336" s="13" t="str">
        <f>IF(F1336="","",
MAX(0,
_xlfn.XLOOKUP(F1336,purchase!D:D,purchase!#REF!,"")
-
SUMIFS(L:L,F:F,F1336)))</f>
        <v/>
      </c>
      <c r="O1336" s="13" t="str">
        <f t="shared" si="144"/>
        <v/>
      </c>
      <c r="P1336" s="35" t="str">
        <f>_xlfn.SINGLE(IF(F1336="","",_xlfn.XLOOKUP(F1336,purchase!D:D,purchase!K:K,"")))</f>
        <v/>
      </c>
      <c r="Q1336" s="29" t="str">
        <f t="shared" si="145"/>
        <v/>
      </c>
      <c r="R1336" s="37" t="str">
        <f t="shared" si="146"/>
        <v/>
      </c>
    </row>
    <row r="1337" spans="1:18" x14ac:dyDescent="0.35">
      <c r="A1337" s="8">
        <v>1333</v>
      </c>
      <c r="B1337" s="9" t="str">
        <f t="shared" si="140"/>
        <v/>
      </c>
      <c r="C1337" s="10"/>
      <c r="D1337" s="9" t="str">
        <f>IF(F1337="","",_xlfn.XLOOKUP(F1337,purchase!D:D,purchase!#REF!,""))</f>
        <v/>
      </c>
      <c r="E1337" s="9" t="str">
        <f>IF(F1337="","",_xlfn.XLOOKUP(F1337,purchase!D:D,purchase!B:B,""))</f>
        <v/>
      </c>
      <c r="F1337" s="2"/>
      <c r="G1337" s="4" t="str">
        <f t="shared" si="141"/>
        <v/>
      </c>
      <c r="H1337" s="4" t="str">
        <f>IF(F1337="","",_xlfn.XLOOKUP(F1337,purchase!D:D,purchase!#REF!,""))</f>
        <v/>
      </c>
      <c r="I1337" s="4" t="str">
        <f t="shared" si="142"/>
        <v/>
      </c>
      <c r="J1337" s="4" t="str">
        <f t="shared" si="143"/>
        <v/>
      </c>
      <c r="K1337" s="13" t="str">
        <f>_xlfn.SINGLE(IF(F1337="","",_xlfn.XLOOKUP(F1337,purchase!D:D,purchase!#REF!,"")))</f>
        <v/>
      </c>
      <c r="L1337" s="2"/>
      <c r="M1337" s="32"/>
      <c r="N1337" s="13" t="str">
        <f>IF(F1337="","",
MAX(0,
_xlfn.XLOOKUP(F1337,purchase!D:D,purchase!#REF!,"")
-
SUMIFS(L:L,F:F,F1337)))</f>
        <v/>
      </c>
      <c r="O1337" s="13" t="str">
        <f t="shared" si="144"/>
        <v/>
      </c>
      <c r="P1337" s="35" t="str">
        <f>_xlfn.SINGLE(IF(F1337="","",_xlfn.XLOOKUP(F1337,purchase!D:D,purchase!K:K,"")))</f>
        <v/>
      </c>
      <c r="Q1337" s="29" t="str">
        <f t="shared" si="145"/>
        <v/>
      </c>
      <c r="R1337" s="37" t="str">
        <f t="shared" si="146"/>
        <v/>
      </c>
    </row>
    <row r="1338" spans="1:18" x14ac:dyDescent="0.35">
      <c r="A1338" s="8">
        <v>1334</v>
      </c>
      <c r="B1338" s="9" t="str">
        <f t="shared" si="140"/>
        <v/>
      </c>
      <c r="C1338" s="10"/>
      <c r="D1338" s="9" t="str">
        <f>IF(F1338="","",_xlfn.XLOOKUP(F1338,purchase!D:D,purchase!#REF!,""))</f>
        <v/>
      </c>
      <c r="E1338" s="9" t="str">
        <f>IF(F1338="","",_xlfn.XLOOKUP(F1338,purchase!D:D,purchase!B:B,""))</f>
        <v/>
      </c>
      <c r="F1338" s="2"/>
      <c r="G1338" s="4" t="str">
        <f t="shared" si="141"/>
        <v/>
      </c>
      <c r="H1338" s="4" t="str">
        <f>IF(F1338="","",_xlfn.XLOOKUP(F1338,purchase!D:D,purchase!#REF!,""))</f>
        <v/>
      </c>
      <c r="I1338" s="4" t="str">
        <f t="shared" si="142"/>
        <v/>
      </c>
      <c r="J1338" s="4" t="str">
        <f t="shared" si="143"/>
        <v/>
      </c>
      <c r="K1338" s="13" t="str">
        <f>_xlfn.SINGLE(IF(F1338="","",_xlfn.XLOOKUP(F1338,purchase!D:D,purchase!#REF!,"")))</f>
        <v/>
      </c>
      <c r="L1338" s="2"/>
      <c r="M1338" s="32"/>
      <c r="N1338" s="13" t="str">
        <f>IF(F1338="","",
MAX(0,
_xlfn.XLOOKUP(F1338,purchase!D:D,purchase!#REF!,"")
-
SUMIFS(L:L,F:F,F1338)))</f>
        <v/>
      </c>
      <c r="O1338" s="13" t="str">
        <f t="shared" si="144"/>
        <v/>
      </c>
      <c r="P1338" s="35" t="str">
        <f>_xlfn.SINGLE(IF(F1338="","",_xlfn.XLOOKUP(F1338,purchase!D:D,purchase!K:K,"")))</f>
        <v/>
      </c>
      <c r="Q1338" s="29" t="str">
        <f t="shared" si="145"/>
        <v/>
      </c>
      <c r="R1338" s="37" t="str">
        <f t="shared" si="146"/>
        <v/>
      </c>
    </row>
    <row r="1339" spans="1:18" x14ac:dyDescent="0.35">
      <c r="A1339" s="8">
        <v>1335</v>
      </c>
      <c r="B1339" s="9" t="str">
        <f t="shared" si="140"/>
        <v/>
      </c>
      <c r="C1339" s="10"/>
      <c r="D1339" s="9" t="str">
        <f>IF(F1339="","",_xlfn.XLOOKUP(F1339,purchase!D:D,purchase!#REF!,""))</f>
        <v/>
      </c>
      <c r="E1339" s="9" t="str">
        <f>IF(F1339="","",_xlfn.XLOOKUP(F1339,purchase!D:D,purchase!B:B,""))</f>
        <v/>
      </c>
      <c r="F1339" s="2"/>
      <c r="G1339" s="4" t="str">
        <f t="shared" si="141"/>
        <v/>
      </c>
      <c r="H1339" s="4" t="str">
        <f>IF(F1339="","",_xlfn.XLOOKUP(F1339,purchase!D:D,purchase!#REF!,""))</f>
        <v/>
      </c>
      <c r="I1339" s="4" t="str">
        <f t="shared" si="142"/>
        <v/>
      </c>
      <c r="J1339" s="4" t="str">
        <f t="shared" si="143"/>
        <v/>
      </c>
      <c r="K1339" s="13" t="str">
        <f>_xlfn.SINGLE(IF(F1339="","",_xlfn.XLOOKUP(F1339,purchase!D:D,purchase!#REF!,"")))</f>
        <v/>
      </c>
      <c r="L1339" s="2"/>
      <c r="M1339" s="32"/>
      <c r="N1339" s="13" t="str">
        <f>IF(F1339="","",
MAX(0,
_xlfn.XLOOKUP(F1339,purchase!D:D,purchase!#REF!,"")
-
SUMIFS(L:L,F:F,F1339)))</f>
        <v/>
      </c>
      <c r="O1339" s="13" t="str">
        <f t="shared" si="144"/>
        <v/>
      </c>
      <c r="P1339" s="35" t="str">
        <f>_xlfn.SINGLE(IF(F1339="","",_xlfn.XLOOKUP(F1339,purchase!D:D,purchase!K:K,"")))</f>
        <v/>
      </c>
      <c r="Q1339" s="29" t="str">
        <f t="shared" si="145"/>
        <v/>
      </c>
      <c r="R1339" s="37" t="str">
        <f t="shared" si="146"/>
        <v/>
      </c>
    </row>
    <row r="1340" spans="1:18" x14ac:dyDescent="0.35">
      <c r="A1340" s="8">
        <v>1336</v>
      </c>
      <c r="B1340" s="9" t="str">
        <f t="shared" si="140"/>
        <v/>
      </c>
      <c r="C1340" s="10"/>
      <c r="D1340" s="9" t="str">
        <f>IF(F1340="","",_xlfn.XLOOKUP(F1340,purchase!D:D,purchase!#REF!,""))</f>
        <v/>
      </c>
      <c r="E1340" s="9" t="str">
        <f>IF(F1340="","",_xlfn.XLOOKUP(F1340,purchase!D:D,purchase!B:B,""))</f>
        <v/>
      </c>
      <c r="F1340" s="2"/>
      <c r="G1340" s="4" t="str">
        <f t="shared" si="141"/>
        <v/>
      </c>
      <c r="H1340" s="4" t="str">
        <f>IF(F1340="","",_xlfn.XLOOKUP(F1340,purchase!D:D,purchase!#REF!,""))</f>
        <v/>
      </c>
      <c r="I1340" s="4" t="str">
        <f t="shared" si="142"/>
        <v/>
      </c>
      <c r="J1340" s="4" t="str">
        <f t="shared" si="143"/>
        <v/>
      </c>
      <c r="K1340" s="13" t="str">
        <f>_xlfn.SINGLE(IF(F1340="","",_xlfn.XLOOKUP(F1340,purchase!D:D,purchase!#REF!,"")))</f>
        <v/>
      </c>
      <c r="L1340" s="2"/>
      <c r="M1340" s="32"/>
      <c r="N1340" s="13" t="str">
        <f>IF(F1340="","",
MAX(0,
_xlfn.XLOOKUP(F1340,purchase!D:D,purchase!#REF!,"")
-
SUMIFS(L:L,F:F,F1340)))</f>
        <v/>
      </c>
      <c r="O1340" s="13" t="str">
        <f t="shared" si="144"/>
        <v/>
      </c>
      <c r="P1340" s="35" t="str">
        <f>_xlfn.SINGLE(IF(F1340="","",_xlfn.XLOOKUP(F1340,purchase!D:D,purchase!K:K,"")))</f>
        <v/>
      </c>
      <c r="Q1340" s="29" t="str">
        <f t="shared" si="145"/>
        <v/>
      </c>
      <c r="R1340" s="37" t="str">
        <f t="shared" si="146"/>
        <v/>
      </c>
    </row>
    <row r="1341" spans="1:18" x14ac:dyDescent="0.35">
      <c r="A1341" s="8">
        <v>1337</v>
      </c>
      <c r="B1341" s="9" t="str">
        <f t="shared" si="140"/>
        <v/>
      </c>
      <c r="C1341" s="10"/>
      <c r="D1341" s="9" t="str">
        <f>IF(F1341="","",_xlfn.XLOOKUP(F1341,purchase!D:D,purchase!#REF!,""))</f>
        <v/>
      </c>
      <c r="E1341" s="9" t="str">
        <f>IF(F1341="","",_xlfn.XLOOKUP(F1341,purchase!D:D,purchase!B:B,""))</f>
        <v/>
      </c>
      <c r="F1341" s="2"/>
      <c r="G1341" s="4" t="str">
        <f t="shared" si="141"/>
        <v/>
      </c>
      <c r="H1341" s="4" t="str">
        <f>IF(F1341="","",_xlfn.XLOOKUP(F1341,purchase!D:D,purchase!#REF!,""))</f>
        <v/>
      </c>
      <c r="I1341" s="4" t="str">
        <f t="shared" si="142"/>
        <v/>
      </c>
      <c r="J1341" s="4" t="str">
        <f t="shared" si="143"/>
        <v/>
      </c>
      <c r="K1341" s="13" t="str">
        <f>_xlfn.SINGLE(IF(F1341="","",_xlfn.XLOOKUP(F1341,purchase!D:D,purchase!#REF!,"")))</f>
        <v/>
      </c>
      <c r="L1341" s="2"/>
      <c r="M1341" s="32"/>
      <c r="N1341" s="13" t="str">
        <f>IF(F1341="","",
MAX(0,
_xlfn.XLOOKUP(F1341,purchase!D:D,purchase!#REF!,"")
-
SUMIFS(L:L,F:F,F1341)))</f>
        <v/>
      </c>
      <c r="O1341" s="13" t="str">
        <f t="shared" si="144"/>
        <v/>
      </c>
      <c r="P1341" s="35" t="str">
        <f>_xlfn.SINGLE(IF(F1341="","",_xlfn.XLOOKUP(F1341,purchase!D:D,purchase!K:K,"")))</f>
        <v/>
      </c>
      <c r="Q1341" s="29" t="str">
        <f t="shared" si="145"/>
        <v/>
      </c>
      <c r="R1341" s="37" t="str">
        <f t="shared" si="146"/>
        <v/>
      </c>
    </row>
    <row r="1342" spans="1:18" x14ac:dyDescent="0.35">
      <c r="A1342" s="8">
        <v>1338</v>
      </c>
      <c r="B1342" s="9" t="str">
        <f t="shared" si="140"/>
        <v/>
      </c>
      <c r="C1342" s="10"/>
      <c r="D1342" s="9" t="str">
        <f>IF(F1342="","",_xlfn.XLOOKUP(F1342,purchase!D:D,purchase!#REF!,""))</f>
        <v/>
      </c>
      <c r="E1342" s="9" t="str">
        <f>IF(F1342="","",_xlfn.XLOOKUP(F1342,purchase!D:D,purchase!B:B,""))</f>
        <v/>
      </c>
      <c r="F1342" s="2"/>
      <c r="G1342" s="4" t="str">
        <f t="shared" si="141"/>
        <v/>
      </c>
      <c r="H1342" s="4" t="str">
        <f>IF(F1342="","",_xlfn.XLOOKUP(F1342,purchase!D:D,purchase!#REF!,""))</f>
        <v/>
      </c>
      <c r="I1342" s="4" t="str">
        <f t="shared" si="142"/>
        <v/>
      </c>
      <c r="J1342" s="4" t="str">
        <f t="shared" si="143"/>
        <v/>
      </c>
      <c r="K1342" s="13" t="str">
        <f>_xlfn.SINGLE(IF(F1342="","",_xlfn.XLOOKUP(F1342,purchase!D:D,purchase!#REF!,"")))</f>
        <v/>
      </c>
      <c r="L1342" s="2"/>
      <c r="M1342" s="32"/>
      <c r="N1342" s="13" t="str">
        <f>IF(F1342="","",
MAX(0,
_xlfn.XLOOKUP(F1342,purchase!D:D,purchase!#REF!,"")
-
SUMIFS(L:L,F:F,F1342)))</f>
        <v/>
      </c>
      <c r="O1342" s="13" t="str">
        <f t="shared" si="144"/>
        <v/>
      </c>
      <c r="P1342" s="35" t="str">
        <f>_xlfn.SINGLE(IF(F1342="","",_xlfn.XLOOKUP(F1342,purchase!D:D,purchase!K:K,"")))</f>
        <v/>
      </c>
      <c r="Q1342" s="29" t="str">
        <f t="shared" si="145"/>
        <v/>
      </c>
      <c r="R1342" s="37" t="str">
        <f t="shared" si="146"/>
        <v/>
      </c>
    </row>
    <row r="1343" spans="1:18" x14ac:dyDescent="0.35">
      <c r="A1343" s="8">
        <v>1339</v>
      </c>
      <c r="B1343" s="9" t="str">
        <f t="shared" si="140"/>
        <v/>
      </c>
      <c r="C1343" s="10"/>
      <c r="D1343" s="9" t="str">
        <f>IF(F1343="","",_xlfn.XLOOKUP(F1343,purchase!D:D,purchase!#REF!,""))</f>
        <v/>
      </c>
      <c r="E1343" s="9" t="str">
        <f>IF(F1343="","",_xlfn.XLOOKUP(F1343,purchase!D:D,purchase!B:B,""))</f>
        <v/>
      </c>
      <c r="F1343" s="2"/>
      <c r="G1343" s="4" t="str">
        <f t="shared" si="141"/>
        <v/>
      </c>
      <c r="H1343" s="4" t="str">
        <f>IF(F1343="","",_xlfn.XLOOKUP(F1343,purchase!D:D,purchase!#REF!,""))</f>
        <v/>
      </c>
      <c r="I1343" s="4" t="str">
        <f t="shared" si="142"/>
        <v/>
      </c>
      <c r="J1343" s="4" t="str">
        <f t="shared" si="143"/>
        <v/>
      </c>
      <c r="K1343" s="13" t="str">
        <f>_xlfn.SINGLE(IF(F1343="","",_xlfn.XLOOKUP(F1343,purchase!D:D,purchase!#REF!,"")))</f>
        <v/>
      </c>
      <c r="L1343" s="2"/>
      <c r="M1343" s="32"/>
      <c r="N1343" s="13" t="str">
        <f>IF(F1343="","",
MAX(0,
_xlfn.XLOOKUP(F1343,purchase!D:D,purchase!#REF!,"")
-
SUMIFS(L:L,F:F,F1343)))</f>
        <v/>
      </c>
      <c r="O1343" s="13" t="str">
        <f t="shared" si="144"/>
        <v/>
      </c>
      <c r="P1343" s="35" t="str">
        <f>_xlfn.SINGLE(IF(F1343="","",_xlfn.XLOOKUP(F1343,purchase!D:D,purchase!K:K,"")))</f>
        <v/>
      </c>
      <c r="Q1343" s="29" t="str">
        <f t="shared" si="145"/>
        <v/>
      </c>
      <c r="R1343" s="37" t="str">
        <f t="shared" si="146"/>
        <v/>
      </c>
    </row>
    <row r="1344" spans="1:18" x14ac:dyDescent="0.35">
      <c r="A1344" s="8">
        <v>1340</v>
      </c>
      <c r="B1344" s="9" t="str">
        <f t="shared" si="140"/>
        <v/>
      </c>
      <c r="C1344" s="10"/>
      <c r="D1344" s="9" t="str">
        <f>IF(F1344="","",_xlfn.XLOOKUP(F1344,purchase!D:D,purchase!#REF!,""))</f>
        <v/>
      </c>
      <c r="E1344" s="9" t="str">
        <f>IF(F1344="","",_xlfn.XLOOKUP(F1344,purchase!D:D,purchase!B:B,""))</f>
        <v/>
      </c>
      <c r="F1344" s="2"/>
      <c r="G1344" s="4" t="str">
        <f t="shared" si="141"/>
        <v/>
      </c>
      <c r="H1344" s="4" t="str">
        <f>IF(F1344="","",_xlfn.XLOOKUP(F1344,purchase!D:D,purchase!#REF!,""))</f>
        <v/>
      </c>
      <c r="I1344" s="4" t="str">
        <f t="shared" si="142"/>
        <v/>
      </c>
      <c r="J1344" s="4" t="str">
        <f t="shared" si="143"/>
        <v/>
      </c>
      <c r="K1344" s="13" t="str">
        <f>_xlfn.SINGLE(IF(F1344="","",_xlfn.XLOOKUP(F1344,purchase!D:D,purchase!#REF!,"")))</f>
        <v/>
      </c>
      <c r="L1344" s="2"/>
      <c r="M1344" s="32"/>
      <c r="N1344" s="13" t="str">
        <f>IF(F1344="","",
MAX(0,
_xlfn.XLOOKUP(F1344,purchase!D:D,purchase!#REF!,"")
-
SUMIFS(L:L,F:F,F1344)))</f>
        <v/>
      </c>
      <c r="O1344" s="13" t="str">
        <f t="shared" si="144"/>
        <v/>
      </c>
      <c r="P1344" s="35" t="str">
        <f>_xlfn.SINGLE(IF(F1344="","",_xlfn.XLOOKUP(F1344,purchase!D:D,purchase!K:K,"")))</f>
        <v/>
      </c>
      <c r="Q1344" s="29" t="str">
        <f t="shared" si="145"/>
        <v/>
      </c>
      <c r="R1344" s="37" t="str">
        <f t="shared" si="146"/>
        <v/>
      </c>
    </row>
    <row r="1345" spans="1:18" x14ac:dyDescent="0.35">
      <c r="A1345" s="8">
        <v>1341</v>
      </c>
      <c r="B1345" s="9" t="str">
        <f t="shared" si="140"/>
        <v/>
      </c>
      <c r="C1345" s="10"/>
      <c r="D1345" s="9" t="str">
        <f>IF(F1345="","",_xlfn.XLOOKUP(F1345,purchase!D:D,purchase!#REF!,""))</f>
        <v/>
      </c>
      <c r="E1345" s="9" t="str">
        <f>IF(F1345="","",_xlfn.XLOOKUP(F1345,purchase!D:D,purchase!B:B,""))</f>
        <v/>
      </c>
      <c r="F1345" s="2"/>
      <c r="G1345" s="4" t="str">
        <f t="shared" si="141"/>
        <v/>
      </c>
      <c r="H1345" s="4" t="str">
        <f>IF(F1345="","",_xlfn.XLOOKUP(F1345,purchase!D:D,purchase!#REF!,""))</f>
        <v/>
      </c>
      <c r="I1345" s="4" t="str">
        <f t="shared" si="142"/>
        <v/>
      </c>
      <c r="J1345" s="4" t="str">
        <f t="shared" si="143"/>
        <v/>
      </c>
      <c r="K1345" s="13" t="str">
        <f>_xlfn.SINGLE(IF(F1345="","",_xlfn.XLOOKUP(F1345,purchase!D:D,purchase!#REF!,"")))</f>
        <v/>
      </c>
      <c r="L1345" s="2"/>
      <c r="M1345" s="32"/>
      <c r="N1345" s="13" t="str">
        <f>IF(F1345="","",
MAX(0,
_xlfn.XLOOKUP(F1345,purchase!D:D,purchase!#REF!,"")
-
SUMIFS(L:L,F:F,F1345)))</f>
        <v/>
      </c>
      <c r="O1345" s="13" t="str">
        <f t="shared" si="144"/>
        <v/>
      </c>
      <c r="P1345" s="35" t="str">
        <f>_xlfn.SINGLE(IF(F1345="","",_xlfn.XLOOKUP(F1345,purchase!D:D,purchase!K:K,"")))</f>
        <v/>
      </c>
      <c r="Q1345" s="29" t="str">
        <f t="shared" si="145"/>
        <v/>
      </c>
      <c r="R1345" s="37" t="str">
        <f t="shared" si="146"/>
        <v/>
      </c>
    </row>
    <row r="1346" spans="1:18" x14ac:dyDescent="0.35">
      <c r="A1346" s="8">
        <v>1342</v>
      </c>
      <c r="B1346" s="9" t="str">
        <f t="shared" si="140"/>
        <v/>
      </c>
      <c r="C1346" s="10"/>
      <c r="D1346" s="9" t="str">
        <f>IF(F1346="","",_xlfn.XLOOKUP(F1346,purchase!D:D,purchase!#REF!,""))</f>
        <v/>
      </c>
      <c r="E1346" s="9" t="str">
        <f>IF(F1346="","",_xlfn.XLOOKUP(F1346,purchase!D:D,purchase!B:B,""))</f>
        <v/>
      </c>
      <c r="F1346" s="2"/>
      <c r="G1346" s="4" t="str">
        <f t="shared" si="141"/>
        <v/>
      </c>
      <c r="H1346" s="4" t="str">
        <f>IF(F1346="","",_xlfn.XLOOKUP(F1346,purchase!D:D,purchase!#REF!,""))</f>
        <v/>
      </c>
      <c r="I1346" s="4" t="str">
        <f t="shared" si="142"/>
        <v/>
      </c>
      <c r="J1346" s="4" t="str">
        <f t="shared" si="143"/>
        <v/>
      </c>
      <c r="K1346" s="13" t="str">
        <f>_xlfn.SINGLE(IF(F1346="","",_xlfn.XLOOKUP(F1346,purchase!D:D,purchase!#REF!,"")))</f>
        <v/>
      </c>
      <c r="L1346" s="2"/>
      <c r="M1346" s="32"/>
      <c r="N1346" s="13" t="str">
        <f>IF(F1346="","",
MAX(0,
_xlfn.XLOOKUP(F1346,purchase!D:D,purchase!#REF!,"")
-
SUMIFS(L:L,F:F,F1346)))</f>
        <v/>
      </c>
      <c r="O1346" s="13" t="str">
        <f t="shared" si="144"/>
        <v/>
      </c>
      <c r="P1346" s="35" t="str">
        <f>_xlfn.SINGLE(IF(F1346="","",_xlfn.XLOOKUP(F1346,purchase!D:D,purchase!K:K,"")))</f>
        <v/>
      </c>
      <c r="Q1346" s="29" t="str">
        <f t="shared" si="145"/>
        <v/>
      </c>
      <c r="R1346" s="37" t="str">
        <f t="shared" si="146"/>
        <v/>
      </c>
    </row>
    <row r="1347" spans="1:18" x14ac:dyDescent="0.35">
      <c r="A1347" s="8">
        <v>1343</v>
      </c>
      <c r="B1347" s="9" t="str">
        <f t="shared" si="140"/>
        <v/>
      </c>
      <c r="C1347" s="10"/>
      <c r="D1347" s="9" t="str">
        <f>IF(F1347="","",_xlfn.XLOOKUP(F1347,purchase!D:D,purchase!#REF!,""))</f>
        <v/>
      </c>
      <c r="E1347" s="9" t="str">
        <f>IF(F1347="","",_xlfn.XLOOKUP(F1347,purchase!D:D,purchase!B:B,""))</f>
        <v/>
      </c>
      <c r="F1347" s="2"/>
      <c r="G1347" s="4" t="str">
        <f t="shared" si="141"/>
        <v/>
      </c>
      <c r="H1347" s="4" t="str">
        <f>IF(F1347="","",_xlfn.XLOOKUP(F1347,purchase!D:D,purchase!#REF!,""))</f>
        <v/>
      </c>
      <c r="I1347" s="4" t="str">
        <f t="shared" si="142"/>
        <v/>
      </c>
      <c r="J1347" s="4" t="str">
        <f t="shared" si="143"/>
        <v/>
      </c>
      <c r="K1347" s="13" t="str">
        <f>_xlfn.SINGLE(IF(F1347="","",_xlfn.XLOOKUP(F1347,purchase!D:D,purchase!#REF!,"")))</f>
        <v/>
      </c>
      <c r="L1347" s="2"/>
      <c r="M1347" s="32"/>
      <c r="N1347" s="13" t="str">
        <f>IF(F1347="","",
MAX(0,
_xlfn.XLOOKUP(F1347,purchase!D:D,purchase!#REF!,"")
-
SUMIFS(L:L,F:F,F1347)))</f>
        <v/>
      </c>
      <c r="O1347" s="13" t="str">
        <f t="shared" si="144"/>
        <v/>
      </c>
      <c r="P1347" s="35" t="str">
        <f>_xlfn.SINGLE(IF(F1347="","",_xlfn.XLOOKUP(F1347,purchase!D:D,purchase!K:K,"")))</f>
        <v/>
      </c>
      <c r="Q1347" s="29" t="str">
        <f t="shared" si="145"/>
        <v/>
      </c>
      <c r="R1347" s="37" t="str">
        <f t="shared" si="146"/>
        <v/>
      </c>
    </row>
    <row r="1348" spans="1:18" x14ac:dyDescent="0.35">
      <c r="A1348" s="8">
        <v>1344</v>
      </c>
      <c r="B1348" s="9" t="str">
        <f t="shared" si="140"/>
        <v/>
      </c>
      <c r="C1348" s="10"/>
      <c r="D1348" s="9" t="str">
        <f>IF(F1348="","",_xlfn.XLOOKUP(F1348,purchase!D:D,purchase!#REF!,""))</f>
        <v/>
      </c>
      <c r="E1348" s="9" t="str">
        <f>IF(F1348="","",_xlfn.XLOOKUP(F1348,purchase!D:D,purchase!B:B,""))</f>
        <v/>
      </c>
      <c r="F1348" s="2"/>
      <c r="G1348" s="4" t="str">
        <f t="shared" si="141"/>
        <v/>
      </c>
      <c r="H1348" s="4" t="str">
        <f>IF(F1348="","",_xlfn.XLOOKUP(F1348,purchase!D:D,purchase!#REF!,""))</f>
        <v/>
      </c>
      <c r="I1348" s="4" t="str">
        <f t="shared" si="142"/>
        <v/>
      </c>
      <c r="J1348" s="4" t="str">
        <f t="shared" si="143"/>
        <v/>
      </c>
      <c r="K1348" s="13" t="str">
        <f>_xlfn.SINGLE(IF(F1348="","",_xlfn.XLOOKUP(F1348,purchase!D:D,purchase!#REF!,"")))</f>
        <v/>
      </c>
      <c r="L1348" s="2"/>
      <c r="M1348" s="32"/>
      <c r="N1348" s="13" t="str">
        <f>IF(F1348="","",
MAX(0,
_xlfn.XLOOKUP(F1348,purchase!D:D,purchase!#REF!,"")
-
SUMIFS(L:L,F:F,F1348)))</f>
        <v/>
      </c>
      <c r="O1348" s="13" t="str">
        <f t="shared" si="144"/>
        <v/>
      </c>
      <c r="P1348" s="35" t="str">
        <f>_xlfn.SINGLE(IF(F1348="","",_xlfn.XLOOKUP(F1348,purchase!D:D,purchase!K:K,"")))</f>
        <v/>
      </c>
      <c r="Q1348" s="29" t="str">
        <f t="shared" si="145"/>
        <v/>
      </c>
      <c r="R1348" s="37" t="str">
        <f t="shared" si="146"/>
        <v/>
      </c>
    </row>
    <row r="1349" spans="1:18" x14ac:dyDescent="0.35">
      <c r="A1349" s="8">
        <v>1345</v>
      </c>
      <c r="B1349" s="9" t="str">
        <f t="shared" ref="B1349:B1412" si="147">IF(OR(C1349="",F1349=""),"",
"PRD-" &amp;
TEXT(DAY(C1349),"00") &amp;
CHOOSE(MONTH(C1349),"A","B","C","D","E","F","G","H","I","J","K","L") &amp;
TEXT(YEAR(C1349),"00") &amp;
"-" &amp;
RIGHT(F1349,4))</f>
        <v/>
      </c>
      <c r="C1349" s="10"/>
      <c r="D1349" s="9" t="str">
        <f>IF(F1349="","",_xlfn.XLOOKUP(F1349,purchase!D:D,purchase!#REF!,""))</f>
        <v/>
      </c>
      <c r="E1349" s="9" t="str">
        <f>IF(F1349="","",_xlfn.XLOOKUP(F1349,purchase!D:D,purchase!B:B,""))</f>
        <v/>
      </c>
      <c r="F1349" s="2"/>
      <c r="G1349" s="4" t="str">
        <f t="shared" ref="G1349:G1412" si="148">IF(H1349="NRFC","Natural Rubber Field Coagulam","")</f>
        <v/>
      </c>
      <c r="H1349" s="4" t="str">
        <f>IF(F1349="","",_xlfn.XLOOKUP(F1349,purchase!D:D,purchase!#REF!,""))</f>
        <v/>
      </c>
      <c r="I1349" s="4" t="str">
        <f t="shared" ref="I1349:I1412" si="149">IF(J1349="ISNR20","Natural Rubber-TSNR (ISNR-20)","")</f>
        <v/>
      </c>
      <c r="J1349" s="4" t="str">
        <f t="shared" ref="J1349:J1412" si="150">IF(H1349="NRFC","ISNR20","")</f>
        <v/>
      </c>
      <c r="K1349" s="13" t="str">
        <f>_xlfn.SINGLE(IF(F1349="","",_xlfn.XLOOKUP(F1349,purchase!D:D,purchase!#REF!,"")))</f>
        <v/>
      </c>
      <c r="L1349" s="2"/>
      <c r="M1349" s="32"/>
      <c r="N1349" s="13" t="str">
        <f>IF(F1349="","",
MAX(0,
_xlfn.XLOOKUP(F1349,purchase!D:D,purchase!#REF!,"")
-
SUMIFS(L:L,F:F,F1349)))</f>
        <v/>
      </c>
      <c r="O1349" s="13" t="str">
        <f t="shared" ref="O1349:O1412" si="151">IF(OR(L1349="",M1349=""),"",L1349-M1349)</f>
        <v/>
      </c>
      <c r="P1349" s="35" t="str">
        <f>_xlfn.SINGLE(IF(F1349="","",_xlfn.XLOOKUP(F1349,purchase!D:D,purchase!K:K,"")))</f>
        <v/>
      </c>
      <c r="Q1349" s="29" t="str">
        <f t="shared" ref="Q1349:Q1412" si="152">IF(OR(L1349="",M1349=""),"",M1349/L1349)</f>
        <v/>
      </c>
      <c r="R1349" s="37" t="str">
        <f t="shared" ref="R1349:R1412" si="153">IF(OR(P1349="",Q1349=""),"",Q1349-P1349)</f>
        <v/>
      </c>
    </row>
    <row r="1350" spans="1:18" x14ac:dyDescent="0.35">
      <c r="A1350" s="8">
        <v>1346</v>
      </c>
      <c r="B1350" s="9" t="str">
        <f t="shared" si="147"/>
        <v/>
      </c>
      <c r="C1350" s="10"/>
      <c r="D1350" s="9" t="str">
        <f>IF(F1350="","",_xlfn.XLOOKUP(F1350,purchase!D:D,purchase!#REF!,""))</f>
        <v/>
      </c>
      <c r="E1350" s="9" t="str">
        <f>IF(F1350="","",_xlfn.XLOOKUP(F1350,purchase!D:D,purchase!B:B,""))</f>
        <v/>
      </c>
      <c r="F1350" s="2"/>
      <c r="G1350" s="4" t="str">
        <f t="shared" si="148"/>
        <v/>
      </c>
      <c r="H1350" s="4" t="str">
        <f>IF(F1350="","",_xlfn.XLOOKUP(F1350,purchase!D:D,purchase!#REF!,""))</f>
        <v/>
      </c>
      <c r="I1350" s="4" t="str">
        <f t="shared" si="149"/>
        <v/>
      </c>
      <c r="J1350" s="4" t="str">
        <f t="shared" si="150"/>
        <v/>
      </c>
      <c r="K1350" s="13" t="str">
        <f>_xlfn.SINGLE(IF(F1350="","",_xlfn.XLOOKUP(F1350,purchase!D:D,purchase!#REF!,"")))</f>
        <v/>
      </c>
      <c r="L1350" s="2"/>
      <c r="M1350" s="32"/>
      <c r="N1350" s="13" t="str">
        <f>IF(F1350="","",
MAX(0,
_xlfn.XLOOKUP(F1350,purchase!D:D,purchase!#REF!,"")
-
SUMIFS(L:L,F:F,F1350)))</f>
        <v/>
      </c>
      <c r="O1350" s="13" t="str">
        <f t="shared" si="151"/>
        <v/>
      </c>
      <c r="P1350" s="35" t="str">
        <f>_xlfn.SINGLE(IF(F1350="","",_xlfn.XLOOKUP(F1350,purchase!D:D,purchase!K:K,"")))</f>
        <v/>
      </c>
      <c r="Q1350" s="29" t="str">
        <f t="shared" si="152"/>
        <v/>
      </c>
      <c r="R1350" s="37" t="str">
        <f t="shared" si="153"/>
        <v/>
      </c>
    </row>
    <row r="1351" spans="1:18" x14ac:dyDescent="0.35">
      <c r="A1351" s="8">
        <v>1347</v>
      </c>
      <c r="B1351" s="9" t="str">
        <f t="shared" si="147"/>
        <v/>
      </c>
      <c r="C1351" s="10"/>
      <c r="D1351" s="9" t="str">
        <f>IF(F1351="","",_xlfn.XLOOKUP(F1351,purchase!D:D,purchase!#REF!,""))</f>
        <v/>
      </c>
      <c r="E1351" s="9" t="str">
        <f>IF(F1351="","",_xlfn.XLOOKUP(F1351,purchase!D:D,purchase!B:B,""))</f>
        <v/>
      </c>
      <c r="F1351" s="2"/>
      <c r="G1351" s="4" t="str">
        <f t="shared" si="148"/>
        <v/>
      </c>
      <c r="H1351" s="4" t="str">
        <f>IF(F1351="","",_xlfn.XLOOKUP(F1351,purchase!D:D,purchase!#REF!,""))</f>
        <v/>
      </c>
      <c r="I1351" s="4" t="str">
        <f t="shared" si="149"/>
        <v/>
      </c>
      <c r="J1351" s="4" t="str">
        <f t="shared" si="150"/>
        <v/>
      </c>
      <c r="K1351" s="13" t="str">
        <f>_xlfn.SINGLE(IF(F1351="","",_xlfn.XLOOKUP(F1351,purchase!D:D,purchase!#REF!,"")))</f>
        <v/>
      </c>
      <c r="L1351" s="2"/>
      <c r="M1351" s="32"/>
      <c r="N1351" s="13" t="str">
        <f>IF(F1351="","",
MAX(0,
_xlfn.XLOOKUP(F1351,purchase!D:D,purchase!#REF!,"")
-
SUMIFS(L:L,F:F,F1351)))</f>
        <v/>
      </c>
      <c r="O1351" s="13" t="str">
        <f t="shared" si="151"/>
        <v/>
      </c>
      <c r="P1351" s="35" t="str">
        <f>_xlfn.SINGLE(IF(F1351="","",_xlfn.XLOOKUP(F1351,purchase!D:D,purchase!K:K,"")))</f>
        <v/>
      </c>
      <c r="Q1351" s="29" t="str">
        <f t="shared" si="152"/>
        <v/>
      </c>
      <c r="R1351" s="37" t="str">
        <f t="shared" si="153"/>
        <v/>
      </c>
    </row>
    <row r="1352" spans="1:18" x14ac:dyDescent="0.35">
      <c r="A1352" s="8">
        <v>1348</v>
      </c>
      <c r="B1352" s="9" t="str">
        <f t="shared" si="147"/>
        <v/>
      </c>
      <c r="C1352" s="10"/>
      <c r="D1352" s="9" t="str">
        <f>IF(F1352="","",_xlfn.XLOOKUP(F1352,purchase!D:D,purchase!#REF!,""))</f>
        <v/>
      </c>
      <c r="E1352" s="9" t="str">
        <f>IF(F1352="","",_xlfn.XLOOKUP(F1352,purchase!D:D,purchase!B:B,""))</f>
        <v/>
      </c>
      <c r="F1352" s="2"/>
      <c r="G1352" s="4" t="str">
        <f t="shared" si="148"/>
        <v/>
      </c>
      <c r="H1352" s="4" t="str">
        <f>IF(F1352="","",_xlfn.XLOOKUP(F1352,purchase!D:D,purchase!#REF!,""))</f>
        <v/>
      </c>
      <c r="I1352" s="4" t="str">
        <f t="shared" si="149"/>
        <v/>
      </c>
      <c r="J1352" s="4" t="str">
        <f t="shared" si="150"/>
        <v/>
      </c>
      <c r="K1352" s="13" t="str">
        <f>_xlfn.SINGLE(IF(F1352="","",_xlfn.XLOOKUP(F1352,purchase!D:D,purchase!#REF!,"")))</f>
        <v/>
      </c>
      <c r="L1352" s="2"/>
      <c r="M1352" s="32"/>
      <c r="N1352" s="13" t="str">
        <f>IF(F1352="","",
MAX(0,
_xlfn.XLOOKUP(F1352,purchase!D:D,purchase!#REF!,"")
-
SUMIFS(L:L,F:F,F1352)))</f>
        <v/>
      </c>
      <c r="O1352" s="13" t="str">
        <f t="shared" si="151"/>
        <v/>
      </c>
      <c r="P1352" s="35" t="str">
        <f>_xlfn.SINGLE(IF(F1352="","",_xlfn.XLOOKUP(F1352,purchase!D:D,purchase!K:K,"")))</f>
        <v/>
      </c>
      <c r="Q1352" s="29" t="str">
        <f t="shared" si="152"/>
        <v/>
      </c>
      <c r="R1352" s="37" t="str">
        <f t="shared" si="153"/>
        <v/>
      </c>
    </row>
    <row r="1353" spans="1:18" x14ac:dyDescent="0.35">
      <c r="A1353" s="8">
        <v>1349</v>
      </c>
      <c r="B1353" s="9" t="str">
        <f t="shared" si="147"/>
        <v/>
      </c>
      <c r="C1353" s="10"/>
      <c r="D1353" s="9" t="str">
        <f>IF(F1353="","",_xlfn.XLOOKUP(F1353,purchase!D:D,purchase!#REF!,""))</f>
        <v/>
      </c>
      <c r="E1353" s="9" t="str">
        <f>IF(F1353="","",_xlfn.XLOOKUP(F1353,purchase!D:D,purchase!B:B,""))</f>
        <v/>
      </c>
      <c r="F1353" s="2"/>
      <c r="G1353" s="4" t="str">
        <f t="shared" si="148"/>
        <v/>
      </c>
      <c r="H1353" s="4" t="str">
        <f>IF(F1353="","",_xlfn.XLOOKUP(F1353,purchase!D:D,purchase!#REF!,""))</f>
        <v/>
      </c>
      <c r="I1353" s="4" t="str">
        <f t="shared" si="149"/>
        <v/>
      </c>
      <c r="J1353" s="4" t="str">
        <f t="shared" si="150"/>
        <v/>
      </c>
      <c r="K1353" s="13" t="str">
        <f>_xlfn.SINGLE(IF(F1353="","",_xlfn.XLOOKUP(F1353,purchase!D:D,purchase!#REF!,"")))</f>
        <v/>
      </c>
      <c r="L1353" s="2"/>
      <c r="M1353" s="32"/>
      <c r="N1353" s="13" t="str">
        <f>IF(F1353="","",
MAX(0,
_xlfn.XLOOKUP(F1353,purchase!D:D,purchase!#REF!,"")
-
SUMIFS(L:L,F:F,F1353)))</f>
        <v/>
      </c>
      <c r="O1353" s="13" t="str">
        <f t="shared" si="151"/>
        <v/>
      </c>
      <c r="P1353" s="35" t="str">
        <f>_xlfn.SINGLE(IF(F1353="","",_xlfn.XLOOKUP(F1353,purchase!D:D,purchase!K:K,"")))</f>
        <v/>
      </c>
      <c r="Q1353" s="29" t="str">
        <f t="shared" si="152"/>
        <v/>
      </c>
      <c r="R1353" s="37" t="str">
        <f t="shared" si="153"/>
        <v/>
      </c>
    </row>
    <row r="1354" spans="1:18" x14ac:dyDescent="0.35">
      <c r="A1354" s="8">
        <v>1350</v>
      </c>
      <c r="B1354" s="9" t="str">
        <f t="shared" si="147"/>
        <v/>
      </c>
      <c r="C1354" s="10"/>
      <c r="D1354" s="9" t="str">
        <f>IF(F1354="","",_xlfn.XLOOKUP(F1354,purchase!D:D,purchase!#REF!,""))</f>
        <v/>
      </c>
      <c r="E1354" s="9" t="str">
        <f>IF(F1354="","",_xlfn.XLOOKUP(F1354,purchase!D:D,purchase!B:B,""))</f>
        <v/>
      </c>
      <c r="F1354" s="2"/>
      <c r="G1354" s="4" t="str">
        <f t="shared" si="148"/>
        <v/>
      </c>
      <c r="H1354" s="4" t="str">
        <f>IF(F1354="","",_xlfn.XLOOKUP(F1354,purchase!D:D,purchase!#REF!,""))</f>
        <v/>
      </c>
      <c r="I1354" s="4" t="str">
        <f t="shared" si="149"/>
        <v/>
      </c>
      <c r="J1354" s="4" t="str">
        <f t="shared" si="150"/>
        <v/>
      </c>
      <c r="K1354" s="13" t="str">
        <f>_xlfn.SINGLE(IF(F1354="","",_xlfn.XLOOKUP(F1354,purchase!D:D,purchase!#REF!,"")))</f>
        <v/>
      </c>
      <c r="L1354" s="2"/>
      <c r="M1354" s="32"/>
      <c r="N1354" s="13" t="str">
        <f>IF(F1354="","",
MAX(0,
_xlfn.XLOOKUP(F1354,purchase!D:D,purchase!#REF!,"")
-
SUMIFS(L:L,F:F,F1354)))</f>
        <v/>
      </c>
      <c r="O1354" s="13" t="str">
        <f t="shared" si="151"/>
        <v/>
      </c>
      <c r="P1354" s="35" t="str">
        <f>_xlfn.SINGLE(IF(F1354="","",_xlfn.XLOOKUP(F1354,purchase!D:D,purchase!K:K,"")))</f>
        <v/>
      </c>
      <c r="Q1354" s="29" t="str">
        <f t="shared" si="152"/>
        <v/>
      </c>
      <c r="R1354" s="37" t="str">
        <f t="shared" si="153"/>
        <v/>
      </c>
    </row>
    <row r="1355" spans="1:18" x14ac:dyDescent="0.35">
      <c r="A1355" s="8">
        <v>1351</v>
      </c>
      <c r="B1355" s="9" t="str">
        <f t="shared" si="147"/>
        <v/>
      </c>
      <c r="C1355" s="10"/>
      <c r="D1355" s="9" t="str">
        <f>IF(F1355="","",_xlfn.XLOOKUP(F1355,purchase!D:D,purchase!#REF!,""))</f>
        <v/>
      </c>
      <c r="E1355" s="9" t="str">
        <f>IF(F1355="","",_xlfn.XLOOKUP(F1355,purchase!D:D,purchase!B:B,""))</f>
        <v/>
      </c>
      <c r="F1355" s="2"/>
      <c r="G1355" s="4" t="str">
        <f t="shared" si="148"/>
        <v/>
      </c>
      <c r="H1355" s="4" t="str">
        <f>IF(F1355="","",_xlfn.XLOOKUP(F1355,purchase!D:D,purchase!#REF!,""))</f>
        <v/>
      </c>
      <c r="I1355" s="4" t="str">
        <f t="shared" si="149"/>
        <v/>
      </c>
      <c r="J1355" s="4" t="str">
        <f t="shared" si="150"/>
        <v/>
      </c>
      <c r="K1355" s="13" t="str">
        <f>_xlfn.SINGLE(IF(F1355="","",_xlfn.XLOOKUP(F1355,purchase!D:D,purchase!#REF!,"")))</f>
        <v/>
      </c>
      <c r="L1355" s="2"/>
      <c r="M1355" s="32"/>
      <c r="N1355" s="13" t="str">
        <f>IF(F1355="","",
MAX(0,
_xlfn.XLOOKUP(F1355,purchase!D:D,purchase!#REF!,"")
-
SUMIFS(L:L,F:F,F1355)))</f>
        <v/>
      </c>
      <c r="O1355" s="13" t="str">
        <f t="shared" si="151"/>
        <v/>
      </c>
      <c r="P1355" s="35" t="str">
        <f>_xlfn.SINGLE(IF(F1355="","",_xlfn.XLOOKUP(F1355,purchase!D:D,purchase!K:K,"")))</f>
        <v/>
      </c>
      <c r="Q1355" s="29" t="str">
        <f t="shared" si="152"/>
        <v/>
      </c>
      <c r="R1355" s="37" t="str">
        <f t="shared" si="153"/>
        <v/>
      </c>
    </row>
    <row r="1356" spans="1:18" x14ac:dyDescent="0.35">
      <c r="A1356" s="8">
        <v>1352</v>
      </c>
      <c r="B1356" s="9" t="str">
        <f t="shared" si="147"/>
        <v/>
      </c>
      <c r="C1356" s="10"/>
      <c r="D1356" s="9" t="str">
        <f>IF(F1356="","",_xlfn.XLOOKUP(F1356,purchase!D:D,purchase!#REF!,""))</f>
        <v/>
      </c>
      <c r="E1356" s="9" t="str">
        <f>IF(F1356="","",_xlfn.XLOOKUP(F1356,purchase!D:D,purchase!B:B,""))</f>
        <v/>
      </c>
      <c r="F1356" s="2"/>
      <c r="G1356" s="4" t="str">
        <f t="shared" si="148"/>
        <v/>
      </c>
      <c r="H1356" s="4" t="str">
        <f>IF(F1356="","",_xlfn.XLOOKUP(F1356,purchase!D:D,purchase!#REF!,""))</f>
        <v/>
      </c>
      <c r="I1356" s="4" t="str">
        <f t="shared" si="149"/>
        <v/>
      </c>
      <c r="J1356" s="4" t="str">
        <f t="shared" si="150"/>
        <v/>
      </c>
      <c r="K1356" s="13" t="str">
        <f>_xlfn.SINGLE(IF(F1356="","",_xlfn.XLOOKUP(F1356,purchase!D:D,purchase!#REF!,"")))</f>
        <v/>
      </c>
      <c r="L1356" s="2"/>
      <c r="M1356" s="32"/>
      <c r="N1356" s="13" t="str">
        <f>IF(F1356="","",
MAX(0,
_xlfn.XLOOKUP(F1356,purchase!D:D,purchase!#REF!,"")
-
SUMIFS(L:L,F:F,F1356)))</f>
        <v/>
      </c>
      <c r="O1356" s="13" t="str">
        <f t="shared" si="151"/>
        <v/>
      </c>
      <c r="P1356" s="35" t="str">
        <f>_xlfn.SINGLE(IF(F1356="","",_xlfn.XLOOKUP(F1356,purchase!D:D,purchase!K:K,"")))</f>
        <v/>
      </c>
      <c r="Q1356" s="29" t="str">
        <f t="shared" si="152"/>
        <v/>
      </c>
      <c r="R1356" s="37" t="str">
        <f t="shared" si="153"/>
        <v/>
      </c>
    </row>
    <row r="1357" spans="1:18" x14ac:dyDescent="0.35">
      <c r="A1357" s="8">
        <v>1353</v>
      </c>
      <c r="B1357" s="9" t="str">
        <f t="shared" si="147"/>
        <v/>
      </c>
      <c r="C1357" s="10"/>
      <c r="D1357" s="9" t="str">
        <f>IF(F1357="","",_xlfn.XLOOKUP(F1357,purchase!D:D,purchase!#REF!,""))</f>
        <v/>
      </c>
      <c r="E1357" s="9" t="str">
        <f>IF(F1357="","",_xlfn.XLOOKUP(F1357,purchase!D:D,purchase!B:B,""))</f>
        <v/>
      </c>
      <c r="F1357" s="2"/>
      <c r="G1357" s="4" t="str">
        <f t="shared" si="148"/>
        <v/>
      </c>
      <c r="H1357" s="4" t="str">
        <f>IF(F1357="","",_xlfn.XLOOKUP(F1357,purchase!D:D,purchase!#REF!,""))</f>
        <v/>
      </c>
      <c r="I1357" s="4" t="str">
        <f t="shared" si="149"/>
        <v/>
      </c>
      <c r="J1357" s="4" t="str">
        <f t="shared" si="150"/>
        <v/>
      </c>
      <c r="K1357" s="13" t="str">
        <f>_xlfn.SINGLE(IF(F1357="","",_xlfn.XLOOKUP(F1357,purchase!D:D,purchase!#REF!,"")))</f>
        <v/>
      </c>
      <c r="L1357" s="2"/>
      <c r="M1357" s="32"/>
      <c r="N1357" s="13" t="str">
        <f>IF(F1357="","",
MAX(0,
_xlfn.XLOOKUP(F1357,purchase!D:D,purchase!#REF!,"")
-
SUMIFS(L:L,F:F,F1357)))</f>
        <v/>
      </c>
      <c r="O1357" s="13" t="str">
        <f t="shared" si="151"/>
        <v/>
      </c>
      <c r="P1357" s="35" t="str">
        <f>_xlfn.SINGLE(IF(F1357="","",_xlfn.XLOOKUP(F1357,purchase!D:D,purchase!K:K,"")))</f>
        <v/>
      </c>
      <c r="Q1357" s="29" t="str">
        <f t="shared" si="152"/>
        <v/>
      </c>
      <c r="R1357" s="37" t="str">
        <f t="shared" si="153"/>
        <v/>
      </c>
    </row>
    <row r="1358" spans="1:18" x14ac:dyDescent="0.35">
      <c r="A1358" s="8">
        <v>1354</v>
      </c>
      <c r="B1358" s="9" t="str">
        <f t="shared" si="147"/>
        <v/>
      </c>
      <c r="C1358" s="10"/>
      <c r="D1358" s="9" t="str">
        <f>IF(F1358="","",_xlfn.XLOOKUP(F1358,purchase!D:D,purchase!#REF!,""))</f>
        <v/>
      </c>
      <c r="E1358" s="9" t="str">
        <f>IF(F1358="","",_xlfn.XLOOKUP(F1358,purchase!D:D,purchase!B:B,""))</f>
        <v/>
      </c>
      <c r="F1358" s="2"/>
      <c r="G1358" s="4" t="str">
        <f t="shared" si="148"/>
        <v/>
      </c>
      <c r="H1358" s="4" t="str">
        <f>IF(F1358="","",_xlfn.XLOOKUP(F1358,purchase!D:D,purchase!#REF!,""))</f>
        <v/>
      </c>
      <c r="I1358" s="4" t="str">
        <f t="shared" si="149"/>
        <v/>
      </c>
      <c r="J1358" s="4" t="str">
        <f t="shared" si="150"/>
        <v/>
      </c>
      <c r="K1358" s="13" t="str">
        <f>_xlfn.SINGLE(IF(F1358="","",_xlfn.XLOOKUP(F1358,purchase!D:D,purchase!#REF!,"")))</f>
        <v/>
      </c>
      <c r="L1358" s="2"/>
      <c r="M1358" s="32"/>
      <c r="N1358" s="13" t="str">
        <f>IF(F1358="","",
MAX(0,
_xlfn.XLOOKUP(F1358,purchase!D:D,purchase!#REF!,"")
-
SUMIFS(L:L,F:F,F1358)))</f>
        <v/>
      </c>
      <c r="O1358" s="13" t="str">
        <f t="shared" si="151"/>
        <v/>
      </c>
      <c r="P1358" s="35" t="str">
        <f>_xlfn.SINGLE(IF(F1358="","",_xlfn.XLOOKUP(F1358,purchase!D:D,purchase!K:K,"")))</f>
        <v/>
      </c>
      <c r="Q1358" s="29" t="str">
        <f t="shared" si="152"/>
        <v/>
      </c>
      <c r="R1358" s="37" t="str">
        <f t="shared" si="153"/>
        <v/>
      </c>
    </row>
    <row r="1359" spans="1:18" x14ac:dyDescent="0.35">
      <c r="A1359" s="8">
        <v>1355</v>
      </c>
      <c r="B1359" s="9" t="str">
        <f t="shared" si="147"/>
        <v/>
      </c>
      <c r="C1359" s="10"/>
      <c r="D1359" s="9" t="str">
        <f>IF(F1359="","",_xlfn.XLOOKUP(F1359,purchase!D:D,purchase!#REF!,""))</f>
        <v/>
      </c>
      <c r="E1359" s="9" t="str">
        <f>IF(F1359="","",_xlfn.XLOOKUP(F1359,purchase!D:D,purchase!B:B,""))</f>
        <v/>
      </c>
      <c r="F1359" s="2"/>
      <c r="G1359" s="4" t="str">
        <f t="shared" si="148"/>
        <v/>
      </c>
      <c r="H1359" s="4" t="str">
        <f>IF(F1359="","",_xlfn.XLOOKUP(F1359,purchase!D:D,purchase!#REF!,""))</f>
        <v/>
      </c>
      <c r="I1359" s="4" t="str">
        <f t="shared" si="149"/>
        <v/>
      </c>
      <c r="J1359" s="4" t="str">
        <f t="shared" si="150"/>
        <v/>
      </c>
      <c r="K1359" s="13" t="str">
        <f>_xlfn.SINGLE(IF(F1359="","",_xlfn.XLOOKUP(F1359,purchase!D:D,purchase!#REF!,"")))</f>
        <v/>
      </c>
      <c r="L1359" s="2"/>
      <c r="M1359" s="32"/>
      <c r="N1359" s="13" t="str">
        <f>IF(F1359="","",
MAX(0,
_xlfn.XLOOKUP(F1359,purchase!D:D,purchase!#REF!,"")
-
SUMIFS(L:L,F:F,F1359)))</f>
        <v/>
      </c>
      <c r="O1359" s="13" t="str">
        <f t="shared" si="151"/>
        <v/>
      </c>
      <c r="P1359" s="35" t="str">
        <f>_xlfn.SINGLE(IF(F1359="","",_xlfn.XLOOKUP(F1359,purchase!D:D,purchase!K:K,"")))</f>
        <v/>
      </c>
      <c r="Q1359" s="29" t="str">
        <f t="shared" si="152"/>
        <v/>
      </c>
      <c r="R1359" s="37" t="str">
        <f t="shared" si="153"/>
        <v/>
      </c>
    </row>
    <row r="1360" spans="1:18" x14ac:dyDescent="0.35">
      <c r="A1360" s="8">
        <v>1356</v>
      </c>
      <c r="B1360" s="9" t="str">
        <f t="shared" si="147"/>
        <v/>
      </c>
      <c r="C1360" s="10"/>
      <c r="D1360" s="9" t="str">
        <f>IF(F1360="","",_xlfn.XLOOKUP(F1360,purchase!D:D,purchase!#REF!,""))</f>
        <v/>
      </c>
      <c r="E1360" s="9" t="str">
        <f>IF(F1360="","",_xlfn.XLOOKUP(F1360,purchase!D:D,purchase!B:B,""))</f>
        <v/>
      </c>
      <c r="F1360" s="2"/>
      <c r="G1360" s="4" t="str">
        <f t="shared" si="148"/>
        <v/>
      </c>
      <c r="H1360" s="4" t="str">
        <f>IF(F1360="","",_xlfn.XLOOKUP(F1360,purchase!D:D,purchase!#REF!,""))</f>
        <v/>
      </c>
      <c r="I1360" s="4" t="str">
        <f t="shared" si="149"/>
        <v/>
      </c>
      <c r="J1360" s="4" t="str">
        <f t="shared" si="150"/>
        <v/>
      </c>
      <c r="K1360" s="13" t="str">
        <f>_xlfn.SINGLE(IF(F1360="","",_xlfn.XLOOKUP(F1360,purchase!D:D,purchase!#REF!,"")))</f>
        <v/>
      </c>
      <c r="L1360" s="2"/>
      <c r="M1360" s="32"/>
      <c r="N1360" s="13" t="str">
        <f>IF(F1360="","",
MAX(0,
_xlfn.XLOOKUP(F1360,purchase!D:D,purchase!#REF!,"")
-
SUMIFS(L:L,F:F,F1360)))</f>
        <v/>
      </c>
      <c r="O1360" s="13" t="str">
        <f t="shared" si="151"/>
        <v/>
      </c>
      <c r="P1360" s="35" t="str">
        <f>_xlfn.SINGLE(IF(F1360="","",_xlfn.XLOOKUP(F1360,purchase!D:D,purchase!K:K,"")))</f>
        <v/>
      </c>
      <c r="Q1360" s="29" t="str">
        <f t="shared" si="152"/>
        <v/>
      </c>
      <c r="R1360" s="37" t="str">
        <f t="shared" si="153"/>
        <v/>
      </c>
    </row>
    <row r="1361" spans="1:18" x14ac:dyDescent="0.35">
      <c r="A1361" s="8">
        <v>1357</v>
      </c>
      <c r="B1361" s="9" t="str">
        <f t="shared" si="147"/>
        <v/>
      </c>
      <c r="C1361" s="10"/>
      <c r="D1361" s="9" t="str">
        <f>IF(F1361="","",_xlfn.XLOOKUP(F1361,purchase!D:D,purchase!#REF!,""))</f>
        <v/>
      </c>
      <c r="E1361" s="9" t="str">
        <f>IF(F1361="","",_xlfn.XLOOKUP(F1361,purchase!D:D,purchase!B:B,""))</f>
        <v/>
      </c>
      <c r="F1361" s="2"/>
      <c r="G1361" s="4" t="str">
        <f t="shared" si="148"/>
        <v/>
      </c>
      <c r="H1361" s="4" t="str">
        <f>IF(F1361="","",_xlfn.XLOOKUP(F1361,purchase!D:D,purchase!#REF!,""))</f>
        <v/>
      </c>
      <c r="I1361" s="4" t="str">
        <f t="shared" si="149"/>
        <v/>
      </c>
      <c r="J1361" s="4" t="str">
        <f t="shared" si="150"/>
        <v/>
      </c>
      <c r="K1361" s="13" t="str">
        <f>_xlfn.SINGLE(IF(F1361="","",_xlfn.XLOOKUP(F1361,purchase!D:D,purchase!#REF!,"")))</f>
        <v/>
      </c>
      <c r="L1361" s="2"/>
      <c r="M1361" s="32"/>
      <c r="N1361" s="13" t="str">
        <f>IF(F1361="","",
MAX(0,
_xlfn.XLOOKUP(F1361,purchase!D:D,purchase!#REF!,"")
-
SUMIFS(L:L,F:F,F1361)))</f>
        <v/>
      </c>
      <c r="O1361" s="13" t="str">
        <f t="shared" si="151"/>
        <v/>
      </c>
      <c r="P1361" s="35" t="str">
        <f>_xlfn.SINGLE(IF(F1361="","",_xlfn.XLOOKUP(F1361,purchase!D:D,purchase!K:K,"")))</f>
        <v/>
      </c>
      <c r="Q1361" s="29" t="str">
        <f t="shared" si="152"/>
        <v/>
      </c>
      <c r="R1361" s="37" t="str">
        <f t="shared" si="153"/>
        <v/>
      </c>
    </row>
    <row r="1362" spans="1:18" x14ac:dyDescent="0.35">
      <c r="A1362" s="8">
        <v>1358</v>
      </c>
      <c r="B1362" s="9" t="str">
        <f t="shared" si="147"/>
        <v/>
      </c>
      <c r="C1362" s="10"/>
      <c r="D1362" s="9" t="str">
        <f>IF(F1362="","",_xlfn.XLOOKUP(F1362,purchase!D:D,purchase!#REF!,""))</f>
        <v/>
      </c>
      <c r="E1362" s="9" t="str">
        <f>IF(F1362="","",_xlfn.XLOOKUP(F1362,purchase!D:D,purchase!B:B,""))</f>
        <v/>
      </c>
      <c r="F1362" s="2"/>
      <c r="G1362" s="4" t="str">
        <f t="shared" si="148"/>
        <v/>
      </c>
      <c r="H1362" s="4" t="str">
        <f>IF(F1362="","",_xlfn.XLOOKUP(F1362,purchase!D:D,purchase!#REF!,""))</f>
        <v/>
      </c>
      <c r="I1362" s="4" t="str">
        <f t="shared" si="149"/>
        <v/>
      </c>
      <c r="J1362" s="4" t="str">
        <f t="shared" si="150"/>
        <v/>
      </c>
      <c r="K1362" s="13" t="str">
        <f>_xlfn.SINGLE(IF(F1362="","",_xlfn.XLOOKUP(F1362,purchase!D:D,purchase!#REF!,"")))</f>
        <v/>
      </c>
      <c r="L1362" s="2"/>
      <c r="M1362" s="32"/>
      <c r="N1362" s="13" t="str">
        <f>IF(F1362="","",
MAX(0,
_xlfn.XLOOKUP(F1362,purchase!D:D,purchase!#REF!,"")
-
SUMIFS(L:L,F:F,F1362)))</f>
        <v/>
      </c>
      <c r="O1362" s="13" t="str">
        <f t="shared" si="151"/>
        <v/>
      </c>
      <c r="P1362" s="35" t="str">
        <f>_xlfn.SINGLE(IF(F1362="","",_xlfn.XLOOKUP(F1362,purchase!D:D,purchase!K:K,"")))</f>
        <v/>
      </c>
      <c r="Q1362" s="29" t="str">
        <f t="shared" si="152"/>
        <v/>
      </c>
      <c r="R1362" s="37" t="str">
        <f t="shared" si="153"/>
        <v/>
      </c>
    </row>
    <row r="1363" spans="1:18" x14ac:dyDescent="0.35">
      <c r="A1363" s="8">
        <v>1359</v>
      </c>
      <c r="B1363" s="9" t="str">
        <f t="shared" si="147"/>
        <v/>
      </c>
      <c r="C1363" s="10"/>
      <c r="D1363" s="9" t="str">
        <f>IF(F1363="","",_xlfn.XLOOKUP(F1363,purchase!D:D,purchase!#REF!,""))</f>
        <v/>
      </c>
      <c r="E1363" s="9" t="str">
        <f>IF(F1363="","",_xlfn.XLOOKUP(F1363,purchase!D:D,purchase!B:B,""))</f>
        <v/>
      </c>
      <c r="F1363" s="2"/>
      <c r="G1363" s="4" t="str">
        <f t="shared" si="148"/>
        <v/>
      </c>
      <c r="H1363" s="4" t="str">
        <f>IF(F1363="","",_xlfn.XLOOKUP(F1363,purchase!D:D,purchase!#REF!,""))</f>
        <v/>
      </c>
      <c r="I1363" s="4" t="str">
        <f t="shared" si="149"/>
        <v/>
      </c>
      <c r="J1363" s="4" t="str">
        <f t="shared" si="150"/>
        <v/>
      </c>
      <c r="K1363" s="13" t="str">
        <f>_xlfn.SINGLE(IF(F1363="","",_xlfn.XLOOKUP(F1363,purchase!D:D,purchase!#REF!,"")))</f>
        <v/>
      </c>
      <c r="L1363" s="2"/>
      <c r="M1363" s="32"/>
      <c r="N1363" s="13" t="str">
        <f>IF(F1363="","",
MAX(0,
_xlfn.XLOOKUP(F1363,purchase!D:D,purchase!#REF!,"")
-
SUMIFS(L:L,F:F,F1363)))</f>
        <v/>
      </c>
      <c r="O1363" s="13" t="str">
        <f t="shared" si="151"/>
        <v/>
      </c>
      <c r="P1363" s="35" t="str">
        <f>_xlfn.SINGLE(IF(F1363="","",_xlfn.XLOOKUP(F1363,purchase!D:D,purchase!K:K,"")))</f>
        <v/>
      </c>
      <c r="Q1363" s="29" t="str">
        <f t="shared" si="152"/>
        <v/>
      </c>
      <c r="R1363" s="37" t="str">
        <f t="shared" si="153"/>
        <v/>
      </c>
    </row>
    <row r="1364" spans="1:18" x14ac:dyDescent="0.35">
      <c r="A1364" s="8">
        <v>1360</v>
      </c>
      <c r="B1364" s="9" t="str">
        <f t="shared" si="147"/>
        <v/>
      </c>
      <c r="C1364" s="10"/>
      <c r="D1364" s="9" t="str">
        <f>IF(F1364="","",_xlfn.XLOOKUP(F1364,purchase!D:D,purchase!#REF!,""))</f>
        <v/>
      </c>
      <c r="E1364" s="9" t="str">
        <f>IF(F1364="","",_xlfn.XLOOKUP(F1364,purchase!D:D,purchase!B:B,""))</f>
        <v/>
      </c>
      <c r="F1364" s="2"/>
      <c r="G1364" s="4" t="str">
        <f t="shared" si="148"/>
        <v/>
      </c>
      <c r="H1364" s="4" t="str">
        <f>IF(F1364="","",_xlfn.XLOOKUP(F1364,purchase!D:D,purchase!#REF!,""))</f>
        <v/>
      </c>
      <c r="I1364" s="4" t="str">
        <f t="shared" si="149"/>
        <v/>
      </c>
      <c r="J1364" s="4" t="str">
        <f t="shared" si="150"/>
        <v/>
      </c>
      <c r="K1364" s="13" t="str">
        <f>_xlfn.SINGLE(IF(F1364="","",_xlfn.XLOOKUP(F1364,purchase!D:D,purchase!#REF!,"")))</f>
        <v/>
      </c>
      <c r="L1364" s="2"/>
      <c r="M1364" s="32"/>
      <c r="N1364" s="13" t="str">
        <f>IF(F1364="","",
MAX(0,
_xlfn.XLOOKUP(F1364,purchase!D:D,purchase!#REF!,"")
-
SUMIFS(L:L,F:F,F1364)))</f>
        <v/>
      </c>
      <c r="O1364" s="13" t="str">
        <f t="shared" si="151"/>
        <v/>
      </c>
      <c r="P1364" s="35" t="str">
        <f>_xlfn.SINGLE(IF(F1364="","",_xlfn.XLOOKUP(F1364,purchase!D:D,purchase!K:K,"")))</f>
        <v/>
      </c>
      <c r="Q1364" s="29" t="str">
        <f t="shared" si="152"/>
        <v/>
      </c>
      <c r="R1364" s="37" t="str">
        <f t="shared" si="153"/>
        <v/>
      </c>
    </row>
    <row r="1365" spans="1:18" x14ac:dyDescent="0.35">
      <c r="A1365" s="8">
        <v>1361</v>
      </c>
      <c r="B1365" s="9" t="str">
        <f t="shared" si="147"/>
        <v/>
      </c>
      <c r="C1365" s="10"/>
      <c r="D1365" s="9" t="str">
        <f>IF(F1365="","",_xlfn.XLOOKUP(F1365,purchase!D:D,purchase!#REF!,""))</f>
        <v/>
      </c>
      <c r="E1365" s="9" t="str">
        <f>IF(F1365="","",_xlfn.XLOOKUP(F1365,purchase!D:D,purchase!B:B,""))</f>
        <v/>
      </c>
      <c r="F1365" s="2"/>
      <c r="G1365" s="4" t="str">
        <f t="shared" si="148"/>
        <v/>
      </c>
      <c r="H1365" s="4" t="str">
        <f>IF(F1365="","",_xlfn.XLOOKUP(F1365,purchase!D:D,purchase!#REF!,""))</f>
        <v/>
      </c>
      <c r="I1365" s="4" t="str">
        <f t="shared" si="149"/>
        <v/>
      </c>
      <c r="J1365" s="4" t="str">
        <f t="shared" si="150"/>
        <v/>
      </c>
      <c r="K1365" s="13" t="str">
        <f>_xlfn.SINGLE(IF(F1365="","",_xlfn.XLOOKUP(F1365,purchase!D:D,purchase!#REF!,"")))</f>
        <v/>
      </c>
      <c r="L1365" s="2"/>
      <c r="M1365" s="32"/>
      <c r="N1365" s="13" t="str">
        <f>IF(F1365="","",
MAX(0,
_xlfn.XLOOKUP(F1365,purchase!D:D,purchase!#REF!,"")
-
SUMIFS(L:L,F:F,F1365)))</f>
        <v/>
      </c>
      <c r="O1365" s="13" t="str">
        <f t="shared" si="151"/>
        <v/>
      </c>
      <c r="P1365" s="35" t="str">
        <f>_xlfn.SINGLE(IF(F1365="","",_xlfn.XLOOKUP(F1365,purchase!D:D,purchase!K:K,"")))</f>
        <v/>
      </c>
      <c r="Q1365" s="29" t="str">
        <f t="shared" si="152"/>
        <v/>
      </c>
      <c r="R1365" s="37" t="str">
        <f t="shared" si="153"/>
        <v/>
      </c>
    </row>
    <row r="1366" spans="1:18" x14ac:dyDescent="0.35">
      <c r="A1366" s="8">
        <v>1362</v>
      </c>
      <c r="B1366" s="9" t="str">
        <f t="shared" si="147"/>
        <v/>
      </c>
      <c r="C1366" s="10"/>
      <c r="D1366" s="9" t="str">
        <f>IF(F1366="","",_xlfn.XLOOKUP(F1366,purchase!D:D,purchase!#REF!,""))</f>
        <v/>
      </c>
      <c r="E1366" s="9" t="str">
        <f>IF(F1366="","",_xlfn.XLOOKUP(F1366,purchase!D:D,purchase!B:B,""))</f>
        <v/>
      </c>
      <c r="F1366" s="2"/>
      <c r="G1366" s="4" t="str">
        <f t="shared" si="148"/>
        <v/>
      </c>
      <c r="H1366" s="4" t="str">
        <f>IF(F1366="","",_xlfn.XLOOKUP(F1366,purchase!D:D,purchase!#REF!,""))</f>
        <v/>
      </c>
      <c r="I1366" s="4" t="str">
        <f t="shared" si="149"/>
        <v/>
      </c>
      <c r="J1366" s="4" t="str">
        <f t="shared" si="150"/>
        <v/>
      </c>
      <c r="K1366" s="13" t="str">
        <f>_xlfn.SINGLE(IF(F1366="","",_xlfn.XLOOKUP(F1366,purchase!D:D,purchase!#REF!,"")))</f>
        <v/>
      </c>
      <c r="L1366" s="2"/>
      <c r="M1366" s="32"/>
      <c r="N1366" s="13" t="str">
        <f>IF(F1366="","",
MAX(0,
_xlfn.XLOOKUP(F1366,purchase!D:D,purchase!#REF!,"")
-
SUMIFS(L:L,F:F,F1366)))</f>
        <v/>
      </c>
      <c r="O1366" s="13" t="str">
        <f t="shared" si="151"/>
        <v/>
      </c>
      <c r="P1366" s="35" t="str">
        <f>_xlfn.SINGLE(IF(F1366="","",_xlfn.XLOOKUP(F1366,purchase!D:D,purchase!K:K,"")))</f>
        <v/>
      </c>
      <c r="Q1366" s="29" t="str">
        <f t="shared" si="152"/>
        <v/>
      </c>
      <c r="R1366" s="37" t="str">
        <f t="shared" si="153"/>
        <v/>
      </c>
    </row>
    <row r="1367" spans="1:18" x14ac:dyDescent="0.35">
      <c r="A1367" s="8">
        <v>1363</v>
      </c>
      <c r="B1367" s="9" t="str">
        <f t="shared" si="147"/>
        <v/>
      </c>
      <c r="C1367" s="10"/>
      <c r="D1367" s="9" t="str">
        <f>IF(F1367="","",_xlfn.XLOOKUP(F1367,purchase!D:D,purchase!#REF!,""))</f>
        <v/>
      </c>
      <c r="E1367" s="9" t="str">
        <f>IF(F1367="","",_xlfn.XLOOKUP(F1367,purchase!D:D,purchase!B:B,""))</f>
        <v/>
      </c>
      <c r="F1367" s="2"/>
      <c r="G1367" s="4" t="str">
        <f t="shared" si="148"/>
        <v/>
      </c>
      <c r="H1367" s="4" t="str">
        <f>IF(F1367="","",_xlfn.XLOOKUP(F1367,purchase!D:D,purchase!#REF!,""))</f>
        <v/>
      </c>
      <c r="I1367" s="4" t="str">
        <f t="shared" si="149"/>
        <v/>
      </c>
      <c r="J1367" s="4" t="str">
        <f t="shared" si="150"/>
        <v/>
      </c>
      <c r="K1367" s="13" t="str">
        <f>_xlfn.SINGLE(IF(F1367="","",_xlfn.XLOOKUP(F1367,purchase!D:D,purchase!#REF!,"")))</f>
        <v/>
      </c>
      <c r="L1367" s="2"/>
      <c r="M1367" s="32"/>
      <c r="N1367" s="13" t="str">
        <f>IF(F1367="","",
MAX(0,
_xlfn.XLOOKUP(F1367,purchase!D:D,purchase!#REF!,"")
-
SUMIFS(L:L,F:F,F1367)))</f>
        <v/>
      </c>
      <c r="O1367" s="13" t="str">
        <f t="shared" si="151"/>
        <v/>
      </c>
      <c r="P1367" s="35" t="str">
        <f>_xlfn.SINGLE(IF(F1367="","",_xlfn.XLOOKUP(F1367,purchase!D:D,purchase!K:K,"")))</f>
        <v/>
      </c>
      <c r="Q1367" s="29" t="str">
        <f t="shared" si="152"/>
        <v/>
      </c>
      <c r="R1367" s="37" t="str">
        <f t="shared" si="153"/>
        <v/>
      </c>
    </row>
    <row r="1368" spans="1:18" x14ac:dyDescent="0.35">
      <c r="A1368" s="8">
        <v>1364</v>
      </c>
      <c r="B1368" s="9" t="str">
        <f t="shared" si="147"/>
        <v/>
      </c>
      <c r="C1368" s="10"/>
      <c r="D1368" s="9" t="str">
        <f>IF(F1368="","",_xlfn.XLOOKUP(F1368,purchase!D:D,purchase!#REF!,""))</f>
        <v/>
      </c>
      <c r="E1368" s="9" t="str">
        <f>IF(F1368="","",_xlfn.XLOOKUP(F1368,purchase!D:D,purchase!B:B,""))</f>
        <v/>
      </c>
      <c r="F1368" s="2"/>
      <c r="G1368" s="4" t="str">
        <f t="shared" si="148"/>
        <v/>
      </c>
      <c r="H1368" s="4" t="str">
        <f>IF(F1368="","",_xlfn.XLOOKUP(F1368,purchase!D:D,purchase!#REF!,""))</f>
        <v/>
      </c>
      <c r="I1368" s="4" t="str">
        <f t="shared" si="149"/>
        <v/>
      </c>
      <c r="J1368" s="4" t="str">
        <f t="shared" si="150"/>
        <v/>
      </c>
      <c r="K1368" s="13" t="str">
        <f>_xlfn.SINGLE(IF(F1368="","",_xlfn.XLOOKUP(F1368,purchase!D:D,purchase!#REF!,"")))</f>
        <v/>
      </c>
      <c r="L1368" s="2"/>
      <c r="M1368" s="32"/>
      <c r="N1368" s="13" t="str">
        <f>IF(F1368="","",
MAX(0,
_xlfn.XLOOKUP(F1368,purchase!D:D,purchase!#REF!,"")
-
SUMIFS(L:L,F:F,F1368)))</f>
        <v/>
      </c>
      <c r="O1368" s="13" t="str">
        <f t="shared" si="151"/>
        <v/>
      </c>
      <c r="P1368" s="35" t="str">
        <f>_xlfn.SINGLE(IF(F1368="","",_xlfn.XLOOKUP(F1368,purchase!D:D,purchase!K:K,"")))</f>
        <v/>
      </c>
      <c r="Q1368" s="29" t="str">
        <f t="shared" si="152"/>
        <v/>
      </c>
      <c r="R1368" s="37" t="str">
        <f t="shared" si="153"/>
        <v/>
      </c>
    </row>
    <row r="1369" spans="1:18" x14ac:dyDescent="0.35">
      <c r="A1369" s="8">
        <v>1365</v>
      </c>
      <c r="B1369" s="9" t="str">
        <f t="shared" si="147"/>
        <v/>
      </c>
      <c r="C1369" s="10"/>
      <c r="D1369" s="9" t="str">
        <f>IF(F1369="","",_xlfn.XLOOKUP(F1369,purchase!D:D,purchase!#REF!,""))</f>
        <v/>
      </c>
      <c r="E1369" s="9" t="str">
        <f>IF(F1369="","",_xlfn.XLOOKUP(F1369,purchase!D:D,purchase!B:B,""))</f>
        <v/>
      </c>
      <c r="F1369" s="2"/>
      <c r="G1369" s="4" t="str">
        <f t="shared" si="148"/>
        <v/>
      </c>
      <c r="H1369" s="4" t="str">
        <f>IF(F1369="","",_xlfn.XLOOKUP(F1369,purchase!D:D,purchase!#REF!,""))</f>
        <v/>
      </c>
      <c r="I1369" s="4" t="str">
        <f t="shared" si="149"/>
        <v/>
      </c>
      <c r="J1369" s="4" t="str">
        <f t="shared" si="150"/>
        <v/>
      </c>
      <c r="K1369" s="13" t="str">
        <f>_xlfn.SINGLE(IF(F1369="","",_xlfn.XLOOKUP(F1369,purchase!D:D,purchase!#REF!,"")))</f>
        <v/>
      </c>
      <c r="L1369" s="2"/>
      <c r="M1369" s="32"/>
      <c r="N1369" s="13" t="str">
        <f>IF(F1369="","",
MAX(0,
_xlfn.XLOOKUP(F1369,purchase!D:D,purchase!#REF!,"")
-
SUMIFS(L:L,F:F,F1369)))</f>
        <v/>
      </c>
      <c r="O1369" s="13" t="str">
        <f t="shared" si="151"/>
        <v/>
      </c>
      <c r="P1369" s="35" t="str">
        <f>_xlfn.SINGLE(IF(F1369="","",_xlfn.XLOOKUP(F1369,purchase!D:D,purchase!K:K,"")))</f>
        <v/>
      </c>
      <c r="Q1369" s="29" t="str">
        <f t="shared" si="152"/>
        <v/>
      </c>
      <c r="R1369" s="37" t="str">
        <f t="shared" si="153"/>
        <v/>
      </c>
    </row>
    <row r="1370" spans="1:18" x14ac:dyDescent="0.35">
      <c r="A1370" s="8">
        <v>1366</v>
      </c>
      <c r="B1370" s="9" t="str">
        <f t="shared" si="147"/>
        <v/>
      </c>
      <c r="C1370" s="10"/>
      <c r="D1370" s="9" t="str">
        <f>IF(F1370="","",_xlfn.XLOOKUP(F1370,purchase!D:D,purchase!#REF!,""))</f>
        <v/>
      </c>
      <c r="E1370" s="9" t="str">
        <f>IF(F1370="","",_xlfn.XLOOKUP(F1370,purchase!D:D,purchase!B:B,""))</f>
        <v/>
      </c>
      <c r="F1370" s="2"/>
      <c r="G1370" s="4" t="str">
        <f t="shared" si="148"/>
        <v/>
      </c>
      <c r="H1370" s="4" t="str">
        <f>IF(F1370="","",_xlfn.XLOOKUP(F1370,purchase!D:D,purchase!#REF!,""))</f>
        <v/>
      </c>
      <c r="I1370" s="4" t="str">
        <f t="shared" si="149"/>
        <v/>
      </c>
      <c r="J1370" s="4" t="str">
        <f t="shared" si="150"/>
        <v/>
      </c>
      <c r="K1370" s="13" t="str">
        <f>_xlfn.SINGLE(IF(F1370="","",_xlfn.XLOOKUP(F1370,purchase!D:D,purchase!#REF!,"")))</f>
        <v/>
      </c>
      <c r="L1370" s="2"/>
      <c r="M1370" s="32"/>
      <c r="N1370" s="13" t="str">
        <f>IF(F1370="","",
MAX(0,
_xlfn.XLOOKUP(F1370,purchase!D:D,purchase!#REF!,"")
-
SUMIFS(L:L,F:F,F1370)))</f>
        <v/>
      </c>
      <c r="O1370" s="13" t="str">
        <f t="shared" si="151"/>
        <v/>
      </c>
      <c r="P1370" s="35" t="str">
        <f>_xlfn.SINGLE(IF(F1370="","",_xlfn.XLOOKUP(F1370,purchase!D:D,purchase!K:K,"")))</f>
        <v/>
      </c>
      <c r="Q1370" s="29" t="str">
        <f t="shared" si="152"/>
        <v/>
      </c>
      <c r="R1370" s="37" t="str">
        <f t="shared" si="153"/>
        <v/>
      </c>
    </row>
    <row r="1371" spans="1:18" x14ac:dyDescent="0.35">
      <c r="A1371" s="8">
        <v>1367</v>
      </c>
      <c r="B1371" s="9" t="str">
        <f t="shared" si="147"/>
        <v/>
      </c>
      <c r="C1371" s="10"/>
      <c r="D1371" s="9" t="str">
        <f>IF(F1371="","",_xlfn.XLOOKUP(F1371,purchase!D:D,purchase!#REF!,""))</f>
        <v/>
      </c>
      <c r="E1371" s="9" t="str">
        <f>IF(F1371="","",_xlfn.XLOOKUP(F1371,purchase!D:D,purchase!B:B,""))</f>
        <v/>
      </c>
      <c r="F1371" s="2"/>
      <c r="G1371" s="4" t="str">
        <f t="shared" si="148"/>
        <v/>
      </c>
      <c r="H1371" s="4" t="str">
        <f>IF(F1371="","",_xlfn.XLOOKUP(F1371,purchase!D:D,purchase!#REF!,""))</f>
        <v/>
      </c>
      <c r="I1371" s="4" t="str">
        <f t="shared" si="149"/>
        <v/>
      </c>
      <c r="J1371" s="4" t="str">
        <f t="shared" si="150"/>
        <v/>
      </c>
      <c r="K1371" s="13" t="str">
        <f>_xlfn.SINGLE(IF(F1371="","",_xlfn.XLOOKUP(F1371,purchase!D:D,purchase!#REF!,"")))</f>
        <v/>
      </c>
      <c r="L1371" s="2"/>
      <c r="M1371" s="32"/>
      <c r="N1371" s="13" t="str">
        <f>IF(F1371="","",
MAX(0,
_xlfn.XLOOKUP(F1371,purchase!D:D,purchase!#REF!,"")
-
SUMIFS(L:L,F:F,F1371)))</f>
        <v/>
      </c>
      <c r="O1371" s="13" t="str">
        <f t="shared" si="151"/>
        <v/>
      </c>
      <c r="P1371" s="35" t="str">
        <f>_xlfn.SINGLE(IF(F1371="","",_xlfn.XLOOKUP(F1371,purchase!D:D,purchase!K:K,"")))</f>
        <v/>
      </c>
      <c r="Q1371" s="29" t="str">
        <f t="shared" si="152"/>
        <v/>
      </c>
      <c r="R1371" s="37" t="str">
        <f t="shared" si="153"/>
        <v/>
      </c>
    </row>
    <row r="1372" spans="1:18" x14ac:dyDescent="0.35">
      <c r="A1372" s="8">
        <v>1368</v>
      </c>
      <c r="B1372" s="9" t="str">
        <f t="shared" si="147"/>
        <v/>
      </c>
      <c r="C1372" s="10"/>
      <c r="D1372" s="9" t="str">
        <f>IF(F1372="","",_xlfn.XLOOKUP(F1372,purchase!D:D,purchase!#REF!,""))</f>
        <v/>
      </c>
      <c r="E1372" s="9" t="str">
        <f>IF(F1372="","",_xlfn.XLOOKUP(F1372,purchase!D:D,purchase!B:B,""))</f>
        <v/>
      </c>
      <c r="F1372" s="2"/>
      <c r="G1372" s="4" t="str">
        <f t="shared" si="148"/>
        <v/>
      </c>
      <c r="H1372" s="4" t="str">
        <f>IF(F1372="","",_xlfn.XLOOKUP(F1372,purchase!D:D,purchase!#REF!,""))</f>
        <v/>
      </c>
      <c r="I1372" s="4" t="str">
        <f t="shared" si="149"/>
        <v/>
      </c>
      <c r="J1372" s="4" t="str">
        <f t="shared" si="150"/>
        <v/>
      </c>
      <c r="K1372" s="13" t="str">
        <f>_xlfn.SINGLE(IF(F1372="","",_xlfn.XLOOKUP(F1372,purchase!D:D,purchase!#REF!,"")))</f>
        <v/>
      </c>
      <c r="L1372" s="2"/>
      <c r="M1372" s="32"/>
      <c r="N1372" s="13" t="str">
        <f>IF(F1372="","",
MAX(0,
_xlfn.XLOOKUP(F1372,purchase!D:D,purchase!#REF!,"")
-
SUMIFS(L:L,F:F,F1372)))</f>
        <v/>
      </c>
      <c r="O1372" s="13" t="str">
        <f t="shared" si="151"/>
        <v/>
      </c>
      <c r="P1372" s="35" t="str">
        <f>_xlfn.SINGLE(IF(F1372="","",_xlfn.XLOOKUP(F1372,purchase!D:D,purchase!K:K,"")))</f>
        <v/>
      </c>
      <c r="Q1372" s="29" t="str">
        <f t="shared" si="152"/>
        <v/>
      </c>
      <c r="R1372" s="37" t="str">
        <f t="shared" si="153"/>
        <v/>
      </c>
    </row>
    <row r="1373" spans="1:18" x14ac:dyDescent="0.35">
      <c r="A1373" s="8">
        <v>1369</v>
      </c>
      <c r="B1373" s="9" t="str">
        <f t="shared" si="147"/>
        <v/>
      </c>
      <c r="C1373" s="10"/>
      <c r="D1373" s="9" t="str">
        <f>IF(F1373="","",_xlfn.XLOOKUP(F1373,purchase!D:D,purchase!#REF!,""))</f>
        <v/>
      </c>
      <c r="E1373" s="9" t="str">
        <f>IF(F1373="","",_xlfn.XLOOKUP(F1373,purchase!D:D,purchase!B:B,""))</f>
        <v/>
      </c>
      <c r="F1373" s="2"/>
      <c r="G1373" s="4" t="str">
        <f t="shared" si="148"/>
        <v/>
      </c>
      <c r="H1373" s="4" t="str">
        <f>IF(F1373="","",_xlfn.XLOOKUP(F1373,purchase!D:D,purchase!#REF!,""))</f>
        <v/>
      </c>
      <c r="I1373" s="4" t="str">
        <f t="shared" si="149"/>
        <v/>
      </c>
      <c r="J1373" s="4" t="str">
        <f t="shared" si="150"/>
        <v/>
      </c>
      <c r="K1373" s="13" t="str">
        <f>_xlfn.SINGLE(IF(F1373="","",_xlfn.XLOOKUP(F1373,purchase!D:D,purchase!#REF!,"")))</f>
        <v/>
      </c>
      <c r="L1373" s="2"/>
      <c r="M1373" s="32"/>
      <c r="N1373" s="13" t="str">
        <f>IF(F1373="","",
MAX(0,
_xlfn.XLOOKUP(F1373,purchase!D:D,purchase!#REF!,"")
-
SUMIFS(L:L,F:F,F1373)))</f>
        <v/>
      </c>
      <c r="O1373" s="13" t="str">
        <f t="shared" si="151"/>
        <v/>
      </c>
      <c r="P1373" s="35" t="str">
        <f>_xlfn.SINGLE(IF(F1373="","",_xlfn.XLOOKUP(F1373,purchase!D:D,purchase!K:K,"")))</f>
        <v/>
      </c>
      <c r="Q1373" s="29" t="str">
        <f t="shared" si="152"/>
        <v/>
      </c>
      <c r="R1373" s="37" t="str">
        <f t="shared" si="153"/>
        <v/>
      </c>
    </row>
    <row r="1374" spans="1:18" x14ac:dyDescent="0.35">
      <c r="A1374" s="8">
        <v>1370</v>
      </c>
      <c r="B1374" s="9" t="str">
        <f t="shared" si="147"/>
        <v/>
      </c>
      <c r="C1374" s="10"/>
      <c r="D1374" s="9" t="str">
        <f>IF(F1374="","",_xlfn.XLOOKUP(F1374,purchase!D:D,purchase!#REF!,""))</f>
        <v/>
      </c>
      <c r="E1374" s="9" t="str">
        <f>IF(F1374="","",_xlfn.XLOOKUP(F1374,purchase!D:D,purchase!B:B,""))</f>
        <v/>
      </c>
      <c r="F1374" s="2"/>
      <c r="G1374" s="4" t="str">
        <f t="shared" si="148"/>
        <v/>
      </c>
      <c r="H1374" s="4" t="str">
        <f>IF(F1374="","",_xlfn.XLOOKUP(F1374,purchase!D:D,purchase!#REF!,""))</f>
        <v/>
      </c>
      <c r="I1374" s="4" t="str">
        <f t="shared" si="149"/>
        <v/>
      </c>
      <c r="J1374" s="4" t="str">
        <f t="shared" si="150"/>
        <v/>
      </c>
      <c r="K1374" s="13" t="str">
        <f>_xlfn.SINGLE(IF(F1374="","",_xlfn.XLOOKUP(F1374,purchase!D:D,purchase!#REF!,"")))</f>
        <v/>
      </c>
      <c r="L1374" s="2"/>
      <c r="M1374" s="32"/>
      <c r="N1374" s="13" t="str">
        <f>IF(F1374="","",
MAX(0,
_xlfn.XLOOKUP(F1374,purchase!D:D,purchase!#REF!,"")
-
SUMIFS(L:L,F:F,F1374)))</f>
        <v/>
      </c>
      <c r="O1374" s="13" t="str">
        <f t="shared" si="151"/>
        <v/>
      </c>
      <c r="P1374" s="35" t="str">
        <f>_xlfn.SINGLE(IF(F1374="","",_xlfn.XLOOKUP(F1374,purchase!D:D,purchase!K:K,"")))</f>
        <v/>
      </c>
      <c r="Q1374" s="29" t="str">
        <f t="shared" si="152"/>
        <v/>
      </c>
      <c r="R1374" s="37" t="str">
        <f t="shared" si="153"/>
        <v/>
      </c>
    </row>
    <row r="1375" spans="1:18" x14ac:dyDescent="0.35">
      <c r="A1375" s="8">
        <v>1371</v>
      </c>
      <c r="B1375" s="9" t="str">
        <f t="shared" si="147"/>
        <v/>
      </c>
      <c r="C1375" s="10"/>
      <c r="D1375" s="9" t="str">
        <f>IF(F1375="","",_xlfn.XLOOKUP(F1375,purchase!D:D,purchase!#REF!,""))</f>
        <v/>
      </c>
      <c r="E1375" s="9" t="str">
        <f>IF(F1375="","",_xlfn.XLOOKUP(F1375,purchase!D:D,purchase!B:B,""))</f>
        <v/>
      </c>
      <c r="F1375" s="2"/>
      <c r="G1375" s="4" t="str">
        <f t="shared" si="148"/>
        <v/>
      </c>
      <c r="H1375" s="4" t="str">
        <f>IF(F1375="","",_xlfn.XLOOKUP(F1375,purchase!D:D,purchase!#REF!,""))</f>
        <v/>
      </c>
      <c r="I1375" s="4" t="str">
        <f t="shared" si="149"/>
        <v/>
      </c>
      <c r="J1375" s="4" t="str">
        <f t="shared" si="150"/>
        <v/>
      </c>
      <c r="K1375" s="13" t="str">
        <f>_xlfn.SINGLE(IF(F1375="","",_xlfn.XLOOKUP(F1375,purchase!D:D,purchase!#REF!,"")))</f>
        <v/>
      </c>
      <c r="L1375" s="2"/>
      <c r="M1375" s="32"/>
      <c r="N1375" s="13" t="str">
        <f>IF(F1375="","",
MAX(0,
_xlfn.XLOOKUP(F1375,purchase!D:D,purchase!#REF!,"")
-
SUMIFS(L:L,F:F,F1375)))</f>
        <v/>
      </c>
      <c r="O1375" s="13" t="str">
        <f t="shared" si="151"/>
        <v/>
      </c>
      <c r="P1375" s="35" t="str">
        <f>_xlfn.SINGLE(IF(F1375="","",_xlfn.XLOOKUP(F1375,purchase!D:D,purchase!K:K,"")))</f>
        <v/>
      </c>
      <c r="Q1375" s="29" t="str">
        <f t="shared" si="152"/>
        <v/>
      </c>
      <c r="R1375" s="37" t="str">
        <f t="shared" si="153"/>
        <v/>
      </c>
    </row>
    <row r="1376" spans="1:18" x14ac:dyDescent="0.35">
      <c r="A1376" s="8">
        <v>1372</v>
      </c>
      <c r="B1376" s="9" t="str">
        <f t="shared" si="147"/>
        <v/>
      </c>
      <c r="C1376" s="10"/>
      <c r="D1376" s="9" t="str">
        <f>IF(F1376="","",_xlfn.XLOOKUP(F1376,purchase!D:D,purchase!#REF!,""))</f>
        <v/>
      </c>
      <c r="E1376" s="9" t="str">
        <f>IF(F1376="","",_xlfn.XLOOKUP(F1376,purchase!D:D,purchase!B:B,""))</f>
        <v/>
      </c>
      <c r="F1376" s="2"/>
      <c r="G1376" s="4" t="str">
        <f t="shared" si="148"/>
        <v/>
      </c>
      <c r="H1376" s="4" t="str">
        <f>IF(F1376="","",_xlfn.XLOOKUP(F1376,purchase!D:D,purchase!#REF!,""))</f>
        <v/>
      </c>
      <c r="I1376" s="4" t="str">
        <f t="shared" si="149"/>
        <v/>
      </c>
      <c r="J1376" s="4" t="str">
        <f t="shared" si="150"/>
        <v/>
      </c>
      <c r="K1376" s="13" t="str">
        <f>_xlfn.SINGLE(IF(F1376="","",_xlfn.XLOOKUP(F1376,purchase!D:D,purchase!#REF!,"")))</f>
        <v/>
      </c>
      <c r="L1376" s="2"/>
      <c r="M1376" s="32"/>
      <c r="N1376" s="13" t="str">
        <f>IF(F1376="","",
MAX(0,
_xlfn.XLOOKUP(F1376,purchase!D:D,purchase!#REF!,"")
-
SUMIFS(L:L,F:F,F1376)))</f>
        <v/>
      </c>
      <c r="O1376" s="13" t="str">
        <f t="shared" si="151"/>
        <v/>
      </c>
      <c r="P1376" s="35" t="str">
        <f>_xlfn.SINGLE(IF(F1376="","",_xlfn.XLOOKUP(F1376,purchase!D:D,purchase!K:K,"")))</f>
        <v/>
      </c>
      <c r="Q1376" s="29" t="str">
        <f t="shared" si="152"/>
        <v/>
      </c>
      <c r="R1376" s="37" t="str">
        <f t="shared" si="153"/>
        <v/>
      </c>
    </row>
    <row r="1377" spans="1:18" x14ac:dyDescent="0.35">
      <c r="A1377" s="8">
        <v>1373</v>
      </c>
      <c r="B1377" s="9" t="str">
        <f t="shared" si="147"/>
        <v/>
      </c>
      <c r="C1377" s="10"/>
      <c r="D1377" s="9" t="str">
        <f>IF(F1377="","",_xlfn.XLOOKUP(F1377,purchase!D:D,purchase!#REF!,""))</f>
        <v/>
      </c>
      <c r="E1377" s="9" t="str">
        <f>IF(F1377="","",_xlfn.XLOOKUP(F1377,purchase!D:D,purchase!B:B,""))</f>
        <v/>
      </c>
      <c r="F1377" s="2"/>
      <c r="G1377" s="4" t="str">
        <f t="shared" si="148"/>
        <v/>
      </c>
      <c r="H1377" s="4" t="str">
        <f>IF(F1377="","",_xlfn.XLOOKUP(F1377,purchase!D:D,purchase!#REF!,""))</f>
        <v/>
      </c>
      <c r="I1377" s="4" t="str">
        <f t="shared" si="149"/>
        <v/>
      </c>
      <c r="J1377" s="4" t="str">
        <f t="shared" si="150"/>
        <v/>
      </c>
      <c r="K1377" s="13" t="str">
        <f>_xlfn.SINGLE(IF(F1377="","",_xlfn.XLOOKUP(F1377,purchase!D:D,purchase!#REF!,"")))</f>
        <v/>
      </c>
      <c r="L1377" s="2"/>
      <c r="M1377" s="32"/>
      <c r="N1377" s="13" t="str">
        <f>IF(F1377="","",
MAX(0,
_xlfn.XLOOKUP(F1377,purchase!D:D,purchase!#REF!,"")
-
SUMIFS(L:L,F:F,F1377)))</f>
        <v/>
      </c>
      <c r="O1377" s="13" t="str">
        <f t="shared" si="151"/>
        <v/>
      </c>
      <c r="P1377" s="35" t="str">
        <f>_xlfn.SINGLE(IF(F1377="","",_xlfn.XLOOKUP(F1377,purchase!D:D,purchase!K:K,"")))</f>
        <v/>
      </c>
      <c r="Q1377" s="29" t="str">
        <f t="shared" si="152"/>
        <v/>
      </c>
      <c r="R1377" s="37" t="str">
        <f t="shared" si="153"/>
        <v/>
      </c>
    </row>
    <row r="1378" spans="1:18" x14ac:dyDescent="0.35">
      <c r="A1378" s="8">
        <v>1374</v>
      </c>
      <c r="B1378" s="9" t="str">
        <f t="shared" si="147"/>
        <v/>
      </c>
      <c r="C1378" s="10"/>
      <c r="D1378" s="9" t="str">
        <f>IF(F1378="","",_xlfn.XLOOKUP(F1378,purchase!D:D,purchase!#REF!,""))</f>
        <v/>
      </c>
      <c r="E1378" s="9" t="str">
        <f>IF(F1378="","",_xlfn.XLOOKUP(F1378,purchase!D:D,purchase!B:B,""))</f>
        <v/>
      </c>
      <c r="F1378" s="2"/>
      <c r="G1378" s="4" t="str">
        <f t="shared" si="148"/>
        <v/>
      </c>
      <c r="H1378" s="4" t="str">
        <f>IF(F1378="","",_xlfn.XLOOKUP(F1378,purchase!D:D,purchase!#REF!,""))</f>
        <v/>
      </c>
      <c r="I1378" s="4" t="str">
        <f t="shared" si="149"/>
        <v/>
      </c>
      <c r="J1378" s="4" t="str">
        <f t="shared" si="150"/>
        <v/>
      </c>
      <c r="K1378" s="13" t="str">
        <f>_xlfn.SINGLE(IF(F1378="","",_xlfn.XLOOKUP(F1378,purchase!D:D,purchase!#REF!,"")))</f>
        <v/>
      </c>
      <c r="L1378" s="2"/>
      <c r="M1378" s="32"/>
      <c r="N1378" s="13" t="str">
        <f>IF(F1378="","",
MAX(0,
_xlfn.XLOOKUP(F1378,purchase!D:D,purchase!#REF!,"")
-
SUMIFS(L:L,F:F,F1378)))</f>
        <v/>
      </c>
      <c r="O1378" s="13" t="str">
        <f t="shared" si="151"/>
        <v/>
      </c>
      <c r="P1378" s="35" t="str">
        <f>_xlfn.SINGLE(IF(F1378="","",_xlfn.XLOOKUP(F1378,purchase!D:D,purchase!K:K,"")))</f>
        <v/>
      </c>
      <c r="Q1378" s="29" t="str">
        <f t="shared" si="152"/>
        <v/>
      </c>
      <c r="R1378" s="37" t="str">
        <f t="shared" si="153"/>
        <v/>
      </c>
    </row>
    <row r="1379" spans="1:18" x14ac:dyDescent="0.35">
      <c r="A1379" s="8">
        <v>1375</v>
      </c>
      <c r="B1379" s="9" t="str">
        <f t="shared" si="147"/>
        <v/>
      </c>
      <c r="C1379" s="10"/>
      <c r="D1379" s="9" t="str">
        <f>IF(F1379="","",_xlfn.XLOOKUP(F1379,purchase!D:D,purchase!#REF!,""))</f>
        <v/>
      </c>
      <c r="E1379" s="9" t="str">
        <f>IF(F1379="","",_xlfn.XLOOKUP(F1379,purchase!D:D,purchase!B:B,""))</f>
        <v/>
      </c>
      <c r="F1379" s="2"/>
      <c r="G1379" s="4" t="str">
        <f t="shared" si="148"/>
        <v/>
      </c>
      <c r="H1379" s="4" t="str">
        <f>IF(F1379="","",_xlfn.XLOOKUP(F1379,purchase!D:D,purchase!#REF!,""))</f>
        <v/>
      </c>
      <c r="I1379" s="4" t="str">
        <f t="shared" si="149"/>
        <v/>
      </c>
      <c r="J1379" s="4" t="str">
        <f t="shared" si="150"/>
        <v/>
      </c>
      <c r="K1379" s="13" t="str">
        <f>_xlfn.SINGLE(IF(F1379="","",_xlfn.XLOOKUP(F1379,purchase!D:D,purchase!#REF!,"")))</f>
        <v/>
      </c>
      <c r="L1379" s="2"/>
      <c r="M1379" s="32"/>
      <c r="N1379" s="13" t="str">
        <f>IF(F1379="","",
MAX(0,
_xlfn.XLOOKUP(F1379,purchase!D:D,purchase!#REF!,"")
-
SUMIFS(L:L,F:F,F1379)))</f>
        <v/>
      </c>
      <c r="O1379" s="13" t="str">
        <f t="shared" si="151"/>
        <v/>
      </c>
      <c r="P1379" s="35" t="str">
        <f>_xlfn.SINGLE(IF(F1379="","",_xlfn.XLOOKUP(F1379,purchase!D:D,purchase!K:K,"")))</f>
        <v/>
      </c>
      <c r="Q1379" s="29" t="str">
        <f t="shared" si="152"/>
        <v/>
      </c>
      <c r="R1379" s="37" t="str">
        <f t="shared" si="153"/>
        <v/>
      </c>
    </row>
    <row r="1380" spans="1:18" x14ac:dyDescent="0.35">
      <c r="A1380" s="8">
        <v>1376</v>
      </c>
      <c r="B1380" s="9" t="str">
        <f t="shared" si="147"/>
        <v/>
      </c>
      <c r="C1380" s="10"/>
      <c r="D1380" s="9" t="str">
        <f>IF(F1380="","",_xlfn.XLOOKUP(F1380,purchase!D:D,purchase!#REF!,""))</f>
        <v/>
      </c>
      <c r="E1380" s="9" t="str">
        <f>IF(F1380="","",_xlfn.XLOOKUP(F1380,purchase!D:D,purchase!B:B,""))</f>
        <v/>
      </c>
      <c r="F1380" s="2"/>
      <c r="G1380" s="4" t="str">
        <f t="shared" si="148"/>
        <v/>
      </c>
      <c r="H1380" s="4" t="str">
        <f>IF(F1380="","",_xlfn.XLOOKUP(F1380,purchase!D:D,purchase!#REF!,""))</f>
        <v/>
      </c>
      <c r="I1380" s="4" t="str">
        <f t="shared" si="149"/>
        <v/>
      </c>
      <c r="J1380" s="4" t="str">
        <f t="shared" si="150"/>
        <v/>
      </c>
      <c r="K1380" s="13" t="str">
        <f>_xlfn.SINGLE(IF(F1380="","",_xlfn.XLOOKUP(F1380,purchase!D:D,purchase!#REF!,"")))</f>
        <v/>
      </c>
      <c r="L1380" s="2"/>
      <c r="M1380" s="32"/>
      <c r="N1380" s="13" t="str">
        <f>IF(F1380="","",
MAX(0,
_xlfn.XLOOKUP(F1380,purchase!D:D,purchase!#REF!,"")
-
SUMIFS(L:L,F:F,F1380)))</f>
        <v/>
      </c>
      <c r="O1380" s="13" t="str">
        <f t="shared" si="151"/>
        <v/>
      </c>
      <c r="P1380" s="35" t="str">
        <f>_xlfn.SINGLE(IF(F1380="","",_xlfn.XLOOKUP(F1380,purchase!D:D,purchase!K:K,"")))</f>
        <v/>
      </c>
      <c r="Q1380" s="29" t="str">
        <f t="shared" si="152"/>
        <v/>
      </c>
      <c r="R1380" s="37" t="str">
        <f t="shared" si="153"/>
        <v/>
      </c>
    </row>
    <row r="1381" spans="1:18" x14ac:dyDescent="0.35">
      <c r="A1381" s="8">
        <v>1377</v>
      </c>
      <c r="B1381" s="9" t="str">
        <f t="shared" si="147"/>
        <v/>
      </c>
      <c r="C1381" s="10"/>
      <c r="D1381" s="9" t="str">
        <f>IF(F1381="","",_xlfn.XLOOKUP(F1381,purchase!D:D,purchase!#REF!,""))</f>
        <v/>
      </c>
      <c r="E1381" s="9" t="str">
        <f>IF(F1381="","",_xlfn.XLOOKUP(F1381,purchase!D:D,purchase!B:B,""))</f>
        <v/>
      </c>
      <c r="F1381" s="2"/>
      <c r="G1381" s="4" t="str">
        <f t="shared" si="148"/>
        <v/>
      </c>
      <c r="H1381" s="4" t="str">
        <f>IF(F1381="","",_xlfn.XLOOKUP(F1381,purchase!D:D,purchase!#REF!,""))</f>
        <v/>
      </c>
      <c r="I1381" s="4" t="str">
        <f t="shared" si="149"/>
        <v/>
      </c>
      <c r="J1381" s="4" t="str">
        <f t="shared" si="150"/>
        <v/>
      </c>
      <c r="K1381" s="13" t="str">
        <f>_xlfn.SINGLE(IF(F1381="","",_xlfn.XLOOKUP(F1381,purchase!D:D,purchase!#REF!,"")))</f>
        <v/>
      </c>
      <c r="L1381" s="2"/>
      <c r="M1381" s="32"/>
      <c r="N1381" s="13" t="str">
        <f>IF(F1381="","",
MAX(0,
_xlfn.XLOOKUP(F1381,purchase!D:D,purchase!#REF!,"")
-
SUMIFS(L:L,F:F,F1381)))</f>
        <v/>
      </c>
      <c r="O1381" s="13" t="str">
        <f t="shared" si="151"/>
        <v/>
      </c>
      <c r="P1381" s="35" t="str">
        <f>_xlfn.SINGLE(IF(F1381="","",_xlfn.XLOOKUP(F1381,purchase!D:D,purchase!K:K,"")))</f>
        <v/>
      </c>
      <c r="Q1381" s="29" t="str">
        <f t="shared" si="152"/>
        <v/>
      </c>
      <c r="R1381" s="37" t="str">
        <f t="shared" si="153"/>
        <v/>
      </c>
    </row>
    <row r="1382" spans="1:18" x14ac:dyDescent="0.35">
      <c r="A1382" s="8">
        <v>1378</v>
      </c>
      <c r="B1382" s="9" t="str">
        <f t="shared" si="147"/>
        <v/>
      </c>
      <c r="C1382" s="10"/>
      <c r="D1382" s="9" t="str">
        <f>IF(F1382="","",_xlfn.XLOOKUP(F1382,purchase!D:D,purchase!#REF!,""))</f>
        <v/>
      </c>
      <c r="E1382" s="9" t="str">
        <f>IF(F1382="","",_xlfn.XLOOKUP(F1382,purchase!D:D,purchase!B:B,""))</f>
        <v/>
      </c>
      <c r="F1382" s="2"/>
      <c r="G1382" s="4" t="str">
        <f t="shared" si="148"/>
        <v/>
      </c>
      <c r="H1382" s="4" t="str">
        <f>IF(F1382="","",_xlfn.XLOOKUP(F1382,purchase!D:D,purchase!#REF!,""))</f>
        <v/>
      </c>
      <c r="I1382" s="4" t="str">
        <f t="shared" si="149"/>
        <v/>
      </c>
      <c r="J1382" s="4" t="str">
        <f t="shared" si="150"/>
        <v/>
      </c>
      <c r="K1382" s="13" t="str">
        <f>_xlfn.SINGLE(IF(F1382="","",_xlfn.XLOOKUP(F1382,purchase!D:D,purchase!#REF!,"")))</f>
        <v/>
      </c>
      <c r="L1382" s="2"/>
      <c r="M1382" s="32"/>
      <c r="N1382" s="13" t="str">
        <f>IF(F1382="","",
MAX(0,
_xlfn.XLOOKUP(F1382,purchase!D:D,purchase!#REF!,"")
-
SUMIFS(L:L,F:F,F1382)))</f>
        <v/>
      </c>
      <c r="O1382" s="13" t="str">
        <f t="shared" si="151"/>
        <v/>
      </c>
      <c r="P1382" s="35" t="str">
        <f>_xlfn.SINGLE(IF(F1382="","",_xlfn.XLOOKUP(F1382,purchase!D:D,purchase!K:K,"")))</f>
        <v/>
      </c>
      <c r="Q1382" s="29" t="str">
        <f t="shared" si="152"/>
        <v/>
      </c>
      <c r="R1382" s="37" t="str">
        <f t="shared" si="153"/>
        <v/>
      </c>
    </row>
    <row r="1383" spans="1:18" x14ac:dyDescent="0.35">
      <c r="A1383" s="8">
        <v>1379</v>
      </c>
      <c r="B1383" s="9" t="str">
        <f t="shared" si="147"/>
        <v/>
      </c>
      <c r="C1383" s="10"/>
      <c r="D1383" s="9" t="str">
        <f>IF(F1383="","",_xlfn.XLOOKUP(F1383,purchase!D:D,purchase!#REF!,""))</f>
        <v/>
      </c>
      <c r="E1383" s="9" t="str">
        <f>IF(F1383="","",_xlfn.XLOOKUP(F1383,purchase!D:D,purchase!B:B,""))</f>
        <v/>
      </c>
      <c r="F1383" s="2"/>
      <c r="G1383" s="4" t="str">
        <f t="shared" si="148"/>
        <v/>
      </c>
      <c r="H1383" s="4" t="str">
        <f>IF(F1383="","",_xlfn.XLOOKUP(F1383,purchase!D:D,purchase!#REF!,""))</f>
        <v/>
      </c>
      <c r="I1383" s="4" t="str">
        <f t="shared" si="149"/>
        <v/>
      </c>
      <c r="J1383" s="4" t="str">
        <f t="shared" si="150"/>
        <v/>
      </c>
      <c r="K1383" s="13" t="str">
        <f>_xlfn.SINGLE(IF(F1383="","",_xlfn.XLOOKUP(F1383,purchase!D:D,purchase!#REF!,"")))</f>
        <v/>
      </c>
      <c r="L1383" s="2"/>
      <c r="M1383" s="32"/>
      <c r="N1383" s="13" t="str">
        <f>IF(F1383="","",
MAX(0,
_xlfn.XLOOKUP(F1383,purchase!D:D,purchase!#REF!,"")
-
SUMIFS(L:L,F:F,F1383)))</f>
        <v/>
      </c>
      <c r="O1383" s="13" t="str">
        <f t="shared" si="151"/>
        <v/>
      </c>
      <c r="P1383" s="35" t="str">
        <f>_xlfn.SINGLE(IF(F1383="","",_xlfn.XLOOKUP(F1383,purchase!D:D,purchase!K:K,"")))</f>
        <v/>
      </c>
      <c r="Q1383" s="29" t="str">
        <f t="shared" si="152"/>
        <v/>
      </c>
      <c r="R1383" s="37" t="str">
        <f t="shared" si="153"/>
        <v/>
      </c>
    </row>
    <row r="1384" spans="1:18" x14ac:dyDescent="0.35">
      <c r="A1384" s="8">
        <v>1380</v>
      </c>
      <c r="B1384" s="9" t="str">
        <f t="shared" si="147"/>
        <v/>
      </c>
      <c r="C1384" s="10"/>
      <c r="D1384" s="9" t="str">
        <f>IF(F1384="","",_xlfn.XLOOKUP(F1384,purchase!D:D,purchase!#REF!,""))</f>
        <v/>
      </c>
      <c r="E1384" s="9" t="str">
        <f>IF(F1384="","",_xlfn.XLOOKUP(F1384,purchase!D:D,purchase!B:B,""))</f>
        <v/>
      </c>
      <c r="F1384" s="2"/>
      <c r="G1384" s="4" t="str">
        <f t="shared" si="148"/>
        <v/>
      </c>
      <c r="H1384" s="4" t="str">
        <f>IF(F1384="","",_xlfn.XLOOKUP(F1384,purchase!D:D,purchase!#REF!,""))</f>
        <v/>
      </c>
      <c r="I1384" s="4" t="str">
        <f t="shared" si="149"/>
        <v/>
      </c>
      <c r="J1384" s="4" t="str">
        <f t="shared" si="150"/>
        <v/>
      </c>
      <c r="K1384" s="13" t="str">
        <f>_xlfn.SINGLE(IF(F1384="","",_xlfn.XLOOKUP(F1384,purchase!D:D,purchase!#REF!,"")))</f>
        <v/>
      </c>
      <c r="L1384" s="2"/>
      <c r="M1384" s="32"/>
      <c r="N1384" s="13" t="str">
        <f>IF(F1384="","",
MAX(0,
_xlfn.XLOOKUP(F1384,purchase!D:D,purchase!#REF!,"")
-
SUMIFS(L:L,F:F,F1384)))</f>
        <v/>
      </c>
      <c r="O1384" s="13" t="str">
        <f t="shared" si="151"/>
        <v/>
      </c>
      <c r="P1384" s="35" t="str">
        <f>_xlfn.SINGLE(IF(F1384="","",_xlfn.XLOOKUP(F1384,purchase!D:D,purchase!K:K,"")))</f>
        <v/>
      </c>
      <c r="Q1384" s="29" t="str">
        <f t="shared" si="152"/>
        <v/>
      </c>
      <c r="R1384" s="37" t="str">
        <f t="shared" si="153"/>
        <v/>
      </c>
    </row>
    <row r="1385" spans="1:18" x14ac:dyDescent="0.35">
      <c r="A1385" s="8">
        <v>1381</v>
      </c>
      <c r="B1385" s="9" t="str">
        <f t="shared" si="147"/>
        <v/>
      </c>
      <c r="C1385" s="10"/>
      <c r="D1385" s="9" t="str">
        <f>IF(F1385="","",_xlfn.XLOOKUP(F1385,purchase!D:D,purchase!#REF!,""))</f>
        <v/>
      </c>
      <c r="E1385" s="9" t="str">
        <f>IF(F1385="","",_xlfn.XLOOKUP(F1385,purchase!D:D,purchase!B:B,""))</f>
        <v/>
      </c>
      <c r="F1385" s="2"/>
      <c r="G1385" s="4" t="str">
        <f t="shared" si="148"/>
        <v/>
      </c>
      <c r="H1385" s="4" t="str">
        <f>IF(F1385="","",_xlfn.XLOOKUP(F1385,purchase!D:D,purchase!#REF!,""))</f>
        <v/>
      </c>
      <c r="I1385" s="4" t="str">
        <f t="shared" si="149"/>
        <v/>
      </c>
      <c r="J1385" s="4" t="str">
        <f t="shared" si="150"/>
        <v/>
      </c>
      <c r="K1385" s="13" t="str">
        <f>_xlfn.SINGLE(IF(F1385="","",_xlfn.XLOOKUP(F1385,purchase!D:D,purchase!#REF!,"")))</f>
        <v/>
      </c>
      <c r="L1385" s="2"/>
      <c r="M1385" s="32"/>
      <c r="N1385" s="13" t="str">
        <f>IF(F1385="","",
MAX(0,
_xlfn.XLOOKUP(F1385,purchase!D:D,purchase!#REF!,"")
-
SUMIFS(L:L,F:F,F1385)))</f>
        <v/>
      </c>
      <c r="O1385" s="13" t="str">
        <f t="shared" si="151"/>
        <v/>
      </c>
      <c r="P1385" s="35" t="str">
        <f>_xlfn.SINGLE(IF(F1385="","",_xlfn.XLOOKUP(F1385,purchase!D:D,purchase!K:K,"")))</f>
        <v/>
      </c>
      <c r="Q1385" s="29" t="str">
        <f t="shared" si="152"/>
        <v/>
      </c>
      <c r="R1385" s="37" t="str">
        <f t="shared" si="153"/>
        <v/>
      </c>
    </row>
    <row r="1386" spans="1:18" x14ac:dyDescent="0.35">
      <c r="A1386" s="8">
        <v>1382</v>
      </c>
      <c r="B1386" s="9" t="str">
        <f t="shared" si="147"/>
        <v/>
      </c>
      <c r="C1386" s="10"/>
      <c r="D1386" s="9" t="str">
        <f>IF(F1386="","",_xlfn.XLOOKUP(F1386,purchase!D:D,purchase!#REF!,""))</f>
        <v/>
      </c>
      <c r="E1386" s="9" t="str">
        <f>IF(F1386="","",_xlfn.XLOOKUP(F1386,purchase!D:D,purchase!B:B,""))</f>
        <v/>
      </c>
      <c r="F1386" s="2"/>
      <c r="G1386" s="4" t="str">
        <f t="shared" si="148"/>
        <v/>
      </c>
      <c r="H1386" s="4" t="str">
        <f>IF(F1386="","",_xlfn.XLOOKUP(F1386,purchase!D:D,purchase!#REF!,""))</f>
        <v/>
      </c>
      <c r="I1386" s="4" t="str">
        <f t="shared" si="149"/>
        <v/>
      </c>
      <c r="J1386" s="4" t="str">
        <f t="shared" si="150"/>
        <v/>
      </c>
      <c r="K1386" s="13" t="str">
        <f>_xlfn.SINGLE(IF(F1386="","",_xlfn.XLOOKUP(F1386,purchase!D:D,purchase!#REF!,"")))</f>
        <v/>
      </c>
      <c r="L1386" s="2"/>
      <c r="M1386" s="32"/>
      <c r="N1386" s="13" t="str">
        <f>IF(F1386="","",
MAX(0,
_xlfn.XLOOKUP(F1386,purchase!D:D,purchase!#REF!,"")
-
SUMIFS(L:L,F:F,F1386)))</f>
        <v/>
      </c>
      <c r="O1386" s="13" t="str">
        <f t="shared" si="151"/>
        <v/>
      </c>
      <c r="P1386" s="35" t="str">
        <f>_xlfn.SINGLE(IF(F1386="","",_xlfn.XLOOKUP(F1386,purchase!D:D,purchase!K:K,"")))</f>
        <v/>
      </c>
      <c r="Q1386" s="29" t="str">
        <f t="shared" si="152"/>
        <v/>
      </c>
      <c r="R1386" s="37" t="str">
        <f t="shared" si="153"/>
        <v/>
      </c>
    </row>
    <row r="1387" spans="1:18" x14ac:dyDescent="0.35">
      <c r="A1387" s="8">
        <v>1383</v>
      </c>
      <c r="B1387" s="9" t="str">
        <f t="shared" si="147"/>
        <v/>
      </c>
      <c r="C1387" s="10"/>
      <c r="D1387" s="9" t="str">
        <f>IF(F1387="","",_xlfn.XLOOKUP(F1387,purchase!D:D,purchase!#REF!,""))</f>
        <v/>
      </c>
      <c r="E1387" s="9" t="str">
        <f>IF(F1387="","",_xlfn.XLOOKUP(F1387,purchase!D:D,purchase!B:B,""))</f>
        <v/>
      </c>
      <c r="F1387" s="2"/>
      <c r="G1387" s="4" t="str">
        <f t="shared" si="148"/>
        <v/>
      </c>
      <c r="H1387" s="4" t="str">
        <f>IF(F1387="","",_xlfn.XLOOKUP(F1387,purchase!D:D,purchase!#REF!,""))</f>
        <v/>
      </c>
      <c r="I1387" s="4" t="str">
        <f t="shared" si="149"/>
        <v/>
      </c>
      <c r="J1387" s="4" t="str">
        <f t="shared" si="150"/>
        <v/>
      </c>
      <c r="K1387" s="13" t="str">
        <f>_xlfn.SINGLE(IF(F1387="","",_xlfn.XLOOKUP(F1387,purchase!D:D,purchase!#REF!,"")))</f>
        <v/>
      </c>
      <c r="L1387" s="2"/>
      <c r="M1387" s="32"/>
      <c r="N1387" s="13" t="str">
        <f>IF(F1387="","",
MAX(0,
_xlfn.XLOOKUP(F1387,purchase!D:D,purchase!#REF!,"")
-
SUMIFS(L:L,F:F,F1387)))</f>
        <v/>
      </c>
      <c r="O1387" s="13" t="str">
        <f t="shared" si="151"/>
        <v/>
      </c>
      <c r="P1387" s="35" t="str">
        <f>_xlfn.SINGLE(IF(F1387="","",_xlfn.XLOOKUP(F1387,purchase!D:D,purchase!K:K,"")))</f>
        <v/>
      </c>
      <c r="Q1387" s="29" t="str">
        <f t="shared" si="152"/>
        <v/>
      </c>
      <c r="R1387" s="37" t="str">
        <f t="shared" si="153"/>
        <v/>
      </c>
    </row>
    <row r="1388" spans="1:18" x14ac:dyDescent="0.35">
      <c r="A1388" s="8">
        <v>1384</v>
      </c>
      <c r="B1388" s="9" t="str">
        <f t="shared" si="147"/>
        <v/>
      </c>
      <c r="C1388" s="10"/>
      <c r="D1388" s="9" t="str">
        <f>IF(F1388="","",_xlfn.XLOOKUP(F1388,purchase!D:D,purchase!#REF!,""))</f>
        <v/>
      </c>
      <c r="E1388" s="9" t="str">
        <f>IF(F1388="","",_xlfn.XLOOKUP(F1388,purchase!D:D,purchase!B:B,""))</f>
        <v/>
      </c>
      <c r="F1388" s="2"/>
      <c r="G1388" s="4" t="str">
        <f t="shared" si="148"/>
        <v/>
      </c>
      <c r="H1388" s="4" t="str">
        <f>IF(F1388="","",_xlfn.XLOOKUP(F1388,purchase!D:D,purchase!#REF!,""))</f>
        <v/>
      </c>
      <c r="I1388" s="4" t="str">
        <f t="shared" si="149"/>
        <v/>
      </c>
      <c r="J1388" s="4" t="str">
        <f t="shared" si="150"/>
        <v/>
      </c>
      <c r="K1388" s="13" t="str">
        <f>_xlfn.SINGLE(IF(F1388="","",_xlfn.XLOOKUP(F1388,purchase!D:D,purchase!#REF!,"")))</f>
        <v/>
      </c>
      <c r="L1388" s="2"/>
      <c r="M1388" s="32"/>
      <c r="N1388" s="13" t="str">
        <f>IF(F1388="","",
MAX(0,
_xlfn.XLOOKUP(F1388,purchase!D:D,purchase!#REF!,"")
-
SUMIFS(L:L,F:F,F1388)))</f>
        <v/>
      </c>
      <c r="O1388" s="13" t="str">
        <f t="shared" si="151"/>
        <v/>
      </c>
      <c r="P1388" s="35" t="str">
        <f>_xlfn.SINGLE(IF(F1388="","",_xlfn.XLOOKUP(F1388,purchase!D:D,purchase!K:K,"")))</f>
        <v/>
      </c>
      <c r="Q1388" s="29" t="str">
        <f t="shared" si="152"/>
        <v/>
      </c>
      <c r="R1388" s="37" t="str">
        <f t="shared" si="153"/>
        <v/>
      </c>
    </row>
    <row r="1389" spans="1:18" x14ac:dyDescent="0.35">
      <c r="A1389" s="8">
        <v>1385</v>
      </c>
      <c r="B1389" s="9" t="str">
        <f t="shared" si="147"/>
        <v/>
      </c>
      <c r="C1389" s="10"/>
      <c r="D1389" s="9" t="str">
        <f>IF(F1389="","",_xlfn.XLOOKUP(F1389,purchase!D:D,purchase!#REF!,""))</f>
        <v/>
      </c>
      <c r="E1389" s="9" t="str">
        <f>IF(F1389="","",_xlfn.XLOOKUP(F1389,purchase!D:D,purchase!B:B,""))</f>
        <v/>
      </c>
      <c r="F1389" s="2"/>
      <c r="G1389" s="4" t="str">
        <f t="shared" si="148"/>
        <v/>
      </c>
      <c r="H1389" s="4" t="str">
        <f>IF(F1389="","",_xlfn.XLOOKUP(F1389,purchase!D:D,purchase!#REF!,""))</f>
        <v/>
      </c>
      <c r="I1389" s="4" t="str">
        <f t="shared" si="149"/>
        <v/>
      </c>
      <c r="J1389" s="4" t="str">
        <f t="shared" si="150"/>
        <v/>
      </c>
      <c r="K1389" s="13" t="str">
        <f>_xlfn.SINGLE(IF(F1389="","",_xlfn.XLOOKUP(F1389,purchase!D:D,purchase!#REF!,"")))</f>
        <v/>
      </c>
      <c r="L1389" s="2"/>
      <c r="M1389" s="32"/>
      <c r="N1389" s="13" t="str">
        <f>IF(F1389="","",
MAX(0,
_xlfn.XLOOKUP(F1389,purchase!D:D,purchase!#REF!,"")
-
SUMIFS(L:L,F:F,F1389)))</f>
        <v/>
      </c>
      <c r="O1389" s="13" t="str">
        <f t="shared" si="151"/>
        <v/>
      </c>
      <c r="P1389" s="35" t="str">
        <f>_xlfn.SINGLE(IF(F1389="","",_xlfn.XLOOKUP(F1389,purchase!D:D,purchase!K:K,"")))</f>
        <v/>
      </c>
      <c r="Q1389" s="29" t="str">
        <f t="shared" si="152"/>
        <v/>
      </c>
      <c r="R1389" s="37" t="str">
        <f t="shared" si="153"/>
        <v/>
      </c>
    </row>
    <row r="1390" spans="1:18" x14ac:dyDescent="0.35">
      <c r="A1390" s="8">
        <v>1386</v>
      </c>
      <c r="B1390" s="9" t="str">
        <f t="shared" si="147"/>
        <v/>
      </c>
      <c r="C1390" s="10"/>
      <c r="D1390" s="9" t="str">
        <f>IF(F1390="","",_xlfn.XLOOKUP(F1390,purchase!D:D,purchase!#REF!,""))</f>
        <v/>
      </c>
      <c r="E1390" s="9" t="str">
        <f>IF(F1390="","",_xlfn.XLOOKUP(F1390,purchase!D:D,purchase!B:B,""))</f>
        <v/>
      </c>
      <c r="F1390" s="2"/>
      <c r="G1390" s="4" t="str">
        <f t="shared" si="148"/>
        <v/>
      </c>
      <c r="H1390" s="4" t="str">
        <f>IF(F1390="","",_xlfn.XLOOKUP(F1390,purchase!D:D,purchase!#REF!,""))</f>
        <v/>
      </c>
      <c r="I1390" s="4" t="str">
        <f t="shared" si="149"/>
        <v/>
      </c>
      <c r="J1390" s="4" t="str">
        <f t="shared" si="150"/>
        <v/>
      </c>
      <c r="K1390" s="13" t="str">
        <f>_xlfn.SINGLE(IF(F1390="","",_xlfn.XLOOKUP(F1390,purchase!D:D,purchase!#REF!,"")))</f>
        <v/>
      </c>
      <c r="L1390" s="2"/>
      <c r="M1390" s="32"/>
      <c r="N1390" s="13" t="str">
        <f>IF(F1390="","",
MAX(0,
_xlfn.XLOOKUP(F1390,purchase!D:D,purchase!#REF!,"")
-
SUMIFS(L:L,F:F,F1390)))</f>
        <v/>
      </c>
      <c r="O1390" s="13" t="str">
        <f t="shared" si="151"/>
        <v/>
      </c>
      <c r="P1390" s="35" t="str">
        <f>_xlfn.SINGLE(IF(F1390="","",_xlfn.XLOOKUP(F1390,purchase!D:D,purchase!K:K,"")))</f>
        <v/>
      </c>
      <c r="Q1390" s="29" t="str">
        <f t="shared" si="152"/>
        <v/>
      </c>
      <c r="R1390" s="37" t="str">
        <f t="shared" si="153"/>
        <v/>
      </c>
    </row>
    <row r="1391" spans="1:18" x14ac:dyDescent="0.35">
      <c r="A1391" s="8">
        <v>1387</v>
      </c>
      <c r="B1391" s="9" t="str">
        <f t="shared" si="147"/>
        <v/>
      </c>
      <c r="C1391" s="10"/>
      <c r="D1391" s="9" t="str">
        <f>IF(F1391="","",_xlfn.XLOOKUP(F1391,purchase!D:D,purchase!#REF!,""))</f>
        <v/>
      </c>
      <c r="E1391" s="9" t="str">
        <f>IF(F1391="","",_xlfn.XLOOKUP(F1391,purchase!D:D,purchase!B:B,""))</f>
        <v/>
      </c>
      <c r="F1391" s="2"/>
      <c r="G1391" s="4" t="str">
        <f t="shared" si="148"/>
        <v/>
      </c>
      <c r="H1391" s="4" t="str">
        <f>IF(F1391="","",_xlfn.XLOOKUP(F1391,purchase!D:D,purchase!#REF!,""))</f>
        <v/>
      </c>
      <c r="I1391" s="4" t="str">
        <f t="shared" si="149"/>
        <v/>
      </c>
      <c r="J1391" s="4" t="str">
        <f t="shared" si="150"/>
        <v/>
      </c>
      <c r="K1391" s="13" t="str">
        <f>_xlfn.SINGLE(IF(F1391="","",_xlfn.XLOOKUP(F1391,purchase!D:D,purchase!#REF!,"")))</f>
        <v/>
      </c>
      <c r="L1391" s="2"/>
      <c r="M1391" s="32"/>
      <c r="N1391" s="13" t="str">
        <f>IF(F1391="","",
MAX(0,
_xlfn.XLOOKUP(F1391,purchase!D:D,purchase!#REF!,"")
-
SUMIFS(L:L,F:F,F1391)))</f>
        <v/>
      </c>
      <c r="O1391" s="13" t="str">
        <f t="shared" si="151"/>
        <v/>
      </c>
      <c r="P1391" s="35" t="str">
        <f>_xlfn.SINGLE(IF(F1391="","",_xlfn.XLOOKUP(F1391,purchase!D:D,purchase!K:K,"")))</f>
        <v/>
      </c>
      <c r="Q1391" s="29" t="str">
        <f t="shared" si="152"/>
        <v/>
      </c>
      <c r="R1391" s="37" t="str">
        <f t="shared" si="153"/>
        <v/>
      </c>
    </row>
    <row r="1392" spans="1:18" x14ac:dyDescent="0.35">
      <c r="A1392" s="8">
        <v>1388</v>
      </c>
      <c r="B1392" s="9" t="str">
        <f t="shared" si="147"/>
        <v/>
      </c>
      <c r="C1392" s="10"/>
      <c r="D1392" s="9" t="str">
        <f>IF(F1392="","",_xlfn.XLOOKUP(F1392,purchase!D:D,purchase!#REF!,""))</f>
        <v/>
      </c>
      <c r="E1392" s="9" t="str">
        <f>IF(F1392="","",_xlfn.XLOOKUP(F1392,purchase!D:D,purchase!B:B,""))</f>
        <v/>
      </c>
      <c r="F1392" s="2"/>
      <c r="G1392" s="4" t="str">
        <f t="shared" si="148"/>
        <v/>
      </c>
      <c r="H1392" s="4" t="str">
        <f>IF(F1392="","",_xlfn.XLOOKUP(F1392,purchase!D:D,purchase!#REF!,""))</f>
        <v/>
      </c>
      <c r="I1392" s="4" t="str">
        <f t="shared" si="149"/>
        <v/>
      </c>
      <c r="J1392" s="4" t="str">
        <f t="shared" si="150"/>
        <v/>
      </c>
      <c r="K1392" s="13" t="str">
        <f>_xlfn.SINGLE(IF(F1392="","",_xlfn.XLOOKUP(F1392,purchase!D:D,purchase!#REF!,"")))</f>
        <v/>
      </c>
      <c r="L1392" s="2"/>
      <c r="M1392" s="32"/>
      <c r="N1392" s="13" t="str">
        <f>IF(F1392="","",
MAX(0,
_xlfn.XLOOKUP(F1392,purchase!D:D,purchase!#REF!,"")
-
SUMIFS(L:L,F:F,F1392)))</f>
        <v/>
      </c>
      <c r="O1392" s="13" t="str">
        <f t="shared" si="151"/>
        <v/>
      </c>
      <c r="P1392" s="35" t="str">
        <f>_xlfn.SINGLE(IF(F1392="","",_xlfn.XLOOKUP(F1392,purchase!D:D,purchase!K:K,"")))</f>
        <v/>
      </c>
      <c r="Q1392" s="29" t="str">
        <f t="shared" si="152"/>
        <v/>
      </c>
      <c r="R1392" s="37" t="str">
        <f t="shared" si="153"/>
        <v/>
      </c>
    </row>
    <row r="1393" spans="1:18" x14ac:dyDescent="0.35">
      <c r="A1393" s="8">
        <v>1389</v>
      </c>
      <c r="B1393" s="9" t="str">
        <f t="shared" si="147"/>
        <v/>
      </c>
      <c r="C1393" s="10"/>
      <c r="D1393" s="9" t="str">
        <f>IF(F1393="","",_xlfn.XLOOKUP(F1393,purchase!D:D,purchase!#REF!,""))</f>
        <v/>
      </c>
      <c r="E1393" s="9" t="str">
        <f>IF(F1393="","",_xlfn.XLOOKUP(F1393,purchase!D:D,purchase!B:B,""))</f>
        <v/>
      </c>
      <c r="F1393" s="2"/>
      <c r="G1393" s="4" t="str">
        <f t="shared" si="148"/>
        <v/>
      </c>
      <c r="H1393" s="4" t="str">
        <f>IF(F1393="","",_xlfn.XLOOKUP(F1393,purchase!D:D,purchase!#REF!,""))</f>
        <v/>
      </c>
      <c r="I1393" s="4" t="str">
        <f t="shared" si="149"/>
        <v/>
      </c>
      <c r="J1393" s="4" t="str">
        <f t="shared" si="150"/>
        <v/>
      </c>
      <c r="K1393" s="13" t="str">
        <f>_xlfn.SINGLE(IF(F1393="","",_xlfn.XLOOKUP(F1393,purchase!D:D,purchase!#REF!,"")))</f>
        <v/>
      </c>
      <c r="L1393" s="2"/>
      <c r="M1393" s="32"/>
      <c r="N1393" s="13" t="str">
        <f>IF(F1393="","",
MAX(0,
_xlfn.XLOOKUP(F1393,purchase!D:D,purchase!#REF!,"")
-
SUMIFS(L:L,F:F,F1393)))</f>
        <v/>
      </c>
      <c r="O1393" s="13" t="str">
        <f t="shared" si="151"/>
        <v/>
      </c>
      <c r="P1393" s="35" t="str">
        <f>_xlfn.SINGLE(IF(F1393="","",_xlfn.XLOOKUP(F1393,purchase!D:D,purchase!K:K,"")))</f>
        <v/>
      </c>
      <c r="Q1393" s="29" t="str">
        <f t="shared" si="152"/>
        <v/>
      </c>
      <c r="R1393" s="37" t="str">
        <f t="shared" si="153"/>
        <v/>
      </c>
    </row>
    <row r="1394" spans="1:18" x14ac:dyDescent="0.35">
      <c r="A1394" s="8">
        <v>1390</v>
      </c>
      <c r="B1394" s="9" t="str">
        <f t="shared" si="147"/>
        <v/>
      </c>
      <c r="C1394" s="10"/>
      <c r="D1394" s="9" t="str">
        <f>IF(F1394="","",_xlfn.XLOOKUP(F1394,purchase!D:D,purchase!#REF!,""))</f>
        <v/>
      </c>
      <c r="E1394" s="9" t="str">
        <f>IF(F1394="","",_xlfn.XLOOKUP(F1394,purchase!D:D,purchase!B:B,""))</f>
        <v/>
      </c>
      <c r="F1394" s="2"/>
      <c r="G1394" s="4" t="str">
        <f t="shared" si="148"/>
        <v/>
      </c>
      <c r="H1394" s="4" t="str">
        <f>IF(F1394="","",_xlfn.XLOOKUP(F1394,purchase!D:D,purchase!#REF!,""))</f>
        <v/>
      </c>
      <c r="I1394" s="4" t="str">
        <f t="shared" si="149"/>
        <v/>
      </c>
      <c r="J1394" s="4" t="str">
        <f t="shared" si="150"/>
        <v/>
      </c>
      <c r="K1394" s="13" t="str">
        <f>_xlfn.SINGLE(IF(F1394="","",_xlfn.XLOOKUP(F1394,purchase!D:D,purchase!#REF!,"")))</f>
        <v/>
      </c>
      <c r="L1394" s="2"/>
      <c r="M1394" s="32"/>
      <c r="N1394" s="13" t="str">
        <f>IF(F1394="","",
MAX(0,
_xlfn.XLOOKUP(F1394,purchase!D:D,purchase!#REF!,"")
-
SUMIFS(L:L,F:F,F1394)))</f>
        <v/>
      </c>
      <c r="O1394" s="13" t="str">
        <f t="shared" si="151"/>
        <v/>
      </c>
      <c r="P1394" s="35" t="str">
        <f>_xlfn.SINGLE(IF(F1394="","",_xlfn.XLOOKUP(F1394,purchase!D:D,purchase!K:K,"")))</f>
        <v/>
      </c>
      <c r="Q1394" s="29" t="str">
        <f t="shared" si="152"/>
        <v/>
      </c>
      <c r="R1394" s="37" t="str">
        <f t="shared" si="153"/>
        <v/>
      </c>
    </row>
    <row r="1395" spans="1:18" x14ac:dyDescent="0.35">
      <c r="A1395" s="8">
        <v>1391</v>
      </c>
      <c r="B1395" s="9" t="str">
        <f t="shared" si="147"/>
        <v/>
      </c>
      <c r="C1395" s="10"/>
      <c r="D1395" s="9" t="str">
        <f>IF(F1395="","",_xlfn.XLOOKUP(F1395,purchase!D:D,purchase!#REF!,""))</f>
        <v/>
      </c>
      <c r="E1395" s="9" t="str">
        <f>IF(F1395="","",_xlfn.XLOOKUP(F1395,purchase!D:D,purchase!B:B,""))</f>
        <v/>
      </c>
      <c r="F1395" s="2"/>
      <c r="G1395" s="4" t="str">
        <f t="shared" si="148"/>
        <v/>
      </c>
      <c r="H1395" s="4" t="str">
        <f>IF(F1395="","",_xlfn.XLOOKUP(F1395,purchase!D:D,purchase!#REF!,""))</f>
        <v/>
      </c>
      <c r="I1395" s="4" t="str">
        <f t="shared" si="149"/>
        <v/>
      </c>
      <c r="J1395" s="4" t="str">
        <f t="shared" si="150"/>
        <v/>
      </c>
      <c r="K1395" s="13" t="str">
        <f>_xlfn.SINGLE(IF(F1395="","",_xlfn.XLOOKUP(F1395,purchase!D:D,purchase!#REF!,"")))</f>
        <v/>
      </c>
      <c r="L1395" s="2"/>
      <c r="M1395" s="32"/>
      <c r="N1395" s="13" t="str">
        <f>IF(F1395="","",
MAX(0,
_xlfn.XLOOKUP(F1395,purchase!D:D,purchase!#REF!,"")
-
SUMIFS(L:L,F:F,F1395)))</f>
        <v/>
      </c>
      <c r="O1395" s="13" t="str">
        <f t="shared" si="151"/>
        <v/>
      </c>
      <c r="P1395" s="35" t="str">
        <f>_xlfn.SINGLE(IF(F1395="","",_xlfn.XLOOKUP(F1395,purchase!D:D,purchase!K:K,"")))</f>
        <v/>
      </c>
      <c r="Q1395" s="29" t="str">
        <f t="shared" si="152"/>
        <v/>
      </c>
      <c r="R1395" s="37" t="str">
        <f t="shared" si="153"/>
        <v/>
      </c>
    </row>
    <row r="1396" spans="1:18" x14ac:dyDescent="0.35">
      <c r="A1396" s="8">
        <v>1392</v>
      </c>
      <c r="B1396" s="9" t="str">
        <f t="shared" si="147"/>
        <v/>
      </c>
      <c r="C1396" s="10"/>
      <c r="D1396" s="9" t="str">
        <f>IF(F1396="","",_xlfn.XLOOKUP(F1396,purchase!D:D,purchase!#REF!,""))</f>
        <v/>
      </c>
      <c r="E1396" s="9" t="str">
        <f>IF(F1396="","",_xlfn.XLOOKUP(F1396,purchase!D:D,purchase!B:B,""))</f>
        <v/>
      </c>
      <c r="F1396" s="2"/>
      <c r="G1396" s="4" t="str">
        <f t="shared" si="148"/>
        <v/>
      </c>
      <c r="H1396" s="4" t="str">
        <f>IF(F1396="","",_xlfn.XLOOKUP(F1396,purchase!D:D,purchase!#REF!,""))</f>
        <v/>
      </c>
      <c r="I1396" s="4" t="str">
        <f t="shared" si="149"/>
        <v/>
      </c>
      <c r="J1396" s="4" t="str">
        <f t="shared" si="150"/>
        <v/>
      </c>
      <c r="K1396" s="13" t="str">
        <f>_xlfn.SINGLE(IF(F1396="","",_xlfn.XLOOKUP(F1396,purchase!D:D,purchase!#REF!,"")))</f>
        <v/>
      </c>
      <c r="L1396" s="2"/>
      <c r="M1396" s="32"/>
      <c r="N1396" s="13" t="str">
        <f>IF(F1396="","",
MAX(0,
_xlfn.XLOOKUP(F1396,purchase!D:D,purchase!#REF!,"")
-
SUMIFS(L:L,F:F,F1396)))</f>
        <v/>
      </c>
      <c r="O1396" s="13" t="str">
        <f t="shared" si="151"/>
        <v/>
      </c>
      <c r="P1396" s="35" t="str">
        <f>_xlfn.SINGLE(IF(F1396="","",_xlfn.XLOOKUP(F1396,purchase!D:D,purchase!K:K,"")))</f>
        <v/>
      </c>
      <c r="Q1396" s="29" t="str">
        <f t="shared" si="152"/>
        <v/>
      </c>
      <c r="R1396" s="37" t="str">
        <f t="shared" si="153"/>
        <v/>
      </c>
    </row>
    <row r="1397" spans="1:18" x14ac:dyDescent="0.35">
      <c r="A1397" s="8">
        <v>1393</v>
      </c>
      <c r="B1397" s="9" t="str">
        <f t="shared" si="147"/>
        <v/>
      </c>
      <c r="C1397" s="10"/>
      <c r="D1397" s="9" t="str">
        <f>IF(F1397="","",_xlfn.XLOOKUP(F1397,purchase!D:D,purchase!#REF!,""))</f>
        <v/>
      </c>
      <c r="E1397" s="9" t="str">
        <f>IF(F1397="","",_xlfn.XLOOKUP(F1397,purchase!D:D,purchase!B:B,""))</f>
        <v/>
      </c>
      <c r="F1397" s="2"/>
      <c r="G1397" s="4" t="str">
        <f t="shared" si="148"/>
        <v/>
      </c>
      <c r="H1397" s="4" t="str">
        <f>IF(F1397="","",_xlfn.XLOOKUP(F1397,purchase!D:D,purchase!#REF!,""))</f>
        <v/>
      </c>
      <c r="I1397" s="4" t="str">
        <f t="shared" si="149"/>
        <v/>
      </c>
      <c r="J1397" s="4" t="str">
        <f t="shared" si="150"/>
        <v/>
      </c>
      <c r="K1397" s="13" t="str">
        <f>_xlfn.SINGLE(IF(F1397="","",_xlfn.XLOOKUP(F1397,purchase!D:D,purchase!#REF!,"")))</f>
        <v/>
      </c>
      <c r="L1397" s="2"/>
      <c r="M1397" s="32"/>
      <c r="N1397" s="13" t="str">
        <f>IF(F1397="","",
MAX(0,
_xlfn.XLOOKUP(F1397,purchase!D:D,purchase!#REF!,"")
-
SUMIFS(L:L,F:F,F1397)))</f>
        <v/>
      </c>
      <c r="O1397" s="13" t="str">
        <f t="shared" si="151"/>
        <v/>
      </c>
      <c r="P1397" s="35" t="str">
        <f>_xlfn.SINGLE(IF(F1397="","",_xlfn.XLOOKUP(F1397,purchase!D:D,purchase!K:K,"")))</f>
        <v/>
      </c>
      <c r="Q1397" s="29" t="str">
        <f t="shared" si="152"/>
        <v/>
      </c>
      <c r="R1397" s="37" t="str">
        <f t="shared" si="153"/>
        <v/>
      </c>
    </row>
    <row r="1398" spans="1:18" x14ac:dyDescent="0.35">
      <c r="A1398" s="8">
        <v>1394</v>
      </c>
      <c r="B1398" s="9" t="str">
        <f t="shared" si="147"/>
        <v/>
      </c>
      <c r="C1398" s="10"/>
      <c r="D1398" s="9" t="str">
        <f>IF(F1398="","",_xlfn.XLOOKUP(F1398,purchase!D:D,purchase!#REF!,""))</f>
        <v/>
      </c>
      <c r="E1398" s="9" t="str">
        <f>IF(F1398="","",_xlfn.XLOOKUP(F1398,purchase!D:D,purchase!B:B,""))</f>
        <v/>
      </c>
      <c r="F1398" s="2"/>
      <c r="G1398" s="4" t="str">
        <f t="shared" si="148"/>
        <v/>
      </c>
      <c r="H1398" s="4" t="str">
        <f>IF(F1398="","",_xlfn.XLOOKUP(F1398,purchase!D:D,purchase!#REF!,""))</f>
        <v/>
      </c>
      <c r="I1398" s="4" t="str">
        <f t="shared" si="149"/>
        <v/>
      </c>
      <c r="J1398" s="4" t="str">
        <f t="shared" si="150"/>
        <v/>
      </c>
      <c r="K1398" s="13" t="str">
        <f>_xlfn.SINGLE(IF(F1398="","",_xlfn.XLOOKUP(F1398,purchase!D:D,purchase!#REF!,"")))</f>
        <v/>
      </c>
      <c r="L1398" s="2"/>
      <c r="M1398" s="32"/>
      <c r="N1398" s="13" t="str">
        <f>IF(F1398="","",
MAX(0,
_xlfn.XLOOKUP(F1398,purchase!D:D,purchase!#REF!,"")
-
SUMIFS(L:L,F:F,F1398)))</f>
        <v/>
      </c>
      <c r="O1398" s="13" t="str">
        <f t="shared" si="151"/>
        <v/>
      </c>
      <c r="P1398" s="35" t="str">
        <f>_xlfn.SINGLE(IF(F1398="","",_xlfn.XLOOKUP(F1398,purchase!D:D,purchase!K:K,"")))</f>
        <v/>
      </c>
      <c r="Q1398" s="29" t="str">
        <f t="shared" si="152"/>
        <v/>
      </c>
      <c r="R1398" s="37" t="str">
        <f t="shared" si="153"/>
        <v/>
      </c>
    </row>
    <row r="1399" spans="1:18" x14ac:dyDescent="0.35">
      <c r="A1399" s="8">
        <v>1395</v>
      </c>
      <c r="B1399" s="9" t="str">
        <f t="shared" si="147"/>
        <v/>
      </c>
      <c r="C1399" s="10"/>
      <c r="D1399" s="9" t="str">
        <f>IF(F1399="","",_xlfn.XLOOKUP(F1399,purchase!D:D,purchase!#REF!,""))</f>
        <v/>
      </c>
      <c r="E1399" s="9" t="str">
        <f>IF(F1399="","",_xlfn.XLOOKUP(F1399,purchase!D:D,purchase!B:B,""))</f>
        <v/>
      </c>
      <c r="F1399" s="2"/>
      <c r="G1399" s="4" t="str">
        <f t="shared" si="148"/>
        <v/>
      </c>
      <c r="H1399" s="4" t="str">
        <f>IF(F1399="","",_xlfn.XLOOKUP(F1399,purchase!D:D,purchase!#REF!,""))</f>
        <v/>
      </c>
      <c r="I1399" s="4" t="str">
        <f t="shared" si="149"/>
        <v/>
      </c>
      <c r="J1399" s="4" t="str">
        <f t="shared" si="150"/>
        <v/>
      </c>
      <c r="K1399" s="13" t="str">
        <f>_xlfn.SINGLE(IF(F1399="","",_xlfn.XLOOKUP(F1399,purchase!D:D,purchase!#REF!,"")))</f>
        <v/>
      </c>
      <c r="L1399" s="2"/>
      <c r="M1399" s="32"/>
      <c r="N1399" s="13" t="str">
        <f>IF(F1399="","",
MAX(0,
_xlfn.XLOOKUP(F1399,purchase!D:D,purchase!#REF!,"")
-
SUMIFS(L:L,F:F,F1399)))</f>
        <v/>
      </c>
      <c r="O1399" s="13" t="str">
        <f t="shared" si="151"/>
        <v/>
      </c>
      <c r="P1399" s="35" t="str">
        <f>_xlfn.SINGLE(IF(F1399="","",_xlfn.XLOOKUP(F1399,purchase!D:D,purchase!K:K,"")))</f>
        <v/>
      </c>
      <c r="Q1399" s="29" t="str">
        <f t="shared" si="152"/>
        <v/>
      </c>
      <c r="R1399" s="37" t="str">
        <f t="shared" si="153"/>
        <v/>
      </c>
    </row>
    <row r="1400" spans="1:18" x14ac:dyDescent="0.35">
      <c r="A1400" s="8">
        <v>1396</v>
      </c>
      <c r="B1400" s="9" t="str">
        <f t="shared" si="147"/>
        <v/>
      </c>
      <c r="C1400" s="10"/>
      <c r="D1400" s="9" t="str">
        <f>IF(F1400="","",_xlfn.XLOOKUP(F1400,purchase!D:D,purchase!#REF!,""))</f>
        <v/>
      </c>
      <c r="E1400" s="9" t="str">
        <f>IF(F1400="","",_xlfn.XLOOKUP(F1400,purchase!D:D,purchase!B:B,""))</f>
        <v/>
      </c>
      <c r="F1400" s="2"/>
      <c r="G1400" s="4" t="str">
        <f t="shared" si="148"/>
        <v/>
      </c>
      <c r="H1400" s="4" t="str">
        <f>IF(F1400="","",_xlfn.XLOOKUP(F1400,purchase!D:D,purchase!#REF!,""))</f>
        <v/>
      </c>
      <c r="I1400" s="4" t="str">
        <f t="shared" si="149"/>
        <v/>
      </c>
      <c r="J1400" s="4" t="str">
        <f t="shared" si="150"/>
        <v/>
      </c>
      <c r="K1400" s="13" t="str">
        <f>_xlfn.SINGLE(IF(F1400="","",_xlfn.XLOOKUP(F1400,purchase!D:D,purchase!#REF!,"")))</f>
        <v/>
      </c>
      <c r="L1400" s="2"/>
      <c r="M1400" s="32"/>
      <c r="N1400" s="13" t="str">
        <f>IF(F1400="","",
MAX(0,
_xlfn.XLOOKUP(F1400,purchase!D:D,purchase!#REF!,"")
-
SUMIFS(L:L,F:F,F1400)))</f>
        <v/>
      </c>
      <c r="O1400" s="13" t="str">
        <f t="shared" si="151"/>
        <v/>
      </c>
      <c r="P1400" s="35" t="str">
        <f>_xlfn.SINGLE(IF(F1400="","",_xlfn.XLOOKUP(F1400,purchase!D:D,purchase!K:K,"")))</f>
        <v/>
      </c>
      <c r="Q1400" s="29" t="str">
        <f t="shared" si="152"/>
        <v/>
      </c>
      <c r="R1400" s="37" t="str">
        <f t="shared" si="153"/>
        <v/>
      </c>
    </row>
    <row r="1401" spans="1:18" x14ac:dyDescent="0.35">
      <c r="A1401" s="8">
        <v>1397</v>
      </c>
      <c r="B1401" s="9" t="str">
        <f t="shared" si="147"/>
        <v/>
      </c>
      <c r="C1401" s="10"/>
      <c r="D1401" s="9" t="str">
        <f>IF(F1401="","",_xlfn.XLOOKUP(F1401,purchase!D:D,purchase!#REF!,""))</f>
        <v/>
      </c>
      <c r="E1401" s="9" t="str">
        <f>IF(F1401="","",_xlfn.XLOOKUP(F1401,purchase!D:D,purchase!B:B,""))</f>
        <v/>
      </c>
      <c r="F1401" s="2"/>
      <c r="G1401" s="4" t="str">
        <f t="shared" si="148"/>
        <v/>
      </c>
      <c r="H1401" s="4" t="str">
        <f>IF(F1401="","",_xlfn.XLOOKUP(F1401,purchase!D:D,purchase!#REF!,""))</f>
        <v/>
      </c>
      <c r="I1401" s="4" t="str">
        <f t="shared" si="149"/>
        <v/>
      </c>
      <c r="J1401" s="4" t="str">
        <f t="shared" si="150"/>
        <v/>
      </c>
      <c r="K1401" s="13" t="str">
        <f>_xlfn.SINGLE(IF(F1401="","",_xlfn.XLOOKUP(F1401,purchase!D:D,purchase!#REF!,"")))</f>
        <v/>
      </c>
      <c r="L1401" s="2"/>
      <c r="M1401" s="32"/>
      <c r="N1401" s="13" t="str">
        <f>IF(F1401="","",
MAX(0,
_xlfn.XLOOKUP(F1401,purchase!D:D,purchase!#REF!,"")
-
SUMIFS(L:L,F:F,F1401)))</f>
        <v/>
      </c>
      <c r="O1401" s="13" t="str">
        <f t="shared" si="151"/>
        <v/>
      </c>
      <c r="P1401" s="35" t="str">
        <f>_xlfn.SINGLE(IF(F1401="","",_xlfn.XLOOKUP(F1401,purchase!D:D,purchase!K:K,"")))</f>
        <v/>
      </c>
      <c r="Q1401" s="29" t="str">
        <f t="shared" si="152"/>
        <v/>
      </c>
      <c r="R1401" s="37" t="str">
        <f t="shared" si="153"/>
        <v/>
      </c>
    </row>
    <row r="1402" spans="1:18" x14ac:dyDescent="0.35">
      <c r="A1402" s="8">
        <v>1398</v>
      </c>
      <c r="B1402" s="9" t="str">
        <f t="shared" si="147"/>
        <v/>
      </c>
      <c r="C1402" s="10"/>
      <c r="D1402" s="9" t="str">
        <f>IF(F1402="","",_xlfn.XLOOKUP(F1402,purchase!D:D,purchase!#REF!,""))</f>
        <v/>
      </c>
      <c r="E1402" s="9" t="str">
        <f>IF(F1402="","",_xlfn.XLOOKUP(F1402,purchase!D:D,purchase!B:B,""))</f>
        <v/>
      </c>
      <c r="F1402" s="2"/>
      <c r="G1402" s="4" t="str">
        <f t="shared" si="148"/>
        <v/>
      </c>
      <c r="H1402" s="4" t="str">
        <f>IF(F1402="","",_xlfn.XLOOKUP(F1402,purchase!D:D,purchase!#REF!,""))</f>
        <v/>
      </c>
      <c r="I1402" s="4" t="str">
        <f t="shared" si="149"/>
        <v/>
      </c>
      <c r="J1402" s="4" t="str">
        <f t="shared" si="150"/>
        <v/>
      </c>
      <c r="K1402" s="13" t="str">
        <f>_xlfn.SINGLE(IF(F1402="","",_xlfn.XLOOKUP(F1402,purchase!D:D,purchase!#REF!,"")))</f>
        <v/>
      </c>
      <c r="L1402" s="2"/>
      <c r="M1402" s="32"/>
      <c r="N1402" s="13" t="str">
        <f>IF(F1402="","",
MAX(0,
_xlfn.XLOOKUP(F1402,purchase!D:D,purchase!#REF!,"")
-
SUMIFS(L:L,F:F,F1402)))</f>
        <v/>
      </c>
      <c r="O1402" s="13" t="str">
        <f t="shared" si="151"/>
        <v/>
      </c>
      <c r="P1402" s="35" t="str">
        <f>_xlfn.SINGLE(IF(F1402="","",_xlfn.XLOOKUP(F1402,purchase!D:D,purchase!K:K,"")))</f>
        <v/>
      </c>
      <c r="Q1402" s="29" t="str">
        <f t="shared" si="152"/>
        <v/>
      </c>
      <c r="R1402" s="37" t="str">
        <f t="shared" si="153"/>
        <v/>
      </c>
    </row>
    <row r="1403" spans="1:18" x14ac:dyDescent="0.35">
      <c r="A1403" s="8">
        <v>1399</v>
      </c>
      <c r="B1403" s="9" t="str">
        <f t="shared" si="147"/>
        <v/>
      </c>
      <c r="C1403" s="10"/>
      <c r="D1403" s="9" t="str">
        <f>IF(F1403="","",_xlfn.XLOOKUP(F1403,purchase!D:D,purchase!#REF!,""))</f>
        <v/>
      </c>
      <c r="E1403" s="9" t="str">
        <f>IF(F1403="","",_xlfn.XLOOKUP(F1403,purchase!D:D,purchase!B:B,""))</f>
        <v/>
      </c>
      <c r="F1403" s="2"/>
      <c r="G1403" s="4" t="str">
        <f t="shared" si="148"/>
        <v/>
      </c>
      <c r="H1403" s="4" t="str">
        <f>IF(F1403="","",_xlfn.XLOOKUP(F1403,purchase!D:D,purchase!#REF!,""))</f>
        <v/>
      </c>
      <c r="I1403" s="4" t="str">
        <f t="shared" si="149"/>
        <v/>
      </c>
      <c r="J1403" s="4" t="str">
        <f t="shared" si="150"/>
        <v/>
      </c>
      <c r="K1403" s="13" t="str">
        <f>_xlfn.SINGLE(IF(F1403="","",_xlfn.XLOOKUP(F1403,purchase!D:D,purchase!#REF!,"")))</f>
        <v/>
      </c>
      <c r="L1403" s="2"/>
      <c r="M1403" s="32"/>
      <c r="N1403" s="13" t="str">
        <f>IF(F1403="","",
MAX(0,
_xlfn.XLOOKUP(F1403,purchase!D:D,purchase!#REF!,"")
-
SUMIFS(L:L,F:F,F1403)))</f>
        <v/>
      </c>
      <c r="O1403" s="13" t="str">
        <f t="shared" si="151"/>
        <v/>
      </c>
      <c r="P1403" s="35" t="str">
        <f>_xlfn.SINGLE(IF(F1403="","",_xlfn.XLOOKUP(F1403,purchase!D:D,purchase!K:K,"")))</f>
        <v/>
      </c>
      <c r="Q1403" s="29" t="str">
        <f t="shared" si="152"/>
        <v/>
      </c>
      <c r="R1403" s="37" t="str">
        <f t="shared" si="153"/>
        <v/>
      </c>
    </row>
    <row r="1404" spans="1:18" x14ac:dyDescent="0.35">
      <c r="A1404" s="8">
        <v>1400</v>
      </c>
      <c r="B1404" s="9" t="str">
        <f t="shared" si="147"/>
        <v/>
      </c>
      <c r="C1404" s="10"/>
      <c r="D1404" s="9" t="str">
        <f>IF(F1404="","",_xlfn.XLOOKUP(F1404,purchase!D:D,purchase!#REF!,""))</f>
        <v/>
      </c>
      <c r="E1404" s="9" t="str">
        <f>IF(F1404="","",_xlfn.XLOOKUP(F1404,purchase!D:D,purchase!B:B,""))</f>
        <v/>
      </c>
      <c r="F1404" s="2"/>
      <c r="G1404" s="4" t="str">
        <f t="shared" si="148"/>
        <v/>
      </c>
      <c r="H1404" s="4" t="str">
        <f>IF(F1404="","",_xlfn.XLOOKUP(F1404,purchase!D:D,purchase!#REF!,""))</f>
        <v/>
      </c>
      <c r="I1404" s="4" t="str">
        <f t="shared" si="149"/>
        <v/>
      </c>
      <c r="J1404" s="4" t="str">
        <f t="shared" si="150"/>
        <v/>
      </c>
      <c r="K1404" s="13" t="str">
        <f>_xlfn.SINGLE(IF(F1404="","",_xlfn.XLOOKUP(F1404,purchase!D:D,purchase!#REF!,"")))</f>
        <v/>
      </c>
      <c r="L1404" s="2"/>
      <c r="M1404" s="32"/>
      <c r="N1404" s="13" t="str">
        <f>IF(F1404="","",
MAX(0,
_xlfn.XLOOKUP(F1404,purchase!D:D,purchase!#REF!,"")
-
SUMIFS(L:L,F:F,F1404)))</f>
        <v/>
      </c>
      <c r="O1404" s="13" t="str">
        <f t="shared" si="151"/>
        <v/>
      </c>
      <c r="P1404" s="35" t="str">
        <f>_xlfn.SINGLE(IF(F1404="","",_xlfn.XLOOKUP(F1404,purchase!D:D,purchase!K:K,"")))</f>
        <v/>
      </c>
      <c r="Q1404" s="29" t="str">
        <f t="shared" si="152"/>
        <v/>
      </c>
      <c r="R1404" s="37" t="str">
        <f t="shared" si="153"/>
        <v/>
      </c>
    </row>
    <row r="1405" spans="1:18" x14ac:dyDescent="0.35">
      <c r="A1405" s="8">
        <v>1401</v>
      </c>
      <c r="B1405" s="9" t="str">
        <f t="shared" si="147"/>
        <v/>
      </c>
      <c r="C1405" s="10"/>
      <c r="D1405" s="9" t="str">
        <f>IF(F1405="","",_xlfn.XLOOKUP(F1405,purchase!D:D,purchase!#REF!,""))</f>
        <v/>
      </c>
      <c r="E1405" s="9" t="str">
        <f>IF(F1405="","",_xlfn.XLOOKUP(F1405,purchase!D:D,purchase!B:B,""))</f>
        <v/>
      </c>
      <c r="F1405" s="2"/>
      <c r="G1405" s="4" t="str">
        <f t="shared" si="148"/>
        <v/>
      </c>
      <c r="H1405" s="4" t="str">
        <f>IF(F1405="","",_xlfn.XLOOKUP(F1405,purchase!D:D,purchase!#REF!,""))</f>
        <v/>
      </c>
      <c r="I1405" s="4" t="str">
        <f t="shared" si="149"/>
        <v/>
      </c>
      <c r="J1405" s="4" t="str">
        <f t="shared" si="150"/>
        <v/>
      </c>
      <c r="K1405" s="13" t="str">
        <f>_xlfn.SINGLE(IF(F1405="","",_xlfn.XLOOKUP(F1405,purchase!D:D,purchase!#REF!,"")))</f>
        <v/>
      </c>
      <c r="L1405" s="2"/>
      <c r="M1405" s="32"/>
      <c r="N1405" s="13" t="str">
        <f>IF(F1405="","",
MAX(0,
_xlfn.XLOOKUP(F1405,purchase!D:D,purchase!#REF!,"")
-
SUMIFS(L:L,F:F,F1405)))</f>
        <v/>
      </c>
      <c r="O1405" s="13" t="str">
        <f t="shared" si="151"/>
        <v/>
      </c>
      <c r="P1405" s="35" t="str">
        <f>_xlfn.SINGLE(IF(F1405="","",_xlfn.XLOOKUP(F1405,purchase!D:D,purchase!K:K,"")))</f>
        <v/>
      </c>
      <c r="Q1405" s="29" t="str">
        <f t="shared" si="152"/>
        <v/>
      </c>
      <c r="R1405" s="37" t="str">
        <f t="shared" si="153"/>
        <v/>
      </c>
    </row>
    <row r="1406" spans="1:18" x14ac:dyDescent="0.35">
      <c r="A1406" s="8">
        <v>1402</v>
      </c>
      <c r="B1406" s="9" t="str">
        <f t="shared" si="147"/>
        <v/>
      </c>
      <c r="C1406" s="10"/>
      <c r="D1406" s="9" t="str">
        <f>IF(F1406="","",_xlfn.XLOOKUP(F1406,purchase!D:D,purchase!#REF!,""))</f>
        <v/>
      </c>
      <c r="E1406" s="9" t="str">
        <f>IF(F1406="","",_xlfn.XLOOKUP(F1406,purchase!D:D,purchase!B:B,""))</f>
        <v/>
      </c>
      <c r="F1406" s="2"/>
      <c r="G1406" s="4" t="str">
        <f t="shared" si="148"/>
        <v/>
      </c>
      <c r="H1406" s="4" t="str">
        <f>IF(F1406="","",_xlfn.XLOOKUP(F1406,purchase!D:D,purchase!#REF!,""))</f>
        <v/>
      </c>
      <c r="I1406" s="4" t="str">
        <f t="shared" si="149"/>
        <v/>
      </c>
      <c r="J1406" s="4" t="str">
        <f t="shared" si="150"/>
        <v/>
      </c>
      <c r="K1406" s="13" t="str">
        <f>_xlfn.SINGLE(IF(F1406="","",_xlfn.XLOOKUP(F1406,purchase!D:D,purchase!#REF!,"")))</f>
        <v/>
      </c>
      <c r="L1406" s="2"/>
      <c r="M1406" s="32"/>
      <c r="N1406" s="13" t="str">
        <f>IF(F1406="","",
MAX(0,
_xlfn.XLOOKUP(F1406,purchase!D:D,purchase!#REF!,"")
-
SUMIFS(L:L,F:F,F1406)))</f>
        <v/>
      </c>
      <c r="O1406" s="13" t="str">
        <f t="shared" si="151"/>
        <v/>
      </c>
      <c r="P1406" s="35" t="str">
        <f>_xlfn.SINGLE(IF(F1406="","",_xlfn.XLOOKUP(F1406,purchase!D:D,purchase!K:K,"")))</f>
        <v/>
      </c>
      <c r="Q1406" s="29" t="str">
        <f t="shared" si="152"/>
        <v/>
      </c>
      <c r="R1406" s="37" t="str">
        <f t="shared" si="153"/>
        <v/>
      </c>
    </row>
    <row r="1407" spans="1:18" x14ac:dyDescent="0.35">
      <c r="A1407" s="8">
        <v>1403</v>
      </c>
      <c r="B1407" s="9" t="str">
        <f t="shared" si="147"/>
        <v/>
      </c>
      <c r="C1407" s="10"/>
      <c r="D1407" s="9" t="str">
        <f>IF(F1407="","",_xlfn.XLOOKUP(F1407,purchase!D:D,purchase!#REF!,""))</f>
        <v/>
      </c>
      <c r="E1407" s="9" t="str">
        <f>IF(F1407="","",_xlfn.XLOOKUP(F1407,purchase!D:D,purchase!B:B,""))</f>
        <v/>
      </c>
      <c r="F1407" s="2"/>
      <c r="G1407" s="4" t="str">
        <f t="shared" si="148"/>
        <v/>
      </c>
      <c r="H1407" s="4" t="str">
        <f>IF(F1407="","",_xlfn.XLOOKUP(F1407,purchase!D:D,purchase!#REF!,""))</f>
        <v/>
      </c>
      <c r="I1407" s="4" t="str">
        <f t="shared" si="149"/>
        <v/>
      </c>
      <c r="J1407" s="4" t="str">
        <f t="shared" si="150"/>
        <v/>
      </c>
      <c r="K1407" s="13" t="str">
        <f>_xlfn.SINGLE(IF(F1407="","",_xlfn.XLOOKUP(F1407,purchase!D:D,purchase!#REF!,"")))</f>
        <v/>
      </c>
      <c r="L1407" s="2"/>
      <c r="M1407" s="32"/>
      <c r="N1407" s="13" t="str">
        <f>IF(F1407="","",
MAX(0,
_xlfn.XLOOKUP(F1407,purchase!D:D,purchase!#REF!,"")
-
SUMIFS(L:L,F:F,F1407)))</f>
        <v/>
      </c>
      <c r="O1407" s="13" t="str">
        <f t="shared" si="151"/>
        <v/>
      </c>
      <c r="P1407" s="35" t="str">
        <f>_xlfn.SINGLE(IF(F1407="","",_xlfn.XLOOKUP(F1407,purchase!D:D,purchase!K:K,"")))</f>
        <v/>
      </c>
      <c r="Q1407" s="29" t="str">
        <f t="shared" si="152"/>
        <v/>
      </c>
      <c r="R1407" s="37" t="str">
        <f t="shared" si="153"/>
        <v/>
      </c>
    </row>
    <row r="1408" spans="1:18" x14ac:dyDescent="0.35">
      <c r="A1408" s="8">
        <v>1404</v>
      </c>
      <c r="B1408" s="9" t="str">
        <f t="shared" si="147"/>
        <v/>
      </c>
      <c r="C1408" s="10"/>
      <c r="D1408" s="9" t="str">
        <f>IF(F1408="","",_xlfn.XLOOKUP(F1408,purchase!D:D,purchase!#REF!,""))</f>
        <v/>
      </c>
      <c r="E1408" s="9" t="str">
        <f>IF(F1408="","",_xlfn.XLOOKUP(F1408,purchase!D:D,purchase!B:B,""))</f>
        <v/>
      </c>
      <c r="F1408" s="2"/>
      <c r="G1408" s="4" t="str">
        <f t="shared" si="148"/>
        <v/>
      </c>
      <c r="H1408" s="4" t="str">
        <f>IF(F1408="","",_xlfn.XLOOKUP(F1408,purchase!D:D,purchase!#REF!,""))</f>
        <v/>
      </c>
      <c r="I1408" s="4" t="str">
        <f t="shared" si="149"/>
        <v/>
      </c>
      <c r="J1408" s="4" t="str">
        <f t="shared" si="150"/>
        <v/>
      </c>
      <c r="K1408" s="13" t="str">
        <f>_xlfn.SINGLE(IF(F1408="","",_xlfn.XLOOKUP(F1408,purchase!D:D,purchase!#REF!,"")))</f>
        <v/>
      </c>
      <c r="L1408" s="2"/>
      <c r="M1408" s="32"/>
      <c r="N1408" s="13" t="str">
        <f>IF(F1408="","",
MAX(0,
_xlfn.XLOOKUP(F1408,purchase!D:D,purchase!#REF!,"")
-
SUMIFS(L:L,F:F,F1408)))</f>
        <v/>
      </c>
      <c r="O1408" s="13" t="str">
        <f t="shared" si="151"/>
        <v/>
      </c>
      <c r="P1408" s="35" t="str">
        <f>_xlfn.SINGLE(IF(F1408="","",_xlfn.XLOOKUP(F1408,purchase!D:D,purchase!K:K,"")))</f>
        <v/>
      </c>
      <c r="Q1408" s="29" t="str">
        <f t="shared" si="152"/>
        <v/>
      </c>
      <c r="R1408" s="37" t="str">
        <f t="shared" si="153"/>
        <v/>
      </c>
    </row>
    <row r="1409" spans="1:18" x14ac:dyDescent="0.35">
      <c r="A1409" s="8">
        <v>1405</v>
      </c>
      <c r="B1409" s="9" t="str">
        <f t="shared" si="147"/>
        <v/>
      </c>
      <c r="C1409" s="10"/>
      <c r="D1409" s="9" t="str">
        <f>IF(F1409="","",_xlfn.XLOOKUP(F1409,purchase!D:D,purchase!#REF!,""))</f>
        <v/>
      </c>
      <c r="E1409" s="9" t="str">
        <f>IF(F1409="","",_xlfn.XLOOKUP(F1409,purchase!D:D,purchase!B:B,""))</f>
        <v/>
      </c>
      <c r="F1409" s="2"/>
      <c r="G1409" s="4" t="str">
        <f t="shared" si="148"/>
        <v/>
      </c>
      <c r="H1409" s="4" t="str">
        <f>IF(F1409="","",_xlfn.XLOOKUP(F1409,purchase!D:D,purchase!#REF!,""))</f>
        <v/>
      </c>
      <c r="I1409" s="4" t="str">
        <f t="shared" si="149"/>
        <v/>
      </c>
      <c r="J1409" s="4" t="str">
        <f t="shared" si="150"/>
        <v/>
      </c>
      <c r="K1409" s="13" t="str">
        <f>_xlfn.SINGLE(IF(F1409="","",_xlfn.XLOOKUP(F1409,purchase!D:D,purchase!#REF!,"")))</f>
        <v/>
      </c>
      <c r="L1409" s="2"/>
      <c r="M1409" s="32"/>
      <c r="N1409" s="13" t="str">
        <f>IF(F1409="","",
MAX(0,
_xlfn.XLOOKUP(F1409,purchase!D:D,purchase!#REF!,"")
-
SUMIFS(L:L,F:F,F1409)))</f>
        <v/>
      </c>
      <c r="O1409" s="13" t="str">
        <f t="shared" si="151"/>
        <v/>
      </c>
      <c r="P1409" s="35" t="str">
        <f>_xlfn.SINGLE(IF(F1409="","",_xlfn.XLOOKUP(F1409,purchase!D:D,purchase!K:K,"")))</f>
        <v/>
      </c>
      <c r="Q1409" s="29" t="str">
        <f t="shared" si="152"/>
        <v/>
      </c>
      <c r="R1409" s="37" t="str">
        <f t="shared" si="153"/>
        <v/>
      </c>
    </row>
    <row r="1410" spans="1:18" x14ac:dyDescent="0.35">
      <c r="A1410" s="8">
        <v>1406</v>
      </c>
      <c r="B1410" s="9" t="str">
        <f t="shared" si="147"/>
        <v/>
      </c>
      <c r="C1410" s="10"/>
      <c r="D1410" s="9" t="str">
        <f>IF(F1410="","",_xlfn.XLOOKUP(F1410,purchase!D:D,purchase!#REF!,""))</f>
        <v/>
      </c>
      <c r="E1410" s="9" t="str">
        <f>IF(F1410="","",_xlfn.XLOOKUP(F1410,purchase!D:D,purchase!B:B,""))</f>
        <v/>
      </c>
      <c r="F1410" s="2"/>
      <c r="G1410" s="4" t="str">
        <f t="shared" si="148"/>
        <v/>
      </c>
      <c r="H1410" s="4" t="str">
        <f>IF(F1410="","",_xlfn.XLOOKUP(F1410,purchase!D:D,purchase!#REF!,""))</f>
        <v/>
      </c>
      <c r="I1410" s="4" t="str">
        <f t="shared" si="149"/>
        <v/>
      </c>
      <c r="J1410" s="4" t="str">
        <f t="shared" si="150"/>
        <v/>
      </c>
      <c r="K1410" s="13" t="str">
        <f>_xlfn.SINGLE(IF(F1410="","",_xlfn.XLOOKUP(F1410,purchase!D:D,purchase!#REF!,"")))</f>
        <v/>
      </c>
      <c r="L1410" s="2"/>
      <c r="M1410" s="32"/>
      <c r="N1410" s="13" t="str">
        <f>IF(F1410="","",
MAX(0,
_xlfn.XLOOKUP(F1410,purchase!D:D,purchase!#REF!,"")
-
SUMIFS(L:L,F:F,F1410)))</f>
        <v/>
      </c>
      <c r="O1410" s="13" t="str">
        <f t="shared" si="151"/>
        <v/>
      </c>
      <c r="P1410" s="35" t="str">
        <f>_xlfn.SINGLE(IF(F1410="","",_xlfn.XLOOKUP(F1410,purchase!D:D,purchase!K:K,"")))</f>
        <v/>
      </c>
      <c r="Q1410" s="29" t="str">
        <f t="shared" si="152"/>
        <v/>
      </c>
      <c r="R1410" s="37" t="str">
        <f t="shared" si="153"/>
        <v/>
      </c>
    </row>
    <row r="1411" spans="1:18" x14ac:dyDescent="0.35">
      <c r="A1411" s="8">
        <v>1407</v>
      </c>
      <c r="B1411" s="9" t="str">
        <f t="shared" si="147"/>
        <v/>
      </c>
      <c r="C1411" s="10"/>
      <c r="D1411" s="9" t="str">
        <f>IF(F1411="","",_xlfn.XLOOKUP(F1411,purchase!D:D,purchase!#REF!,""))</f>
        <v/>
      </c>
      <c r="E1411" s="9" t="str">
        <f>IF(F1411="","",_xlfn.XLOOKUP(F1411,purchase!D:D,purchase!B:B,""))</f>
        <v/>
      </c>
      <c r="F1411" s="2"/>
      <c r="G1411" s="4" t="str">
        <f t="shared" si="148"/>
        <v/>
      </c>
      <c r="H1411" s="4" t="str">
        <f>IF(F1411="","",_xlfn.XLOOKUP(F1411,purchase!D:D,purchase!#REF!,""))</f>
        <v/>
      </c>
      <c r="I1411" s="4" t="str">
        <f t="shared" si="149"/>
        <v/>
      </c>
      <c r="J1411" s="4" t="str">
        <f t="shared" si="150"/>
        <v/>
      </c>
      <c r="K1411" s="13" t="str">
        <f>_xlfn.SINGLE(IF(F1411="","",_xlfn.XLOOKUP(F1411,purchase!D:D,purchase!#REF!,"")))</f>
        <v/>
      </c>
      <c r="L1411" s="2"/>
      <c r="M1411" s="32"/>
      <c r="N1411" s="13" t="str">
        <f>IF(F1411="","",
MAX(0,
_xlfn.XLOOKUP(F1411,purchase!D:D,purchase!#REF!,"")
-
SUMIFS(L:L,F:F,F1411)))</f>
        <v/>
      </c>
      <c r="O1411" s="13" t="str">
        <f t="shared" si="151"/>
        <v/>
      </c>
      <c r="P1411" s="35" t="str">
        <f>_xlfn.SINGLE(IF(F1411="","",_xlfn.XLOOKUP(F1411,purchase!D:D,purchase!K:K,"")))</f>
        <v/>
      </c>
      <c r="Q1411" s="29" t="str">
        <f t="shared" si="152"/>
        <v/>
      </c>
      <c r="R1411" s="37" t="str">
        <f t="shared" si="153"/>
        <v/>
      </c>
    </row>
    <row r="1412" spans="1:18" x14ac:dyDescent="0.35">
      <c r="A1412" s="8">
        <v>1408</v>
      </c>
      <c r="B1412" s="9" t="str">
        <f t="shared" si="147"/>
        <v/>
      </c>
      <c r="C1412" s="10"/>
      <c r="D1412" s="9" t="str">
        <f>IF(F1412="","",_xlfn.XLOOKUP(F1412,purchase!D:D,purchase!#REF!,""))</f>
        <v/>
      </c>
      <c r="E1412" s="9" t="str">
        <f>IF(F1412="","",_xlfn.XLOOKUP(F1412,purchase!D:D,purchase!B:B,""))</f>
        <v/>
      </c>
      <c r="F1412" s="2"/>
      <c r="G1412" s="4" t="str">
        <f t="shared" si="148"/>
        <v/>
      </c>
      <c r="H1412" s="4" t="str">
        <f>IF(F1412="","",_xlfn.XLOOKUP(F1412,purchase!D:D,purchase!#REF!,""))</f>
        <v/>
      </c>
      <c r="I1412" s="4" t="str">
        <f t="shared" si="149"/>
        <v/>
      </c>
      <c r="J1412" s="4" t="str">
        <f t="shared" si="150"/>
        <v/>
      </c>
      <c r="K1412" s="13" t="str">
        <f>_xlfn.SINGLE(IF(F1412="","",_xlfn.XLOOKUP(F1412,purchase!D:D,purchase!#REF!,"")))</f>
        <v/>
      </c>
      <c r="L1412" s="2"/>
      <c r="M1412" s="32"/>
      <c r="N1412" s="13" t="str">
        <f>IF(F1412="","",
MAX(0,
_xlfn.XLOOKUP(F1412,purchase!D:D,purchase!#REF!,"")
-
SUMIFS(L:L,F:F,F1412)))</f>
        <v/>
      </c>
      <c r="O1412" s="13" t="str">
        <f t="shared" si="151"/>
        <v/>
      </c>
      <c r="P1412" s="35" t="str">
        <f>_xlfn.SINGLE(IF(F1412="","",_xlfn.XLOOKUP(F1412,purchase!D:D,purchase!K:K,"")))</f>
        <v/>
      </c>
      <c r="Q1412" s="29" t="str">
        <f t="shared" si="152"/>
        <v/>
      </c>
      <c r="R1412" s="37" t="str">
        <f t="shared" si="153"/>
        <v/>
      </c>
    </row>
    <row r="1413" spans="1:18" x14ac:dyDescent="0.35">
      <c r="A1413" s="8">
        <v>1409</v>
      </c>
      <c r="B1413" s="9" t="str">
        <f t="shared" ref="B1413:B1476" si="154">IF(OR(C1413="",F1413=""),"",
"PRD-" &amp;
TEXT(DAY(C1413),"00") &amp;
CHOOSE(MONTH(C1413),"A","B","C","D","E","F","G","H","I","J","K","L") &amp;
TEXT(YEAR(C1413),"00") &amp;
"-" &amp;
RIGHT(F1413,4))</f>
        <v/>
      </c>
      <c r="C1413" s="10"/>
      <c r="D1413" s="9" t="str">
        <f>IF(F1413="","",_xlfn.XLOOKUP(F1413,purchase!D:D,purchase!#REF!,""))</f>
        <v/>
      </c>
      <c r="E1413" s="9" t="str">
        <f>IF(F1413="","",_xlfn.XLOOKUP(F1413,purchase!D:D,purchase!B:B,""))</f>
        <v/>
      </c>
      <c r="F1413" s="2"/>
      <c r="G1413" s="4" t="str">
        <f t="shared" ref="G1413:G1476" si="155">IF(H1413="NRFC","Natural Rubber Field Coagulam","")</f>
        <v/>
      </c>
      <c r="H1413" s="4" t="str">
        <f>IF(F1413="","",_xlfn.XLOOKUP(F1413,purchase!D:D,purchase!#REF!,""))</f>
        <v/>
      </c>
      <c r="I1413" s="4" t="str">
        <f t="shared" ref="I1413:I1476" si="156">IF(J1413="ISNR20","Natural Rubber-TSNR (ISNR-20)","")</f>
        <v/>
      </c>
      <c r="J1413" s="4" t="str">
        <f t="shared" ref="J1413:J1476" si="157">IF(H1413="NRFC","ISNR20","")</f>
        <v/>
      </c>
      <c r="K1413" s="13" t="str">
        <f>_xlfn.SINGLE(IF(F1413="","",_xlfn.XLOOKUP(F1413,purchase!D:D,purchase!#REF!,"")))</f>
        <v/>
      </c>
      <c r="L1413" s="2"/>
      <c r="M1413" s="32"/>
      <c r="N1413" s="13" t="str">
        <f>IF(F1413="","",
MAX(0,
_xlfn.XLOOKUP(F1413,purchase!D:D,purchase!#REF!,"")
-
SUMIFS(L:L,F:F,F1413)))</f>
        <v/>
      </c>
      <c r="O1413" s="13" t="str">
        <f t="shared" ref="O1413:O1476" si="158">IF(OR(L1413="",M1413=""),"",L1413-M1413)</f>
        <v/>
      </c>
      <c r="P1413" s="35" t="str">
        <f>_xlfn.SINGLE(IF(F1413="","",_xlfn.XLOOKUP(F1413,purchase!D:D,purchase!K:K,"")))</f>
        <v/>
      </c>
      <c r="Q1413" s="29" t="str">
        <f t="shared" ref="Q1413:Q1476" si="159">IF(OR(L1413="",M1413=""),"",M1413/L1413)</f>
        <v/>
      </c>
      <c r="R1413" s="37" t="str">
        <f t="shared" ref="R1413:R1476" si="160">IF(OR(P1413="",Q1413=""),"",Q1413-P1413)</f>
        <v/>
      </c>
    </row>
    <row r="1414" spans="1:18" x14ac:dyDescent="0.35">
      <c r="A1414" s="8">
        <v>1410</v>
      </c>
      <c r="B1414" s="9" t="str">
        <f t="shared" si="154"/>
        <v/>
      </c>
      <c r="C1414" s="10"/>
      <c r="D1414" s="9" t="str">
        <f>IF(F1414="","",_xlfn.XLOOKUP(F1414,purchase!D:D,purchase!#REF!,""))</f>
        <v/>
      </c>
      <c r="E1414" s="9" t="str">
        <f>IF(F1414="","",_xlfn.XLOOKUP(F1414,purchase!D:D,purchase!B:B,""))</f>
        <v/>
      </c>
      <c r="F1414" s="2"/>
      <c r="G1414" s="4" t="str">
        <f t="shared" si="155"/>
        <v/>
      </c>
      <c r="H1414" s="4" t="str">
        <f>IF(F1414="","",_xlfn.XLOOKUP(F1414,purchase!D:D,purchase!#REF!,""))</f>
        <v/>
      </c>
      <c r="I1414" s="4" t="str">
        <f t="shared" si="156"/>
        <v/>
      </c>
      <c r="J1414" s="4" t="str">
        <f t="shared" si="157"/>
        <v/>
      </c>
      <c r="K1414" s="13" t="str">
        <f>_xlfn.SINGLE(IF(F1414="","",_xlfn.XLOOKUP(F1414,purchase!D:D,purchase!#REF!,"")))</f>
        <v/>
      </c>
      <c r="L1414" s="2"/>
      <c r="M1414" s="32"/>
      <c r="N1414" s="13" t="str">
        <f>IF(F1414="","",
MAX(0,
_xlfn.XLOOKUP(F1414,purchase!D:D,purchase!#REF!,"")
-
SUMIFS(L:L,F:F,F1414)))</f>
        <v/>
      </c>
      <c r="O1414" s="13" t="str">
        <f t="shared" si="158"/>
        <v/>
      </c>
      <c r="P1414" s="35" t="str">
        <f>_xlfn.SINGLE(IF(F1414="","",_xlfn.XLOOKUP(F1414,purchase!D:D,purchase!K:K,"")))</f>
        <v/>
      </c>
      <c r="Q1414" s="29" t="str">
        <f t="shared" si="159"/>
        <v/>
      </c>
      <c r="R1414" s="37" t="str">
        <f t="shared" si="160"/>
        <v/>
      </c>
    </row>
    <row r="1415" spans="1:18" x14ac:dyDescent="0.35">
      <c r="A1415" s="8">
        <v>1411</v>
      </c>
      <c r="B1415" s="9" t="str">
        <f t="shared" si="154"/>
        <v/>
      </c>
      <c r="C1415" s="10"/>
      <c r="D1415" s="9" t="str">
        <f>IF(F1415="","",_xlfn.XLOOKUP(F1415,purchase!D:D,purchase!#REF!,""))</f>
        <v/>
      </c>
      <c r="E1415" s="9" t="str">
        <f>IF(F1415="","",_xlfn.XLOOKUP(F1415,purchase!D:D,purchase!B:B,""))</f>
        <v/>
      </c>
      <c r="F1415" s="2"/>
      <c r="G1415" s="4" t="str">
        <f t="shared" si="155"/>
        <v/>
      </c>
      <c r="H1415" s="4" t="str">
        <f>IF(F1415="","",_xlfn.XLOOKUP(F1415,purchase!D:D,purchase!#REF!,""))</f>
        <v/>
      </c>
      <c r="I1415" s="4" t="str">
        <f t="shared" si="156"/>
        <v/>
      </c>
      <c r="J1415" s="4" t="str">
        <f t="shared" si="157"/>
        <v/>
      </c>
      <c r="K1415" s="13" t="str">
        <f>_xlfn.SINGLE(IF(F1415="","",_xlfn.XLOOKUP(F1415,purchase!D:D,purchase!#REF!,"")))</f>
        <v/>
      </c>
      <c r="L1415" s="2"/>
      <c r="M1415" s="32"/>
      <c r="N1415" s="13" t="str">
        <f>IF(F1415="","",
MAX(0,
_xlfn.XLOOKUP(F1415,purchase!D:D,purchase!#REF!,"")
-
SUMIFS(L:L,F:F,F1415)))</f>
        <v/>
      </c>
      <c r="O1415" s="13" t="str">
        <f t="shared" si="158"/>
        <v/>
      </c>
      <c r="P1415" s="35" t="str">
        <f>_xlfn.SINGLE(IF(F1415="","",_xlfn.XLOOKUP(F1415,purchase!D:D,purchase!K:K,"")))</f>
        <v/>
      </c>
      <c r="Q1415" s="29" t="str">
        <f t="shared" si="159"/>
        <v/>
      </c>
      <c r="R1415" s="37" t="str">
        <f t="shared" si="160"/>
        <v/>
      </c>
    </row>
    <row r="1416" spans="1:18" x14ac:dyDescent="0.35">
      <c r="A1416" s="8">
        <v>1412</v>
      </c>
      <c r="B1416" s="9" t="str">
        <f t="shared" si="154"/>
        <v/>
      </c>
      <c r="C1416" s="10"/>
      <c r="D1416" s="9" t="str">
        <f>IF(F1416="","",_xlfn.XLOOKUP(F1416,purchase!D:D,purchase!#REF!,""))</f>
        <v/>
      </c>
      <c r="E1416" s="9" t="str">
        <f>IF(F1416="","",_xlfn.XLOOKUP(F1416,purchase!D:D,purchase!B:B,""))</f>
        <v/>
      </c>
      <c r="F1416" s="2"/>
      <c r="G1416" s="4" t="str">
        <f t="shared" si="155"/>
        <v/>
      </c>
      <c r="H1416" s="4" t="str">
        <f>IF(F1416="","",_xlfn.XLOOKUP(F1416,purchase!D:D,purchase!#REF!,""))</f>
        <v/>
      </c>
      <c r="I1416" s="4" t="str">
        <f t="shared" si="156"/>
        <v/>
      </c>
      <c r="J1416" s="4" t="str">
        <f t="shared" si="157"/>
        <v/>
      </c>
      <c r="K1416" s="13" t="str">
        <f>_xlfn.SINGLE(IF(F1416="","",_xlfn.XLOOKUP(F1416,purchase!D:D,purchase!#REF!,"")))</f>
        <v/>
      </c>
      <c r="L1416" s="2"/>
      <c r="M1416" s="32"/>
      <c r="N1416" s="13" t="str">
        <f>IF(F1416="","",
MAX(0,
_xlfn.XLOOKUP(F1416,purchase!D:D,purchase!#REF!,"")
-
SUMIFS(L:L,F:F,F1416)))</f>
        <v/>
      </c>
      <c r="O1416" s="13" t="str">
        <f t="shared" si="158"/>
        <v/>
      </c>
      <c r="P1416" s="35" t="str">
        <f>_xlfn.SINGLE(IF(F1416="","",_xlfn.XLOOKUP(F1416,purchase!D:D,purchase!K:K,"")))</f>
        <v/>
      </c>
      <c r="Q1416" s="29" t="str">
        <f t="shared" si="159"/>
        <v/>
      </c>
      <c r="R1416" s="37" t="str">
        <f t="shared" si="160"/>
        <v/>
      </c>
    </row>
    <row r="1417" spans="1:18" x14ac:dyDescent="0.35">
      <c r="A1417" s="8">
        <v>1413</v>
      </c>
      <c r="B1417" s="9" t="str">
        <f t="shared" si="154"/>
        <v/>
      </c>
      <c r="C1417" s="10"/>
      <c r="D1417" s="9" t="str">
        <f>IF(F1417="","",_xlfn.XLOOKUP(F1417,purchase!D:D,purchase!#REF!,""))</f>
        <v/>
      </c>
      <c r="E1417" s="9" t="str">
        <f>IF(F1417="","",_xlfn.XLOOKUP(F1417,purchase!D:D,purchase!B:B,""))</f>
        <v/>
      </c>
      <c r="F1417" s="2"/>
      <c r="G1417" s="4" t="str">
        <f t="shared" si="155"/>
        <v/>
      </c>
      <c r="H1417" s="4" t="str">
        <f>IF(F1417="","",_xlfn.XLOOKUP(F1417,purchase!D:D,purchase!#REF!,""))</f>
        <v/>
      </c>
      <c r="I1417" s="4" t="str">
        <f t="shared" si="156"/>
        <v/>
      </c>
      <c r="J1417" s="4" t="str">
        <f t="shared" si="157"/>
        <v/>
      </c>
      <c r="K1417" s="13" t="str">
        <f>_xlfn.SINGLE(IF(F1417="","",_xlfn.XLOOKUP(F1417,purchase!D:D,purchase!#REF!,"")))</f>
        <v/>
      </c>
      <c r="L1417" s="2"/>
      <c r="M1417" s="32"/>
      <c r="N1417" s="13" t="str">
        <f>IF(F1417="","",
MAX(0,
_xlfn.XLOOKUP(F1417,purchase!D:D,purchase!#REF!,"")
-
SUMIFS(L:L,F:F,F1417)))</f>
        <v/>
      </c>
      <c r="O1417" s="13" t="str">
        <f t="shared" si="158"/>
        <v/>
      </c>
      <c r="P1417" s="35" t="str">
        <f>_xlfn.SINGLE(IF(F1417="","",_xlfn.XLOOKUP(F1417,purchase!D:D,purchase!K:K,"")))</f>
        <v/>
      </c>
      <c r="Q1417" s="29" t="str">
        <f t="shared" si="159"/>
        <v/>
      </c>
      <c r="R1417" s="37" t="str">
        <f t="shared" si="160"/>
        <v/>
      </c>
    </row>
    <row r="1418" spans="1:18" x14ac:dyDescent="0.35">
      <c r="A1418" s="8">
        <v>1414</v>
      </c>
      <c r="B1418" s="9" t="str">
        <f t="shared" si="154"/>
        <v/>
      </c>
      <c r="C1418" s="10"/>
      <c r="D1418" s="9" t="str">
        <f>IF(F1418="","",_xlfn.XLOOKUP(F1418,purchase!D:D,purchase!#REF!,""))</f>
        <v/>
      </c>
      <c r="E1418" s="9" t="str">
        <f>IF(F1418="","",_xlfn.XLOOKUP(F1418,purchase!D:D,purchase!B:B,""))</f>
        <v/>
      </c>
      <c r="F1418" s="2"/>
      <c r="G1418" s="4" t="str">
        <f t="shared" si="155"/>
        <v/>
      </c>
      <c r="H1418" s="4" t="str">
        <f>IF(F1418="","",_xlfn.XLOOKUP(F1418,purchase!D:D,purchase!#REF!,""))</f>
        <v/>
      </c>
      <c r="I1418" s="4" t="str">
        <f t="shared" si="156"/>
        <v/>
      </c>
      <c r="J1418" s="4" t="str">
        <f t="shared" si="157"/>
        <v/>
      </c>
      <c r="K1418" s="13" t="str">
        <f>_xlfn.SINGLE(IF(F1418="","",_xlfn.XLOOKUP(F1418,purchase!D:D,purchase!#REF!,"")))</f>
        <v/>
      </c>
      <c r="L1418" s="2"/>
      <c r="M1418" s="32"/>
      <c r="N1418" s="13" t="str">
        <f>IF(F1418="","",
MAX(0,
_xlfn.XLOOKUP(F1418,purchase!D:D,purchase!#REF!,"")
-
SUMIFS(L:L,F:F,F1418)))</f>
        <v/>
      </c>
      <c r="O1418" s="13" t="str">
        <f t="shared" si="158"/>
        <v/>
      </c>
      <c r="P1418" s="35" t="str">
        <f>_xlfn.SINGLE(IF(F1418="","",_xlfn.XLOOKUP(F1418,purchase!D:D,purchase!K:K,"")))</f>
        <v/>
      </c>
      <c r="Q1418" s="29" t="str">
        <f t="shared" si="159"/>
        <v/>
      </c>
      <c r="R1418" s="37" t="str">
        <f t="shared" si="160"/>
        <v/>
      </c>
    </row>
    <row r="1419" spans="1:18" x14ac:dyDescent="0.35">
      <c r="A1419" s="8">
        <v>1415</v>
      </c>
      <c r="B1419" s="9" t="str">
        <f t="shared" si="154"/>
        <v/>
      </c>
      <c r="C1419" s="10"/>
      <c r="D1419" s="9" t="str">
        <f>IF(F1419="","",_xlfn.XLOOKUP(F1419,purchase!D:D,purchase!#REF!,""))</f>
        <v/>
      </c>
      <c r="E1419" s="9" t="str">
        <f>IF(F1419="","",_xlfn.XLOOKUP(F1419,purchase!D:D,purchase!B:B,""))</f>
        <v/>
      </c>
      <c r="F1419" s="2"/>
      <c r="G1419" s="4" t="str">
        <f t="shared" si="155"/>
        <v/>
      </c>
      <c r="H1419" s="4" t="str">
        <f>IF(F1419="","",_xlfn.XLOOKUP(F1419,purchase!D:D,purchase!#REF!,""))</f>
        <v/>
      </c>
      <c r="I1419" s="4" t="str">
        <f t="shared" si="156"/>
        <v/>
      </c>
      <c r="J1419" s="4" t="str">
        <f t="shared" si="157"/>
        <v/>
      </c>
      <c r="K1419" s="13" t="str">
        <f>_xlfn.SINGLE(IF(F1419="","",_xlfn.XLOOKUP(F1419,purchase!D:D,purchase!#REF!,"")))</f>
        <v/>
      </c>
      <c r="L1419" s="2"/>
      <c r="M1419" s="32"/>
      <c r="N1419" s="13" t="str">
        <f>IF(F1419="","",
MAX(0,
_xlfn.XLOOKUP(F1419,purchase!D:D,purchase!#REF!,"")
-
SUMIFS(L:L,F:F,F1419)))</f>
        <v/>
      </c>
      <c r="O1419" s="13" t="str">
        <f t="shared" si="158"/>
        <v/>
      </c>
      <c r="P1419" s="35" t="str">
        <f>_xlfn.SINGLE(IF(F1419="","",_xlfn.XLOOKUP(F1419,purchase!D:D,purchase!K:K,"")))</f>
        <v/>
      </c>
      <c r="Q1419" s="29" t="str">
        <f t="shared" si="159"/>
        <v/>
      </c>
      <c r="R1419" s="37" t="str">
        <f t="shared" si="160"/>
        <v/>
      </c>
    </row>
    <row r="1420" spans="1:18" x14ac:dyDescent="0.35">
      <c r="A1420" s="8">
        <v>1416</v>
      </c>
      <c r="B1420" s="9" t="str">
        <f t="shared" si="154"/>
        <v/>
      </c>
      <c r="C1420" s="10"/>
      <c r="D1420" s="9" t="str">
        <f>IF(F1420="","",_xlfn.XLOOKUP(F1420,purchase!D:D,purchase!#REF!,""))</f>
        <v/>
      </c>
      <c r="E1420" s="9" t="str">
        <f>IF(F1420="","",_xlfn.XLOOKUP(F1420,purchase!D:D,purchase!B:B,""))</f>
        <v/>
      </c>
      <c r="F1420" s="2"/>
      <c r="G1420" s="4" t="str">
        <f t="shared" si="155"/>
        <v/>
      </c>
      <c r="H1420" s="4" t="str">
        <f>IF(F1420="","",_xlfn.XLOOKUP(F1420,purchase!D:D,purchase!#REF!,""))</f>
        <v/>
      </c>
      <c r="I1420" s="4" t="str">
        <f t="shared" si="156"/>
        <v/>
      </c>
      <c r="J1420" s="4" t="str">
        <f t="shared" si="157"/>
        <v/>
      </c>
      <c r="K1420" s="13" t="str">
        <f>_xlfn.SINGLE(IF(F1420="","",_xlfn.XLOOKUP(F1420,purchase!D:D,purchase!#REF!,"")))</f>
        <v/>
      </c>
      <c r="L1420" s="2"/>
      <c r="M1420" s="32"/>
      <c r="N1420" s="13" t="str">
        <f>IF(F1420="","",
MAX(0,
_xlfn.XLOOKUP(F1420,purchase!D:D,purchase!#REF!,"")
-
SUMIFS(L:L,F:F,F1420)))</f>
        <v/>
      </c>
      <c r="O1420" s="13" t="str">
        <f t="shared" si="158"/>
        <v/>
      </c>
      <c r="P1420" s="35" t="str">
        <f>_xlfn.SINGLE(IF(F1420="","",_xlfn.XLOOKUP(F1420,purchase!D:D,purchase!K:K,"")))</f>
        <v/>
      </c>
      <c r="Q1420" s="29" t="str">
        <f t="shared" si="159"/>
        <v/>
      </c>
      <c r="R1420" s="37" t="str">
        <f t="shared" si="160"/>
        <v/>
      </c>
    </row>
    <row r="1421" spans="1:18" x14ac:dyDescent="0.35">
      <c r="A1421" s="8">
        <v>1417</v>
      </c>
      <c r="B1421" s="9" t="str">
        <f t="shared" si="154"/>
        <v/>
      </c>
      <c r="C1421" s="10"/>
      <c r="D1421" s="9" t="str">
        <f>IF(F1421="","",_xlfn.XLOOKUP(F1421,purchase!D:D,purchase!#REF!,""))</f>
        <v/>
      </c>
      <c r="E1421" s="9" t="str">
        <f>IF(F1421="","",_xlfn.XLOOKUP(F1421,purchase!D:D,purchase!B:B,""))</f>
        <v/>
      </c>
      <c r="F1421" s="2"/>
      <c r="G1421" s="4" t="str">
        <f t="shared" si="155"/>
        <v/>
      </c>
      <c r="H1421" s="4" t="str">
        <f>IF(F1421="","",_xlfn.XLOOKUP(F1421,purchase!D:D,purchase!#REF!,""))</f>
        <v/>
      </c>
      <c r="I1421" s="4" t="str">
        <f t="shared" si="156"/>
        <v/>
      </c>
      <c r="J1421" s="4" t="str">
        <f t="shared" si="157"/>
        <v/>
      </c>
      <c r="K1421" s="13" t="str">
        <f>_xlfn.SINGLE(IF(F1421="","",_xlfn.XLOOKUP(F1421,purchase!D:D,purchase!#REF!,"")))</f>
        <v/>
      </c>
      <c r="L1421" s="2"/>
      <c r="M1421" s="32"/>
      <c r="N1421" s="13" t="str">
        <f>IF(F1421="","",
MAX(0,
_xlfn.XLOOKUP(F1421,purchase!D:D,purchase!#REF!,"")
-
SUMIFS(L:L,F:F,F1421)))</f>
        <v/>
      </c>
      <c r="O1421" s="13" t="str">
        <f t="shared" si="158"/>
        <v/>
      </c>
      <c r="P1421" s="35" t="str">
        <f>_xlfn.SINGLE(IF(F1421="","",_xlfn.XLOOKUP(F1421,purchase!D:D,purchase!K:K,"")))</f>
        <v/>
      </c>
      <c r="Q1421" s="29" t="str">
        <f t="shared" si="159"/>
        <v/>
      </c>
      <c r="R1421" s="37" t="str">
        <f t="shared" si="160"/>
        <v/>
      </c>
    </row>
    <row r="1422" spans="1:18" x14ac:dyDescent="0.35">
      <c r="A1422" s="8">
        <v>1418</v>
      </c>
      <c r="B1422" s="9" t="str">
        <f t="shared" si="154"/>
        <v/>
      </c>
      <c r="C1422" s="10"/>
      <c r="D1422" s="9" t="str">
        <f>IF(F1422="","",_xlfn.XLOOKUP(F1422,purchase!D:D,purchase!#REF!,""))</f>
        <v/>
      </c>
      <c r="E1422" s="9" t="str">
        <f>IF(F1422="","",_xlfn.XLOOKUP(F1422,purchase!D:D,purchase!B:B,""))</f>
        <v/>
      </c>
      <c r="F1422" s="2"/>
      <c r="G1422" s="4" t="str">
        <f t="shared" si="155"/>
        <v/>
      </c>
      <c r="H1422" s="4" t="str">
        <f>IF(F1422="","",_xlfn.XLOOKUP(F1422,purchase!D:D,purchase!#REF!,""))</f>
        <v/>
      </c>
      <c r="I1422" s="4" t="str">
        <f t="shared" si="156"/>
        <v/>
      </c>
      <c r="J1422" s="4" t="str">
        <f t="shared" si="157"/>
        <v/>
      </c>
      <c r="K1422" s="13" t="str">
        <f>_xlfn.SINGLE(IF(F1422="","",_xlfn.XLOOKUP(F1422,purchase!D:D,purchase!#REF!,"")))</f>
        <v/>
      </c>
      <c r="L1422" s="2"/>
      <c r="M1422" s="32"/>
      <c r="N1422" s="13" t="str">
        <f>IF(F1422="","",
MAX(0,
_xlfn.XLOOKUP(F1422,purchase!D:D,purchase!#REF!,"")
-
SUMIFS(L:L,F:F,F1422)))</f>
        <v/>
      </c>
      <c r="O1422" s="13" t="str">
        <f t="shared" si="158"/>
        <v/>
      </c>
      <c r="P1422" s="35" t="str">
        <f>_xlfn.SINGLE(IF(F1422="","",_xlfn.XLOOKUP(F1422,purchase!D:D,purchase!K:K,"")))</f>
        <v/>
      </c>
      <c r="Q1422" s="29" t="str">
        <f t="shared" si="159"/>
        <v/>
      </c>
      <c r="R1422" s="37" t="str">
        <f t="shared" si="160"/>
        <v/>
      </c>
    </row>
    <row r="1423" spans="1:18" x14ac:dyDescent="0.35">
      <c r="A1423" s="8">
        <v>1419</v>
      </c>
      <c r="B1423" s="9" t="str">
        <f t="shared" si="154"/>
        <v/>
      </c>
      <c r="C1423" s="10"/>
      <c r="D1423" s="9" t="str">
        <f>IF(F1423="","",_xlfn.XLOOKUP(F1423,purchase!D:D,purchase!#REF!,""))</f>
        <v/>
      </c>
      <c r="E1423" s="9" t="str">
        <f>IF(F1423="","",_xlfn.XLOOKUP(F1423,purchase!D:D,purchase!B:B,""))</f>
        <v/>
      </c>
      <c r="F1423" s="2"/>
      <c r="G1423" s="4" t="str">
        <f t="shared" si="155"/>
        <v/>
      </c>
      <c r="H1423" s="4" t="str">
        <f>IF(F1423="","",_xlfn.XLOOKUP(F1423,purchase!D:D,purchase!#REF!,""))</f>
        <v/>
      </c>
      <c r="I1423" s="4" t="str">
        <f t="shared" si="156"/>
        <v/>
      </c>
      <c r="J1423" s="4" t="str">
        <f t="shared" si="157"/>
        <v/>
      </c>
      <c r="K1423" s="13" t="str">
        <f>_xlfn.SINGLE(IF(F1423="","",_xlfn.XLOOKUP(F1423,purchase!D:D,purchase!#REF!,"")))</f>
        <v/>
      </c>
      <c r="L1423" s="2"/>
      <c r="M1423" s="32"/>
      <c r="N1423" s="13" t="str">
        <f>IF(F1423="","",
MAX(0,
_xlfn.XLOOKUP(F1423,purchase!D:D,purchase!#REF!,"")
-
SUMIFS(L:L,F:F,F1423)))</f>
        <v/>
      </c>
      <c r="O1423" s="13" t="str">
        <f t="shared" si="158"/>
        <v/>
      </c>
      <c r="P1423" s="35" t="str">
        <f>_xlfn.SINGLE(IF(F1423="","",_xlfn.XLOOKUP(F1423,purchase!D:D,purchase!K:K,"")))</f>
        <v/>
      </c>
      <c r="Q1423" s="29" t="str">
        <f t="shared" si="159"/>
        <v/>
      </c>
      <c r="R1423" s="37" t="str">
        <f t="shared" si="160"/>
        <v/>
      </c>
    </row>
    <row r="1424" spans="1:18" x14ac:dyDescent="0.35">
      <c r="A1424" s="8">
        <v>1420</v>
      </c>
      <c r="B1424" s="9" t="str">
        <f t="shared" si="154"/>
        <v/>
      </c>
      <c r="C1424" s="10"/>
      <c r="D1424" s="9" t="str">
        <f>IF(F1424="","",_xlfn.XLOOKUP(F1424,purchase!D:D,purchase!#REF!,""))</f>
        <v/>
      </c>
      <c r="E1424" s="9" t="str">
        <f>IF(F1424="","",_xlfn.XLOOKUP(F1424,purchase!D:D,purchase!B:B,""))</f>
        <v/>
      </c>
      <c r="F1424" s="2"/>
      <c r="G1424" s="4" t="str">
        <f t="shared" si="155"/>
        <v/>
      </c>
      <c r="H1424" s="4" t="str">
        <f>IF(F1424="","",_xlfn.XLOOKUP(F1424,purchase!D:D,purchase!#REF!,""))</f>
        <v/>
      </c>
      <c r="I1424" s="4" t="str">
        <f t="shared" si="156"/>
        <v/>
      </c>
      <c r="J1424" s="4" t="str">
        <f t="shared" si="157"/>
        <v/>
      </c>
      <c r="K1424" s="13" t="str">
        <f>_xlfn.SINGLE(IF(F1424="","",_xlfn.XLOOKUP(F1424,purchase!D:D,purchase!#REF!,"")))</f>
        <v/>
      </c>
      <c r="L1424" s="2"/>
      <c r="M1424" s="32"/>
      <c r="N1424" s="13" t="str">
        <f>IF(F1424="","",
MAX(0,
_xlfn.XLOOKUP(F1424,purchase!D:D,purchase!#REF!,"")
-
SUMIFS(L:L,F:F,F1424)))</f>
        <v/>
      </c>
      <c r="O1424" s="13" t="str">
        <f t="shared" si="158"/>
        <v/>
      </c>
      <c r="P1424" s="35" t="str">
        <f>_xlfn.SINGLE(IF(F1424="","",_xlfn.XLOOKUP(F1424,purchase!D:D,purchase!K:K,"")))</f>
        <v/>
      </c>
      <c r="Q1424" s="29" t="str">
        <f t="shared" si="159"/>
        <v/>
      </c>
      <c r="R1424" s="37" t="str">
        <f t="shared" si="160"/>
        <v/>
      </c>
    </row>
    <row r="1425" spans="1:18" x14ac:dyDescent="0.35">
      <c r="A1425" s="8">
        <v>1421</v>
      </c>
      <c r="B1425" s="9" t="str">
        <f t="shared" si="154"/>
        <v/>
      </c>
      <c r="C1425" s="10"/>
      <c r="D1425" s="9" t="str">
        <f>IF(F1425="","",_xlfn.XLOOKUP(F1425,purchase!D:D,purchase!#REF!,""))</f>
        <v/>
      </c>
      <c r="E1425" s="9" t="str">
        <f>IF(F1425="","",_xlfn.XLOOKUP(F1425,purchase!D:D,purchase!B:B,""))</f>
        <v/>
      </c>
      <c r="F1425" s="2"/>
      <c r="G1425" s="4" t="str">
        <f t="shared" si="155"/>
        <v/>
      </c>
      <c r="H1425" s="4" t="str">
        <f>IF(F1425="","",_xlfn.XLOOKUP(F1425,purchase!D:D,purchase!#REF!,""))</f>
        <v/>
      </c>
      <c r="I1425" s="4" t="str">
        <f t="shared" si="156"/>
        <v/>
      </c>
      <c r="J1425" s="4" t="str">
        <f t="shared" si="157"/>
        <v/>
      </c>
      <c r="K1425" s="13" t="str">
        <f>_xlfn.SINGLE(IF(F1425="","",_xlfn.XLOOKUP(F1425,purchase!D:D,purchase!#REF!,"")))</f>
        <v/>
      </c>
      <c r="L1425" s="2"/>
      <c r="M1425" s="32"/>
      <c r="N1425" s="13" t="str">
        <f>IF(F1425="","",
MAX(0,
_xlfn.XLOOKUP(F1425,purchase!D:D,purchase!#REF!,"")
-
SUMIFS(L:L,F:F,F1425)))</f>
        <v/>
      </c>
      <c r="O1425" s="13" t="str">
        <f t="shared" si="158"/>
        <v/>
      </c>
      <c r="P1425" s="35" t="str">
        <f>_xlfn.SINGLE(IF(F1425="","",_xlfn.XLOOKUP(F1425,purchase!D:D,purchase!K:K,"")))</f>
        <v/>
      </c>
      <c r="Q1425" s="29" t="str">
        <f t="shared" si="159"/>
        <v/>
      </c>
      <c r="R1425" s="37" t="str">
        <f t="shared" si="160"/>
        <v/>
      </c>
    </row>
    <row r="1426" spans="1:18" x14ac:dyDescent="0.35">
      <c r="A1426" s="8">
        <v>1422</v>
      </c>
      <c r="B1426" s="9" t="str">
        <f t="shared" si="154"/>
        <v/>
      </c>
      <c r="C1426" s="10"/>
      <c r="D1426" s="9" t="str">
        <f>IF(F1426="","",_xlfn.XLOOKUP(F1426,purchase!D:D,purchase!#REF!,""))</f>
        <v/>
      </c>
      <c r="E1426" s="9" t="str">
        <f>IF(F1426="","",_xlfn.XLOOKUP(F1426,purchase!D:D,purchase!B:B,""))</f>
        <v/>
      </c>
      <c r="F1426" s="2"/>
      <c r="G1426" s="4" t="str">
        <f t="shared" si="155"/>
        <v/>
      </c>
      <c r="H1426" s="4" t="str">
        <f>IF(F1426="","",_xlfn.XLOOKUP(F1426,purchase!D:D,purchase!#REF!,""))</f>
        <v/>
      </c>
      <c r="I1426" s="4" t="str">
        <f t="shared" si="156"/>
        <v/>
      </c>
      <c r="J1426" s="4" t="str">
        <f t="shared" si="157"/>
        <v/>
      </c>
      <c r="K1426" s="13" t="str">
        <f>_xlfn.SINGLE(IF(F1426="","",_xlfn.XLOOKUP(F1426,purchase!D:D,purchase!#REF!,"")))</f>
        <v/>
      </c>
      <c r="L1426" s="2"/>
      <c r="M1426" s="32"/>
      <c r="N1426" s="13" t="str">
        <f>IF(F1426="","",
MAX(0,
_xlfn.XLOOKUP(F1426,purchase!D:D,purchase!#REF!,"")
-
SUMIFS(L:L,F:F,F1426)))</f>
        <v/>
      </c>
      <c r="O1426" s="13" t="str">
        <f t="shared" si="158"/>
        <v/>
      </c>
      <c r="P1426" s="35" t="str">
        <f>_xlfn.SINGLE(IF(F1426="","",_xlfn.XLOOKUP(F1426,purchase!D:D,purchase!K:K,"")))</f>
        <v/>
      </c>
      <c r="Q1426" s="29" t="str">
        <f t="shared" si="159"/>
        <v/>
      </c>
      <c r="R1426" s="37" t="str">
        <f t="shared" si="160"/>
        <v/>
      </c>
    </row>
    <row r="1427" spans="1:18" x14ac:dyDescent="0.35">
      <c r="A1427" s="8">
        <v>1423</v>
      </c>
      <c r="B1427" s="9" t="str">
        <f t="shared" si="154"/>
        <v/>
      </c>
      <c r="C1427" s="10"/>
      <c r="D1427" s="9" t="str">
        <f>IF(F1427="","",_xlfn.XLOOKUP(F1427,purchase!D:D,purchase!#REF!,""))</f>
        <v/>
      </c>
      <c r="E1427" s="9" t="str">
        <f>IF(F1427="","",_xlfn.XLOOKUP(F1427,purchase!D:D,purchase!B:B,""))</f>
        <v/>
      </c>
      <c r="F1427" s="2"/>
      <c r="G1427" s="4" t="str">
        <f t="shared" si="155"/>
        <v/>
      </c>
      <c r="H1427" s="4" t="str">
        <f>IF(F1427="","",_xlfn.XLOOKUP(F1427,purchase!D:D,purchase!#REF!,""))</f>
        <v/>
      </c>
      <c r="I1427" s="4" t="str">
        <f t="shared" si="156"/>
        <v/>
      </c>
      <c r="J1427" s="4" t="str">
        <f t="shared" si="157"/>
        <v/>
      </c>
      <c r="K1427" s="13" t="str">
        <f>_xlfn.SINGLE(IF(F1427="","",_xlfn.XLOOKUP(F1427,purchase!D:D,purchase!#REF!,"")))</f>
        <v/>
      </c>
      <c r="L1427" s="2"/>
      <c r="M1427" s="32"/>
      <c r="N1427" s="13" t="str">
        <f>IF(F1427="","",
MAX(0,
_xlfn.XLOOKUP(F1427,purchase!D:D,purchase!#REF!,"")
-
SUMIFS(L:L,F:F,F1427)))</f>
        <v/>
      </c>
      <c r="O1427" s="13" t="str">
        <f t="shared" si="158"/>
        <v/>
      </c>
      <c r="P1427" s="35" t="str">
        <f>_xlfn.SINGLE(IF(F1427="","",_xlfn.XLOOKUP(F1427,purchase!D:D,purchase!K:K,"")))</f>
        <v/>
      </c>
      <c r="Q1427" s="29" t="str">
        <f t="shared" si="159"/>
        <v/>
      </c>
      <c r="R1427" s="37" t="str">
        <f t="shared" si="160"/>
        <v/>
      </c>
    </row>
    <row r="1428" spans="1:18" x14ac:dyDescent="0.35">
      <c r="A1428" s="8">
        <v>1424</v>
      </c>
      <c r="B1428" s="9" t="str">
        <f t="shared" si="154"/>
        <v/>
      </c>
      <c r="C1428" s="10"/>
      <c r="D1428" s="9" t="str">
        <f>IF(F1428="","",_xlfn.XLOOKUP(F1428,purchase!D:D,purchase!#REF!,""))</f>
        <v/>
      </c>
      <c r="E1428" s="9" t="str">
        <f>IF(F1428="","",_xlfn.XLOOKUP(F1428,purchase!D:D,purchase!B:B,""))</f>
        <v/>
      </c>
      <c r="F1428" s="2"/>
      <c r="G1428" s="4" t="str">
        <f t="shared" si="155"/>
        <v/>
      </c>
      <c r="H1428" s="4" t="str">
        <f>IF(F1428="","",_xlfn.XLOOKUP(F1428,purchase!D:D,purchase!#REF!,""))</f>
        <v/>
      </c>
      <c r="I1428" s="4" t="str">
        <f t="shared" si="156"/>
        <v/>
      </c>
      <c r="J1428" s="4" t="str">
        <f t="shared" si="157"/>
        <v/>
      </c>
      <c r="K1428" s="13" t="str">
        <f>_xlfn.SINGLE(IF(F1428="","",_xlfn.XLOOKUP(F1428,purchase!D:D,purchase!#REF!,"")))</f>
        <v/>
      </c>
      <c r="L1428" s="2"/>
      <c r="M1428" s="32"/>
      <c r="N1428" s="13" t="str">
        <f>IF(F1428="","",
MAX(0,
_xlfn.XLOOKUP(F1428,purchase!D:D,purchase!#REF!,"")
-
SUMIFS(L:L,F:F,F1428)))</f>
        <v/>
      </c>
      <c r="O1428" s="13" t="str">
        <f t="shared" si="158"/>
        <v/>
      </c>
      <c r="P1428" s="35" t="str">
        <f>_xlfn.SINGLE(IF(F1428="","",_xlfn.XLOOKUP(F1428,purchase!D:D,purchase!K:K,"")))</f>
        <v/>
      </c>
      <c r="Q1428" s="29" t="str">
        <f t="shared" si="159"/>
        <v/>
      </c>
      <c r="R1428" s="37" t="str">
        <f t="shared" si="160"/>
        <v/>
      </c>
    </row>
    <row r="1429" spans="1:18" x14ac:dyDescent="0.35">
      <c r="A1429" s="8">
        <v>1425</v>
      </c>
      <c r="B1429" s="9" t="str">
        <f t="shared" si="154"/>
        <v/>
      </c>
      <c r="C1429" s="10"/>
      <c r="D1429" s="9" t="str">
        <f>IF(F1429="","",_xlfn.XLOOKUP(F1429,purchase!D:D,purchase!#REF!,""))</f>
        <v/>
      </c>
      <c r="E1429" s="9" t="str">
        <f>IF(F1429="","",_xlfn.XLOOKUP(F1429,purchase!D:D,purchase!B:B,""))</f>
        <v/>
      </c>
      <c r="F1429" s="2"/>
      <c r="G1429" s="4" t="str">
        <f t="shared" si="155"/>
        <v/>
      </c>
      <c r="H1429" s="4" t="str">
        <f>IF(F1429="","",_xlfn.XLOOKUP(F1429,purchase!D:D,purchase!#REF!,""))</f>
        <v/>
      </c>
      <c r="I1429" s="4" t="str">
        <f t="shared" si="156"/>
        <v/>
      </c>
      <c r="J1429" s="4" t="str">
        <f t="shared" si="157"/>
        <v/>
      </c>
      <c r="K1429" s="13" t="str">
        <f>_xlfn.SINGLE(IF(F1429="","",_xlfn.XLOOKUP(F1429,purchase!D:D,purchase!#REF!,"")))</f>
        <v/>
      </c>
      <c r="L1429" s="2"/>
      <c r="M1429" s="32"/>
      <c r="N1429" s="13" t="str">
        <f>IF(F1429="","",
MAX(0,
_xlfn.XLOOKUP(F1429,purchase!D:D,purchase!#REF!,"")
-
SUMIFS(L:L,F:F,F1429)))</f>
        <v/>
      </c>
      <c r="O1429" s="13" t="str">
        <f t="shared" si="158"/>
        <v/>
      </c>
      <c r="P1429" s="35" t="str">
        <f>_xlfn.SINGLE(IF(F1429="","",_xlfn.XLOOKUP(F1429,purchase!D:D,purchase!K:K,"")))</f>
        <v/>
      </c>
      <c r="Q1429" s="29" t="str">
        <f t="shared" si="159"/>
        <v/>
      </c>
      <c r="R1429" s="37" t="str">
        <f t="shared" si="160"/>
        <v/>
      </c>
    </row>
    <row r="1430" spans="1:18" x14ac:dyDescent="0.35">
      <c r="A1430" s="8">
        <v>1426</v>
      </c>
      <c r="B1430" s="9" t="str">
        <f t="shared" si="154"/>
        <v/>
      </c>
      <c r="C1430" s="10"/>
      <c r="D1430" s="9" t="str">
        <f>IF(F1430="","",_xlfn.XLOOKUP(F1430,purchase!D:D,purchase!#REF!,""))</f>
        <v/>
      </c>
      <c r="E1430" s="9" t="str">
        <f>IF(F1430="","",_xlfn.XLOOKUP(F1430,purchase!D:D,purchase!B:B,""))</f>
        <v/>
      </c>
      <c r="F1430" s="2"/>
      <c r="G1430" s="4" t="str">
        <f t="shared" si="155"/>
        <v/>
      </c>
      <c r="H1430" s="4" t="str">
        <f>IF(F1430="","",_xlfn.XLOOKUP(F1430,purchase!D:D,purchase!#REF!,""))</f>
        <v/>
      </c>
      <c r="I1430" s="4" t="str">
        <f t="shared" si="156"/>
        <v/>
      </c>
      <c r="J1430" s="4" t="str">
        <f t="shared" si="157"/>
        <v/>
      </c>
      <c r="K1430" s="13" t="str">
        <f>_xlfn.SINGLE(IF(F1430="","",_xlfn.XLOOKUP(F1430,purchase!D:D,purchase!#REF!,"")))</f>
        <v/>
      </c>
      <c r="L1430" s="2"/>
      <c r="M1430" s="32"/>
      <c r="N1430" s="13" t="str">
        <f>IF(F1430="","",
MAX(0,
_xlfn.XLOOKUP(F1430,purchase!D:D,purchase!#REF!,"")
-
SUMIFS(L:L,F:F,F1430)))</f>
        <v/>
      </c>
      <c r="O1430" s="13" t="str">
        <f t="shared" si="158"/>
        <v/>
      </c>
      <c r="P1430" s="35" t="str">
        <f>_xlfn.SINGLE(IF(F1430="","",_xlfn.XLOOKUP(F1430,purchase!D:D,purchase!K:K,"")))</f>
        <v/>
      </c>
      <c r="Q1430" s="29" t="str">
        <f t="shared" si="159"/>
        <v/>
      </c>
      <c r="R1430" s="37" t="str">
        <f t="shared" si="160"/>
        <v/>
      </c>
    </row>
    <row r="1431" spans="1:18" x14ac:dyDescent="0.35">
      <c r="A1431" s="8">
        <v>1427</v>
      </c>
      <c r="B1431" s="9" t="str">
        <f t="shared" si="154"/>
        <v/>
      </c>
      <c r="C1431" s="10"/>
      <c r="D1431" s="9" t="str">
        <f>IF(F1431="","",_xlfn.XLOOKUP(F1431,purchase!D:D,purchase!#REF!,""))</f>
        <v/>
      </c>
      <c r="E1431" s="9" t="str">
        <f>IF(F1431="","",_xlfn.XLOOKUP(F1431,purchase!D:D,purchase!B:B,""))</f>
        <v/>
      </c>
      <c r="F1431" s="2"/>
      <c r="G1431" s="4" t="str">
        <f t="shared" si="155"/>
        <v/>
      </c>
      <c r="H1431" s="4" t="str">
        <f>IF(F1431="","",_xlfn.XLOOKUP(F1431,purchase!D:D,purchase!#REF!,""))</f>
        <v/>
      </c>
      <c r="I1431" s="4" t="str">
        <f t="shared" si="156"/>
        <v/>
      </c>
      <c r="J1431" s="4" t="str">
        <f t="shared" si="157"/>
        <v/>
      </c>
      <c r="K1431" s="13" t="str">
        <f>_xlfn.SINGLE(IF(F1431="","",_xlfn.XLOOKUP(F1431,purchase!D:D,purchase!#REF!,"")))</f>
        <v/>
      </c>
      <c r="L1431" s="2"/>
      <c r="M1431" s="32"/>
      <c r="N1431" s="13" t="str">
        <f>IF(F1431="","",
MAX(0,
_xlfn.XLOOKUP(F1431,purchase!D:D,purchase!#REF!,"")
-
SUMIFS(L:L,F:F,F1431)))</f>
        <v/>
      </c>
      <c r="O1431" s="13" t="str">
        <f t="shared" si="158"/>
        <v/>
      </c>
      <c r="P1431" s="35" t="str">
        <f>_xlfn.SINGLE(IF(F1431="","",_xlfn.XLOOKUP(F1431,purchase!D:D,purchase!K:K,"")))</f>
        <v/>
      </c>
      <c r="Q1431" s="29" t="str">
        <f t="shared" si="159"/>
        <v/>
      </c>
      <c r="R1431" s="37" t="str">
        <f t="shared" si="160"/>
        <v/>
      </c>
    </row>
    <row r="1432" spans="1:18" x14ac:dyDescent="0.35">
      <c r="A1432" s="8">
        <v>1428</v>
      </c>
      <c r="B1432" s="9" t="str">
        <f t="shared" si="154"/>
        <v/>
      </c>
      <c r="C1432" s="10"/>
      <c r="D1432" s="9" t="str">
        <f>IF(F1432="","",_xlfn.XLOOKUP(F1432,purchase!D:D,purchase!#REF!,""))</f>
        <v/>
      </c>
      <c r="E1432" s="9" t="str">
        <f>IF(F1432="","",_xlfn.XLOOKUP(F1432,purchase!D:D,purchase!B:B,""))</f>
        <v/>
      </c>
      <c r="F1432" s="2"/>
      <c r="G1432" s="4" t="str">
        <f t="shared" si="155"/>
        <v/>
      </c>
      <c r="H1432" s="4" t="str">
        <f>IF(F1432="","",_xlfn.XLOOKUP(F1432,purchase!D:D,purchase!#REF!,""))</f>
        <v/>
      </c>
      <c r="I1432" s="4" t="str">
        <f t="shared" si="156"/>
        <v/>
      </c>
      <c r="J1432" s="4" t="str">
        <f t="shared" si="157"/>
        <v/>
      </c>
      <c r="K1432" s="13" t="str">
        <f>_xlfn.SINGLE(IF(F1432="","",_xlfn.XLOOKUP(F1432,purchase!D:D,purchase!#REF!,"")))</f>
        <v/>
      </c>
      <c r="L1432" s="2"/>
      <c r="M1432" s="32"/>
      <c r="N1432" s="13" t="str">
        <f>IF(F1432="","",
MAX(0,
_xlfn.XLOOKUP(F1432,purchase!D:D,purchase!#REF!,"")
-
SUMIFS(L:L,F:F,F1432)))</f>
        <v/>
      </c>
      <c r="O1432" s="13" t="str">
        <f t="shared" si="158"/>
        <v/>
      </c>
      <c r="P1432" s="35" t="str">
        <f>_xlfn.SINGLE(IF(F1432="","",_xlfn.XLOOKUP(F1432,purchase!D:D,purchase!K:K,"")))</f>
        <v/>
      </c>
      <c r="Q1432" s="29" t="str">
        <f t="shared" si="159"/>
        <v/>
      </c>
      <c r="R1432" s="37" t="str">
        <f t="shared" si="160"/>
        <v/>
      </c>
    </row>
    <row r="1433" spans="1:18" x14ac:dyDescent="0.35">
      <c r="A1433" s="8">
        <v>1429</v>
      </c>
      <c r="B1433" s="9" t="str">
        <f t="shared" si="154"/>
        <v/>
      </c>
      <c r="C1433" s="10"/>
      <c r="D1433" s="9" t="str">
        <f>IF(F1433="","",_xlfn.XLOOKUP(F1433,purchase!D:D,purchase!#REF!,""))</f>
        <v/>
      </c>
      <c r="E1433" s="9" t="str">
        <f>IF(F1433="","",_xlfn.XLOOKUP(F1433,purchase!D:D,purchase!B:B,""))</f>
        <v/>
      </c>
      <c r="F1433" s="2"/>
      <c r="G1433" s="4" t="str">
        <f t="shared" si="155"/>
        <v/>
      </c>
      <c r="H1433" s="4" t="str">
        <f>IF(F1433="","",_xlfn.XLOOKUP(F1433,purchase!D:D,purchase!#REF!,""))</f>
        <v/>
      </c>
      <c r="I1433" s="4" t="str">
        <f t="shared" si="156"/>
        <v/>
      </c>
      <c r="J1433" s="4" t="str">
        <f t="shared" si="157"/>
        <v/>
      </c>
      <c r="K1433" s="13" t="str">
        <f>_xlfn.SINGLE(IF(F1433="","",_xlfn.XLOOKUP(F1433,purchase!D:D,purchase!#REF!,"")))</f>
        <v/>
      </c>
      <c r="L1433" s="2"/>
      <c r="M1433" s="32"/>
      <c r="N1433" s="13" t="str">
        <f>IF(F1433="","",
MAX(0,
_xlfn.XLOOKUP(F1433,purchase!D:D,purchase!#REF!,"")
-
SUMIFS(L:L,F:F,F1433)))</f>
        <v/>
      </c>
      <c r="O1433" s="13" t="str">
        <f t="shared" si="158"/>
        <v/>
      </c>
      <c r="P1433" s="35" t="str">
        <f>_xlfn.SINGLE(IF(F1433="","",_xlfn.XLOOKUP(F1433,purchase!D:D,purchase!K:K,"")))</f>
        <v/>
      </c>
      <c r="Q1433" s="29" t="str">
        <f t="shared" si="159"/>
        <v/>
      </c>
      <c r="R1433" s="37" t="str">
        <f t="shared" si="160"/>
        <v/>
      </c>
    </row>
    <row r="1434" spans="1:18" x14ac:dyDescent="0.35">
      <c r="A1434" s="8">
        <v>1430</v>
      </c>
      <c r="B1434" s="9" t="str">
        <f t="shared" si="154"/>
        <v/>
      </c>
      <c r="C1434" s="10"/>
      <c r="D1434" s="9" t="str">
        <f>IF(F1434="","",_xlfn.XLOOKUP(F1434,purchase!D:D,purchase!#REF!,""))</f>
        <v/>
      </c>
      <c r="E1434" s="9" t="str">
        <f>IF(F1434="","",_xlfn.XLOOKUP(F1434,purchase!D:D,purchase!B:B,""))</f>
        <v/>
      </c>
      <c r="F1434" s="2"/>
      <c r="G1434" s="4" t="str">
        <f t="shared" si="155"/>
        <v/>
      </c>
      <c r="H1434" s="4" t="str">
        <f>IF(F1434="","",_xlfn.XLOOKUP(F1434,purchase!D:D,purchase!#REF!,""))</f>
        <v/>
      </c>
      <c r="I1434" s="4" t="str">
        <f t="shared" si="156"/>
        <v/>
      </c>
      <c r="J1434" s="4" t="str">
        <f t="shared" si="157"/>
        <v/>
      </c>
      <c r="K1434" s="13" t="str">
        <f>_xlfn.SINGLE(IF(F1434="","",_xlfn.XLOOKUP(F1434,purchase!D:D,purchase!#REF!,"")))</f>
        <v/>
      </c>
      <c r="L1434" s="2"/>
      <c r="M1434" s="32"/>
      <c r="N1434" s="13" t="str">
        <f>IF(F1434="","",
MAX(0,
_xlfn.XLOOKUP(F1434,purchase!D:D,purchase!#REF!,"")
-
SUMIFS(L:L,F:F,F1434)))</f>
        <v/>
      </c>
      <c r="O1434" s="13" t="str">
        <f t="shared" si="158"/>
        <v/>
      </c>
      <c r="P1434" s="35" t="str">
        <f>_xlfn.SINGLE(IF(F1434="","",_xlfn.XLOOKUP(F1434,purchase!D:D,purchase!K:K,"")))</f>
        <v/>
      </c>
      <c r="Q1434" s="29" t="str">
        <f t="shared" si="159"/>
        <v/>
      </c>
      <c r="R1434" s="37" t="str">
        <f t="shared" si="160"/>
        <v/>
      </c>
    </row>
    <row r="1435" spans="1:18" x14ac:dyDescent="0.35">
      <c r="A1435" s="8">
        <v>1431</v>
      </c>
      <c r="B1435" s="9" t="str">
        <f t="shared" si="154"/>
        <v/>
      </c>
      <c r="C1435" s="10"/>
      <c r="D1435" s="9" t="str">
        <f>IF(F1435="","",_xlfn.XLOOKUP(F1435,purchase!D:D,purchase!#REF!,""))</f>
        <v/>
      </c>
      <c r="E1435" s="9" t="str">
        <f>IF(F1435="","",_xlfn.XLOOKUP(F1435,purchase!D:D,purchase!B:B,""))</f>
        <v/>
      </c>
      <c r="F1435" s="2"/>
      <c r="G1435" s="4" t="str">
        <f t="shared" si="155"/>
        <v/>
      </c>
      <c r="H1435" s="4" t="str">
        <f>IF(F1435="","",_xlfn.XLOOKUP(F1435,purchase!D:D,purchase!#REF!,""))</f>
        <v/>
      </c>
      <c r="I1435" s="4" t="str">
        <f t="shared" si="156"/>
        <v/>
      </c>
      <c r="J1435" s="4" t="str">
        <f t="shared" si="157"/>
        <v/>
      </c>
      <c r="K1435" s="13" t="str">
        <f>_xlfn.SINGLE(IF(F1435="","",_xlfn.XLOOKUP(F1435,purchase!D:D,purchase!#REF!,"")))</f>
        <v/>
      </c>
      <c r="L1435" s="2"/>
      <c r="M1435" s="32"/>
      <c r="N1435" s="13" t="str">
        <f>IF(F1435="","",
MAX(0,
_xlfn.XLOOKUP(F1435,purchase!D:D,purchase!#REF!,"")
-
SUMIFS(L:L,F:F,F1435)))</f>
        <v/>
      </c>
      <c r="O1435" s="13" t="str">
        <f t="shared" si="158"/>
        <v/>
      </c>
      <c r="P1435" s="35" t="str">
        <f>_xlfn.SINGLE(IF(F1435="","",_xlfn.XLOOKUP(F1435,purchase!D:D,purchase!K:K,"")))</f>
        <v/>
      </c>
      <c r="Q1435" s="29" t="str">
        <f t="shared" si="159"/>
        <v/>
      </c>
      <c r="R1435" s="37" t="str">
        <f t="shared" si="160"/>
        <v/>
      </c>
    </row>
    <row r="1436" spans="1:18" x14ac:dyDescent="0.35">
      <c r="A1436" s="8">
        <v>1432</v>
      </c>
      <c r="B1436" s="9" t="str">
        <f t="shared" si="154"/>
        <v/>
      </c>
      <c r="C1436" s="10"/>
      <c r="D1436" s="9" t="str">
        <f>IF(F1436="","",_xlfn.XLOOKUP(F1436,purchase!D:D,purchase!#REF!,""))</f>
        <v/>
      </c>
      <c r="E1436" s="9" t="str">
        <f>IF(F1436="","",_xlfn.XLOOKUP(F1436,purchase!D:D,purchase!B:B,""))</f>
        <v/>
      </c>
      <c r="F1436" s="2"/>
      <c r="G1436" s="4" t="str">
        <f t="shared" si="155"/>
        <v/>
      </c>
      <c r="H1436" s="4" t="str">
        <f>IF(F1436="","",_xlfn.XLOOKUP(F1436,purchase!D:D,purchase!#REF!,""))</f>
        <v/>
      </c>
      <c r="I1436" s="4" t="str">
        <f t="shared" si="156"/>
        <v/>
      </c>
      <c r="J1436" s="4" t="str">
        <f t="shared" si="157"/>
        <v/>
      </c>
      <c r="K1436" s="13" t="str">
        <f>_xlfn.SINGLE(IF(F1436="","",_xlfn.XLOOKUP(F1436,purchase!D:D,purchase!#REF!,"")))</f>
        <v/>
      </c>
      <c r="L1436" s="2"/>
      <c r="M1436" s="32"/>
      <c r="N1436" s="13" t="str">
        <f>IF(F1436="","",
MAX(0,
_xlfn.XLOOKUP(F1436,purchase!D:D,purchase!#REF!,"")
-
SUMIFS(L:L,F:F,F1436)))</f>
        <v/>
      </c>
      <c r="O1436" s="13" t="str">
        <f t="shared" si="158"/>
        <v/>
      </c>
      <c r="P1436" s="35" t="str">
        <f>_xlfn.SINGLE(IF(F1436="","",_xlfn.XLOOKUP(F1436,purchase!D:D,purchase!K:K,"")))</f>
        <v/>
      </c>
      <c r="Q1436" s="29" t="str">
        <f t="shared" si="159"/>
        <v/>
      </c>
      <c r="R1436" s="37" t="str">
        <f t="shared" si="160"/>
        <v/>
      </c>
    </row>
    <row r="1437" spans="1:18" x14ac:dyDescent="0.35">
      <c r="A1437" s="8">
        <v>1433</v>
      </c>
      <c r="B1437" s="9" t="str">
        <f t="shared" si="154"/>
        <v/>
      </c>
      <c r="C1437" s="10"/>
      <c r="D1437" s="9" t="str">
        <f>IF(F1437="","",_xlfn.XLOOKUP(F1437,purchase!D:D,purchase!#REF!,""))</f>
        <v/>
      </c>
      <c r="E1437" s="9" t="str">
        <f>IF(F1437="","",_xlfn.XLOOKUP(F1437,purchase!D:D,purchase!B:B,""))</f>
        <v/>
      </c>
      <c r="F1437" s="2"/>
      <c r="G1437" s="4" t="str">
        <f t="shared" si="155"/>
        <v/>
      </c>
      <c r="H1437" s="4" t="str">
        <f>IF(F1437="","",_xlfn.XLOOKUP(F1437,purchase!D:D,purchase!#REF!,""))</f>
        <v/>
      </c>
      <c r="I1437" s="4" t="str">
        <f t="shared" si="156"/>
        <v/>
      </c>
      <c r="J1437" s="4" t="str">
        <f t="shared" si="157"/>
        <v/>
      </c>
      <c r="K1437" s="13" t="str">
        <f>_xlfn.SINGLE(IF(F1437="","",_xlfn.XLOOKUP(F1437,purchase!D:D,purchase!#REF!,"")))</f>
        <v/>
      </c>
      <c r="L1437" s="2"/>
      <c r="M1437" s="32"/>
      <c r="N1437" s="13" t="str">
        <f>IF(F1437="","",
MAX(0,
_xlfn.XLOOKUP(F1437,purchase!D:D,purchase!#REF!,"")
-
SUMIFS(L:L,F:F,F1437)))</f>
        <v/>
      </c>
      <c r="O1437" s="13" t="str">
        <f t="shared" si="158"/>
        <v/>
      </c>
      <c r="P1437" s="35" t="str">
        <f>_xlfn.SINGLE(IF(F1437="","",_xlfn.XLOOKUP(F1437,purchase!D:D,purchase!K:K,"")))</f>
        <v/>
      </c>
      <c r="Q1437" s="29" t="str">
        <f t="shared" si="159"/>
        <v/>
      </c>
      <c r="R1437" s="37" t="str">
        <f t="shared" si="160"/>
        <v/>
      </c>
    </row>
    <row r="1438" spans="1:18" x14ac:dyDescent="0.35">
      <c r="A1438" s="8">
        <v>1434</v>
      </c>
      <c r="B1438" s="9" t="str">
        <f t="shared" si="154"/>
        <v/>
      </c>
      <c r="C1438" s="10"/>
      <c r="D1438" s="9" t="str">
        <f>IF(F1438="","",_xlfn.XLOOKUP(F1438,purchase!D:D,purchase!#REF!,""))</f>
        <v/>
      </c>
      <c r="E1438" s="9" t="str">
        <f>IF(F1438="","",_xlfn.XLOOKUP(F1438,purchase!D:D,purchase!B:B,""))</f>
        <v/>
      </c>
      <c r="F1438" s="2"/>
      <c r="G1438" s="4" t="str">
        <f t="shared" si="155"/>
        <v/>
      </c>
      <c r="H1438" s="4" t="str">
        <f>IF(F1438="","",_xlfn.XLOOKUP(F1438,purchase!D:D,purchase!#REF!,""))</f>
        <v/>
      </c>
      <c r="I1438" s="4" t="str">
        <f t="shared" si="156"/>
        <v/>
      </c>
      <c r="J1438" s="4" t="str">
        <f t="shared" si="157"/>
        <v/>
      </c>
      <c r="K1438" s="13" t="str">
        <f>_xlfn.SINGLE(IF(F1438="","",_xlfn.XLOOKUP(F1438,purchase!D:D,purchase!#REF!,"")))</f>
        <v/>
      </c>
      <c r="L1438" s="2"/>
      <c r="M1438" s="32"/>
      <c r="N1438" s="13" t="str">
        <f>IF(F1438="","",
MAX(0,
_xlfn.XLOOKUP(F1438,purchase!D:D,purchase!#REF!,"")
-
SUMIFS(L:L,F:F,F1438)))</f>
        <v/>
      </c>
      <c r="O1438" s="13" t="str">
        <f t="shared" si="158"/>
        <v/>
      </c>
      <c r="P1438" s="35" t="str">
        <f>_xlfn.SINGLE(IF(F1438="","",_xlfn.XLOOKUP(F1438,purchase!D:D,purchase!K:K,"")))</f>
        <v/>
      </c>
      <c r="Q1438" s="29" t="str">
        <f t="shared" si="159"/>
        <v/>
      </c>
      <c r="R1438" s="37" t="str">
        <f t="shared" si="160"/>
        <v/>
      </c>
    </row>
    <row r="1439" spans="1:18" x14ac:dyDescent="0.35">
      <c r="A1439" s="8">
        <v>1435</v>
      </c>
      <c r="B1439" s="9" t="str">
        <f t="shared" si="154"/>
        <v/>
      </c>
      <c r="C1439" s="10"/>
      <c r="D1439" s="9" t="str">
        <f>IF(F1439="","",_xlfn.XLOOKUP(F1439,purchase!D:D,purchase!#REF!,""))</f>
        <v/>
      </c>
      <c r="E1439" s="9" t="str">
        <f>IF(F1439="","",_xlfn.XLOOKUP(F1439,purchase!D:D,purchase!B:B,""))</f>
        <v/>
      </c>
      <c r="F1439" s="2"/>
      <c r="G1439" s="4" t="str">
        <f t="shared" si="155"/>
        <v/>
      </c>
      <c r="H1439" s="4" t="str">
        <f>IF(F1439="","",_xlfn.XLOOKUP(F1439,purchase!D:D,purchase!#REF!,""))</f>
        <v/>
      </c>
      <c r="I1439" s="4" t="str">
        <f t="shared" si="156"/>
        <v/>
      </c>
      <c r="J1439" s="4" t="str">
        <f t="shared" si="157"/>
        <v/>
      </c>
      <c r="K1439" s="13" t="str">
        <f>_xlfn.SINGLE(IF(F1439="","",_xlfn.XLOOKUP(F1439,purchase!D:D,purchase!#REF!,"")))</f>
        <v/>
      </c>
      <c r="L1439" s="2"/>
      <c r="M1439" s="32"/>
      <c r="N1439" s="13" t="str">
        <f>IF(F1439="","",
MAX(0,
_xlfn.XLOOKUP(F1439,purchase!D:D,purchase!#REF!,"")
-
SUMIFS(L:L,F:F,F1439)))</f>
        <v/>
      </c>
      <c r="O1439" s="13" t="str">
        <f t="shared" si="158"/>
        <v/>
      </c>
      <c r="P1439" s="35" t="str">
        <f>_xlfn.SINGLE(IF(F1439="","",_xlfn.XLOOKUP(F1439,purchase!D:D,purchase!K:K,"")))</f>
        <v/>
      </c>
      <c r="Q1439" s="29" t="str">
        <f t="shared" si="159"/>
        <v/>
      </c>
      <c r="R1439" s="37" t="str">
        <f t="shared" si="160"/>
        <v/>
      </c>
    </row>
    <row r="1440" spans="1:18" x14ac:dyDescent="0.35">
      <c r="A1440" s="8">
        <v>1436</v>
      </c>
      <c r="B1440" s="9" t="str">
        <f t="shared" si="154"/>
        <v/>
      </c>
      <c r="C1440" s="10"/>
      <c r="D1440" s="9" t="str">
        <f>IF(F1440="","",_xlfn.XLOOKUP(F1440,purchase!D:D,purchase!#REF!,""))</f>
        <v/>
      </c>
      <c r="E1440" s="9" t="str">
        <f>IF(F1440="","",_xlfn.XLOOKUP(F1440,purchase!D:D,purchase!B:B,""))</f>
        <v/>
      </c>
      <c r="F1440" s="2"/>
      <c r="G1440" s="4" t="str">
        <f t="shared" si="155"/>
        <v/>
      </c>
      <c r="H1440" s="4" t="str">
        <f>IF(F1440="","",_xlfn.XLOOKUP(F1440,purchase!D:D,purchase!#REF!,""))</f>
        <v/>
      </c>
      <c r="I1440" s="4" t="str">
        <f t="shared" si="156"/>
        <v/>
      </c>
      <c r="J1440" s="4" t="str">
        <f t="shared" si="157"/>
        <v/>
      </c>
      <c r="K1440" s="13" t="str">
        <f>_xlfn.SINGLE(IF(F1440="","",_xlfn.XLOOKUP(F1440,purchase!D:D,purchase!#REF!,"")))</f>
        <v/>
      </c>
      <c r="L1440" s="2"/>
      <c r="M1440" s="32"/>
      <c r="N1440" s="13" t="str">
        <f>IF(F1440="","",
MAX(0,
_xlfn.XLOOKUP(F1440,purchase!D:D,purchase!#REF!,"")
-
SUMIFS(L:L,F:F,F1440)))</f>
        <v/>
      </c>
      <c r="O1440" s="13" t="str">
        <f t="shared" si="158"/>
        <v/>
      </c>
      <c r="P1440" s="35" t="str">
        <f>_xlfn.SINGLE(IF(F1440="","",_xlfn.XLOOKUP(F1440,purchase!D:D,purchase!K:K,"")))</f>
        <v/>
      </c>
      <c r="Q1440" s="29" t="str">
        <f t="shared" si="159"/>
        <v/>
      </c>
      <c r="R1440" s="37" t="str">
        <f t="shared" si="160"/>
        <v/>
      </c>
    </row>
    <row r="1441" spans="1:18" x14ac:dyDescent="0.35">
      <c r="A1441" s="8">
        <v>1437</v>
      </c>
      <c r="B1441" s="9" t="str">
        <f t="shared" si="154"/>
        <v/>
      </c>
      <c r="C1441" s="10"/>
      <c r="D1441" s="9" t="str">
        <f>IF(F1441="","",_xlfn.XLOOKUP(F1441,purchase!D:D,purchase!#REF!,""))</f>
        <v/>
      </c>
      <c r="E1441" s="9" t="str">
        <f>IF(F1441="","",_xlfn.XLOOKUP(F1441,purchase!D:D,purchase!B:B,""))</f>
        <v/>
      </c>
      <c r="F1441" s="2"/>
      <c r="G1441" s="4" t="str">
        <f t="shared" si="155"/>
        <v/>
      </c>
      <c r="H1441" s="4" t="str">
        <f>IF(F1441="","",_xlfn.XLOOKUP(F1441,purchase!D:D,purchase!#REF!,""))</f>
        <v/>
      </c>
      <c r="I1441" s="4" t="str">
        <f t="shared" si="156"/>
        <v/>
      </c>
      <c r="J1441" s="4" t="str">
        <f t="shared" si="157"/>
        <v/>
      </c>
      <c r="K1441" s="13" t="str">
        <f>_xlfn.SINGLE(IF(F1441="","",_xlfn.XLOOKUP(F1441,purchase!D:D,purchase!#REF!,"")))</f>
        <v/>
      </c>
      <c r="L1441" s="2"/>
      <c r="M1441" s="32"/>
      <c r="N1441" s="13" t="str">
        <f>IF(F1441="","",
MAX(0,
_xlfn.XLOOKUP(F1441,purchase!D:D,purchase!#REF!,"")
-
SUMIFS(L:L,F:F,F1441)))</f>
        <v/>
      </c>
      <c r="O1441" s="13" t="str">
        <f t="shared" si="158"/>
        <v/>
      </c>
      <c r="P1441" s="35" t="str">
        <f>_xlfn.SINGLE(IF(F1441="","",_xlfn.XLOOKUP(F1441,purchase!D:D,purchase!K:K,"")))</f>
        <v/>
      </c>
      <c r="Q1441" s="29" t="str">
        <f t="shared" si="159"/>
        <v/>
      </c>
      <c r="R1441" s="37" t="str">
        <f t="shared" si="160"/>
        <v/>
      </c>
    </row>
    <row r="1442" spans="1:18" x14ac:dyDescent="0.35">
      <c r="A1442" s="8">
        <v>1438</v>
      </c>
      <c r="B1442" s="9" t="str">
        <f t="shared" si="154"/>
        <v/>
      </c>
      <c r="C1442" s="10"/>
      <c r="D1442" s="9" t="str">
        <f>IF(F1442="","",_xlfn.XLOOKUP(F1442,purchase!D:D,purchase!#REF!,""))</f>
        <v/>
      </c>
      <c r="E1442" s="9" t="str">
        <f>IF(F1442="","",_xlfn.XLOOKUP(F1442,purchase!D:D,purchase!B:B,""))</f>
        <v/>
      </c>
      <c r="F1442" s="2"/>
      <c r="G1442" s="4" t="str">
        <f t="shared" si="155"/>
        <v/>
      </c>
      <c r="H1442" s="4" t="str">
        <f>IF(F1442="","",_xlfn.XLOOKUP(F1442,purchase!D:D,purchase!#REF!,""))</f>
        <v/>
      </c>
      <c r="I1442" s="4" t="str">
        <f t="shared" si="156"/>
        <v/>
      </c>
      <c r="J1442" s="4" t="str">
        <f t="shared" si="157"/>
        <v/>
      </c>
      <c r="K1442" s="13" t="str">
        <f>_xlfn.SINGLE(IF(F1442="","",_xlfn.XLOOKUP(F1442,purchase!D:D,purchase!#REF!,"")))</f>
        <v/>
      </c>
      <c r="L1442" s="2"/>
      <c r="M1442" s="32"/>
      <c r="N1442" s="13" t="str">
        <f>IF(F1442="","",
MAX(0,
_xlfn.XLOOKUP(F1442,purchase!D:D,purchase!#REF!,"")
-
SUMIFS(L:L,F:F,F1442)))</f>
        <v/>
      </c>
      <c r="O1442" s="13" t="str">
        <f t="shared" si="158"/>
        <v/>
      </c>
      <c r="P1442" s="35" t="str">
        <f>_xlfn.SINGLE(IF(F1442="","",_xlfn.XLOOKUP(F1442,purchase!D:D,purchase!K:K,"")))</f>
        <v/>
      </c>
      <c r="Q1442" s="29" t="str">
        <f t="shared" si="159"/>
        <v/>
      </c>
      <c r="R1442" s="37" t="str">
        <f t="shared" si="160"/>
        <v/>
      </c>
    </row>
    <row r="1443" spans="1:18" x14ac:dyDescent="0.35">
      <c r="A1443" s="8">
        <v>1439</v>
      </c>
      <c r="B1443" s="9" t="str">
        <f t="shared" si="154"/>
        <v/>
      </c>
      <c r="C1443" s="10"/>
      <c r="D1443" s="9" t="str">
        <f>IF(F1443="","",_xlfn.XLOOKUP(F1443,purchase!D:D,purchase!#REF!,""))</f>
        <v/>
      </c>
      <c r="E1443" s="9" t="str">
        <f>IF(F1443="","",_xlfn.XLOOKUP(F1443,purchase!D:D,purchase!B:B,""))</f>
        <v/>
      </c>
      <c r="F1443" s="2"/>
      <c r="G1443" s="4" t="str">
        <f t="shared" si="155"/>
        <v/>
      </c>
      <c r="H1443" s="4" t="str">
        <f>IF(F1443="","",_xlfn.XLOOKUP(F1443,purchase!D:D,purchase!#REF!,""))</f>
        <v/>
      </c>
      <c r="I1443" s="4" t="str">
        <f t="shared" si="156"/>
        <v/>
      </c>
      <c r="J1443" s="4" t="str">
        <f t="shared" si="157"/>
        <v/>
      </c>
      <c r="K1443" s="13" t="str">
        <f>_xlfn.SINGLE(IF(F1443="","",_xlfn.XLOOKUP(F1443,purchase!D:D,purchase!#REF!,"")))</f>
        <v/>
      </c>
      <c r="L1443" s="2"/>
      <c r="M1443" s="32"/>
      <c r="N1443" s="13" t="str">
        <f>IF(F1443="","",
MAX(0,
_xlfn.XLOOKUP(F1443,purchase!D:D,purchase!#REF!,"")
-
SUMIFS(L:L,F:F,F1443)))</f>
        <v/>
      </c>
      <c r="O1443" s="13" t="str">
        <f t="shared" si="158"/>
        <v/>
      </c>
      <c r="P1443" s="35" t="str">
        <f>_xlfn.SINGLE(IF(F1443="","",_xlfn.XLOOKUP(F1443,purchase!D:D,purchase!K:K,"")))</f>
        <v/>
      </c>
      <c r="Q1443" s="29" t="str">
        <f t="shared" si="159"/>
        <v/>
      </c>
      <c r="R1443" s="37" t="str">
        <f t="shared" si="160"/>
        <v/>
      </c>
    </row>
    <row r="1444" spans="1:18" x14ac:dyDescent="0.35">
      <c r="A1444" s="8">
        <v>1440</v>
      </c>
      <c r="B1444" s="9" t="str">
        <f t="shared" si="154"/>
        <v/>
      </c>
      <c r="C1444" s="10"/>
      <c r="D1444" s="9" t="str">
        <f>IF(F1444="","",_xlfn.XLOOKUP(F1444,purchase!D:D,purchase!#REF!,""))</f>
        <v/>
      </c>
      <c r="E1444" s="9" t="str">
        <f>IF(F1444="","",_xlfn.XLOOKUP(F1444,purchase!D:D,purchase!B:B,""))</f>
        <v/>
      </c>
      <c r="F1444" s="2"/>
      <c r="G1444" s="4" t="str">
        <f t="shared" si="155"/>
        <v/>
      </c>
      <c r="H1444" s="4" t="str">
        <f>IF(F1444="","",_xlfn.XLOOKUP(F1444,purchase!D:D,purchase!#REF!,""))</f>
        <v/>
      </c>
      <c r="I1444" s="4" t="str">
        <f t="shared" si="156"/>
        <v/>
      </c>
      <c r="J1444" s="4" t="str">
        <f t="shared" si="157"/>
        <v/>
      </c>
      <c r="K1444" s="13" t="str">
        <f>_xlfn.SINGLE(IF(F1444="","",_xlfn.XLOOKUP(F1444,purchase!D:D,purchase!#REF!,"")))</f>
        <v/>
      </c>
      <c r="L1444" s="2"/>
      <c r="M1444" s="32"/>
      <c r="N1444" s="13" t="str">
        <f>IF(F1444="","",
MAX(0,
_xlfn.XLOOKUP(F1444,purchase!D:D,purchase!#REF!,"")
-
SUMIFS(L:L,F:F,F1444)))</f>
        <v/>
      </c>
      <c r="O1444" s="13" t="str">
        <f t="shared" si="158"/>
        <v/>
      </c>
      <c r="P1444" s="35" t="str">
        <f>_xlfn.SINGLE(IF(F1444="","",_xlfn.XLOOKUP(F1444,purchase!D:D,purchase!K:K,"")))</f>
        <v/>
      </c>
      <c r="Q1444" s="29" t="str">
        <f t="shared" si="159"/>
        <v/>
      </c>
      <c r="R1444" s="37" t="str">
        <f t="shared" si="160"/>
        <v/>
      </c>
    </row>
    <row r="1445" spans="1:18" x14ac:dyDescent="0.35">
      <c r="A1445" s="8">
        <v>1441</v>
      </c>
      <c r="B1445" s="9" t="str">
        <f t="shared" si="154"/>
        <v/>
      </c>
      <c r="C1445" s="10"/>
      <c r="D1445" s="9" t="str">
        <f>IF(F1445="","",_xlfn.XLOOKUP(F1445,purchase!D:D,purchase!#REF!,""))</f>
        <v/>
      </c>
      <c r="E1445" s="9" t="str">
        <f>IF(F1445="","",_xlfn.XLOOKUP(F1445,purchase!D:D,purchase!B:B,""))</f>
        <v/>
      </c>
      <c r="F1445" s="2"/>
      <c r="G1445" s="4" t="str">
        <f t="shared" si="155"/>
        <v/>
      </c>
      <c r="H1445" s="4" t="str">
        <f>IF(F1445="","",_xlfn.XLOOKUP(F1445,purchase!D:D,purchase!#REF!,""))</f>
        <v/>
      </c>
      <c r="I1445" s="4" t="str">
        <f t="shared" si="156"/>
        <v/>
      </c>
      <c r="J1445" s="4" t="str">
        <f t="shared" si="157"/>
        <v/>
      </c>
      <c r="K1445" s="13" t="str">
        <f>_xlfn.SINGLE(IF(F1445="","",_xlfn.XLOOKUP(F1445,purchase!D:D,purchase!#REF!,"")))</f>
        <v/>
      </c>
      <c r="L1445" s="2"/>
      <c r="M1445" s="32"/>
      <c r="N1445" s="13" t="str">
        <f>IF(F1445="","",
MAX(0,
_xlfn.XLOOKUP(F1445,purchase!D:D,purchase!#REF!,"")
-
SUMIFS(L:L,F:F,F1445)))</f>
        <v/>
      </c>
      <c r="O1445" s="13" t="str">
        <f t="shared" si="158"/>
        <v/>
      </c>
      <c r="P1445" s="35" t="str">
        <f>_xlfn.SINGLE(IF(F1445="","",_xlfn.XLOOKUP(F1445,purchase!D:D,purchase!K:K,"")))</f>
        <v/>
      </c>
      <c r="Q1445" s="29" t="str">
        <f t="shared" si="159"/>
        <v/>
      </c>
      <c r="R1445" s="37" t="str">
        <f t="shared" si="160"/>
        <v/>
      </c>
    </row>
    <row r="1446" spans="1:18" x14ac:dyDescent="0.35">
      <c r="A1446" s="8">
        <v>1442</v>
      </c>
      <c r="B1446" s="9" t="str">
        <f t="shared" si="154"/>
        <v/>
      </c>
      <c r="C1446" s="10"/>
      <c r="D1446" s="9" t="str">
        <f>IF(F1446="","",_xlfn.XLOOKUP(F1446,purchase!D:D,purchase!#REF!,""))</f>
        <v/>
      </c>
      <c r="E1446" s="9" t="str">
        <f>IF(F1446="","",_xlfn.XLOOKUP(F1446,purchase!D:D,purchase!B:B,""))</f>
        <v/>
      </c>
      <c r="F1446" s="2"/>
      <c r="G1446" s="4" t="str">
        <f t="shared" si="155"/>
        <v/>
      </c>
      <c r="H1446" s="4" t="str">
        <f>IF(F1446="","",_xlfn.XLOOKUP(F1446,purchase!D:D,purchase!#REF!,""))</f>
        <v/>
      </c>
      <c r="I1446" s="4" t="str">
        <f t="shared" si="156"/>
        <v/>
      </c>
      <c r="J1446" s="4" t="str">
        <f t="shared" si="157"/>
        <v/>
      </c>
      <c r="K1446" s="13" t="str">
        <f>_xlfn.SINGLE(IF(F1446="","",_xlfn.XLOOKUP(F1446,purchase!D:D,purchase!#REF!,"")))</f>
        <v/>
      </c>
      <c r="L1446" s="2"/>
      <c r="M1446" s="32"/>
      <c r="N1446" s="13" t="str">
        <f>IF(F1446="","",
MAX(0,
_xlfn.XLOOKUP(F1446,purchase!D:D,purchase!#REF!,"")
-
SUMIFS(L:L,F:F,F1446)))</f>
        <v/>
      </c>
      <c r="O1446" s="13" t="str">
        <f t="shared" si="158"/>
        <v/>
      </c>
      <c r="P1446" s="35" t="str">
        <f>_xlfn.SINGLE(IF(F1446="","",_xlfn.XLOOKUP(F1446,purchase!D:D,purchase!K:K,"")))</f>
        <v/>
      </c>
      <c r="Q1446" s="29" t="str">
        <f t="shared" si="159"/>
        <v/>
      </c>
      <c r="R1446" s="37" t="str">
        <f t="shared" si="160"/>
        <v/>
      </c>
    </row>
    <row r="1447" spans="1:18" x14ac:dyDescent="0.35">
      <c r="A1447" s="8">
        <v>1443</v>
      </c>
      <c r="B1447" s="9" t="str">
        <f t="shared" si="154"/>
        <v/>
      </c>
      <c r="C1447" s="10"/>
      <c r="D1447" s="9" t="str">
        <f>IF(F1447="","",_xlfn.XLOOKUP(F1447,purchase!D:D,purchase!#REF!,""))</f>
        <v/>
      </c>
      <c r="E1447" s="9" t="str">
        <f>IF(F1447="","",_xlfn.XLOOKUP(F1447,purchase!D:D,purchase!B:B,""))</f>
        <v/>
      </c>
      <c r="F1447" s="2"/>
      <c r="G1447" s="4" t="str">
        <f t="shared" si="155"/>
        <v/>
      </c>
      <c r="H1447" s="4" t="str">
        <f>IF(F1447="","",_xlfn.XLOOKUP(F1447,purchase!D:D,purchase!#REF!,""))</f>
        <v/>
      </c>
      <c r="I1447" s="4" t="str">
        <f t="shared" si="156"/>
        <v/>
      </c>
      <c r="J1447" s="4" t="str">
        <f t="shared" si="157"/>
        <v/>
      </c>
      <c r="K1447" s="13" t="str">
        <f>_xlfn.SINGLE(IF(F1447="","",_xlfn.XLOOKUP(F1447,purchase!D:D,purchase!#REF!,"")))</f>
        <v/>
      </c>
      <c r="L1447" s="2"/>
      <c r="M1447" s="32"/>
      <c r="N1447" s="13" t="str">
        <f>IF(F1447="","",
MAX(0,
_xlfn.XLOOKUP(F1447,purchase!D:D,purchase!#REF!,"")
-
SUMIFS(L:L,F:F,F1447)))</f>
        <v/>
      </c>
      <c r="O1447" s="13" t="str">
        <f t="shared" si="158"/>
        <v/>
      </c>
      <c r="P1447" s="35" t="str">
        <f>_xlfn.SINGLE(IF(F1447="","",_xlfn.XLOOKUP(F1447,purchase!D:D,purchase!K:K,"")))</f>
        <v/>
      </c>
      <c r="Q1447" s="29" t="str">
        <f t="shared" si="159"/>
        <v/>
      </c>
      <c r="R1447" s="37" t="str">
        <f t="shared" si="160"/>
        <v/>
      </c>
    </row>
    <row r="1448" spans="1:18" x14ac:dyDescent="0.35">
      <c r="A1448" s="8">
        <v>1444</v>
      </c>
      <c r="B1448" s="9" t="str">
        <f t="shared" si="154"/>
        <v/>
      </c>
      <c r="C1448" s="10"/>
      <c r="D1448" s="9" t="str">
        <f>IF(F1448="","",_xlfn.XLOOKUP(F1448,purchase!D:D,purchase!#REF!,""))</f>
        <v/>
      </c>
      <c r="E1448" s="9" t="str">
        <f>IF(F1448="","",_xlfn.XLOOKUP(F1448,purchase!D:D,purchase!B:B,""))</f>
        <v/>
      </c>
      <c r="F1448" s="2"/>
      <c r="G1448" s="4" t="str">
        <f t="shared" si="155"/>
        <v/>
      </c>
      <c r="H1448" s="4" t="str">
        <f>IF(F1448="","",_xlfn.XLOOKUP(F1448,purchase!D:D,purchase!#REF!,""))</f>
        <v/>
      </c>
      <c r="I1448" s="4" t="str">
        <f t="shared" si="156"/>
        <v/>
      </c>
      <c r="J1448" s="4" t="str">
        <f t="shared" si="157"/>
        <v/>
      </c>
      <c r="K1448" s="13" t="str">
        <f>_xlfn.SINGLE(IF(F1448="","",_xlfn.XLOOKUP(F1448,purchase!D:D,purchase!#REF!,"")))</f>
        <v/>
      </c>
      <c r="L1448" s="2"/>
      <c r="M1448" s="32"/>
      <c r="N1448" s="13" t="str">
        <f>IF(F1448="","",
MAX(0,
_xlfn.XLOOKUP(F1448,purchase!D:D,purchase!#REF!,"")
-
SUMIFS(L:L,F:F,F1448)))</f>
        <v/>
      </c>
      <c r="O1448" s="13" t="str">
        <f t="shared" si="158"/>
        <v/>
      </c>
      <c r="P1448" s="35" t="str">
        <f>_xlfn.SINGLE(IF(F1448="","",_xlfn.XLOOKUP(F1448,purchase!D:D,purchase!K:K,"")))</f>
        <v/>
      </c>
      <c r="Q1448" s="29" t="str">
        <f t="shared" si="159"/>
        <v/>
      </c>
      <c r="R1448" s="37" t="str">
        <f t="shared" si="160"/>
        <v/>
      </c>
    </row>
    <row r="1449" spans="1:18" x14ac:dyDescent="0.35">
      <c r="A1449" s="8">
        <v>1445</v>
      </c>
      <c r="B1449" s="9" t="str">
        <f t="shared" si="154"/>
        <v/>
      </c>
      <c r="C1449" s="10"/>
      <c r="D1449" s="9" t="str">
        <f>IF(F1449="","",_xlfn.XLOOKUP(F1449,purchase!D:D,purchase!#REF!,""))</f>
        <v/>
      </c>
      <c r="E1449" s="9" t="str">
        <f>IF(F1449="","",_xlfn.XLOOKUP(F1449,purchase!D:D,purchase!B:B,""))</f>
        <v/>
      </c>
      <c r="F1449" s="2"/>
      <c r="G1449" s="4" t="str">
        <f t="shared" si="155"/>
        <v/>
      </c>
      <c r="H1449" s="4" t="str">
        <f>IF(F1449="","",_xlfn.XLOOKUP(F1449,purchase!D:D,purchase!#REF!,""))</f>
        <v/>
      </c>
      <c r="I1449" s="4" t="str">
        <f t="shared" si="156"/>
        <v/>
      </c>
      <c r="J1449" s="4" t="str">
        <f t="shared" si="157"/>
        <v/>
      </c>
      <c r="K1449" s="13" t="str">
        <f>_xlfn.SINGLE(IF(F1449="","",_xlfn.XLOOKUP(F1449,purchase!D:D,purchase!#REF!,"")))</f>
        <v/>
      </c>
      <c r="L1449" s="2"/>
      <c r="M1449" s="32"/>
      <c r="N1449" s="13" t="str">
        <f>IF(F1449="","",
MAX(0,
_xlfn.XLOOKUP(F1449,purchase!D:D,purchase!#REF!,"")
-
SUMIFS(L:L,F:F,F1449)))</f>
        <v/>
      </c>
      <c r="O1449" s="13" t="str">
        <f t="shared" si="158"/>
        <v/>
      </c>
      <c r="P1449" s="35" t="str">
        <f>_xlfn.SINGLE(IF(F1449="","",_xlfn.XLOOKUP(F1449,purchase!D:D,purchase!K:K,"")))</f>
        <v/>
      </c>
      <c r="Q1449" s="29" t="str">
        <f t="shared" si="159"/>
        <v/>
      </c>
      <c r="R1449" s="37" t="str">
        <f t="shared" si="160"/>
        <v/>
      </c>
    </row>
    <row r="1450" spans="1:18" x14ac:dyDescent="0.35">
      <c r="A1450" s="8">
        <v>1446</v>
      </c>
      <c r="B1450" s="9" t="str">
        <f t="shared" si="154"/>
        <v/>
      </c>
      <c r="C1450" s="10"/>
      <c r="D1450" s="9" t="str">
        <f>IF(F1450="","",_xlfn.XLOOKUP(F1450,purchase!D:D,purchase!#REF!,""))</f>
        <v/>
      </c>
      <c r="E1450" s="9" t="str">
        <f>IF(F1450="","",_xlfn.XLOOKUP(F1450,purchase!D:D,purchase!B:B,""))</f>
        <v/>
      </c>
      <c r="F1450" s="2"/>
      <c r="G1450" s="4" t="str">
        <f t="shared" si="155"/>
        <v/>
      </c>
      <c r="H1450" s="4" t="str">
        <f>IF(F1450="","",_xlfn.XLOOKUP(F1450,purchase!D:D,purchase!#REF!,""))</f>
        <v/>
      </c>
      <c r="I1450" s="4" t="str">
        <f t="shared" si="156"/>
        <v/>
      </c>
      <c r="J1450" s="4" t="str">
        <f t="shared" si="157"/>
        <v/>
      </c>
      <c r="K1450" s="13" t="str">
        <f>_xlfn.SINGLE(IF(F1450="","",_xlfn.XLOOKUP(F1450,purchase!D:D,purchase!#REF!,"")))</f>
        <v/>
      </c>
      <c r="L1450" s="2"/>
      <c r="M1450" s="32"/>
      <c r="N1450" s="13" t="str">
        <f>IF(F1450="","",
MAX(0,
_xlfn.XLOOKUP(F1450,purchase!D:D,purchase!#REF!,"")
-
SUMIFS(L:L,F:F,F1450)))</f>
        <v/>
      </c>
      <c r="O1450" s="13" t="str">
        <f t="shared" si="158"/>
        <v/>
      </c>
      <c r="P1450" s="35" t="str">
        <f>_xlfn.SINGLE(IF(F1450="","",_xlfn.XLOOKUP(F1450,purchase!D:D,purchase!K:K,"")))</f>
        <v/>
      </c>
      <c r="Q1450" s="29" t="str">
        <f t="shared" si="159"/>
        <v/>
      </c>
      <c r="R1450" s="37" t="str">
        <f t="shared" si="160"/>
        <v/>
      </c>
    </row>
    <row r="1451" spans="1:18" x14ac:dyDescent="0.35">
      <c r="A1451" s="8">
        <v>1447</v>
      </c>
      <c r="B1451" s="9" t="str">
        <f t="shared" si="154"/>
        <v/>
      </c>
      <c r="C1451" s="10"/>
      <c r="D1451" s="9" t="str">
        <f>IF(F1451="","",_xlfn.XLOOKUP(F1451,purchase!D:D,purchase!#REF!,""))</f>
        <v/>
      </c>
      <c r="E1451" s="9" t="str">
        <f>IF(F1451="","",_xlfn.XLOOKUP(F1451,purchase!D:D,purchase!B:B,""))</f>
        <v/>
      </c>
      <c r="F1451" s="2"/>
      <c r="G1451" s="4" t="str">
        <f t="shared" si="155"/>
        <v/>
      </c>
      <c r="H1451" s="4" t="str">
        <f>IF(F1451="","",_xlfn.XLOOKUP(F1451,purchase!D:D,purchase!#REF!,""))</f>
        <v/>
      </c>
      <c r="I1451" s="4" t="str">
        <f t="shared" si="156"/>
        <v/>
      </c>
      <c r="J1451" s="4" t="str">
        <f t="shared" si="157"/>
        <v/>
      </c>
      <c r="K1451" s="13" t="str">
        <f>_xlfn.SINGLE(IF(F1451="","",_xlfn.XLOOKUP(F1451,purchase!D:D,purchase!#REF!,"")))</f>
        <v/>
      </c>
      <c r="L1451" s="2"/>
      <c r="M1451" s="32"/>
      <c r="N1451" s="13" t="str">
        <f>IF(F1451="","",
MAX(0,
_xlfn.XLOOKUP(F1451,purchase!D:D,purchase!#REF!,"")
-
SUMIFS(L:L,F:F,F1451)))</f>
        <v/>
      </c>
      <c r="O1451" s="13" t="str">
        <f t="shared" si="158"/>
        <v/>
      </c>
      <c r="P1451" s="35" t="str">
        <f>_xlfn.SINGLE(IF(F1451="","",_xlfn.XLOOKUP(F1451,purchase!D:D,purchase!K:K,"")))</f>
        <v/>
      </c>
      <c r="Q1451" s="29" t="str">
        <f t="shared" si="159"/>
        <v/>
      </c>
      <c r="R1451" s="37" t="str">
        <f t="shared" si="160"/>
        <v/>
      </c>
    </row>
    <row r="1452" spans="1:18" x14ac:dyDescent="0.35">
      <c r="A1452" s="8">
        <v>1448</v>
      </c>
      <c r="B1452" s="9" t="str">
        <f t="shared" si="154"/>
        <v/>
      </c>
      <c r="C1452" s="10"/>
      <c r="D1452" s="9" t="str">
        <f>IF(F1452="","",_xlfn.XLOOKUP(F1452,purchase!D:D,purchase!#REF!,""))</f>
        <v/>
      </c>
      <c r="E1452" s="9" t="str">
        <f>IF(F1452="","",_xlfn.XLOOKUP(F1452,purchase!D:D,purchase!B:B,""))</f>
        <v/>
      </c>
      <c r="F1452" s="2"/>
      <c r="G1452" s="4" t="str">
        <f t="shared" si="155"/>
        <v/>
      </c>
      <c r="H1452" s="4" t="str">
        <f>IF(F1452="","",_xlfn.XLOOKUP(F1452,purchase!D:D,purchase!#REF!,""))</f>
        <v/>
      </c>
      <c r="I1452" s="4" t="str">
        <f t="shared" si="156"/>
        <v/>
      </c>
      <c r="J1452" s="4" t="str">
        <f t="shared" si="157"/>
        <v/>
      </c>
      <c r="K1452" s="13" t="str">
        <f>_xlfn.SINGLE(IF(F1452="","",_xlfn.XLOOKUP(F1452,purchase!D:D,purchase!#REF!,"")))</f>
        <v/>
      </c>
      <c r="L1452" s="2"/>
      <c r="M1452" s="32"/>
      <c r="N1452" s="13" t="str">
        <f>IF(F1452="","",
MAX(0,
_xlfn.XLOOKUP(F1452,purchase!D:D,purchase!#REF!,"")
-
SUMIFS(L:L,F:F,F1452)))</f>
        <v/>
      </c>
      <c r="O1452" s="13" t="str">
        <f t="shared" si="158"/>
        <v/>
      </c>
      <c r="P1452" s="35" t="str">
        <f>_xlfn.SINGLE(IF(F1452="","",_xlfn.XLOOKUP(F1452,purchase!D:D,purchase!K:K,"")))</f>
        <v/>
      </c>
      <c r="Q1452" s="29" t="str">
        <f t="shared" si="159"/>
        <v/>
      </c>
      <c r="R1452" s="37" t="str">
        <f t="shared" si="160"/>
        <v/>
      </c>
    </row>
    <row r="1453" spans="1:18" x14ac:dyDescent="0.35">
      <c r="A1453" s="8">
        <v>1449</v>
      </c>
      <c r="B1453" s="9" t="str">
        <f t="shared" si="154"/>
        <v/>
      </c>
      <c r="C1453" s="10"/>
      <c r="D1453" s="9" t="str">
        <f>IF(F1453="","",_xlfn.XLOOKUP(F1453,purchase!D:D,purchase!#REF!,""))</f>
        <v/>
      </c>
      <c r="E1453" s="9" t="str">
        <f>IF(F1453="","",_xlfn.XLOOKUP(F1453,purchase!D:D,purchase!B:B,""))</f>
        <v/>
      </c>
      <c r="F1453" s="2"/>
      <c r="G1453" s="4" t="str">
        <f t="shared" si="155"/>
        <v/>
      </c>
      <c r="H1453" s="4" t="str">
        <f>IF(F1453="","",_xlfn.XLOOKUP(F1453,purchase!D:D,purchase!#REF!,""))</f>
        <v/>
      </c>
      <c r="I1453" s="4" t="str">
        <f t="shared" si="156"/>
        <v/>
      </c>
      <c r="J1453" s="4" t="str">
        <f t="shared" si="157"/>
        <v/>
      </c>
      <c r="K1453" s="13" t="str">
        <f>_xlfn.SINGLE(IF(F1453="","",_xlfn.XLOOKUP(F1453,purchase!D:D,purchase!#REF!,"")))</f>
        <v/>
      </c>
      <c r="L1453" s="2"/>
      <c r="M1453" s="32"/>
      <c r="N1453" s="13" t="str">
        <f>IF(F1453="","",
MAX(0,
_xlfn.XLOOKUP(F1453,purchase!D:D,purchase!#REF!,"")
-
SUMIFS(L:L,F:F,F1453)))</f>
        <v/>
      </c>
      <c r="O1453" s="13" t="str">
        <f t="shared" si="158"/>
        <v/>
      </c>
      <c r="P1453" s="35" t="str">
        <f>_xlfn.SINGLE(IF(F1453="","",_xlfn.XLOOKUP(F1453,purchase!D:D,purchase!K:K,"")))</f>
        <v/>
      </c>
      <c r="Q1453" s="29" t="str">
        <f t="shared" si="159"/>
        <v/>
      </c>
      <c r="R1453" s="37" t="str">
        <f t="shared" si="160"/>
        <v/>
      </c>
    </row>
    <row r="1454" spans="1:18" x14ac:dyDescent="0.35">
      <c r="A1454" s="8">
        <v>1450</v>
      </c>
      <c r="B1454" s="9" t="str">
        <f t="shared" si="154"/>
        <v/>
      </c>
      <c r="C1454" s="10"/>
      <c r="D1454" s="9" t="str">
        <f>IF(F1454="","",_xlfn.XLOOKUP(F1454,purchase!D:D,purchase!#REF!,""))</f>
        <v/>
      </c>
      <c r="E1454" s="9" t="str">
        <f>IF(F1454="","",_xlfn.XLOOKUP(F1454,purchase!D:D,purchase!B:B,""))</f>
        <v/>
      </c>
      <c r="F1454" s="2"/>
      <c r="G1454" s="4" t="str">
        <f t="shared" si="155"/>
        <v/>
      </c>
      <c r="H1454" s="4" t="str">
        <f>IF(F1454="","",_xlfn.XLOOKUP(F1454,purchase!D:D,purchase!#REF!,""))</f>
        <v/>
      </c>
      <c r="I1454" s="4" t="str">
        <f t="shared" si="156"/>
        <v/>
      </c>
      <c r="J1454" s="4" t="str">
        <f t="shared" si="157"/>
        <v/>
      </c>
      <c r="K1454" s="13" t="str">
        <f>_xlfn.SINGLE(IF(F1454="","",_xlfn.XLOOKUP(F1454,purchase!D:D,purchase!#REF!,"")))</f>
        <v/>
      </c>
      <c r="L1454" s="2"/>
      <c r="M1454" s="32"/>
      <c r="N1454" s="13" t="str">
        <f>IF(F1454="","",
MAX(0,
_xlfn.XLOOKUP(F1454,purchase!D:D,purchase!#REF!,"")
-
SUMIFS(L:L,F:F,F1454)))</f>
        <v/>
      </c>
      <c r="O1454" s="13" t="str">
        <f t="shared" si="158"/>
        <v/>
      </c>
      <c r="P1454" s="35" t="str">
        <f>_xlfn.SINGLE(IF(F1454="","",_xlfn.XLOOKUP(F1454,purchase!D:D,purchase!K:K,"")))</f>
        <v/>
      </c>
      <c r="Q1454" s="29" t="str">
        <f t="shared" si="159"/>
        <v/>
      </c>
      <c r="R1454" s="37" t="str">
        <f t="shared" si="160"/>
        <v/>
      </c>
    </row>
    <row r="1455" spans="1:18" x14ac:dyDescent="0.35">
      <c r="A1455" s="8">
        <v>1451</v>
      </c>
      <c r="B1455" s="9" t="str">
        <f t="shared" si="154"/>
        <v/>
      </c>
      <c r="C1455" s="10"/>
      <c r="D1455" s="9" t="str">
        <f>IF(F1455="","",_xlfn.XLOOKUP(F1455,purchase!D:D,purchase!#REF!,""))</f>
        <v/>
      </c>
      <c r="E1455" s="9" t="str">
        <f>IF(F1455="","",_xlfn.XLOOKUP(F1455,purchase!D:D,purchase!B:B,""))</f>
        <v/>
      </c>
      <c r="F1455" s="2"/>
      <c r="G1455" s="4" t="str">
        <f t="shared" si="155"/>
        <v/>
      </c>
      <c r="H1455" s="4" t="str">
        <f>IF(F1455="","",_xlfn.XLOOKUP(F1455,purchase!D:D,purchase!#REF!,""))</f>
        <v/>
      </c>
      <c r="I1455" s="4" t="str">
        <f t="shared" si="156"/>
        <v/>
      </c>
      <c r="J1455" s="4" t="str">
        <f t="shared" si="157"/>
        <v/>
      </c>
      <c r="K1455" s="13" t="str">
        <f>_xlfn.SINGLE(IF(F1455="","",_xlfn.XLOOKUP(F1455,purchase!D:D,purchase!#REF!,"")))</f>
        <v/>
      </c>
      <c r="L1455" s="2"/>
      <c r="M1455" s="32"/>
      <c r="N1455" s="13" t="str">
        <f>IF(F1455="","",
MAX(0,
_xlfn.XLOOKUP(F1455,purchase!D:D,purchase!#REF!,"")
-
SUMIFS(L:L,F:F,F1455)))</f>
        <v/>
      </c>
      <c r="O1455" s="13" t="str">
        <f t="shared" si="158"/>
        <v/>
      </c>
      <c r="P1455" s="35" t="str">
        <f>_xlfn.SINGLE(IF(F1455="","",_xlfn.XLOOKUP(F1455,purchase!D:D,purchase!K:K,"")))</f>
        <v/>
      </c>
      <c r="Q1455" s="29" t="str">
        <f t="shared" si="159"/>
        <v/>
      </c>
      <c r="R1455" s="37" t="str">
        <f t="shared" si="160"/>
        <v/>
      </c>
    </row>
    <row r="1456" spans="1:18" x14ac:dyDescent="0.35">
      <c r="A1456" s="8">
        <v>1452</v>
      </c>
      <c r="B1456" s="9" t="str">
        <f t="shared" si="154"/>
        <v/>
      </c>
      <c r="C1456" s="10"/>
      <c r="D1456" s="9" t="str">
        <f>IF(F1456="","",_xlfn.XLOOKUP(F1456,purchase!D:D,purchase!#REF!,""))</f>
        <v/>
      </c>
      <c r="E1456" s="9" t="str">
        <f>IF(F1456="","",_xlfn.XLOOKUP(F1456,purchase!D:D,purchase!B:B,""))</f>
        <v/>
      </c>
      <c r="F1456" s="2"/>
      <c r="G1456" s="4" t="str">
        <f t="shared" si="155"/>
        <v/>
      </c>
      <c r="H1456" s="4" t="str">
        <f>IF(F1456="","",_xlfn.XLOOKUP(F1456,purchase!D:D,purchase!#REF!,""))</f>
        <v/>
      </c>
      <c r="I1456" s="4" t="str">
        <f t="shared" si="156"/>
        <v/>
      </c>
      <c r="J1456" s="4" t="str">
        <f t="shared" si="157"/>
        <v/>
      </c>
      <c r="K1456" s="13" t="str">
        <f>_xlfn.SINGLE(IF(F1456="","",_xlfn.XLOOKUP(F1456,purchase!D:D,purchase!#REF!,"")))</f>
        <v/>
      </c>
      <c r="L1456" s="2"/>
      <c r="M1456" s="32"/>
      <c r="N1456" s="13" t="str">
        <f>IF(F1456="","",
MAX(0,
_xlfn.XLOOKUP(F1456,purchase!D:D,purchase!#REF!,"")
-
SUMIFS(L:L,F:F,F1456)))</f>
        <v/>
      </c>
      <c r="O1456" s="13" t="str">
        <f t="shared" si="158"/>
        <v/>
      </c>
      <c r="P1456" s="35" t="str">
        <f>_xlfn.SINGLE(IF(F1456="","",_xlfn.XLOOKUP(F1456,purchase!D:D,purchase!K:K,"")))</f>
        <v/>
      </c>
      <c r="Q1456" s="29" t="str">
        <f t="shared" si="159"/>
        <v/>
      </c>
      <c r="R1456" s="37" t="str">
        <f t="shared" si="160"/>
        <v/>
      </c>
    </row>
    <row r="1457" spans="1:18" x14ac:dyDescent="0.35">
      <c r="A1457" s="8">
        <v>1453</v>
      </c>
      <c r="B1457" s="9" t="str">
        <f t="shared" si="154"/>
        <v/>
      </c>
      <c r="C1457" s="10"/>
      <c r="D1457" s="9" t="str">
        <f>IF(F1457="","",_xlfn.XLOOKUP(F1457,purchase!D:D,purchase!#REF!,""))</f>
        <v/>
      </c>
      <c r="E1457" s="9" t="str">
        <f>IF(F1457="","",_xlfn.XLOOKUP(F1457,purchase!D:D,purchase!B:B,""))</f>
        <v/>
      </c>
      <c r="F1457" s="2"/>
      <c r="G1457" s="4" t="str">
        <f t="shared" si="155"/>
        <v/>
      </c>
      <c r="H1457" s="4" t="str">
        <f>IF(F1457="","",_xlfn.XLOOKUP(F1457,purchase!D:D,purchase!#REF!,""))</f>
        <v/>
      </c>
      <c r="I1457" s="4" t="str">
        <f t="shared" si="156"/>
        <v/>
      </c>
      <c r="J1457" s="4" t="str">
        <f t="shared" si="157"/>
        <v/>
      </c>
      <c r="K1457" s="13" t="str">
        <f>_xlfn.SINGLE(IF(F1457="","",_xlfn.XLOOKUP(F1457,purchase!D:D,purchase!#REF!,"")))</f>
        <v/>
      </c>
      <c r="L1457" s="2"/>
      <c r="M1457" s="32"/>
      <c r="N1457" s="13" t="str">
        <f>IF(F1457="","",
MAX(0,
_xlfn.XLOOKUP(F1457,purchase!D:D,purchase!#REF!,"")
-
SUMIFS(L:L,F:F,F1457)))</f>
        <v/>
      </c>
      <c r="O1457" s="13" t="str">
        <f t="shared" si="158"/>
        <v/>
      </c>
      <c r="P1457" s="35" t="str">
        <f>_xlfn.SINGLE(IF(F1457="","",_xlfn.XLOOKUP(F1457,purchase!D:D,purchase!K:K,"")))</f>
        <v/>
      </c>
      <c r="Q1457" s="29" t="str">
        <f t="shared" si="159"/>
        <v/>
      </c>
      <c r="R1457" s="37" t="str">
        <f t="shared" si="160"/>
        <v/>
      </c>
    </row>
    <row r="1458" spans="1:18" x14ac:dyDescent="0.35">
      <c r="A1458" s="8">
        <v>1454</v>
      </c>
      <c r="B1458" s="9" t="str">
        <f t="shared" si="154"/>
        <v/>
      </c>
      <c r="C1458" s="10"/>
      <c r="D1458" s="9" t="str">
        <f>IF(F1458="","",_xlfn.XLOOKUP(F1458,purchase!D:D,purchase!#REF!,""))</f>
        <v/>
      </c>
      <c r="E1458" s="9" t="str">
        <f>IF(F1458="","",_xlfn.XLOOKUP(F1458,purchase!D:D,purchase!B:B,""))</f>
        <v/>
      </c>
      <c r="F1458" s="2"/>
      <c r="G1458" s="4" t="str">
        <f t="shared" si="155"/>
        <v/>
      </c>
      <c r="H1458" s="4" t="str">
        <f>IF(F1458="","",_xlfn.XLOOKUP(F1458,purchase!D:D,purchase!#REF!,""))</f>
        <v/>
      </c>
      <c r="I1458" s="4" t="str">
        <f t="shared" si="156"/>
        <v/>
      </c>
      <c r="J1458" s="4" t="str">
        <f t="shared" si="157"/>
        <v/>
      </c>
      <c r="K1458" s="13" t="str">
        <f>_xlfn.SINGLE(IF(F1458="","",_xlfn.XLOOKUP(F1458,purchase!D:D,purchase!#REF!,"")))</f>
        <v/>
      </c>
      <c r="L1458" s="2"/>
      <c r="M1458" s="32"/>
      <c r="N1458" s="13" t="str">
        <f>IF(F1458="","",
MAX(0,
_xlfn.XLOOKUP(F1458,purchase!D:D,purchase!#REF!,"")
-
SUMIFS(L:L,F:F,F1458)))</f>
        <v/>
      </c>
      <c r="O1458" s="13" t="str">
        <f t="shared" si="158"/>
        <v/>
      </c>
      <c r="P1458" s="35" t="str">
        <f>_xlfn.SINGLE(IF(F1458="","",_xlfn.XLOOKUP(F1458,purchase!D:D,purchase!K:K,"")))</f>
        <v/>
      </c>
      <c r="Q1458" s="29" t="str">
        <f t="shared" si="159"/>
        <v/>
      </c>
      <c r="R1458" s="37" t="str">
        <f t="shared" si="160"/>
        <v/>
      </c>
    </row>
    <row r="1459" spans="1:18" x14ac:dyDescent="0.35">
      <c r="A1459" s="8">
        <v>1455</v>
      </c>
      <c r="B1459" s="9" t="str">
        <f t="shared" si="154"/>
        <v/>
      </c>
      <c r="C1459" s="10"/>
      <c r="D1459" s="9" t="str">
        <f>IF(F1459="","",_xlfn.XLOOKUP(F1459,purchase!D:D,purchase!#REF!,""))</f>
        <v/>
      </c>
      <c r="E1459" s="9" t="str">
        <f>IF(F1459="","",_xlfn.XLOOKUP(F1459,purchase!D:D,purchase!B:B,""))</f>
        <v/>
      </c>
      <c r="F1459" s="2"/>
      <c r="G1459" s="4" t="str">
        <f t="shared" si="155"/>
        <v/>
      </c>
      <c r="H1459" s="4" t="str">
        <f>IF(F1459="","",_xlfn.XLOOKUP(F1459,purchase!D:D,purchase!#REF!,""))</f>
        <v/>
      </c>
      <c r="I1459" s="4" t="str">
        <f t="shared" si="156"/>
        <v/>
      </c>
      <c r="J1459" s="4" t="str">
        <f t="shared" si="157"/>
        <v/>
      </c>
      <c r="K1459" s="13" t="str">
        <f>_xlfn.SINGLE(IF(F1459="","",_xlfn.XLOOKUP(F1459,purchase!D:D,purchase!#REF!,"")))</f>
        <v/>
      </c>
      <c r="L1459" s="2"/>
      <c r="M1459" s="32"/>
      <c r="N1459" s="13" t="str">
        <f>IF(F1459="","",
MAX(0,
_xlfn.XLOOKUP(F1459,purchase!D:D,purchase!#REF!,"")
-
SUMIFS(L:L,F:F,F1459)))</f>
        <v/>
      </c>
      <c r="O1459" s="13" t="str">
        <f t="shared" si="158"/>
        <v/>
      </c>
      <c r="P1459" s="35" t="str">
        <f>_xlfn.SINGLE(IF(F1459="","",_xlfn.XLOOKUP(F1459,purchase!D:D,purchase!K:K,"")))</f>
        <v/>
      </c>
      <c r="Q1459" s="29" t="str">
        <f t="shared" si="159"/>
        <v/>
      </c>
      <c r="R1459" s="37" t="str">
        <f t="shared" si="160"/>
        <v/>
      </c>
    </row>
    <row r="1460" spans="1:18" x14ac:dyDescent="0.35">
      <c r="A1460" s="8">
        <v>1456</v>
      </c>
      <c r="B1460" s="9" t="str">
        <f t="shared" si="154"/>
        <v/>
      </c>
      <c r="C1460" s="10"/>
      <c r="D1460" s="9" t="str">
        <f>IF(F1460="","",_xlfn.XLOOKUP(F1460,purchase!D:D,purchase!#REF!,""))</f>
        <v/>
      </c>
      <c r="E1460" s="9" t="str">
        <f>IF(F1460="","",_xlfn.XLOOKUP(F1460,purchase!D:D,purchase!B:B,""))</f>
        <v/>
      </c>
      <c r="F1460" s="2"/>
      <c r="G1460" s="4" t="str">
        <f t="shared" si="155"/>
        <v/>
      </c>
      <c r="H1460" s="4" t="str">
        <f>IF(F1460="","",_xlfn.XLOOKUP(F1460,purchase!D:D,purchase!#REF!,""))</f>
        <v/>
      </c>
      <c r="I1460" s="4" t="str">
        <f t="shared" si="156"/>
        <v/>
      </c>
      <c r="J1460" s="4" t="str">
        <f t="shared" si="157"/>
        <v/>
      </c>
      <c r="K1460" s="13" t="str">
        <f>_xlfn.SINGLE(IF(F1460="","",_xlfn.XLOOKUP(F1460,purchase!D:D,purchase!#REF!,"")))</f>
        <v/>
      </c>
      <c r="L1460" s="2"/>
      <c r="M1460" s="32"/>
      <c r="N1460" s="13" t="str">
        <f>IF(F1460="","",
MAX(0,
_xlfn.XLOOKUP(F1460,purchase!D:D,purchase!#REF!,"")
-
SUMIFS(L:L,F:F,F1460)))</f>
        <v/>
      </c>
      <c r="O1460" s="13" t="str">
        <f t="shared" si="158"/>
        <v/>
      </c>
      <c r="P1460" s="35" t="str">
        <f>_xlfn.SINGLE(IF(F1460="","",_xlfn.XLOOKUP(F1460,purchase!D:D,purchase!K:K,"")))</f>
        <v/>
      </c>
      <c r="Q1460" s="29" t="str">
        <f t="shared" si="159"/>
        <v/>
      </c>
      <c r="R1460" s="37" t="str">
        <f t="shared" si="160"/>
        <v/>
      </c>
    </row>
    <row r="1461" spans="1:18" x14ac:dyDescent="0.35">
      <c r="A1461" s="8">
        <v>1457</v>
      </c>
      <c r="B1461" s="9" t="str">
        <f t="shared" si="154"/>
        <v/>
      </c>
      <c r="C1461" s="10"/>
      <c r="D1461" s="9" t="str">
        <f>IF(F1461="","",_xlfn.XLOOKUP(F1461,purchase!D:D,purchase!#REF!,""))</f>
        <v/>
      </c>
      <c r="E1461" s="9" t="str">
        <f>IF(F1461="","",_xlfn.XLOOKUP(F1461,purchase!D:D,purchase!B:B,""))</f>
        <v/>
      </c>
      <c r="F1461" s="2"/>
      <c r="G1461" s="4" t="str">
        <f t="shared" si="155"/>
        <v/>
      </c>
      <c r="H1461" s="4" t="str">
        <f>IF(F1461="","",_xlfn.XLOOKUP(F1461,purchase!D:D,purchase!#REF!,""))</f>
        <v/>
      </c>
      <c r="I1461" s="4" t="str">
        <f t="shared" si="156"/>
        <v/>
      </c>
      <c r="J1461" s="4" t="str">
        <f t="shared" si="157"/>
        <v/>
      </c>
      <c r="K1461" s="13" t="str">
        <f>_xlfn.SINGLE(IF(F1461="","",_xlfn.XLOOKUP(F1461,purchase!D:D,purchase!#REF!,"")))</f>
        <v/>
      </c>
      <c r="L1461" s="2"/>
      <c r="M1461" s="32"/>
      <c r="N1461" s="13" t="str">
        <f>IF(F1461="","",
MAX(0,
_xlfn.XLOOKUP(F1461,purchase!D:D,purchase!#REF!,"")
-
SUMIFS(L:L,F:F,F1461)))</f>
        <v/>
      </c>
      <c r="O1461" s="13" t="str">
        <f t="shared" si="158"/>
        <v/>
      </c>
      <c r="P1461" s="35" t="str">
        <f>_xlfn.SINGLE(IF(F1461="","",_xlfn.XLOOKUP(F1461,purchase!D:D,purchase!K:K,"")))</f>
        <v/>
      </c>
      <c r="Q1461" s="29" t="str">
        <f t="shared" si="159"/>
        <v/>
      </c>
      <c r="R1461" s="37" t="str">
        <f t="shared" si="160"/>
        <v/>
      </c>
    </row>
    <row r="1462" spans="1:18" x14ac:dyDescent="0.35">
      <c r="A1462" s="8">
        <v>1458</v>
      </c>
      <c r="B1462" s="9" t="str">
        <f t="shared" si="154"/>
        <v/>
      </c>
      <c r="C1462" s="10"/>
      <c r="D1462" s="9" t="str">
        <f>IF(F1462="","",_xlfn.XLOOKUP(F1462,purchase!D:D,purchase!#REF!,""))</f>
        <v/>
      </c>
      <c r="E1462" s="9" t="str">
        <f>IF(F1462="","",_xlfn.XLOOKUP(F1462,purchase!D:D,purchase!B:B,""))</f>
        <v/>
      </c>
      <c r="F1462" s="2"/>
      <c r="G1462" s="4" t="str">
        <f t="shared" si="155"/>
        <v/>
      </c>
      <c r="H1462" s="4" t="str">
        <f>IF(F1462="","",_xlfn.XLOOKUP(F1462,purchase!D:D,purchase!#REF!,""))</f>
        <v/>
      </c>
      <c r="I1462" s="4" t="str">
        <f t="shared" si="156"/>
        <v/>
      </c>
      <c r="J1462" s="4" t="str">
        <f t="shared" si="157"/>
        <v/>
      </c>
      <c r="K1462" s="13" t="str">
        <f>_xlfn.SINGLE(IF(F1462="","",_xlfn.XLOOKUP(F1462,purchase!D:D,purchase!#REF!,"")))</f>
        <v/>
      </c>
      <c r="L1462" s="2"/>
      <c r="M1462" s="32"/>
      <c r="N1462" s="13" t="str">
        <f>IF(F1462="","",
MAX(0,
_xlfn.XLOOKUP(F1462,purchase!D:D,purchase!#REF!,"")
-
SUMIFS(L:L,F:F,F1462)))</f>
        <v/>
      </c>
      <c r="O1462" s="13" t="str">
        <f t="shared" si="158"/>
        <v/>
      </c>
      <c r="P1462" s="35" t="str">
        <f>_xlfn.SINGLE(IF(F1462="","",_xlfn.XLOOKUP(F1462,purchase!D:D,purchase!K:K,"")))</f>
        <v/>
      </c>
      <c r="Q1462" s="29" t="str">
        <f t="shared" si="159"/>
        <v/>
      </c>
      <c r="R1462" s="37" t="str">
        <f t="shared" si="160"/>
        <v/>
      </c>
    </row>
    <row r="1463" spans="1:18" x14ac:dyDescent="0.35">
      <c r="A1463" s="8">
        <v>1459</v>
      </c>
      <c r="B1463" s="9" t="str">
        <f t="shared" si="154"/>
        <v/>
      </c>
      <c r="C1463" s="10"/>
      <c r="D1463" s="9" t="str">
        <f>IF(F1463="","",_xlfn.XLOOKUP(F1463,purchase!D:D,purchase!#REF!,""))</f>
        <v/>
      </c>
      <c r="E1463" s="9" t="str">
        <f>IF(F1463="","",_xlfn.XLOOKUP(F1463,purchase!D:D,purchase!B:B,""))</f>
        <v/>
      </c>
      <c r="F1463" s="2"/>
      <c r="G1463" s="4" t="str">
        <f t="shared" si="155"/>
        <v/>
      </c>
      <c r="H1463" s="4" t="str">
        <f>IF(F1463="","",_xlfn.XLOOKUP(F1463,purchase!D:D,purchase!#REF!,""))</f>
        <v/>
      </c>
      <c r="I1463" s="4" t="str">
        <f t="shared" si="156"/>
        <v/>
      </c>
      <c r="J1463" s="4" t="str">
        <f t="shared" si="157"/>
        <v/>
      </c>
      <c r="K1463" s="13" t="str">
        <f>_xlfn.SINGLE(IF(F1463="","",_xlfn.XLOOKUP(F1463,purchase!D:D,purchase!#REF!,"")))</f>
        <v/>
      </c>
      <c r="L1463" s="2"/>
      <c r="M1463" s="32"/>
      <c r="N1463" s="13" t="str">
        <f>IF(F1463="","",
MAX(0,
_xlfn.XLOOKUP(F1463,purchase!D:D,purchase!#REF!,"")
-
SUMIFS(L:L,F:F,F1463)))</f>
        <v/>
      </c>
      <c r="O1463" s="13" t="str">
        <f t="shared" si="158"/>
        <v/>
      </c>
      <c r="P1463" s="35" t="str">
        <f>_xlfn.SINGLE(IF(F1463="","",_xlfn.XLOOKUP(F1463,purchase!D:D,purchase!K:K,"")))</f>
        <v/>
      </c>
      <c r="Q1463" s="29" t="str">
        <f t="shared" si="159"/>
        <v/>
      </c>
      <c r="R1463" s="37" t="str">
        <f t="shared" si="160"/>
        <v/>
      </c>
    </row>
    <row r="1464" spans="1:18" x14ac:dyDescent="0.35">
      <c r="A1464" s="8">
        <v>1460</v>
      </c>
      <c r="B1464" s="9" t="str">
        <f t="shared" si="154"/>
        <v/>
      </c>
      <c r="C1464" s="10"/>
      <c r="D1464" s="9" t="str">
        <f>IF(F1464="","",_xlfn.XLOOKUP(F1464,purchase!D:D,purchase!#REF!,""))</f>
        <v/>
      </c>
      <c r="E1464" s="9" t="str">
        <f>IF(F1464="","",_xlfn.XLOOKUP(F1464,purchase!D:D,purchase!B:B,""))</f>
        <v/>
      </c>
      <c r="F1464" s="2"/>
      <c r="G1464" s="4" t="str">
        <f t="shared" si="155"/>
        <v/>
      </c>
      <c r="H1464" s="4" t="str">
        <f>IF(F1464="","",_xlfn.XLOOKUP(F1464,purchase!D:D,purchase!#REF!,""))</f>
        <v/>
      </c>
      <c r="I1464" s="4" t="str">
        <f t="shared" si="156"/>
        <v/>
      </c>
      <c r="J1464" s="4" t="str">
        <f t="shared" si="157"/>
        <v/>
      </c>
      <c r="K1464" s="13" t="str">
        <f>_xlfn.SINGLE(IF(F1464="","",_xlfn.XLOOKUP(F1464,purchase!D:D,purchase!#REF!,"")))</f>
        <v/>
      </c>
      <c r="L1464" s="2"/>
      <c r="M1464" s="32"/>
      <c r="N1464" s="13" t="str">
        <f>IF(F1464="","",
MAX(0,
_xlfn.XLOOKUP(F1464,purchase!D:D,purchase!#REF!,"")
-
SUMIFS(L:L,F:F,F1464)))</f>
        <v/>
      </c>
      <c r="O1464" s="13" t="str">
        <f t="shared" si="158"/>
        <v/>
      </c>
      <c r="P1464" s="35" t="str">
        <f>_xlfn.SINGLE(IF(F1464="","",_xlfn.XLOOKUP(F1464,purchase!D:D,purchase!K:K,"")))</f>
        <v/>
      </c>
      <c r="Q1464" s="29" t="str">
        <f t="shared" si="159"/>
        <v/>
      </c>
      <c r="R1464" s="37" t="str">
        <f t="shared" si="160"/>
        <v/>
      </c>
    </row>
    <row r="1465" spans="1:18" x14ac:dyDescent="0.35">
      <c r="A1465" s="8">
        <v>1461</v>
      </c>
      <c r="B1465" s="9" t="str">
        <f t="shared" si="154"/>
        <v/>
      </c>
      <c r="C1465" s="10"/>
      <c r="D1465" s="9" t="str">
        <f>IF(F1465="","",_xlfn.XLOOKUP(F1465,purchase!D:D,purchase!#REF!,""))</f>
        <v/>
      </c>
      <c r="E1465" s="9" t="str">
        <f>IF(F1465="","",_xlfn.XLOOKUP(F1465,purchase!D:D,purchase!B:B,""))</f>
        <v/>
      </c>
      <c r="F1465" s="2"/>
      <c r="G1465" s="4" t="str">
        <f t="shared" si="155"/>
        <v/>
      </c>
      <c r="H1465" s="4" t="str">
        <f>IF(F1465="","",_xlfn.XLOOKUP(F1465,purchase!D:D,purchase!#REF!,""))</f>
        <v/>
      </c>
      <c r="I1465" s="4" t="str">
        <f t="shared" si="156"/>
        <v/>
      </c>
      <c r="J1465" s="4" t="str">
        <f t="shared" si="157"/>
        <v/>
      </c>
      <c r="K1465" s="13" t="str">
        <f>_xlfn.SINGLE(IF(F1465="","",_xlfn.XLOOKUP(F1465,purchase!D:D,purchase!#REF!,"")))</f>
        <v/>
      </c>
      <c r="L1465" s="2"/>
      <c r="M1465" s="32"/>
      <c r="N1465" s="13" t="str">
        <f>IF(F1465="","",
MAX(0,
_xlfn.XLOOKUP(F1465,purchase!D:D,purchase!#REF!,"")
-
SUMIFS(L:L,F:F,F1465)))</f>
        <v/>
      </c>
      <c r="O1465" s="13" t="str">
        <f t="shared" si="158"/>
        <v/>
      </c>
      <c r="P1465" s="35" t="str">
        <f>_xlfn.SINGLE(IF(F1465="","",_xlfn.XLOOKUP(F1465,purchase!D:D,purchase!K:K,"")))</f>
        <v/>
      </c>
      <c r="Q1465" s="29" t="str">
        <f t="shared" si="159"/>
        <v/>
      </c>
      <c r="R1465" s="37" t="str">
        <f t="shared" si="160"/>
        <v/>
      </c>
    </row>
    <row r="1466" spans="1:18" x14ac:dyDescent="0.35">
      <c r="A1466" s="8">
        <v>1462</v>
      </c>
      <c r="B1466" s="9" t="str">
        <f t="shared" si="154"/>
        <v/>
      </c>
      <c r="C1466" s="10"/>
      <c r="D1466" s="9" t="str">
        <f>IF(F1466="","",_xlfn.XLOOKUP(F1466,purchase!D:D,purchase!#REF!,""))</f>
        <v/>
      </c>
      <c r="E1466" s="9" t="str">
        <f>IF(F1466="","",_xlfn.XLOOKUP(F1466,purchase!D:D,purchase!B:B,""))</f>
        <v/>
      </c>
      <c r="F1466" s="2"/>
      <c r="G1466" s="4" t="str">
        <f t="shared" si="155"/>
        <v/>
      </c>
      <c r="H1466" s="4" t="str">
        <f>IF(F1466="","",_xlfn.XLOOKUP(F1466,purchase!D:D,purchase!#REF!,""))</f>
        <v/>
      </c>
      <c r="I1466" s="4" t="str">
        <f t="shared" si="156"/>
        <v/>
      </c>
      <c r="J1466" s="4" t="str">
        <f t="shared" si="157"/>
        <v/>
      </c>
      <c r="K1466" s="13" t="str">
        <f>_xlfn.SINGLE(IF(F1466="","",_xlfn.XLOOKUP(F1466,purchase!D:D,purchase!#REF!,"")))</f>
        <v/>
      </c>
      <c r="L1466" s="2"/>
      <c r="M1466" s="32"/>
      <c r="N1466" s="13" t="str">
        <f>IF(F1466="","",
MAX(0,
_xlfn.XLOOKUP(F1466,purchase!D:D,purchase!#REF!,"")
-
SUMIFS(L:L,F:F,F1466)))</f>
        <v/>
      </c>
      <c r="O1466" s="13" t="str">
        <f t="shared" si="158"/>
        <v/>
      </c>
      <c r="P1466" s="35" t="str">
        <f>_xlfn.SINGLE(IF(F1466="","",_xlfn.XLOOKUP(F1466,purchase!D:D,purchase!K:K,"")))</f>
        <v/>
      </c>
      <c r="Q1466" s="29" t="str">
        <f t="shared" si="159"/>
        <v/>
      </c>
      <c r="R1466" s="37" t="str">
        <f t="shared" si="160"/>
        <v/>
      </c>
    </row>
    <row r="1467" spans="1:18" x14ac:dyDescent="0.35">
      <c r="A1467" s="8">
        <v>1463</v>
      </c>
      <c r="B1467" s="9" t="str">
        <f t="shared" si="154"/>
        <v/>
      </c>
      <c r="C1467" s="10"/>
      <c r="D1467" s="9" t="str">
        <f>IF(F1467="","",_xlfn.XLOOKUP(F1467,purchase!D:D,purchase!#REF!,""))</f>
        <v/>
      </c>
      <c r="E1467" s="9" t="str">
        <f>IF(F1467="","",_xlfn.XLOOKUP(F1467,purchase!D:D,purchase!B:B,""))</f>
        <v/>
      </c>
      <c r="F1467" s="2"/>
      <c r="G1467" s="4" t="str">
        <f t="shared" si="155"/>
        <v/>
      </c>
      <c r="H1467" s="4" t="str">
        <f>IF(F1467="","",_xlfn.XLOOKUP(F1467,purchase!D:D,purchase!#REF!,""))</f>
        <v/>
      </c>
      <c r="I1467" s="4" t="str">
        <f t="shared" si="156"/>
        <v/>
      </c>
      <c r="J1467" s="4" t="str">
        <f t="shared" si="157"/>
        <v/>
      </c>
      <c r="K1467" s="13" t="str">
        <f>_xlfn.SINGLE(IF(F1467="","",_xlfn.XLOOKUP(F1467,purchase!D:D,purchase!#REF!,"")))</f>
        <v/>
      </c>
      <c r="L1467" s="2"/>
      <c r="M1467" s="32"/>
      <c r="N1467" s="13" t="str">
        <f>IF(F1467="","",
MAX(0,
_xlfn.XLOOKUP(F1467,purchase!D:D,purchase!#REF!,"")
-
SUMIFS(L:L,F:F,F1467)))</f>
        <v/>
      </c>
      <c r="O1467" s="13" t="str">
        <f t="shared" si="158"/>
        <v/>
      </c>
      <c r="P1467" s="35" t="str">
        <f>_xlfn.SINGLE(IF(F1467="","",_xlfn.XLOOKUP(F1467,purchase!D:D,purchase!K:K,"")))</f>
        <v/>
      </c>
      <c r="Q1467" s="29" t="str">
        <f t="shared" si="159"/>
        <v/>
      </c>
      <c r="R1467" s="37" t="str">
        <f t="shared" si="160"/>
        <v/>
      </c>
    </row>
    <row r="1468" spans="1:18" x14ac:dyDescent="0.35">
      <c r="A1468" s="8">
        <v>1464</v>
      </c>
      <c r="B1468" s="9" t="str">
        <f t="shared" si="154"/>
        <v/>
      </c>
      <c r="C1468" s="10"/>
      <c r="D1468" s="9" t="str">
        <f>IF(F1468="","",_xlfn.XLOOKUP(F1468,purchase!D:D,purchase!#REF!,""))</f>
        <v/>
      </c>
      <c r="E1468" s="9" t="str">
        <f>IF(F1468="","",_xlfn.XLOOKUP(F1468,purchase!D:D,purchase!B:B,""))</f>
        <v/>
      </c>
      <c r="F1468" s="2"/>
      <c r="G1468" s="4" t="str">
        <f t="shared" si="155"/>
        <v/>
      </c>
      <c r="H1468" s="4" t="str">
        <f>IF(F1468="","",_xlfn.XLOOKUP(F1468,purchase!D:D,purchase!#REF!,""))</f>
        <v/>
      </c>
      <c r="I1468" s="4" t="str">
        <f t="shared" si="156"/>
        <v/>
      </c>
      <c r="J1468" s="4" t="str">
        <f t="shared" si="157"/>
        <v/>
      </c>
      <c r="K1468" s="13" t="str">
        <f>_xlfn.SINGLE(IF(F1468="","",_xlfn.XLOOKUP(F1468,purchase!D:D,purchase!#REF!,"")))</f>
        <v/>
      </c>
      <c r="L1468" s="2"/>
      <c r="M1468" s="32"/>
      <c r="N1468" s="13" t="str">
        <f>IF(F1468="","",
MAX(0,
_xlfn.XLOOKUP(F1468,purchase!D:D,purchase!#REF!,"")
-
SUMIFS(L:L,F:F,F1468)))</f>
        <v/>
      </c>
      <c r="O1468" s="13" t="str">
        <f t="shared" si="158"/>
        <v/>
      </c>
      <c r="P1468" s="35" t="str">
        <f>_xlfn.SINGLE(IF(F1468="","",_xlfn.XLOOKUP(F1468,purchase!D:D,purchase!K:K,"")))</f>
        <v/>
      </c>
      <c r="Q1468" s="29" t="str">
        <f t="shared" si="159"/>
        <v/>
      </c>
      <c r="R1468" s="37" t="str">
        <f t="shared" si="160"/>
        <v/>
      </c>
    </row>
    <row r="1469" spans="1:18" x14ac:dyDescent="0.35">
      <c r="A1469" s="8">
        <v>1465</v>
      </c>
      <c r="B1469" s="9" t="str">
        <f t="shared" si="154"/>
        <v/>
      </c>
      <c r="C1469" s="10"/>
      <c r="D1469" s="9" t="str">
        <f>IF(F1469="","",_xlfn.XLOOKUP(F1469,purchase!D:D,purchase!#REF!,""))</f>
        <v/>
      </c>
      <c r="E1469" s="9" t="str">
        <f>IF(F1469="","",_xlfn.XLOOKUP(F1469,purchase!D:D,purchase!B:B,""))</f>
        <v/>
      </c>
      <c r="F1469" s="2"/>
      <c r="G1469" s="4" t="str">
        <f t="shared" si="155"/>
        <v/>
      </c>
      <c r="H1469" s="4" t="str">
        <f>IF(F1469="","",_xlfn.XLOOKUP(F1469,purchase!D:D,purchase!#REF!,""))</f>
        <v/>
      </c>
      <c r="I1469" s="4" t="str">
        <f t="shared" si="156"/>
        <v/>
      </c>
      <c r="J1469" s="4" t="str">
        <f t="shared" si="157"/>
        <v/>
      </c>
      <c r="K1469" s="13" t="str">
        <f>_xlfn.SINGLE(IF(F1469="","",_xlfn.XLOOKUP(F1469,purchase!D:D,purchase!#REF!,"")))</f>
        <v/>
      </c>
      <c r="L1469" s="2"/>
      <c r="M1469" s="32"/>
      <c r="N1469" s="13" t="str">
        <f>IF(F1469="","",
MAX(0,
_xlfn.XLOOKUP(F1469,purchase!D:D,purchase!#REF!,"")
-
SUMIFS(L:L,F:F,F1469)))</f>
        <v/>
      </c>
      <c r="O1469" s="13" t="str">
        <f t="shared" si="158"/>
        <v/>
      </c>
      <c r="P1469" s="35" t="str">
        <f>_xlfn.SINGLE(IF(F1469="","",_xlfn.XLOOKUP(F1469,purchase!D:D,purchase!K:K,"")))</f>
        <v/>
      </c>
      <c r="Q1469" s="29" t="str">
        <f t="shared" si="159"/>
        <v/>
      </c>
      <c r="R1469" s="37" t="str">
        <f t="shared" si="160"/>
        <v/>
      </c>
    </row>
    <row r="1470" spans="1:18" x14ac:dyDescent="0.35">
      <c r="A1470" s="8">
        <v>1466</v>
      </c>
      <c r="B1470" s="9" t="str">
        <f t="shared" si="154"/>
        <v/>
      </c>
      <c r="C1470" s="10"/>
      <c r="D1470" s="9" t="str">
        <f>IF(F1470="","",_xlfn.XLOOKUP(F1470,purchase!D:D,purchase!#REF!,""))</f>
        <v/>
      </c>
      <c r="E1470" s="9" t="str">
        <f>IF(F1470="","",_xlfn.XLOOKUP(F1470,purchase!D:D,purchase!B:B,""))</f>
        <v/>
      </c>
      <c r="F1470" s="2"/>
      <c r="G1470" s="4" t="str">
        <f t="shared" si="155"/>
        <v/>
      </c>
      <c r="H1470" s="4" t="str">
        <f>IF(F1470="","",_xlfn.XLOOKUP(F1470,purchase!D:D,purchase!#REF!,""))</f>
        <v/>
      </c>
      <c r="I1470" s="4" t="str">
        <f t="shared" si="156"/>
        <v/>
      </c>
      <c r="J1470" s="4" t="str">
        <f t="shared" si="157"/>
        <v/>
      </c>
      <c r="K1470" s="13" t="str">
        <f>_xlfn.SINGLE(IF(F1470="","",_xlfn.XLOOKUP(F1470,purchase!D:D,purchase!#REF!,"")))</f>
        <v/>
      </c>
      <c r="L1470" s="2"/>
      <c r="M1470" s="32"/>
      <c r="N1470" s="13" t="str">
        <f>IF(F1470="","",
MAX(0,
_xlfn.XLOOKUP(F1470,purchase!D:D,purchase!#REF!,"")
-
SUMIFS(L:L,F:F,F1470)))</f>
        <v/>
      </c>
      <c r="O1470" s="13" t="str">
        <f t="shared" si="158"/>
        <v/>
      </c>
      <c r="P1470" s="35" t="str">
        <f>_xlfn.SINGLE(IF(F1470="","",_xlfn.XLOOKUP(F1470,purchase!D:D,purchase!K:K,"")))</f>
        <v/>
      </c>
      <c r="Q1470" s="29" t="str">
        <f t="shared" si="159"/>
        <v/>
      </c>
      <c r="R1470" s="37" t="str">
        <f t="shared" si="160"/>
        <v/>
      </c>
    </row>
    <row r="1471" spans="1:18" x14ac:dyDescent="0.35">
      <c r="A1471" s="8">
        <v>1467</v>
      </c>
      <c r="B1471" s="9" t="str">
        <f t="shared" si="154"/>
        <v/>
      </c>
      <c r="C1471" s="10"/>
      <c r="D1471" s="9" t="str">
        <f>IF(F1471="","",_xlfn.XLOOKUP(F1471,purchase!D:D,purchase!#REF!,""))</f>
        <v/>
      </c>
      <c r="E1471" s="9" t="str">
        <f>IF(F1471="","",_xlfn.XLOOKUP(F1471,purchase!D:D,purchase!B:B,""))</f>
        <v/>
      </c>
      <c r="F1471" s="2"/>
      <c r="G1471" s="4" t="str">
        <f t="shared" si="155"/>
        <v/>
      </c>
      <c r="H1471" s="4" t="str">
        <f>IF(F1471="","",_xlfn.XLOOKUP(F1471,purchase!D:D,purchase!#REF!,""))</f>
        <v/>
      </c>
      <c r="I1471" s="4" t="str">
        <f t="shared" si="156"/>
        <v/>
      </c>
      <c r="J1471" s="4" t="str">
        <f t="shared" si="157"/>
        <v/>
      </c>
      <c r="K1471" s="13" t="str">
        <f>_xlfn.SINGLE(IF(F1471="","",_xlfn.XLOOKUP(F1471,purchase!D:D,purchase!#REF!,"")))</f>
        <v/>
      </c>
      <c r="L1471" s="2"/>
      <c r="M1471" s="32"/>
      <c r="N1471" s="13" t="str">
        <f>IF(F1471="","",
MAX(0,
_xlfn.XLOOKUP(F1471,purchase!D:D,purchase!#REF!,"")
-
SUMIFS(L:L,F:F,F1471)))</f>
        <v/>
      </c>
      <c r="O1471" s="13" t="str">
        <f t="shared" si="158"/>
        <v/>
      </c>
      <c r="P1471" s="35" t="str">
        <f>_xlfn.SINGLE(IF(F1471="","",_xlfn.XLOOKUP(F1471,purchase!D:D,purchase!K:K,"")))</f>
        <v/>
      </c>
      <c r="Q1471" s="29" t="str">
        <f t="shared" si="159"/>
        <v/>
      </c>
      <c r="R1471" s="37" t="str">
        <f t="shared" si="160"/>
        <v/>
      </c>
    </row>
    <row r="1472" spans="1:18" x14ac:dyDescent="0.35">
      <c r="A1472" s="8">
        <v>1468</v>
      </c>
      <c r="B1472" s="9" t="str">
        <f t="shared" si="154"/>
        <v/>
      </c>
      <c r="C1472" s="10"/>
      <c r="D1472" s="9" t="str">
        <f>IF(F1472="","",_xlfn.XLOOKUP(F1472,purchase!D:D,purchase!#REF!,""))</f>
        <v/>
      </c>
      <c r="E1472" s="9" t="str">
        <f>IF(F1472="","",_xlfn.XLOOKUP(F1472,purchase!D:D,purchase!B:B,""))</f>
        <v/>
      </c>
      <c r="F1472" s="2"/>
      <c r="G1472" s="4" t="str">
        <f t="shared" si="155"/>
        <v/>
      </c>
      <c r="H1472" s="4" t="str">
        <f>IF(F1472="","",_xlfn.XLOOKUP(F1472,purchase!D:D,purchase!#REF!,""))</f>
        <v/>
      </c>
      <c r="I1472" s="4" t="str">
        <f t="shared" si="156"/>
        <v/>
      </c>
      <c r="J1472" s="4" t="str">
        <f t="shared" si="157"/>
        <v/>
      </c>
      <c r="K1472" s="13" t="str">
        <f>_xlfn.SINGLE(IF(F1472="","",_xlfn.XLOOKUP(F1472,purchase!D:D,purchase!#REF!,"")))</f>
        <v/>
      </c>
      <c r="L1472" s="2"/>
      <c r="M1472" s="32"/>
      <c r="N1472" s="13" t="str">
        <f>IF(F1472="","",
MAX(0,
_xlfn.XLOOKUP(F1472,purchase!D:D,purchase!#REF!,"")
-
SUMIFS(L:L,F:F,F1472)))</f>
        <v/>
      </c>
      <c r="O1472" s="13" t="str">
        <f t="shared" si="158"/>
        <v/>
      </c>
      <c r="P1472" s="35" t="str">
        <f>_xlfn.SINGLE(IF(F1472="","",_xlfn.XLOOKUP(F1472,purchase!D:D,purchase!K:K,"")))</f>
        <v/>
      </c>
      <c r="Q1472" s="29" t="str">
        <f t="shared" si="159"/>
        <v/>
      </c>
      <c r="R1472" s="37" t="str">
        <f t="shared" si="160"/>
        <v/>
      </c>
    </row>
    <row r="1473" spans="1:18" x14ac:dyDescent="0.35">
      <c r="A1473" s="8">
        <v>1469</v>
      </c>
      <c r="B1473" s="9" t="str">
        <f t="shared" si="154"/>
        <v/>
      </c>
      <c r="C1473" s="10"/>
      <c r="D1473" s="9" t="str">
        <f>IF(F1473="","",_xlfn.XLOOKUP(F1473,purchase!D:D,purchase!#REF!,""))</f>
        <v/>
      </c>
      <c r="E1473" s="9" t="str">
        <f>IF(F1473="","",_xlfn.XLOOKUP(F1473,purchase!D:D,purchase!B:B,""))</f>
        <v/>
      </c>
      <c r="F1473" s="2"/>
      <c r="G1473" s="4" t="str">
        <f t="shared" si="155"/>
        <v/>
      </c>
      <c r="H1473" s="4" t="str">
        <f>IF(F1473="","",_xlfn.XLOOKUP(F1473,purchase!D:D,purchase!#REF!,""))</f>
        <v/>
      </c>
      <c r="I1473" s="4" t="str">
        <f t="shared" si="156"/>
        <v/>
      </c>
      <c r="J1473" s="4" t="str">
        <f t="shared" si="157"/>
        <v/>
      </c>
      <c r="K1473" s="13" t="str">
        <f>_xlfn.SINGLE(IF(F1473="","",_xlfn.XLOOKUP(F1473,purchase!D:D,purchase!#REF!,"")))</f>
        <v/>
      </c>
      <c r="L1473" s="2"/>
      <c r="M1473" s="32"/>
      <c r="N1473" s="13" t="str">
        <f>IF(F1473="","",
MAX(0,
_xlfn.XLOOKUP(F1473,purchase!D:D,purchase!#REF!,"")
-
SUMIFS(L:L,F:F,F1473)))</f>
        <v/>
      </c>
      <c r="O1473" s="13" t="str">
        <f t="shared" si="158"/>
        <v/>
      </c>
      <c r="P1473" s="35" t="str">
        <f>_xlfn.SINGLE(IF(F1473="","",_xlfn.XLOOKUP(F1473,purchase!D:D,purchase!K:K,"")))</f>
        <v/>
      </c>
      <c r="Q1473" s="29" t="str">
        <f t="shared" si="159"/>
        <v/>
      </c>
      <c r="R1473" s="37" t="str">
        <f t="shared" si="160"/>
        <v/>
      </c>
    </row>
    <row r="1474" spans="1:18" x14ac:dyDescent="0.35">
      <c r="A1474" s="8">
        <v>1470</v>
      </c>
      <c r="B1474" s="9" t="str">
        <f t="shared" si="154"/>
        <v/>
      </c>
      <c r="C1474" s="10"/>
      <c r="D1474" s="9" t="str">
        <f>IF(F1474="","",_xlfn.XLOOKUP(F1474,purchase!D:D,purchase!#REF!,""))</f>
        <v/>
      </c>
      <c r="E1474" s="9" t="str">
        <f>IF(F1474="","",_xlfn.XLOOKUP(F1474,purchase!D:D,purchase!B:B,""))</f>
        <v/>
      </c>
      <c r="F1474" s="2"/>
      <c r="G1474" s="4" t="str">
        <f t="shared" si="155"/>
        <v/>
      </c>
      <c r="H1474" s="4" t="str">
        <f>IF(F1474="","",_xlfn.XLOOKUP(F1474,purchase!D:D,purchase!#REF!,""))</f>
        <v/>
      </c>
      <c r="I1474" s="4" t="str">
        <f t="shared" si="156"/>
        <v/>
      </c>
      <c r="J1474" s="4" t="str">
        <f t="shared" si="157"/>
        <v/>
      </c>
      <c r="K1474" s="13" t="str">
        <f>_xlfn.SINGLE(IF(F1474="","",_xlfn.XLOOKUP(F1474,purchase!D:D,purchase!#REF!,"")))</f>
        <v/>
      </c>
      <c r="L1474" s="2"/>
      <c r="M1474" s="32"/>
      <c r="N1474" s="13" t="str">
        <f>IF(F1474="","",
MAX(0,
_xlfn.XLOOKUP(F1474,purchase!D:D,purchase!#REF!,"")
-
SUMIFS(L:L,F:F,F1474)))</f>
        <v/>
      </c>
      <c r="O1474" s="13" t="str">
        <f t="shared" si="158"/>
        <v/>
      </c>
      <c r="P1474" s="35" t="str">
        <f>_xlfn.SINGLE(IF(F1474="","",_xlfn.XLOOKUP(F1474,purchase!D:D,purchase!K:K,"")))</f>
        <v/>
      </c>
      <c r="Q1474" s="29" t="str">
        <f t="shared" si="159"/>
        <v/>
      </c>
      <c r="R1474" s="37" t="str">
        <f t="shared" si="160"/>
        <v/>
      </c>
    </row>
    <row r="1475" spans="1:18" x14ac:dyDescent="0.35">
      <c r="A1475" s="8">
        <v>1471</v>
      </c>
      <c r="B1475" s="9" t="str">
        <f t="shared" si="154"/>
        <v/>
      </c>
      <c r="C1475" s="10"/>
      <c r="D1475" s="9" t="str">
        <f>IF(F1475="","",_xlfn.XLOOKUP(F1475,purchase!D:D,purchase!#REF!,""))</f>
        <v/>
      </c>
      <c r="E1475" s="9" t="str">
        <f>IF(F1475="","",_xlfn.XLOOKUP(F1475,purchase!D:D,purchase!B:B,""))</f>
        <v/>
      </c>
      <c r="F1475" s="2"/>
      <c r="G1475" s="4" t="str">
        <f t="shared" si="155"/>
        <v/>
      </c>
      <c r="H1475" s="4" t="str">
        <f>IF(F1475="","",_xlfn.XLOOKUP(F1475,purchase!D:D,purchase!#REF!,""))</f>
        <v/>
      </c>
      <c r="I1475" s="4" t="str">
        <f t="shared" si="156"/>
        <v/>
      </c>
      <c r="J1475" s="4" t="str">
        <f t="shared" si="157"/>
        <v/>
      </c>
      <c r="K1475" s="13" t="str">
        <f>_xlfn.SINGLE(IF(F1475="","",_xlfn.XLOOKUP(F1475,purchase!D:D,purchase!#REF!,"")))</f>
        <v/>
      </c>
      <c r="L1475" s="2"/>
      <c r="M1475" s="32"/>
      <c r="N1475" s="13" t="str">
        <f>IF(F1475="","",
MAX(0,
_xlfn.XLOOKUP(F1475,purchase!D:D,purchase!#REF!,"")
-
SUMIFS(L:L,F:F,F1475)))</f>
        <v/>
      </c>
      <c r="O1475" s="13" t="str">
        <f t="shared" si="158"/>
        <v/>
      </c>
      <c r="P1475" s="35" t="str">
        <f>_xlfn.SINGLE(IF(F1475="","",_xlfn.XLOOKUP(F1475,purchase!D:D,purchase!K:K,"")))</f>
        <v/>
      </c>
      <c r="Q1475" s="29" t="str">
        <f t="shared" si="159"/>
        <v/>
      </c>
      <c r="R1475" s="37" t="str">
        <f t="shared" si="160"/>
        <v/>
      </c>
    </row>
    <row r="1476" spans="1:18" x14ac:dyDescent="0.35">
      <c r="A1476" s="8">
        <v>1472</v>
      </c>
      <c r="B1476" s="9" t="str">
        <f t="shared" si="154"/>
        <v/>
      </c>
      <c r="C1476" s="10"/>
      <c r="D1476" s="9" t="str">
        <f>IF(F1476="","",_xlfn.XLOOKUP(F1476,purchase!D:D,purchase!#REF!,""))</f>
        <v/>
      </c>
      <c r="E1476" s="9" t="str">
        <f>IF(F1476="","",_xlfn.XLOOKUP(F1476,purchase!D:D,purchase!B:B,""))</f>
        <v/>
      </c>
      <c r="F1476" s="2"/>
      <c r="G1476" s="4" t="str">
        <f t="shared" si="155"/>
        <v/>
      </c>
      <c r="H1476" s="4" t="str">
        <f>IF(F1476="","",_xlfn.XLOOKUP(F1476,purchase!D:D,purchase!#REF!,""))</f>
        <v/>
      </c>
      <c r="I1476" s="4" t="str">
        <f t="shared" si="156"/>
        <v/>
      </c>
      <c r="J1476" s="4" t="str">
        <f t="shared" si="157"/>
        <v/>
      </c>
      <c r="K1476" s="13" t="str">
        <f>_xlfn.SINGLE(IF(F1476="","",_xlfn.XLOOKUP(F1476,purchase!D:D,purchase!#REF!,"")))</f>
        <v/>
      </c>
      <c r="L1476" s="2"/>
      <c r="M1476" s="32"/>
      <c r="N1476" s="13" t="str">
        <f>IF(F1476="","",
MAX(0,
_xlfn.XLOOKUP(F1476,purchase!D:D,purchase!#REF!,"")
-
SUMIFS(L:L,F:F,F1476)))</f>
        <v/>
      </c>
      <c r="O1476" s="13" t="str">
        <f t="shared" si="158"/>
        <v/>
      </c>
      <c r="P1476" s="35" t="str">
        <f>_xlfn.SINGLE(IF(F1476="","",_xlfn.XLOOKUP(F1476,purchase!D:D,purchase!K:K,"")))</f>
        <v/>
      </c>
      <c r="Q1476" s="29" t="str">
        <f t="shared" si="159"/>
        <v/>
      </c>
      <c r="R1476" s="37" t="str">
        <f t="shared" si="160"/>
        <v/>
      </c>
    </row>
    <row r="1477" spans="1:18" x14ac:dyDescent="0.35">
      <c r="A1477" s="8">
        <v>1473</v>
      </c>
      <c r="B1477" s="9" t="str">
        <f t="shared" ref="B1477:B1540" si="161">IF(OR(C1477="",F1477=""),"",
"PRD-" &amp;
TEXT(DAY(C1477),"00") &amp;
CHOOSE(MONTH(C1477),"A","B","C","D","E","F","G","H","I","J","K","L") &amp;
TEXT(YEAR(C1477),"00") &amp;
"-" &amp;
RIGHT(F1477,4))</f>
        <v/>
      </c>
      <c r="C1477" s="10"/>
      <c r="D1477" s="9" t="str">
        <f>IF(F1477="","",_xlfn.XLOOKUP(F1477,purchase!D:D,purchase!#REF!,""))</f>
        <v/>
      </c>
      <c r="E1477" s="9" t="str">
        <f>IF(F1477="","",_xlfn.XLOOKUP(F1477,purchase!D:D,purchase!B:B,""))</f>
        <v/>
      </c>
      <c r="F1477" s="2"/>
      <c r="G1477" s="4" t="str">
        <f t="shared" ref="G1477:G1540" si="162">IF(H1477="NRFC","Natural Rubber Field Coagulam","")</f>
        <v/>
      </c>
      <c r="H1477" s="4" t="str">
        <f>IF(F1477="","",_xlfn.XLOOKUP(F1477,purchase!D:D,purchase!#REF!,""))</f>
        <v/>
      </c>
      <c r="I1477" s="4" t="str">
        <f t="shared" ref="I1477:I1540" si="163">IF(J1477="ISNR20","Natural Rubber-TSNR (ISNR-20)","")</f>
        <v/>
      </c>
      <c r="J1477" s="4" t="str">
        <f t="shared" ref="J1477:J1540" si="164">IF(H1477="NRFC","ISNR20","")</f>
        <v/>
      </c>
      <c r="K1477" s="13" t="str">
        <f>_xlfn.SINGLE(IF(F1477="","",_xlfn.XLOOKUP(F1477,purchase!D:D,purchase!#REF!,"")))</f>
        <v/>
      </c>
      <c r="L1477" s="2"/>
      <c r="M1477" s="32"/>
      <c r="N1477" s="13" t="str">
        <f>IF(F1477="","",
MAX(0,
_xlfn.XLOOKUP(F1477,purchase!D:D,purchase!#REF!,"")
-
SUMIFS(L:L,F:F,F1477)))</f>
        <v/>
      </c>
      <c r="O1477" s="13" t="str">
        <f t="shared" ref="O1477:O1540" si="165">IF(OR(L1477="",M1477=""),"",L1477-M1477)</f>
        <v/>
      </c>
      <c r="P1477" s="35" t="str">
        <f>_xlfn.SINGLE(IF(F1477="","",_xlfn.XLOOKUP(F1477,purchase!D:D,purchase!K:K,"")))</f>
        <v/>
      </c>
      <c r="Q1477" s="29" t="str">
        <f t="shared" ref="Q1477:Q1540" si="166">IF(OR(L1477="",M1477=""),"",M1477/L1477)</f>
        <v/>
      </c>
      <c r="R1477" s="37" t="str">
        <f t="shared" ref="R1477:R1540" si="167">IF(OR(P1477="",Q1477=""),"",Q1477-P1477)</f>
        <v/>
      </c>
    </row>
    <row r="1478" spans="1:18" x14ac:dyDescent="0.35">
      <c r="A1478" s="8">
        <v>1474</v>
      </c>
      <c r="B1478" s="9" t="str">
        <f t="shared" si="161"/>
        <v/>
      </c>
      <c r="C1478" s="10"/>
      <c r="D1478" s="9" t="str">
        <f>IF(F1478="","",_xlfn.XLOOKUP(F1478,purchase!D:D,purchase!#REF!,""))</f>
        <v/>
      </c>
      <c r="E1478" s="9" t="str">
        <f>IF(F1478="","",_xlfn.XLOOKUP(F1478,purchase!D:D,purchase!B:B,""))</f>
        <v/>
      </c>
      <c r="F1478" s="2"/>
      <c r="G1478" s="4" t="str">
        <f t="shared" si="162"/>
        <v/>
      </c>
      <c r="H1478" s="4" t="str">
        <f>IF(F1478="","",_xlfn.XLOOKUP(F1478,purchase!D:D,purchase!#REF!,""))</f>
        <v/>
      </c>
      <c r="I1478" s="4" t="str">
        <f t="shared" si="163"/>
        <v/>
      </c>
      <c r="J1478" s="4" t="str">
        <f t="shared" si="164"/>
        <v/>
      </c>
      <c r="K1478" s="13" t="str">
        <f>_xlfn.SINGLE(IF(F1478="","",_xlfn.XLOOKUP(F1478,purchase!D:D,purchase!#REF!,"")))</f>
        <v/>
      </c>
      <c r="L1478" s="2"/>
      <c r="M1478" s="32"/>
      <c r="N1478" s="13" t="str">
        <f>IF(F1478="","",
MAX(0,
_xlfn.XLOOKUP(F1478,purchase!D:D,purchase!#REF!,"")
-
SUMIFS(L:L,F:F,F1478)))</f>
        <v/>
      </c>
      <c r="O1478" s="13" t="str">
        <f t="shared" si="165"/>
        <v/>
      </c>
      <c r="P1478" s="35" t="str">
        <f>_xlfn.SINGLE(IF(F1478="","",_xlfn.XLOOKUP(F1478,purchase!D:D,purchase!K:K,"")))</f>
        <v/>
      </c>
      <c r="Q1478" s="29" t="str">
        <f t="shared" si="166"/>
        <v/>
      </c>
      <c r="R1478" s="37" t="str">
        <f t="shared" si="167"/>
        <v/>
      </c>
    </row>
    <row r="1479" spans="1:18" x14ac:dyDescent="0.35">
      <c r="A1479" s="8">
        <v>1475</v>
      </c>
      <c r="B1479" s="9" t="str">
        <f t="shared" si="161"/>
        <v/>
      </c>
      <c r="C1479" s="10"/>
      <c r="D1479" s="9" t="str">
        <f>IF(F1479="","",_xlfn.XLOOKUP(F1479,purchase!D:D,purchase!#REF!,""))</f>
        <v/>
      </c>
      <c r="E1479" s="9" t="str">
        <f>IF(F1479="","",_xlfn.XLOOKUP(F1479,purchase!D:D,purchase!B:B,""))</f>
        <v/>
      </c>
      <c r="F1479" s="2"/>
      <c r="G1479" s="4" t="str">
        <f t="shared" si="162"/>
        <v/>
      </c>
      <c r="H1479" s="4" t="str">
        <f>IF(F1479="","",_xlfn.XLOOKUP(F1479,purchase!D:D,purchase!#REF!,""))</f>
        <v/>
      </c>
      <c r="I1479" s="4" t="str">
        <f t="shared" si="163"/>
        <v/>
      </c>
      <c r="J1479" s="4" t="str">
        <f t="shared" si="164"/>
        <v/>
      </c>
      <c r="K1479" s="13" t="str">
        <f>_xlfn.SINGLE(IF(F1479="","",_xlfn.XLOOKUP(F1479,purchase!D:D,purchase!#REF!,"")))</f>
        <v/>
      </c>
      <c r="L1479" s="2"/>
      <c r="M1479" s="32"/>
      <c r="N1479" s="13" t="str">
        <f>IF(F1479="","",
MAX(0,
_xlfn.XLOOKUP(F1479,purchase!D:D,purchase!#REF!,"")
-
SUMIFS(L:L,F:F,F1479)))</f>
        <v/>
      </c>
      <c r="O1479" s="13" t="str">
        <f t="shared" si="165"/>
        <v/>
      </c>
      <c r="P1479" s="35" t="str">
        <f>_xlfn.SINGLE(IF(F1479="","",_xlfn.XLOOKUP(F1479,purchase!D:D,purchase!K:K,"")))</f>
        <v/>
      </c>
      <c r="Q1479" s="29" t="str">
        <f t="shared" si="166"/>
        <v/>
      </c>
      <c r="R1479" s="37" t="str">
        <f t="shared" si="167"/>
        <v/>
      </c>
    </row>
    <row r="1480" spans="1:18" x14ac:dyDescent="0.35">
      <c r="A1480" s="8">
        <v>1476</v>
      </c>
      <c r="B1480" s="9" t="str">
        <f t="shared" si="161"/>
        <v/>
      </c>
      <c r="C1480" s="10"/>
      <c r="D1480" s="9" t="str">
        <f>IF(F1480="","",_xlfn.XLOOKUP(F1480,purchase!D:D,purchase!#REF!,""))</f>
        <v/>
      </c>
      <c r="E1480" s="9" t="str">
        <f>IF(F1480="","",_xlfn.XLOOKUP(F1480,purchase!D:D,purchase!B:B,""))</f>
        <v/>
      </c>
      <c r="F1480" s="2"/>
      <c r="G1480" s="4" t="str">
        <f t="shared" si="162"/>
        <v/>
      </c>
      <c r="H1480" s="4" t="str">
        <f>IF(F1480="","",_xlfn.XLOOKUP(F1480,purchase!D:D,purchase!#REF!,""))</f>
        <v/>
      </c>
      <c r="I1480" s="4" t="str">
        <f t="shared" si="163"/>
        <v/>
      </c>
      <c r="J1480" s="4" t="str">
        <f t="shared" si="164"/>
        <v/>
      </c>
      <c r="K1480" s="13" t="str">
        <f>_xlfn.SINGLE(IF(F1480="","",_xlfn.XLOOKUP(F1480,purchase!D:D,purchase!#REF!,"")))</f>
        <v/>
      </c>
      <c r="L1480" s="2"/>
      <c r="M1480" s="32"/>
      <c r="N1480" s="13" t="str">
        <f>IF(F1480="","",
MAX(0,
_xlfn.XLOOKUP(F1480,purchase!D:D,purchase!#REF!,"")
-
SUMIFS(L:L,F:F,F1480)))</f>
        <v/>
      </c>
      <c r="O1480" s="13" t="str">
        <f t="shared" si="165"/>
        <v/>
      </c>
      <c r="P1480" s="35" t="str">
        <f>_xlfn.SINGLE(IF(F1480="","",_xlfn.XLOOKUP(F1480,purchase!D:D,purchase!K:K,"")))</f>
        <v/>
      </c>
      <c r="Q1480" s="29" t="str">
        <f t="shared" si="166"/>
        <v/>
      </c>
      <c r="R1480" s="37" t="str">
        <f t="shared" si="167"/>
        <v/>
      </c>
    </row>
    <row r="1481" spans="1:18" x14ac:dyDescent="0.35">
      <c r="A1481" s="8">
        <v>1477</v>
      </c>
      <c r="B1481" s="9" t="str">
        <f t="shared" si="161"/>
        <v/>
      </c>
      <c r="C1481" s="10"/>
      <c r="D1481" s="9" t="str">
        <f>IF(F1481="","",_xlfn.XLOOKUP(F1481,purchase!D:D,purchase!#REF!,""))</f>
        <v/>
      </c>
      <c r="E1481" s="9" t="str">
        <f>IF(F1481="","",_xlfn.XLOOKUP(F1481,purchase!D:D,purchase!B:B,""))</f>
        <v/>
      </c>
      <c r="F1481" s="2"/>
      <c r="G1481" s="4" t="str">
        <f t="shared" si="162"/>
        <v/>
      </c>
      <c r="H1481" s="4" t="str">
        <f>IF(F1481="","",_xlfn.XLOOKUP(F1481,purchase!D:D,purchase!#REF!,""))</f>
        <v/>
      </c>
      <c r="I1481" s="4" t="str">
        <f t="shared" si="163"/>
        <v/>
      </c>
      <c r="J1481" s="4" t="str">
        <f t="shared" si="164"/>
        <v/>
      </c>
      <c r="K1481" s="13" t="str">
        <f>_xlfn.SINGLE(IF(F1481="","",_xlfn.XLOOKUP(F1481,purchase!D:D,purchase!#REF!,"")))</f>
        <v/>
      </c>
      <c r="L1481" s="2"/>
      <c r="M1481" s="32"/>
      <c r="N1481" s="13" t="str">
        <f>IF(F1481="","",
MAX(0,
_xlfn.XLOOKUP(F1481,purchase!D:D,purchase!#REF!,"")
-
SUMIFS(L:L,F:F,F1481)))</f>
        <v/>
      </c>
      <c r="O1481" s="13" t="str">
        <f t="shared" si="165"/>
        <v/>
      </c>
      <c r="P1481" s="35" t="str">
        <f>_xlfn.SINGLE(IF(F1481="","",_xlfn.XLOOKUP(F1481,purchase!D:D,purchase!K:K,"")))</f>
        <v/>
      </c>
      <c r="Q1481" s="29" t="str">
        <f t="shared" si="166"/>
        <v/>
      </c>
      <c r="R1481" s="37" t="str">
        <f t="shared" si="167"/>
        <v/>
      </c>
    </row>
    <row r="1482" spans="1:18" x14ac:dyDescent="0.35">
      <c r="A1482" s="8">
        <v>1478</v>
      </c>
      <c r="B1482" s="9" t="str">
        <f t="shared" si="161"/>
        <v/>
      </c>
      <c r="C1482" s="10"/>
      <c r="D1482" s="9" t="str">
        <f>IF(F1482="","",_xlfn.XLOOKUP(F1482,purchase!D:D,purchase!#REF!,""))</f>
        <v/>
      </c>
      <c r="E1482" s="9" t="str">
        <f>IF(F1482="","",_xlfn.XLOOKUP(F1482,purchase!D:D,purchase!B:B,""))</f>
        <v/>
      </c>
      <c r="F1482" s="2"/>
      <c r="G1482" s="4" t="str">
        <f t="shared" si="162"/>
        <v/>
      </c>
      <c r="H1482" s="4" t="str">
        <f>IF(F1482="","",_xlfn.XLOOKUP(F1482,purchase!D:D,purchase!#REF!,""))</f>
        <v/>
      </c>
      <c r="I1482" s="4" t="str">
        <f t="shared" si="163"/>
        <v/>
      </c>
      <c r="J1482" s="4" t="str">
        <f t="shared" si="164"/>
        <v/>
      </c>
      <c r="K1482" s="13" t="str">
        <f>_xlfn.SINGLE(IF(F1482="","",_xlfn.XLOOKUP(F1482,purchase!D:D,purchase!#REF!,"")))</f>
        <v/>
      </c>
      <c r="L1482" s="2"/>
      <c r="M1482" s="32"/>
      <c r="N1482" s="13" t="str">
        <f>IF(F1482="","",
MAX(0,
_xlfn.XLOOKUP(F1482,purchase!D:D,purchase!#REF!,"")
-
SUMIFS(L:L,F:F,F1482)))</f>
        <v/>
      </c>
      <c r="O1482" s="13" t="str">
        <f t="shared" si="165"/>
        <v/>
      </c>
      <c r="P1482" s="35" t="str">
        <f>_xlfn.SINGLE(IF(F1482="","",_xlfn.XLOOKUP(F1482,purchase!D:D,purchase!K:K,"")))</f>
        <v/>
      </c>
      <c r="Q1482" s="29" t="str">
        <f t="shared" si="166"/>
        <v/>
      </c>
      <c r="R1482" s="37" t="str">
        <f t="shared" si="167"/>
        <v/>
      </c>
    </row>
    <row r="1483" spans="1:18" x14ac:dyDescent="0.35">
      <c r="A1483" s="8">
        <v>1479</v>
      </c>
      <c r="B1483" s="9" t="str">
        <f t="shared" si="161"/>
        <v/>
      </c>
      <c r="C1483" s="10"/>
      <c r="D1483" s="9" t="str">
        <f>IF(F1483="","",_xlfn.XLOOKUP(F1483,purchase!D:D,purchase!#REF!,""))</f>
        <v/>
      </c>
      <c r="E1483" s="9" t="str">
        <f>IF(F1483="","",_xlfn.XLOOKUP(F1483,purchase!D:D,purchase!B:B,""))</f>
        <v/>
      </c>
      <c r="F1483" s="2"/>
      <c r="G1483" s="4" t="str">
        <f t="shared" si="162"/>
        <v/>
      </c>
      <c r="H1483" s="4" t="str">
        <f>IF(F1483="","",_xlfn.XLOOKUP(F1483,purchase!D:D,purchase!#REF!,""))</f>
        <v/>
      </c>
      <c r="I1483" s="4" t="str">
        <f t="shared" si="163"/>
        <v/>
      </c>
      <c r="J1483" s="4" t="str">
        <f t="shared" si="164"/>
        <v/>
      </c>
      <c r="K1483" s="13" t="str">
        <f>_xlfn.SINGLE(IF(F1483="","",_xlfn.XLOOKUP(F1483,purchase!D:D,purchase!#REF!,"")))</f>
        <v/>
      </c>
      <c r="L1483" s="2"/>
      <c r="M1483" s="32"/>
      <c r="N1483" s="13" t="str">
        <f>IF(F1483="","",
MAX(0,
_xlfn.XLOOKUP(F1483,purchase!D:D,purchase!#REF!,"")
-
SUMIFS(L:L,F:F,F1483)))</f>
        <v/>
      </c>
      <c r="O1483" s="13" t="str">
        <f t="shared" si="165"/>
        <v/>
      </c>
      <c r="P1483" s="35" t="str">
        <f>_xlfn.SINGLE(IF(F1483="","",_xlfn.XLOOKUP(F1483,purchase!D:D,purchase!K:K,"")))</f>
        <v/>
      </c>
      <c r="Q1483" s="29" t="str">
        <f t="shared" si="166"/>
        <v/>
      </c>
      <c r="R1483" s="37" t="str">
        <f t="shared" si="167"/>
        <v/>
      </c>
    </row>
    <row r="1484" spans="1:18" x14ac:dyDescent="0.35">
      <c r="A1484" s="8">
        <v>1480</v>
      </c>
      <c r="B1484" s="9" t="str">
        <f t="shared" si="161"/>
        <v/>
      </c>
      <c r="C1484" s="10"/>
      <c r="D1484" s="9" t="str">
        <f>IF(F1484="","",_xlfn.XLOOKUP(F1484,purchase!D:D,purchase!#REF!,""))</f>
        <v/>
      </c>
      <c r="E1484" s="9" t="str">
        <f>IF(F1484="","",_xlfn.XLOOKUP(F1484,purchase!D:D,purchase!B:B,""))</f>
        <v/>
      </c>
      <c r="F1484" s="2"/>
      <c r="G1484" s="4" t="str">
        <f t="shared" si="162"/>
        <v/>
      </c>
      <c r="H1484" s="4" t="str">
        <f>IF(F1484="","",_xlfn.XLOOKUP(F1484,purchase!D:D,purchase!#REF!,""))</f>
        <v/>
      </c>
      <c r="I1484" s="4" t="str">
        <f t="shared" si="163"/>
        <v/>
      </c>
      <c r="J1484" s="4" t="str">
        <f t="shared" si="164"/>
        <v/>
      </c>
      <c r="K1484" s="13" t="str">
        <f>_xlfn.SINGLE(IF(F1484="","",_xlfn.XLOOKUP(F1484,purchase!D:D,purchase!#REF!,"")))</f>
        <v/>
      </c>
      <c r="L1484" s="2"/>
      <c r="M1484" s="32"/>
      <c r="N1484" s="13" t="str">
        <f>IF(F1484="","",
MAX(0,
_xlfn.XLOOKUP(F1484,purchase!D:D,purchase!#REF!,"")
-
SUMIFS(L:L,F:F,F1484)))</f>
        <v/>
      </c>
      <c r="O1484" s="13" t="str">
        <f t="shared" si="165"/>
        <v/>
      </c>
      <c r="P1484" s="35" t="str">
        <f>_xlfn.SINGLE(IF(F1484="","",_xlfn.XLOOKUP(F1484,purchase!D:D,purchase!K:K,"")))</f>
        <v/>
      </c>
      <c r="Q1484" s="29" t="str">
        <f t="shared" si="166"/>
        <v/>
      </c>
      <c r="R1484" s="37" t="str">
        <f t="shared" si="167"/>
        <v/>
      </c>
    </row>
    <row r="1485" spans="1:18" x14ac:dyDescent="0.35">
      <c r="A1485" s="8">
        <v>1481</v>
      </c>
      <c r="B1485" s="9" t="str">
        <f t="shared" si="161"/>
        <v/>
      </c>
      <c r="C1485" s="10"/>
      <c r="D1485" s="9" t="str">
        <f>IF(F1485="","",_xlfn.XLOOKUP(F1485,purchase!D:D,purchase!#REF!,""))</f>
        <v/>
      </c>
      <c r="E1485" s="9" t="str">
        <f>IF(F1485="","",_xlfn.XLOOKUP(F1485,purchase!D:D,purchase!B:B,""))</f>
        <v/>
      </c>
      <c r="F1485" s="2"/>
      <c r="G1485" s="4" t="str">
        <f t="shared" si="162"/>
        <v/>
      </c>
      <c r="H1485" s="4" t="str">
        <f>IF(F1485="","",_xlfn.XLOOKUP(F1485,purchase!D:D,purchase!#REF!,""))</f>
        <v/>
      </c>
      <c r="I1485" s="4" t="str">
        <f t="shared" si="163"/>
        <v/>
      </c>
      <c r="J1485" s="4" t="str">
        <f t="shared" si="164"/>
        <v/>
      </c>
      <c r="K1485" s="13" t="str">
        <f>_xlfn.SINGLE(IF(F1485="","",_xlfn.XLOOKUP(F1485,purchase!D:D,purchase!#REF!,"")))</f>
        <v/>
      </c>
      <c r="L1485" s="2"/>
      <c r="M1485" s="32"/>
      <c r="N1485" s="13" t="str">
        <f>IF(F1485="","",
MAX(0,
_xlfn.XLOOKUP(F1485,purchase!D:D,purchase!#REF!,"")
-
SUMIFS(L:L,F:F,F1485)))</f>
        <v/>
      </c>
      <c r="O1485" s="13" t="str">
        <f t="shared" si="165"/>
        <v/>
      </c>
      <c r="P1485" s="35" t="str">
        <f>_xlfn.SINGLE(IF(F1485="","",_xlfn.XLOOKUP(F1485,purchase!D:D,purchase!K:K,"")))</f>
        <v/>
      </c>
      <c r="Q1485" s="29" t="str">
        <f t="shared" si="166"/>
        <v/>
      </c>
      <c r="R1485" s="37" t="str">
        <f t="shared" si="167"/>
        <v/>
      </c>
    </row>
    <row r="1486" spans="1:18" x14ac:dyDescent="0.35">
      <c r="A1486" s="8">
        <v>1482</v>
      </c>
      <c r="B1486" s="9" t="str">
        <f t="shared" si="161"/>
        <v/>
      </c>
      <c r="C1486" s="10"/>
      <c r="D1486" s="9" t="str">
        <f>IF(F1486="","",_xlfn.XLOOKUP(F1486,purchase!D:D,purchase!#REF!,""))</f>
        <v/>
      </c>
      <c r="E1486" s="9" t="str">
        <f>IF(F1486="","",_xlfn.XLOOKUP(F1486,purchase!D:D,purchase!B:B,""))</f>
        <v/>
      </c>
      <c r="F1486" s="2"/>
      <c r="G1486" s="4" t="str">
        <f t="shared" si="162"/>
        <v/>
      </c>
      <c r="H1486" s="4" t="str">
        <f>IF(F1486="","",_xlfn.XLOOKUP(F1486,purchase!D:D,purchase!#REF!,""))</f>
        <v/>
      </c>
      <c r="I1486" s="4" t="str">
        <f t="shared" si="163"/>
        <v/>
      </c>
      <c r="J1486" s="4" t="str">
        <f t="shared" si="164"/>
        <v/>
      </c>
      <c r="K1486" s="13" t="str">
        <f>_xlfn.SINGLE(IF(F1486="","",_xlfn.XLOOKUP(F1486,purchase!D:D,purchase!#REF!,"")))</f>
        <v/>
      </c>
      <c r="L1486" s="2"/>
      <c r="M1486" s="32"/>
      <c r="N1486" s="13" t="str">
        <f>IF(F1486="","",
MAX(0,
_xlfn.XLOOKUP(F1486,purchase!D:D,purchase!#REF!,"")
-
SUMIFS(L:L,F:F,F1486)))</f>
        <v/>
      </c>
      <c r="O1486" s="13" t="str">
        <f t="shared" si="165"/>
        <v/>
      </c>
      <c r="P1486" s="35" t="str">
        <f>_xlfn.SINGLE(IF(F1486="","",_xlfn.XLOOKUP(F1486,purchase!D:D,purchase!K:K,"")))</f>
        <v/>
      </c>
      <c r="Q1486" s="29" t="str">
        <f t="shared" si="166"/>
        <v/>
      </c>
      <c r="R1486" s="37" t="str">
        <f t="shared" si="167"/>
        <v/>
      </c>
    </row>
    <row r="1487" spans="1:18" x14ac:dyDescent="0.35">
      <c r="A1487" s="8">
        <v>1483</v>
      </c>
      <c r="B1487" s="9" t="str">
        <f t="shared" si="161"/>
        <v/>
      </c>
      <c r="C1487" s="10"/>
      <c r="D1487" s="9" t="str">
        <f>IF(F1487="","",_xlfn.XLOOKUP(F1487,purchase!D:D,purchase!#REF!,""))</f>
        <v/>
      </c>
      <c r="E1487" s="9" t="str">
        <f>IF(F1487="","",_xlfn.XLOOKUP(F1487,purchase!D:D,purchase!B:B,""))</f>
        <v/>
      </c>
      <c r="F1487" s="2"/>
      <c r="G1487" s="4" t="str">
        <f t="shared" si="162"/>
        <v/>
      </c>
      <c r="H1487" s="4" t="str">
        <f>IF(F1487="","",_xlfn.XLOOKUP(F1487,purchase!D:D,purchase!#REF!,""))</f>
        <v/>
      </c>
      <c r="I1487" s="4" t="str">
        <f t="shared" si="163"/>
        <v/>
      </c>
      <c r="J1487" s="4" t="str">
        <f t="shared" si="164"/>
        <v/>
      </c>
      <c r="K1487" s="13" t="str">
        <f>_xlfn.SINGLE(IF(F1487="","",_xlfn.XLOOKUP(F1487,purchase!D:D,purchase!#REF!,"")))</f>
        <v/>
      </c>
      <c r="L1487" s="2"/>
      <c r="M1487" s="32"/>
      <c r="N1487" s="13" t="str">
        <f>IF(F1487="","",
MAX(0,
_xlfn.XLOOKUP(F1487,purchase!D:D,purchase!#REF!,"")
-
SUMIFS(L:L,F:F,F1487)))</f>
        <v/>
      </c>
      <c r="O1487" s="13" t="str">
        <f t="shared" si="165"/>
        <v/>
      </c>
      <c r="P1487" s="35" t="str">
        <f>_xlfn.SINGLE(IF(F1487="","",_xlfn.XLOOKUP(F1487,purchase!D:D,purchase!K:K,"")))</f>
        <v/>
      </c>
      <c r="Q1487" s="29" t="str">
        <f t="shared" si="166"/>
        <v/>
      </c>
      <c r="R1487" s="37" t="str">
        <f t="shared" si="167"/>
        <v/>
      </c>
    </row>
    <row r="1488" spans="1:18" x14ac:dyDescent="0.35">
      <c r="A1488" s="8">
        <v>1484</v>
      </c>
      <c r="B1488" s="9" t="str">
        <f t="shared" si="161"/>
        <v/>
      </c>
      <c r="C1488" s="10"/>
      <c r="D1488" s="9" t="str">
        <f>IF(F1488="","",_xlfn.XLOOKUP(F1488,purchase!D:D,purchase!#REF!,""))</f>
        <v/>
      </c>
      <c r="E1488" s="9" t="str">
        <f>IF(F1488="","",_xlfn.XLOOKUP(F1488,purchase!D:D,purchase!B:B,""))</f>
        <v/>
      </c>
      <c r="F1488" s="2"/>
      <c r="G1488" s="4" t="str">
        <f t="shared" si="162"/>
        <v/>
      </c>
      <c r="H1488" s="4" t="str">
        <f>IF(F1488="","",_xlfn.XLOOKUP(F1488,purchase!D:D,purchase!#REF!,""))</f>
        <v/>
      </c>
      <c r="I1488" s="4" t="str">
        <f t="shared" si="163"/>
        <v/>
      </c>
      <c r="J1488" s="4" t="str">
        <f t="shared" si="164"/>
        <v/>
      </c>
      <c r="K1488" s="13" t="str">
        <f>_xlfn.SINGLE(IF(F1488="","",_xlfn.XLOOKUP(F1488,purchase!D:D,purchase!#REF!,"")))</f>
        <v/>
      </c>
      <c r="L1488" s="2"/>
      <c r="M1488" s="32"/>
      <c r="N1488" s="13" t="str">
        <f>IF(F1488="","",
MAX(0,
_xlfn.XLOOKUP(F1488,purchase!D:D,purchase!#REF!,"")
-
SUMIFS(L:L,F:F,F1488)))</f>
        <v/>
      </c>
      <c r="O1488" s="13" t="str">
        <f t="shared" si="165"/>
        <v/>
      </c>
      <c r="P1488" s="35" t="str">
        <f>_xlfn.SINGLE(IF(F1488="","",_xlfn.XLOOKUP(F1488,purchase!D:D,purchase!K:K,"")))</f>
        <v/>
      </c>
      <c r="Q1488" s="29" t="str">
        <f t="shared" si="166"/>
        <v/>
      </c>
      <c r="R1488" s="37" t="str">
        <f t="shared" si="167"/>
        <v/>
      </c>
    </row>
    <row r="1489" spans="1:18" x14ac:dyDescent="0.35">
      <c r="A1489" s="8">
        <v>1485</v>
      </c>
      <c r="B1489" s="9" t="str">
        <f t="shared" si="161"/>
        <v/>
      </c>
      <c r="C1489" s="10"/>
      <c r="D1489" s="9" t="str">
        <f>IF(F1489="","",_xlfn.XLOOKUP(F1489,purchase!D:D,purchase!#REF!,""))</f>
        <v/>
      </c>
      <c r="E1489" s="9" t="str">
        <f>IF(F1489="","",_xlfn.XLOOKUP(F1489,purchase!D:D,purchase!B:B,""))</f>
        <v/>
      </c>
      <c r="F1489" s="2"/>
      <c r="G1489" s="4" t="str">
        <f t="shared" si="162"/>
        <v/>
      </c>
      <c r="H1489" s="4" t="str">
        <f>IF(F1489="","",_xlfn.XLOOKUP(F1489,purchase!D:D,purchase!#REF!,""))</f>
        <v/>
      </c>
      <c r="I1489" s="4" t="str">
        <f t="shared" si="163"/>
        <v/>
      </c>
      <c r="J1489" s="4" t="str">
        <f t="shared" si="164"/>
        <v/>
      </c>
      <c r="K1489" s="13" t="str">
        <f>_xlfn.SINGLE(IF(F1489="","",_xlfn.XLOOKUP(F1489,purchase!D:D,purchase!#REF!,"")))</f>
        <v/>
      </c>
      <c r="L1489" s="2"/>
      <c r="M1489" s="32"/>
      <c r="N1489" s="13" t="str">
        <f>IF(F1489="","",
MAX(0,
_xlfn.XLOOKUP(F1489,purchase!D:D,purchase!#REF!,"")
-
SUMIFS(L:L,F:F,F1489)))</f>
        <v/>
      </c>
      <c r="O1489" s="13" t="str">
        <f t="shared" si="165"/>
        <v/>
      </c>
      <c r="P1489" s="35" t="str">
        <f>_xlfn.SINGLE(IF(F1489="","",_xlfn.XLOOKUP(F1489,purchase!D:D,purchase!K:K,"")))</f>
        <v/>
      </c>
      <c r="Q1489" s="29" t="str">
        <f t="shared" si="166"/>
        <v/>
      </c>
      <c r="R1489" s="37" t="str">
        <f t="shared" si="167"/>
        <v/>
      </c>
    </row>
    <row r="1490" spans="1:18" x14ac:dyDescent="0.35">
      <c r="A1490" s="8">
        <v>1486</v>
      </c>
      <c r="B1490" s="9" t="str">
        <f t="shared" si="161"/>
        <v/>
      </c>
      <c r="C1490" s="10"/>
      <c r="D1490" s="9" t="str">
        <f>IF(F1490="","",_xlfn.XLOOKUP(F1490,purchase!D:D,purchase!#REF!,""))</f>
        <v/>
      </c>
      <c r="E1490" s="9" t="str">
        <f>IF(F1490="","",_xlfn.XLOOKUP(F1490,purchase!D:D,purchase!B:B,""))</f>
        <v/>
      </c>
      <c r="F1490" s="2"/>
      <c r="G1490" s="4" t="str">
        <f t="shared" si="162"/>
        <v/>
      </c>
      <c r="H1490" s="4" t="str">
        <f>IF(F1490="","",_xlfn.XLOOKUP(F1490,purchase!D:D,purchase!#REF!,""))</f>
        <v/>
      </c>
      <c r="I1490" s="4" t="str">
        <f t="shared" si="163"/>
        <v/>
      </c>
      <c r="J1490" s="4" t="str">
        <f t="shared" si="164"/>
        <v/>
      </c>
      <c r="K1490" s="13" t="str">
        <f>_xlfn.SINGLE(IF(F1490="","",_xlfn.XLOOKUP(F1490,purchase!D:D,purchase!#REF!,"")))</f>
        <v/>
      </c>
      <c r="L1490" s="2"/>
      <c r="M1490" s="32"/>
      <c r="N1490" s="13" t="str">
        <f>IF(F1490="","",
MAX(0,
_xlfn.XLOOKUP(F1490,purchase!D:D,purchase!#REF!,"")
-
SUMIFS(L:L,F:F,F1490)))</f>
        <v/>
      </c>
      <c r="O1490" s="13" t="str">
        <f t="shared" si="165"/>
        <v/>
      </c>
      <c r="P1490" s="35" t="str">
        <f>_xlfn.SINGLE(IF(F1490="","",_xlfn.XLOOKUP(F1490,purchase!D:D,purchase!K:K,"")))</f>
        <v/>
      </c>
      <c r="Q1490" s="29" t="str">
        <f t="shared" si="166"/>
        <v/>
      </c>
      <c r="R1490" s="37" t="str">
        <f t="shared" si="167"/>
        <v/>
      </c>
    </row>
    <row r="1491" spans="1:18" x14ac:dyDescent="0.35">
      <c r="A1491" s="8">
        <v>1487</v>
      </c>
      <c r="B1491" s="9" t="str">
        <f t="shared" si="161"/>
        <v/>
      </c>
      <c r="C1491" s="10"/>
      <c r="D1491" s="9" t="str">
        <f>IF(F1491="","",_xlfn.XLOOKUP(F1491,purchase!D:D,purchase!#REF!,""))</f>
        <v/>
      </c>
      <c r="E1491" s="9" t="str">
        <f>IF(F1491="","",_xlfn.XLOOKUP(F1491,purchase!D:D,purchase!B:B,""))</f>
        <v/>
      </c>
      <c r="F1491" s="2"/>
      <c r="G1491" s="4" t="str">
        <f t="shared" si="162"/>
        <v/>
      </c>
      <c r="H1491" s="4" t="str">
        <f>IF(F1491="","",_xlfn.XLOOKUP(F1491,purchase!D:D,purchase!#REF!,""))</f>
        <v/>
      </c>
      <c r="I1491" s="4" t="str">
        <f t="shared" si="163"/>
        <v/>
      </c>
      <c r="J1491" s="4" t="str">
        <f t="shared" si="164"/>
        <v/>
      </c>
      <c r="K1491" s="13" t="str">
        <f>_xlfn.SINGLE(IF(F1491="","",_xlfn.XLOOKUP(F1491,purchase!D:D,purchase!#REF!,"")))</f>
        <v/>
      </c>
      <c r="L1491" s="2"/>
      <c r="M1491" s="32"/>
      <c r="N1491" s="13" t="str">
        <f>IF(F1491="","",
MAX(0,
_xlfn.XLOOKUP(F1491,purchase!D:D,purchase!#REF!,"")
-
SUMIFS(L:L,F:F,F1491)))</f>
        <v/>
      </c>
      <c r="O1491" s="13" t="str">
        <f t="shared" si="165"/>
        <v/>
      </c>
      <c r="P1491" s="35" t="str">
        <f>_xlfn.SINGLE(IF(F1491="","",_xlfn.XLOOKUP(F1491,purchase!D:D,purchase!K:K,"")))</f>
        <v/>
      </c>
      <c r="Q1491" s="29" t="str">
        <f t="shared" si="166"/>
        <v/>
      </c>
      <c r="R1491" s="37" t="str">
        <f t="shared" si="167"/>
        <v/>
      </c>
    </row>
    <row r="1492" spans="1:18" x14ac:dyDescent="0.35">
      <c r="A1492" s="8">
        <v>1488</v>
      </c>
      <c r="B1492" s="9" t="str">
        <f t="shared" si="161"/>
        <v/>
      </c>
      <c r="C1492" s="10"/>
      <c r="D1492" s="9" t="str">
        <f>IF(F1492="","",_xlfn.XLOOKUP(F1492,purchase!D:D,purchase!#REF!,""))</f>
        <v/>
      </c>
      <c r="E1492" s="9" t="str">
        <f>IF(F1492="","",_xlfn.XLOOKUP(F1492,purchase!D:D,purchase!B:B,""))</f>
        <v/>
      </c>
      <c r="F1492" s="2"/>
      <c r="G1492" s="4" t="str">
        <f t="shared" si="162"/>
        <v/>
      </c>
      <c r="H1492" s="4" t="str">
        <f>IF(F1492="","",_xlfn.XLOOKUP(F1492,purchase!D:D,purchase!#REF!,""))</f>
        <v/>
      </c>
      <c r="I1492" s="4" t="str">
        <f t="shared" si="163"/>
        <v/>
      </c>
      <c r="J1492" s="4" t="str">
        <f t="shared" si="164"/>
        <v/>
      </c>
      <c r="K1492" s="13" t="str">
        <f>_xlfn.SINGLE(IF(F1492="","",_xlfn.XLOOKUP(F1492,purchase!D:D,purchase!#REF!,"")))</f>
        <v/>
      </c>
      <c r="L1492" s="2"/>
      <c r="M1492" s="32"/>
      <c r="N1492" s="13" t="str">
        <f>IF(F1492="","",
MAX(0,
_xlfn.XLOOKUP(F1492,purchase!D:D,purchase!#REF!,"")
-
SUMIFS(L:L,F:F,F1492)))</f>
        <v/>
      </c>
      <c r="O1492" s="13" t="str">
        <f t="shared" si="165"/>
        <v/>
      </c>
      <c r="P1492" s="35" t="str">
        <f>_xlfn.SINGLE(IF(F1492="","",_xlfn.XLOOKUP(F1492,purchase!D:D,purchase!K:K,"")))</f>
        <v/>
      </c>
      <c r="Q1492" s="29" t="str">
        <f t="shared" si="166"/>
        <v/>
      </c>
      <c r="R1492" s="37" t="str">
        <f t="shared" si="167"/>
        <v/>
      </c>
    </row>
    <row r="1493" spans="1:18" x14ac:dyDescent="0.35">
      <c r="A1493" s="8">
        <v>1489</v>
      </c>
      <c r="B1493" s="9" t="str">
        <f t="shared" si="161"/>
        <v/>
      </c>
      <c r="C1493" s="10"/>
      <c r="D1493" s="9" t="str">
        <f>IF(F1493="","",_xlfn.XLOOKUP(F1493,purchase!D:D,purchase!#REF!,""))</f>
        <v/>
      </c>
      <c r="E1493" s="9" t="str">
        <f>IF(F1493="","",_xlfn.XLOOKUP(F1493,purchase!D:D,purchase!B:B,""))</f>
        <v/>
      </c>
      <c r="F1493" s="2"/>
      <c r="G1493" s="4" t="str">
        <f t="shared" si="162"/>
        <v/>
      </c>
      <c r="H1493" s="4" t="str">
        <f>IF(F1493="","",_xlfn.XLOOKUP(F1493,purchase!D:D,purchase!#REF!,""))</f>
        <v/>
      </c>
      <c r="I1493" s="4" t="str">
        <f t="shared" si="163"/>
        <v/>
      </c>
      <c r="J1493" s="4" t="str">
        <f t="shared" si="164"/>
        <v/>
      </c>
      <c r="K1493" s="13" t="str">
        <f>_xlfn.SINGLE(IF(F1493="","",_xlfn.XLOOKUP(F1493,purchase!D:D,purchase!#REF!,"")))</f>
        <v/>
      </c>
      <c r="L1493" s="2"/>
      <c r="M1493" s="32"/>
      <c r="N1493" s="13" t="str">
        <f>IF(F1493="","",
MAX(0,
_xlfn.XLOOKUP(F1493,purchase!D:D,purchase!#REF!,"")
-
SUMIFS(L:L,F:F,F1493)))</f>
        <v/>
      </c>
      <c r="O1493" s="13" t="str">
        <f t="shared" si="165"/>
        <v/>
      </c>
      <c r="P1493" s="35" t="str">
        <f>_xlfn.SINGLE(IF(F1493="","",_xlfn.XLOOKUP(F1493,purchase!D:D,purchase!K:K,"")))</f>
        <v/>
      </c>
      <c r="Q1493" s="29" t="str">
        <f t="shared" si="166"/>
        <v/>
      </c>
      <c r="R1493" s="37" t="str">
        <f t="shared" si="167"/>
        <v/>
      </c>
    </row>
    <row r="1494" spans="1:18" x14ac:dyDescent="0.35">
      <c r="A1494" s="8">
        <v>1490</v>
      </c>
      <c r="B1494" s="9" t="str">
        <f t="shared" si="161"/>
        <v/>
      </c>
      <c r="C1494" s="10"/>
      <c r="D1494" s="9" t="str">
        <f>IF(F1494="","",_xlfn.XLOOKUP(F1494,purchase!D:D,purchase!#REF!,""))</f>
        <v/>
      </c>
      <c r="E1494" s="9" t="str">
        <f>IF(F1494="","",_xlfn.XLOOKUP(F1494,purchase!D:D,purchase!B:B,""))</f>
        <v/>
      </c>
      <c r="F1494" s="2"/>
      <c r="G1494" s="4" t="str">
        <f t="shared" si="162"/>
        <v/>
      </c>
      <c r="H1494" s="4" t="str">
        <f>IF(F1494="","",_xlfn.XLOOKUP(F1494,purchase!D:D,purchase!#REF!,""))</f>
        <v/>
      </c>
      <c r="I1494" s="4" t="str">
        <f t="shared" si="163"/>
        <v/>
      </c>
      <c r="J1494" s="4" t="str">
        <f t="shared" si="164"/>
        <v/>
      </c>
      <c r="K1494" s="13" t="str">
        <f>_xlfn.SINGLE(IF(F1494="","",_xlfn.XLOOKUP(F1494,purchase!D:D,purchase!#REF!,"")))</f>
        <v/>
      </c>
      <c r="L1494" s="2"/>
      <c r="M1494" s="32"/>
      <c r="N1494" s="13" t="str">
        <f>IF(F1494="","",
MAX(0,
_xlfn.XLOOKUP(F1494,purchase!D:D,purchase!#REF!,"")
-
SUMIFS(L:L,F:F,F1494)))</f>
        <v/>
      </c>
      <c r="O1494" s="13" t="str">
        <f t="shared" si="165"/>
        <v/>
      </c>
      <c r="P1494" s="35" t="str">
        <f>_xlfn.SINGLE(IF(F1494="","",_xlfn.XLOOKUP(F1494,purchase!D:D,purchase!K:K,"")))</f>
        <v/>
      </c>
      <c r="Q1494" s="29" t="str">
        <f t="shared" si="166"/>
        <v/>
      </c>
      <c r="R1494" s="37" t="str">
        <f t="shared" si="167"/>
        <v/>
      </c>
    </row>
    <row r="1495" spans="1:18" x14ac:dyDescent="0.35">
      <c r="A1495" s="8">
        <v>1491</v>
      </c>
      <c r="B1495" s="9" t="str">
        <f t="shared" si="161"/>
        <v/>
      </c>
      <c r="C1495" s="10"/>
      <c r="D1495" s="9" t="str">
        <f>IF(F1495="","",_xlfn.XLOOKUP(F1495,purchase!D:D,purchase!#REF!,""))</f>
        <v/>
      </c>
      <c r="E1495" s="9" t="str">
        <f>IF(F1495="","",_xlfn.XLOOKUP(F1495,purchase!D:D,purchase!B:B,""))</f>
        <v/>
      </c>
      <c r="F1495" s="2"/>
      <c r="G1495" s="4" t="str">
        <f t="shared" si="162"/>
        <v/>
      </c>
      <c r="H1495" s="4" t="str">
        <f>IF(F1495="","",_xlfn.XLOOKUP(F1495,purchase!D:D,purchase!#REF!,""))</f>
        <v/>
      </c>
      <c r="I1495" s="4" t="str">
        <f t="shared" si="163"/>
        <v/>
      </c>
      <c r="J1495" s="4" t="str">
        <f t="shared" si="164"/>
        <v/>
      </c>
      <c r="K1495" s="13" t="str">
        <f>_xlfn.SINGLE(IF(F1495="","",_xlfn.XLOOKUP(F1495,purchase!D:D,purchase!#REF!,"")))</f>
        <v/>
      </c>
      <c r="L1495" s="2"/>
      <c r="M1495" s="32"/>
      <c r="N1495" s="13" t="str">
        <f>IF(F1495="","",
MAX(0,
_xlfn.XLOOKUP(F1495,purchase!D:D,purchase!#REF!,"")
-
SUMIFS(L:L,F:F,F1495)))</f>
        <v/>
      </c>
      <c r="O1495" s="13" t="str">
        <f t="shared" si="165"/>
        <v/>
      </c>
      <c r="P1495" s="35" t="str">
        <f>_xlfn.SINGLE(IF(F1495="","",_xlfn.XLOOKUP(F1495,purchase!D:D,purchase!K:K,"")))</f>
        <v/>
      </c>
      <c r="Q1495" s="29" t="str">
        <f t="shared" si="166"/>
        <v/>
      </c>
      <c r="R1495" s="37" t="str">
        <f t="shared" si="167"/>
        <v/>
      </c>
    </row>
    <row r="1496" spans="1:18" x14ac:dyDescent="0.35">
      <c r="A1496" s="8">
        <v>1492</v>
      </c>
      <c r="B1496" s="9" t="str">
        <f t="shared" si="161"/>
        <v/>
      </c>
      <c r="C1496" s="10"/>
      <c r="D1496" s="9" t="str">
        <f>IF(F1496="","",_xlfn.XLOOKUP(F1496,purchase!D:D,purchase!#REF!,""))</f>
        <v/>
      </c>
      <c r="E1496" s="9" t="str">
        <f>IF(F1496="","",_xlfn.XLOOKUP(F1496,purchase!D:D,purchase!B:B,""))</f>
        <v/>
      </c>
      <c r="F1496" s="2"/>
      <c r="G1496" s="4" t="str">
        <f t="shared" si="162"/>
        <v/>
      </c>
      <c r="H1496" s="4" t="str">
        <f>IF(F1496="","",_xlfn.XLOOKUP(F1496,purchase!D:D,purchase!#REF!,""))</f>
        <v/>
      </c>
      <c r="I1496" s="4" t="str">
        <f t="shared" si="163"/>
        <v/>
      </c>
      <c r="J1496" s="4" t="str">
        <f t="shared" si="164"/>
        <v/>
      </c>
      <c r="K1496" s="13" t="str">
        <f>_xlfn.SINGLE(IF(F1496="","",_xlfn.XLOOKUP(F1496,purchase!D:D,purchase!#REF!,"")))</f>
        <v/>
      </c>
      <c r="L1496" s="2"/>
      <c r="M1496" s="32"/>
      <c r="N1496" s="13" t="str">
        <f>IF(F1496="","",
MAX(0,
_xlfn.XLOOKUP(F1496,purchase!D:D,purchase!#REF!,"")
-
SUMIFS(L:L,F:F,F1496)))</f>
        <v/>
      </c>
      <c r="O1496" s="13" t="str">
        <f t="shared" si="165"/>
        <v/>
      </c>
      <c r="P1496" s="35" t="str">
        <f>_xlfn.SINGLE(IF(F1496="","",_xlfn.XLOOKUP(F1496,purchase!D:D,purchase!K:K,"")))</f>
        <v/>
      </c>
      <c r="Q1496" s="29" t="str">
        <f t="shared" si="166"/>
        <v/>
      </c>
      <c r="R1496" s="37" t="str">
        <f t="shared" si="167"/>
        <v/>
      </c>
    </row>
    <row r="1497" spans="1:18" x14ac:dyDescent="0.35">
      <c r="A1497" s="8">
        <v>1493</v>
      </c>
      <c r="B1497" s="9" t="str">
        <f t="shared" si="161"/>
        <v/>
      </c>
      <c r="C1497" s="10"/>
      <c r="D1497" s="9" t="str">
        <f>IF(F1497="","",_xlfn.XLOOKUP(F1497,purchase!D:D,purchase!#REF!,""))</f>
        <v/>
      </c>
      <c r="E1497" s="9" t="str">
        <f>IF(F1497="","",_xlfn.XLOOKUP(F1497,purchase!D:D,purchase!B:B,""))</f>
        <v/>
      </c>
      <c r="F1497" s="2"/>
      <c r="G1497" s="4" t="str">
        <f t="shared" si="162"/>
        <v/>
      </c>
      <c r="H1497" s="4" t="str">
        <f>IF(F1497="","",_xlfn.XLOOKUP(F1497,purchase!D:D,purchase!#REF!,""))</f>
        <v/>
      </c>
      <c r="I1497" s="4" t="str">
        <f t="shared" si="163"/>
        <v/>
      </c>
      <c r="J1497" s="4" t="str">
        <f t="shared" si="164"/>
        <v/>
      </c>
      <c r="K1497" s="13" t="str">
        <f>_xlfn.SINGLE(IF(F1497="","",_xlfn.XLOOKUP(F1497,purchase!D:D,purchase!#REF!,"")))</f>
        <v/>
      </c>
      <c r="L1497" s="2"/>
      <c r="M1497" s="32"/>
      <c r="N1497" s="13" t="str">
        <f>IF(F1497="","",
MAX(0,
_xlfn.XLOOKUP(F1497,purchase!D:D,purchase!#REF!,"")
-
SUMIFS(L:L,F:F,F1497)))</f>
        <v/>
      </c>
      <c r="O1497" s="13" t="str">
        <f t="shared" si="165"/>
        <v/>
      </c>
      <c r="P1497" s="35" t="str">
        <f>_xlfn.SINGLE(IF(F1497="","",_xlfn.XLOOKUP(F1497,purchase!D:D,purchase!K:K,"")))</f>
        <v/>
      </c>
      <c r="Q1497" s="29" t="str">
        <f t="shared" si="166"/>
        <v/>
      </c>
      <c r="R1497" s="37" t="str">
        <f t="shared" si="167"/>
        <v/>
      </c>
    </row>
    <row r="1498" spans="1:18" x14ac:dyDescent="0.35">
      <c r="A1498" s="8">
        <v>1494</v>
      </c>
      <c r="B1498" s="9" t="str">
        <f t="shared" si="161"/>
        <v/>
      </c>
      <c r="C1498" s="10"/>
      <c r="D1498" s="9" t="str">
        <f>IF(F1498="","",_xlfn.XLOOKUP(F1498,purchase!D:D,purchase!#REF!,""))</f>
        <v/>
      </c>
      <c r="E1498" s="9" t="str">
        <f>IF(F1498="","",_xlfn.XLOOKUP(F1498,purchase!D:D,purchase!B:B,""))</f>
        <v/>
      </c>
      <c r="F1498" s="2"/>
      <c r="G1498" s="4" t="str">
        <f t="shared" si="162"/>
        <v/>
      </c>
      <c r="H1498" s="4" t="str">
        <f>IF(F1498="","",_xlfn.XLOOKUP(F1498,purchase!D:D,purchase!#REF!,""))</f>
        <v/>
      </c>
      <c r="I1498" s="4" t="str">
        <f t="shared" si="163"/>
        <v/>
      </c>
      <c r="J1498" s="4" t="str">
        <f t="shared" si="164"/>
        <v/>
      </c>
      <c r="K1498" s="13" t="str">
        <f>_xlfn.SINGLE(IF(F1498="","",_xlfn.XLOOKUP(F1498,purchase!D:D,purchase!#REF!,"")))</f>
        <v/>
      </c>
      <c r="L1498" s="2"/>
      <c r="M1498" s="32"/>
      <c r="N1498" s="13" t="str">
        <f>IF(F1498="","",
MAX(0,
_xlfn.XLOOKUP(F1498,purchase!D:D,purchase!#REF!,"")
-
SUMIFS(L:L,F:F,F1498)))</f>
        <v/>
      </c>
      <c r="O1498" s="13" t="str">
        <f t="shared" si="165"/>
        <v/>
      </c>
      <c r="P1498" s="35" t="str">
        <f>_xlfn.SINGLE(IF(F1498="","",_xlfn.XLOOKUP(F1498,purchase!D:D,purchase!K:K,"")))</f>
        <v/>
      </c>
      <c r="Q1498" s="29" t="str">
        <f t="shared" si="166"/>
        <v/>
      </c>
      <c r="R1498" s="37" t="str">
        <f t="shared" si="167"/>
        <v/>
      </c>
    </row>
    <row r="1499" spans="1:18" x14ac:dyDescent="0.35">
      <c r="A1499" s="8">
        <v>1495</v>
      </c>
      <c r="B1499" s="9" t="str">
        <f t="shared" si="161"/>
        <v/>
      </c>
      <c r="C1499" s="10"/>
      <c r="D1499" s="9" t="str">
        <f>IF(F1499="","",_xlfn.XLOOKUP(F1499,purchase!D:D,purchase!#REF!,""))</f>
        <v/>
      </c>
      <c r="E1499" s="9" t="str">
        <f>IF(F1499="","",_xlfn.XLOOKUP(F1499,purchase!D:D,purchase!B:B,""))</f>
        <v/>
      </c>
      <c r="F1499" s="2"/>
      <c r="G1499" s="4" t="str">
        <f t="shared" si="162"/>
        <v/>
      </c>
      <c r="H1499" s="4" t="str">
        <f>IF(F1499="","",_xlfn.XLOOKUP(F1499,purchase!D:D,purchase!#REF!,""))</f>
        <v/>
      </c>
      <c r="I1499" s="4" t="str">
        <f t="shared" si="163"/>
        <v/>
      </c>
      <c r="J1499" s="4" t="str">
        <f t="shared" si="164"/>
        <v/>
      </c>
      <c r="K1499" s="13" t="str">
        <f>_xlfn.SINGLE(IF(F1499="","",_xlfn.XLOOKUP(F1499,purchase!D:D,purchase!#REF!,"")))</f>
        <v/>
      </c>
      <c r="L1499" s="2"/>
      <c r="M1499" s="32"/>
      <c r="N1499" s="13" t="str">
        <f>IF(F1499="","",
MAX(0,
_xlfn.XLOOKUP(F1499,purchase!D:D,purchase!#REF!,"")
-
SUMIFS(L:L,F:F,F1499)))</f>
        <v/>
      </c>
      <c r="O1499" s="13" t="str">
        <f t="shared" si="165"/>
        <v/>
      </c>
      <c r="P1499" s="35" t="str">
        <f>_xlfn.SINGLE(IF(F1499="","",_xlfn.XLOOKUP(F1499,purchase!D:D,purchase!K:K,"")))</f>
        <v/>
      </c>
      <c r="Q1499" s="29" t="str">
        <f t="shared" si="166"/>
        <v/>
      </c>
      <c r="R1499" s="37" t="str">
        <f t="shared" si="167"/>
        <v/>
      </c>
    </row>
    <row r="1500" spans="1:18" x14ac:dyDescent="0.35">
      <c r="A1500" s="8">
        <v>1496</v>
      </c>
      <c r="B1500" s="9" t="str">
        <f t="shared" si="161"/>
        <v/>
      </c>
      <c r="C1500" s="10"/>
      <c r="D1500" s="9" t="str">
        <f>IF(F1500="","",_xlfn.XLOOKUP(F1500,purchase!D:D,purchase!#REF!,""))</f>
        <v/>
      </c>
      <c r="E1500" s="9" t="str">
        <f>IF(F1500="","",_xlfn.XLOOKUP(F1500,purchase!D:D,purchase!B:B,""))</f>
        <v/>
      </c>
      <c r="F1500" s="2"/>
      <c r="G1500" s="4" t="str">
        <f t="shared" si="162"/>
        <v/>
      </c>
      <c r="H1500" s="4" t="str">
        <f>IF(F1500="","",_xlfn.XLOOKUP(F1500,purchase!D:D,purchase!#REF!,""))</f>
        <v/>
      </c>
      <c r="I1500" s="4" t="str">
        <f t="shared" si="163"/>
        <v/>
      </c>
      <c r="J1500" s="4" t="str">
        <f t="shared" si="164"/>
        <v/>
      </c>
      <c r="K1500" s="13" t="str">
        <f>_xlfn.SINGLE(IF(F1500="","",_xlfn.XLOOKUP(F1500,purchase!D:D,purchase!#REF!,"")))</f>
        <v/>
      </c>
      <c r="L1500" s="2"/>
      <c r="M1500" s="32"/>
      <c r="N1500" s="13" t="str">
        <f>IF(F1500="","",
MAX(0,
_xlfn.XLOOKUP(F1500,purchase!D:D,purchase!#REF!,"")
-
SUMIFS(L:L,F:F,F1500)))</f>
        <v/>
      </c>
      <c r="O1500" s="13" t="str">
        <f t="shared" si="165"/>
        <v/>
      </c>
      <c r="P1500" s="35" t="str">
        <f>_xlfn.SINGLE(IF(F1500="","",_xlfn.XLOOKUP(F1500,purchase!D:D,purchase!K:K,"")))</f>
        <v/>
      </c>
      <c r="Q1500" s="29" t="str">
        <f t="shared" si="166"/>
        <v/>
      </c>
      <c r="R1500" s="37" t="str">
        <f t="shared" si="167"/>
        <v/>
      </c>
    </row>
    <row r="1501" spans="1:18" x14ac:dyDescent="0.35">
      <c r="A1501" s="8">
        <v>1497</v>
      </c>
      <c r="B1501" s="9" t="str">
        <f t="shared" si="161"/>
        <v/>
      </c>
      <c r="C1501" s="10"/>
      <c r="D1501" s="9" t="str">
        <f>IF(F1501="","",_xlfn.XLOOKUP(F1501,purchase!D:D,purchase!#REF!,""))</f>
        <v/>
      </c>
      <c r="E1501" s="9" t="str">
        <f>IF(F1501="","",_xlfn.XLOOKUP(F1501,purchase!D:D,purchase!B:B,""))</f>
        <v/>
      </c>
      <c r="F1501" s="2"/>
      <c r="G1501" s="4" t="str">
        <f t="shared" si="162"/>
        <v/>
      </c>
      <c r="H1501" s="4" t="str">
        <f>IF(F1501="","",_xlfn.XLOOKUP(F1501,purchase!D:D,purchase!#REF!,""))</f>
        <v/>
      </c>
      <c r="I1501" s="4" t="str">
        <f t="shared" si="163"/>
        <v/>
      </c>
      <c r="J1501" s="4" t="str">
        <f t="shared" si="164"/>
        <v/>
      </c>
      <c r="K1501" s="13" t="str">
        <f>_xlfn.SINGLE(IF(F1501="","",_xlfn.XLOOKUP(F1501,purchase!D:D,purchase!#REF!,"")))</f>
        <v/>
      </c>
      <c r="L1501" s="2"/>
      <c r="M1501" s="32"/>
      <c r="N1501" s="13" t="str">
        <f>IF(F1501="","",
MAX(0,
_xlfn.XLOOKUP(F1501,purchase!D:D,purchase!#REF!,"")
-
SUMIFS(L:L,F:F,F1501)))</f>
        <v/>
      </c>
      <c r="O1501" s="13" t="str">
        <f t="shared" si="165"/>
        <v/>
      </c>
      <c r="P1501" s="35" t="str">
        <f>_xlfn.SINGLE(IF(F1501="","",_xlfn.XLOOKUP(F1501,purchase!D:D,purchase!K:K,"")))</f>
        <v/>
      </c>
      <c r="Q1501" s="29" t="str">
        <f t="shared" si="166"/>
        <v/>
      </c>
      <c r="R1501" s="37" t="str">
        <f t="shared" si="167"/>
        <v/>
      </c>
    </row>
    <row r="1502" spans="1:18" x14ac:dyDescent="0.35">
      <c r="A1502" s="8">
        <v>1498</v>
      </c>
      <c r="B1502" s="9" t="str">
        <f t="shared" si="161"/>
        <v/>
      </c>
      <c r="C1502" s="10"/>
      <c r="D1502" s="9" t="str">
        <f>IF(F1502="","",_xlfn.XLOOKUP(F1502,purchase!D:D,purchase!#REF!,""))</f>
        <v/>
      </c>
      <c r="E1502" s="9" t="str">
        <f>IF(F1502="","",_xlfn.XLOOKUP(F1502,purchase!D:D,purchase!B:B,""))</f>
        <v/>
      </c>
      <c r="F1502" s="2"/>
      <c r="G1502" s="4" t="str">
        <f t="shared" si="162"/>
        <v/>
      </c>
      <c r="H1502" s="4" t="str">
        <f>IF(F1502="","",_xlfn.XLOOKUP(F1502,purchase!D:D,purchase!#REF!,""))</f>
        <v/>
      </c>
      <c r="I1502" s="4" t="str">
        <f t="shared" si="163"/>
        <v/>
      </c>
      <c r="J1502" s="4" t="str">
        <f t="shared" si="164"/>
        <v/>
      </c>
      <c r="K1502" s="13" t="str">
        <f>_xlfn.SINGLE(IF(F1502="","",_xlfn.XLOOKUP(F1502,purchase!D:D,purchase!#REF!,"")))</f>
        <v/>
      </c>
      <c r="L1502" s="2"/>
      <c r="M1502" s="32"/>
      <c r="N1502" s="13" t="str">
        <f>IF(F1502="","",
MAX(0,
_xlfn.XLOOKUP(F1502,purchase!D:D,purchase!#REF!,"")
-
SUMIFS(L:L,F:F,F1502)))</f>
        <v/>
      </c>
      <c r="O1502" s="13" t="str">
        <f t="shared" si="165"/>
        <v/>
      </c>
      <c r="P1502" s="35" t="str">
        <f>_xlfn.SINGLE(IF(F1502="","",_xlfn.XLOOKUP(F1502,purchase!D:D,purchase!K:K,"")))</f>
        <v/>
      </c>
      <c r="Q1502" s="29" t="str">
        <f t="shared" si="166"/>
        <v/>
      </c>
      <c r="R1502" s="37" t="str">
        <f t="shared" si="167"/>
        <v/>
      </c>
    </row>
    <row r="1503" spans="1:18" x14ac:dyDescent="0.35">
      <c r="A1503" s="8">
        <v>1499</v>
      </c>
      <c r="B1503" s="9" t="str">
        <f t="shared" si="161"/>
        <v/>
      </c>
      <c r="C1503" s="10"/>
      <c r="D1503" s="9" t="str">
        <f>IF(F1503="","",_xlfn.XLOOKUP(F1503,purchase!D:D,purchase!#REF!,""))</f>
        <v/>
      </c>
      <c r="E1503" s="9" t="str">
        <f>IF(F1503="","",_xlfn.XLOOKUP(F1503,purchase!D:D,purchase!B:B,""))</f>
        <v/>
      </c>
      <c r="F1503" s="2"/>
      <c r="G1503" s="4" t="str">
        <f t="shared" si="162"/>
        <v/>
      </c>
      <c r="H1503" s="4" t="str">
        <f>IF(F1503="","",_xlfn.XLOOKUP(F1503,purchase!D:D,purchase!#REF!,""))</f>
        <v/>
      </c>
      <c r="I1503" s="4" t="str">
        <f t="shared" si="163"/>
        <v/>
      </c>
      <c r="J1503" s="4" t="str">
        <f t="shared" si="164"/>
        <v/>
      </c>
      <c r="K1503" s="13" t="str">
        <f>_xlfn.SINGLE(IF(F1503="","",_xlfn.XLOOKUP(F1503,purchase!D:D,purchase!#REF!,"")))</f>
        <v/>
      </c>
      <c r="L1503" s="2"/>
      <c r="M1503" s="32"/>
      <c r="N1503" s="13" t="str">
        <f>IF(F1503="","",
MAX(0,
_xlfn.XLOOKUP(F1503,purchase!D:D,purchase!#REF!,"")
-
SUMIFS(L:L,F:F,F1503)))</f>
        <v/>
      </c>
      <c r="O1503" s="13" t="str">
        <f t="shared" si="165"/>
        <v/>
      </c>
      <c r="P1503" s="35" t="str">
        <f>_xlfn.SINGLE(IF(F1503="","",_xlfn.XLOOKUP(F1503,purchase!D:D,purchase!K:K,"")))</f>
        <v/>
      </c>
      <c r="Q1503" s="29" t="str">
        <f t="shared" si="166"/>
        <v/>
      </c>
      <c r="R1503" s="37" t="str">
        <f t="shared" si="167"/>
        <v/>
      </c>
    </row>
    <row r="1504" spans="1:18" x14ac:dyDescent="0.35">
      <c r="A1504" s="8">
        <v>1500</v>
      </c>
      <c r="B1504" s="9" t="str">
        <f t="shared" si="161"/>
        <v/>
      </c>
      <c r="C1504" s="10"/>
      <c r="D1504" s="9" t="str">
        <f>IF(F1504="","",_xlfn.XLOOKUP(F1504,purchase!D:D,purchase!#REF!,""))</f>
        <v/>
      </c>
      <c r="E1504" s="9" t="str">
        <f>IF(F1504="","",_xlfn.XLOOKUP(F1504,purchase!D:D,purchase!B:B,""))</f>
        <v/>
      </c>
      <c r="F1504" s="2"/>
      <c r="G1504" s="4" t="str">
        <f t="shared" si="162"/>
        <v/>
      </c>
      <c r="H1504" s="4" t="str">
        <f>IF(F1504="","",_xlfn.XLOOKUP(F1504,purchase!D:D,purchase!#REF!,""))</f>
        <v/>
      </c>
      <c r="I1504" s="4" t="str">
        <f t="shared" si="163"/>
        <v/>
      </c>
      <c r="J1504" s="4" t="str">
        <f t="shared" si="164"/>
        <v/>
      </c>
      <c r="K1504" s="13" t="str">
        <f>_xlfn.SINGLE(IF(F1504="","",_xlfn.XLOOKUP(F1504,purchase!D:D,purchase!#REF!,"")))</f>
        <v/>
      </c>
      <c r="L1504" s="2"/>
      <c r="M1504" s="32"/>
      <c r="N1504" s="13" t="str">
        <f>IF(F1504="","",
MAX(0,
_xlfn.XLOOKUP(F1504,purchase!D:D,purchase!#REF!,"")
-
SUMIFS(L:L,F:F,F1504)))</f>
        <v/>
      </c>
      <c r="O1504" s="13" t="str">
        <f t="shared" si="165"/>
        <v/>
      </c>
      <c r="P1504" s="35" t="str">
        <f>_xlfn.SINGLE(IF(F1504="","",_xlfn.XLOOKUP(F1504,purchase!D:D,purchase!K:K,"")))</f>
        <v/>
      </c>
      <c r="Q1504" s="29" t="str">
        <f t="shared" si="166"/>
        <v/>
      </c>
      <c r="R1504" s="37" t="str">
        <f t="shared" si="167"/>
        <v/>
      </c>
    </row>
    <row r="1505" spans="1:18" x14ac:dyDescent="0.35">
      <c r="A1505" s="8">
        <v>1501</v>
      </c>
      <c r="B1505" s="9" t="str">
        <f t="shared" si="161"/>
        <v/>
      </c>
      <c r="C1505" s="10"/>
      <c r="D1505" s="9" t="str">
        <f>IF(F1505="","",_xlfn.XLOOKUP(F1505,purchase!D:D,purchase!#REF!,""))</f>
        <v/>
      </c>
      <c r="E1505" s="9" t="str">
        <f>IF(F1505="","",_xlfn.XLOOKUP(F1505,purchase!D:D,purchase!B:B,""))</f>
        <v/>
      </c>
      <c r="F1505" s="2"/>
      <c r="G1505" s="4" t="str">
        <f t="shared" si="162"/>
        <v/>
      </c>
      <c r="H1505" s="4" t="str">
        <f>IF(F1505="","",_xlfn.XLOOKUP(F1505,purchase!D:D,purchase!#REF!,""))</f>
        <v/>
      </c>
      <c r="I1505" s="4" t="str">
        <f t="shared" si="163"/>
        <v/>
      </c>
      <c r="J1505" s="4" t="str">
        <f t="shared" si="164"/>
        <v/>
      </c>
      <c r="K1505" s="13" t="str">
        <f>_xlfn.SINGLE(IF(F1505="","",_xlfn.XLOOKUP(F1505,purchase!D:D,purchase!#REF!,"")))</f>
        <v/>
      </c>
      <c r="L1505" s="2"/>
      <c r="M1505" s="32"/>
      <c r="N1505" s="13" t="str">
        <f>IF(F1505="","",
MAX(0,
_xlfn.XLOOKUP(F1505,purchase!D:D,purchase!#REF!,"")
-
SUMIFS(L:L,F:F,F1505)))</f>
        <v/>
      </c>
      <c r="O1505" s="13" t="str">
        <f t="shared" si="165"/>
        <v/>
      </c>
      <c r="P1505" s="35" t="str">
        <f>_xlfn.SINGLE(IF(F1505="","",_xlfn.XLOOKUP(F1505,purchase!D:D,purchase!K:K,"")))</f>
        <v/>
      </c>
      <c r="Q1505" s="29" t="str">
        <f t="shared" si="166"/>
        <v/>
      </c>
      <c r="R1505" s="37" t="str">
        <f t="shared" si="167"/>
        <v/>
      </c>
    </row>
    <row r="1506" spans="1:18" x14ac:dyDescent="0.35">
      <c r="A1506" s="8">
        <v>1502</v>
      </c>
      <c r="B1506" s="9" t="str">
        <f t="shared" si="161"/>
        <v/>
      </c>
      <c r="C1506" s="10"/>
      <c r="D1506" s="9" t="str">
        <f>IF(F1506="","",_xlfn.XLOOKUP(F1506,purchase!D:D,purchase!#REF!,""))</f>
        <v/>
      </c>
      <c r="E1506" s="9" t="str">
        <f>IF(F1506="","",_xlfn.XLOOKUP(F1506,purchase!D:D,purchase!B:B,""))</f>
        <v/>
      </c>
      <c r="F1506" s="2"/>
      <c r="G1506" s="4" t="str">
        <f t="shared" si="162"/>
        <v/>
      </c>
      <c r="H1506" s="4" t="str">
        <f>IF(F1506="","",_xlfn.XLOOKUP(F1506,purchase!D:D,purchase!#REF!,""))</f>
        <v/>
      </c>
      <c r="I1506" s="4" t="str">
        <f t="shared" si="163"/>
        <v/>
      </c>
      <c r="J1506" s="4" t="str">
        <f t="shared" si="164"/>
        <v/>
      </c>
      <c r="K1506" s="13" t="str">
        <f>_xlfn.SINGLE(IF(F1506="","",_xlfn.XLOOKUP(F1506,purchase!D:D,purchase!#REF!,"")))</f>
        <v/>
      </c>
      <c r="L1506" s="2"/>
      <c r="M1506" s="32"/>
      <c r="N1506" s="13" t="str">
        <f>IF(F1506="","",
MAX(0,
_xlfn.XLOOKUP(F1506,purchase!D:D,purchase!#REF!,"")
-
SUMIFS(L:L,F:F,F1506)))</f>
        <v/>
      </c>
      <c r="O1506" s="13" t="str">
        <f t="shared" si="165"/>
        <v/>
      </c>
      <c r="P1506" s="35" t="str">
        <f>_xlfn.SINGLE(IF(F1506="","",_xlfn.XLOOKUP(F1506,purchase!D:D,purchase!K:K,"")))</f>
        <v/>
      </c>
      <c r="Q1506" s="29" t="str">
        <f t="shared" si="166"/>
        <v/>
      </c>
      <c r="R1506" s="37" t="str">
        <f t="shared" si="167"/>
        <v/>
      </c>
    </row>
    <row r="1507" spans="1:18" x14ac:dyDescent="0.35">
      <c r="A1507" s="8">
        <v>1503</v>
      </c>
      <c r="B1507" s="9" t="str">
        <f t="shared" si="161"/>
        <v/>
      </c>
      <c r="C1507" s="10"/>
      <c r="D1507" s="9" t="str">
        <f>IF(F1507="","",_xlfn.XLOOKUP(F1507,purchase!D:D,purchase!#REF!,""))</f>
        <v/>
      </c>
      <c r="E1507" s="9" t="str">
        <f>IF(F1507="","",_xlfn.XLOOKUP(F1507,purchase!D:D,purchase!B:B,""))</f>
        <v/>
      </c>
      <c r="F1507" s="2"/>
      <c r="G1507" s="4" t="str">
        <f t="shared" si="162"/>
        <v/>
      </c>
      <c r="H1507" s="4" t="str">
        <f>IF(F1507="","",_xlfn.XLOOKUP(F1507,purchase!D:D,purchase!#REF!,""))</f>
        <v/>
      </c>
      <c r="I1507" s="4" t="str">
        <f t="shared" si="163"/>
        <v/>
      </c>
      <c r="J1507" s="4" t="str">
        <f t="shared" si="164"/>
        <v/>
      </c>
      <c r="K1507" s="13" t="str">
        <f>_xlfn.SINGLE(IF(F1507="","",_xlfn.XLOOKUP(F1507,purchase!D:D,purchase!#REF!,"")))</f>
        <v/>
      </c>
      <c r="L1507" s="2"/>
      <c r="M1507" s="32"/>
      <c r="N1507" s="13" t="str">
        <f>IF(F1507="","",
MAX(0,
_xlfn.XLOOKUP(F1507,purchase!D:D,purchase!#REF!,"")
-
SUMIFS(L:L,F:F,F1507)))</f>
        <v/>
      </c>
      <c r="O1507" s="13" t="str">
        <f t="shared" si="165"/>
        <v/>
      </c>
      <c r="P1507" s="35" t="str">
        <f>_xlfn.SINGLE(IF(F1507="","",_xlfn.XLOOKUP(F1507,purchase!D:D,purchase!K:K,"")))</f>
        <v/>
      </c>
      <c r="Q1507" s="29" t="str">
        <f t="shared" si="166"/>
        <v/>
      </c>
      <c r="R1507" s="37" t="str">
        <f t="shared" si="167"/>
        <v/>
      </c>
    </row>
    <row r="1508" spans="1:18" x14ac:dyDescent="0.35">
      <c r="A1508" s="8">
        <v>1504</v>
      </c>
      <c r="B1508" s="9" t="str">
        <f t="shared" si="161"/>
        <v/>
      </c>
      <c r="C1508" s="10"/>
      <c r="D1508" s="9" t="str">
        <f>IF(F1508="","",_xlfn.XLOOKUP(F1508,purchase!D:D,purchase!#REF!,""))</f>
        <v/>
      </c>
      <c r="E1508" s="9" t="str">
        <f>IF(F1508="","",_xlfn.XLOOKUP(F1508,purchase!D:D,purchase!B:B,""))</f>
        <v/>
      </c>
      <c r="F1508" s="2"/>
      <c r="G1508" s="4" t="str">
        <f t="shared" si="162"/>
        <v/>
      </c>
      <c r="H1508" s="4" t="str">
        <f>IF(F1508="","",_xlfn.XLOOKUP(F1508,purchase!D:D,purchase!#REF!,""))</f>
        <v/>
      </c>
      <c r="I1508" s="4" t="str">
        <f t="shared" si="163"/>
        <v/>
      </c>
      <c r="J1508" s="4" t="str">
        <f t="shared" si="164"/>
        <v/>
      </c>
      <c r="K1508" s="13" t="str">
        <f>_xlfn.SINGLE(IF(F1508="","",_xlfn.XLOOKUP(F1508,purchase!D:D,purchase!#REF!,"")))</f>
        <v/>
      </c>
      <c r="L1508" s="2"/>
      <c r="M1508" s="32"/>
      <c r="N1508" s="13" t="str">
        <f>IF(F1508="","",
MAX(0,
_xlfn.XLOOKUP(F1508,purchase!D:D,purchase!#REF!,"")
-
SUMIFS(L:L,F:F,F1508)))</f>
        <v/>
      </c>
      <c r="O1508" s="13" t="str">
        <f t="shared" si="165"/>
        <v/>
      </c>
      <c r="P1508" s="35" t="str">
        <f>_xlfn.SINGLE(IF(F1508="","",_xlfn.XLOOKUP(F1508,purchase!D:D,purchase!K:K,"")))</f>
        <v/>
      </c>
      <c r="Q1508" s="29" t="str">
        <f t="shared" si="166"/>
        <v/>
      </c>
      <c r="R1508" s="37" t="str">
        <f t="shared" si="167"/>
        <v/>
      </c>
    </row>
    <row r="1509" spans="1:18" x14ac:dyDescent="0.35">
      <c r="A1509" s="8">
        <v>1505</v>
      </c>
      <c r="B1509" s="9" t="str">
        <f t="shared" si="161"/>
        <v/>
      </c>
      <c r="C1509" s="10"/>
      <c r="D1509" s="9" t="str">
        <f>IF(F1509="","",_xlfn.XLOOKUP(F1509,purchase!D:D,purchase!#REF!,""))</f>
        <v/>
      </c>
      <c r="E1509" s="9" t="str">
        <f>IF(F1509="","",_xlfn.XLOOKUP(F1509,purchase!D:D,purchase!B:B,""))</f>
        <v/>
      </c>
      <c r="F1509" s="2"/>
      <c r="G1509" s="4" t="str">
        <f t="shared" si="162"/>
        <v/>
      </c>
      <c r="H1509" s="4" t="str">
        <f>IF(F1509="","",_xlfn.XLOOKUP(F1509,purchase!D:D,purchase!#REF!,""))</f>
        <v/>
      </c>
      <c r="I1509" s="4" t="str">
        <f t="shared" si="163"/>
        <v/>
      </c>
      <c r="J1509" s="4" t="str">
        <f t="shared" si="164"/>
        <v/>
      </c>
      <c r="K1509" s="13" t="str">
        <f>_xlfn.SINGLE(IF(F1509="","",_xlfn.XLOOKUP(F1509,purchase!D:D,purchase!#REF!,"")))</f>
        <v/>
      </c>
      <c r="L1509" s="2"/>
      <c r="M1509" s="32"/>
      <c r="N1509" s="13" t="str">
        <f>IF(F1509="","",
MAX(0,
_xlfn.XLOOKUP(F1509,purchase!D:D,purchase!#REF!,"")
-
SUMIFS(L:L,F:F,F1509)))</f>
        <v/>
      </c>
      <c r="O1509" s="13" t="str">
        <f t="shared" si="165"/>
        <v/>
      </c>
      <c r="P1509" s="35" t="str">
        <f>_xlfn.SINGLE(IF(F1509="","",_xlfn.XLOOKUP(F1509,purchase!D:D,purchase!K:K,"")))</f>
        <v/>
      </c>
      <c r="Q1509" s="29" t="str">
        <f t="shared" si="166"/>
        <v/>
      </c>
      <c r="R1509" s="37" t="str">
        <f t="shared" si="167"/>
        <v/>
      </c>
    </row>
    <row r="1510" spans="1:18" x14ac:dyDescent="0.35">
      <c r="A1510" s="8">
        <v>1506</v>
      </c>
      <c r="B1510" s="9" t="str">
        <f t="shared" si="161"/>
        <v/>
      </c>
      <c r="C1510" s="10"/>
      <c r="D1510" s="9" t="str">
        <f>IF(F1510="","",_xlfn.XLOOKUP(F1510,purchase!D:D,purchase!#REF!,""))</f>
        <v/>
      </c>
      <c r="E1510" s="9" t="str">
        <f>IF(F1510="","",_xlfn.XLOOKUP(F1510,purchase!D:D,purchase!B:B,""))</f>
        <v/>
      </c>
      <c r="F1510" s="2"/>
      <c r="G1510" s="4" t="str">
        <f t="shared" si="162"/>
        <v/>
      </c>
      <c r="H1510" s="4" t="str">
        <f>IF(F1510="","",_xlfn.XLOOKUP(F1510,purchase!D:D,purchase!#REF!,""))</f>
        <v/>
      </c>
      <c r="I1510" s="4" t="str">
        <f t="shared" si="163"/>
        <v/>
      </c>
      <c r="J1510" s="4" t="str">
        <f t="shared" si="164"/>
        <v/>
      </c>
      <c r="K1510" s="13" t="str">
        <f>_xlfn.SINGLE(IF(F1510="","",_xlfn.XLOOKUP(F1510,purchase!D:D,purchase!#REF!,"")))</f>
        <v/>
      </c>
      <c r="L1510" s="2"/>
      <c r="M1510" s="32"/>
      <c r="N1510" s="13" t="str">
        <f>IF(F1510="","",
MAX(0,
_xlfn.XLOOKUP(F1510,purchase!D:D,purchase!#REF!,"")
-
SUMIFS(L:L,F:F,F1510)))</f>
        <v/>
      </c>
      <c r="O1510" s="13" t="str">
        <f t="shared" si="165"/>
        <v/>
      </c>
      <c r="P1510" s="35" t="str">
        <f>_xlfn.SINGLE(IF(F1510="","",_xlfn.XLOOKUP(F1510,purchase!D:D,purchase!K:K,"")))</f>
        <v/>
      </c>
      <c r="Q1510" s="29" t="str">
        <f t="shared" si="166"/>
        <v/>
      </c>
      <c r="R1510" s="37" t="str">
        <f t="shared" si="167"/>
        <v/>
      </c>
    </row>
    <row r="1511" spans="1:18" x14ac:dyDescent="0.35">
      <c r="A1511" s="8">
        <v>1507</v>
      </c>
      <c r="B1511" s="9" t="str">
        <f t="shared" si="161"/>
        <v/>
      </c>
      <c r="C1511" s="10"/>
      <c r="D1511" s="9" t="str">
        <f>IF(F1511="","",_xlfn.XLOOKUP(F1511,purchase!D:D,purchase!#REF!,""))</f>
        <v/>
      </c>
      <c r="E1511" s="9" t="str">
        <f>IF(F1511="","",_xlfn.XLOOKUP(F1511,purchase!D:D,purchase!B:B,""))</f>
        <v/>
      </c>
      <c r="F1511" s="2"/>
      <c r="G1511" s="4" t="str">
        <f t="shared" si="162"/>
        <v/>
      </c>
      <c r="H1511" s="4" t="str">
        <f>IF(F1511="","",_xlfn.XLOOKUP(F1511,purchase!D:D,purchase!#REF!,""))</f>
        <v/>
      </c>
      <c r="I1511" s="4" t="str">
        <f t="shared" si="163"/>
        <v/>
      </c>
      <c r="J1511" s="4" t="str">
        <f t="shared" si="164"/>
        <v/>
      </c>
      <c r="K1511" s="13" t="str">
        <f>_xlfn.SINGLE(IF(F1511="","",_xlfn.XLOOKUP(F1511,purchase!D:D,purchase!#REF!,"")))</f>
        <v/>
      </c>
      <c r="L1511" s="2"/>
      <c r="M1511" s="32"/>
      <c r="N1511" s="13" t="str">
        <f>IF(F1511="","",
MAX(0,
_xlfn.XLOOKUP(F1511,purchase!D:D,purchase!#REF!,"")
-
SUMIFS(L:L,F:F,F1511)))</f>
        <v/>
      </c>
      <c r="O1511" s="13" t="str">
        <f t="shared" si="165"/>
        <v/>
      </c>
      <c r="P1511" s="35" t="str">
        <f>_xlfn.SINGLE(IF(F1511="","",_xlfn.XLOOKUP(F1511,purchase!D:D,purchase!K:K,"")))</f>
        <v/>
      </c>
      <c r="Q1511" s="29" t="str">
        <f t="shared" si="166"/>
        <v/>
      </c>
      <c r="R1511" s="37" t="str">
        <f t="shared" si="167"/>
        <v/>
      </c>
    </row>
    <row r="1512" spans="1:18" x14ac:dyDescent="0.35">
      <c r="A1512" s="8">
        <v>1508</v>
      </c>
      <c r="B1512" s="9" t="str">
        <f t="shared" si="161"/>
        <v/>
      </c>
      <c r="C1512" s="10"/>
      <c r="D1512" s="9" t="str">
        <f>IF(F1512="","",_xlfn.XLOOKUP(F1512,purchase!D:D,purchase!#REF!,""))</f>
        <v/>
      </c>
      <c r="E1512" s="9" t="str">
        <f>IF(F1512="","",_xlfn.XLOOKUP(F1512,purchase!D:D,purchase!B:B,""))</f>
        <v/>
      </c>
      <c r="F1512" s="2"/>
      <c r="G1512" s="4" t="str">
        <f t="shared" si="162"/>
        <v/>
      </c>
      <c r="H1512" s="4" t="str">
        <f>IF(F1512="","",_xlfn.XLOOKUP(F1512,purchase!D:D,purchase!#REF!,""))</f>
        <v/>
      </c>
      <c r="I1512" s="4" t="str">
        <f t="shared" si="163"/>
        <v/>
      </c>
      <c r="J1512" s="4" t="str">
        <f t="shared" si="164"/>
        <v/>
      </c>
      <c r="K1512" s="13" t="str">
        <f>_xlfn.SINGLE(IF(F1512="","",_xlfn.XLOOKUP(F1512,purchase!D:D,purchase!#REF!,"")))</f>
        <v/>
      </c>
      <c r="L1512" s="2"/>
      <c r="M1512" s="32"/>
      <c r="N1512" s="13" t="str">
        <f>IF(F1512="","",
MAX(0,
_xlfn.XLOOKUP(F1512,purchase!D:D,purchase!#REF!,"")
-
SUMIFS(L:L,F:F,F1512)))</f>
        <v/>
      </c>
      <c r="O1512" s="13" t="str">
        <f t="shared" si="165"/>
        <v/>
      </c>
      <c r="P1512" s="35" t="str">
        <f>_xlfn.SINGLE(IF(F1512="","",_xlfn.XLOOKUP(F1512,purchase!D:D,purchase!K:K,"")))</f>
        <v/>
      </c>
      <c r="Q1512" s="29" t="str">
        <f t="shared" si="166"/>
        <v/>
      </c>
      <c r="R1512" s="37" t="str">
        <f t="shared" si="167"/>
        <v/>
      </c>
    </row>
    <row r="1513" spans="1:18" x14ac:dyDescent="0.35">
      <c r="A1513" s="8">
        <v>1509</v>
      </c>
      <c r="B1513" s="9" t="str">
        <f t="shared" si="161"/>
        <v/>
      </c>
      <c r="C1513" s="10"/>
      <c r="D1513" s="9" t="str">
        <f>IF(F1513="","",_xlfn.XLOOKUP(F1513,purchase!D:D,purchase!#REF!,""))</f>
        <v/>
      </c>
      <c r="E1513" s="9" t="str">
        <f>IF(F1513="","",_xlfn.XLOOKUP(F1513,purchase!D:D,purchase!B:B,""))</f>
        <v/>
      </c>
      <c r="F1513" s="2"/>
      <c r="G1513" s="4" t="str">
        <f t="shared" si="162"/>
        <v/>
      </c>
      <c r="H1513" s="4" t="str">
        <f>IF(F1513="","",_xlfn.XLOOKUP(F1513,purchase!D:D,purchase!#REF!,""))</f>
        <v/>
      </c>
      <c r="I1513" s="4" t="str">
        <f t="shared" si="163"/>
        <v/>
      </c>
      <c r="J1513" s="4" t="str">
        <f t="shared" si="164"/>
        <v/>
      </c>
      <c r="K1513" s="13" t="str">
        <f>_xlfn.SINGLE(IF(F1513="","",_xlfn.XLOOKUP(F1513,purchase!D:D,purchase!#REF!,"")))</f>
        <v/>
      </c>
      <c r="L1513" s="2"/>
      <c r="M1513" s="32"/>
      <c r="N1513" s="13" t="str">
        <f>IF(F1513="","",
MAX(0,
_xlfn.XLOOKUP(F1513,purchase!D:D,purchase!#REF!,"")
-
SUMIFS(L:L,F:F,F1513)))</f>
        <v/>
      </c>
      <c r="O1513" s="13" t="str">
        <f t="shared" si="165"/>
        <v/>
      </c>
      <c r="P1513" s="35" t="str">
        <f>_xlfn.SINGLE(IF(F1513="","",_xlfn.XLOOKUP(F1513,purchase!D:D,purchase!K:K,"")))</f>
        <v/>
      </c>
      <c r="Q1513" s="29" t="str">
        <f t="shared" si="166"/>
        <v/>
      </c>
      <c r="R1513" s="37" t="str">
        <f t="shared" si="167"/>
        <v/>
      </c>
    </row>
    <row r="1514" spans="1:18" x14ac:dyDescent="0.35">
      <c r="A1514" s="8">
        <v>1510</v>
      </c>
      <c r="B1514" s="9" t="str">
        <f t="shared" si="161"/>
        <v/>
      </c>
      <c r="C1514" s="10"/>
      <c r="D1514" s="9" t="str">
        <f>IF(F1514="","",_xlfn.XLOOKUP(F1514,purchase!D:D,purchase!#REF!,""))</f>
        <v/>
      </c>
      <c r="E1514" s="9" t="str">
        <f>IF(F1514="","",_xlfn.XLOOKUP(F1514,purchase!D:D,purchase!B:B,""))</f>
        <v/>
      </c>
      <c r="F1514" s="2"/>
      <c r="G1514" s="4" t="str">
        <f t="shared" si="162"/>
        <v/>
      </c>
      <c r="H1514" s="4" t="str">
        <f>IF(F1514="","",_xlfn.XLOOKUP(F1514,purchase!D:D,purchase!#REF!,""))</f>
        <v/>
      </c>
      <c r="I1514" s="4" t="str">
        <f t="shared" si="163"/>
        <v/>
      </c>
      <c r="J1514" s="4" t="str">
        <f t="shared" si="164"/>
        <v/>
      </c>
      <c r="K1514" s="13" t="str">
        <f>_xlfn.SINGLE(IF(F1514="","",_xlfn.XLOOKUP(F1514,purchase!D:D,purchase!#REF!,"")))</f>
        <v/>
      </c>
      <c r="L1514" s="2"/>
      <c r="M1514" s="32"/>
      <c r="N1514" s="13" t="str">
        <f>IF(F1514="","",
MAX(0,
_xlfn.XLOOKUP(F1514,purchase!D:D,purchase!#REF!,"")
-
SUMIFS(L:L,F:F,F1514)))</f>
        <v/>
      </c>
      <c r="O1514" s="13" t="str">
        <f t="shared" si="165"/>
        <v/>
      </c>
      <c r="P1514" s="35" t="str">
        <f>_xlfn.SINGLE(IF(F1514="","",_xlfn.XLOOKUP(F1514,purchase!D:D,purchase!K:K,"")))</f>
        <v/>
      </c>
      <c r="Q1514" s="29" t="str">
        <f t="shared" si="166"/>
        <v/>
      </c>
      <c r="R1514" s="37" t="str">
        <f t="shared" si="167"/>
        <v/>
      </c>
    </row>
    <row r="1515" spans="1:18" x14ac:dyDescent="0.35">
      <c r="A1515" s="8">
        <v>1511</v>
      </c>
      <c r="B1515" s="9" t="str">
        <f t="shared" si="161"/>
        <v/>
      </c>
      <c r="C1515" s="10"/>
      <c r="D1515" s="9" t="str">
        <f>IF(F1515="","",_xlfn.XLOOKUP(F1515,purchase!D:D,purchase!#REF!,""))</f>
        <v/>
      </c>
      <c r="E1515" s="9" t="str">
        <f>IF(F1515="","",_xlfn.XLOOKUP(F1515,purchase!D:D,purchase!B:B,""))</f>
        <v/>
      </c>
      <c r="F1515" s="2"/>
      <c r="G1515" s="4" t="str">
        <f t="shared" si="162"/>
        <v/>
      </c>
      <c r="H1515" s="4" t="str">
        <f>IF(F1515="","",_xlfn.XLOOKUP(F1515,purchase!D:D,purchase!#REF!,""))</f>
        <v/>
      </c>
      <c r="I1515" s="4" t="str">
        <f t="shared" si="163"/>
        <v/>
      </c>
      <c r="J1515" s="4" t="str">
        <f t="shared" si="164"/>
        <v/>
      </c>
      <c r="K1515" s="13" t="str">
        <f>_xlfn.SINGLE(IF(F1515="","",_xlfn.XLOOKUP(F1515,purchase!D:D,purchase!#REF!,"")))</f>
        <v/>
      </c>
      <c r="L1515" s="2"/>
      <c r="M1515" s="32"/>
      <c r="N1515" s="13" t="str">
        <f>IF(F1515="","",
MAX(0,
_xlfn.XLOOKUP(F1515,purchase!D:D,purchase!#REF!,"")
-
SUMIFS(L:L,F:F,F1515)))</f>
        <v/>
      </c>
      <c r="O1515" s="13" t="str">
        <f t="shared" si="165"/>
        <v/>
      </c>
      <c r="P1515" s="35" t="str">
        <f>_xlfn.SINGLE(IF(F1515="","",_xlfn.XLOOKUP(F1515,purchase!D:D,purchase!K:K,"")))</f>
        <v/>
      </c>
      <c r="Q1515" s="29" t="str">
        <f t="shared" si="166"/>
        <v/>
      </c>
      <c r="R1515" s="37" t="str">
        <f t="shared" si="167"/>
        <v/>
      </c>
    </row>
    <row r="1516" spans="1:18" x14ac:dyDescent="0.35">
      <c r="A1516" s="8">
        <v>1512</v>
      </c>
      <c r="B1516" s="9" t="str">
        <f t="shared" si="161"/>
        <v/>
      </c>
      <c r="C1516" s="10"/>
      <c r="D1516" s="9" t="str">
        <f>IF(F1516="","",_xlfn.XLOOKUP(F1516,purchase!D:D,purchase!#REF!,""))</f>
        <v/>
      </c>
      <c r="E1516" s="9" t="str">
        <f>IF(F1516="","",_xlfn.XLOOKUP(F1516,purchase!D:D,purchase!B:B,""))</f>
        <v/>
      </c>
      <c r="F1516" s="2"/>
      <c r="G1516" s="4" t="str">
        <f t="shared" si="162"/>
        <v/>
      </c>
      <c r="H1516" s="4" t="str">
        <f>IF(F1516="","",_xlfn.XLOOKUP(F1516,purchase!D:D,purchase!#REF!,""))</f>
        <v/>
      </c>
      <c r="I1516" s="4" t="str">
        <f t="shared" si="163"/>
        <v/>
      </c>
      <c r="J1516" s="4" t="str">
        <f t="shared" si="164"/>
        <v/>
      </c>
      <c r="K1516" s="13" t="str">
        <f>_xlfn.SINGLE(IF(F1516="","",_xlfn.XLOOKUP(F1516,purchase!D:D,purchase!#REF!,"")))</f>
        <v/>
      </c>
      <c r="L1516" s="2"/>
      <c r="M1516" s="32"/>
      <c r="N1516" s="13" t="str">
        <f>IF(F1516="","",
MAX(0,
_xlfn.XLOOKUP(F1516,purchase!D:D,purchase!#REF!,"")
-
SUMIFS(L:L,F:F,F1516)))</f>
        <v/>
      </c>
      <c r="O1516" s="13" t="str">
        <f t="shared" si="165"/>
        <v/>
      </c>
      <c r="P1516" s="35" t="str">
        <f>_xlfn.SINGLE(IF(F1516="","",_xlfn.XLOOKUP(F1516,purchase!D:D,purchase!K:K,"")))</f>
        <v/>
      </c>
      <c r="Q1516" s="29" t="str">
        <f t="shared" si="166"/>
        <v/>
      </c>
      <c r="R1516" s="37" t="str">
        <f t="shared" si="167"/>
        <v/>
      </c>
    </row>
    <row r="1517" spans="1:18" x14ac:dyDescent="0.35">
      <c r="A1517" s="8">
        <v>1513</v>
      </c>
      <c r="B1517" s="9" t="str">
        <f t="shared" si="161"/>
        <v/>
      </c>
      <c r="C1517" s="10"/>
      <c r="D1517" s="9" t="str">
        <f>IF(F1517="","",_xlfn.XLOOKUP(F1517,purchase!D:D,purchase!#REF!,""))</f>
        <v/>
      </c>
      <c r="E1517" s="9" t="str">
        <f>IF(F1517="","",_xlfn.XLOOKUP(F1517,purchase!D:D,purchase!B:B,""))</f>
        <v/>
      </c>
      <c r="F1517" s="2"/>
      <c r="G1517" s="4" t="str">
        <f t="shared" si="162"/>
        <v/>
      </c>
      <c r="H1517" s="4" t="str">
        <f>IF(F1517="","",_xlfn.XLOOKUP(F1517,purchase!D:D,purchase!#REF!,""))</f>
        <v/>
      </c>
      <c r="I1517" s="4" t="str">
        <f t="shared" si="163"/>
        <v/>
      </c>
      <c r="J1517" s="4" t="str">
        <f t="shared" si="164"/>
        <v/>
      </c>
      <c r="K1517" s="13" t="str">
        <f>_xlfn.SINGLE(IF(F1517="","",_xlfn.XLOOKUP(F1517,purchase!D:D,purchase!#REF!,"")))</f>
        <v/>
      </c>
      <c r="L1517" s="2"/>
      <c r="M1517" s="32"/>
      <c r="N1517" s="13" t="str">
        <f>IF(F1517="","",
MAX(0,
_xlfn.XLOOKUP(F1517,purchase!D:D,purchase!#REF!,"")
-
SUMIFS(L:L,F:F,F1517)))</f>
        <v/>
      </c>
      <c r="O1517" s="13" t="str">
        <f t="shared" si="165"/>
        <v/>
      </c>
      <c r="P1517" s="35" t="str">
        <f>_xlfn.SINGLE(IF(F1517="","",_xlfn.XLOOKUP(F1517,purchase!D:D,purchase!K:K,"")))</f>
        <v/>
      </c>
      <c r="Q1517" s="29" t="str">
        <f t="shared" si="166"/>
        <v/>
      </c>
      <c r="R1517" s="37" t="str">
        <f t="shared" si="167"/>
        <v/>
      </c>
    </row>
    <row r="1518" spans="1:18" x14ac:dyDescent="0.35">
      <c r="A1518" s="8">
        <v>1514</v>
      </c>
      <c r="B1518" s="9" t="str">
        <f t="shared" si="161"/>
        <v/>
      </c>
      <c r="C1518" s="10"/>
      <c r="D1518" s="9" t="str">
        <f>IF(F1518="","",_xlfn.XLOOKUP(F1518,purchase!D:D,purchase!#REF!,""))</f>
        <v/>
      </c>
      <c r="E1518" s="9" t="str">
        <f>IF(F1518="","",_xlfn.XLOOKUP(F1518,purchase!D:D,purchase!B:B,""))</f>
        <v/>
      </c>
      <c r="F1518" s="2"/>
      <c r="G1518" s="4" t="str">
        <f t="shared" si="162"/>
        <v/>
      </c>
      <c r="H1518" s="4" t="str">
        <f>IF(F1518="","",_xlfn.XLOOKUP(F1518,purchase!D:D,purchase!#REF!,""))</f>
        <v/>
      </c>
      <c r="I1518" s="4" t="str">
        <f t="shared" si="163"/>
        <v/>
      </c>
      <c r="J1518" s="4" t="str">
        <f t="shared" si="164"/>
        <v/>
      </c>
      <c r="K1518" s="13" t="str">
        <f>_xlfn.SINGLE(IF(F1518="","",_xlfn.XLOOKUP(F1518,purchase!D:D,purchase!#REF!,"")))</f>
        <v/>
      </c>
      <c r="L1518" s="2"/>
      <c r="M1518" s="32"/>
      <c r="N1518" s="13" t="str">
        <f>IF(F1518="","",
MAX(0,
_xlfn.XLOOKUP(F1518,purchase!D:D,purchase!#REF!,"")
-
SUMIFS(L:L,F:F,F1518)))</f>
        <v/>
      </c>
      <c r="O1518" s="13" t="str">
        <f t="shared" si="165"/>
        <v/>
      </c>
      <c r="P1518" s="35" t="str">
        <f>_xlfn.SINGLE(IF(F1518="","",_xlfn.XLOOKUP(F1518,purchase!D:D,purchase!K:K,"")))</f>
        <v/>
      </c>
      <c r="Q1518" s="29" t="str">
        <f t="shared" si="166"/>
        <v/>
      </c>
      <c r="R1518" s="37" t="str">
        <f t="shared" si="167"/>
        <v/>
      </c>
    </row>
    <row r="1519" spans="1:18" x14ac:dyDescent="0.35">
      <c r="A1519" s="8">
        <v>1515</v>
      </c>
      <c r="B1519" s="9" t="str">
        <f t="shared" si="161"/>
        <v/>
      </c>
      <c r="C1519" s="10"/>
      <c r="D1519" s="9" t="str">
        <f>IF(F1519="","",_xlfn.XLOOKUP(F1519,purchase!D:D,purchase!#REF!,""))</f>
        <v/>
      </c>
      <c r="E1519" s="9" t="str">
        <f>IF(F1519="","",_xlfn.XLOOKUP(F1519,purchase!D:D,purchase!B:B,""))</f>
        <v/>
      </c>
      <c r="F1519" s="2"/>
      <c r="G1519" s="4" t="str">
        <f t="shared" si="162"/>
        <v/>
      </c>
      <c r="H1519" s="4" t="str">
        <f>IF(F1519="","",_xlfn.XLOOKUP(F1519,purchase!D:D,purchase!#REF!,""))</f>
        <v/>
      </c>
      <c r="I1519" s="4" t="str">
        <f t="shared" si="163"/>
        <v/>
      </c>
      <c r="J1519" s="4" t="str">
        <f t="shared" si="164"/>
        <v/>
      </c>
      <c r="K1519" s="13" t="str">
        <f>_xlfn.SINGLE(IF(F1519="","",_xlfn.XLOOKUP(F1519,purchase!D:D,purchase!#REF!,"")))</f>
        <v/>
      </c>
      <c r="L1519" s="2"/>
      <c r="M1519" s="32"/>
      <c r="N1519" s="13" t="str">
        <f>IF(F1519="","",
MAX(0,
_xlfn.XLOOKUP(F1519,purchase!D:D,purchase!#REF!,"")
-
SUMIFS(L:L,F:F,F1519)))</f>
        <v/>
      </c>
      <c r="O1519" s="13" t="str">
        <f t="shared" si="165"/>
        <v/>
      </c>
      <c r="P1519" s="35" t="str">
        <f>_xlfn.SINGLE(IF(F1519="","",_xlfn.XLOOKUP(F1519,purchase!D:D,purchase!K:K,"")))</f>
        <v/>
      </c>
      <c r="Q1519" s="29" t="str">
        <f t="shared" si="166"/>
        <v/>
      </c>
      <c r="R1519" s="37" t="str">
        <f t="shared" si="167"/>
        <v/>
      </c>
    </row>
    <row r="1520" spans="1:18" x14ac:dyDescent="0.35">
      <c r="A1520" s="8">
        <v>1516</v>
      </c>
      <c r="B1520" s="9" t="str">
        <f t="shared" si="161"/>
        <v/>
      </c>
      <c r="C1520" s="10"/>
      <c r="D1520" s="9" t="str">
        <f>IF(F1520="","",_xlfn.XLOOKUP(F1520,purchase!D:D,purchase!#REF!,""))</f>
        <v/>
      </c>
      <c r="E1520" s="9" t="str">
        <f>IF(F1520="","",_xlfn.XLOOKUP(F1520,purchase!D:D,purchase!B:B,""))</f>
        <v/>
      </c>
      <c r="F1520" s="2"/>
      <c r="G1520" s="4" t="str">
        <f t="shared" si="162"/>
        <v/>
      </c>
      <c r="H1520" s="4" t="str">
        <f>IF(F1520="","",_xlfn.XLOOKUP(F1520,purchase!D:D,purchase!#REF!,""))</f>
        <v/>
      </c>
      <c r="I1520" s="4" t="str">
        <f t="shared" si="163"/>
        <v/>
      </c>
      <c r="J1520" s="4" t="str">
        <f t="shared" si="164"/>
        <v/>
      </c>
      <c r="K1520" s="13" t="str">
        <f>_xlfn.SINGLE(IF(F1520="","",_xlfn.XLOOKUP(F1520,purchase!D:D,purchase!#REF!,"")))</f>
        <v/>
      </c>
      <c r="L1520" s="2"/>
      <c r="M1520" s="32"/>
      <c r="N1520" s="13" t="str">
        <f>IF(F1520="","",
MAX(0,
_xlfn.XLOOKUP(F1520,purchase!D:D,purchase!#REF!,"")
-
SUMIFS(L:L,F:F,F1520)))</f>
        <v/>
      </c>
      <c r="O1520" s="13" t="str">
        <f t="shared" si="165"/>
        <v/>
      </c>
      <c r="P1520" s="35" t="str">
        <f>_xlfn.SINGLE(IF(F1520="","",_xlfn.XLOOKUP(F1520,purchase!D:D,purchase!K:K,"")))</f>
        <v/>
      </c>
      <c r="Q1520" s="29" t="str">
        <f t="shared" si="166"/>
        <v/>
      </c>
      <c r="R1520" s="37" t="str">
        <f t="shared" si="167"/>
        <v/>
      </c>
    </row>
    <row r="1521" spans="1:18" x14ac:dyDescent="0.35">
      <c r="A1521" s="8">
        <v>1517</v>
      </c>
      <c r="B1521" s="9" t="str">
        <f t="shared" si="161"/>
        <v/>
      </c>
      <c r="C1521" s="10"/>
      <c r="D1521" s="9" t="str">
        <f>IF(F1521="","",_xlfn.XLOOKUP(F1521,purchase!D:D,purchase!#REF!,""))</f>
        <v/>
      </c>
      <c r="E1521" s="9" t="str">
        <f>IF(F1521="","",_xlfn.XLOOKUP(F1521,purchase!D:D,purchase!B:B,""))</f>
        <v/>
      </c>
      <c r="F1521" s="2"/>
      <c r="G1521" s="4" t="str">
        <f t="shared" si="162"/>
        <v/>
      </c>
      <c r="H1521" s="4" t="str">
        <f>IF(F1521="","",_xlfn.XLOOKUP(F1521,purchase!D:D,purchase!#REF!,""))</f>
        <v/>
      </c>
      <c r="I1521" s="4" t="str">
        <f t="shared" si="163"/>
        <v/>
      </c>
      <c r="J1521" s="4" t="str">
        <f t="shared" si="164"/>
        <v/>
      </c>
      <c r="K1521" s="13" t="str">
        <f>_xlfn.SINGLE(IF(F1521="","",_xlfn.XLOOKUP(F1521,purchase!D:D,purchase!#REF!,"")))</f>
        <v/>
      </c>
      <c r="L1521" s="2"/>
      <c r="M1521" s="32"/>
      <c r="N1521" s="13" t="str">
        <f>IF(F1521="","",
MAX(0,
_xlfn.XLOOKUP(F1521,purchase!D:D,purchase!#REF!,"")
-
SUMIFS(L:L,F:F,F1521)))</f>
        <v/>
      </c>
      <c r="O1521" s="13" t="str">
        <f t="shared" si="165"/>
        <v/>
      </c>
      <c r="P1521" s="35" t="str">
        <f>_xlfn.SINGLE(IF(F1521="","",_xlfn.XLOOKUP(F1521,purchase!D:D,purchase!K:K,"")))</f>
        <v/>
      </c>
      <c r="Q1521" s="29" t="str">
        <f t="shared" si="166"/>
        <v/>
      </c>
      <c r="R1521" s="37" t="str">
        <f t="shared" si="167"/>
        <v/>
      </c>
    </row>
    <row r="1522" spans="1:18" x14ac:dyDescent="0.35">
      <c r="A1522" s="8">
        <v>1518</v>
      </c>
      <c r="B1522" s="9" t="str">
        <f t="shared" si="161"/>
        <v/>
      </c>
      <c r="C1522" s="10"/>
      <c r="D1522" s="9" t="str">
        <f>IF(F1522="","",_xlfn.XLOOKUP(F1522,purchase!D:D,purchase!#REF!,""))</f>
        <v/>
      </c>
      <c r="E1522" s="9" t="str">
        <f>IF(F1522="","",_xlfn.XLOOKUP(F1522,purchase!D:D,purchase!B:B,""))</f>
        <v/>
      </c>
      <c r="F1522" s="2"/>
      <c r="G1522" s="4" t="str">
        <f t="shared" si="162"/>
        <v/>
      </c>
      <c r="H1522" s="4" t="str">
        <f>IF(F1522="","",_xlfn.XLOOKUP(F1522,purchase!D:D,purchase!#REF!,""))</f>
        <v/>
      </c>
      <c r="I1522" s="4" t="str">
        <f t="shared" si="163"/>
        <v/>
      </c>
      <c r="J1522" s="4" t="str">
        <f t="shared" si="164"/>
        <v/>
      </c>
      <c r="K1522" s="13" t="str">
        <f>_xlfn.SINGLE(IF(F1522="","",_xlfn.XLOOKUP(F1522,purchase!D:D,purchase!#REF!,"")))</f>
        <v/>
      </c>
      <c r="L1522" s="2"/>
      <c r="M1522" s="32"/>
      <c r="N1522" s="13" t="str">
        <f>IF(F1522="","",
MAX(0,
_xlfn.XLOOKUP(F1522,purchase!D:D,purchase!#REF!,"")
-
SUMIFS(L:L,F:F,F1522)))</f>
        <v/>
      </c>
      <c r="O1522" s="13" t="str">
        <f t="shared" si="165"/>
        <v/>
      </c>
      <c r="P1522" s="35" t="str">
        <f>_xlfn.SINGLE(IF(F1522="","",_xlfn.XLOOKUP(F1522,purchase!D:D,purchase!K:K,"")))</f>
        <v/>
      </c>
      <c r="Q1522" s="29" t="str">
        <f t="shared" si="166"/>
        <v/>
      </c>
      <c r="R1522" s="37" t="str">
        <f t="shared" si="167"/>
        <v/>
      </c>
    </row>
    <row r="1523" spans="1:18" x14ac:dyDescent="0.35">
      <c r="A1523" s="8">
        <v>1519</v>
      </c>
      <c r="B1523" s="9" t="str">
        <f t="shared" si="161"/>
        <v/>
      </c>
      <c r="C1523" s="10"/>
      <c r="D1523" s="9" t="str">
        <f>IF(F1523="","",_xlfn.XLOOKUP(F1523,purchase!D:D,purchase!#REF!,""))</f>
        <v/>
      </c>
      <c r="E1523" s="9" t="str">
        <f>IF(F1523="","",_xlfn.XLOOKUP(F1523,purchase!D:D,purchase!B:B,""))</f>
        <v/>
      </c>
      <c r="F1523" s="2"/>
      <c r="G1523" s="4" t="str">
        <f t="shared" si="162"/>
        <v/>
      </c>
      <c r="H1523" s="4" t="str">
        <f>IF(F1523="","",_xlfn.XLOOKUP(F1523,purchase!D:D,purchase!#REF!,""))</f>
        <v/>
      </c>
      <c r="I1523" s="4" t="str">
        <f t="shared" si="163"/>
        <v/>
      </c>
      <c r="J1523" s="4" t="str">
        <f t="shared" si="164"/>
        <v/>
      </c>
      <c r="K1523" s="13" t="str">
        <f>_xlfn.SINGLE(IF(F1523="","",_xlfn.XLOOKUP(F1523,purchase!D:D,purchase!#REF!,"")))</f>
        <v/>
      </c>
      <c r="L1523" s="2"/>
      <c r="M1523" s="32"/>
      <c r="N1523" s="13" t="str">
        <f>IF(F1523="","",
MAX(0,
_xlfn.XLOOKUP(F1523,purchase!D:D,purchase!#REF!,"")
-
SUMIFS(L:L,F:F,F1523)))</f>
        <v/>
      </c>
      <c r="O1523" s="13" t="str">
        <f t="shared" si="165"/>
        <v/>
      </c>
      <c r="P1523" s="35" t="str">
        <f>_xlfn.SINGLE(IF(F1523="","",_xlfn.XLOOKUP(F1523,purchase!D:D,purchase!K:K,"")))</f>
        <v/>
      </c>
      <c r="Q1523" s="29" t="str">
        <f t="shared" si="166"/>
        <v/>
      </c>
      <c r="R1523" s="37" t="str">
        <f t="shared" si="167"/>
        <v/>
      </c>
    </row>
    <row r="1524" spans="1:18" x14ac:dyDescent="0.35">
      <c r="A1524" s="8">
        <v>1520</v>
      </c>
      <c r="B1524" s="9" t="str">
        <f t="shared" si="161"/>
        <v/>
      </c>
      <c r="C1524" s="10"/>
      <c r="D1524" s="9" t="str">
        <f>IF(F1524="","",_xlfn.XLOOKUP(F1524,purchase!D:D,purchase!#REF!,""))</f>
        <v/>
      </c>
      <c r="E1524" s="9" t="str">
        <f>IF(F1524="","",_xlfn.XLOOKUP(F1524,purchase!D:D,purchase!B:B,""))</f>
        <v/>
      </c>
      <c r="F1524" s="2"/>
      <c r="G1524" s="4" t="str">
        <f t="shared" si="162"/>
        <v/>
      </c>
      <c r="H1524" s="4" t="str">
        <f>IF(F1524="","",_xlfn.XLOOKUP(F1524,purchase!D:D,purchase!#REF!,""))</f>
        <v/>
      </c>
      <c r="I1524" s="4" t="str">
        <f t="shared" si="163"/>
        <v/>
      </c>
      <c r="J1524" s="4" t="str">
        <f t="shared" si="164"/>
        <v/>
      </c>
      <c r="K1524" s="13" t="str">
        <f>_xlfn.SINGLE(IF(F1524="","",_xlfn.XLOOKUP(F1524,purchase!D:D,purchase!#REF!,"")))</f>
        <v/>
      </c>
      <c r="L1524" s="2"/>
      <c r="M1524" s="32"/>
      <c r="N1524" s="13" t="str">
        <f>IF(F1524="","",
MAX(0,
_xlfn.XLOOKUP(F1524,purchase!D:D,purchase!#REF!,"")
-
SUMIFS(L:L,F:F,F1524)))</f>
        <v/>
      </c>
      <c r="O1524" s="13" t="str">
        <f t="shared" si="165"/>
        <v/>
      </c>
      <c r="P1524" s="35" t="str">
        <f>_xlfn.SINGLE(IF(F1524="","",_xlfn.XLOOKUP(F1524,purchase!D:D,purchase!K:K,"")))</f>
        <v/>
      </c>
      <c r="Q1524" s="29" t="str">
        <f t="shared" si="166"/>
        <v/>
      </c>
      <c r="R1524" s="37" t="str">
        <f t="shared" si="167"/>
        <v/>
      </c>
    </row>
    <row r="1525" spans="1:18" x14ac:dyDescent="0.35">
      <c r="A1525" s="8">
        <v>1521</v>
      </c>
      <c r="B1525" s="9" t="str">
        <f t="shared" si="161"/>
        <v/>
      </c>
      <c r="C1525" s="10"/>
      <c r="D1525" s="9" t="str">
        <f>IF(F1525="","",_xlfn.XLOOKUP(F1525,purchase!D:D,purchase!#REF!,""))</f>
        <v/>
      </c>
      <c r="E1525" s="9" t="str">
        <f>IF(F1525="","",_xlfn.XLOOKUP(F1525,purchase!D:D,purchase!B:B,""))</f>
        <v/>
      </c>
      <c r="F1525" s="2"/>
      <c r="G1525" s="4" t="str">
        <f t="shared" si="162"/>
        <v/>
      </c>
      <c r="H1525" s="4" t="str">
        <f>IF(F1525="","",_xlfn.XLOOKUP(F1525,purchase!D:D,purchase!#REF!,""))</f>
        <v/>
      </c>
      <c r="I1525" s="4" t="str">
        <f t="shared" si="163"/>
        <v/>
      </c>
      <c r="J1525" s="4" t="str">
        <f t="shared" si="164"/>
        <v/>
      </c>
      <c r="K1525" s="13" t="str">
        <f>_xlfn.SINGLE(IF(F1525="","",_xlfn.XLOOKUP(F1525,purchase!D:D,purchase!#REF!,"")))</f>
        <v/>
      </c>
      <c r="L1525" s="2"/>
      <c r="M1525" s="32"/>
      <c r="N1525" s="13" t="str">
        <f>IF(F1525="","",
MAX(0,
_xlfn.XLOOKUP(F1525,purchase!D:D,purchase!#REF!,"")
-
SUMIFS(L:L,F:F,F1525)))</f>
        <v/>
      </c>
      <c r="O1525" s="13" t="str">
        <f t="shared" si="165"/>
        <v/>
      </c>
      <c r="P1525" s="35" t="str">
        <f>_xlfn.SINGLE(IF(F1525="","",_xlfn.XLOOKUP(F1525,purchase!D:D,purchase!K:K,"")))</f>
        <v/>
      </c>
      <c r="Q1525" s="29" t="str">
        <f t="shared" si="166"/>
        <v/>
      </c>
      <c r="R1525" s="37" t="str">
        <f t="shared" si="167"/>
        <v/>
      </c>
    </row>
    <row r="1526" spans="1:18" x14ac:dyDescent="0.35">
      <c r="A1526" s="8">
        <v>1522</v>
      </c>
      <c r="B1526" s="9" t="str">
        <f t="shared" si="161"/>
        <v/>
      </c>
      <c r="C1526" s="10"/>
      <c r="D1526" s="9" t="str">
        <f>IF(F1526="","",_xlfn.XLOOKUP(F1526,purchase!D:D,purchase!#REF!,""))</f>
        <v/>
      </c>
      <c r="E1526" s="9" t="str">
        <f>IF(F1526="","",_xlfn.XLOOKUP(F1526,purchase!D:D,purchase!B:B,""))</f>
        <v/>
      </c>
      <c r="F1526" s="2"/>
      <c r="G1526" s="4" t="str">
        <f t="shared" si="162"/>
        <v/>
      </c>
      <c r="H1526" s="4" t="str">
        <f>IF(F1526="","",_xlfn.XLOOKUP(F1526,purchase!D:D,purchase!#REF!,""))</f>
        <v/>
      </c>
      <c r="I1526" s="4" t="str">
        <f t="shared" si="163"/>
        <v/>
      </c>
      <c r="J1526" s="4" t="str">
        <f t="shared" si="164"/>
        <v/>
      </c>
      <c r="K1526" s="13" t="str">
        <f>_xlfn.SINGLE(IF(F1526="","",_xlfn.XLOOKUP(F1526,purchase!D:D,purchase!#REF!,"")))</f>
        <v/>
      </c>
      <c r="L1526" s="2"/>
      <c r="M1526" s="32"/>
      <c r="N1526" s="13" t="str">
        <f>IF(F1526="","",
MAX(0,
_xlfn.XLOOKUP(F1526,purchase!D:D,purchase!#REF!,"")
-
SUMIFS(L:L,F:F,F1526)))</f>
        <v/>
      </c>
      <c r="O1526" s="13" t="str">
        <f t="shared" si="165"/>
        <v/>
      </c>
      <c r="P1526" s="35" t="str">
        <f>_xlfn.SINGLE(IF(F1526="","",_xlfn.XLOOKUP(F1526,purchase!D:D,purchase!K:K,"")))</f>
        <v/>
      </c>
      <c r="Q1526" s="29" t="str">
        <f t="shared" si="166"/>
        <v/>
      </c>
      <c r="R1526" s="37" t="str">
        <f t="shared" si="167"/>
        <v/>
      </c>
    </row>
    <row r="1527" spans="1:18" x14ac:dyDescent="0.35">
      <c r="A1527" s="8">
        <v>1523</v>
      </c>
      <c r="B1527" s="9" t="str">
        <f t="shared" si="161"/>
        <v/>
      </c>
      <c r="C1527" s="10"/>
      <c r="D1527" s="9" t="str">
        <f>IF(F1527="","",_xlfn.XLOOKUP(F1527,purchase!D:D,purchase!#REF!,""))</f>
        <v/>
      </c>
      <c r="E1527" s="9" t="str">
        <f>IF(F1527="","",_xlfn.XLOOKUP(F1527,purchase!D:D,purchase!B:B,""))</f>
        <v/>
      </c>
      <c r="F1527" s="2"/>
      <c r="G1527" s="4" t="str">
        <f t="shared" si="162"/>
        <v/>
      </c>
      <c r="H1527" s="4" t="str">
        <f>IF(F1527="","",_xlfn.XLOOKUP(F1527,purchase!D:D,purchase!#REF!,""))</f>
        <v/>
      </c>
      <c r="I1527" s="4" t="str">
        <f t="shared" si="163"/>
        <v/>
      </c>
      <c r="J1527" s="4" t="str">
        <f t="shared" si="164"/>
        <v/>
      </c>
      <c r="K1527" s="13" t="str">
        <f>_xlfn.SINGLE(IF(F1527="","",_xlfn.XLOOKUP(F1527,purchase!D:D,purchase!#REF!,"")))</f>
        <v/>
      </c>
      <c r="L1527" s="2"/>
      <c r="M1527" s="32"/>
      <c r="N1527" s="13" t="str">
        <f>IF(F1527="","",
MAX(0,
_xlfn.XLOOKUP(F1527,purchase!D:D,purchase!#REF!,"")
-
SUMIFS(L:L,F:F,F1527)))</f>
        <v/>
      </c>
      <c r="O1527" s="13" t="str">
        <f t="shared" si="165"/>
        <v/>
      </c>
      <c r="P1527" s="35" t="str">
        <f>_xlfn.SINGLE(IF(F1527="","",_xlfn.XLOOKUP(F1527,purchase!D:D,purchase!K:K,"")))</f>
        <v/>
      </c>
      <c r="Q1527" s="29" t="str">
        <f t="shared" si="166"/>
        <v/>
      </c>
      <c r="R1527" s="37" t="str">
        <f t="shared" si="167"/>
        <v/>
      </c>
    </row>
    <row r="1528" spans="1:18" x14ac:dyDescent="0.35">
      <c r="A1528" s="8">
        <v>1524</v>
      </c>
      <c r="B1528" s="9" t="str">
        <f t="shared" si="161"/>
        <v/>
      </c>
      <c r="C1528" s="10"/>
      <c r="D1528" s="9" t="str">
        <f>IF(F1528="","",_xlfn.XLOOKUP(F1528,purchase!D:D,purchase!#REF!,""))</f>
        <v/>
      </c>
      <c r="E1528" s="9" t="str">
        <f>IF(F1528="","",_xlfn.XLOOKUP(F1528,purchase!D:D,purchase!B:B,""))</f>
        <v/>
      </c>
      <c r="F1528" s="2"/>
      <c r="G1528" s="4" t="str">
        <f t="shared" si="162"/>
        <v/>
      </c>
      <c r="H1528" s="4" t="str">
        <f>IF(F1528="","",_xlfn.XLOOKUP(F1528,purchase!D:D,purchase!#REF!,""))</f>
        <v/>
      </c>
      <c r="I1528" s="4" t="str">
        <f t="shared" si="163"/>
        <v/>
      </c>
      <c r="J1528" s="4" t="str">
        <f t="shared" si="164"/>
        <v/>
      </c>
      <c r="K1528" s="13" t="str">
        <f>_xlfn.SINGLE(IF(F1528="","",_xlfn.XLOOKUP(F1528,purchase!D:D,purchase!#REF!,"")))</f>
        <v/>
      </c>
      <c r="L1528" s="2"/>
      <c r="M1528" s="32"/>
      <c r="N1528" s="13" t="str">
        <f>IF(F1528="","",
MAX(0,
_xlfn.XLOOKUP(F1528,purchase!D:D,purchase!#REF!,"")
-
SUMIFS(L:L,F:F,F1528)))</f>
        <v/>
      </c>
      <c r="O1528" s="13" t="str">
        <f t="shared" si="165"/>
        <v/>
      </c>
      <c r="P1528" s="35" t="str">
        <f>_xlfn.SINGLE(IF(F1528="","",_xlfn.XLOOKUP(F1528,purchase!D:D,purchase!K:K,"")))</f>
        <v/>
      </c>
      <c r="Q1528" s="29" t="str">
        <f t="shared" si="166"/>
        <v/>
      </c>
      <c r="R1528" s="37" t="str">
        <f t="shared" si="167"/>
        <v/>
      </c>
    </row>
    <row r="1529" spans="1:18" x14ac:dyDescent="0.35">
      <c r="A1529" s="8">
        <v>1525</v>
      </c>
      <c r="B1529" s="9" t="str">
        <f t="shared" si="161"/>
        <v/>
      </c>
      <c r="C1529" s="10"/>
      <c r="D1529" s="9" t="str">
        <f>IF(F1529="","",_xlfn.XLOOKUP(F1529,purchase!D:D,purchase!#REF!,""))</f>
        <v/>
      </c>
      <c r="E1529" s="9" t="str">
        <f>IF(F1529="","",_xlfn.XLOOKUP(F1529,purchase!D:D,purchase!B:B,""))</f>
        <v/>
      </c>
      <c r="F1529" s="2"/>
      <c r="G1529" s="4" t="str">
        <f t="shared" si="162"/>
        <v/>
      </c>
      <c r="H1529" s="4" t="str">
        <f>IF(F1529="","",_xlfn.XLOOKUP(F1529,purchase!D:D,purchase!#REF!,""))</f>
        <v/>
      </c>
      <c r="I1529" s="4" t="str">
        <f t="shared" si="163"/>
        <v/>
      </c>
      <c r="J1529" s="4" t="str">
        <f t="shared" si="164"/>
        <v/>
      </c>
      <c r="K1529" s="13" t="str">
        <f>_xlfn.SINGLE(IF(F1529="","",_xlfn.XLOOKUP(F1529,purchase!D:D,purchase!#REF!,"")))</f>
        <v/>
      </c>
      <c r="L1529" s="2"/>
      <c r="M1529" s="32"/>
      <c r="N1529" s="13" t="str">
        <f>IF(F1529="","",
MAX(0,
_xlfn.XLOOKUP(F1529,purchase!D:D,purchase!#REF!,"")
-
SUMIFS(L:L,F:F,F1529)))</f>
        <v/>
      </c>
      <c r="O1529" s="13" t="str">
        <f t="shared" si="165"/>
        <v/>
      </c>
      <c r="P1529" s="35" t="str">
        <f>_xlfn.SINGLE(IF(F1529="","",_xlfn.XLOOKUP(F1529,purchase!D:D,purchase!K:K,"")))</f>
        <v/>
      </c>
      <c r="Q1529" s="29" t="str">
        <f t="shared" si="166"/>
        <v/>
      </c>
      <c r="R1529" s="37" t="str">
        <f t="shared" si="167"/>
        <v/>
      </c>
    </row>
    <row r="1530" spans="1:18" x14ac:dyDescent="0.35">
      <c r="A1530" s="8">
        <v>1526</v>
      </c>
      <c r="B1530" s="9" t="str">
        <f t="shared" si="161"/>
        <v/>
      </c>
      <c r="C1530" s="10"/>
      <c r="D1530" s="9" t="str">
        <f>IF(F1530="","",_xlfn.XLOOKUP(F1530,purchase!D:D,purchase!#REF!,""))</f>
        <v/>
      </c>
      <c r="E1530" s="9" t="str">
        <f>IF(F1530="","",_xlfn.XLOOKUP(F1530,purchase!D:D,purchase!B:B,""))</f>
        <v/>
      </c>
      <c r="F1530" s="2"/>
      <c r="G1530" s="4" t="str">
        <f t="shared" si="162"/>
        <v/>
      </c>
      <c r="H1530" s="4" t="str">
        <f>IF(F1530="","",_xlfn.XLOOKUP(F1530,purchase!D:D,purchase!#REF!,""))</f>
        <v/>
      </c>
      <c r="I1530" s="4" t="str">
        <f t="shared" si="163"/>
        <v/>
      </c>
      <c r="J1530" s="4" t="str">
        <f t="shared" si="164"/>
        <v/>
      </c>
      <c r="K1530" s="13" t="str">
        <f>_xlfn.SINGLE(IF(F1530="","",_xlfn.XLOOKUP(F1530,purchase!D:D,purchase!#REF!,"")))</f>
        <v/>
      </c>
      <c r="L1530" s="2"/>
      <c r="M1530" s="32"/>
      <c r="N1530" s="13" t="str">
        <f>IF(F1530="","",
MAX(0,
_xlfn.XLOOKUP(F1530,purchase!D:D,purchase!#REF!,"")
-
SUMIFS(L:L,F:F,F1530)))</f>
        <v/>
      </c>
      <c r="O1530" s="13" t="str">
        <f t="shared" si="165"/>
        <v/>
      </c>
      <c r="P1530" s="35" t="str">
        <f>_xlfn.SINGLE(IF(F1530="","",_xlfn.XLOOKUP(F1530,purchase!D:D,purchase!K:K,"")))</f>
        <v/>
      </c>
      <c r="Q1530" s="29" t="str">
        <f t="shared" si="166"/>
        <v/>
      </c>
      <c r="R1530" s="37" t="str">
        <f t="shared" si="167"/>
        <v/>
      </c>
    </row>
    <row r="1531" spans="1:18" x14ac:dyDescent="0.35">
      <c r="A1531" s="8">
        <v>1527</v>
      </c>
      <c r="B1531" s="9" t="str">
        <f t="shared" si="161"/>
        <v/>
      </c>
      <c r="C1531" s="10"/>
      <c r="D1531" s="9" t="str">
        <f>IF(F1531="","",_xlfn.XLOOKUP(F1531,purchase!D:D,purchase!#REF!,""))</f>
        <v/>
      </c>
      <c r="E1531" s="9" t="str">
        <f>IF(F1531="","",_xlfn.XLOOKUP(F1531,purchase!D:D,purchase!B:B,""))</f>
        <v/>
      </c>
      <c r="F1531" s="2"/>
      <c r="G1531" s="4" t="str">
        <f t="shared" si="162"/>
        <v/>
      </c>
      <c r="H1531" s="4" t="str">
        <f>IF(F1531="","",_xlfn.XLOOKUP(F1531,purchase!D:D,purchase!#REF!,""))</f>
        <v/>
      </c>
      <c r="I1531" s="4" t="str">
        <f t="shared" si="163"/>
        <v/>
      </c>
      <c r="J1531" s="4" t="str">
        <f t="shared" si="164"/>
        <v/>
      </c>
      <c r="K1531" s="13" t="str">
        <f>_xlfn.SINGLE(IF(F1531="","",_xlfn.XLOOKUP(F1531,purchase!D:D,purchase!#REF!,"")))</f>
        <v/>
      </c>
      <c r="L1531" s="2"/>
      <c r="M1531" s="32"/>
      <c r="N1531" s="13" t="str">
        <f>IF(F1531="","",
MAX(0,
_xlfn.XLOOKUP(F1531,purchase!D:D,purchase!#REF!,"")
-
SUMIFS(L:L,F:F,F1531)))</f>
        <v/>
      </c>
      <c r="O1531" s="13" t="str">
        <f t="shared" si="165"/>
        <v/>
      </c>
      <c r="P1531" s="35" t="str">
        <f>_xlfn.SINGLE(IF(F1531="","",_xlfn.XLOOKUP(F1531,purchase!D:D,purchase!K:K,"")))</f>
        <v/>
      </c>
      <c r="Q1531" s="29" t="str">
        <f t="shared" si="166"/>
        <v/>
      </c>
      <c r="R1531" s="37" t="str">
        <f t="shared" si="167"/>
        <v/>
      </c>
    </row>
    <row r="1532" spans="1:18" x14ac:dyDescent="0.35">
      <c r="A1532" s="8">
        <v>1528</v>
      </c>
      <c r="B1532" s="9" t="str">
        <f t="shared" si="161"/>
        <v/>
      </c>
      <c r="C1532" s="10"/>
      <c r="D1532" s="9" t="str">
        <f>IF(F1532="","",_xlfn.XLOOKUP(F1532,purchase!D:D,purchase!#REF!,""))</f>
        <v/>
      </c>
      <c r="E1532" s="9" t="str">
        <f>IF(F1532="","",_xlfn.XLOOKUP(F1532,purchase!D:D,purchase!B:B,""))</f>
        <v/>
      </c>
      <c r="F1532" s="2"/>
      <c r="G1532" s="4" t="str">
        <f t="shared" si="162"/>
        <v/>
      </c>
      <c r="H1532" s="4" t="str">
        <f>IF(F1532="","",_xlfn.XLOOKUP(F1532,purchase!D:D,purchase!#REF!,""))</f>
        <v/>
      </c>
      <c r="I1532" s="4" t="str">
        <f t="shared" si="163"/>
        <v/>
      </c>
      <c r="J1532" s="4" t="str">
        <f t="shared" si="164"/>
        <v/>
      </c>
      <c r="K1532" s="13" t="str">
        <f>_xlfn.SINGLE(IF(F1532="","",_xlfn.XLOOKUP(F1532,purchase!D:D,purchase!#REF!,"")))</f>
        <v/>
      </c>
      <c r="L1532" s="2"/>
      <c r="M1532" s="32"/>
      <c r="N1532" s="13" t="str">
        <f>IF(F1532="","",
MAX(0,
_xlfn.XLOOKUP(F1532,purchase!D:D,purchase!#REF!,"")
-
SUMIFS(L:L,F:F,F1532)))</f>
        <v/>
      </c>
      <c r="O1532" s="13" t="str">
        <f t="shared" si="165"/>
        <v/>
      </c>
      <c r="P1532" s="35" t="str">
        <f>_xlfn.SINGLE(IF(F1532="","",_xlfn.XLOOKUP(F1532,purchase!D:D,purchase!K:K,"")))</f>
        <v/>
      </c>
      <c r="Q1532" s="29" t="str">
        <f t="shared" si="166"/>
        <v/>
      </c>
      <c r="R1532" s="37" t="str">
        <f t="shared" si="167"/>
        <v/>
      </c>
    </row>
    <row r="1533" spans="1:18" x14ac:dyDescent="0.35">
      <c r="A1533" s="8">
        <v>1529</v>
      </c>
      <c r="B1533" s="9" t="str">
        <f t="shared" si="161"/>
        <v/>
      </c>
      <c r="C1533" s="10"/>
      <c r="D1533" s="9" t="str">
        <f>IF(F1533="","",_xlfn.XLOOKUP(F1533,purchase!D:D,purchase!#REF!,""))</f>
        <v/>
      </c>
      <c r="E1533" s="9" t="str">
        <f>IF(F1533="","",_xlfn.XLOOKUP(F1533,purchase!D:D,purchase!B:B,""))</f>
        <v/>
      </c>
      <c r="F1533" s="2"/>
      <c r="G1533" s="4" t="str">
        <f t="shared" si="162"/>
        <v/>
      </c>
      <c r="H1533" s="4" t="str">
        <f>IF(F1533="","",_xlfn.XLOOKUP(F1533,purchase!D:D,purchase!#REF!,""))</f>
        <v/>
      </c>
      <c r="I1533" s="4" t="str">
        <f t="shared" si="163"/>
        <v/>
      </c>
      <c r="J1533" s="4" t="str">
        <f t="shared" si="164"/>
        <v/>
      </c>
      <c r="K1533" s="13" t="str">
        <f>_xlfn.SINGLE(IF(F1533="","",_xlfn.XLOOKUP(F1533,purchase!D:D,purchase!#REF!,"")))</f>
        <v/>
      </c>
      <c r="L1533" s="2"/>
      <c r="M1533" s="32"/>
      <c r="N1533" s="13" t="str">
        <f>IF(F1533="","",
MAX(0,
_xlfn.XLOOKUP(F1533,purchase!D:D,purchase!#REF!,"")
-
SUMIFS(L:L,F:F,F1533)))</f>
        <v/>
      </c>
      <c r="O1533" s="13" t="str">
        <f t="shared" si="165"/>
        <v/>
      </c>
      <c r="P1533" s="35" t="str">
        <f>_xlfn.SINGLE(IF(F1533="","",_xlfn.XLOOKUP(F1533,purchase!D:D,purchase!K:K,"")))</f>
        <v/>
      </c>
      <c r="Q1533" s="29" t="str">
        <f t="shared" si="166"/>
        <v/>
      </c>
      <c r="R1533" s="37" t="str">
        <f t="shared" si="167"/>
        <v/>
      </c>
    </row>
    <row r="1534" spans="1:18" x14ac:dyDescent="0.35">
      <c r="A1534" s="8">
        <v>1530</v>
      </c>
      <c r="B1534" s="9" t="str">
        <f t="shared" si="161"/>
        <v/>
      </c>
      <c r="C1534" s="10"/>
      <c r="D1534" s="9" t="str">
        <f>IF(F1534="","",_xlfn.XLOOKUP(F1534,purchase!D:D,purchase!#REF!,""))</f>
        <v/>
      </c>
      <c r="E1534" s="9" t="str">
        <f>IF(F1534="","",_xlfn.XLOOKUP(F1534,purchase!D:D,purchase!B:B,""))</f>
        <v/>
      </c>
      <c r="F1534" s="2"/>
      <c r="G1534" s="4" t="str">
        <f t="shared" si="162"/>
        <v/>
      </c>
      <c r="H1534" s="4" t="str">
        <f>IF(F1534="","",_xlfn.XLOOKUP(F1534,purchase!D:D,purchase!#REF!,""))</f>
        <v/>
      </c>
      <c r="I1534" s="4" t="str">
        <f t="shared" si="163"/>
        <v/>
      </c>
      <c r="J1534" s="4" t="str">
        <f t="shared" si="164"/>
        <v/>
      </c>
      <c r="K1534" s="13" t="str">
        <f>_xlfn.SINGLE(IF(F1534="","",_xlfn.XLOOKUP(F1534,purchase!D:D,purchase!#REF!,"")))</f>
        <v/>
      </c>
      <c r="L1534" s="2"/>
      <c r="M1534" s="32"/>
      <c r="N1534" s="13" t="str">
        <f>IF(F1534="","",
MAX(0,
_xlfn.XLOOKUP(F1534,purchase!D:D,purchase!#REF!,"")
-
SUMIFS(L:L,F:F,F1534)))</f>
        <v/>
      </c>
      <c r="O1534" s="13" t="str">
        <f t="shared" si="165"/>
        <v/>
      </c>
      <c r="P1534" s="35" t="str">
        <f>_xlfn.SINGLE(IF(F1534="","",_xlfn.XLOOKUP(F1534,purchase!D:D,purchase!K:K,"")))</f>
        <v/>
      </c>
      <c r="Q1534" s="29" t="str">
        <f t="shared" si="166"/>
        <v/>
      </c>
      <c r="R1534" s="37" t="str">
        <f t="shared" si="167"/>
        <v/>
      </c>
    </row>
    <row r="1535" spans="1:18" x14ac:dyDescent="0.35">
      <c r="A1535" s="8">
        <v>1531</v>
      </c>
      <c r="B1535" s="9" t="str">
        <f t="shared" si="161"/>
        <v/>
      </c>
      <c r="C1535" s="10"/>
      <c r="D1535" s="9" t="str">
        <f>IF(F1535="","",_xlfn.XLOOKUP(F1535,purchase!D:D,purchase!#REF!,""))</f>
        <v/>
      </c>
      <c r="E1535" s="9" t="str">
        <f>IF(F1535="","",_xlfn.XLOOKUP(F1535,purchase!D:D,purchase!B:B,""))</f>
        <v/>
      </c>
      <c r="F1535" s="2"/>
      <c r="G1535" s="4" t="str">
        <f t="shared" si="162"/>
        <v/>
      </c>
      <c r="H1535" s="4" t="str">
        <f>IF(F1535="","",_xlfn.XLOOKUP(F1535,purchase!D:D,purchase!#REF!,""))</f>
        <v/>
      </c>
      <c r="I1535" s="4" t="str">
        <f t="shared" si="163"/>
        <v/>
      </c>
      <c r="J1535" s="4" t="str">
        <f t="shared" si="164"/>
        <v/>
      </c>
      <c r="K1535" s="13" t="str">
        <f>_xlfn.SINGLE(IF(F1535="","",_xlfn.XLOOKUP(F1535,purchase!D:D,purchase!#REF!,"")))</f>
        <v/>
      </c>
      <c r="L1535" s="2"/>
      <c r="M1535" s="32"/>
      <c r="N1535" s="13" t="str">
        <f>IF(F1535="","",
MAX(0,
_xlfn.XLOOKUP(F1535,purchase!D:D,purchase!#REF!,"")
-
SUMIFS(L:L,F:F,F1535)))</f>
        <v/>
      </c>
      <c r="O1535" s="13" t="str">
        <f t="shared" si="165"/>
        <v/>
      </c>
      <c r="P1535" s="35" t="str">
        <f>_xlfn.SINGLE(IF(F1535="","",_xlfn.XLOOKUP(F1535,purchase!D:D,purchase!K:K,"")))</f>
        <v/>
      </c>
      <c r="Q1535" s="29" t="str">
        <f t="shared" si="166"/>
        <v/>
      </c>
      <c r="R1535" s="37" t="str">
        <f t="shared" si="167"/>
        <v/>
      </c>
    </row>
    <row r="1536" spans="1:18" x14ac:dyDescent="0.35">
      <c r="A1536" s="8">
        <v>1532</v>
      </c>
      <c r="B1536" s="9" t="str">
        <f t="shared" si="161"/>
        <v/>
      </c>
      <c r="C1536" s="10"/>
      <c r="D1536" s="9" t="str">
        <f>IF(F1536="","",_xlfn.XLOOKUP(F1536,purchase!D:D,purchase!#REF!,""))</f>
        <v/>
      </c>
      <c r="E1536" s="9" t="str">
        <f>IF(F1536="","",_xlfn.XLOOKUP(F1536,purchase!D:D,purchase!B:B,""))</f>
        <v/>
      </c>
      <c r="F1536" s="2"/>
      <c r="G1536" s="4" t="str">
        <f t="shared" si="162"/>
        <v/>
      </c>
      <c r="H1536" s="4" t="str">
        <f>IF(F1536="","",_xlfn.XLOOKUP(F1536,purchase!D:D,purchase!#REF!,""))</f>
        <v/>
      </c>
      <c r="I1536" s="4" t="str">
        <f t="shared" si="163"/>
        <v/>
      </c>
      <c r="J1536" s="4" t="str">
        <f t="shared" si="164"/>
        <v/>
      </c>
      <c r="K1536" s="13" t="str">
        <f>_xlfn.SINGLE(IF(F1536="","",_xlfn.XLOOKUP(F1536,purchase!D:D,purchase!#REF!,"")))</f>
        <v/>
      </c>
      <c r="L1536" s="2"/>
      <c r="M1536" s="32"/>
      <c r="N1536" s="13" t="str">
        <f>IF(F1536="","",
MAX(0,
_xlfn.XLOOKUP(F1536,purchase!D:D,purchase!#REF!,"")
-
SUMIFS(L:L,F:F,F1536)))</f>
        <v/>
      </c>
      <c r="O1536" s="13" t="str">
        <f t="shared" si="165"/>
        <v/>
      </c>
      <c r="P1536" s="35" t="str">
        <f>_xlfn.SINGLE(IF(F1536="","",_xlfn.XLOOKUP(F1536,purchase!D:D,purchase!K:K,"")))</f>
        <v/>
      </c>
      <c r="Q1536" s="29" t="str">
        <f t="shared" si="166"/>
        <v/>
      </c>
      <c r="R1536" s="37" t="str">
        <f t="shared" si="167"/>
        <v/>
      </c>
    </row>
    <row r="1537" spans="1:18" x14ac:dyDescent="0.35">
      <c r="A1537" s="8">
        <v>1533</v>
      </c>
      <c r="B1537" s="9" t="str">
        <f t="shared" si="161"/>
        <v/>
      </c>
      <c r="C1537" s="10"/>
      <c r="D1537" s="9" t="str">
        <f>IF(F1537="","",_xlfn.XLOOKUP(F1537,purchase!D:D,purchase!#REF!,""))</f>
        <v/>
      </c>
      <c r="E1537" s="9" t="str">
        <f>IF(F1537="","",_xlfn.XLOOKUP(F1537,purchase!D:D,purchase!B:B,""))</f>
        <v/>
      </c>
      <c r="F1537" s="2"/>
      <c r="G1537" s="4" t="str">
        <f t="shared" si="162"/>
        <v/>
      </c>
      <c r="H1537" s="4" t="str">
        <f>IF(F1537="","",_xlfn.XLOOKUP(F1537,purchase!D:D,purchase!#REF!,""))</f>
        <v/>
      </c>
      <c r="I1537" s="4" t="str">
        <f t="shared" si="163"/>
        <v/>
      </c>
      <c r="J1537" s="4" t="str">
        <f t="shared" si="164"/>
        <v/>
      </c>
      <c r="K1537" s="13" t="str">
        <f>_xlfn.SINGLE(IF(F1537="","",_xlfn.XLOOKUP(F1537,purchase!D:D,purchase!#REF!,"")))</f>
        <v/>
      </c>
      <c r="L1537" s="2"/>
      <c r="M1537" s="32"/>
      <c r="N1537" s="13" t="str">
        <f>IF(F1537="","",
MAX(0,
_xlfn.XLOOKUP(F1537,purchase!D:D,purchase!#REF!,"")
-
SUMIFS(L:L,F:F,F1537)))</f>
        <v/>
      </c>
      <c r="O1537" s="13" t="str">
        <f t="shared" si="165"/>
        <v/>
      </c>
      <c r="P1537" s="35" t="str">
        <f>_xlfn.SINGLE(IF(F1537="","",_xlfn.XLOOKUP(F1537,purchase!D:D,purchase!K:K,"")))</f>
        <v/>
      </c>
      <c r="Q1537" s="29" t="str">
        <f t="shared" si="166"/>
        <v/>
      </c>
      <c r="R1537" s="37" t="str">
        <f t="shared" si="167"/>
        <v/>
      </c>
    </row>
    <row r="1538" spans="1:18" x14ac:dyDescent="0.35">
      <c r="A1538" s="8">
        <v>1534</v>
      </c>
      <c r="B1538" s="9" t="str">
        <f t="shared" si="161"/>
        <v/>
      </c>
      <c r="C1538" s="10"/>
      <c r="D1538" s="9" t="str">
        <f>IF(F1538="","",_xlfn.XLOOKUP(F1538,purchase!D:D,purchase!#REF!,""))</f>
        <v/>
      </c>
      <c r="E1538" s="9" t="str">
        <f>IF(F1538="","",_xlfn.XLOOKUP(F1538,purchase!D:D,purchase!B:B,""))</f>
        <v/>
      </c>
      <c r="F1538" s="2"/>
      <c r="G1538" s="4" t="str">
        <f t="shared" si="162"/>
        <v/>
      </c>
      <c r="H1538" s="4" t="str">
        <f>IF(F1538="","",_xlfn.XLOOKUP(F1538,purchase!D:D,purchase!#REF!,""))</f>
        <v/>
      </c>
      <c r="I1538" s="4" t="str">
        <f t="shared" si="163"/>
        <v/>
      </c>
      <c r="J1538" s="4" t="str">
        <f t="shared" si="164"/>
        <v/>
      </c>
      <c r="K1538" s="13" t="str">
        <f>_xlfn.SINGLE(IF(F1538="","",_xlfn.XLOOKUP(F1538,purchase!D:D,purchase!#REF!,"")))</f>
        <v/>
      </c>
      <c r="L1538" s="2"/>
      <c r="M1538" s="32"/>
      <c r="N1538" s="13" t="str">
        <f>IF(F1538="","",
MAX(0,
_xlfn.XLOOKUP(F1538,purchase!D:D,purchase!#REF!,"")
-
SUMIFS(L:L,F:F,F1538)))</f>
        <v/>
      </c>
      <c r="O1538" s="13" t="str">
        <f t="shared" si="165"/>
        <v/>
      </c>
      <c r="P1538" s="35" t="str">
        <f>_xlfn.SINGLE(IF(F1538="","",_xlfn.XLOOKUP(F1538,purchase!D:D,purchase!K:K,"")))</f>
        <v/>
      </c>
      <c r="Q1538" s="29" t="str">
        <f t="shared" si="166"/>
        <v/>
      </c>
      <c r="R1538" s="37" t="str">
        <f t="shared" si="167"/>
        <v/>
      </c>
    </row>
    <row r="1539" spans="1:18" x14ac:dyDescent="0.35">
      <c r="A1539" s="8">
        <v>1535</v>
      </c>
      <c r="B1539" s="9" t="str">
        <f t="shared" si="161"/>
        <v/>
      </c>
      <c r="C1539" s="10"/>
      <c r="D1539" s="9" t="str">
        <f>IF(F1539="","",_xlfn.XLOOKUP(F1539,purchase!D:D,purchase!#REF!,""))</f>
        <v/>
      </c>
      <c r="E1539" s="9" t="str">
        <f>IF(F1539="","",_xlfn.XLOOKUP(F1539,purchase!D:D,purchase!B:B,""))</f>
        <v/>
      </c>
      <c r="F1539" s="2"/>
      <c r="G1539" s="4" t="str">
        <f t="shared" si="162"/>
        <v/>
      </c>
      <c r="H1539" s="4" t="str">
        <f>IF(F1539="","",_xlfn.XLOOKUP(F1539,purchase!D:D,purchase!#REF!,""))</f>
        <v/>
      </c>
      <c r="I1539" s="4" t="str">
        <f t="shared" si="163"/>
        <v/>
      </c>
      <c r="J1539" s="4" t="str">
        <f t="shared" si="164"/>
        <v/>
      </c>
      <c r="K1539" s="13" t="str">
        <f>_xlfn.SINGLE(IF(F1539="","",_xlfn.XLOOKUP(F1539,purchase!D:D,purchase!#REF!,"")))</f>
        <v/>
      </c>
      <c r="L1539" s="2"/>
      <c r="M1539" s="32"/>
      <c r="N1539" s="13" t="str">
        <f>IF(F1539="","",
MAX(0,
_xlfn.XLOOKUP(F1539,purchase!D:D,purchase!#REF!,"")
-
SUMIFS(L:L,F:F,F1539)))</f>
        <v/>
      </c>
      <c r="O1539" s="13" t="str">
        <f t="shared" si="165"/>
        <v/>
      </c>
      <c r="P1539" s="35" t="str">
        <f>_xlfn.SINGLE(IF(F1539="","",_xlfn.XLOOKUP(F1539,purchase!D:D,purchase!K:K,"")))</f>
        <v/>
      </c>
      <c r="Q1539" s="29" t="str">
        <f t="shared" si="166"/>
        <v/>
      </c>
      <c r="R1539" s="37" t="str">
        <f t="shared" si="167"/>
        <v/>
      </c>
    </row>
    <row r="1540" spans="1:18" x14ac:dyDescent="0.35">
      <c r="A1540" s="8">
        <v>1536</v>
      </c>
      <c r="B1540" s="9" t="str">
        <f t="shared" si="161"/>
        <v/>
      </c>
      <c r="C1540" s="10"/>
      <c r="D1540" s="9" t="str">
        <f>IF(F1540="","",_xlfn.XLOOKUP(F1540,purchase!D:D,purchase!#REF!,""))</f>
        <v/>
      </c>
      <c r="E1540" s="9" t="str">
        <f>IF(F1540="","",_xlfn.XLOOKUP(F1540,purchase!D:D,purchase!B:B,""))</f>
        <v/>
      </c>
      <c r="F1540" s="2"/>
      <c r="G1540" s="4" t="str">
        <f t="shared" si="162"/>
        <v/>
      </c>
      <c r="H1540" s="4" t="str">
        <f>IF(F1540="","",_xlfn.XLOOKUP(F1540,purchase!D:D,purchase!#REF!,""))</f>
        <v/>
      </c>
      <c r="I1540" s="4" t="str">
        <f t="shared" si="163"/>
        <v/>
      </c>
      <c r="J1540" s="4" t="str">
        <f t="shared" si="164"/>
        <v/>
      </c>
      <c r="K1540" s="13" t="str">
        <f>_xlfn.SINGLE(IF(F1540="","",_xlfn.XLOOKUP(F1540,purchase!D:D,purchase!#REF!,"")))</f>
        <v/>
      </c>
      <c r="L1540" s="2"/>
      <c r="M1540" s="32"/>
      <c r="N1540" s="13" t="str">
        <f>IF(F1540="","",
MAX(0,
_xlfn.XLOOKUP(F1540,purchase!D:D,purchase!#REF!,"")
-
SUMIFS(L:L,F:F,F1540)))</f>
        <v/>
      </c>
      <c r="O1540" s="13" t="str">
        <f t="shared" si="165"/>
        <v/>
      </c>
      <c r="P1540" s="35" t="str">
        <f>_xlfn.SINGLE(IF(F1540="","",_xlfn.XLOOKUP(F1540,purchase!D:D,purchase!K:K,"")))</f>
        <v/>
      </c>
      <c r="Q1540" s="29" t="str">
        <f t="shared" si="166"/>
        <v/>
      </c>
      <c r="R1540" s="37" t="str">
        <f t="shared" si="167"/>
        <v/>
      </c>
    </row>
    <row r="1541" spans="1:18" x14ac:dyDescent="0.35">
      <c r="A1541" s="8">
        <v>1537</v>
      </c>
      <c r="B1541" s="9" t="str">
        <f t="shared" ref="B1541:B1604" si="168">IF(OR(C1541="",F1541=""),"",
"PRD-" &amp;
TEXT(DAY(C1541),"00") &amp;
CHOOSE(MONTH(C1541),"A","B","C","D","E","F","G","H","I","J","K","L") &amp;
TEXT(YEAR(C1541),"00") &amp;
"-" &amp;
RIGHT(F1541,4))</f>
        <v/>
      </c>
      <c r="C1541" s="10"/>
      <c r="D1541" s="9" t="str">
        <f>IF(F1541="","",_xlfn.XLOOKUP(F1541,purchase!D:D,purchase!#REF!,""))</f>
        <v/>
      </c>
      <c r="E1541" s="9" t="str">
        <f>IF(F1541="","",_xlfn.XLOOKUP(F1541,purchase!D:D,purchase!B:B,""))</f>
        <v/>
      </c>
      <c r="F1541" s="2"/>
      <c r="G1541" s="4" t="str">
        <f t="shared" ref="G1541:G1604" si="169">IF(H1541="NRFC","Natural Rubber Field Coagulam","")</f>
        <v/>
      </c>
      <c r="H1541" s="4" t="str">
        <f>IF(F1541="","",_xlfn.XLOOKUP(F1541,purchase!D:D,purchase!#REF!,""))</f>
        <v/>
      </c>
      <c r="I1541" s="4" t="str">
        <f t="shared" ref="I1541:I1604" si="170">IF(J1541="ISNR20","Natural Rubber-TSNR (ISNR-20)","")</f>
        <v/>
      </c>
      <c r="J1541" s="4" t="str">
        <f t="shared" ref="J1541:J1604" si="171">IF(H1541="NRFC","ISNR20","")</f>
        <v/>
      </c>
      <c r="K1541" s="13" t="str">
        <f>_xlfn.SINGLE(IF(F1541="","",_xlfn.XLOOKUP(F1541,purchase!D:D,purchase!#REF!,"")))</f>
        <v/>
      </c>
      <c r="L1541" s="2"/>
      <c r="M1541" s="32"/>
      <c r="N1541" s="13" t="str">
        <f>IF(F1541="","",
MAX(0,
_xlfn.XLOOKUP(F1541,purchase!D:D,purchase!#REF!,"")
-
SUMIFS(L:L,F:F,F1541)))</f>
        <v/>
      </c>
      <c r="O1541" s="13" t="str">
        <f t="shared" ref="O1541:O1604" si="172">IF(OR(L1541="",M1541=""),"",L1541-M1541)</f>
        <v/>
      </c>
      <c r="P1541" s="35" t="str">
        <f>_xlfn.SINGLE(IF(F1541="","",_xlfn.XLOOKUP(F1541,purchase!D:D,purchase!K:K,"")))</f>
        <v/>
      </c>
      <c r="Q1541" s="29" t="str">
        <f t="shared" ref="Q1541:Q1604" si="173">IF(OR(L1541="",M1541=""),"",M1541/L1541)</f>
        <v/>
      </c>
      <c r="R1541" s="37" t="str">
        <f t="shared" ref="R1541:R1604" si="174">IF(OR(P1541="",Q1541=""),"",Q1541-P1541)</f>
        <v/>
      </c>
    </row>
    <row r="1542" spans="1:18" x14ac:dyDescent="0.35">
      <c r="A1542" s="8">
        <v>1538</v>
      </c>
      <c r="B1542" s="9" t="str">
        <f t="shared" si="168"/>
        <v/>
      </c>
      <c r="C1542" s="10"/>
      <c r="D1542" s="9" t="str">
        <f>IF(F1542="","",_xlfn.XLOOKUP(F1542,purchase!D:D,purchase!#REF!,""))</f>
        <v/>
      </c>
      <c r="E1542" s="9" t="str">
        <f>IF(F1542="","",_xlfn.XLOOKUP(F1542,purchase!D:D,purchase!B:B,""))</f>
        <v/>
      </c>
      <c r="F1542" s="2"/>
      <c r="G1542" s="4" t="str">
        <f t="shared" si="169"/>
        <v/>
      </c>
      <c r="H1542" s="4" t="str">
        <f>IF(F1542="","",_xlfn.XLOOKUP(F1542,purchase!D:D,purchase!#REF!,""))</f>
        <v/>
      </c>
      <c r="I1542" s="4" t="str">
        <f t="shared" si="170"/>
        <v/>
      </c>
      <c r="J1542" s="4" t="str">
        <f t="shared" si="171"/>
        <v/>
      </c>
      <c r="K1542" s="13" t="str">
        <f>_xlfn.SINGLE(IF(F1542="","",_xlfn.XLOOKUP(F1542,purchase!D:D,purchase!#REF!,"")))</f>
        <v/>
      </c>
      <c r="L1542" s="2"/>
      <c r="M1542" s="32"/>
      <c r="N1542" s="13" t="str">
        <f>IF(F1542="","",
MAX(0,
_xlfn.XLOOKUP(F1542,purchase!D:D,purchase!#REF!,"")
-
SUMIFS(L:L,F:F,F1542)))</f>
        <v/>
      </c>
      <c r="O1542" s="13" t="str">
        <f t="shared" si="172"/>
        <v/>
      </c>
      <c r="P1542" s="35" t="str">
        <f>_xlfn.SINGLE(IF(F1542="","",_xlfn.XLOOKUP(F1542,purchase!D:D,purchase!K:K,"")))</f>
        <v/>
      </c>
      <c r="Q1542" s="29" t="str">
        <f t="shared" si="173"/>
        <v/>
      </c>
      <c r="R1542" s="37" t="str">
        <f t="shared" si="174"/>
        <v/>
      </c>
    </row>
    <row r="1543" spans="1:18" x14ac:dyDescent="0.35">
      <c r="A1543" s="8">
        <v>1539</v>
      </c>
      <c r="B1543" s="9" t="str">
        <f t="shared" si="168"/>
        <v/>
      </c>
      <c r="C1543" s="10"/>
      <c r="D1543" s="9" t="str">
        <f>IF(F1543="","",_xlfn.XLOOKUP(F1543,purchase!D:D,purchase!#REF!,""))</f>
        <v/>
      </c>
      <c r="E1543" s="9" t="str">
        <f>IF(F1543="","",_xlfn.XLOOKUP(F1543,purchase!D:D,purchase!B:B,""))</f>
        <v/>
      </c>
      <c r="F1543" s="2"/>
      <c r="G1543" s="4" t="str">
        <f t="shared" si="169"/>
        <v/>
      </c>
      <c r="H1543" s="4" t="str">
        <f>IF(F1543="","",_xlfn.XLOOKUP(F1543,purchase!D:D,purchase!#REF!,""))</f>
        <v/>
      </c>
      <c r="I1543" s="4" t="str">
        <f t="shared" si="170"/>
        <v/>
      </c>
      <c r="J1543" s="4" t="str">
        <f t="shared" si="171"/>
        <v/>
      </c>
      <c r="K1543" s="13" t="str">
        <f>_xlfn.SINGLE(IF(F1543="","",_xlfn.XLOOKUP(F1543,purchase!D:D,purchase!#REF!,"")))</f>
        <v/>
      </c>
      <c r="L1543" s="2"/>
      <c r="M1543" s="32"/>
      <c r="N1543" s="13" t="str">
        <f>IF(F1543="","",
MAX(0,
_xlfn.XLOOKUP(F1543,purchase!D:D,purchase!#REF!,"")
-
SUMIFS(L:L,F:F,F1543)))</f>
        <v/>
      </c>
      <c r="O1543" s="13" t="str">
        <f t="shared" si="172"/>
        <v/>
      </c>
      <c r="P1543" s="35" t="str">
        <f>_xlfn.SINGLE(IF(F1543="","",_xlfn.XLOOKUP(F1543,purchase!D:D,purchase!K:K,"")))</f>
        <v/>
      </c>
      <c r="Q1543" s="29" t="str">
        <f t="shared" si="173"/>
        <v/>
      </c>
      <c r="R1543" s="37" t="str">
        <f t="shared" si="174"/>
        <v/>
      </c>
    </row>
    <row r="1544" spans="1:18" x14ac:dyDescent="0.35">
      <c r="A1544" s="8">
        <v>1540</v>
      </c>
      <c r="B1544" s="9" t="str">
        <f t="shared" si="168"/>
        <v/>
      </c>
      <c r="C1544" s="10"/>
      <c r="D1544" s="9" t="str">
        <f>IF(F1544="","",_xlfn.XLOOKUP(F1544,purchase!D:D,purchase!#REF!,""))</f>
        <v/>
      </c>
      <c r="E1544" s="9" t="str">
        <f>IF(F1544="","",_xlfn.XLOOKUP(F1544,purchase!D:D,purchase!B:B,""))</f>
        <v/>
      </c>
      <c r="F1544" s="2"/>
      <c r="G1544" s="4" t="str">
        <f t="shared" si="169"/>
        <v/>
      </c>
      <c r="H1544" s="4" t="str">
        <f>IF(F1544="","",_xlfn.XLOOKUP(F1544,purchase!D:D,purchase!#REF!,""))</f>
        <v/>
      </c>
      <c r="I1544" s="4" t="str">
        <f t="shared" si="170"/>
        <v/>
      </c>
      <c r="J1544" s="4" t="str">
        <f t="shared" si="171"/>
        <v/>
      </c>
      <c r="K1544" s="13" t="str">
        <f>_xlfn.SINGLE(IF(F1544="","",_xlfn.XLOOKUP(F1544,purchase!D:D,purchase!#REF!,"")))</f>
        <v/>
      </c>
      <c r="L1544" s="2"/>
      <c r="M1544" s="32"/>
      <c r="N1544" s="13" t="str">
        <f>IF(F1544="","",
MAX(0,
_xlfn.XLOOKUP(F1544,purchase!D:D,purchase!#REF!,"")
-
SUMIFS(L:L,F:F,F1544)))</f>
        <v/>
      </c>
      <c r="O1544" s="13" t="str">
        <f t="shared" si="172"/>
        <v/>
      </c>
      <c r="P1544" s="35" t="str">
        <f>_xlfn.SINGLE(IF(F1544="","",_xlfn.XLOOKUP(F1544,purchase!D:D,purchase!K:K,"")))</f>
        <v/>
      </c>
      <c r="Q1544" s="29" t="str">
        <f t="shared" si="173"/>
        <v/>
      </c>
      <c r="R1544" s="37" t="str">
        <f t="shared" si="174"/>
        <v/>
      </c>
    </row>
    <row r="1545" spans="1:18" x14ac:dyDescent="0.35">
      <c r="A1545" s="8">
        <v>1541</v>
      </c>
      <c r="B1545" s="9" t="str">
        <f t="shared" si="168"/>
        <v/>
      </c>
      <c r="C1545" s="10"/>
      <c r="D1545" s="9" t="str">
        <f>IF(F1545="","",_xlfn.XLOOKUP(F1545,purchase!D:D,purchase!#REF!,""))</f>
        <v/>
      </c>
      <c r="E1545" s="9" t="str">
        <f>IF(F1545="","",_xlfn.XLOOKUP(F1545,purchase!D:D,purchase!B:B,""))</f>
        <v/>
      </c>
      <c r="F1545" s="2"/>
      <c r="G1545" s="4" t="str">
        <f t="shared" si="169"/>
        <v/>
      </c>
      <c r="H1545" s="4" t="str">
        <f>IF(F1545="","",_xlfn.XLOOKUP(F1545,purchase!D:D,purchase!#REF!,""))</f>
        <v/>
      </c>
      <c r="I1545" s="4" t="str">
        <f t="shared" si="170"/>
        <v/>
      </c>
      <c r="J1545" s="4" t="str">
        <f t="shared" si="171"/>
        <v/>
      </c>
      <c r="K1545" s="13" t="str">
        <f>_xlfn.SINGLE(IF(F1545="","",_xlfn.XLOOKUP(F1545,purchase!D:D,purchase!#REF!,"")))</f>
        <v/>
      </c>
      <c r="L1545" s="2"/>
      <c r="M1545" s="32"/>
      <c r="N1545" s="13" t="str">
        <f>IF(F1545="","",
MAX(0,
_xlfn.XLOOKUP(F1545,purchase!D:D,purchase!#REF!,"")
-
SUMIFS(L:L,F:F,F1545)))</f>
        <v/>
      </c>
      <c r="O1545" s="13" t="str">
        <f t="shared" si="172"/>
        <v/>
      </c>
      <c r="P1545" s="35" t="str">
        <f>_xlfn.SINGLE(IF(F1545="","",_xlfn.XLOOKUP(F1545,purchase!D:D,purchase!K:K,"")))</f>
        <v/>
      </c>
      <c r="Q1545" s="29" t="str">
        <f t="shared" si="173"/>
        <v/>
      </c>
      <c r="R1545" s="37" t="str">
        <f t="shared" si="174"/>
        <v/>
      </c>
    </row>
    <row r="1546" spans="1:18" x14ac:dyDescent="0.35">
      <c r="A1546" s="8">
        <v>1542</v>
      </c>
      <c r="B1546" s="9" t="str">
        <f t="shared" si="168"/>
        <v/>
      </c>
      <c r="C1546" s="10"/>
      <c r="D1546" s="9" t="str">
        <f>IF(F1546="","",_xlfn.XLOOKUP(F1546,purchase!D:D,purchase!#REF!,""))</f>
        <v/>
      </c>
      <c r="E1546" s="9" t="str">
        <f>IF(F1546="","",_xlfn.XLOOKUP(F1546,purchase!D:D,purchase!B:B,""))</f>
        <v/>
      </c>
      <c r="F1546" s="2"/>
      <c r="G1546" s="4" t="str">
        <f t="shared" si="169"/>
        <v/>
      </c>
      <c r="H1546" s="4" t="str">
        <f>IF(F1546="","",_xlfn.XLOOKUP(F1546,purchase!D:D,purchase!#REF!,""))</f>
        <v/>
      </c>
      <c r="I1546" s="4" t="str">
        <f t="shared" si="170"/>
        <v/>
      </c>
      <c r="J1546" s="4" t="str">
        <f t="shared" si="171"/>
        <v/>
      </c>
      <c r="K1546" s="13" t="str">
        <f>_xlfn.SINGLE(IF(F1546="","",_xlfn.XLOOKUP(F1546,purchase!D:D,purchase!#REF!,"")))</f>
        <v/>
      </c>
      <c r="L1546" s="2"/>
      <c r="M1546" s="32"/>
      <c r="N1546" s="13" t="str">
        <f>IF(F1546="","",
MAX(0,
_xlfn.XLOOKUP(F1546,purchase!D:D,purchase!#REF!,"")
-
SUMIFS(L:L,F:F,F1546)))</f>
        <v/>
      </c>
      <c r="O1546" s="13" t="str">
        <f t="shared" si="172"/>
        <v/>
      </c>
      <c r="P1546" s="35" t="str">
        <f>_xlfn.SINGLE(IF(F1546="","",_xlfn.XLOOKUP(F1546,purchase!D:D,purchase!K:K,"")))</f>
        <v/>
      </c>
      <c r="Q1546" s="29" t="str">
        <f t="shared" si="173"/>
        <v/>
      </c>
      <c r="R1546" s="37" t="str">
        <f t="shared" si="174"/>
        <v/>
      </c>
    </row>
    <row r="1547" spans="1:18" x14ac:dyDescent="0.35">
      <c r="A1547" s="8">
        <v>1543</v>
      </c>
      <c r="B1547" s="9" t="str">
        <f t="shared" si="168"/>
        <v/>
      </c>
      <c r="C1547" s="10"/>
      <c r="D1547" s="9" t="str">
        <f>IF(F1547="","",_xlfn.XLOOKUP(F1547,purchase!D:D,purchase!#REF!,""))</f>
        <v/>
      </c>
      <c r="E1547" s="9" t="str">
        <f>IF(F1547="","",_xlfn.XLOOKUP(F1547,purchase!D:D,purchase!B:B,""))</f>
        <v/>
      </c>
      <c r="F1547" s="2"/>
      <c r="G1547" s="4" t="str">
        <f t="shared" si="169"/>
        <v/>
      </c>
      <c r="H1547" s="4" t="str">
        <f>IF(F1547="","",_xlfn.XLOOKUP(F1547,purchase!D:D,purchase!#REF!,""))</f>
        <v/>
      </c>
      <c r="I1547" s="4" t="str">
        <f t="shared" si="170"/>
        <v/>
      </c>
      <c r="J1547" s="4" t="str">
        <f t="shared" si="171"/>
        <v/>
      </c>
      <c r="K1547" s="13" t="str">
        <f>_xlfn.SINGLE(IF(F1547="","",_xlfn.XLOOKUP(F1547,purchase!D:D,purchase!#REF!,"")))</f>
        <v/>
      </c>
      <c r="L1547" s="2"/>
      <c r="M1547" s="32"/>
      <c r="N1547" s="13" t="str">
        <f>IF(F1547="","",
MAX(0,
_xlfn.XLOOKUP(F1547,purchase!D:D,purchase!#REF!,"")
-
SUMIFS(L:L,F:F,F1547)))</f>
        <v/>
      </c>
      <c r="O1547" s="13" t="str">
        <f t="shared" si="172"/>
        <v/>
      </c>
      <c r="P1547" s="35" t="str">
        <f>_xlfn.SINGLE(IF(F1547="","",_xlfn.XLOOKUP(F1547,purchase!D:D,purchase!K:K,"")))</f>
        <v/>
      </c>
      <c r="Q1547" s="29" t="str">
        <f t="shared" si="173"/>
        <v/>
      </c>
      <c r="R1547" s="37" t="str">
        <f t="shared" si="174"/>
        <v/>
      </c>
    </row>
    <row r="1548" spans="1:18" x14ac:dyDescent="0.35">
      <c r="A1548" s="8">
        <v>1544</v>
      </c>
      <c r="B1548" s="9" t="str">
        <f t="shared" si="168"/>
        <v/>
      </c>
      <c r="C1548" s="10"/>
      <c r="D1548" s="9" t="str">
        <f>IF(F1548="","",_xlfn.XLOOKUP(F1548,purchase!D:D,purchase!#REF!,""))</f>
        <v/>
      </c>
      <c r="E1548" s="9" t="str">
        <f>IF(F1548="","",_xlfn.XLOOKUP(F1548,purchase!D:D,purchase!B:B,""))</f>
        <v/>
      </c>
      <c r="F1548" s="2"/>
      <c r="G1548" s="4" t="str">
        <f t="shared" si="169"/>
        <v/>
      </c>
      <c r="H1548" s="4" t="str">
        <f>IF(F1548="","",_xlfn.XLOOKUP(F1548,purchase!D:D,purchase!#REF!,""))</f>
        <v/>
      </c>
      <c r="I1548" s="4" t="str">
        <f t="shared" si="170"/>
        <v/>
      </c>
      <c r="J1548" s="4" t="str">
        <f t="shared" si="171"/>
        <v/>
      </c>
      <c r="K1548" s="13" t="str">
        <f>_xlfn.SINGLE(IF(F1548="","",_xlfn.XLOOKUP(F1548,purchase!D:D,purchase!#REF!,"")))</f>
        <v/>
      </c>
      <c r="L1548" s="2"/>
      <c r="M1548" s="32"/>
      <c r="N1548" s="13" t="str">
        <f>IF(F1548="","",
MAX(0,
_xlfn.XLOOKUP(F1548,purchase!D:D,purchase!#REF!,"")
-
SUMIFS(L:L,F:F,F1548)))</f>
        <v/>
      </c>
      <c r="O1548" s="13" t="str">
        <f t="shared" si="172"/>
        <v/>
      </c>
      <c r="P1548" s="35" t="str">
        <f>_xlfn.SINGLE(IF(F1548="","",_xlfn.XLOOKUP(F1548,purchase!D:D,purchase!K:K,"")))</f>
        <v/>
      </c>
      <c r="Q1548" s="29" t="str">
        <f t="shared" si="173"/>
        <v/>
      </c>
      <c r="R1548" s="37" t="str">
        <f t="shared" si="174"/>
        <v/>
      </c>
    </row>
    <row r="1549" spans="1:18" x14ac:dyDescent="0.35">
      <c r="A1549" s="8">
        <v>1545</v>
      </c>
      <c r="B1549" s="9" t="str">
        <f t="shared" si="168"/>
        <v/>
      </c>
      <c r="C1549" s="10"/>
      <c r="D1549" s="9" t="str">
        <f>IF(F1549="","",_xlfn.XLOOKUP(F1549,purchase!D:D,purchase!#REF!,""))</f>
        <v/>
      </c>
      <c r="E1549" s="9" t="str">
        <f>IF(F1549="","",_xlfn.XLOOKUP(F1549,purchase!D:D,purchase!B:B,""))</f>
        <v/>
      </c>
      <c r="F1549" s="2"/>
      <c r="G1549" s="4" t="str">
        <f t="shared" si="169"/>
        <v/>
      </c>
      <c r="H1549" s="4" t="str">
        <f>IF(F1549="","",_xlfn.XLOOKUP(F1549,purchase!D:D,purchase!#REF!,""))</f>
        <v/>
      </c>
      <c r="I1549" s="4" t="str">
        <f t="shared" si="170"/>
        <v/>
      </c>
      <c r="J1549" s="4" t="str">
        <f t="shared" si="171"/>
        <v/>
      </c>
      <c r="K1549" s="13" t="str">
        <f>_xlfn.SINGLE(IF(F1549="","",_xlfn.XLOOKUP(F1549,purchase!D:D,purchase!#REF!,"")))</f>
        <v/>
      </c>
      <c r="L1549" s="2"/>
      <c r="M1549" s="32"/>
      <c r="N1549" s="13" t="str">
        <f>IF(F1549="","",
MAX(0,
_xlfn.XLOOKUP(F1549,purchase!D:D,purchase!#REF!,"")
-
SUMIFS(L:L,F:F,F1549)))</f>
        <v/>
      </c>
      <c r="O1549" s="13" t="str">
        <f t="shared" si="172"/>
        <v/>
      </c>
      <c r="P1549" s="35" t="str">
        <f>_xlfn.SINGLE(IF(F1549="","",_xlfn.XLOOKUP(F1549,purchase!D:D,purchase!K:K,"")))</f>
        <v/>
      </c>
      <c r="Q1549" s="29" t="str">
        <f t="shared" si="173"/>
        <v/>
      </c>
      <c r="R1549" s="37" t="str">
        <f t="shared" si="174"/>
        <v/>
      </c>
    </row>
    <row r="1550" spans="1:18" x14ac:dyDescent="0.35">
      <c r="A1550" s="8">
        <v>1546</v>
      </c>
      <c r="B1550" s="9" t="str">
        <f t="shared" si="168"/>
        <v/>
      </c>
      <c r="C1550" s="10"/>
      <c r="D1550" s="9" t="str">
        <f>IF(F1550="","",_xlfn.XLOOKUP(F1550,purchase!D:D,purchase!#REF!,""))</f>
        <v/>
      </c>
      <c r="E1550" s="9" t="str">
        <f>IF(F1550="","",_xlfn.XLOOKUP(F1550,purchase!D:D,purchase!B:B,""))</f>
        <v/>
      </c>
      <c r="F1550" s="2"/>
      <c r="G1550" s="4" t="str">
        <f t="shared" si="169"/>
        <v/>
      </c>
      <c r="H1550" s="4" t="str">
        <f>IF(F1550="","",_xlfn.XLOOKUP(F1550,purchase!D:D,purchase!#REF!,""))</f>
        <v/>
      </c>
      <c r="I1550" s="4" t="str">
        <f t="shared" si="170"/>
        <v/>
      </c>
      <c r="J1550" s="4" t="str">
        <f t="shared" si="171"/>
        <v/>
      </c>
      <c r="K1550" s="13" t="str">
        <f>_xlfn.SINGLE(IF(F1550="","",_xlfn.XLOOKUP(F1550,purchase!D:D,purchase!#REF!,"")))</f>
        <v/>
      </c>
      <c r="L1550" s="2"/>
      <c r="M1550" s="32"/>
      <c r="N1550" s="13" t="str">
        <f>IF(F1550="","",
MAX(0,
_xlfn.XLOOKUP(F1550,purchase!D:D,purchase!#REF!,"")
-
SUMIFS(L:L,F:F,F1550)))</f>
        <v/>
      </c>
      <c r="O1550" s="13" t="str">
        <f t="shared" si="172"/>
        <v/>
      </c>
      <c r="P1550" s="35" t="str">
        <f>_xlfn.SINGLE(IF(F1550="","",_xlfn.XLOOKUP(F1550,purchase!D:D,purchase!K:K,"")))</f>
        <v/>
      </c>
      <c r="Q1550" s="29" t="str">
        <f t="shared" si="173"/>
        <v/>
      </c>
      <c r="R1550" s="37" t="str">
        <f t="shared" si="174"/>
        <v/>
      </c>
    </row>
    <row r="1551" spans="1:18" x14ac:dyDescent="0.35">
      <c r="A1551" s="8">
        <v>1547</v>
      </c>
      <c r="B1551" s="9" t="str">
        <f t="shared" si="168"/>
        <v/>
      </c>
      <c r="C1551" s="10"/>
      <c r="D1551" s="9" t="str">
        <f>IF(F1551="","",_xlfn.XLOOKUP(F1551,purchase!D:D,purchase!#REF!,""))</f>
        <v/>
      </c>
      <c r="E1551" s="9" t="str">
        <f>IF(F1551="","",_xlfn.XLOOKUP(F1551,purchase!D:D,purchase!B:B,""))</f>
        <v/>
      </c>
      <c r="F1551" s="2"/>
      <c r="G1551" s="4" t="str">
        <f t="shared" si="169"/>
        <v/>
      </c>
      <c r="H1551" s="4" t="str">
        <f>IF(F1551="","",_xlfn.XLOOKUP(F1551,purchase!D:D,purchase!#REF!,""))</f>
        <v/>
      </c>
      <c r="I1551" s="4" t="str">
        <f t="shared" si="170"/>
        <v/>
      </c>
      <c r="J1551" s="4" t="str">
        <f t="shared" si="171"/>
        <v/>
      </c>
      <c r="K1551" s="13" t="str">
        <f>_xlfn.SINGLE(IF(F1551="","",_xlfn.XLOOKUP(F1551,purchase!D:D,purchase!#REF!,"")))</f>
        <v/>
      </c>
      <c r="L1551" s="2"/>
      <c r="M1551" s="32"/>
      <c r="N1551" s="13" t="str">
        <f>IF(F1551="","",
MAX(0,
_xlfn.XLOOKUP(F1551,purchase!D:D,purchase!#REF!,"")
-
SUMIFS(L:L,F:F,F1551)))</f>
        <v/>
      </c>
      <c r="O1551" s="13" t="str">
        <f t="shared" si="172"/>
        <v/>
      </c>
      <c r="P1551" s="35" t="str">
        <f>_xlfn.SINGLE(IF(F1551="","",_xlfn.XLOOKUP(F1551,purchase!D:D,purchase!K:K,"")))</f>
        <v/>
      </c>
      <c r="Q1551" s="29" t="str">
        <f t="shared" si="173"/>
        <v/>
      </c>
      <c r="R1551" s="37" t="str">
        <f t="shared" si="174"/>
        <v/>
      </c>
    </row>
    <row r="1552" spans="1:18" x14ac:dyDescent="0.35">
      <c r="A1552" s="8">
        <v>1548</v>
      </c>
      <c r="B1552" s="9" t="str">
        <f t="shared" si="168"/>
        <v/>
      </c>
      <c r="C1552" s="10"/>
      <c r="D1552" s="9" t="str">
        <f>IF(F1552="","",_xlfn.XLOOKUP(F1552,purchase!D:D,purchase!#REF!,""))</f>
        <v/>
      </c>
      <c r="E1552" s="9" t="str">
        <f>IF(F1552="","",_xlfn.XLOOKUP(F1552,purchase!D:D,purchase!B:B,""))</f>
        <v/>
      </c>
      <c r="F1552" s="2"/>
      <c r="G1552" s="4" t="str">
        <f t="shared" si="169"/>
        <v/>
      </c>
      <c r="H1552" s="4" t="str">
        <f>IF(F1552="","",_xlfn.XLOOKUP(F1552,purchase!D:D,purchase!#REF!,""))</f>
        <v/>
      </c>
      <c r="I1552" s="4" t="str">
        <f t="shared" si="170"/>
        <v/>
      </c>
      <c r="J1552" s="4" t="str">
        <f t="shared" si="171"/>
        <v/>
      </c>
      <c r="K1552" s="13" t="str">
        <f>_xlfn.SINGLE(IF(F1552="","",_xlfn.XLOOKUP(F1552,purchase!D:D,purchase!#REF!,"")))</f>
        <v/>
      </c>
      <c r="L1552" s="2"/>
      <c r="M1552" s="32"/>
      <c r="N1552" s="13" t="str">
        <f>IF(F1552="","",
MAX(0,
_xlfn.XLOOKUP(F1552,purchase!D:D,purchase!#REF!,"")
-
SUMIFS(L:L,F:F,F1552)))</f>
        <v/>
      </c>
      <c r="O1552" s="13" t="str">
        <f t="shared" si="172"/>
        <v/>
      </c>
      <c r="P1552" s="35" t="str">
        <f>_xlfn.SINGLE(IF(F1552="","",_xlfn.XLOOKUP(F1552,purchase!D:D,purchase!K:K,"")))</f>
        <v/>
      </c>
      <c r="Q1552" s="29" t="str">
        <f t="shared" si="173"/>
        <v/>
      </c>
      <c r="R1552" s="37" t="str">
        <f t="shared" si="174"/>
        <v/>
      </c>
    </row>
    <row r="1553" spans="1:18" x14ac:dyDescent="0.35">
      <c r="A1553" s="8">
        <v>1549</v>
      </c>
      <c r="B1553" s="9" t="str">
        <f t="shared" si="168"/>
        <v/>
      </c>
      <c r="C1553" s="10"/>
      <c r="D1553" s="9" t="str">
        <f>IF(F1553="","",_xlfn.XLOOKUP(F1553,purchase!D:D,purchase!#REF!,""))</f>
        <v/>
      </c>
      <c r="E1553" s="9" t="str">
        <f>IF(F1553="","",_xlfn.XLOOKUP(F1553,purchase!D:D,purchase!B:B,""))</f>
        <v/>
      </c>
      <c r="F1553" s="2"/>
      <c r="G1553" s="4" t="str">
        <f t="shared" si="169"/>
        <v/>
      </c>
      <c r="H1553" s="4" t="str">
        <f>IF(F1553="","",_xlfn.XLOOKUP(F1553,purchase!D:D,purchase!#REF!,""))</f>
        <v/>
      </c>
      <c r="I1553" s="4" t="str">
        <f t="shared" si="170"/>
        <v/>
      </c>
      <c r="J1553" s="4" t="str">
        <f t="shared" si="171"/>
        <v/>
      </c>
      <c r="K1553" s="13" t="str">
        <f>_xlfn.SINGLE(IF(F1553="","",_xlfn.XLOOKUP(F1553,purchase!D:D,purchase!#REF!,"")))</f>
        <v/>
      </c>
      <c r="L1553" s="2"/>
      <c r="M1553" s="32"/>
      <c r="N1553" s="13" t="str">
        <f>IF(F1553="","",
MAX(0,
_xlfn.XLOOKUP(F1553,purchase!D:D,purchase!#REF!,"")
-
SUMIFS(L:L,F:F,F1553)))</f>
        <v/>
      </c>
      <c r="O1553" s="13" t="str">
        <f t="shared" si="172"/>
        <v/>
      </c>
      <c r="P1553" s="35" t="str">
        <f>_xlfn.SINGLE(IF(F1553="","",_xlfn.XLOOKUP(F1553,purchase!D:D,purchase!K:K,"")))</f>
        <v/>
      </c>
      <c r="Q1553" s="29" t="str">
        <f t="shared" si="173"/>
        <v/>
      </c>
      <c r="R1553" s="37" t="str">
        <f t="shared" si="174"/>
        <v/>
      </c>
    </row>
    <row r="1554" spans="1:18" x14ac:dyDescent="0.35">
      <c r="A1554" s="8">
        <v>1550</v>
      </c>
      <c r="B1554" s="9" t="str">
        <f t="shared" si="168"/>
        <v/>
      </c>
      <c r="C1554" s="10"/>
      <c r="D1554" s="9" t="str">
        <f>IF(F1554="","",_xlfn.XLOOKUP(F1554,purchase!D:D,purchase!#REF!,""))</f>
        <v/>
      </c>
      <c r="E1554" s="9" t="str">
        <f>IF(F1554="","",_xlfn.XLOOKUP(F1554,purchase!D:D,purchase!B:B,""))</f>
        <v/>
      </c>
      <c r="F1554" s="2"/>
      <c r="G1554" s="4" t="str">
        <f t="shared" si="169"/>
        <v/>
      </c>
      <c r="H1554" s="4" t="str">
        <f>IF(F1554="","",_xlfn.XLOOKUP(F1554,purchase!D:D,purchase!#REF!,""))</f>
        <v/>
      </c>
      <c r="I1554" s="4" t="str">
        <f t="shared" si="170"/>
        <v/>
      </c>
      <c r="J1554" s="4" t="str">
        <f t="shared" si="171"/>
        <v/>
      </c>
      <c r="K1554" s="13" t="str">
        <f>_xlfn.SINGLE(IF(F1554="","",_xlfn.XLOOKUP(F1554,purchase!D:D,purchase!#REF!,"")))</f>
        <v/>
      </c>
      <c r="L1554" s="2"/>
      <c r="M1554" s="32"/>
      <c r="N1554" s="13" t="str">
        <f>IF(F1554="","",
MAX(0,
_xlfn.XLOOKUP(F1554,purchase!D:D,purchase!#REF!,"")
-
SUMIFS(L:L,F:F,F1554)))</f>
        <v/>
      </c>
      <c r="O1554" s="13" t="str">
        <f t="shared" si="172"/>
        <v/>
      </c>
      <c r="P1554" s="35" t="str">
        <f>_xlfn.SINGLE(IF(F1554="","",_xlfn.XLOOKUP(F1554,purchase!D:D,purchase!K:K,"")))</f>
        <v/>
      </c>
      <c r="Q1554" s="29" t="str">
        <f t="shared" si="173"/>
        <v/>
      </c>
      <c r="R1554" s="37" t="str">
        <f t="shared" si="174"/>
        <v/>
      </c>
    </row>
    <row r="1555" spans="1:18" x14ac:dyDescent="0.35">
      <c r="A1555" s="8">
        <v>1551</v>
      </c>
      <c r="B1555" s="9" t="str">
        <f t="shared" si="168"/>
        <v/>
      </c>
      <c r="C1555" s="10"/>
      <c r="D1555" s="9" t="str">
        <f>IF(F1555="","",_xlfn.XLOOKUP(F1555,purchase!D:D,purchase!#REF!,""))</f>
        <v/>
      </c>
      <c r="E1555" s="9" t="str">
        <f>IF(F1555="","",_xlfn.XLOOKUP(F1555,purchase!D:D,purchase!B:B,""))</f>
        <v/>
      </c>
      <c r="F1555" s="2"/>
      <c r="G1555" s="4" t="str">
        <f t="shared" si="169"/>
        <v/>
      </c>
      <c r="H1555" s="4" t="str">
        <f>IF(F1555="","",_xlfn.XLOOKUP(F1555,purchase!D:D,purchase!#REF!,""))</f>
        <v/>
      </c>
      <c r="I1555" s="4" t="str">
        <f t="shared" si="170"/>
        <v/>
      </c>
      <c r="J1555" s="4" t="str">
        <f t="shared" si="171"/>
        <v/>
      </c>
      <c r="K1555" s="13" t="str">
        <f>_xlfn.SINGLE(IF(F1555="","",_xlfn.XLOOKUP(F1555,purchase!D:D,purchase!#REF!,"")))</f>
        <v/>
      </c>
      <c r="L1555" s="2"/>
      <c r="M1555" s="32"/>
      <c r="N1555" s="13" t="str">
        <f>IF(F1555="","",
MAX(0,
_xlfn.XLOOKUP(F1555,purchase!D:D,purchase!#REF!,"")
-
SUMIFS(L:L,F:F,F1555)))</f>
        <v/>
      </c>
      <c r="O1555" s="13" t="str">
        <f t="shared" si="172"/>
        <v/>
      </c>
      <c r="P1555" s="35" t="str">
        <f>_xlfn.SINGLE(IF(F1555="","",_xlfn.XLOOKUP(F1555,purchase!D:D,purchase!K:K,"")))</f>
        <v/>
      </c>
      <c r="Q1555" s="29" t="str">
        <f t="shared" si="173"/>
        <v/>
      </c>
      <c r="R1555" s="37" t="str">
        <f t="shared" si="174"/>
        <v/>
      </c>
    </row>
    <row r="1556" spans="1:18" x14ac:dyDescent="0.35">
      <c r="A1556" s="8">
        <v>1552</v>
      </c>
      <c r="B1556" s="9" t="str">
        <f t="shared" si="168"/>
        <v/>
      </c>
      <c r="C1556" s="10"/>
      <c r="D1556" s="9" t="str">
        <f>IF(F1556="","",_xlfn.XLOOKUP(F1556,purchase!D:D,purchase!#REF!,""))</f>
        <v/>
      </c>
      <c r="E1556" s="9" t="str">
        <f>IF(F1556="","",_xlfn.XLOOKUP(F1556,purchase!D:D,purchase!B:B,""))</f>
        <v/>
      </c>
      <c r="F1556" s="2"/>
      <c r="G1556" s="4" t="str">
        <f t="shared" si="169"/>
        <v/>
      </c>
      <c r="H1556" s="4" t="str">
        <f>IF(F1556="","",_xlfn.XLOOKUP(F1556,purchase!D:D,purchase!#REF!,""))</f>
        <v/>
      </c>
      <c r="I1556" s="4" t="str">
        <f t="shared" si="170"/>
        <v/>
      </c>
      <c r="J1556" s="4" t="str">
        <f t="shared" si="171"/>
        <v/>
      </c>
      <c r="K1556" s="13" t="str">
        <f>_xlfn.SINGLE(IF(F1556="","",_xlfn.XLOOKUP(F1556,purchase!D:D,purchase!#REF!,"")))</f>
        <v/>
      </c>
      <c r="L1556" s="2"/>
      <c r="M1556" s="32"/>
      <c r="N1556" s="13" t="str">
        <f>IF(F1556="","",
MAX(0,
_xlfn.XLOOKUP(F1556,purchase!D:D,purchase!#REF!,"")
-
SUMIFS(L:L,F:F,F1556)))</f>
        <v/>
      </c>
      <c r="O1556" s="13" t="str">
        <f t="shared" si="172"/>
        <v/>
      </c>
      <c r="P1556" s="35" t="str">
        <f>_xlfn.SINGLE(IF(F1556="","",_xlfn.XLOOKUP(F1556,purchase!D:D,purchase!K:K,"")))</f>
        <v/>
      </c>
      <c r="Q1556" s="29" t="str">
        <f t="shared" si="173"/>
        <v/>
      </c>
      <c r="R1556" s="37" t="str">
        <f t="shared" si="174"/>
        <v/>
      </c>
    </row>
    <row r="1557" spans="1:18" x14ac:dyDescent="0.35">
      <c r="A1557" s="8">
        <v>1553</v>
      </c>
      <c r="B1557" s="9" t="str">
        <f t="shared" si="168"/>
        <v/>
      </c>
      <c r="C1557" s="10"/>
      <c r="D1557" s="9" t="str">
        <f>IF(F1557="","",_xlfn.XLOOKUP(F1557,purchase!D:D,purchase!#REF!,""))</f>
        <v/>
      </c>
      <c r="E1557" s="9" t="str">
        <f>IF(F1557="","",_xlfn.XLOOKUP(F1557,purchase!D:D,purchase!B:B,""))</f>
        <v/>
      </c>
      <c r="F1557" s="2"/>
      <c r="G1557" s="4" t="str">
        <f t="shared" si="169"/>
        <v/>
      </c>
      <c r="H1557" s="4" t="str">
        <f>IF(F1557="","",_xlfn.XLOOKUP(F1557,purchase!D:D,purchase!#REF!,""))</f>
        <v/>
      </c>
      <c r="I1557" s="4" t="str">
        <f t="shared" si="170"/>
        <v/>
      </c>
      <c r="J1557" s="4" t="str">
        <f t="shared" si="171"/>
        <v/>
      </c>
      <c r="K1557" s="13" t="str">
        <f>_xlfn.SINGLE(IF(F1557="","",_xlfn.XLOOKUP(F1557,purchase!D:D,purchase!#REF!,"")))</f>
        <v/>
      </c>
      <c r="L1557" s="2"/>
      <c r="M1557" s="32"/>
      <c r="N1557" s="13" t="str">
        <f>IF(F1557="","",
MAX(0,
_xlfn.XLOOKUP(F1557,purchase!D:D,purchase!#REF!,"")
-
SUMIFS(L:L,F:F,F1557)))</f>
        <v/>
      </c>
      <c r="O1557" s="13" t="str">
        <f t="shared" si="172"/>
        <v/>
      </c>
      <c r="P1557" s="35" t="str">
        <f>_xlfn.SINGLE(IF(F1557="","",_xlfn.XLOOKUP(F1557,purchase!D:D,purchase!K:K,"")))</f>
        <v/>
      </c>
      <c r="Q1557" s="29" t="str">
        <f t="shared" si="173"/>
        <v/>
      </c>
      <c r="R1557" s="37" t="str">
        <f t="shared" si="174"/>
        <v/>
      </c>
    </row>
    <row r="1558" spans="1:18" x14ac:dyDescent="0.35">
      <c r="A1558" s="8">
        <v>1554</v>
      </c>
      <c r="B1558" s="9" t="str">
        <f t="shared" si="168"/>
        <v/>
      </c>
      <c r="C1558" s="10"/>
      <c r="D1558" s="9" t="str">
        <f>IF(F1558="","",_xlfn.XLOOKUP(F1558,purchase!D:D,purchase!#REF!,""))</f>
        <v/>
      </c>
      <c r="E1558" s="9" t="str">
        <f>IF(F1558="","",_xlfn.XLOOKUP(F1558,purchase!D:D,purchase!B:B,""))</f>
        <v/>
      </c>
      <c r="F1558" s="2"/>
      <c r="G1558" s="4" t="str">
        <f t="shared" si="169"/>
        <v/>
      </c>
      <c r="H1558" s="4" t="str">
        <f>IF(F1558="","",_xlfn.XLOOKUP(F1558,purchase!D:D,purchase!#REF!,""))</f>
        <v/>
      </c>
      <c r="I1558" s="4" t="str">
        <f t="shared" si="170"/>
        <v/>
      </c>
      <c r="J1558" s="4" t="str">
        <f t="shared" si="171"/>
        <v/>
      </c>
      <c r="K1558" s="13" t="str">
        <f>_xlfn.SINGLE(IF(F1558="","",_xlfn.XLOOKUP(F1558,purchase!D:D,purchase!#REF!,"")))</f>
        <v/>
      </c>
      <c r="L1558" s="2"/>
      <c r="M1558" s="32"/>
      <c r="N1558" s="13" t="str">
        <f>IF(F1558="","",
MAX(0,
_xlfn.XLOOKUP(F1558,purchase!D:D,purchase!#REF!,"")
-
SUMIFS(L:L,F:F,F1558)))</f>
        <v/>
      </c>
      <c r="O1558" s="13" t="str">
        <f t="shared" si="172"/>
        <v/>
      </c>
      <c r="P1558" s="35" t="str">
        <f>_xlfn.SINGLE(IF(F1558="","",_xlfn.XLOOKUP(F1558,purchase!D:D,purchase!K:K,"")))</f>
        <v/>
      </c>
      <c r="Q1558" s="29" t="str">
        <f t="shared" si="173"/>
        <v/>
      </c>
      <c r="R1558" s="37" t="str">
        <f t="shared" si="174"/>
        <v/>
      </c>
    </row>
    <row r="1559" spans="1:18" x14ac:dyDescent="0.35">
      <c r="A1559" s="8">
        <v>1555</v>
      </c>
      <c r="B1559" s="9" t="str">
        <f t="shared" si="168"/>
        <v/>
      </c>
      <c r="C1559" s="10"/>
      <c r="D1559" s="9" t="str">
        <f>IF(F1559="","",_xlfn.XLOOKUP(F1559,purchase!D:D,purchase!#REF!,""))</f>
        <v/>
      </c>
      <c r="E1559" s="9" t="str">
        <f>IF(F1559="","",_xlfn.XLOOKUP(F1559,purchase!D:D,purchase!B:B,""))</f>
        <v/>
      </c>
      <c r="F1559" s="2"/>
      <c r="G1559" s="4" t="str">
        <f t="shared" si="169"/>
        <v/>
      </c>
      <c r="H1559" s="4" t="str">
        <f>IF(F1559="","",_xlfn.XLOOKUP(F1559,purchase!D:D,purchase!#REF!,""))</f>
        <v/>
      </c>
      <c r="I1559" s="4" t="str">
        <f t="shared" si="170"/>
        <v/>
      </c>
      <c r="J1559" s="4" t="str">
        <f t="shared" si="171"/>
        <v/>
      </c>
      <c r="K1559" s="13" t="str">
        <f>_xlfn.SINGLE(IF(F1559="","",_xlfn.XLOOKUP(F1559,purchase!D:D,purchase!#REF!,"")))</f>
        <v/>
      </c>
      <c r="L1559" s="2"/>
      <c r="M1559" s="32"/>
      <c r="N1559" s="13" t="str">
        <f>IF(F1559="","",
MAX(0,
_xlfn.XLOOKUP(F1559,purchase!D:D,purchase!#REF!,"")
-
SUMIFS(L:L,F:F,F1559)))</f>
        <v/>
      </c>
      <c r="O1559" s="13" t="str">
        <f t="shared" si="172"/>
        <v/>
      </c>
      <c r="P1559" s="35" t="str">
        <f>_xlfn.SINGLE(IF(F1559="","",_xlfn.XLOOKUP(F1559,purchase!D:D,purchase!K:K,"")))</f>
        <v/>
      </c>
      <c r="Q1559" s="29" t="str">
        <f t="shared" si="173"/>
        <v/>
      </c>
      <c r="R1559" s="37" t="str">
        <f t="shared" si="174"/>
        <v/>
      </c>
    </row>
    <row r="1560" spans="1:18" x14ac:dyDescent="0.35">
      <c r="A1560" s="8">
        <v>1556</v>
      </c>
      <c r="B1560" s="9" t="str">
        <f t="shared" si="168"/>
        <v/>
      </c>
      <c r="C1560" s="10"/>
      <c r="D1560" s="9" t="str">
        <f>IF(F1560="","",_xlfn.XLOOKUP(F1560,purchase!D:D,purchase!#REF!,""))</f>
        <v/>
      </c>
      <c r="E1560" s="9" t="str">
        <f>IF(F1560="","",_xlfn.XLOOKUP(F1560,purchase!D:D,purchase!B:B,""))</f>
        <v/>
      </c>
      <c r="F1560" s="2"/>
      <c r="G1560" s="4" t="str">
        <f t="shared" si="169"/>
        <v/>
      </c>
      <c r="H1560" s="4" t="str">
        <f>IF(F1560="","",_xlfn.XLOOKUP(F1560,purchase!D:D,purchase!#REF!,""))</f>
        <v/>
      </c>
      <c r="I1560" s="4" t="str">
        <f t="shared" si="170"/>
        <v/>
      </c>
      <c r="J1560" s="4" t="str">
        <f t="shared" si="171"/>
        <v/>
      </c>
      <c r="K1560" s="13" t="str">
        <f>_xlfn.SINGLE(IF(F1560="","",_xlfn.XLOOKUP(F1560,purchase!D:D,purchase!#REF!,"")))</f>
        <v/>
      </c>
      <c r="L1560" s="2"/>
      <c r="M1560" s="32"/>
      <c r="N1560" s="13" t="str">
        <f>IF(F1560="","",
MAX(0,
_xlfn.XLOOKUP(F1560,purchase!D:D,purchase!#REF!,"")
-
SUMIFS(L:L,F:F,F1560)))</f>
        <v/>
      </c>
      <c r="O1560" s="13" t="str">
        <f t="shared" si="172"/>
        <v/>
      </c>
      <c r="P1560" s="35" t="str">
        <f>_xlfn.SINGLE(IF(F1560="","",_xlfn.XLOOKUP(F1560,purchase!D:D,purchase!K:K,"")))</f>
        <v/>
      </c>
      <c r="Q1560" s="29" t="str">
        <f t="shared" si="173"/>
        <v/>
      </c>
      <c r="R1560" s="37" t="str">
        <f t="shared" si="174"/>
        <v/>
      </c>
    </row>
    <row r="1561" spans="1:18" x14ac:dyDescent="0.35">
      <c r="A1561" s="8">
        <v>1557</v>
      </c>
      <c r="B1561" s="9" t="str">
        <f t="shared" si="168"/>
        <v/>
      </c>
      <c r="C1561" s="10"/>
      <c r="D1561" s="9" t="str">
        <f>IF(F1561="","",_xlfn.XLOOKUP(F1561,purchase!D:D,purchase!#REF!,""))</f>
        <v/>
      </c>
      <c r="E1561" s="9" t="str">
        <f>IF(F1561="","",_xlfn.XLOOKUP(F1561,purchase!D:D,purchase!B:B,""))</f>
        <v/>
      </c>
      <c r="F1561" s="2"/>
      <c r="G1561" s="4" t="str">
        <f t="shared" si="169"/>
        <v/>
      </c>
      <c r="H1561" s="4" t="str">
        <f>IF(F1561="","",_xlfn.XLOOKUP(F1561,purchase!D:D,purchase!#REF!,""))</f>
        <v/>
      </c>
      <c r="I1561" s="4" t="str">
        <f t="shared" si="170"/>
        <v/>
      </c>
      <c r="J1561" s="4" t="str">
        <f t="shared" si="171"/>
        <v/>
      </c>
      <c r="K1561" s="13" t="str">
        <f>_xlfn.SINGLE(IF(F1561="","",_xlfn.XLOOKUP(F1561,purchase!D:D,purchase!#REF!,"")))</f>
        <v/>
      </c>
      <c r="L1561" s="2"/>
      <c r="M1561" s="32"/>
      <c r="N1561" s="13" t="str">
        <f>IF(F1561="","",
MAX(0,
_xlfn.XLOOKUP(F1561,purchase!D:D,purchase!#REF!,"")
-
SUMIFS(L:L,F:F,F1561)))</f>
        <v/>
      </c>
      <c r="O1561" s="13" t="str">
        <f t="shared" si="172"/>
        <v/>
      </c>
      <c r="P1561" s="35" t="str">
        <f>_xlfn.SINGLE(IF(F1561="","",_xlfn.XLOOKUP(F1561,purchase!D:D,purchase!K:K,"")))</f>
        <v/>
      </c>
      <c r="Q1561" s="29" t="str">
        <f t="shared" si="173"/>
        <v/>
      </c>
      <c r="R1561" s="37" t="str">
        <f t="shared" si="174"/>
        <v/>
      </c>
    </row>
    <row r="1562" spans="1:18" x14ac:dyDescent="0.35">
      <c r="A1562" s="8">
        <v>1558</v>
      </c>
      <c r="B1562" s="9" t="str">
        <f t="shared" si="168"/>
        <v/>
      </c>
      <c r="C1562" s="10"/>
      <c r="D1562" s="9" t="str">
        <f>IF(F1562="","",_xlfn.XLOOKUP(F1562,purchase!D:D,purchase!#REF!,""))</f>
        <v/>
      </c>
      <c r="E1562" s="9" t="str">
        <f>IF(F1562="","",_xlfn.XLOOKUP(F1562,purchase!D:D,purchase!B:B,""))</f>
        <v/>
      </c>
      <c r="F1562" s="2"/>
      <c r="G1562" s="4" t="str">
        <f t="shared" si="169"/>
        <v/>
      </c>
      <c r="H1562" s="4" t="str">
        <f>IF(F1562="","",_xlfn.XLOOKUP(F1562,purchase!D:D,purchase!#REF!,""))</f>
        <v/>
      </c>
      <c r="I1562" s="4" t="str">
        <f t="shared" si="170"/>
        <v/>
      </c>
      <c r="J1562" s="4" t="str">
        <f t="shared" si="171"/>
        <v/>
      </c>
      <c r="K1562" s="13" t="str">
        <f>_xlfn.SINGLE(IF(F1562="","",_xlfn.XLOOKUP(F1562,purchase!D:D,purchase!#REF!,"")))</f>
        <v/>
      </c>
      <c r="L1562" s="2"/>
      <c r="M1562" s="32"/>
      <c r="N1562" s="13" t="str">
        <f>IF(F1562="","",
MAX(0,
_xlfn.XLOOKUP(F1562,purchase!D:D,purchase!#REF!,"")
-
SUMIFS(L:L,F:F,F1562)))</f>
        <v/>
      </c>
      <c r="O1562" s="13" t="str">
        <f t="shared" si="172"/>
        <v/>
      </c>
      <c r="P1562" s="35" t="str">
        <f>_xlfn.SINGLE(IF(F1562="","",_xlfn.XLOOKUP(F1562,purchase!D:D,purchase!K:K,"")))</f>
        <v/>
      </c>
      <c r="Q1562" s="29" t="str">
        <f t="shared" si="173"/>
        <v/>
      </c>
      <c r="R1562" s="37" t="str">
        <f t="shared" si="174"/>
        <v/>
      </c>
    </row>
    <row r="1563" spans="1:18" x14ac:dyDescent="0.35">
      <c r="A1563" s="8">
        <v>1559</v>
      </c>
      <c r="B1563" s="9" t="str">
        <f t="shared" si="168"/>
        <v/>
      </c>
      <c r="C1563" s="10"/>
      <c r="D1563" s="9" t="str">
        <f>IF(F1563="","",_xlfn.XLOOKUP(F1563,purchase!D:D,purchase!#REF!,""))</f>
        <v/>
      </c>
      <c r="E1563" s="9" t="str">
        <f>IF(F1563="","",_xlfn.XLOOKUP(F1563,purchase!D:D,purchase!B:B,""))</f>
        <v/>
      </c>
      <c r="F1563" s="2"/>
      <c r="G1563" s="4" t="str">
        <f t="shared" si="169"/>
        <v/>
      </c>
      <c r="H1563" s="4" t="str">
        <f>IF(F1563="","",_xlfn.XLOOKUP(F1563,purchase!D:D,purchase!#REF!,""))</f>
        <v/>
      </c>
      <c r="I1563" s="4" t="str">
        <f t="shared" si="170"/>
        <v/>
      </c>
      <c r="J1563" s="4" t="str">
        <f t="shared" si="171"/>
        <v/>
      </c>
      <c r="K1563" s="13" t="str">
        <f>_xlfn.SINGLE(IF(F1563="","",_xlfn.XLOOKUP(F1563,purchase!D:D,purchase!#REF!,"")))</f>
        <v/>
      </c>
      <c r="L1563" s="2"/>
      <c r="M1563" s="32"/>
      <c r="N1563" s="13" t="str">
        <f>IF(F1563="","",
MAX(0,
_xlfn.XLOOKUP(F1563,purchase!D:D,purchase!#REF!,"")
-
SUMIFS(L:L,F:F,F1563)))</f>
        <v/>
      </c>
      <c r="O1563" s="13" t="str">
        <f t="shared" si="172"/>
        <v/>
      </c>
      <c r="P1563" s="35" t="str">
        <f>_xlfn.SINGLE(IF(F1563="","",_xlfn.XLOOKUP(F1563,purchase!D:D,purchase!K:K,"")))</f>
        <v/>
      </c>
      <c r="Q1563" s="29" t="str">
        <f t="shared" si="173"/>
        <v/>
      </c>
      <c r="R1563" s="37" t="str">
        <f t="shared" si="174"/>
        <v/>
      </c>
    </row>
    <row r="1564" spans="1:18" x14ac:dyDescent="0.35">
      <c r="A1564" s="8">
        <v>1560</v>
      </c>
      <c r="B1564" s="9" t="str">
        <f t="shared" si="168"/>
        <v/>
      </c>
      <c r="C1564" s="10"/>
      <c r="D1564" s="9" t="str">
        <f>IF(F1564="","",_xlfn.XLOOKUP(F1564,purchase!D:D,purchase!#REF!,""))</f>
        <v/>
      </c>
      <c r="E1564" s="9" t="str">
        <f>IF(F1564="","",_xlfn.XLOOKUP(F1564,purchase!D:D,purchase!B:B,""))</f>
        <v/>
      </c>
      <c r="F1564" s="2"/>
      <c r="G1564" s="4" t="str">
        <f t="shared" si="169"/>
        <v/>
      </c>
      <c r="H1564" s="4" t="str">
        <f>IF(F1564="","",_xlfn.XLOOKUP(F1564,purchase!D:D,purchase!#REF!,""))</f>
        <v/>
      </c>
      <c r="I1564" s="4" t="str">
        <f t="shared" si="170"/>
        <v/>
      </c>
      <c r="J1564" s="4" t="str">
        <f t="shared" si="171"/>
        <v/>
      </c>
      <c r="K1564" s="13" t="str">
        <f>_xlfn.SINGLE(IF(F1564="","",_xlfn.XLOOKUP(F1564,purchase!D:D,purchase!#REF!,"")))</f>
        <v/>
      </c>
      <c r="L1564" s="2"/>
      <c r="M1564" s="32"/>
      <c r="N1564" s="13" t="str">
        <f>IF(F1564="","",
MAX(0,
_xlfn.XLOOKUP(F1564,purchase!D:D,purchase!#REF!,"")
-
SUMIFS(L:L,F:F,F1564)))</f>
        <v/>
      </c>
      <c r="O1564" s="13" t="str">
        <f t="shared" si="172"/>
        <v/>
      </c>
      <c r="P1564" s="35" t="str">
        <f>_xlfn.SINGLE(IF(F1564="","",_xlfn.XLOOKUP(F1564,purchase!D:D,purchase!K:K,"")))</f>
        <v/>
      </c>
      <c r="Q1564" s="29" t="str">
        <f t="shared" si="173"/>
        <v/>
      </c>
      <c r="R1564" s="37" t="str">
        <f t="shared" si="174"/>
        <v/>
      </c>
    </row>
    <row r="1565" spans="1:18" x14ac:dyDescent="0.35">
      <c r="A1565" s="8">
        <v>1561</v>
      </c>
      <c r="B1565" s="9" t="str">
        <f t="shared" si="168"/>
        <v/>
      </c>
      <c r="C1565" s="10"/>
      <c r="D1565" s="9" t="str">
        <f>IF(F1565="","",_xlfn.XLOOKUP(F1565,purchase!D:D,purchase!#REF!,""))</f>
        <v/>
      </c>
      <c r="E1565" s="9" t="str">
        <f>IF(F1565="","",_xlfn.XLOOKUP(F1565,purchase!D:D,purchase!B:B,""))</f>
        <v/>
      </c>
      <c r="F1565" s="2"/>
      <c r="G1565" s="4" t="str">
        <f t="shared" si="169"/>
        <v/>
      </c>
      <c r="H1565" s="4" t="str">
        <f>IF(F1565="","",_xlfn.XLOOKUP(F1565,purchase!D:D,purchase!#REF!,""))</f>
        <v/>
      </c>
      <c r="I1565" s="4" t="str">
        <f t="shared" si="170"/>
        <v/>
      </c>
      <c r="J1565" s="4" t="str">
        <f t="shared" si="171"/>
        <v/>
      </c>
      <c r="K1565" s="13" t="str">
        <f>_xlfn.SINGLE(IF(F1565="","",_xlfn.XLOOKUP(F1565,purchase!D:D,purchase!#REF!,"")))</f>
        <v/>
      </c>
      <c r="L1565" s="2"/>
      <c r="M1565" s="32"/>
      <c r="N1565" s="13" t="str">
        <f>IF(F1565="","",
MAX(0,
_xlfn.XLOOKUP(F1565,purchase!D:D,purchase!#REF!,"")
-
SUMIFS(L:L,F:F,F1565)))</f>
        <v/>
      </c>
      <c r="O1565" s="13" t="str">
        <f t="shared" si="172"/>
        <v/>
      </c>
      <c r="P1565" s="35" t="str">
        <f>_xlfn.SINGLE(IF(F1565="","",_xlfn.XLOOKUP(F1565,purchase!D:D,purchase!K:K,"")))</f>
        <v/>
      </c>
      <c r="Q1565" s="29" t="str">
        <f t="shared" si="173"/>
        <v/>
      </c>
      <c r="R1565" s="37" t="str">
        <f t="shared" si="174"/>
        <v/>
      </c>
    </row>
    <row r="1566" spans="1:18" x14ac:dyDescent="0.35">
      <c r="A1566" s="8">
        <v>1562</v>
      </c>
      <c r="B1566" s="9" t="str">
        <f t="shared" si="168"/>
        <v/>
      </c>
      <c r="C1566" s="10"/>
      <c r="D1566" s="9" t="str">
        <f>IF(F1566="","",_xlfn.XLOOKUP(F1566,purchase!D:D,purchase!#REF!,""))</f>
        <v/>
      </c>
      <c r="E1566" s="9" t="str">
        <f>IF(F1566="","",_xlfn.XLOOKUP(F1566,purchase!D:D,purchase!B:B,""))</f>
        <v/>
      </c>
      <c r="F1566" s="2"/>
      <c r="G1566" s="4" t="str">
        <f t="shared" si="169"/>
        <v/>
      </c>
      <c r="H1566" s="4" t="str">
        <f>IF(F1566="","",_xlfn.XLOOKUP(F1566,purchase!D:D,purchase!#REF!,""))</f>
        <v/>
      </c>
      <c r="I1566" s="4" t="str">
        <f t="shared" si="170"/>
        <v/>
      </c>
      <c r="J1566" s="4" t="str">
        <f t="shared" si="171"/>
        <v/>
      </c>
      <c r="K1566" s="13" t="str">
        <f>_xlfn.SINGLE(IF(F1566="","",_xlfn.XLOOKUP(F1566,purchase!D:D,purchase!#REF!,"")))</f>
        <v/>
      </c>
      <c r="L1566" s="2"/>
      <c r="M1566" s="32"/>
      <c r="N1566" s="13" t="str">
        <f>IF(F1566="","",
MAX(0,
_xlfn.XLOOKUP(F1566,purchase!D:D,purchase!#REF!,"")
-
SUMIFS(L:L,F:F,F1566)))</f>
        <v/>
      </c>
      <c r="O1566" s="13" t="str">
        <f t="shared" si="172"/>
        <v/>
      </c>
      <c r="P1566" s="35" t="str">
        <f>_xlfn.SINGLE(IF(F1566="","",_xlfn.XLOOKUP(F1566,purchase!D:D,purchase!K:K,"")))</f>
        <v/>
      </c>
      <c r="Q1566" s="29" t="str">
        <f t="shared" si="173"/>
        <v/>
      </c>
      <c r="R1566" s="37" t="str">
        <f t="shared" si="174"/>
        <v/>
      </c>
    </row>
    <row r="1567" spans="1:18" x14ac:dyDescent="0.35">
      <c r="A1567" s="8">
        <v>1563</v>
      </c>
      <c r="B1567" s="9" t="str">
        <f t="shared" si="168"/>
        <v/>
      </c>
      <c r="C1567" s="10"/>
      <c r="D1567" s="9" t="str">
        <f>IF(F1567="","",_xlfn.XLOOKUP(F1567,purchase!D:D,purchase!#REF!,""))</f>
        <v/>
      </c>
      <c r="E1567" s="9" t="str">
        <f>IF(F1567="","",_xlfn.XLOOKUP(F1567,purchase!D:D,purchase!B:B,""))</f>
        <v/>
      </c>
      <c r="F1567" s="2"/>
      <c r="G1567" s="4" t="str">
        <f t="shared" si="169"/>
        <v/>
      </c>
      <c r="H1567" s="4" t="str">
        <f>IF(F1567="","",_xlfn.XLOOKUP(F1567,purchase!D:D,purchase!#REF!,""))</f>
        <v/>
      </c>
      <c r="I1567" s="4" t="str">
        <f t="shared" si="170"/>
        <v/>
      </c>
      <c r="J1567" s="4" t="str">
        <f t="shared" si="171"/>
        <v/>
      </c>
      <c r="K1567" s="13" t="str">
        <f>_xlfn.SINGLE(IF(F1567="","",_xlfn.XLOOKUP(F1567,purchase!D:D,purchase!#REF!,"")))</f>
        <v/>
      </c>
      <c r="L1567" s="2"/>
      <c r="M1567" s="32"/>
      <c r="N1567" s="13" t="str">
        <f>IF(F1567="","",
MAX(0,
_xlfn.XLOOKUP(F1567,purchase!D:D,purchase!#REF!,"")
-
SUMIFS(L:L,F:F,F1567)))</f>
        <v/>
      </c>
      <c r="O1567" s="13" t="str">
        <f t="shared" si="172"/>
        <v/>
      </c>
      <c r="P1567" s="35" t="str">
        <f>_xlfn.SINGLE(IF(F1567="","",_xlfn.XLOOKUP(F1567,purchase!D:D,purchase!K:K,"")))</f>
        <v/>
      </c>
      <c r="Q1567" s="29" t="str">
        <f t="shared" si="173"/>
        <v/>
      </c>
      <c r="R1567" s="37" t="str">
        <f t="shared" si="174"/>
        <v/>
      </c>
    </row>
    <row r="1568" spans="1:18" x14ac:dyDescent="0.35">
      <c r="A1568" s="8">
        <v>1564</v>
      </c>
      <c r="B1568" s="9" t="str">
        <f t="shared" si="168"/>
        <v/>
      </c>
      <c r="C1568" s="10"/>
      <c r="D1568" s="9" t="str">
        <f>IF(F1568="","",_xlfn.XLOOKUP(F1568,purchase!D:D,purchase!#REF!,""))</f>
        <v/>
      </c>
      <c r="E1568" s="9" t="str">
        <f>IF(F1568="","",_xlfn.XLOOKUP(F1568,purchase!D:D,purchase!B:B,""))</f>
        <v/>
      </c>
      <c r="F1568" s="2"/>
      <c r="G1568" s="4" t="str">
        <f t="shared" si="169"/>
        <v/>
      </c>
      <c r="H1568" s="4" t="str">
        <f>IF(F1568="","",_xlfn.XLOOKUP(F1568,purchase!D:D,purchase!#REF!,""))</f>
        <v/>
      </c>
      <c r="I1568" s="4" t="str">
        <f t="shared" si="170"/>
        <v/>
      </c>
      <c r="J1568" s="4" t="str">
        <f t="shared" si="171"/>
        <v/>
      </c>
      <c r="K1568" s="13" t="str">
        <f>_xlfn.SINGLE(IF(F1568="","",_xlfn.XLOOKUP(F1568,purchase!D:D,purchase!#REF!,"")))</f>
        <v/>
      </c>
      <c r="L1568" s="2"/>
      <c r="M1568" s="32"/>
      <c r="N1568" s="13" t="str">
        <f>IF(F1568="","",
MAX(0,
_xlfn.XLOOKUP(F1568,purchase!D:D,purchase!#REF!,"")
-
SUMIFS(L:L,F:F,F1568)))</f>
        <v/>
      </c>
      <c r="O1568" s="13" t="str">
        <f t="shared" si="172"/>
        <v/>
      </c>
      <c r="P1568" s="35" t="str">
        <f>_xlfn.SINGLE(IF(F1568="","",_xlfn.XLOOKUP(F1568,purchase!D:D,purchase!K:K,"")))</f>
        <v/>
      </c>
      <c r="Q1568" s="29" t="str">
        <f t="shared" si="173"/>
        <v/>
      </c>
      <c r="R1568" s="37" t="str">
        <f t="shared" si="174"/>
        <v/>
      </c>
    </row>
    <row r="1569" spans="1:18" x14ac:dyDescent="0.35">
      <c r="A1569" s="8">
        <v>1565</v>
      </c>
      <c r="B1569" s="9" t="str">
        <f t="shared" si="168"/>
        <v/>
      </c>
      <c r="C1569" s="10"/>
      <c r="D1569" s="9" t="str">
        <f>IF(F1569="","",_xlfn.XLOOKUP(F1569,purchase!D:D,purchase!#REF!,""))</f>
        <v/>
      </c>
      <c r="E1569" s="9" t="str">
        <f>IF(F1569="","",_xlfn.XLOOKUP(F1569,purchase!D:D,purchase!B:B,""))</f>
        <v/>
      </c>
      <c r="F1569" s="2"/>
      <c r="G1569" s="4" t="str">
        <f t="shared" si="169"/>
        <v/>
      </c>
      <c r="H1569" s="4" t="str">
        <f>IF(F1569="","",_xlfn.XLOOKUP(F1569,purchase!D:D,purchase!#REF!,""))</f>
        <v/>
      </c>
      <c r="I1569" s="4" t="str">
        <f t="shared" si="170"/>
        <v/>
      </c>
      <c r="J1569" s="4" t="str">
        <f t="shared" si="171"/>
        <v/>
      </c>
      <c r="K1569" s="13" t="str">
        <f>_xlfn.SINGLE(IF(F1569="","",_xlfn.XLOOKUP(F1569,purchase!D:D,purchase!#REF!,"")))</f>
        <v/>
      </c>
      <c r="L1569" s="2"/>
      <c r="M1569" s="32"/>
      <c r="N1569" s="13" t="str">
        <f>IF(F1569="","",
MAX(0,
_xlfn.XLOOKUP(F1569,purchase!D:D,purchase!#REF!,"")
-
SUMIFS(L:L,F:F,F1569)))</f>
        <v/>
      </c>
      <c r="O1569" s="13" t="str">
        <f t="shared" si="172"/>
        <v/>
      </c>
      <c r="P1569" s="35" t="str">
        <f>_xlfn.SINGLE(IF(F1569="","",_xlfn.XLOOKUP(F1569,purchase!D:D,purchase!K:K,"")))</f>
        <v/>
      </c>
      <c r="Q1569" s="29" t="str">
        <f t="shared" si="173"/>
        <v/>
      </c>
      <c r="R1569" s="37" t="str">
        <f t="shared" si="174"/>
        <v/>
      </c>
    </row>
    <row r="1570" spans="1:18" x14ac:dyDescent="0.35">
      <c r="A1570" s="8">
        <v>1566</v>
      </c>
      <c r="B1570" s="9" t="str">
        <f t="shared" si="168"/>
        <v/>
      </c>
      <c r="C1570" s="10"/>
      <c r="D1570" s="9" t="str">
        <f>IF(F1570="","",_xlfn.XLOOKUP(F1570,purchase!D:D,purchase!#REF!,""))</f>
        <v/>
      </c>
      <c r="E1570" s="9" t="str">
        <f>IF(F1570="","",_xlfn.XLOOKUP(F1570,purchase!D:D,purchase!B:B,""))</f>
        <v/>
      </c>
      <c r="F1570" s="2"/>
      <c r="G1570" s="4" t="str">
        <f t="shared" si="169"/>
        <v/>
      </c>
      <c r="H1570" s="4" t="str">
        <f>IF(F1570="","",_xlfn.XLOOKUP(F1570,purchase!D:D,purchase!#REF!,""))</f>
        <v/>
      </c>
      <c r="I1570" s="4" t="str">
        <f t="shared" si="170"/>
        <v/>
      </c>
      <c r="J1570" s="4" t="str">
        <f t="shared" si="171"/>
        <v/>
      </c>
      <c r="K1570" s="13" t="str">
        <f>_xlfn.SINGLE(IF(F1570="","",_xlfn.XLOOKUP(F1570,purchase!D:D,purchase!#REF!,"")))</f>
        <v/>
      </c>
      <c r="L1570" s="2"/>
      <c r="M1570" s="32"/>
      <c r="N1570" s="13" t="str">
        <f>IF(F1570="","",
MAX(0,
_xlfn.XLOOKUP(F1570,purchase!D:D,purchase!#REF!,"")
-
SUMIFS(L:L,F:F,F1570)))</f>
        <v/>
      </c>
      <c r="O1570" s="13" t="str">
        <f t="shared" si="172"/>
        <v/>
      </c>
      <c r="P1570" s="35" t="str">
        <f>_xlfn.SINGLE(IF(F1570="","",_xlfn.XLOOKUP(F1570,purchase!D:D,purchase!K:K,"")))</f>
        <v/>
      </c>
      <c r="Q1570" s="29" t="str">
        <f t="shared" si="173"/>
        <v/>
      </c>
      <c r="R1570" s="37" t="str">
        <f t="shared" si="174"/>
        <v/>
      </c>
    </row>
    <row r="1571" spans="1:18" x14ac:dyDescent="0.35">
      <c r="A1571" s="8">
        <v>1567</v>
      </c>
      <c r="B1571" s="9" t="str">
        <f t="shared" si="168"/>
        <v/>
      </c>
      <c r="C1571" s="10"/>
      <c r="D1571" s="9" t="str">
        <f>IF(F1571="","",_xlfn.XLOOKUP(F1571,purchase!D:D,purchase!#REF!,""))</f>
        <v/>
      </c>
      <c r="E1571" s="9" t="str">
        <f>IF(F1571="","",_xlfn.XLOOKUP(F1571,purchase!D:D,purchase!B:B,""))</f>
        <v/>
      </c>
      <c r="F1571" s="2"/>
      <c r="G1571" s="4" t="str">
        <f t="shared" si="169"/>
        <v/>
      </c>
      <c r="H1571" s="4" t="str">
        <f>IF(F1571="","",_xlfn.XLOOKUP(F1571,purchase!D:D,purchase!#REF!,""))</f>
        <v/>
      </c>
      <c r="I1571" s="4" t="str">
        <f t="shared" si="170"/>
        <v/>
      </c>
      <c r="J1571" s="4" t="str">
        <f t="shared" si="171"/>
        <v/>
      </c>
      <c r="K1571" s="13" t="str">
        <f>_xlfn.SINGLE(IF(F1571="","",_xlfn.XLOOKUP(F1571,purchase!D:D,purchase!#REF!,"")))</f>
        <v/>
      </c>
      <c r="L1571" s="2"/>
      <c r="M1571" s="32"/>
      <c r="N1571" s="13" t="str">
        <f>IF(F1571="","",
MAX(0,
_xlfn.XLOOKUP(F1571,purchase!D:D,purchase!#REF!,"")
-
SUMIFS(L:L,F:F,F1571)))</f>
        <v/>
      </c>
      <c r="O1571" s="13" t="str">
        <f t="shared" si="172"/>
        <v/>
      </c>
      <c r="P1571" s="35" t="str">
        <f>_xlfn.SINGLE(IF(F1571="","",_xlfn.XLOOKUP(F1571,purchase!D:D,purchase!K:K,"")))</f>
        <v/>
      </c>
      <c r="Q1571" s="29" t="str">
        <f t="shared" si="173"/>
        <v/>
      </c>
      <c r="R1571" s="37" t="str">
        <f t="shared" si="174"/>
        <v/>
      </c>
    </row>
    <row r="1572" spans="1:18" x14ac:dyDescent="0.35">
      <c r="A1572" s="8">
        <v>1568</v>
      </c>
      <c r="B1572" s="9" t="str">
        <f t="shared" si="168"/>
        <v/>
      </c>
      <c r="C1572" s="10"/>
      <c r="D1572" s="9" t="str">
        <f>IF(F1572="","",_xlfn.XLOOKUP(F1572,purchase!D:D,purchase!#REF!,""))</f>
        <v/>
      </c>
      <c r="E1572" s="9" t="str">
        <f>IF(F1572="","",_xlfn.XLOOKUP(F1572,purchase!D:D,purchase!B:B,""))</f>
        <v/>
      </c>
      <c r="F1572" s="2"/>
      <c r="G1572" s="4" t="str">
        <f t="shared" si="169"/>
        <v/>
      </c>
      <c r="H1572" s="4" t="str">
        <f>IF(F1572="","",_xlfn.XLOOKUP(F1572,purchase!D:D,purchase!#REF!,""))</f>
        <v/>
      </c>
      <c r="I1572" s="4" t="str">
        <f t="shared" si="170"/>
        <v/>
      </c>
      <c r="J1572" s="4" t="str">
        <f t="shared" si="171"/>
        <v/>
      </c>
      <c r="K1572" s="13" t="str">
        <f>_xlfn.SINGLE(IF(F1572="","",_xlfn.XLOOKUP(F1572,purchase!D:D,purchase!#REF!,"")))</f>
        <v/>
      </c>
      <c r="L1572" s="2"/>
      <c r="M1572" s="32"/>
      <c r="N1572" s="13" t="str">
        <f>IF(F1572="","",
MAX(0,
_xlfn.XLOOKUP(F1572,purchase!D:D,purchase!#REF!,"")
-
SUMIFS(L:L,F:F,F1572)))</f>
        <v/>
      </c>
      <c r="O1572" s="13" t="str">
        <f t="shared" si="172"/>
        <v/>
      </c>
      <c r="P1572" s="35" t="str">
        <f>_xlfn.SINGLE(IF(F1572="","",_xlfn.XLOOKUP(F1572,purchase!D:D,purchase!K:K,"")))</f>
        <v/>
      </c>
      <c r="Q1572" s="29" t="str">
        <f t="shared" si="173"/>
        <v/>
      </c>
      <c r="R1572" s="37" t="str">
        <f t="shared" si="174"/>
        <v/>
      </c>
    </row>
    <row r="1573" spans="1:18" x14ac:dyDescent="0.35">
      <c r="A1573" s="8">
        <v>1569</v>
      </c>
      <c r="B1573" s="9" t="str">
        <f t="shared" si="168"/>
        <v/>
      </c>
      <c r="C1573" s="10"/>
      <c r="D1573" s="9" t="str">
        <f>IF(F1573="","",_xlfn.XLOOKUP(F1573,purchase!D:D,purchase!#REF!,""))</f>
        <v/>
      </c>
      <c r="E1573" s="9" t="str">
        <f>IF(F1573="","",_xlfn.XLOOKUP(F1573,purchase!D:D,purchase!B:B,""))</f>
        <v/>
      </c>
      <c r="F1573" s="2"/>
      <c r="G1573" s="4" t="str">
        <f t="shared" si="169"/>
        <v/>
      </c>
      <c r="H1573" s="4" t="str">
        <f>IF(F1573="","",_xlfn.XLOOKUP(F1573,purchase!D:D,purchase!#REF!,""))</f>
        <v/>
      </c>
      <c r="I1573" s="4" t="str">
        <f t="shared" si="170"/>
        <v/>
      </c>
      <c r="J1573" s="4" t="str">
        <f t="shared" si="171"/>
        <v/>
      </c>
      <c r="K1573" s="13" t="str">
        <f>_xlfn.SINGLE(IF(F1573="","",_xlfn.XLOOKUP(F1573,purchase!D:D,purchase!#REF!,"")))</f>
        <v/>
      </c>
      <c r="L1573" s="2"/>
      <c r="M1573" s="32"/>
      <c r="N1573" s="13" t="str">
        <f>IF(F1573="","",
MAX(0,
_xlfn.XLOOKUP(F1573,purchase!D:D,purchase!#REF!,"")
-
SUMIFS(L:L,F:F,F1573)))</f>
        <v/>
      </c>
      <c r="O1573" s="13" t="str">
        <f t="shared" si="172"/>
        <v/>
      </c>
      <c r="P1573" s="35" t="str">
        <f>_xlfn.SINGLE(IF(F1573="","",_xlfn.XLOOKUP(F1573,purchase!D:D,purchase!K:K,"")))</f>
        <v/>
      </c>
      <c r="Q1573" s="29" t="str">
        <f t="shared" si="173"/>
        <v/>
      </c>
      <c r="R1573" s="37" t="str">
        <f t="shared" si="174"/>
        <v/>
      </c>
    </row>
    <row r="1574" spans="1:18" x14ac:dyDescent="0.35">
      <c r="A1574" s="8">
        <v>1570</v>
      </c>
      <c r="B1574" s="9" t="str">
        <f t="shared" si="168"/>
        <v/>
      </c>
      <c r="C1574" s="10"/>
      <c r="D1574" s="9" t="str">
        <f>IF(F1574="","",_xlfn.XLOOKUP(F1574,purchase!D:D,purchase!#REF!,""))</f>
        <v/>
      </c>
      <c r="E1574" s="9" t="str">
        <f>IF(F1574="","",_xlfn.XLOOKUP(F1574,purchase!D:D,purchase!B:B,""))</f>
        <v/>
      </c>
      <c r="F1574" s="2"/>
      <c r="G1574" s="4" t="str">
        <f t="shared" si="169"/>
        <v/>
      </c>
      <c r="H1574" s="4" t="str">
        <f>IF(F1574="","",_xlfn.XLOOKUP(F1574,purchase!D:D,purchase!#REF!,""))</f>
        <v/>
      </c>
      <c r="I1574" s="4" t="str">
        <f t="shared" si="170"/>
        <v/>
      </c>
      <c r="J1574" s="4" t="str">
        <f t="shared" si="171"/>
        <v/>
      </c>
      <c r="K1574" s="13" t="str">
        <f>_xlfn.SINGLE(IF(F1574="","",_xlfn.XLOOKUP(F1574,purchase!D:D,purchase!#REF!,"")))</f>
        <v/>
      </c>
      <c r="L1574" s="2"/>
      <c r="M1574" s="32"/>
      <c r="N1574" s="13" t="str">
        <f>IF(F1574="","",
MAX(0,
_xlfn.XLOOKUP(F1574,purchase!D:D,purchase!#REF!,"")
-
SUMIFS(L:L,F:F,F1574)))</f>
        <v/>
      </c>
      <c r="O1574" s="13" t="str">
        <f t="shared" si="172"/>
        <v/>
      </c>
      <c r="P1574" s="35" t="str">
        <f>_xlfn.SINGLE(IF(F1574="","",_xlfn.XLOOKUP(F1574,purchase!D:D,purchase!K:K,"")))</f>
        <v/>
      </c>
      <c r="Q1574" s="29" t="str">
        <f t="shared" si="173"/>
        <v/>
      </c>
      <c r="R1574" s="37" t="str">
        <f t="shared" si="174"/>
        <v/>
      </c>
    </row>
    <row r="1575" spans="1:18" x14ac:dyDescent="0.35">
      <c r="A1575" s="8">
        <v>1571</v>
      </c>
      <c r="B1575" s="9" t="str">
        <f t="shared" si="168"/>
        <v/>
      </c>
      <c r="C1575" s="10"/>
      <c r="D1575" s="9" t="str">
        <f>IF(F1575="","",_xlfn.XLOOKUP(F1575,purchase!D:D,purchase!#REF!,""))</f>
        <v/>
      </c>
      <c r="E1575" s="9" t="str">
        <f>IF(F1575="","",_xlfn.XLOOKUP(F1575,purchase!D:D,purchase!B:B,""))</f>
        <v/>
      </c>
      <c r="F1575" s="2"/>
      <c r="G1575" s="4" t="str">
        <f t="shared" si="169"/>
        <v/>
      </c>
      <c r="H1575" s="4" t="str">
        <f>IF(F1575="","",_xlfn.XLOOKUP(F1575,purchase!D:D,purchase!#REF!,""))</f>
        <v/>
      </c>
      <c r="I1575" s="4" t="str">
        <f t="shared" si="170"/>
        <v/>
      </c>
      <c r="J1575" s="4" t="str">
        <f t="shared" si="171"/>
        <v/>
      </c>
      <c r="K1575" s="13" t="str">
        <f>_xlfn.SINGLE(IF(F1575="","",_xlfn.XLOOKUP(F1575,purchase!D:D,purchase!#REF!,"")))</f>
        <v/>
      </c>
      <c r="L1575" s="2"/>
      <c r="M1575" s="32"/>
      <c r="N1575" s="13" t="str">
        <f>IF(F1575="","",
MAX(0,
_xlfn.XLOOKUP(F1575,purchase!D:D,purchase!#REF!,"")
-
SUMIFS(L:L,F:F,F1575)))</f>
        <v/>
      </c>
      <c r="O1575" s="13" t="str">
        <f t="shared" si="172"/>
        <v/>
      </c>
      <c r="P1575" s="35" t="str">
        <f>_xlfn.SINGLE(IF(F1575="","",_xlfn.XLOOKUP(F1575,purchase!D:D,purchase!K:K,"")))</f>
        <v/>
      </c>
      <c r="Q1575" s="29" t="str">
        <f t="shared" si="173"/>
        <v/>
      </c>
      <c r="R1575" s="37" t="str">
        <f t="shared" si="174"/>
        <v/>
      </c>
    </row>
    <row r="1576" spans="1:18" x14ac:dyDescent="0.35">
      <c r="A1576" s="8">
        <v>1572</v>
      </c>
      <c r="B1576" s="9" t="str">
        <f t="shared" si="168"/>
        <v/>
      </c>
      <c r="C1576" s="10"/>
      <c r="D1576" s="9" t="str">
        <f>IF(F1576="","",_xlfn.XLOOKUP(F1576,purchase!D:D,purchase!#REF!,""))</f>
        <v/>
      </c>
      <c r="E1576" s="9" t="str">
        <f>IF(F1576="","",_xlfn.XLOOKUP(F1576,purchase!D:D,purchase!B:B,""))</f>
        <v/>
      </c>
      <c r="F1576" s="2"/>
      <c r="G1576" s="4" t="str">
        <f t="shared" si="169"/>
        <v/>
      </c>
      <c r="H1576" s="4" t="str">
        <f>IF(F1576="","",_xlfn.XLOOKUP(F1576,purchase!D:D,purchase!#REF!,""))</f>
        <v/>
      </c>
      <c r="I1576" s="4" t="str">
        <f t="shared" si="170"/>
        <v/>
      </c>
      <c r="J1576" s="4" t="str">
        <f t="shared" si="171"/>
        <v/>
      </c>
      <c r="K1576" s="13" t="str">
        <f>_xlfn.SINGLE(IF(F1576="","",_xlfn.XLOOKUP(F1576,purchase!D:D,purchase!#REF!,"")))</f>
        <v/>
      </c>
      <c r="L1576" s="2"/>
      <c r="M1576" s="32"/>
      <c r="N1576" s="13" t="str">
        <f>IF(F1576="","",
MAX(0,
_xlfn.XLOOKUP(F1576,purchase!D:D,purchase!#REF!,"")
-
SUMIFS(L:L,F:F,F1576)))</f>
        <v/>
      </c>
      <c r="O1576" s="13" t="str">
        <f t="shared" si="172"/>
        <v/>
      </c>
      <c r="P1576" s="35" t="str">
        <f>_xlfn.SINGLE(IF(F1576="","",_xlfn.XLOOKUP(F1576,purchase!D:D,purchase!K:K,"")))</f>
        <v/>
      </c>
      <c r="Q1576" s="29" t="str">
        <f t="shared" si="173"/>
        <v/>
      </c>
      <c r="R1576" s="37" t="str">
        <f t="shared" si="174"/>
        <v/>
      </c>
    </row>
    <row r="1577" spans="1:18" x14ac:dyDescent="0.35">
      <c r="A1577" s="8">
        <v>1573</v>
      </c>
      <c r="B1577" s="9" t="str">
        <f t="shared" si="168"/>
        <v/>
      </c>
      <c r="C1577" s="10"/>
      <c r="D1577" s="9" t="str">
        <f>IF(F1577="","",_xlfn.XLOOKUP(F1577,purchase!D:D,purchase!#REF!,""))</f>
        <v/>
      </c>
      <c r="E1577" s="9" t="str">
        <f>IF(F1577="","",_xlfn.XLOOKUP(F1577,purchase!D:D,purchase!B:B,""))</f>
        <v/>
      </c>
      <c r="F1577" s="2"/>
      <c r="G1577" s="4" t="str">
        <f t="shared" si="169"/>
        <v/>
      </c>
      <c r="H1577" s="4" t="str">
        <f>IF(F1577="","",_xlfn.XLOOKUP(F1577,purchase!D:D,purchase!#REF!,""))</f>
        <v/>
      </c>
      <c r="I1577" s="4" t="str">
        <f t="shared" si="170"/>
        <v/>
      </c>
      <c r="J1577" s="4" t="str">
        <f t="shared" si="171"/>
        <v/>
      </c>
      <c r="K1577" s="13" t="str">
        <f>_xlfn.SINGLE(IF(F1577="","",_xlfn.XLOOKUP(F1577,purchase!D:D,purchase!#REF!,"")))</f>
        <v/>
      </c>
      <c r="L1577" s="2"/>
      <c r="M1577" s="32"/>
      <c r="N1577" s="13" t="str">
        <f>IF(F1577="","",
MAX(0,
_xlfn.XLOOKUP(F1577,purchase!D:D,purchase!#REF!,"")
-
SUMIFS(L:L,F:F,F1577)))</f>
        <v/>
      </c>
      <c r="O1577" s="13" t="str">
        <f t="shared" si="172"/>
        <v/>
      </c>
      <c r="P1577" s="35" t="str">
        <f>_xlfn.SINGLE(IF(F1577="","",_xlfn.XLOOKUP(F1577,purchase!D:D,purchase!K:K,"")))</f>
        <v/>
      </c>
      <c r="Q1577" s="29" t="str">
        <f t="shared" si="173"/>
        <v/>
      </c>
      <c r="R1577" s="37" t="str">
        <f t="shared" si="174"/>
        <v/>
      </c>
    </row>
    <row r="1578" spans="1:18" x14ac:dyDescent="0.35">
      <c r="A1578" s="8">
        <v>1574</v>
      </c>
      <c r="B1578" s="9" t="str">
        <f t="shared" si="168"/>
        <v/>
      </c>
      <c r="C1578" s="10"/>
      <c r="D1578" s="9" t="str">
        <f>IF(F1578="","",_xlfn.XLOOKUP(F1578,purchase!D:D,purchase!#REF!,""))</f>
        <v/>
      </c>
      <c r="E1578" s="9" t="str">
        <f>IF(F1578="","",_xlfn.XLOOKUP(F1578,purchase!D:D,purchase!B:B,""))</f>
        <v/>
      </c>
      <c r="F1578" s="2"/>
      <c r="G1578" s="4" t="str">
        <f t="shared" si="169"/>
        <v/>
      </c>
      <c r="H1578" s="4" t="str">
        <f>IF(F1578="","",_xlfn.XLOOKUP(F1578,purchase!D:D,purchase!#REF!,""))</f>
        <v/>
      </c>
      <c r="I1578" s="4" t="str">
        <f t="shared" si="170"/>
        <v/>
      </c>
      <c r="J1578" s="4" t="str">
        <f t="shared" si="171"/>
        <v/>
      </c>
      <c r="K1578" s="13" t="str">
        <f>_xlfn.SINGLE(IF(F1578="","",_xlfn.XLOOKUP(F1578,purchase!D:D,purchase!#REF!,"")))</f>
        <v/>
      </c>
      <c r="L1578" s="2"/>
      <c r="M1578" s="32"/>
      <c r="N1578" s="13" t="str">
        <f>IF(F1578="","",
MAX(0,
_xlfn.XLOOKUP(F1578,purchase!D:D,purchase!#REF!,"")
-
SUMIFS(L:L,F:F,F1578)))</f>
        <v/>
      </c>
      <c r="O1578" s="13" t="str">
        <f t="shared" si="172"/>
        <v/>
      </c>
      <c r="P1578" s="35" t="str">
        <f>_xlfn.SINGLE(IF(F1578="","",_xlfn.XLOOKUP(F1578,purchase!D:D,purchase!K:K,"")))</f>
        <v/>
      </c>
      <c r="Q1578" s="29" t="str">
        <f t="shared" si="173"/>
        <v/>
      </c>
      <c r="R1578" s="37" t="str">
        <f t="shared" si="174"/>
        <v/>
      </c>
    </row>
    <row r="1579" spans="1:18" x14ac:dyDescent="0.35">
      <c r="A1579" s="8">
        <v>1575</v>
      </c>
      <c r="B1579" s="9" t="str">
        <f t="shared" si="168"/>
        <v/>
      </c>
      <c r="C1579" s="10"/>
      <c r="D1579" s="9" t="str">
        <f>IF(F1579="","",_xlfn.XLOOKUP(F1579,purchase!D:D,purchase!#REF!,""))</f>
        <v/>
      </c>
      <c r="E1579" s="9" t="str">
        <f>IF(F1579="","",_xlfn.XLOOKUP(F1579,purchase!D:D,purchase!B:B,""))</f>
        <v/>
      </c>
      <c r="F1579" s="2"/>
      <c r="G1579" s="4" t="str">
        <f t="shared" si="169"/>
        <v/>
      </c>
      <c r="H1579" s="4" t="str">
        <f>IF(F1579="","",_xlfn.XLOOKUP(F1579,purchase!D:D,purchase!#REF!,""))</f>
        <v/>
      </c>
      <c r="I1579" s="4" t="str">
        <f t="shared" si="170"/>
        <v/>
      </c>
      <c r="J1579" s="4" t="str">
        <f t="shared" si="171"/>
        <v/>
      </c>
      <c r="K1579" s="13" t="str">
        <f>_xlfn.SINGLE(IF(F1579="","",_xlfn.XLOOKUP(F1579,purchase!D:D,purchase!#REF!,"")))</f>
        <v/>
      </c>
      <c r="L1579" s="2"/>
      <c r="M1579" s="32"/>
      <c r="N1579" s="13" t="str">
        <f>IF(F1579="","",
MAX(0,
_xlfn.XLOOKUP(F1579,purchase!D:D,purchase!#REF!,"")
-
SUMIFS(L:L,F:F,F1579)))</f>
        <v/>
      </c>
      <c r="O1579" s="13" t="str">
        <f t="shared" si="172"/>
        <v/>
      </c>
      <c r="P1579" s="35" t="str">
        <f>_xlfn.SINGLE(IF(F1579="","",_xlfn.XLOOKUP(F1579,purchase!D:D,purchase!K:K,"")))</f>
        <v/>
      </c>
      <c r="Q1579" s="29" t="str">
        <f t="shared" si="173"/>
        <v/>
      </c>
      <c r="R1579" s="37" t="str">
        <f t="shared" si="174"/>
        <v/>
      </c>
    </row>
    <row r="1580" spans="1:18" x14ac:dyDescent="0.35">
      <c r="A1580" s="8">
        <v>1576</v>
      </c>
      <c r="B1580" s="9" t="str">
        <f t="shared" si="168"/>
        <v/>
      </c>
      <c r="C1580" s="10"/>
      <c r="D1580" s="9" t="str">
        <f>IF(F1580="","",_xlfn.XLOOKUP(F1580,purchase!D:D,purchase!#REF!,""))</f>
        <v/>
      </c>
      <c r="E1580" s="9" t="str">
        <f>IF(F1580="","",_xlfn.XLOOKUP(F1580,purchase!D:D,purchase!B:B,""))</f>
        <v/>
      </c>
      <c r="F1580" s="2"/>
      <c r="G1580" s="4" t="str">
        <f t="shared" si="169"/>
        <v/>
      </c>
      <c r="H1580" s="4" t="str">
        <f>IF(F1580="","",_xlfn.XLOOKUP(F1580,purchase!D:D,purchase!#REF!,""))</f>
        <v/>
      </c>
      <c r="I1580" s="4" t="str">
        <f t="shared" si="170"/>
        <v/>
      </c>
      <c r="J1580" s="4" t="str">
        <f t="shared" si="171"/>
        <v/>
      </c>
      <c r="K1580" s="13" t="str">
        <f>_xlfn.SINGLE(IF(F1580="","",_xlfn.XLOOKUP(F1580,purchase!D:D,purchase!#REF!,"")))</f>
        <v/>
      </c>
      <c r="L1580" s="2"/>
      <c r="M1580" s="32"/>
      <c r="N1580" s="13" t="str">
        <f>IF(F1580="","",
MAX(0,
_xlfn.XLOOKUP(F1580,purchase!D:D,purchase!#REF!,"")
-
SUMIFS(L:L,F:F,F1580)))</f>
        <v/>
      </c>
      <c r="O1580" s="13" t="str">
        <f t="shared" si="172"/>
        <v/>
      </c>
      <c r="P1580" s="35" t="str">
        <f>_xlfn.SINGLE(IF(F1580="","",_xlfn.XLOOKUP(F1580,purchase!D:D,purchase!K:K,"")))</f>
        <v/>
      </c>
      <c r="Q1580" s="29" t="str">
        <f t="shared" si="173"/>
        <v/>
      </c>
      <c r="R1580" s="37" t="str">
        <f t="shared" si="174"/>
        <v/>
      </c>
    </row>
    <row r="1581" spans="1:18" x14ac:dyDescent="0.35">
      <c r="A1581" s="8">
        <v>1577</v>
      </c>
      <c r="B1581" s="9" t="str">
        <f t="shared" si="168"/>
        <v/>
      </c>
      <c r="C1581" s="10"/>
      <c r="D1581" s="9" t="str">
        <f>IF(F1581="","",_xlfn.XLOOKUP(F1581,purchase!D:D,purchase!#REF!,""))</f>
        <v/>
      </c>
      <c r="E1581" s="9" t="str">
        <f>IF(F1581="","",_xlfn.XLOOKUP(F1581,purchase!D:D,purchase!B:B,""))</f>
        <v/>
      </c>
      <c r="F1581" s="2"/>
      <c r="G1581" s="4" t="str">
        <f t="shared" si="169"/>
        <v/>
      </c>
      <c r="H1581" s="4" t="str">
        <f>IF(F1581="","",_xlfn.XLOOKUP(F1581,purchase!D:D,purchase!#REF!,""))</f>
        <v/>
      </c>
      <c r="I1581" s="4" t="str">
        <f t="shared" si="170"/>
        <v/>
      </c>
      <c r="J1581" s="4" t="str">
        <f t="shared" si="171"/>
        <v/>
      </c>
      <c r="K1581" s="13" t="str">
        <f>_xlfn.SINGLE(IF(F1581="","",_xlfn.XLOOKUP(F1581,purchase!D:D,purchase!#REF!,"")))</f>
        <v/>
      </c>
      <c r="L1581" s="2"/>
      <c r="M1581" s="32"/>
      <c r="N1581" s="13" t="str">
        <f>IF(F1581="","",
MAX(0,
_xlfn.XLOOKUP(F1581,purchase!D:D,purchase!#REF!,"")
-
SUMIFS(L:L,F:F,F1581)))</f>
        <v/>
      </c>
      <c r="O1581" s="13" t="str">
        <f t="shared" si="172"/>
        <v/>
      </c>
      <c r="P1581" s="35" t="str">
        <f>_xlfn.SINGLE(IF(F1581="","",_xlfn.XLOOKUP(F1581,purchase!D:D,purchase!K:K,"")))</f>
        <v/>
      </c>
      <c r="Q1581" s="29" t="str">
        <f t="shared" si="173"/>
        <v/>
      </c>
      <c r="R1581" s="37" t="str">
        <f t="shared" si="174"/>
        <v/>
      </c>
    </row>
    <row r="1582" spans="1:18" x14ac:dyDescent="0.35">
      <c r="A1582" s="8">
        <v>1578</v>
      </c>
      <c r="B1582" s="9" t="str">
        <f t="shared" si="168"/>
        <v/>
      </c>
      <c r="C1582" s="10"/>
      <c r="D1582" s="9" t="str">
        <f>IF(F1582="","",_xlfn.XLOOKUP(F1582,purchase!D:D,purchase!#REF!,""))</f>
        <v/>
      </c>
      <c r="E1582" s="9" t="str">
        <f>IF(F1582="","",_xlfn.XLOOKUP(F1582,purchase!D:D,purchase!B:B,""))</f>
        <v/>
      </c>
      <c r="F1582" s="2"/>
      <c r="G1582" s="4" t="str">
        <f t="shared" si="169"/>
        <v/>
      </c>
      <c r="H1582" s="4" t="str">
        <f>IF(F1582="","",_xlfn.XLOOKUP(F1582,purchase!D:D,purchase!#REF!,""))</f>
        <v/>
      </c>
      <c r="I1582" s="4" t="str">
        <f t="shared" si="170"/>
        <v/>
      </c>
      <c r="J1582" s="4" t="str">
        <f t="shared" si="171"/>
        <v/>
      </c>
      <c r="K1582" s="13" t="str">
        <f>_xlfn.SINGLE(IF(F1582="","",_xlfn.XLOOKUP(F1582,purchase!D:D,purchase!#REF!,"")))</f>
        <v/>
      </c>
      <c r="L1582" s="2"/>
      <c r="M1582" s="32"/>
      <c r="N1582" s="13" t="str">
        <f>IF(F1582="","",
MAX(0,
_xlfn.XLOOKUP(F1582,purchase!D:D,purchase!#REF!,"")
-
SUMIFS(L:L,F:F,F1582)))</f>
        <v/>
      </c>
      <c r="O1582" s="13" t="str">
        <f t="shared" si="172"/>
        <v/>
      </c>
      <c r="P1582" s="35" t="str">
        <f>_xlfn.SINGLE(IF(F1582="","",_xlfn.XLOOKUP(F1582,purchase!D:D,purchase!K:K,"")))</f>
        <v/>
      </c>
      <c r="Q1582" s="29" t="str">
        <f t="shared" si="173"/>
        <v/>
      </c>
      <c r="R1582" s="37" t="str">
        <f t="shared" si="174"/>
        <v/>
      </c>
    </row>
    <row r="1583" spans="1:18" x14ac:dyDescent="0.35">
      <c r="A1583" s="8">
        <v>1579</v>
      </c>
      <c r="B1583" s="9" t="str">
        <f t="shared" si="168"/>
        <v/>
      </c>
      <c r="C1583" s="10"/>
      <c r="D1583" s="9" t="str">
        <f>IF(F1583="","",_xlfn.XLOOKUP(F1583,purchase!D:D,purchase!#REF!,""))</f>
        <v/>
      </c>
      <c r="E1583" s="9" t="str">
        <f>IF(F1583="","",_xlfn.XLOOKUP(F1583,purchase!D:D,purchase!B:B,""))</f>
        <v/>
      </c>
      <c r="F1583" s="2"/>
      <c r="G1583" s="4" t="str">
        <f t="shared" si="169"/>
        <v/>
      </c>
      <c r="H1583" s="4" t="str">
        <f>IF(F1583="","",_xlfn.XLOOKUP(F1583,purchase!D:D,purchase!#REF!,""))</f>
        <v/>
      </c>
      <c r="I1583" s="4" t="str">
        <f t="shared" si="170"/>
        <v/>
      </c>
      <c r="J1583" s="4" t="str">
        <f t="shared" si="171"/>
        <v/>
      </c>
      <c r="K1583" s="13" t="str">
        <f>_xlfn.SINGLE(IF(F1583="","",_xlfn.XLOOKUP(F1583,purchase!D:D,purchase!#REF!,"")))</f>
        <v/>
      </c>
      <c r="L1583" s="2"/>
      <c r="M1583" s="32"/>
      <c r="N1583" s="13" t="str">
        <f>IF(F1583="","",
MAX(0,
_xlfn.XLOOKUP(F1583,purchase!D:D,purchase!#REF!,"")
-
SUMIFS(L:L,F:F,F1583)))</f>
        <v/>
      </c>
      <c r="O1583" s="13" t="str">
        <f t="shared" si="172"/>
        <v/>
      </c>
      <c r="P1583" s="35" t="str">
        <f>_xlfn.SINGLE(IF(F1583="","",_xlfn.XLOOKUP(F1583,purchase!D:D,purchase!K:K,"")))</f>
        <v/>
      </c>
      <c r="Q1583" s="29" t="str">
        <f t="shared" si="173"/>
        <v/>
      </c>
      <c r="R1583" s="37" t="str">
        <f t="shared" si="174"/>
        <v/>
      </c>
    </row>
    <row r="1584" spans="1:18" x14ac:dyDescent="0.35">
      <c r="A1584" s="8">
        <v>1580</v>
      </c>
      <c r="B1584" s="9" t="str">
        <f t="shared" si="168"/>
        <v/>
      </c>
      <c r="C1584" s="10"/>
      <c r="D1584" s="9" t="str">
        <f>IF(F1584="","",_xlfn.XLOOKUP(F1584,purchase!D:D,purchase!#REF!,""))</f>
        <v/>
      </c>
      <c r="E1584" s="9" t="str">
        <f>IF(F1584="","",_xlfn.XLOOKUP(F1584,purchase!D:D,purchase!B:B,""))</f>
        <v/>
      </c>
      <c r="F1584" s="2"/>
      <c r="G1584" s="4" t="str">
        <f t="shared" si="169"/>
        <v/>
      </c>
      <c r="H1584" s="4" t="str">
        <f>IF(F1584="","",_xlfn.XLOOKUP(F1584,purchase!D:D,purchase!#REF!,""))</f>
        <v/>
      </c>
      <c r="I1584" s="4" t="str">
        <f t="shared" si="170"/>
        <v/>
      </c>
      <c r="J1584" s="4" t="str">
        <f t="shared" si="171"/>
        <v/>
      </c>
      <c r="K1584" s="13" t="str">
        <f>_xlfn.SINGLE(IF(F1584="","",_xlfn.XLOOKUP(F1584,purchase!D:D,purchase!#REF!,"")))</f>
        <v/>
      </c>
      <c r="L1584" s="2"/>
      <c r="M1584" s="32"/>
      <c r="N1584" s="13" t="str">
        <f>IF(F1584="","",
MAX(0,
_xlfn.XLOOKUP(F1584,purchase!D:D,purchase!#REF!,"")
-
SUMIFS(L:L,F:F,F1584)))</f>
        <v/>
      </c>
      <c r="O1584" s="13" t="str">
        <f t="shared" si="172"/>
        <v/>
      </c>
      <c r="P1584" s="35" t="str">
        <f>_xlfn.SINGLE(IF(F1584="","",_xlfn.XLOOKUP(F1584,purchase!D:D,purchase!K:K,"")))</f>
        <v/>
      </c>
      <c r="Q1584" s="29" t="str">
        <f t="shared" si="173"/>
        <v/>
      </c>
      <c r="R1584" s="37" t="str">
        <f t="shared" si="174"/>
        <v/>
      </c>
    </row>
    <row r="1585" spans="1:18" x14ac:dyDescent="0.35">
      <c r="A1585" s="8">
        <v>1581</v>
      </c>
      <c r="B1585" s="9" t="str">
        <f t="shared" si="168"/>
        <v/>
      </c>
      <c r="C1585" s="10"/>
      <c r="D1585" s="9" t="str">
        <f>IF(F1585="","",_xlfn.XLOOKUP(F1585,purchase!D:D,purchase!#REF!,""))</f>
        <v/>
      </c>
      <c r="E1585" s="9" t="str">
        <f>IF(F1585="","",_xlfn.XLOOKUP(F1585,purchase!D:D,purchase!B:B,""))</f>
        <v/>
      </c>
      <c r="F1585" s="2"/>
      <c r="G1585" s="4" t="str">
        <f t="shared" si="169"/>
        <v/>
      </c>
      <c r="H1585" s="4" t="str">
        <f>IF(F1585="","",_xlfn.XLOOKUP(F1585,purchase!D:D,purchase!#REF!,""))</f>
        <v/>
      </c>
      <c r="I1585" s="4" t="str">
        <f t="shared" si="170"/>
        <v/>
      </c>
      <c r="J1585" s="4" t="str">
        <f t="shared" si="171"/>
        <v/>
      </c>
      <c r="K1585" s="13" t="str">
        <f>_xlfn.SINGLE(IF(F1585="","",_xlfn.XLOOKUP(F1585,purchase!D:D,purchase!#REF!,"")))</f>
        <v/>
      </c>
      <c r="L1585" s="2"/>
      <c r="M1585" s="32"/>
      <c r="N1585" s="13" t="str">
        <f>IF(F1585="","",
MAX(0,
_xlfn.XLOOKUP(F1585,purchase!D:D,purchase!#REF!,"")
-
SUMIFS(L:L,F:F,F1585)))</f>
        <v/>
      </c>
      <c r="O1585" s="13" t="str">
        <f t="shared" si="172"/>
        <v/>
      </c>
      <c r="P1585" s="35" t="str">
        <f>_xlfn.SINGLE(IF(F1585="","",_xlfn.XLOOKUP(F1585,purchase!D:D,purchase!K:K,"")))</f>
        <v/>
      </c>
      <c r="Q1585" s="29" t="str">
        <f t="shared" si="173"/>
        <v/>
      </c>
      <c r="R1585" s="37" t="str">
        <f t="shared" si="174"/>
        <v/>
      </c>
    </row>
    <row r="1586" spans="1:18" x14ac:dyDescent="0.35">
      <c r="A1586" s="8">
        <v>1582</v>
      </c>
      <c r="B1586" s="9" t="str">
        <f t="shared" si="168"/>
        <v/>
      </c>
      <c r="C1586" s="10"/>
      <c r="D1586" s="9" t="str">
        <f>IF(F1586="","",_xlfn.XLOOKUP(F1586,purchase!D:D,purchase!#REF!,""))</f>
        <v/>
      </c>
      <c r="E1586" s="9" t="str">
        <f>IF(F1586="","",_xlfn.XLOOKUP(F1586,purchase!D:D,purchase!B:B,""))</f>
        <v/>
      </c>
      <c r="F1586" s="2"/>
      <c r="G1586" s="4" t="str">
        <f t="shared" si="169"/>
        <v/>
      </c>
      <c r="H1586" s="4" t="str">
        <f>IF(F1586="","",_xlfn.XLOOKUP(F1586,purchase!D:D,purchase!#REF!,""))</f>
        <v/>
      </c>
      <c r="I1586" s="4" t="str">
        <f t="shared" si="170"/>
        <v/>
      </c>
      <c r="J1586" s="4" t="str">
        <f t="shared" si="171"/>
        <v/>
      </c>
      <c r="K1586" s="13" t="str">
        <f>_xlfn.SINGLE(IF(F1586="","",_xlfn.XLOOKUP(F1586,purchase!D:D,purchase!#REF!,"")))</f>
        <v/>
      </c>
      <c r="L1586" s="2"/>
      <c r="M1586" s="32"/>
      <c r="N1586" s="13" t="str">
        <f>IF(F1586="","",
MAX(0,
_xlfn.XLOOKUP(F1586,purchase!D:D,purchase!#REF!,"")
-
SUMIFS(L:L,F:F,F1586)))</f>
        <v/>
      </c>
      <c r="O1586" s="13" t="str">
        <f t="shared" si="172"/>
        <v/>
      </c>
      <c r="P1586" s="35" t="str">
        <f>_xlfn.SINGLE(IF(F1586="","",_xlfn.XLOOKUP(F1586,purchase!D:D,purchase!K:K,"")))</f>
        <v/>
      </c>
      <c r="Q1586" s="29" t="str">
        <f t="shared" si="173"/>
        <v/>
      </c>
      <c r="R1586" s="37" t="str">
        <f t="shared" si="174"/>
        <v/>
      </c>
    </row>
    <row r="1587" spans="1:18" x14ac:dyDescent="0.35">
      <c r="A1587" s="8">
        <v>1583</v>
      </c>
      <c r="B1587" s="9" t="str">
        <f t="shared" si="168"/>
        <v/>
      </c>
      <c r="C1587" s="10"/>
      <c r="D1587" s="9" t="str">
        <f>IF(F1587="","",_xlfn.XLOOKUP(F1587,purchase!D:D,purchase!#REF!,""))</f>
        <v/>
      </c>
      <c r="E1587" s="9" t="str">
        <f>IF(F1587="","",_xlfn.XLOOKUP(F1587,purchase!D:D,purchase!B:B,""))</f>
        <v/>
      </c>
      <c r="F1587" s="2"/>
      <c r="G1587" s="4" t="str">
        <f t="shared" si="169"/>
        <v/>
      </c>
      <c r="H1587" s="4" t="str">
        <f>IF(F1587="","",_xlfn.XLOOKUP(F1587,purchase!D:D,purchase!#REF!,""))</f>
        <v/>
      </c>
      <c r="I1587" s="4" t="str">
        <f t="shared" si="170"/>
        <v/>
      </c>
      <c r="J1587" s="4" t="str">
        <f t="shared" si="171"/>
        <v/>
      </c>
      <c r="K1587" s="13" t="str">
        <f>_xlfn.SINGLE(IF(F1587="","",_xlfn.XLOOKUP(F1587,purchase!D:D,purchase!#REF!,"")))</f>
        <v/>
      </c>
      <c r="L1587" s="2"/>
      <c r="M1587" s="32"/>
      <c r="N1587" s="13" t="str">
        <f>IF(F1587="","",
MAX(0,
_xlfn.XLOOKUP(F1587,purchase!D:D,purchase!#REF!,"")
-
SUMIFS(L:L,F:F,F1587)))</f>
        <v/>
      </c>
      <c r="O1587" s="13" t="str">
        <f t="shared" si="172"/>
        <v/>
      </c>
      <c r="P1587" s="35" t="str">
        <f>_xlfn.SINGLE(IF(F1587="","",_xlfn.XLOOKUP(F1587,purchase!D:D,purchase!K:K,"")))</f>
        <v/>
      </c>
      <c r="Q1587" s="29" t="str">
        <f t="shared" si="173"/>
        <v/>
      </c>
      <c r="R1587" s="37" t="str">
        <f t="shared" si="174"/>
        <v/>
      </c>
    </row>
    <row r="1588" spans="1:18" x14ac:dyDescent="0.35">
      <c r="A1588" s="8">
        <v>1584</v>
      </c>
      <c r="B1588" s="9" t="str">
        <f t="shared" si="168"/>
        <v/>
      </c>
      <c r="C1588" s="10"/>
      <c r="D1588" s="9" t="str">
        <f>IF(F1588="","",_xlfn.XLOOKUP(F1588,purchase!D:D,purchase!#REF!,""))</f>
        <v/>
      </c>
      <c r="E1588" s="9" t="str">
        <f>IF(F1588="","",_xlfn.XLOOKUP(F1588,purchase!D:D,purchase!B:B,""))</f>
        <v/>
      </c>
      <c r="F1588" s="2"/>
      <c r="G1588" s="4" t="str">
        <f t="shared" si="169"/>
        <v/>
      </c>
      <c r="H1588" s="4" t="str">
        <f>IF(F1588="","",_xlfn.XLOOKUP(F1588,purchase!D:D,purchase!#REF!,""))</f>
        <v/>
      </c>
      <c r="I1588" s="4" t="str">
        <f t="shared" si="170"/>
        <v/>
      </c>
      <c r="J1588" s="4" t="str">
        <f t="shared" si="171"/>
        <v/>
      </c>
      <c r="K1588" s="13" t="str">
        <f>_xlfn.SINGLE(IF(F1588="","",_xlfn.XLOOKUP(F1588,purchase!D:D,purchase!#REF!,"")))</f>
        <v/>
      </c>
      <c r="L1588" s="2"/>
      <c r="M1588" s="32"/>
      <c r="N1588" s="13" t="str">
        <f>IF(F1588="","",
MAX(0,
_xlfn.XLOOKUP(F1588,purchase!D:D,purchase!#REF!,"")
-
SUMIFS(L:L,F:F,F1588)))</f>
        <v/>
      </c>
      <c r="O1588" s="13" t="str">
        <f t="shared" si="172"/>
        <v/>
      </c>
      <c r="P1588" s="35" t="str">
        <f>_xlfn.SINGLE(IF(F1588="","",_xlfn.XLOOKUP(F1588,purchase!D:D,purchase!K:K,"")))</f>
        <v/>
      </c>
      <c r="Q1588" s="29" t="str">
        <f t="shared" si="173"/>
        <v/>
      </c>
      <c r="R1588" s="37" t="str">
        <f t="shared" si="174"/>
        <v/>
      </c>
    </row>
    <row r="1589" spans="1:18" x14ac:dyDescent="0.35">
      <c r="A1589" s="8">
        <v>1585</v>
      </c>
      <c r="B1589" s="9" t="str">
        <f t="shared" si="168"/>
        <v/>
      </c>
      <c r="C1589" s="10"/>
      <c r="D1589" s="9" t="str">
        <f>IF(F1589="","",_xlfn.XLOOKUP(F1589,purchase!D:D,purchase!#REF!,""))</f>
        <v/>
      </c>
      <c r="E1589" s="9" t="str">
        <f>IF(F1589="","",_xlfn.XLOOKUP(F1589,purchase!D:D,purchase!B:B,""))</f>
        <v/>
      </c>
      <c r="F1589" s="2"/>
      <c r="G1589" s="4" t="str">
        <f t="shared" si="169"/>
        <v/>
      </c>
      <c r="H1589" s="4" t="str">
        <f>IF(F1589="","",_xlfn.XLOOKUP(F1589,purchase!D:D,purchase!#REF!,""))</f>
        <v/>
      </c>
      <c r="I1589" s="4" t="str">
        <f t="shared" si="170"/>
        <v/>
      </c>
      <c r="J1589" s="4" t="str">
        <f t="shared" si="171"/>
        <v/>
      </c>
      <c r="K1589" s="13" t="str">
        <f>_xlfn.SINGLE(IF(F1589="","",_xlfn.XLOOKUP(F1589,purchase!D:D,purchase!#REF!,"")))</f>
        <v/>
      </c>
      <c r="L1589" s="2"/>
      <c r="M1589" s="32"/>
      <c r="N1589" s="13" t="str">
        <f>IF(F1589="","",
MAX(0,
_xlfn.XLOOKUP(F1589,purchase!D:D,purchase!#REF!,"")
-
SUMIFS(L:L,F:F,F1589)))</f>
        <v/>
      </c>
      <c r="O1589" s="13" t="str">
        <f t="shared" si="172"/>
        <v/>
      </c>
      <c r="P1589" s="35" t="str">
        <f>_xlfn.SINGLE(IF(F1589="","",_xlfn.XLOOKUP(F1589,purchase!D:D,purchase!K:K,"")))</f>
        <v/>
      </c>
      <c r="Q1589" s="29" t="str">
        <f t="shared" si="173"/>
        <v/>
      </c>
      <c r="R1589" s="37" t="str">
        <f t="shared" si="174"/>
        <v/>
      </c>
    </row>
    <row r="1590" spans="1:18" x14ac:dyDescent="0.35">
      <c r="A1590" s="8">
        <v>1586</v>
      </c>
      <c r="B1590" s="9" t="str">
        <f t="shared" si="168"/>
        <v/>
      </c>
      <c r="C1590" s="10"/>
      <c r="D1590" s="9" t="str">
        <f>IF(F1590="","",_xlfn.XLOOKUP(F1590,purchase!D:D,purchase!#REF!,""))</f>
        <v/>
      </c>
      <c r="E1590" s="9" t="str">
        <f>IF(F1590="","",_xlfn.XLOOKUP(F1590,purchase!D:D,purchase!B:B,""))</f>
        <v/>
      </c>
      <c r="F1590" s="2"/>
      <c r="G1590" s="4" t="str">
        <f t="shared" si="169"/>
        <v/>
      </c>
      <c r="H1590" s="4" t="str">
        <f>IF(F1590="","",_xlfn.XLOOKUP(F1590,purchase!D:D,purchase!#REF!,""))</f>
        <v/>
      </c>
      <c r="I1590" s="4" t="str">
        <f t="shared" si="170"/>
        <v/>
      </c>
      <c r="J1590" s="4" t="str">
        <f t="shared" si="171"/>
        <v/>
      </c>
      <c r="K1590" s="13" t="str">
        <f>_xlfn.SINGLE(IF(F1590="","",_xlfn.XLOOKUP(F1590,purchase!D:D,purchase!#REF!,"")))</f>
        <v/>
      </c>
      <c r="L1590" s="2"/>
      <c r="M1590" s="32"/>
      <c r="N1590" s="13" t="str">
        <f>IF(F1590="","",
MAX(0,
_xlfn.XLOOKUP(F1590,purchase!D:D,purchase!#REF!,"")
-
SUMIFS(L:L,F:F,F1590)))</f>
        <v/>
      </c>
      <c r="O1590" s="13" t="str">
        <f t="shared" si="172"/>
        <v/>
      </c>
      <c r="P1590" s="35" t="str">
        <f>_xlfn.SINGLE(IF(F1590="","",_xlfn.XLOOKUP(F1590,purchase!D:D,purchase!K:K,"")))</f>
        <v/>
      </c>
      <c r="Q1590" s="29" t="str">
        <f t="shared" si="173"/>
        <v/>
      </c>
      <c r="R1590" s="37" t="str">
        <f t="shared" si="174"/>
        <v/>
      </c>
    </row>
    <row r="1591" spans="1:18" x14ac:dyDescent="0.35">
      <c r="A1591" s="8">
        <v>1587</v>
      </c>
      <c r="B1591" s="9" t="str">
        <f t="shared" si="168"/>
        <v/>
      </c>
      <c r="C1591" s="10"/>
      <c r="D1591" s="9" t="str">
        <f>IF(F1591="","",_xlfn.XLOOKUP(F1591,purchase!D:D,purchase!#REF!,""))</f>
        <v/>
      </c>
      <c r="E1591" s="9" t="str">
        <f>IF(F1591="","",_xlfn.XLOOKUP(F1591,purchase!D:D,purchase!B:B,""))</f>
        <v/>
      </c>
      <c r="F1591" s="2"/>
      <c r="G1591" s="4" t="str">
        <f t="shared" si="169"/>
        <v/>
      </c>
      <c r="H1591" s="4" t="str">
        <f>IF(F1591="","",_xlfn.XLOOKUP(F1591,purchase!D:D,purchase!#REF!,""))</f>
        <v/>
      </c>
      <c r="I1591" s="4" t="str">
        <f t="shared" si="170"/>
        <v/>
      </c>
      <c r="J1591" s="4" t="str">
        <f t="shared" si="171"/>
        <v/>
      </c>
      <c r="K1591" s="13" t="str">
        <f>_xlfn.SINGLE(IF(F1591="","",_xlfn.XLOOKUP(F1591,purchase!D:D,purchase!#REF!,"")))</f>
        <v/>
      </c>
      <c r="L1591" s="2"/>
      <c r="M1591" s="32"/>
      <c r="N1591" s="13" t="str">
        <f>IF(F1591="","",
MAX(0,
_xlfn.XLOOKUP(F1591,purchase!D:D,purchase!#REF!,"")
-
SUMIFS(L:L,F:F,F1591)))</f>
        <v/>
      </c>
      <c r="O1591" s="13" t="str">
        <f t="shared" si="172"/>
        <v/>
      </c>
      <c r="P1591" s="35" t="str">
        <f>_xlfn.SINGLE(IF(F1591="","",_xlfn.XLOOKUP(F1591,purchase!D:D,purchase!K:K,"")))</f>
        <v/>
      </c>
      <c r="Q1591" s="29" t="str">
        <f t="shared" si="173"/>
        <v/>
      </c>
      <c r="R1591" s="37" t="str">
        <f t="shared" si="174"/>
        <v/>
      </c>
    </row>
    <row r="1592" spans="1:18" x14ac:dyDescent="0.35">
      <c r="A1592" s="8">
        <v>1588</v>
      </c>
      <c r="B1592" s="9" t="str">
        <f t="shared" si="168"/>
        <v/>
      </c>
      <c r="C1592" s="10"/>
      <c r="D1592" s="9" t="str">
        <f>IF(F1592="","",_xlfn.XLOOKUP(F1592,purchase!D:D,purchase!#REF!,""))</f>
        <v/>
      </c>
      <c r="E1592" s="9" t="str">
        <f>IF(F1592="","",_xlfn.XLOOKUP(F1592,purchase!D:D,purchase!B:B,""))</f>
        <v/>
      </c>
      <c r="F1592" s="2"/>
      <c r="G1592" s="4" t="str">
        <f t="shared" si="169"/>
        <v/>
      </c>
      <c r="H1592" s="4" t="str">
        <f>IF(F1592="","",_xlfn.XLOOKUP(F1592,purchase!D:D,purchase!#REF!,""))</f>
        <v/>
      </c>
      <c r="I1592" s="4" t="str">
        <f t="shared" si="170"/>
        <v/>
      </c>
      <c r="J1592" s="4" t="str">
        <f t="shared" si="171"/>
        <v/>
      </c>
      <c r="K1592" s="13" t="str">
        <f>_xlfn.SINGLE(IF(F1592="","",_xlfn.XLOOKUP(F1592,purchase!D:D,purchase!#REF!,"")))</f>
        <v/>
      </c>
      <c r="L1592" s="2"/>
      <c r="M1592" s="32"/>
      <c r="N1592" s="13" t="str">
        <f>IF(F1592="","",
MAX(0,
_xlfn.XLOOKUP(F1592,purchase!D:D,purchase!#REF!,"")
-
SUMIFS(L:L,F:F,F1592)))</f>
        <v/>
      </c>
      <c r="O1592" s="13" t="str">
        <f t="shared" si="172"/>
        <v/>
      </c>
      <c r="P1592" s="35" t="str">
        <f>_xlfn.SINGLE(IF(F1592="","",_xlfn.XLOOKUP(F1592,purchase!D:D,purchase!K:K,"")))</f>
        <v/>
      </c>
      <c r="Q1592" s="29" t="str">
        <f t="shared" si="173"/>
        <v/>
      </c>
      <c r="R1592" s="37" t="str">
        <f t="shared" si="174"/>
        <v/>
      </c>
    </row>
    <row r="1593" spans="1:18" x14ac:dyDescent="0.35">
      <c r="A1593" s="8">
        <v>1589</v>
      </c>
      <c r="B1593" s="9" t="str">
        <f t="shared" si="168"/>
        <v/>
      </c>
      <c r="C1593" s="10"/>
      <c r="D1593" s="9" t="str">
        <f>IF(F1593="","",_xlfn.XLOOKUP(F1593,purchase!D:D,purchase!#REF!,""))</f>
        <v/>
      </c>
      <c r="E1593" s="9" t="str">
        <f>IF(F1593="","",_xlfn.XLOOKUP(F1593,purchase!D:D,purchase!B:B,""))</f>
        <v/>
      </c>
      <c r="F1593" s="2"/>
      <c r="G1593" s="4" t="str">
        <f t="shared" si="169"/>
        <v/>
      </c>
      <c r="H1593" s="4" t="str">
        <f>IF(F1593="","",_xlfn.XLOOKUP(F1593,purchase!D:D,purchase!#REF!,""))</f>
        <v/>
      </c>
      <c r="I1593" s="4" t="str">
        <f t="shared" si="170"/>
        <v/>
      </c>
      <c r="J1593" s="4" t="str">
        <f t="shared" si="171"/>
        <v/>
      </c>
      <c r="K1593" s="13" t="str">
        <f>_xlfn.SINGLE(IF(F1593="","",_xlfn.XLOOKUP(F1593,purchase!D:D,purchase!#REF!,"")))</f>
        <v/>
      </c>
      <c r="L1593" s="2"/>
      <c r="M1593" s="32"/>
      <c r="N1593" s="13" t="str">
        <f>IF(F1593="","",
MAX(0,
_xlfn.XLOOKUP(F1593,purchase!D:D,purchase!#REF!,"")
-
SUMIFS(L:L,F:F,F1593)))</f>
        <v/>
      </c>
      <c r="O1593" s="13" t="str">
        <f t="shared" si="172"/>
        <v/>
      </c>
      <c r="P1593" s="35" t="str">
        <f>_xlfn.SINGLE(IF(F1593="","",_xlfn.XLOOKUP(F1593,purchase!D:D,purchase!K:K,"")))</f>
        <v/>
      </c>
      <c r="Q1593" s="29" t="str">
        <f t="shared" si="173"/>
        <v/>
      </c>
      <c r="R1593" s="37" t="str">
        <f t="shared" si="174"/>
        <v/>
      </c>
    </row>
    <row r="1594" spans="1:18" x14ac:dyDescent="0.35">
      <c r="A1594" s="8">
        <v>1590</v>
      </c>
      <c r="B1594" s="9" t="str">
        <f t="shared" si="168"/>
        <v/>
      </c>
      <c r="C1594" s="10"/>
      <c r="D1594" s="9" t="str">
        <f>IF(F1594="","",_xlfn.XLOOKUP(F1594,purchase!D:D,purchase!#REF!,""))</f>
        <v/>
      </c>
      <c r="E1594" s="9" t="str">
        <f>IF(F1594="","",_xlfn.XLOOKUP(F1594,purchase!D:D,purchase!B:B,""))</f>
        <v/>
      </c>
      <c r="F1594" s="2"/>
      <c r="G1594" s="4" t="str">
        <f t="shared" si="169"/>
        <v/>
      </c>
      <c r="H1594" s="4" t="str">
        <f>IF(F1594="","",_xlfn.XLOOKUP(F1594,purchase!D:D,purchase!#REF!,""))</f>
        <v/>
      </c>
      <c r="I1594" s="4" t="str">
        <f t="shared" si="170"/>
        <v/>
      </c>
      <c r="J1594" s="4" t="str">
        <f t="shared" si="171"/>
        <v/>
      </c>
      <c r="K1594" s="13" t="str">
        <f>_xlfn.SINGLE(IF(F1594="","",_xlfn.XLOOKUP(F1594,purchase!D:D,purchase!#REF!,"")))</f>
        <v/>
      </c>
      <c r="L1594" s="2"/>
      <c r="M1594" s="32"/>
      <c r="N1594" s="13" t="str">
        <f>IF(F1594="","",
MAX(0,
_xlfn.XLOOKUP(F1594,purchase!D:D,purchase!#REF!,"")
-
SUMIFS(L:L,F:F,F1594)))</f>
        <v/>
      </c>
      <c r="O1594" s="13" t="str">
        <f t="shared" si="172"/>
        <v/>
      </c>
      <c r="P1594" s="35" t="str">
        <f>_xlfn.SINGLE(IF(F1594="","",_xlfn.XLOOKUP(F1594,purchase!D:D,purchase!K:K,"")))</f>
        <v/>
      </c>
      <c r="Q1594" s="29" t="str">
        <f t="shared" si="173"/>
        <v/>
      </c>
      <c r="R1594" s="37" t="str">
        <f t="shared" si="174"/>
        <v/>
      </c>
    </row>
    <row r="1595" spans="1:18" x14ac:dyDescent="0.35">
      <c r="A1595" s="8">
        <v>1591</v>
      </c>
      <c r="B1595" s="9" t="str">
        <f t="shared" si="168"/>
        <v/>
      </c>
      <c r="C1595" s="10"/>
      <c r="D1595" s="9" t="str">
        <f>IF(F1595="","",_xlfn.XLOOKUP(F1595,purchase!D:D,purchase!#REF!,""))</f>
        <v/>
      </c>
      <c r="E1595" s="9" t="str">
        <f>IF(F1595="","",_xlfn.XLOOKUP(F1595,purchase!D:D,purchase!B:B,""))</f>
        <v/>
      </c>
      <c r="F1595" s="2"/>
      <c r="G1595" s="4" t="str">
        <f t="shared" si="169"/>
        <v/>
      </c>
      <c r="H1595" s="4" t="str">
        <f>IF(F1595="","",_xlfn.XLOOKUP(F1595,purchase!D:D,purchase!#REF!,""))</f>
        <v/>
      </c>
      <c r="I1595" s="4" t="str">
        <f t="shared" si="170"/>
        <v/>
      </c>
      <c r="J1595" s="4" t="str">
        <f t="shared" si="171"/>
        <v/>
      </c>
      <c r="K1595" s="13" t="str">
        <f>_xlfn.SINGLE(IF(F1595="","",_xlfn.XLOOKUP(F1595,purchase!D:D,purchase!#REF!,"")))</f>
        <v/>
      </c>
      <c r="L1595" s="2"/>
      <c r="M1595" s="32"/>
      <c r="N1595" s="13" t="str">
        <f>IF(F1595="","",
MAX(0,
_xlfn.XLOOKUP(F1595,purchase!D:D,purchase!#REF!,"")
-
SUMIFS(L:L,F:F,F1595)))</f>
        <v/>
      </c>
      <c r="O1595" s="13" t="str">
        <f t="shared" si="172"/>
        <v/>
      </c>
      <c r="P1595" s="35" t="str">
        <f>_xlfn.SINGLE(IF(F1595="","",_xlfn.XLOOKUP(F1595,purchase!D:D,purchase!K:K,"")))</f>
        <v/>
      </c>
      <c r="Q1595" s="29" t="str">
        <f t="shared" si="173"/>
        <v/>
      </c>
      <c r="R1595" s="37" t="str">
        <f t="shared" si="174"/>
        <v/>
      </c>
    </row>
    <row r="1596" spans="1:18" x14ac:dyDescent="0.35">
      <c r="A1596" s="8">
        <v>1592</v>
      </c>
      <c r="B1596" s="9" t="str">
        <f t="shared" si="168"/>
        <v/>
      </c>
      <c r="C1596" s="10"/>
      <c r="D1596" s="9" t="str">
        <f>IF(F1596="","",_xlfn.XLOOKUP(F1596,purchase!D:D,purchase!#REF!,""))</f>
        <v/>
      </c>
      <c r="E1596" s="9" t="str">
        <f>IF(F1596="","",_xlfn.XLOOKUP(F1596,purchase!D:D,purchase!B:B,""))</f>
        <v/>
      </c>
      <c r="F1596" s="2"/>
      <c r="G1596" s="4" t="str">
        <f t="shared" si="169"/>
        <v/>
      </c>
      <c r="H1596" s="4" t="str">
        <f>IF(F1596="","",_xlfn.XLOOKUP(F1596,purchase!D:D,purchase!#REF!,""))</f>
        <v/>
      </c>
      <c r="I1596" s="4" t="str">
        <f t="shared" si="170"/>
        <v/>
      </c>
      <c r="J1596" s="4" t="str">
        <f t="shared" si="171"/>
        <v/>
      </c>
      <c r="K1596" s="13" t="str">
        <f>_xlfn.SINGLE(IF(F1596="","",_xlfn.XLOOKUP(F1596,purchase!D:D,purchase!#REF!,"")))</f>
        <v/>
      </c>
      <c r="L1596" s="2"/>
      <c r="M1596" s="32"/>
      <c r="N1596" s="13" t="str">
        <f>IF(F1596="","",
MAX(0,
_xlfn.XLOOKUP(F1596,purchase!D:D,purchase!#REF!,"")
-
SUMIFS(L:L,F:F,F1596)))</f>
        <v/>
      </c>
      <c r="O1596" s="13" t="str">
        <f t="shared" si="172"/>
        <v/>
      </c>
      <c r="P1596" s="35" t="str">
        <f>_xlfn.SINGLE(IF(F1596="","",_xlfn.XLOOKUP(F1596,purchase!D:D,purchase!K:K,"")))</f>
        <v/>
      </c>
      <c r="Q1596" s="29" t="str">
        <f t="shared" si="173"/>
        <v/>
      </c>
      <c r="R1596" s="37" t="str">
        <f t="shared" si="174"/>
        <v/>
      </c>
    </row>
    <row r="1597" spans="1:18" x14ac:dyDescent="0.35">
      <c r="A1597" s="8">
        <v>1593</v>
      </c>
      <c r="B1597" s="9" t="str">
        <f t="shared" si="168"/>
        <v/>
      </c>
      <c r="C1597" s="10"/>
      <c r="D1597" s="9" t="str">
        <f>IF(F1597="","",_xlfn.XLOOKUP(F1597,purchase!D:D,purchase!#REF!,""))</f>
        <v/>
      </c>
      <c r="E1597" s="9" t="str">
        <f>IF(F1597="","",_xlfn.XLOOKUP(F1597,purchase!D:D,purchase!B:B,""))</f>
        <v/>
      </c>
      <c r="F1597" s="2"/>
      <c r="G1597" s="4" t="str">
        <f t="shared" si="169"/>
        <v/>
      </c>
      <c r="H1597" s="4" t="str">
        <f>IF(F1597="","",_xlfn.XLOOKUP(F1597,purchase!D:D,purchase!#REF!,""))</f>
        <v/>
      </c>
      <c r="I1597" s="4" t="str">
        <f t="shared" si="170"/>
        <v/>
      </c>
      <c r="J1597" s="4" t="str">
        <f t="shared" si="171"/>
        <v/>
      </c>
      <c r="K1597" s="13" t="str">
        <f>_xlfn.SINGLE(IF(F1597="","",_xlfn.XLOOKUP(F1597,purchase!D:D,purchase!#REF!,"")))</f>
        <v/>
      </c>
      <c r="L1597" s="2"/>
      <c r="M1597" s="32"/>
      <c r="N1597" s="13" t="str">
        <f>IF(F1597="","",
MAX(0,
_xlfn.XLOOKUP(F1597,purchase!D:D,purchase!#REF!,"")
-
SUMIFS(L:L,F:F,F1597)))</f>
        <v/>
      </c>
      <c r="O1597" s="13" t="str">
        <f t="shared" si="172"/>
        <v/>
      </c>
      <c r="P1597" s="35" t="str">
        <f>_xlfn.SINGLE(IF(F1597="","",_xlfn.XLOOKUP(F1597,purchase!D:D,purchase!K:K,"")))</f>
        <v/>
      </c>
      <c r="Q1597" s="29" t="str">
        <f t="shared" si="173"/>
        <v/>
      </c>
      <c r="R1597" s="37" t="str">
        <f t="shared" si="174"/>
        <v/>
      </c>
    </row>
    <row r="1598" spans="1:18" x14ac:dyDescent="0.35">
      <c r="A1598" s="8">
        <v>1594</v>
      </c>
      <c r="B1598" s="9" t="str">
        <f t="shared" si="168"/>
        <v/>
      </c>
      <c r="C1598" s="10"/>
      <c r="D1598" s="9" t="str">
        <f>IF(F1598="","",_xlfn.XLOOKUP(F1598,purchase!D:D,purchase!#REF!,""))</f>
        <v/>
      </c>
      <c r="E1598" s="9" t="str">
        <f>IF(F1598="","",_xlfn.XLOOKUP(F1598,purchase!D:D,purchase!B:B,""))</f>
        <v/>
      </c>
      <c r="F1598" s="2"/>
      <c r="G1598" s="4" t="str">
        <f t="shared" si="169"/>
        <v/>
      </c>
      <c r="H1598" s="4" t="str">
        <f>IF(F1598="","",_xlfn.XLOOKUP(F1598,purchase!D:D,purchase!#REF!,""))</f>
        <v/>
      </c>
      <c r="I1598" s="4" t="str">
        <f t="shared" si="170"/>
        <v/>
      </c>
      <c r="J1598" s="4" t="str">
        <f t="shared" si="171"/>
        <v/>
      </c>
      <c r="K1598" s="13" t="str">
        <f>_xlfn.SINGLE(IF(F1598="","",_xlfn.XLOOKUP(F1598,purchase!D:D,purchase!#REF!,"")))</f>
        <v/>
      </c>
      <c r="L1598" s="2"/>
      <c r="M1598" s="32"/>
      <c r="N1598" s="13" t="str">
        <f>IF(F1598="","",
MAX(0,
_xlfn.XLOOKUP(F1598,purchase!D:D,purchase!#REF!,"")
-
SUMIFS(L:L,F:F,F1598)))</f>
        <v/>
      </c>
      <c r="O1598" s="13" t="str">
        <f t="shared" si="172"/>
        <v/>
      </c>
      <c r="P1598" s="35" t="str">
        <f>_xlfn.SINGLE(IF(F1598="","",_xlfn.XLOOKUP(F1598,purchase!D:D,purchase!K:K,"")))</f>
        <v/>
      </c>
      <c r="Q1598" s="29" t="str">
        <f t="shared" si="173"/>
        <v/>
      </c>
      <c r="R1598" s="37" t="str">
        <f t="shared" si="174"/>
        <v/>
      </c>
    </row>
    <row r="1599" spans="1:18" x14ac:dyDescent="0.35">
      <c r="A1599" s="8">
        <v>1595</v>
      </c>
      <c r="B1599" s="9" t="str">
        <f t="shared" si="168"/>
        <v/>
      </c>
      <c r="C1599" s="10"/>
      <c r="D1599" s="9" t="str">
        <f>IF(F1599="","",_xlfn.XLOOKUP(F1599,purchase!D:D,purchase!#REF!,""))</f>
        <v/>
      </c>
      <c r="E1599" s="9" t="str">
        <f>IF(F1599="","",_xlfn.XLOOKUP(F1599,purchase!D:D,purchase!B:B,""))</f>
        <v/>
      </c>
      <c r="F1599" s="2"/>
      <c r="G1599" s="4" t="str">
        <f t="shared" si="169"/>
        <v/>
      </c>
      <c r="H1599" s="4" t="str">
        <f>IF(F1599="","",_xlfn.XLOOKUP(F1599,purchase!D:D,purchase!#REF!,""))</f>
        <v/>
      </c>
      <c r="I1599" s="4" t="str">
        <f t="shared" si="170"/>
        <v/>
      </c>
      <c r="J1599" s="4" t="str">
        <f t="shared" si="171"/>
        <v/>
      </c>
      <c r="K1599" s="13" t="str">
        <f>_xlfn.SINGLE(IF(F1599="","",_xlfn.XLOOKUP(F1599,purchase!D:D,purchase!#REF!,"")))</f>
        <v/>
      </c>
      <c r="L1599" s="2"/>
      <c r="M1599" s="32"/>
      <c r="N1599" s="13" t="str">
        <f>IF(F1599="","",
MAX(0,
_xlfn.XLOOKUP(F1599,purchase!D:D,purchase!#REF!,"")
-
SUMIFS(L:L,F:F,F1599)))</f>
        <v/>
      </c>
      <c r="O1599" s="13" t="str">
        <f t="shared" si="172"/>
        <v/>
      </c>
      <c r="P1599" s="35" t="str">
        <f>_xlfn.SINGLE(IF(F1599="","",_xlfn.XLOOKUP(F1599,purchase!D:D,purchase!K:K,"")))</f>
        <v/>
      </c>
      <c r="Q1599" s="29" t="str">
        <f t="shared" si="173"/>
        <v/>
      </c>
      <c r="R1599" s="37" t="str">
        <f t="shared" si="174"/>
        <v/>
      </c>
    </row>
    <row r="1600" spans="1:18" x14ac:dyDescent="0.35">
      <c r="A1600" s="8">
        <v>1596</v>
      </c>
      <c r="B1600" s="9" t="str">
        <f t="shared" si="168"/>
        <v/>
      </c>
      <c r="C1600" s="10"/>
      <c r="D1600" s="9" t="str">
        <f>IF(F1600="","",_xlfn.XLOOKUP(F1600,purchase!D:D,purchase!#REF!,""))</f>
        <v/>
      </c>
      <c r="E1600" s="9" t="str">
        <f>IF(F1600="","",_xlfn.XLOOKUP(F1600,purchase!D:D,purchase!B:B,""))</f>
        <v/>
      </c>
      <c r="F1600" s="2"/>
      <c r="G1600" s="4" t="str">
        <f t="shared" si="169"/>
        <v/>
      </c>
      <c r="H1600" s="4" t="str">
        <f>IF(F1600="","",_xlfn.XLOOKUP(F1600,purchase!D:D,purchase!#REF!,""))</f>
        <v/>
      </c>
      <c r="I1600" s="4" t="str">
        <f t="shared" si="170"/>
        <v/>
      </c>
      <c r="J1600" s="4" t="str">
        <f t="shared" si="171"/>
        <v/>
      </c>
      <c r="K1600" s="13" t="str">
        <f>_xlfn.SINGLE(IF(F1600="","",_xlfn.XLOOKUP(F1600,purchase!D:D,purchase!#REF!,"")))</f>
        <v/>
      </c>
      <c r="L1600" s="2"/>
      <c r="M1600" s="32"/>
      <c r="N1600" s="13" t="str">
        <f>IF(F1600="","",
MAX(0,
_xlfn.XLOOKUP(F1600,purchase!D:D,purchase!#REF!,"")
-
SUMIFS(L:L,F:F,F1600)))</f>
        <v/>
      </c>
      <c r="O1600" s="13" t="str">
        <f t="shared" si="172"/>
        <v/>
      </c>
      <c r="P1600" s="35" t="str">
        <f>_xlfn.SINGLE(IF(F1600="","",_xlfn.XLOOKUP(F1600,purchase!D:D,purchase!K:K,"")))</f>
        <v/>
      </c>
      <c r="Q1600" s="29" t="str">
        <f t="shared" si="173"/>
        <v/>
      </c>
      <c r="R1600" s="37" t="str">
        <f t="shared" si="174"/>
        <v/>
      </c>
    </row>
    <row r="1601" spans="1:18" x14ac:dyDescent="0.35">
      <c r="A1601" s="8">
        <v>1597</v>
      </c>
      <c r="B1601" s="9" t="str">
        <f t="shared" si="168"/>
        <v/>
      </c>
      <c r="C1601" s="10"/>
      <c r="D1601" s="9" t="str">
        <f>IF(F1601="","",_xlfn.XLOOKUP(F1601,purchase!D:D,purchase!#REF!,""))</f>
        <v/>
      </c>
      <c r="E1601" s="9" t="str">
        <f>IF(F1601="","",_xlfn.XLOOKUP(F1601,purchase!D:D,purchase!B:B,""))</f>
        <v/>
      </c>
      <c r="F1601" s="2"/>
      <c r="G1601" s="4" t="str">
        <f t="shared" si="169"/>
        <v/>
      </c>
      <c r="H1601" s="4" t="str">
        <f>IF(F1601="","",_xlfn.XLOOKUP(F1601,purchase!D:D,purchase!#REF!,""))</f>
        <v/>
      </c>
      <c r="I1601" s="4" t="str">
        <f t="shared" si="170"/>
        <v/>
      </c>
      <c r="J1601" s="4" t="str">
        <f t="shared" si="171"/>
        <v/>
      </c>
      <c r="K1601" s="13" t="str">
        <f>_xlfn.SINGLE(IF(F1601="","",_xlfn.XLOOKUP(F1601,purchase!D:D,purchase!#REF!,"")))</f>
        <v/>
      </c>
      <c r="L1601" s="2"/>
      <c r="M1601" s="32"/>
      <c r="N1601" s="13" t="str">
        <f>IF(F1601="","",
MAX(0,
_xlfn.XLOOKUP(F1601,purchase!D:D,purchase!#REF!,"")
-
SUMIFS(L:L,F:F,F1601)))</f>
        <v/>
      </c>
      <c r="O1601" s="13" t="str">
        <f t="shared" si="172"/>
        <v/>
      </c>
      <c r="P1601" s="35" t="str">
        <f>_xlfn.SINGLE(IF(F1601="","",_xlfn.XLOOKUP(F1601,purchase!D:D,purchase!K:K,"")))</f>
        <v/>
      </c>
      <c r="Q1601" s="29" t="str">
        <f t="shared" si="173"/>
        <v/>
      </c>
      <c r="R1601" s="37" t="str">
        <f t="shared" si="174"/>
        <v/>
      </c>
    </row>
    <row r="1602" spans="1:18" x14ac:dyDescent="0.35">
      <c r="A1602" s="8">
        <v>1598</v>
      </c>
      <c r="B1602" s="9" t="str">
        <f t="shared" si="168"/>
        <v/>
      </c>
      <c r="C1602" s="10"/>
      <c r="D1602" s="9" t="str">
        <f>IF(F1602="","",_xlfn.XLOOKUP(F1602,purchase!D:D,purchase!#REF!,""))</f>
        <v/>
      </c>
      <c r="E1602" s="9" t="str">
        <f>IF(F1602="","",_xlfn.XLOOKUP(F1602,purchase!D:D,purchase!B:B,""))</f>
        <v/>
      </c>
      <c r="F1602" s="2"/>
      <c r="G1602" s="4" t="str">
        <f t="shared" si="169"/>
        <v/>
      </c>
      <c r="H1602" s="4" t="str">
        <f>IF(F1602="","",_xlfn.XLOOKUP(F1602,purchase!D:D,purchase!#REF!,""))</f>
        <v/>
      </c>
      <c r="I1602" s="4" t="str">
        <f t="shared" si="170"/>
        <v/>
      </c>
      <c r="J1602" s="4" t="str">
        <f t="shared" si="171"/>
        <v/>
      </c>
      <c r="K1602" s="13" t="str">
        <f>_xlfn.SINGLE(IF(F1602="","",_xlfn.XLOOKUP(F1602,purchase!D:D,purchase!#REF!,"")))</f>
        <v/>
      </c>
      <c r="L1602" s="2"/>
      <c r="M1602" s="32"/>
      <c r="N1602" s="13" t="str">
        <f>IF(F1602="","",
MAX(0,
_xlfn.XLOOKUP(F1602,purchase!D:D,purchase!#REF!,"")
-
SUMIFS(L:L,F:F,F1602)))</f>
        <v/>
      </c>
      <c r="O1602" s="13" t="str">
        <f t="shared" si="172"/>
        <v/>
      </c>
      <c r="P1602" s="35" t="str">
        <f>_xlfn.SINGLE(IF(F1602="","",_xlfn.XLOOKUP(F1602,purchase!D:D,purchase!K:K,"")))</f>
        <v/>
      </c>
      <c r="Q1602" s="29" t="str">
        <f t="shared" si="173"/>
        <v/>
      </c>
      <c r="R1602" s="37" t="str">
        <f t="shared" si="174"/>
        <v/>
      </c>
    </row>
    <row r="1603" spans="1:18" x14ac:dyDescent="0.35">
      <c r="A1603" s="8">
        <v>1599</v>
      </c>
      <c r="B1603" s="9" t="str">
        <f t="shared" si="168"/>
        <v/>
      </c>
      <c r="C1603" s="10"/>
      <c r="D1603" s="9" t="str">
        <f>IF(F1603="","",_xlfn.XLOOKUP(F1603,purchase!D:D,purchase!#REF!,""))</f>
        <v/>
      </c>
      <c r="E1603" s="9" t="str">
        <f>IF(F1603="","",_xlfn.XLOOKUP(F1603,purchase!D:D,purchase!B:B,""))</f>
        <v/>
      </c>
      <c r="F1603" s="2"/>
      <c r="G1603" s="4" t="str">
        <f t="shared" si="169"/>
        <v/>
      </c>
      <c r="H1603" s="4" t="str">
        <f>IF(F1603="","",_xlfn.XLOOKUP(F1603,purchase!D:D,purchase!#REF!,""))</f>
        <v/>
      </c>
      <c r="I1603" s="4" t="str">
        <f t="shared" si="170"/>
        <v/>
      </c>
      <c r="J1603" s="4" t="str">
        <f t="shared" si="171"/>
        <v/>
      </c>
      <c r="K1603" s="13" t="str">
        <f>_xlfn.SINGLE(IF(F1603="","",_xlfn.XLOOKUP(F1603,purchase!D:D,purchase!#REF!,"")))</f>
        <v/>
      </c>
      <c r="L1603" s="2"/>
      <c r="M1603" s="32"/>
      <c r="N1603" s="13" t="str">
        <f>IF(F1603="","",
MAX(0,
_xlfn.XLOOKUP(F1603,purchase!D:D,purchase!#REF!,"")
-
SUMIFS(L:L,F:F,F1603)))</f>
        <v/>
      </c>
      <c r="O1603" s="13" t="str">
        <f t="shared" si="172"/>
        <v/>
      </c>
      <c r="P1603" s="35" t="str">
        <f>_xlfn.SINGLE(IF(F1603="","",_xlfn.XLOOKUP(F1603,purchase!D:D,purchase!K:K,"")))</f>
        <v/>
      </c>
      <c r="Q1603" s="29" t="str">
        <f t="shared" si="173"/>
        <v/>
      </c>
      <c r="R1603" s="37" t="str">
        <f t="shared" si="174"/>
        <v/>
      </c>
    </row>
    <row r="1604" spans="1:18" x14ac:dyDescent="0.35">
      <c r="A1604" s="8">
        <v>1600</v>
      </c>
      <c r="B1604" s="9" t="str">
        <f t="shared" si="168"/>
        <v/>
      </c>
      <c r="C1604" s="10"/>
      <c r="D1604" s="9" t="str">
        <f>IF(F1604="","",_xlfn.XLOOKUP(F1604,purchase!D:D,purchase!#REF!,""))</f>
        <v/>
      </c>
      <c r="E1604" s="9" t="str">
        <f>IF(F1604="","",_xlfn.XLOOKUP(F1604,purchase!D:D,purchase!B:B,""))</f>
        <v/>
      </c>
      <c r="F1604" s="2"/>
      <c r="G1604" s="4" t="str">
        <f t="shared" si="169"/>
        <v/>
      </c>
      <c r="H1604" s="4" t="str">
        <f>IF(F1604="","",_xlfn.XLOOKUP(F1604,purchase!D:D,purchase!#REF!,""))</f>
        <v/>
      </c>
      <c r="I1604" s="4" t="str">
        <f t="shared" si="170"/>
        <v/>
      </c>
      <c r="J1604" s="4" t="str">
        <f t="shared" si="171"/>
        <v/>
      </c>
      <c r="K1604" s="13" t="str">
        <f>_xlfn.SINGLE(IF(F1604="","",_xlfn.XLOOKUP(F1604,purchase!D:D,purchase!#REF!,"")))</f>
        <v/>
      </c>
      <c r="L1604" s="2"/>
      <c r="M1604" s="32"/>
      <c r="N1604" s="13" t="str">
        <f>IF(F1604="","",
MAX(0,
_xlfn.XLOOKUP(F1604,purchase!D:D,purchase!#REF!,"")
-
SUMIFS(L:L,F:F,F1604)))</f>
        <v/>
      </c>
      <c r="O1604" s="13" t="str">
        <f t="shared" si="172"/>
        <v/>
      </c>
      <c r="P1604" s="35" t="str">
        <f>_xlfn.SINGLE(IF(F1604="","",_xlfn.XLOOKUP(F1604,purchase!D:D,purchase!K:K,"")))</f>
        <v/>
      </c>
      <c r="Q1604" s="29" t="str">
        <f t="shared" si="173"/>
        <v/>
      </c>
      <c r="R1604" s="37" t="str">
        <f t="shared" si="174"/>
        <v/>
      </c>
    </row>
    <row r="1605" spans="1:18" x14ac:dyDescent="0.35">
      <c r="A1605" s="8">
        <v>1601</v>
      </c>
      <c r="B1605" s="9" t="str">
        <f t="shared" ref="B1605:B1668" si="175">IF(OR(C1605="",F1605=""),"",
"PRD-" &amp;
TEXT(DAY(C1605),"00") &amp;
CHOOSE(MONTH(C1605),"A","B","C","D","E","F","G","H","I","J","K","L") &amp;
TEXT(YEAR(C1605),"00") &amp;
"-" &amp;
RIGHT(F1605,4))</f>
        <v/>
      </c>
      <c r="C1605" s="10"/>
      <c r="D1605" s="9" t="str">
        <f>IF(F1605="","",_xlfn.XLOOKUP(F1605,purchase!D:D,purchase!#REF!,""))</f>
        <v/>
      </c>
      <c r="E1605" s="9" t="str">
        <f>IF(F1605="","",_xlfn.XLOOKUP(F1605,purchase!D:D,purchase!B:B,""))</f>
        <v/>
      </c>
      <c r="F1605" s="2"/>
      <c r="G1605" s="4" t="str">
        <f t="shared" ref="G1605:G1668" si="176">IF(H1605="NRFC","Natural Rubber Field Coagulam","")</f>
        <v/>
      </c>
      <c r="H1605" s="4" t="str">
        <f>IF(F1605="","",_xlfn.XLOOKUP(F1605,purchase!D:D,purchase!#REF!,""))</f>
        <v/>
      </c>
      <c r="I1605" s="4" t="str">
        <f t="shared" ref="I1605:I1668" si="177">IF(J1605="ISNR20","Natural Rubber-TSNR (ISNR-20)","")</f>
        <v/>
      </c>
      <c r="J1605" s="4" t="str">
        <f t="shared" ref="J1605:J1668" si="178">IF(H1605="NRFC","ISNR20","")</f>
        <v/>
      </c>
      <c r="K1605" s="13" t="str">
        <f>_xlfn.SINGLE(IF(F1605="","",_xlfn.XLOOKUP(F1605,purchase!D:D,purchase!#REF!,"")))</f>
        <v/>
      </c>
      <c r="L1605" s="2"/>
      <c r="M1605" s="32"/>
      <c r="N1605" s="13" t="str">
        <f>IF(F1605="","",
MAX(0,
_xlfn.XLOOKUP(F1605,purchase!D:D,purchase!#REF!,"")
-
SUMIFS(L:L,F:F,F1605)))</f>
        <v/>
      </c>
      <c r="O1605" s="13" t="str">
        <f t="shared" ref="O1605:O1668" si="179">IF(OR(L1605="",M1605=""),"",L1605-M1605)</f>
        <v/>
      </c>
      <c r="P1605" s="35" t="str">
        <f>_xlfn.SINGLE(IF(F1605="","",_xlfn.XLOOKUP(F1605,purchase!D:D,purchase!K:K,"")))</f>
        <v/>
      </c>
      <c r="Q1605" s="29" t="str">
        <f t="shared" ref="Q1605:Q1668" si="180">IF(OR(L1605="",M1605=""),"",M1605/L1605)</f>
        <v/>
      </c>
      <c r="R1605" s="37" t="str">
        <f t="shared" ref="R1605:R1668" si="181">IF(OR(P1605="",Q1605=""),"",Q1605-P1605)</f>
        <v/>
      </c>
    </row>
    <row r="1606" spans="1:18" x14ac:dyDescent="0.35">
      <c r="A1606" s="8">
        <v>1602</v>
      </c>
      <c r="B1606" s="9" t="str">
        <f t="shared" si="175"/>
        <v/>
      </c>
      <c r="C1606" s="10"/>
      <c r="D1606" s="9" t="str">
        <f>IF(F1606="","",_xlfn.XLOOKUP(F1606,purchase!D:D,purchase!#REF!,""))</f>
        <v/>
      </c>
      <c r="E1606" s="9" t="str">
        <f>IF(F1606="","",_xlfn.XLOOKUP(F1606,purchase!D:D,purchase!B:B,""))</f>
        <v/>
      </c>
      <c r="F1606" s="2"/>
      <c r="G1606" s="4" t="str">
        <f t="shared" si="176"/>
        <v/>
      </c>
      <c r="H1606" s="4" t="str">
        <f>IF(F1606="","",_xlfn.XLOOKUP(F1606,purchase!D:D,purchase!#REF!,""))</f>
        <v/>
      </c>
      <c r="I1606" s="4" t="str">
        <f t="shared" si="177"/>
        <v/>
      </c>
      <c r="J1606" s="4" t="str">
        <f t="shared" si="178"/>
        <v/>
      </c>
      <c r="K1606" s="13" t="str">
        <f>_xlfn.SINGLE(IF(F1606="","",_xlfn.XLOOKUP(F1606,purchase!D:D,purchase!#REF!,"")))</f>
        <v/>
      </c>
      <c r="L1606" s="2"/>
      <c r="M1606" s="32"/>
      <c r="N1606" s="13" t="str">
        <f>IF(F1606="","",
MAX(0,
_xlfn.XLOOKUP(F1606,purchase!D:D,purchase!#REF!,"")
-
SUMIFS(L:L,F:F,F1606)))</f>
        <v/>
      </c>
      <c r="O1606" s="13" t="str">
        <f t="shared" si="179"/>
        <v/>
      </c>
      <c r="P1606" s="35" t="str">
        <f>_xlfn.SINGLE(IF(F1606="","",_xlfn.XLOOKUP(F1606,purchase!D:D,purchase!K:K,"")))</f>
        <v/>
      </c>
      <c r="Q1606" s="29" t="str">
        <f t="shared" si="180"/>
        <v/>
      </c>
      <c r="R1606" s="37" t="str">
        <f t="shared" si="181"/>
        <v/>
      </c>
    </row>
    <row r="1607" spans="1:18" x14ac:dyDescent="0.35">
      <c r="A1607" s="8">
        <v>1603</v>
      </c>
      <c r="B1607" s="9" t="str">
        <f t="shared" si="175"/>
        <v/>
      </c>
      <c r="C1607" s="10"/>
      <c r="D1607" s="9" t="str">
        <f>IF(F1607="","",_xlfn.XLOOKUP(F1607,purchase!D:D,purchase!#REF!,""))</f>
        <v/>
      </c>
      <c r="E1607" s="9" t="str">
        <f>IF(F1607="","",_xlfn.XLOOKUP(F1607,purchase!D:D,purchase!B:B,""))</f>
        <v/>
      </c>
      <c r="F1607" s="2"/>
      <c r="G1607" s="4" t="str">
        <f t="shared" si="176"/>
        <v/>
      </c>
      <c r="H1607" s="4" t="str">
        <f>IF(F1607="","",_xlfn.XLOOKUP(F1607,purchase!D:D,purchase!#REF!,""))</f>
        <v/>
      </c>
      <c r="I1607" s="4" t="str">
        <f t="shared" si="177"/>
        <v/>
      </c>
      <c r="J1607" s="4" t="str">
        <f t="shared" si="178"/>
        <v/>
      </c>
      <c r="K1607" s="13" t="str">
        <f>_xlfn.SINGLE(IF(F1607="","",_xlfn.XLOOKUP(F1607,purchase!D:D,purchase!#REF!,"")))</f>
        <v/>
      </c>
      <c r="L1607" s="2"/>
      <c r="M1607" s="32"/>
      <c r="N1607" s="13" t="str">
        <f>IF(F1607="","",
MAX(0,
_xlfn.XLOOKUP(F1607,purchase!D:D,purchase!#REF!,"")
-
SUMIFS(L:L,F:F,F1607)))</f>
        <v/>
      </c>
      <c r="O1607" s="13" t="str">
        <f t="shared" si="179"/>
        <v/>
      </c>
      <c r="P1607" s="35" t="str">
        <f>_xlfn.SINGLE(IF(F1607="","",_xlfn.XLOOKUP(F1607,purchase!D:D,purchase!K:K,"")))</f>
        <v/>
      </c>
      <c r="Q1607" s="29" t="str">
        <f t="shared" si="180"/>
        <v/>
      </c>
      <c r="R1607" s="37" t="str">
        <f t="shared" si="181"/>
        <v/>
      </c>
    </row>
    <row r="1608" spans="1:18" x14ac:dyDescent="0.35">
      <c r="A1608" s="8">
        <v>1604</v>
      </c>
      <c r="B1608" s="9" t="str">
        <f t="shared" si="175"/>
        <v/>
      </c>
      <c r="C1608" s="10"/>
      <c r="D1608" s="9" t="str">
        <f>IF(F1608="","",_xlfn.XLOOKUP(F1608,purchase!D:D,purchase!#REF!,""))</f>
        <v/>
      </c>
      <c r="E1608" s="9" t="str">
        <f>IF(F1608="","",_xlfn.XLOOKUP(F1608,purchase!D:D,purchase!B:B,""))</f>
        <v/>
      </c>
      <c r="F1608" s="2"/>
      <c r="G1608" s="4" t="str">
        <f t="shared" si="176"/>
        <v/>
      </c>
      <c r="H1608" s="4" t="str">
        <f>IF(F1608="","",_xlfn.XLOOKUP(F1608,purchase!D:D,purchase!#REF!,""))</f>
        <v/>
      </c>
      <c r="I1608" s="4" t="str">
        <f t="shared" si="177"/>
        <v/>
      </c>
      <c r="J1608" s="4" t="str">
        <f t="shared" si="178"/>
        <v/>
      </c>
      <c r="K1608" s="13" t="str">
        <f>_xlfn.SINGLE(IF(F1608="","",_xlfn.XLOOKUP(F1608,purchase!D:D,purchase!#REF!,"")))</f>
        <v/>
      </c>
      <c r="L1608" s="2"/>
      <c r="M1608" s="32"/>
      <c r="N1608" s="13" t="str">
        <f>IF(F1608="","",
MAX(0,
_xlfn.XLOOKUP(F1608,purchase!D:D,purchase!#REF!,"")
-
SUMIFS(L:L,F:F,F1608)))</f>
        <v/>
      </c>
      <c r="O1608" s="13" t="str">
        <f t="shared" si="179"/>
        <v/>
      </c>
      <c r="P1608" s="35" t="str">
        <f>_xlfn.SINGLE(IF(F1608="","",_xlfn.XLOOKUP(F1608,purchase!D:D,purchase!K:K,"")))</f>
        <v/>
      </c>
      <c r="Q1608" s="29" t="str">
        <f t="shared" si="180"/>
        <v/>
      </c>
      <c r="R1608" s="37" t="str">
        <f t="shared" si="181"/>
        <v/>
      </c>
    </row>
    <row r="1609" spans="1:18" x14ac:dyDescent="0.35">
      <c r="A1609" s="8">
        <v>1605</v>
      </c>
      <c r="B1609" s="9" t="str">
        <f t="shared" si="175"/>
        <v/>
      </c>
      <c r="C1609" s="10"/>
      <c r="D1609" s="9" t="str">
        <f>IF(F1609="","",_xlfn.XLOOKUP(F1609,purchase!D:D,purchase!#REF!,""))</f>
        <v/>
      </c>
      <c r="E1609" s="9" t="str">
        <f>IF(F1609="","",_xlfn.XLOOKUP(F1609,purchase!D:D,purchase!B:B,""))</f>
        <v/>
      </c>
      <c r="F1609" s="2"/>
      <c r="G1609" s="4" t="str">
        <f t="shared" si="176"/>
        <v/>
      </c>
      <c r="H1609" s="4" t="str">
        <f>IF(F1609="","",_xlfn.XLOOKUP(F1609,purchase!D:D,purchase!#REF!,""))</f>
        <v/>
      </c>
      <c r="I1609" s="4" t="str">
        <f t="shared" si="177"/>
        <v/>
      </c>
      <c r="J1609" s="4" t="str">
        <f t="shared" si="178"/>
        <v/>
      </c>
      <c r="K1609" s="13" t="str">
        <f>_xlfn.SINGLE(IF(F1609="","",_xlfn.XLOOKUP(F1609,purchase!D:D,purchase!#REF!,"")))</f>
        <v/>
      </c>
      <c r="L1609" s="2"/>
      <c r="M1609" s="32"/>
      <c r="N1609" s="13" t="str">
        <f>IF(F1609="","",
MAX(0,
_xlfn.XLOOKUP(F1609,purchase!D:D,purchase!#REF!,"")
-
SUMIFS(L:L,F:F,F1609)))</f>
        <v/>
      </c>
      <c r="O1609" s="13" t="str">
        <f t="shared" si="179"/>
        <v/>
      </c>
      <c r="P1609" s="35" t="str">
        <f>_xlfn.SINGLE(IF(F1609="","",_xlfn.XLOOKUP(F1609,purchase!D:D,purchase!K:K,"")))</f>
        <v/>
      </c>
      <c r="Q1609" s="29" t="str">
        <f t="shared" si="180"/>
        <v/>
      </c>
      <c r="R1609" s="37" t="str">
        <f t="shared" si="181"/>
        <v/>
      </c>
    </row>
    <row r="1610" spans="1:18" x14ac:dyDescent="0.35">
      <c r="A1610" s="8">
        <v>1606</v>
      </c>
      <c r="B1610" s="9" t="str">
        <f t="shared" si="175"/>
        <v/>
      </c>
      <c r="C1610" s="10"/>
      <c r="D1610" s="9" t="str">
        <f>IF(F1610="","",_xlfn.XLOOKUP(F1610,purchase!D:D,purchase!#REF!,""))</f>
        <v/>
      </c>
      <c r="E1610" s="9" t="str">
        <f>IF(F1610="","",_xlfn.XLOOKUP(F1610,purchase!D:D,purchase!B:B,""))</f>
        <v/>
      </c>
      <c r="F1610" s="2"/>
      <c r="G1610" s="4" t="str">
        <f t="shared" si="176"/>
        <v/>
      </c>
      <c r="H1610" s="4" t="str">
        <f>IF(F1610="","",_xlfn.XLOOKUP(F1610,purchase!D:D,purchase!#REF!,""))</f>
        <v/>
      </c>
      <c r="I1610" s="4" t="str">
        <f t="shared" si="177"/>
        <v/>
      </c>
      <c r="J1610" s="4" t="str">
        <f t="shared" si="178"/>
        <v/>
      </c>
      <c r="K1610" s="13" t="str">
        <f>_xlfn.SINGLE(IF(F1610="","",_xlfn.XLOOKUP(F1610,purchase!D:D,purchase!#REF!,"")))</f>
        <v/>
      </c>
      <c r="L1610" s="2"/>
      <c r="M1610" s="32"/>
      <c r="N1610" s="13" t="str">
        <f>IF(F1610="","",
MAX(0,
_xlfn.XLOOKUP(F1610,purchase!D:D,purchase!#REF!,"")
-
SUMIFS(L:L,F:F,F1610)))</f>
        <v/>
      </c>
      <c r="O1610" s="13" t="str">
        <f t="shared" si="179"/>
        <v/>
      </c>
      <c r="P1610" s="35" t="str">
        <f>_xlfn.SINGLE(IF(F1610="","",_xlfn.XLOOKUP(F1610,purchase!D:D,purchase!K:K,"")))</f>
        <v/>
      </c>
      <c r="Q1610" s="29" t="str">
        <f t="shared" si="180"/>
        <v/>
      </c>
      <c r="R1610" s="37" t="str">
        <f t="shared" si="181"/>
        <v/>
      </c>
    </row>
    <row r="1611" spans="1:18" x14ac:dyDescent="0.35">
      <c r="A1611" s="8">
        <v>1607</v>
      </c>
      <c r="B1611" s="9" t="str">
        <f t="shared" si="175"/>
        <v/>
      </c>
      <c r="C1611" s="10"/>
      <c r="D1611" s="9" t="str">
        <f>IF(F1611="","",_xlfn.XLOOKUP(F1611,purchase!D:D,purchase!#REF!,""))</f>
        <v/>
      </c>
      <c r="E1611" s="9" t="str">
        <f>IF(F1611="","",_xlfn.XLOOKUP(F1611,purchase!D:D,purchase!B:B,""))</f>
        <v/>
      </c>
      <c r="F1611" s="2"/>
      <c r="G1611" s="4" t="str">
        <f t="shared" si="176"/>
        <v/>
      </c>
      <c r="H1611" s="4" t="str">
        <f>IF(F1611="","",_xlfn.XLOOKUP(F1611,purchase!D:D,purchase!#REF!,""))</f>
        <v/>
      </c>
      <c r="I1611" s="4" t="str">
        <f t="shared" si="177"/>
        <v/>
      </c>
      <c r="J1611" s="4" t="str">
        <f t="shared" si="178"/>
        <v/>
      </c>
      <c r="K1611" s="13" t="str">
        <f>_xlfn.SINGLE(IF(F1611="","",_xlfn.XLOOKUP(F1611,purchase!D:D,purchase!#REF!,"")))</f>
        <v/>
      </c>
      <c r="L1611" s="2"/>
      <c r="M1611" s="32"/>
      <c r="N1611" s="13" t="str">
        <f>IF(F1611="","",
MAX(0,
_xlfn.XLOOKUP(F1611,purchase!D:D,purchase!#REF!,"")
-
SUMIFS(L:L,F:F,F1611)))</f>
        <v/>
      </c>
      <c r="O1611" s="13" t="str">
        <f t="shared" si="179"/>
        <v/>
      </c>
      <c r="P1611" s="35" t="str">
        <f>_xlfn.SINGLE(IF(F1611="","",_xlfn.XLOOKUP(F1611,purchase!D:D,purchase!K:K,"")))</f>
        <v/>
      </c>
      <c r="Q1611" s="29" t="str">
        <f t="shared" si="180"/>
        <v/>
      </c>
      <c r="R1611" s="37" t="str">
        <f t="shared" si="181"/>
        <v/>
      </c>
    </row>
    <row r="1612" spans="1:18" x14ac:dyDescent="0.35">
      <c r="A1612" s="8">
        <v>1608</v>
      </c>
      <c r="B1612" s="9" t="str">
        <f t="shared" si="175"/>
        <v/>
      </c>
      <c r="C1612" s="10"/>
      <c r="D1612" s="9" t="str">
        <f>IF(F1612="","",_xlfn.XLOOKUP(F1612,purchase!D:D,purchase!#REF!,""))</f>
        <v/>
      </c>
      <c r="E1612" s="9" t="str">
        <f>IF(F1612="","",_xlfn.XLOOKUP(F1612,purchase!D:D,purchase!B:B,""))</f>
        <v/>
      </c>
      <c r="F1612" s="2"/>
      <c r="G1612" s="4" t="str">
        <f t="shared" si="176"/>
        <v/>
      </c>
      <c r="H1612" s="4" t="str">
        <f>IF(F1612="","",_xlfn.XLOOKUP(F1612,purchase!D:D,purchase!#REF!,""))</f>
        <v/>
      </c>
      <c r="I1612" s="4" t="str">
        <f t="shared" si="177"/>
        <v/>
      </c>
      <c r="J1612" s="4" t="str">
        <f t="shared" si="178"/>
        <v/>
      </c>
      <c r="K1612" s="13" t="str">
        <f>_xlfn.SINGLE(IF(F1612="","",_xlfn.XLOOKUP(F1612,purchase!D:D,purchase!#REF!,"")))</f>
        <v/>
      </c>
      <c r="L1612" s="2"/>
      <c r="M1612" s="32"/>
      <c r="N1612" s="13" t="str">
        <f>IF(F1612="","",
MAX(0,
_xlfn.XLOOKUP(F1612,purchase!D:D,purchase!#REF!,"")
-
SUMIFS(L:L,F:F,F1612)))</f>
        <v/>
      </c>
      <c r="O1612" s="13" t="str">
        <f t="shared" si="179"/>
        <v/>
      </c>
      <c r="P1612" s="35" t="str">
        <f>_xlfn.SINGLE(IF(F1612="","",_xlfn.XLOOKUP(F1612,purchase!D:D,purchase!K:K,"")))</f>
        <v/>
      </c>
      <c r="Q1612" s="29" t="str">
        <f t="shared" si="180"/>
        <v/>
      </c>
      <c r="R1612" s="37" t="str">
        <f t="shared" si="181"/>
        <v/>
      </c>
    </row>
    <row r="1613" spans="1:18" x14ac:dyDescent="0.35">
      <c r="A1613" s="8">
        <v>1609</v>
      </c>
      <c r="B1613" s="9" t="str">
        <f t="shared" si="175"/>
        <v/>
      </c>
      <c r="C1613" s="10"/>
      <c r="D1613" s="9" t="str">
        <f>IF(F1613="","",_xlfn.XLOOKUP(F1613,purchase!D:D,purchase!#REF!,""))</f>
        <v/>
      </c>
      <c r="E1613" s="9" t="str">
        <f>IF(F1613="","",_xlfn.XLOOKUP(F1613,purchase!D:D,purchase!B:B,""))</f>
        <v/>
      </c>
      <c r="F1613" s="2"/>
      <c r="G1613" s="4" t="str">
        <f t="shared" si="176"/>
        <v/>
      </c>
      <c r="H1613" s="4" t="str">
        <f>IF(F1613="","",_xlfn.XLOOKUP(F1613,purchase!D:D,purchase!#REF!,""))</f>
        <v/>
      </c>
      <c r="I1613" s="4" t="str">
        <f t="shared" si="177"/>
        <v/>
      </c>
      <c r="J1613" s="4" t="str">
        <f t="shared" si="178"/>
        <v/>
      </c>
      <c r="K1613" s="13" t="str">
        <f>_xlfn.SINGLE(IF(F1613="","",_xlfn.XLOOKUP(F1613,purchase!D:D,purchase!#REF!,"")))</f>
        <v/>
      </c>
      <c r="L1613" s="2"/>
      <c r="M1613" s="32"/>
      <c r="N1613" s="13" t="str">
        <f>IF(F1613="","",
MAX(0,
_xlfn.XLOOKUP(F1613,purchase!D:D,purchase!#REF!,"")
-
SUMIFS(L:L,F:F,F1613)))</f>
        <v/>
      </c>
      <c r="O1613" s="13" t="str">
        <f t="shared" si="179"/>
        <v/>
      </c>
      <c r="P1613" s="35" t="str">
        <f>_xlfn.SINGLE(IF(F1613="","",_xlfn.XLOOKUP(F1613,purchase!D:D,purchase!K:K,"")))</f>
        <v/>
      </c>
      <c r="Q1613" s="29" t="str">
        <f t="shared" si="180"/>
        <v/>
      </c>
      <c r="R1613" s="37" t="str">
        <f t="shared" si="181"/>
        <v/>
      </c>
    </row>
    <row r="1614" spans="1:18" x14ac:dyDescent="0.35">
      <c r="A1614" s="8">
        <v>1610</v>
      </c>
      <c r="B1614" s="9" t="str">
        <f t="shared" si="175"/>
        <v/>
      </c>
      <c r="C1614" s="10"/>
      <c r="D1614" s="9" t="str">
        <f>IF(F1614="","",_xlfn.XLOOKUP(F1614,purchase!D:D,purchase!#REF!,""))</f>
        <v/>
      </c>
      <c r="E1614" s="9" t="str">
        <f>IF(F1614="","",_xlfn.XLOOKUP(F1614,purchase!D:D,purchase!B:B,""))</f>
        <v/>
      </c>
      <c r="F1614" s="2"/>
      <c r="G1614" s="4" t="str">
        <f t="shared" si="176"/>
        <v/>
      </c>
      <c r="H1614" s="4" t="str">
        <f>IF(F1614="","",_xlfn.XLOOKUP(F1614,purchase!D:D,purchase!#REF!,""))</f>
        <v/>
      </c>
      <c r="I1614" s="4" t="str">
        <f t="shared" si="177"/>
        <v/>
      </c>
      <c r="J1614" s="4" t="str">
        <f t="shared" si="178"/>
        <v/>
      </c>
      <c r="K1614" s="13" t="str">
        <f>_xlfn.SINGLE(IF(F1614="","",_xlfn.XLOOKUP(F1614,purchase!D:D,purchase!#REF!,"")))</f>
        <v/>
      </c>
      <c r="L1614" s="2"/>
      <c r="M1614" s="32"/>
      <c r="N1614" s="13" t="str">
        <f>IF(F1614="","",
MAX(0,
_xlfn.XLOOKUP(F1614,purchase!D:D,purchase!#REF!,"")
-
SUMIFS(L:L,F:F,F1614)))</f>
        <v/>
      </c>
      <c r="O1614" s="13" t="str">
        <f t="shared" si="179"/>
        <v/>
      </c>
      <c r="P1614" s="35" t="str">
        <f>_xlfn.SINGLE(IF(F1614="","",_xlfn.XLOOKUP(F1614,purchase!D:D,purchase!K:K,"")))</f>
        <v/>
      </c>
      <c r="Q1614" s="29" t="str">
        <f t="shared" si="180"/>
        <v/>
      </c>
      <c r="R1614" s="37" t="str">
        <f t="shared" si="181"/>
        <v/>
      </c>
    </row>
    <row r="1615" spans="1:18" x14ac:dyDescent="0.35">
      <c r="A1615" s="8">
        <v>1611</v>
      </c>
      <c r="B1615" s="9" t="str">
        <f t="shared" si="175"/>
        <v/>
      </c>
      <c r="C1615" s="10"/>
      <c r="D1615" s="9" t="str">
        <f>IF(F1615="","",_xlfn.XLOOKUP(F1615,purchase!D:D,purchase!#REF!,""))</f>
        <v/>
      </c>
      <c r="E1615" s="9" t="str">
        <f>IF(F1615="","",_xlfn.XLOOKUP(F1615,purchase!D:D,purchase!B:B,""))</f>
        <v/>
      </c>
      <c r="F1615" s="2"/>
      <c r="G1615" s="4" t="str">
        <f t="shared" si="176"/>
        <v/>
      </c>
      <c r="H1615" s="4" t="str">
        <f>IF(F1615="","",_xlfn.XLOOKUP(F1615,purchase!D:D,purchase!#REF!,""))</f>
        <v/>
      </c>
      <c r="I1615" s="4" t="str">
        <f t="shared" si="177"/>
        <v/>
      </c>
      <c r="J1615" s="4" t="str">
        <f t="shared" si="178"/>
        <v/>
      </c>
      <c r="K1615" s="13" t="str">
        <f>_xlfn.SINGLE(IF(F1615="","",_xlfn.XLOOKUP(F1615,purchase!D:D,purchase!#REF!,"")))</f>
        <v/>
      </c>
      <c r="L1615" s="2"/>
      <c r="M1615" s="32"/>
      <c r="N1615" s="13" t="str">
        <f>IF(F1615="","",
MAX(0,
_xlfn.XLOOKUP(F1615,purchase!D:D,purchase!#REF!,"")
-
SUMIFS(L:L,F:F,F1615)))</f>
        <v/>
      </c>
      <c r="O1615" s="13" t="str">
        <f t="shared" si="179"/>
        <v/>
      </c>
      <c r="P1615" s="35" t="str">
        <f>_xlfn.SINGLE(IF(F1615="","",_xlfn.XLOOKUP(F1615,purchase!D:D,purchase!K:K,"")))</f>
        <v/>
      </c>
      <c r="Q1615" s="29" t="str">
        <f t="shared" si="180"/>
        <v/>
      </c>
      <c r="R1615" s="37" t="str">
        <f t="shared" si="181"/>
        <v/>
      </c>
    </row>
    <row r="1616" spans="1:18" x14ac:dyDescent="0.35">
      <c r="A1616" s="8">
        <v>1612</v>
      </c>
      <c r="B1616" s="9" t="str">
        <f t="shared" si="175"/>
        <v/>
      </c>
      <c r="C1616" s="10"/>
      <c r="D1616" s="9" t="str">
        <f>IF(F1616="","",_xlfn.XLOOKUP(F1616,purchase!D:D,purchase!#REF!,""))</f>
        <v/>
      </c>
      <c r="E1616" s="9" t="str">
        <f>IF(F1616="","",_xlfn.XLOOKUP(F1616,purchase!D:D,purchase!B:B,""))</f>
        <v/>
      </c>
      <c r="F1616" s="2"/>
      <c r="G1616" s="4" t="str">
        <f t="shared" si="176"/>
        <v/>
      </c>
      <c r="H1616" s="4" t="str">
        <f>IF(F1616="","",_xlfn.XLOOKUP(F1616,purchase!D:D,purchase!#REF!,""))</f>
        <v/>
      </c>
      <c r="I1616" s="4" t="str">
        <f t="shared" si="177"/>
        <v/>
      </c>
      <c r="J1616" s="4" t="str">
        <f t="shared" si="178"/>
        <v/>
      </c>
      <c r="K1616" s="13" t="str">
        <f>_xlfn.SINGLE(IF(F1616="","",_xlfn.XLOOKUP(F1616,purchase!D:D,purchase!#REF!,"")))</f>
        <v/>
      </c>
      <c r="L1616" s="2"/>
      <c r="M1616" s="32"/>
      <c r="N1616" s="13" t="str">
        <f>IF(F1616="","",
MAX(0,
_xlfn.XLOOKUP(F1616,purchase!D:D,purchase!#REF!,"")
-
SUMIFS(L:L,F:F,F1616)))</f>
        <v/>
      </c>
      <c r="O1616" s="13" t="str">
        <f t="shared" si="179"/>
        <v/>
      </c>
      <c r="P1616" s="35" t="str">
        <f>_xlfn.SINGLE(IF(F1616="","",_xlfn.XLOOKUP(F1616,purchase!D:D,purchase!K:K,"")))</f>
        <v/>
      </c>
      <c r="Q1616" s="29" t="str">
        <f t="shared" si="180"/>
        <v/>
      </c>
      <c r="R1616" s="37" t="str">
        <f t="shared" si="181"/>
        <v/>
      </c>
    </row>
    <row r="1617" spans="1:18" x14ac:dyDescent="0.35">
      <c r="A1617" s="8">
        <v>1613</v>
      </c>
      <c r="B1617" s="9" t="str">
        <f t="shared" si="175"/>
        <v/>
      </c>
      <c r="C1617" s="10"/>
      <c r="D1617" s="9" t="str">
        <f>IF(F1617="","",_xlfn.XLOOKUP(F1617,purchase!D:D,purchase!#REF!,""))</f>
        <v/>
      </c>
      <c r="E1617" s="9" t="str">
        <f>IF(F1617="","",_xlfn.XLOOKUP(F1617,purchase!D:D,purchase!B:B,""))</f>
        <v/>
      </c>
      <c r="F1617" s="2"/>
      <c r="G1617" s="4" t="str">
        <f t="shared" si="176"/>
        <v/>
      </c>
      <c r="H1617" s="4" t="str">
        <f>IF(F1617="","",_xlfn.XLOOKUP(F1617,purchase!D:D,purchase!#REF!,""))</f>
        <v/>
      </c>
      <c r="I1617" s="4" t="str">
        <f t="shared" si="177"/>
        <v/>
      </c>
      <c r="J1617" s="4" t="str">
        <f t="shared" si="178"/>
        <v/>
      </c>
      <c r="K1617" s="13" t="str">
        <f>_xlfn.SINGLE(IF(F1617="","",_xlfn.XLOOKUP(F1617,purchase!D:D,purchase!#REF!,"")))</f>
        <v/>
      </c>
      <c r="L1617" s="2"/>
      <c r="M1617" s="32"/>
      <c r="N1617" s="13" t="str">
        <f>IF(F1617="","",
MAX(0,
_xlfn.XLOOKUP(F1617,purchase!D:D,purchase!#REF!,"")
-
SUMIFS(L:L,F:F,F1617)))</f>
        <v/>
      </c>
      <c r="O1617" s="13" t="str">
        <f t="shared" si="179"/>
        <v/>
      </c>
      <c r="P1617" s="35" t="str">
        <f>_xlfn.SINGLE(IF(F1617="","",_xlfn.XLOOKUP(F1617,purchase!D:D,purchase!K:K,"")))</f>
        <v/>
      </c>
      <c r="Q1617" s="29" t="str">
        <f t="shared" si="180"/>
        <v/>
      </c>
      <c r="R1617" s="37" t="str">
        <f t="shared" si="181"/>
        <v/>
      </c>
    </row>
    <row r="1618" spans="1:18" x14ac:dyDescent="0.35">
      <c r="A1618" s="8">
        <v>1614</v>
      </c>
      <c r="B1618" s="9" t="str">
        <f t="shared" si="175"/>
        <v/>
      </c>
      <c r="C1618" s="10"/>
      <c r="D1618" s="9" t="str">
        <f>IF(F1618="","",_xlfn.XLOOKUP(F1618,purchase!D:D,purchase!#REF!,""))</f>
        <v/>
      </c>
      <c r="E1618" s="9" t="str">
        <f>IF(F1618="","",_xlfn.XLOOKUP(F1618,purchase!D:D,purchase!B:B,""))</f>
        <v/>
      </c>
      <c r="F1618" s="2"/>
      <c r="G1618" s="4" t="str">
        <f t="shared" si="176"/>
        <v/>
      </c>
      <c r="H1618" s="4" t="str">
        <f>IF(F1618="","",_xlfn.XLOOKUP(F1618,purchase!D:D,purchase!#REF!,""))</f>
        <v/>
      </c>
      <c r="I1618" s="4" t="str">
        <f t="shared" si="177"/>
        <v/>
      </c>
      <c r="J1618" s="4" t="str">
        <f t="shared" si="178"/>
        <v/>
      </c>
      <c r="K1618" s="13" t="str">
        <f>_xlfn.SINGLE(IF(F1618="","",_xlfn.XLOOKUP(F1618,purchase!D:D,purchase!#REF!,"")))</f>
        <v/>
      </c>
      <c r="L1618" s="2"/>
      <c r="M1618" s="32"/>
      <c r="N1618" s="13" t="str">
        <f>IF(F1618="","",
MAX(0,
_xlfn.XLOOKUP(F1618,purchase!D:D,purchase!#REF!,"")
-
SUMIFS(L:L,F:F,F1618)))</f>
        <v/>
      </c>
      <c r="O1618" s="13" t="str">
        <f t="shared" si="179"/>
        <v/>
      </c>
      <c r="P1618" s="35" t="str">
        <f>_xlfn.SINGLE(IF(F1618="","",_xlfn.XLOOKUP(F1618,purchase!D:D,purchase!K:K,"")))</f>
        <v/>
      </c>
      <c r="Q1618" s="29" t="str">
        <f t="shared" si="180"/>
        <v/>
      </c>
      <c r="R1618" s="37" t="str">
        <f t="shared" si="181"/>
        <v/>
      </c>
    </row>
    <row r="1619" spans="1:18" x14ac:dyDescent="0.35">
      <c r="A1619" s="8">
        <v>1615</v>
      </c>
      <c r="B1619" s="9" t="str">
        <f t="shared" si="175"/>
        <v/>
      </c>
      <c r="C1619" s="10"/>
      <c r="D1619" s="9" t="str">
        <f>IF(F1619="","",_xlfn.XLOOKUP(F1619,purchase!D:D,purchase!#REF!,""))</f>
        <v/>
      </c>
      <c r="E1619" s="9" t="str">
        <f>IF(F1619="","",_xlfn.XLOOKUP(F1619,purchase!D:D,purchase!B:B,""))</f>
        <v/>
      </c>
      <c r="F1619" s="2"/>
      <c r="G1619" s="4" t="str">
        <f t="shared" si="176"/>
        <v/>
      </c>
      <c r="H1619" s="4" t="str">
        <f>IF(F1619="","",_xlfn.XLOOKUP(F1619,purchase!D:D,purchase!#REF!,""))</f>
        <v/>
      </c>
      <c r="I1619" s="4" t="str">
        <f t="shared" si="177"/>
        <v/>
      </c>
      <c r="J1619" s="4" t="str">
        <f t="shared" si="178"/>
        <v/>
      </c>
      <c r="K1619" s="13" t="str">
        <f>_xlfn.SINGLE(IF(F1619="","",_xlfn.XLOOKUP(F1619,purchase!D:D,purchase!#REF!,"")))</f>
        <v/>
      </c>
      <c r="L1619" s="2"/>
      <c r="M1619" s="32"/>
      <c r="N1619" s="13" t="str">
        <f>IF(F1619="","",
MAX(0,
_xlfn.XLOOKUP(F1619,purchase!D:D,purchase!#REF!,"")
-
SUMIFS(L:L,F:F,F1619)))</f>
        <v/>
      </c>
      <c r="O1619" s="13" t="str">
        <f t="shared" si="179"/>
        <v/>
      </c>
      <c r="P1619" s="35" t="str">
        <f>_xlfn.SINGLE(IF(F1619="","",_xlfn.XLOOKUP(F1619,purchase!D:D,purchase!K:K,"")))</f>
        <v/>
      </c>
      <c r="Q1619" s="29" t="str">
        <f t="shared" si="180"/>
        <v/>
      </c>
      <c r="R1619" s="37" t="str">
        <f t="shared" si="181"/>
        <v/>
      </c>
    </row>
    <row r="1620" spans="1:18" x14ac:dyDescent="0.35">
      <c r="A1620" s="8">
        <v>1616</v>
      </c>
      <c r="B1620" s="9" t="str">
        <f t="shared" si="175"/>
        <v/>
      </c>
      <c r="C1620" s="10"/>
      <c r="D1620" s="9" t="str">
        <f>IF(F1620="","",_xlfn.XLOOKUP(F1620,purchase!D:D,purchase!#REF!,""))</f>
        <v/>
      </c>
      <c r="E1620" s="9" t="str">
        <f>IF(F1620="","",_xlfn.XLOOKUP(F1620,purchase!D:D,purchase!B:B,""))</f>
        <v/>
      </c>
      <c r="F1620" s="2"/>
      <c r="G1620" s="4" t="str">
        <f t="shared" si="176"/>
        <v/>
      </c>
      <c r="H1620" s="4" t="str">
        <f>IF(F1620="","",_xlfn.XLOOKUP(F1620,purchase!D:D,purchase!#REF!,""))</f>
        <v/>
      </c>
      <c r="I1620" s="4" t="str">
        <f t="shared" si="177"/>
        <v/>
      </c>
      <c r="J1620" s="4" t="str">
        <f t="shared" si="178"/>
        <v/>
      </c>
      <c r="K1620" s="13" t="str">
        <f>_xlfn.SINGLE(IF(F1620="","",_xlfn.XLOOKUP(F1620,purchase!D:D,purchase!#REF!,"")))</f>
        <v/>
      </c>
      <c r="L1620" s="2"/>
      <c r="M1620" s="32"/>
      <c r="N1620" s="13" t="str">
        <f>IF(F1620="","",
MAX(0,
_xlfn.XLOOKUP(F1620,purchase!D:D,purchase!#REF!,"")
-
SUMIFS(L:L,F:F,F1620)))</f>
        <v/>
      </c>
      <c r="O1620" s="13" t="str">
        <f t="shared" si="179"/>
        <v/>
      </c>
      <c r="P1620" s="35" t="str">
        <f>_xlfn.SINGLE(IF(F1620="","",_xlfn.XLOOKUP(F1620,purchase!D:D,purchase!K:K,"")))</f>
        <v/>
      </c>
      <c r="Q1620" s="29" t="str">
        <f t="shared" si="180"/>
        <v/>
      </c>
      <c r="R1620" s="37" t="str">
        <f t="shared" si="181"/>
        <v/>
      </c>
    </row>
    <row r="1621" spans="1:18" x14ac:dyDescent="0.35">
      <c r="A1621" s="8">
        <v>1617</v>
      </c>
      <c r="B1621" s="9" t="str">
        <f t="shared" si="175"/>
        <v/>
      </c>
      <c r="C1621" s="10"/>
      <c r="D1621" s="9" t="str">
        <f>IF(F1621="","",_xlfn.XLOOKUP(F1621,purchase!D:D,purchase!#REF!,""))</f>
        <v/>
      </c>
      <c r="E1621" s="9" t="str">
        <f>IF(F1621="","",_xlfn.XLOOKUP(F1621,purchase!D:D,purchase!B:B,""))</f>
        <v/>
      </c>
      <c r="F1621" s="2"/>
      <c r="G1621" s="4" t="str">
        <f t="shared" si="176"/>
        <v/>
      </c>
      <c r="H1621" s="4" t="str">
        <f>IF(F1621="","",_xlfn.XLOOKUP(F1621,purchase!D:D,purchase!#REF!,""))</f>
        <v/>
      </c>
      <c r="I1621" s="4" t="str">
        <f t="shared" si="177"/>
        <v/>
      </c>
      <c r="J1621" s="4" t="str">
        <f t="shared" si="178"/>
        <v/>
      </c>
      <c r="K1621" s="13" t="str">
        <f>_xlfn.SINGLE(IF(F1621="","",_xlfn.XLOOKUP(F1621,purchase!D:D,purchase!#REF!,"")))</f>
        <v/>
      </c>
      <c r="L1621" s="2"/>
      <c r="M1621" s="32"/>
      <c r="N1621" s="13" t="str">
        <f>IF(F1621="","",
MAX(0,
_xlfn.XLOOKUP(F1621,purchase!D:D,purchase!#REF!,"")
-
SUMIFS(L:L,F:F,F1621)))</f>
        <v/>
      </c>
      <c r="O1621" s="13" t="str">
        <f t="shared" si="179"/>
        <v/>
      </c>
      <c r="P1621" s="35" t="str">
        <f>_xlfn.SINGLE(IF(F1621="","",_xlfn.XLOOKUP(F1621,purchase!D:D,purchase!K:K,"")))</f>
        <v/>
      </c>
      <c r="Q1621" s="29" t="str">
        <f t="shared" si="180"/>
        <v/>
      </c>
      <c r="R1621" s="37" t="str">
        <f t="shared" si="181"/>
        <v/>
      </c>
    </row>
    <row r="1622" spans="1:18" x14ac:dyDescent="0.35">
      <c r="A1622" s="8">
        <v>1618</v>
      </c>
      <c r="B1622" s="9" t="str">
        <f t="shared" si="175"/>
        <v/>
      </c>
      <c r="C1622" s="10"/>
      <c r="D1622" s="9" t="str">
        <f>IF(F1622="","",_xlfn.XLOOKUP(F1622,purchase!D:D,purchase!#REF!,""))</f>
        <v/>
      </c>
      <c r="E1622" s="9" t="str">
        <f>IF(F1622="","",_xlfn.XLOOKUP(F1622,purchase!D:D,purchase!B:B,""))</f>
        <v/>
      </c>
      <c r="F1622" s="2"/>
      <c r="G1622" s="4" t="str">
        <f t="shared" si="176"/>
        <v/>
      </c>
      <c r="H1622" s="4" t="str">
        <f>IF(F1622="","",_xlfn.XLOOKUP(F1622,purchase!D:D,purchase!#REF!,""))</f>
        <v/>
      </c>
      <c r="I1622" s="4" t="str">
        <f t="shared" si="177"/>
        <v/>
      </c>
      <c r="J1622" s="4" t="str">
        <f t="shared" si="178"/>
        <v/>
      </c>
      <c r="K1622" s="13" t="str">
        <f>_xlfn.SINGLE(IF(F1622="","",_xlfn.XLOOKUP(F1622,purchase!D:D,purchase!#REF!,"")))</f>
        <v/>
      </c>
      <c r="L1622" s="2"/>
      <c r="M1622" s="32"/>
      <c r="N1622" s="13" t="str">
        <f>IF(F1622="","",
MAX(0,
_xlfn.XLOOKUP(F1622,purchase!D:D,purchase!#REF!,"")
-
SUMIFS(L:L,F:F,F1622)))</f>
        <v/>
      </c>
      <c r="O1622" s="13" t="str">
        <f t="shared" si="179"/>
        <v/>
      </c>
      <c r="P1622" s="35" t="str">
        <f>_xlfn.SINGLE(IF(F1622="","",_xlfn.XLOOKUP(F1622,purchase!D:D,purchase!K:K,"")))</f>
        <v/>
      </c>
      <c r="Q1622" s="29" t="str">
        <f t="shared" si="180"/>
        <v/>
      </c>
      <c r="R1622" s="37" t="str">
        <f t="shared" si="181"/>
        <v/>
      </c>
    </row>
    <row r="1623" spans="1:18" x14ac:dyDescent="0.35">
      <c r="A1623" s="8">
        <v>1619</v>
      </c>
      <c r="B1623" s="9" t="str">
        <f t="shared" si="175"/>
        <v/>
      </c>
      <c r="C1623" s="10"/>
      <c r="D1623" s="9" t="str">
        <f>IF(F1623="","",_xlfn.XLOOKUP(F1623,purchase!D:D,purchase!#REF!,""))</f>
        <v/>
      </c>
      <c r="E1623" s="9" t="str">
        <f>IF(F1623="","",_xlfn.XLOOKUP(F1623,purchase!D:D,purchase!B:B,""))</f>
        <v/>
      </c>
      <c r="F1623" s="2"/>
      <c r="G1623" s="4" t="str">
        <f t="shared" si="176"/>
        <v/>
      </c>
      <c r="H1623" s="4" t="str">
        <f>IF(F1623="","",_xlfn.XLOOKUP(F1623,purchase!D:D,purchase!#REF!,""))</f>
        <v/>
      </c>
      <c r="I1623" s="4" t="str">
        <f t="shared" si="177"/>
        <v/>
      </c>
      <c r="J1623" s="4" t="str">
        <f t="shared" si="178"/>
        <v/>
      </c>
      <c r="K1623" s="13" t="str">
        <f>_xlfn.SINGLE(IF(F1623="","",_xlfn.XLOOKUP(F1623,purchase!D:D,purchase!#REF!,"")))</f>
        <v/>
      </c>
      <c r="L1623" s="2"/>
      <c r="M1623" s="32"/>
      <c r="N1623" s="13" t="str">
        <f>IF(F1623="","",
MAX(0,
_xlfn.XLOOKUP(F1623,purchase!D:D,purchase!#REF!,"")
-
SUMIFS(L:L,F:F,F1623)))</f>
        <v/>
      </c>
      <c r="O1623" s="13" t="str">
        <f t="shared" si="179"/>
        <v/>
      </c>
      <c r="P1623" s="35" t="str">
        <f>_xlfn.SINGLE(IF(F1623="","",_xlfn.XLOOKUP(F1623,purchase!D:D,purchase!K:K,"")))</f>
        <v/>
      </c>
      <c r="Q1623" s="29" t="str">
        <f t="shared" si="180"/>
        <v/>
      </c>
      <c r="R1623" s="37" t="str">
        <f t="shared" si="181"/>
        <v/>
      </c>
    </row>
    <row r="1624" spans="1:18" x14ac:dyDescent="0.35">
      <c r="A1624" s="8">
        <v>1620</v>
      </c>
      <c r="B1624" s="9" t="str">
        <f t="shared" si="175"/>
        <v/>
      </c>
      <c r="C1624" s="10"/>
      <c r="D1624" s="9" t="str">
        <f>IF(F1624="","",_xlfn.XLOOKUP(F1624,purchase!D:D,purchase!#REF!,""))</f>
        <v/>
      </c>
      <c r="E1624" s="9" t="str">
        <f>IF(F1624="","",_xlfn.XLOOKUP(F1624,purchase!D:D,purchase!B:B,""))</f>
        <v/>
      </c>
      <c r="F1624" s="2"/>
      <c r="G1624" s="4" t="str">
        <f t="shared" si="176"/>
        <v/>
      </c>
      <c r="H1624" s="4" t="str">
        <f>IF(F1624="","",_xlfn.XLOOKUP(F1624,purchase!D:D,purchase!#REF!,""))</f>
        <v/>
      </c>
      <c r="I1624" s="4" t="str">
        <f t="shared" si="177"/>
        <v/>
      </c>
      <c r="J1624" s="4" t="str">
        <f t="shared" si="178"/>
        <v/>
      </c>
      <c r="K1624" s="13" t="str">
        <f>_xlfn.SINGLE(IF(F1624="","",_xlfn.XLOOKUP(F1624,purchase!D:D,purchase!#REF!,"")))</f>
        <v/>
      </c>
      <c r="L1624" s="2"/>
      <c r="M1624" s="32"/>
      <c r="N1624" s="13" t="str">
        <f>IF(F1624="","",
MAX(0,
_xlfn.XLOOKUP(F1624,purchase!D:D,purchase!#REF!,"")
-
SUMIFS(L:L,F:F,F1624)))</f>
        <v/>
      </c>
      <c r="O1624" s="13" t="str">
        <f t="shared" si="179"/>
        <v/>
      </c>
      <c r="P1624" s="35" t="str">
        <f>_xlfn.SINGLE(IF(F1624="","",_xlfn.XLOOKUP(F1624,purchase!D:D,purchase!K:K,"")))</f>
        <v/>
      </c>
      <c r="Q1624" s="29" t="str">
        <f t="shared" si="180"/>
        <v/>
      </c>
      <c r="R1624" s="37" t="str">
        <f t="shared" si="181"/>
        <v/>
      </c>
    </row>
    <row r="1625" spans="1:18" x14ac:dyDescent="0.35">
      <c r="A1625" s="8">
        <v>1621</v>
      </c>
      <c r="B1625" s="9" t="str">
        <f t="shared" si="175"/>
        <v/>
      </c>
      <c r="C1625" s="10"/>
      <c r="D1625" s="9" t="str">
        <f>IF(F1625="","",_xlfn.XLOOKUP(F1625,purchase!D:D,purchase!#REF!,""))</f>
        <v/>
      </c>
      <c r="E1625" s="9" t="str">
        <f>IF(F1625="","",_xlfn.XLOOKUP(F1625,purchase!D:D,purchase!B:B,""))</f>
        <v/>
      </c>
      <c r="F1625" s="2"/>
      <c r="G1625" s="4" t="str">
        <f t="shared" si="176"/>
        <v/>
      </c>
      <c r="H1625" s="4" t="str">
        <f>IF(F1625="","",_xlfn.XLOOKUP(F1625,purchase!D:D,purchase!#REF!,""))</f>
        <v/>
      </c>
      <c r="I1625" s="4" t="str">
        <f t="shared" si="177"/>
        <v/>
      </c>
      <c r="J1625" s="4" t="str">
        <f t="shared" si="178"/>
        <v/>
      </c>
      <c r="K1625" s="13" t="str">
        <f>_xlfn.SINGLE(IF(F1625="","",_xlfn.XLOOKUP(F1625,purchase!D:D,purchase!#REF!,"")))</f>
        <v/>
      </c>
      <c r="L1625" s="2"/>
      <c r="M1625" s="32"/>
      <c r="N1625" s="13" t="str">
        <f>IF(F1625="","",
MAX(0,
_xlfn.XLOOKUP(F1625,purchase!D:D,purchase!#REF!,"")
-
SUMIFS(L:L,F:F,F1625)))</f>
        <v/>
      </c>
      <c r="O1625" s="13" t="str">
        <f t="shared" si="179"/>
        <v/>
      </c>
      <c r="P1625" s="35" t="str">
        <f>_xlfn.SINGLE(IF(F1625="","",_xlfn.XLOOKUP(F1625,purchase!D:D,purchase!K:K,"")))</f>
        <v/>
      </c>
      <c r="Q1625" s="29" t="str">
        <f t="shared" si="180"/>
        <v/>
      </c>
      <c r="R1625" s="37" t="str">
        <f t="shared" si="181"/>
        <v/>
      </c>
    </row>
    <row r="1626" spans="1:18" x14ac:dyDescent="0.35">
      <c r="A1626" s="8">
        <v>1622</v>
      </c>
      <c r="B1626" s="9" t="str">
        <f t="shared" si="175"/>
        <v/>
      </c>
      <c r="C1626" s="10"/>
      <c r="D1626" s="9" t="str">
        <f>IF(F1626="","",_xlfn.XLOOKUP(F1626,purchase!D:D,purchase!#REF!,""))</f>
        <v/>
      </c>
      <c r="E1626" s="9" t="str">
        <f>IF(F1626="","",_xlfn.XLOOKUP(F1626,purchase!D:D,purchase!B:B,""))</f>
        <v/>
      </c>
      <c r="F1626" s="2"/>
      <c r="G1626" s="4" t="str">
        <f t="shared" si="176"/>
        <v/>
      </c>
      <c r="H1626" s="4" t="str">
        <f>IF(F1626="","",_xlfn.XLOOKUP(F1626,purchase!D:D,purchase!#REF!,""))</f>
        <v/>
      </c>
      <c r="I1626" s="4" t="str">
        <f t="shared" si="177"/>
        <v/>
      </c>
      <c r="J1626" s="4" t="str">
        <f t="shared" si="178"/>
        <v/>
      </c>
      <c r="K1626" s="13" t="str">
        <f>_xlfn.SINGLE(IF(F1626="","",_xlfn.XLOOKUP(F1626,purchase!D:D,purchase!#REF!,"")))</f>
        <v/>
      </c>
      <c r="L1626" s="2"/>
      <c r="M1626" s="32"/>
      <c r="N1626" s="13" t="str">
        <f>IF(F1626="","",
MAX(0,
_xlfn.XLOOKUP(F1626,purchase!D:D,purchase!#REF!,"")
-
SUMIFS(L:L,F:F,F1626)))</f>
        <v/>
      </c>
      <c r="O1626" s="13" t="str">
        <f t="shared" si="179"/>
        <v/>
      </c>
      <c r="P1626" s="35" t="str">
        <f>_xlfn.SINGLE(IF(F1626="","",_xlfn.XLOOKUP(F1626,purchase!D:D,purchase!K:K,"")))</f>
        <v/>
      </c>
      <c r="Q1626" s="29" t="str">
        <f t="shared" si="180"/>
        <v/>
      </c>
      <c r="R1626" s="37" t="str">
        <f t="shared" si="181"/>
        <v/>
      </c>
    </row>
    <row r="1627" spans="1:18" x14ac:dyDescent="0.35">
      <c r="A1627" s="8">
        <v>1623</v>
      </c>
      <c r="B1627" s="9" t="str">
        <f t="shared" si="175"/>
        <v/>
      </c>
      <c r="C1627" s="10"/>
      <c r="D1627" s="9" t="str">
        <f>IF(F1627="","",_xlfn.XLOOKUP(F1627,purchase!D:D,purchase!#REF!,""))</f>
        <v/>
      </c>
      <c r="E1627" s="9" t="str">
        <f>IF(F1627="","",_xlfn.XLOOKUP(F1627,purchase!D:D,purchase!B:B,""))</f>
        <v/>
      </c>
      <c r="F1627" s="2"/>
      <c r="G1627" s="4" t="str">
        <f t="shared" si="176"/>
        <v/>
      </c>
      <c r="H1627" s="4" t="str">
        <f>IF(F1627="","",_xlfn.XLOOKUP(F1627,purchase!D:D,purchase!#REF!,""))</f>
        <v/>
      </c>
      <c r="I1627" s="4" t="str">
        <f t="shared" si="177"/>
        <v/>
      </c>
      <c r="J1627" s="4" t="str">
        <f t="shared" si="178"/>
        <v/>
      </c>
      <c r="K1627" s="13" t="str">
        <f>_xlfn.SINGLE(IF(F1627="","",_xlfn.XLOOKUP(F1627,purchase!D:D,purchase!#REF!,"")))</f>
        <v/>
      </c>
      <c r="L1627" s="2"/>
      <c r="M1627" s="32"/>
      <c r="N1627" s="13" t="str">
        <f>IF(F1627="","",
MAX(0,
_xlfn.XLOOKUP(F1627,purchase!D:D,purchase!#REF!,"")
-
SUMIFS(L:L,F:F,F1627)))</f>
        <v/>
      </c>
      <c r="O1627" s="13" t="str">
        <f t="shared" si="179"/>
        <v/>
      </c>
      <c r="P1627" s="35" t="str">
        <f>_xlfn.SINGLE(IF(F1627="","",_xlfn.XLOOKUP(F1627,purchase!D:D,purchase!K:K,"")))</f>
        <v/>
      </c>
      <c r="Q1627" s="29" t="str">
        <f t="shared" si="180"/>
        <v/>
      </c>
      <c r="R1627" s="37" t="str">
        <f t="shared" si="181"/>
        <v/>
      </c>
    </row>
    <row r="1628" spans="1:18" x14ac:dyDescent="0.35">
      <c r="A1628" s="8">
        <v>1624</v>
      </c>
      <c r="B1628" s="9" t="str">
        <f t="shared" si="175"/>
        <v/>
      </c>
      <c r="C1628" s="10"/>
      <c r="D1628" s="9" t="str">
        <f>IF(F1628="","",_xlfn.XLOOKUP(F1628,purchase!D:D,purchase!#REF!,""))</f>
        <v/>
      </c>
      <c r="E1628" s="9" t="str">
        <f>IF(F1628="","",_xlfn.XLOOKUP(F1628,purchase!D:D,purchase!B:B,""))</f>
        <v/>
      </c>
      <c r="F1628" s="2"/>
      <c r="G1628" s="4" t="str">
        <f t="shared" si="176"/>
        <v/>
      </c>
      <c r="H1628" s="4" t="str">
        <f>IF(F1628="","",_xlfn.XLOOKUP(F1628,purchase!D:D,purchase!#REF!,""))</f>
        <v/>
      </c>
      <c r="I1628" s="4" t="str">
        <f t="shared" si="177"/>
        <v/>
      </c>
      <c r="J1628" s="4" t="str">
        <f t="shared" si="178"/>
        <v/>
      </c>
      <c r="K1628" s="13" t="str">
        <f>_xlfn.SINGLE(IF(F1628="","",_xlfn.XLOOKUP(F1628,purchase!D:D,purchase!#REF!,"")))</f>
        <v/>
      </c>
      <c r="L1628" s="2"/>
      <c r="M1628" s="32"/>
      <c r="N1628" s="13" t="str">
        <f>IF(F1628="","",
MAX(0,
_xlfn.XLOOKUP(F1628,purchase!D:D,purchase!#REF!,"")
-
SUMIFS(L:L,F:F,F1628)))</f>
        <v/>
      </c>
      <c r="O1628" s="13" t="str">
        <f t="shared" si="179"/>
        <v/>
      </c>
      <c r="P1628" s="35" t="str">
        <f>_xlfn.SINGLE(IF(F1628="","",_xlfn.XLOOKUP(F1628,purchase!D:D,purchase!K:K,"")))</f>
        <v/>
      </c>
      <c r="Q1628" s="29" t="str">
        <f t="shared" si="180"/>
        <v/>
      </c>
      <c r="R1628" s="37" t="str">
        <f t="shared" si="181"/>
        <v/>
      </c>
    </row>
    <row r="1629" spans="1:18" x14ac:dyDescent="0.35">
      <c r="A1629" s="8">
        <v>1625</v>
      </c>
      <c r="B1629" s="9" t="str">
        <f t="shared" si="175"/>
        <v/>
      </c>
      <c r="C1629" s="10"/>
      <c r="D1629" s="9" t="str">
        <f>IF(F1629="","",_xlfn.XLOOKUP(F1629,purchase!D:D,purchase!#REF!,""))</f>
        <v/>
      </c>
      <c r="E1629" s="9" t="str">
        <f>IF(F1629="","",_xlfn.XLOOKUP(F1629,purchase!D:D,purchase!B:B,""))</f>
        <v/>
      </c>
      <c r="F1629" s="2"/>
      <c r="G1629" s="4" t="str">
        <f t="shared" si="176"/>
        <v/>
      </c>
      <c r="H1629" s="4" t="str">
        <f>IF(F1629="","",_xlfn.XLOOKUP(F1629,purchase!D:D,purchase!#REF!,""))</f>
        <v/>
      </c>
      <c r="I1629" s="4" t="str">
        <f t="shared" si="177"/>
        <v/>
      </c>
      <c r="J1629" s="4" t="str">
        <f t="shared" si="178"/>
        <v/>
      </c>
      <c r="K1629" s="13" t="str">
        <f>_xlfn.SINGLE(IF(F1629="","",_xlfn.XLOOKUP(F1629,purchase!D:D,purchase!#REF!,"")))</f>
        <v/>
      </c>
      <c r="L1629" s="2"/>
      <c r="M1629" s="32"/>
      <c r="N1629" s="13" t="str">
        <f>IF(F1629="","",
MAX(0,
_xlfn.XLOOKUP(F1629,purchase!D:D,purchase!#REF!,"")
-
SUMIFS(L:L,F:F,F1629)))</f>
        <v/>
      </c>
      <c r="O1629" s="13" t="str">
        <f t="shared" si="179"/>
        <v/>
      </c>
      <c r="P1629" s="35" t="str">
        <f>_xlfn.SINGLE(IF(F1629="","",_xlfn.XLOOKUP(F1629,purchase!D:D,purchase!K:K,"")))</f>
        <v/>
      </c>
      <c r="Q1629" s="29" t="str">
        <f t="shared" si="180"/>
        <v/>
      </c>
      <c r="R1629" s="37" t="str">
        <f t="shared" si="181"/>
        <v/>
      </c>
    </row>
    <row r="1630" spans="1:18" x14ac:dyDescent="0.35">
      <c r="A1630" s="8">
        <v>1626</v>
      </c>
      <c r="B1630" s="9" t="str">
        <f t="shared" si="175"/>
        <v/>
      </c>
      <c r="C1630" s="10"/>
      <c r="D1630" s="9" t="str">
        <f>IF(F1630="","",_xlfn.XLOOKUP(F1630,purchase!D:D,purchase!#REF!,""))</f>
        <v/>
      </c>
      <c r="E1630" s="9" t="str">
        <f>IF(F1630="","",_xlfn.XLOOKUP(F1630,purchase!D:D,purchase!B:B,""))</f>
        <v/>
      </c>
      <c r="F1630" s="2"/>
      <c r="G1630" s="4" t="str">
        <f t="shared" si="176"/>
        <v/>
      </c>
      <c r="H1630" s="4" t="str">
        <f>IF(F1630="","",_xlfn.XLOOKUP(F1630,purchase!D:D,purchase!#REF!,""))</f>
        <v/>
      </c>
      <c r="I1630" s="4" t="str">
        <f t="shared" si="177"/>
        <v/>
      </c>
      <c r="J1630" s="4" t="str">
        <f t="shared" si="178"/>
        <v/>
      </c>
      <c r="K1630" s="13" t="str">
        <f>_xlfn.SINGLE(IF(F1630="","",_xlfn.XLOOKUP(F1630,purchase!D:D,purchase!#REF!,"")))</f>
        <v/>
      </c>
      <c r="L1630" s="2"/>
      <c r="M1630" s="32"/>
      <c r="N1630" s="13" t="str">
        <f>IF(F1630="","",
MAX(0,
_xlfn.XLOOKUP(F1630,purchase!D:D,purchase!#REF!,"")
-
SUMIFS(L:L,F:F,F1630)))</f>
        <v/>
      </c>
      <c r="O1630" s="13" t="str">
        <f t="shared" si="179"/>
        <v/>
      </c>
      <c r="P1630" s="35" t="str">
        <f>_xlfn.SINGLE(IF(F1630="","",_xlfn.XLOOKUP(F1630,purchase!D:D,purchase!K:K,"")))</f>
        <v/>
      </c>
      <c r="Q1630" s="29" t="str">
        <f t="shared" si="180"/>
        <v/>
      </c>
      <c r="R1630" s="37" t="str">
        <f t="shared" si="181"/>
        <v/>
      </c>
    </row>
    <row r="1631" spans="1:18" x14ac:dyDescent="0.35">
      <c r="A1631" s="8">
        <v>1627</v>
      </c>
      <c r="B1631" s="9" t="str">
        <f t="shared" si="175"/>
        <v/>
      </c>
      <c r="C1631" s="10"/>
      <c r="D1631" s="9" t="str">
        <f>IF(F1631="","",_xlfn.XLOOKUP(F1631,purchase!D:D,purchase!#REF!,""))</f>
        <v/>
      </c>
      <c r="E1631" s="9" t="str">
        <f>IF(F1631="","",_xlfn.XLOOKUP(F1631,purchase!D:D,purchase!B:B,""))</f>
        <v/>
      </c>
      <c r="F1631" s="2"/>
      <c r="G1631" s="4" t="str">
        <f t="shared" si="176"/>
        <v/>
      </c>
      <c r="H1631" s="4" t="str">
        <f>IF(F1631="","",_xlfn.XLOOKUP(F1631,purchase!D:D,purchase!#REF!,""))</f>
        <v/>
      </c>
      <c r="I1631" s="4" t="str">
        <f t="shared" si="177"/>
        <v/>
      </c>
      <c r="J1631" s="4" t="str">
        <f t="shared" si="178"/>
        <v/>
      </c>
      <c r="K1631" s="13" t="str">
        <f>_xlfn.SINGLE(IF(F1631="","",_xlfn.XLOOKUP(F1631,purchase!D:D,purchase!#REF!,"")))</f>
        <v/>
      </c>
      <c r="L1631" s="2"/>
      <c r="M1631" s="32"/>
      <c r="N1631" s="13" t="str">
        <f>IF(F1631="","",
MAX(0,
_xlfn.XLOOKUP(F1631,purchase!D:D,purchase!#REF!,"")
-
SUMIFS(L:L,F:F,F1631)))</f>
        <v/>
      </c>
      <c r="O1631" s="13" t="str">
        <f t="shared" si="179"/>
        <v/>
      </c>
      <c r="P1631" s="35" t="str">
        <f>_xlfn.SINGLE(IF(F1631="","",_xlfn.XLOOKUP(F1631,purchase!D:D,purchase!K:K,"")))</f>
        <v/>
      </c>
      <c r="Q1631" s="29" t="str">
        <f t="shared" si="180"/>
        <v/>
      </c>
      <c r="R1631" s="37" t="str">
        <f t="shared" si="181"/>
        <v/>
      </c>
    </row>
    <row r="1632" spans="1:18" x14ac:dyDescent="0.35">
      <c r="A1632" s="8">
        <v>1628</v>
      </c>
      <c r="B1632" s="9" t="str">
        <f t="shared" si="175"/>
        <v/>
      </c>
      <c r="C1632" s="10"/>
      <c r="D1632" s="9" t="str">
        <f>IF(F1632="","",_xlfn.XLOOKUP(F1632,purchase!D:D,purchase!#REF!,""))</f>
        <v/>
      </c>
      <c r="E1632" s="9" t="str">
        <f>IF(F1632="","",_xlfn.XLOOKUP(F1632,purchase!D:D,purchase!B:B,""))</f>
        <v/>
      </c>
      <c r="F1632" s="2"/>
      <c r="G1632" s="4" t="str">
        <f t="shared" si="176"/>
        <v/>
      </c>
      <c r="H1632" s="4" t="str">
        <f>IF(F1632="","",_xlfn.XLOOKUP(F1632,purchase!D:D,purchase!#REF!,""))</f>
        <v/>
      </c>
      <c r="I1632" s="4" t="str">
        <f t="shared" si="177"/>
        <v/>
      </c>
      <c r="J1632" s="4" t="str">
        <f t="shared" si="178"/>
        <v/>
      </c>
      <c r="K1632" s="13" t="str">
        <f>_xlfn.SINGLE(IF(F1632="","",_xlfn.XLOOKUP(F1632,purchase!D:D,purchase!#REF!,"")))</f>
        <v/>
      </c>
      <c r="L1632" s="2"/>
      <c r="M1632" s="32"/>
      <c r="N1632" s="13" t="str">
        <f>IF(F1632="","",
MAX(0,
_xlfn.XLOOKUP(F1632,purchase!D:D,purchase!#REF!,"")
-
SUMIFS(L:L,F:F,F1632)))</f>
        <v/>
      </c>
      <c r="O1632" s="13" t="str">
        <f t="shared" si="179"/>
        <v/>
      </c>
      <c r="P1632" s="35" t="str">
        <f>_xlfn.SINGLE(IF(F1632="","",_xlfn.XLOOKUP(F1632,purchase!D:D,purchase!K:K,"")))</f>
        <v/>
      </c>
      <c r="Q1632" s="29" t="str">
        <f t="shared" si="180"/>
        <v/>
      </c>
      <c r="R1632" s="37" t="str">
        <f t="shared" si="181"/>
        <v/>
      </c>
    </row>
    <row r="1633" spans="1:18" x14ac:dyDescent="0.35">
      <c r="A1633" s="8">
        <v>1629</v>
      </c>
      <c r="B1633" s="9" t="str">
        <f t="shared" si="175"/>
        <v/>
      </c>
      <c r="C1633" s="10"/>
      <c r="D1633" s="9" t="str">
        <f>IF(F1633="","",_xlfn.XLOOKUP(F1633,purchase!D:D,purchase!#REF!,""))</f>
        <v/>
      </c>
      <c r="E1633" s="9" t="str">
        <f>IF(F1633="","",_xlfn.XLOOKUP(F1633,purchase!D:D,purchase!B:B,""))</f>
        <v/>
      </c>
      <c r="F1633" s="2"/>
      <c r="G1633" s="4" t="str">
        <f t="shared" si="176"/>
        <v/>
      </c>
      <c r="H1633" s="4" t="str">
        <f>IF(F1633="","",_xlfn.XLOOKUP(F1633,purchase!D:D,purchase!#REF!,""))</f>
        <v/>
      </c>
      <c r="I1633" s="4" t="str">
        <f t="shared" si="177"/>
        <v/>
      </c>
      <c r="J1633" s="4" t="str">
        <f t="shared" si="178"/>
        <v/>
      </c>
      <c r="K1633" s="13" t="str">
        <f>_xlfn.SINGLE(IF(F1633="","",_xlfn.XLOOKUP(F1633,purchase!D:D,purchase!#REF!,"")))</f>
        <v/>
      </c>
      <c r="L1633" s="2"/>
      <c r="M1633" s="32"/>
      <c r="N1633" s="13" t="str">
        <f>IF(F1633="","",
MAX(0,
_xlfn.XLOOKUP(F1633,purchase!D:D,purchase!#REF!,"")
-
SUMIFS(L:L,F:F,F1633)))</f>
        <v/>
      </c>
      <c r="O1633" s="13" t="str">
        <f t="shared" si="179"/>
        <v/>
      </c>
      <c r="P1633" s="35" t="str">
        <f>_xlfn.SINGLE(IF(F1633="","",_xlfn.XLOOKUP(F1633,purchase!D:D,purchase!K:K,"")))</f>
        <v/>
      </c>
      <c r="Q1633" s="29" t="str">
        <f t="shared" si="180"/>
        <v/>
      </c>
      <c r="R1633" s="37" t="str">
        <f t="shared" si="181"/>
        <v/>
      </c>
    </row>
    <row r="1634" spans="1:18" x14ac:dyDescent="0.35">
      <c r="A1634" s="8">
        <v>1630</v>
      </c>
      <c r="B1634" s="9" t="str">
        <f t="shared" si="175"/>
        <v/>
      </c>
      <c r="C1634" s="10"/>
      <c r="D1634" s="9" t="str">
        <f>IF(F1634="","",_xlfn.XLOOKUP(F1634,purchase!D:D,purchase!#REF!,""))</f>
        <v/>
      </c>
      <c r="E1634" s="9" t="str">
        <f>IF(F1634="","",_xlfn.XLOOKUP(F1634,purchase!D:D,purchase!B:B,""))</f>
        <v/>
      </c>
      <c r="F1634" s="2"/>
      <c r="G1634" s="4" t="str">
        <f t="shared" si="176"/>
        <v/>
      </c>
      <c r="H1634" s="4" t="str">
        <f>IF(F1634="","",_xlfn.XLOOKUP(F1634,purchase!D:D,purchase!#REF!,""))</f>
        <v/>
      </c>
      <c r="I1634" s="4" t="str">
        <f t="shared" si="177"/>
        <v/>
      </c>
      <c r="J1634" s="4" t="str">
        <f t="shared" si="178"/>
        <v/>
      </c>
      <c r="K1634" s="13" t="str">
        <f>_xlfn.SINGLE(IF(F1634="","",_xlfn.XLOOKUP(F1634,purchase!D:D,purchase!#REF!,"")))</f>
        <v/>
      </c>
      <c r="L1634" s="2"/>
      <c r="M1634" s="32"/>
      <c r="N1634" s="13" t="str">
        <f>IF(F1634="","",
MAX(0,
_xlfn.XLOOKUP(F1634,purchase!D:D,purchase!#REF!,"")
-
SUMIFS(L:L,F:F,F1634)))</f>
        <v/>
      </c>
      <c r="O1634" s="13" t="str">
        <f t="shared" si="179"/>
        <v/>
      </c>
      <c r="P1634" s="35" t="str">
        <f>_xlfn.SINGLE(IF(F1634="","",_xlfn.XLOOKUP(F1634,purchase!D:D,purchase!K:K,"")))</f>
        <v/>
      </c>
      <c r="Q1634" s="29" t="str">
        <f t="shared" si="180"/>
        <v/>
      </c>
      <c r="R1634" s="37" t="str">
        <f t="shared" si="181"/>
        <v/>
      </c>
    </row>
    <row r="1635" spans="1:18" x14ac:dyDescent="0.35">
      <c r="A1635" s="8">
        <v>1631</v>
      </c>
      <c r="B1635" s="9" t="str">
        <f t="shared" si="175"/>
        <v/>
      </c>
      <c r="C1635" s="10"/>
      <c r="D1635" s="9" t="str">
        <f>IF(F1635="","",_xlfn.XLOOKUP(F1635,purchase!D:D,purchase!#REF!,""))</f>
        <v/>
      </c>
      <c r="E1635" s="9" t="str">
        <f>IF(F1635="","",_xlfn.XLOOKUP(F1635,purchase!D:D,purchase!B:B,""))</f>
        <v/>
      </c>
      <c r="F1635" s="2"/>
      <c r="G1635" s="4" t="str">
        <f t="shared" si="176"/>
        <v/>
      </c>
      <c r="H1635" s="4" t="str">
        <f>IF(F1635="","",_xlfn.XLOOKUP(F1635,purchase!D:D,purchase!#REF!,""))</f>
        <v/>
      </c>
      <c r="I1635" s="4" t="str">
        <f t="shared" si="177"/>
        <v/>
      </c>
      <c r="J1635" s="4" t="str">
        <f t="shared" si="178"/>
        <v/>
      </c>
      <c r="K1635" s="13" t="str">
        <f>_xlfn.SINGLE(IF(F1635="","",_xlfn.XLOOKUP(F1635,purchase!D:D,purchase!#REF!,"")))</f>
        <v/>
      </c>
      <c r="L1635" s="2"/>
      <c r="M1635" s="32"/>
      <c r="N1635" s="13" t="str">
        <f>IF(F1635="","",
MAX(0,
_xlfn.XLOOKUP(F1635,purchase!D:D,purchase!#REF!,"")
-
SUMIFS(L:L,F:F,F1635)))</f>
        <v/>
      </c>
      <c r="O1635" s="13" t="str">
        <f t="shared" si="179"/>
        <v/>
      </c>
      <c r="P1635" s="35" t="str">
        <f>_xlfn.SINGLE(IF(F1635="","",_xlfn.XLOOKUP(F1635,purchase!D:D,purchase!K:K,"")))</f>
        <v/>
      </c>
      <c r="Q1635" s="29" t="str">
        <f t="shared" si="180"/>
        <v/>
      </c>
      <c r="R1635" s="37" t="str">
        <f t="shared" si="181"/>
        <v/>
      </c>
    </row>
    <row r="1636" spans="1:18" x14ac:dyDescent="0.35">
      <c r="A1636" s="8">
        <v>1632</v>
      </c>
      <c r="B1636" s="9" t="str">
        <f t="shared" si="175"/>
        <v/>
      </c>
      <c r="C1636" s="10"/>
      <c r="D1636" s="9" t="str">
        <f>IF(F1636="","",_xlfn.XLOOKUP(F1636,purchase!D:D,purchase!#REF!,""))</f>
        <v/>
      </c>
      <c r="E1636" s="9" t="str">
        <f>IF(F1636="","",_xlfn.XLOOKUP(F1636,purchase!D:D,purchase!B:B,""))</f>
        <v/>
      </c>
      <c r="F1636" s="2"/>
      <c r="G1636" s="4" t="str">
        <f t="shared" si="176"/>
        <v/>
      </c>
      <c r="H1636" s="4" t="str">
        <f>IF(F1636="","",_xlfn.XLOOKUP(F1636,purchase!D:D,purchase!#REF!,""))</f>
        <v/>
      </c>
      <c r="I1636" s="4" t="str">
        <f t="shared" si="177"/>
        <v/>
      </c>
      <c r="J1636" s="4" t="str">
        <f t="shared" si="178"/>
        <v/>
      </c>
      <c r="K1636" s="13" t="str">
        <f>_xlfn.SINGLE(IF(F1636="","",_xlfn.XLOOKUP(F1636,purchase!D:D,purchase!#REF!,"")))</f>
        <v/>
      </c>
      <c r="L1636" s="2"/>
      <c r="M1636" s="32"/>
      <c r="N1636" s="13" t="str">
        <f>IF(F1636="","",
MAX(0,
_xlfn.XLOOKUP(F1636,purchase!D:D,purchase!#REF!,"")
-
SUMIFS(L:L,F:F,F1636)))</f>
        <v/>
      </c>
      <c r="O1636" s="13" t="str">
        <f t="shared" si="179"/>
        <v/>
      </c>
      <c r="P1636" s="35" t="str">
        <f>_xlfn.SINGLE(IF(F1636="","",_xlfn.XLOOKUP(F1636,purchase!D:D,purchase!K:K,"")))</f>
        <v/>
      </c>
      <c r="Q1636" s="29" t="str">
        <f t="shared" si="180"/>
        <v/>
      </c>
      <c r="R1636" s="37" t="str">
        <f t="shared" si="181"/>
        <v/>
      </c>
    </row>
    <row r="1637" spans="1:18" x14ac:dyDescent="0.35">
      <c r="A1637" s="8">
        <v>1633</v>
      </c>
      <c r="B1637" s="9" t="str">
        <f t="shared" si="175"/>
        <v/>
      </c>
      <c r="C1637" s="10"/>
      <c r="D1637" s="9" t="str">
        <f>IF(F1637="","",_xlfn.XLOOKUP(F1637,purchase!D:D,purchase!#REF!,""))</f>
        <v/>
      </c>
      <c r="E1637" s="9" t="str">
        <f>IF(F1637="","",_xlfn.XLOOKUP(F1637,purchase!D:D,purchase!B:B,""))</f>
        <v/>
      </c>
      <c r="F1637" s="2"/>
      <c r="G1637" s="4" t="str">
        <f t="shared" si="176"/>
        <v/>
      </c>
      <c r="H1637" s="4" t="str">
        <f>IF(F1637="","",_xlfn.XLOOKUP(F1637,purchase!D:D,purchase!#REF!,""))</f>
        <v/>
      </c>
      <c r="I1637" s="4" t="str">
        <f t="shared" si="177"/>
        <v/>
      </c>
      <c r="J1637" s="4" t="str">
        <f t="shared" si="178"/>
        <v/>
      </c>
      <c r="K1637" s="13" t="str">
        <f>_xlfn.SINGLE(IF(F1637="","",_xlfn.XLOOKUP(F1637,purchase!D:D,purchase!#REF!,"")))</f>
        <v/>
      </c>
      <c r="L1637" s="2"/>
      <c r="M1637" s="32"/>
      <c r="N1637" s="13" t="str">
        <f>IF(F1637="","",
MAX(0,
_xlfn.XLOOKUP(F1637,purchase!D:D,purchase!#REF!,"")
-
SUMIFS(L:L,F:F,F1637)))</f>
        <v/>
      </c>
      <c r="O1637" s="13" t="str">
        <f t="shared" si="179"/>
        <v/>
      </c>
      <c r="P1637" s="35" t="str">
        <f>_xlfn.SINGLE(IF(F1637="","",_xlfn.XLOOKUP(F1637,purchase!D:D,purchase!K:K,"")))</f>
        <v/>
      </c>
      <c r="Q1637" s="29" t="str">
        <f t="shared" si="180"/>
        <v/>
      </c>
      <c r="R1637" s="37" t="str">
        <f t="shared" si="181"/>
        <v/>
      </c>
    </row>
    <row r="1638" spans="1:18" x14ac:dyDescent="0.35">
      <c r="A1638" s="8">
        <v>1634</v>
      </c>
      <c r="B1638" s="9" t="str">
        <f t="shared" si="175"/>
        <v/>
      </c>
      <c r="C1638" s="10"/>
      <c r="D1638" s="9" t="str">
        <f>IF(F1638="","",_xlfn.XLOOKUP(F1638,purchase!D:D,purchase!#REF!,""))</f>
        <v/>
      </c>
      <c r="E1638" s="9" t="str">
        <f>IF(F1638="","",_xlfn.XLOOKUP(F1638,purchase!D:D,purchase!B:B,""))</f>
        <v/>
      </c>
      <c r="F1638" s="2"/>
      <c r="G1638" s="4" t="str">
        <f t="shared" si="176"/>
        <v/>
      </c>
      <c r="H1638" s="4" t="str">
        <f>IF(F1638="","",_xlfn.XLOOKUP(F1638,purchase!D:D,purchase!#REF!,""))</f>
        <v/>
      </c>
      <c r="I1638" s="4" t="str">
        <f t="shared" si="177"/>
        <v/>
      </c>
      <c r="J1638" s="4" t="str">
        <f t="shared" si="178"/>
        <v/>
      </c>
      <c r="K1638" s="13" t="str">
        <f>_xlfn.SINGLE(IF(F1638="","",_xlfn.XLOOKUP(F1638,purchase!D:D,purchase!#REF!,"")))</f>
        <v/>
      </c>
      <c r="L1638" s="2"/>
      <c r="M1638" s="32"/>
      <c r="N1638" s="13" t="str">
        <f>IF(F1638="","",
MAX(0,
_xlfn.XLOOKUP(F1638,purchase!D:D,purchase!#REF!,"")
-
SUMIFS(L:L,F:F,F1638)))</f>
        <v/>
      </c>
      <c r="O1638" s="13" t="str">
        <f t="shared" si="179"/>
        <v/>
      </c>
      <c r="P1638" s="35" t="str">
        <f>_xlfn.SINGLE(IF(F1638="","",_xlfn.XLOOKUP(F1638,purchase!D:D,purchase!K:K,"")))</f>
        <v/>
      </c>
      <c r="Q1638" s="29" t="str">
        <f t="shared" si="180"/>
        <v/>
      </c>
      <c r="R1638" s="37" t="str">
        <f t="shared" si="181"/>
        <v/>
      </c>
    </row>
    <row r="1639" spans="1:18" x14ac:dyDescent="0.35">
      <c r="A1639" s="8">
        <v>1635</v>
      </c>
      <c r="B1639" s="9" t="str">
        <f t="shared" si="175"/>
        <v/>
      </c>
      <c r="C1639" s="10"/>
      <c r="D1639" s="9" t="str">
        <f>IF(F1639="","",_xlfn.XLOOKUP(F1639,purchase!D:D,purchase!#REF!,""))</f>
        <v/>
      </c>
      <c r="E1639" s="9" t="str">
        <f>IF(F1639="","",_xlfn.XLOOKUP(F1639,purchase!D:D,purchase!B:B,""))</f>
        <v/>
      </c>
      <c r="F1639" s="2"/>
      <c r="G1639" s="4" t="str">
        <f t="shared" si="176"/>
        <v/>
      </c>
      <c r="H1639" s="4" t="str">
        <f>IF(F1639="","",_xlfn.XLOOKUP(F1639,purchase!D:D,purchase!#REF!,""))</f>
        <v/>
      </c>
      <c r="I1639" s="4" t="str">
        <f t="shared" si="177"/>
        <v/>
      </c>
      <c r="J1639" s="4" t="str">
        <f t="shared" si="178"/>
        <v/>
      </c>
      <c r="K1639" s="13" t="str">
        <f>_xlfn.SINGLE(IF(F1639="","",_xlfn.XLOOKUP(F1639,purchase!D:D,purchase!#REF!,"")))</f>
        <v/>
      </c>
      <c r="L1639" s="2"/>
      <c r="M1639" s="32"/>
      <c r="N1639" s="13" t="str">
        <f>IF(F1639="","",
MAX(0,
_xlfn.XLOOKUP(F1639,purchase!D:D,purchase!#REF!,"")
-
SUMIFS(L:L,F:F,F1639)))</f>
        <v/>
      </c>
      <c r="O1639" s="13" t="str">
        <f t="shared" si="179"/>
        <v/>
      </c>
      <c r="P1639" s="35" t="str">
        <f>_xlfn.SINGLE(IF(F1639="","",_xlfn.XLOOKUP(F1639,purchase!D:D,purchase!K:K,"")))</f>
        <v/>
      </c>
      <c r="Q1639" s="29" t="str">
        <f t="shared" si="180"/>
        <v/>
      </c>
      <c r="R1639" s="37" t="str">
        <f t="shared" si="181"/>
        <v/>
      </c>
    </row>
    <row r="1640" spans="1:18" x14ac:dyDescent="0.35">
      <c r="A1640" s="8">
        <v>1636</v>
      </c>
      <c r="B1640" s="9" t="str">
        <f t="shared" si="175"/>
        <v/>
      </c>
      <c r="C1640" s="10"/>
      <c r="D1640" s="9" t="str">
        <f>IF(F1640="","",_xlfn.XLOOKUP(F1640,purchase!D:D,purchase!#REF!,""))</f>
        <v/>
      </c>
      <c r="E1640" s="9" t="str">
        <f>IF(F1640="","",_xlfn.XLOOKUP(F1640,purchase!D:D,purchase!B:B,""))</f>
        <v/>
      </c>
      <c r="F1640" s="2"/>
      <c r="G1640" s="4" t="str">
        <f t="shared" si="176"/>
        <v/>
      </c>
      <c r="H1640" s="4" t="str">
        <f>IF(F1640="","",_xlfn.XLOOKUP(F1640,purchase!D:D,purchase!#REF!,""))</f>
        <v/>
      </c>
      <c r="I1640" s="4" t="str">
        <f t="shared" si="177"/>
        <v/>
      </c>
      <c r="J1640" s="4" t="str">
        <f t="shared" si="178"/>
        <v/>
      </c>
      <c r="K1640" s="13" t="str">
        <f>_xlfn.SINGLE(IF(F1640="","",_xlfn.XLOOKUP(F1640,purchase!D:D,purchase!#REF!,"")))</f>
        <v/>
      </c>
      <c r="L1640" s="2"/>
      <c r="M1640" s="32"/>
      <c r="N1640" s="13" t="str">
        <f>IF(F1640="","",
MAX(0,
_xlfn.XLOOKUP(F1640,purchase!D:D,purchase!#REF!,"")
-
SUMIFS(L:L,F:F,F1640)))</f>
        <v/>
      </c>
      <c r="O1640" s="13" t="str">
        <f t="shared" si="179"/>
        <v/>
      </c>
      <c r="P1640" s="35" t="str">
        <f>_xlfn.SINGLE(IF(F1640="","",_xlfn.XLOOKUP(F1640,purchase!D:D,purchase!K:K,"")))</f>
        <v/>
      </c>
      <c r="Q1640" s="29" t="str">
        <f t="shared" si="180"/>
        <v/>
      </c>
      <c r="R1640" s="37" t="str">
        <f t="shared" si="181"/>
        <v/>
      </c>
    </row>
    <row r="1641" spans="1:18" x14ac:dyDescent="0.35">
      <c r="A1641" s="8">
        <v>1637</v>
      </c>
      <c r="B1641" s="9" t="str">
        <f t="shared" si="175"/>
        <v/>
      </c>
      <c r="C1641" s="10"/>
      <c r="D1641" s="9" t="str">
        <f>IF(F1641="","",_xlfn.XLOOKUP(F1641,purchase!D:D,purchase!#REF!,""))</f>
        <v/>
      </c>
      <c r="E1641" s="9" t="str">
        <f>IF(F1641="","",_xlfn.XLOOKUP(F1641,purchase!D:D,purchase!B:B,""))</f>
        <v/>
      </c>
      <c r="F1641" s="2"/>
      <c r="G1641" s="4" t="str">
        <f t="shared" si="176"/>
        <v/>
      </c>
      <c r="H1641" s="4" t="str">
        <f>IF(F1641="","",_xlfn.XLOOKUP(F1641,purchase!D:D,purchase!#REF!,""))</f>
        <v/>
      </c>
      <c r="I1641" s="4" t="str">
        <f t="shared" si="177"/>
        <v/>
      </c>
      <c r="J1641" s="4" t="str">
        <f t="shared" si="178"/>
        <v/>
      </c>
      <c r="K1641" s="13" t="str">
        <f>_xlfn.SINGLE(IF(F1641="","",_xlfn.XLOOKUP(F1641,purchase!D:D,purchase!#REF!,"")))</f>
        <v/>
      </c>
      <c r="L1641" s="2"/>
      <c r="M1641" s="32"/>
      <c r="N1641" s="13" t="str">
        <f>IF(F1641="","",
MAX(0,
_xlfn.XLOOKUP(F1641,purchase!D:D,purchase!#REF!,"")
-
SUMIFS(L:L,F:F,F1641)))</f>
        <v/>
      </c>
      <c r="O1641" s="13" t="str">
        <f t="shared" si="179"/>
        <v/>
      </c>
      <c r="P1641" s="35" t="str">
        <f>_xlfn.SINGLE(IF(F1641="","",_xlfn.XLOOKUP(F1641,purchase!D:D,purchase!K:K,"")))</f>
        <v/>
      </c>
      <c r="Q1641" s="29" t="str">
        <f t="shared" si="180"/>
        <v/>
      </c>
      <c r="R1641" s="37" t="str">
        <f t="shared" si="181"/>
        <v/>
      </c>
    </row>
    <row r="1642" spans="1:18" x14ac:dyDescent="0.35">
      <c r="A1642" s="8">
        <v>1638</v>
      </c>
      <c r="B1642" s="9" t="str">
        <f t="shared" si="175"/>
        <v/>
      </c>
      <c r="C1642" s="10"/>
      <c r="D1642" s="9" t="str">
        <f>IF(F1642="","",_xlfn.XLOOKUP(F1642,purchase!D:D,purchase!#REF!,""))</f>
        <v/>
      </c>
      <c r="E1642" s="9" t="str">
        <f>IF(F1642="","",_xlfn.XLOOKUP(F1642,purchase!D:D,purchase!B:B,""))</f>
        <v/>
      </c>
      <c r="F1642" s="2"/>
      <c r="G1642" s="4" t="str">
        <f t="shared" si="176"/>
        <v/>
      </c>
      <c r="H1642" s="4" t="str">
        <f>IF(F1642="","",_xlfn.XLOOKUP(F1642,purchase!D:D,purchase!#REF!,""))</f>
        <v/>
      </c>
      <c r="I1642" s="4" t="str">
        <f t="shared" si="177"/>
        <v/>
      </c>
      <c r="J1642" s="4" t="str">
        <f t="shared" si="178"/>
        <v/>
      </c>
      <c r="K1642" s="13" t="str">
        <f>_xlfn.SINGLE(IF(F1642="","",_xlfn.XLOOKUP(F1642,purchase!D:D,purchase!#REF!,"")))</f>
        <v/>
      </c>
      <c r="L1642" s="2"/>
      <c r="M1642" s="32"/>
      <c r="N1642" s="13" t="str">
        <f>IF(F1642="","",
MAX(0,
_xlfn.XLOOKUP(F1642,purchase!D:D,purchase!#REF!,"")
-
SUMIFS(L:L,F:F,F1642)))</f>
        <v/>
      </c>
      <c r="O1642" s="13" t="str">
        <f t="shared" si="179"/>
        <v/>
      </c>
      <c r="P1642" s="35" t="str">
        <f>_xlfn.SINGLE(IF(F1642="","",_xlfn.XLOOKUP(F1642,purchase!D:D,purchase!K:K,"")))</f>
        <v/>
      </c>
      <c r="Q1642" s="29" t="str">
        <f t="shared" si="180"/>
        <v/>
      </c>
      <c r="R1642" s="37" t="str">
        <f t="shared" si="181"/>
        <v/>
      </c>
    </row>
    <row r="1643" spans="1:18" x14ac:dyDescent="0.35">
      <c r="A1643" s="8">
        <v>1639</v>
      </c>
      <c r="B1643" s="9" t="str">
        <f t="shared" si="175"/>
        <v/>
      </c>
      <c r="C1643" s="10"/>
      <c r="D1643" s="9" t="str">
        <f>IF(F1643="","",_xlfn.XLOOKUP(F1643,purchase!D:D,purchase!#REF!,""))</f>
        <v/>
      </c>
      <c r="E1643" s="9" t="str">
        <f>IF(F1643="","",_xlfn.XLOOKUP(F1643,purchase!D:D,purchase!B:B,""))</f>
        <v/>
      </c>
      <c r="F1643" s="2"/>
      <c r="G1643" s="4" t="str">
        <f t="shared" si="176"/>
        <v/>
      </c>
      <c r="H1643" s="4" t="str">
        <f>IF(F1643="","",_xlfn.XLOOKUP(F1643,purchase!D:D,purchase!#REF!,""))</f>
        <v/>
      </c>
      <c r="I1643" s="4" t="str">
        <f t="shared" si="177"/>
        <v/>
      </c>
      <c r="J1643" s="4" t="str">
        <f t="shared" si="178"/>
        <v/>
      </c>
      <c r="K1643" s="13" t="str">
        <f>_xlfn.SINGLE(IF(F1643="","",_xlfn.XLOOKUP(F1643,purchase!D:D,purchase!#REF!,"")))</f>
        <v/>
      </c>
      <c r="L1643" s="2"/>
      <c r="M1643" s="32"/>
      <c r="N1643" s="13" t="str">
        <f>IF(F1643="","",
MAX(0,
_xlfn.XLOOKUP(F1643,purchase!D:D,purchase!#REF!,"")
-
SUMIFS(L:L,F:F,F1643)))</f>
        <v/>
      </c>
      <c r="O1643" s="13" t="str">
        <f t="shared" si="179"/>
        <v/>
      </c>
      <c r="P1643" s="35" t="str">
        <f>_xlfn.SINGLE(IF(F1643="","",_xlfn.XLOOKUP(F1643,purchase!D:D,purchase!K:K,"")))</f>
        <v/>
      </c>
      <c r="Q1643" s="29" t="str">
        <f t="shared" si="180"/>
        <v/>
      </c>
      <c r="R1643" s="37" t="str">
        <f t="shared" si="181"/>
        <v/>
      </c>
    </row>
    <row r="1644" spans="1:18" x14ac:dyDescent="0.35">
      <c r="A1644" s="8">
        <v>1640</v>
      </c>
      <c r="B1644" s="9" t="str">
        <f t="shared" si="175"/>
        <v/>
      </c>
      <c r="C1644" s="10"/>
      <c r="D1644" s="9" t="str">
        <f>IF(F1644="","",_xlfn.XLOOKUP(F1644,purchase!D:D,purchase!#REF!,""))</f>
        <v/>
      </c>
      <c r="E1644" s="9" t="str">
        <f>IF(F1644="","",_xlfn.XLOOKUP(F1644,purchase!D:D,purchase!B:B,""))</f>
        <v/>
      </c>
      <c r="F1644" s="2"/>
      <c r="G1644" s="4" t="str">
        <f t="shared" si="176"/>
        <v/>
      </c>
      <c r="H1644" s="4" t="str">
        <f>IF(F1644="","",_xlfn.XLOOKUP(F1644,purchase!D:D,purchase!#REF!,""))</f>
        <v/>
      </c>
      <c r="I1644" s="4" t="str">
        <f t="shared" si="177"/>
        <v/>
      </c>
      <c r="J1644" s="4" t="str">
        <f t="shared" si="178"/>
        <v/>
      </c>
      <c r="K1644" s="13" t="str">
        <f>_xlfn.SINGLE(IF(F1644="","",_xlfn.XLOOKUP(F1644,purchase!D:D,purchase!#REF!,"")))</f>
        <v/>
      </c>
      <c r="L1644" s="2"/>
      <c r="M1644" s="32"/>
      <c r="N1644" s="13" t="str">
        <f>IF(F1644="","",
MAX(0,
_xlfn.XLOOKUP(F1644,purchase!D:D,purchase!#REF!,"")
-
SUMIFS(L:L,F:F,F1644)))</f>
        <v/>
      </c>
      <c r="O1644" s="13" t="str">
        <f t="shared" si="179"/>
        <v/>
      </c>
      <c r="P1644" s="35" t="str">
        <f>_xlfn.SINGLE(IF(F1644="","",_xlfn.XLOOKUP(F1644,purchase!D:D,purchase!K:K,"")))</f>
        <v/>
      </c>
      <c r="Q1644" s="29" t="str">
        <f t="shared" si="180"/>
        <v/>
      </c>
      <c r="R1644" s="37" t="str">
        <f t="shared" si="181"/>
        <v/>
      </c>
    </row>
    <row r="1645" spans="1:18" x14ac:dyDescent="0.35">
      <c r="A1645" s="8">
        <v>1641</v>
      </c>
      <c r="B1645" s="9" t="str">
        <f t="shared" si="175"/>
        <v/>
      </c>
      <c r="C1645" s="10"/>
      <c r="D1645" s="9" t="str">
        <f>IF(F1645="","",_xlfn.XLOOKUP(F1645,purchase!D:D,purchase!#REF!,""))</f>
        <v/>
      </c>
      <c r="E1645" s="9" t="str">
        <f>IF(F1645="","",_xlfn.XLOOKUP(F1645,purchase!D:D,purchase!B:B,""))</f>
        <v/>
      </c>
      <c r="F1645" s="2"/>
      <c r="G1645" s="4" t="str">
        <f t="shared" si="176"/>
        <v/>
      </c>
      <c r="H1645" s="4" t="str">
        <f>IF(F1645="","",_xlfn.XLOOKUP(F1645,purchase!D:D,purchase!#REF!,""))</f>
        <v/>
      </c>
      <c r="I1645" s="4" t="str">
        <f t="shared" si="177"/>
        <v/>
      </c>
      <c r="J1645" s="4" t="str">
        <f t="shared" si="178"/>
        <v/>
      </c>
      <c r="K1645" s="13" t="str">
        <f>_xlfn.SINGLE(IF(F1645="","",_xlfn.XLOOKUP(F1645,purchase!D:D,purchase!#REF!,"")))</f>
        <v/>
      </c>
      <c r="L1645" s="2"/>
      <c r="M1645" s="32"/>
      <c r="N1645" s="13" t="str">
        <f>IF(F1645="","",
MAX(0,
_xlfn.XLOOKUP(F1645,purchase!D:D,purchase!#REF!,"")
-
SUMIFS(L:L,F:F,F1645)))</f>
        <v/>
      </c>
      <c r="O1645" s="13" t="str">
        <f t="shared" si="179"/>
        <v/>
      </c>
      <c r="P1645" s="35" t="str">
        <f>_xlfn.SINGLE(IF(F1645="","",_xlfn.XLOOKUP(F1645,purchase!D:D,purchase!K:K,"")))</f>
        <v/>
      </c>
      <c r="Q1645" s="29" t="str">
        <f t="shared" si="180"/>
        <v/>
      </c>
      <c r="R1645" s="37" t="str">
        <f t="shared" si="181"/>
        <v/>
      </c>
    </row>
    <row r="1646" spans="1:18" x14ac:dyDescent="0.35">
      <c r="A1646" s="8">
        <v>1642</v>
      </c>
      <c r="B1646" s="9" t="str">
        <f t="shared" si="175"/>
        <v/>
      </c>
      <c r="C1646" s="10"/>
      <c r="D1646" s="9" t="str">
        <f>IF(F1646="","",_xlfn.XLOOKUP(F1646,purchase!D:D,purchase!#REF!,""))</f>
        <v/>
      </c>
      <c r="E1646" s="9" t="str">
        <f>IF(F1646="","",_xlfn.XLOOKUP(F1646,purchase!D:D,purchase!B:B,""))</f>
        <v/>
      </c>
      <c r="F1646" s="2"/>
      <c r="G1646" s="4" t="str">
        <f t="shared" si="176"/>
        <v/>
      </c>
      <c r="H1646" s="4" t="str">
        <f>IF(F1646="","",_xlfn.XLOOKUP(F1646,purchase!D:D,purchase!#REF!,""))</f>
        <v/>
      </c>
      <c r="I1646" s="4" t="str">
        <f t="shared" si="177"/>
        <v/>
      </c>
      <c r="J1646" s="4" t="str">
        <f t="shared" si="178"/>
        <v/>
      </c>
      <c r="K1646" s="13" t="str">
        <f>_xlfn.SINGLE(IF(F1646="","",_xlfn.XLOOKUP(F1646,purchase!D:D,purchase!#REF!,"")))</f>
        <v/>
      </c>
      <c r="L1646" s="2"/>
      <c r="M1646" s="32"/>
      <c r="N1646" s="13" t="str">
        <f>IF(F1646="","",
MAX(0,
_xlfn.XLOOKUP(F1646,purchase!D:D,purchase!#REF!,"")
-
SUMIFS(L:L,F:F,F1646)))</f>
        <v/>
      </c>
      <c r="O1646" s="13" t="str">
        <f t="shared" si="179"/>
        <v/>
      </c>
      <c r="P1646" s="35" t="str">
        <f>_xlfn.SINGLE(IF(F1646="","",_xlfn.XLOOKUP(F1646,purchase!D:D,purchase!K:K,"")))</f>
        <v/>
      </c>
      <c r="Q1646" s="29" t="str">
        <f t="shared" si="180"/>
        <v/>
      </c>
      <c r="R1646" s="37" t="str">
        <f t="shared" si="181"/>
        <v/>
      </c>
    </row>
    <row r="1647" spans="1:18" x14ac:dyDescent="0.35">
      <c r="A1647" s="8">
        <v>1643</v>
      </c>
      <c r="B1647" s="9" t="str">
        <f t="shared" si="175"/>
        <v/>
      </c>
      <c r="C1647" s="10"/>
      <c r="D1647" s="9" t="str">
        <f>IF(F1647="","",_xlfn.XLOOKUP(F1647,purchase!D:D,purchase!#REF!,""))</f>
        <v/>
      </c>
      <c r="E1647" s="9" t="str">
        <f>IF(F1647="","",_xlfn.XLOOKUP(F1647,purchase!D:D,purchase!B:B,""))</f>
        <v/>
      </c>
      <c r="F1647" s="2"/>
      <c r="G1647" s="4" t="str">
        <f t="shared" si="176"/>
        <v/>
      </c>
      <c r="H1647" s="4" t="str">
        <f>IF(F1647="","",_xlfn.XLOOKUP(F1647,purchase!D:D,purchase!#REF!,""))</f>
        <v/>
      </c>
      <c r="I1647" s="4" t="str">
        <f t="shared" si="177"/>
        <v/>
      </c>
      <c r="J1647" s="4" t="str">
        <f t="shared" si="178"/>
        <v/>
      </c>
      <c r="K1647" s="13" t="str">
        <f>_xlfn.SINGLE(IF(F1647="","",_xlfn.XLOOKUP(F1647,purchase!D:D,purchase!#REF!,"")))</f>
        <v/>
      </c>
      <c r="L1647" s="2"/>
      <c r="M1647" s="32"/>
      <c r="N1647" s="13" t="str">
        <f>IF(F1647="","",
MAX(0,
_xlfn.XLOOKUP(F1647,purchase!D:D,purchase!#REF!,"")
-
SUMIFS(L:L,F:F,F1647)))</f>
        <v/>
      </c>
      <c r="O1647" s="13" t="str">
        <f t="shared" si="179"/>
        <v/>
      </c>
      <c r="P1647" s="35" t="str">
        <f>_xlfn.SINGLE(IF(F1647="","",_xlfn.XLOOKUP(F1647,purchase!D:D,purchase!K:K,"")))</f>
        <v/>
      </c>
      <c r="Q1647" s="29" t="str">
        <f t="shared" si="180"/>
        <v/>
      </c>
      <c r="R1647" s="37" t="str">
        <f t="shared" si="181"/>
        <v/>
      </c>
    </row>
    <row r="1648" spans="1:18" x14ac:dyDescent="0.35">
      <c r="A1648" s="8">
        <v>1644</v>
      </c>
      <c r="B1648" s="9" t="str">
        <f t="shared" si="175"/>
        <v/>
      </c>
      <c r="C1648" s="10"/>
      <c r="D1648" s="9" t="str">
        <f>IF(F1648="","",_xlfn.XLOOKUP(F1648,purchase!D:D,purchase!#REF!,""))</f>
        <v/>
      </c>
      <c r="E1648" s="9" t="str">
        <f>IF(F1648="","",_xlfn.XLOOKUP(F1648,purchase!D:D,purchase!B:B,""))</f>
        <v/>
      </c>
      <c r="F1648" s="2"/>
      <c r="G1648" s="4" t="str">
        <f t="shared" si="176"/>
        <v/>
      </c>
      <c r="H1648" s="4" t="str">
        <f>IF(F1648="","",_xlfn.XLOOKUP(F1648,purchase!D:D,purchase!#REF!,""))</f>
        <v/>
      </c>
      <c r="I1648" s="4" t="str">
        <f t="shared" si="177"/>
        <v/>
      </c>
      <c r="J1648" s="4" t="str">
        <f t="shared" si="178"/>
        <v/>
      </c>
      <c r="K1648" s="13" t="str">
        <f>_xlfn.SINGLE(IF(F1648="","",_xlfn.XLOOKUP(F1648,purchase!D:D,purchase!#REF!,"")))</f>
        <v/>
      </c>
      <c r="L1648" s="2"/>
      <c r="M1648" s="32"/>
      <c r="N1648" s="13" t="str">
        <f>IF(F1648="","",
MAX(0,
_xlfn.XLOOKUP(F1648,purchase!D:D,purchase!#REF!,"")
-
SUMIFS(L:L,F:F,F1648)))</f>
        <v/>
      </c>
      <c r="O1648" s="13" t="str">
        <f t="shared" si="179"/>
        <v/>
      </c>
      <c r="P1648" s="35" t="str">
        <f>_xlfn.SINGLE(IF(F1648="","",_xlfn.XLOOKUP(F1648,purchase!D:D,purchase!K:K,"")))</f>
        <v/>
      </c>
      <c r="Q1648" s="29" t="str">
        <f t="shared" si="180"/>
        <v/>
      </c>
      <c r="R1648" s="37" t="str">
        <f t="shared" si="181"/>
        <v/>
      </c>
    </row>
    <row r="1649" spans="1:18" x14ac:dyDescent="0.35">
      <c r="A1649" s="8">
        <v>1645</v>
      </c>
      <c r="B1649" s="9" t="str">
        <f t="shared" si="175"/>
        <v/>
      </c>
      <c r="C1649" s="10"/>
      <c r="D1649" s="9" t="str">
        <f>IF(F1649="","",_xlfn.XLOOKUP(F1649,purchase!D:D,purchase!#REF!,""))</f>
        <v/>
      </c>
      <c r="E1649" s="9" t="str">
        <f>IF(F1649="","",_xlfn.XLOOKUP(F1649,purchase!D:D,purchase!B:B,""))</f>
        <v/>
      </c>
      <c r="F1649" s="2"/>
      <c r="G1649" s="4" t="str">
        <f t="shared" si="176"/>
        <v/>
      </c>
      <c r="H1649" s="4" t="str">
        <f>IF(F1649="","",_xlfn.XLOOKUP(F1649,purchase!D:D,purchase!#REF!,""))</f>
        <v/>
      </c>
      <c r="I1649" s="4" t="str">
        <f t="shared" si="177"/>
        <v/>
      </c>
      <c r="J1649" s="4" t="str">
        <f t="shared" si="178"/>
        <v/>
      </c>
      <c r="K1649" s="13" t="str">
        <f>_xlfn.SINGLE(IF(F1649="","",_xlfn.XLOOKUP(F1649,purchase!D:D,purchase!#REF!,"")))</f>
        <v/>
      </c>
      <c r="L1649" s="2"/>
      <c r="M1649" s="32"/>
      <c r="N1649" s="13" t="str">
        <f>IF(F1649="","",
MAX(0,
_xlfn.XLOOKUP(F1649,purchase!D:D,purchase!#REF!,"")
-
SUMIFS(L:L,F:F,F1649)))</f>
        <v/>
      </c>
      <c r="O1649" s="13" t="str">
        <f t="shared" si="179"/>
        <v/>
      </c>
      <c r="P1649" s="35" t="str">
        <f>_xlfn.SINGLE(IF(F1649="","",_xlfn.XLOOKUP(F1649,purchase!D:D,purchase!K:K,"")))</f>
        <v/>
      </c>
      <c r="Q1649" s="29" t="str">
        <f t="shared" si="180"/>
        <v/>
      </c>
      <c r="R1649" s="37" t="str">
        <f t="shared" si="181"/>
        <v/>
      </c>
    </row>
    <row r="1650" spans="1:18" x14ac:dyDescent="0.35">
      <c r="A1650" s="8">
        <v>1646</v>
      </c>
      <c r="B1650" s="9" t="str">
        <f t="shared" si="175"/>
        <v/>
      </c>
      <c r="C1650" s="10"/>
      <c r="D1650" s="9" t="str">
        <f>IF(F1650="","",_xlfn.XLOOKUP(F1650,purchase!D:D,purchase!#REF!,""))</f>
        <v/>
      </c>
      <c r="E1650" s="9" t="str">
        <f>IF(F1650="","",_xlfn.XLOOKUP(F1650,purchase!D:D,purchase!B:B,""))</f>
        <v/>
      </c>
      <c r="F1650" s="2"/>
      <c r="G1650" s="4" t="str">
        <f t="shared" si="176"/>
        <v/>
      </c>
      <c r="H1650" s="4" t="str">
        <f>IF(F1650="","",_xlfn.XLOOKUP(F1650,purchase!D:D,purchase!#REF!,""))</f>
        <v/>
      </c>
      <c r="I1650" s="4" t="str">
        <f t="shared" si="177"/>
        <v/>
      </c>
      <c r="J1650" s="4" t="str">
        <f t="shared" si="178"/>
        <v/>
      </c>
      <c r="K1650" s="13" t="str">
        <f>_xlfn.SINGLE(IF(F1650="","",_xlfn.XLOOKUP(F1650,purchase!D:D,purchase!#REF!,"")))</f>
        <v/>
      </c>
      <c r="L1650" s="2"/>
      <c r="M1650" s="32"/>
      <c r="N1650" s="13" t="str">
        <f>IF(F1650="","",
MAX(0,
_xlfn.XLOOKUP(F1650,purchase!D:D,purchase!#REF!,"")
-
SUMIFS(L:L,F:F,F1650)))</f>
        <v/>
      </c>
      <c r="O1650" s="13" t="str">
        <f t="shared" si="179"/>
        <v/>
      </c>
      <c r="P1650" s="35" t="str">
        <f>_xlfn.SINGLE(IF(F1650="","",_xlfn.XLOOKUP(F1650,purchase!D:D,purchase!K:K,"")))</f>
        <v/>
      </c>
      <c r="Q1650" s="29" t="str">
        <f t="shared" si="180"/>
        <v/>
      </c>
      <c r="R1650" s="37" t="str">
        <f t="shared" si="181"/>
        <v/>
      </c>
    </row>
    <row r="1651" spans="1:18" x14ac:dyDescent="0.35">
      <c r="A1651" s="8">
        <v>1647</v>
      </c>
      <c r="B1651" s="9" t="str">
        <f t="shared" si="175"/>
        <v/>
      </c>
      <c r="C1651" s="10"/>
      <c r="D1651" s="9" t="str">
        <f>IF(F1651="","",_xlfn.XLOOKUP(F1651,purchase!D:D,purchase!#REF!,""))</f>
        <v/>
      </c>
      <c r="E1651" s="9" t="str">
        <f>IF(F1651="","",_xlfn.XLOOKUP(F1651,purchase!D:D,purchase!B:B,""))</f>
        <v/>
      </c>
      <c r="F1651" s="2"/>
      <c r="G1651" s="4" t="str">
        <f t="shared" si="176"/>
        <v/>
      </c>
      <c r="H1651" s="4" t="str">
        <f>IF(F1651="","",_xlfn.XLOOKUP(F1651,purchase!D:D,purchase!#REF!,""))</f>
        <v/>
      </c>
      <c r="I1651" s="4" t="str">
        <f t="shared" si="177"/>
        <v/>
      </c>
      <c r="J1651" s="4" t="str">
        <f t="shared" si="178"/>
        <v/>
      </c>
      <c r="K1651" s="13" t="str">
        <f>_xlfn.SINGLE(IF(F1651="","",_xlfn.XLOOKUP(F1651,purchase!D:D,purchase!#REF!,"")))</f>
        <v/>
      </c>
      <c r="L1651" s="2"/>
      <c r="M1651" s="32"/>
      <c r="N1651" s="13" t="str">
        <f>IF(F1651="","",
MAX(0,
_xlfn.XLOOKUP(F1651,purchase!D:D,purchase!#REF!,"")
-
SUMIFS(L:L,F:F,F1651)))</f>
        <v/>
      </c>
      <c r="O1651" s="13" t="str">
        <f t="shared" si="179"/>
        <v/>
      </c>
      <c r="P1651" s="35" t="str">
        <f>_xlfn.SINGLE(IF(F1651="","",_xlfn.XLOOKUP(F1651,purchase!D:D,purchase!K:K,"")))</f>
        <v/>
      </c>
      <c r="Q1651" s="29" t="str">
        <f t="shared" si="180"/>
        <v/>
      </c>
      <c r="R1651" s="37" t="str">
        <f t="shared" si="181"/>
        <v/>
      </c>
    </row>
    <row r="1652" spans="1:18" x14ac:dyDescent="0.35">
      <c r="A1652" s="8">
        <v>1648</v>
      </c>
      <c r="B1652" s="9" t="str">
        <f t="shared" si="175"/>
        <v/>
      </c>
      <c r="C1652" s="10"/>
      <c r="D1652" s="9" t="str">
        <f>IF(F1652="","",_xlfn.XLOOKUP(F1652,purchase!D:D,purchase!#REF!,""))</f>
        <v/>
      </c>
      <c r="E1652" s="9" t="str">
        <f>IF(F1652="","",_xlfn.XLOOKUP(F1652,purchase!D:D,purchase!B:B,""))</f>
        <v/>
      </c>
      <c r="F1652" s="2"/>
      <c r="G1652" s="4" t="str">
        <f t="shared" si="176"/>
        <v/>
      </c>
      <c r="H1652" s="4" t="str">
        <f>IF(F1652="","",_xlfn.XLOOKUP(F1652,purchase!D:D,purchase!#REF!,""))</f>
        <v/>
      </c>
      <c r="I1652" s="4" t="str">
        <f t="shared" si="177"/>
        <v/>
      </c>
      <c r="J1652" s="4" t="str">
        <f t="shared" si="178"/>
        <v/>
      </c>
      <c r="K1652" s="13" t="str">
        <f>_xlfn.SINGLE(IF(F1652="","",_xlfn.XLOOKUP(F1652,purchase!D:D,purchase!#REF!,"")))</f>
        <v/>
      </c>
      <c r="L1652" s="2"/>
      <c r="M1652" s="32"/>
      <c r="N1652" s="13" t="str">
        <f>IF(F1652="","",
MAX(0,
_xlfn.XLOOKUP(F1652,purchase!D:D,purchase!#REF!,"")
-
SUMIFS(L:L,F:F,F1652)))</f>
        <v/>
      </c>
      <c r="O1652" s="13" t="str">
        <f t="shared" si="179"/>
        <v/>
      </c>
      <c r="P1652" s="35" t="str">
        <f>_xlfn.SINGLE(IF(F1652="","",_xlfn.XLOOKUP(F1652,purchase!D:D,purchase!K:K,"")))</f>
        <v/>
      </c>
      <c r="Q1652" s="29" t="str">
        <f t="shared" si="180"/>
        <v/>
      </c>
      <c r="R1652" s="37" t="str">
        <f t="shared" si="181"/>
        <v/>
      </c>
    </row>
    <row r="1653" spans="1:18" x14ac:dyDescent="0.35">
      <c r="A1653" s="8">
        <v>1649</v>
      </c>
      <c r="B1653" s="9" t="str">
        <f t="shared" si="175"/>
        <v/>
      </c>
      <c r="C1653" s="10"/>
      <c r="D1653" s="9" t="str">
        <f>IF(F1653="","",_xlfn.XLOOKUP(F1653,purchase!D:D,purchase!#REF!,""))</f>
        <v/>
      </c>
      <c r="E1653" s="9" t="str">
        <f>IF(F1653="","",_xlfn.XLOOKUP(F1653,purchase!D:D,purchase!B:B,""))</f>
        <v/>
      </c>
      <c r="F1653" s="2"/>
      <c r="G1653" s="4" t="str">
        <f t="shared" si="176"/>
        <v/>
      </c>
      <c r="H1653" s="4" t="str">
        <f>IF(F1653="","",_xlfn.XLOOKUP(F1653,purchase!D:D,purchase!#REF!,""))</f>
        <v/>
      </c>
      <c r="I1653" s="4" t="str">
        <f t="shared" si="177"/>
        <v/>
      </c>
      <c r="J1653" s="4" t="str">
        <f t="shared" si="178"/>
        <v/>
      </c>
      <c r="K1653" s="13" t="str">
        <f>_xlfn.SINGLE(IF(F1653="","",_xlfn.XLOOKUP(F1653,purchase!D:D,purchase!#REF!,"")))</f>
        <v/>
      </c>
      <c r="L1653" s="2"/>
      <c r="M1653" s="32"/>
      <c r="N1653" s="13" t="str">
        <f>IF(F1653="","",
MAX(0,
_xlfn.XLOOKUP(F1653,purchase!D:D,purchase!#REF!,"")
-
SUMIFS(L:L,F:F,F1653)))</f>
        <v/>
      </c>
      <c r="O1653" s="13" t="str">
        <f t="shared" si="179"/>
        <v/>
      </c>
      <c r="P1653" s="35" t="str">
        <f>_xlfn.SINGLE(IF(F1653="","",_xlfn.XLOOKUP(F1653,purchase!D:D,purchase!K:K,"")))</f>
        <v/>
      </c>
      <c r="Q1653" s="29" t="str">
        <f t="shared" si="180"/>
        <v/>
      </c>
      <c r="R1653" s="37" t="str">
        <f t="shared" si="181"/>
        <v/>
      </c>
    </row>
    <row r="1654" spans="1:18" x14ac:dyDescent="0.35">
      <c r="A1654" s="8">
        <v>1650</v>
      </c>
      <c r="B1654" s="9" t="str">
        <f t="shared" si="175"/>
        <v/>
      </c>
      <c r="C1654" s="10"/>
      <c r="D1654" s="9" t="str">
        <f>IF(F1654="","",_xlfn.XLOOKUP(F1654,purchase!D:D,purchase!#REF!,""))</f>
        <v/>
      </c>
      <c r="E1654" s="9" t="str">
        <f>IF(F1654="","",_xlfn.XLOOKUP(F1654,purchase!D:D,purchase!B:B,""))</f>
        <v/>
      </c>
      <c r="F1654" s="2"/>
      <c r="G1654" s="4" t="str">
        <f t="shared" si="176"/>
        <v/>
      </c>
      <c r="H1654" s="4" t="str">
        <f>IF(F1654="","",_xlfn.XLOOKUP(F1654,purchase!D:D,purchase!#REF!,""))</f>
        <v/>
      </c>
      <c r="I1654" s="4" t="str">
        <f t="shared" si="177"/>
        <v/>
      </c>
      <c r="J1654" s="4" t="str">
        <f t="shared" si="178"/>
        <v/>
      </c>
      <c r="K1654" s="13" t="str">
        <f>_xlfn.SINGLE(IF(F1654="","",_xlfn.XLOOKUP(F1654,purchase!D:D,purchase!#REF!,"")))</f>
        <v/>
      </c>
      <c r="L1654" s="2"/>
      <c r="M1654" s="32"/>
      <c r="N1654" s="13" t="str">
        <f>IF(F1654="","",
MAX(0,
_xlfn.XLOOKUP(F1654,purchase!D:D,purchase!#REF!,"")
-
SUMIFS(L:L,F:F,F1654)))</f>
        <v/>
      </c>
      <c r="O1654" s="13" t="str">
        <f t="shared" si="179"/>
        <v/>
      </c>
      <c r="P1654" s="35" t="str">
        <f>_xlfn.SINGLE(IF(F1654="","",_xlfn.XLOOKUP(F1654,purchase!D:D,purchase!K:K,"")))</f>
        <v/>
      </c>
      <c r="Q1654" s="29" t="str">
        <f t="shared" si="180"/>
        <v/>
      </c>
      <c r="R1654" s="37" t="str">
        <f t="shared" si="181"/>
        <v/>
      </c>
    </row>
    <row r="1655" spans="1:18" x14ac:dyDescent="0.35">
      <c r="A1655" s="8">
        <v>1651</v>
      </c>
      <c r="B1655" s="9" t="str">
        <f t="shared" si="175"/>
        <v/>
      </c>
      <c r="C1655" s="10"/>
      <c r="D1655" s="9" t="str">
        <f>IF(F1655="","",_xlfn.XLOOKUP(F1655,purchase!D:D,purchase!#REF!,""))</f>
        <v/>
      </c>
      <c r="E1655" s="9" t="str">
        <f>IF(F1655="","",_xlfn.XLOOKUP(F1655,purchase!D:D,purchase!B:B,""))</f>
        <v/>
      </c>
      <c r="F1655" s="2"/>
      <c r="G1655" s="4" t="str">
        <f t="shared" si="176"/>
        <v/>
      </c>
      <c r="H1655" s="4" t="str">
        <f>IF(F1655="","",_xlfn.XLOOKUP(F1655,purchase!D:D,purchase!#REF!,""))</f>
        <v/>
      </c>
      <c r="I1655" s="4" t="str">
        <f t="shared" si="177"/>
        <v/>
      </c>
      <c r="J1655" s="4" t="str">
        <f t="shared" si="178"/>
        <v/>
      </c>
      <c r="K1655" s="13" t="str">
        <f>_xlfn.SINGLE(IF(F1655="","",_xlfn.XLOOKUP(F1655,purchase!D:D,purchase!#REF!,"")))</f>
        <v/>
      </c>
      <c r="L1655" s="2"/>
      <c r="M1655" s="32"/>
      <c r="N1655" s="13" t="str">
        <f>IF(F1655="","",
MAX(0,
_xlfn.XLOOKUP(F1655,purchase!D:D,purchase!#REF!,"")
-
SUMIFS(L:L,F:F,F1655)))</f>
        <v/>
      </c>
      <c r="O1655" s="13" t="str">
        <f t="shared" si="179"/>
        <v/>
      </c>
      <c r="P1655" s="35" t="str">
        <f>_xlfn.SINGLE(IF(F1655="","",_xlfn.XLOOKUP(F1655,purchase!D:D,purchase!K:K,"")))</f>
        <v/>
      </c>
      <c r="Q1655" s="29" t="str">
        <f t="shared" si="180"/>
        <v/>
      </c>
      <c r="R1655" s="37" t="str">
        <f t="shared" si="181"/>
        <v/>
      </c>
    </row>
    <row r="1656" spans="1:18" x14ac:dyDescent="0.35">
      <c r="A1656" s="8">
        <v>1652</v>
      </c>
      <c r="B1656" s="9" t="str">
        <f t="shared" si="175"/>
        <v/>
      </c>
      <c r="C1656" s="10"/>
      <c r="D1656" s="9" t="str">
        <f>IF(F1656="","",_xlfn.XLOOKUP(F1656,purchase!D:D,purchase!#REF!,""))</f>
        <v/>
      </c>
      <c r="E1656" s="9" t="str">
        <f>IF(F1656="","",_xlfn.XLOOKUP(F1656,purchase!D:D,purchase!B:B,""))</f>
        <v/>
      </c>
      <c r="F1656" s="2"/>
      <c r="G1656" s="4" t="str">
        <f t="shared" si="176"/>
        <v/>
      </c>
      <c r="H1656" s="4" t="str">
        <f>IF(F1656="","",_xlfn.XLOOKUP(F1656,purchase!D:D,purchase!#REF!,""))</f>
        <v/>
      </c>
      <c r="I1656" s="4" t="str">
        <f t="shared" si="177"/>
        <v/>
      </c>
      <c r="J1656" s="4" t="str">
        <f t="shared" si="178"/>
        <v/>
      </c>
      <c r="K1656" s="13" t="str">
        <f>_xlfn.SINGLE(IF(F1656="","",_xlfn.XLOOKUP(F1656,purchase!D:D,purchase!#REF!,"")))</f>
        <v/>
      </c>
      <c r="L1656" s="2"/>
      <c r="M1656" s="32"/>
      <c r="N1656" s="13" t="str">
        <f>IF(F1656="","",
MAX(0,
_xlfn.XLOOKUP(F1656,purchase!D:D,purchase!#REF!,"")
-
SUMIFS(L:L,F:F,F1656)))</f>
        <v/>
      </c>
      <c r="O1656" s="13" t="str">
        <f t="shared" si="179"/>
        <v/>
      </c>
      <c r="P1656" s="35" t="str">
        <f>_xlfn.SINGLE(IF(F1656="","",_xlfn.XLOOKUP(F1656,purchase!D:D,purchase!K:K,"")))</f>
        <v/>
      </c>
      <c r="Q1656" s="29" t="str">
        <f t="shared" si="180"/>
        <v/>
      </c>
      <c r="R1656" s="37" t="str">
        <f t="shared" si="181"/>
        <v/>
      </c>
    </row>
    <row r="1657" spans="1:18" x14ac:dyDescent="0.35">
      <c r="A1657" s="8">
        <v>1653</v>
      </c>
      <c r="B1657" s="9" t="str">
        <f t="shared" si="175"/>
        <v/>
      </c>
      <c r="C1657" s="10"/>
      <c r="D1657" s="9" t="str">
        <f>IF(F1657="","",_xlfn.XLOOKUP(F1657,purchase!D:D,purchase!#REF!,""))</f>
        <v/>
      </c>
      <c r="E1657" s="9" t="str">
        <f>IF(F1657="","",_xlfn.XLOOKUP(F1657,purchase!D:D,purchase!B:B,""))</f>
        <v/>
      </c>
      <c r="F1657" s="2"/>
      <c r="G1657" s="4" t="str">
        <f t="shared" si="176"/>
        <v/>
      </c>
      <c r="H1657" s="4" t="str">
        <f>IF(F1657="","",_xlfn.XLOOKUP(F1657,purchase!D:D,purchase!#REF!,""))</f>
        <v/>
      </c>
      <c r="I1657" s="4" t="str">
        <f t="shared" si="177"/>
        <v/>
      </c>
      <c r="J1657" s="4" t="str">
        <f t="shared" si="178"/>
        <v/>
      </c>
      <c r="K1657" s="13" t="str">
        <f>_xlfn.SINGLE(IF(F1657="","",_xlfn.XLOOKUP(F1657,purchase!D:D,purchase!#REF!,"")))</f>
        <v/>
      </c>
      <c r="L1657" s="2"/>
      <c r="M1657" s="32"/>
      <c r="N1657" s="13" t="str">
        <f>IF(F1657="","",
MAX(0,
_xlfn.XLOOKUP(F1657,purchase!D:D,purchase!#REF!,"")
-
SUMIFS(L:L,F:F,F1657)))</f>
        <v/>
      </c>
      <c r="O1657" s="13" t="str">
        <f t="shared" si="179"/>
        <v/>
      </c>
      <c r="P1657" s="35" t="str">
        <f>_xlfn.SINGLE(IF(F1657="","",_xlfn.XLOOKUP(F1657,purchase!D:D,purchase!K:K,"")))</f>
        <v/>
      </c>
      <c r="Q1657" s="29" t="str">
        <f t="shared" si="180"/>
        <v/>
      </c>
      <c r="R1657" s="37" t="str">
        <f t="shared" si="181"/>
        <v/>
      </c>
    </row>
    <row r="1658" spans="1:18" x14ac:dyDescent="0.35">
      <c r="A1658" s="8">
        <v>1654</v>
      </c>
      <c r="B1658" s="9" t="str">
        <f t="shared" si="175"/>
        <v/>
      </c>
      <c r="C1658" s="10"/>
      <c r="D1658" s="9" t="str">
        <f>IF(F1658="","",_xlfn.XLOOKUP(F1658,purchase!D:D,purchase!#REF!,""))</f>
        <v/>
      </c>
      <c r="E1658" s="9" t="str">
        <f>IF(F1658="","",_xlfn.XLOOKUP(F1658,purchase!D:D,purchase!B:B,""))</f>
        <v/>
      </c>
      <c r="F1658" s="2"/>
      <c r="G1658" s="4" t="str">
        <f t="shared" si="176"/>
        <v/>
      </c>
      <c r="H1658" s="4" t="str">
        <f>IF(F1658="","",_xlfn.XLOOKUP(F1658,purchase!D:D,purchase!#REF!,""))</f>
        <v/>
      </c>
      <c r="I1658" s="4" t="str">
        <f t="shared" si="177"/>
        <v/>
      </c>
      <c r="J1658" s="4" t="str">
        <f t="shared" si="178"/>
        <v/>
      </c>
      <c r="K1658" s="13" t="str">
        <f>_xlfn.SINGLE(IF(F1658="","",_xlfn.XLOOKUP(F1658,purchase!D:D,purchase!#REF!,"")))</f>
        <v/>
      </c>
      <c r="L1658" s="2"/>
      <c r="M1658" s="32"/>
      <c r="N1658" s="13" t="str">
        <f>IF(F1658="","",
MAX(0,
_xlfn.XLOOKUP(F1658,purchase!D:D,purchase!#REF!,"")
-
SUMIFS(L:L,F:F,F1658)))</f>
        <v/>
      </c>
      <c r="O1658" s="13" t="str">
        <f t="shared" si="179"/>
        <v/>
      </c>
      <c r="P1658" s="35" t="str">
        <f>_xlfn.SINGLE(IF(F1658="","",_xlfn.XLOOKUP(F1658,purchase!D:D,purchase!K:K,"")))</f>
        <v/>
      </c>
      <c r="Q1658" s="29" t="str">
        <f t="shared" si="180"/>
        <v/>
      </c>
      <c r="R1658" s="37" t="str">
        <f t="shared" si="181"/>
        <v/>
      </c>
    </row>
    <row r="1659" spans="1:18" x14ac:dyDescent="0.35">
      <c r="A1659" s="8">
        <v>1655</v>
      </c>
      <c r="B1659" s="9" t="str">
        <f t="shared" si="175"/>
        <v/>
      </c>
      <c r="C1659" s="10"/>
      <c r="D1659" s="9" t="str">
        <f>IF(F1659="","",_xlfn.XLOOKUP(F1659,purchase!D:D,purchase!#REF!,""))</f>
        <v/>
      </c>
      <c r="E1659" s="9" t="str">
        <f>IF(F1659="","",_xlfn.XLOOKUP(F1659,purchase!D:D,purchase!B:B,""))</f>
        <v/>
      </c>
      <c r="F1659" s="2"/>
      <c r="G1659" s="4" t="str">
        <f t="shared" si="176"/>
        <v/>
      </c>
      <c r="H1659" s="4" t="str">
        <f>IF(F1659="","",_xlfn.XLOOKUP(F1659,purchase!D:D,purchase!#REF!,""))</f>
        <v/>
      </c>
      <c r="I1659" s="4" t="str">
        <f t="shared" si="177"/>
        <v/>
      </c>
      <c r="J1659" s="4" t="str">
        <f t="shared" si="178"/>
        <v/>
      </c>
      <c r="K1659" s="13" t="str">
        <f>_xlfn.SINGLE(IF(F1659="","",_xlfn.XLOOKUP(F1659,purchase!D:D,purchase!#REF!,"")))</f>
        <v/>
      </c>
      <c r="L1659" s="2"/>
      <c r="M1659" s="32"/>
      <c r="N1659" s="13" t="str">
        <f>IF(F1659="","",
MAX(0,
_xlfn.XLOOKUP(F1659,purchase!D:D,purchase!#REF!,"")
-
SUMIFS(L:L,F:F,F1659)))</f>
        <v/>
      </c>
      <c r="O1659" s="13" t="str">
        <f t="shared" si="179"/>
        <v/>
      </c>
      <c r="P1659" s="35" t="str">
        <f>_xlfn.SINGLE(IF(F1659="","",_xlfn.XLOOKUP(F1659,purchase!D:D,purchase!K:K,"")))</f>
        <v/>
      </c>
      <c r="Q1659" s="29" t="str">
        <f t="shared" si="180"/>
        <v/>
      </c>
      <c r="R1659" s="37" t="str">
        <f t="shared" si="181"/>
        <v/>
      </c>
    </row>
    <row r="1660" spans="1:18" x14ac:dyDescent="0.35">
      <c r="A1660" s="8">
        <v>1656</v>
      </c>
      <c r="B1660" s="9" t="str">
        <f t="shared" si="175"/>
        <v/>
      </c>
      <c r="C1660" s="10"/>
      <c r="D1660" s="9" t="str">
        <f>IF(F1660="","",_xlfn.XLOOKUP(F1660,purchase!D:D,purchase!#REF!,""))</f>
        <v/>
      </c>
      <c r="E1660" s="9" t="str">
        <f>IF(F1660="","",_xlfn.XLOOKUP(F1660,purchase!D:D,purchase!B:B,""))</f>
        <v/>
      </c>
      <c r="F1660" s="2"/>
      <c r="G1660" s="4" t="str">
        <f t="shared" si="176"/>
        <v/>
      </c>
      <c r="H1660" s="4" t="str">
        <f>IF(F1660="","",_xlfn.XLOOKUP(F1660,purchase!D:D,purchase!#REF!,""))</f>
        <v/>
      </c>
      <c r="I1660" s="4" t="str">
        <f t="shared" si="177"/>
        <v/>
      </c>
      <c r="J1660" s="4" t="str">
        <f t="shared" si="178"/>
        <v/>
      </c>
      <c r="K1660" s="13" t="str">
        <f>_xlfn.SINGLE(IF(F1660="","",_xlfn.XLOOKUP(F1660,purchase!D:D,purchase!#REF!,"")))</f>
        <v/>
      </c>
      <c r="L1660" s="2"/>
      <c r="M1660" s="32"/>
      <c r="N1660" s="13" t="str">
        <f>IF(F1660="","",
MAX(0,
_xlfn.XLOOKUP(F1660,purchase!D:D,purchase!#REF!,"")
-
SUMIFS(L:L,F:F,F1660)))</f>
        <v/>
      </c>
      <c r="O1660" s="13" t="str">
        <f t="shared" si="179"/>
        <v/>
      </c>
      <c r="P1660" s="35" t="str">
        <f>_xlfn.SINGLE(IF(F1660="","",_xlfn.XLOOKUP(F1660,purchase!D:D,purchase!K:K,"")))</f>
        <v/>
      </c>
      <c r="Q1660" s="29" t="str">
        <f t="shared" si="180"/>
        <v/>
      </c>
      <c r="R1660" s="37" t="str">
        <f t="shared" si="181"/>
        <v/>
      </c>
    </row>
    <row r="1661" spans="1:18" x14ac:dyDescent="0.35">
      <c r="A1661" s="8">
        <v>1657</v>
      </c>
      <c r="B1661" s="9" t="str">
        <f t="shared" si="175"/>
        <v/>
      </c>
      <c r="C1661" s="10"/>
      <c r="D1661" s="9" t="str">
        <f>IF(F1661="","",_xlfn.XLOOKUP(F1661,purchase!D:D,purchase!#REF!,""))</f>
        <v/>
      </c>
      <c r="E1661" s="9" t="str">
        <f>IF(F1661="","",_xlfn.XLOOKUP(F1661,purchase!D:D,purchase!B:B,""))</f>
        <v/>
      </c>
      <c r="F1661" s="2"/>
      <c r="G1661" s="4" t="str">
        <f t="shared" si="176"/>
        <v/>
      </c>
      <c r="H1661" s="4" t="str">
        <f>IF(F1661="","",_xlfn.XLOOKUP(F1661,purchase!D:D,purchase!#REF!,""))</f>
        <v/>
      </c>
      <c r="I1661" s="4" t="str">
        <f t="shared" si="177"/>
        <v/>
      </c>
      <c r="J1661" s="4" t="str">
        <f t="shared" si="178"/>
        <v/>
      </c>
      <c r="K1661" s="13" t="str">
        <f>_xlfn.SINGLE(IF(F1661="","",_xlfn.XLOOKUP(F1661,purchase!D:D,purchase!#REF!,"")))</f>
        <v/>
      </c>
      <c r="L1661" s="2"/>
      <c r="M1661" s="32"/>
      <c r="N1661" s="13" t="str">
        <f>IF(F1661="","",
MAX(0,
_xlfn.XLOOKUP(F1661,purchase!D:D,purchase!#REF!,"")
-
SUMIFS(L:L,F:F,F1661)))</f>
        <v/>
      </c>
      <c r="O1661" s="13" t="str">
        <f t="shared" si="179"/>
        <v/>
      </c>
      <c r="P1661" s="35" t="str">
        <f>_xlfn.SINGLE(IF(F1661="","",_xlfn.XLOOKUP(F1661,purchase!D:D,purchase!K:K,"")))</f>
        <v/>
      </c>
      <c r="Q1661" s="29" t="str">
        <f t="shared" si="180"/>
        <v/>
      </c>
      <c r="R1661" s="37" t="str">
        <f t="shared" si="181"/>
        <v/>
      </c>
    </row>
    <row r="1662" spans="1:18" x14ac:dyDescent="0.35">
      <c r="A1662" s="8">
        <v>1658</v>
      </c>
      <c r="B1662" s="9" t="str">
        <f t="shared" si="175"/>
        <v/>
      </c>
      <c r="C1662" s="10"/>
      <c r="D1662" s="9" t="str">
        <f>IF(F1662="","",_xlfn.XLOOKUP(F1662,purchase!D:D,purchase!#REF!,""))</f>
        <v/>
      </c>
      <c r="E1662" s="9" t="str">
        <f>IF(F1662="","",_xlfn.XLOOKUP(F1662,purchase!D:D,purchase!B:B,""))</f>
        <v/>
      </c>
      <c r="F1662" s="2"/>
      <c r="G1662" s="4" t="str">
        <f t="shared" si="176"/>
        <v/>
      </c>
      <c r="H1662" s="4" t="str">
        <f>IF(F1662="","",_xlfn.XLOOKUP(F1662,purchase!D:D,purchase!#REF!,""))</f>
        <v/>
      </c>
      <c r="I1662" s="4" t="str">
        <f t="shared" si="177"/>
        <v/>
      </c>
      <c r="J1662" s="4" t="str">
        <f t="shared" si="178"/>
        <v/>
      </c>
      <c r="K1662" s="13" t="str">
        <f>_xlfn.SINGLE(IF(F1662="","",_xlfn.XLOOKUP(F1662,purchase!D:D,purchase!#REF!,"")))</f>
        <v/>
      </c>
      <c r="L1662" s="2"/>
      <c r="M1662" s="32"/>
      <c r="N1662" s="13" t="str">
        <f>IF(F1662="","",
MAX(0,
_xlfn.XLOOKUP(F1662,purchase!D:D,purchase!#REF!,"")
-
SUMIFS(L:L,F:F,F1662)))</f>
        <v/>
      </c>
      <c r="O1662" s="13" t="str">
        <f t="shared" si="179"/>
        <v/>
      </c>
      <c r="P1662" s="35" t="str">
        <f>_xlfn.SINGLE(IF(F1662="","",_xlfn.XLOOKUP(F1662,purchase!D:D,purchase!K:K,"")))</f>
        <v/>
      </c>
      <c r="Q1662" s="29" t="str">
        <f t="shared" si="180"/>
        <v/>
      </c>
      <c r="R1662" s="37" t="str">
        <f t="shared" si="181"/>
        <v/>
      </c>
    </row>
    <row r="1663" spans="1:18" x14ac:dyDescent="0.35">
      <c r="A1663" s="8">
        <v>1659</v>
      </c>
      <c r="B1663" s="9" t="str">
        <f t="shared" si="175"/>
        <v/>
      </c>
      <c r="C1663" s="10"/>
      <c r="D1663" s="9" t="str">
        <f>IF(F1663="","",_xlfn.XLOOKUP(F1663,purchase!D:D,purchase!#REF!,""))</f>
        <v/>
      </c>
      <c r="E1663" s="9" t="str">
        <f>IF(F1663="","",_xlfn.XLOOKUP(F1663,purchase!D:D,purchase!B:B,""))</f>
        <v/>
      </c>
      <c r="F1663" s="2"/>
      <c r="G1663" s="4" t="str">
        <f t="shared" si="176"/>
        <v/>
      </c>
      <c r="H1663" s="4" t="str">
        <f>IF(F1663="","",_xlfn.XLOOKUP(F1663,purchase!D:D,purchase!#REF!,""))</f>
        <v/>
      </c>
      <c r="I1663" s="4" t="str">
        <f t="shared" si="177"/>
        <v/>
      </c>
      <c r="J1663" s="4" t="str">
        <f t="shared" si="178"/>
        <v/>
      </c>
      <c r="K1663" s="13" t="str">
        <f>_xlfn.SINGLE(IF(F1663="","",_xlfn.XLOOKUP(F1663,purchase!D:D,purchase!#REF!,"")))</f>
        <v/>
      </c>
      <c r="L1663" s="2"/>
      <c r="M1663" s="32"/>
      <c r="N1663" s="13" t="str">
        <f>IF(F1663="","",
MAX(0,
_xlfn.XLOOKUP(F1663,purchase!D:D,purchase!#REF!,"")
-
SUMIFS(L:L,F:F,F1663)))</f>
        <v/>
      </c>
      <c r="O1663" s="13" t="str">
        <f t="shared" si="179"/>
        <v/>
      </c>
      <c r="P1663" s="35" t="str">
        <f>_xlfn.SINGLE(IF(F1663="","",_xlfn.XLOOKUP(F1663,purchase!D:D,purchase!K:K,"")))</f>
        <v/>
      </c>
      <c r="Q1663" s="29" t="str">
        <f t="shared" si="180"/>
        <v/>
      </c>
      <c r="R1663" s="37" t="str">
        <f t="shared" si="181"/>
        <v/>
      </c>
    </row>
    <row r="1664" spans="1:18" x14ac:dyDescent="0.35">
      <c r="A1664" s="8">
        <v>1660</v>
      </c>
      <c r="B1664" s="9" t="str">
        <f t="shared" si="175"/>
        <v/>
      </c>
      <c r="C1664" s="10"/>
      <c r="D1664" s="9" t="str">
        <f>IF(F1664="","",_xlfn.XLOOKUP(F1664,purchase!D:D,purchase!#REF!,""))</f>
        <v/>
      </c>
      <c r="E1664" s="9" t="str">
        <f>IF(F1664="","",_xlfn.XLOOKUP(F1664,purchase!D:D,purchase!B:B,""))</f>
        <v/>
      </c>
      <c r="F1664" s="2"/>
      <c r="G1664" s="4" t="str">
        <f t="shared" si="176"/>
        <v/>
      </c>
      <c r="H1664" s="4" t="str">
        <f>IF(F1664="","",_xlfn.XLOOKUP(F1664,purchase!D:D,purchase!#REF!,""))</f>
        <v/>
      </c>
      <c r="I1664" s="4" t="str">
        <f t="shared" si="177"/>
        <v/>
      </c>
      <c r="J1664" s="4" t="str">
        <f t="shared" si="178"/>
        <v/>
      </c>
      <c r="K1664" s="13" t="str">
        <f>_xlfn.SINGLE(IF(F1664="","",_xlfn.XLOOKUP(F1664,purchase!D:D,purchase!#REF!,"")))</f>
        <v/>
      </c>
      <c r="L1664" s="2"/>
      <c r="M1664" s="32"/>
      <c r="N1664" s="13" t="str">
        <f>IF(F1664="","",
MAX(0,
_xlfn.XLOOKUP(F1664,purchase!D:D,purchase!#REF!,"")
-
SUMIFS(L:L,F:F,F1664)))</f>
        <v/>
      </c>
      <c r="O1664" s="13" t="str">
        <f t="shared" si="179"/>
        <v/>
      </c>
      <c r="P1664" s="35" t="str">
        <f>_xlfn.SINGLE(IF(F1664="","",_xlfn.XLOOKUP(F1664,purchase!D:D,purchase!K:K,"")))</f>
        <v/>
      </c>
      <c r="Q1664" s="29" t="str">
        <f t="shared" si="180"/>
        <v/>
      </c>
      <c r="R1664" s="37" t="str">
        <f t="shared" si="181"/>
        <v/>
      </c>
    </row>
    <row r="1665" spans="1:18" x14ac:dyDescent="0.35">
      <c r="A1665" s="8">
        <v>1661</v>
      </c>
      <c r="B1665" s="9" t="str">
        <f t="shared" si="175"/>
        <v/>
      </c>
      <c r="C1665" s="10"/>
      <c r="D1665" s="9" t="str">
        <f>IF(F1665="","",_xlfn.XLOOKUP(F1665,purchase!D:D,purchase!#REF!,""))</f>
        <v/>
      </c>
      <c r="E1665" s="9" t="str">
        <f>IF(F1665="","",_xlfn.XLOOKUP(F1665,purchase!D:D,purchase!B:B,""))</f>
        <v/>
      </c>
      <c r="F1665" s="2"/>
      <c r="G1665" s="4" t="str">
        <f t="shared" si="176"/>
        <v/>
      </c>
      <c r="H1665" s="4" t="str">
        <f>IF(F1665="","",_xlfn.XLOOKUP(F1665,purchase!D:D,purchase!#REF!,""))</f>
        <v/>
      </c>
      <c r="I1665" s="4" t="str">
        <f t="shared" si="177"/>
        <v/>
      </c>
      <c r="J1665" s="4" t="str">
        <f t="shared" si="178"/>
        <v/>
      </c>
      <c r="K1665" s="13" t="str">
        <f>_xlfn.SINGLE(IF(F1665="","",_xlfn.XLOOKUP(F1665,purchase!D:D,purchase!#REF!,"")))</f>
        <v/>
      </c>
      <c r="L1665" s="2"/>
      <c r="M1665" s="32"/>
      <c r="N1665" s="13" t="str">
        <f>IF(F1665="","",
MAX(0,
_xlfn.XLOOKUP(F1665,purchase!D:D,purchase!#REF!,"")
-
SUMIFS(L:L,F:F,F1665)))</f>
        <v/>
      </c>
      <c r="O1665" s="13" t="str">
        <f t="shared" si="179"/>
        <v/>
      </c>
      <c r="P1665" s="35" t="str">
        <f>_xlfn.SINGLE(IF(F1665="","",_xlfn.XLOOKUP(F1665,purchase!D:D,purchase!K:K,"")))</f>
        <v/>
      </c>
      <c r="Q1665" s="29" t="str">
        <f t="shared" si="180"/>
        <v/>
      </c>
      <c r="R1665" s="37" t="str">
        <f t="shared" si="181"/>
        <v/>
      </c>
    </row>
    <row r="1666" spans="1:18" x14ac:dyDescent="0.35">
      <c r="A1666" s="8">
        <v>1662</v>
      </c>
      <c r="B1666" s="9" t="str">
        <f t="shared" si="175"/>
        <v/>
      </c>
      <c r="C1666" s="10"/>
      <c r="D1666" s="9" t="str">
        <f>IF(F1666="","",_xlfn.XLOOKUP(F1666,purchase!D:D,purchase!#REF!,""))</f>
        <v/>
      </c>
      <c r="E1666" s="9" t="str">
        <f>IF(F1666="","",_xlfn.XLOOKUP(F1666,purchase!D:D,purchase!B:B,""))</f>
        <v/>
      </c>
      <c r="F1666" s="2"/>
      <c r="G1666" s="4" t="str">
        <f t="shared" si="176"/>
        <v/>
      </c>
      <c r="H1666" s="4" t="str">
        <f>IF(F1666="","",_xlfn.XLOOKUP(F1666,purchase!D:D,purchase!#REF!,""))</f>
        <v/>
      </c>
      <c r="I1666" s="4" t="str">
        <f t="shared" si="177"/>
        <v/>
      </c>
      <c r="J1666" s="4" t="str">
        <f t="shared" si="178"/>
        <v/>
      </c>
      <c r="K1666" s="13" t="str">
        <f>_xlfn.SINGLE(IF(F1666="","",_xlfn.XLOOKUP(F1666,purchase!D:D,purchase!#REF!,"")))</f>
        <v/>
      </c>
      <c r="L1666" s="2"/>
      <c r="M1666" s="32"/>
      <c r="N1666" s="13" t="str">
        <f>IF(F1666="","",
MAX(0,
_xlfn.XLOOKUP(F1666,purchase!D:D,purchase!#REF!,"")
-
SUMIFS(L:L,F:F,F1666)))</f>
        <v/>
      </c>
      <c r="O1666" s="13" t="str">
        <f t="shared" si="179"/>
        <v/>
      </c>
      <c r="P1666" s="35" t="str">
        <f>_xlfn.SINGLE(IF(F1666="","",_xlfn.XLOOKUP(F1666,purchase!D:D,purchase!K:K,"")))</f>
        <v/>
      </c>
      <c r="Q1666" s="29" t="str">
        <f t="shared" si="180"/>
        <v/>
      </c>
      <c r="R1666" s="37" t="str">
        <f t="shared" si="181"/>
        <v/>
      </c>
    </row>
    <row r="1667" spans="1:18" x14ac:dyDescent="0.35">
      <c r="A1667" s="8">
        <v>1663</v>
      </c>
      <c r="B1667" s="9" t="str">
        <f t="shared" si="175"/>
        <v/>
      </c>
      <c r="C1667" s="10"/>
      <c r="D1667" s="9" t="str">
        <f>IF(F1667="","",_xlfn.XLOOKUP(F1667,purchase!D:D,purchase!#REF!,""))</f>
        <v/>
      </c>
      <c r="E1667" s="9" t="str">
        <f>IF(F1667="","",_xlfn.XLOOKUP(F1667,purchase!D:D,purchase!B:B,""))</f>
        <v/>
      </c>
      <c r="F1667" s="2"/>
      <c r="G1667" s="4" t="str">
        <f t="shared" si="176"/>
        <v/>
      </c>
      <c r="H1667" s="4" t="str">
        <f>IF(F1667="","",_xlfn.XLOOKUP(F1667,purchase!D:D,purchase!#REF!,""))</f>
        <v/>
      </c>
      <c r="I1667" s="4" t="str">
        <f t="shared" si="177"/>
        <v/>
      </c>
      <c r="J1667" s="4" t="str">
        <f t="shared" si="178"/>
        <v/>
      </c>
      <c r="K1667" s="13" t="str">
        <f>_xlfn.SINGLE(IF(F1667="","",_xlfn.XLOOKUP(F1667,purchase!D:D,purchase!#REF!,"")))</f>
        <v/>
      </c>
      <c r="L1667" s="2"/>
      <c r="M1667" s="32"/>
      <c r="N1667" s="13" t="str">
        <f>IF(F1667="","",
MAX(0,
_xlfn.XLOOKUP(F1667,purchase!D:D,purchase!#REF!,"")
-
SUMIFS(L:L,F:F,F1667)))</f>
        <v/>
      </c>
      <c r="O1667" s="13" t="str">
        <f t="shared" si="179"/>
        <v/>
      </c>
      <c r="P1667" s="35" t="str">
        <f>_xlfn.SINGLE(IF(F1667="","",_xlfn.XLOOKUP(F1667,purchase!D:D,purchase!K:K,"")))</f>
        <v/>
      </c>
      <c r="Q1667" s="29" t="str">
        <f t="shared" si="180"/>
        <v/>
      </c>
      <c r="R1667" s="37" t="str">
        <f t="shared" si="181"/>
        <v/>
      </c>
    </row>
    <row r="1668" spans="1:18" x14ac:dyDescent="0.35">
      <c r="A1668" s="8">
        <v>1664</v>
      </c>
      <c r="B1668" s="9" t="str">
        <f t="shared" si="175"/>
        <v/>
      </c>
      <c r="C1668" s="10"/>
      <c r="D1668" s="9" t="str">
        <f>IF(F1668="","",_xlfn.XLOOKUP(F1668,purchase!D:D,purchase!#REF!,""))</f>
        <v/>
      </c>
      <c r="E1668" s="9" t="str">
        <f>IF(F1668="","",_xlfn.XLOOKUP(F1668,purchase!D:D,purchase!B:B,""))</f>
        <v/>
      </c>
      <c r="F1668" s="2"/>
      <c r="G1668" s="4" t="str">
        <f t="shared" si="176"/>
        <v/>
      </c>
      <c r="H1668" s="4" t="str">
        <f>IF(F1668="","",_xlfn.XLOOKUP(F1668,purchase!D:D,purchase!#REF!,""))</f>
        <v/>
      </c>
      <c r="I1668" s="4" t="str">
        <f t="shared" si="177"/>
        <v/>
      </c>
      <c r="J1668" s="4" t="str">
        <f t="shared" si="178"/>
        <v/>
      </c>
      <c r="K1668" s="13" t="str">
        <f>_xlfn.SINGLE(IF(F1668="","",_xlfn.XLOOKUP(F1668,purchase!D:D,purchase!#REF!,"")))</f>
        <v/>
      </c>
      <c r="L1668" s="2"/>
      <c r="M1668" s="32"/>
      <c r="N1668" s="13" t="str">
        <f>IF(F1668="","",
MAX(0,
_xlfn.XLOOKUP(F1668,purchase!D:D,purchase!#REF!,"")
-
SUMIFS(L:L,F:F,F1668)))</f>
        <v/>
      </c>
      <c r="O1668" s="13" t="str">
        <f t="shared" si="179"/>
        <v/>
      </c>
      <c r="P1668" s="35" t="str">
        <f>_xlfn.SINGLE(IF(F1668="","",_xlfn.XLOOKUP(F1668,purchase!D:D,purchase!K:K,"")))</f>
        <v/>
      </c>
      <c r="Q1668" s="29" t="str">
        <f t="shared" si="180"/>
        <v/>
      </c>
      <c r="R1668" s="37" t="str">
        <f t="shared" si="181"/>
        <v/>
      </c>
    </row>
    <row r="1669" spans="1:18" x14ac:dyDescent="0.35">
      <c r="A1669" s="8">
        <v>1665</v>
      </c>
      <c r="B1669" s="9" t="str">
        <f t="shared" ref="B1669:B1732" si="182">IF(OR(C1669="",F1669=""),"",
"PRD-" &amp;
TEXT(DAY(C1669),"00") &amp;
CHOOSE(MONTH(C1669),"A","B","C","D","E","F","G","H","I","J","K","L") &amp;
TEXT(YEAR(C1669),"00") &amp;
"-" &amp;
RIGHT(F1669,4))</f>
        <v/>
      </c>
      <c r="C1669" s="10"/>
      <c r="D1669" s="9" t="str">
        <f>IF(F1669="","",_xlfn.XLOOKUP(F1669,purchase!D:D,purchase!#REF!,""))</f>
        <v/>
      </c>
      <c r="E1669" s="9" t="str">
        <f>IF(F1669="","",_xlfn.XLOOKUP(F1669,purchase!D:D,purchase!B:B,""))</f>
        <v/>
      </c>
      <c r="F1669" s="2"/>
      <c r="G1669" s="4" t="str">
        <f t="shared" ref="G1669:G1732" si="183">IF(H1669="NRFC","Natural Rubber Field Coagulam","")</f>
        <v/>
      </c>
      <c r="H1669" s="4" t="str">
        <f>IF(F1669="","",_xlfn.XLOOKUP(F1669,purchase!D:D,purchase!#REF!,""))</f>
        <v/>
      </c>
      <c r="I1669" s="4" t="str">
        <f t="shared" ref="I1669:I1732" si="184">IF(J1669="ISNR20","Natural Rubber-TSNR (ISNR-20)","")</f>
        <v/>
      </c>
      <c r="J1669" s="4" t="str">
        <f t="shared" ref="J1669:J1732" si="185">IF(H1669="NRFC","ISNR20","")</f>
        <v/>
      </c>
      <c r="K1669" s="13" t="str">
        <f>_xlfn.SINGLE(IF(F1669="","",_xlfn.XLOOKUP(F1669,purchase!D:D,purchase!#REF!,"")))</f>
        <v/>
      </c>
      <c r="L1669" s="2"/>
      <c r="M1669" s="32"/>
      <c r="N1669" s="13" t="str">
        <f>IF(F1669="","",
MAX(0,
_xlfn.XLOOKUP(F1669,purchase!D:D,purchase!#REF!,"")
-
SUMIFS(L:L,F:F,F1669)))</f>
        <v/>
      </c>
      <c r="O1669" s="13" t="str">
        <f t="shared" ref="O1669:O1732" si="186">IF(OR(L1669="",M1669=""),"",L1669-M1669)</f>
        <v/>
      </c>
      <c r="P1669" s="35" t="str">
        <f>_xlfn.SINGLE(IF(F1669="","",_xlfn.XLOOKUP(F1669,purchase!D:D,purchase!K:K,"")))</f>
        <v/>
      </c>
      <c r="Q1669" s="29" t="str">
        <f t="shared" ref="Q1669:Q1732" si="187">IF(OR(L1669="",M1669=""),"",M1669/L1669)</f>
        <v/>
      </c>
      <c r="R1669" s="37" t="str">
        <f t="shared" ref="R1669:R1732" si="188">IF(OR(P1669="",Q1669=""),"",Q1669-P1669)</f>
        <v/>
      </c>
    </row>
    <row r="1670" spans="1:18" x14ac:dyDescent="0.35">
      <c r="A1670" s="8">
        <v>1666</v>
      </c>
      <c r="B1670" s="9" t="str">
        <f t="shared" si="182"/>
        <v/>
      </c>
      <c r="C1670" s="10"/>
      <c r="D1670" s="9" t="str">
        <f>IF(F1670="","",_xlfn.XLOOKUP(F1670,purchase!D:D,purchase!#REF!,""))</f>
        <v/>
      </c>
      <c r="E1670" s="9" t="str">
        <f>IF(F1670="","",_xlfn.XLOOKUP(F1670,purchase!D:D,purchase!B:B,""))</f>
        <v/>
      </c>
      <c r="F1670" s="2"/>
      <c r="G1670" s="4" t="str">
        <f t="shared" si="183"/>
        <v/>
      </c>
      <c r="H1670" s="4" t="str">
        <f>IF(F1670="","",_xlfn.XLOOKUP(F1670,purchase!D:D,purchase!#REF!,""))</f>
        <v/>
      </c>
      <c r="I1670" s="4" t="str">
        <f t="shared" si="184"/>
        <v/>
      </c>
      <c r="J1670" s="4" t="str">
        <f t="shared" si="185"/>
        <v/>
      </c>
      <c r="K1670" s="13" t="str">
        <f>_xlfn.SINGLE(IF(F1670="","",_xlfn.XLOOKUP(F1670,purchase!D:D,purchase!#REF!,"")))</f>
        <v/>
      </c>
      <c r="L1670" s="2"/>
      <c r="M1670" s="32"/>
      <c r="N1670" s="13" t="str">
        <f>IF(F1670="","",
MAX(0,
_xlfn.XLOOKUP(F1670,purchase!D:D,purchase!#REF!,"")
-
SUMIFS(L:L,F:F,F1670)))</f>
        <v/>
      </c>
      <c r="O1670" s="13" t="str">
        <f t="shared" si="186"/>
        <v/>
      </c>
      <c r="P1670" s="35" t="str">
        <f>_xlfn.SINGLE(IF(F1670="","",_xlfn.XLOOKUP(F1670,purchase!D:D,purchase!K:K,"")))</f>
        <v/>
      </c>
      <c r="Q1670" s="29" t="str">
        <f t="shared" si="187"/>
        <v/>
      </c>
      <c r="R1670" s="37" t="str">
        <f t="shared" si="188"/>
        <v/>
      </c>
    </row>
    <row r="1671" spans="1:18" x14ac:dyDescent="0.35">
      <c r="A1671" s="8">
        <v>1667</v>
      </c>
      <c r="B1671" s="9" t="str">
        <f t="shared" si="182"/>
        <v/>
      </c>
      <c r="C1671" s="10"/>
      <c r="D1671" s="9" t="str">
        <f>IF(F1671="","",_xlfn.XLOOKUP(F1671,purchase!D:D,purchase!#REF!,""))</f>
        <v/>
      </c>
      <c r="E1671" s="9" t="str">
        <f>IF(F1671="","",_xlfn.XLOOKUP(F1671,purchase!D:D,purchase!B:B,""))</f>
        <v/>
      </c>
      <c r="F1671" s="2"/>
      <c r="G1671" s="4" t="str">
        <f t="shared" si="183"/>
        <v/>
      </c>
      <c r="H1671" s="4" t="str">
        <f>IF(F1671="","",_xlfn.XLOOKUP(F1671,purchase!D:D,purchase!#REF!,""))</f>
        <v/>
      </c>
      <c r="I1671" s="4" t="str">
        <f t="shared" si="184"/>
        <v/>
      </c>
      <c r="J1671" s="4" t="str">
        <f t="shared" si="185"/>
        <v/>
      </c>
      <c r="K1671" s="13" t="str">
        <f>_xlfn.SINGLE(IF(F1671="","",_xlfn.XLOOKUP(F1671,purchase!D:D,purchase!#REF!,"")))</f>
        <v/>
      </c>
      <c r="L1671" s="2"/>
      <c r="M1671" s="32"/>
      <c r="N1671" s="13" t="str">
        <f>IF(F1671="","",
MAX(0,
_xlfn.XLOOKUP(F1671,purchase!D:D,purchase!#REF!,"")
-
SUMIFS(L:L,F:F,F1671)))</f>
        <v/>
      </c>
      <c r="O1671" s="13" t="str">
        <f t="shared" si="186"/>
        <v/>
      </c>
      <c r="P1671" s="35" t="str">
        <f>_xlfn.SINGLE(IF(F1671="","",_xlfn.XLOOKUP(F1671,purchase!D:D,purchase!K:K,"")))</f>
        <v/>
      </c>
      <c r="Q1671" s="29" t="str">
        <f t="shared" si="187"/>
        <v/>
      </c>
      <c r="R1671" s="37" t="str">
        <f t="shared" si="188"/>
        <v/>
      </c>
    </row>
    <row r="1672" spans="1:18" x14ac:dyDescent="0.35">
      <c r="A1672" s="8">
        <v>1668</v>
      </c>
      <c r="B1672" s="9" t="str">
        <f t="shared" si="182"/>
        <v/>
      </c>
      <c r="C1672" s="10"/>
      <c r="D1672" s="9" t="str">
        <f>IF(F1672="","",_xlfn.XLOOKUP(F1672,purchase!D:D,purchase!#REF!,""))</f>
        <v/>
      </c>
      <c r="E1672" s="9" t="str">
        <f>IF(F1672="","",_xlfn.XLOOKUP(F1672,purchase!D:D,purchase!B:B,""))</f>
        <v/>
      </c>
      <c r="F1672" s="2"/>
      <c r="G1672" s="4" t="str">
        <f t="shared" si="183"/>
        <v/>
      </c>
      <c r="H1672" s="4" t="str">
        <f>IF(F1672="","",_xlfn.XLOOKUP(F1672,purchase!D:D,purchase!#REF!,""))</f>
        <v/>
      </c>
      <c r="I1672" s="4" t="str">
        <f t="shared" si="184"/>
        <v/>
      </c>
      <c r="J1672" s="4" t="str">
        <f t="shared" si="185"/>
        <v/>
      </c>
      <c r="K1672" s="13" t="str">
        <f>_xlfn.SINGLE(IF(F1672="","",_xlfn.XLOOKUP(F1672,purchase!D:D,purchase!#REF!,"")))</f>
        <v/>
      </c>
      <c r="L1672" s="2"/>
      <c r="M1672" s="32"/>
      <c r="N1672" s="13" t="str">
        <f>IF(F1672="","",
MAX(0,
_xlfn.XLOOKUP(F1672,purchase!D:D,purchase!#REF!,"")
-
SUMIFS(L:L,F:F,F1672)))</f>
        <v/>
      </c>
      <c r="O1672" s="13" t="str">
        <f t="shared" si="186"/>
        <v/>
      </c>
      <c r="P1672" s="35" t="str">
        <f>_xlfn.SINGLE(IF(F1672="","",_xlfn.XLOOKUP(F1672,purchase!D:D,purchase!K:K,"")))</f>
        <v/>
      </c>
      <c r="Q1672" s="29" t="str">
        <f t="shared" si="187"/>
        <v/>
      </c>
      <c r="R1672" s="37" t="str">
        <f t="shared" si="188"/>
        <v/>
      </c>
    </row>
    <row r="1673" spans="1:18" x14ac:dyDescent="0.35">
      <c r="A1673" s="8">
        <v>1669</v>
      </c>
      <c r="B1673" s="9" t="str">
        <f t="shared" si="182"/>
        <v/>
      </c>
      <c r="C1673" s="10"/>
      <c r="D1673" s="9" t="str">
        <f>IF(F1673="","",_xlfn.XLOOKUP(F1673,purchase!D:D,purchase!#REF!,""))</f>
        <v/>
      </c>
      <c r="E1673" s="9" t="str">
        <f>IF(F1673="","",_xlfn.XLOOKUP(F1673,purchase!D:D,purchase!B:B,""))</f>
        <v/>
      </c>
      <c r="F1673" s="2"/>
      <c r="G1673" s="4" t="str">
        <f t="shared" si="183"/>
        <v/>
      </c>
      <c r="H1673" s="4" t="str">
        <f>IF(F1673="","",_xlfn.XLOOKUP(F1673,purchase!D:D,purchase!#REF!,""))</f>
        <v/>
      </c>
      <c r="I1673" s="4" t="str">
        <f t="shared" si="184"/>
        <v/>
      </c>
      <c r="J1673" s="4" t="str">
        <f t="shared" si="185"/>
        <v/>
      </c>
      <c r="K1673" s="13" t="str">
        <f>_xlfn.SINGLE(IF(F1673="","",_xlfn.XLOOKUP(F1673,purchase!D:D,purchase!#REF!,"")))</f>
        <v/>
      </c>
      <c r="L1673" s="2"/>
      <c r="M1673" s="32"/>
      <c r="N1673" s="13" t="str">
        <f>IF(F1673="","",
MAX(0,
_xlfn.XLOOKUP(F1673,purchase!D:D,purchase!#REF!,"")
-
SUMIFS(L:L,F:F,F1673)))</f>
        <v/>
      </c>
      <c r="O1673" s="13" t="str">
        <f t="shared" si="186"/>
        <v/>
      </c>
      <c r="P1673" s="35" t="str">
        <f>_xlfn.SINGLE(IF(F1673="","",_xlfn.XLOOKUP(F1673,purchase!D:D,purchase!K:K,"")))</f>
        <v/>
      </c>
      <c r="Q1673" s="29" t="str">
        <f t="shared" si="187"/>
        <v/>
      </c>
      <c r="R1673" s="37" t="str">
        <f t="shared" si="188"/>
        <v/>
      </c>
    </row>
    <row r="1674" spans="1:18" x14ac:dyDescent="0.35">
      <c r="A1674" s="8">
        <v>1670</v>
      </c>
      <c r="B1674" s="9" t="str">
        <f t="shared" si="182"/>
        <v/>
      </c>
      <c r="C1674" s="10"/>
      <c r="D1674" s="9" t="str">
        <f>IF(F1674="","",_xlfn.XLOOKUP(F1674,purchase!D:D,purchase!#REF!,""))</f>
        <v/>
      </c>
      <c r="E1674" s="9" t="str">
        <f>IF(F1674="","",_xlfn.XLOOKUP(F1674,purchase!D:D,purchase!B:B,""))</f>
        <v/>
      </c>
      <c r="F1674" s="2"/>
      <c r="G1674" s="4" t="str">
        <f t="shared" si="183"/>
        <v/>
      </c>
      <c r="H1674" s="4" t="str">
        <f>IF(F1674="","",_xlfn.XLOOKUP(F1674,purchase!D:D,purchase!#REF!,""))</f>
        <v/>
      </c>
      <c r="I1674" s="4" t="str">
        <f t="shared" si="184"/>
        <v/>
      </c>
      <c r="J1674" s="4" t="str">
        <f t="shared" si="185"/>
        <v/>
      </c>
      <c r="K1674" s="13" t="str">
        <f>_xlfn.SINGLE(IF(F1674="","",_xlfn.XLOOKUP(F1674,purchase!D:D,purchase!#REF!,"")))</f>
        <v/>
      </c>
      <c r="L1674" s="2"/>
      <c r="M1674" s="32"/>
      <c r="N1674" s="13" t="str">
        <f>IF(F1674="","",
MAX(0,
_xlfn.XLOOKUP(F1674,purchase!D:D,purchase!#REF!,"")
-
SUMIFS(L:L,F:F,F1674)))</f>
        <v/>
      </c>
      <c r="O1674" s="13" t="str">
        <f t="shared" si="186"/>
        <v/>
      </c>
      <c r="P1674" s="35" t="str">
        <f>_xlfn.SINGLE(IF(F1674="","",_xlfn.XLOOKUP(F1674,purchase!D:D,purchase!K:K,"")))</f>
        <v/>
      </c>
      <c r="Q1674" s="29" t="str">
        <f t="shared" si="187"/>
        <v/>
      </c>
      <c r="R1674" s="37" t="str">
        <f t="shared" si="188"/>
        <v/>
      </c>
    </row>
    <row r="1675" spans="1:18" x14ac:dyDescent="0.35">
      <c r="A1675" s="8">
        <v>1671</v>
      </c>
      <c r="B1675" s="9" t="str">
        <f t="shared" si="182"/>
        <v/>
      </c>
      <c r="C1675" s="10"/>
      <c r="D1675" s="9" t="str">
        <f>IF(F1675="","",_xlfn.XLOOKUP(F1675,purchase!D:D,purchase!#REF!,""))</f>
        <v/>
      </c>
      <c r="E1675" s="9" t="str">
        <f>IF(F1675="","",_xlfn.XLOOKUP(F1675,purchase!D:D,purchase!B:B,""))</f>
        <v/>
      </c>
      <c r="F1675" s="2"/>
      <c r="G1675" s="4" t="str">
        <f t="shared" si="183"/>
        <v/>
      </c>
      <c r="H1675" s="4" t="str">
        <f>IF(F1675="","",_xlfn.XLOOKUP(F1675,purchase!D:D,purchase!#REF!,""))</f>
        <v/>
      </c>
      <c r="I1675" s="4" t="str">
        <f t="shared" si="184"/>
        <v/>
      </c>
      <c r="J1675" s="4" t="str">
        <f t="shared" si="185"/>
        <v/>
      </c>
      <c r="K1675" s="13" t="str">
        <f>_xlfn.SINGLE(IF(F1675="","",_xlfn.XLOOKUP(F1675,purchase!D:D,purchase!#REF!,"")))</f>
        <v/>
      </c>
      <c r="L1675" s="2"/>
      <c r="M1675" s="32"/>
      <c r="N1675" s="13" t="str">
        <f>IF(F1675="","",
MAX(0,
_xlfn.XLOOKUP(F1675,purchase!D:D,purchase!#REF!,"")
-
SUMIFS(L:L,F:F,F1675)))</f>
        <v/>
      </c>
      <c r="O1675" s="13" t="str">
        <f t="shared" si="186"/>
        <v/>
      </c>
      <c r="P1675" s="35" t="str">
        <f>_xlfn.SINGLE(IF(F1675="","",_xlfn.XLOOKUP(F1675,purchase!D:D,purchase!K:K,"")))</f>
        <v/>
      </c>
      <c r="Q1675" s="29" t="str">
        <f t="shared" si="187"/>
        <v/>
      </c>
      <c r="R1675" s="37" t="str">
        <f t="shared" si="188"/>
        <v/>
      </c>
    </row>
    <row r="1676" spans="1:18" x14ac:dyDescent="0.35">
      <c r="A1676" s="8">
        <v>1672</v>
      </c>
      <c r="B1676" s="9" t="str">
        <f t="shared" si="182"/>
        <v/>
      </c>
      <c r="C1676" s="10"/>
      <c r="D1676" s="9" t="str">
        <f>IF(F1676="","",_xlfn.XLOOKUP(F1676,purchase!D:D,purchase!#REF!,""))</f>
        <v/>
      </c>
      <c r="E1676" s="9" t="str">
        <f>IF(F1676="","",_xlfn.XLOOKUP(F1676,purchase!D:D,purchase!B:B,""))</f>
        <v/>
      </c>
      <c r="F1676" s="2"/>
      <c r="G1676" s="4" t="str">
        <f t="shared" si="183"/>
        <v/>
      </c>
      <c r="H1676" s="4" t="str">
        <f>IF(F1676="","",_xlfn.XLOOKUP(F1676,purchase!D:D,purchase!#REF!,""))</f>
        <v/>
      </c>
      <c r="I1676" s="4" t="str">
        <f t="shared" si="184"/>
        <v/>
      </c>
      <c r="J1676" s="4" t="str">
        <f t="shared" si="185"/>
        <v/>
      </c>
      <c r="K1676" s="13" t="str">
        <f>_xlfn.SINGLE(IF(F1676="","",_xlfn.XLOOKUP(F1676,purchase!D:D,purchase!#REF!,"")))</f>
        <v/>
      </c>
      <c r="L1676" s="2"/>
      <c r="M1676" s="32"/>
      <c r="N1676" s="13" t="str">
        <f>IF(F1676="","",
MAX(0,
_xlfn.XLOOKUP(F1676,purchase!D:D,purchase!#REF!,"")
-
SUMIFS(L:L,F:F,F1676)))</f>
        <v/>
      </c>
      <c r="O1676" s="13" t="str">
        <f t="shared" si="186"/>
        <v/>
      </c>
      <c r="P1676" s="35" t="str">
        <f>_xlfn.SINGLE(IF(F1676="","",_xlfn.XLOOKUP(F1676,purchase!D:D,purchase!K:K,"")))</f>
        <v/>
      </c>
      <c r="Q1676" s="29" t="str">
        <f t="shared" si="187"/>
        <v/>
      </c>
      <c r="R1676" s="37" t="str">
        <f t="shared" si="188"/>
        <v/>
      </c>
    </row>
    <row r="1677" spans="1:18" x14ac:dyDescent="0.35">
      <c r="A1677" s="8">
        <v>1673</v>
      </c>
      <c r="B1677" s="9" t="str">
        <f t="shared" si="182"/>
        <v/>
      </c>
      <c r="C1677" s="10"/>
      <c r="D1677" s="9" t="str">
        <f>IF(F1677="","",_xlfn.XLOOKUP(F1677,purchase!D:D,purchase!#REF!,""))</f>
        <v/>
      </c>
      <c r="E1677" s="9" t="str">
        <f>IF(F1677="","",_xlfn.XLOOKUP(F1677,purchase!D:D,purchase!B:B,""))</f>
        <v/>
      </c>
      <c r="F1677" s="2"/>
      <c r="G1677" s="4" t="str">
        <f t="shared" si="183"/>
        <v/>
      </c>
      <c r="H1677" s="4" t="str">
        <f>IF(F1677="","",_xlfn.XLOOKUP(F1677,purchase!D:D,purchase!#REF!,""))</f>
        <v/>
      </c>
      <c r="I1677" s="4" t="str">
        <f t="shared" si="184"/>
        <v/>
      </c>
      <c r="J1677" s="4" t="str">
        <f t="shared" si="185"/>
        <v/>
      </c>
      <c r="K1677" s="13" t="str">
        <f>_xlfn.SINGLE(IF(F1677="","",_xlfn.XLOOKUP(F1677,purchase!D:D,purchase!#REF!,"")))</f>
        <v/>
      </c>
      <c r="L1677" s="2"/>
      <c r="M1677" s="32"/>
      <c r="N1677" s="13" t="str">
        <f>IF(F1677="","",
MAX(0,
_xlfn.XLOOKUP(F1677,purchase!D:D,purchase!#REF!,"")
-
SUMIFS(L:L,F:F,F1677)))</f>
        <v/>
      </c>
      <c r="O1677" s="13" t="str">
        <f t="shared" si="186"/>
        <v/>
      </c>
      <c r="P1677" s="35" t="str">
        <f>_xlfn.SINGLE(IF(F1677="","",_xlfn.XLOOKUP(F1677,purchase!D:D,purchase!K:K,"")))</f>
        <v/>
      </c>
      <c r="Q1677" s="29" t="str">
        <f t="shared" si="187"/>
        <v/>
      </c>
      <c r="R1677" s="37" t="str">
        <f t="shared" si="188"/>
        <v/>
      </c>
    </row>
    <row r="1678" spans="1:18" x14ac:dyDescent="0.35">
      <c r="A1678" s="8">
        <v>1674</v>
      </c>
      <c r="B1678" s="9" t="str">
        <f t="shared" si="182"/>
        <v/>
      </c>
      <c r="C1678" s="10"/>
      <c r="D1678" s="9" t="str">
        <f>IF(F1678="","",_xlfn.XLOOKUP(F1678,purchase!D:D,purchase!#REF!,""))</f>
        <v/>
      </c>
      <c r="E1678" s="9" t="str">
        <f>IF(F1678="","",_xlfn.XLOOKUP(F1678,purchase!D:D,purchase!B:B,""))</f>
        <v/>
      </c>
      <c r="F1678" s="2"/>
      <c r="G1678" s="4" t="str">
        <f t="shared" si="183"/>
        <v/>
      </c>
      <c r="H1678" s="4" t="str">
        <f>IF(F1678="","",_xlfn.XLOOKUP(F1678,purchase!D:D,purchase!#REF!,""))</f>
        <v/>
      </c>
      <c r="I1678" s="4" t="str">
        <f t="shared" si="184"/>
        <v/>
      </c>
      <c r="J1678" s="4" t="str">
        <f t="shared" si="185"/>
        <v/>
      </c>
      <c r="K1678" s="13" t="str">
        <f>_xlfn.SINGLE(IF(F1678="","",_xlfn.XLOOKUP(F1678,purchase!D:D,purchase!#REF!,"")))</f>
        <v/>
      </c>
      <c r="L1678" s="2"/>
      <c r="M1678" s="32"/>
      <c r="N1678" s="13" t="str">
        <f>IF(F1678="","",
MAX(0,
_xlfn.XLOOKUP(F1678,purchase!D:D,purchase!#REF!,"")
-
SUMIFS(L:L,F:F,F1678)))</f>
        <v/>
      </c>
      <c r="O1678" s="13" t="str">
        <f t="shared" si="186"/>
        <v/>
      </c>
      <c r="P1678" s="35" t="str">
        <f>_xlfn.SINGLE(IF(F1678="","",_xlfn.XLOOKUP(F1678,purchase!D:D,purchase!K:K,"")))</f>
        <v/>
      </c>
      <c r="Q1678" s="29" t="str">
        <f t="shared" si="187"/>
        <v/>
      </c>
      <c r="R1678" s="37" t="str">
        <f t="shared" si="188"/>
        <v/>
      </c>
    </row>
    <row r="1679" spans="1:18" x14ac:dyDescent="0.35">
      <c r="A1679" s="8">
        <v>1675</v>
      </c>
      <c r="B1679" s="9" t="str">
        <f t="shared" si="182"/>
        <v/>
      </c>
      <c r="C1679" s="10"/>
      <c r="D1679" s="9" t="str">
        <f>IF(F1679="","",_xlfn.XLOOKUP(F1679,purchase!D:D,purchase!#REF!,""))</f>
        <v/>
      </c>
      <c r="E1679" s="9" t="str">
        <f>IF(F1679="","",_xlfn.XLOOKUP(F1679,purchase!D:D,purchase!B:B,""))</f>
        <v/>
      </c>
      <c r="F1679" s="2"/>
      <c r="G1679" s="4" t="str">
        <f t="shared" si="183"/>
        <v/>
      </c>
      <c r="H1679" s="4" t="str">
        <f>IF(F1679="","",_xlfn.XLOOKUP(F1679,purchase!D:D,purchase!#REF!,""))</f>
        <v/>
      </c>
      <c r="I1679" s="4" t="str">
        <f t="shared" si="184"/>
        <v/>
      </c>
      <c r="J1679" s="4" t="str">
        <f t="shared" si="185"/>
        <v/>
      </c>
      <c r="K1679" s="13" t="str">
        <f>_xlfn.SINGLE(IF(F1679="","",_xlfn.XLOOKUP(F1679,purchase!D:D,purchase!#REF!,"")))</f>
        <v/>
      </c>
      <c r="L1679" s="2"/>
      <c r="M1679" s="32"/>
      <c r="N1679" s="13" t="str">
        <f>IF(F1679="","",
MAX(0,
_xlfn.XLOOKUP(F1679,purchase!D:D,purchase!#REF!,"")
-
SUMIFS(L:L,F:F,F1679)))</f>
        <v/>
      </c>
      <c r="O1679" s="13" t="str">
        <f t="shared" si="186"/>
        <v/>
      </c>
      <c r="P1679" s="35" t="str">
        <f>_xlfn.SINGLE(IF(F1679="","",_xlfn.XLOOKUP(F1679,purchase!D:D,purchase!K:K,"")))</f>
        <v/>
      </c>
      <c r="Q1679" s="29" t="str">
        <f t="shared" si="187"/>
        <v/>
      </c>
      <c r="R1679" s="37" t="str">
        <f t="shared" si="188"/>
        <v/>
      </c>
    </row>
    <row r="1680" spans="1:18" x14ac:dyDescent="0.35">
      <c r="A1680" s="8">
        <v>1676</v>
      </c>
      <c r="B1680" s="9" t="str">
        <f t="shared" si="182"/>
        <v/>
      </c>
      <c r="C1680" s="10"/>
      <c r="D1680" s="9" t="str">
        <f>IF(F1680="","",_xlfn.XLOOKUP(F1680,purchase!D:D,purchase!#REF!,""))</f>
        <v/>
      </c>
      <c r="E1680" s="9" t="str">
        <f>IF(F1680="","",_xlfn.XLOOKUP(F1680,purchase!D:D,purchase!B:B,""))</f>
        <v/>
      </c>
      <c r="F1680" s="2"/>
      <c r="G1680" s="4" t="str">
        <f t="shared" si="183"/>
        <v/>
      </c>
      <c r="H1680" s="4" t="str">
        <f>IF(F1680="","",_xlfn.XLOOKUP(F1680,purchase!D:D,purchase!#REF!,""))</f>
        <v/>
      </c>
      <c r="I1680" s="4" t="str">
        <f t="shared" si="184"/>
        <v/>
      </c>
      <c r="J1680" s="4" t="str">
        <f t="shared" si="185"/>
        <v/>
      </c>
      <c r="K1680" s="13" t="str">
        <f>_xlfn.SINGLE(IF(F1680="","",_xlfn.XLOOKUP(F1680,purchase!D:D,purchase!#REF!,"")))</f>
        <v/>
      </c>
      <c r="L1680" s="2"/>
      <c r="M1680" s="32"/>
      <c r="N1680" s="13" t="str">
        <f>IF(F1680="","",
MAX(0,
_xlfn.XLOOKUP(F1680,purchase!D:D,purchase!#REF!,"")
-
SUMIFS(L:L,F:F,F1680)))</f>
        <v/>
      </c>
      <c r="O1680" s="13" t="str">
        <f t="shared" si="186"/>
        <v/>
      </c>
      <c r="P1680" s="35" t="str">
        <f>_xlfn.SINGLE(IF(F1680="","",_xlfn.XLOOKUP(F1680,purchase!D:D,purchase!K:K,"")))</f>
        <v/>
      </c>
      <c r="Q1680" s="29" t="str">
        <f t="shared" si="187"/>
        <v/>
      </c>
      <c r="R1680" s="37" t="str">
        <f t="shared" si="188"/>
        <v/>
      </c>
    </row>
    <row r="1681" spans="1:18" x14ac:dyDescent="0.35">
      <c r="A1681" s="8">
        <v>1677</v>
      </c>
      <c r="B1681" s="9" t="str">
        <f t="shared" si="182"/>
        <v/>
      </c>
      <c r="C1681" s="10"/>
      <c r="D1681" s="9" t="str">
        <f>IF(F1681="","",_xlfn.XLOOKUP(F1681,purchase!D:D,purchase!#REF!,""))</f>
        <v/>
      </c>
      <c r="E1681" s="9" t="str">
        <f>IF(F1681="","",_xlfn.XLOOKUP(F1681,purchase!D:D,purchase!B:B,""))</f>
        <v/>
      </c>
      <c r="F1681" s="2"/>
      <c r="G1681" s="4" t="str">
        <f t="shared" si="183"/>
        <v/>
      </c>
      <c r="H1681" s="4" t="str">
        <f>IF(F1681="","",_xlfn.XLOOKUP(F1681,purchase!D:D,purchase!#REF!,""))</f>
        <v/>
      </c>
      <c r="I1681" s="4" t="str">
        <f t="shared" si="184"/>
        <v/>
      </c>
      <c r="J1681" s="4" t="str">
        <f t="shared" si="185"/>
        <v/>
      </c>
      <c r="K1681" s="13" t="str">
        <f>_xlfn.SINGLE(IF(F1681="","",_xlfn.XLOOKUP(F1681,purchase!D:D,purchase!#REF!,"")))</f>
        <v/>
      </c>
      <c r="L1681" s="2"/>
      <c r="M1681" s="32"/>
      <c r="N1681" s="13" t="str">
        <f>IF(F1681="","",
MAX(0,
_xlfn.XLOOKUP(F1681,purchase!D:D,purchase!#REF!,"")
-
SUMIFS(L:L,F:F,F1681)))</f>
        <v/>
      </c>
      <c r="O1681" s="13" t="str">
        <f t="shared" si="186"/>
        <v/>
      </c>
      <c r="P1681" s="35" t="str">
        <f>_xlfn.SINGLE(IF(F1681="","",_xlfn.XLOOKUP(F1681,purchase!D:D,purchase!K:K,"")))</f>
        <v/>
      </c>
      <c r="Q1681" s="29" t="str">
        <f t="shared" si="187"/>
        <v/>
      </c>
      <c r="R1681" s="37" t="str">
        <f t="shared" si="188"/>
        <v/>
      </c>
    </row>
    <row r="1682" spans="1:18" x14ac:dyDescent="0.35">
      <c r="A1682" s="8">
        <v>1678</v>
      </c>
      <c r="B1682" s="9" t="str">
        <f t="shared" si="182"/>
        <v/>
      </c>
      <c r="C1682" s="10"/>
      <c r="D1682" s="9" t="str">
        <f>IF(F1682="","",_xlfn.XLOOKUP(F1682,purchase!D:D,purchase!#REF!,""))</f>
        <v/>
      </c>
      <c r="E1682" s="9" t="str">
        <f>IF(F1682="","",_xlfn.XLOOKUP(F1682,purchase!D:D,purchase!B:B,""))</f>
        <v/>
      </c>
      <c r="F1682" s="2"/>
      <c r="G1682" s="4" t="str">
        <f t="shared" si="183"/>
        <v/>
      </c>
      <c r="H1682" s="4" t="str">
        <f>IF(F1682="","",_xlfn.XLOOKUP(F1682,purchase!D:D,purchase!#REF!,""))</f>
        <v/>
      </c>
      <c r="I1682" s="4" t="str">
        <f t="shared" si="184"/>
        <v/>
      </c>
      <c r="J1682" s="4" t="str">
        <f t="shared" si="185"/>
        <v/>
      </c>
      <c r="K1682" s="13" t="str">
        <f>_xlfn.SINGLE(IF(F1682="","",_xlfn.XLOOKUP(F1682,purchase!D:D,purchase!#REF!,"")))</f>
        <v/>
      </c>
      <c r="L1682" s="2"/>
      <c r="M1682" s="32"/>
      <c r="N1682" s="13" t="str">
        <f>IF(F1682="","",
MAX(0,
_xlfn.XLOOKUP(F1682,purchase!D:D,purchase!#REF!,"")
-
SUMIFS(L:L,F:F,F1682)))</f>
        <v/>
      </c>
      <c r="O1682" s="13" t="str">
        <f t="shared" si="186"/>
        <v/>
      </c>
      <c r="P1682" s="35" t="str">
        <f>_xlfn.SINGLE(IF(F1682="","",_xlfn.XLOOKUP(F1682,purchase!D:D,purchase!K:K,"")))</f>
        <v/>
      </c>
      <c r="Q1682" s="29" t="str">
        <f t="shared" si="187"/>
        <v/>
      </c>
      <c r="R1682" s="37" t="str">
        <f t="shared" si="188"/>
        <v/>
      </c>
    </row>
    <row r="1683" spans="1:18" x14ac:dyDescent="0.35">
      <c r="A1683" s="8">
        <v>1679</v>
      </c>
      <c r="B1683" s="9" t="str">
        <f t="shared" si="182"/>
        <v/>
      </c>
      <c r="C1683" s="10"/>
      <c r="D1683" s="9" t="str">
        <f>IF(F1683="","",_xlfn.XLOOKUP(F1683,purchase!D:D,purchase!#REF!,""))</f>
        <v/>
      </c>
      <c r="E1683" s="9" t="str">
        <f>IF(F1683="","",_xlfn.XLOOKUP(F1683,purchase!D:D,purchase!B:B,""))</f>
        <v/>
      </c>
      <c r="F1683" s="2"/>
      <c r="G1683" s="4" t="str">
        <f t="shared" si="183"/>
        <v/>
      </c>
      <c r="H1683" s="4" t="str">
        <f>IF(F1683="","",_xlfn.XLOOKUP(F1683,purchase!D:D,purchase!#REF!,""))</f>
        <v/>
      </c>
      <c r="I1683" s="4" t="str">
        <f t="shared" si="184"/>
        <v/>
      </c>
      <c r="J1683" s="4" t="str">
        <f t="shared" si="185"/>
        <v/>
      </c>
      <c r="K1683" s="13" t="str">
        <f>_xlfn.SINGLE(IF(F1683="","",_xlfn.XLOOKUP(F1683,purchase!D:D,purchase!#REF!,"")))</f>
        <v/>
      </c>
      <c r="L1683" s="2"/>
      <c r="M1683" s="32"/>
      <c r="N1683" s="13" t="str">
        <f>IF(F1683="","",
MAX(0,
_xlfn.XLOOKUP(F1683,purchase!D:D,purchase!#REF!,"")
-
SUMIFS(L:L,F:F,F1683)))</f>
        <v/>
      </c>
      <c r="O1683" s="13" t="str">
        <f t="shared" si="186"/>
        <v/>
      </c>
      <c r="P1683" s="35" t="str">
        <f>_xlfn.SINGLE(IF(F1683="","",_xlfn.XLOOKUP(F1683,purchase!D:D,purchase!K:K,"")))</f>
        <v/>
      </c>
      <c r="Q1683" s="29" t="str">
        <f t="shared" si="187"/>
        <v/>
      </c>
      <c r="R1683" s="37" t="str">
        <f t="shared" si="188"/>
        <v/>
      </c>
    </row>
    <row r="1684" spans="1:18" x14ac:dyDescent="0.35">
      <c r="A1684" s="8">
        <v>1680</v>
      </c>
      <c r="B1684" s="9" t="str">
        <f t="shared" si="182"/>
        <v/>
      </c>
      <c r="C1684" s="10"/>
      <c r="D1684" s="9" t="str">
        <f>IF(F1684="","",_xlfn.XLOOKUP(F1684,purchase!D:D,purchase!#REF!,""))</f>
        <v/>
      </c>
      <c r="E1684" s="9" t="str">
        <f>IF(F1684="","",_xlfn.XLOOKUP(F1684,purchase!D:D,purchase!B:B,""))</f>
        <v/>
      </c>
      <c r="F1684" s="2"/>
      <c r="G1684" s="4" t="str">
        <f t="shared" si="183"/>
        <v/>
      </c>
      <c r="H1684" s="4" t="str">
        <f>IF(F1684="","",_xlfn.XLOOKUP(F1684,purchase!D:D,purchase!#REF!,""))</f>
        <v/>
      </c>
      <c r="I1684" s="4" t="str">
        <f t="shared" si="184"/>
        <v/>
      </c>
      <c r="J1684" s="4" t="str">
        <f t="shared" si="185"/>
        <v/>
      </c>
      <c r="K1684" s="13" t="str">
        <f>_xlfn.SINGLE(IF(F1684="","",_xlfn.XLOOKUP(F1684,purchase!D:D,purchase!#REF!,"")))</f>
        <v/>
      </c>
      <c r="L1684" s="2"/>
      <c r="M1684" s="32"/>
      <c r="N1684" s="13" t="str">
        <f>IF(F1684="","",
MAX(0,
_xlfn.XLOOKUP(F1684,purchase!D:D,purchase!#REF!,"")
-
SUMIFS(L:L,F:F,F1684)))</f>
        <v/>
      </c>
      <c r="O1684" s="13" t="str">
        <f t="shared" si="186"/>
        <v/>
      </c>
      <c r="P1684" s="35" t="str">
        <f>_xlfn.SINGLE(IF(F1684="","",_xlfn.XLOOKUP(F1684,purchase!D:D,purchase!K:K,"")))</f>
        <v/>
      </c>
      <c r="Q1684" s="29" t="str">
        <f t="shared" si="187"/>
        <v/>
      </c>
      <c r="R1684" s="37" t="str">
        <f t="shared" si="188"/>
        <v/>
      </c>
    </row>
    <row r="1685" spans="1:18" x14ac:dyDescent="0.35">
      <c r="A1685" s="8">
        <v>1681</v>
      </c>
      <c r="B1685" s="9" t="str">
        <f t="shared" si="182"/>
        <v/>
      </c>
      <c r="C1685" s="10"/>
      <c r="D1685" s="9" t="str">
        <f>IF(F1685="","",_xlfn.XLOOKUP(F1685,purchase!D:D,purchase!#REF!,""))</f>
        <v/>
      </c>
      <c r="E1685" s="9" t="str">
        <f>IF(F1685="","",_xlfn.XLOOKUP(F1685,purchase!D:D,purchase!B:B,""))</f>
        <v/>
      </c>
      <c r="F1685" s="2"/>
      <c r="G1685" s="4" t="str">
        <f t="shared" si="183"/>
        <v/>
      </c>
      <c r="H1685" s="4" t="str">
        <f>IF(F1685="","",_xlfn.XLOOKUP(F1685,purchase!D:D,purchase!#REF!,""))</f>
        <v/>
      </c>
      <c r="I1685" s="4" t="str">
        <f t="shared" si="184"/>
        <v/>
      </c>
      <c r="J1685" s="4" t="str">
        <f t="shared" si="185"/>
        <v/>
      </c>
      <c r="K1685" s="13" t="str">
        <f>_xlfn.SINGLE(IF(F1685="","",_xlfn.XLOOKUP(F1685,purchase!D:D,purchase!#REF!,"")))</f>
        <v/>
      </c>
      <c r="L1685" s="2"/>
      <c r="M1685" s="32"/>
      <c r="N1685" s="13" t="str">
        <f>IF(F1685="","",
MAX(0,
_xlfn.XLOOKUP(F1685,purchase!D:D,purchase!#REF!,"")
-
SUMIFS(L:L,F:F,F1685)))</f>
        <v/>
      </c>
      <c r="O1685" s="13" t="str">
        <f t="shared" si="186"/>
        <v/>
      </c>
      <c r="P1685" s="35" t="str">
        <f>_xlfn.SINGLE(IF(F1685="","",_xlfn.XLOOKUP(F1685,purchase!D:D,purchase!K:K,"")))</f>
        <v/>
      </c>
      <c r="Q1685" s="29" t="str">
        <f t="shared" si="187"/>
        <v/>
      </c>
      <c r="R1685" s="37" t="str">
        <f t="shared" si="188"/>
        <v/>
      </c>
    </row>
    <row r="1686" spans="1:18" x14ac:dyDescent="0.35">
      <c r="A1686" s="8">
        <v>1682</v>
      </c>
      <c r="B1686" s="9" t="str">
        <f t="shared" si="182"/>
        <v/>
      </c>
      <c r="C1686" s="10"/>
      <c r="D1686" s="9" t="str">
        <f>IF(F1686="","",_xlfn.XLOOKUP(F1686,purchase!D:D,purchase!#REF!,""))</f>
        <v/>
      </c>
      <c r="E1686" s="9" t="str">
        <f>IF(F1686="","",_xlfn.XLOOKUP(F1686,purchase!D:D,purchase!B:B,""))</f>
        <v/>
      </c>
      <c r="F1686" s="2"/>
      <c r="G1686" s="4" t="str">
        <f t="shared" si="183"/>
        <v/>
      </c>
      <c r="H1686" s="4" t="str">
        <f>IF(F1686="","",_xlfn.XLOOKUP(F1686,purchase!D:D,purchase!#REF!,""))</f>
        <v/>
      </c>
      <c r="I1686" s="4" t="str">
        <f t="shared" si="184"/>
        <v/>
      </c>
      <c r="J1686" s="4" t="str">
        <f t="shared" si="185"/>
        <v/>
      </c>
      <c r="K1686" s="13" t="str">
        <f>_xlfn.SINGLE(IF(F1686="","",_xlfn.XLOOKUP(F1686,purchase!D:D,purchase!#REF!,"")))</f>
        <v/>
      </c>
      <c r="L1686" s="2"/>
      <c r="M1686" s="32"/>
      <c r="N1686" s="13" t="str">
        <f>IF(F1686="","",
MAX(0,
_xlfn.XLOOKUP(F1686,purchase!D:D,purchase!#REF!,"")
-
SUMIFS(L:L,F:F,F1686)))</f>
        <v/>
      </c>
      <c r="O1686" s="13" t="str">
        <f t="shared" si="186"/>
        <v/>
      </c>
      <c r="P1686" s="35" t="str">
        <f>_xlfn.SINGLE(IF(F1686="","",_xlfn.XLOOKUP(F1686,purchase!D:D,purchase!K:K,"")))</f>
        <v/>
      </c>
      <c r="Q1686" s="29" t="str">
        <f t="shared" si="187"/>
        <v/>
      </c>
      <c r="R1686" s="37" t="str">
        <f t="shared" si="188"/>
        <v/>
      </c>
    </row>
    <row r="1687" spans="1:18" x14ac:dyDescent="0.35">
      <c r="A1687" s="8">
        <v>1683</v>
      </c>
      <c r="B1687" s="9" t="str">
        <f t="shared" si="182"/>
        <v/>
      </c>
      <c r="C1687" s="10"/>
      <c r="D1687" s="9" t="str">
        <f>IF(F1687="","",_xlfn.XLOOKUP(F1687,purchase!D:D,purchase!#REF!,""))</f>
        <v/>
      </c>
      <c r="E1687" s="9" t="str">
        <f>IF(F1687="","",_xlfn.XLOOKUP(F1687,purchase!D:D,purchase!B:B,""))</f>
        <v/>
      </c>
      <c r="F1687" s="2"/>
      <c r="G1687" s="4" t="str">
        <f t="shared" si="183"/>
        <v/>
      </c>
      <c r="H1687" s="4" t="str">
        <f>IF(F1687="","",_xlfn.XLOOKUP(F1687,purchase!D:D,purchase!#REF!,""))</f>
        <v/>
      </c>
      <c r="I1687" s="4" t="str">
        <f t="shared" si="184"/>
        <v/>
      </c>
      <c r="J1687" s="4" t="str">
        <f t="shared" si="185"/>
        <v/>
      </c>
      <c r="K1687" s="13" t="str">
        <f>_xlfn.SINGLE(IF(F1687="","",_xlfn.XLOOKUP(F1687,purchase!D:D,purchase!#REF!,"")))</f>
        <v/>
      </c>
      <c r="L1687" s="2"/>
      <c r="M1687" s="32"/>
      <c r="N1687" s="13" t="str">
        <f>IF(F1687="","",
MAX(0,
_xlfn.XLOOKUP(F1687,purchase!D:D,purchase!#REF!,"")
-
SUMIFS(L:L,F:F,F1687)))</f>
        <v/>
      </c>
      <c r="O1687" s="13" t="str">
        <f t="shared" si="186"/>
        <v/>
      </c>
      <c r="P1687" s="35" t="str">
        <f>_xlfn.SINGLE(IF(F1687="","",_xlfn.XLOOKUP(F1687,purchase!D:D,purchase!K:K,"")))</f>
        <v/>
      </c>
      <c r="Q1687" s="29" t="str">
        <f t="shared" si="187"/>
        <v/>
      </c>
      <c r="R1687" s="37" t="str">
        <f t="shared" si="188"/>
        <v/>
      </c>
    </row>
    <row r="1688" spans="1:18" x14ac:dyDescent="0.35">
      <c r="A1688" s="8">
        <v>1684</v>
      </c>
      <c r="B1688" s="9" t="str">
        <f t="shared" si="182"/>
        <v/>
      </c>
      <c r="C1688" s="10"/>
      <c r="D1688" s="9" t="str">
        <f>IF(F1688="","",_xlfn.XLOOKUP(F1688,purchase!D:D,purchase!#REF!,""))</f>
        <v/>
      </c>
      <c r="E1688" s="9" t="str">
        <f>IF(F1688="","",_xlfn.XLOOKUP(F1688,purchase!D:D,purchase!B:B,""))</f>
        <v/>
      </c>
      <c r="F1688" s="2"/>
      <c r="G1688" s="4" t="str">
        <f t="shared" si="183"/>
        <v/>
      </c>
      <c r="H1688" s="4" t="str">
        <f>IF(F1688="","",_xlfn.XLOOKUP(F1688,purchase!D:D,purchase!#REF!,""))</f>
        <v/>
      </c>
      <c r="I1688" s="4" t="str">
        <f t="shared" si="184"/>
        <v/>
      </c>
      <c r="J1688" s="4" t="str">
        <f t="shared" si="185"/>
        <v/>
      </c>
      <c r="K1688" s="13" t="str">
        <f>_xlfn.SINGLE(IF(F1688="","",_xlfn.XLOOKUP(F1688,purchase!D:D,purchase!#REF!,"")))</f>
        <v/>
      </c>
      <c r="L1688" s="2"/>
      <c r="M1688" s="32"/>
      <c r="N1688" s="13" t="str">
        <f>IF(F1688="","",
MAX(0,
_xlfn.XLOOKUP(F1688,purchase!D:D,purchase!#REF!,"")
-
SUMIFS(L:L,F:F,F1688)))</f>
        <v/>
      </c>
      <c r="O1688" s="13" t="str">
        <f t="shared" si="186"/>
        <v/>
      </c>
      <c r="P1688" s="35" t="str">
        <f>_xlfn.SINGLE(IF(F1688="","",_xlfn.XLOOKUP(F1688,purchase!D:D,purchase!K:K,"")))</f>
        <v/>
      </c>
      <c r="Q1688" s="29" t="str">
        <f t="shared" si="187"/>
        <v/>
      </c>
      <c r="R1688" s="37" t="str">
        <f t="shared" si="188"/>
        <v/>
      </c>
    </row>
    <row r="1689" spans="1:18" x14ac:dyDescent="0.35">
      <c r="A1689" s="8">
        <v>1685</v>
      </c>
      <c r="B1689" s="9" t="str">
        <f t="shared" si="182"/>
        <v/>
      </c>
      <c r="C1689" s="10"/>
      <c r="D1689" s="9" t="str">
        <f>IF(F1689="","",_xlfn.XLOOKUP(F1689,purchase!D:D,purchase!#REF!,""))</f>
        <v/>
      </c>
      <c r="E1689" s="9" t="str">
        <f>IF(F1689="","",_xlfn.XLOOKUP(F1689,purchase!D:D,purchase!B:B,""))</f>
        <v/>
      </c>
      <c r="F1689" s="2"/>
      <c r="G1689" s="4" t="str">
        <f t="shared" si="183"/>
        <v/>
      </c>
      <c r="H1689" s="4" t="str">
        <f>IF(F1689="","",_xlfn.XLOOKUP(F1689,purchase!D:D,purchase!#REF!,""))</f>
        <v/>
      </c>
      <c r="I1689" s="4" t="str">
        <f t="shared" si="184"/>
        <v/>
      </c>
      <c r="J1689" s="4" t="str">
        <f t="shared" si="185"/>
        <v/>
      </c>
      <c r="K1689" s="13" t="str">
        <f>_xlfn.SINGLE(IF(F1689="","",_xlfn.XLOOKUP(F1689,purchase!D:D,purchase!#REF!,"")))</f>
        <v/>
      </c>
      <c r="L1689" s="2"/>
      <c r="M1689" s="32"/>
      <c r="N1689" s="13" t="str">
        <f>IF(F1689="","",
MAX(0,
_xlfn.XLOOKUP(F1689,purchase!D:D,purchase!#REF!,"")
-
SUMIFS(L:L,F:F,F1689)))</f>
        <v/>
      </c>
      <c r="O1689" s="13" t="str">
        <f t="shared" si="186"/>
        <v/>
      </c>
      <c r="P1689" s="35" t="str">
        <f>_xlfn.SINGLE(IF(F1689="","",_xlfn.XLOOKUP(F1689,purchase!D:D,purchase!K:K,"")))</f>
        <v/>
      </c>
      <c r="Q1689" s="29" t="str">
        <f t="shared" si="187"/>
        <v/>
      </c>
      <c r="R1689" s="37" t="str">
        <f t="shared" si="188"/>
        <v/>
      </c>
    </row>
    <row r="1690" spans="1:18" x14ac:dyDescent="0.35">
      <c r="A1690" s="8">
        <v>1686</v>
      </c>
      <c r="B1690" s="9" t="str">
        <f t="shared" si="182"/>
        <v/>
      </c>
      <c r="C1690" s="10"/>
      <c r="D1690" s="9" t="str">
        <f>IF(F1690="","",_xlfn.XLOOKUP(F1690,purchase!D:D,purchase!#REF!,""))</f>
        <v/>
      </c>
      <c r="E1690" s="9" t="str">
        <f>IF(F1690="","",_xlfn.XLOOKUP(F1690,purchase!D:D,purchase!B:B,""))</f>
        <v/>
      </c>
      <c r="F1690" s="2"/>
      <c r="G1690" s="4" t="str">
        <f t="shared" si="183"/>
        <v/>
      </c>
      <c r="H1690" s="4" t="str">
        <f>IF(F1690="","",_xlfn.XLOOKUP(F1690,purchase!D:D,purchase!#REF!,""))</f>
        <v/>
      </c>
      <c r="I1690" s="4" t="str">
        <f t="shared" si="184"/>
        <v/>
      </c>
      <c r="J1690" s="4" t="str">
        <f t="shared" si="185"/>
        <v/>
      </c>
      <c r="K1690" s="13" t="str">
        <f>_xlfn.SINGLE(IF(F1690="","",_xlfn.XLOOKUP(F1690,purchase!D:D,purchase!#REF!,"")))</f>
        <v/>
      </c>
      <c r="L1690" s="2"/>
      <c r="M1690" s="32"/>
      <c r="N1690" s="13" t="str">
        <f>IF(F1690="","",
MAX(0,
_xlfn.XLOOKUP(F1690,purchase!D:D,purchase!#REF!,"")
-
SUMIFS(L:L,F:F,F1690)))</f>
        <v/>
      </c>
      <c r="O1690" s="13" t="str">
        <f t="shared" si="186"/>
        <v/>
      </c>
      <c r="P1690" s="35" t="str">
        <f>_xlfn.SINGLE(IF(F1690="","",_xlfn.XLOOKUP(F1690,purchase!D:D,purchase!K:K,"")))</f>
        <v/>
      </c>
      <c r="Q1690" s="29" t="str">
        <f t="shared" si="187"/>
        <v/>
      </c>
      <c r="R1690" s="37" t="str">
        <f t="shared" si="188"/>
        <v/>
      </c>
    </row>
    <row r="1691" spans="1:18" x14ac:dyDescent="0.35">
      <c r="A1691" s="8">
        <v>1687</v>
      </c>
      <c r="B1691" s="9" t="str">
        <f t="shared" si="182"/>
        <v/>
      </c>
      <c r="C1691" s="10"/>
      <c r="D1691" s="9" t="str">
        <f>IF(F1691="","",_xlfn.XLOOKUP(F1691,purchase!D:D,purchase!#REF!,""))</f>
        <v/>
      </c>
      <c r="E1691" s="9" t="str">
        <f>IF(F1691="","",_xlfn.XLOOKUP(F1691,purchase!D:D,purchase!B:B,""))</f>
        <v/>
      </c>
      <c r="F1691" s="2"/>
      <c r="G1691" s="4" t="str">
        <f t="shared" si="183"/>
        <v/>
      </c>
      <c r="H1691" s="4" t="str">
        <f>IF(F1691="","",_xlfn.XLOOKUP(F1691,purchase!D:D,purchase!#REF!,""))</f>
        <v/>
      </c>
      <c r="I1691" s="4" t="str">
        <f t="shared" si="184"/>
        <v/>
      </c>
      <c r="J1691" s="4" t="str">
        <f t="shared" si="185"/>
        <v/>
      </c>
      <c r="K1691" s="13" t="str">
        <f>_xlfn.SINGLE(IF(F1691="","",_xlfn.XLOOKUP(F1691,purchase!D:D,purchase!#REF!,"")))</f>
        <v/>
      </c>
      <c r="L1691" s="2"/>
      <c r="M1691" s="32"/>
      <c r="N1691" s="13" t="str">
        <f>IF(F1691="","",
MAX(0,
_xlfn.XLOOKUP(F1691,purchase!D:D,purchase!#REF!,"")
-
SUMIFS(L:L,F:F,F1691)))</f>
        <v/>
      </c>
      <c r="O1691" s="13" t="str">
        <f t="shared" si="186"/>
        <v/>
      </c>
      <c r="P1691" s="35" t="str">
        <f>_xlfn.SINGLE(IF(F1691="","",_xlfn.XLOOKUP(F1691,purchase!D:D,purchase!K:K,"")))</f>
        <v/>
      </c>
      <c r="Q1691" s="29" t="str">
        <f t="shared" si="187"/>
        <v/>
      </c>
      <c r="R1691" s="37" t="str">
        <f t="shared" si="188"/>
        <v/>
      </c>
    </row>
    <row r="1692" spans="1:18" x14ac:dyDescent="0.35">
      <c r="A1692" s="8">
        <v>1688</v>
      </c>
      <c r="B1692" s="9" t="str">
        <f t="shared" si="182"/>
        <v/>
      </c>
      <c r="C1692" s="10"/>
      <c r="D1692" s="9" t="str">
        <f>IF(F1692="","",_xlfn.XLOOKUP(F1692,purchase!D:D,purchase!#REF!,""))</f>
        <v/>
      </c>
      <c r="E1692" s="9" t="str">
        <f>IF(F1692="","",_xlfn.XLOOKUP(F1692,purchase!D:D,purchase!B:B,""))</f>
        <v/>
      </c>
      <c r="F1692" s="2"/>
      <c r="G1692" s="4" t="str">
        <f t="shared" si="183"/>
        <v/>
      </c>
      <c r="H1692" s="4" t="str">
        <f>IF(F1692="","",_xlfn.XLOOKUP(F1692,purchase!D:D,purchase!#REF!,""))</f>
        <v/>
      </c>
      <c r="I1692" s="4" t="str">
        <f t="shared" si="184"/>
        <v/>
      </c>
      <c r="J1692" s="4" t="str">
        <f t="shared" si="185"/>
        <v/>
      </c>
      <c r="K1692" s="13" t="str">
        <f>_xlfn.SINGLE(IF(F1692="","",_xlfn.XLOOKUP(F1692,purchase!D:D,purchase!#REF!,"")))</f>
        <v/>
      </c>
      <c r="L1692" s="2"/>
      <c r="M1692" s="32"/>
      <c r="N1692" s="13" t="str">
        <f>IF(F1692="","",
MAX(0,
_xlfn.XLOOKUP(F1692,purchase!D:D,purchase!#REF!,"")
-
SUMIFS(L:L,F:F,F1692)))</f>
        <v/>
      </c>
      <c r="O1692" s="13" t="str">
        <f t="shared" si="186"/>
        <v/>
      </c>
      <c r="P1692" s="35" t="str">
        <f>_xlfn.SINGLE(IF(F1692="","",_xlfn.XLOOKUP(F1692,purchase!D:D,purchase!K:K,"")))</f>
        <v/>
      </c>
      <c r="Q1692" s="29" t="str">
        <f t="shared" si="187"/>
        <v/>
      </c>
      <c r="R1692" s="37" t="str">
        <f t="shared" si="188"/>
        <v/>
      </c>
    </row>
    <row r="1693" spans="1:18" x14ac:dyDescent="0.35">
      <c r="A1693" s="8">
        <v>1689</v>
      </c>
      <c r="B1693" s="9" t="str">
        <f t="shared" si="182"/>
        <v/>
      </c>
      <c r="C1693" s="10"/>
      <c r="D1693" s="9" t="str">
        <f>IF(F1693="","",_xlfn.XLOOKUP(F1693,purchase!D:D,purchase!#REF!,""))</f>
        <v/>
      </c>
      <c r="E1693" s="9" t="str">
        <f>IF(F1693="","",_xlfn.XLOOKUP(F1693,purchase!D:D,purchase!B:B,""))</f>
        <v/>
      </c>
      <c r="F1693" s="2"/>
      <c r="G1693" s="4" t="str">
        <f t="shared" si="183"/>
        <v/>
      </c>
      <c r="H1693" s="4" t="str">
        <f>IF(F1693="","",_xlfn.XLOOKUP(F1693,purchase!D:D,purchase!#REF!,""))</f>
        <v/>
      </c>
      <c r="I1693" s="4" t="str">
        <f t="shared" si="184"/>
        <v/>
      </c>
      <c r="J1693" s="4" t="str">
        <f t="shared" si="185"/>
        <v/>
      </c>
      <c r="K1693" s="13" t="str">
        <f>_xlfn.SINGLE(IF(F1693="","",_xlfn.XLOOKUP(F1693,purchase!D:D,purchase!#REF!,"")))</f>
        <v/>
      </c>
      <c r="L1693" s="2"/>
      <c r="M1693" s="32"/>
      <c r="N1693" s="13" t="str">
        <f>IF(F1693="","",
MAX(0,
_xlfn.XLOOKUP(F1693,purchase!D:D,purchase!#REF!,"")
-
SUMIFS(L:L,F:F,F1693)))</f>
        <v/>
      </c>
      <c r="O1693" s="13" t="str">
        <f t="shared" si="186"/>
        <v/>
      </c>
      <c r="P1693" s="35" t="str">
        <f>_xlfn.SINGLE(IF(F1693="","",_xlfn.XLOOKUP(F1693,purchase!D:D,purchase!K:K,"")))</f>
        <v/>
      </c>
      <c r="Q1693" s="29" t="str">
        <f t="shared" si="187"/>
        <v/>
      </c>
      <c r="R1693" s="37" t="str">
        <f t="shared" si="188"/>
        <v/>
      </c>
    </row>
    <row r="1694" spans="1:18" x14ac:dyDescent="0.35">
      <c r="A1694" s="8">
        <v>1690</v>
      </c>
      <c r="B1694" s="9" t="str">
        <f t="shared" si="182"/>
        <v/>
      </c>
      <c r="C1694" s="10"/>
      <c r="D1694" s="9" t="str">
        <f>IF(F1694="","",_xlfn.XLOOKUP(F1694,purchase!D:D,purchase!#REF!,""))</f>
        <v/>
      </c>
      <c r="E1694" s="9" t="str">
        <f>IF(F1694="","",_xlfn.XLOOKUP(F1694,purchase!D:D,purchase!B:B,""))</f>
        <v/>
      </c>
      <c r="F1694" s="2"/>
      <c r="G1694" s="4" t="str">
        <f t="shared" si="183"/>
        <v/>
      </c>
      <c r="H1694" s="4" t="str">
        <f>IF(F1694="","",_xlfn.XLOOKUP(F1694,purchase!D:D,purchase!#REF!,""))</f>
        <v/>
      </c>
      <c r="I1694" s="4" t="str">
        <f t="shared" si="184"/>
        <v/>
      </c>
      <c r="J1694" s="4" t="str">
        <f t="shared" si="185"/>
        <v/>
      </c>
      <c r="K1694" s="13" t="str">
        <f>_xlfn.SINGLE(IF(F1694="","",_xlfn.XLOOKUP(F1694,purchase!D:D,purchase!#REF!,"")))</f>
        <v/>
      </c>
      <c r="L1694" s="2"/>
      <c r="M1694" s="32"/>
      <c r="N1694" s="13" t="str">
        <f>IF(F1694="","",
MAX(0,
_xlfn.XLOOKUP(F1694,purchase!D:D,purchase!#REF!,"")
-
SUMIFS(L:L,F:F,F1694)))</f>
        <v/>
      </c>
      <c r="O1694" s="13" t="str">
        <f t="shared" si="186"/>
        <v/>
      </c>
      <c r="P1694" s="35" t="str">
        <f>_xlfn.SINGLE(IF(F1694="","",_xlfn.XLOOKUP(F1694,purchase!D:D,purchase!K:K,"")))</f>
        <v/>
      </c>
      <c r="Q1694" s="29" t="str">
        <f t="shared" si="187"/>
        <v/>
      </c>
      <c r="R1694" s="37" t="str">
        <f t="shared" si="188"/>
        <v/>
      </c>
    </row>
    <row r="1695" spans="1:18" x14ac:dyDescent="0.35">
      <c r="A1695" s="8">
        <v>1691</v>
      </c>
      <c r="B1695" s="9" t="str">
        <f t="shared" si="182"/>
        <v/>
      </c>
      <c r="C1695" s="10"/>
      <c r="D1695" s="9" t="str">
        <f>IF(F1695="","",_xlfn.XLOOKUP(F1695,purchase!D:D,purchase!#REF!,""))</f>
        <v/>
      </c>
      <c r="E1695" s="9" t="str">
        <f>IF(F1695="","",_xlfn.XLOOKUP(F1695,purchase!D:D,purchase!B:B,""))</f>
        <v/>
      </c>
      <c r="F1695" s="2"/>
      <c r="G1695" s="4" t="str">
        <f t="shared" si="183"/>
        <v/>
      </c>
      <c r="H1695" s="4" t="str">
        <f>IF(F1695="","",_xlfn.XLOOKUP(F1695,purchase!D:D,purchase!#REF!,""))</f>
        <v/>
      </c>
      <c r="I1695" s="4" t="str">
        <f t="shared" si="184"/>
        <v/>
      </c>
      <c r="J1695" s="4" t="str">
        <f t="shared" si="185"/>
        <v/>
      </c>
      <c r="K1695" s="13" t="str">
        <f>_xlfn.SINGLE(IF(F1695="","",_xlfn.XLOOKUP(F1695,purchase!D:D,purchase!#REF!,"")))</f>
        <v/>
      </c>
      <c r="L1695" s="2"/>
      <c r="M1695" s="32"/>
      <c r="N1695" s="13" t="str">
        <f>IF(F1695="","",
MAX(0,
_xlfn.XLOOKUP(F1695,purchase!D:D,purchase!#REF!,"")
-
SUMIFS(L:L,F:F,F1695)))</f>
        <v/>
      </c>
      <c r="O1695" s="13" t="str">
        <f t="shared" si="186"/>
        <v/>
      </c>
      <c r="P1695" s="35" t="str">
        <f>_xlfn.SINGLE(IF(F1695="","",_xlfn.XLOOKUP(F1695,purchase!D:D,purchase!K:K,"")))</f>
        <v/>
      </c>
      <c r="Q1695" s="29" t="str">
        <f t="shared" si="187"/>
        <v/>
      </c>
      <c r="R1695" s="37" t="str">
        <f t="shared" si="188"/>
        <v/>
      </c>
    </row>
    <row r="1696" spans="1:18" x14ac:dyDescent="0.35">
      <c r="A1696" s="8">
        <v>1692</v>
      </c>
      <c r="B1696" s="9" t="str">
        <f t="shared" si="182"/>
        <v/>
      </c>
      <c r="C1696" s="10"/>
      <c r="D1696" s="9" t="str">
        <f>IF(F1696="","",_xlfn.XLOOKUP(F1696,purchase!D:D,purchase!#REF!,""))</f>
        <v/>
      </c>
      <c r="E1696" s="9" t="str">
        <f>IF(F1696="","",_xlfn.XLOOKUP(F1696,purchase!D:D,purchase!B:B,""))</f>
        <v/>
      </c>
      <c r="F1696" s="2"/>
      <c r="G1696" s="4" t="str">
        <f t="shared" si="183"/>
        <v/>
      </c>
      <c r="H1696" s="4" t="str">
        <f>IF(F1696="","",_xlfn.XLOOKUP(F1696,purchase!D:D,purchase!#REF!,""))</f>
        <v/>
      </c>
      <c r="I1696" s="4" t="str">
        <f t="shared" si="184"/>
        <v/>
      </c>
      <c r="J1696" s="4" t="str">
        <f t="shared" si="185"/>
        <v/>
      </c>
      <c r="K1696" s="13" t="str">
        <f>_xlfn.SINGLE(IF(F1696="","",_xlfn.XLOOKUP(F1696,purchase!D:D,purchase!#REF!,"")))</f>
        <v/>
      </c>
      <c r="L1696" s="2"/>
      <c r="M1696" s="32"/>
      <c r="N1696" s="13" t="str">
        <f>IF(F1696="","",
MAX(0,
_xlfn.XLOOKUP(F1696,purchase!D:D,purchase!#REF!,"")
-
SUMIFS(L:L,F:F,F1696)))</f>
        <v/>
      </c>
      <c r="O1696" s="13" t="str">
        <f t="shared" si="186"/>
        <v/>
      </c>
      <c r="P1696" s="35" t="str">
        <f>_xlfn.SINGLE(IF(F1696="","",_xlfn.XLOOKUP(F1696,purchase!D:D,purchase!K:K,"")))</f>
        <v/>
      </c>
      <c r="Q1696" s="29" t="str">
        <f t="shared" si="187"/>
        <v/>
      </c>
      <c r="R1696" s="37" t="str">
        <f t="shared" si="188"/>
        <v/>
      </c>
    </row>
    <row r="1697" spans="1:18" x14ac:dyDescent="0.35">
      <c r="A1697" s="8">
        <v>1693</v>
      </c>
      <c r="B1697" s="9" t="str">
        <f t="shared" si="182"/>
        <v/>
      </c>
      <c r="C1697" s="10"/>
      <c r="D1697" s="9" t="str">
        <f>IF(F1697="","",_xlfn.XLOOKUP(F1697,purchase!D:D,purchase!#REF!,""))</f>
        <v/>
      </c>
      <c r="E1697" s="9" t="str">
        <f>IF(F1697="","",_xlfn.XLOOKUP(F1697,purchase!D:D,purchase!B:B,""))</f>
        <v/>
      </c>
      <c r="F1697" s="2"/>
      <c r="G1697" s="4" t="str">
        <f t="shared" si="183"/>
        <v/>
      </c>
      <c r="H1697" s="4" t="str">
        <f>IF(F1697="","",_xlfn.XLOOKUP(F1697,purchase!D:D,purchase!#REF!,""))</f>
        <v/>
      </c>
      <c r="I1697" s="4" t="str">
        <f t="shared" si="184"/>
        <v/>
      </c>
      <c r="J1697" s="4" t="str">
        <f t="shared" si="185"/>
        <v/>
      </c>
      <c r="K1697" s="13" t="str">
        <f>_xlfn.SINGLE(IF(F1697="","",_xlfn.XLOOKUP(F1697,purchase!D:D,purchase!#REF!,"")))</f>
        <v/>
      </c>
      <c r="L1697" s="2"/>
      <c r="M1697" s="32"/>
      <c r="N1697" s="13" t="str">
        <f>IF(F1697="","",
MAX(0,
_xlfn.XLOOKUP(F1697,purchase!D:D,purchase!#REF!,"")
-
SUMIFS(L:L,F:F,F1697)))</f>
        <v/>
      </c>
      <c r="O1697" s="13" t="str">
        <f t="shared" si="186"/>
        <v/>
      </c>
      <c r="P1697" s="35" t="str">
        <f>_xlfn.SINGLE(IF(F1697="","",_xlfn.XLOOKUP(F1697,purchase!D:D,purchase!K:K,"")))</f>
        <v/>
      </c>
      <c r="Q1697" s="29" t="str">
        <f t="shared" si="187"/>
        <v/>
      </c>
      <c r="R1697" s="37" t="str">
        <f t="shared" si="188"/>
        <v/>
      </c>
    </row>
    <row r="1698" spans="1:18" x14ac:dyDescent="0.35">
      <c r="A1698" s="8">
        <v>1694</v>
      </c>
      <c r="B1698" s="9" t="str">
        <f t="shared" si="182"/>
        <v/>
      </c>
      <c r="C1698" s="10"/>
      <c r="D1698" s="9" t="str">
        <f>IF(F1698="","",_xlfn.XLOOKUP(F1698,purchase!D:D,purchase!#REF!,""))</f>
        <v/>
      </c>
      <c r="E1698" s="9" t="str">
        <f>IF(F1698="","",_xlfn.XLOOKUP(F1698,purchase!D:D,purchase!B:B,""))</f>
        <v/>
      </c>
      <c r="F1698" s="2"/>
      <c r="G1698" s="4" t="str">
        <f t="shared" si="183"/>
        <v/>
      </c>
      <c r="H1698" s="4" t="str">
        <f>IF(F1698="","",_xlfn.XLOOKUP(F1698,purchase!D:D,purchase!#REF!,""))</f>
        <v/>
      </c>
      <c r="I1698" s="4" t="str">
        <f t="shared" si="184"/>
        <v/>
      </c>
      <c r="J1698" s="4" t="str">
        <f t="shared" si="185"/>
        <v/>
      </c>
      <c r="K1698" s="13" t="str">
        <f>_xlfn.SINGLE(IF(F1698="","",_xlfn.XLOOKUP(F1698,purchase!D:D,purchase!#REF!,"")))</f>
        <v/>
      </c>
      <c r="L1698" s="2"/>
      <c r="M1698" s="32"/>
      <c r="N1698" s="13" t="str">
        <f>IF(F1698="","",
MAX(0,
_xlfn.XLOOKUP(F1698,purchase!D:D,purchase!#REF!,"")
-
SUMIFS(L:L,F:F,F1698)))</f>
        <v/>
      </c>
      <c r="O1698" s="13" t="str">
        <f t="shared" si="186"/>
        <v/>
      </c>
      <c r="P1698" s="35" t="str">
        <f>_xlfn.SINGLE(IF(F1698="","",_xlfn.XLOOKUP(F1698,purchase!D:D,purchase!K:K,"")))</f>
        <v/>
      </c>
      <c r="Q1698" s="29" t="str">
        <f t="shared" si="187"/>
        <v/>
      </c>
      <c r="R1698" s="37" t="str">
        <f t="shared" si="188"/>
        <v/>
      </c>
    </row>
    <row r="1699" spans="1:18" x14ac:dyDescent="0.35">
      <c r="A1699" s="8">
        <v>1695</v>
      </c>
      <c r="B1699" s="9" t="str">
        <f t="shared" si="182"/>
        <v/>
      </c>
      <c r="C1699" s="10"/>
      <c r="D1699" s="9" t="str">
        <f>IF(F1699="","",_xlfn.XLOOKUP(F1699,purchase!D:D,purchase!#REF!,""))</f>
        <v/>
      </c>
      <c r="E1699" s="9" t="str">
        <f>IF(F1699="","",_xlfn.XLOOKUP(F1699,purchase!D:D,purchase!B:B,""))</f>
        <v/>
      </c>
      <c r="F1699" s="2"/>
      <c r="G1699" s="4" t="str">
        <f t="shared" si="183"/>
        <v/>
      </c>
      <c r="H1699" s="4" t="str">
        <f>IF(F1699="","",_xlfn.XLOOKUP(F1699,purchase!D:D,purchase!#REF!,""))</f>
        <v/>
      </c>
      <c r="I1699" s="4" t="str">
        <f t="shared" si="184"/>
        <v/>
      </c>
      <c r="J1699" s="4" t="str">
        <f t="shared" si="185"/>
        <v/>
      </c>
      <c r="K1699" s="13" t="str">
        <f>_xlfn.SINGLE(IF(F1699="","",_xlfn.XLOOKUP(F1699,purchase!D:D,purchase!#REF!,"")))</f>
        <v/>
      </c>
      <c r="L1699" s="2"/>
      <c r="M1699" s="32"/>
      <c r="N1699" s="13" t="str">
        <f>IF(F1699="","",
MAX(0,
_xlfn.XLOOKUP(F1699,purchase!D:D,purchase!#REF!,"")
-
SUMIFS(L:L,F:F,F1699)))</f>
        <v/>
      </c>
      <c r="O1699" s="13" t="str">
        <f t="shared" si="186"/>
        <v/>
      </c>
      <c r="P1699" s="35" t="str">
        <f>_xlfn.SINGLE(IF(F1699="","",_xlfn.XLOOKUP(F1699,purchase!D:D,purchase!K:K,"")))</f>
        <v/>
      </c>
      <c r="Q1699" s="29" t="str">
        <f t="shared" si="187"/>
        <v/>
      </c>
      <c r="R1699" s="37" t="str">
        <f t="shared" si="188"/>
        <v/>
      </c>
    </row>
    <row r="1700" spans="1:18" x14ac:dyDescent="0.35">
      <c r="A1700" s="8">
        <v>1696</v>
      </c>
      <c r="B1700" s="9" t="str">
        <f t="shared" si="182"/>
        <v/>
      </c>
      <c r="C1700" s="10"/>
      <c r="D1700" s="9" t="str">
        <f>IF(F1700="","",_xlfn.XLOOKUP(F1700,purchase!D:D,purchase!#REF!,""))</f>
        <v/>
      </c>
      <c r="E1700" s="9" t="str">
        <f>IF(F1700="","",_xlfn.XLOOKUP(F1700,purchase!D:D,purchase!B:B,""))</f>
        <v/>
      </c>
      <c r="F1700" s="2"/>
      <c r="G1700" s="4" t="str">
        <f t="shared" si="183"/>
        <v/>
      </c>
      <c r="H1700" s="4" t="str">
        <f>IF(F1700="","",_xlfn.XLOOKUP(F1700,purchase!D:D,purchase!#REF!,""))</f>
        <v/>
      </c>
      <c r="I1700" s="4" t="str">
        <f t="shared" si="184"/>
        <v/>
      </c>
      <c r="J1700" s="4" t="str">
        <f t="shared" si="185"/>
        <v/>
      </c>
      <c r="K1700" s="13" t="str">
        <f>_xlfn.SINGLE(IF(F1700="","",_xlfn.XLOOKUP(F1700,purchase!D:D,purchase!#REF!,"")))</f>
        <v/>
      </c>
      <c r="L1700" s="2"/>
      <c r="M1700" s="32"/>
      <c r="N1700" s="13" t="str">
        <f>IF(F1700="","",
MAX(0,
_xlfn.XLOOKUP(F1700,purchase!D:D,purchase!#REF!,"")
-
SUMIFS(L:L,F:F,F1700)))</f>
        <v/>
      </c>
      <c r="O1700" s="13" t="str">
        <f t="shared" si="186"/>
        <v/>
      </c>
      <c r="P1700" s="35" t="str">
        <f>_xlfn.SINGLE(IF(F1700="","",_xlfn.XLOOKUP(F1700,purchase!D:D,purchase!K:K,"")))</f>
        <v/>
      </c>
      <c r="Q1700" s="29" t="str">
        <f t="shared" si="187"/>
        <v/>
      </c>
      <c r="R1700" s="37" t="str">
        <f t="shared" si="188"/>
        <v/>
      </c>
    </row>
    <row r="1701" spans="1:18" x14ac:dyDescent="0.35">
      <c r="A1701" s="8">
        <v>1697</v>
      </c>
      <c r="B1701" s="9" t="str">
        <f t="shared" si="182"/>
        <v/>
      </c>
      <c r="C1701" s="10"/>
      <c r="D1701" s="9" t="str">
        <f>IF(F1701="","",_xlfn.XLOOKUP(F1701,purchase!D:D,purchase!#REF!,""))</f>
        <v/>
      </c>
      <c r="E1701" s="9" t="str">
        <f>IF(F1701="","",_xlfn.XLOOKUP(F1701,purchase!D:D,purchase!B:B,""))</f>
        <v/>
      </c>
      <c r="F1701" s="2"/>
      <c r="G1701" s="4" t="str">
        <f t="shared" si="183"/>
        <v/>
      </c>
      <c r="H1701" s="4" t="str">
        <f>IF(F1701="","",_xlfn.XLOOKUP(F1701,purchase!D:D,purchase!#REF!,""))</f>
        <v/>
      </c>
      <c r="I1701" s="4" t="str">
        <f t="shared" si="184"/>
        <v/>
      </c>
      <c r="J1701" s="4" t="str">
        <f t="shared" si="185"/>
        <v/>
      </c>
      <c r="K1701" s="13" t="str">
        <f>_xlfn.SINGLE(IF(F1701="","",_xlfn.XLOOKUP(F1701,purchase!D:D,purchase!#REF!,"")))</f>
        <v/>
      </c>
      <c r="L1701" s="2"/>
      <c r="M1701" s="32"/>
      <c r="N1701" s="13" t="str">
        <f>IF(F1701="","",
MAX(0,
_xlfn.XLOOKUP(F1701,purchase!D:D,purchase!#REF!,"")
-
SUMIFS(L:L,F:F,F1701)))</f>
        <v/>
      </c>
      <c r="O1701" s="13" t="str">
        <f t="shared" si="186"/>
        <v/>
      </c>
      <c r="P1701" s="35" t="str">
        <f>_xlfn.SINGLE(IF(F1701="","",_xlfn.XLOOKUP(F1701,purchase!D:D,purchase!K:K,"")))</f>
        <v/>
      </c>
      <c r="Q1701" s="29" t="str">
        <f t="shared" si="187"/>
        <v/>
      </c>
      <c r="R1701" s="37" t="str">
        <f t="shared" si="188"/>
        <v/>
      </c>
    </row>
    <row r="1702" spans="1:18" x14ac:dyDescent="0.35">
      <c r="A1702" s="8">
        <v>1698</v>
      </c>
      <c r="B1702" s="9" t="str">
        <f t="shared" si="182"/>
        <v/>
      </c>
      <c r="C1702" s="10"/>
      <c r="D1702" s="9" t="str">
        <f>IF(F1702="","",_xlfn.XLOOKUP(F1702,purchase!D:D,purchase!#REF!,""))</f>
        <v/>
      </c>
      <c r="E1702" s="9" t="str">
        <f>IF(F1702="","",_xlfn.XLOOKUP(F1702,purchase!D:D,purchase!B:B,""))</f>
        <v/>
      </c>
      <c r="F1702" s="2"/>
      <c r="G1702" s="4" t="str">
        <f t="shared" si="183"/>
        <v/>
      </c>
      <c r="H1702" s="4" t="str">
        <f>IF(F1702="","",_xlfn.XLOOKUP(F1702,purchase!D:D,purchase!#REF!,""))</f>
        <v/>
      </c>
      <c r="I1702" s="4" t="str">
        <f t="shared" si="184"/>
        <v/>
      </c>
      <c r="J1702" s="4" t="str">
        <f t="shared" si="185"/>
        <v/>
      </c>
      <c r="K1702" s="13" t="str">
        <f>_xlfn.SINGLE(IF(F1702="","",_xlfn.XLOOKUP(F1702,purchase!D:D,purchase!#REF!,"")))</f>
        <v/>
      </c>
      <c r="L1702" s="2"/>
      <c r="M1702" s="32"/>
      <c r="N1702" s="13" t="str">
        <f>IF(F1702="","",
MAX(0,
_xlfn.XLOOKUP(F1702,purchase!D:D,purchase!#REF!,"")
-
SUMIFS(L:L,F:F,F1702)))</f>
        <v/>
      </c>
      <c r="O1702" s="13" t="str">
        <f t="shared" si="186"/>
        <v/>
      </c>
      <c r="P1702" s="35" t="str">
        <f>_xlfn.SINGLE(IF(F1702="","",_xlfn.XLOOKUP(F1702,purchase!D:D,purchase!K:K,"")))</f>
        <v/>
      </c>
      <c r="Q1702" s="29" t="str">
        <f t="shared" si="187"/>
        <v/>
      </c>
      <c r="R1702" s="37" t="str">
        <f t="shared" si="188"/>
        <v/>
      </c>
    </row>
    <row r="1703" spans="1:18" x14ac:dyDescent="0.35">
      <c r="A1703" s="8">
        <v>1699</v>
      </c>
      <c r="B1703" s="9" t="str">
        <f t="shared" si="182"/>
        <v/>
      </c>
      <c r="C1703" s="10"/>
      <c r="D1703" s="9" t="str">
        <f>IF(F1703="","",_xlfn.XLOOKUP(F1703,purchase!D:D,purchase!#REF!,""))</f>
        <v/>
      </c>
      <c r="E1703" s="9" t="str">
        <f>IF(F1703="","",_xlfn.XLOOKUP(F1703,purchase!D:D,purchase!B:B,""))</f>
        <v/>
      </c>
      <c r="F1703" s="2"/>
      <c r="G1703" s="4" t="str">
        <f t="shared" si="183"/>
        <v/>
      </c>
      <c r="H1703" s="4" t="str">
        <f>IF(F1703="","",_xlfn.XLOOKUP(F1703,purchase!D:D,purchase!#REF!,""))</f>
        <v/>
      </c>
      <c r="I1703" s="4" t="str">
        <f t="shared" si="184"/>
        <v/>
      </c>
      <c r="J1703" s="4" t="str">
        <f t="shared" si="185"/>
        <v/>
      </c>
      <c r="K1703" s="13" t="str">
        <f>_xlfn.SINGLE(IF(F1703="","",_xlfn.XLOOKUP(F1703,purchase!D:D,purchase!#REF!,"")))</f>
        <v/>
      </c>
      <c r="L1703" s="2"/>
      <c r="M1703" s="32"/>
      <c r="N1703" s="13" t="str">
        <f>IF(F1703="","",
MAX(0,
_xlfn.XLOOKUP(F1703,purchase!D:D,purchase!#REF!,"")
-
SUMIFS(L:L,F:F,F1703)))</f>
        <v/>
      </c>
      <c r="O1703" s="13" t="str">
        <f t="shared" si="186"/>
        <v/>
      </c>
      <c r="P1703" s="35" t="str">
        <f>_xlfn.SINGLE(IF(F1703="","",_xlfn.XLOOKUP(F1703,purchase!D:D,purchase!K:K,"")))</f>
        <v/>
      </c>
      <c r="Q1703" s="29" t="str">
        <f t="shared" si="187"/>
        <v/>
      </c>
      <c r="R1703" s="37" t="str">
        <f t="shared" si="188"/>
        <v/>
      </c>
    </row>
    <row r="1704" spans="1:18" x14ac:dyDescent="0.35">
      <c r="A1704" s="8">
        <v>1700</v>
      </c>
      <c r="B1704" s="9" t="str">
        <f t="shared" si="182"/>
        <v/>
      </c>
      <c r="C1704" s="10"/>
      <c r="D1704" s="9" t="str">
        <f>IF(F1704="","",_xlfn.XLOOKUP(F1704,purchase!D:D,purchase!#REF!,""))</f>
        <v/>
      </c>
      <c r="E1704" s="9" t="str">
        <f>IF(F1704="","",_xlfn.XLOOKUP(F1704,purchase!D:D,purchase!B:B,""))</f>
        <v/>
      </c>
      <c r="F1704" s="2"/>
      <c r="G1704" s="4" t="str">
        <f t="shared" si="183"/>
        <v/>
      </c>
      <c r="H1704" s="4" t="str">
        <f>IF(F1704="","",_xlfn.XLOOKUP(F1704,purchase!D:D,purchase!#REF!,""))</f>
        <v/>
      </c>
      <c r="I1704" s="4" t="str">
        <f t="shared" si="184"/>
        <v/>
      </c>
      <c r="J1704" s="4" t="str">
        <f t="shared" si="185"/>
        <v/>
      </c>
      <c r="K1704" s="13" t="str">
        <f>_xlfn.SINGLE(IF(F1704="","",_xlfn.XLOOKUP(F1704,purchase!D:D,purchase!#REF!,"")))</f>
        <v/>
      </c>
      <c r="L1704" s="2"/>
      <c r="M1704" s="32"/>
      <c r="N1704" s="13" t="str">
        <f>IF(F1704="","",
MAX(0,
_xlfn.XLOOKUP(F1704,purchase!D:D,purchase!#REF!,"")
-
SUMIFS(L:L,F:F,F1704)))</f>
        <v/>
      </c>
      <c r="O1704" s="13" t="str">
        <f t="shared" si="186"/>
        <v/>
      </c>
      <c r="P1704" s="35" t="str">
        <f>_xlfn.SINGLE(IF(F1704="","",_xlfn.XLOOKUP(F1704,purchase!D:D,purchase!K:K,"")))</f>
        <v/>
      </c>
      <c r="Q1704" s="29" t="str">
        <f t="shared" si="187"/>
        <v/>
      </c>
      <c r="R1704" s="37" t="str">
        <f t="shared" si="188"/>
        <v/>
      </c>
    </row>
    <row r="1705" spans="1:18" x14ac:dyDescent="0.35">
      <c r="A1705" s="8">
        <v>1701</v>
      </c>
      <c r="B1705" s="9" t="str">
        <f t="shared" si="182"/>
        <v/>
      </c>
      <c r="C1705" s="10"/>
      <c r="D1705" s="9" t="str">
        <f>IF(F1705="","",_xlfn.XLOOKUP(F1705,purchase!D:D,purchase!#REF!,""))</f>
        <v/>
      </c>
      <c r="E1705" s="9" t="str">
        <f>IF(F1705="","",_xlfn.XLOOKUP(F1705,purchase!D:D,purchase!B:B,""))</f>
        <v/>
      </c>
      <c r="F1705" s="2"/>
      <c r="G1705" s="4" t="str">
        <f t="shared" si="183"/>
        <v/>
      </c>
      <c r="H1705" s="4" t="str">
        <f>IF(F1705="","",_xlfn.XLOOKUP(F1705,purchase!D:D,purchase!#REF!,""))</f>
        <v/>
      </c>
      <c r="I1705" s="4" t="str">
        <f t="shared" si="184"/>
        <v/>
      </c>
      <c r="J1705" s="4" t="str">
        <f t="shared" si="185"/>
        <v/>
      </c>
      <c r="K1705" s="13" t="str">
        <f>_xlfn.SINGLE(IF(F1705="","",_xlfn.XLOOKUP(F1705,purchase!D:D,purchase!#REF!,"")))</f>
        <v/>
      </c>
      <c r="L1705" s="2"/>
      <c r="M1705" s="32"/>
      <c r="N1705" s="13" t="str">
        <f>IF(F1705="","",
MAX(0,
_xlfn.XLOOKUP(F1705,purchase!D:D,purchase!#REF!,"")
-
SUMIFS(L:L,F:F,F1705)))</f>
        <v/>
      </c>
      <c r="O1705" s="13" t="str">
        <f t="shared" si="186"/>
        <v/>
      </c>
      <c r="P1705" s="35" t="str">
        <f>_xlfn.SINGLE(IF(F1705="","",_xlfn.XLOOKUP(F1705,purchase!D:D,purchase!K:K,"")))</f>
        <v/>
      </c>
      <c r="Q1705" s="29" t="str">
        <f t="shared" si="187"/>
        <v/>
      </c>
      <c r="R1705" s="37" t="str">
        <f t="shared" si="188"/>
        <v/>
      </c>
    </row>
    <row r="1706" spans="1:18" x14ac:dyDescent="0.35">
      <c r="A1706" s="8">
        <v>1702</v>
      </c>
      <c r="B1706" s="9" t="str">
        <f t="shared" si="182"/>
        <v/>
      </c>
      <c r="C1706" s="10"/>
      <c r="D1706" s="9" t="str">
        <f>IF(F1706="","",_xlfn.XLOOKUP(F1706,purchase!D:D,purchase!#REF!,""))</f>
        <v/>
      </c>
      <c r="E1706" s="9" t="str">
        <f>IF(F1706="","",_xlfn.XLOOKUP(F1706,purchase!D:D,purchase!B:B,""))</f>
        <v/>
      </c>
      <c r="F1706" s="2"/>
      <c r="G1706" s="4" t="str">
        <f t="shared" si="183"/>
        <v/>
      </c>
      <c r="H1706" s="4" t="str">
        <f>IF(F1706="","",_xlfn.XLOOKUP(F1706,purchase!D:D,purchase!#REF!,""))</f>
        <v/>
      </c>
      <c r="I1706" s="4" t="str">
        <f t="shared" si="184"/>
        <v/>
      </c>
      <c r="J1706" s="4" t="str">
        <f t="shared" si="185"/>
        <v/>
      </c>
      <c r="K1706" s="13" t="str">
        <f>_xlfn.SINGLE(IF(F1706="","",_xlfn.XLOOKUP(F1706,purchase!D:D,purchase!#REF!,"")))</f>
        <v/>
      </c>
      <c r="L1706" s="2"/>
      <c r="M1706" s="32"/>
      <c r="N1706" s="13" t="str">
        <f>IF(F1706="","",
MAX(0,
_xlfn.XLOOKUP(F1706,purchase!D:D,purchase!#REF!,"")
-
SUMIFS(L:L,F:F,F1706)))</f>
        <v/>
      </c>
      <c r="O1706" s="13" t="str">
        <f t="shared" si="186"/>
        <v/>
      </c>
      <c r="P1706" s="35" t="str">
        <f>_xlfn.SINGLE(IF(F1706="","",_xlfn.XLOOKUP(F1706,purchase!D:D,purchase!K:K,"")))</f>
        <v/>
      </c>
      <c r="Q1706" s="29" t="str">
        <f t="shared" si="187"/>
        <v/>
      </c>
      <c r="R1706" s="37" t="str">
        <f t="shared" si="188"/>
        <v/>
      </c>
    </row>
    <row r="1707" spans="1:18" x14ac:dyDescent="0.35">
      <c r="A1707" s="8">
        <v>1703</v>
      </c>
      <c r="B1707" s="9" t="str">
        <f t="shared" si="182"/>
        <v/>
      </c>
      <c r="C1707" s="10"/>
      <c r="D1707" s="9" t="str">
        <f>IF(F1707="","",_xlfn.XLOOKUP(F1707,purchase!D:D,purchase!#REF!,""))</f>
        <v/>
      </c>
      <c r="E1707" s="9" t="str">
        <f>IF(F1707="","",_xlfn.XLOOKUP(F1707,purchase!D:D,purchase!B:B,""))</f>
        <v/>
      </c>
      <c r="F1707" s="2"/>
      <c r="G1707" s="4" t="str">
        <f t="shared" si="183"/>
        <v/>
      </c>
      <c r="H1707" s="4" t="str">
        <f>IF(F1707="","",_xlfn.XLOOKUP(F1707,purchase!D:D,purchase!#REF!,""))</f>
        <v/>
      </c>
      <c r="I1707" s="4" t="str">
        <f t="shared" si="184"/>
        <v/>
      </c>
      <c r="J1707" s="4" t="str">
        <f t="shared" si="185"/>
        <v/>
      </c>
      <c r="K1707" s="13" t="str">
        <f>_xlfn.SINGLE(IF(F1707="","",_xlfn.XLOOKUP(F1707,purchase!D:D,purchase!#REF!,"")))</f>
        <v/>
      </c>
      <c r="L1707" s="2"/>
      <c r="M1707" s="32"/>
      <c r="N1707" s="13" t="str">
        <f>IF(F1707="","",
MAX(0,
_xlfn.XLOOKUP(F1707,purchase!D:D,purchase!#REF!,"")
-
SUMIFS(L:L,F:F,F1707)))</f>
        <v/>
      </c>
      <c r="O1707" s="13" t="str">
        <f t="shared" si="186"/>
        <v/>
      </c>
      <c r="P1707" s="35" t="str">
        <f>_xlfn.SINGLE(IF(F1707="","",_xlfn.XLOOKUP(F1707,purchase!D:D,purchase!K:K,"")))</f>
        <v/>
      </c>
      <c r="Q1707" s="29" t="str">
        <f t="shared" si="187"/>
        <v/>
      </c>
      <c r="R1707" s="37" t="str">
        <f t="shared" si="188"/>
        <v/>
      </c>
    </row>
    <row r="1708" spans="1:18" x14ac:dyDescent="0.35">
      <c r="A1708" s="8">
        <v>1704</v>
      </c>
      <c r="B1708" s="9" t="str">
        <f t="shared" si="182"/>
        <v/>
      </c>
      <c r="C1708" s="10"/>
      <c r="D1708" s="9" t="str">
        <f>IF(F1708="","",_xlfn.XLOOKUP(F1708,purchase!D:D,purchase!#REF!,""))</f>
        <v/>
      </c>
      <c r="E1708" s="9" t="str">
        <f>IF(F1708="","",_xlfn.XLOOKUP(F1708,purchase!D:D,purchase!B:B,""))</f>
        <v/>
      </c>
      <c r="F1708" s="2"/>
      <c r="G1708" s="4" t="str">
        <f t="shared" si="183"/>
        <v/>
      </c>
      <c r="H1708" s="4" t="str">
        <f>IF(F1708="","",_xlfn.XLOOKUP(F1708,purchase!D:D,purchase!#REF!,""))</f>
        <v/>
      </c>
      <c r="I1708" s="4" t="str">
        <f t="shared" si="184"/>
        <v/>
      </c>
      <c r="J1708" s="4" t="str">
        <f t="shared" si="185"/>
        <v/>
      </c>
      <c r="K1708" s="13" t="str">
        <f>_xlfn.SINGLE(IF(F1708="","",_xlfn.XLOOKUP(F1708,purchase!D:D,purchase!#REF!,"")))</f>
        <v/>
      </c>
      <c r="L1708" s="2"/>
      <c r="M1708" s="32"/>
      <c r="N1708" s="13" t="str">
        <f>IF(F1708="","",
MAX(0,
_xlfn.XLOOKUP(F1708,purchase!D:D,purchase!#REF!,"")
-
SUMIFS(L:L,F:F,F1708)))</f>
        <v/>
      </c>
      <c r="O1708" s="13" t="str">
        <f t="shared" si="186"/>
        <v/>
      </c>
      <c r="P1708" s="35" t="str">
        <f>_xlfn.SINGLE(IF(F1708="","",_xlfn.XLOOKUP(F1708,purchase!D:D,purchase!K:K,"")))</f>
        <v/>
      </c>
      <c r="Q1708" s="29" t="str">
        <f t="shared" si="187"/>
        <v/>
      </c>
      <c r="R1708" s="37" t="str">
        <f t="shared" si="188"/>
        <v/>
      </c>
    </row>
    <row r="1709" spans="1:18" x14ac:dyDescent="0.35">
      <c r="A1709" s="8">
        <v>1705</v>
      </c>
      <c r="B1709" s="9" t="str">
        <f t="shared" si="182"/>
        <v/>
      </c>
      <c r="C1709" s="10"/>
      <c r="D1709" s="9" t="str">
        <f>IF(F1709="","",_xlfn.XLOOKUP(F1709,purchase!D:D,purchase!#REF!,""))</f>
        <v/>
      </c>
      <c r="E1709" s="9" t="str">
        <f>IF(F1709="","",_xlfn.XLOOKUP(F1709,purchase!D:D,purchase!B:B,""))</f>
        <v/>
      </c>
      <c r="F1709" s="2"/>
      <c r="G1709" s="4" t="str">
        <f t="shared" si="183"/>
        <v/>
      </c>
      <c r="H1709" s="4" t="str">
        <f>IF(F1709="","",_xlfn.XLOOKUP(F1709,purchase!D:D,purchase!#REF!,""))</f>
        <v/>
      </c>
      <c r="I1709" s="4" t="str">
        <f t="shared" si="184"/>
        <v/>
      </c>
      <c r="J1709" s="4" t="str">
        <f t="shared" si="185"/>
        <v/>
      </c>
      <c r="K1709" s="13" t="str">
        <f>_xlfn.SINGLE(IF(F1709="","",_xlfn.XLOOKUP(F1709,purchase!D:D,purchase!#REF!,"")))</f>
        <v/>
      </c>
      <c r="L1709" s="2"/>
      <c r="M1709" s="32"/>
      <c r="N1709" s="13" t="str">
        <f>IF(F1709="","",
MAX(0,
_xlfn.XLOOKUP(F1709,purchase!D:D,purchase!#REF!,"")
-
SUMIFS(L:L,F:F,F1709)))</f>
        <v/>
      </c>
      <c r="O1709" s="13" t="str">
        <f t="shared" si="186"/>
        <v/>
      </c>
      <c r="P1709" s="35" t="str">
        <f>_xlfn.SINGLE(IF(F1709="","",_xlfn.XLOOKUP(F1709,purchase!D:D,purchase!K:K,"")))</f>
        <v/>
      </c>
      <c r="Q1709" s="29" t="str">
        <f t="shared" si="187"/>
        <v/>
      </c>
      <c r="R1709" s="37" t="str">
        <f t="shared" si="188"/>
        <v/>
      </c>
    </row>
    <row r="1710" spans="1:18" x14ac:dyDescent="0.35">
      <c r="A1710" s="8">
        <v>1706</v>
      </c>
      <c r="B1710" s="9" t="str">
        <f t="shared" si="182"/>
        <v/>
      </c>
      <c r="C1710" s="10"/>
      <c r="D1710" s="9" t="str">
        <f>IF(F1710="","",_xlfn.XLOOKUP(F1710,purchase!D:D,purchase!#REF!,""))</f>
        <v/>
      </c>
      <c r="E1710" s="9" t="str">
        <f>IF(F1710="","",_xlfn.XLOOKUP(F1710,purchase!D:D,purchase!B:B,""))</f>
        <v/>
      </c>
      <c r="F1710" s="2"/>
      <c r="G1710" s="4" t="str">
        <f t="shared" si="183"/>
        <v/>
      </c>
      <c r="H1710" s="4" t="str">
        <f>IF(F1710="","",_xlfn.XLOOKUP(F1710,purchase!D:D,purchase!#REF!,""))</f>
        <v/>
      </c>
      <c r="I1710" s="4" t="str">
        <f t="shared" si="184"/>
        <v/>
      </c>
      <c r="J1710" s="4" t="str">
        <f t="shared" si="185"/>
        <v/>
      </c>
      <c r="K1710" s="13" t="str">
        <f>_xlfn.SINGLE(IF(F1710="","",_xlfn.XLOOKUP(F1710,purchase!D:D,purchase!#REF!,"")))</f>
        <v/>
      </c>
      <c r="L1710" s="2"/>
      <c r="M1710" s="32"/>
      <c r="N1710" s="13" t="str">
        <f>IF(F1710="","",
MAX(0,
_xlfn.XLOOKUP(F1710,purchase!D:D,purchase!#REF!,"")
-
SUMIFS(L:L,F:F,F1710)))</f>
        <v/>
      </c>
      <c r="O1710" s="13" t="str">
        <f t="shared" si="186"/>
        <v/>
      </c>
      <c r="P1710" s="35" t="str">
        <f>_xlfn.SINGLE(IF(F1710="","",_xlfn.XLOOKUP(F1710,purchase!D:D,purchase!K:K,"")))</f>
        <v/>
      </c>
      <c r="Q1710" s="29" t="str">
        <f t="shared" si="187"/>
        <v/>
      </c>
      <c r="R1710" s="37" t="str">
        <f t="shared" si="188"/>
        <v/>
      </c>
    </row>
    <row r="1711" spans="1:18" x14ac:dyDescent="0.35">
      <c r="A1711" s="8">
        <v>1707</v>
      </c>
      <c r="B1711" s="9" t="str">
        <f t="shared" si="182"/>
        <v/>
      </c>
      <c r="C1711" s="10"/>
      <c r="D1711" s="9" t="str">
        <f>IF(F1711="","",_xlfn.XLOOKUP(F1711,purchase!D:D,purchase!#REF!,""))</f>
        <v/>
      </c>
      <c r="E1711" s="9" t="str">
        <f>IF(F1711="","",_xlfn.XLOOKUP(F1711,purchase!D:D,purchase!B:B,""))</f>
        <v/>
      </c>
      <c r="F1711" s="2"/>
      <c r="G1711" s="4" t="str">
        <f t="shared" si="183"/>
        <v/>
      </c>
      <c r="H1711" s="4" t="str">
        <f>IF(F1711="","",_xlfn.XLOOKUP(F1711,purchase!D:D,purchase!#REF!,""))</f>
        <v/>
      </c>
      <c r="I1711" s="4" t="str">
        <f t="shared" si="184"/>
        <v/>
      </c>
      <c r="J1711" s="4" t="str">
        <f t="shared" si="185"/>
        <v/>
      </c>
      <c r="K1711" s="13" t="str">
        <f>_xlfn.SINGLE(IF(F1711="","",_xlfn.XLOOKUP(F1711,purchase!D:D,purchase!#REF!,"")))</f>
        <v/>
      </c>
      <c r="L1711" s="2"/>
      <c r="M1711" s="32"/>
      <c r="N1711" s="13" t="str">
        <f>IF(F1711="","",
MAX(0,
_xlfn.XLOOKUP(F1711,purchase!D:D,purchase!#REF!,"")
-
SUMIFS(L:L,F:F,F1711)))</f>
        <v/>
      </c>
      <c r="O1711" s="13" t="str">
        <f t="shared" si="186"/>
        <v/>
      </c>
      <c r="P1711" s="35" t="str">
        <f>_xlfn.SINGLE(IF(F1711="","",_xlfn.XLOOKUP(F1711,purchase!D:D,purchase!K:K,"")))</f>
        <v/>
      </c>
      <c r="Q1711" s="29" t="str">
        <f t="shared" si="187"/>
        <v/>
      </c>
      <c r="R1711" s="37" t="str">
        <f t="shared" si="188"/>
        <v/>
      </c>
    </row>
    <row r="1712" spans="1:18" x14ac:dyDescent="0.35">
      <c r="A1712" s="8">
        <v>1708</v>
      </c>
      <c r="B1712" s="9" t="str">
        <f t="shared" si="182"/>
        <v/>
      </c>
      <c r="C1712" s="10"/>
      <c r="D1712" s="9" t="str">
        <f>IF(F1712="","",_xlfn.XLOOKUP(F1712,purchase!D:D,purchase!#REF!,""))</f>
        <v/>
      </c>
      <c r="E1712" s="9" t="str">
        <f>IF(F1712="","",_xlfn.XLOOKUP(F1712,purchase!D:D,purchase!B:B,""))</f>
        <v/>
      </c>
      <c r="F1712" s="2"/>
      <c r="G1712" s="4" t="str">
        <f t="shared" si="183"/>
        <v/>
      </c>
      <c r="H1712" s="4" t="str">
        <f>IF(F1712="","",_xlfn.XLOOKUP(F1712,purchase!D:D,purchase!#REF!,""))</f>
        <v/>
      </c>
      <c r="I1712" s="4" t="str">
        <f t="shared" si="184"/>
        <v/>
      </c>
      <c r="J1712" s="4" t="str">
        <f t="shared" si="185"/>
        <v/>
      </c>
      <c r="K1712" s="13" t="str">
        <f>_xlfn.SINGLE(IF(F1712="","",_xlfn.XLOOKUP(F1712,purchase!D:D,purchase!#REF!,"")))</f>
        <v/>
      </c>
      <c r="L1712" s="2"/>
      <c r="M1712" s="32"/>
      <c r="N1712" s="13" t="str">
        <f>IF(F1712="","",
MAX(0,
_xlfn.XLOOKUP(F1712,purchase!D:D,purchase!#REF!,"")
-
SUMIFS(L:L,F:F,F1712)))</f>
        <v/>
      </c>
      <c r="O1712" s="13" t="str">
        <f t="shared" si="186"/>
        <v/>
      </c>
      <c r="P1712" s="35" t="str">
        <f>_xlfn.SINGLE(IF(F1712="","",_xlfn.XLOOKUP(F1712,purchase!D:D,purchase!K:K,"")))</f>
        <v/>
      </c>
      <c r="Q1712" s="29" t="str">
        <f t="shared" si="187"/>
        <v/>
      </c>
      <c r="R1712" s="37" t="str">
        <f t="shared" si="188"/>
        <v/>
      </c>
    </row>
    <row r="1713" spans="1:18" x14ac:dyDescent="0.35">
      <c r="A1713" s="8">
        <v>1709</v>
      </c>
      <c r="B1713" s="9" t="str">
        <f t="shared" si="182"/>
        <v/>
      </c>
      <c r="C1713" s="10"/>
      <c r="D1713" s="9" t="str">
        <f>IF(F1713="","",_xlfn.XLOOKUP(F1713,purchase!D:D,purchase!#REF!,""))</f>
        <v/>
      </c>
      <c r="E1713" s="9" t="str">
        <f>IF(F1713="","",_xlfn.XLOOKUP(F1713,purchase!D:D,purchase!B:B,""))</f>
        <v/>
      </c>
      <c r="F1713" s="2"/>
      <c r="G1713" s="4" t="str">
        <f t="shared" si="183"/>
        <v/>
      </c>
      <c r="H1713" s="4" t="str">
        <f>IF(F1713="","",_xlfn.XLOOKUP(F1713,purchase!D:D,purchase!#REF!,""))</f>
        <v/>
      </c>
      <c r="I1713" s="4" t="str">
        <f t="shared" si="184"/>
        <v/>
      </c>
      <c r="J1713" s="4" t="str">
        <f t="shared" si="185"/>
        <v/>
      </c>
      <c r="K1713" s="13" t="str">
        <f>_xlfn.SINGLE(IF(F1713="","",_xlfn.XLOOKUP(F1713,purchase!D:D,purchase!#REF!,"")))</f>
        <v/>
      </c>
      <c r="L1713" s="2"/>
      <c r="M1713" s="32"/>
      <c r="N1713" s="13" t="str">
        <f>IF(F1713="","",
MAX(0,
_xlfn.XLOOKUP(F1713,purchase!D:D,purchase!#REF!,"")
-
SUMIFS(L:L,F:F,F1713)))</f>
        <v/>
      </c>
      <c r="O1713" s="13" t="str">
        <f t="shared" si="186"/>
        <v/>
      </c>
      <c r="P1713" s="35" t="str">
        <f>_xlfn.SINGLE(IF(F1713="","",_xlfn.XLOOKUP(F1713,purchase!D:D,purchase!K:K,"")))</f>
        <v/>
      </c>
      <c r="Q1713" s="29" t="str">
        <f t="shared" si="187"/>
        <v/>
      </c>
      <c r="R1713" s="37" t="str">
        <f t="shared" si="188"/>
        <v/>
      </c>
    </row>
    <row r="1714" spans="1:18" x14ac:dyDescent="0.35">
      <c r="A1714" s="8">
        <v>1710</v>
      </c>
      <c r="B1714" s="9" t="str">
        <f t="shared" si="182"/>
        <v/>
      </c>
      <c r="C1714" s="10"/>
      <c r="D1714" s="9" t="str">
        <f>IF(F1714="","",_xlfn.XLOOKUP(F1714,purchase!D:D,purchase!#REF!,""))</f>
        <v/>
      </c>
      <c r="E1714" s="9" t="str">
        <f>IF(F1714="","",_xlfn.XLOOKUP(F1714,purchase!D:D,purchase!B:B,""))</f>
        <v/>
      </c>
      <c r="F1714" s="2"/>
      <c r="G1714" s="4" t="str">
        <f t="shared" si="183"/>
        <v/>
      </c>
      <c r="H1714" s="4" t="str">
        <f>IF(F1714="","",_xlfn.XLOOKUP(F1714,purchase!D:D,purchase!#REF!,""))</f>
        <v/>
      </c>
      <c r="I1714" s="4" t="str">
        <f t="shared" si="184"/>
        <v/>
      </c>
      <c r="J1714" s="4" t="str">
        <f t="shared" si="185"/>
        <v/>
      </c>
      <c r="K1714" s="13" t="str">
        <f>_xlfn.SINGLE(IF(F1714="","",_xlfn.XLOOKUP(F1714,purchase!D:D,purchase!#REF!,"")))</f>
        <v/>
      </c>
      <c r="L1714" s="2"/>
      <c r="M1714" s="32"/>
      <c r="N1714" s="13" t="str">
        <f>IF(F1714="","",
MAX(0,
_xlfn.XLOOKUP(F1714,purchase!D:D,purchase!#REF!,"")
-
SUMIFS(L:L,F:F,F1714)))</f>
        <v/>
      </c>
      <c r="O1714" s="13" t="str">
        <f t="shared" si="186"/>
        <v/>
      </c>
      <c r="P1714" s="35" t="str">
        <f>_xlfn.SINGLE(IF(F1714="","",_xlfn.XLOOKUP(F1714,purchase!D:D,purchase!K:K,"")))</f>
        <v/>
      </c>
      <c r="Q1714" s="29" t="str">
        <f t="shared" si="187"/>
        <v/>
      </c>
      <c r="R1714" s="37" t="str">
        <f t="shared" si="188"/>
        <v/>
      </c>
    </row>
    <row r="1715" spans="1:18" x14ac:dyDescent="0.35">
      <c r="A1715" s="8">
        <v>1711</v>
      </c>
      <c r="B1715" s="9" t="str">
        <f t="shared" si="182"/>
        <v/>
      </c>
      <c r="C1715" s="10"/>
      <c r="D1715" s="9" t="str">
        <f>IF(F1715="","",_xlfn.XLOOKUP(F1715,purchase!D:D,purchase!#REF!,""))</f>
        <v/>
      </c>
      <c r="E1715" s="9" t="str">
        <f>IF(F1715="","",_xlfn.XLOOKUP(F1715,purchase!D:D,purchase!B:B,""))</f>
        <v/>
      </c>
      <c r="F1715" s="2"/>
      <c r="G1715" s="4" t="str">
        <f t="shared" si="183"/>
        <v/>
      </c>
      <c r="H1715" s="4" t="str">
        <f>IF(F1715="","",_xlfn.XLOOKUP(F1715,purchase!D:D,purchase!#REF!,""))</f>
        <v/>
      </c>
      <c r="I1715" s="4" t="str">
        <f t="shared" si="184"/>
        <v/>
      </c>
      <c r="J1715" s="4" t="str">
        <f t="shared" si="185"/>
        <v/>
      </c>
      <c r="K1715" s="13" t="str">
        <f>_xlfn.SINGLE(IF(F1715="","",_xlfn.XLOOKUP(F1715,purchase!D:D,purchase!#REF!,"")))</f>
        <v/>
      </c>
      <c r="L1715" s="2"/>
      <c r="M1715" s="32"/>
      <c r="N1715" s="13" t="str">
        <f>IF(F1715="","",
MAX(0,
_xlfn.XLOOKUP(F1715,purchase!D:D,purchase!#REF!,"")
-
SUMIFS(L:L,F:F,F1715)))</f>
        <v/>
      </c>
      <c r="O1715" s="13" t="str">
        <f t="shared" si="186"/>
        <v/>
      </c>
      <c r="P1715" s="35" t="str">
        <f>_xlfn.SINGLE(IF(F1715="","",_xlfn.XLOOKUP(F1715,purchase!D:D,purchase!K:K,"")))</f>
        <v/>
      </c>
      <c r="Q1715" s="29" t="str">
        <f t="shared" si="187"/>
        <v/>
      </c>
      <c r="R1715" s="37" t="str">
        <f t="shared" si="188"/>
        <v/>
      </c>
    </row>
    <row r="1716" spans="1:18" x14ac:dyDescent="0.35">
      <c r="A1716" s="8">
        <v>1712</v>
      </c>
      <c r="B1716" s="9" t="str">
        <f t="shared" si="182"/>
        <v/>
      </c>
      <c r="C1716" s="10"/>
      <c r="D1716" s="9" t="str">
        <f>IF(F1716="","",_xlfn.XLOOKUP(F1716,purchase!D:D,purchase!#REF!,""))</f>
        <v/>
      </c>
      <c r="E1716" s="9" t="str">
        <f>IF(F1716="","",_xlfn.XLOOKUP(F1716,purchase!D:D,purchase!B:B,""))</f>
        <v/>
      </c>
      <c r="F1716" s="2"/>
      <c r="G1716" s="4" t="str">
        <f t="shared" si="183"/>
        <v/>
      </c>
      <c r="H1716" s="4" t="str">
        <f>IF(F1716="","",_xlfn.XLOOKUP(F1716,purchase!D:D,purchase!#REF!,""))</f>
        <v/>
      </c>
      <c r="I1716" s="4" t="str">
        <f t="shared" si="184"/>
        <v/>
      </c>
      <c r="J1716" s="4" t="str">
        <f t="shared" si="185"/>
        <v/>
      </c>
      <c r="K1716" s="13" t="str">
        <f>_xlfn.SINGLE(IF(F1716="","",_xlfn.XLOOKUP(F1716,purchase!D:D,purchase!#REF!,"")))</f>
        <v/>
      </c>
      <c r="L1716" s="2"/>
      <c r="M1716" s="32"/>
      <c r="N1716" s="13" t="str">
        <f>IF(F1716="","",
MAX(0,
_xlfn.XLOOKUP(F1716,purchase!D:D,purchase!#REF!,"")
-
SUMIFS(L:L,F:F,F1716)))</f>
        <v/>
      </c>
      <c r="O1716" s="13" t="str">
        <f t="shared" si="186"/>
        <v/>
      </c>
      <c r="P1716" s="35" t="str">
        <f>_xlfn.SINGLE(IF(F1716="","",_xlfn.XLOOKUP(F1716,purchase!D:D,purchase!K:K,"")))</f>
        <v/>
      </c>
      <c r="Q1716" s="29" t="str">
        <f t="shared" si="187"/>
        <v/>
      </c>
      <c r="R1716" s="37" t="str">
        <f t="shared" si="188"/>
        <v/>
      </c>
    </row>
    <row r="1717" spans="1:18" x14ac:dyDescent="0.35">
      <c r="A1717" s="8">
        <v>1713</v>
      </c>
      <c r="B1717" s="9" t="str">
        <f t="shared" si="182"/>
        <v/>
      </c>
      <c r="C1717" s="10"/>
      <c r="D1717" s="9" t="str">
        <f>IF(F1717="","",_xlfn.XLOOKUP(F1717,purchase!D:D,purchase!#REF!,""))</f>
        <v/>
      </c>
      <c r="E1717" s="9" t="str">
        <f>IF(F1717="","",_xlfn.XLOOKUP(F1717,purchase!D:D,purchase!B:B,""))</f>
        <v/>
      </c>
      <c r="F1717" s="2"/>
      <c r="G1717" s="4" t="str">
        <f t="shared" si="183"/>
        <v/>
      </c>
      <c r="H1717" s="4" t="str">
        <f>IF(F1717="","",_xlfn.XLOOKUP(F1717,purchase!D:D,purchase!#REF!,""))</f>
        <v/>
      </c>
      <c r="I1717" s="4" t="str">
        <f t="shared" si="184"/>
        <v/>
      </c>
      <c r="J1717" s="4" t="str">
        <f t="shared" si="185"/>
        <v/>
      </c>
      <c r="K1717" s="13" t="str">
        <f>_xlfn.SINGLE(IF(F1717="","",_xlfn.XLOOKUP(F1717,purchase!D:D,purchase!#REF!,"")))</f>
        <v/>
      </c>
      <c r="L1717" s="2"/>
      <c r="M1717" s="32"/>
      <c r="N1717" s="13" t="str">
        <f>IF(F1717="","",
MAX(0,
_xlfn.XLOOKUP(F1717,purchase!D:D,purchase!#REF!,"")
-
SUMIFS(L:L,F:F,F1717)))</f>
        <v/>
      </c>
      <c r="O1717" s="13" t="str">
        <f t="shared" si="186"/>
        <v/>
      </c>
      <c r="P1717" s="35" t="str">
        <f>_xlfn.SINGLE(IF(F1717="","",_xlfn.XLOOKUP(F1717,purchase!D:D,purchase!K:K,"")))</f>
        <v/>
      </c>
      <c r="Q1717" s="29" t="str">
        <f t="shared" si="187"/>
        <v/>
      </c>
      <c r="R1717" s="37" t="str">
        <f t="shared" si="188"/>
        <v/>
      </c>
    </row>
    <row r="1718" spans="1:18" x14ac:dyDescent="0.35">
      <c r="A1718" s="8">
        <v>1714</v>
      </c>
      <c r="B1718" s="9" t="str">
        <f t="shared" si="182"/>
        <v/>
      </c>
      <c r="C1718" s="10"/>
      <c r="D1718" s="9" t="str">
        <f>IF(F1718="","",_xlfn.XLOOKUP(F1718,purchase!D:D,purchase!#REF!,""))</f>
        <v/>
      </c>
      <c r="E1718" s="9" t="str">
        <f>IF(F1718="","",_xlfn.XLOOKUP(F1718,purchase!D:D,purchase!B:B,""))</f>
        <v/>
      </c>
      <c r="F1718" s="2"/>
      <c r="G1718" s="4" t="str">
        <f t="shared" si="183"/>
        <v/>
      </c>
      <c r="H1718" s="4" t="str">
        <f>IF(F1718="","",_xlfn.XLOOKUP(F1718,purchase!D:D,purchase!#REF!,""))</f>
        <v/>
      </c>
      <c r="I1718" s="4" t="str">
        <f t="shared" si="184"/>
        <v/>
      </c>
      <c r="J1718" s="4" t="str">
        <f t="shared" si="185"/>
        <v/>
      </c>
      <c r="K1718" s="13" t="str">
        <f>_xlfn.SINGLE(IF(F1718="","",_xlfn.XLOOKUP(F1718,purchase!D:D,purchase!#REF!,"")))</f>
        <v/>
      </c>
      <c r="L1718" s="2"/>
      <c r="M1718" s="32"/>
      <c r="N1718" s="13" t="str">
        <f>IF(F1718="","",
MAX(0,
_xlfn.XLOOKUP(F1718,purchase!D:D,purchase!#REF!,"")
-
SUMIFS(L:L,F:F,F1718)))</f>
        <v/>
      </c>
      <c r="O1718" s="13" t="str">
        <f t="shared" si="186"/>
        <v/>
      </c>
      <c r="P1718" s="35" t="str">
        <f>_xlfn.SINGLE(IF(F1718="","",_xlfn.XLOOKUP(F1718,purchase!D:D,purchase!K:K,"")))</f>
        <v/>
      </c>
      <c r="Q1718" s="29" t="str">
        <f t="shared" si="187"/>
        <v/>
      </c>
      <c r="R1718" s="37" t="str">
        <f t="shared" si="188"/>
        <v/>
      </c>
    </row>
    <row r="1719" spans="1:18" x14ac:dyDescent="0.35">
      <c r="A1719" s="8">
        <v>1715</v>
      </c>
      <c r="B1719" s="9" t="str">
        <f t="shared" si="182"/>
        <v/>
      </c>
      <c r="C1719" s="10"/>
      <c r="D1719" s="9" t="str">
        <f>IF(F1719="","",_xlfn.XLOOKUP(F1719,purchase!D:D,purchase!#REF!,""))</f>
        <v/>
      </c>
      <c r="E1719" s="9" t="str">
        <f>IF(F1719="","",_xlfn.XLOOKUP(F1719,purchase!D:D,purchase!B:B,""))</f>
        <v/>
      </c>
      <c r="F1719" s="2"/>
      <c r="G1719" s="4" t="str">
        <f t="shared" si="183"/>
        <v/>
      </c>
      <c r="H1719" s="4" t="str">
        <f>IF(F1719="","",_xlfn.XLOOKUP(F1719,purchase!D:D,purchase!#REF!,""))</f>
        <v/>
      </c>
      <c r="I1719" s="4" t="str">
        <f t="shared" si="184"/>
        <v/>
      </c>
      <c r="J1719" s="4" t="str">
        <f t="shared" si="185"/>
        <v/>
      </c>
      <c r="K1719" s="13" t="str">
        <f>_xlfn.SINGLE(IF(F1719="","",_xlfn.XLOOKUP(F1719,purchase!D:D,purchase!#REF!,"")))</f>
        <v/>
      </c>
      <c r="L1719" s="2"/>
      <c r="M1719" s="32"/>
      <c r="N1719" s="13" t="str">
        <f>IF(F1719="","",
MAX(0,
_xlfn.XLOOKUP(F1719,purchase!D:D,purchase!#REF!,"")
-
SUMIFS(L:L,F:F,F1719)))</f>
        <v/>
      </c>
      <c r="O1719" s="13" t="str">
        <f t="shared" si="186"/>
        <v/>
      </c>
      <c r="P1719" s="35" t="str">
        <f>_xlfn.SINGLE(IF(F1719="","",_xlfn.XLOOKUP(F1719,purchase!D:D,purchase!K:K,"")))</f>
        <v/>
      </c>
      <c r="Q1719" s="29" t="str">
        <f t="shared" si="187"/>
        <v/>
      </c>
      <c r="R1719" s="37" t="str">
        <f t="shared" si="188"/>
        <v/>
      </c>
    </row>
    <row r="1720" spans="1:18" x14ac:dyDescent="0.35">
      <c r="A1720" s="8">
        <v>1716</v>
      </c>
      <c r="B1720" s="9" t="str">
        <f t="shared" si="182"/>
        <v/>
      </c>
      <c r="C1720" s="10"/>
      <c r="D1720" s="9" t="str">
        <f>IF(F1720="","",_xlfn.XLOOKUP(F1720,purchase!D:D,purchase!#REF!,""))</f>
        <v/>
      </c>
      <c r="E1720" s="9" t="str">
        <f>IF(F1720="","",_xlfn.XLOOKUP(F1720,purchase!D:D,purchase!B:B,""))</f>
        <v/>
      </c>
      <c r="F1720" s="2"/>
      <c r="G1720" s="4" t="str">
        <f t="shared" si="183"/>
        <v/>
      </c>
      <c r="H1720" s="4" t="str">
        <f>IF(F1720="","",_xlfn.XLOOKUP(F1720,purchase!D:D,purchase!#REF!,""))</f>
        <v/>
      </c>
      <c r="I1720" s="4" t="str">
        <f t="shared" si="184"/>
        <v/>
      </c>
      <c r="J1720" s="4" t="str">
        <f t="shared" si="185"/>
        <v/>
      </c>
      <c r="K1720" s="13" t="str">
        <f>_xlfn.SINGLE(IF(F1720="","",_xlfn.XLOOKUP(F1720,purchase!D:D,purchase!#REF!,"")))</f>
        <v/>
      </c>
      <c r="L1720" s="2"/>
      <c r="M1720" s="32"/>
      <c r="N1720" s="13" t="str">
        <f>IF(F1720="","",
MAX(0,
_xlfn.XLOOKUP(F1720,purchase!D:D,purchase!#REF!,"")
-
SUMIFS(L:L,F:F,F1720)))</f>
        <v/>
      </c>
      <c r="O1720" s="13" t="str">
        <f t="shared" si="186"/>
        <v/>
      </c>
      <c r="P1720" s="35" t="str">
        <f>_xlfn.SINGLE(IF(F1720="","",_xlfn.XLOOKUP(F1720,purchase!D:D,purchase!K:K,"")))</f>
        <v/>
      </c>
      <c r="Q1720" s="29" t="str">
        <f t="shared" si="187"/>
        <v/>
      </c>
      <c r="R1720" s="37" t="str">
        <f t="shared" si="188"/>
        <v/>
      </c>
    </row>
    <row r="1721" spans="1:18" x14ac:dyDescent="0.35">
      <c r="A1721" s="8">
        <v>1717</v>
      </c>
      <c r="B1721" s="9" t="str">
        <f t="shared" si="182"/>
        <v/>
      </c>
      <c r="C1721" s="10"/>
      <c r="D1721" s="9" t="str">
        <f>IF(F1721="","",_xlfn.XLOOKUP(F1721,purchase!D:D,purchase!#REF!,""))</f>
        <v/>
      </c>
      <c r="E1721" s="9" t="str">
        <f>IF(F1721="","",_xlfn.XLOOKUP(F1721,purchase!D:D,purchase!B:B,""))</f>
        <v/>
      </c>
      <c r="F1721" s="2"/>
      <c r="G1721" s="4" t="str">
        <f t="shared" si="183"/>
        <v/>
      </c>
      <c r="H1721" s="4" t="str">
        <f>IF(F1721="","",_xlfn.XLOOKUP(F1721,purchase!D:D,purchase!#REF!,""))</f>
        <v/>
      </c>
      <c r="I1721" s="4" t="str">
        <f t="shared" si="184"/>
        <v/>
      </c>
      <c r="J1721" s="4" t="str">
        <f t="shared" si="185"/>
        <v/>
      </c>
      <c r="K1721" s="13" t="str">
        <f>_xlfn.SINGLE(IF(F1721="","",_xlfn.XLOOKUP(F1721,purchase!D:D,purchase!#REF!,"")))</f>
        <v/>
      </c>
      <c r="L1721" s="2"/>
      <c r="M1721" s="32"/>
      <c r="N1721" s="13" t="str">
        <f>IF(F1721="","",
MAX(0,
_xlfn.XLOOKUP(F1721,purchase!D:D,purchase!#REF!,"")
-
SUMIFS(L:L,F:F,F1721)))</f>
        <v/>
      </c>
      <c r="O1721" s="13" t="str">
        <f t="shared" si="186"/>
        <v/>
      </c>
      <c r="P1721" s="35" t="str">
        <f>_xlfn.SINGLE(IF(F1721="","",_xlfn.XLOOKUP(F1721,purchase!D:D,purchase!K:K,"")))</f>
        <v/>
      </c>
      <c r="Q1721" s="29" t="str">
        <f t="shared" si="187"/>
        <v/>
      </c>
      <c r="R1721" s="37" t="str">
        <f t="shared" si="188"/>
        <v/>
      </c>
    </row>
    <row r="1722" spans="1:18" x14ac:dyDescent="0.35">
      <c r="A1722" s="8">
        <v>1718</v>
      </c>
      <c r="B1722" s="9" t="str">
        <f t="shared" si="182"/>
        <v/>
      </c>
      <c r="C1722" s="10"/>
      <c r="D1722" s="9" t="str">
        <f>IF(F1722="","",_xlfn.XLOOKUP(F1722,purchase!D:D,purchase!#REF!,""))</f>
        <v/>
      </c>
      <c r="E1722" s="9" t="str">
        <f>IF(F1722="","",_xlfn.XLOOKUP(F1722,purchase!D:D,purchase!B:B,""))</f>
        <v/>
      </c>
      <c r="F1722" s="2"/>
      <c r="G1722" s="4" t="str">
        <f t="shared" si="183"/>
        <v/>
      </c>
      <c r="H1722" s="4" t="str">
        <f>IF(F1722="","",_xlfn.XLOOKUP(F1722,purchase!D:D,purchase!#REF!,""))</f>
        <v/>
      </c>
      <c r="I1722" s="4" t="str">
        <f t="shared" si="184"/>
        <v/>
      </c>
      <c r="J1722" s="4" t="str">
        <f t="shared" si="185"/>
        <v/>
      </c>
      <c r="K1722" s="13" t="str">
        <f>_xlfn.SINGLE(IF(F1722="","",_xlfn.XLOOKUP(F1722,purchase!D:D,purchase!#REF!,"")))</f>
        <v/>
      </c>
      <c r="L1722" s="2"/>
      <c r="M1722" s="32"/>
      <c r="N1722" s="13" t="str">
        <f>IF(F1722="","",
MAX(0,
_xlfn.XLOOKUP(F1722,purchase!D:D,purchase!#REF!,"")
-
SUMIFS(L:L,F:F,F1722)))</f>
        <v/>
      </c>
      <c r="O1722" s="13" t="str">
        <f t="shared" si="186"/>
        <v/>
      </c>
      <c r="P1722" s="35" t="str">
        <f>_xlfn.SINGLE(IF(F1722="","",_xlfn.XLOOKUP(F1722,purchase!D:D,purchase!K:K,"")))</f>
        <v/>
      </c>
      <c r="Q1722" s="29" t="str">
        <f t="shared" si="187"/>
        <v/>
      </c>
      <c r="R1722" s="37" t="str">
        <f t="shared" si="188"/>
        <v/>
      </c>
    </row>
    <row r="1723" spans="1:18" x14ac:dyDescent="0.35">
      <c r="A1723" s="8">
        <v>1719</v>
      </c>
      <c r="B1723" s="9" t="str">
        <f t="shared" si="182"/>
        <v/>
      </c>
      <c r="C1723" s="10"/>
      <c r="D1723" s="9" t="str">
        <f>IF(F1723="","",_xlfn.XLOOKUP(F1723,purchase!D:D,purchase!#REF!,""))</f>
        <v/>
      </c>
      <c r="E1723" s="9" t="str">
        <f>IF(F1723="","",_xlfn.XLOOKUP(F1723,purchase!D:D,purchase!B:B,""))</f>
        <v/>
      </c>
      <c r="F1723" s="2"/>
      <c r="G1723" s="4" t="str">
        <f t="shared" si="183"/>
        <v/>
      </c>
      <c r="H1723" s="4" t="str">
        <f>IF(F1723="","",_xlfn.XLOOKUP(F1723,purchase!D:D,purchase!#REF!,""))</f>
        <v/>
      </c>
      <c r="I1723" s="4" t="str">
        <f t="shared" si="184"/>
        <v/>
      </c>
      <c r="J1723" s="4" t="str">
        <f t="shared" si="185"/>
        <v/>
      </c>
      <c r="K1723" s="13" t="str">
        <f>_xlfn.SINGLE(IF(F1723="","",_xlfn.XLOOKUP(F1723,purchase!D:D,purchase!#REF!,"")))</f>
        <v/>
      </c>
      <c r="L1723" s="2"/>
      <c r="M1723" s="32"/>
      <c r="N1723" s="13" t="str">
        <f>IF(F1723="","",
MAX(0,
_xlfn.XLOOKUP(F1723,purchase!D:D,purchase!#REF!,"")
-
SUMIFS(L:L,F:F,F1723)))</f>
        <v/>
      </c>
      <c r="O1723" s="13" t="str">
        <f t="shared" si="186"/>
        <v/>
      </c>
      <c r="P1723" s="35" t="str">
        <f>_xlfn.SINGLE(IF(F1723="","",_xlfn.XLOOKUP(F1723,purchase!D:D,purchase!K:K,"")))</f>
        <v/>
      </c>
      <c r="Q1723" s="29" t="str">
        <f t="shared" si="187"/>
        <v/>
      </c>
      <c r="R1723" s="37" t="str">
        <f t="shared" si="188"/>
        <v/>
      </c>
    </row>
    <row r="1724" spans="1:18" x14ac:dyDescent="0.35">
      <c r="A1724" s="8">
        <v>1720</v>
      </c>
      <c r="B1724" s="9" t="str">
        <f t="shared" si="182"/>
        <v/>
      </c>
      <c r="C1724" s="10"/>
      <c r="D1724" s="9" t="str">
        <f>IF(F1724="","",_xlfn.XLOOKUP(F1724,purchase!D:D,purchase!#REF!,""))</f>
        <v/>
      </c>
      <c r="E1724" s="9" t="str">
        <f>IF(F1724="","",_xlfn.XLOOKUP(F1724,purchase!D:D,purchase!B:B,""))</f>
        <v/>
      </c>
      <c r="F1724" s="2"/>
      <c r="G1724" s="4" t="str">
        <f t="shared" si="183"/>
        <v/>
      </c>
      <c r="H1724" s="4" t="str">
        <f>IF(F1724="","",_xlfn.XLOOKUP(F1724,purchase!D:D,purchase!#REF!,""))</f>
        <v/>
      </c>
      <c r="I1724" s="4" t="str">
        <f t="shared" si="184"/>
        <v/>
      </c>
      <c r="J1724" s="4" t="str">
        <f t="shared" si="185"/>
        <v/>
      </c>
      <c r="K1724" s="13" t="str">
        <f>_xlfn.SINGLE(IF(F1724="","",_xlfn.XLOOKUP(F1724,purchase!D:D,purchase!#REF!,"")))</f>
        <v/>
      </c>
      <c r="L1724" s="2"/>
      <c r="M1724" s="32"/>
      <c r="N1724" s="13" t="str">
        <f>IF(F1724="","",
MAX(0,
_xlfn.XLOOKUP(F1724,purchase!D:D,purchase!#REF!,"")
-
SUMIFS(L:L,F:F,F1724)))</f>
        <v/>
      </c>
      <c r="O1724" s="13" t="str">
        <f t="shared" si="186"/>
        <v/>
      </c>
      <c r="P1724" s="35" t="str">
        <f>_xlfn.SINGLE(IF(F1724="","",_xlfn.XLOOKUP(F1724,purchase!D:D,purchase!K:K,"")))</f>
        <v/>
      </c>
      <c r="Q1724" s="29" t="str">
        <f t="shared" si="187"/>
        <v/>
      </c>
      <c r="R1724" s="37" t="str">
        <f t="shared" si="188"/>
        <v/>
      </c>
    </row>
    <row r="1725" spans="1:18" x14ac:dyDescent="0.35">
      <c r="A1725" s="8">
        <v>1721</v>
      </c>
      <c r="B1725" s="9" t="str">
        <f t="shared" si="182"/>
        <v/>
      </c>
      <c r="C1725" s="10"/>
      <c r="D1725" s="9" t="str">
        <f>IF(F1725="","",_xlfn.XLOOKUP(F1725,purchase!D:D,purchase!#REF!,""))</f>
        <v/>
      </c>
      <c r="E1725" s="9" t="str">
        <f>IF(F1725="","",_xlfn.XLOOKUP(F1725,purchase!D:D,purchase!B:B,""))</f>
        <v/>
      </c>
      <c r="F1725" s="2"/>
      <c r="G1725" s="4" t="str">
        <f t="shared" si="183"/>
        <v/>
      </c>
      <c r="H1725" s="4" t="str">
        <f>IF(F1725="","",_xlfn.XLOOKUP(F1725,purchase!D:D,purchase!#REF!,""))</f>
        <v/>
      </c>
      <c r="I1725" s="4" t="str">
        <f t="shared" si="184"/>
        <v/>
      </c>
      <c r="J1725" s="4" t="str">
        <f t="shared" si="185"/>
        <v/>
      </c>
      <c r="K1725" s="13" t="str">
        <f>_xlfn.SINGLE(IF(F1725="","",_xlfn.XLOOKUP(F1725,purchase!D:D,purchase!#REF!,"")))</f>
        <v/>
      </c>
      <c r="L1725" s="2"/>
      <c r="M1725" s="32"/>
      <c r="N1725" s="13" t="str">
        <f>IF(F1725="","",
MAX(0,
_xlfn.XLOOKUP(F1725,purchase!D:D,purchase!#REF!,"")
-
SUMIFS(L:L,F:F,F1725)))</f>
        <v/>
      </c>
      <c r="O1725" s="13" t="str">
        <f t="shared" si="186"/>
        <v/>
      </c>
      <c r="P1725" s="35" t="str">
        <f>_xlfn.SINGLE(IF(F1725="","",_xlfn.XLOOKUP(F1725,purchase!D:D,purchase!K:K,"")))</f>
        <v/>
      </c>
      <c r="Q1725" s="29" t="str">
        <f t="shared" si="187"/>
        <v/>
      </c>
      <c r="R1725" s="37" t="str">
        <f t="shared" si="188"/>
        <v/>
      </c>
    </row>
    <row r="1726" spans="1:18" x14ac:dyDescent="0.35">
      <c r="A1726" s="8">
        <v>1722</v>
      </c>
      <c r="B1726" s="9" t="str">
        <f t="shared" si="182"/>
        <v/>
      </c>
      <c r="C1726" s="10"/>
      <c r="D1726" s="9" t="str">
        <f>IF(F1726="","",_xlfn.XLOOKUP(F1726,purchase!D:D,purchase!#REF!,""))</f>
        <v/>
      </c>
      <c r="E1726" s="9" t="str">
        <f>IF(F1726="","",_xlfn.XLOOKUP(F1726,purchase!D:D,purchase!B:B,""))</f>
        <v/>
      </c>
      <c r="F1726" s="2"/>
      <c r="G1726" s="4" t="str">
        <f t="shared" si="183"/>
        <v/>
      </c>
      <c r="H1726" s="4" t="str">
        <f>IF(F1726="","",_xlfn.XLOOKUP(F1726,purchase!D:D,purchase!#REF!,""))</f>
        <v/>
      </c>
      <c r="I1726" s="4" t="str">
        <f t="shared" si="184"/>
        <v/>
      </c>
      <c r="J1726" s="4" t="str">
        <f t="shared" si="185"/>
        <v/>
      </c>
      <c r="K1726" s="13" t="str">
        <f>_xlfn.SINGLE(IF(F1726="","",_xlfn.XLOOKUP(F1726,purchase!D:D,purchase!#REF!,"")))</f>
        <v/>
      </c>
      <c r="L1726" s="2"/>
      <c r="M1726" s="32"/>
      <c r="N1726" s="13" t="str">
        <f>IF(F1726="","",
MAX(0,
_xlfn.XLOOKUP(F1726,purchase!D:D,purchase!#REF!,"")
-
SUMIFS(L:L,F:F,F1726)))</f>
        <v/>
      </c>
      <c r="O1726" s="13" t="str">
        <f t="shared" si="186"/>
        <v/>
      </c>
      <c r="P1726" s="35" t="str">
        <f>_xlfn.SINGLE(IF(F1726="","",_xlfn.XLOOKUP(F1726,purchase!D:D,purchase!K:K,"")))</f>
        <v/>
      </c>
      <c r="Q1726" s="29" t="str">
        <f t="shared" si="187"/>
        <v/>
      </c>
      <c r="R1726" s="37" t="str">
        <f t="shared" si="188"/>
        <v/>
      </c>
    </row>
    <row r="1727" spans="1:18" x14ac:dyDescent="0.35">
      <c r="A1727" s="8">
        <v>1723</v>
      </c>
      <c r="B1727" s="9" t="str">
        <f t="shared" si="182"/>
        <v/>
      </c>
      <c r="C1727" s="10"/>
      <c r="D1727" s="9" t="str">
        <f>IF(F1727="","",_xlfn.XLOOKUP(F1727,purchase!D:D,purchase!#REF!,""))</f>
        <v/>
      </c>
      <c r="E1727" s="9" t="str">
        <f>IF(F1727="","",_xlfn.XLOOKUP(F1727,purchase!D:D,purchase!B:B,""))</f>
        <v/>
      </c>
      <c r="F1727" s="2"/>
      <c r="G1727" s="4" t="str">
        <f t="shared" si="183"/>
        <v/>
      </c>
      <c r="H1727" s="4" t="str">
        <f>IF(F1727="","",_xlfn.XLOOKUP(F1727,purchase!D:D,purchase!#REF!,""))</f>
        <v/>
      </c>
      <c r="I1727" s="4" t="str">
        <f t="shared" si="184"/>
        <v/>
      </c>
      <c r="J1727" s="4" t="str">
        <f t="shared" si="185"/>
        <v/>
      </c>
      <c r="K1727" s="13" t="str">
        <f>_xlfn.SINGLE(IF(F1727="","",_xlfn.XLOOKUP(F1727,purchase!D:D,purchase!#REF!,"")))</f>
        <v/>
      </c>
      <c r="L1727" s="2"/>
      <c r="M1727" s="32"/>
      <c r="N1727" s="13" t="str">
        <f>IF(F1727="","",
MAX(0,
_xlfn.XLOOKUP(F1727,purchase!D:D,purchase!#REF!,"")
-
SUMIFS(L:L,F:F,F1727)))</f>
        <v/>
      </c>
      <c r="O1727" s="13" t="str">
        <f t="shared" si="186"/>
        <v/>
      </c>
      <c r="P1727" s="35" t="str">
        <f>_xlfn.SINGLE(IF(F1727="","",_xlfn.XLOOKUP(F1727,purchase!D:D,purchase!K:K,"")))</f>
        <v/>
      </c>
      <c r="Q1727" s="29" t="str">
        <f t="shared" si="187"/>
        <v/>
      </c>
      <c r="R1727" s="37" t="str">
        <f t="shared" si="188"/>
        <v/>
      </c>
    </row>
    <row r="1728" spans="1:18" x14ac:dyDescent="0.35">
      <c r="A1728" s="8">
        <v>1724</v>
      </c>
      <c r="B1728" s="9" t="str">
        <f t="shared" si="182"/>
        <v/>
      </c>
      <c r="C1728" s="10"/>
      <c r="D1728" s="9" t="str">
        <f>IF(F1728="","",_xlfn.XLOOKUP(F1728,purchase!D:D,purchase!#REF!,""))</f>
        <v/>
      </c>
      <c r="E1728" s="9" t="str">
        <f>IF(F1728="","",_xlfn.XLOOKUP(F1728,purchase!D:D,purchase!B:B,""))</f>
        <v/>
      </c>
      <c r="F1728" s="2"/>
      <c r="G1728" s="4" t="str">
        <f t="shared" si="183"/>
        <v/>
      </c>
      <c r="H1728" s="4" t="str">
        <f>IF(F1728="","",_xlfn.XLOOKUP(F1728,purchase!D:D,purchase!#REF!,""))</f>
        <v/>
      </c>
      <c r="I1728" s="4" t="str">
        <f t="shared" si="184"/>
        <v/>
      </c>
      <c r="J1728" s="4" t="str">
        <f t="shared" si="185"/>
        <v/>
      </c>
      <c r="K1728" s="13" t="str">
        <f>_xlfn.SINGLE(IF(F1728="","",_xlfn.XLOOKUP(F1728,purchase!D:D,purchase!#REF!,"")))</f>
        <v/>
      </c>
      <c r="L1728" s="2"/>
      <c r="M1728" s="32"/>
      <c r="N1728" s="13" t="str">
        <f>IF(F1728="","",
MAX(0,
_xlfn.XLOOKUP(F1728,purchase!D:D,purchase!#REF!,"")
-
SUMIFS(L:L,F:F,F1728)))</f>
        <v/>
      </c>
      <c r="O1728" s="13" t="str">
        <f t="shared" si="186"/>
        <v/>
      </c>
      <c r="P1728" s="35" t="str">
        <f>_xlfn.SINGLE(IF(F1728="","",_xlfn.XLOOKUP(F1728,purchase!D:D,purchase!K:K,"")))</f>
        <v/>
      </c>
      <c r="Q1728" s="29" t="str">
        <f t="shared" si="187"/>
        <v/>
      </c>
      <c r="R1728" s="37" t="str">
        <f t="shared" si="188"/>
        <v/>
      </c>
    </row>
    <row r="1729" spans="1:18" x14ac:dyDescent="0.35">
      <c r="A1729" s="8">
        <v>1725</v>
      </c>
      <c r="B1729" s="9" t="str">
        <f t="shared" si="182"/>
        <v/>
      </c>
      <c r="C1729" s="10"/>
      <c r="D1729" s="9" t="str">
        <f>IF(F1729="","",_xlfn.XLOOKUP(F1729,purchase!D:D,purchase!#REF!,""))</f>
        <v/>
      </c>
      <c r="E1729" s="9" t="str">
        <f>IF(F1729="","",_xlfn.XLOOKUP(F1729,purchase!D:D,purchase!B:B,""))</f>
        <v/>
      </c>
      <c r="F1729" s="2"/>
      <c r="G1729" s="4" t="str">
        <f t="shared" si="183"/>
        <v/>
      </c>
      <c r="H1729" s="4" t="str">
        <f>IF(F1729="","",_xlfn.XLOOKUP(F1729,purchase!D:D,purchase!#REF!,""))</f>
        <v/>
      </c>
      <c r="I1729" s="4" t="str">
        <f t="shared" si="184"/>
        <v/>
      </c>
      <c r="J1729" s="4" t="str">
        <f t="shared" si="185"/>
        <v/>
      </c>
      <c r="K1729" s="13" t="str">
        <f>_xlfn.SINGLE(IF(F1729="","",_xlfn.XLOOKUP(F1729,purchase!D:D,purchase!#REF!,"")))</f>
        <v/>
      </c>
      <c r="L1729" s="2"/>
      <c r="M1729" s="32"/>
      <c r="N1729" s="13" t="str">
        <f>IF(F1729="","",
MAX(0,
_xlfn.XLOOKUP(F1729,purchase!D:D,purchase!#REF!,"")
-
SUMIFS(L:L,F:F,F1729)))</f>
        <v/>
      </c>
      <c r="O1729" s="13" t="str">
        <f t="shared" si="186"/>
        <v/>
      </c>
      <c r="P1729" s="35" t="str">
        <f>_xlfn.SINGLE(IF(F1729="","",_xlfn.XLOOKUP(F1729,purchase!D:D,purchase!K:K,"")))</f>
        <v/>
      </c>
      <c r="Q1729" s="29" t="str">
        <f t="shared" si="187"/>
        <v/>
      </c>
      <c r="R1729" s="37" t="str">
        <f t="shared" si="188"/>
        <v/>
      </c>
    </row>
    <row r="1730" spans="1:18" x14ac:dyDescent="0.35">
      <c r="A1730" s="8">
        <v>1726</v>
      </c>
      <c r="B1730" s="9" t="str">
        <f t="shared" si="182"/>
        <v/>
      </c>
      <c r="C1730" s="10"/>
      <c r="D1730" s="9" t="str">
        <f>IF(F1730="","",_xlfn.XLOOKUP(F1730,purchase!D:D,purchase!#REF!,""))</f>
        <v/>
      </c>
      <c r="E1730" s="9" t="str">
        <f>IF(F1730="","",_xlfn.XLOOKUP(F1730,purchase!D:D,purchase!B:B,""))</f>
        <v/>
      </c>
      <c r="F1730" s="2"/>
      <c r="G1730" s="4" t="str">
        <f t="shared" si="183"/>
        <v/>
      </c>
      <c r="H1730" s="4" t="str">
        <f>IF(F1730="","",_xlfn.XLOOKUP(F1730,purchase!D:D,purchase!#REF!,""))</f>
        <v/>
      </c>
      <c r="I1730" s="4" t="str">
        <f t="shared" si="184"/>
        <v/>
      </c>
      <c r="J1730" s="4" t="str">
        <f t="shared" si="185"/>
        <v/>
      </c>
      <c r="K1730" s="13" t="str">
        <f>_xlfn.SINGLE(IF(F1730="","",_xlfn.XLOOKUP(F1730,purchase!D:D,purchase!#REF!,"")))</f>
        <v/>
      </c>
      <c r="L1730" s="2"/>
      <c r="M1730" s="32"/>
      <c r="N1730" s="13" t="str">
        <f>IF(F1730="","",
MAX(0,
_xlfn.XLOOKUP(F1730,purchase!D:D,purchase!#REF!,"")
-
SUMIFS(L:L,F:F,F1730)))</f>
        <v/>
      </c>
      <c r="O1730" s="13" t="str">
        <f t="shared" si="186"/>
        <v/>
      </c>
      <c r="P1730" s="35" t="str">
        <f>_xlfn.SINGLE(IF(F1730="","",_xlfn.XLOOKUP(F1730,purchase!D:D,purchase!K:K,"")))</f>
        <v/>
      </c>
      <c r="Q1730" s="29" t="str">
        <f t="shared" si="187"/>
        <v/>
      </c>
      <c r="R1730" s="37" t="str">
        <f t="shared" si="188"/>
        <v/>
      </c>
    </row>
    <row r="1731" spans="1:18" x14ac:dyDescent="0.35">
      <c r="A1731" s="8">
        <v>1727</v>
      </c>
      <c r="B1731" s="9" t="str">
        <f t="shared" si="182"/>
        <v/>
      </c>
      <c r="C1731" s="10"/>
      <c r="D1731" s="9" t="str">
        <f>IF(F1731="","",_xlfn.XLOOKUP(F1731,purchase!D:D,purchase!#REF!,""))</f>
        <v/>
      </c>
      <c r="E1731" s="9" t="str">
        <f>IF(F1731="","",_xlfn.XLOOKUP(F1731,purchase!D:D,purchase!B:B,""))</f>
        <v/>
      </c>
      <c r="F1731" s="2"/>
      <c r="G1731" s="4" t="str">
        <f t="shared" si="183"/>
        <v/>
      </c>
      <c r="H1731" s="4" t="str">
        <f>IF(F1731="","",_xlfn.XLOOKUP(F1731,purchase!D:D,purchase!#REF!,""))</f>
        <v/>
      </c>
      <c r="I1731" s="4" t="str">
        <f t="shared" si="184"/>
        <v/>
      </c>
      <c r="J1731" s="4" t="str">
        <f t="shared" si="185"/>
        <v/>
      </c>
      <c r="K1731" s="13" t="str">
        <f>_xlfn.SINGLE(IF(F1731="","",_xlfn.XLOOKUP(F1731,purchase!D:D,purchase!#REF!,"")))</f>
        <v/>
      </c>
      <c r="L1731" s="2"/>
      <c r="M1731" s="32"/>
      <c r="N1731" s="13" t="str">
        <f>IF(F1731="","",
MAX(0,
_xlfn.XLOOKUP(F1731,purchase!D:D,purchase!#REF!,"")
-
SUMIFS(L:L,F:F,F1731)))</f>
        <v/>
      </c>
      <c r="O1731" s="13" t="str">
        <f t="shared" si="186"/>
        <v/>
      </c>
      <c r="P1731" s="35" t="str">
        <f>_xlfn.SINGLE(IF(F1731="","",_xlfn.XLOOKUP(F1731,purchase!D:D,purchase!K:K,"")))</f>
        <v/>
      </c>
      <c r="Q1731" s="29" t="str">
        <f t="shared" si="187"/>
        <v/>
      </c>
      <c r="R1731" s="37" t="str">
        <f t="shared" si="188"/>
        <v/>
      </c>
    </row>
    <row r="1732" spans="1:18" x14ac:dyDescent="0.35">
      <c r="A1732" s="8">
        <v>1728</v>
      </c>
      <c r="B1732" s="9" t="str">
        <f t="shared" si="182"/>
        <v/>
      </c>
      <c r="C1732" s="10"/>
      <c r="D1732" s="9" t="str">
        <f>IF(F1732="","",_xlfn.XLOOKUP(F1732,purchase!D:D,purchase!#REF!,""))</f>
        <v/>
      </c>
      <c r="E1732" s="9" t="str">
        <f>IF(F1732="","",_xlfn.XLOOKUP(F1732,purchase!D:D,purchase!B:B,""))</f>
        <v/>
      </c>
      <c r="F1732" s="2"/>
      <c r="G1732" s="4" t="str">
        <f t="shared" si="183"/>
        <v/>
      </c>
      <c r="H1732" s="4" t="str">
        <f>IF(F1732="","",_xlfn.XLOOKUP(F1732,purchase!D:D,purchase!#REF!,""))</f>
        <v/>
      </c>
      <c r="I1732" s="4" t="str">
        <f t="shared" si="184"/>
        <v/>
      </c>
      <c r="J1732" s="4" t="str">
        <f t="shared" si="185"/>
        <v/>
      </c>
      <c r="K1732" s="13" t="str">
        <f>_xlfn.SINGLE(IF(F1732="","",_xlfn.XLOOKUP(F1732,purchase!D:D,purchase!#REF!,"")))</f>
        <v/>
      </c>
      <c r="L1732" s="2"/>
      <c r="M1732" s="32"/>
      <c r="N1732" s="13" t="str">
        <f>IF(F1732="","",
MAX(0,
_xlfn.XLOOKUP(F1732,purchase!D:D,purchase!#REF!,"")
-
SUMIFS(L:L,F:F,F1732)))</f>
        <v/>
      </c>
      <c r="O1732" s="13" t="str">
        <f t="shared" si="186"/>
        <v/>
      </c>
      <c r="P1732" s="35" t="str">
        <f>_xlfn.SINGLE(IF(F1732="","",_xlfn.XLOOKUP(F1732,purchase!D:D,purchase!K:K,"")))</f>
        <v/>
      </c>
      <c r="Q1732" s="29" t="str">
        <f t="shared" si="187"/>
        <v/>
      </c>
      <c r="R1732" s="37" t="str">
        <f t="shared" si="188"/>
        <v/>
      </c>
    </row>
    <row r="1733" spans="1:18" x14ac:dyDescent="0.35">
      <c r="A1733" s="8">
        <v>1729</v>
      </c>
      <c r="B1733" s="9" t="str">
        <f t="shared" ref="B1733:B1796" si="189">IF(OR(C1733="",F1733=""),"",
"PRD-" &amp;
TEXT(DAY(C1733),"00") &amp;
CHOOSE(MONTH(C1733),"A","B","C","D","E","F","G","H","I","J","K","L") &amp;
TEXT(YEAR(C1733),"00") &amp;
"-" &amp;
RIGHT(F1733,4))</f>
        <v/>
      </c>
      <c r="C1733" s="10"/>
      <c r="D1733" s="9" t="str">
        <f>IF(F1733="","",_xlfn.XLOOKUP(F1733,purchase!D:D,purchase!#REF!,""))</f>
        <v/>
      </c>
      <c r="E1733" s="9" t="str">
        <f>IF(F1733="","",_xlfn.XLOOKUP(F1733,purchase!D:D,purchase!B:B,""))</f>
        <v/>
      </c>
      <c r="F1733" s="2"/>
      <c r="G1733" s="4" t="str">
        <f t="shared" ref="G1733:G1796" si="190">IF(H1733="NRFC","Natural Rubber Field Coagulam","")</f>
        <v/>
      </c>
      <c r="H1733" s="4" t="str">
        <f>IF(F1733="","",_xlfn.XLOOKUP(F1733,purchase!D:D,purchase!#REF!,""))</f>
        <v/>
      </c>
      <c r="I1733" s="4" t="str">
        <f t="shared" ref="I1733:I1796" si="191">IF(J1733="ISNR20","Natural Rubber-TSNR (ISNR-20)","")</f>
        <v/>
      </c>
      <c r="J1733" s="4" t="str">
        <f t="shared" ref="J1733:J1796" si="192">IF(H1733="NRFC","ISNR20","")</f>
        <v/>
      </c>
      <c r="K1733" s="13" t="str">
        <f>_xlfn.SINGLE(IF(F1733="","",_xlfn.XLOOKUP(F1733,purchase!D:D,purchase!#REF!,"")))</f>
        <v/>
      </c>
      <c r="L1733" s="2"/>
      <c r="M1733" s="32"/>
      <c r="N1733" s="13" t="str">
        <f>IF(F1733="","",
MAX(0,
_xlfn.XLOOKUP(F1733,purchase!D:D,purchase!#REF!,"")
-
SUMIFS(L:L,F:F,F1733)))</f>
        <v/>
      </c>
      <c r="O1733" s="13" t="str">
        <f t="shared" ref="O1733:O1796" si="193">IF(OR(L1733="",M1733=""),"",L1733-M1733)</f>
        <v/>
      </c>
      <c r="P1733" s="35" t="str">
        <f>_xlfn.SINGLE(IF(F1733="","",_xlfn.XLOOKUP(F1733,purchase!D:D,purchase!K:K,"")))</f>
        <v/>
      </c>
      <c r="Q1733" s="29" t="str">
        <f t="shared" ref="Q1733:Q1796" si="194">IF(OR(L1733="",M1733=""),"",M1733/L1733)</f>
        <v/>
      </c>
      <c r="R1733" s="37" t="str">
        <f t="shared" ref="R1733:R1796" si="195">IF(OR(P1733="",Q1733=""),"",Q1733-P1733)</f>
        <v/>
      </c>
    </row>
    <row r="1734" spans="1:18" x14ac:dyDescent="0.35">
      <c r="A1734" s="8">
        <v>1730</v>
      </c>
      <c r="B1734" s="9" t="str">
        <f t="shared" si="189"/>
        <v/>
      </c>
      <c r="C1734" s="10"/>
      <c r="D1734" s="9" t="str">
        <f>IF(F1734="","",_xlfn.XLOOKUP(F1734,purchase!D:D,purchase!#REF!,""))</f>
        <v/>
      </c>
      <c r="E1734" s="9" t="str">
        <f>IF(F1734="","",_xlfn.XLOOKUP(F1734,purchase!D:D,purchase!B:B,""))</f>
        <v/>
      </c>
      <c r="F1734" s="2"/>
      <c r="G1734" s="4" t="str">
        <f t="shared" si="190"/>
        <v/>
      </c>
      <c r="H1734" s="4" t="str">
        <f>IF(F1734="","",_xlfn.XLOOKUP(F1734,purchase!D:D,purchase!#REF!,""))</f>
        <v/>
      </c>
      <c r="I1734" s="4" t="str">
        <f t="shared" si="191"/>
        <v/>
      </c>
      <c r="J1734" s="4" t="str">
        <f t="shared" si="192"/>
        <v/>
      </c>
      <c r="K1734" s="13" t="str">
        <f>_xlfn.SINGLE(IF(F1734="","",_xlfn.XLOOKUP(F1734,purchase!D:D,purchase!#REF!,"")))</f>
        <v/>
      </c>
      <c r="L1734" s="2"/>
      <c r="M1734" s="32"/>
      <c r="N1734" s="13" t="str">
        <f>IF(F1734="","",
MAX(0,
_xlfn.XLOOKUP(F1734,purchase!D:D,purchase!#REF!,"")
-
SUMIFS(L:L,F:F,F1734)))</f>
        <v/>
      </c>
      <c r="O1734" s="13" t="str">
        <f t="shared" si="193"/>
        <v/>
      </c>
      <c r="P1734" s="35" t="str">
        <f>_xlfn.SINGLE(IF(F1734="","",_xlfn.XLOOKUP(F1734,purchase!D:D,purchase!K:K,"")))</f>
        <v/>
      </c>
      <c r="Q1734" s="29" t="str">
        <f t="shared" si="194"/>
        <v/>
      </c>
      <c r="R1734" s="37" t="str">
        <f t="shared" si="195"/>
        <v/>
      </c>
    </row>
    <row r="1735" spans="1:18" x14ac:dyDescent="0.35">
      <c r="A1735" s="8">
        <v>1731</v>
      </c>
      <c r="B1735" s="9" t="str">
        <f t="shared" si="189"/>
        <v/>
      </c>
      <c r="C1735" s="10"/>
      <c r="D1735" s="9" t="str">
        <f>IF(F1735="","",_xlfn.XLOOKUP(F1735,purchase!D:D,purchase!#REF!,""))</f>
        <v/>
      </c>
      <c r="E1735" s="9" t="str">
        <f>IF(F1735="","",_xlfn.XLOOKUP(F1735,purchase!D:D,purchase!B:B,""))</f>
        <v/>
      </c>
      <c r="F1735" s="2"/>
      <c r="G1735" s="4" t="str">
        <f t="shared" si="190"/>
        <v/>
      </c>
      <c r="H1735" s="4" t="str">
        <f>IF(F1735="","",_xlfn.XLOOKUP(F1735,purchase!D:D,purchase!#REF!,""))</f>
        <v/>
      </c>
      <c r="I1735" s="4" t="str">
        <f t="shared" si="191"/>
        <v/>
      </c>
      <c r="J1735" s="4" t="str">
        <f t="shared" si="192"/>
        <v/>
      </c>
      <c r="K1735" s="13" t="str">
        <f>_xlfn.SINGLE(IF(F1735="","",_xlfn.XLOOKUP(F1735,purchase!D:D,purchase!#REF!,"")))</f>
        <v/>
      </c>
      <c r="L1735" s="2"/>
      <c r="M1735" s="32"/>
      <c r="N1735" s="13" t="str">
        <f>IF(F1735="","",
MAX(0,
_xlfn.XLOOKUP(F1735,purchase!D:D,purchase!#REF!,"")
-
SUMIFS(L:L,F:F,F1735)))</f>
        <v/>
      </c>
      <c r="O1735" s="13" t="str">
        <f t="shared" si="193"/>
        <v/>
      </c>
      <c r="P1735" s="35" t="str">
        <f>_xlfn.SINGLE(IF(F1735="","",_xlfn.XLOOKUP(F1735,purchase!D:D,purchase!K:K,"")))</f>
        <v/>
      </c>
      <c r="Q1735" s="29" t="str">
        <f t="shared" si="194"/>
        <v/>
      </c>
      <c r="R1735" s="37" t="str">
        <f t="shared" si="195"/>
        <v/>
      </c>
    </row>
    <row r="1736" spans="1:18" x14ac:dyDescent="0.35">
      <c r="A1736" s="8">
        <v>1732</v>
      </c>
      <c r="B1736" s="9" t="str">
        <f t="shared" si="189"/>
        <v/>
      </c>
      <c r="C1736" s="10"/>
      <c r="D1736" s="9" t="str">
        <f>IF(F1736="","",_xlfn.XLOOKUP(F1736,purchase!D:D,purchase!#REF!,""))</f>
        <v/>
      </c>
      <c r="E1736" s="9" t="str">
        <f>IF(F1736="","",_xlfn.XLOOKUP(F1736,purchase!D:D,purchase!B:B,""))</f>
        <v/>
      </c>
      <c r="F1736" s="2"/>
      <c r="G1736" s="4" t="str">
        <f t="shared" si="190"/>
        <v/>
      </c>
      <c r="H1736" s="4" t="str">
        <f>IF(F1736="","",_xlfn.XLOOKUP(F1736,purchase!D:D,purchase!#REF!,""))</f>
        <v/>
      </c>
      <c r="I1736" s="4" t="str">
        <f t="shared" si="191"/>
        <v/>
      </c>
      <c r="J1736" s="4" t="str">
        <f t="shared" si="192"/>
        <v/>
      </c>
      <c r="K1736" s="13" t="str">
        <f>_xlfn.SINGLE(IF(F1736="","",_xlfn.XLOOKUP(F1736,purchase!D:D,purchase!#REF!,"")))</f>
        <v/>
      </c>
      <c r="L1736" s="2"/>
      <c r="M1736" s="32"/>
      <c r="N1736" s="13" t="str">
        <f>IF(F1736="","",
MAX(0,
_xlfn.XLOOKUP(F1736,purchase!D:D,purchase!#REF!,"")
-
SUMIFS(L:L,F:F,F1736)))</f>
        <v/>
      </c>
      <c r="O1736" s="13" t="str">
        <f t="shared" si="193"/>
        <v/>
      </c>
      <c r="P1736" s="35" t="str">
        <f>_xlfn.SINGLE(IF(F1736="","",_xlfn.XLOOKUP(F1736,purchase!D:D,purchase!K:K,"")))</f>
        <v/>
      </c>
      <c r="Q1736" s="29" t="str">
        <f t="shared" si="194"/>
        <v/>
      </c>
      <c r="R1736" s="37" t="str">
        <f t="shared" si="195"/>
        <v/>
      </c>
    </row>
    <row r="1737" spans="1:18" x14ac:dyDescent="0.35">
      <c r="A1737" s="8">
        <v>1733</v>
      </c>
      <c r="B1737" s="9" t="str">
        <f t="shared" si="189"/>
        <v/>
      </c>
      <c r="C1737" s="10"/>
      <c r="D1737" s="9" t="str">
        <f>IF(F1737="","",_xlfn.XLOOKUP(F1737,purchase!D:D,purchase!#REF!,""))</f>
        <v/>
      </c>
      <c r="E1737" s="9" t="str">
        <f>IF(F1737="","",_xlfn.XLOOKUP(F1737,purchase!D:D,purchase!B:B,""))</f>
        <v/>
      </c>
      <c r="F1737" s="2"/>
      <c r="G1737" s="4" t="str">
        <f t="shared" si="190"/>
        <v/>
      </c>
      <c r="H1737" s="4" t="str">
        <f>IF(F1737="","",_xlfn.XLOOKUP(F1737,purchase!D:D,purchase!#REF!,""))</f>
        <v/>
      </c>
      <c r="I1737" s="4" t="str">
        <f t="shared" si="191"/>
        <v/>
      </c>
      <c r="J1737" s="4" t="str">
        <f t="shared" si="192"/>
        <v/>
      </c>
      <c r="K1737" s="13" t="str">
        <f>_xlfn.SINGLE(IF(F1737="","",_xlfn.XLOOKUP(F1737,purchase!D:D,purchase!#REF!,"")))</f>
        <v/>
      </c>
      <c r="L1737" s="2"/>
      <c r="M1737" s="32"/>
      <c r="N1737" s="13" t="str">
        <f>IF(F1737="","",
MAX(0,
_xlfn.XLOOKUP(F1737,purchase!D:D,purchase!#REF!,"")
-
SUMIFS(L:L,F:F,F1737)))</f>
        <v/>
      </c>
      <c r="O1737" s="13" t="str">
        <f t="shared" si="193"/>
        <v/>
      </c>
      <c r="P1737" s="35" t="str">
        <f>_xlfn.SINGLE(IF(F1737="","",_xlfn.XLOOKUP(F1737,purchase!D:D,purchase!K:K,"")))</f>
        <v/>
      </c>
      <c r="Q1737" s="29" t="str">
        <f t="shared" si="194"/>
        <v/>
      </c>
      <c r="R1737" s="37" t="str">
        <f t="shared" si="195"/>
        <v/>
      </c>
    </row>
    <row r="1738" spans="1:18" x14ac:dyDescent="0.35">
      <c r="A1738" s="8">
        <v>1734</v>
      </c>
      <c r="B1738" s="9" t="str">
        <f t="shared" si="189"/>
        <v/>
      </c>
      <c r="C1738" s="10"/>
      <c r="D1738" s="9" t="str">
        <f>IF(F1738="","",_xlfn.XLOOKUP(F1738,purchase!D:D,purchase!#REF!,""))</f>
        <v/>
      </c>
      <c r="E1738" s="9" t="str">
        <f>IF(F1738="","",_xlfn.XLOOKUP(F1738,purchase!D:D,purchase!B:B,""))</f>
        <v/>
      </c>
      <c r="F1738" s="2"/>
      <c r="G1738" s="4" t="str">
        <f t="shared" si="190"/>
        <v/>
      </c>
      <c r="H1738" s="4" t="str">
        <f>IF(F1738="","",_xlfn.XLOOKUP(F1738,purchase!D:D,purchase!#REF!,""))</f>
        <v/>
      </c>
      <c r="I1738" s="4" t="str">
        <f t="shared" si="191"/>
        <v/>
      </c>
      <c r="J1738" s="4" t="str">
        <f t="shared" si="192"/>
        <v/>
      </c>
      <c r="K1738" s="13" t="str">
        <f>_xlfn.SINGLE(IF(F1738="","",_xlfn.XLOOKUP(F1738,purchase!D:D,purchase!#REF!,"")))</f>
        <v/>
      </c>
      <c r="L1738" s="2"/>
      <c r="M1738" s="32"/>
      <c r="N1738" s="13" t="str">
        <f>IF(F1738="","",
MAX(0,
_xlfn.XLOOKUP(F1738,purchase!D:D,purchase!#REF!,"")
-
SUMIFS(L:L,F:F,F1738)))</f>
        <v/>
      </c>
      <c r="O1738" s="13" t="str">
        <f t="shared" si="193"/>
        <v/>
      </c>
      <c r="P1738" s="35" t="str">
        <f>_xlfn.SINGLE(IF(F1738="","",_xlfn.XLOOKUP(F1738,purchase!D:D,purchase!K:K,"")))</f>
        <v/>
      </c>
      <c r="Q1738" s="29" t="str">
        <f t="shared" si="194"/>
        <v/>
      </c>
      <c r="R1738" s="37" t="str">
        <f t="shared" si="195"/>
        <v/>
      </c>
    </row>
    <row r="1739" spans="1:18" x14ac:dyDescent="0.35">
      <c r="A1739" s="8">
        <v>1735</v>
      </c>
      <c r="B1739" s="9" t="str">
        <f t="shared" si="189"/>
        <v/>
      </c>
      <c r="C1739" s="10"/>
      <c r="D1739" s="9" t="str">
        <f>IF(F1739="","",_xlfn.XLOOKUP(F1739,purchase!D:D,purchase!#REF!,""))</f>
        <v/>
      </c>
      <c r="E1739" s="9" t="str">
        <f>IF(F1739="","",_xlfn.XLOOKUP(F1739,purchase!D:D,purchase!B:B,""))</f>
        <v/>
      </c>
      <c r="F1739" s="2"/>
      <c r="G1739" s="4" t="str">
        <f t="shared" si="190"/>
        <v/>
      </c>
      <c r="H1739" s="4" t="str">
        <f>IF(F1739="","",_xlfn.XLOOKUP(F1739,purchase!D:D,purchase!#REF!,""))</f>
        <v/>
      </c>
      <c r="I1739" s="4" t="str">
        <f t="shared" si="191"/>
        <v/>
      </c>
      <c r="J1739" s="4" t="str">
        <f t="shared" si="192"/>
        <v/>
      </c>
      <c r="K1739" s="13" t="str">
        <f>_xlfn.SINGLE(IF(F1739="","",_xlfn.XLOOKUP(F1739,purchase!D:D,purchase!#REF!,"")))</f>
        <v/>
      </c>
      <c r="L1739" s="2"/>
      <c r="M1739" s="32"/>
      <c r="N1739" s="13" t="str">
        <f>IF(F1739="","",
MAX(0,
_xlfn.XLOOKUP(F1739,purchase!D:D,purchase!#REF!,"")
-
SUMIFS(L:L,F:F,F1739)))</f>
        <v/>
      </c>
      <c r="O1739" s="13" t="str">
        <f t="shared" si="193"/>
        <v/>
      </c>
      <c r="P1739" s="35" t="str">
        <f>_xlfn.SINGLE(IF(F1739="","",_xlfn.XLOOKUP(F1739,purchase!D:D,purchase!K:K,"")))</f>
        <v/>
      </c>
      <c r="Q1739" s="29" t="str">
        <f t="shared" si="194"/>
        <v/>
      </c>
      <c r="R1739" s="37" t="str">
        <f t="shared" si="195"/>
        <v/>
      </c>
    </row>
    <row r="1740" spans="1:18" x14ac:dyDescent="0.35">
      <c r="A1740" s="8">
        <v>1736</v>
      </c>
      <c r="B1740" s="9" t="str">
        <f t="shared" si="189"/>
        <v/>
      </c>
      <c r="C1740" s="10"/>
      <c r="D1740" s="9" t="str">
        <f>IF(F1740="","",_xlfn.XLOOKUP(F1740,purchase!D:D,purchase!#REF!,""))</f>
        <v/>
      </c>
      <c r="E1740" s="9" t="str">
        <f>IF(F1740="","",_xlfn.XLOOKUP(F1740,purchase!D:D,purchase!B:B,""))</f>
        <v/>
      </c>
      <c r="F1740" s="2"/>
      <c r="G1740" s="4" t="str">
        <f t="shared" si="190"/>
        <v/>
      </c>
      <c r="H1740" s="4" t="str">
        <f>IF(F1740="","",_xlfn.XLOOKUP(F1740,purchase!D:D,purchase!#REF!,""))</f>
        <v/>
      </c>
      <c r="I1740" s="4" t="str">
        <f t="shared" si="191"/>
        <v/>
      </c>
      <c r="J1740" s="4" t="str">
        <f t="shared" si="192"/>
        <v/>
      </c>
      <c r="K1740" s="13" t="str">
        <f>_xlfn.SINGLE(IF(F1740="","",_xlfn.XLOOKUP(F1740,purchase!D:D,purchase!#REF!,"")))</f>
        <v/>
      </c>
      <c r="L1740" s="2"/>
      <c r="M1740" s="32"/>
      <c r="N1740" s="13" t="str">
        <f>IF(F1740="","",
MAX(0,
_xlfn.XLOOKUP(F1740,purchase!D:D,purchase!#REF!,"")
-
SUMIFS(L:L,F:F,F1740)))</f>
        <v/>
      </c>
      <c r="O1740" s="13" t="str">
        <f t="shared" si="193"/>
        <v/>
      </c>
      <c r="P1740" s="35" t="str">
        <f>_xlfn.SINGLE(IF(F1740="","",_xlfn.XLOOKUP(F1740,purchase!D:D,purchase!K:K,"")))</f>
        <v/>
      </c>
      <c r="Q1740" s="29" t="str">
        <f t="shared" si="194"/>
        <v/>
      </c>
      <c r="R1740" s="37" t="str">
        <f t="shared" si="195"/>
        <v/>
      </c>
    </row>
    <row r="1741" spans="1:18" x14ac:dyDescent="0.35">
      <c r="A1741" s="8">
        <v>1737</v>
      </c>
      <c r="B1741" s="9" t="str">
        <f t="shared" si="189"/>
        <v/>
      </c>
      <c r="C1741" s="10"/>
      <c r="D1741" s="9" t="str">
        <f>IF(F1741="","",_xlfn.XLOOKUP(F1741,purchase!D:D,purchase!#REF!,""))</f>
        <v/>
      </c>
      <c r="E1741" s="9" t="str">
        <f>IF(F1741="","",_xlfn.XLOOKUP(F1741,purchase!D:D,purchase!B:B,""))</f>
        <v/>
      </c>
      <c r="F1741" s="2"/>
      <c r="G1741" s="4" t="str">
        <f t="shared" si="190"/>
        <v/>
      </c>
      <c r="H1741" s="4" t="str">
        <f>IF(F1741="","",_xlfn.XLOOKUP(F1741,purchase!D:D,purchase!#REF!,""))</f>
        <v/>
      </c>
      <c r="I1741" s="4" t="str">
        <f t="shared" si="191"/>
        <v/>
      </c>
      <c r="J1741" s="4" t="str">
        <f t="shared" si="192"/>
        <v/>
      </c>
      <c r="K1741" s="13" t="str">
        <f>_xlfn.SINGLE(IF(F1741="","",_xlfn.XLOOKUP(F1741,purchase!D:D,purchase!#REF!,"")))</f>
        <v/>
      </c>
      <c r="L1741" s="2"/>
      <c r="M1741" s="32"/>
      <c r="N1741" s="13" t="str">
        <f>IF(F1741="","",
MAX(0,
_xlfn.XLOOKUP(F1741,purchase!D:D,purchase!#REF!,"")
-
SUMIFS(L:L,F:F,F1741)))</f>
        <v/>
      </c>
      <c r="O1741" s="13" t="str">
        <f t="shared" si="193"/>
        <v/>
      </c>
      <c r="P1741" s="35" t="str">
        <f>_xlfn.SINGLE(IF(F1741="","",_xlfn.XLOOKUP(F1741,purchase!D:D,purchase!K:K,"")))</f>
        <v/>
      </c>
      <c r="Q1741" s="29" t="str">
        <f t="shared" si="194"/>
        <v/>
      </c>
      <c r="R1741" s="37" t="str">
        <f t="shared" si="195"/>
        <v/>
      </c>
    </row>
    <row r="1742" spans="1:18" x14ac:dyDescent="0.35">
      <c r="A1742" s="8">
        <v>1738</v>
      </c>
      <c r="B1742" s="9" t="str">
        <f t="shared" si="189"/>
        <v/>
      </c>
      <c r="C1742" s="10"/>
      <c r="D1742" s="9" t="str">
        <f>IF(F1742="","",_xlfn.XLOOKUP(F1742,purchase!D:D,purchase!#REF!,""))</f>
        <v/>
      </c>
      <c r="E1742" s="9" t="str">
        <f>IF(F1742="","",_xlfn.XLOOKUP(F1742,purchase!D:D,purchase!B:B,""))</f>
        <v/>
      </c>
      <c r="F1742" s="2"/>
      <c r="G1742" s="4" t="str">
        <f t="shared" si="190"/>
        <v/>
      </c>
      <c r="H1742" s="4" t="str">
        <f>IF(F1742="","",_xlfn.XLOOKUP(F1742,purchase!D:D,purchase!#REF!,""))</f>
        <v/>
      </c>
      <c r="I1742" s="4" t="str">
        <f t="shared" si="191"/>
        <v/>
      </c>
      <c r="J1742" s="4" t="str">
        <f t="shared" si="192"/>
        <v/>
      </c>
      <c r="K1742" s="13" t="str">
        <f>_xlfn.SINGLE(IF(F1742="","",_xlfn.XLOOKUP(F1742,purchase!D:D,purchase!#REF!,"")))</f>
        <v/>
      </c>
      <c r="L1742" s="2"/>
      <c r="M1742" s="32"/>
      <c r="N1742" s="13" t="str">
        <f>IF(F1742="","",
MAX(0,
_xlfn.XLOOKUP(F1742,purchase!D:D,purchase!#REF!,"")
-
SUMIFS(L:L,F:F,F1742)))</f>
        <v/>
      </c>
      <c r="O1742" s="13" t="str">
        <f t="shared" si="193"/>
        <v/>
      </c>
      <c r="P1742" s="35" t="str">
        <f>_xlfn.SINGLE(IF(F1742="","",_xlfn.XLOOKUP(F1742,purchase!D:D,purchase!K:K,"")))</f>
        <v/>
      </c>
      <c r="Q1742" s="29" t="str">
        <f t="shared" si="194"/>
        <v/>
      </c>
      <c r="R1742" s="37" t="str">
        <f t="shared" si="195"/>
        <v/>
      </c>
    </row>
    <row r="1743" spans="1:18" x14ac:dyDescent="0.35">
      <c r="A1743" s="8">
        <v>1739</v>
      </c>
      <c r="B1743" s="9" t="str">
        <f t="shared" si="189"/>
        <v/>
      </c>
      <c r="C1743" s="10"/>
      <c r="D1743" s="9" t="str">
        <f>IF(F1743="","",_xlfn.XLOOKUP(F1743,purchase!D:D,purchase!#REF!,""))</f>
        <v/>
      </c>
      <c r="E1743" s="9" t="str">
        <f>IF(F1743="","",_xlfn.XLOOKUP(F1743,purchase!D:D,purchase!B:B,""))</f>
        <v/>
      </c>
      <c r="F1743" s="2"/>
      <c r="G1743" s="4" t="str">
        <f t="shared" si="190"/>
        <v/>
      </c>
      <c r="H1743" s="4" t="str">
        <f>IF(F1743="","",_xlfn.XLOOKUP(F1743,purchase!D:D,purchase!#REF!,""))</f>
        <v/>
      </c>
      <c r="I1743" s="4" t="str">
        <f t="shared" si="191"/>
        <v/>
      </c>
      <c r="J1743" s="4" t="str">
        <f t="shared" si="192"/>
        <v/>
      </c>
      <c r="K1743" s="13" t="str">
        <f>_xlfn.SINGLE(IF(F1743="","",_xlfn.XLOOKUP(F1743,purchase!D:D,purchase!#REF!,"")))</f>
        <v/>
      </c>
      <c r="L1743" s="2"/>
      <c r="M1743" s="32"/>
      <c r="N1743" s="13" t="str">
        <f>IF(F1743="","",
MAX(0,
_xlfn.XLOOKUP(F1743,purchase!D:D,purchase!#REF!,"")
-
SUMIFS(L:L,F:F,F1743)))</f>
        <v/>
      </c>
      <c r="O1743" s="13" t="str">
        <f t="shared" si="193"/>
        <v/>
      </c>
      <c r="P1743" s="35" t="str">
        <f>_xlfn.SINGLE(IF(F1743="","",_xlfn.XLOOKUP(F1743,purchase!D:D,purchase!K:K,"")))</f>
        <v/>
      </c>
      <c r="Q1743" s="29" t="str">
        <f t="shared" si="194"/>
        <v/>
      </c>
      <c r="R1743" s="37" t="str">
        <f t="shared" si="195"/>
        <v/>
      </c>
    </row>
    <row r="1744" spans="1:18" x14ac:dyDescent="0.35">
      <c r="A1744" s="8">
        <v>1740</v>
      </c>
      <c r="B1744" s="9" t="str">
        <f t="shared" si="189"/>
        <v/>
      </c>
      <c r="C1744" s="10"/>
      <c r="D1744" s="9" t="str">
        <f>IF(F1744="","",_xlfn.XLOOKUP(F1744,purchase!D:D,purchase!#REF!,""))</f>
        <v/>
      </c>
      <c r="E1744" s="9" t="str">
        <f>IF(F1744="","",_xlfn.XLOOKUP(F1744,purchase!D:D,purchase!B:B,""))</f>
        <v/>
      </c>
      <c r="F1744" s="2"/>
      <c r="G1744" s="4" t="str">
        <f t="shared" si="190"/>
        <v/>
      </c>
      <c r="H1744" s="4" t="str">
        <f>IF(F1744="","",_xlfn.XLOOKUP(F1744,purchase!D:D,purchase!#REF!,""))</f>
        <v/>
      </c>
      <c r="I1744" s="4" t="str">
        <f t="shared" si="191"/>
        <v/>
      </c>
      <c r="J1744" s="4" t="str">
        <f t="shared" si="192"/>
        <v/>
      </c>
      <c r="K1744" s="13" t="str">
        <f>_xlfn.SINGLE(IF(F1744="","",_xlfn.XLOOKUP(F1744,purchase!D:D,purchase!#REF!,"")))</f>
        <v/>
      </c>
      <c r="L1744" s="2"/>
      <c r="M1744" s="32"/>
      <c r="N1744" s="13" t="str">
        <f>IF(F1744="","",
MAX(0,
_xlfn.XLOOKUP(F1744,purchase!D:D,purchase!#REF!,"")
-
SUMIFS(L:L,F:F,F1744)))</f>
        <v/>
      </c>
      <c r="O1744" s="13" t="str">
        <f t="shared" si="193"/>
        <v/>
      </c>
      <c r="P1744" s="35" t="str">
        <f>_xlfn.SINGLE(IF(F1744="","",_xlfn.XLOOKUP(F1744,purchase!D:D,purchase!K:K,"")))</f>
        <v/>
      </c>
      <c r="Q1744" s="29" t="str">
        <f t="shared" si="194"/>
        <v/>
      </c>
      <c r="R1744" s="37" t="str">
        <f t="shared" si="195"/>
        <v/>
      </c>
    </row>
    <row r="1745" spans="1:18" x14ac:dyDescent="0.35">
      <c r="A1745" s="8">
        <v>1741</v>
      </c>
      <c r="B1745" s="9" t="str">
        <f t="shared" si="189"/>
        <v/>
      </c>
      <c r="C1745" s="10"/>
      <c r="D1745" s="9" t="str">
        <f>IF(F1745="","",_xlfn.XLOOKUP(F1745,purchase!D:D,purchase!#REF!,""))</f>
        <v/>
      </c>
      <c r="E1745" s="9" t="str">
        <f>IF(F1745="","",_xlfn.XLOOKUP(F1745,purchase!D:D,purchase!B:B,""))</f>
        <v/>
      </c>
      <c r="F1745" s="2"/>
      <c r="G1745" s="4" t="str">
        <f t="shared" si="190"/>
        <v/>
      </c>
      <c r="H1745" s="4" t="str">
        <f>IF(F1745="","",_xlfn.XLOOKUP(F1745,purchase!D:D,purchase!#REF!,""))</f>
        <v/>
      </c>
      <c r="I1745" s="4" t="str">
        <f t="shared" si="191"/>
        <v/>
      </c>
      <c r="J1745" s="4" t="str">
        <f t="shared" si="192"/>
        <v/>
      </c>
      <c r="K1745" s="13" t="str">
        <f>_xlfn.SINGLE(IF(F1745="","",_xlfn.XLOOKUP(F1745,purchase!D:D,purchase!#REF!,"")))</f>
        <v/>
      </c>
      <c r="L1745" s="2"/>
      <c r="M1745" s="32"/>
      <c r="N1745" s="13" t="str">
        <f>IF(F1745="","",
MAX(0,
_xlfn.XLOOKUP(F1745,purchase!D:D,purchase!#REF!,"")
-
SUMIFS(L:L,F:F,F1745)))</f>
        <v/>
      </c>
      <c r="O1745" s="13" t="str">
        <f t="shared" si="193"/>
        <v/>
      </c>
      <c r="P1745" s="35" t="str">
        <f>_xlfn.SINGLE(IF(F1745="","",_xlfn.XLOOKUP(F1745,purchase!D:D,purchase!K:K,"")))</f>
        <v/>
      </c>
      <c r="Q1745" s="29" t="str">
        <f t="shared" si="194"/>
        <v/>
      </c>
      <c r="R1745" s="37" t="str">
        <f t="shared" si="195"/>
        <v/>
      </c>
    </row>
    <row r="1746" spans="1:18" x14ac:dyDescent="0.35">
      <c r="A1746" s="8">
        <v>1742</v>
      </c>
      <c r="B1746" s="9" t="str">
        <f t="shared" si="189"/>
        <v/>
      </c>
      <c r="C1746" s="10"/>
      <c r="D1746" s="9" t="str">
        <f>IF(F1746="","",_xlfn.XLOOKUP(F1746,purchase!D:D,purchase!#REF!,""))</f>
        <v/>
      </c>
      <c r="E1746" s="9" t="str">
        <f>IF(F1746="","",_xlfn.XLOOKUP(F1746,purchase!D:D,purchase!B:B,""))</f>
        <v/>
      </c>
      <c r="F1746" s="2"/>
      <c r="G1746" s="4" t="str">
        <f t="shared" si="190"/>
        <v/>
      </c>
      <c r="H1746" s="4" t="str">
        <f>IF(F1746="","",_xlfn.XLOOKUP(F1746,purchase!D:D,purchase!#REF!,""))</f>
        <v/>
      </c>
      <c r="I1746" s="4" t="str">
        <f t="shared" si="191"/>
        <v/>
      </c>
      <c r="J1746" s="4" t="str">
        <f t="shared" si="192"/>
        <v/>
      </c>
      <c r="K1746" s="13" t="str">
        <f>_xlfn.SINGLE(IF(F1746="","",_xlfn.XLOOKUP(F1746,purchase!D:D,purchase!#REF!,"")))</f>
        <v/>
      </c>
      <c r="L1746" s="2"/>
      <c r="M1746" s="32"/>
      <c r="N1746" s="13" t="str">
        <f>IF(F1746="","",
MAX(0,
_xlfn.XLOOKUP(F1746,purchase!D:D,purchase!#REF!,"")
-
SUMIFS(L:L,F:F,F1746)))</f>
        <v/>
      </c>
      <c r="O1746" s="13" t="str">
        <f t="shared" si="193"/>
        <v/>
      </c>
      <c r="P1746" s="35" t="str">
        <f>_xlfn.SINGLE(IF(F1746="","",_xlfn.XLOOKUP(F1746,purchase!D:D,purchase!K:K,"")))</f>
        <v/>
      </c>
      <c r="Q1746" s="29" t="str">
        <f t="shared" si="194"/>
        <v/>
      </c>
      <c r="R1746" s="37" t="str">
        <f t="shared" si="195"/>
        <v/>
      </c>
    </row>
    <row r="1747" spans="1:18" x14ac:dyDescent="0.35">
      <c r="A1747" s="8">
        <v>1743</v>
      </c>
      <c r="B1747" s="9" t="str">
        <f t="shared" si="189"/>
        <v/>
      </c>
      <c r="C1747" s="10"/>
      <c r="D1747" s="9" t="str">
        <f>IF(F1747="","",_xlfn.XLOOKUP(F1747,purchase!D:D,purchase!#REF!,""))</f>
        <v/>
      </c>
      <c r="E1747" s="9" t="str">
        <f>IF(F1747="","",_xlfn.XLOOKUP(F1747,purchase!D:D,purchase!B:B,""))</f>
        <v/>
      </c>
      <c r="F1747" s="2"/>
      <c r="G1747" s="4" t="str">
        <f t="shared" si="190"/>
        <v/>
      </c>
      <c r="H1747" s="4" t="str">
        <f>IF(F1747="","",_xlfn.XLOOKUP(F1747,purchase!D:D,purchase!#REF!,""))</f>
        <v/>
      </c>
      <c r="I1747" s="4" t="str">
        <f t="shared" si="191"/>
        <v/>
      </c>
      <c r="J1747" s="4" t="str">
        <f t="shared" si="192"/>
        <v/>
      </c>
      <c r="K1747" s="13" t="str">
        <f>_xlfn.SINGLE(IF(F1747="","",_xlfn.XLOOKUP(F1747,purchase!D:D,purchase!#REF!,"")))</f>
        <v/>
      </c>
      <c r="L1747" s="2"/>
      <c r="M1747" s="32"/>
      <c r="N1747" s="13" t="str">
        <f>IF(F1747="","",
MAX(0,
_xlfn.XLOOKUP(F1747,purchase!D:D,purchase!#REF!,"")
-
SUMIFS(L:L,F:F,F1747)))</f>
        <v/>
      </c>
      <c r="O1747" s="13" t="str">
        <f t="shared" si="193"/>
        <v/>
      </c>
      <c r="P1747" s="35" t="str">
        <f>_xlfn.SINGLE(IF(F1747="","",_xlfn.XLOOKUP(F1747,purchase!D:D,purchase!K:K,"")))</f>
        <v/>
      </c>
      <c r="Q1747" s="29" t="str">
        <f t="shared" si="194"/>
        <v/>
      </c>
      <c r="R1747" s="37" t="str">
        <f t="shared" si="195"/>
        <v/>
      </c>
    </row>
    <row r="1748" spans="1:18" x14ac:dyDescent="0.35">
      <c r="A1748" s="8">
        <v>1744</v>
      </c>
      <c r="B1748" s="9" t="str">
        <f t="shared" si="189"/>
        <v/>
      </c>
      <c r="C1748" s="10"/>
      <c r="D1748" s="9" t="str">
        <f>IF(F1748="","",_xlfn.XLOOKUP(F1748,purchase!D:D,purchase!#REF!,""))</f>
        <v/>
      </c>
      <c r="E1748" s="9" t="str">
        <f>IF(F1748="","",_xlfn.XLOOKUP(F1748,purchase!D:D,purchase!B:B,""))</f>
        <v/>
      </c>
      <c r="F1748" s="2"/>
      <c r="G1748" s="4" t="str">
        <f t="shared" si="190"/>
        <v/>
      </c>
      <c r="H1748" s="4" t="str">
        <f>IF(F1748="","",_xlfn.XLOOKUP(F1748,purchase!D:D,purchase!#REF!,""))</f>
        <v/>
      </c>
      <c r="I1748" s="4" t="str">
        <f t="shared" si="191"/>
        <v/>
      </c>
      <c r="J1748" s="4" t="str">
        <f t="shared" si="192"/>
        <v/>
      </c>
      <c r="K1748" s="13" t="str">
        <f>_xlfn.SINGLE(IF(F1748="","",_xlfn.XLOOKUP(F1748,purchase!D:D,purchase!#REF!,"")))</f>
        <v/>
      </c>
      <c r="L1748" s="2"/>
      <c r="M1748" s="32"/>
      <c r="N1748" s="13" t="str">
        <f>IF(F1748="","",
MAX(0,
_xlfn.XLOOKUP(F1748,purchase!D:D,purchase!#REF!,"")
-
SUMIFS(L:L,F:F,F1748)))</f>
        <v/>
      </c>
      <c r="O1748" s="13" t="str">
        <f t="shared" si="193"/>
        <v/>
      </c>
      <c r="P1748" s="35" t="str">
        <f>_xlfn.SINGLE(IF(F1748="","",_xlfn.XLOOKUP(F1748,purchase!D:D,purchase!K:K,"")))</f>
        <v/>
      </c>
      <c r="Q1748" s="29" t="str">
        <f t="shared" si="194"/>
        <v/>
      </c>
      <c r="R1748" s="37" t="str">
        <f t="shared" si="195"/>
        <v/>
      </c>
    </row>
    <row r="1749" spans="1:18" x14ac:dyDescent="0.35">
      <c r="A1749" s="8">
        <v>1745</v>
      </c>
      <c r="B1749" s="9" t="str">
        <f t="shared" si="189"/>
        <v/>
      </c>
      <c r="C1749" s="10"/>
      <c r="D1749" s="9" t="str">
        <f>IF(F1749="","",_xlfn.XLOOKUP(F1749,purchase!D:D,purchase!#REF!,""))</f>
        <v/>
      </c>
      <c r="E1749" s="9" t="str">
        <f>IF(F1749="","",_xlfn.XLOOKUP(F1749,purchase!D:D,purchase!B:B,""))</f>
        <v/>
      </c>
      <c r="F1749" s="2"/>
      <c r="G1749" s="4" t="str">
        <f t="shared" si="190"/>
        <v/>
      </c>
      <c r="H1749" s="4" t="str">
        <f>IF(F1749="","",_xlfn.XLOOKUP(F1749,purchase!D:D,purchase!#REF!,""))</f>
        <v/>
      </c>
      <c r="I1749" s="4" t="str">
        <f t="shared" si="191"/>
        <v/>
      </c>
      <c r="J1749" s="4" t="str">
        <f t="shared" si="192"/>
        <v/>
      </c>
      <c r="K1749" s="13" t="str">
        <f>_xlfn.SINGLE(IF(F1749="","",_xlfn.XLOOKUP(F1749,purchase!D:D,purchase!#REF!,"")))</f>
        <v/>
      </c>
      <c r="L1749" s="2"/>
      <c r="M1749" s="32"/>
      <c r="N1749" s="13" t="str">
        <f>IF(F1749="","",
MAX(0,
_xlfn.XLOOKUP(F1749,purchase!D:D,purchase!#REF!,"")
-
SUMIFS(L:L,F:F,F1749)))</f>
        <v/>
      </c>
      <c r="O1749" s="13" t="str">
        <f t="shared" si="193"/>
        <v/>
      </c>
      <c r="P1749" s="35" t="str">
        <f>_xlfn.SINGLE(IF(F1749="","",_xlfn.XLOOKUP(F1749,purchase!D:D,purchase!K:K,"")))</f>
        <v/>
      </c>
      <c r="Q1749" s="29" t="str">
        <f t="shared" si="194"/>
        <v/>
      </c>
      <c r="R1749" s="37" t="str">
        <f t="shared" si="195"/>
        <v/>
      </c>
    </row>
    <row r="1750" spans="1:18" x14ac:dyDescent="0.35">
      <c r="A1750" s="8">
        <v>1746</v>
      </c>
      <c r="B1750" s="9" t="str">
        <f t="shared" si="189"/>
        <v/>
      </c>
      <c r="C1750" s="10"/>
      <c r="D1750" s="9" t="str">
        <f>IF(F1750="","",_xlfn.XLOOKUP(F1750,purchase!D:D,purchase!#REF!,""))</f>
        <v/>
      </c>
      <c r="E1750" s="9" t="str">
        <f>IF(F1750="","",_xlfn.XLOOKUP(F1750,purchase!D:D,purchase!B:B,""))</f>
        <v/>
      </c>
      <c r="F1750" s="2"/>
      <c r="G1750" s="4" t="str">
        <f t="shared" si="190"/>
        <v/>
      </c>
      <c r="H1750" s="4" t="str">
        <f>IF(F1750="","",_xlfn.XLOOKUP(F1750,purchase!D:D,purchase!#REF!,""))</f>
        <v/>
      </c>
      <c r="I1750" s="4" t="str">
        <f t="shared" si="191"/>
        <v/>
      </c>
      <c r="J1750" s="4" t="str">
        <f t="shared" si="192"/>
        <v/>
      </c>
      <c r="K1750" s="13" t="str">
        <f>_xlfn.SINGLE(IF(F1750="","",_xlfn.XLOOKUP(F1750,purchase!D:D,purchase!#REF!,"")))</f>
        <v/>
      </c>
      <c r="L1750" s="2"/>
      <c r="M1750" s="32"/>
      <c r="N1750" s="13" t="str">
        <f>IF(F1750="","",
MAX(0,
_xlfn.XLOOKUP(F1750,purchase!D:D,purchase!#REF!,"")
-
SUMIFS(L:L,F:F,F1750)))</f>
        <v/>
      </c>
      <c r="O1750" s="13" t="str">
        <f t="shared" si="193"/>
        <v/>
      </c>
      <c r="P1750" s="35" t="str">
        <f>_xlfn.SINGLE(IF(F1750="","",_xlfn.XLOOKUP(F1750,purchase!D:D,purchase!K:K,"")))</f>
        <v/>
      </c>
      <c r="Q1750" s="29" t="str">
        <f t="shared" si="194"/>
        <v/>
      </c>
      <c r="R1750" s="37" t="str">
        <f t="shared" si="195"/>
        <v/>
      </c>
    </row>
    <row r="1751" spans="1:18" x14ac:dyDescent="0.35">
      <c r="A1751" s="8">
        <v>1747</v>
      </c>
      <c r="B1751" s="9" t="str">
        <f t="shared" si="189"/>
        <v/>
      </c>
      <c r="C1751" s="10"/>
      <c r="D1751" s="9" t="str">
        <f>IF(F1751="","",_xlfn.XLOOKUP(F1751,purchase!D:D,purchase!#REF!,""))</f>
        <v/>
      </c>
      <c r="E1751" s="9" t="str">
        <f>IF(F1751="","",_xlfn.XLOOKUP(F1751,purchase!D:D,purchase!B:B,""))</f>
        <v/>
      </c>
      <c r="F1751" s="2"/>
      <c r="G1751" s="4" t="str">
        <f t="shared" si="190"/>
        <v/>
      </c>
      <c r="H1751" s="4" t="str">
        <f>IF(F1751="","",_xlfn.XLOOKUP(F1751,purchase!D:D,purchase!#REF!,""))</f>
        <v/>
      </c>
      <c r="I1751" s="4" t="str">
        <f t="shared" si="191"/>
        <v/>
      </c>
      <c r="J1751" s="4" t="str">
        <f t="shared" si="192"/>
        <v/>
      </c>
      <c r="K1751" s="13" t="str">
        <f>_xlfn.SINGLE(IF(F1751="","",_xlfn.XLOOKUP(F1751,purchase!D:D,purchase!#REF!,"")))</f>
        <v/>
      </c>
      <c r="L1751" s="2"/>
      <c r="M1751" s="32"/>
      <c r="N1751" s="13" t="str">
        <f>IF(F1751="","",
MAX(0,
_xlfn.XLOOKUP(F1751,purchase!D:D,purchase!#REF!,"")
-
SUMIFS(L:L,F:F,F1751)))</f>
        <v/>
      </c>
      <c r="O1751" s="13" t="str">
        <f t="shared" si="193"/>
        <v/>
      </c>
      <c r="P1751" s="35" t="str">
        <f>_xlfn.SINGLE(IF(F1751="","",_xlfn.XLOOKUP(F1751,purchase!D:D,purchase!K:K,"")))</f>
        <v/>
      </c>
      <c r="Q1751" s="29" t="str">
        <f t="shared" si="194"/>
        <v/>
      </c>
      <c r="R1751" s="37" t="str">
        <f t="shared" si="195"/>
        <v/>
      </c>
    </row>
    <row r="1752" spans="1:18" x14ac:dyDescent="0.35">
      <c r="A1752" s="8">
        <v>1748</v>
      </c>
      <c r="B1752" s="9" t="str">
        <f t="shared" si="189"/>
        <v/>
      </c>
      <c r="C1752" s="10"/>
      <c r="D1752" s="9" t="str">
        <f>IF(F1752="","",_xlfn.XLOOKUP(F1752,purchase!D:D,purchase!#REF!,""))</f>
        <v/>
      </c>
      <c r="E1752" s="9" t="str">
        <f>IF(F1752="","",_xlfn.XLOOKUP(F1752,purchase!D:D,purchase!B:B,""))</f>
        <v/>
      </c>
      <c r="F1752" s="2"/>
      <c r="G1752" s="4" t="str">
        <f t="shared" si="190"/>
        <v/>
      </c>
      <c r="H1752" s="4" t="str">
        <f>IF(F1752="","",_xlfn.XLOOKUP(F1752,purchase!D:D,purchase!#REF!,""))</f>
        <v/>
      </c>
      <c r="I1752" s="4" t="str">
        <f t="shared" si="191"/>
        <v/>
      </c>
      <c r="J1752" s="4" t="str">
        <f t="shared" si="192"/>
        <v/>
      </c>
      <c r="K1752" s="13" t="str">
        <f>_xlfn.SINGLE(IF(F1752="","",_xlfn.XLOOKUP(F1752,purchase!D:D,purchase!#REF!,"")))</f>
        <v/>
      </c>
      <c r="L1752" s="2"/>
      <c r="M1752" s="32"/>
      <c r="N1752" s="13" t="str">
        <f>IF(F1752="","",
MAX(0,
_xlfn.XLOOKUP(F1752,purchase!D:D,purchase!#REF!,"")
-
SUMIFS(L:L,F:F,F1752)))</f>
        <v/>
      </c>
      <c r="O1752" s="13" t="str">
        <f t="shared" si="193"/>
        <v/>
      </c>
      <c r="P1752" s="35" t="str">
        <f>_xlfn.SINGLE(IF(F1752="","",_xlfn.XLOOKUP(F1752,purchase!D:D,purchase!K:K,"")))</f>
        <v/>
      </c>
      <c r="Q1752" s="29" t="str">
        <f t="shared" si="194"/>
        <v/>
      </c>
      <c r="R1752" s="37" t="str">
        <f t="shared" si="195"/>
        <v/>
      </c>
    </row>
    <row r="1753" spans="1:18" x14ac:dyDescent="0.35">
      <c r="A1753" s="8">
        <v>1749</v>
      </c>
      <c r="B1753" s="9" t="str">
        <f t="shared" si="189"/>
        <v/>
      </c>
      <c r="C1753" s="10"/>
      <c r="D1753" s="9" t="str">
        <f>IF(F1753="","",_xlfn.XLOOKUP(F1753,purchase!D:D,purchase!#REF!,""))</f>
        <v/>
      </c>
      <c r="E1753" s="9" t="str">
        <f>IF(F1753="","",_xlfn.XLOOKUP(F1753,purchase!D:D,purchase!B:B,""))</f>
        <v/>
      </c>
      <c r="F1753" s="2"/>
      <c r="G1753" s="4" t="str">
        <f t="shared" si="190"/>
        <v/>
      </c>
      <c r="H1753" s="4" t="str">
        <f>IF(F1753="","",_xlfn.XLOOKUP(F1753,purchase!D:D,purchase!#REF!,""))</f>
        <v/>
      </c>
      <c r="I1753" s="4" t="str">
        <f t="shared" si="191"/>
        <v/>
      </c>
      <c r="J1753" s="4" t="str">
        <f t="shared" si="192"/>
        <v/>
      </c>
      <c r="K1753" s="13" t="str">
        <f>_xlfn.SINGLE(IF(F1753="","",_xlfn.XLOOKUP(F1753,purchase!D:D,purchase!#REF!,"")))</f>
        <v/>
      </c>
      <c r="L1753" s="2"/>
      <c r="M1753" s="32"/>
      <c r="N1753" s="13" t="str">
        <f>IF(F1753="","",
MAX(0,
_xlfn.XLOOKUP(F1753,purchase!D:D,purchase!#REF!,"")
-
SUMIFS(L:L,F:F,F1753)))</f>
        <v/>
      </c>
      <c r="O1753" s="13" t="str">
        <f t="shared" si="193"/>
        <v/>
      </c>
      <c r="P1753" s="35" t="str">
        <f>_xlfn.SINGLE(IF(F1753="","",_xlfn.XLOOKUP(F1753,purchase!D:D,purchase!K:K,"")))</f>
        <v/>
      </c>
      <c r="Q1753" s="29" t="str">
        <f t="shared" si="194"/>
        <v/>
      </c>
      <c r="R1753" s="37" t="str">
        <f t="shared" si="195"/>
        <v/>
      </c>
    </row>
    <row r="1754" spans="1:18" x14ac:dyDescent="0.35">
      <c r="A1754" s="8">
        <v>1750</v>
      </c>
      <c r="B1754" s="9" t="str">
        <f t="shared" si="189"/>
        <v/>
      </c>
      <c r="C1754" s="10"/>
      <c r="D1754" s="9" t="str">
        <f>IF(F1754="","",_xlfn.XLOOKUP(F1754,purchase!D:D,purchase!#REF!,""))</f>
        <v/>
      </c>
      <c r="E1754" s="9" t="str">
        <f>IF(F1754="","",_xlfn.XLOOKUP(F1754,purchase!D:D,purchase!B:B,""))</f>
        <v/>
      </c>
      <c r="F1754" s="2"/>
      <c r="G1754" s="4" t="str">
        <f t="shared" si="190"/>
        <v/>
      </c>
      <c r="H1754" s="4" t="str">
        <f>IF(F1754="","",_xlfn.XLOOKUP(F1754,purchase!D:D,purchase!#REF!,""))</f>
        <v/>
      </c>
      <c r="I1754" s="4" t="str">
        <f t="shared" si="191"/>
        <v/>
      </c>
      <c r="J1754" s="4" t="str">
        <f t="shared" si="192"/>
        <v/>
      </c>
      <c r="K1754" s="13" t="str">
        <f>_xlfn.SINGLE(IF(F1754="","",_xlfn.XLOOKUP(F1754,purchase!D:D,purchase!#REF!,"")))</f>
        <v/>
      </c>
      <c r="L1754" s="2"/>
      <c r="M1754" s="32"/>
      <c r="N1754" s="13" t="str">
        <f>IF(F1754="","",
MAX(0,
_xlfn.XLOOKUP(F1754,purchase!D:D,purchase!#REF!,"")
-
SUMIFS(L:L,F:F,F1754)))</f>
        <v/>
      </c>
      <c r="O1754" s="13" t="str">
        <f t="shared" si="193"/>
        <v/>
      </c>
      <c r="P1754" s="35" t="str">
        <f>_xlfn.SINGLE(IF(F1754="","",_xlfn.XLOOKUP(F1754,purchase!D:D,purchase!K:K,"")))</f>
        <v/>
      </c>
      <c r="Q1754" s="29" t="str">
        <f t="shared" si="194"/>
        <v/>
      </c>
      <c r="R1754" s="37" t="str">
        <f t="shared" si="195"/>
        <v/>
      </c>
    </row>
    <row r="1755" spans="1:18" x14ac:dyDescent="0.35">
      <c r="A1755" s="8">
        <v>1751</v>
      </c>
      <c r="B1755" s="9" t="str">
        <f t="shared" si="189"/>
        <v/>
      </c>
      <c r="C1755" s="10"/>
      <c r="D1755" s="9" t="str">
        <f>IF(F1755="","",_xlfn.XLOOKUP(F1755,purchase!D:D,purchase!#REF!,""))</f>
        <v/>
      </c>
      <c r="E1755" s="9" t="str">
        <f>IF(F1755="","",_xlfn.XLOOKUP(F1755,purchase!D:D,purchase!B:B,""))</f>
        <v/>
      </c>
      <c r="F1755" s="2"/>
      <c r="G1755" s="4" t="str">
        <f t="shared" si="190"/>
        <v/>
      </c>
      <c r="H1755" s="4" t="str">
        <f>IF(F1755="","",_xlfn.XLOOKUP(F1755,purchase!D:D,purchase!#REF!,""))</f>
        <v/>
      </c>
      <c r="I1755" s="4" t="str">
        <f t="shared" si="191"/>
        <v/>
      </c>
      <c r="J1755" s="4" t="str">
        <f t="shared" si="192"/>
        <v/>
      </c>
      <c r="K1755" s="13" t="str">
        <f>_xlfn.SINGLE(IF(F1755="","",_xlfn.XLOOKUP(F1755,purchase!D:D,purchase!#REF!,"")))</f>
        <v/>
      </c>
      <c r="L1755" s="2"/>
      <c r="M1755" s="32"/>
      <c r="N1755" s="13" t="str">
        <f>IF(F1755="","",
MAX(0,
_xlfn.XLOOKUP(F1755,purchase!D:D,purchase!#REF!,"")
-
SUMIFS(L:L,F:F,F1755)))</f>
        <v/>
      </c>
      <c r="O1755" s="13" t="str">
        <f t="shared" si="193"/>
        <v/>
      </c>
      <c r="P1755" s="35" t="str">
        <f>_xlfn.SINGLE(IF(F1755="","",_xlfn.XLOOKUP(F1755,purchase!D:D,purchase!K:K,"")))</f>
        <v/>
      </c>
      <c r="Q1755" s="29" t="str">
        <f t="shared" si="194"/>
        <v/>
      </c>
      <c r="R1755" s="37" t="str">
        <f t="shared" si="195"/>
        <v/>
      </c>
    </row>
    <row r="1756" spans="1:18" x14ac:dyDescent="0.35">
      <c r="A1756" s="8">
        <v>1752</v>
      </c>
      <c r="B1756" s="9" t="str">
        <f t="shared" si="189"/>
        <v/>
      </c>
      <c r="C1756" s="10"/>
      <c r="D1756" s="9" t="str">
        <f>IF(F1756="","",_xlfn.XLOOKUP(F1756,purchase!D:D,purchase!#REF!,""))</f>
        <v/>
      </c>
      <c r="E1756" s="9" t="str">
        <f>IF(F1756="","",_xlfn.XLOOKUP(F1756,purchase!D:D,purchase!B:B,""))</f>
        <v/>
      </c>
      <c r="F1756" s="2"/>
      <c r="G1756" s="4" t="str">
        <f t="shared" si="190"/>
        <v/>
      </c>
      <c r="H1756" s="4" t="str">
        <f>IF(F1756="","",_xlfn.XLOOKUP(F1756,purchase!D:D,purchase!#REF!,""))</f>
        <v/>
      </c>
      <c r="I1756" s="4" t="str">
        <f t="shared" si="191"/>
        <v/>
      </c>
      <c r="J1756" s="4" t="str">
        <f t="shared" si="192"/>
        <v/>
      </c>
      <c r="K1756" s="13" t="str">
        <f>_xlfn.SINGLE(IF(F1756="","",_xlfn.XLOOKUP(F1756,purchase!D:D,purchase!#REF!,"")))</f>
        <v/>
      </c>
      <c r="L1756" s="2"/>
      <c r="M1756" s="32"/>
      <c r="N1756" s="13" t="str">
        <f>IF(F1756="","",
MAX(0,
_xlfn.XLOOKUP(F1756,purchase!D:D,purchase!#REF!,"")
-
SUMIFS(L:L,F:F,F1756)))</f>
        <v/>
      </c>
      <c r="O1756" s="13" t="str">
        <f t="shared" si="193"/>
        <v/>
      </c>
      <c r="P1756" s="35" t="str">
        <f>_xlfn.SINGLE(IF(F1756="","",_xlfn.XLOOKUP(F1756,purchase!D:D,purchase!K:K,"")))</f>
        <v/>
      </c>
      <c r="Q1756" s="29" t="str">
        <f t="shared" si="194"/>
        <v/>
      </c>
      <c r="R1756" s="37" t="str">
        <f t="shared" si="195"/>
        <v/>
      </c>
    </row>
    <row r="1757" spans="1:18" x14ac:dyDescent="0.35">
      <c r="A1757" s="8">
        <v>1753</v>
      </c>
      <c r="B1757" s="9" t="str">
        <f t="shared" si="189"/>
        <v/>
      </c>
      <c r="C1757" s="10"/>
      <c r="D1757" s="9" t="str">
        <f>IF(F1757="","",_xlfn.XLOOKUP(F1757,purchase!D:D,purchase!#REF!,""))</f>
        <v/>
      </c>
      <c r="E1757" s="9" t="str">
        <f>IF(F1757="","",_xlfn.XLOOKUP(F1757,purchase!D:D,purchase!B:B,""))</f>
        <v/>
      </c>
      <c r="F1757" s="2"/>
      <c r="G1757" s="4" t="str">
        <f t="shared" si="190"/>
        <v/>
      </c>
      <c r="H1757" s="4" t="str">
        <f>IF(F1757="","",_xlfn.XLOOKUP(F1757,purchase!D:D,purchase!#REF!,""))</f>
        <v/>
      </c>
      <c r="I1757" s="4" t="str">
        <f t="shared" si="191"/>
        <v/>
      </c>
      <c r="J1757" s="4" t="str">
        <f t="shared" si="192"/>
        <v/>
      </c>
      <c r="K1757" s="13" t="str">
        <f>_xlfn.SINGLE(IF(F1757="","",_xlfn.XLOOKUP(F1757,purchase!D:D,purchase!#REF!,"")))</f>
        <v/>
      </c>
      <c r="L1757" s="2"/>
      <c r="M1757" s="32"/>
      <c r="N1757" s="13" t="str">
        <f>IF(F1757="","",
MAX(0,
_xlfn.XLOOKUP(F1757,purchase!D:D,purchase!#REF!,"")
-
SUMIFS(L:L,F:F,F1757)))</f>
        <v/>
      </c>
      <c r="O1757" s="13" t="str">
        <f t="shared" si="193"/>
        <v/>
      </c>
      <c r="P1757" s="35" t="str">
        <f>_xlfn.SINGLE(IF(F1757="","",_xlfn.XLOOKUP(F1757,purchase!D:D,purchase!K:K,"")))</f>
        <v/>
      </c>
      <c r="Q1757" s="29" t="str">
        <f t="shared" si="194"/>
        <v/>
      </c>
      <c r="R1757" s="37" t="str">
        <f t="shared" si="195"/>
        <v/>
      </c>
    </row>
    <row r="1758" spans="1:18" x14ac:dyDescent="0.35">
      <c r="A1758" s="8">
        <v>1754</v>
      </c>
      <c r="B1758" s="9" t="str">
        <f t="shared" si="189"/>
        <v/>
      </c>
      <c r="C1758" s="10"/>
      <c r="D1758" s="9" t="str">
        <f>IF(F1758="","",_xlfn.XLOOKUP(F1758,purchase!D:D,purchase!#REF!,""))</f>
        <v/>
      </c>
      <c r="E1758" s="9" t="str">
        <f>IF(F1758="","",_xlfn.XLOOKUP(F1758,purchase!D:D,purchase!B:B,""))</f>
        <v/>
      </c>
      <c r="F1758" s="2"/>
      <c r="G1758" s="4" t="str">
        <f t="shared" si="190"/>
        <v/>
      </c>
      <c r="H1758" s="4" t="str">
        <f>IF(F1758="","",_xlfn.XLOOKUP(F1758,purchase!D:D,purchase!#REF!,""))</f>
        <v/>
      </c>
      <c r="I1758" s="4" t="str">
        <f t="shared" si="191"/>
        <v/>
      </c>
      <c r="J1758" s="4" t="str">
        <f t="shared" si="192"/>
        <v/>
      </c>
      <c r="K1758" s="13" t="str">
        <f>_xlfn.SINGLE(IF(F1758="","",_xlfn.XLOOKUP(F1758,purchase!D:D,purchase!#REF!,"")))</f>
        <v/>
      </c>
      <c r="L1758" s="2"/>
      <c r="M1758" s="32"/>
      <c r="N1758" s="13" t="str">
        <f>IF(F1758="","",
MAX(0,
_xlfn.XLOOKUP(F1758,purchase!D:D,purchase!#REF!,"")
-
SUMIFS(L:L,F:F,F1758)))</f>
        <v/>
      </c>
      <c r="O1758" s="13" t="str">
        <f t="shared" si="193"/>
        <v/>
      </c>
      <c r="P1758" s="35" t="str">
        <f>_xlfn.SINGLE(IF(F1758="","",_xlfn.XLOOKUP(F1758,purchase!D:D,purchase!K:K,"")))</f>
        <v/>
      </c>
      <c r="Q1758" s="29" t="str">
        <f t="shared" si="194"/>
        <v/>
      </c>
      <c r="R1758" s="37" t="str">
        <f t="shared" si="195"/>
        <v/>
      </c>
    </row>
    <row r="1759" spans="1:18" x14ac:dyDescent="0.35">
      <c r="A1759" s="8">
        <v>1755</v>
      </c>
      <c r="B1759" s="9" t="str">
        <f t="shared" si="189"/>
        <v/>
      </c>
      <c r="C1759" s="10"/>
      <c r="D1759" s="9" t="str">
        <f>IF(F1759="","",_xlfn.XLOOKUP(F1759,purchase!D:D,purchase!#REF!,""))</f>
        <v/>
      </c>
      <c r="E1759" s="9" t="str">
        <f>IF(F1759="","",_xlfn.XLOOKUP(F1759,purchase!D:D,purchase!B:B,""))</f>
        <v/>
      </c>
      <c r="F1759" s="2"/>
      <c r="G1759" s="4" t="str">
        <f t="shared" si="190"/>
        <v/>
      </c>
      <c r="H1759" s="4" t="str">
        <f>IF(F1759="","",_xlfn.XLOOKUP(F1759,purchase!D:D,purchase!#REF!,""))</f>
        <v/>
      </c>
      <c r="I1759" s="4" t="str">
        <f t="shared" si="191"/>
        <v/>
      </c>
      <c r="J1759" s="4" t="str">
        <f t="shared" si="192"/>
        <v/>
      </c>
      <c r="K1759" s="13" t="str">
        <f>_xlfn.SINGLE(IF(F1759="","",_xlfn.XLOOKUP(F1759,purchase!D:D,purchase!#REF!,"")))</f>
        <v/>
      </c>
      <c r="L1759" s="2"/>
      <c r="M1759" s="32"/>
      <c r="N1759" s="13" t="str">
        <f>IF(F1759="","",
MAX(0,
_xlfn.XLOOKUP(F1759,purchase!D:D,purchase!#REF!,"")
-
SUMIFS(L:L,F:F,F1759)))</f>
        <v/>
      </c>
      <c r="O1759" s="13" t="str">
        <f t="shared" si="193"/>
        <v/>
      </c>
      <c r="P1759" s="35" t="str">
        <f>_xlfn.SINGLE(IF(F1759="","",_xlfn.XLOOKUP(F1759,purchase!D:D,purchase!K:K,"")))</f>
        <v/>
      </c>
      <c r="Q1759" s="29" t="str">
        <f t="shared" si="194"/>
        <v/>
      </c>
      <c r="R1759" s="37" t="str">
        <f t="shared" si="195"/>
        <v/>
      </c>
    </row>
    <row r="1760" spans="1:18" x14ac:dyDescent="0.35">
      <c r="A1760" s="8">
        <v>1756</v>
      </c>
      <c r="B1760" s="9" t="str">
        <f t="shared" si="189"/>
        <v/>
      </c>
      <c r="C1760" s="10"/>
      <c r="D1760" s="9" t="str">
        <f>IF(F1760="","",_xlfn.XLOOKUP(F1760,purchase!D:D,purchase!#REF!,""))</f>
        <v/>
      </c>
      <c r="E1760" s="9" t="str">
        <f>IF(F1760="","",_xlfn.XLOOKUP(F1760,purchase!D:D,purchase!B:B,""))</f>
        <v/>
      </c>
      <c r="F1760" s="2"/>
      <c r="G1760" s="4" t="str">
        <f t="shared" si="190"/>
        <v/>
      </c>
      <c r="H1760" s="4" t="str">
        <f>IF(F1760="","",_xlfn.XLOOKUP(F1760,purchase!D:D,purchase!#REF!,""))</f>
        <v/>
      </c>
      <c r="I1760" s="4" t="str">
        <f t="shared" si="191"/>
        <v/>
      </c>
      <c r="J1760" s="4" t="str">
        <f t="shared" si="192"/>
        <v/>
      </c>
      <c r="K1760" s="13" t="str">
        <f>_xlfn.SINGLE(IF(F1760="","",_xlfn.XLOOKUP(F1760,purchase!D:D,purchase!#REF!,"")))</f>
        <v/>
      </c>
      <c r="L1760" s="2"/>
      <c r="M1760" s="32"/>
      <c r="N1760" s="13" t="str">
        <f>IF(F1760="","",
MAX(0,
_xlfn.XLOOKUP(F1760,purchase!D:D,purchase!#REF!,"")
-
SUMIFS(L:L,F:F,F1760)))</f>
        <v/>
      </c>
      <c r="O1760" s="13" t="str">
        <f t="shared" si="193"/>
        <v/>
      </c>
      <c r="P1760" s="35" t="str">
        <f>_xlfn.SINGLE(IF(F1760="","",_xlfn.XLOOKUP(F1760,purchase!D:D,purchase!K:K,"")))</f>
        <v/>
      </c>
      <c r="Q1760" s="29" t="str">
        <f t="shared" si="194"/>
        <v/>
      </c>
      <c r="R1760" s="37" t="str">
        <f t="shared" si="195"/>
        <v/>
      </c>
    </row>
    <row r="1761" spans="1:18" x14ac:dyDescent="0.35">
      <c r="A1761" s="8">
        <v>1757</v>
      </c>
      <c r="B1761" s="9" t="str">
        <f t="shared" si="189"/>
        <v/>
      </c>
      <c r="C1761" s="10"/>
      <c r="D1761" s="9" t="str">
        <f>IF(F1761="","",_xlfn.XLOOKUP(F1761,purchase!D:D,purchase!#REF!,""))</f>
        <v/>
      </c>
      <c r="E1761" s="9" t="str">
        <f>IF(F1761="","",_xlfn.XLOOKUP(F1761,purchase!D:D,purchase!B:B,""))</f>
        <v/>
      </c>
      <c r="F1761" s="2"/>
      <c r="G1761" s="4" t="str">
        <f t="shared" si="190"/>
        <v/>
      </c>
      <c r="H1761" s="4" t="str">
        <f>IF(F1761="","",_xlfn.XLOOKUP(F1761,purchase!D:D,purchase!#REF!,""))</f>
        <v/>
      </c>
      <c r="I1761" s="4" t="str">
        <f t="shared" si="191"/>
        <v/>
      </c>
      <c r="J1761" s="4" t="str">
        <f t="shared" si="192"/>
        <v/>
      </c>
      <c r="K1761" s="13" t="str">
        <f>_xlfn.SINGLE(IF(F1761="","",_xlfn.XLOOKUP(F1761,purchase!D:D,purchase!#REF!,"")))</f>
        <v/>
      </c>
      <c r="L1761" s="2"/>
      <c r="M1761" s="32"/>
      <c r="N1761" s="13" t="str">
        <f>IF(F1761="","",
MAX(0,
_xlfn.XLOOKUP(F1761,purchase!D:D,purchase!#REF!,"")
-
SUMIFS(L:L,F:F,F1761)))</f>
        <v/>
      </c>
      <c r="O1761" s="13" t="str">
        <f t="shared" si="193"/>
        <v/>
      </c>
      <c r="P1761" s="35" t="str">
        <f>_xlfn.SINGLE(IF(F1761="","",_xlfn.XLOOKUP(F1761,purchase!D:D,purchase!K:K,"")))</f>
        <v/>
      </c>
      <c r="Q1761" s="29" t="str">
        <f t="shared" si="194"/>
        <v/>
      </c>
      <c r="R1761" s="37" t="str">
        <f t="shared" si="195"/>
        <v/>
      </c>
    </row>
    <row r="1762" spans="1:18" x14ac:dyDescent="0.35">
      <c r="A1762" s="8">
        <v>1758</v>
      </c>
      <c r="B1762" s="9" t="str">
        <f t="shared" si="189"/>
        <v/>
      </c>
      <c r="C1762" s="10"/>
      <c r="D1762" s="9" t="str">
        <f>IF(F1762="","",_xlfn.XLOOKUP(F1762,purchase!D:D,purchase!#REF!,""))</f>
        <v/>
      </c>
      <c r="E1762" s="9" t="str">
        <f>IF(F1762="","",_xlfn.XLOOKUP(F1762,purchase!D:D,purchase!B:B,""))</f>
        <v/>
      </c>
      <c r="F1762" s="2"/>
      <c r="G1762" s="4" t="str">
        <f t="shared" si="190"/>
        <v/>
      </c>
      <c r="H1762" s="4" t="str">
        <f>IF(F1762="","",_xlfn.XLOOKUP(F1762,purchase!D:D,purchase!#REF!,""))</f>
        <v/>
      </c>
      <c r="I1762" s="4" t="str">
        <f t="shared" si="191"/>
        <v/>
      </c>
      <c r="J1762" s="4" t="str">
        <f t="shared" si="192"/>
        <v/>
      </c>
      <c r="K1762" s="13" t="str">
        <f>_xlfn.SINGLE(IF(F1762="","",_xlfn.XLOOKUP(F1762,purchase!D:D,purchase!#REF!,"")))</f>
        <v/>
      </c>
      <c r="L1762" s="2"/>
      <c r="M1762" s="32"/>
      <c r="N1762" s="13" t="str">
        <f>IF(F1762="","",
MAX(0,
_xlfn.XLOOKUP(F1762,purchase!D:D,purchase!#REF!,"")
-
SUMIFS(L:L,F:F,F1762)))</f>
        <v/>
      </c>
      <c r="O1762" s="13" t="str">
        <f t="shared" si="193"/>
        <v/>
      </c>
      <c r="P1762" s="35" t="str">
        <f>_xlfn.SINGLE(IF(F1762="","",_xlfn.XLOOKUP(F1762,purchase!D:D,purchase!K:K,"")))</f>
        <v/>
      </c>
      <c r="Q1762" s="29" t="str">
        <f t="shared" si="194"/>
        <v/>
      </c>
      <c r="R1762" s="37" t="str">
        <f t="shared" si="195"/>
        <v/>
      </c>
    </row>
    <row r="1763" spans="1:18" x14ac:dyDescent="0.35">
      <c r="A1763" s="8">
        <v>1759</v>
      </c>
      <c r="B1763" s="9" t="str">
        <f t="shared" si="189"/>
        <v/>
      </c>
      <c r="C1763" s="10"/>
      <c r="D1763" s="9" t="str">
        <f>IF(F1763="","",_xlfn.XLOOKUP(F1763,purchase!D:D,purchase!#REF!,""))</f>
        <v/>
      </c>
      <c r="E1763" s="9" t="str">
        <f>IF(F1763="","",_xlfn.XLOOKUP(F1763,purchase!D:D,purchase!B:B,""))</f>
        <v/>
      </c>
      <c r="F1763" s="2"/>
      <c r="G1763" s="4" t="str">
        <f t="shared" si="190"/>
        <v/>
      </c>
      <c r="H1763" s="4" t="str">
        <f>IF(F1763="","",_xlfn.XLOOKUP(F1763,purchase!D:D,purchase!#REF!,""))</f>
        <v/>
      </c>
      <c r="I1763" s="4" t="str">
        <f t="shared" si="191"/>
        <v/>
      </c>
      <c r="J1763" s="4" t="str">
        <f t="shared" si="192"/>
        <v/>
      </c>
      <c r="K1763" s="13" t="str">
        <f>_xlfn.SINGLE(IF(F1763="","",_xlfn.XLOOKUP(F1763,purchase!D:D,purchase!#REF!,"")))</f>
        <v/>
      </c>
      <c r="L1763" s="2"/>
      <c r="M1763" s="32"/>
      <c r="N1763" s="13" t="str">
        <f>IF(F1763="","",
MAX(0,
_xlfn.XLOOKUP(F1763,purchase!D:D,purchase!#REF!,"")
-
SUMIFS(L:L,F:F,F1763)))</f>
        <v/>
      </c>
      <c r="O1763" s="13" t="str">
        <f t="shared" si="193"/>
        <v/>
      </c>
      <c r="P1763" s="35" t="str">
        <f>_xlfn.SINGLE(IF(F1763="","",_xlfn.XLOOKUP(F1763,purchase!D:D,purchase!K:K,"")))</f>
        <v/>
      </c>
      <c r="Q1763" s="29" t="str">
        <f t="shared" si="194"/>
        <v/>
      </c>
      <c r="R1763" s="37" t="str">
        <f t="shared" si="195"/>
        <v/>
      </c>
    </row>
    <row r="1764" spans="1:18" x14ac:dyDescent="0.35">
      <c r="A1764" s="8">
        <v>1760</v>
      </c>
      <c r="B1764" s="9" t="str">
        <f t="shared" si="189"/>
        <v/>
      </c>
      <c r="C1764" s="10"/>
      <c r="D1764" s="9" t="str">
        <f>IF(F1764="","",_xlfn.XLOOKUP(F1764,purchase!D:D,purchase!#REF!,""))</f>
        <v/>
      </c>
      <c r="E1764" s="9" t="str">
        <f>IF(F1764="","",_xlfn.XLOOKUP(F1764,purchase!D:D,purchase!B:B,""))</f>
        <v/>
      </c>
      <c r="F1764" s="2"/>
      <c r="G1764" s="4" t="str">
        <f t="shared" si="190"/>
        <v/>
      </c>
      <c r="H1764" s="4" t="str">
        <f>IF(F1764="","",_xlfn.XLOOKUP(F1764,purchase!D:D,purchase!#REF!,""))</f>
        <v/>
      </c>
      <c r="I1764" s="4" t="str">
        <f t="shared" si="191"/>
        <v/>
      </c>
      <c r="J1764" s="4" t="str">
        <f t="shared" si="192"/>
        <v/>
      </c>
      <c r="K1764" s="13" t="str">
        <f>_xlfn.SINGLE(IF(F1764="","",_xlfn.XLOOKUP(F1764,purchase!D:D,purchase!#REF!,"")))</f>
        <v/>
      </c>
      <c r="L1764" s="2"/>
      <c r="M1764" s="32"/>
      <c r="N1764" s="13" t="str">
        <f>IF(F1764="","",
MAX(0,
_xlfn.XLOOKUP(F1764,purchase!D:D,purchase!#REF!,"")
-
SUMIFS(L:L,F:F,F1764)))</f>
        <v/>
      </c>
      <c r="O1764" s="13" t="str">
        <f t="shared" si="193"/>
        <v/>
      </c>
      <c r="P1764" s="35" t="str">
        <f>_xlfn.SINGLE(IF(F1764="","",_xlfn.XLOOKUP(F1764,purchase!D:D,purchase!K:K,"")))</f>
        <v/>
      </c>
      <c r="Q1764" s="29" t="str">
        <f t="shared" si="194"/>
        <v/>
      </c>
      <c r="R1764" s="37" t="str">
        <f t="shared" si="195"/>
        <v/>
      </c>
    </row>
    <row r="1765" spans="1:18" x14ac:dyDescent="0.35">
      <c r="A1765" s="8">
        <v>1761</v>
      </c>
      <c r="B1765" s="9" t="str">
        <f t="shared" si="189"/>
        <v/>
      </c>
      <c r="C1765" s="10"/>
      <c r="D1765" s="9" t="str">
        <f>IF(F1765="","",_xlfn.XLOOKUP(F1765,purchase!D:D,purchase!#REF!,""))</f>
        <v/>
      </c>
      <c r="E1765" s="9" t="str">
        <f>IF(F1765="","",_xlfn.XLOOKUP(F1765,purchase!D:D,purchase!B:B,""))</f>
        <v/>
      </c>
      <c r="F1765" s="2"/>
      <c r="G1765" s="4" t="str">
        <f t="shared" si="190"/>
        <v/>
      </c>
      <c r="H1765" s="4" t="str">
        <f>IF(F1765="","",_xlfn.XLOOKUP(F1765,purchase!D:D,purchase!#REF!,""))</f>
        <v/>
      </c>
      <c r="I1765" s="4" t="str">
        <f t="shared" si="191"/>
        <v/>
      </c>
      <c r="J1765" s="4" t="str">
        <f t="shared" si="192"/>
        <v/>
      </c>
      <c r="K1765" s="13" t="str">
        <f>_xlfn.SINGLE(IF(F1765="","",_xlfn.XLOOKUP(F1765,purchase!D:D,purchase!#REF!,"")))</f>
        <v/>
      </c>
      <c r="L1765" s="2"/>
      <c r="M1765" s="32"/>
      <c r="N1765" s="13" t="str">
        <f>IF(F1765="","",
MAX(0,
_xlfn.XLOOKUP(F1765,purchase!D:D,purchase!#REF!,"")
-
SUMIFS(L:L,F:F,F1765)))</f>
        <v/>
      </c>
      <c r="O1765" s="13" t="str">
        <f t="shared" si="193"/>
        <v/>
      </c>
      <c r="P1765" s="35" t="str">
        <f>_xlfn.SINGLE(IF(F1765="","",_xlfn.XLOOKUP(F1765,purchase!D:D,purchase!K:K,"")))</f>
        <v/>
      </c>
      <c r="Q1765" s="29" t="str">
        <f t="shared" si="194"/>
        <v/>
      </c>
      <c r="R1765" s="37" t="str">
        <f t="shared" si="195"/>
        <v/>
      </c>
    </row>
    <row r="1766" spans="1:18" x14ac:dyDescent="0.35">
      <c r="A1766" s="8">
        <v>1762</v>
      </c>
      <c r="B1766" s="9" t="str">
        <f t="shared" si="189"/>
        <v/>
      </c>
      <c r="C1766" s="10"/>
      <c r="D1766" s="9" t="str">
        <f>IF(F1766="","",_xlfn.XLOOKUP(F1766,purchase!D:D,purchase!#REF!,""))</f>
        <v/>
      </c>
      <c r="E1766" s="9" t="str">
        <f>IF(F1766="","",_xlfn.XLOOKUP(F1766,purchase!D:D,purchase!B:B,""))</f>
        <v/>
      </c>
      <c r="F1766" s="2"/>
      <c r="G1766" s="4" t="str">
        <f t="shared" si="190"/>
        <v/>
      </c>
      <c r="H1766" s="4" t="str">
        <f>IF(F1766="","",_xlfn.XLOOKUP(F1766,purchase!D:D,purchase!#REF!,""))</f>
        <v/>
      </c>
      <c r="I1766" s="4" t="str">
        <f t="shared" si="191"/>
        <v/>
      </c>
      <c r="J1766" s="4" t="str">
        <f t="shared" si="192"/>
        <v/>
      </c>
      <c r="K1766" s="13" t="str">
        <f>_xlfn.SINGLE(IF(F1766="","",_xlfn.XLOOKUP(F1766,purchase!D:D,purchase!#REF!,"")))</f>
        <v/>
      </c>
      <c r="L1766" s="2"/>
      <c r="M1766" s="32"/>
      <c r="N1766" s="13" t="str">
        <f>IF(F1766="","",
MAX(0,
_xlfn.XLOOKUP(F1766,purchase!D:D,purchase!#REF!,"")
-
SUMIFS(L:L,F:F,F1766)))</f>
        <v/>
      </c>
      <c r="O1766" s="13" t="str">
        <f t="shared" si="193"/>
        <v/>
      </c>
      <c r="P1766" s="35" t="str">
        <f>_xlfn.SINGLE(IF(F1766="","",_xlfn.XLOOKUP(F1766,purchase!D:D,purchase!K:K,"")))</f>
        <v/>
      </c>
      <c r="Q1766" s="29" t="str">
        <f t="shared" si="194"/>
        <v/>
      </c>
      <c r="R1766" s="37" t="str">
        <f t="shared" si="195"/>
        <v/>
      </c>
    </row>
    <row r="1767" spans="1:18" x14ac:dyDescent="0.35">
      <c r="A1767" s="8">
        <v>1763</v>
      </c>
      <c r="B1767" s="9" t="str">
        <f t="shared" si="189"/>
        <v/>
      </c>
      <c r="C1767" s="10"/>
      <c r="D1767" s="9" t="str">
        <f>IF(F1767="","",_xlfn.XLOOKUP(F1767,purchase!D:D,purchase!#REF!,""))</f>
        <v/>
      </c>
      <c r="E1767" s="9" t="str">
        <f>IF(F1767="","",_xlfn.XLOOKUP(F1767,purchase!D:D,purchase!B:B,""))</f>
        <v/>
      </c>
      <c r="F1767" s="2"/>
      <c r="G1767" s="4" t="str">
        <f t="shared" si="190"/>
        <v/>
      </c>
      <c r="H1767" s="4" t="str">
        <f>IF(F1767="","",_xlfn.XLOOKUP(F1767,purchase!D:D,purchase!#REF!,""))</f>
        <v/>
      </c>
      <c r="I1767" s="4" t="str">
        <f t="shared" si="191"/>
        <v/>
      </c>
      <c r="J1767" s="4" t="str">
        <f t="shared" si="192"/>
        <v/>
      </c>
      <c r="K1767" s="13" t="str">
        <f>_xlfn.SINGLE(IF(F1767="","",_xlfn.XLOOKUP(F1767,purchase!D:D,purchase!#REF!,"")))</f>
        <v/>
      </c>
      <c r="L1767" s="2"/>
      <c r="M1767" s="32"/>
      <c r="N1767" s="13" t="str">
        <f>IF(F1767="","",
MAX(0,
_xlfn.XLOOKUP(F1767,purchase!D:D,purchase!#REF!,"")
-
SUMIFS(L:L,F:F,F1767)))</f>
        <v/>
      </c>
      <c r="O1767" s="13" t="str">
        <f t="shared" si="193"/>
        <v/>
      </c>
      <c r="P1767" s="35" t="str">
        <f>_xlfn.SINGLE(IF(F1767="","",_xlfn.XLOOKUP(F1767,purchase!D:D,purchase!K:K,"")))</f>
        <v/>
      </c>
      <c r="Q1767" s="29" t="str">
        <f t="shared" si="194"/>
        <v/>
      </c>
      <c r="R1767" s="37" t="str">
        <f t="shared" si="195"/>
        <v/>
      </c>
    </row>
    <row r="1768" spans="1:18" x14ac:dyDescent="0.35">
      <c r="A1768" s="8">
        <v>1764</v>
      </c>
      <c r="B1768" s="9" t="str">
        <f t="shared" si="189"/>
        <v/>
      </c>
      <c r="C1768" s="10"/>
      <c r="D1768" s="9" t="str">
        <f>IF(F1768="","",_xlfn.XLOOKUP(F1768,purchase!D:D,purchase!#REF!,""))</f>
        <v/>
      </c>
      <c r="E1768" s="9" t="str">
        <f>IF(F1768="","",_xlfn.XLOOKUP(F1768,purchase!D:D,purchase!B:B,""))</f>
        <v/>
      </c>
      <c r="F1768" s="2"/>
      <c r="G1768" s="4" t="str">
        <f t="shared" si="190"/>
        <v/>
      </c>
      <c r="H1768" s="4" t="str">
        <f>IF(F1768="","",_xlfn.XLOOKUP(F1768,purchase!D:D,purchase!#REF!,""))</f>
        <v/>
      </c>
      <c r="I1768" s="4" t="str">
        <f t="shared" si="191"/>
        <v/>
      </c>
      <c r="J1768" s="4" t="str">
        <f t="shared" si="192"/>
        <v/>
      </c>
      <c r="K1768" s="13" t="str">
        <f>_xlfn.SINGLE(IF(F1768="","",_xlfn.XLOOKUP(F1768,purchase!D:D,purchase!#REF!,"")))</f>
        <v/>
      </c>
      <c r="L1768" s="2"/>
      <c r="M1768" s="32"/>
      <c r="N1768" s="13" t="str">
        <f>IF(F1768="","",
MAX(0,
_xlfn.XLOOKUP(F1768,purchase!D:D,purchase!#REF!,"")
-
SUMIFS(L:L,F:F,F1768)))</f>
        <v/>
      </c>
      <c r="O1768" s="13" t="str">
        <f t="shared" si="193"/>
        <v/>
      </c>
      <c r="P1768" s="35" t="str">
        <f>_xlfn.SINGLE(IF(F1768="","",_xlfn.XLOOKUP(F1768,purchase!D:D,purchase!K:K,"")))</f>
        <v/>
      </c>
      <c r="Q1768" s="29" t="str">
        <f t="shared" si="194"/>
        <v/>
      </c>
      <c r="R1768" s="37" t="str">
        <f t="shared" si="195"/>
        <v/>
      </c>
    </row>
    <row r="1769" spans="1:18" x14ac:dyDescent="0.35">
      <c r="A1769" s="8">
        <v>1765</v>
      </c>
      <c r="B1769" s="9" t="str">
        <f t="shared" si="189"/>
        <v/>
      </c>
      <c r="C1769" s="10"/>
      <c r="D1769" s="9" t="str">
        <f>IF(F1769="","",_xlfn.XLOOKUP(F1769,purchase!D:D,purchase!#REF!,""))</f>
        <v/>
      </c>
      <c r="E1769" s="9" t="str">
        <f>IF(F1769="","",_xlfn.XLOOKUP(F1769,purchase!D:D,purchase!B:B,""))</f>
        <v/>
      </c>
      <c r="F1769" s="2"/>
      <c r="G1769" s="4" t="str">
        <f t="shared" si="190"/>
        <v/>
      </c>
      <c r="H1769" s="4" t="str">
        <f>IF(F1769="","",_xlfn.XLOOKUP(F1769,purchase!D:D,purchase!#REF!,""))</f>
        <v/>
      </c>
      <c r="I1769" s="4" t="str">
        <f t="shared" si="191"/>
        <v/>
      </c>
      <c r="J1769" s="4" t="str">
        <f t="shared" si="192"/>
        <v/>
      </c>
      <c r="K1769" s="13" t="str">
        <f>_xlfn.SINGLE(IF(F1769="","",_xlfn.XLOOKUP(F1769,purchase!D:D,purchase!#REF!,"")))</f>
        <v/>
      </c>
      <c r="L1769" s="2"/>
      <c r="M1769" s="32"/>
      <c r="N1769" s="13" t="str">
        <f>IF(F1769="","",
MAX(0,
_xlfn.XLOOKUP(F1769,purchase!D:D,purchase!#REF!,"")
-
SUMIFS(L:L,F:F,F1769)))</f>
        <v/>
      </c>
      <c r="O1769" s="13" t="str">
        <f t="shared" si="193"/>
        <v/>
      </c>
      <c r="P1769" s="35" t="str">
        <f>_xlfn.SINGLE(IF(F1769="","",_xlfn.XLOOKUP(F1769,purchase!D:D,purchase!K:K,"")))</f>
        <v/>
      </c>
      <c r="Q1769" s="29" t="str">
        <f t="shared" si="194"/>
        <v/>
      </c>
      <c r="R1769" s="37" t="str">
        <f t="shared" si="195"/>
        <v/>
      </c>
    </row>
    <row r="1770" spans="1:18" x14ac:dyDescent="0.35">
      <c r="A1770" s="8">
        <v>1766</v>
      </c>
      <c r="B1770" s="9" t="str">
        <f t="shared" si="189"/>
        <v/>
      </c>
      <c r="C1770" s="10"/>
      <c r="D1770" s="9" t="str">
        <f>IF(F1770="","",_xlfn.XLOOKUP(F1770,purchase!D:D,purchase!#REF!,""))</f>
        <v/>
      </c>
      <c r="E1770" s="9" t="str">
        <f>IF(F1770="","",_xlfn.XLOOKUP(F1770,purchase!D:D,purchase!B:B,""))</f>
        <v/>
      </c>
      <c r="F1770" s="2"/>
      <c r="G1770" s="4" t="str">
        <f t="shared" si="190"/>
        <v/>
      </c>
      <c r="H1770" s="4" t="str">
        <f>IF(F1770="","",_xlfn.XLOOKUP(F1770,purchase!D:D,purchase!#REF!,""))</f>
        <v/>
      </c>
      <c r="I1770" s="4" t="str">
        <f t="shared" si="191"/>
        <v/>
      </c>
      <c r="J1770" s="4" t="str">
        <f t="shared" si="192"/>
        <v/>
      </c>
      <c r="K1770" s="13" t="str">
        <f>_xlfn.SINGLE(IF(F1770="","",_xlfn.XLOOKUP(F1770,purchase!D:D,purchase!#REF!,"")))</f>
        <v/>
      </c>
      <c r="L1770" s="2"/>
      <c r="M1770" s="32"/>
      <c r="N1770" s="13" t="str">
        <f>IF(F1770="","",
MAX(0,
_xlfn.XLOOKUP(F1770,purchase!D:D,purchase!#REF!,"")
-
SUMIFS(L:L,F:F,F1770)))</f>
        <v/>
      </c>
      <c r="O1770" s="13" t="str">
        <f t="shared" si="193"/>
        <v/>
      </c>
      <c r="P1770" s="35" t="str">
        <f>_xlfn.SINGLE(IF(F1770="","",_xlfn.XLOOKUP(F1770,purchase!D:D,purchase!K:K,"")))</f>
        <v/>
      </c>
      <c r="Q1770" s="29" t="str">
        <f t="shared" si="194"/>
        <v/>
      </c>
      <c r="R1770" s="37" t="str">
        <f t="shared" si="195"/>
        <v/>
      </c>
    </row>
    <row r="1771" spans="1:18" x14ac:dyDescent="0.35">
      <c r="A1771" s="8">
        <v>1767</v>
      </c>
      <c r="B1771" s="9" t="str">
        <f t="shared" si="189"/>
        <v/>
      </c>
      <c r="C1771" s="10"/>
      <c r="D1771" s="9" t="str">
        <f>IF(F1771="","",_xlfn.XLOOKUP(F1771,purchase!D:D,purchase!#REF!,""))</f>
        <v/>
      </c>
      <c r="E1771" s="9" t="str">
        <f>IF(F1771="","",_xlfn.XLOOKUP(F1771,purchase!D:D,purchase!B:B,""))</f>
        <v/>
      </c>
      <c r="F1771" s="2"/>
      <c r="G1771" s="4" t="str">
        <f t="shared" si="190"/>
        <v/>
      </c>
      <c r="H1771" s="4" t="str">
        <f>IF(F1771="","",_xlfn.XLOOKUP(F1771,purchase!D:D,purchase!#REF!,""))</f>
        <v/>
      </c>
      <c r="I1771" s="4" t="str">
        <f t="shared" si="191"/>
        <v/>
      </c>
      <c r="J1771" s="4" t="str">
        <f t="shared" si="192"/>
        <v/>
      </c>
      <c r="K1771" s="13" t="str">
        <f>_xlfn.SINGLE(IF(F1771="","",_xlfn.XLOOKUP(F1771,purchase!D:D,purchase!#REF!,"")))</f>
        <v/>
      </c>
      <c r="L1771" s="2"/>
      <c r="M1771" s="32"/>
      <c r="N1771" s="13" t="str">
        <f>IF(F1771="","",
MAX(0,
_xlfn.XLOOKUP(F1771,purchase!D:D,purchase!#REF!,"")
-
SUMIFS(L:L,F:F,F1771)))</f>
        <v/>
      </c>
      <c r="O1771" s="13" t="str">
        <f t="shared" si="193"/>
        <v/>
      </c>
      <c r="P1771" s="35" t="str">
        <f>_xlfn.SINGLE(IF(F1771="","",_xlfn.XLOOKUP(F1771,purchase!D:D,purchase!K:K,"")))</f>
        <v/>
      </c>
      <c r="Q1771" s="29" t="str">
        <f t="shared" si="194"/>
        <v/>
      </c>
      <c r="R1771" s="37" t="str">
        <f t="shared" si="195"/>
        <v/>
      </c>
    </row>
    <row r="1772" spans="1:18" x14ac:dyDescent="0.35">
      <c r="A1772" s="8">
        <v>1768</v>
      </c>
      <c r="B1772" s="9" t="str">
        <f t="shared" si="189"/>
        <v/>
      </c>
      <c r="C1772" s="10"/>
      <c r="D1772" s="9" t="str">
        <f>IF(F1772="","",_xlfn.XLOOKUP(F1772,purchase!D:D,purchase!#REF!,""))</f>
        <v/>
      </c>
      <c r="E1772" s="9" t="str">
        <f>IF(F1772="","",_xlfn.XLOOKUP(F1772,purchase!D:D,purchase!B:B,""))</f>
        <v/>
      </c>
      <c r="F1772" s="2"/>
      <c r="G1772" s="4" t="str">
        <f t="shared" si="190"/>
        <v/>
      </c>
      <c r="H1772" s="4" t="str">
        <f>IF(F1772="","",_xlfn.XLOOKUP(F1772,purchase!D:D,purchase!#REF!,""))</f>
        <v/>
      </c>
      <c r="I1772" s="4" t="str">
        <f t="shared" si="191"/>
        <v/>
      </c>
      <c r="J1772" s="4" t="str">
        <f t="shared" si="192"/>
        <v/>
      </c>
      <c r="K1772" s="13" t="str">
        <f>_xlfn.SINGLE(IF(F1772="","",_xlfn.XLOOKUP(F1772,purchase!D:D,purchase!#REF!,"")))</f>
        <v/>
      </c>
      <c r="L1772" s="2"/>
      <c r="M1772" s="32"/>
      <c r="N1772" s="13" t="str">
        <f>IF(F1772="","",
MAX(0,
_xlfn.XLOOKUP(F1772,purchase!D:D,purchase!#REF!,"")
-
SUMIFS(L:L,F:F,F1772)))</f>
        <v/>
      </c>
      <c r="O1772" s="13" t="str">
        <f t="shared" si="193"/>
        <v/>
      </c>
      <c r="P1772" s="35" t="str">
        <f>_xlfn.SINGLE(IF(F1772="","",_xlfn.XLOOKUP(F1772,purchase!D:D,purchase!K:K,"")))</f>
        <v/>
      </c>
      <c r="Q1772" s="29" t="str">
        <f t="shared" si="194"/>
        <v/>
      </c>
      <c r="R1772" s="37" t="str">
        <f t="shared" si="195"/>
        <v/>
      </c>
    </row>
    <row r="1773" spans="1:18" x14ac:dyDescent="0.35">
      <c r="A1773" s="8">
        <v>1769</v>
      </c>
      <c r="B1773" s="9" t="str">
        <f t="shared" si="189"/>
        <v/>
      </c>
      <c r="C1773" s="10"/>
      <c r="D1773" s="9" t="str">
        <f>IF(F1773="","",_xlfn.XLOOKUP(F1773,purchase!D:D,purchase!#REF!,""))</f>
        <v/>
      </c>
      <c r="E1773" s="9" t="str">
        <f>IF(F1773="","",_xlfn.XLOOKUP(F1773,purchase!D:D,purchase!B:B,""))</f>
        <v/>
      </c>
      <c r="F1773" s="2"/>
      <c r="G1773" s="4" t="str">
        <f t="shared" si="190"/>
        <v/>
      </c>
      <c r="H1773" s="4" t="str">
        <f>IF(F1773="","",_xlfn.XLOOKUP(F1773,purchase!D:D,purchase!#REF!,""))</f>
        <v/>
      </c>
      <c r="I1773" s="4" t="str">
        <f t="shared" si="191"/>
        <v/>
      </c>
      <c r="J1773" s="4" t="str">
        <f t="shared" si="192"/>
        <v/>
      </c>
      <c r="K1773" s="13" t="str">
        <f>_xlfn.SINGLE(IF(F1773="","",_xlfn.XLOOKUP(F1773,purchase!D:D,purchase!#REF!,"")))</f>
        <v/>
      </c>
      <c r="L1773" s="2"/>
      <c r="M1773" s="32"/>
      <c r="N1773" s="13" t="str">
        <f>IF(F1773="","",
MAX(0,
_xlfn.XLOOKUP(F1773,purchase!D:D,purchase!#REF!,"")
-
SUMIFS(L:L,F:F,F1773)))</f>
        <v/>
      </c>
      <c r="O1773" s="13" t="str">
        <f t="shared" si="193"/>
        <v/>
      </c>
      <c r="P1773" s="35" t="str">
        <f>_xlfn.SINGLE(IF(F1773="","",_xlfn.XLOOKUP(F1773,purchase!D:D,purchase!K:K,"")))</f>
        <v/>
      </c>
      <c r="Q1773" s="29" t="str">
        <f t="shared" si="194"/>
        <v/>
      </c>
      <c r="R1773" s="37" t="str">
        <f t="shared" si="195"/>
        <v/>
      </c>
    </row>
    <row r="1774" spans="1:18" x14ac:dyDescent="0.35">
      <c r="A1774" s="8">
        <v>1770</v>
      </c>
      <c r="B1774" s="9" t="str">
        <f t="shared" si="189"/>
        <v/>
      </c>
      <c r="C1774" s="10"/>
      <c r="D1774" s="9" t="str">
        <f>IF(F1774="","",_xlfn.XLOOKUP(F1774,purchase!D:D,purchase!#REF!,""))</f>
        <v/>
      </c>
      <c r="E1774" s="9" t="str">
        <f>IF(F1774="","",_xlfn.XLOOKUP(F1774,purchase!D:D,purchase!B:B,""))</f>
        <v/>
      </c>
      <c r="F1774" s="2"/>
      <c r="G1774" s="4" t="str">
        <f t="shared" si="190"/>
        <v/>
      </c>
      <c r="H1774" s="4" t="str">
        <f>IF(F1774="","",_xlfn.XLOOKUP(F1774,purchase!D:D,purchase!#REF!,""))</f>
        <v/>
      </c>
      <c r="I1774" s="4" t="str">
        <f t="shared" si="191"/>
        <v/>
      </c>
      <c r="J1774" s="4" t="str">
        <f t="shared" si="192"/>
        <v/>
      </c>
      <c r="K1774" s="13" t="str">
        <f>_xlfn.SINGLE(IF(F1774="","",_xlfn.XLOOKUP(F1774,purchase!D:D,purchase!#REF!,"")))</f>
        <v/>
      </c>
      <c r="L1774" s="2"/>
      <c r="M1774" s="32"/>
      <c r="N1774" s="13" t="str">
        <f>IF(F1774="","",
MAX(0,
_xlfn.XLOOKUP(F1774,purchase!D:D,purchase!#REF!,"")
-
SUMIFS(L:L,F:F,F1774)))</f>
        <v/>
      </c>
      <c r="O1774" s="13" t="str">
        <f t="shared" si="193"/>
        <v/>
      </c>
      <c r="P1774" s="35" t="str">
        <f>_xlfn.SINGLE(IF(F1774="","",_xlfn.XLOOKUP(F1774,purchase!D:D,purchase!K:K,"")))</f>
        <v/>
      </c>
      <c r="Q1774" s="29" t="str">
        <f t="shared" si="194"/>
        <v/>
      </c>
      <c r="R1774" s="37" t="str">
        <f t="shared" si="195"/>
        <v/>
      </c>
    </row>
    <row r="1775" spans="1:18" x14ac:dyDescent="0.35">
      <c r="A1775" s="8">
        <v>1771</v>
      </c>
      <c r="B1775" s="9" t="str">
        <f t="shared" si="189"/>
        <v/>
      </c>
      <c r="C1775" s="10"/>
      <c r="D1775" s="9" t="str">
        <f>IF(F1775="","",_xlfn.XLOOKUP(F1775,purchase!D:D,purchase!#REF!,""))</f>
        <v/>
      </c>
      <c r="E1775" s="9" t="str">
        <f>IF(F1775="","",_xlfn.XLOOKUP(F1775,purchase!D:D,purchase!B:B,""))</f>
        <v/>
      </c>
      <c r="F1775" s="2"/>
      <c r="G1775" s="4" t="str">
        <f t="shared" si="190"/>
        <v/>
      </c>
      <c r="H1775" s="4" t="str">
        <f>IF(F1775="","",_xlfn.XLOOKUP(F1775,purchase!D:D,purchase!#REF!,""))</f>
        <v/>
      </c>
      <c r="I1775" s="4" t="str">
        <f t="shared" si="191"/>
        <v/>
      </c>
      <c r="J1775" s="4" t="str">
        <f t="shared" si="192"/>
        <v/>
      </c>
      <c r="K1775" s="13" t="str">
        <f>_xlfn.SINGLE(IF(F1775="","",_xlfn.XLOOKUP(F1775,purchase!D:D,purchase!#REF!,"")))</f>
        <v/>
      </c>
      <c r="L1775" s="2"/>
      <c r="M1775" s="32"/>
      <c r="N1775" s="13" t="str">
        <f>IF(F1775="","",
MAX(0,
_xlfn.XLOOKUP(F1775,purchase!D:D,purchase!#REF!,"")
-
SUMIFS(L:L,F:F,F1775)))</f>
        <v/>
      </c>
      <c r="O1775" s="13" t="str">
        <f t="shared" si="193"/>
        <v/>
      </c>
      <c r="P1775" s="35" t="str">
        <f>_xlfn.SINGLE(IF(F1775="","",_xlfn.XLOOKUP(F1775,purchase!D:D,purchase!K:K,"")))</f>
        <v/>
      </c>
      <c r="Q1775" s="29" t="str">
        <f t="shared" si="194"/>
        <v/>
      </c>
      <c r="R1775" s="37" t="str">
        <f t="shared" si="195"/>
        <v/>
      </c>
    </row>
    <row r="1776" spans="1:18" x14ac:dyDescent="0.35">
      <c r="A1776" s="8">
        <v>1772</v>
      </c>
      <c r="B1776" s="9" t="str">
        <f t="shared" si="189"/>
        <v/>
      </c>
      <c r="C1776" s="10"/>
      <c r="D1776" s="9" t="str">
        <f>IF(F1776="","",_xlfn.XLOOKUP(F1776,purchase!D:D,purchase!#REF!,""))</f>
        <v/>
      </c>
      <c r="E1776" s="9" t="str">
        <f>IF(F1776="","",_xlfn.XLOOKUP(F1776,purchase!D:D,purchase!B:B,""))</f>
        <v/>
      </c>
      <c r="F1776" s="2"/>
      <c r="G1776" s="4" t="str">
        <f t="shared" si="190"/>
        <v/>
      </c>
      <c r="H1776" s="4" t="str">
        <f>IF(F1776="","",_xlfn.XLOOKUP(F1776,purchase!D:D,purchase!#REF!,""))</f>
        <v/>
      </c>
      <c r="I1776" s="4" t="str">
        <f t="shared" si="191"/>
        <v/>
      </c>
      <c r="J1776" s="4" t="str">
        <f t="shared" si="192"/>
        <v/>
      </c>
      <c r="K1776" s="13" t="str">
        <f>_xlfn.SINGLE(IF(F1776="","",_xlfn.XLOOKUP(F1776,purchase!D:D,purchase!#REF!,"")))</f>
        <v/>
      </c>
      <c r="L1776" s="2"/>
      <c r="M1776" s="32"/>
      <c r="N1776" s="13" t="str">
        <f>IF(F1776="","",
MAX(0,
_xlfn.XLOOKUP(F1776,purchase!D:D,purchase!#REF!,"")
-
SUMIFS(L:L,F:F,F1776)))</f>
        <v/>
      </c>
      <c r="O1776" s="13" t="str">
        <f t="shared" si="193"/>
        <v/>
      </c>
      <c r="P1776" s="35" t="str">
        <f>_xlfn.SINGLE(IF(F1776="","",_xlfn.XLOOKUP(F1776,purchase!D:D,purchase!K:K,"")))</f>
        <v/>
      </c>
      <c r="Q1776" s="29" t="str">
        <f t="shared" si="194"/>
        <v/>
      </c>
      <c r="R1776" s="37" t="str">
        <f t="shared" si="195"/>
        <v/>
      </c>
    </row>
    <row r="1777" spans="1:18" x14ac:dyDescent="0.35">
      <c r="A1777" s="8">
        <v>1773</v>
      </c>
      <c r="B1777" s="9" t="str">
        <f t="shared" si="189"/>
        <v/>
      </c>
      <c r="C1777" s="10"/>
      <c r="D1777" s="9" t="str">
        <f>IF(F1777="","",_xlfn.XLOOKUP(F1777,purchase!D:D,purchase!#REF!,""))</f>
        <v/>
      </c>
      <c r="E1777" s="9" t="str">
        <f>IF(F1777="","",_xlfn.XLOOKUP(F1777,purchase!D:D,purchase!B:B,""))</f>
        <v/>
      </c>
      <c r="F1777" s="2"/>
      <c r="G1777" s="4" t="str">
        <f t="shared" si="190"/>
        <v/>
      </c>
      <c r="H1777" s="4" t="str">
        <f>IF(F1777="","",_xlfn.XLOOKUP(F1777,purchase!D:D,purchase!#REF!,""))</f>
        <v/>
      </c>
      <c r="I1777" s="4" t="str">
        <f t="shared" si="191"/>
        <v/>
      </c>
      <c r="J1777" s="4" t="str">
        <f t="shared" si="192"/>
        <v/>
      </c>
      <c r="K1777" s="13" t="str">
        <f>_xlfn.SINGLE(IF(F1777="","",_xlfn.XLOOKUP(F1777,purchase!D:D,purchase!#REF!,"")))</f>
        <v/>
      </c>
      <c r="L1777" s="2"/>
      <c r="M1777" s="32"/>
      <c r="N1777" s="13" t="str">
        <f>IF(F1777="","",
MAX(0,
_xlfn.XLOOKUP(F1777,purchase!D:D,purchase!#REF!,"")
-
SUMIFS(L:L,F:F,F1777)))</f>
        <v/>
      </c>
      <c r="O1777" s="13" t="str">
        <f t="shared" si="193"/>
        <v/>
      </c>
      <c r="P1777" s="35" t="str">
        <f>_xlfn.SINGLE(IF(F1777="","",_xlfn.XLOOKUP(F1777,purchase!D:D,purchase!K:K,"")))</f>
        <v/>
      </c>
      <c r="Q1777" s="29" t="str">
        <f t="shared" si="194"/>
        <v/>
      </c>
      <c r="R1777" s="37" t="str">
        <f t="shared" si="195"/>
        <v/>
      </c>
    </row>
    <row r="1778" spans="1:18" x14ac:dyDescent="0.35">
      <c r="A1778" s="8">
        <v>1774</v>
      </c>
      <c r="B1778" s="9" t="str">
        <f t="shared" si="189"/>
        <v/>
      </c>
      <c r="C1778" s="10"/>
      <c r="D1778" s="9" t="str">
        <f>IF(F1778="","",_xlfn.XLOOKUP(F1778,purchase!D:D,purchase!#REF!,""))</f>
        <v/>
      </c>
      <c r="E1778" s="9" t="str">
        <f>IF(F1778="","",_xlfn.XLOOKUP(F1778,purchase!D:D,purchase!B:B,""))</f>
        <v/>
      </c>
      <c r="F1778" s="2"/>
      <c r="G1778" s="4" t="str">
        <f t="shared" si="190"/>
        <v/>
      </c>
      <c r="H1778" s="4" t="str">
        <f>IF(F1778="","",_xlfn.XLOOKUP(F1778,purchase!D:D,purchase!#REF!,""))</f>
        <v/>
      </c>
      <c r="I1778" s="4" t="str">
        <f t="shared" si="191"/>
        <v/>
      </c>
      <c r="J1778" s="4" t="str">
        <f t="shared" si="192"/>
        <v/>
      </c>
      <c r="K1778" s="13" t="str">
        <f>_xlfn.SINGLE(IF(F1778="","",_xlfn.XLOOKUP(F1778,purchase!D:D,purchase!#REF!,"")))</f>
        <v/>
      </c>
      <c r="L1778" s="2"/>
      <c r="M1778" s="32"/>
      <c r="N1778" s="13" t="str">
        <f>IF(F1778="","",
MAX(0,
_xlfn.XLOOKUP(F1778,purchase!D:D,purchase!#REF!,"")
-
SUMIFS(L:L,F:F,F1778)))</f>
        <v/>
      </c>
      <c r="O1778" s="13" t="str">
        <f t="shared" si="193"/>
        <v/>
      </c>
      <c r="P1778" s="35" t="str">
        <f>_xlfn.SINGLE(IF(F1778="","",_xlfn.XLOOKUP(F1778,purchase!D:D,purchase!K:K,"")))</f>
        <v/>
      </c>
      <c r="Q1778" s="29" t="str">
        <f t="shared" si="194"/>
        <v/>
      </c>
      <c r="R1778" s="37" t="str">
        <f t="shared" si="195"/>
        <v/>
      </c>
    </row>
    <row r="1779" spans="1:18" x14ac:dyDescent="0.35">
      <c r="A1779" s="8">
        <v>1775</v>
      </c>
      <c r="B1779" s="9" t="str">
        <f t="shared" si="189"/>
        <v/>
      </c>
      <c r="C1779" s="10"/>
      <c r="D1779" s="9" t="str">
        <f>IF(F1779="","",_xlfn.XLOOKUP(F1779,purchase!D:D,purchase!#REF!,""))</f>
        <v/>
      </c>
      <c r="E1779" s="9" t="str">
        <f>IF(F1779="","",_xlfn.XLOOKUP(F1779,purchase!D:D,purchase!B:B,""))</f>
        <v/>
      </c>
      <c r="F1779" s="2"/>
      <c r="G1779" s="4" t="str">
        <f t="shared" si="190"/>
        <v/>
      </c>
      <c r="H1779" s="4" t="str">
        <f>IF(F1779="","",_xlfn.XLOOKUP(F1779,purchase!D:D,purchase!#REF!,""))</f>
        <v/>
      </c>
      <c r="I1779" s="4" t="str">
        <f t="shared" si="191"/>
        <v/>
      </c>
      <c r="J1779" s="4" t="str">
        <f t="shared" si="192"/>
        <v/>
      </c>
      <c r="K1779" s="13" t="str">
        <f>_xlfn.SINGLE(IF(F1779="","",_xlfn.XLOOKUP(F1779,purchase!D:D,purchase!#REF!,"")))</f>
        <v/>
      </c>
      <c r="L1779" s="2"/>
      <c r="M1779" s="32"/>
      <c r="N1779" s="13" t="str">
        <f>IF(F1779="","",
MAX(0,
_xlfn.XLOOKUP(F1779,purchase!D:D,purchase!#REF!,"")
-
SUMIFS(L:L,F:F,F1779)))</f>
        <v/>
      </c>
      <c r="O1779" s="13" t="str">
        <f t="shared" si="193"/>
        <v/>
      </c>
      <c r="P1779" s="35" t="str">
        <f>_xlfn.SINGLE(IF(F1779="","",_xlfn.XLOOKUP(F1779,purchase!D:D,purchase!K:K,"")))</f>
        <v/>
      </c>
      <c r="Q1779" s="29" t="str">
        <f t="shared" si="194"/>
        <v/>
      </c>
      <c r="R1779" s="37" t="str">
        <f t="shared" si="195"/>
        <v/>
      </c>
    </row>
    <row r="1780" spans="1:18" x14ac:dyDescent="0.35">
      <c r="A1780" s="8">
        <v>1776</v>
      </c>
      <c r="B1780" s="9" t="str">
        <f t="shared" si="189"/>
        <v/>
      </c>
      <c r="C1780" s="10"/>
      <c r="D1780" s="9" t="str">
        <f>IF(F1780="","",_xlfn.XLOOKUP(F1780,purchase!D:D,purchase!#REF!,""))</f>
        <v/>
      </c>
      <c r="E1780" s="9" t="str">
        <f>IF(F1780="","",_xlfn.XLOOKUP(F1780,purchase!D:D,purchase!B:B,""))</f>
        <v/>
      </c>
      <c r="F1780" s="2"/>
      <c r="G1780" s="4" t="str">
        <f t="shared" si="190"/>
        <v/>
      </c>
      <c r="H1780" s="4" t="str">
        <f>IF(F1780="","",_xlfn.XLOOKUP(F1780,purchase!D:D,purchase!#REF!,""))</f>
        <v/>
      </c>
      <c r="I1780" s="4" t="str">
        <f t="shared" si="191"/>
        <v/>
      </c>
      <c r="J1780" s="4" t="str">
        <f t="shared" si="192"/>
        <v/>
      </c>
      <c r="K1780" s="13" t="str">
        <f>_xlfn.SINGLE(IF(F1780="","",_xlfn.XLOOKUP(F1780,purchase!D:D,purchase!#REF!,"")))</f>
        <v/>
      </c>
      <c r="L1780" s="2"/>
      <c r="M1780" s="32"/>
      <c r="N1780" s="13" t="str">
        <f>IF(F1780="","",
MAX(0,
_xlfn.XLOOKUP(F1780,purchase!D:D,purchase!#REF!,"")
-
SUMIFS(L:L,F:F,F1780)))</f>
        <v/>
      </c>
      <c r="O1780" s="13" t="str">
        <f t="shared" si="193"/>
        <v/>
      </c>
      <c r="P1780" s="35" t="str">
        <f>_xlfn.SINGLE(IF(F1780="","",_xlfn.XLOOKUP(F1780,purchase!D:D,purchase!K:K,"")))</f>
        <v/>
      </c>
      <c r="Q1780" s="29" t="str">
        <f t="shared" si="194"/>
        <v/>
      </c>
      <c r="R1780" s="37" t="str">
        <f t="shared" si="195"/>
        <v/>
      </c>
    </row>
    <row r="1781" spans="1:18" x14ac:dyDescent="0.35">
      <c r="A1781" s="8">
        <v>1777</v>
      </c>
      <c r="B1781" s="9" t="str">
        <f t="shared" si="189"/>
        <v/>
      </c>
      <c r="C1781" s="10"/>
      <c r="D1781" s="9" t="str">
        <f>IF(F1781="","",_xlfn.XLOOKUP(F1781,purchase!D:D,purchase!#REF!,""))</f>
        <v/>
      </c>
      <c r="E1781" s="9" t="str">
        <f>IF(F1781="","",_xlfn.XLOOKUP(F1781,purchase!D:D,purchase!B:B,""))</f>
        <v/>
      </c>
      <c r="F1781" s="2"/>
      <c r="G1781" s="4" t="str">
        <f t="shared" si="190"/>
        <v/>
      </c>
      <c r="H1781" s="4" t="str">
        <f>IF(F1781="","",_xlfn.XLOOKUP(F1781,purchase!D:D,purchase!#REF!,""))</f>
        <v/>
      </c>
      <c r="I1781" s="4" t="str">
        <f t="shared" si="191"/>
        <v/>
      </c>
      <c r="J1781" s="4" t="str">
        <f t="shared" si="192"/>
        <v/>
      </c>
      <c r="K1781" s="13" t="str">
        <f>_xlfn.SINGLE(IF(F1781="","",_xlfn.XLOOKUP(F1781,purchase!D:D,purchase!#REF!,"")))</f>
        <v/>
      </c>
      <c r="L1781" s="2"/>
      <c r="M1781" s="32"/>
      <c r="N1781" s="13" t="str">
        <f>IF(F1781="","",
MAX(0,
_xlfn.XLOOKUP(F1781,purchase!D:D,purchase!#REF!,"")
-
SUMIFS(L:L,F:F,F1781)))</f>
        <v/>
      </c>
      <c r="O1781" s="13" t="str">
        <f t="shared" si="193"/>
        <v/>
      </c>
      <c r="P1781" s="35" t="str">
        <f>_xlfn.SINGLE(IF(F1781="","",_xlfn.XLOOKUP(F1781,purchase!D:D,purchase!K:K,"")))</f>
        <v/>
      </c>
      <c r="Q1781" s="29" t="str">
        <f t="shared" si="194"/>
        <v/>
      </c>
      <c r="R1781" s="37" t="str">
        <f t="shared" si="195"/>
        <v/>
      </c>
    </row>
    <row r="1782" spans="1:18" x14ac:dyDescent="0.35">
      <c r="A1782" s="8">
        <v>1778</v>
      </c>
      <c r="B1782" s="9" t="str">
        <f t="shared" si="189"/>
        <v/>
      </c>
      <c r="C1782" s="10"/>
      <c r="D1782" s="9" t="str">
        <f>IF(F1782="","",_xlfn.XLOOKUP(F1782,purchase!D:D,purchase!#REF!,""))</f>
        <v/>
      </c>
      <c r="E1782" s="9" t="str">
        <f>IF(F1782="","",_xlfn.XLOOKUP(F1782,purchase!D:D,purchase!B:B,""))</f>
        <v/>
      </c>
      <c r="F1782" s="2"/>
      <c r="G1782" s="4" t="str">
        <f t="shared" si="190"/>
        <v/>
      </c>
      <c r="H1782" s="4" t="str">
        <f>IF(F1782="","",_xlfn.XLOOKUP(F1782,purchase!D:D,purchase!#REF!,""))</f>
        <v/>
      </c>
      <c r="I1782" s="4" t="str">
        <f t="shared" si="191"/>
        <v/>
      </c>
      <c r="J1782" s="4" t="str">
        <f t="shared" si="192"/>
        <v/>
      </c>
      <c r="K1782" s="13" t="str">
        <f>_xlfn.SINGLE(IF(F1782="","",_xlfn.XLOOKUP(F1782,purchase!D:D,purchase!#REF!,"")))</f>
        <v/>
      </c>
      <c r="L1782" s="2"/>
      <c r="M1782" s="32"/>
      <c r="N1782" s="13" t="str">
        <f>IF(F1782="","",
MAX(0,
_xlfn.XLOOKUP(F1782,purchase!D:D,purchase!#REF!,"")
-
SUMIFS(L:L,F:F,F1782)))</f>
        <v/>
      </c>
      <c r="O1782" s="13" t="str">
        <f t="shared" si="193"/>
        <v/>
      </c>
      <c r="P1782" s="35" t="str">
        <f>_xlfn.SINGLE(IF(F1782="","",_xlfn.XLOOKUP(F1782,purchase!D:D,purchase!K:K,"")))</f>
        <v/>
      </c>
      <c r="Q1782" s="29" t="str">
        <f t="shared" si="194"/>
        <v/>
      </c>
      <c r="R1782" s="37" t="str">
        <f t="shared" si="195"/>
        <v/>
      </c>
    </row>
    <row r="1783" spans="1:18" x14ac:dyDescent="0.35">
      <c r="A1783" s="8">
        <v>1779</v>
      </c>
      <c r="B1783" s="9" t="str">
        <f t="shared" si="189"/>
        <v/>
      </c>
      <c r="C1783" s="10"/>
      <c r="D1783" s="9" t="str">
        <f>IF(F1783="","",_xlfn.XLOOKUP(F1783,purchase!D:D,purchase!#REF!,""))</f>
        <v/>
      </c>
      <c r="E1783" s="9" t="str">
        <f>IF(F1783="","",_xlfn.XLOOKUP(F1783,purchase!D:D,purchase!B:B,""))</f>
        <v/>
      </c>
      <c r="F1783" s="2"/>
      <c r="G1783" s="4" t="str">
        <f t="shared" si="190"/>
        <v/>
      </c>
      <c r="H1783" s="4" t="str">
        <f>IF(F1783="","",_xlfn.XLOOKUP(F1783,purchase!D:D,purchase!#REF!,""))</f>
        <v/>
      </c>
      <c r="I1783" s="4" t="str">
        <f t="shared" si="191"/>
        <v/>
      </c>
      <c r="J1783" s="4" t="str">
        <f t="shared" si="192"/>
        <v/>
      </c>
      <c r="K1783" s="13" t="str">
        <f>_xlfn.SINGLE(IF(F1783="","",_xlfn.XLOOKUP(F1783,purchase!D:D,purchase!#REF!,"")))</f>
        <v/>
      </c>
      <c r="L1783" s="2"/>
      <c r="M1783" s="32"/>
      <c r="N1783" s="13" t="str">
        <f>IF(F1783="","",
MAX(0,
_xlfn.XLOOKUP(F1783,purchase!D:D,purchase!#REF!,"")
-
SUMIFS(L:L,F:F,F1783)))</f>
        <v/>
      </c>
      <c r="O1783" s="13" t="str">
        <f t="shared" si="193"/>
        <v/>
      </c>
      <c r="P1783" s="35" t="str">
        <f>_xlfn.SINGLE(IF(F1783="","",_xlfn.XLOOKUP(F1783,purchase!D:D,purchase!K:K,"")))</f>
        <v/>
      </c>
      <c r="Q1783" s="29" t="str">
        <f t="shared" si="194"/>
        <v/>
      </c>
      <c r="R1783" s="37" t="str">
        <f t="shared" si="195"/>
        <v/>
      </c>
    </row>
    <row r="1784" spans="1:18" x14ac:dyDescent="0.35">
      <c r="A1784" s="8">
        <v>1780</v>
      </c>
      <c r="B1784" s="9" t="str">
        <f t="shared" si="189"/>
        <v/>
      </c>
      <c r="C1784" s="10"/>
      <c r="D1784" s="9" t="str">
        <f>IF(F1784="","",_xlfn.XLOOKUP(F1784,purchase!D:D,purchase!#REF!,""))</f>
        <v/>
      </c>
      <c r="E1784" s="9" t="str">
        <f>IF(F1784="","",_xlfn.XLOOKUP(F1784,purchase!D:D,purchase!B:B,""))</f>
        <v/>
      </c>
      <c r="F1784" s="2"/>
      <c r="G1784" s="4" t="str">
        <f t="shared" si="190"/>
        <v/>
      </c>
      <c r="H1784" s="4" t="str">
        <f>IF(F1784="","",_xlfn.XLOOKUP(F1784,purchase!D:D,purchase!#REF!,""))</f>
        <v/>
      </c>
      <c r="I1784" s="4" t="str">
        <f t="shared" si="191"/>
        <v/>
      </c>
      <c r="J1784" s="4" t="str">
        <f t="shared" si="192"/>
        <v/>
      </c>
      <c r="K1784" s="13" t="str">
        <f>_xlfn.SINGLE(IF(F1784="","",_xlfn.XLOOKUP(F1784,purchase!D:D,purchase!#REF!,"")))</f>
        <v/>
      </c>
      <c r="L1784" s="2"/>
      <c r="M1784" s="32"/>
      <c r="N1784" s="13" t="str">
        <f>IF(F1784="","",
MAX(0,
_xlfn.XLOOKUP(F1784,purchase!D:D,purchase!#REF!,"")
-
SUMIFS(L:L,F:F,F1784)))</f>
        <v/>
      </c>
      <c r="O1784" s="13" t="str">
        <f t="shared" si="193"/>
        <v/>
      </c>
      <c r="P1784" s="35" t="str">
        <f>_xlfn.SINGLE(IF(F1784="","",_xlfn.XLOOKUP(F1784,purchase!D:D,purchase!K:K,"")))</f>
        <v/>
      </c>
      <c r="Q1784" s="29" t="str">
        <f t="shared" si="194"/>
        <v/>
      </c>
      <c r="R1784" s="37" t="str">
        <f t="shared" si="195"/>
        <v/>
      </c>
    </row>
    <row r="1785" spans="1:18" x14ac:dyDescent="0.35">
      <c r="A1785" s="8">
        <v>1781</v>
      </c>
      <c r="B1785" s="9" t="str">
        <f t="shared" si="189"/>
        <v/>
      </c>
      <c r="C1785" s="10"/>
      <c r="D1785" s="9" t="str">
        <f>IF(F1785="","",_xlfn.XLOOKUP(F1785,purchase!D:D,purchase!#REF!,""))</f>
        <v/>
      </c>
      <c r="E1785" s="9" t="str">
        <f>IF(F1785="","",_xlfn.XLOOKUP(F1785,purchase!D:D,purchase!B:B,""))</f>
        <v/>
      </c>
      <c r="F1785" s="2"/>
      <c r="G1785" s="4" t="str">
        <f t="shared" si="190"/>
        <v/>
      </c>
      <c r="H1785" s="4" t="str">
        <f>IF(F1785="","",_xlfn.XLOOKUP(F1785,purchase!D:D,purchase!#REF!,""))</f>
        <v/>
      </c>
      <c r="I1785" s="4" t="str">
        <f t="shared" si="191"/>
        <v/>
      </c>
      <c r="J1785" s="4" t="str">
        <f t="shared" si="192"/>
        <v/>
      </c>
      <c r="K1785" s="13" t="str">
        <f>_xlfn.SINGLE(IF(F1785="","",_xlfn.XLOOKUP(F1785,purchase!D:D,purchase!#REF!,"")))</f>
        <v/>
      </c>
      <c r="L1785" s="2"/>
      <c r="M1785" s="32"/>
      <c r="N1785" s="13" t="str">
        <f>IF(F1785="","",
MAX(0,
_xlfn.XLOOKUP(F1785,purchase!D:D,purchase!#REF!,"")
-
SUMIFS(L:L,F:F,F1785)))</f>
        <v/>
      </c>
      <c r="O1785" s="13" t="str">
        <f t="shared" si="193"/>
        <v/>
      </c>
      <c r="P1785" s="35" t="str">
        <f>_xlfn.SINGLE(IF(F1785="","",_xlfn.XLOOKUP(F1785,purchase!D:D,purchase!K:K,"")))</f>
        <v/>
      </c>
      <c r="Q1785" s="29" t="str">
        <f t="shared" si="194"/>
        <v/>
      </c>
      <c r="R1785" s="37" t="str">
        <f t="shared" si="195"/>
        <v/>
      </c>
    </row>
    <row r="1786" spans="1:18" x14ac:dyDescent="0.35">
      <c r="A1786" s="8">
        <v>1782</v>
      </c>
      <c r="B1786" s="9" t="str">
        <f t="shared" si="189"/>
        <v/>
      </c>
      <c r="C1786" s="10"/>
      <c r="D1786" s="9" t="str">
        <f>IF(F1786="","",_xlfn.XLOOKUP(F1786,purchase!D:D,purchase!#REF!,""))</f>
        <v/>
      </c>
      <c r="E1786" s="9" t="str">
        <f>IF(F1786="","",_xlfn.XLOOKUP(F1786,purchase!D:D,purchase!B:B,""))</f>
        <v/>
      </c>
      <c r="F1786" s="2"/>
      <c r="G1786" s="4" t="str">
        <f t="shared" si="190"/>
        <v/>
      </c>
      <c r="H1786" s="4" t="str">
        <f>IF(F1786="","",_xlfn.XLOOKUP(F1786,purchase!D:D,purchase!#REF!,""))</f>
        <v/>
      </c>
      <c r="I1786" s="4" t="str">
        <f t="shared" si="191"/>
        <v/>
      </c>
      <c r="J1786" s="4" t="str">
        <f t="shared" si="192"/>
        <v/>
      </c>
      <c r="K1786" s="13" t="str">
        <f>_xlfn.SINGLE(IF(F1786="","",_xlfn.XLOOKUP(F1786,purchase!D:D,purchase!#REF!,"")))</f>
        <v/>
      </c>
      <c r="L1786" s="2"/>
      <c r="M1786" s="32"/>
      <c r="N1786" s="13" t="str">
        <f>IF(F1786="","",
MAX(0,
_xlfn.XLOOKUP(F1786,purchase!D:D,purchase!#REF!,"")
-
SUMIFS(L:L,F:F,F1786)))</f>
        <v/>
      </c>
      <c r="O1786" s="13" t="str">
        <f t="shared" si="193"/>
        <v/>
      </c>
      <c r="P1786" s="35" t="str">
        <f>_xlfn.SINGLE(IF(F1786="","",_xlfn.XLOOKUP(F1786,purchase!D:D,purchase!K:K,"")))</f>
        <v/>
      </c>
      <c r="Q1786" s="29" t="str">
        <f t="shared" si="194"/>
        <v/>
      </c>
      <c r="R1786" s="37" t="str">
        <f t="shared" si="195"/>
        <v/>
      </c>
    </row>
    <row r="1787" spans="1:18" x14ac:dyDescent="0.35">
      <c r="A1787" s="8">
        <v>1783</v>
      </c>
      <c r="B1787" s="9" t="str">
        <f t="shared" si="189"/>
        <v/>
      </c>
      <c r="C1787" s="10"/>
      <c r="D1787" s="9" t="str">
        <f>IF(F1787="","",_xlfn.XLOOKUP(F1787,purchase!D:D,purchase!#REF!,""))</f>
        <v/>
      </c>
      <c r="E1787" s="9" t="str">
        <f>IF(F1787="","",_xlfn.XLOOKUP(F1787,purchase!D:D,purchase!B:B,""))</f>
        <v/>
      </c>
      <c r="F1787" s="2"/>
      <c r="G1787" s="4" t="str">
        <f t="shared" si="190"/>
        <v/>
      </c>
      <c r="H1787" s="4" t="str">
        <f>IF(F1787="","",_xlfn.XLOOKUP(F1787,purchase!D:D,purchase!#REF!,""))</f>
        <v/>
      </c>
      <c r="I1787" s="4" t="str">
        <f t="shared" si="191"/>
        <v/>
      </c>
      <c r="J1787" s="4" t="str">
        <f t="shared" si="192"/>
        <v/>
      </c>
      <c r="K1787" s="13" t="str">
        <f>_xlfn.SINGLE(IF(F1787="","",_xlfn.XLOOKUP(F1787,purchase!D:D,purchase!#REF!,"")))</f>
        <v/>
      </c>
      <c r="L1787" s="2"/>
      <c r="M1787" s="32"/>
      <c r="N1787" s="13" t="str">
        <f>IF(F1787="","",
MAX(0,
_xlfn.XLOOKUP(F1787,purchase!D:D,purchase!#REF!,"")
-
SUMIFS(L:L,F:F,F1787)))</f>
        <v/>
      </c>
      <c r="O1787" s="13" t="str">
        <f t="shared" si="193"/>
        <v/>
      </c>
      <c r="P1787" s="35" t="str">
        <f>_xlfn.SINGLE(IF(F1787="","",_xlfn.XLOOKUP(F1787,purchase!D:D,purchase!K:K,"")))</f>
        <v/>
      </c>
      <c r="Q1787" s="29" t="str">
        <f t="shared" si="194"/>
        <v/>
      </c>
      <c r="R1787" s="37" t="str">
        <f t="shared" si="195"/>
        <v/>
      </c>
    </row>
    <row r="1788" spans="1:18" x14ac:dyDescent="0.35">
      <c r="A1788" s="8">
        <v>1784</v>
      </c>
      <c r="B1788" s="9" t="str">
        <f t="shared" si="189"/>
        <v/>
      </c>
      <c r="C1788" s="10"/>
      <c r="D1788" s="9" t="str">
        <f>IF(F1788="","",_xlfn.XLOOKUP(F1788,purchase!D:D,purchase!#REF!,""))</f>
        <v/>
      </c>
      <c r="E1788" s="9" t="str">
        <f>IF(F1788="","",_xlfn.XLOOKUP(F1788,purchase!D:D,purchase!B:B,""))</f>
        <v/>
      </c>
      <c r="F1788" s="2"/>
      <c r="G1788" s="4" t="str">
        <f t="shared" si="190"/>
        <v/>
      </c>
      <c r="H1788" s="4" t="str">
        <f>IF(F1788="","",_xlfn.XLOOKUP(F1788,purchase!D:D,purchase!#REF!,""))</f>
        <v/>
      </c>
      <c r="I1788" s="4" t="str">
        <f t="shared" si="191"/>
        <v/>
      </c>
      <c r="J1788" s="4" t="str">
        <f t="shared" si="192"/>
        <v/>
      </c>
      <c r="K1788" s="13" t="str">
        <f>_xlfn.SINGLE(IF(F1788="","",_xlfn.XLOOKUP(F1788,purchase!D:D,purchase!#REF!,"")))</f>
        <v/>
      </c>
      <c r="L1788" s="2"/>
      <c r="M1788" s="32"/>
      <c r="N1788" s="13" t="str">
        <f>IF(F1788="","",
MAX(0,
_xlfn.XLOOKUP(F1788,purchase!D:D,purchase!#REF!,"")
-
SUMIFS(L:L,F:F,F1788)))</f>
        <v/>
      </c>
      <c r="O1788" s="13" t="str">
        <f t="shared" si="193"/>
        <v/>
      </c>
      <c r="P1788" s="35" t="str">
        <f>_xlfn.SINGLE(IF(F1788="","",_xlfn.XLOOKUP(F1788,purchase!D:D,purchase!K:K,"")))</f>
        <v/>
      </c>
      <c r="Q1788" s="29" t="str">
        <f t="shared" si="194"/>
        <v/>
      </c>
      <c r="R1788" s="37" t="str">
        <f t="shared" si="195"/>
        <v/>
      </c>
    </row>
    <row r="1789" spans="1:18" x14ac:dyDescent="0.35">
      <c r="A1789" s="8">
        <v>1785</v>
      </c>
      <c r="B1789" s="9" t="str">
        <f t="shared" si="189"/>
        <v/>
      </c>
      <c r="C1789" s="10"/>
      <c r="D1789" s="9" t="str">
        <f>IF(F1789="","",_xlfn.XLOOKUP(F1789,purchase!D:D,purchase!#REF!,""))</f>
        <v/>
      </c>
      <c r="E1789" s="9" t="str">
        <f>IF(F1789="","",_xlfn.XLOOKUP(F1789,purchase!D:D,purchase!B:B,""))</f>
        <v/>
      </c>
      <c r="F1789" s="2"/>
      <c r="G1789" s="4" t="str">
        <f t="shared" si="190"/>
        <v/>
      </c>
      <c r="H1789" s="4" t="str">
        <f>IF(F1789="","",_xlfn.XLOOKUP(F1789,purchase!D:D,purchase!#REF!,""))</f>
        <v/>
      </c>
      <c r="I1789" s="4" t="str">
        <f t="shared" si="191"/>
        <v/>
      </c>
      <c r="J1789" s="4" t="str">
        <f t="shared" si="192"/>
        <v/>
      </c>
      <c r="K1789" s="13" t="str">
        <f>_xlfn.SINGLE(IF(F1789="","",_xlfn.XLOOKUP(F1789,purchase!D:D,purchase!#REF!,"")))</f>
        <v/>
      </c>
      <c r="L1789" s="2"/>
      <c r="M1789" s="32"/>
      <c r="N1789" s="13" t="str">
        <f>IF(F1789="","",
MAX(0,
_xlfn.XLOOKUP(F1789,purchase!D:D,purchase!#REF!,"")
-
SUMIFS(L:L,F:F,F1789)))</f>
        <v/>
      </c>
      <c r="O1789" s="13" t="str">
        <f t="shared" si="193"/>
        <v/>
      </c>
      <c r="P1789" s="35" t="str">
        <f>_xlfn.SINGLE(IF(F1789="","",_xlfn.XLOOKUP(F1789,purchase!D:D,purchase!K:K,"")))</f>
        <v/>
      </c>
      <c r="Q1789" s="29" t="str">
        <f t="shared" si="194"/>
        <v/>
      </c>
      <c r="R1789" s="37" t="str">
        <f t="shared" si="195"/>
        <v/>
      </c>
    </row>
    <row r="1790" spans="1:18" x14ac:dyDescent="0.35">
      <c r="A1790" s="8">
        <v>1786</v>
      </c>
      <c r="B1790" s="9" t="str">
        <f t="shared" si="189"/>
        <v/>
      </c>
      <c r="C1790" s="10"/>
      <c r="D1790" s="9" t="str">
        <f>IF(F1790="","",_xlfn.XLOOKUP(F1790,purchase!D:D,purchase!#REF!,""))</f>
        <v/>
      </c>
      <c r="E1790" s="9" t="str">
        <f>IF(F1790="","",_xlfn.XLOOKUP(F1790,purchase!D:D,purchase!B:B,""))</f>
        <v/>
      </c>
      <c r="F1790" s="2"/>
      <c r="G1790" s="4" t="str">
        <f t="shared" si="190"/>
        <v/>
      </c>
      <c r="H1790" s="4" t="str">
        <f>IF(F1790="","",_xlfn.XLOOKUP(F1790,purchase!D:D,purchase!#REF!,""))</f>
        <v/>
      </c>
      <c r="I1790" s="4" t="str">
        <f t="shared" si="191"/>
        <v/>
      </c>
      <c r="J1790" s="4" t="str">
        <f t="shared" si="192"/>
        <v/>
      </c>
      <c r="K1790" s="13" t="str">
        <f>_xlfn.SINGLE(IF(F1790="","",_xlfn.XLOOKUP(F1790,purchase!D:D,purchase!#REF!,"")))</f>
        <v/>
      </c>
      <c r="L1790" s="2"/>
      <c r="M1790" s="32"/>
      <c r="N1790" s="13" t="str">
        <f>IF(F1790="","",
MAX(0,
_xlfn.XLOOKUP(F1790,purchase!D:D,purchase!#REF!,"")
-
SUMIFS(L:L,F:F,F1790)))</f>
        <v/>
      </c>
      <c r="O1790" s="13" t="str">
        <f t="shared" si="193"/>
        <v/>
      </c>
      <c r="P1790" s="35" t="str">
        <f>_xlfn.SINGLE(IF(F1790="","",_xlfn.XLOOKUP(F1790,purchase!D:D,purchase!K:K,"")))</f>
        <v/>
      </c>
      <c r="Q1790" s="29" t="str">
        <f t="shared" si="194"/>
        <v/>
      </c>
      <c r="R1790" s="37" t="str">
        <f t="shared" si="195"/>
        <v/>
      </c>
    </row>
    <row r="1791" spans="1:18" x14ac:dyDescent="0.35">
      <c r="A1791" s="8">
        <v>1787</v>
      </c>
      <c r="B1791" s="9" t="str">
        <f t="shared" si="189"/>
        <v/>
      </c>
      <c r="C1791" s="10"/>
      <c r="D1791" s="9" t="str">
        <f>IF(F1791="","",_xlfn.XLOOKUP(F1791,purchase!D:D,purchase!#REF!,""))</f>
        <v/>
      </c>
      <c r="E1791" s="9" t="str">
        <f>IF(F1791="","",_xlfn.XLOOKUP(F1791,purchase!D:D,purchase!B:B,""))</f>
        <v/>
      </c>
      <c r="F1791" s="2"/>
      <c r="G1791" s="4" t="str">
        <f t="shared" si="190"/>
        <v/>
      </c>
      <c r="H1791" s="4" t="str">
        <f>IF(F1791="","",_xlfn.XLOOKUP(F1791,purchase!D:D,purchase!#REF!,""))</f>
        <v/>
      </c>
      <c r="I1791" s="4" t="str">
        <f t="shared" si="191"/>
        <v/>
      </c>
      <c r="J1791" s="4" t="str">
        <f t="shared" si="192"/>
        <v/>
      </c>
      <c r="K1791" s="13" t="str">
        <f>_xlfn.SINGLE(IF(F1791="","",_xlfn.XLOOKUP(F1791,purchase!D:D,purchase!#REF!,"")))</f>
        <v/>
      </c>
      <c r="L1791" s="2"/>
      <c r="M1791" s="32"/>
      <c r="N1791" s="13" t="str">
        <f>IF(F1791="","",
MAX(0,
_xlfn.XLOOKUP(F1791,purchase!D:D,purchase!#REF!,"")
-
SUMIFS(L:L,F:F,F1791)))</f>
        <v/>
      </c>
      <c r="O1791" s="13" t="str">
        <f t="shared" si="193"/>
        <v/>
      </c>
      <c r="P1791" s="35" t="str">
        <f>_xlfn.SINGLE(IF(F1791="","",_xlfn.XLOOKUP(F1791,purchase!D:D,purchase!K:K,"")))</f>
        <v/>
      </c>
      <c r="Q1791" s="29" t="str">
        <f t="shared" si="194"/>
        <v/>
      </c>
      <c r="R1791" s="37" t="str">
        <f t="shared" si="195"/>
        <v/>
      </c>
    </row>
    <row r="1792" spans="1:18" x14ac:dyDescent="0.35">
      <c r="A1792" s="8">
        <v>1788</v>
      </c>
      <c r="B1792" s="9" t="str">
        <f t="shared" si="189"/>
        <v/>
      </c>
      <c r="C1792" s="10"/>
      <c r="D1792" s="9" t="str">
        <f>IF(F1792="","",_xlfn.XLOOKUP(F1792,purchase!D:D,purchase!#REF!,""))</f>
        <v/>
      </c>
      <c r="E1792" s="9" t="str">
        <f>IF(F1792="","",_xlfn.XLOOKUP(F1792,purchase!D:D,purchase!B:B,""))</f>
        <v/>
      </c>
      <c r="F1792" s="2"/>
      <c r="G1792" s="4" t="str">
        <f t="shared" si="190"/>
        <v/>
      </c>
      <c r="H1792" s="4" t="str">
        <f>IF(F1792="","",_xlfn.XLOOKUP(F1792,purchase!D:D,purchase!#REF!,""))</f>
        <v/>
      </c>
      <c r="I1792" s="4" t="str">
        <f t="shared" si="191"/>
        <v/>
      </c>
      <c r="J1792" s="4" t="str">
        <f t="shared" si="192"/>
        <v/>
      </c>
      <c r="K1792" s="13" t="str">
        <f>_xlfn.SINGLE(IF(F1792="","",_xlfn.XLOOKUP(F1792,purchase!D:D,purchase!#REF!,"")))</f>
        <v/>
      </c>
      <c r="L1792" s="2"/>
      <c r="M1792" s="32"/>
      <c r="N1792" s="13" t="str">
        <f>IF(F1792="","",
MAX(0,
_xlfn.XLOOKUP(F1792,purchase!D:D,purchase!#REF!,"")
-
SUMIFS(L:L,F:F,F1792)))</f>
        <v/>
      </c>
      <c r="O1792" s="13" t="str">
        <f t="shared" si="193"/>
        <v/>
      </c>
      <c r="P1792" s="35" t="str">
        <f>_xlfn.SINGLE(IF(F1792="","",_xlfn.XLOOKUP(F1792,purchase!D:D,purchase!K:K,"")))</f>
        <v/>
      </c>
      <c r="Q1792" s="29" t="str">
        <f t="shared" si="194"/>
        <v/>
      </c>
      <c r="R1792" s="37" t="str">
        <f t="shared" si="195"/>
        <v/>
      </c>
    </row>
    <row r="1793" spans="1:18" x14ac:dyDescent="0.35">
      <c r="A1793" s="8">
        <v>1789</v>
      </c>
      <c r="B1793" s="9" t="str">
        <f t="shared" si="189"/>
        <v/>
      </c>
      <c r="C1793" s="10"/>
      <c r="D1793" s="9" t="str">
        <f>IF(F1793="","",_xlfn.XLOOKUP(F1793,purchase!D:D,purchase!#REF!,""))</f>
        <v/>
      </c>
      <c r="E1793" s="9" t="str">
        <f>IF(F1793="","",_xlfn.XLOOKUP(F1793,purchase!D:D,purchase!B:B,""))</f>
        <v/>
      </c>
      <c r="F1793" s="2"/>
      <c r="G1793" s="4" t="str">
        <f t="shared" si="190"/>
        <v/>
      </c>
      <c r="H1793" s="4" t="str">
        <f>IF(F1793="","",_xlfn.XLOOKUP(F1793,purchase!D:D,purchase!#REF!,""))</f>
        <v/>
      </c>
      <c r="I1793" s="4" t="str">
        <f t="shared" si="191"/>
        <v/>
      </c>
      <c r="J1793" s="4" t="str">
        <f t="shared" si="192"/>
        <v/>
      </c>
      <c r="K1793" s="13" t="str">
        <f>_xlfn.SINGLE(IF(F1793="","",_xlfn.XLOOKUP(F1793,purchase!D:D,purchase!#REF!,"")))</f>
        <v/>
      </c>
      <c r="L1793" s="2"/>
      <c r="M1793" s="32"/>
      <c r="N1793" s="13" t="str">
        <f>IF(F1793="","",
MAX(0,
_xlfn.XLOOKUP(F1793,purchase!D:D,purchase!#REF!,"")
-
SUMIFS(L:L,F:F,F1793)))</f>
        <v/>
      </c>
      <c r="O1793" s="13" t="str">
        <f t="shared" si="193"/>
        <v/>
      </c>
      <c r="P1793" s="35" t="str">
        <f>_xlfn.SINGLE(IF(F1793="","",_xlfn.XLOOKUP(F1793,purchase!D:D,purchase!K:K,"")))</f>
        <v/>
      </c>
      <c r="Q1793" s="29" t="str">
        <f t="shared" si="194"/>
        <v/>
      </c>
      <c r="R1793" s="37" t="str">
        <f t="shared" si="195"/>
        <v/>
      </c>
    </row>
    <row r="1794" spans="1:18" x14ac:dyDescent="0.35">
      <c r="A1794" s="8">
        <v>1790</v>
      </c>
      <c r="B1794" s="9" t="str">
        <f t="shared" si="189"/>
        <v/>
      </c>
      <c r="C1794" s="10"/>
      <c r="D1794" s="9" t="str">
        <f>IF(F1794="","",_xlfn.XLOOKUP(F1794,purchase!D:D,purchase!#REF!,""))</f>
        <v/>
      </c>
      <c r="E1794" s="9" t="str">
        <f>IF(F1794="","",_xlfn.XLOOKUP(F1794,purchase!D:D,purchase!B:B,""))</f>
        <v/>
      </c>
      <c r="F1794" s="2"/>
      <c r="G1794" s="4" t="str">
        <f t="shared" si="190"/>
        <v/>
      </c>
      <c r="H1794" s="4" t="str">
        <f>IF(F1794="","",_xlfn.XLOOKUP(F1794,purchase!D:D,purchase!#REF!,""))</f>
        <v/>
      </c>
      <c r="I1794" s="4" t="str">
        <f t="shared" si="191"/>
        <v/>
      </c>
      <c r="J1794" s="4" t="str">
        <f t="shared" si="192"/>
        <v/>
      </c>
      <c r="K1794" s="13" t="str">
        <f>_xlfn.SINGLE(IF(F1794="","",_xlfn.XLOOKUP(F1794,purchase!D:D,purchase!#REF!,"")))</f>
        <v/>
      </c>
      <c r="L1794" s="2"/>
      <c r="M1794" s="32"/>
      <c r="N1794" s="13" t="str">
        <f>IF(F1794="","",
MAX(0,
_xlfn.XLOOKUP(F1794,purchase!D:D,purchase!#REF!,"")
-
SUMIFS(L:L,F:F,F1794)))</f>
        <v/>
      </c>
      <c r="O1794" s="13" t="str">
        <f t="shared" si="193"/>
        <v/>
      </c>
      <c r="P1794" s="35" t="str">
        <f>_xlfn.SINGLE(IF(F1794="","",_xlfn.XLOOKUP(F1794,purchase!D:D,purchase!K:K,"")))</f>
        <v/>
      </c>
      <c r="Q1794" s="29" t="str">
        <f t="shared" si="194"/>
        <v/>
      </c>
      <c r="R1794" s="37" t="str">
        <f t="shared" si="195"/>
        <v/>
      </c>
    </row>
    <row r="1795" spans="1:18" x14ac:dyDescent="0.35">
      <c r="A1795" s="8">
        <v>1791</v>
      </c>
      <c r="B1795" s="9" t="str">
        <f t="shared" si="189"/>
        <v/>
      </c>
      <c r="C1795" s="10"/>
      <c r="D1795" s="9" t="str">
        <f>IF(F1795="","",_xlfn.XLOOKUP(F1795,purchase!D:D,purchase!#REF!,""))</f>
        <v/>
      </c>
      <c r="E1795" s="9" t="str">
        <f>IF(F1795="","",_xlfn.XLOOKUP(F1795,purchase!D:D,purchase!B:B,""))</f>
        <v/>
      </c>
      <c r="F1795" s="2"/>
      <c r="G1795" s="4" t="str">
        <f t="shared" si="190"/>
        <v/>
      </c>
      <c r="H1795" s="4" t="str">
        <f>IF(F1795="","",_xlfn.XLOOKUP(F1795,purchase!D:D,purchase!#REF!,""))</f>
        <v/>
      </c>
      <c r="I1795" s="4" t="str">
        <f t="shared" si="191"/>
        <v/>
      </c>
      <c r="J1795" s="4" t="str">
        <f t="shared" si="192"/>
        <v/>
      </c>
      <c r="K1795" s="13" t="str">
        <f>_xlfn.SINGLE(IF(F1795="","",_xlfn.XLOOKUP(F1795,purchase!D:D,purchase!#REF!,"")))</f>
        <v/>
      </c>
      <c r="L1795" s="2"/>
      <c r="M1795" s="32"/>
      <c r="N1795" s="13" t="str">
        <f>IF(F1795="","",
MAX(0,
_xlfn.XLOOKUP(F1795,purchase!D:D,purchase!#REF!,"")
-
SUMIFS(L:L,F:F,F1795)))</f>
        <v/>
      </c>
      <c r="O1795" s="13" t="str">
        <f t="shared" si="193"/>
        <v/>
      </c>
      <c r="P1795" s="35" t="str">
        <f>_xlfn.SINGLE(IF(F1795="","",_xlfn.XLOOKUP(F1795,purchase!D:D,purchase!K:K,"")))</f>
        <v/>
      </c>
      <c r="Q1795" s="29" t="str">
        <f t="shared" si="194"/>
        <v/>
      </c>
      <c r="R1795" s="37" t="str">
        <f t="shared" si="195"/>
        <v/>
      </c>
    </row>
    <row r="1796" spans="1:18" x14ac:dyDescent="0.35">
      <c r="A1796" s="8">
        <v>1792</v>
      </c>
      <c r="B1796" s="9" t="str">
        <f t="shared" si="189"/>
        <v/>
      </c>
      <c r="C1796" s="10"/>
      <c r="D1796" s="9" t="str">
        <f>IF(F1796="","",_xlfn.XLOOKUP(F1796,purchase!D:D,purchase!#REF!,""))</f>
        <v/>
      </c>
      <c r="E1796" s="9" t="str">
        <f>IF(F1796="","",_xlfn.XLOOKUP(F1796,purchase!D:D,purchase!B:B,""))</f>
        <v/>
      </c>
      <c r="F1796" s="2"/>
      <c r="G1796" s="4" t="str">
        <f t="shared" si="190"/>
        <v/>
      </c>
      <c r="H1796" s="4" t="str">
        <f>IF(F1796="","",_xlfn.XLOOKUP(F1796,purchase!D:D,purchase!#REF!,""))</f>
        <v/>
      </c>
      <c r="I1796" s="4" t="str">
        <f t="shared" si="191"/>
        <v/>
      </c>
      <c r="J1796" s="4" t="str">
        <f t="shared" si="192"/>
        <v/>
      </c>
      <c r="K1796" s="13" t="str">
        <f>_xlfn.SINGLE(IF(F1796="","",_xlfn.XLOOKUP(F1796,purchase!D:D,purchase!#REF!,"")))</f>
        <v/>
      </c>
      <c r="L1796" s="2"/>
      <c r="M1796" s="32"/>
      <c r="N1796" s="13" t="str">
        <f>IF(F1796="","",
MAX(0,
_xlfn.XLOOKUP(F1796,purchase!D:D,purchase!#REF!,"")
-
SUMIFS(L:L,F:F,F1796)))</f>
        <v/>
      </c>
      <c r="O1796" s="13" t="str">
        <f t="shared" si="193"/>
        <v/>
      </c>
      <c r="P1796" s="35" t="str">
        <f>_xlfn.SINGLE(IF(F1796="","",_xlfn.XLOOKUP(F1796,purchase!D:D,purchase!K:K,"")))</f>
        <v/>
      </c>
      <c r="Q1796" s="29" t="str">
        <f t="shared" si="194"/>
        <v/>
      </c>
      <c r="R1796" s="37" t="str">
        <f t="shared" si="195"/>
        <v/>
      </c>
    </row>
    <row r="1797" spans="1:18" x14ac:dyDescent="0.35">
      <c r="A1797" s="8">
        <v>1793</v>
      </c>
      <c r="B1797" s="9" t="str">
        <f t="shared" ref="B1797:B1860" si="196">IF(OR(C1797="",F1797=""),"",
"PRD-" &amp;
TEXT(DAY(C1797),"00") &amp;
CHOOSE(MONTH(C1797),"A","B","C","D","E","F","G","H","I","J","K","L") &amp;
TEXT(YEAR(C1797),"00") &amp;
"-" &amp;
RIGHT(F1797,4))</f>
        <v/>
      </c>
      <c r="C1797" s="10"/>
      <c r="D1797" s="9" t="str">
        <f>IF(F1797="","",_xlfn.XLOOKUP(F1797,purchase!D:D,purchase!#REF!,""))</f>
        <v/>
      </c>
      <c r="E1797" s="9" t="str">
        <f>IF(F1797="","",_xlfn.XLOOKUP(F1797,purchase!D:D,purchase!B:B,""))</f>
        <v/>
      </c>
      <c r="F1797" s="2"/>
      <c r="G1797" s="4" t="str">
        <f t="shared" ref="G1797:G1860" si="197">IF(H1797="NRFC","Natural Rubber Field Coagulam","")</f>
        <v/>
      </c>
      <c r="H1797" s="4" t="str">
        <f>IF(F1797="","",_xlfn.XLOOKUP(F1797,purchase!D:D,purchase!#REF!,""))</f>
        <v/>
      </c>
      <c r="I1797" s="4" t="str">
        <f t="shared" ref="I1797:I1860" si="198">IF(J1797="ISNR20","Natural Rubber-TSNR (ISNR-20)","")</f>
        <v/>
      </c>
      <c r="J1797" s="4" t="str">
        <f t="shared" ref="J1797:J1860" si="199">IF(H1797="NRFC","ISNR20","")</f>
        <v/>
      </c>
      <c r="K1797" s="13" t="str">
        <f>_xlfn.SINGLE(IF(F1797="","",_xlfn.XLOOKUP(F1797,purchase!D:D,purchase!#REF!,"")))</f>
        <v/>
      </c>
      <c r="L1797" s="2"/>
      <c r="M1797" s="32"/>
      <c r="N1797" s="13" t="str">
        <f>IF(F1797="","",
MAX(0,
_xlfn.XLOOKUP(F1797,purchase!D:D,purchase!#REF!,"")
-
SUMIFS(L:L,F:F,F1797)))</f>
        <v/>
      </c>
      <c r="O1797" s="13" t="str">
        <f t="shared" ref="O1797:O1860" si="200">IF(OR(L1797="",M1797=""),"",L1797-M1797)</f>
        <v/>
      </c>
      <c r="P1797" s="35" t="str">
        <f>_xlfn.SINGLE(IF(F1797="","",_xlfn.XLOOKUP(F1797,purchase!D:D,purchase!K:K,"")))</f>
        <v/>
      </c>
      <c r="Q1797" s="29" t="str">
        <f t="shared" ref="Q1797:Q1860" si="201">IF(OR(L1797="",M1797=""),"",M1797/L1797)</f>
        <v/>
      </c>
      <c r="R1797" s="37" t="str">
        <f t="shared" ref="R1797:R1860" si="202">IF(OR(P1797="",Q1797=""),"",Q1797-P1797)</f>
        <v/>
      </c>
    </row>
    <row r="1798" spans="1:18" x14ac:dyDescent="0.35">
      <c r="A1798" s="8">
        <v>1794</v>
      </c>
      <c r="B1798" s="9" t="str">
        <f t="shared" si="196"/>
        <v/>
      </c>
      <c r="C1798" s="10"/>
      <c r="D1798" s="9" t="str">
        <f>IF(F1798="","",_xlfn.XLOOKUP(F1798,purchase!D:D,purchase!#REF!,""))</f>
        <v/>
      </c>
      <c r="E1798" s="9" t="str">
        <f>IF(F1798="","",_xlfn.XLOOKUP(F1798,purchase!D:D,purchase!B:B,""))</f>
        <v/>
      </c>
      <c r="F1798" s="2"/>
      <c r="G1798" s="4" t="str">
        <f t="shared" si="197"/>
        <v/>
      </c>
      <c r="H1798" s="4" t="str">
        <f>IF(F1798="","",_xlfn.XLOOKUP(F1798,purchase!D:D,purchase!#REF!,""))</f>
        <v/>
      </c>
      <c r="I1798" s="4" t="str">
        <f t="shared" si="198"/>
        <v/>
      </c>
      <c r="J1798" s="4" t="str">
        <f t="shared" si="199"/>
        <v/>
      </c>
      <c r="K1798" s="13" t="str">
        <f>_xlfn.SINGLE(IF(F1798="","",_xlfn.XLOOKUP(F1798,purchase!D:D,purchase!#REF!,"")))</f>
        <v/>
      </c>
      <c r="L1798" s="2"/>
      <c r="M1798" s="32"/>
      <c r="N1798" s="13" t="str">
        <f>IF(F1798="","",
MAX(0,
_xlfn.XLOOKUP(F1798,purchase!D:D,purchase!#REF!,"")
-
SUMIFS(L:L,F:F,F1798)))</f>
        <v/>
      </c>
      <c r="O1798" s="13" t="str">
        <f t="shared" si="200"/>
        <v/>
      </c>
      <c r="P1798" s="35" t="str">
        <f>_xlfn.SINGLE(IF(F1798="","",_xlfn.XLOOKUP(F1798,purchase!D:D,purchase!K:K,"")))</f>
        <v/>
      </c>
      <c r="Q1798" s="29" t="str">
        <f t="shared" si="201"/>
        <v/>
      </c>
      <c r="R1798" s="37" t="str">
        <f t="shared" si="202"/>
        <v/>
      </c>
    </row>
    <row r="1799" spans="1:18" x14ac:dyDescent="0.35">
      <c r="A1799" s="8">
        <v>1795</v>
      </c>
      <c r="B1799" s="9" t="str">
        <f t="shared" si="196"/>
        <v/>
      </c>
      <c r="C1799" s="10"/>
      <c r="D1799" s="9" t="str">
        <f>IF(F1799="","",_xlfn.XLOOKUP(F1799,purchase!D:D,purchase!#REF!,""))</f>
        <v/>
      </c>
      <c r="E1799" s="9" t="str">
        <f>IF(F1799="","",_xlfn.XLOOKUP(F1799,purchase!D:D,purchase!B:B,""))</f>
        <v/>
      </c>
      <c r="F1799" s="2"/>
      <c r="G1799" s="4" t="str">
        <f t="shared" si="197"/>
        <v/>
      </c>
      <c r="H1799" s="4" t="str">
        <f>IF(F1799="","",_xlfn.XLOOKUP(F1799,purchase!D:D,purchase!#REF!,""))</f>
        <v/>
      </c>
      <c r="I1799" s="4" t="str">
        <f t="shared" si="198"/>
        <v/>
      </c>
      <c r="J1799" s="4" t="str">
        <f t="shared" si="199"/>
        <v/>
      </c>
      <c r="K1799" s="13" t="str">
        <f>_xlfn.SINGLE(IF(F1799="","",_xlfn.XLOOKUP(F1799,purchase!D:D,purchase!#REF!,"")))</f>
        <v/>
      </c>
      <c r="L1799" s="2"/>
      <c r="M1799" s="32"/>
      <c r="N1799" s="13" t="str">
        <f>IF(F1799="","",
MAX(0,
_xlfn.XLOOKUP(F1799,purchase!D:D,purchase!#REF!,"")
-
SUMIFS(L:L,F:F,F1799)))</f>
        <v/>
      </c>
      <c r="O1799" s="13" t="str">
        <f t="shared" si="200"/>
        <v/>
      </c>
      <c r="P1799" s="35" t="str">
        <f>_xlfn.SINGLE(IF(F1799="","",_xlfn.XLOOKUP(F1799,purchase!D:D,purchase!K:K,"")))</f>
        <v/>
      </c>
      <c r="Q1799" s="29" t="str">
        <f t="shared" si="201"/>
        <v/>
      </c>
      <c r="R1799" s="37" t="str">
        <f t="shared" si="202"/>
        <v/>
      </c>
    </row>
    <row r="1800" spans="1:18" x14ac:dyDescent="0.35">
      <c r="A1800" s="8">
        <v>1796</v>
      </c>
      <c r="B1800" s="9" t="str">
        <f t="shared" si="196"/>
        <v/>
      </c>
      <c r="C1800" s="10"/>
      <c r="D1800" s="9" t="str">
        <f>IF(F1800="","",_xlfn.XLOOKUP(F1800,purchase!D:D,purchase!#REF!,""))</f>
        <v/>
      </c>
      <c r="E1800" s="9" t="str">
        <f>IF(F1800="","",_xlfn.XLOOKUP(F1800,purchase!D:D,purchase!B:B,""))</f>
        <v/>
      </c>
      <c r="F1800" s="2"/>
      <c r="G1800" s="4" t="str">
        <f t="shared" si="197"/>
        <v/>
      </c>
      <c r="H1800" s="4" t="str">
        <f>IF(F1800="","",_xlfn.XLOOKUP(F1800,purchase!D:D,purchase!#REF!,""))</f>
        <v/>
      </c>
      <c r="I1800" s="4" t="str">
        <f t="shared" si="198"/>
        <v/>
      </c>
      <c r="J1800" s="4" t="str">
        <f t="shared" si="199"/>
        <v/>
      </c>
      <c r="K1800" s="13" t="str">
        <f>_xlfn.SINGLE(IF(F1800="","",_xlfn.XLOOKUP(F1800,purchase!D:D,purchase!#REF!,"")))</f>
        <v/>
      </c>
      <c r="L1800" s="2"/>
      <c r="M1800" s="32"/>
      <c r="N1800" s="13" t="str">
        <f>IF(F1800="","",
MAX(0,
_xlfn.XLOOKUP(F1800,purchase!D:D,purchase!#REF!,"")
-
SUMIFS(L:L,F:F,F1800)))</f>
        <v/>
      </c>
      <c r="O1800" s="13" t="str">
        <f t="shared" si="200"/>
        <v/>
      </c>
      <c r="P1800" s="35" t="str">
        <f>_xlfn.SINGLE(IF(F1800="","",_xlfn.XLOOKUP(F1800,purchase!D:D,purchase!K:K,"")))</f>
        <v/>
      </c>
      <c r="Q1800" s="29" t="str">
        <f t="shared" si="201"/>
        <v/>
      </c>
      <c r="R1800" s="37" t="str">
        <f t="shared" si="202"/>
        <v/>
      </c>
    </row>
    <row r="1801" spans="1:18" x14ac:dyDescent="0.35">
      <c r="A1801" s="8">
        <v>1797</v>
      </c>
      <c r="B1801" s="9" t="str">
        <f t="shared" si="196"/>
        <v/>
      </c>
      <c r="C1801" s="10"/>
      <c r="D1801" s="9" t="str">
        <f>IF(F1801="","",_xlfn.XLOOKUP(F1801,purchase!D:D,purchase!#REF!,""))</f>
        <v/>
      </c>
      <c r="E1801" s="9" t="str">
        <f>IF(F1801="","",_xlfn.XLOOKUP(F1801,purchase!D:D,purchase!B:B,""))</f>
        <v/>
      </c>
      <c r="F1801" s="2"/>
      <c r="G1801" s="4" t="str">
        <f t="shared" si="197"/>
        <v/>
      </c>
      <c r="H1801" s="4" t="str">
        <f>IF(F1801="","",_xlfn.XLOOKUP(F1801,purchase!D:D,purchase!#REF!,""))</f>
        <v/>
      </c>
      <c r="I1801" s="4" t="str">
        <f t="shared" si="198"/>
        <v/>
      </c>
      <c r="J1801" s="4" t="str">
        <f t="shared" si="199"/>
        <v/>
      </c>
      <c r="K1801" s="13" t="str">
        <f>_xlfn.SINGLE(IF(F1801="","",_xlfn.XLOOKUP(F1801,purchase!D:D,purchase!#REF!,"")))</f>
        <v/>
      </c>
      <c r="L1801" s="2"/>
      <c r="M1801" s="32"/>
      <c r="N1801" s="13" t="str">
        <f>IF(F1801="","",
MAX(0,
_xlfn.XLOOKUP(F1801,purchase!D:D,purchase!#REF!,"")
-
SUMIFS(L:L,F:F,F1801)))</f>
        <v/>
      </c>
      <c r="O1801" s="13" t="str">
        <f t="shared" si="200"/>
        <v/>
      </c>
      <c r="P1801" s="35" t="str">
        <f>_xlfn.SINGLE(IF(F1801="","",_xlfn.XLOOKUP(F1801,purchase!D:D,purchase!K:K,"")))</f>
        <v/>
      </c>
      <c r="Q1801" s="29" t="str">
        <f t="shared" si="201"/>
        <v/>
      </c>
      <c r="R1801" s="37" t="str">
        <f t="shared" si="202"/>
        <v/>
      </c>
    </row>
    <row r="1802" spans="1:18" x14ac:dyDescent="0.35">
      <c r="A1802" s="8">
        <v>1798</v>
      </c>
      <c r="B1802" s="9" t="str">
        <f t="shared" si="196"/>
        <v/>
      </c>
      <c r="C1802" s="10"/>
      <c r="D1802" s="9" t="str">
        <f>IF(F1802="","",_xlfn.XLOOKUP(F1802,purchase!D:D,purchase!#REF!,""))</f>
        <v/>
      </c>
      <c r="E1802" s="9" t="str">
        <f>IF(F1802="","",_xlfn.XLOOKUP(F1802,purchase!D:D,purchase!B:B,""))</f>
        <v/>
      </c>
      <c r="F1802" s="2"/>
      <c r="G1802" s="4" t="str">
        <f t="shared" si="197"/>
        <v/>
      </c>
      <c r="H1802" s="4" t="str">
        <f>IF(F1802="","",_xlfn.XLOOKUP(F1802,purchase!D:D,purchase!#REF!,""))</f>
        <v/>
      </c>
      <c r="I1802" s="4" t="str">
        <f t="shared" si="198"/>
        <v/>
      </c>
      <c r="J1802" s="4" t="str">
        <f t="shared" si="199"/>
        <v/>
      </c>
      <c r="K1802" s="13" t="str">
        <f>_xlfn.SINGLE(IF(F1802="","",_xlfn.XLOOKUP(F1802,purchase!D:D,purchase!#REF!,"")))</f>
        <v/>
      </c>
      <c r="L1802" s="2"/>
      <c r="M1802" s="32"/>
      <c r="N1802" s="13" t="str">
        <f>IF(F1802="","",
MAX(0,
_xlfn.XLOOKUP(F1802,purchase!D:D,purchase!#REF!,"")
-
SUMIFS(L:L,F:F,F1802)))</f>
        <v/>
      </c>
      <c r="O1802" s="13" t="str">
        <f t="shared" si="200"/>
        <v/>
      </c>
      <c r="P1802" s="35" t="str">
        <f>_xlfn.SINGLE(IF(F1802="","",_xlfn.XLOOKUP(F1802,purchase!D:D,purchase!K:K,"")))</f>
        <v/>
      </c>
      <c r="Q1802" s="29" t="str">
        <f t="shared" si="201"/>
        <v/>
      </c>
      <c r="R1802" s="37" t="str">
        <f t="shared" si="202"/>
        <v/>
      </c>
    </row>
    <row r="1803" spans="1:18" x14ac:dyDescent="0.35">
      <c r="A1803" s="8">
        <v>1799</v>
      </c>
      <c r="B1803" s="9" t="str">
        <f t="shared" si="196"/>
        <v/>
      </c>
      <c r="C1803" s="10"/>
      <c r="D1803" s="9" t="str">
        <f>IF(F1803="","",_xlfn.XLOOKUP(F1803,purchase!D:D,purchase!#REF!,""))</f>
        <v/>
      </c>
      <c r="E1803" s="9" t="str">
        <f>IF(F1803="","",_xlfn.XLOOKUP(F1803,purchase!D:D,purchase!B:B,""))</f>
        <v/>
      </c>
      <c r="F1803" s="2"/>
      <c r="G1803" s="4" t="str">
        <f t="shared" si="197"/>
        <v/>
      </c>
      <c r="H1803" s="4" t="str">
        <f>IF(F1803="","",_xlfn.XLOOKUP(F1803,purchase!D:D,purchase!#REF!,""))</f>
        <v/>
      </c>
      <c r="I1803" s="4" t="str">
        <f t="shared" si="198"/>
        <v/>
      </c>
      <c r="J1803" s="4" t="str">
        <f t="shared" si="199"/>
        <v/>
      </c>
      <c r="K1803" s="13" t="str">
        <f>_xlfn.SINGLE(IF(F1803="","",_xlfn.XLOOKUP(F1803,purchase!D:D,purchase!#REF!,"")))</f>
        <v/>
      </c>
      <c r="L1803" s="2"/>
      <c r="M1803" s="32"/>
      <c r="N1803" s="13" t="str">
        <f>IF(F1803="","",
MAX(0,
_xlfn.XLOOKUP(F1803,purchase!D:D,purchase!#REF!,"")
-
SUMIFS(L:L,F:F,F1803)))</f>
        <v/>
      </c>
      <c r="O1803" s="13" t="str">
        <f t="shared" si="200"/>
        <v/>
      </c>
      <c r="P1803" s="35" t="str">
        <f>_xlfn.SINGLE(IF(F1803="","",_xlfn.XLOOKUP(F1803,purchase!D:D,purchase!K:K,"")))</f>
        <v/>
      </c>
      <c r="Q1803" s="29" t="str">
        <f t="shared" si="201"/>
        <v/>
      </c>
      <c r="R1803" s="37" t="str">
        <f t="shared" si="202"/>
        <v/>
      </c>
    </row>
    <row r="1804" spans="1:18" x14ac:dyDescent="0.35">
      <c r="A1804" s="8">
        <v>1800</v>
      </c>
      <c r="B1804" s="9" t="str">
        <f t="shared" si="196"/>
        <v/>
      </c>
      <c r="C1804" s="10"/>
      <c r="D1804" s="9" t="str">
        <f>IF(F1804="","",_xlfn.XLOOKUP(F1804,purchase!D:D,purchase!#REF!,""))</f>
        <v/>
      </c>
      <c r="E1804" s="9" t="str">
        <f>IF(F1804="","",_xlfn.XLOOKUP(F1804,purchase!D:D,purchase!B:B,""))</f>
        <v/>
      </c>
      <c r="F1804" s="2"/>
      <c r="G1804" s="4" t="str">
        <f t="shared" si="197"/>
        <v/>
      </c>
      <c r="H1804" s="4" t="str">
        <f>IF(F1804="","",_xlfn.XLOOKUP(F1804,purchase!D:D,purchase!#REF!,""))</f>
        <v/>
      </c>
      <c r="I1804" s="4" t="str">
        <f t="shared" si="198"/>
        <v/>
      </c>
      <c r="J1804" s="4" t="str">
        <f t="shared" si="199"/>
        <v/>
      </c>
      <c r="K1804" s="13" t="str">
        <f>_xlfn.SINGLE(IF(F1804="","",_xlfn.XLOOKUP(F1804,purchase!D:D,purchase!#REF!,"")))</f>
        <v/>
      </c>
      <c r="L1804" s="2"/>
      <c r="M1804" s="32"/>
      <c r="N1804" s="13" t="str">
        <f>IF(F1804="","",
MAX(0,
_xlfn.XLOOKUP(F1804,purchase!D:D,purchase!#REF!,"")
-
SUMIFS(L:L,F:F,F1804)))</f>
        <v/>
      </c>
      <c r="O1804" s="13" t="str">
        <f t="shared" si="200"/>
        <v/>
      </c>
      <c r="P1804" s="35" t="str">
        <f>_xlfn.SINGLE(IF(F1804="","",_xlfn.XLOOKUP(F1804,purchase!D:D,purchase!K:K,"")))</f>
        <v/>
      </c>
      <c r="Q1804" s="29" t="str">
        <f t="shared" si="201"/>
        <v/>
      </c>
      <c r="R1804" s="37" t="str">
        <f t="shared" si="202"/>
        <v/>
      </c>
    </row>
    <row r="1805" spans="1:18" x14ac:dyDescent="0.35">
      <c r="A1805" s="8">
        <v>1801</v>
      </c>
      <c r="B1805" s="9" t="str">
        <f t="shared" si="196"/>
        <v/>
      </c>
      <c r="C1805" s="10"/>
      <c r="D1805" s="9" t="str">
        <f>IF(F1805="","",_xlfn.XLOOKUP(F1805,purchase!D:D,purchase!#REF!,""))</f>
        <v/>
      </c>
      <c r="E1805" s="9" t="str">
        <f>IF(F1805="","",_xlfn.XLOOKUP(F1805,purchase!D:D,purchase!B:B,""))</f>
        <v/>
      </c>
      <c r="F1805" s="2"/>
      <c r="G1805" s="4" t="str">
        <f t="shared" si="197"/>
        <v/>
      </c>
      <c r="H1805" s="4" t="str">
        <f>IF(F1805="","",_xlfn.XLOOKUP(F1805,purchase!D:D,purchase!#REF!,""))</f>
        <v/>
      </c>
      <c r="I1805" s="4" t="str">
        <f t="shared" si="198"/>
        <v/>
      </c>
      <c r="J1805" s="4" t="str">
        <f t="shared" si="199"/>
        <v/>
      </c>
      <c r="K1805" s="13" t="str">
        <f>_xlfn.SINGLE(IF(F1805="","",_xlfn.XLOOKUP(F1805,purchase!D:D,purchase!#REF!,"")))</f>
        <v/>
      </c>
      <c r="L1805" s="2"/>
      <c r="M1805" s="32"/>
      <c r="N1805" s="13" t="str">
        <f>IF(F1805="","",
MAX(0,
_xlfn.XLOOKUP(F1805,purchase!D:D,purchase!#REF!,"")
-
SUMIFS(L:L,F:F,F1805)))</f>
        <v/>
      </c>
      <c r="O1805" s="13" t="str">
        <f t="shared" si="200"/>
        <v/>
      </c>
      <c r="P1805" s="35" t="str">
        <f>_xlfn.SINGLE(IF(F1805="","",_xlfn.XLOOKUP(F1805,purchase!D:D,purchase!K:K,"")))</f>
        <v/>
      </c>
      <c r="Q1805" s="29" t="str">
        <f t="shared" si="201"/>
        <v/>
      </c>
      <c r="R1805" s="37" t="str">
        <f t="shared" si="202"/>
        <v/>
      </c>
    </row>
    <row r="1806" spans="1:18" x14ac:dyDescent="0.35">
      <c r="A1806" s="8">
        <v>1802</v>
      </c>
      <c r="B1806" s="9" t="str">
        <f t="shared" si="196"/>
        <v/>
      </c>
      <c r="C1806" s="10"/>
      <c r="D1806" s="9" t="str">
        <f>IF(F1806="","",_xlfn.XLOOKUP(F1806,purchase!D:D,purchase!#REF!,""))</f>
        <v/>
      </c>
      <c r="E1806" s="9" t="str">
        <f>IF(F1806="","",_xlfn.XLOOKUP(F1806,purchase!D:D,purchase!B:B,""))</f>
        <v/>
      </c>
      <c r="F1806" s="2"/>
      <c r="G1806" s="4" t="str">
        <f t="shared" si="197"/>
        <v/>
      </c>
      <c r="H1806" s="4" t="str">
        <f>IF(F1806="","",_xlfn.XLOOKUP(F1806,purchase!D:D,purchase!#REF!,""))</f>
        <v/>
      </c>
      <c r="I1806" s="4" t="str">
        <f t="shared" si="198"/>
        <v/>
      </c>
      <c r="J1806" s="4" t="str">
        <f t="shared" si="199"/>
        <v/>
      </c>
      <c r="K1806" s="13" t="str">
        <f>_xlfn.SINGLE(IF(F1806="","",_xlfn.XLOOKUP(F1806,purchase!D:D,purchase!#REF!,"")))</f>
        <v/>
      </c>
      <c r="L1806" s="2"/>
      <c r="M1806" s="32"/>
      <c r="N1806" s="13" t="str">
        <f>IF(F1806="","",
MAX(0,
_xlfn.XLOOKUP(F1806,purchase!D:D,purchase!#REF!,"")
-
SUMIFS(L:L,F:F,F1806)))</f>
        <v/>
      </c>
      <c r="O1806" s="13" t="str">
        <f t="shared" si="200"/>
        <v/>
      </c>
      <c r="P1806" s="35" t="str">
        <f>_xlfn.SINGLE(IF(F1806="","",_xlfn.XLOOKUP(F1806,purchase!D:D,purchase!K:K,"")))</f>
        <v/>
      </c>
      <c r="Q1806" s="29" t="str">
        <f t="shared" si="201"/>
        <v/>
      </c>
      <c r="R1806" s="37" t="str">
        <f t="shared" si="202"/>
        <v/>
      </c>
    </row>
    <row r="1807" spans="1:18" x14ac:dyDescent="0.35">
      <c r="A1807" s="8">
        <v>1803</v>
      </c>
      <c r="B1807" s="9" t="str">
        <f t="shared" si="196"/>
        <v/>
      </c>
      <c r="C1807" s="10"/>
      <c r="D1807" s="9" t="str">
        <f>IF(F1807="","",_xlfn.XLOOKUP(F1807,purchase!D:D,purchase!#REF!,""))</f>
        <v/>
      </c>
      <c r="E1807" s="9" t="str">
        <f>IF(F1807="","",_xlfn.XLOOKUP(F1807,purchase!D:D,purchase!B:B,""))</f>
        <v/>
      </c>
      <c r="F1807" s="2"/>
      <c r="G1807" s="4" t="str">
        <f t="shared" si="197"/>
        <v/>
      </c>
      <c r="H1807" s="4" t="str">
        <f>IF(F1807="","",_xlfn.XLOOKUP(F1807,purchase!D:D,purchase!#REF!,""))</f>
        <v/>
      </c>
      <c r="I1807" s="4" t="str">
        <f t="shared" si="198"/>
        <v/>
      </c>
      <c r="J1807" s="4" t="str">
        <f t="shared" si="199"/>
        <v/>
      </c>
      <c r="K1807" s="13" t="str">
        <f>_xlfn.SINGLE(IF(F1807="","",_xlfn.XLOOKUP(F1807,purchase!D:D,purchase!#REF!,"")))</f>
        <v/>
      </c>
      <c r="L1807" s="2"/>
      <c r="M1807" s="32"/>
      <c r="N1807" s="13" t="str">
        <f>IF(F1807="","",
MAX(0,
_xlfn.XLOOKUP(F1807,purchase!D:D,purchase!#REF!,"")
-
SUMIFS(L:L,F:F,F1807)))</f>
        <v/>
      </c>
      <c r="O1807" s="13" t="str">
        <f t="shared" si="200"/>
        <v/>
      </c>
      <c r="P1807" s="35" t="str">
        <f>_xlfn.SINGLE(IF(F1807="","",_xlfn.XLOOKUP(F1807,purchase!D:D,purchase!K:K,"")))</f>
        <v/>
      </c>
      <c r="Q1807" s="29" t="str">
        <f t="shared" si="201"/>
        <v/>
      </c>
      <c r="R1807" s="37" t="str">
        <f t="shared" si="202"/>
        <v/>
      </c>
    </row>
    <row r="1808" spans="1:18" x14ac:dyDescent="0.35">
      <c r="A1808" s="8">
        <v>1804</v>
      </c>
      <c r="B1808" s="9" t="str">
        <f t="shared" si="196"/>
        <v/>
      </c>
      <c r="C1808" s="10"/>
      <c r="D1808" s="9" t="str">
        <f>IF(F1808="","",_xlfn.XLOOKUP(F1808,purchase!D:D,purchase!#REF!,""))</f>
        <v/>
      </c>
      <c r="E1808" s="9" t="str">
        <f>IF(F1808="","",_xlfn.XLOOKUP(F1808,purchase!D:D,purchase!B:B,""))</f>
        <v/>
      </c>
      <c r="F1808" s="2"/>
      <c r="G1808" s="4" t="str">
        <f t="shared" si="197"/>
        <v/>
      </c>
      <c r="H1808" s="4" t="str">
        <f>IF(F1808="","",_xlfn.XLOOKUP(F1808,purchase!D:D,purchase!#REF!,""))</f>
        <v/>
      </c>
      <c r="I1808" s="4" t="str">
        <f t="shared" si="198"/>
        <v/>
      </c>
      <c r="J1808" s="4" t="str">
        <f t="shared" si="199"/>
        <v/>
      </c>
      <c r="K1808" s="13" t="str">
        <f>_xlfn.SINGLE(IF(F1808="","",_xlfn.XLOOKUP(F1808,purchase!D:D,purchase!#REF!,"")))</f>
        <v/>
      </c>
      <c r="L1808" s="2"/>
      <c r="M1808" s="32"/>
      <c r="N1808" s="13" t="str">
        <f>IF(F1808="","",
MAX(0,
_xlfn.XLOOKUP(F1808,purchase!D:D,purchase!#REF!,"")
-
SUMIFS(L:L,F:F,F1808)))</f>
        <v/>
      </c>
      <c r="O1808" s="13" t="str">
        <f t="shared" si="200"/>
        <v/>
      </c>
      <c r="P1808" s="35" t="str">
        <f>_xlfn.SINGLE(IF(F1808="","",_xlfn.XLOOKUP(F1808,purchase!D:D,purchase!K:K,"")))</f>
        <v/>
      </c>
      <c r="Q1808" s="29" t="str">
        <f t="shared" si="201"/>
        <v/>
      </c>
      <c r="R1808" s="37" t="str">
        <f t="shared" si="202"/>
        <v/>
      </c>
    </row>
    <row r="1809" spans="1:18" x14ac:dyDescent="0.35">
      <c r="A1809" s="8">
        <v>1805</v>
      </c>
      <c r="B1809" s="9" t="str">
        <f t="shared" si="196"/>
        <v/>
      </c>
      <c r="C1809" s="10"/>
      <c r="D1809" s="9" t="str">
        <f>IF(F1809="","",_xlfn.XLOOKUP(F1809,purchase!D:D,purchase!#REF!,""))</f>
        <v/>
      </c>
      <c r="E1809" s="9" t="str">
        <f>IF(F1809="","",_xlfn.XLOOKUP(F1809,purchase!D:D,purchase!B:B,""))</f>
        <v/>
      </c>
      <c r="F1809" s="2"/>
      <c r="G1809" s="4" t="str">
        <f t="shared" si="197"/>
        <v/>
      </c>
      <c r="H1809" s="4" t="str">
        <f>IF(F1809="","",_xlfn.XLOOKUP(F1809,purchase!D:D,purchase!#REF!,""))</f>
        <v/>
      </c>
      <c r="I1809" s="4" t="str">
        <f t="shared" si="198"/>
        <v/>
      </c>
      <c r="J1809" s="4" t="str">
        <f t="shared" si="199"/>
        <v/>
      </c>
      <c r="K1809" s="13" t="str">
        <f>_xlfn.SINGLE(IF(F1809="","",_xlfn.XLOOKUP(F1809,purchase!D:D,purchase!#REF!,"")))</f>
        <v/>
      </c>
      <c r="L1809" s="2"/>
      <c r="M1809" s="32"/>
      <c r="N1809" s="13" t="str">
        <f>IF(F1809="","",
MAX(0,
_xlfn.XLOOKUP(F1809,purchase!D:D,purchase!#REF!,"")
-
SUMIFS(L:L,F:F,F1809)))</f>
        <v/>
      </c>
      <c r="O1809" s="13" t="str">
        <f t="shared" si="200"/>
        <v/>
      </c>
      <c r="P1809" s="35" t="str">
        <f>_xlfn.SINGLE(IF(F1809="","",_xlfn.XLOOKUP(F1809,purchase!D:D,purchase!K:K,"")))</f>
        <v/>
      </c>
      <c r="Q1809" s="29" t="str">
        <f t="shared" si="201"/>
        <v/>
      </c>
      <c r="R1809" s="37" t="str">
        <f t="shared" si="202"/>
        <v/>
      </c>
    </row>
    <row r="1810" spans="1:18" x14ac:dyDescent="0.35">
      <c r="A1810" s="8">
        <v>1806</v>
      </c>
      <c r="B1810" s="9" t="str">
        <f t="shared" si="196"/>
        <v/>
      </c>
      <c r="C1810" s="10"/>
      <c r="D1810" s="9" t="str">
        <f>IF(F1810="","",_xlfn.XLOOKUP(F1810,purchase!D:D,purchase!#REF!,""))</f>
        <v/>
      </c>
      <c r="E1810" s="9" t="str">
        <f>IF(F1810="","",_xlfn.XLOOKUP(F1810,purchase!D:D,purchase!B:B,""))</f>
        <v/>
      </c>
      <c r="F1810" s="2"/>
      <c r="G1810" s="4" t="str">
        <f t="shared" si="197"/>
        <v/>
      </c>
      <c r="H1810" s="4" t="str">
        <f>IF(F1810="","",_xlfn.XLOOKUP(F1810,purchase!D:D,purchase!#REF!,""))</f>
        <v/>
      </c>
      <c r="I1810" s="4" t="str">
        <f t="shared" si="198"/>
        <v/>
      </c>
      <c r="J1810" s="4" t="str">
        <f t="shared" si="199"/>
        <v/>
      </c>
      <c r="K1810" s="13" t="str">
        <f>_xlfn.SINGLE(IF(F1810="","",_xlfn.XLOOKUP(F1810,purchase!D:D,purchase!#REF!,"")))</f>
        <v/>
      </c>
      <c r="L1810" s="2"/>
      <c r="M1810" s="32"/>
      <c r="N1810" s="13" t="str">
        <f>IF(F1810="","",
MAX(0,
_xlfn.XLOOKUP(F1810,purchase!D:D,purchase!#REF!,"")
-
SUMIFS(L:L,F:F,F1810)))</f>
        <v/>
      </c>
      <c r="O1810" s="13" t="str">
        <f t="shared" si="200"/>
        <v/>
      </c>
      <c r="P1810" s="35" t="str">
        <f>_xlfn.SINGLE(IF(F1810="","",_xlfn.XLOOKUP(F1810,purchase!D:D,purchase!K:K,"")))</f>
        <v/>
      </c>
      <c r="Q1810" s="29" t="str">
        <f t="shared" si="201"/>
        <v/>
      </c>
      <c r="R1810" s="37" t="str">
        <f t="shared" si="202"/>
        <v/>
      </c>
    </row>
    <row r="1811" spans="1:18" x14ac:dyDescent="0.35">
      <c r="A1811" s="8">
        <v>1807</v>
      </c>
      <c r="B1811" s="9" t="str">
        <f t="shared" si="196"/>
        <v/>
      </c>
      <c r="C1811" s="10"/>
      <c r="D1811" s="9" t="str">
        <f>IF(F1811="","",_xlfn.XLOOKUP(F1811,purchase!D:D,purchase!#REF!,""))</f>
        <v/>
      </c>
      <c r="E1811" s="9" t="str">
        <f>IF(F1811="","",_xlfn.XLOOKUP(F1811,purchase!D:D,purchase!B:B,""))</f>
        <v/>
      </c>
      <c r="F1811" s="2"/>
      <c r="G1811" s="4" t="str">
        <f t="shared" si="197"/>
        <v/>
      </c>
      <c r="H1811" s="4" t="str">
        <f>IF(F1811="","",_xlfn.XLOOKUP(F1811,purchase!D:D,purchase!#REF!,""))</f>
        <v/>
      </c>
      <c r="I1811" s="4" t="str">
        <f t="shared" si="198"/>
        <v/>
      </c>
      <c r="J1811" s="4" t="str">
        <f t="shared" si="199"/>
        <v/>
      </c>
      <c r="K1811" s="13" t="str">
        <f>_xlfn.SINGLE(IF(F1811="","",_xlfn.XLOOKUP(F1811,purchase!D:D,purchase!#REF!,"")))</f>
        <v/>
      </c>
      <c r="L1811" s="2"/>
      <c r="M1811" s="32"/>
      <c r="N1811" s="13" t="str">
        <f>IF(F1811="","",
MAX(0,
_xlfn.XLOOKUP(F1811,purchase!D:D,purchase!#REF!,"")
-
SUMIFS(L:L,F:F,F1811)))</f>
        <v/>
      </c>
      <c r="O1811" s="13" t="str">
        <f t="shared" si="200"/>
        <v/>
      </c>
      <c r="P1811" s="35" t="str">
        <f>_xlfn.SINGLE(IF(F1811="","",_xlfn.XLOOKUP(F1811,purchase!D:D,purchase!K:K,"")))</f>
        <v/>
      </c>
      <c r="Q1811" s="29" t="str">
        <f t="shared" si="201"/>
        <v/>
      </c>
      <c r="R1811" s="37" t="str">
        <f t="shared" si="202"/>
        <v/>
      </c>
    </row>
    <row r="1812" spans="1:18" x14ac:dyDescent="0.35">
      <c r="A1812" s="8">
        <v>1808</v>
      </c>
      <c r="B1812" s="9" t="str">
        <f t="shared" si="196"/>
        <v/>
      </c>
      <c r="C1812" s="10"/>
      <c r="D1812" s="9" t="str">
        <f>IF(F1812="","",_xlfn.XLOOKUP(F1812,purchase!D:D,purchase!#REF!,""))</f>
        <v/>
      </c>
      <c r="E1812" s="9" t="str">
        <f>IF(F1812="","",_xlfn.XLOOKUP(F1812,purchase!D:D,purchase!B:B,""))</f>
        <v/>
      </c>
      <c r="F1812" s="2"/>
      <c r="G1812" s="4" t="str">
        <f t="shared" si="197"/>
        <v/>
      </c>
      <c r="H1812" s="4" t="str">
        <f>IF(F1812="","",_xlfn.XLOOKUP(F1812,purchase!D:D,purchase!#REF!,""))</f>
        <v/>
      </c>
      <c r="I1812" s="4" t="str">
        <f t="shared" si="198"/>
        <v/>
      </c>
      <c r="J1812" s="4" t="str">
        <f t="shared" si="199"/>
        <v/>
      </c>
      <c r="K1812" s="13" t="str">
        <f>_xlfn.SINGLE(IF(F1812="","",_xlfn.XLOOKUP(F1812,purchase!D:D,purchase!#REF!,"")))</f>
        <v/>
      </c>
      <c r="L1812" s="2"/>
      <c r="M1812" s="32"/>
      <c r="N1812" s="13" t="str">
        <f>IF(F1812="","",
MAX(0,
_xlfn.XLOOKUP(F1812,purchase!D:D,purchase!#REF!,"")
-
SUMIFS(L:L,F:F,F1812)))</f>
        <v/>
      </c>
      <c r="O1812" s="13" t="str">
        <f t="shared" si="200"/>
        <v/>
      </c>
      <c r="P1812" s="35" t="str">
        <f>_xlfn.SINGLE(IF(F1812="","",_xlfn.XLOOKUP(F1812,purchase!D:D,purchase!K:K,"")))</f>
        <v/>
      </c>
      <c r="Q1812" s="29" t="str">
        <f t="shared" si="201"/>
        <v/>
      </c>
      <c r="R1812" s="37" t="str">
        <f t="shared" si="202"/>
        <v/>
      </c>
    </row>
    <row r="1813" spans="1:18" x14ac:dyDescent="0.35">
      <c r="A1813" s="8">
        <v>1809</v>
      </c>
      <c r="B1813" s="9" t="str">
        <f t="shared" si="196"/>
        <v/>
      </c>
      <c r="C1813" s="10"/>
      <c r="D1813" s="9" t="str">
        <f>IF(F1813="","",_xlfn.XLOOKUP(F1813,purchase!D:D,purchase!#REF!,""))</f>
        <v/>
      </c>
      <c r="E1813" s="9" t="str">
        <f>IF(F1813="","",_xlfn.XLOOKUP(F1813,purchase!D:D,purchase!B:B,""))</f>
        <v/>
      </c>
      <c r="F1813" s="2"/>
      <c r="G1813" s="4" t="str">
        <f t="shared" si="197"/>
        <v/>
      </c>
      <c r="H1813" s="4" t="str">
        <f>IF(F1813="","",_xlfn.XLOOKUP(F1813,purchase!D:D,purchase!#REF!,""))</f>
        <v/>
      </c>
      <c r="I1813" s="4" t="str">
        <f t="shared" si="198"/>
        <v/>
      </c>
      <c r="J1813" s="4" t="str">
        <f t="shared" si="199"/>
        <v/>
      </c>
      <c r="K1813" s="13" t="str">
        <f>_xlfn.SINGLE(IF(F1813="","",_xlfn.XLOOKUP(F1813,purchase!D:D,purchase!#REF!,"")))</f>
        <v/>
      </c>
      <c r="L1813" s="2"/>
      <c r="M1813" s="32"/>
      <c r="N1813" s="13" t="str">
        <f>IF(F1813="","",
MAX(0,
_xlfn.XLOOKUP(F1813,purchase!D:D,purchase!#REF!,"")
-
SUMIFS(L:L,F:F,F1813)))</f>
        <v/>
      </c>
      <c r="O1813" s="13" t="str">
        <f t="shared" si="200"/>
        <v/>
      </c>
      <c r="P1813" s="35" t="str">
        <f>_xlfn.SINGLE(IF(F1813="","",_xlfn.XLOOKUP(F1813,purchase!D:D,purchase!K:K,"")))</f>
        <v/>
      </c>
      <c r="Q1813" s="29" t="str">
        <f t="shared" si="201"/>
        <v/>
      </c>
      <c r="R1813" s="37" t="str">
        <f t="shared" si="202"/>
        <v/>
      </c>
    </row>
    <row r="1814" spans="1:18" x14ac:dyDescent="0.35">
      <c r="A1814" s="8">
        <v>1810</v>
      </c>
      <c r="B1814" s="9" t="str">
        <f t="shared" si="196"/>
        <v/>
      </c>
      <c r="C1814" s="10"/>
      <c r="D1814" s="9" t="str">
        <f>IF(F1814="","",_xlfn.XLOOKUP(F1814,purchase!D:D,purchase!#REF!,""))</f>
        <v/>
      </c>
      <c r="E1814" s="9" t="str">
        <f>IF(F1814="","",_xlfn.XLOOKUP(F1814,purchase!D:D,purchase!B:B,""))</f>
        <v/>
      </c>
      <c r="F1814" s="2"/>
      <c r="G1814" s="4" t="str">
        <f t="shared" si="197"/>
        <v/>
      </c>
      <c r="H1814" s="4" t="str">
        <f>IF(F1814="","",_xlfn.XLOOKUP(F1814,purchase!D:D,purchase!#REF!,""))</f>
        <v/>
      </c>
      <c r="I1814" s="4" t="str">
        <f t="shared" si="198"/>
        <v/>
      </c>
      <c r="J1814" s="4" t="str">
        <f t="shared" si="199"/>
        <v/>
      </c>
      <c r="K1814" s="13" t="str">
        <f>_xlfn.SINGLE(IF(F1814="","",_xlfn.XLOOKUP(F1814,purchase!D:D,purchase!#REF!,"")))</f>
        <v/>
      </c>
      <c r="L1814" s="2"/>
      <c r="M1814" s="32"/>
      <c r="N1814" s="13" t="str">
        <f>IF(F1814="","",
MAX(0,
_xlfn.XLOOKUP(F1814,purchase!D:D,purchase!#REF!,"")
-
SUMIFS(L:L,F:F,F1814)))</f>
        <v/>
      </c>
      <c r="O1814" s="13" t="str">
        <f t="shared" si="200"/>
        <v/>
      </c>
      <c r="P1814" s="35" t="str">
        <f>_xlfn.SINGLE(IF(F1814="","",_xlfn.XLOOKUP(F1814,purchase!D:D,purchase!K:K,"")))</f>
        <v/>
      </c>
      <c r="Q1814" s="29" t="str">
        <f t="shared" si="201"/>
        <v/>
      </c>
      <c r="R1814" s="37" t="str">
        <f t="shared" si="202"/>
        <v/>
      </c>
    </row>
    <row r="1815" spans="1:18" x14ac:dyDescent="0.35">
      <c r="A1815" s="8">
        <v>1811</v>
      </c>
      <c r="B1815" s="9" t="str">
        <f t="shared" si="196"/>
        <v/>
      </c>
      <c r="C1815" s="10"/>
      <c r="D1815" s="9" t="str">
        <f>IF(F1815="","",_xlfn.XLOOKUP(F1815,purchase!D:D,purchase!#REF!,""))</f>
        <v/>
      </c>
      <c r="E1815" s="9" t="str">
        <f>IF(F1815="","",_xlfn.XLOOKUP(F1815,purchase!D:D,purchase!B:B,""))</f>
        <v/>
      </c>
      <c r="F1815" s="2"/>
      <c r="G1815" s="4" t="str">
        <f t="shared" si="197"/>
        <v/>
      </c>
      <c r="H1815" s="4" t="str">
        <f>IF(F1815="","",_xlfn.XLOOKUP(F1815,purchase!D:D,purchase!#REF!,""))</f>
        <v/>
      </c>
      <c r="I1815" s="4" t="str">
        <f t="shared" si="198"/>
        <v/>
      </c>
      <c r="J1815" s="4" t="str">
        <f t="shared" si="199"/>
        <v/>
      </c>
      <c r="K1815" s="13" t="str">
        <f>_xlfn.SINGLE(IF(F1815="","",_xlfn.XLOOKUP(F1815,purchase!D:D,purchase!#REF!,"")))</f>
        <v/>
      </c>
      <c r="L1815" s="2"/>
      <c r="M1815" s="32"/>
      <c r="N1815" s="13" t="str">
        <f>IF(F1815="","",
MAX(0,
_xlfn.XLOOKUP(F1815,purchase!D:D,purchase!#REF!,"")
-
SUMIFS(L:L,F:F,F1815)))</f>
        <v/>
      </c>
      <c r="O1815" s="13" t="str">
        <f t="shared" si="200"/>
        <v/>
      </c>
      <c r="P1815" s="35" t="str">
        <f>_xlfn.SINGLE(IF(F1815="","",_xlfn.XLOOKUP(F1815,purchase!D:D,purchase!K:K,"")))</f>
        <v/>
      </c>
      <c r="Q1815" s="29" t="str">
        <f t="shared" si="201"/>
        <v/>
      </c>
      <c r="R1815" s="37" t="str">
        <f t="shared" si="202"/>
        <v/>
      </c>
    </row>
    <row r="1816" spans="1:18" x14ac:dyDescent="0.35">
      <c r="A1816" s="8">
        <v>1812</v>
      </c>
      <c r="B1816" s="9" t="str">
        <f t="shared" si="196"/>
        <v/>
      </c>
      <c r="C1816" s="10"/>
      <c r="D1816" s="9" t="str">
        <f>IF(F1816="","",_xlfn.XLOOKUP(F1816,purchase!D:D,purchase!#REF!,""))</f>
        <v/>
      </c>
      <c r="E1816" s="9" t="str">
        <f>IF(F1816="","",_xlfn.XLOOKUP(F1816,purchase!D:D,purchase!B:B,""))</f>
        <v/>
      </c>
      <c r="F1816" s="2"/>
      <c r="G1816" s="4" t="str">
        <f t="shared" si="197"/>
        <v/>
      </c>
      <c r="H1816" s="4" t="str">
        <f>IF(F1816="","",_xlfn.XLOOKUP(F1816,purchase!D:D,purchase!#REF!,""))</f>
        <v/>
      </c>
      <c r="I1816" s="4" t="str">
        <f t="shared" si="198"/>
        <v/>
      </c>
      <c r="J1816" s="4" t="str">
        <f t="shared" si="199"/>
        <v/>
      </c>
      <c r="K1816" s="13" t="str">
        <f>_xlfn.SINGLE(IF(F1816="","",_xlfn.XLOOKUP(F1816,purchase!D:D,purchase!#REF!,"")))</f>
        <v/>
      </c>
      <c r="L1816" s="2"/>
      <c r="M1816" s="32"/>
      <c r="N1816" s="13" t="str">
        <f>IF(F1816="","",
MAX(0,
_xlfn.XLOOKUP(F1816,purchase!D:D,purchase!#REF!,"")
-
SUMIFS(L:L,F:F,F1816)))</f>
        <v/>
      </c>
      <c r="O1816" s="13" t="str">
        <f t="shared" si="200"/>
        <v/>
      </c>
      <c r="P1816" s="35" t="str">
        <f>_xlfn.SINGLE(IF(F1816="","",_xlfn.XLOOKUP(F1816,purchase!D:D,purchase!K:K,"")))</f>
        <v/>
      </c>
      <c r="Q1816" s="29" t="str">
        <f t="shared" si="201"/>
        <v/>
      </c>
      <c r="R1816" s="37" t="str">
        <f t="shared" si="202"/>
        <v/>
      </c>
    </row>
    <row r="1817" spans="1:18" x14ac:dyDescent="0.35">
      <c r="A1817" s="8">
        <v>1813</v>
      </c>
      <c r="B1817" s="9" t="str">
        <f t="shared" si="196"/>
        <v/>
      </c>
      <c r="C1817" s="10"/>
      <c r="D1817" s="9" t="str">
        <f>IF(F1817="","",_xlfn.XLOOKUP(F1817,purchase!D:D,purchase!#REF!,""))</f>
        <v/>
      </c>
      <c r="E1817" s="9" t="str">
        <f>IF(F1817="","",_xlfn.XLOOKUP(F1817,purchase!D:D,purchase!B:B,""))</f>
        <v/>
      </c>
      <c r="F1817" s="2"/>
      <c r="G1817" s="4" t="str">
        <f t="shared" si="197"/>
        <v/>
      </c>
      <c r="H1817" s="4" t="str">
        <f>IF(F1817="","",_xlfn.XLOOKUP(F1817,purchase!D:D,purchase!#REF!,""))</f>
        <v/>
      </c>
      <c r="I1817" s="4" t="str">
        <f t="shared" si="198"/>
        <v/>
      </c>
      <c r="J1817" s="4" t="str">
        <f t="shared" si="199"/>
        <v/>
      </c>
      <c r="K1817" s="13" t="str">
        <f>_xlfn.SINGLE(IF(F1817="","",_xlfn.XLOOKUP(F1817,purchase!D:D,purchase!#REF!,"")))</f>
        <v/>
      </c>
      <c r="L1817" s="2"/>
      <c r="M1817" s="32"/>
      <c r="N1817" s="13" t="str">
        <f>IF(F1817="","",
MAX(0,
_xlfn.XLOOKUP(F1817,purchase!D:D,purchase!#REF!,"")
-
SUMIFS(L:L,F:F,F1817)))</f>
        <v/>
      </c>
      <c r="O1817" s="13" t="str">
        <f t="shared" si="200"/>
        <v/>
      </c>
      <c r="P1817" s="35" t="str">
        <f>_xlfn.SINGLE(IF(F1817="","",_xlfn.XLOOKUP(F1817,purchase!D:D,purchase!K:K,"")))</f>
        <v/>
      </c>
      <c r="Q1817" s="29" t="str">
        <f t="shared" si="201"/>
        <v/>
      </c>
      <c r="R1817" s="37" t="str">
        <f t="shared" si="202"/>
        <v/>
      </c>
    </row>
    <row r="1818" spans="1:18" x14ac:dyDescent="0.35">
      <c r="A1818" s="8">
        <v>1814</v>
      </c>
      <c r="B1818" s="9" t="str">
        <f t="shared" si="196"/>
        <v/>
      </c>
      <c r="C1818" s="10"/>
      <c r="D1818" s="9" t="str">
        <f>IF(F1818="","",_xlfn.XLOOKUP(F1818,purchase!D:D,purchase!#REF!,""))</f>
        <v/>
      </c>
      <c r="E1818" s="9" t="str">
        <f>IF(F1818="","",_xlfn.XLOOKUP(F1818,purchase!D:D,purchase!B:B,""))</f>
        <v/>
      </c>
      <c r="F1818" s="2"/>
      <c r="G1818" s="4" t="str">
        <f t="shared" si="197"/>
        <v/>
      </c>
      <c r="H1818" s="4" t="str">
        <f>IF(F1818="","",_xlfn.XLOOKUP(F1818,purchase!D:D,purchase!#REF!,""))</f>
        <v/>
      </c>
      <c r="I1818" s="4" t="str">
        <f t="shared" si="198"/>
        <v/>
      </c>
      <c r="J1818" s="4" t="str">
        <f t="shared" si="199"/>
        <v/>
      </c>
      <c r="K1818" s="13" t="str">
        <f>_xlfn.SINGLE(IF(F1818="","",_xlfn.XLOOKUP(F1818,purchase!D:D,purchase!#REF!,"")))</f>
        <v/>
      </c>
      <c r="L1818" s="2"/>
      <c r="M1818" s="32"/>
      <c r="N1818" s="13" t="str">
        <f>IF(F1818="","",
MAX(0,
_xlfn.XLOOKUP(F1818,purchase!D:D,purchase!#REF!,"")
-
SUMIFS(L:L,F:F,F1818)))</f>
        <v/>
      </c>
      <c r="O1818" s="13" t="str">
        <f t="shared" si="200"/>
        <v/>
      </c>
      <c r="P1818" s="35" t="str">
        <f>_xlfn.SINGLE(IF(F1818="","",_xlfn.XLOOKUP(F1818,purchase!D:D,purchase!K:K,"")))</f>
        <v/>
      </c>
      <c r="Q1818" s="29" t="str">
        <f t="shared" si="201"/>
        <v/>
      </c>
      <c r="R1818" s="37" t="str">
        <f t="shared" si="202"/>
        <v/>
      </c>
    </row>
    <row r="1819" spans="1:18" x14ac:dyDescent="0.35">
      <c r="A1819" s="8">
        <v>1815</v>
      </c>
      <c r="B1819" s="9" t="str">
        <f t="shared" si="196"/>
        <v/>
      </c>
      <c r="C1819" s="10"/>
      <c r="D1819" s="9" t="str">
        <f>IF(F1819="","",_xlfn.XLOOKUP(F1819,purchase!D:D,purchase!#REF!,""))</f>
        <v/>
      </c>
      <c r="E1819" s="9" t="str">
        <f>IF(F1819="","",_xlfn.XLOOKUP(F1819,purchase!D:D,purchase!B:B,""))</f>
        <v/>
      </c>
      <c r="F1819" s="2"/>
      <c r="G1819" s="4" t="str">
        <f t="shared" si="197"/>
        <v/>
      </c>
      <c r="H1819" s="4" t="str">
        <f>IF(F1819="","",_xlfn.XLOOKUP(F1819,purchase!D:D,purchase!#REF!,""))</f>
        <v/>
      </c>
      <c r="I1819" s="4" t="str">
        <f t="shared" si="198"/>
        <v/>
      </c>
      <c r="J1819" s="4" t="str">
        <f t="shared" si="199"/>
        <v/>
      </c>
      <c r="K1819" s="13" t="str">
        <f>_xlfn.SINGLE(IF(F1819="","",_xlfn.XLOOKUP(F1819,purchase!D:D,purchase!#REF!,"")))</f>
        <v/>
      </c>
      <c r="L1819" s="2"/>
      <c r="M1819" s="32"/>
      <c r="N1819" s="13" t="str">
        <f>IF(F1819="","",
MAX(0,
_xlfn.XLOOKUP(F1819,purchase!D:D,purchase!#REF!,"")
-
SUMIFS(L:L,F:F,F1819)))</f>
        <v/>
      </c>
      <c r="O1819" s="13" t="str">
        <f t="shared" si="200"/>
        <v/>
      </c>
      <c r="P1819" s="35" t="str">
        <f>_xlfn.SINGLE(IF(F1819="","",_xlfn.XLOOKUP(F1819,purchase!D:D,purchase!K:K,"")))</f>
        <v/>
      </c>
      <c r="Q1819" s="29" t="str">
        <f t="shared" si="201"/>
        <v/>
      </c>
      <c r="R1819" s="37" t="str">
        <f t="shared" si="202"/>
        <v/>
      </c>
    </row>
    <row r="1820" spans="1:18" x14ac:dyDescent="0.35">
      <c r="A1820" s="8">
        <v>1816</v>
      </c>
      <c r="B1820" s="9" t="str">
        <f t="shared" si="196"/>
        <v/>
      </c>
      <c r="C1820" s="10"/>
      <c r="D1820" s="9" t="str">
        <f>IF(F1820="","",_xlfn.XLOOKUP(F1820,purchase!D:D,purchase!#REF!,""))</f>
        <v/>
      </c>
      <c r="E1820" s="9" t="str">
        <f>IF(F1820="","",_xlfn.XLOOKUP(F1820,purchase!D:D,purchase!B:B,""))</f>
        <v/>
      </c>
      <c r="F1820" s="2"/>
      <c r="G1820" s="4" t="str">
        <f t="shared" si="197"/>
        <v/>
      </c>
      <c r="H1820" s="4" t="str">
        <f>IF(F1820="","",_xlfn.XLOOKUP(F1820,purchase!D:D,purchase!#REF!,""))</f>
        <v/>
      </c>
      <c r="I1820" s="4" t="str">
        <f t="shared" si="198"/>
        <v/>
      </c>
      <c r="J1820" s="4" t="str">
        <f t="shared" si="199"/>
        <v/>
      </c>
      <c r="K1820" s="13" t="str">
        <f>_xlfn.SINGLE(IF(F1820="","",_xlfn.XLOOKUP(F1820,purchase!D:D,purchase!#REF!,"")))</f>
        <v/>
      </c>
      <c r="L1820" s="2"/>
      <c r="M1820" s="32"/>
      <c r="N1820" s="13" t="str">
        <f>IF(F1820="","",
MAX(0,
_xlfn.XLOOKUP(F1820,purchase!D:D,purchase!#REF!,"")
-
SUMIFS(L:L,F:F,F1820)))</f>
        <v/>
      </c>
      <c r="O1820" s="13" t="str">
        <f t="shared" si="200"/>
        <v/>
      </c>
      <c r="P1820" s="35" t="str">
        <f>_xlfn.SINGLE(IF(F1820="","",_xlfn.XLOOKUP(F1820,purchase!D:D,purchase!K:K,"")))</f>
        <v/>
      </c>
      <c r="Q1820" s="29" t="str">
        <f t="shared" si="201"/>
        <v/>
      </c>
      <c r="R1820" s="37" t="str">
        <f t="shared" si="202"/>
        <v/>
      </c>
    </row>
    <row r="1821" spans="1:18" x14ac:dyDescent="0.35">
      <c r="A1821" s="8">
        <v>1817</v>
      </c>
      <c r="B1821" s="9" t="str">
        <f t="shared" si="196"/>
        <v/>
      </c>
      <c r="C1821" s="10"/>
      <c r="D1821" s="9" t="str">
        <f>IF(F1821="","",_xlfn.XLOOKUP(F1821,purchase!D:D,purchase!#REF!,""))</f>
        <v/>
      </c>
      <c r="E1821" s="9" t="str">
        <f>IF(F1821="","",_xlfn.XLOOKUP(F1821,purchase!D:D,purchase!B:B,""))</f>
        <v/>
      </c>
      <c r="F1821" s="2"/>
      <c r="G1821" s="4" t="str">
        <f t="shared" si="197"/>
        <v/>
      </c>
      <c r="H1821" s="4" t="str">
        <f>IF(F1821="","",_xlfn.XLOOKUP(F1821,purchase!D:D,purchase!#REF!,""))</f>
        <v/>
      </c>
      <c r="I1821" s="4" t="str">
        <f t="shared" si="198"/>
        <v/>
      </c>
      <c r="J1821" s="4" t="str">
        <f t="shared" si="199"/>
        <v/>
      </c>
      <c r="K1821" s="13" t="str">
        <f>_xlfn.SINGLE(IF(F1821="","",_xlfn.XLOOKUP(F1821,purchase!D:D,purchase!#REF!,"")))</f>
        <v/>
      </c>
      <c r="L1821" s="2"/>
      <c r="M1821" s="32"/>
      <c r="N1821" s="13" t="str">
        <f>IF(F1821="","",
MAX(0,
_xlfn.XLOOKUP(F1821,purchase!D:D,purchase!#REF!,"")
-
SUMIFS(L:L,F:F,F1821)))</f>
        <v/>
      </c>
      <c r="O1821" s="13" t="str">
        <f t="shared" si="200"/>
        <v/>
      </c>
      <c r="P1821" s="35" t="str">
        <f>_xlfn.SINGLE(IF(F1821="","",_xlfn.XLOOKUP(F1821,purchase!D:D,purchase!K:K,"")))</f>
        <v/>
      </c>
      <c r="Q1821" s="29" t="str">
        <f t="shared" si="201"/>
        <v/>
      </c>
      <c r="R1821" s="37" t="str">
        <f t="shared" si="202"/>
        <v/>
      </c>
    </row>
    <row r="1822" spans="1:18" x14ac:dyDescent="0.35">
      <c r="A1822" s="8">
        <v>1818</v>
      </c>
      <c r="B1822" s="9" t="str">
        <f t="shared" si="196"/>
        <v/>
      </c>
      <c r="C1822" s="10"/>
      <c r="D1822" s="9" t="str">
        <f>IF(F1822="","",_xlfn.XLOOKUP(F1822,purchase!D:D,purchase!#REF!,""))</f>
        <v/>
      </c>
      <c r="E1822" s="9" t="str">
        <f>IF(F1822="","",_xlfn.XLOOKUP(F1822,purchase!D:D,purchase!B:B,""))</f>
        <v/>
      </c>
      <c r="F1822" s="2"/>
      <c r="G1822" s="4" t="str">
        <f t="shared" si="197"/>
        <v/>
      </c>
      <c r="H1822" s="4" t="str">
        <f>IF(F1822="","",_xlfn.XLOOKUP(F1822,purchase!D:D,purchase!#REF!,""))</f>
        <v/>
      </c>
      <c r="I1822" s="4" t="str">
        <f t="shared" si="198"/>
        <v/>
      </c>
      <c r="J1822" s="4" t="str">
        <f t="shared" si="199"/>
        <v/>
      </c>
      <c r="K1822" s="13" t="str">
        <f>_xlfn.SINGLE(IF(F1822="","",_xlfn.XLOOKUP(F1822,purchase!D:D,purchase!#REF!,"")))</f>
        <v/>
      </c>
      <c r="L1822" s="2"/>
      <c r="M1822" s="32"/>
      <c r="N1822" s="13" t="str">
        <f>IF(F1822="","",
MAX(0,
_xlfn.XLOOKUP(F1822,purchase!D:D,purchase!#REF!,"")
-
SUMIFS(L:L,F:F,F1822)))</f>
        <v/>
      </c>
      <c r="O1822" s="13" t="str">
        <f t="shared" si="200"/>
        <v/>
      </c>
      <c r="P1822" s="35" t="str">
        <f>_xlfn.SINGLE(IF(F1822="","",_xlfn.XLOOKUP(F1822,purchase!D:D,purchase!K:K,"")))</f>
        <v/>
      </c>
      <c r="Q1822" s="29" t="str">
        <f t="shared" si="201"/>
        <v/>
      </c>
      <c r="R1822" s="37" t="str">
        <f t="shared" si="202"/>
        <v/>
      </c>
    </row>
    <row r="1823" spans="1:18" x14ac:dyDescent="0.35">
      <c r="A1823" s="8">
        <v>1819</v>
      </c>
      <c r="B1823" s="9" t="str">
        <f t="shared" si="196"/>
        <v/>
      </c>
      <c r="C1823" s="10"/>
      <c r="D1823" s="9" t="str">
        <f>IF(F1823="","",_xlfn.XLOOKUP(F1823,purchase!D:D,purchase!#REF!,""))</f>
        <v/>
      </c>
      <c r="E1823" s="9" t="str">
        <f>IF(F1823="","",_xlfn.XLOOKUP(F1823,purchase!D:D,purchase!B:B,""))</f>
        <v/>
      </c>
      <c r="F1823" s="2"/>
      <c r="G1823" s="4" t="str">
        <f t="shared" si="197"/>
        <v/>
      </c>
      <c r="H1823" s="4" t="str">
        <f>IF(F1823="","",_xlfn.XLOOKUP(F1823,purchase!D:D,purchase!#REF!,""))</f>
        <v/>
      </c>
      <c r="I1823" s="4" t="str">
        <f t="shared" si="198"/>
        <v/>
      </c>
      <c r="J1823" s="4" t="str">
        <f t="shared" si="199"/>
        <v/>
      </c>
      <c r="K1823" s="13" t="str">
        <f>_xlfn.SINGLE(IF(F1823="","",_xlfn.XLOOKUP(F1823,purchase!D:D,purchase!#REF!,"")))</f>
        <v/>
      </c>
      <c r="L1823" s="2"/>
      <c r="M1823" s="32"/>
      <c r="N1823" s="13" t="str">
        <f>IF(F1823="","",
MAX(0,
_xlfn.XLOOKUP(F1823,purchase!D:D,purchase!#REF!,"")
-
SUMIFS(L:L,F:F,F1823)))</f>
        <v/>
      </c>
      <c r="O1823" s="13" t="str">
        <f t="shared" si="200"/>
        <v/>
      </c>
      <c r="P1823" s="35" t="str">
        <f>_xlfn.SINGLE(IF(F1823="","",_xlfn.XLOOKUP(F1823,purchase!D:D,purchase!K:K,"")))</f>
        <v/>
      </c>
      <c r="Q1823" s="29" t="str">
        <f t="shared" si="201"/>
        <v/>
      </c>
      <c r="R1823" s="37" t="str">
        <f t="shared" si="202"/>
        <v/>
      </c>
    </row>
    <row r="1824" spans="1:18" x14ac:dyDescent="0.35">
      <c r="A1824" s="8">
        <v>1820</v>
      </c>
      <c r="B1824" s="9" t="str">
        <f t="shared" si="196"/>
        <v/>
      </c>
      <c r="C1824" s="10"/>
      <c r="D1824" s="9" t="str">
        <f>IF(F1824="","",_xlfn.XLOOKUP(F1824,purchase!D:D,purchase!#REF!,""))</f>
        <v/>
      </c>
      <c r="E1824" s="9" t="str">
        <f>IF(F1824="","",_xlfn.XLOOKUP(F1824,purchase!D:D,purchase!B:B,""))</f>
        <v/>
      </c>
      <c r="F1824" s="2"/>
      <c r="G1824" s="4" t="str">
        <f t="shared" si="197"/>
        <v/>
      </c>
      <c r="H1824" s="4" t="str">
        <f>IF(F1824="","",_xlfn.XLOOKUP(F1824,purchase!D:D,purchase!#REF!,""))</f>
        <v/>
      </c>
      <c r="I1824" s="4" t="str">
        <f t="shared" si="198"/>
        <v/>
      </c>
      <c r="J1824" s="4" t="str">
        <f t="shared" si="199"/>
        <v/>
      </c>
      <c r="K1824" s="13" t="str">
        <f>_xlfn.SINGLE(IF(F1824="","",_xlfn.XLOOKUP(F1824,purchase!D:D,purchase!#REF!,"")))</f>
        <v/>
      </c>
      <c r="L1824" s="2"/>
      <c r="M1824" s="32"/>
      <c r="N1824" s="13" t="str">
        <f>IF(F1824="","",
MAX(0,
_xlfn.XLOOKUP(F1824,purchase!D:D,purchase!#REF!,"")
-
SUMIFS(L:L,F:F,F1824)))</f>
        <v/>
      </c>
      <c r="O1824" s="13" t="str">
        <f t="shared" si="200"/>
        <v/>
      </c>
      <c r="P1824" s="35" t="str">
        <f>_xlfn.SINGLE(IF(F1824="","",_xlfn.XLOOKUP(F1824,purchase!D:D,purchase!K:K,"")))</f>
        <v/>
      </c>
      <c r="Q1824" s="29" t="str">
        <f t="shared" si="201"/>
        <v/>
      </c>
      <c r="R1824" s="37" t="str">
        <f t="shared" si="202"/>
        <v/>
      </c>
    </row>
    <row r="1825" spans="1:18" x14ac:dyDescent="0.35">
      <c r="A1825" s="8">
        <v>1821</v>
      </c>
      <c r="B1825" s="9" t="str">
        <f t="shared" si="196"/>
        <v/>
      </c>
      <c r="C1825" s="10"/>
      <c r="D1825" s="9" t="str">
        <f>IF(F1825="","",_xlfn.XLOOKUP(F1825,purchase!D:D,purchase!#REF!,""))</f>
        <v/>
      </c>
      <c r="E1825" s="9" t="str">
        <f>IF(F1825="","",_xlfn.XLOOKUP(F1825,purchase!D:D,purchase!B:B,""))</f>
        <v/>
      </c>
      <c r="F1825" s="2"/>
      <c r="G1825" s="4" t="str">
        <f t="shared" si="197"/>
        <v/>
      </c>
      <c r="H1825" s="4" t="str">
        <f>IF(F1825="","",_xlfn.XLOOKUP(F1825,purchase!D:D,purchase!#REF!,""))</f>
        <v/>
      </c>
      <c r="I1825" s="4" t="str">
        <f t="shared" si="198"/>
        <v/>
      </c>
      <c r="J1825" s="4" t="str">
        <f t="shared" si="199"/>
        <v/>
      </c>
      <c r="K1825" s="13" t="str">
        <f>_xlfn.SINGLE(IF(F1825="","",_xlfn.XLOOKUP(F1825,purchase!D:D,purchase!#REF!,"")))</f>
        <v/>
      </c>
      <c r="L1825" s="2"/>
      <c r="M1825" s="32"/>
      <c r="N1825" s="13" t="str">
        <f>IF(F1825="","",
MAX(0,
_xlfn.XLOOKUP(F1825,purchase!D:D,purchase!#REF!,"")
-
SUMIFS(L:L,F:F,F1825)))</f>
        <v/>
      </c>
      <c r="O1825" s="13" t="str">
        <f t="shared" si="200"/>
        <v/>
      </c>
      <c r="P1825" s="35" t="str">
        <f>_xlfn.SINGLE(IF(F1825="","",_xlfn.XLOOKUP(F1825,purchase!D:D,purchase!K:K,"")))</f>
        <v/>
      </c>
      <c r="Q1825" s="29" t="str">
        <f t="shared" si="201"/>
        <v/>
      </c>
      <c r="R1825" s="37" t="str">
        <f t="shared" si="202"/>
        <v/>
      </c>
    </row>
    <row r="1826" spans="1:18" x14ac:dyDescent="0.35">
      <c r="A1826" s="8">
        <v>1822</v>
      </c>
      <c r="B1826" s="9" t="str">
        <f t="shared" si="196"/>
        <v/>
      </c>
      <c r="C1826" s="10"/>
      <c r="D1826" s="9" t="str">
        <f>IF(F1826="","",_xlfn.XLOOKUP(F1826,purchase!D:D,purchase!#REF!,""))</f>
        <v/>
      </c>
      <c r="E1826" s="9" t="str">
        <f>IF(F1826="","",_xlfn.XLOOKUP(F1826,purchase!D:D,purchase!B:B,""))</f>
        <v/>
      </c>
      <c r="F1826" s="2"/>
      <c r="G1826" s="4" t="str">
        <f t="shared" si="197"/>
        <v/>
      </c>
      <c r="H1826" s="4" t="str">
        <f>IF(F1826="","",_xlfn.XLOOKUP(F1826,purchase!D:D,purchase!#REF!,""))</f>
        <v/>
      </c>
      <c r="I1826" s="4" t="str">
        <f t="shared" si="198"/>
        <v/>
      </c>
      <c r="J1826" s="4" t="str">
        <f t="shared" si="199"/>
        <v/>
      </c>
      <c r="K1826" s="13" t="str">
        <f>_xlfn.SINGLE(IF(F1826="","",_xlfn.XLOOKUP(F1826,purchase!D:D,purchase!#REF!,"")))</f>
        <v/>
      </c>
      <c r="L1826" s="2"/>
      <c r="M1826" s="32"/>
      <c r="N1826" s="13" t="str">
        <f>IF(F1826="","",
MAX(0,
_xlfn.XLOOKUP(F1826,purchase!D:D,purchase!#REF!,"")
-
SUMIFS(L:L,F:F,F1826)))</f>
        <v/>
      </c>
      <c r="O1826" s="13" t="str">
        <f t="shared" si="200"/>
        <v/>
      </c>
      <c r="P1826" s="35" t="str">
        <f>_xlfn.SINGLE(IF(F1826="","",_xlfn.XLOOKUP(F1826,purchase!D:D,purchase!K:K,"")))</f>
        <v/>
      </c>
      <c r="Q1826" s="29" t="str">
        <f t="shared" si="201"/>
        <v/>
      </c>
      <c r="R1826" s="37" t="str">
        <f t="shared" si="202"/>
        <v/>
      </c>
    </row>
    <row r="1827" spans="1:18" x14ac:dyDescent="0.35">
      <c r="A1827" s="8">
        <v>1823</v>
      </c>
      <c r="B1827" s="9" t="str">
        <f t="shared" si="196"/>
        <v/>
      </c>
      <c r="C1827" s="10"/>
      <c r="D1827" s="9" t="str">
        <f>IF(F1827="","",_xlfn.XLOOKUP(F1827,purchase!D:D,purchase!#REF!,""))</f>
        <v/>
      </c>
      <c r="E1827" s="9" t="str">
        <f>IF(F1827="","",_xlfn.XLOOKUP(F1827,purchase!D:D,purchase!B:B,""))</f>
        <v/>
      </c>
      <c r="F1827" s="2"/>
      <c r="G1827" s="4" t="str">
        <f t="shared" si="197"/>
        <v/>
      </c>
      <c r="H1827" s="4" t="str">
        <f>IF(F1827="","",_xlfn.XLOOKUP(F1827,purchase!D:D,purchase!#REF!,""))</f>
        <v/>
      </c>
      <c r="I1827" s="4" t="str">
        <f t="shared" si="198"/>
        <v/>
      </c>
      <c r="J1827" s="4" t="str">
        <f t="shared" si="199"/>
        <v/>
      </c>
      <c r="K1827" s="13" t="str">
        <f>_xlfn.SINGLE(IF(F1827="","",_xlfn.XLOOKUP(F1827,purchase!D:D,purchase!#REF!,"")))</f>
        <v/>
      </c>
      <c r="L1827" s="2"/>
      <c r="M1827" s="32"/>
      <c r="N1827" s="13" t="str">
        <f>IF(F1827="","",
MAX(0,
_xlfn.XLOOKUP(F1827,purchase!D:D,purchase!#REF!,"")
-
SUMIFS(L:L,F:F,F1827)))</f>
        <v/>
      </c>
      <c r="O1827" s="13" t="str">
        <f t="shared" si="200"/>
        <v/>
      </c>
      <c r="P1827" s="35" t="str">
        <f>_xlfn.SINGLE(IF(F1827="","",_xlfn.XLOOKUP(F1827,purchase!D:D,purchase!K:K,"")))</f>
        <v/>
      </c>
      <c r="Q1827" s="29" t="str">
        <f t="shared" si="201"/>
        <v/>
      </c>
      <c r="R1827" s="37" t="str">
        <f t="shared" si="202"/>
        <v/>
      </c>
    </row>
    <row r="1828" spans="1:18" x14ac:dyDescent="0.35">
      <c r="A1828" s="8">
        <v>1824</v>
      </c>
      <c r="B1828" s="9" t="str">
        <f t="shared" si="196"/>
        <v/>
      </c>
      <c r="C1828" s="10"/>
      <c r="D1828" s="9" t="str">
        <f>IF(F1828="","",_xlfn.XLOOKUP(F1828,purchase!D:D,purchase!#REF!,""))</f>
        <v/>
      </c>
      <c r="E1828" s="9" t="str">
        <f>IF(F1828="","",_xlfn.XLOOKUP(F1828,purchase!D:D,purchase!B:B,""))</f>
        <v/>
      </c>
      <c r="F1828" s="2"/>
      <c r="G1828" s="4" t="str">
        <f t="shared" si="197"/>
        <v/>
      </c>
      <c r="H1828" s="4" t="str">
        <f>IF(F1828="","",_xlfn.XLOOKUP(F1828,purchase!D:D,purchase!#REF!,""))</f>
        <v/>
      </c>
      <c r="I1828" s="4" t="str">
        <f t="shared" si="198"/>
        <v/>
      </c>
      <c r="J1828" s="4" t="str">
        <f t="shared" si="199"/>
        <v/>
      </c>
      <c r="K1828" s="13" t="str">
        <f>_xlfn.SINGLE(IF(F1828="","",_xlfn.XLOOKUP(F1828,purchase!D:D,purchase!#REF!,"")))</f>
        <v/>
      </c>
      <c r="L1828" s="2"/>
      <c r="M1828" s="32"/>
      <c r="N1828" s="13" t="str">
        <f>IF(F1828="","",
MAX(0,
_xlfn.XLOOKUP(F1828,purchase!D:D,purchase!#REF!,"")
-
SUMIFS(L:L,F:F,F1828)))</f>
        <v/>
      </c>
      <c r="O1828" s="13" t="str">
        <f t="shared" si="200"/>
        <v/>
      </c>
      <c r="P1828" s="35" t="str">
        <f>_xlfn.SINGLE(IF(F1828="","",_xlfn.XLOOKUP(F1828,purchase!D:D,purchase!K:K,"")))</f>
        <v/>
      </c>
      <c r="Q1828" s="29" t="str">
        <f t="shared" si="201"/>
        <v/>
      </c>
      <c r="R1828" s="37" t="str">
        <f t="shared" si="202"/>
        <v/>
      </c>
    </row>
    <row r="1829" spans="1:18" x14ac:dyDescent="0.35">
      <c r="A1829" s="8">
        <v>1825</v>
      </c>
      <c r="B1829" s="9" t="str">
        <f t="shared" si="196"/>
        <v/>
      </c>
      <c r="C1829" s="10"/>
      <c r="D1829" s="9" t="str">
        <f>IF(F1829="","",_xlfn.XLOOKUP(F1829,purchase!D:D,purchase!#REF!,""))</f>
        <v/>
      </c>
      <c r="E1829" s="9" t="str">
        <f>IF(F1829="","",_xlfn.XLOOKUP(F1829,purchase!D:D,purchase!B:B,""))</f>
        <v/>
      </c>
      <c r="F1829" s="2"/>
      <c r="G1829" s="4" t="str">
        <f t="shared" si="197"/>
        <v/>
      </c>
      <c r="H1829" s="4" t="str">
        <f>IF(F1829="","",_xlfn.XLOOKUP(F1829,purchase!D:D,purchase!#REF!,""))</f>
        <v/>
      </c>
      <c r="I1829" s="4" t="str">
        <f t="shared" si="198"/>
        <v/>
      </c>
      <c r="J1829" s="4" t="str">
        <f t="shared" si="199"/>
        <v/>
      </c>
      <c r="K1829" s="13" t="str">
        <f>_xlfn.SINGLE(IF(F1829="","",_xlfn.XLOOKUP(F1829,purchase!D:D,purchase!#REF!,"")))</f>
        <v/>
      </c>
      <c r="L1829" s="2"/>
      <c r="M1829" s="32"/>
      <c r="N1829" s="13" t="str">
        <f>IF(F1829="","",
MAX(0,
_xlfn.XLOOKUP(F1829,purchase!D:D,purchase!#REF!,"")
-
SUMIFS(L:L,F:F,F1829)))</f>
        <v/>
      </c>
      <c r="O1829" s="13" t="str">
        <f t="shared" si="200"/>
        <v/>
      </c>
      <c r="P1829" s="35" t="str">
        <f>_xlfn.SINGLE(IF(F1829="","",_xlfn.XLOOKUP(F1829,purchase!D:D,purchase!K:K,"")))</f>
        <v/>
      </c>
      <c r="Q1829" s="29" t="str">
        <f t="shared" si="201"/>
        <v/>
      </c>
      <c r="R1829" s="37" t="str">
        <f t="shared" si="202"/>
        <v/>
      </c>
    </row>
    <row r="1830" spans="1:18" x14ac:dyDescent="0.35">
      <c r="A1830" s="8">
        <v>1826</v>
      </c>
      <c r="B1830" s="9" t="str">
        <f t="shared" si="196"/>
        <v/>
      </c>
      <c r="C1830" s="10"/>
      <c r="D1830" s="9" t="str">
        <f>IF(F1830="","",_xlfn.XLOOKUP(F1830,purchase!D:D,purchase!#REF!,""))</f>
        <v/>
      </c>
      <c r="E1830" s="9" t="str">
        <f>IF(F1830="","",_xlfn.XLOOKUP(F1830,purchase!D:D,purchase!B:B,""))</f>
        <v/>
      </c>
      <c r="F1830" s="2"/>
      <c r="G1830" s="4" t="str">
        <f t="shared" si="197"/>
        <v/>
      </c>
      <c r="H1830" s="4" t="str">
        <f>IF(F1830="","",_xlfn.XLOOKUP(F1830,purchase!D:D,purchase!#REF!,""))</f>
        <v/>
      </c>
      <c r="I1830" s="4" t="str">
        <f t="shared" si="198"/>
        <v/>
      </c>
      <c r="J1830" s="4" t="str">
        <f t="shared" si="199"/>
        <v/>
      </c>
      <c r="K1830" s="13" t="str">
        <f>_xlfn.SINGLE(IF(F1830="","",_xlfn.XLOOKUP(F1830,purchase!D:D,purchase!#REF!,"")))</f>
        <v/>
      </c>
      <c r="L1830" s="2"/>
      <c r="M1830" s="32"/>
      <c r="N1830" s="13" t="str">
        <f>IF(F1830="","",
MAX(0,
_xlfn.XLOOKUP(F1830,purchase!D:D,purchase!#REF!,"")
-
SUMIFS(L:L,F:F,F1830)))</f>
        <v/>
      </c>
      <c r="O1830" s="13" t="str">
        <f t="shared" si="200"/>
        <v/>
      </c>
      <c r="P1830" s="35" t="str">
        <f>_xlfn.SINGLE(IF(F1830="","",_xlfn.XLOOKUP(F1830,purchase!D:D,purchase!K:K,"")))</f>
        <v/>
      </c>
      <c r="Q1830" s="29" t="str">
        <f t="shared" si="201"/>
        <v/>
      </c>
      <c r="R1830" s="37" t="str">
        <f t="shared" si="202"/>
        <v/>
      </c>
    </row>
    <row r="1831" spans="1:18" x14ac:dyDescent="0.35">
      <c r="A1831" s="8">
        <v>1827</v>
      </c>
      <c r="B1831" s="9" t="str">
        <f t="shared" si="196"/>
        <v/>
      </c>
      <c r="C1831" s="10"/>
      <c r="D1831" s="9" t="str">
        <f>IF(F1831="","",_xlfn.XLOOKUP(F1831,purchase!D:D,purchase!#REF!,""))</f>
        <v/>
      </c>
      <c r="E1831" s="9" t="str">
        <f>IF(F1831="","",_xlfn.XLOOKUP(F1831,purchase!D:D,purchase!B:B,""))</f>
        <v/>
      </c>
      <c r="F1831" s="2"/>
      <c r="G1831" s="4" t="str">
        <f t="shared" si="197"/>
        <v/>
      </c>
      <c r="H1831" s="4" t="str">
        <f>IF(F1831="","",_xlfn.XLOOKUP(F1831,purchase!D:D,purchase!#REF!,""))</f>
        <v/>
      </c>
      <c r="I1831" s="4" t="str">
        <f t="shared" si="198"/>
        <v/>
      </c>
      <c r="J1831" s="4" t="str">
        <f t="shared" si="199"/>
        <v/>
      </c>
      <c r="K1831" s="13" t="str">
        <f>_xlfn.SINGLE(IF(F1831="","",_xlfn.XLOOKUP(F1831,purchase!D:D,purchase!#REF!,"")))</f>
        <v/>
      </c>
      <c r="L1831" s="2"/>
      <c r="M1831" s="32"/>
      <c r="N1831" s="13" t="str">
        <f>IF(F1831="","",
MAX(0,
_xlfn.XLOOKUP(F1831,purchase!D:D,purchase!#REF!,"")
-
SUMIFS(L:L,F:F,F1831)))</f>
        <v/>
      </c>
      <c r="O1831" s="13" t="str">
        <f t="shared" si="200"/>
        <v/>
      </c>
      <c r="P1831" s="35" t="str">
        <f>_xlfn.SINGLE(IF(F1831="","",_xlfn.XLOOKUP(F1831,purchase!D:D,purchase!K:K,"")))</f>
        <v/>
      </c>
      <c r="Q1831" s="29" t="str">
        <f t="shared" si="201"/>
        <v/>
      </c>
      <c r="R1831" s="37" t="str">
        <f t="shared" si="202"/>
        <v/>
      </c>
    </row>
    <row r="1832" spans="1:18" x14ac:dyDescent="0.35">
      <c r="A1832" s="8">
        <v>1828</v>
      </c>
      <c r="B1832" s="9" t="str">
        <f t="shared" si="196"/>
        <v/>
      </c>
      <c r="C1832" s="10"/>
      <c r="D1832" s="9" t="str">
        <f>IF(F1832="","",_xlfn.XLOOKUP(F1832,purchase!D:D,purchase!#REF!,""))</f>
        <v/>
      </c>
      <c r="E1832" s="9" t="str">
        <f>IF(F1832="","",_xlfn.XLOOKUP(F1832,purchase!D:D,purchase!B:B,""))</f>
        <v/>
      </c>
      <c r="F1832" s="2"/>
      <c r="G1832" s="4" t="str">
        <f t="shared" si="197"/>
        <v/>
      </c>
      <c r="H1832" s="4" t="str">
        <f>IF(F1832="","",_xlfn.XLOOKUP(F1832,purchase!D:D,purchase!#REF!,""))</f>
        <v/>
      </c>
      <c r="I1832" s="4" t="str">
        <f t="shared" si="198"/>
        <v/>
      </c>
      <c r="J1832" s="4" t="str">
        <f t="shared" si="199"/>
        <v/>
      </c>
      <c r="K1832" s="13" t="str">
        <f>_xlfn.SINGLE(IF(F1832="","",_xlfn.XLOOKUP(F1832,purchase!D:D,purchase!#REF!,"")))</f>
        <v/>
      </c>
      <c r="L1832" s="2"/>
      <c r="M1832" s="32"/>
      <c r="N1832" s="13" t="str">
        <f>IF(F1832="","",
MAX(0,
_xlfn.XLOOKUP(F1832,purchase!D:D,purchase!#REF!,"")
-
SUMIFS(L:L,F:F,F1832)))</f>
        <v/>
      </c>
      <c r="O1832" s="13" t="str">
        <f t="shared" si="200"/>
        <v/>
      </c>
      <c r="P1832" s="35" t="str">
        <f>_xlfn.SINGLE(IF(F1832="","",_xlfn.XLOOKUP(F1832,purchase!D:D,purchase!K:K,"")))</f>
        <v/>
      </c>
      <c r="Q1832" s="29" t="str">
        <f t="shared" si="201"/>
        <v/>
      </c>
      <c r="R1832" s="37" t="str">
        <f t="shared" si="202"/>
        <v/>
      </c>
    </row>
    <row r="1833" spans="1:18" x14ac:dyDescent="0.35">
      <c r="A1833" s="8">
        <v>1829</v>
      </c>
      <c r="B1833" s="9" t="str">
        <f t="shared" si="196"/>
        <v/>
      </c>
      <c r="C1833" s="10"/>
      <c r="D1833" s="9" t="str">
        <f>IF(F1833="","",_xlfn.XLOOKUP(F1833,purchase!D:D,purchase!#REF!,""))</f>
        <v/>
      </c>
      <c r="E1833" s="9" t="str">
        <f>IF(F1833="","",_xlfn.XLOOKUP(F1833,purchase!D:D,purchase!B:B,""))</f>
        <v/>
      </c>
      <c r="F1833" s="2"/>
      <c r="G1833" s="4" t="str">
        <f t="shared" si="197"/>
        <v/>
      </c>
      <c r="H1833" s="4" t="str">
        <f>IF(F1833="","",_xlfn.XLOOKUP(F1833,purchase!D:D,purchase!#REF!,""))</f>
        <v/>
      </c>
      <c r="I1833" s="4" t="str">
        <f t="shared" si="198"/>
        <v/>
      </c>
      <c r="J1833" s="4" t="str">
        <f t="shared" si="199"/>
        <v/>
      </c>
      <c r="K1833" s="13" t="str">
        <f>_xlfn.SINGLE(IF(F1833="","",_xlfn.XLOOKUP(F1833,purchase!D:D,purchase!#REF!,"")))</f>
        <v/>
      </c>
      <c r="L1833" s="2"/>
      <c r="M1833" s="32"/>
      <c r="N1833" s="13" t="str">
        <f>IF(F1833="","",
MAX(0,
_xlfn.XLOOKUP(F1833,purchase!D:D,purchase!#REF!,"")
-
SUMIFS(L:L,F:F,F1833)))</f>
        <v/>
      </c>
      <c r="O1833" s="13" t="str">
        <f t="shared" si="200"/>
        <v/>
      </c>
      <c r="P1833" s="35" t="str">
        <f>_xlfn.SINGLE(IF(F1833="","",_xlfn.XLOOKUP(F1833,purchase!D:D,purchase!K:K,"")))</f>
        <v/>
      </c>
      <c r="Q1833" s="29" t="str">
        <f t="shared" si="201"/>
        <v/>
      </c>
      <c r="R1833" s="37" t="str">
        <f t="shared" si="202"/>
        <v/>
      </c>
    </row>
    <row r="1834" spans="1:18" x14ac:dyDescent="0.35">
      <c r="A1834" s="8">
        <v>1830</v>
      </c>
      <c r="B1834" s="9" t="str">
        <f t="shared" si="196"/>
        <v/>
      </c>
      <c r="C1834" s="10"/>
      <c r="D1834" s="9" t="str">
        <f>IF(F1834="","",_xlfn.XLOOKUP(F1834,purchase!D:D,purchase!#REF!,""))</f>
        <v/>
      </c>
      <c r="E1834" s="9" t="str">
        <f>IF(F1834="","",_xlfn.XLOOKUP(F1834,purchase!D:D,purchase!B:B,""))</f>
        <v/>
      </c>
      <c r="F1834" s="2"/>
      <c r="G1834" s="4" t="str">
        <f t="shared" si="197"/>
        <v/>
      </c>
      <c r="H1834" s="4" t="str">
        <f>IF(F1834="","",_xlfn.XLOOKUP(F1834,purchase!D:D,purchase!#REF!,""))</f>
        <v/>
      </c>
      <c r="I1834" s="4" t="str">
        <f t="shared" si="198"/>
        <v/>
      </c>
      <c r="J1834" s="4" t="str">
        <f t="shared" si="199"/>
        <v/>
      </c>
      <c r="K1834" s="13" t="str">
        <f>_xlfn.SINGLE(IF(F1834="","",_xlfn.XLOOKUP(F1834,purchase!D:D,purchase!#REF!,"")))</f>
        <v/>
      </c>
      <c r="L1834" s="2"/>
      <c r="M1834" s="32"/>
      <c r="N1834" s="13" t="str">
        <f>IF(F1834="","",
MAX(0,
_xlfn.XLOOKUP(F1834,purchase!D:D,purchase!#REF!,"")
-
SUMIFS(L:L,F:F,F1834)))</f>
        <v/>
      </c>
      <c r="O1834" s="13" t="str">
        <f t="shared" si="200"/>
        <v/>
      </c>
      <c r="P1834" s="35" t="str">
        <f>_xlfn.SINGLE(IF(F1834="","",_xlfn.XLOOKUP(F1834,purchase!D:D,purchase!K:K,"")))</f>
        <v/>
      </c>
      <c r="Q1834" s="29" t="str">
        <f t="shared" si="201"/>
        <v/>
      </c>
      <c r="R1834" s="37" t="str">
        <f t="shared" si="202"/>
        <v/>
      </c>
    </row>
    <row r="1835" spans="1:18" x14ac:dyDescent="0.35">
      <c r="A1835" s="8">
        <v>1831</v>
      </c>
      <c r="B1835" s="9" t="str">
        <f t="shared" si="196"/>
        <v/>
      </c>
      <c r="C1835" s="10"/>
      <c r="D1835" s="9" t="str">
        <f>IF(F1835="","",_xlfn.XLOOKUP(F1835,purchase!D:D,purchase!#REF!,""))</f>
        <v/>
      </c>
      <c r="E1835" s="9" t="str">
        <f>IF(F1835="","",_xlfn.XLOOKUP(F1835,purchase!D:D,purchase!B:B,""))</f>
        <v/>
      </c>
      <c r="F1835" s="2"/>
      <c r="G1835" s="4" t="str">
        <f t="shared" si="197"/>
        <v/>
      </c>
      <c r="H1835" s="4" t="str">
        <f>IF(F1835="","",_xlfn.XLOOKUP(F1835,purchase!D:D,purchase!#REF!,""))</f>
        <v/>
      </c>
      <c r="I1835" s="4" t="str">
        <f t="shared" si="198"/>
        <v/>
      </c>
      <c r="J1835" s="4" t="str">
        <f t="shared" si="199"/>
        <v/>
      </c>
      <c r="K1835" s="13" t="str">
        <f>_xlfn.SINGLE(IF(F1835="","",_xlfn.XLOOKUP(F1835,purchase!D:D,purchase!#REF!,"")))</f>
        <v/>
      </c>
      <c r="L1835" s="2"/>
      <c r="M1835" s="32"/>
      <c r="N1835" s="13" t="str">
        <f>IF(F1835="","",
MAX(0,
_xlfn.XLOOKUP(F1835,purchase!D:D,purchase!#REF!,"")
-
SUMIFS(L:L,F:F,F1835)))</f>
        <v/>
      </c>
      <c r="O1835" s="13" t="str">
        <f t="shared" si="200"/>
        <v/>
      </c>
      <c r="P1835" s="35" t="str">
        <f>_xlfn.SINGLE(IF(F1835="","",_xlfn.XLOOKUP(F1835,purchase!D:D,purchase!K:K,"")))</f>
        <v/>
      </c>
      <c r="Q1835" s="29" t="str">
        <f t="shared" si="201"/>
        <v/>
      </c>
      <c r="R1835" s="37" t="str">
        <f t="shared" si="202"/>
        <v/>
      </c>
    </row>
    <row r="1836" spans="1:18" x14ac:dyDescent="0.35">
      <c r="A1836" s="8">
        <v>1832</v>
      </c>
      <c r="B1836" s="9" t="str">
        <f t="shared" si="196"/>
        <v/>
      </c>
      <c r="C1836" s="10"/>
      <c r="D1836" s="9" t="str">
        <f>IF(F1836="","",_xlfn.XLOOKUP(F1836,purchase!D:D,purchase!#REF!,""))</f>
        <v/>
      </c>
      <c r="E1836" s="9" t="str">
        <f>IF(F1836="","",_xlfn.XLOOKUP(F1836,purchase!D:D,purchase!B:B,""))</f>
        <v/>
      </c>
      <c r="F1836" s="2"/>
      <c r="G1836" s="4" t="str">
        <f t="shared" si="197"/>
        <v/>
      </c>
      <c r="H1836" s="4" t="str">
        <f>IF(F1836="","",_xlfn.XLOOKUP(F1836,purchase!D:D,purchase!#REF!,""))</f>
        <v/>
      </c>
      <c r="I1836" s="4" t="str">
        <f t="shared" si="198"/>
        <v/>
      </c>
      <c r="J1836" s="4" t="str">
        <f t="shared" si="199"/>
        <v/>
      </c>
      <c r="K1836" s="13" t="str">
        <f>_xlfn.SINGLE(IF(F1836="","",_xlfn.XLOOKUP(F1836,purchase!D:D,purchase!#REF!,"")))</f>
        <v/>
      </c>
      <c r="L1836" s="2"/>
      <c r="M1836" s="32"/>
      <c r="N1836" s="13" t="str">
        <f>IF(F1836="","",
MAX(0,
_xlfn.XLOOKUP(F1836,purchase!D:D,purchase!#REF!,"")
-
SUMIFS(L:L,F:F,F1836)))</f>
        <v/>
      </c>
      <c r="O1836" s="13" t="str">
        <f t="shared" si="200"/>
        <v/>
      </c>
      <c r="P1836" s="35" t="str">
        <f>_xlfn.SINGLE(IF(F1836="","",_xlfn.XLOOKUP(F1836,purchase!D:D,purchase!K:K,"")))</f>
        <v/>
      </c>
      <c r="Q1836" s="29" t="str">
        <f t="shared" si="201"/>
        <v/>
      </c>
      <c r="R1836" s="37" t="str">
        <f t="shared" si="202"/>
        <v/>
      </c>
    </row>
    <row r="1837" spans="1:18" x14ac:dyDescent="0.35">
      <c r="A1837" s="8">
        <v>1833</v>
      </c>
      <c r="B1837" s="9" t="str">
        <f t="shared" si="196"/>
        <v/>
      </c>
      <c r="C1837" s="10"/>
      <c r="D1837" s="9" t="str">
        <f>IF(F1837="","",_xlfn.XLOOKUP(F1837,purchase!D:D,purchase!#REF!,""))</f>
        <v/>
      </c>
      <c r="E1837" s="9" t="str">
        <f>IF(F1837="","",_xlfn.XLOOKUP(F1837,purchase!D:D,purchase!B:B,""))</f>
        <v/>
      </c>
      <c r="F1837" s="2"/>
      <c r="G1837" s="4" t="str">
        <f t="shared" si="197"/>
        <v/>
      </c>
      <c r="H1837" s="4" t="str">
        <f>IF(F1837="","",_xlfn.XLOOKUP(F1837,purchase!D:D,purchase!#REF!,""))</f>
        <v/>
      </c>
      <c r="I1837" s="4" t="str">
        <f t="shared" si="198"/>
        <v/>
      </c>
      <c r="J1837" s="4" t="str">
        <f t="shared" si="199"/>
        <v/>
      </c>
      <c r="K1837" s="13" t="str">
        <f>_xlfn.SINGLE(IF(F1837="","",_xlfn.XLOOKUP(F1837,purchase!D:D,purchase!#REF!,"")))</f>
        <v/>
      </c>
      <c r="L1837" s="2"/>
      <c r="M1837" s="32"/>
      <c r="N1837" s="13" t="str">
        <f>IF(F1837="","",
MAX(0,
_xlfn.XLOOKUP(F1837,purchase!D:D,purchase!#REF!,"")
-
SUMIFS(L:L,F:F,F1837)))</f>
        <v/>
      </c>
      <c r="O1837" s="13" t="str">
        <f t="shared" si="200"/>
        <v/>
      </c>
      <c r="P1837" s="35" t="str">
        <f>_xlfn.SINGLE(IF(F1837="","",_xlfn.XLOOKUP(F1837,purchase!D:D,purchase!K:K,"")))</f>
        <v/>
      </c>
      <c r="Q1837" s="29" t="str">
        <f t="shared" si="201"/>
        <v/>
      </c>
      <c r="R1837" s="37" t="str">
        <f t="shared" si="202"/>
        <v/>
      </c>
    </row>
    <row r="1838" spans="1:18" x14ac:dyDescent="0.35">
      <c r="A1838" s="8">
        <v>1834</v>
      </c>
      <c r="B1838" s="9" t="str">
        <f t="shared" si="196"/>
        <v/>
      </c>
      <c r="C1838" s="10"/>
      <c r="D1838" s="9" t="str">
        <f>IF(F1838="","",_xlfn.XLOOKUP(F1838,purchase!D:D,purchase!#REF!,""))</f>
        <v/>
      </c>
      <c r="E1838" s="9" t="str">
        <f>IF(F1838="","",_xlfn.XLOOKUP(F1838,purchase!D:D,purchase!B:B,""))</f>
        <v/>
      </c>
      <c r="F1838" s="2"/>
      <c r="G1838" s="4" t="str">
        <f t="shared" si="197"/>
        <v/>
      </c>
      <c r="H1838" s="4" t="str">
        <f>IF(F1838="","",_xlfn.XLOOKUP(F1838,purchase!D:D,purchase!#REF!,""))</f>
        <v/>
      </c>
      <c r="I1838" s="4" t="str">
        <f t="shared" si="198"/>
        <v/>
      </c>
      <c r="J1838" s="4" t="str">
        <f t="shared" si="199"/>
        <v/>
      </c>
      <c r="K1838" s="13" t="str">
        <f>_xlfn.SINGLE(IF(F1838="","",_xlfn.XLOOKUP(F1838,purchase!D:D,purchase!#REF!,"")))</f>
        <v/>
      </c>
      <c r="L1838" s="2"/>
      <c r="M1838" s="32"/>
      <c r="N1838" s="13" t="str">
        <f>IF(F1838="","",
MAX(0,
_xlfn.XLOOKUP(F1838,purchase!D:D,purchase!#REF!,"")
-
SUMIFS(L:L,F:F,F1838)))</f>
        <v/>
      </c>
      <c r="O1838" s="13" t="str">
        <f t="shared" si="200"/>
        <v/>
      </c>
      <c r="P1838" s="35" t="str">
        <f>_xlfn.SINGLE(IF(F1838="","",_xlfn.XLOOKUP(F1838,purchase!D:D,purchase!K:K,"")))</f>
        <v/>
      </c>
      <c r="Q1838" s="29" t="str">
        <f t="shared" si="201"/>
        <v/>
      </c>
      <c r="R1838" s="37" t="str">
        <f t="shared" si="202"/>
        <v/>
      </c>
    </row>
    <row r="1839" spans="1:18" x14ac:dyDescent="0.35">
      <c r="A1839" s="8">
        <v>1835</v>
      </c>
      <c r="B1839" s="9" t="str">
        <f t="shared" si="196"/>
        <v/>
      </c>
      <c r="C1839" s="10"/>
      <c r="D1839" s="9" t="str">
        <f>IF(F1839="","",_xlfn.XLOOKUP(F1839,purchase!D:D,purchase!#REF!,""))</f>
        <v/>
      </c>
      <c r="E1839" s="9" t="str">
        <f>IF(F1839="","",_xlfn.XLOOKUP(F1839,purchase!D:D,purchase!B:B,""))</f>
        <v/>
      </c>
      <c r="F1839" s="2"/>
      <c r="G1839" s="4" t="str">
        <f t="shared" si="197"/>
        <v/>
      </c>
      <c r="H1839" s="4" t="str">
        <f>IF(F1839="","",_xlfn.XLOOKUP(F1839,purchase!D:D,purchase!#REF!,""))</f>
        <v/>
      </c>
      <c r="I1839" s="4" t="str">
        <f t="shared" si="198"/>
        <v/>
      </c>
      <c r="J1839" s="4" t="str">
        <f t="shared" si="199"/>
        <v/>
      </c>
      <c r="K1839" s="13" t="str">
        <f>_xlfn.SINGLE(IF(F1839="","",_xlfn.XLOOKUP(F1839,purchase!D:D,purchase!#REF!,"")))</f>
        <v/>
      </c>
      <c r="L1839" s="2"/>
      <c r="M1839" s="32"/>
      <c r="N1839" s="13" t="str">
        <f>IF(F1839="","",
MAX(0,
_xlfn.XLOOKUP(F1839,purchase!D:D,purchase!#REF!,"")
-
SUMIFS(L:L,F:F,F1839)))</f>
        <v/>
      </c>
      <c r="O1839" s="13" t="str">
        <f t="shared" si="200"/>
        <v/>
      </c>
      <c r="P1839" s="35" t="str">
        <f>_xlfn.SINGLE(IF(F1839="","",_xlfn.XLOOKUP(F1839,purchase!D:D,purchase!K:K,"")))</f>
        <v/>
      </c>
      <c r="Q1839" s="29" t="str">
        <f t="shared" si="201"/>
        <v/>
      </c>
      <c r="R1839" s="37" t="str">
        <f t="shared" si="202"/>
        <v/>
      </c>
    </row>
    <row r="1840" spans="1:18" x14ac:dyDescent="0.35">
      <c r="A1840" s="8">
        <v>1836</v>
      </c>
      <c r="B1840" s="9" t="str">
        <f t="shared" si="196"/>
        <v/>
      </c>
      <c r="C1840" s="10"/>
      <c r="D1840" s="9" t="str">
        <f>IF(F1840="","",_xlfn.XLOOKUP(F1840,purchase!D:D,purchase!#REF!,""))</f>
        <v/>
      </c>
      <c r="E1840" s="9" t="str">
        <f>IF(F1840="","",_xlfn.XLOOKUP(F1840,purchase!D:D,purchase!B:B,""))</f>
        <v/>
      </c>
      <c r="F1840" s="2"/>
      <c r="G1840" s="4" t="str">
        <f t="shared" si="197"/>
        <v/>
      </c>
      <c r="H1840" s="4" t="str">
        <f>IF(F1840="","",_xlfn.XLOOKUP(F1840,purchase!D:D,purchase!#REF!,""))</f>
        <v/>
      </c>
      <c r="I1840" s="4" t="str">
        <f t="shared" si="198"/>
        <v/>
      </c>
      <c r="J1840" s="4" t="str">
        <f t="shared" si="199"/>
        <v/>
      </c>
      <c r="K1840" s="13" t="str">
        <f>_xlfn.SINGLE(IF(F1840="","",_xlfn.XLOOKUP(F1840,purchase!D:D,purchase!#REF!,"")))</f>
        <v/>
      </c>
      <c r="L1840" s="2"/>
      <c r="M1840" s="32"/>
      <c r="N1840" s="13" t="str">
        <f>IF(F1840="","",
MAX(0,
_xlfn.XLOOKUP(F1840,purchase!D:D,purchase!#REF!,"")
-
SUMIFS(L:L,F:F,F1840)))</f>
        <v/>
      </c>
      <c r="O1840" s="13" t="str">
        <f t="shared" si="200"/>
        <v/>
      </c>
      <c r="P1840" s="35" t="str">
        <f>_xlfn.SINGLE(IF(F1840="","",_xlfn.XLOOKUP(F1840,purchase!D:D,purchase!K:K,"")))</f>
        <v/>
      </c>
      <c r="Q1840" s="29" t="str">
        <f t="shared" si="201"/>
        <v/>
      </c>
      <c r="R1840" s="37" t="str">
        <f t="shared" si="202"/>
        <v/>
      </c>
    </row>
    <row r="1841" spans="1:18" x14ac:dyDescent="0.35">
      <c r="A1841" s="8">
        <v>1837</v>
      </c>
      <c r="B1841" s="9" t="str">
        <f t="shared" si="196"/>
        <v/>
      </c>
      <c r="C1841" s="10"/>
      <c r="D1841" s="9" t="str">
        <f>IF(F1841="","",_xlfn.XLOOKUP(F1841,purchase!D:D,purchase!#REF!,""))</f>
        <v/>
      </c>
      <c r="E1841" s="9" t="str">
        <f>IF(F1841="","",_xlfn.XLOOKUP(F1841,purchase!D:D,purchase!B:B,""))</f>
        <v/>
      </c>
      <c r="F1841" s="2"/>
      <c r="G1841" s="4" t="str">
        <f t="shared" si="197"/>
        <v/>
      </c>
      <c r="H1841" s="4" t="str">
        <f>IF(F1841="","",_xlfn.XLOOKUP(F1841,purchase!D:D,purchase!#REF!,""))</f>
        <v/>
      </c>
      <c r="I1841" s="4" t="str">
        <f t="shared" si="198"/>
        <v/>
      </c>
      <c r="J1841" s="4" t="str">
        <f t="shared" si="199"/>
        <v/>
      </c>
      <c r="K1841" s="13" t="str">
        <f>_xlfn.SINGLE(IF(F1841="","",_xlfn.XLOOKUP(F1841,purchase!D:D,purchase!#REF!,"")))</f>
        <v/>
      </c>
      <c r="L1841" s="2"/>
      <c r="M1841" s="32"/>
      <c r="N1841" s="13" t="str">
        <f>IF(F1841="","",
MAX(0,
_xlfn.XLOOKUP(F1841,purchase!D:D,purchase!#REF!,"")
-
SUMIFS(L:L,F:F,F1841)))</f>
        <v/>
      </c>
      <c r="O1841" s="13" t="str">
        <f t="shared" si="200"/>
        <v/>
      </c>
      <c r="P1841" s="35" t="str">
        <f>_xlfn.SINGLE(IF(F1841="","",_xlfn.XLOOKUP(F1841,purchase!D:D,purchase!K:K,"")))</f>
        <v/>
      </c>
      <c r="Q1841" s="29" t="str">
        <f t="shared" si="201"/>
        <v/>
      </c>
      <c r="R1841" s="37" t="str">
        <f t="shared" si="202"/>
        <v/>
      </c>
    </row>
    <row r="1842" spans="1:18" x14ac:dyDescent="0.35">
      <c r="A1842" s="8">
        <v>1838</v>
      </c>
      <c r="B1842" s="9" t="str">
        <f t="shared" si="196"/>
        <v/>
      </c>
      <c r="C1842" s="10"/>
      <c r="D1842" s="9" t="str">
        <f>IF(F1842="","",_xlfn.XLOOKUP(F1842,purchase!D:D,purchase!#REF!,""))</f>
        <v/>
      </c>
      <c r="E1842" s="9" t="str">
        <f>IF(F1842="","",_xlfn.XLOOKUP(F1842,purchase!D:D,purchase!B:B,""))</f>
        <v/>
      </c>
      <c r="F1842" s="2"/>
      <c r="G1842" s="4" t="str">
        <f t="shared" si="197"/>
        <v/>
      </c>
      <c r="H1842" s="4" t="str">
        <f>IF(F1842="","",_xlfn.XLOOKUP(F1842,purchase!D:D,purchase!#REF!,""))</f>
        <v/>
      </c>
      <c r="I1842" s="4" t="str">
        <f t="shared" si="198"/>
        <v/>
      </c>
      <c r="J1842" s="4" t="str">
        <f t="shared" si="199"/>
        <v/>
      </c>
      <c r="K1842" s="13" t="str">
        <f>_xlfn.SINGLE(IF(F1842="","",_xlfn.XLOOKUP(F1842,purchase!D:D,purchase!#REF!,"")))</f>
        <v/>
      </c>
      <c r="L1842" s="2"/>
      <c r="M1842" s="32"/>
      <c r="N1842" s="13" t="str">
        <f>IF(F1842="","",
MAX(0,
_xlfn.XLOOKUP(F1842,purchase!D:D,purchase!#REF!,"")
-
SUMIFS(L:L,F:F,F1842)))</f>
        <v/>
      </c>
      <c r="O1842" s="13" t="str">
        <f t="shared" si="200"/>
        <v/>
      </c>
      <c r="P1842" s="35" t="str">
        <f>_xlfn.SINGLE(IF(F1842="","",_xlfn.XLOOKUP(F1842,purchase!D:D,purchase!K:K,"")))</f>
        <v/>
      </c>
      <c r="Q1842" s="29" t="str">
        <f t="shared" si="201"/>
        <v/>
      </c>
      <c r="R1842" s="37" t="str">
        <f t="shared" si="202"/>
        <v/>
      </c>
    </row>
    <row r="1843" spans="1:18" x14ac:dyDescent="0.35">
      <c r="A1843" s="8">
        <v>1839</v>
      </c>
      <c r="B1843" s="9" t="str">
        <f t="shared" si="196"/>
        <v/>
      </c>
      <c r="C1843" s="10"/>
      <c r="D1843" s="9" t="str">
        <f>IF(F1843="","",_xlfn.XLOOKUP(F1843,purchase!D:D,purchase!#REF!,""))</f>
        <v/>
      </c>
      <c r="E1843" s="9" t="str">
        <f>IF(F1843="","",_xlfn.XLOOKUP(F1843,purchase!D:D,purchase!B:B,""))</f>
        <v/>
      </c>
      <c r="F1843" s="2"/>
      <c r="G1843" s="4" t="str">
        <f t="shared" si="197"/>
        <v/>
      </c>
      <c r="H1843" s="4" t="str">
        <f>IF(F1843="","",_xlfn.XLOOKUP(F1843,purchase!D:D,purchase!#REF!,""))</f>
        <v/>
      </c>
      <c r="I1843" s="4" t="str">
        <f t="shared" si="198"/>
        <v/>
      </c>
      <c r="J1843" s="4" t="str">
        <f t="shared" si="199"/>
        <v/>
      </c>
      <c r="K1843" s="13" t="str">
        <f>_xlfn.SINGLE(IF(F1843="","",_xlfn.XLOOKUP(F1843,purchase!D:D,purchase!#REF!,"")))</f>
        <v/>
      </c>
      <c r="L1843" s="2"/>
      <c r="M1843" s="32"/>
      <c r="N1843" s="13" t="str">
        <f>IF(F1843="","",
MAX(0,
_xlfn.XLOOKUP(F1843,purchase!D:D,purchase!#REF!,"")
-
SUMIFS(L:L,F:F,F1843)))</f>
        <v/>
      </c>
      <c r="O1843" s="13" t="str">
        <f t="shared" si="200"/>
        <v/>
      </c>
      <c r="P1843" s="35" t="str">
        <f>_xlfn.SINGLE(IF(F1843="","",_xlfn.XLOOKUP(F1843,purchase!D:D,purchase!K:K,"")))</f>
        <v/>
      </c>
      <c r="Q1843" s="29" t="str">
        <f t="shared" si="201"/>
        <v/>
      </c>
      <c r="R1843" s="37" t="str">
        <f t="shared" si="202"/>
        <v/>
      </c>
    </row>
    <row r="1844" spans="1:18" x14ac:dyDescent="0.35">
      <c r="A1844" s="8">
        <v>1840</v>
      </c>
      <c r="B1844" s="9" t="str">
        <f t="shared" si="196"/>
        <v/>
      </c>
      <c r="C1844" s="10"/>
      <c r="D1844" s="9" t="str">
        <f>IF(F1844="","",_xlfn.XLOOKUP(F1844,purchase!D:D,purchase!#REF!,""))</f>
        <v/>
      </c>
      <c r="E1844" s="9" t="str">
        <f>IF(F1844="","",_xlfn.XLOOKUP(F1844,purchase!D:D,purchase!B:B,""))</f>
        <v/>
      </c>
      <c r="F1844" s="2"/>
      <c r="G1844" s="4" t="str">
        <f t="shared" si="197"/>
        <v/>
      </c>
      <c r="H1844" s="4" t="str">
        <f>IF(F1844="","",_xlfn.XLOOKUP(F1844,purchase!D:D,purchase!#REF!,""))</f>
        <v/>
      </c>
      <c r="I1844" s="4" t="str">
        <f t="shared" si="198"/>
        <v/>
      </c>
      <c r="J1844" s="4" t="str">
        <f t="shared" si="199"/>
        <v/>
      </c>
      <c r="K1844" s="13" t="str">
        <f>_xlfn.SINGLE(IF(F1844="","",_xlfn.XLOOKUP(F1844,purchase!D:D,purchase!#REF!,"")))</f>
        <v/>
      </c>
      <c r="L1844" s="2"/>
      <c r="M1844" s="32"/>
      <c r="N1844" s="13" t="str">
        <f>IF(F1844="","",
MAX(0,
_xlfn.XLOOKUP(F1844,purchase!D:D,purchase!#REF!,"")
-
SUMIFS(L:L,F:F,F1844)))</f>
        <v/>
      </c>
      <c r="O1844" s="13" t="str">
        <f t="shared" si="200"/>
        <v/>
      </c>
      <c r="P1844" s="35" t="str">
        <f>_xlfn.SINGLE(IF(F1844="","",_xlfn.XLOOKUP(F1844,purchase!D:D,purchase!K:K,"")))</f>
        <v/>
      </c>
      <c r="Q1844" s="29" t="str">
        <f t="shared" si="201"/>
        <v/>
      </c>
      <c r="R1844" s="37" t="str">
        <f t="shared" si="202"/>
        <v/>
      </c>
    </row>
    <row r="1845" spans="1:18" x14ac:dyDescent="0.35">
      <c r="A1845" s="8">
        <v>1841</v>
      </c>
      <c r="B1845" s="9" t="str">
        <f t="shared" si="196"/>
        <v/>
      </c>
      <c r="C1845" s="10"/>
      <c r="D1845" s="9" t="str">
        <f>IF(F1845="","",_xlfn.XLOOKUP(F1845,purchase!D:D,purchase!#REF!,""))</f>
        <v/>
      </c>
      <c r="E1845" s="9" t="str">
        <f>IF(F1845="","",_xlfn.XLOOKUP(F1845,purchase!D:D,purchase!B:B,""))</f>
        <v/>
      </c>
      <c r="F1845" s="2"/>
      <c r="G1845" s="4" t="str">
        <f t="shared" si="197"/>
        <v/>
      </c>
      <c r="H1845" s="4" t="str">
        <f>IF(F1845="","",_xlfn.XLOOKUP(F1845,purchase!D:D,purchase!#REF!,""))</f>
        <v/>
      </c>
      <c r="I1845" s="4" t="str">
        <f t="shared" si="198"/>
        <v/>
      </c>
      <c r="J1845" s="4" t="str">
        <f t="shared" si="199"/>
        <v/>
      </c>
      <c r="K1845" s="13" t="str">
        <f>_xlfn.SINGLE(IF(F1845="","",_xlfn.XLOOKUP(F1845,purchase!D:D,purchase!#REF!,"")))</f>
        <v/>
      </c>
      <c r="L1845" s="2"/>
      <c r="M1845" s="32"/>
      <c r="N1845" s="13" t="str">
        <f>IF(F1845="","",
MAX(0,
_xlfn.XLOOKUP(F1845,purchase!D:D,purchase!#REF!,"")
-
SUMIFS(L:L,F:F,F1845)))</f>
        <v/>
      </c>
      <c r="O1845" s="13" t="str">
        <f t="shared" si="200"/>
        <v/>
      </c>
      <c r="P1845" s="35" t="str">
        <f>_xlfn.SINGLE(IF(F1845="","",_xlfn.XLOOKUP(F1845,purchase!D:D,purchase!K:K,"")))</f>
        <v/>
      </c>
      <c r="Q1845" s="29" t="str">
        <f t="shared" si="201"/>
        <v/>
      </c>
      <c r="R1845" s="37" t="str">
        <f t="shared" si="202"/>
        <v/>
      </c>
    </row>
    <row r="1846" spans="1:18" x14ac:dyDescent="0.35">
      <c r="A1846" s="8">
        <v>1842</v>
      </c>
      <c r="B1846" s="9" t="str">
        <f t="shared" si="196"/>
        <v/>
      </c>
      <c r="C1846" s="10"/>
      <c r="D1846" s="9" t="str">
        <f>IF(F1846="","",_xlfn.XLOOKUP(F1846,purchase!D:D,purchase!#REF!,""))</f>
        <v/>
      </c>
      <c r="E1846" s="9" t="str">
        <f>IF(F1846="","",_xlfn.XLOOKUP(F1846,purchase!D:D,purchase!B:B,""))</f>
        <v/>
      </c>
      <c r="F1846" s="2"/>
      <c r="G1846" s="4" t="str">
        <f t="shared" si="197"/>
        <v/>
      </c>
      <c r="H1846" s="4" t="str">
        <f>IF(F1846="","",_xlfn.XLOOKUP(F1846,purchase!D:D,purchase!#REF!,""))</f>
        <v/>
      </c>
      <c r="I1846" s="4" t="str">
        <f t="shared" si="198"/>
        <v/>
      </c>
      <c r="J1846" s="4" t="str">
        <f t="shared" si="199"/>
        <v/>
      </c>
      <c r="K1846" s="13" t="str">
        <f>_xlfn.SINGLE(IF(F1846="","",_xlfn.XLOOKUP(F1846,purchase!D:D,purchase!#REF!,"")))</f>
        <v/>
      </c>
      <c r="L1846" s="2"/>
      <c r="M1846" s="32"/>
      <c r="N1846" s="13" t="str">
        <f>IF(F1846="","",
MAX(0,
_xlfn.XLOOKUP(F1846,purchase!D:D,purchase!#REF!,"")
-
SUMIFS(L:L,F:F,F1846)))</f>
        <v/>
      </c>
      <c r="O1846" s="13" t="str">
        <f t="shared" si="200"/>
        <v/>
      </c>
      <c r="P1846" s="35" t="str">
        <f>_xlfn.SINGLE(IF(F1846="","",_xlfn.XLOOKUP(F1846,purchase!D:D,purchase!K:K,"")))</f>
        <v/>
      </c>
      <c r="Q1846" s="29" t="str">
        <f t="shared" si="201"/>
        <v/>
      </c>
      <c r="R1846" s="37" t="str">
        <f t="shared" si="202"/>
        <v/>
      </c>
    </row>
    <row r="1847" spans="1:18" x14ac:dyDescent="0.35">
      <c r="A1847" s="8">
        <v>1843</v>
      </c>
      <c r="B1847" s="9" t="str">
        <f t="shared" si="196"/>
        <v/>
      </c>
      <c r="C1847" s="10"/>
      <c r="D1847" s="9" t="str">
        <f>IF(F1847="","",_xlfn.XLOOKUP(F1847,purchase!D:D,purchase!#REF!,""))</f>
        <v/>
      </c>
      <c r="E1847" s="9" t="str">
        <f>IF(F1847="","",_xlfn.XLOOKUP(F1847,purchase!D:D,purchase!B:B,""))</f>
        <v/>
      </c>
      <c r="F1847" s="2"/>
      <c r="G1847" s="4" t="str">
        <f t="shared" si="197"/>
        <v/>
      </c>
      <c r="H1847" s="4" t="str">
        <f>IF(F1847="","",_xlfn.XLOOKUP(F1847,purchase!D:D,purchase!#REF!,""))</f>
        <v/>
      </c>
      <c r="I1847" s="4" t="str">
        <f t="shared" si="198"/>
        <v/>
      </c>
      <c r="J1847" s="4" t="str">
        <f t="shared" si="199"/>
        <v/>
      </c>
      <c r="K1847" s="13" t="str">
        <f>_xlfn.SINGLE(IF(F1847="","",_xlfn.XLOOKUP(F1847,purchase!D:D,purchase!#REF!,"")))</f>
        <v/>
      </c>
      <c r="L1847" s="2"/>
      <c r="M1847" s="32"/>
      <c r="N1847" s="13" t="str">
        <f>IF(F1847="","",
MAX(0,
_xlfn.XLOOKUP(F1847,purchase!D:D,purchase!#REF!,"")
-
SUMIFS(L:L,F:F,F1847)))</f>
        <v/>
      </c>
      <c r="O1847" s="13" t="str">
        <f t="shared" si="200"/>
        <v/>
      </c>
      <c r="P1847" s="35" t="str">
        <f>_xlfn.SINGLE(IF(F1847="","",_xlfn.XLOOKUP(F1847,purchase!D:D,purchase!K:K,"")))</f>
        <v/>
      </c>
      <c r="Q1847" s="29" t="str">
        <f t="shared" si="201"/>
        <v/>
      </c>
      <c r="R1847" s="37" t="str">
        <f t="shared" si="202"/>
        <v/>
      </c>
    </row>
    <row r="1848" spans="1:18" x14ac:dyDescent="0.35">
      <c r="A1848" s="8">
        <v>1844</v>
      </c>
      <c r="B1848" s="9" t="str">
        <f t="shared" si="196"/>
        <v/>
      </c>
      <c r="C1848" s="10"/>
      <c r="D1848" s="9" t="str">
        <f>IF(F1848="","",_xlfn.XLOOKUP(F1848,purchase!D:D,purchase!#REF!,""))</f>
        <v/>
      </c>
      <c r="E1848" s="9" t="str">
        <f>IF(F1848="","",_xlfn.XLOOKUP(F1848,purchase!D:D,purchase!B:B,""))</f>
        <v/>
      </c>
      <c r="F1848" s="2"/>
      <c r="G1848" s="4" t="str">
        <f t="shared" si="197"/>
        <v/>
      </c>
      <c r="H1848" s="4" t="str">
        <f>IF(F1848="","",_xlfn.XLOOKUP(F1848,purchase!D:D,purchase!#REF!,""))</f>
        <v/>
      </c>
      <c r="I1848" s="4" t="str">
        <f t="shared" si="198"/>
        <v/>
      </c>
      <c r="J1848" s="4" t="str">
        <f t="shared" si="199"/>
        <v/>
      </c>
      <c r="K1848" s="13" t="str">
        <f>_xlfn.SINGLE(IF(F1848="","",_xlfn.XLOOKUP(F1848,purchase!D:D,purchase!#REF!,"")))</f>
        <v/>
      </c>
      <c r="L1848" s="2"/>
      <c r="M1848" s="32"/>
      <c r="N1848" s="13" t="str">
        <f>IF(F1848="","",
MAX(0,
_xlfn.XLOOKUP(F1848,purchase!D:D,purchase!#REF!,"")
-
SUMIFS(L:L,F:F,F1848)))</f>
        <v/>
      </c>
      <c r="O1848" s="13" t="str">
        <f t="shared" si="200"/>
        <v/>
      </c>
      <c r="P1848" s="35" t="str">
        <f>_xlfn.SINGLE(IF(F1848="","",_xlfn.XLOOKUP(F1848,purchase!D:D,purchase!K:K,"")))</f>
        <v/>
      </c>
      <c r="Q1848" s="29" t="str">
        <f t="shared" si="201"/>
        <v/>
      </c>
      <c r="R1848" s="37" t="str">
        <f t="shared" si="202"/>
        <v/>
      </c>
    </row>
    <row r="1849" spans="1:18" x14ac:dyDescent="0.35">
      <c r="A1849" s="8">
        <v>1845</v>
      </c>
      <c r="B1849" s="9" t="str">
        <f t="shared" si="196"/>
        <v/>
      </c>
      <c r="C1849" s="10"/>
      <c r="D1849" s="9" t="str">
        <f>IF(F1849="","",_xlfn.XLOOKUP(F1849,purchase!D:D,purchase!#REF!,""))</f>
        <v/>
      </c>
      <c r="E1849" s="9" t="str">
        <f>IF(F1849="","",_xlfn.XLOOKUP(F1849,purchase!D:D,purchase!B:B,""))</f>
        <v/>
      </c>
      <c r="F1849" s="2"/>
      <c r="G1849" s="4" t="str">
        <f t="shared" si="197"/>
        <v/>
      </c>
      <c r="H1849" s="4" t="str">
        <f>IF(F1849="","",_xlfn.XLOOKUP(F1849,purchase!D:D,purchase!#REF!,""))</f>
        <v/>
      </c>
      <c r="I1849" s="4" t="str">
        <f t="shared" si="198"/>
        <v/>
      </c>
      <c r="J1849" s="4" t="str">
        <f t="shared" si="199"/>
        <v/>
      </c>
      <c r="K1849" s="13" t="str">
        <f>_xlfn.SINGLE(IF(F1849="","",_xlfn.XLOOKUP(F1849,purchase!D:D,purchase!#REF!,"")))</f>
        <v/>
      </c>
      <c r="L1849" s="2"/>
      <c r="M1849" s="32"/>
      <c r="N1849" s="13" t="str">
        <f>IF(F1849="","",
MAX(0,
_xlfn.XLOOKUP(F1849,purchase!D:D,purchase!#REF!,"")
-
SUMIFS(L:L,F:F,F1849)))</f>
        <v/>
      </c>
      <c r="O1849" s="13" t="str">
        <f t="shared" si="200"/>
        <v/>
      </c>
      <c r="P1849" s="35" t="str">
        <f>_xlfn.SINGLE(IF(F1849="","",_xlfn.XLOOKUP(F1849,purchase!D:D,purchase!K:K,"")))</f>
        <v/>
      </c>
      <c r="Q1849" s="29" t="str">
        <f t="shared" si="201"/>
        <v/>
      </c>
      <c r="R1849" s="37" t="str">
        <f t="shared" si="202"/>
        <v/>
      </c>
    </row>
    <row r="1850" spans="1:18" x14ac:dyDescent="0.35">
      <c r="A1850" s="8">
        <v>1846</v>
      </c>
      <c r="B1850" s="9" t="str">
        <f t="shared" si="196"/>
        <v/>
      </c>
      <c r="C1850" s="10"/>
      <c r="D1850" s="9" t="str">
        <f>IF(F1850="","",_xlfn.XLOOKUP(F1850,purchase!D:D,purchase!#REF!,""))</f>
        <v/>
      </c>
      <c r="E1850" s="9" t="str">
        <f>IF(F1850="","",_xlfn.XLOOKUP(F1850,purchase!D:D,purchase!B:B,""))</f>
        <v/>
      </c>
      <c r="F1850" s="2"/>
      <c r="G1850" s="4" t="str">
        <f t="shared" si="197"/>
        <v/>
      </c>
      <c r="H1850" s="4" t="str">
        <f>IF(F1850="","",_xlfn.XLOOKUP(F1850,purchase!D:D,purchase!#REF!,""))</f>
        <v/>
      </c>
      <c r="I1850" s="4" t="str">
        <f t="shared" si="198"/>
        <v/>
      </c>
      <c r="J1850" s="4" t="str">
        <f t="shared" si="199"/>
        <v/>
      </c>
      <c r="K1850" s="13" t="str">
        <f>_xlfn.SINGLE(IF(F1850="","",_xlfn.XLOOKUP(F1850,purchase!D:D,purchase!#REF!,"")))</f>
        <v/>
      </c>
      <c r="L1850" s="2"/>
      <c r="M1850" s="32"/>
      <c r="N1850" s="13" t="str">
        <f>IF(F1850="","",
MAX(0,
_xlfn.XLOOKUP(F1850,purchase!D:D,purchase!#REF!,"")
-
SUMIFS(L:L,F:F,F1850)))</f>
        <v/>
      </c>
      <c r="O1850" s="13" t="str">
        <f t="shared" si="200"/>
        <v/>
      </c>
      <c r="P1850" s="35" t="str">
        <f>_xlfn.SINGLE(IF(F1850="","",_xlfn.XLOOKUP(F1850,purchase!D:D,purchase!K:K,"")))</f>
        <v/>
      </c>
      <c r="Q1850" s="29" t="str">
        <f t="shared" si="201"/>
        <v/>
      </c>
      <c r="R1850" s="37" t="str">
        <f t="shared" si="202"/>
        <v/>
      </c>
    </row>
    <row r="1851" spans="1:18" x14ac:dyDescent="0.35">
      <c r="A1851" s="8">
        <v>1847</v>
      </c>
      <c r="B1851" s="9" t="str">
        <f t="shared" si="196"/>
        <v/>
      </c>
      <c r="C1851" s="10"/>
      <c r="D1851" s="9" t="str">
        <f>IF(F1851="","",_xlfn.XLOOKUP(F1851,purchase!D:D,purchase!#REF!,""))</f>
        <v/>
      </c>
      <c r="E1851" s="9" t="str">
        <f>IF(F1851="","",_xlfn.XLOOKUP(F1851,purchase!D:D,purchase!B:B,""))</f>
        <v/>
      </c>
      <c r="F1851" s="2"/>
      <c r="G1851" s="4" t="str">
        <f t="shared" si="197"/>
        <v/>
      </c>
      <c r="H1851" s="4" t="str">
        <f>IF(F1851="","",_xlfn.XLOOKUP(F1851,purchase!D:D,purchase!#REF!,""))</f>
        <v/>
      </c>
      <c r="I1851" s="4" t="str">
        <f t="shared" si="198"/>
        <v/>
      </c>
      <c r="J1851" s="4" t="str">
        <f t="shared" si="199"/>
        <v/>
      </c>
      <c r="K1851" s="13" t="str">
        <f>_xlfn.SINGLE(IF(F1851="","",_xlfn.XLOOKUP(F1851,purchase!D:D,purchase!#REF!,"")))</f>
        <v/>
      </c>
      <c r="L1851" s="2"/>
      <c r="M1851" s="32"/>
      <c r="N1851" s="13" t="str">
        <f>IF(F1851="","",
MAX(0,
_xlfn.XLOOKUP(F1851,purchase!D:D,purchase!#REF!,"")
-
SUMIFS(L:L,F:F,F1851)))</f>
        <v/>
      </c>
      <c r="O1851" s="13" t="str">
        <f t="shared" si="200"/>
        <v/>
      </c>
      <c r="P1851" s="35" t="str">
        <f>_xlfn.SINGLE(IF(F1851="","",_xlfn.XLOOKUP(F1851,purchase!D:D,purchase!K:K,"")))</f>
        <v/>
      </c>
      <c r="Q1851" s="29" t="str">
        <f t="shared" si="201"/>
        <v/>
      </c>
      <c r="R1851" s="37" t="str">
        <f t="shared" si="202"/>
        <v/>
      </c>
    </row>
    <row r="1852" spans="1:18" x14ac:dyDescent="0.35">
      <c r="A1852" s="8">
        <v>1848</v>
      </c>
      <c r="B1852" s="9" t="str">
        <f t="shared" si="196"/>
        <v/>
      </c>
      <c r="C1852" s="10"/>
      <c r="D1852" s="9" t="str">
        <f>IF(F1852="","",_xlfn.XLOOKUP(F1852,purchase!D:D,purchase!#REF!,""))</f>
        <v/>
      </c>
      <c r="E1852" s="9" t="str">
        <f>IF(F1852="","",_xlfn.XLOOKUP(F1852,purchase!D:D,purchase!B:B,""))</f>
        <v/>
      </c>
      <c r="F1852" s="2"/>
      <c r="G1852" s="4" t="str">
        <f t="shared" si="197"/>
        <v/>
      </c>
      <c r="H1852" s="4" t="str">
        <f>IF(F1852="","",_xlfn.XLOOKUP(F1852,purchase!D:D,purchase!#REF!,""))</f>
        <v/>
      </c>
      <c r="I1852" s="4" t="str">
        <f t="shared" si="198"/>
        <v/>
      </c>
      <c r="J1852" s="4" t="str">
        <f t="shared" si="199"/>
        <v/>
      </c>
      <c r="K1852" s="13" t="str">
        <f>_xlfn.SINGLE(IF(F1852="","",_xlfn.XLOOKUP(F1852,purchase!D:D,purchase!#REF!,"")))</f>
        <v/>
      </c>
      <c r="L1852" s="2"/>
      <c r="M1852" s="32"/>
      <c r="N1852" s="13" t="str">
        <f>IF(F1852="","",
MAX(0,
_xlfn.XLOOKUP(F1852,purchase!D:D,purchase!#REF!,"")
-
SUMIFS(L:L,F:F,F1852)))</f>
        <v/>
      </c>
      <c r="O1852" s="13" t="str">
        <f t="shared" si="200"/>
        <v/>
      </c>
      <c r="P1852" s="35" t="str">
        <f>_xlfn.SINGLE(IF(F1852="","",_xlfn.XLOOKUP(F1852,purchase!D:D,purchase!K:K,"")))</f>
        <v/>
      </c>
      <c r="Q1852" s="29" t="str">
        <f t="shared" si="201"/>
        <v/>
      </c>
      <c r="R1852" s="37" t="str">
        <f t="shared" si="202"/>
        <v/>
      </c>
    </row>
    <row r="1853" spans="1:18" x14ac:dyDescent="0.35">
      <c r="A1853" s="8">
        <v>1849</v>
      </c>
      <c r="B1853" s="9" t="str">
        <f t="shared" si="196"/>
        <v/>
      </c>
      <c r="C1853" s="10"/>
      <c r="D1853" s="9" t="str">
        <f>IF(F1853="","",_xlfn.XLOOKUP(F1853,purchase!D:D,purchase!#REF!,""))</f>
        <v/>
      </c>
      <c r="E1853" s="9" t="str">
        <f>IF(F1853="","",_xlfn.XLOOKUP(F1853,purchase!D:D,purchase!B:B,""))</f>
        <v/>
      </c>
      <c r="F1853" s="2"/>
      <c r="G1853" s="4" t="str">
        <f t="shared" si="197"/>
        <v/>
      </c>
      <c r="H1853" s="4" t="str">
        <f>IF(F1853="","",_xlfn.XLOOKUP(F1853,purchase!D:D,purchase!#REF!,""))</f>
        <v/>
      </c>
      <c r="I1853" s="4" t="str">
        <f t="shared" si="198"/>
        <v/>
      </c>
      <c r="J1853" s="4" t="str">
        <f t="shared" si="199"/>
        <v/>
      </c>
      <c r="K1853" s="13" t="str">
        <f>_xlfn.SINGLE(IF(F1853="","",_xlfn.XLOOKUP(F1853,purchase!D:D,purchase!#REF!,"")))</f>
        <v/>
      </c>
      <c r="L1853" s="2"/>
      <c r="M1853" s="32"/>
      <c r="N1853" s="13" t="str">
        <f>IF(F1853="","",
MAX(0,
_xlfn.XLOOKUP(F1853,purchase!D:D,purchase!#REF!,"")
-
SUMIFS(L:L,F:F,F1853)))</f>
        <v/>
      </c>
      <c r="O1853" s="13" t="str">
        <f t="shared" si="200"/>
        <v/>
      </c>
      <c r="P1853" s="35" t="str">
        <f>_xlfn.SINGLE(IF(F1853="","",_xlfn.XLOOKUP(F1853,purchase!D:D,purchase!K:K,"")))</f>
        <v/>
      </c>
      <c r="Q1853" s="29" t="str">
        <f t="shared" si="201"/>
        <v/>
      </c>
      <c r="R1853" s="37" t="str">
        <f t="shared" si="202"/>
        <v/>
      </c>
    </row>
    <row r="1854" spans="1:18" x14ac:dyDescent="0.35">
      <c r="A1854" s="8">
        <v>1850</v>
      </c>
      <c r="B1854" s="9" t="str">
        <f t="shared" si="196"/>
        <v/>
      </c>
      <c r="C1854" s="10"/>
      <c r="D1854" s="9" t="str">
        <f>IF(F1854="","",_xlfn.XLOOKUP(F1854,purchase!D:D,purchase!#REF!,""))</f>
        <v/>
      </c>
      <c r="E1854" s="9" t="str">
        <f>IF(F1854="","",_xlfn.XLOOKUP(F1854,purchase!D:D,purchase!B:B,""))</f>
        <v/>
      </c>
      <c r="F1854" s="2"/>
      <c r="G1854" s="4" t="str">
        <f t="shared" si="197"/>
        <v/>
      </c>
      <c r="H1854" s="4" t="str">
        <f>IF(F1854="","",_xlfn.XLOOKUP(F1854,purchase!D:D,purchase!#REF!,""))</f>
        <v/>
      </c>
      <c r="I1854" s="4" t="str">
        <f t="shared" si="198"/>
        <v/>
      </c>
      <c r="J1854" s="4" t="str">
        <f t="shared" si="199"/>
        <v/>
      </c>
      <c r="K1854" s="13" t="str">
        <f>_xlfn.SINGLE(IF(F1854="","",_xlfn.XLOOKUP(F1854,purchase!D:D,purchase!#REF!,"")))</f>
        <v/>
      </c>
      <c r="L1854" s="2"/>
      <c r="M1854" s="32"/>
      <c r="N1854" s="13" t="str">
        <f>IF(F1854="","",
MAX(0,
_xlfn.XLOOKUP(F1854,purchase!D:D,purchase!#REF!,"")
-
SUMIFS(L:L,F:F,F1854)))</f>
        <v/>
      </c>
      <c r="O1854" s="13" t="str">
        <f t="shared" si="200"/>
        <v/>
      </c>
      <c r="P1854" s="35" t="str">
        <f>_xlfn.SINGLE(IF(F1854="","",_xlfn.XLOOKUP(F1854,purchase!D:D,purchase!K:K,"")))</f>
        <v/>
      </c>
      <c r="Q1854" s="29" t="str">
        <f t="shared" si="201"/>
        <v/>
      </c>
      <c r="R1854" s="37" t="str">
        <f t="shared" si="202"/>
        <v/>
      </c>
    </row>
    <row r="1855" spans="1:18" x14ac:dyDescent="0.35">
      <c r="A1855" s="8">
        <v>1851</v>
      </c>
      <c r="B1855" s="9" t="str">
        <f t="shared" si="196"/>
        <v/>
      </c>
      <c r="C1855" s="10"/>
      <c r="D1855" s="9" t="str">
        <f>IF(F1855="","",_xlfn.XLOOKUP(F1855,purchase!D:D,purchase!#REF!,""))</f>
        <v/>
      </c>
      <c r="E1855" s="9" t="str">
        <f>IF(F1855="","",_xlfn.XLOOKUP(F1855,purchase!D:D,purchase!B:B,""))</f>
        <v/>
      </c>
      <c r="F1855" s="2"/>
      <c r="G1855" s="4" t="str">
        <f t="shared" si="197"/>
        <v/>
      </c>
      <c r="H1855" s="4" t="str">
        <f>IF(F1855="","",_xlfn.XLOOKUP(F1855,purchase!D:D,purchase!#REF!,""))</f>
        <v/>
      </c>
      <c r="I1855" s="4" t="str">
        <f t="shared" si="198"/>
        <v/>
      </c>
      <c r="J1855" s="4" t="str">
        <f t="shared" si="199"/>
        <v/>
      </c>
      <c r="K1855" s="13" t="str">
        <f>_xlfn.SINGLE(IF(F1855="","",_xlfn.XLOOKUP(F1855,purchase!D:D,purchase!#REF!,"")))</f>
        <v/>
      </c>
      <c r="L1855" s="2"/>
      <c r="M1855" s="32"/>
      <c r="N1855" s="13" t="str">
        <f>IF(F1855="","",
MAX(0,
_xlfn.XLOOKUP(F1855,purchase!D:D,purchase!#REF!,"")
-
SUMIFS(L:L,F:F,F1855)))</f>
        <v/>
      </c>
      <c r="O1855" s="13" t="str">
        <f t="shared" si="200"/>
        <v/>
      </c>
      <c r="P1855" s="35" t="str">
        <f>_xlfn.SINGLE(IF(F1855="","",_xlfn.XLOOKUP(F1855,purchase!D:D,purchase!K:K,"")))</f>
        <v/>
      </c>
      <c r="Q1855" s="29" t="str">
        <f t="shared" si="201"/>
        <v/>
      </c>
      <c r="R1855" s="37" t="str">
        <f t="shared" si="202"/>
        <v/>
      </c>
    </row>
    <row r="1856" spans="1:18" x14ac:dyDescent="0.35">
      <c r="A1856" s="8">
        <v>1852</v>
      </c>
      <c r="B1856" s="9" t="str">
        <f t="shared" si="196"/>
        <v/>
      </c>
      <c r="C1856" s="10"/>
      <c r="D1856" s="9" t="str">
        <f>IF(F1856="","",_xlfn.XLOOKUP(F1856,purchase!D:D,purchase!#REF!,""))</f>
        <v/>
      </c>
      <c r="E1856" s="9" t="str">
        <f>IF(F1856="","",_xlfn.XLOOKUP(F1856,purchase!D:D,purchase!B:B,""))</f>
        <v/>
      </c>
      <c r="F1856" s="2"/>
      <c r="G1856" s="4" t="str">
        <f t="shared" si="197"/>
        <v/>
      </c>
      <c r="H1856" s="4" t="str">
        <f>IF(F1856="","",_xlfn.XLOOKUP(F1856,purchase!D:D,purchase!#REF!,""))</f>
        <v/>
      </c>
      <c r="I1856" s="4" t="str">
        <f t="shared" si="198"/>
        <v/>
      </c>
      <c r="J1856" s="4" t="str">
        <f t="shared" si="199"/>
        <v/>
      </c>
      <c r="K1856" s="13" t="str">
        <f>_xlfn.SINGLE(IF(F1856="","",_xlfn.XLOOKUP(F1856,purchase!D:D,purchase!#REF!,"")))</f>
        <v/>
      </c>
      <c r="L1856" s="2"/>
      <c r="M1856" s="32"/>
      <c r="N1856" s="13" t="str">
        <f>IF(F1856="","",
MAX(0,
_xlfn.XLOOKUP(F1856,purchase!D:D,purchase!#REF!,"")
-
SUMIFS(L:L,F:F,F1856)))</f>
        <v/>
      </c>
      <c r="O1856" s="13" t="str">
        <f t="shared" si="200"/>
        <v/>
      </c>
      <c r="P1856" s="35" t="str">
        <f>_xlfn.SINGLE(IF(F1856="","",_xlfn.XLOOKUP(F1856,purchase!D:D,purchase!K:K,"")))</f>
        <v/>
      </c>
      <c r="Q1856" s="29" t="str">
        <f t="shared" si="201"/>
        <v/>
      </c>
      <c r="R1856" s="37" t="str">
        <f t="shared" si="202"/>
        <v/>
      </c>
    </row>
    <row r="1857" spans="1:18" x14ac:dyDescent="0.35">
      <c r="A1857" s="8">
        <v>1853</v>
      </c>
      <c r="B1857" s="9" t="str">
        <f t="shared" si="196"/>
        <v/>
      </c>
      <c r="C1857" s="10"/>
      <c r="D1857" s="9" t="str">
        <f>IF(F1857="","",_xlfn.XLOOKUP(F1857,purchase!D:D,purchase!#REF!,""))</f>
        <v/>
      </c>
      <c r="E1857" s="9" t="str">
        <f>IF(F1857="","",_xlfn.XLOOKUP(F1857,purchase!D:D,purchase!B:B,""))</f>
        <v/>
      </c>
      <c r="F1857" s="2"/>
      <c r="G1857" s="4" t="str">
        <f t="shared" si="197"/>
        <v/>
      </c>
      <c r="H1857" s="4" t="str">
        <f>IF(F1857="","",_xlfn.XLOOKUP(F1857,purchase!D:D,purchase!#REF!,""))</f>
        <v/>
      </c>
      <c r="I1857" s="4" t="str">
        <f t="shared" si="198"/>
        <v/>
      </c>
      <c r="J1857" s="4" t="str">
        <f t="shared" si="199"/>
        <v/>
      </c>
      <c r="K1857" s="13" t="str">
        <f>_xlfn.SINGLE(IF(F1857="","",_xlfn.XLOOKUP(F1857,purchase!D:D,purchase!#REF!,"")))</f>
        <v/>
      </c>
      <c r="L1857" s="2"/>
      <c r="M1857" s="32"/>
      <c r="N1857" s="13" t="str">
        <f>IF(F1857="","",
MAX(0,
_xlfn.XLOOKUP(F1857,purchase!D:D,purchase!#REF!,"")
-
SUMIFS(L:L,F:F,F1857)))</f>
        <v/>
      </c>
      <c r="O1857" s="13" t="str">
        <f t="shared" si="200"/>
        <v/>
      </c>
      <c r="P1857" s="35" t="str">
        <f>_xlfn.SINGLE(IF(F1857="","",_xlfn.XLOOKUP(F1857,purchase!D:D,purchase!K:K,"")))</f>
        <v/>
      </c>
      <c r="Q1857" s="29" t="str">
        <f t="shared" si="201"/>
        <v/>
      </c>
      <c r="R1857" s="37" t="str">
        <f t="shared" si="202"/>
        <v/>
      </c>
    </row>
    <row r="1858" spans="1:18" x14ac:dyDescent="0.35">
      <c r="A1858" s="8">
        <v>1854</v>
      </c>
      <c r="B1858" s="9" t="str">
        <f t="shared" si="196"/>
        <v/>
      </c>
      <c r="C1858" s="10"/>
      <c r="D1858" s="9" t="str">
        <f>IF(F1858="","",_xlfn.XLOOKUP(F1858,purchase!D:D,purchase!#REF!,""))</f>
        <v/>
      </c>
      <c r="E1858" s="9" t="str">
        <f>IF(F1858="","",_xlfn.XLOOKUP(F1858,purchase!D:D,purchase!B:B,""))</f>
        <v/>
      </c>
      <c r="F1858" s="2"/>
      <c r="G1858" s="4" t="str">
        <f t="shared" si="197"/>
        <v/>
      </c>
      <c r="H1858" s="4" t="str">
        <f>IF(F1858="","",_xlfn.XLOOKUP(F1858,purchase!D:D,purchase!#REF!,""))</f>
        <v/>
      </c>
      <c r="I1858" s="4" t="str">
        <f t="shared" si="198"/>
        <v/>
      </c>
      <c r="J1858" s="4" t="str">
        <f t="shared" si="199"/>
        <v/>
      </c>
      <c r="K1858" s="13" t="str">
        <f>_xlfn.SINGLE(IF(F1858="","",_xlfn.XLOOKUP(F1858,purchase!D:D,purchase!#REF!,"")))</f>
        <v/>
      </c>
      <c r="L1858" s="2"/>
      <c r="M1858" s="32"/>
      <c r="N1858" s="13" t="str">
        <f>IF(F1858="","",
MAX(0,
_xlfn.XLOOKUP(F1858,purchase!D:D,purchase!#REF!,"")
-
SUMIFS(L:L,F:F,F1858)))</f>
        <v/>
      </c>
      <c r="O1858" s="13" t="str">
        <f t="shared" si="200"/>
        <v/>
      </c>
      <c r="P1858" s="35" t="str">
        <f>_xlfn.SINGLE(IF(F1858="","",_xlfn.XLOOKUP(F1858,purchase!D:D,purchase!K:K,"")))</f>
        <v/>
      </c>
      <c r="Q1858" s="29" t="str">
        <f t="shared" si="201"/>
        <v/>
      </c>
      <c r="R1858" s="37" t="str">
        <f t="shared" si="202"/>
        <v/>
      </c>
    </row>
    <row r="1859" spans="1:18" x14ac:dyDescent="0.35">
      <c r="A1859" s="8">
        <v>1855</v>
      </c>
      <c r="B1859" s="9" t="str">
        <f t="shared" si="196"/>
        <v/>
      </c>
      <c r="C1859" s="10"/>
      <c r="D1859" s="9" t="str">
        <f>IF(F1859="","",_xlfn.XLOOKUP(F1859,purchase!D:D,purchase!#REF!,""))</f>
        <v/>
      </c>
      <c r="E1859" s="9" t="str">
        <f>IF(F1859="","",_xlfn.XLOOKUP(F1859,purchase!D:D,purchase!B:B,""))</f>
        <v/>
      </c>
      <c r="F1859" s="2"/>
      <c r="G1859" s="4" t="str">
        <f t="shared" si="197"/>
        <v/>
      </c>
      <c r="H1859" s="4" t="str">
        <f>IF(F1859="","",_xlfn.XLOOKUP(F1859,purchase!D:D,purchase!#REF!,""))</f>
        <v/>
      </c>
      <c r="I1859" s="4" t="str">
        <f t="shared" si="198"/>
        <v/>
      </c>
      <c r="J1859" s="4" t="str">
        <f t="shared" si="199"/>
        <v/>
      </c>
      <c r="K1859" s="13" t="str">
        <f>_xlfn.SINGLE(IF(F1859="","",_xlfn.XLOOKUP(F1859,purchase!D:D,purchase!#REF!,"")))</f>
        <v/>
      </c>
      <c r="L1859" s="2"/>
      <c r="M1859" s="32"/>
      <c r="N1859" s="13" t="str">
        <f>IF(F1859="","",
MAX(0,
_xlfn.XLOOKUP(F1859,purchase!D:D,purchase!#REF!,"")
-
SUMIFS(L:L,F:F,F1859)))</f>
        <v/>
      </c>
      <c r="O1859" s="13" t="str">
        <f t="shared" si="200"/>
        <v/>
      </c>
      <c r="P1859" s="35" t="str">
        <f>_xlfn.SINGLE(IF(F1859="","",_xlfn.XLOOKUP(F1859,purchase!D:D,purchase!K:K,"")))</f>
        <v/>
      </c>
      <c r="Q1859" s="29" t="str">
        <f t="shared" si="201"/>
        <v/>
      </c>
      <c r="R1859" s="37" t="str">
        <f t="shared" si="202"/>
        <v/>
      </c>
    </row>
    <row r="1860" spans="1:18" x14ac:dyDescent="0.35">
      <c r="A1860" s="8">
        <v>1856</v>
      </c>
      <c r="B1860" s="9" t="str">
        <f t="shared" si="196"/>
        <v/>
      </c>
      <c r="C1860" s="10"/>
      <c r="D1860" s="9" t="str">
        <f>IF(F1860="","",_xlfn.XLOOKUP(F1860,purchase!D:D,purchase!#REF!,""))</f>
        <v/>
      </c>
      <c r="E1860" s="9" t="str">
        <f>IF(F1860="","",_xlfn.XLOOKUP(F1860,purchase!D:D,purchase!B:B,""))</f>
        <v/>
      </c>
      <c r="F1860" s="2"/>
      <c r="G1860" s="4" t="str">
        <f t="shared" si="197"/>
        <v/>
      </c>
      <c r="H1860" s="4" t="str">
        <f>IF(F1860="","",_xlfn.XLOOKUP(F1860,purchase!D:D,purchase!#REF!,""))</f>
        <v/>
      </c>
      <c r="I1860" s="4" t="str">
        <f t="shared" si="198"/>
        <v/>
      </c>
      <c r="J1860" s="4" t="str">
        <f t="shared" si="199"/>
        <v/>
      </c>
      <c r="K1860" s="13" t="str">
        <f>_xlfn.SINGLE(IF(F1860="","",_xlfn.XLOOKUP(F1860,purchase!D:D,purchase!#REF!,"")))</f>
        <v/>
      </c>
      <c r="L1860" s="2"/>
      <c r="M1860" s="32"/>
      <c r="N1860" s="13" t="str">
        <f>IF(F1860="","",
MAX(0,
_xlfn.XLOOKUP(F1860,purchase!D:D,purchase!#REF!,"")
-
SUMIFS(L:L,F:F,F1860)))</f>
        <v/>
      </c>
      <c r="O1860" s="13" t="str">
        <f t="shared" si="200"/>
        <v/>
      </c>
      <c r="P1860" s="35" t="str">
        <f>_xlfn.SINGLE(IF(F1860="","",_xlfn.XLOOKUP(F1860,purchase!D:D,purchase!K:K,"")))</f>
        <v/>
      </c>
      <c r="Q1860" s="29" t="str">
        <f t="shared" si="201"/>
        <v/>
      </c>
      <c r="R1860" s="37" t="str">
        <f t="shared" si="202"/>
        <v/>
      </c>
    </row>
    <row r="1861" spans="1:18" x14ac:dyDescent="0.35">
      <c r="A1861" s="8">
        <v>1857</v>
      </c>
      <c r="B1861" s="9" t="str">
        <f t="shared" ref="B1861:B1924" si="203">IF(OR(C1861="",F1861=""),"",
"PRD-" &amp;
TEXT(DAY(C1861),"00") &amp;
CHOOSE(MONTH(C1861),"A","B","C","D","E","F","G","H","I","J","K","L") &amp;
TEXT(YEAR(C1861),"00") &amp;
"-" &amp;
RIGHT(F1861,4))</f>
        <v/>
      </c>
      <c r="C1861" s="10"/>
      <c r="D1861" s="9" t="str">
        <f>IF(F1861="","",_xlfn.XLOOKUP(F1861,purchase!D:D,purchase!#REF!,""))</f>
        <v/>
      </c>
      <c r="E1861" s="9" t="str">
        <f>IF(F1861="","",_xlfn.XLOOKUP(F1861,purchase!D:D,purchase!B:B,""))</f>
        <v/>
      </c>
      <c r="F1861" s="2"/>
      <c r="G1861" s="4" t="str">
        <f t="shared" ref="G1861:G1924" si="204">IF(H1861="NRFC","Natural Rubber Field Coagulam","")</f>
        <v/>
      </c>
      <c r="H1861" s="4" t="str">
        <f>IF(F1861="","",_xlfn.XLOOKUP(F1861,purchase!D:D,purchase!#REF!,""))</f>
        <v/>
      </c>
      <c r="I1861" s="4" t="str">
        <f t="shared" ref="I1861:I1924" si="205">IF(J1861="ISNR20","Natural Rubber-TSNR (ISNR-20)","")</f>
        <v/>
      </c>
      <c r="J1861" s="4" t="str">
        <f t="shared" ref="J1861:J1924" si="206">IF(H1861="NRFC","ISNR20","")</f>
        <v/>
      </c>
      <c r="K1861" s="13" t="str">
        <f>_xlfn.SINGLE(IF(F1861="","",_xlfn.XLOOKUP(F1861,purchase!D:D,purchase!#REF!,"")))</f>
        <v/>
      </c>
      <c r="L1861" s="2"/>
      <c r="M1861" s="32"/>
      <c r="N1861" s="13" t="str">
        <f>IF(F1861="","",
MAX(0,
_xlfn.XLOOKUP(F1861,purchase!D:D,purchase!#REF!,"")
-
SUMIFS(L:L,F:F,F1861)))</f>
        <v/>
      </c>
      <c r="O1861" s="13" t="str">
        <f t="shared" ref="O1861:O1924" si="207">IF(OR(L1861="",M1861=""),"",L1861-M1861)</f>
        <v/>
      </c>
      <c r="P1861" s="35" t="str">
        <f>_xlfn.SINGLE(IF(F1861="","",_xlfn.XLOOKUP(F1861,purchase!D:D,purchase!K:K,"")))</f>
        <v/>
      </c>
      <c r="Q1861" s="29" t="str">
        <f t="shared" ref="Q1861:Q1924" si="208">IF(OR(L1861="",M1861=""),"",M1861/L1861)</f>
        <v/>
      </c>
      <c r="R1861" s="37" t="str">
        <f t="shared" ref="R1861:R1924" si="209">IF(OR(P1861="",Q1861=""),"",Q1861-P1861)</f>
        <v/>
      </c>
    </row>
    <row r="1862" spans="1:18" x14ac:dyDescent="0.35">
      <c r="A1862" s="8">
        <v>1858</v>
      </c>
      <c r="B1862" s="9" t="str">
        <f t="shared" si="203"/>
        <v/>
      </c>
      <c r="C1862" s="10"/>
      <c r="D1862" s="9" t="str">
        <f>IF(F1862="","",_xlfn.XLOOKUP(F1862,purchase!D:D,purchase!#REF!,""))</f>
        <v/>
      </c>
      <c r="E1862" s="9" t="str">
        <f>IF(F1862="","",_xlfn.XLOOKUP(F1862,purchase!D:D,purchase!B:B,""))</f>
        <v/>
      </c>
      <c r="F1862" s="2"/>
      <c r="G1862" s="4" t="str">
        <f t="shared" si="204"/>
        <v/>
      </c>
      <c r="H1862" s="4" t="str">
        <f>IF(F1862="","",_xlfn.XLOOKUP(F1862,purchase!D:D,purchase!#REF!,""))</f>
        <v/>
      </c>
      <c r="I1862" s="4" t="str">
        <f t="shared" si="205"/>
        <v/>
      </c>
      <c r="J1862" s="4" t="str">
        <f t="shared" si="206"/>
        <v/>
      </c>
      <c r="K1862" s="13" t="str">
        <f>_xlfn.SINGLE(IF(F1862="","",_xlfn.XLOOKUP(F1862,purchase!D:D,purchase!#REF!,"")))</f>
        <v/>
      </c>
      <c r="L1862" s="2"/>
      <c r="M1862" s="32"/>
      <c r="N1862" s="13" t="str">
        <f>IF(F1862="","",
MAX(0,
_xlfn.XLOOKUP(F1862,purchase!D:D,purchase!#REF!,"")
-
SUMIFS(L:L,F:F,F1862)))</f>
        <v/>
      </c>
      <c r="O1862" s="13" t="str">
        <f t="shared" si="207"/>
        <v/>
      </c>
      <c r="P1862" s="35" t="str">
        <f>_xlfn.SINGLE(IF(F1862="","",_xlfn.XLOOKUP(F1862,purchase!D:D,purchase!K:K,"")))</f>
        <v/>
      </c>
      <c r="Q1862" s="29" t="str">
        <f t="shared" si="208"/>
        <v/>
      </c>
      <c r="R1862" s="37" t="str">
        <f t="shared" si="209"/>
        <v/>
      </c>
    </row>
    <row r="1863" spans="1:18" x14ac:dyDescent="0.35">
      <c r="A1863" s="8">
        <v>1859</v>
      </c>
      <c r="B1863" s="9" t="str">
        <f t="shared" si="203"/>
        <v/>
      </c>
      <c r="C1863" s="10"/>
      <c r="D1863" s="9" t="str">
        <f>IF(F1863="","",_xlfn.XLOOKUP(F1863,purchase!D:D,purchase!#REF!,""))</f>
        <v/>
      </c>
      <c r="E1863" s="9" t="str">
        <f>IF(F1863="","",_xlfn.XLOOKUP(F1863,purchase!D:D,purchase!B:B,""))</f>
        <v/>
      </c>
      <c r="F1863" s="2"/>
      <c r="G1863" s="4" t="str">
        <f t="shared" si="204"/>
        <v/>
      </c>
      <c r="H1863" s="4" t="str">
        <f>IF(F1863="","",_xlfn.XLOOKUP(F1863,purchase!D:D,purchase!#REF!,""))</f>
        <v/>
      </c>
      <c r="I1863" s="4" t="str">
        <f t="shared" si="205"/>
        <v/>
      </c>
      <c r="J1863" s="4" t="str">
        <f t="shared" si="206"/>
        <v/>
      </c>
      <c r="K1863" s="13" t="str">
        <f>_xlfn.SINGLE(IF(F1863="","",_xlfn.XLOOKUP(F1863,purchase!D:D,purchase!#REF!,"")))</f>
        <v/>
      </c>
      <c r="L1863" s="2"/>
      <c r="M1863" s="32"/>
      <c r="N1863" s="13" t="str">
        <f>IF(F1863="","",
MAX(0,
_xlfn.XLOOKUP(F1863,purchase!D:D,purchase!#REF!,"")
-
SUMIFS(L:L,F:F,F1863)))</f>
        <v/>
      </c>
      <c r="O1863" s="13" t="str">
        <f t="shared" si="207"/>
        <v/>
      </c>
      <c r="P1863" s="35" t="str">
        <f>_xlfn.SINGLE(IF(F1863="","",_xlfn.XLOOKUP(F1863,purchase!D:D,purchase!K:K,"")))</f>
        <v/>
      </c>
      <c r="Q1863" s="29" t="str">
        <f t="shared" si="208"/>
        <v/>
      </c>
      <c r="R1863" s="37" t="str">
        <f t="shared" si="209"/>
        <v/>
      </c>
    </row>
    <row r="1864" spans="1:18" x14ac:dyDescent="0.35">
      <c r="A1864" s="8">
        <v>1860</v>
      </c>
      <c r="B1864" s="9" t="str">
        <f t="shared" si="203"/>
        <v/>
      </c>
      <c r="C1864" s="10"/>
      <c r="D1864" s="9" t="str">
        <f>IF(F1864="","",_xlfn.XLOOKUP(F1864,purchase!D:D,purchase!#REF!,""))</f>
        <v/>
      </c>
      <c r="E1864" s="9" t="str">
        <f>IF(F1864="","",_xlfn.XLOOKUP(F1864,purchase!D:D,purchase!B:B,""))</f>
        <v/>
      </c>
      <c r="F1864" s="2"/>
      <c r="G1864" s="4" t="str">
        <f t="shared" si="204"/>
        <v/>
      </c>
      <c r="H1864" s="4" t="str">
        <f>IF(F1864="","",_xlfn.XLOOKUP(F1864,purchase!D:D,purchase!#REF!,""))</f>
        <v/>
      </c>
      <c r="I1864" s="4" t="str">
        <f t="shared" si="205"/>
        <v/>
      </c>
      <c r="J1864" s="4" t="str">
        <f t="shared" si="206"/>
        <v/>
      </c>
      <c r="K1864" s="13" t="str">
        <f>_xlfn.SINGLE(IF(F1864="","",_xlfn.XLOOKUP(F1864,purchase!D:D,purchase!#REF!,"")))</f>
        <v/>
      </c>
      <c r="L1864" s="2"/>
      <c r="M1864" s="32"/>
      <c r="N1864" s="13" t="str">
        <f>IF(F1864="","",
MAX(0,
_xlfn.XLOOKUP(F1864,purchase!D:D,purchase!#REF!,"")
-
SUMIFS(L:L,F:F,F1864)))</f>
        <v/>
      </c>
      <c r="O1864" s="13" t="str">
        <f t="shared" si="207"/>
        <v/>
      </c>
      <c r="P1864" s="35" t="str">
        <f>_xlfn.SINGLE(IF(F1864="","",_xlfn.XLOOKUP(F1864,purchase!D:D,purchase!K:K,"")))</f>
        <v/>
      </c>
      <c r="Q1864" s="29" t="str">
        <f t="shared" si="208"/>
        <v/>
      </c>
      <c r="R1864" s="37" t="str">
        <f t="shared" si="209"/>
        <v/>
      </c>
    </row>
    <row r="1865" spans="1:18" x14ac:dyDescent="0.35">
      <c r="A1865" s="8">
        <v>1861</v>
      </c>
      <c r="B1865" s="9" t="str">
        <f t="shared" si="203"/>
        <v/>
      </c>
      <c r="C1865" s="10"/>
      <c r="D1865" s="9" t="str">
        <f>IF(F1865="","",_xlfn.XLOOKUP(F1865,purchase!D:D,purchase!#REF!,""))</f>
        <v/>
      </c>
      <c r="E1865" s="9" t="str">
        <f>IF(F1865="","",_xlfn.XLOOKUP(F1865,purchase!D:D,purchase!B:B,""))</f>
        <v/>
      </c>
      <c r="F1865" s="2"/>
      <c r="G1865" s="4" t="str">
        <f t="shared" si="204"/>
        <v/>
      </c>
      <c r="H1865" s="4" t="str">
        <f>IF(F1865="","",_xlfn.XLOOKUP(F1865,purchase!D:D,purchase!#REF!,""))</f>
        <v/>
      </c>
      <c r="I1865" s="4" t="str">
        <f t="shared" si="205"/>
        <v/>
      </c>
      <c r="J1865" s="4" t="str">
        <f t="shared" si="206"/>
        <v/>
      </c>
      <c r="K1865" s="13" t="str">
        <f>_xlfn.SINGLE(IF(F1865="","",_xlfn.XLOOKUP(F1865,purchase!D:D,purchase!#REF!,"")))</f>
        <v/>
      </c>
      <c r="L1865" s="2"/>
      <c r="M1865" s="32"/>
      <c r="N1865" s="13" t="str">
        <f>IF(F1865="","",
MAX(0,
_xlfn.XLOOKUP(F1865,purchase!D:D,purchase!#REF!,"")
-
SUMIFS(L:L,F:F,F1865)))</f>
        <v/>
      </c>
      <c r="O1865" s="13" t="str">
        <f t="shared" si="207"/>
        <v/>
      </c>
      <c r="P1865" s="35" t="str">
        <f>_xlfn.SINGLE(IF(F1865="","",_xlfn.XLOOKUP(F1865,purchase!D:D,purchase!K:K,"")))</f>
        <v/>
      </c>
      <c r="Q1865" s="29" t="str">
        <f t="shared" si="208"/>
        <v/>
      </c>
      <c r="R1865" s="37" t="str">
        <f t="shared" si="209"/>
        <v/>
      </c>
    </row>
    <row r="1866" spans="1:18" x14ac:dyDescent="0.35">
      <c r="A1866" s="8">
        <v>1862</v>
      </c>
      <c r="B1866" s="9" t="str">
        <f t="shared" si="203"/>
        <v/>
      </c>
      <c r="C1866" s="10"/>
      <c r="D1866" s="9" t="str">
        <f>IF(F1866="","",_xlfn.XLOOKUP(F1866,purchase!D:D,purchase!#REF!,""))</f>
        <v/>
      </c>
      <c r="E1866" s="9" t="str">
        <f>IF(F1866="","",_xlfn.XLOOKUP(F1866,purchase!D:D,purchase!B:B,""))</f>
        <v/>
      </c>
      <c r="F1866" s="2"/>
      <c r="G1866" s="4" t="str">
        <f t="shared" si="204"/>
        <v/>
      </c>
      <c r="H1866" s="4" t="str">
        <f>IF(F1866="","",_xlfn.XLOOKUP(F1866,purchase!D:D,purchase!#REF!,""))</f>
        <v/>
      </c>
      <c r="I1866" s="4" t="str">
        <f t="shared" si="205"/>
        <v/>
      </c>
      <c r="J1866" s="4" t="str">
        <f t="shared" si="206"/>
        <v/>
      </c>
      <c r="K1866" s="13" t="str">
        <f>_xlfn.SINGLE(IF(F1866="","",_xlfn.XLOOKUP(F1866,purchase!D:D,purchase!#REF!,"")))</f>
        <v/>
      </c>
      <c r="L1866" s="2"/>
      <c r="M1866" s="32"/>
      <c r="N1866" s="13" t="str">
        <f>IF(F1866="","",
MAX(0,
_xlfn.XLOOKUP(F1866,purchase!D:D,purchase!#REF!,"")
-
SUMIFS(L:L,F:F,F1866)))</f>
        <v/>
      </c>
      <c r="O1866" s="13" t="str">
        <f t="shared" si="207"/>
        <v/>
      </c>
      <c r="P1866" s="35" t="str">
        <f>_xlfn.SINGLE(IF(F1866="","",_xlfn.XLOOKUP(F1866,purchase!D:D,purchase!K:K,"")))</f>
        <v/>
      </c>
      <c r="Q1866" s="29" t="str">
        <f t="shared" si="208"/>
        <v/>
      </c>
      <c r="R1866" s="37" t="str">
        <f t="shared" si="209"/>
        <v/>
      </c>
    </row>
    <row r="1867" spans="1:18" x14ac:dyDescent="0.35">
      <c r="A1867" s="8">
        <v>1863</v>
      </c>
      <c r="B1867" s="9" t="str">
        <f t="shared" si="203"/>
        <v/>
      </c>
      <c r="C1867" s="10"/>
      <c r="D1867" s="9" t="str">
        <f>IF(F1867="","",_xlfn.XLOOKUP(F1867,purchase!D:D,purchase!#REF!,""))</f>
        <v/>
      </c>
      <c r="E1867" s="9" t="str">
        <f>IF(F1867="","",_xlfn.XLOOKUP(F1867,purchase!D:D,purchase!B:B,""))</f>
        <v/>
      </c>
      <c r="F1867" s="2"/>
      <c r="G1867" s="4" t="str">
        <f t="shared" si="204"/>
        <v/>
      </c>
      <c r="H1867" s="4" t="str">
        <f>IF(F1867="","",_xlfn.XLOOKUP(F1867,purchase!D:D,purchase!#REF!,""))</f>
        <v/>
      </c>
      <c r="I1867" s="4" t="str">
        <f t="shared" si="205"/>
        <v/>
      </c>
      <c r="J1867" s="4" t="str">
        <f t="shared" si="206"/>
        <v/>
      </c>
      <c r="K1867" s="13" t="str">
        <f>_xlfn.SINGLE(IF(F1867="","",_xlfn.XLOOKUP(F1867,purchase!D:D,purchase!#REF!,"")))</f>
        <v/>
      </c>
      <c r="L1867" s="2"/>
      <c r="M1867" s="32"/>
      <c r="N1867" s="13" t="str">
        <f>IF(F1867="","",
MAX(0,
_xlfn.XLOOKUP(F1867,purchase!D:D,purchase!#REF!,"")
-
SUMIFS(L:L,F:F,F1867)))</f>
        <v/>
      </c>
      <c r="O1867" s="13" t="str">
        <f t="shared" si="207"/>
        <v/>
      </c>
      <c r="P1867" s="35" t="str">
        <f>_xlfn.SINGLE(IF(F1867="","",_xlfn.XLOOKUP(F1867,purchase!D:D,purchase!K:K,"")))</f>
        <v/>
      </c>
      <c r="Q1867" s="29" t="str">
        <f t="shared" si="208"/>
        <v/>
      </c>
      <c r="R1867" s="37" t="str">
        <f t="shared" si="209"/>
        <v/>
      </c>
    </row>
    <row r="1868" spans="1:18" x14ac:dyDescent="0.35">
      <c r="A1868" s="8">
        <v>1864</v>
      </c>
      <c r="B1868" s="9" t="str">
        <f t="shared" si="203"/>
        <v/>
      </c>
      <c r="C1868" s="10"/>
      <c r="D1868" s="9" t="str">
        <f>IF(F1868="","",_xlfn.XLOOKUP(F1868,purchase!D:D,purchase!#REF!,""))</f>
        <v/>
      </c>
      <c r="E1868" s="9" t="str">
        <f>IF(F1868="","",_xlfn.XLOOKUP(F1868,purchase!D:D,purchase!B:B,""))</f>
        <v/>
      </c>
      <c r="F1868" s="2"/>
      <c r="G1868" s="4" t="str">
        <f t="shared" si="204"/>
        <v/>
      </c>
      <c r="H1868" s="4" t="str">
        <f>IF(F1868="","",_xlfn.XLOOKUP(F1868,purchase!D:D,purchase!#REF!,""))</f>
        <v/>
      </c>
      <c r="I1868" s="4" t="str">
        <f t="shared" si="205"/>
        <v/>
      </c>
      <c r="J1868" s="4" t="str">
        <f t="shared" si="206"/>
        <v/>
      </c>
      <c r="K1868" s="13" t="str">
        <f>_xlfn.SINGLE(IF(F1868="","",_xlfn.XLOOKUP(F1868,purchase!D:D,purchase!#REF!,"")))</f>
        <v/>
      </c>
      <c r="L1868" s="2"/>
      <c r="M1868" s="32"/>
      <c r="N1868" s="13" t="str">
        <f>IF(F1868="","",
MAX(0,
_xlfn.XLOOKUP(F1868,purchase!D:D,purchase!#REF!,"")
-
SUMIFS(L:L,F:F,F1868)))</f>
        <v/>
      </c>
      <c r="O1868" s="13" t="str">
        <f t="shared" si="207"/>
        <v/>
      </c>
      <c r="P1868" s="35" t="str">
        <f>_xlfn.SINGLE(IF(F1868="","",_xlfn.XLOOKUP(F1868,purchase!D:D,purchase!K:K,"")))</f>
        <v/>
      </c>
      <c r="Q1868" s="29" t="str">
        <f t="shared" si="208"/>
        <v/>
      </c>
      <c r="R1868" s="37" t="str">
        <f t="shared" si="209"/>
        <v/>
      </c>
    </row>
    <row r="1869" spans="1:18" x14ac:dyDescent="0.35">
      <c r="A1869" s="8">
        <v>1865</v>
      </c>
      <c r="B1869" s="9" t="str">
        <f t="shared" si="203"/>
        <v/>
      </c>
      <c r="C1869" s="10"/>
      <c r="D1869" s="9" t="str">
        <f>IF(F1869="","",_xlfn.XLOOKUP(F1869,purchase!D:D,purchase!#REF!,""))</f>
        <v/>
      </c>
      <c r="E1869" s="9" t="str">
        <f>IF(F1869="","",_xlfn.XLOOKUP(F1869,purchase!D:D,purchase!B:B,""))</f>
        <v/>
      </c>
      <c r="F1869" s="2"/>
      <c r="G1869" s="4" t="str">
        <f t="shared" si="204"/>
        <v/>
      </c>
      <c r="H1869" s="4" t="str">
        <f>IF(F1869="","",_xlfn.XLOOKUP(F1869,purchase!D:D,purchase!#REF!,""))</f>
        <v/>
      </c>
      <c r="I1869" s="4" t="str">
        <f t="shared" si="205"/>
        <v/>
      </c>
      <c r="J1869" s="4" t="str">
        <f t="shared" si="206"/>
        <v/>
      </c>
      <c r="K1869" s="13" t="str">
        <f>_xlfn.SINGLE(IF(F1869="","",_xlfn.XLOOKUP(F1869,purchase!D:D,purchase!#REF!,"")))</f>
        <v/>
      </c>
      <c r="L1869" s="2"/>
      <c r="M1869" s="32"/>
      <c r="N1869" s="13" t="str">
        <f>IF(F1869="","",
MAX(0,
_xlfn.XLOOKUP(F1869,purchase!D:D,purchase!#REF!,"")
-
SUMIFS(L:L,F:F,F1869)))</f>
        <v/>
      </c>
      <c r="O1869" s="13" t="str">
        <f t="shared" si="207"/>
        <v/>
      </c>
      <c r="P1869" s="35" t="str">
        <f>_xlfn.SINGLE(IF(F1869="","",_xlfn.XLOOKUP(F1869,purchase!D:D,purchase!K:K,"")))</f>
        <v/>
      </c>
      <c r="Q1869" s="29" t="str">
        <f t="shared" si="208"/>
        <v/>
      </c>
      <c r="R1869" s="37" t="str">
        <f t="shared" si="209"/>
        <v/>
      </c>
    </row>
    <row r="1870" spans="1:18" x14ac:dyDescent="0.35">
      <c r="A1870" s="8">
        <v>1866</v>
      </c>
      <c r="B1870" s="9" t="str">
        <f t="shared" si="203"/>
        <v/>
      </c>
      <c r="C1870" s="10"/>
      <c r="D1870" s="9" t="str">
        <f>IF(F1870="","",_xlfn.XLOOKUP(F1870,purchase!D:D,purchase!#REF!,""))</f>
        <v/>
      </c>
      <c r="E1870" s="9" t="str">
        <f>IF(F1870="","",_xlfn.XLOOKUP(F1870,purchase!D:D,purchase!B:B,""))</f>
        <v/>
      </c>
      <c r="F1870" s="2"/>
      <c r="G1870" s="4" t="str">
        <f t="shared" si="204"/>
        <v/>
      </c>
      <c r="H1870" s="4" t="str">
        <f>IF(F1870="","",_xlfn.XLOOKUP(F1870,purchase!D:D,purchase!#REF!,""))</f>
        <v/>
      </c>
      <c r="I1870" s="4" t="str">
        <f t="shared" si="205"/>
        <v/>
      </c>
      <c r="J1870" s="4" t="str">
        <f t="shared" si="206"/>
        <v/>
      </c>
      <c r="K1870" s="13" t="str">
        <f>_xlfn.SINGLE(IF(F1870="","",_xlfn.XLOOKUP(F1870,purchase!D:D,purchase!#REF!,"")))</f>
        <v/>
      </c>
      <c r="L1870" s="2"/>
      <c r="M1870" s="32"/>
      <c r="N1870" s="13" t="str">
        <f>IF(F1870="","",
MAX(0,
_xlfn.XLOOKUP(F1870,purchase!D:D,purchase!#REF!,"")
-
SUMIFS(L:L,F:F,F1870)))</f>
        <v/>
      </c>
      <c r="O1870" s="13" t="str">
        <f t="shared" si="207"/>
        <v/>
      </c>
      <c r="P1870" s="35" t="str">
        <f>_xlfn.SINGLE(IF(F1870="","",_xlfn.XLOOKUP(F1870,purchase!D:D,purchase!K:K,"")))</f>
        <v/>
      </c>
      <c r="Q1870" s="29" t="str">
        <f t="shared" si="208"/>
        <v/>
      </c>
      <c r="R1870" s="37" t="str">
        <f t="shared" si="209"/>
        <v/>
      </c>
    </row>
    <row r="1871" spans="1:18" x14ac:dyDescent="0.35">
      <c r="A1871" s="8">
        <v>1867</v>
      </c>
      <c r="B1871" s="9" t="str">
        <f t="shared" si="203"/>
        <v/>
      </c>
      <c r="C1871" s="10"/>
      <c r="D1871" s="9" t="str">
        <f>IF(F1871="","",_xlfn.XLOOKUP(F1871,purchase!D:D,purchase!#REF!,""))</f>
        <v/>
      </c>
      <c r="E1871" s="9" t="str">
        <f>IF(F1871="","",_xlfn.XLOOKUP(F1871,purchase!D:D,purchase!B:B,""))</f>
        <v/>
      </c>
      <c r="F1871" s="2"/>
      <c r="G1871" s="4" t="str">
        <f t="shared" si="204"/>
        <v/>
      </c>
      <c r="H1871" s="4" t="str">
        <f>IF(F1871="","",_xlfn.XLOOKUP(F1871,purchase!D:D,purchase!#REF!,""))</f>
        <v/>
      </c>
      <c r="I1871" s="4" t="str">
        <f t="shared" si="205"/>
        <v/>
      </c>
      <c r="J1871" s="4" t="str">
        <f t="shared" si="206"/>
        <v/>
      </c>
      <c r="K1871" s="13" t="str">
        <f>_xlfn.SINGLE(IF(F1871="","",_xlfn.XLOOKUP(F1871,purchase!D:D,purchase!#REF!,"")))</f>
        <v/>
      </c>
      <c r="L1871" s="2"/>
      <c r="M1871" s="32"/>
      <c r="N1871" s="13" t="str">
        <f>IF(F1871="","",
MAX(0,
_xlfn.XLOOKUP(F1871,purchase!D:D,purchase!#REF!,"")
-
SUMIFS(L:L,F:F,F1871)))</f>
        <v/>
      </c>
      <c r="O1871" s="13" t="str">
        <f t="shared" si="207"/>
        <v/>
      </c>
      <c r="P1871" s="35" t="str">
        <f>_xlfn.SINGLE(IF(F1871="","",_xlfn.XLOOKUP(F1871,purchase!D:D,purchase!K:K,"")))</f>
        <v/>
      </c>
      <c r="Q1871" s="29" t="str">
        <f t="shared" si="208"/>
        <v/>
      </c>
      <c r="R1871" s="37" t="str">
        <f t="shared" si="209"/>
        <v/>
      </c>
    </row>
    <row r="1872" spans="1:18" x14ac:dyDescent="0.35">
      <c r="A1872" s="8">
        <v>1868</v>
      </c>
      <c r="B1872" s="9" t="str">
        <f t="shared" si="203"/>
        <v/>
      </c>
      <c r="C1872" s="10"/>
      <c r="D1872" s="9" t="str">
        <f>IF(F1872="","",_xlfn.XLOOKUP(F1872,purchase!D:D,purchase!#REF!,""))</f>
        <v/>
      </c>
      <c r="E1872" s="9" t="str">
        <f>IF(F1872="","",_xlfn.XLOOKUP(F1872,purchase!D:D,purchase!B:B,""))</f>
        <v/>
      </c>
      <c r="F1872" s="2"/>
      <c r="G1872" s="4" t="str">
        <f t="shared" si="204"/>
        <v/>
      </c>
      <c r="H1872" s="4" t="str">
        <f>IF(F1872="","",_xlfn.XLOOKUP(F1872,purchase!D:D,purchase!#REF!,""))</f>
        <v/>
      </c>
      <c r="I1872" s="4" t="str">
        <f t="shared" si="205"/>
        <v/>
      </c>
      <c r="J1872" s="4" t="str">
        <f t="shared" si="206"/>
        <v/>
      </c>
      <c r="K1872" s="13" t="str">
        <f>_xlfn.SINGLE(IF(F1872="","",_xlfn.XLOOKUP(F1872,purchase!D:D,purchase!#REF!,"")))</f>
        <v/>
      </c>
      <c r="L1872" s="2"/>
      <c r="M1872" s="32"/>
      <c r="N1872" s="13" t="str">
        <f>IF(F1872="","",
MAX(0,
_xlfn.XLOOKUP(F1872,purchase!D:D,purchase!#REF!,"")
-
SUMIFS(L:L,F:F,F1872)))</f>
        <v/>
      </c>
      <c r="O1872" s="13" t="str">
        <f t="shared" si="207"/>
        <v/>
      </c>
      <c r="P1872" s="35" t="str">
        <f>_xlfn.SINGLE(IF(F1872="","",_xlfn.XLOOKUP(F1872,purchase!D:D,purchase!K:K,"")))</f>
        <v/>
      </c>
      <c r="Q1872" s="29" t="str">
        <f t="shared" si="208"/>
        <v/>
      </c>
      <c r="R1872" s="37" t="str">
        <f t="shared" si="209"/>
        <v/>
      </c>
    </row>
    <row r="1873" spans="1:18" x14ac:dyDescent="0.35">
      <c r="A1873" s="8">
        <v>1869</v>
      </c>
      <c r="B1873" s="9" t="str">
        <f t="shared" si="203"/>
        <v/>
      </c>
      <c r="C1873" s="10"/>
      <c r="D1873" s="9" t="str">
        <f>IF(F1873="","",_xlfn.XLOOKUP(F1873,purchase!D:D,purchase!#REF!,""))</f>
        <v/>
      </c>
      <c r="E1873" s="9" t="str">
        <f>IF(F1873="","",_xlfn.XLOOKUP(F1873,purchase!D:D,purchase!B:B,""))</f>
        <v/>
      </c>
      <c r="F1873" s="2"/>
      <c r="G1873" s="4" t="str">
        <f t="shared" si="204"/>
        <v/>
      </c>
      <c r="H1873" s="4" t="str">
        <f>IF(F1873="","",_xlfn.XLOOKUP(F1873,purchase!D:D,purchase!#REF!,""))</f>
        <v/>
      </c>
      <c r="I1873" s="4" t="str">
        <f t="shared" si="205"/>
        <v/>
      </c>
      <c r="J1873" s="4" t="str">
        <f t="shared" si="206"/>
        <v/>
      </c>
      <c r="K1873" s="13" t="str">
        <f>_xlfn.SINGLE(IF(F1873="","",_xlfn.XLOOKUP(F1873,purchase!D:D,purchase!#REF!,"")))</f>
        <v/>
      </c>
      <c r="L1873" s="2"/>
      <c r="M1873" s="32"/>
      <c r="N1873" s="13" t="str">
        <f>IF(F1873="","",
MAX(0,
_xlfn.XLOOKUP(F1873,purchase!D:D,purchase!#REF!,"")
-
SUMIFS(L:L,F:F,F1873)))</f>
        <v/>
      </c>
      <c r="O1873" s="13" t="str">
        <f t="shared" si="207"/>
        <v/>
      </c>
      <c r="P1873" s="35" t="str">
        <f>_xlfn.SINGLE(IF(F1873="","",_xlfn.XLOOKUP(F1873,purchase!D:D,purchase!K:K,"")))</f>
        <v/>
      </c>
      <c r="Q1873" s="29" t="str">
        <f t="shared" si="208"/>
        <v/>
      </c>
      <c r="R1873" s="37" t="str">
        <f t="shared" si="209"/>
        <v/>
      </c>
    </row>
    <row r="1874" spans="1:18" x14ac:dyDescent="0.35">
      <c r="A1874" s="8">
        <v>1870</v>
      </c>
      <c r="B1874" s="9" t="str">
        <f t="shared" si="203"/>
        <v/>
      </c>
      <c r="C1874" s="10"/>
      <c r="D1874" s="9" t="str">
        <f>IF(F1874="","",_xlfn.XLOOKUP(F1874,purchase!D:D,purchase!#REF!,""))</f>
        <v/>
      </c>
      <c r="E1874" s="9" t="str">
        <f>IF(F1874="","",_xlfn.XLOOKUP(F1874,purchase!D:D,purchase!B:B,""))</f>
        <v/>
      </c>
      <c r="F1874" s="2"/>
      <c r="G1874" s="4" t="str">
        <f t="shared" si="204"/>
        <v/>
      </c>
      <c r="H1874" s="4" t="str">
        <f>IF(F1874="","",_xlfn.XLOOKUP(F1874,purchase!D:D,purchase!#REF!,""))</f>
        <v/>
      </c>
      <c r="I1874" s="4" t="str">
        <f t="shared" si="205"/>
        <v/>
      </c>
      <c r="J1874" s="4" t="str">
        <f t="shared" si="206"/>
        <v/>
      </c>
      <c r="K1874" s="13" t="str">
        <f>_xlfn.SINGLE(IF(F1874="","",_xlfn.XLOOKUP(F1874,purchase!D:D,purchase!#REF!,"")))</f>
        <v/>
      </c>
      <c r="L1874" s="2"/>
      <c r="M1874" s="32"/>
      <c r="N1874" s="13" t="str">
        <f>IF(F1874="","",
MAX(0,
_xlfn.XLOOKUP(F1874,purchase!D:D,purchase!#REF!,"")
-
SUMIFS(L:L,F:F,F1874)))</f>
        <v/>
      </c>
      <c r="O1874" s="13" t="str">
        <f t="shared" si="207"/>
        <v/>
      </c>
      <c r="P1874" s="35" t="str">
        <f>_xlfn.SINGLE(IF(F1874="","",_xlfn.XLOOKUP(F1874,purchase!D:D,purchase!K:K,"")))</f>
        <v/>
      </c>
      <c r="Q1874" s="29" t="str">
        <f t="shared" si="208"/>
        <v/>
      </c>
      <c r="R1874" s="37" t="str">
        <f t="shared" si="209"/>
        <v/>
      </c>
    </row>
    <row r="1875" spans="1:18" x14ac:dyDescent="0.35">
      <c r="A1875" s="8">
        <v>1871</v>
      </c>
      <c r="B1875" s="9" t="str">
        <f t="shared" si="203"/>
        <v/>
      </c>
      <c r="C1875" s="10"/>
      <c r="D1875" s="9" t="str">
        <f>IF(F1875="","",_xlfn.XLOOKUP(F1875,purchase!D:D,purchase!#REF!,""))</f>
        <v/>
      </c>
      <c r="E1875" s="9" t="str">
        <f>IF(F1875="","",_xlfn.XLOOKUP(F1875,purchase!D:D,purchase!B:B,""))</f>
        <v/>
      </c>
      <c r="F1875" s="2"/>
      <c r="G1875" s="4" t="str">
        <f t="shared" si="204"/>
        <v/>
      </c>
      <c r="H1875" s="4" t="str">
        <f>IF(F1875="","",_xlfn.XLOOKUP(F1875,purchase!D:D,purchase!#REF!,""))</f>
        <v/>
      </c>
      <c r="I1875" s="4" t="str">
        <f t="shared" si="205"/>
        <v/>
      </c>
      <c r="J1875" s="4" t="str">
        <f t="shared" si="206"/>
        <v/>
      </c>
      <c r="K1875" s="13" t="str">
        <f>_xlfn.SINGLE(IF(F1875="","",_xlfn.XLOOKUP(F1875,purchase!D:D,purchase!#REF!,"")))</f>
        <v/>
      </c>
      <c r="L1875" s="2"/>
      <c r="M1875" s="32"/>
      <c r="N1875" s="13" t="str">
        <f>IF(F1875="","",
MAX(0,
_xlfn.XLOOKUP(F1875,purchase!D:D,purchase!#REF!,"")
-
SUMIFS(L:L,F:F,F1875)))</f>
        <v/>
      </c>
      <c r="O1875" s="13" t="str">
        <f t="shared" si="207"/>
        <v/>
      </c>
      <c r="P1875" s="35" t="str">
        <f>_xlfn.SINGLE(IF(F1875="","",_xlfn.XLOOKUP(F1875,purchase!D:D,purchase!K:K,"")))</f>
        <v/>
      </c>
      <c r="Q1875" s="29" t="str">
        <f t="shared" si="208"/>
        <v/>
      </c>
      <c r="R1875" s="37" t="str">
        <f t="shared" si="209"/>
        <v/>
      </c>
    </row>
    <row r="1876" spans="1:18" x14ac:dyDescent="0.35">
      <c r="A1876" s="8">
        <v>1872</v>
      </c>
      <c r="B1876" s="9" t="str">
        <f t="shared" si="203"/>
        <v/>
      </c>
      <c r="C1876" s="10"/>
      <c r="D1876" s="9" t="str">
        <f>IF(F1876="","",_xlfn.XLOOKUP(F1876,purchase!D:D,purchase!#REF!,""))</f>
        <v/>
      </c>
      <c r="E1876" s="9" t="str">
        <f>IF(F1876="","",_xlfn.XLOOKUP(F1876,purchase!D:D,purchase!B:B,""))</f>
        <v/>
      </c>
      <c r="F1876" s="2"/>
      <c r="G1876" s="4" t="str">
        <f t="shared" si="204"/>
        <v/>
      </c>
      <c r="H1876" s="4" t="str">
        <f>IF(F1876="","",_xlfn.XLOOKUP(F1876,purchase!D:D,purchase!#REF!,""))</f>
        <v/>
      </c>
      <c r="I1876" s="4" t="str">
        <f t="shared" si="205"/>
        <v/>
      </c>
      <c r="J1876" s="4" t="str">
        <f t="shared" si="206"/>
        <v/>
      </c>
      <c r="K1876" s="13" t="str">
        <f>_xlfn.SINGLE(IF(F1876="","",_xlfn.XLOOKUP(F1876,purchase!D:D,purchase!#REF!,"")))</f>
        <v/>
      </c>
      <c r="L1876" s="2"/>
      <c r="M1876" s="32"/>
      <c r="N1876" s="13" t="str">
        <f>IF(F1876="","",
MAX(0,
_xlfn.XLOOKUP(F1876,purchase!D:D,purchase!#REF!,"")
-
SUMIFS(L:L,F:F,F1876)))</f>
        <v/>
      </c>
      <c r="O1876" s="13" t="str">
        <f t="shared" si="207"/>
        <v/>
      </c>
      <c r="P1876" s="35" t="str">
        <f>_xlfn.SINGLE(IF(F1876="","",_xlfn.XLOOKUP(F1876,purchase!D:D,purchase!K:K,"")))</f>
        <v/>
      </c>
      <c r="Q1876" s="29" t="str">
        <f t="shared" si="208"/>
        <v/>
      </c>
      <c r="R1876" s="37" t="str">
        <f t="shared" si="209"/>
        <v/>
      </c>
    </row>
    <row r="1877" spans="1:18" x14ac:dyDescent="0.35">
      <c r="A1877" s="8">
        <v>1873</v>
      </c>
      <c r="B1877" s="9" t="str">
        <f t="shared" si="203"/>
        <v/>
      </c>
      <c r="C1877" s="10"/>
      <c r="D1877" s="9" t="str">
        <f>IF(F1877="","",_xlfn.XLOOKUP(F1877,purchase!D:D,purchase!#REF!,""))</f>
        <v/>
      </c>
      <c r="E1877" s="9" t="str">
        <f>IF(F1877="","",_xlfn.XLOOKUP(F1877,purchase!D:D,purchase!B:B,""))</f>
        <v/>
      </c>
      <c r="F1877" s="2"/>
      <c r="G1877" s="4" t="str">
        <f t="shared" si="204"/>
        <v/>
      </c>
      <c r="H1877" s="4" t="str">
        <f>IF(F1877="","",_xlfn.XLOOKUP(F1877,purchase!D:D,purchase!#REF!,""))</f>
        <v/>
      </c>
      <c r="I1877" s="4" t="str">
        <f t="shared" si="205"/>
        <v/>
      </c>
      <c r="J1877" s="4" t="str">
        <f t="shared" si="206"/>
        <v/>
      </c>
      <c r="K1877" s="13" t="str">
        <f>_xlfn.SINGLE(IF(F1877="","",_xlfn.XLOOKUP(F1877,purchase!D:D,purchase!#REF!,"")))</f>
        <v/>
      </c>
      <c r="L1877" s="2"/>
      <c r="M1877" s="32"/>
      <c r="N1877" s="13" t="str">
        <f>IF(F1877="","",
MAX(0,
_xlfn.XLOOKUP(F1877,purchase!D:D,purchase!#REF!,"")
-
SUMIFS(L:L,F:F,F1877)))</f>
        <v/>
      </c>
      <c r="O1877" s="13" t="str">
        <f t="shared" si="207"/>
        <v/>
      </c>
      <c r="P1877" s="35" t="str">
        <f>_xlfn.SINGLE(IF(F1877="","",_xlfn.XLOOKUP(F1877,purchase!D:D,purchase!K:K,"")))</f>
        <v/>
      </c>
      <c r="Q1877" s="29" t="str">
        <f t="shared" si="208"/>
        <v/>
      </c>
      <c r="R1877" s="37" t="str">
        <f t="shared" si="209"/>
        <v/>
      </c>
    </row>
    <row r="1878" spans="1:18" x14ac:dyDescent="0.35">
      <c r="A1878" s="8">
        <v>1874</v>
      </c>
      <c r="B1878" s="9" t="str">
        <f t="shared" si="203"/>
        <v/>
      </c>
      <c r="C1878" s="10"/>
      <c r="D1878" s="9" t="str">
        <f>IF(F1878="","",_xlfn.XLOOKUP(F1878,purchase!D:D,purchase!#REF!,""))</f>
        <v/>
      </c>
      <c r="E1878" s="9" t="str">
        <f>IF(F1878="","",_xlfn.XLOOKUP(F1878,purchase!D:D,purchase!B:B,""))</f>
        <v/>
      </c>
      <c r="F1878" s="2"/>
      <c r="G1878" s="4" t="str">
        <f t="shared" si="204"/>
        <v/>
      </c>
      <c r="H1878" s="4" t="str">
        <f>IF(F1878="","",_xlfn.XLOOKUP(F1878,purchase!D:D,purchase!#REF!,""))</f>
        <v/>
      </c>
      <c r="I1878" s="4" t="str">
        <f t="shared" si="205"/>
        <v/>
      </c>
      <c r="J1878" s="4" t="str">
        <f t="shared" si="206"/>
        <v/>
      </c>
      <c r="K1878" s="13" t="str">
        <f>_xlfn.SINGLE(IF(F1878="","",_xlfn.XLOOKUP(F1878,purchase!D:D,purchase!#REF!,"")))</f>
        <v/>
      </c>
      <c r="L1878" s="2"/>
      <c r="M1878" s="32"/>
      <c r="N1878" s="13" t="str">
        <f>IF(F1878="","",
MAX(0,
_xlfn.XLOOKUP(F1878,purchase!D:D,purchase!#REF!,"")
-
SUMIFS(L:L,F:F,F1878)))</f>
        <v/>
      </c>
      <c r="O1878" s="13" t="str">
        <f t="shared" si="207"/>
        <v/>
      </c>
      <c r="P1878" s="35" t="str">
        <f>_xlfn.SINGLE(IF(F1878="","",_xlfn.XLOOKUP(F1878,purchase!D:D,purchase!K:K,"")))</f>
        <v/>
      </c>
      <c r="Q1878" s="29" t="str">
        <f t="shared" si="208"/>
        <v/>
      </c>
      <c r="R1878" s="37" t="str">
        <f t="shared" si="209"/>
        <v/>
      </c>
    </row>
    <row r="1879" spans="1:18" x14ac:dyDescent="0.35">
      <c r="A1879" s="8">
        <v>1875</v>
      </c>
      <c r="B1879" s="9" t="str">
        <f t="shared" si="203"/>
        <v/>
      </c>
      <c r="C1879" s="10"/>
      <c r="D1879" s="9" t="str">
        <f>IF(F1879="","",_xlfn.XLOOKUP(F1879,purchase!D:D,purchase!#REF!,""))</f>
        <v/>
      </c>
      <c r="E1879" s="9" t="str">
        <f>IF(F1879="","",_xlfn.XLOOKUP(F1879,purchase!D:D,purchase!B:B,""))</f>
        <v/>
      </c>
      <c r="F1879" s="2"/>
      <c r="G1879" s="4" t="str">
        <f t="shared" si="204"/>
        <v/>
      </c>
      <c r="H1879" s="4" t="str">
        <f>IF(F1879="","",_xlfn.XLOOKUP(F1879,purchase!D:D,purchase!#REF!,""))</f>
        <v/>
      </c>
      <c r="I1879" s="4" t="str">
        <f t="shared" si="205"/>
        <v/>
      </c>
      <c r="J1879" s="4" t="str">
        <f t="shared" si="206"/>
        <v/>
      </c>
      <c r="K1879" s="13" t="str">
        <f>_xlfn.SINGLE(IF(F1879="","",_xlfn.XLOOKUP(F1879,purchase!D:D,purchase!#REF!,"")))</f>
        <v/>
      </c>
      <c r="L1879" s="2"/>
      <c r="M1879" s="32"/>
      <c r="N1879" s="13" t="str">
        <f>IF(F1879="","",
MAX(0,
_xlfn.XLOOKUP(F1879,purchase!D:D,purchase!#REF!,"")
-
SUMIFS(L:L,F:F,F1879)))</f>
        <v/>
      </c>
      <c r="O1879" s="13" t="str">
        <f t="shared" si="207"/>
        <v/>
      </c>
      <c r="P1879" s="35" t="str">
        <f>_xlfn.SINGLE(IF(F1879="","",_xlfn.XLOOKUP(F1879,purchase!D:D,purchase!K:K,"")))</f>
        <v/>
      </c>
      <c r="Q1879" s="29" t="str">
        <f t="shared" si="208"/>
        <v/>
      </c>
      <c r="R1879" s="37" t="str">
        <f t="shared" si="209"/>
        <v/>
      </c>
    </row>
    <row r="1880" spans="1:18" x14ac:dyDescent="0.35">
      <c r="A1880" s="8">
        <v>1876</v>
      </c>
      <c r="B1880" s="9" t="str">
        <f t="shared" si="203"/>
        <v/>
      </c>
      <c r="C1880" s="10"/>
      <c r="D1880" s="9" t="str">
        <f>IF(F1880="","",_xlfn.XLOOKUP(F1880,purchase!D:D,purchase!#REF!,""))</f>
        <v/>
      </c>
      <c r="E1880" s="9" t="str">
        <f>IF(F1880="","",_xlfn.XLOOKUP(F1880,purchase!D:D,purchase!B:B,""))</f>
        <v/>
      </c>
      <c r="F1880" s="2"/>
      <c r="G1880" s="4" t="str">
        <f t="shared" si="204"/>
        <v/>
      </c>
      <c r="H1880" s="4" t="str">
        <f>IF(F1880="","",_xlfn.XLOOKUP(F1880,purchase!D:D,purchase!#REF!,""))</f>
        <v/>
      </c>
      <c r="I1880" s="4" t="str">
        <f t="shared" si="205"/>
        <v/>
      </c>
      <c r="J1880" s="4" t="str">
        <f t="shared" si="206"/>
        <v/>
      </c>
      <c r="K1880" s="13" t="str">
        <f>_xlfn.SINGLE(IF(F1880="","",_xlfn.XLOOKUP(F1880,purchase!D:D,purchase!#REF!,"")))</f>
        <v/>
      </c>
      <c r="L1880" s="2"/>
      <c r="M1880" s="32"/>
      <c r="N1880" s="13" t="str">
        <f>IF(F1880="","",
MAX(0,
_xlfn.XLOOKUP(F1880,purchase!D:D,purchase!#REF!,"")
-
SUMIFS(L:L,F:F,F1880)))</f>
        <v/>
      </c>
      <c r="O1880" s="13" t="str">
        <f t="shared" si="207"/>
        <v/>
      </c>
      <c r="P1880" s="35" t="str">
        <f>_xlfn.SINGLE(IF(F1880="","",_xlfn.XLOOKUP(F1880,purchase!D:D,purchase!K:K,"")))</f>
        <v/>
      </c>
      <c r="Q1880" s="29" t="str">
        <f t="shared" si="208"/>
        <v/>
      </c>
      <c r="R1880" s="37" t="str">
        <f t="shared" si="209"/>
        <v/>
      </c>
    </row>
    <row r="1881" spans="1:18" x14ac:dyDescent="0.35">
      <c r="A1881" s="8">
        <v>1877</v>
      </c>
      <c r="B1881" s="9" t="str">
        <f t="shared" si="203"/>
        <v/>
      </c>
      <c r="C1881" s="10"/>
      <c r="D1881" s="9" t="str">
        <f>IF(F1881="","",_xlfn.XLOOKUP(F1881,purchase!D:D,purchase!#REF!,""))</f>
        <v/>
      </c>
      <c r="E1881" s="9" t="str">
        <f>IF(F1881="","",_xlfn.XLOOKUP(F1881,purchase!D:D,purchase!B:B,""))</f>
        <v/>
      </c>
      <c r="F1881" s="2"/>
      <c r="G1881" s="4" t="str">
        <f t="shared" si="204"/>
        <v/>
      </c>
      <c r="H1881" s="4" t="str">
        <f>IF(F1881="","",_xlfn.XLOOKUP(F1881,purchase!D:D,purchase!#REF!,""))</f>
        <v/>
      </c>
      <c r="I1881" s="4" t="str">
        <f t="shared" si="205"/>
        <v/>
      </c>
      <c r="J1881" s="4" t="str">
        <f t="shared" si="206"/>
        <v/>
      </c>
      <c r="K1881" s="13" t="str">
        <f>_xlfn.SINGLE(IF(F1881="","",_xlfn.XLOOKUP(F1881,purchase!D:D,purchase!#REF!,"")))</f>
        <v/>
      </c>
      <c r="L1881" s="2"/>
      <c r="M1881" s="32"/>
      <c r="N1881" s="13" t="str">
        <f>IF(F1881="","",
MAX(0,
_xlfn.XLOOKUP(F1881,purchase!D:D,purchase!#REF!,"")
-
SUMIFS(L:L,F:F,F1881)))</f>
        <v/>
      </c>
      <c r="O1881" s="13" t="str">
        <f t="shared" si="207"/>
        <v/>
      </c>
      <c r="P1881" s="35" t="str">
        <f>_xlfn.SINGLE(IF(F1881="","",_xlfn.XLOOKUP(F1881,purchase!D:D,purchase!K:K,"")))</f>
        <v/>
      </c>
      <c r="Q1881" s="29" t="str">
        <f t="shared" si="208"/>
        <v/>
      </c>
      <c r="R1881" s="37" t="str">
        <f t="shared" si="209"/>
        <v/>
      </c>
    </row>
    <row r="1882" spans="1:18" x14ac:dyDescent="0.35">
      <c r="A1882" s="8">
        <v>1878</v>
      </c>
      <c r="B1882" s="9" t="str">
        <f t="shared" si="203"/>
        <v/>
      </c>
      <c r="C1882" s="10"/>
      <c r="D1882" s="9" t="str">
        <f>IF(F1882="","",_xlfn.XLOOKUP(F1882,purchase!D:D,purchase!#REF!,""))</f>
        <v/>
      </c>
      <c r="E1882" s="9" t="str">
        <f>IF(F1882="","",_xlfn.XLOOKUP(F1882,purchase!D:D,purchase!B:B,""))</f>
        <v/>
      </c>
      <c r="F1882" s="2"/>
      <c r="G1882" s="4" t="str">
        <f t="shared" si="204"/>
        <v/>
      </c>
      <c r="H1882" s="4" t="str">
        <f>IF(F1882="","",_xlfn.XLOOKUP(F1882,purchase!D:D,purchase!#REF!,""))</f>
        <v/>
      </c>
      <c r="I1882" s="4" t="str">
        <f t="shared" si="205"/>
        <v/>
      </c>
      <c r="J1882" s="4" t="str">
        <f t="shared" si="206"/>
        <v/>
      </c>
      <c r="K1882" s="13" t="str">
        <f>_xlfn.SINGLE(IF(F1882="","",_xlfn.XLOOKUP(F1882,purchase!D:D,purchase!#REF!,"")))</f>
        <v/>
      </c>
      <c r="L1882" s="2"/>
      <c r="M1882" s="32"/>
      <c r="N1882" s="13" t="str">
        <f>IF(F1882="","",
MAX(0,
_xlfn.XLOOKUP(F1882,purchase!D:D,purchase!#REF!,"")
-
SUMIFS(L:L,F:F,F1882)))</f>
        <v/>
      </c>
      <c r="O1882" s="13" t="str">
        <f t="shared" si="207"/>
        <v/>
      </c>
      <c r="P1882" s="35" t="str">
        <f>_xlfn.SINGLE(IF(F1882="","",_xlfn.XLOOKUP(F1882,purchase!D:D,purchase!K:K,"")))</f>
        <v/>
      </c>
      <c r="Q1882" s="29" t="str">
        <f t="shared" si="208"/>
        <v/>
      </c>
      <c r="R1882" s="37" t="str">
        <f t="shared" si="209"/>
        <v/>
      </c>
    </row>
    <row r="1883" spans="1:18" x14ac:dyDescent="0.35">
      <c r="A1883" s="8">
        <v>1879</v>
      </c>
      <c r="B1883" s="9" t="str">
        <f t="shared" si="203"/>
        <v/>
      </c>
      <c r="C1883" s="10"/>
      <c r="D1883" s="9" t="str">
        <f>IF(F1883="","",_xlfn.XLOOKUP(F1883,purchase!D:D,purchase!#REF!,""))</f>
        <v/>
      </c>
      <c r="E1883" s="9" t="str">
        <f>IF(F1883="","",_xlfn.XLOOKUP(F1883,purchase!D:D,purchase!B:B,""))</f>
        <v/>
      </c>
      <c r="F1883" s="2"/>
      <c r="G1883" s="4" t="str">
        <f t="shared" si="204"/>
        <v/>
      </c>
      <c r="H1883" s="4" t="str">
        <f>IF(F1883="","",_xlfn.XLOOKUP(F1883,purchase!D:D,purchase!#REF!,""))</f>
        <v/>
      </c>
      <c r="I1883" s="4" t="str">
        <f t="shared" si="205"/>
        <v/>
      </c>
      <c r="J1883" s="4" t="str">
        <f t="shared" si="206"/>
        <v/>
      </c>
      <c r="K1883" s="13" t="str">
        <f>_xlfn.SINGLE(IF(F1883="","",_xlfn.XLOOKUP(F1883,purchase!D:D,purchase!#REF!,"")))</f>
        <v/>
      </c>
      <c r="L1883" s="2"/>
      <c r="M1883" s="32"/>
      <c r="N1883" s="13" t="str">
        <f>IF(F1883="","",
MAX(0,
_xlfn.XLOOKUP(F1883,purchase!D:D,purchase!#REF!,"")
-
SUMIFS(L:L,F:F,F1883)))</f>
        <v/>
      </c>
      <c r="O1883" s="13" t="str">
        <f t="shared" si="207"/>
        <v/>
      </c>
      <c r="P1883" s="35" t="str">
        <f>_xlfn.SINGLE(IF(F1883="","",_xlfn.XLOOKUP(F1883,purchase!D:D,purchase!K:K,"")))</f>
        <v/>
      </c>
      <c r="Q1883" s="29" t="str">
        <f t="shared" si="208"/>
        <v/>
      </c>
      <c r="R1883" s="37" t="str">
        <f t="shared" si="209"/>
        <v/>
      </c>
    </row>
    <row r="1884" spans="1:18" x14ac:dyDescent="0.35">
      <c r="A1884" s="8">
        <v>1880</v>
      </c>
      <c r="B1884" s="9" t="str">
        <f t="shared" si="203"/>
        <v/>
      </c>
      <c r="C1884" s="10"/>
      <c r="D1884" s="9" t="str">
        <f>IF(F1884="","",_xlfn.XLOOKUP(F1884,purchase!D:D,purchase!#REF!,""))</f>
        <v/>
      </c>
      <c r="E1884" s="9" t="str">
        <f>IF(F1884="","",_xlfn.XLOOKUP(F1884,purchase!D:D,purchase!B:B,""))</f>
        <v/>
      </c>
      <c r="F1884" s="2"/>
      <c r="G1884" s="4" t="str">
        <f t="shared" si="204"/>
        <v/>
      </c>
      <c r="H1884" s="4" t="str">
        <f>IF(F1884="","",_xlfn.XLOOKUP(F1884,purchase!D:D,purchase!#REF!,""))</f>
        <v/>
      </c>
      <c r="I1884" s="4" t="str">
        <f t="shared" si="205"/>
        <v/>
      </c>
      <c r="J1884" s="4" t="str">
        <f t="shared" si="206"/>
        <v/>
      </c>
      <c r="K1884" s="13" t="str">
        <f>_xlfn.SINGLE(IF(F1884="","",_xlfn.XLOOKUP(F1884,purchase!D:D,purchase!#REF!,"")))</f>
        <v/>
      </c>
      <c r="L1884" s="2"/>
      <c r="M1884" s="32"/>
      <c r="N1884" s="13" t="str">
        <f>IF(F1884="","",
MAX(0,
_xlfn.XLOOKUP(F1884,purchase!D:D,purchase!#REF!,"")
-
SUMIFS(L:L,F:F,F1884)))</f>
        <v/>
      </c>
      <c r="O1884" s="13" t="str">
        <f t="shared" si="207"/>
        <v/>
      </c>
      <c r="P1884" s="35" t="str">
        <f>_xlfn.SINGLE(IF(F1884="","",_xlfn.XLOOKUP(F1884,purchase!D:D,purchase!K:K,"")))</f>
        <v/>
      </c>
      <c r="Q1884" s="29" t="str">
        <f t="shared" si="208"/>
        <v/>
      </c>
      <c r="R1884" s="37" t="str">
        <f t="shared" si="209"/>
        <v/>
      </c>
    </row>
    <row r="1885" spans="1:18" x14ac:dyDescent="0.35">
      <c r="A1885" s="8">
        <v>1881</v>
      </c>
      <c r="B1885" s="9" t="str">
        <f t="shared" si="203"/>
        <v/>
      </c>
      <c r="C1885" s="10"/>
      <c r="D1885" s="9" t="str">
        <f>IF(F1885="","",_xlfn.XLOOKUP(F1885,purchase!D:D,purchase!#REF!,""))</f>
        <v/>
      </c>
      <c r="E1885" s="9" t="str">
        <f>IF(F1885="","",_xlfn.XLOOKUP(F1885,purchase!D:D,purchase!B:B,""))</f>
        <v/>
      </c>
      <c r="F1885" s="2"/>
      <c r="G1885" s="4" t="str">
        <f t="shared" si="204"/>
        <v/>
      </c>
      <c r="H1885" s="4" t="str">
        <f>IF(F1885="","",_xlfn.XLOOKUP(F1885,purchase!D:D,purchase!#REF!,""))</f>
        <v/>
      </c>
      <c r="I1885" s="4" t="str">
        <f t="shared" si="205"/>
        <v/>
      </c>
      <c r="J1885" s="4" t="str">
        <f t="shared" si="206"/>
        <v/>
      </c>
      <c r="K1885" s="13" t="str">
        <f>_xlfn.SINGLE(IF(F1885="","",_xlfn.XLOOKUP(F1885,purchase!D:D,purchase!#REF!,"")))</f>
        <v/>
      </c>
      <c r="L1885" s="2"/>
      <c r="M1885" s="32"/>
      <c r="N1885" s="13" t="str">
        <f>IF(F1885="","",
MAX(0,
_xlfn.XLOOKUP(F1885,purchase!D:D,purchase!#REF!,"")
-
SUMIFS(L:L,F:F,F1885)))</f>
        <v/>
      </c>
      <c r="O1885" s="13" t="str">
        <f t="shared" si="207"/>
        <v/>
      </c>
      <c r="P1885" s="35" t="str">
        <f>_xlfn.SINGLE(IF(F1885="","",_xlfn.XLOOKUP(F1885,purchase!D:D,purchase!K:K,"")))</f>
        <v/>
      </c>
      <c r="Q1885" s="29" t="str">
        <f t="shared" si="208"/>
        <v/>
      </c>
      <c r="R1885" s="37" t="str">
        <f t="shared" si="209"/>
        <v/>
      </c>
    </row>
    <row r="1886" spans="1:18" x14ac:dyDescent="0.35">
      <c r="A1886" s="8">
        <v>1882</v>
      </c>
      <c r="B1886" s="9" t="str">
        <f t="shared" si="203"/>
        <v/>
      </c>
      <c r="C1886" s="10"/>
      <c r="D1886" s="9" t="str">
        <f>IF(F1886="","",_xlfn.XLOOKUP(F1886,purchase!D:D,purchase!#REF!,""))</f>
        <v/>
      </c>
      <c r="E1886" s="9" t="str">
        <f>IF(F1886="","",_xlfn.XLOOKUP(F1886,purchase!D:D,purchase!B:B,""))</f>
        <v/>
      </c>
      <c r="F1886" s="2"/>
      <c r="G1886" s="4" t="str">
        <f t="shared" si="204"/>
        <v/>
      </c>
      <c r="H1886" s="4" t="str">
        <f>IF(F1886="","",_xlfn.XLOOKUP(F1886,purchase!D:D,purchase!#REF!,""))</f>
        <v/>
      </c>
      <c r="I1886" s="4" t="str">
        <f t="shared" si="205"/>
        <v/>
      </c>
      <c r="J1886" s="4" t="str">
        <f t="shared" si="206"/>
        <v/>
      </c>
      <c r="K1886" s="13" t="str">
        <f>_xlfn.SINGLE(IF(F1886="","",_xlfn.XLOOKUP(F1886,purchase!D:D,purchase!#REF!,"")))</f>
        <v/>
      </c>
      <c r="L1886" s="2"/>
      <c r="M1886" s="32"/>
      <c r="N1886" s="13" t="str">
        <f>IF(F1886="","",
MAX(0,
_xlfn.XLOOKUP(F1886,purchase!D:D,purchase!#REF!,"")
-
SUMIFS(L:L,F:F,F1886)))</f>
        <v/>
      </c>
      <c r="O1886" s="13" t="str">
        <f t="shared" si="207"/>
        <v/>
      </c>
      <c r="P1886" s="35" t="str">
        <f>_xlfn.SINGLE(IF(F1886="","",_xlfn.XLOOKUP(F1886,purchase!D:D,purchase!K:K,"")))</f>
        <v/>
      </c>
      <c r="Q1886" s="29" t="str">
        <f t="shared" si="208"/>
        <v/>
      </c>
      <c r="R1886" s="37" t="str">
        <f t="shared" si="209"/>
        <v/>
      </c>
    </row>
    <row r="1887" spans="1:18" x14ac:dyDescent="0.35">
      <c r="A1887" s="8">
        <v>1883</v>
      </c>
      <c r="B1887" s="9" t="str">
        <f t="shared" si="203"/>
        <v/>
      </c>
      <c r="C1887" s="10"/>
      <c r="D1887" s="9" t="str">
        <f>IF(F1887="","",_xlfn.XLOOKUP(F1887,purchase!D:D,purchase!#REF!,""))</f>
        <v/>
      </c>
      <c r="E1887" s="9" t="str">
        <f>IF(F1887="","",_xlfn.XLOOKUP(F1887,purchase!D:D,purchase!B:B,""))</f>
        <v/>
      </c>
      <c r="F1887" s="2"/>
      <c r="G1887" s="4" t="str">
        <f t="shared" si="204"/>
        <v/>
      </c>
      <c r="H1887" s="4" t="str">
        <f>IF(F1887="","",_xlfn.XLOOKUP(F1887,purchase!D:D,purchase!#REF!,""))</f>
        <v/>
      </c>
      <c r="I1887" s="4" t="str">
        <f t="shared" si="205"/>
        <v/>
      </c>
      <c r="J1887" s="4" t="str">
        <f t="shared" si="206"/>
        <v/>
      </c>
      <c r="K1887" s="13" t="str">
        <f>_xlfn.SINGLE(IF(F1887="","",_xlfn.XLOOKUP(F1887,purchase!D:D,purchase!#REF!,"")))</f>
        <v/>
      </c>
      <c r="L1887" s="2"/>
      <c r="M1887" s="32"/>
      <c r="N1887" s="13" t="str">
        <f>IF(F1887="","",
MAX(0,
_xlfn.XLOOKUP(F1887,purchase!D:D,purchase!#REF!,"")
-
SUMIFS(L:L,F:F,F1887)))</f>
        <v/>
      </c>
      <c r="O1887" s="13" t="str">
        <f t="shared" si="207"/>
        <v/>
      </c>
      <c r="P1887" s="35" t="str">
        <f>_xlfn.SINGLE(IF(F1887="","",_xlfn.XLOOKUP(F1887,purchase!D:D,purchase!K:K,"")))</f>
        <v/>
      </c>
      <c r="Q1887" s="29" t="str">
        <f t="shared" si="208"/>
        <v/>
      </c>
      <c r="R1887" s="37" t="str">
        <f t="shared" si="209"/>
        <v/>
      </c>
    </row>
    <row r="1888" spans="1:18" x14ac:dyDescent="0.35">
      <c r="A1888" s="8">
        <v>1884</v>
      </c>
      <c r="B1888" s="9" t="str">
        <f t="shared" si="203"/>
        <v/>
      </c>
      <c r="C1888" s="10"/>
      <c r="D1888" s="9" t="str">
        <f>IF(F1888="","",_xlfn.XLOOKUP(F1888,purchase!D:D,purchase!#REF!,""))</f>
        <v/>
      </c>
      <c r="E1888" s="9" t="str">
        <f>IF(F1888="","",_xlfn.XLOOKUP(F1888,purchase!D:D,purchase!B:B,""))</f>
        <v/>
      </c>
      <c r="F1888" s="2"/>
      <c r="G1888" s="4" t="str">
        <f t="shared" si="204"/>
        <v/>
      </c>
      <c r="H1888" s="4" t="str">
        <f>IF(F1888="","",_xlfn.XLOOKUP(F1888,purchase!D:D,purchase!#REF!,""))</f>
        <v/>
      </c>
      <c r="I1888" s="4" t="str">
        <f t="shared" si="205"/>
        <v/>
      </c>
      <c r="J1888" s="4" t="str">
        <f t="shared" si="206"/>
        <v/>
      </c>
      <c r="K1888" s="13" t="str">
        <f>_xlfn.SINGLE(IF(F1888="","",_xlfn.XLOOKUP(F1888,purchase!D:D,purchase!#REF!,"")))</f>
        <v/>
      </c>
      <c r="L1888" s="2"/>
      <c r="M1888" s="32"/>
      <c r="N1888" s="13" t="str">
        <f>IF(F1888="","",
MAX(0,
_xlfn.XLOOKUP(F1888,purchase!D:D,purchase!#REF!,"")
-
SUMIFS(L:L,F:F,F1888)))</f>
        <v/>
      </c>
      <c r="O1888" s="13" t="str">
        <f t="shared" si="207"/>
        <v/>
      </c>
      <c r="P1888" s="35" t="str">
        <f>_xlfn.SINGLE(IF(F1888="","",_xlfn.XLOOKUP(F1888,purchase!D:D,purchase!K:K,"")))</f>
        <v/>
      </c>
      <c r="Q1888" s="29" t="str">
        <f t="shared" si="208"/>
        <v/>
      </c>
      <c r="R1888" s="37" t="str">
        <f t="shared" si="209"/>
        <v/>
      </c>
    </row>
    <row r="1889" spans="1:18" x14ac:dyDescent="0.35">
      <c r="A1889" s="8">
        <v>1885</v>
      </c>
      <c r="B1889" s="9" t="str">
        <f t="shared" si="203"/>
        <v/>
      </c>
      <c r="C1889" s="10"/>
      <c r="D1889" s="9" t="str">
        <f>IF(F1889="","",_xlfn.XLOOKUP(F1889,purchase!D:D,purchase!#REF!,""))</f>
        <v/>
      </c>
      <c r="E1889" s="9" t="str">
        <f>IF(F1889="","",_xlfn.XLOOKUP(F1889,purchase!D:D,purchase!B:B,""))</f>
        <v/>
      </c>
      <c r="F1889" s="2"/>
      <c r="G1889" s="4" t="str">
        <f t="shared" si="204"/>
        <v/>
      </c>
      <c r="H1889" s="4" t="str">
        <f>IF(F1889="","",_xlfn.XLOOKUP(F1889,purchase!D:D,purchase!#REF!,""))</f>
        <v/>
      </c>
      <c r="I1889" s="4" t="str">
        <f t="shared" si="205"/>
        <v/>
      </c>
      <c r="J1889" s="4" t="str">
        <f t="shared" si="206"/>
        <v/>
      </c>
      <c r="K1889" s="13" t="str">
        <f>_xlfn.SINGLE(IF(F1889="","",_xlfn.XLOOKUP(F1889,purchase!D:D,purchase!#REF!,"")))</f>
        <v/>
      </c>
      <c r="L1889" s="2"/>
      <c r="M1889" s="32"/>
      <c r="N1889" s="13" t="str">
        <f>IF(F1889="","",
MAX(0,
_xlfn.XLOOKUP(F1889,purchase!D:D,purchase!#REF!,"")
-
SUMIFS(L:L,F:F,F1889)))</f>
        <v/>
      </c>
      <c r="O1889" s="13" t="str">
        <f t="shared" si="207"/>
        <v/>
      </c>
      <c r="P1889" s="35" t="str">
        <f>_xlfn.SINGLE(IF(F1889="","",_xlfn.XLOOKUP(F1889,purchase!D:D,purchase!K:K,"")))</f>
        <v/>
      </c>
      <c r="Q1889" s="29" t="str">
        <f t="shared" si="208"/>
        <v/>
      </c>
      <c r="R1889" s="37" t="str">
        <f t="shared" si="209"/>
        <v/>
      </c>
    </row>
    <row r="1890" spans="1:18" x14ac:dyDescent="0.35">
      <c r="A1890" s="8">
        <v>1886</v>
      </c>
      <c r="B1890" s="9" t="str">
        <f t="shared" si="203"/>
        <v/>
      </c>
      <c r="C1890" s="10"/>
      <c r="D1890" s="9" t="str">
        <f>IF(F1890="","",_xlfn.XLOOKUP(F1890,purchase!D:D,purchase!#REF!,""))</f>
        <v/>
      </c>
      <c r="E1890" s="9" t="str">
        <f>IF(F1890="","",_xlfn.XLOOKUP(F1890,purchase!D:D,purchase!B:B,""))</f>
        <v/>
      </c>
      <c r="F1890" s="2"/>
      <c r="G1890" s="4" t="str">
        <f t="shared" si="204"/>
        <v/>
      </c>
      <c r="H1890" s="4" t="str">
        <f>IF(F1890="","",_xlfn.XLOOKUP(F1890,purchase!D:D,purchase!#REF!,""))</f>
        <v/>
      </c>
      <c r="I1890" s="4" t="str">
        <f t="shared" si="205"/>
        <v/>
      </c>
      <c r="J1890" s="4" t="str">
        <f t="shared" si="206"/>
        <v/>
      </c>
      <c r="K1890" s="13" t="str">
        <f>_xlfn.SINGLE(IF(F1890="","",_xlfn.XLOOKUP(F1890,purchase!D:D,purchase!#REF!,"")))</f>
        <v/>
      </c>
      <c r="L1890" s="2"/>
      <c r="M1890" s="32"/>
      <c r="N1890" s="13" t="str">
        <f>IF(F1890="","",
MAX(0,
_xlfn.XLOOKUP(F1890,purchase!D:D,purchase!#REF!,"")
-
SUMIFS(L:L,F:F,F1890)))</f>
        <v/>
      </c>
      <c r="O1890" s="13" t="str">
        <f t="shared" si="207"/>
        <v/>
      </c>
      <c r="P1890" s="35" t="str">
        <f>_xlfn.SINGLE(IF(F1890="","",_xlfn.XLOOKUP(F1890,purchase!D:D,purchase!K:K,"")))</f>
        <v/>
      </c>
      <c r="Q1890" s="29" t="str">
        <f t="shared" si="208"/>
        <v/>
      </c>
      <c r="R1890" s="37" t="str">
        <f t="shared" si="209"/>
        <v/>
      </c>
    </row>
    <row r="1891" spans="1:18" x14ac:dyDescent="0.35">
      <c r="A1891" s="8">
        <v>1887</v>
      </c>
      <c r="B1891" s="9" t="str">
        <f t="shared" si="203"/>
        <v/>
      </c>
      <c r="C1891" s="10"/>
      <c r="D1891" s="9" t="str">
        <f>IF(F1891="","",_xlfn.XLOOKUP(F1891,purchase!D:D,purchase!#REF!,""))</f>
        <v/>
      </c>
      <c r="E1891" s="9" t="str">
        <f>IF(F1891="","",_xlfn.XLOOKUP(F1891,purchase!D:D,purchase!B:B,""))</f>
        <v/>
      </c>
      <c r="F1891" s="2"/>
      <c r="G1891" s="4" t="str">
        <f t="shared" si="204"/>
        <v/>
      </c>
      <c r="H1891" s="4" t="str">
        <f>IF(F1891="","",_xlfn.XLOOKUP(F1891,purchase!D:D,purchase!#REF!,""))</f>
        <v/>
      </c>
      <c r="I1891" s="4" t="str">
        <f t="shared" si="205"/>
        <v/>
      </c>
      <c r="J1891" s="4" t="str">
        <f t="shared" si="206"/>
        <v/>
      </c>
      <c r="K1891" s="13" t="str">
        <f>_xlfn.SINGLE(IF(F1891="","",_xlfn.XLOOKUP(F1891,purchase!D:D,purchase!#REF!,"")))</f>
        <v/>
      </c>
      <c r="L1891" s="2"/>
      <c r="M1891" s="32"/>
      <c r="N1891" s="13" t="str">
        <f>IF(F1891="","",
MAX(0,
_xlfn.XLOOKUP(F1891,purchase!D:D,purchase!#REF!,"")
-
SUMIFS(L:L,F:F,F1891)))</f>
        <v/>
      </c>
      <c r="O1891" s="13" t="str">
        <f t="shared" si="207"/>
        <v/>
      </c>
      <c r="P1891" s="35" t="str">
        <f>_xlfn.SINGLE(IF(F1891="","",_xlfn.XLOOKUP(F1891,purchase!D:D,purchase!K:K,"")))</f>
        <v/>
      </c>
      <c r="Q1891" s="29" t="str">
        <f t="shared" si="208"/>
        <v/>
      </c>
      <c r="R1891" s="37" t="str">
        <f t="shared" si="209"/>
        <v/>
      </c>
    </row>
    <row r="1892" spans="1:18" x14ac:dyDescent="0.35">
      <c r="A1892" s="8">
        <v>1888</v>
      </c>
      <c r="B1892" s="9" t="str">
        <f t="shared" si="203"/>
        <v/>
      </c>
      <c r="C1892" s="10"/>
      <c r="D1892" s="9" t="str">
        <f>IF(F1892="","",_xlfn.XLOOKUP(F1892,purchase!D:D,purchase!#REF!,""))</f>
        <v/>
      </c>
      <c r="E1892" s="9" t="str">
        <f>IF(F1892="","",_xlfn.XLOOKUP(F1892,purchase!D:D,purchase!B:B,""))</f>
        <v/>
      </c>
      <c r="F1892" s="2"/>
      <c r="G1892" s="4" t="str">
        <f t="shared" si="204"/>
        <v/>
      </c>
      <c r="H1892" s="4" t="str">
        <f>IF(F1892="","",_xlfn.XLOOKUP(F1892,purchase!D:D,purchase!#REF!,""))</f>
        <v/>
      </c>
      <c r="I1892" s="4" t="str">
        <f t="shared" si="205"/>
        <v/>
      </c>
      <c r="J1892" s="4" t="str">
        <f t="shared" si="206"/>
        <v/>
      </c>
      <c r="K1892" s="13" t="str">
        <f>_xlfn.SINGLE(IF(F1892="","",_xlfn.XLOOKUP(F1892,purchase!D:D,purchase!#REF!,"")))</f>
        <v/>
      </c>
      <c r="L1892" s="2"/>
      <c r="M1892" s="32"/>
      <c r="N1892" s="13" t="str">
        <f>IF(F1892="","",
MAX(0,
_xlfn.XLOOKUP(F1892,purchase!D:D,purchase!#REF!,"")
-
SUMIFS(L:L,F:F,F1892)))</f>
        <v/>
      </c>
      <c r="O1892" s="13" t="str">
        <f t="shared" si="207"/>
        <v/>
      </c>
      <c r="P1892" s="35" t="str">
        <f>_xlfn.SINGLE(IF(F1892="","",_xlfn.XLOOKUP(F1892,purchase!D:D,purchase!K:K,"")))</f>
        <v/>
      </c>
      <c r="Q1892" s="29" t="str">
        <f t="shared" si="208"/>
        <v/>
      </c>
      <c r="R1892" s="37" t="str">
        <f t="shared" si="209"/>
        <v/>
      </c>
    </row>
    <row r="1893" spans="1:18" x14ac:dyDescent="0.35">
      <c r="A1893" s="8">
        <v>1889</v>
      </c>
      <c r="B1893" s="9" t="str">
        <f t="shared" si="203"/>
        <v/>
      </c>
      <c r="C1893" s="10"/>
      <c r="D1893" s="9" t="str">
        <f>IF(F1893="","",_xlfn.XLOOKUP(F1893,purchase!D:D,purchase!#REF!,""))</f>
        <v/>
      </c>
      <c r="E1893" s="9" t="str">
        <f>IF(F1893="","",_xlfn.XLOOKUP(F1893,purchase!D:D,purchase!B:B,""))</f>
        <v/>
      </c>
      <c r="F1893" s="2"/>
      <c r="G1893" s="4" t="str">
        <f t="shared" si="204"/>
        <v/>
      </c>
      <c r="H1893" s="4" t="str">
        <f>IF(F1893="","",_xlfn.XLOOKUP(F1893,purchase!D:D,purchase!#REF!,""))</f>
        <v/>
      </c>
      <c r="I1893" s="4" t="str">
        <f t="shared" si="205"/>
        <v/>
      </c>
      <c r="J1893" s="4" t="str">
        <f t="shared" si="206"/>
        <v/>
      </c>
      <c r="K1893" s="13" t="str">
        <f>_xlfn.SINGLE(IF(F1893="","",_xlfn.XLOOKUP(F1893,purchase!D:D,purchase!#REF!,"")))</f>
        <v/>
      </c>
      <c r="L1893" s="2"/>
      <c r="M1893" s="32"/>
      <c r="N1893" s="13" t="str">
        <f>IF(F1893="","",
MAX(0,
_xlfn.XLOOKUP(F1893,purchase!D:D,purchase!#REF!,"")
-
SUMIFS(L:L,F:F,F1893)))</f>
        <v/>
      </c>
      <c r="O1893" s="13" t="str">
        <f t="shared" si="207"/>
        <v/>
      </c>
      <c r="P1893" s="35" t="str">
        <f>_xlfn.SINGLE(IF(F1893="","",_xlfn.XLOOKUP(F1893,purchase!D:D,purchase!K:K,"")))</f>
        <v/>
      </c>
      <c r="Q1893" s="29" t="str">
        <f t="shared" si="208"/>
        <v/>
      </c>
      <c r="R1893" s="37" t="str">
        <f t="shared" si="209"/>
        <v/>
      </c>
    </row>
    <row r="1894" spans="1:18" x14ac:dyDescent="0.35">
      <c r="A1894" s="8">
        <v>1890</v>
      </c>
      <c r="B1894" s="9" t="str">
        <f t="shared" si="203"/>
        <v/>
      </c>
      <c r="C1894" s="10"/>
      <c r="D1894" s="9" t="str">
        <f>IF(F1894="","",_xlfn.XLOOKUP(F1894,purchase!D:D,purchase!#REF!,""))</f>
        <v/>
      </c>
      <c r="E1894" s="9" t="str">
        <f>IF(F1894="","",_xlfn.XLOOKUP(F1894,purchase!D:D,purchase!B:B,""))</f>
        <v/>
      </c>
      <c r="F1894" s="2"/>
      <c r="G1894" s="4" t="str">
        <f t="shared" si="204"/>
        <v/>
      </c>
      <c r="H1894" s="4" t="str">
        <f>IF(F1894="","",_xlfn.XLOOKUP(F1894,purchase!D:D,purchase!#REF!,""))</f>
        <v/>
      </c>
      <c r="I1894" s="4" t="str">
        <f t="shared" si="205"/>
        <v/>
      </c>
      <c r="J1894" s="4" t="str">
        <f t="shared" si="206"/>
        <v/>
      </c>
      <c r="K1894" s="13" t="str">
        <f>_xlfn.SINGLE(IF(F1894="","",_xlfn.XLOOKUP(F1894,purchase!D:D,purchase!#REF!,"")))</f>
        <v/>
      </c>
      <c r="L1894" s="2"/>
      <c r="M1894" s="32"/>
      <c r="N1894" s="13" t="str">
        <f>IF(F1894="","",
MAX(0,
_xlfn.XLOOKUP(F1894,purchase!D:D,purchase!#REF!,"")
-
SUMIFS(L:L,F:F,F1894)))</f>
        <v/>
      </c>
      <c r="O1894" s="13" t="str">
        <f t="shared" si="207"/>
        <v/>
      </c>
      <c r="P1894" s="35" t="str">
        <f>_xlfn.SINGLE(IF(F1894="","",_xlfn.XLOOKUP(F1894,purchase!D:D,purchase!K:K,"")))</f>
        <v/>
      </c>
      <c r="Q1894" s="29" t="str">
        <f t="shared" si="208"/>
        <v/>
      </c>
      <c r="R1894" s="37" t="str">
        <f t="shared" si="209"/>
        <v/>
      </c>
    </row>
    <row r="1895" spans="1:18" x14ac:dyDescent="0.35">
      <c r="A1895" s="8">
        <v>1891</v>
      </c>
      <c r="B1895" s="9" t="str">
        <f t="shared" si="203"/>
        <v/>
      </c>
      <c r="C1895" s="10"/>
      <c r="D1895" s="9" t="str">
        <f>IF(F1895="","",_xlfn.XLOOKUP(F1895,purchase!D:D,purchase!#REF!,""))</f>
        <v/>
      </c>
      <c r="E1895" s="9" t="str">
        <f>IF(F1895="","",_xlfn.XLOOKUP(F1895,purchase!D:D,purchase!B:B,""))</f>
        <v/>
      </c>
      <c r="F1895" s="2"/>
      <c r="G1895" s="4" t="str">
        <f t="shared" si="204"/>
        <v/>
      </c>
      <c r="H1895" s="4" t="str">
        <f>IF(F1895="","",_xlfn.XLOOKUP(F1895,purchase!D:D,purchase!#REF!,""))</f>
        <v/>
      </c>
      <c r="I1895" s="4" t="str">
        <f t="shared" si="205"/>
        <v/>
      </c>
      <c r="J1895" s="4" t="str">
        <f t="shared" si="206"/>
        <v/>
      </c>
      <c r="K1895" s="13" t="str">
        <f>_xlfn.SINGLE(IF(F1895="","",_xlfn.XLOOKUP(F1895,purchase!D:D,purchase!#REF!,"")))</f>
        <v/>
      </c>
      <c r="L1895" s="2"/>
      <c r="M1895" s="32"/>
      <c r="N1895" s="13" t="str">
        <f>IF(F1895="","",
MAX(0,
_xlfn.XLOOKUP(F1895,purchase!D:D,purchase!#REF!,"")
-
SUMIFS(L:L,F:F,F1895)))</f>
        <v/>
      </c>
      <c r="O1895" s="13" t="str">
        <f t="shared" si="207"/>
        <v/>
      </c>
      <c r="P1895" s="35" t="str">
        <f>_xlfn.SINGLE(IF(F1895="","",_xlfn.XLOOKUP(F1895,purchase!D:D,purchase!K:K,"")))</f>
        <v/>
      </c>
      <c r="Q1895" s="29" t="str">
        <f t="shared" si="208"/>
        <v/>
      </c>
      <c r="R1895" s="37" t="str">
        <f t="shared" si="209"/>
        <v/>
      </c>
    </row>
    <row r="1896" spans="1:18" x14ac:dyDescent="0.35">
      <c r="A1896" s="8">
        <v>1892</v>
      </c>
      <c r="B1896" s="9" t="str">
        <f t="shared" si="203"/>
        <v/>
      </c>
      <c r="C1896" s="10"/>
      <c r="D1896" s="9" t="str">
        <f>IF(F1896="","",_xlfn.XLOOKUP(F1896,purchase!D:D,purchase!#REF!,""))</f>
        <v/>
      </c>
      <c r="E1896" s="9" t="str">
        <f>IF(F1896="","",_xlfn.XLOOKUP(F1896,purchase!D:D,purchase!B:B,""))</f>
        <v/>
      </c>
      <c r="F1896" s="2"/>
      <c r="G1896" s="4" t="str">
        <f t="shared" si="204"/>
        <v/>
      </c>
      <c r="H1896" s="4" t="str">
        <f>IF(F1896="","",_xlfn.XLOOKUP(F1896,purchase!D:D,purchase!#REF!,""))</f>
        <v/>
      </c>
      <c r="I1896" s="4" t="str">
        <f t="shared" si="205"/>
        <v/>
      </c>
      <c r="J1896" s="4" t="str">
        <f t="shared" si="206"/>
        <v/>
      </c>
      <c r="K1896" s="13" t="str">
        <f>_xlfn.SINGLE(IF(F1896="","",_xlfn.XLOOKUP(F1896,purchase!D:D,purchase!#REF!,"")))</f>
        <v/>
      </c>
      <c r="L1896" s="2"/>
      <c r="M1896" s="32"/>
      <c r="N1896" s="13" t="str">
        <f>IF(F1896="","",
MAX(0,
_xlfn.XLOOKUP(F1896,purchase!D:D,purchase!#REF!,"")
-
SUMIFS(L:L,F:F,F1896)))</f>
        <v/>
      </c>
      <c r="O1896" s="13" t="str">
        <f t="shared" si="207"/>
        <v/>
      </c>
      <c r="P1896" s="35" t="str">
        <f>_xlfn.SINGLE(IF(F1896="","",_xlfn.XLOOKUP(F1896,purchase!D:D,purchase!K:K,"")))</f>
        <v/>
      </c>
      <c r="Q1896" s="29" t="str">
        <f t="shared" si="208"/>
        <v/>
      </c>
      <c r="R1896" s="37" t="str">
        <f t="shared" si="209"/>
        <v/>
      </c>
    </row>
    <row r="1897" spans="1:18" x14ac:dyDescent="0.35">
      <c r="A1897" s="8">
        <v>1893</v>
      </c>
      <c r="B1897" s="9" t="str">
        <f t="shared" si="203"/>
        <v/>
      </c>
      <c r="C1897" s="10"/>
      <c r="D1897" s="9" t="str">
        <f>IF(F1897="","",_xlfn.XLOOKUP(F1897,purchase!D:D,purchase!#REF!,""))</f>
        <v/>
      </c>
      <c r="E1897" s="9" t="str">
        <f>IF(F1897="","",_xlfn.XLOOKUP(F1897,purchase!D:D,purchase!B:B,""))</f>
        <v/>
      </c>
      <c r="F1897" s="2"/>
      <c r="G1897" s="4" t="str">
        <f t="shared" si="204"/>
        <v/>
      </c>
      <c r="H1897" s="4" t="str">
        <f>IF(F1897="","",_xlfn.XLOOKUP(F1897,purchase!D:D,purchase!#REF!,""))</f>
        <v/>
      </c>
      <c r="I1897" s="4" t="str">
        <f t="shared" si="205"/>
        <v/>
      </c>
      <c r="J1897" s="4" t="str">
        <f t="shared" si="206"/>
        <v/>
      </c>
      <c r="K1897" s="13" t="str">
        <f>_xlfn.SINGLE(IF(F1897="","",_xlfn.XLOOKUP(F1897,purchase!D:D,purchase!#REF!,"")))</f>
        <v/>
      </c>
      <c r="L1897" s="2"/>
      <c r="M1897" s="32"/>
      <c r="N1897" s="13" t="str">
        <f>IF(F1897="","",
MAX(0,
_xlfn.XLOOKUP(F1897,purchase!D:D,purchase!#REF!,"")
-
SUMIFS(L:L,F:F,F1897)))</f>
        <v/>
      </c>
      <c r="O1897" s="13" t="str">
        <f t="shared" si="207"/>
        <v/>
      </c>
      <c r="P1897" s="35" t="str">
        <f>_xlfn.SINGLE(IF(F1897="","",_xlfn.XLOOKUP(F1897,purchase!D:D,purchase!K:K,"")))</f>
        <v/>
      </c>
      <c r="Q1897" s="29" t="str">
        <f t="shared" si="208"/>
        <v/>
      </c>
      <c r="R1897" s="37" t="str">
        <f t="shared" si="209"/>
        <v/>
      </c>
    </row>
    <row r="1898" spans="1:18" x14ac:dyDescent="0.35">
      <c r="A1898" s="8">
        <v>1894</v>
      </c>
      <c r="B1898" s="9" t="str">
        <f t="shared" si="203"/>
        <v/>
      </c>
      <c r="C1898" s="10"/>
      <c r="D1898" s="9" t="str">
        <f>IF(F1898="","",_xlfn.XLOOKUP(F1898,purchase!D:D,purchase!#REF!,""))</f>
        <v/>
      </c>
      <c r="E1898" s="9" t="str">
        <f>IF(F1898="","",_xlfn.XLOOKUP(F1898,purchase!D:D,purchase!B:B,""))</f>
        <v/>
      </c>
      <c r="F1898" s="2"/>
      <c r="G1898" s="4" t="str">
        <f t="shared" si="204"/>
        <v/>
      </c>
      <c r="H1898" s="4" t="str">
        <f>IF(F1898="","",_xlfn.XLOOKUP(F1898,purchase!D:D,purchase!#REF!,""))</f>
        <v/>
      </c>
      <c r="I1898" s="4" t="str">
        <f t="shared" si="205"/>
        <v/>
      </c>
      <c r="J1898" s="4" t="str">
        <f t="shared" si="206"/>
        <v/>
      </c>
      <c r="K1898" s="13" t="str">
        <f>_xlfn.SINGLE(IF(F1898="","",_xlfn.XLOOKUP(F1898,purchase!D:D,purchase!#REF!,"")))</f>
        <v/>
      </c>
      <c r="L1898" s="2"/>
      <c r="M1898" s="32"/>
      <c r="N1898" s="13" t="str">
        <f>IF(F1898="","",
MAX(0,
_xlfn.XLOOKUP(F1898,purchase!D:D,purchase!#REF!,"")
-
SUMIFS(L:L,F:F,F1898)))</f>
        <v/>
      </c>
      <c r="O1898" s="13" t="str">
        <f t="shared" si="207"/>
        <v/>
      </c>
      <c r="P1898" s="35" t="str">
        <f>_xlfn.SINGLE(IF(F1898="","",_xlfn.XLOOKUP(F1898,purchase!D:D,purchase!K:K,"")))</f>
        <v/>
      </c>
      <c r="Q1898" s="29" t="str">
        <f t="shared" si="208"/>
        <v/>
      </c>
      <c r="R1898" s="37" t="str">
        <f t="shared" si="209"/>
        <v/>
      </c>
    </row>
    <row r="1899" spans="1:18" x14ac:dyDescent="0.35">
      <c r="A1899" s="8">
        <v>1895</v>
      </c>
      <c r="B1899" s="9" t="str">
        <f t="shared" si="203"/>
        <v/>
      </c>
      <c r="C1899" s="10"/>
      <c r="D1899" s="9" t="str">
        <f>IF(F1899="","",_xlfn.XLOOKUP(F1899,purchase!D:D,purchase!#REF!,""))</f>
        <v/>
      </c>
      <c r="E1899" s="9" t="str">
        <f>IF(F1899="","",_xlfn.XLOOKUP(F1899,purchase!D:D,purchase!B:B,""))</f>
        <v/>
      </c>
      <c r="F1899" s="2"/>
      <c r="G1899" s="4" t="str">
        <f t="shared" si="204"/>
        <v/>
      </c>
      <c r="H1899" s="4" t="str">
        <f>IF(F1899="","",_xlfn.XLOOKUP(F1899,purchase!D:D,purchase!#REF!,""))</f>
        <v/>
      </c>
      <c r="I1899" s="4" t="str">
        <f t="shared" si="205"/>
        <v/>
      </c>
      <c r="J1899" s="4" t="str">
        <f t="shared" si="206"/>
        <v/>
      </c>
      <c r="K1899" s="13" t="str">
        <f>_xlfn.SINGLE(IF(F1899="","",_xlfn.XLOOKUP(F1899,purchase!D:D,purchase!#REF!,"")))</f>
        <v/>
      </c>
      <c r="L1899" s="2"/>
      <c r="M1899" s="32"/>
      <c r="N1899" s="13" t="str">
        <f>IF(F1899="","",
MAX(0,
_xlfn.XLOOKUP(F1899,purchase!D:D,purchase!#REF!,"")
-
SUMIFS(L:L,F:F,F1899)))</f>
        <v/>
      </c>
      <c r="O1899" s="13" t="str">
        <f t="shared" si="207"/>
        <v/>
      </c>
      <c r="P1899" s="35" t="str">
        <f>_xlfn.SINGLE(IF(F1899="","",_xlfn.XLOOKUP(F1899,purchase!D:D,purchase!K:K,"")))</f>
        <v/>
      </c>
      <c r="Q1899" s="29" t="str">
        <f t="shared" si="208"/>
        <v/>
      </c>
      <c r="R1899" s="37" t="str">
        <f t="shared" si="209"/>
        <v/>
      </c>
    </row>
    <row r="1900" spans="1:18" x14ac:dyDescent="0.35">
      <c r="A1900" s="8">
        <v>1896</v>
      </c>
      <c r="B1900" s="9" t="str">
        <f t="shared" si="203"/>
        <v/>
      </c>
      <c r="C1900" s="10"/>
      <c r="D1900" s="9" t="str">
        <f>IF(F1900="","",_xlfn.XLOOKUP(F1900,purchase!D:D,purchase!#REF!,""))</f>
        <v/>
      </c>
      <c r="E1900" s="9" t="str">
        <f>IF(F1900="","",_xlfn.XLOOKUP(F1900,purchase!D:D,purchase!B:B,""))</f>
        <v/>
      </c>
      <c r="F1900" s="2"/>
      <c r="G1900" s="4" t="str">
        <f t="shared" si="204"/>
        <v/>
      </c>
      <c r="H1900" s="4" t="str">
        <f>IF(F1900="","",_xlfn.XLOOKUP(F1900,purchase!D:D,purchase!#REF!,""))</f>
        <v/>
      </c>
      <c r="I1900" s="4" t="str">
        <f t="shared" si="205"/>
        <v/>
      </c>
      <c r="J1900" s="4" t="str">
        <f t="shared" si="206"/>
        <v/>
      </c>
      <c r="K1900" s="13" t="str">
        <f>_xlfn.SINGLE(IF(F1900="","",_xlfn.XLOOKUP(F1900,purchase!D:D,purchase!#REF!,"")))</f>
        <v/>
      </c>
      <c r="L1900" s="2"/>
      <c r="M1900" s="32"/>
      <c r="N1900" s="13" t="str">
        <f>IF(F1900="","",
MAX(0,
_xlfn.XLOOKUP(F1900,purchase!D:D,purchase!#REF!,"")
-
SUMIFS(L:L,F:F,F1900)))</f>
        <v/>
      </c>
      <c r="O1900" s="13" t="str">
        <f t="shared" si="207"/>
        <v/>
      </c>
      <c r="P1900" s="35" t="str">
        <f>_xlfn.SINGLE(IF(F1900="","",_xlfn.XLOOKUP(F1900,purchase!D:D,purchase!K:K,"")))</f>
        <v/>
      </c>
      <c r="Q1900" s="29" t="str">
        <f t="shared" si="208"/>
        <v/>
      </c>
      <c r="R1900" s="37" t="str">
        <f t="shared" si="209"/>
        <v/>
      </c>
    </row>
    <row r="1901" spans="1:18" x14ac:dyDescent="0.35">
      <c r="A1901" s="8">
        <v>1897</v>
      </c>
      <c r="B1901" s="9" t="str">
        <f t="shared" si="203"/>
        <v/>
      </c>
      <c r="C1901" s="10"/>
      <c r="D1901" s="9" t="str">
        <f>IF(F1901="","",_xlfn.XLOOKUP(F1901,purchase!D:D,purchase!#REF!,""))</f>
        <v/>
      </c>
      <c r="E1901" s="9" t="str">
        <f>IF(F1901="","",_xlfn.XLOOKUP(F1901,purchase!D:D,purchase!B:B,""))</f>
        <v/>
      </c>
      <c r="F1901" s="2"/>
      <c r="G1901" s="4" t="str">
        <f t="shared" si="204"/>
        <v/>
      </c>
      <c r="H1901" s="4" t="str">
        <f>IF(F1901="","",_xlfn.XLOOKUP(F1901,purchase!D:D,purchase!#REF!,""))</f>
        <v/>
      </c>
      <c r="I1901" s="4" t="str">
        <f t="shared" si="205"/>
        <v/>
      </c>
      <c r="J1901" s="4" t="str">
        <f t="shared" si="206"/>
        <v/>
      </c>
      <c r="K1901" s="13" t="str">
        <f>_xlfn.SINGLE(IF(F1901="","",_xlfn.XLOOKUP(F1901,purchase!D:D,purchase!#REF!,"")))</f>
        <v/>
      </c>
      <c r="L1901" s="2"/>
      <c r="M1901" s="32"/>
      <c r="N1901" s="13" t="str">
        <f>IF(F1901="","",
MAX(0,
_xlfn.XLOOKUP(F1901,purchase!D:D,purchase!#REF!,"")
-
SUMIFS(L:L,F:F,F1901)))</f>
        <v/>
      </c>
      <c r="O1901" s="13" t="str">
        <f t="shared" si="207"/>
        <v/>
      </c>
      <c r="P1901" s="35" t="str">
        <f>_xlfn.SINGLE(IF(F1901="","",_xlfn.XLOOKUP(F1901,purchase!D:D,purchase!K:K,"")))</f>
        <v/>
      </c>
      <c r="Q1901" s="29" t="str">
        <f t="shared" si="208"/>
        <v/>
      </c>
      <c r="R1901" s="37" t="str">
        <f t="shared" si="209"/>
        <v/>
      </c>
    </row>
    <row r="1902" spans="1:18" x14ac:dyDescent="0.35">
      <c r="A1902" s="8">
        <v>1898</v>
      </c>
      <c r="B1902" s="9" t="str">
        <f t="shared" si="203"/>
        <v/>
      </c>
      <c r="C1902" s="10"/>
      <c r="D1902" s="9" t="str">
        <f>IF(F1902="","",_xlfn.XLOOKUP(F1902,purchase!D:D,purchase!#REF!,""))</f>
        <v/>
      </c>
      <c r="E1902" s="9" t="str">
        <f>IF(F1902="","",_xlfn.XLOOKUP(F1902,purchase!D:D,purchase!B:B,""))</f>
        <v/>
      </c>
      <c r="F1902" s="2"/>
      <c r="G1902" s="4" t="str">
        <f t="shared" si="204"/>
        <v/>
      </c>
      <c r="H1902" s="4" t="str">
        <f>IF(F1902="","",_xlfn.XLOOKUP(F1902,purchase!D:D,purchase!#REF!,""))</f>
        <v/>
      </c>
      <c r="I1902" s="4" t="str">
        <f t="shared" si="205"/>
        <v/>
      </c>
      <c r="J1902" s="4" t="str">
        <f t="shared" si="206"/>
        <v/>
      </c>
      <c r="K1902" s="13" t="str">
        <f>_xlfn.SINGLE(IF(F1902="","",_xlfn.XLOOKUP(F1902,purchase!D:D,purchase!#REF!,"")))</f>
        <v/>
      </c>
      <c r="L1902" s="2"/>
      <c r="M1902" s="32"/>
      <c r="N1902" s="13" t="str">
        <f>IF(F1902="","",
MAX(0,
_xlfn.XLOOKUP(F1902,purchase!D:D,purchase!#REF!,"")
-
SUMIFS(L:L,F:F,F1902)))</f>
        <v/>
      </c>
      <c r="O1902" s="13" t="str">
        <f t="shared" si="207"/>
        <v/>
      </c>
      <c r="P1902" s="35" t="str">
        <f>_xlfn.SINGLE(IF(F1902="","",_xlfn.XLOOKUP(F1902,purchase!D:D,purchase!K:K,"")))</f>
        <v/>
      </c>
      <c r="Q1902" s="29" t="str">
        <f t="shared" si="208"/>
        <v/>
      </c>
      <c r="R1902" s="37" t="str">
        <f t="shared" si="209"/>
        <v/>
      </c>
    </row>
    <row r="1903" spans="1:18" x14ac:dyDescent="0.35">
      <c r="A1903" s="8">
        <v>1899</v>
      </c>
      <c r="B1903" s="9" t="str">
        <f t="shared" si="203"/>
        <v/>
      </c>
      <c r="C1903" s="10"/>
      <c r="D1903" s="9" t="str">
        <f>IF(F1903="","",_xlfn.XLOOKUP(F1903,purchase!D:D,purchase!#REF!,""))</f>
        <v/>
      </c>
      <c r="E1903" s="9" t="str">
        <f>IF(F1903="","",_xlfn.XLOOKUP(F1903,purchase!D:D,purchase!B:B,""))</f>
        <v/>
      </c>
      <c r="F1903" s="2"/>
      <c r="G1903" s="4" t="str">
        <f t="shared" si="204"/>
        <v/>
      </c>
      <c r="H1903" s="4" t="str">
        <f>IF(F1903="","",_xlfn.XLOOKUP(F1903,purchase!D:D,purchase!#REF!,""))</f>
        <v/>
      </c>
      <c r="I1903" s="4" t="str">
        <f t="shared" si="205"/>
        <v/>
      </c>
      <c r="J1903" s="4" t="str">
        <f t="shared" si="206"/>
        <v/>
      </c>
      <c r="K1903" s="13" t="str">
        <f>_xlfn.SINGLE(IF(F1903="","",_xlfn.XLOOKUP(F1903,purchase!D:D,purchase!#REF!,"")))</f>
        <v/>
      </c>
      <c r="L1903" s="2"/>
      <c r="M1903" s="32"/>
      <c r="N1903" s="13" t="str">
        <f>IF(F1903="","",
MAX(0,
_xlfn.XLOOKUP(F1903,purchase!D:D,purchase!#REF!,"")
-
SUMIFS(L:L,F:F,F1903)))</f>
        <v/>
      </c>
      <c r="O1903" s="13" t="str">
        <f t="shared" si="207"/>
        <v/>
      </c>
      <c r="P1903" s="35" t="str">
        <f>_xlfn.SINGLE(IF(F1903="","",_xlfn.XLOOKUP(F1903,purchase!D:D,purchase!K:K,"")))</f>
        <v/>
      </c>
      <c r="Q1903" s="29" t="str">
        <f t="shared" si="208"/>
        <v/>
      </c>
      <c r="R1903" s="37" t="str">
        <f t="shared" si="209"/>
        <v/>
      </c>
    </row>
    <row r="1904" spans="1:18" x14ac:dyDescent="0.35">
      <c r="A1904" s="8">
        <v>1900</v>
      </c>
      <c r="B1904" s="9" t="str">
        <f t="shared" si="203"/>
        <v/>
      </c>
      <c r="C1904" s="10"/>
      <c r="D1904" s="9" t="str">
        <f>IF(F1904="","",_xlfn.XLOOKUP(F1904,purchase!D:D,purchase!#REF!,""))</f>
        <v/>
      </c>
      <c r="E1904" s="9" t="str">
        <f>IF(F1904="","",_xlfn.XLOOKUP(F1904,purchase!D:D,purchase!B:B,""))</f>
        <v/>
      </c>
      <c r="F1904" s="2"/>
      <c r="G1904" s="4" t="str">
        <f t="shared" si="204"/>
        <v/>
      </c>
      <c r="H1904" s="4" t="str">
        <f>IF(F1904="","",_xlfn.XLOOKUP(F1904,purchase!D:D,purchase!#REF!,""))</f>
        <v/>
      </c>
      <c r="I1904" s="4" t="str">
        <f t="shared" si="205"/>
        <v/>
      </c>
      <c r="J1904" s="4" t="str">
        <f t="shared" si="206"/>
        <v/>
      </c>
      <c r="K1904" s="13" t="str">
        <f>_xlfn.SINGLE(IF(F1904="","",_xlfn.XLOOKUP(F1904,purchase!D:D,purchase!#REF!,"")))</f>
        <v/>
      </c>
      <c r="L1904" s="2"/>
      <c r="M1904" s="32"/>
      <c r="N1904" s="13" t="str">
        <f>IF(F1904="","",
MAX(0,
_xlfn.XLOOKUP(F1904,purchase!D:D,purchase!#REF!,"")
-
SUMIFS(L:L,F:F,F1904)))</f>
        <v/>
      </c>
      <c r="O1904" s="13" t="str">
        <f t="shared" si="207"/>
        <v/>
      </c>
      <c r="P1904" s="35" t="str">
        <f>_xlfn.SINGLE(IF(F1904="","",_xlfn.XLOOKUP(F1904,purchase!D:D,purchase!K:K,"")))</f>
        <v/>
      </c>
      <c r="Q1904" s="29" t="str">
        <f t="shared" si="208"/>
        <v/>
      </c>
      <c r="R1904" s="37" t="str">
        <f t="shared" si="209"/>
        <v/>
      </c>
    </row>
    <row r="1905" spans="1:18" x14ac:dyDescent="0.35">
      <c r="A1905" s="8">
        <v>1901</v>
      </c>
      <c r="B1905" s="9" t="str">
        <f t="shared" si="203"/>
        <v/>
      </c>
      <c r="C1905" s="10"/>
      <c r="D1905" s="9" t="str">
        <f>IF(F1905="","",_xlfn.XLOOKUP(F1905,purchase!D:D,purchase!#REF!,""))</f>
        <v/>
      </c>
      <c r="E1905" s="9" t="str">
        <f>IF(F1905="","",_xlfn.XLOOKUP(F1905,purchase!D:D,purchase!B:B,""))</f>
        <v/>
      </c>
      <c r="F1905" s="2"/>
      <c r="G1905" s="4" t="str">
        <f t="shared" si="204"/>
        <v/>
      </c>
      <c r="H1905" s="4" t="str">
        <f>IF(F1905="","",_xlfn.XLOOKUP(F1905,purchase!D:D,purchase!#REF!,""))</f>
        <v/>
      </c>
      <c r="I1905" s="4" t="str">
        <f t="shared" si="205"/>
        <v/>
      </c>
      <c r="J1905" s="4" t="str">
        <f t="shared" si="206"/>
        <v/>
      </c>
      <c r="K1905" s="13" t="str">
        <f>_xlfn.SINGLE(IF(F1905="","",_xlfn.XLOOKUP(F1905,purchase!D:D,purchase!#REF!,"")))</f>
        <v/>
      </c>
      <c r="L1905" s="2"/>
      <c r="M1905" s="32"/>
      <c r="N1905" s="13" t="str">
        <f>IF(F1905="","",
MAX(0,
_xlfn.XLOOKUP(F1905,purchase!D:D,purchase!#REF!,"")
-
SUMIFS(L:L,F:F,F1905)))</f>
        <v/>
      </c>
      <c r="O1905" s="13" t="str">
        <f t="shared" si="207"/>
        <v/>
      </c>
      <c r="P1905" s="35" t="str">
        <f>_xlfn.SINGLE(IF(F1905="","",_xlfn.XLOOKUP(F1905,purchase!D:D,purchase!K:K,"")))</f>
        <v/>
      </c>
      <c r="Q1905" s="29" t="str">
        <f t="shared" si="208"/>
        <v/>
      </c>
      <c r="R1905" s="37" t="str">
        <f t="shared" si="209"/>
        <v/>
      </c>
    </row>
    <row r="1906" spans="1:18" x14ac:dyDescent="0.35">
      <c r="A1906" s="8">
        <v>1902</v>
      </c>
      <c r="B1906" s="9" t="str">
        <f t="shared" si="203"/>
        <v/>
      </c>
      <c r="C1906" s="10"/>
      <c r="D1906" s="9" t="str">
        <f>IF(F1906="","",_xlfn.XLOOKUP(F1906,purchase!D:D,purchase!#REF!,""))</f>
        <v/>
      </c>
      <c r="E1906" s="9" t="str">
        <f>IF(F1906="","",_xlfn.XLOOKUP(F1906,purchase!D:D,purchase!B:B,""))</f>
        <v/>
      </c>
      <c r="F1906" s="2"/>
      <c r="G1906" s="4" t="str">
        <f t="shared" si="204"/>
        <v/>
      </c>
      <c r="H1906" s="4" t="str">
        <f>IF(F1906="","",_xlfn.XLOOKUP(F1906,purchase!D:D,purchase!#REF!,""))</f>
        <v/>
      </c>
      <c r="I1906" s="4" t="str">
        <f t="shared" si="205"/>
        <v/>
      </c>
      <c r="J1906" s="4" t="str">
        <f t="shared" si="206"/>
        <v/>
      </c>
      <c r="K1906" s="13" t="str">
        <f>_xlfn.SINGLE(IF(F1906="","",_xlfn.XLOOKUP(F1906,purchase!D:D,purchase!#REF!,"")))</f>
        <v/>
      </c>
      <c r="L1906" s="2"/>
      <c r="M1906" s="32"/>
      <c r="N1906" s="13" t="str">
        <f>IF(F1906="","",
MAX(0,
_xlfn.XLOOKUP(F1906,purchase!D:D,purchase!#REF!,"")
-
SUMIFS(L:L,F:F,F1906)))</f>
        <v/>
      </c>
      <c r="O1906" s="13" t="str">
        <f t="shared" si="207"/>
        <v/>
      </c>
      <c r="P1906" s="35" t="str">
        <f>_xlfn.SINGLE(IF(F1906="","",_xlfn.XLOOKUP(F1906,purchase!D:D,purchase!K:K,"")))</f>
        <v/>
      </c>
      <c r="Q1906" s="29" t="str">
        <f t="shared" si="208"/>
        <v/>
      </c>
      <c r="R1906" s="37" t="str">
        <f t="shared" si="209"/>
        <v/>
      </c>
    </row>
    <row r="1907" spans="1:18" x14ac:dyDescent="0.35">
      <c r="A1907" s="8">
        <v>1903</v>
      </c>
      <c r="B1907" s="9" t="str">
        <f t="shared" si="203"/>
        <v/>
      </c>
      <c r="C1907" s="10"/>
      <c r="D1907" s="9" t="str">
        <f>IF(F1907="","",_xlfn.XLOOKUP(F1907,purchase!D:D,purchase!#REF!,""))</f>
        <v/>
      </c>
      <c r="E1907" s="9" t="str">
        <f>IF(F1907="","",_xlfn.XLOOKUP(F1907,purchase!D:D,purchase!B:B,""))</f>
        <v/>
      </c>
      <c r="F1907" s="2"/>
      <c r="G1907" s="4" t="str">
        <f t="shared" si="204"/>
        <v/>
      </c>
      <c r="H1907" s="4" t="str">
        <f>IF(F1907="","",_xlfn.XLOOKUP(F1907,purchase!D:D,purchase!#REF!,""))</f>
        <v/>
      </c>
      <c r="I1907" s="4" t="str">
        <f t="shared" si="205"/>
        <v/>
      </c>
      <c r="J1907" s="4" t="str">
        <f t="shared" si="206"/>
        <v/>
      </c>
      <c r="K1907" s="13" t="str">
        <f>_xlfn.SINGLE(IF(F1907="","",_xlfn.XLOOKUP(F1907,purchase!D:D,purchase!#REF!,"")))</f>
        <v/>
      </c>
      <c r="L1907" s="2"/>
      <c r="M1907" s="32"/>
      <c r="N1907" s="13" t="str">
        <f>IF(F1907="","",
MAX(0,
_xlfn.XLOOKUP(F1907,purchase!D:D,purchase!#REF!,"")
-
SUMIFS(L:L,F:F,F1907)))</f>
        <v/>
      </c>
      <c r="O1907" s="13" t="str">
        <f t="shared" si="207"/>
        <v/>
      </c>
      <c r="P1907" s="35" t="str">
        <f>_xlfn.SINGLE(IF(F1907="","",_xlfn.XLOOKUP(F1907,purchase!D:D,purchase!K:K,"")))</f>
        <v/>
      </c>
      <c r="Q1907" s="29" t="str">
        <f t="shared" si="208"/>
        <v/>
      </c>
      <c r="R1907" s="37" t="str">
        <f t="shared" si="209"/>
        <v/>
      </c>
    </row>
    <row r="1908" spans="1:18" x14ac:dyDescent="0.35">
      <c r="A1908" s="8">
        <v>1904</v>
      </c>
      <c r="B1908" s="9" t="str">
        <f t="shared" si="203"/>
        <v/>
      </c>
      <c r="C1908" s="10"/>
      <c r="D1908" s="9" t="str">
        <f>IF(F1908="","",_xlfn.XLOOKUP(F1908,purchase!D:D,purchase!#REF!,""))</f>
        <v/>
      </c>
      <c r="E1908" s="9" t="str">
        <f>IF(F1908="","",_xlfn.XLOOKUP(F1908,purchase!D:D,purchase!B:B,""))</f>
        <v/>
      </c>
      <c r="F1908" s="2"/>
      <c r="G1908" s="4" t="str">
        <f t="shared" si="204"/>
        <v/>
      </c>
      <c r="H1908" s="4" t="str">
        <f>IF(F1908="","",_xlfn.XLOOKUP(F1908,purchase!D:D,purchase!#REF!,""))</f>
        <v/>
      </c>
      <c r="I1908" s="4" t="str">
        <f t="shared" si="205"/>
        <v/>
      </c>
      <c r="J1908" s="4" t="str">
        <f t="shared" si="206"/>
        <v/>
      </c>
      <c r="K1908" s="13" t="str">
        <f>_xlfn.SINGLE(IF(F1908="","",_xlfn.XLOOKUP(F1908,purchase!D:D,purchase!#REF!,"")))</f>
        <v/>
      </c>
      <c r="L1908" s="2"/>
      <c r="M1908" s="32"/>
      <c r="N1908" s="13" t="str">
        <f>IF(F1908="","",
MAX(0,
_xlfn.XLOOKUP(F1908,purchase!D:D,purchase!#REF!,"")
-
SUMIFS(L:L,F:F,F1908)))</f>
        <v/>
      </c>
      <c r="O1908" s="13" t="str">
        <f t="shared" si="207"/>
        <v/>
      </c>
      <c r="P1908" s="35" t="str">
        <f>_xlfn.SINGLE(IF(F1908="","",_xlfn.XLOOKUP(F1908,purchase!D:D,purchase!K:K,"")))</f>
        <v/>
      </c>
      <c r="Q1908" s="29" t="str">
        <f t="shared" si="208"/>
        <v/>
      </c>
      <c r="R1908" s="37" t="str">
        <f t="shared" si="209"/>
        <v/>
      </c>
    </row>
    <row r="1909" spans="1:18" x14ac:dyDescent="0.35">
      <c r="A1909" s="8">
        <v>1905</v>
      </c>
      <c r="B1909" s="9" t="str">
        <f t="shared" si="203"/>
        <v/>
      </c>
      <c r="C1909" s="10"/>
      <c r="D1909" s="9" t="str">
        <f>IF(F1909="","",_xlfn.XLOOKUP(F1909,purchase!D:D,purchase!#REF!,""))</f>
        <v/>
      </c>
      <c r="E1909" s="9" t="str">
        <f>IF(F1909="","",_xlfn.XLOOKUP(F1909,purchase!D:D,purchase!B:B,""))</f>
        <v/>
      </c>
      <c r="F1909" s="2"/>
      <c r="G1909" s="4" t="str">
        <f t="shared" si="204"/>
        <v/>
      </c>
      <c r="H1909" s="4" t="str">
        <f>IF(F1909="","",_xlfn.XLOOKUP(F1909,purchase!D:D,purchase!#REF!,""))</f>
        <v/>
      </c>
      <c r="I1909" s="4" t="str">
        <f t="shared" si="205"/>
        <v/>
      </c>
      <c r="J1909" s="4" t="str">
        <f t="shared" si="206"/>
        <v/>
      </c>
      <c r="K1909" s="13" t="str">
        <f>_xlfn.SINGLE(IF(F1909="","",_xlfn.XLOOKUP(F1909,purchase!D:D,purchase!#REF!,"")))</f>
        <v/>
      </c>
      <c r="L1909" s="2"/>
      <c r="M1909" s="32"/>
      <c r="N1909" s="13" t="str">
        <f>IF(F1909="","",
MAX(0,
_xlfn.XLOOKUP(F1909,purchase!D:D,purchase!#REF!,"")
-
SUMIFS(L:L,F:F,F1909)))</f>
        <v/>
      </c>
      <c r="O1909" s="13" t="str">
        <f t="shared" si="207"/>
        <v/>
      </c>
      <c r="P1909" s="35" t="str">
        <f>_xlfn.SINGLE(IF(F1909="","",_xlfn.XLOOKUP(F1909,purchase!D:D,purchase!K:K,"")))</f>
        <v/>
      </c>
      <c r="Q1909" s="29" t="str">
        <f t="shared" si="208"/>
        <v/>
      </c>
      <c r="R1909" s="37" t="str">
        <f t="shared" si="209"/>
        <v/>
      </c>
    </row>
    <row r="1910" spans="1:18" x14ac:dyDescent="0.35">
      <c r="A1910" s="8">
        <v>1906</v>
      </c>
      <c r="B1910" s="9" t="str">
        <f t="shared" si="203"/>
        <v/>
      </c>
      <c r="C1910" s="10"/>
      <c r="D1910" s="9" t="str">
        <f>IF(F1910="","",_xlfn.XLOOKUP(F1910,purchase!D:D,purchase!#REF!,""))</f>
        <v/>
      </c>
      <c r="E1910" s="9" t="str">
        <f>IF(F1910="","",_xlfn.XLOOKUP(F1910,purchase!D:D,purchase!B:B,""))</f>
        <v/>
      </c>
      <c r="F1910" s="2"/>
      <c r="G1910" s="4" t="str">
        <f t="shared" si="204"/>
        <v/>
      </c>
      <c r="H1910" s="4" t="str">
        <f>IF(F1910="","",_xlfn.XLOOKUP(F1910,purchase!D:D,purchase!#REF!,""))</f>
        <v/>
      </c>
      <c r="I1910" s="4" t="str">
        <f t="shared" si="205"/>
        <v/>
      </c>
      <c r="J1910" s="4" t="str">
        <f t="shared" si="206"/>
        <v/>
      </c>
      <c r="K1910" s="13" t="str">
        <f>_xlfn.SINGLE(IF(F1910="","",_xlfn.XLOOKUP(F1910,purchase!D:D,purchase!#REF!,"")))</f>
        <v/>
      </c>
      <c r="L1910" s="2"/>
      <c r="M1910" s="32"/>
      <c r="N1910" s="13" t="str">
        <f>IF(F1910="","",
MAX(0,
_xlfn.XLOOKUP(F1910,purchase!D:D,purchase!#REF!,"")
-
SUMIFS(L:L,F:F,F1910)))</f>
        <v/>
      </c>
      <c r="O1910" s="13" t="str">
        <f t="shared" si="207"/>
        <v/>
      </c>
      <c r="P1910" s="35" t="str">
        <f>_xlfn.SINGLE(IF(F1910="","",_xlfn.XLOOKUP(F1910,purchase!D:D,purchase!K:K,"")))</f>
        <v/>
      </c>
      <c r="Q1910" s="29" t="str">
        <f t="shared" si="208"/>
        <v/>
      </c>
      <c r="R1910" s="37" t="str">
        <f t="shared" si="209"/>
        <v/>
      </c>
    </row>
    <row r="1911" spans="1:18" x14ac:dyDescent="0.35">
      <c r="A1911" s="8">
        <v>1907</v>
      </c>
      <c r="B1911" s="9" t="str">
        <f t="shared" si="203"/>
        <v/>
      </c>
      <c r="C1911" s="10"/>
      <c r="D1911" s="9" t="str">
        <f>IF(F1911="","",_xlfn.XLOOKUP(F1911,purchase!D:D,purchase!#REF!,""))</f>
        <v/>
      </c>
      <c r="E1911" s="9" t="str">
        <f>IF(F1911="","",_xlfn.XLOOKUP(F1911,purchase!D:D,purchase!B:B,""))</f>
        <v/>
      </c>
      <c r="F1911" s="2"/>
      <c r="G1911" s="4" t="str">
        <f t="shared" si="204"/>
        <v/>
      </c>
      <c r="H1911" s="4" t="str">
        <f>IF(F1911="","",_xlfn.XLOOKUP(F1911,purchase!D:D,purchase!#REF!,""))</f>
        <v/>
      </c>
      <c r="I1911" s="4" t="str">
        <f t="shared" si="205"/>
        <v/>
      </c>
      <c r="J1911" s="4" t="str">
        <f t="shared" si="206"/>
        <v/>
      </c>
      <c r="K1911" s="13" t="str">
        <f>_xlfn.SINGLE(IF(F1911="","",_xlfn.XLOOKUP(F1911,purchase!D:D,purchase!#REF!,"")))</f>
        <v/>
      </c>
      <c r="L1911" s="2"/>
      <c r="M1911" s="32"/>
      <c r="N1911" s="13" t="str">
        <f>IF(F1911="","",
MAX(0,
_xlfn.XLOOKUP(F1911,purchase!D:D,purchase!#REF!,"")
-
SUMIFS(L:L,F:F,F1911)))</f>
        <v/>
      </c>
      <c r="O1911" s="13" t="str">
        <f t="shared" si="207"/>
        <v/>
      </c>
      <c r="P1911" s="35" t="str">
        <f>_xlfn.SINGLE(IF(F1911="","",_xlfn.XLOOKUP(F1911,purchase!D:D,purchase!K:K,"")))</f>
        <v/>
      </c>
      <c r="Q1911" s="29" t="str">
        <f t="shared" si="208"/>
        <v/>
      </c>
      <c r="R1911" s="37" t="str">
        <f t="shared" si="209"/>
        <v/>
      </c>
    </row>
    <row r="1912" spans="1:18" x14ac:dyDescent="0.35">
      <c r="A1912" s="8">
        <v>1908</v>
      </c>
      <c r="B1912" s="9" t="str">
        <f t="shared" si="203"/>
        <v/>
      </c>
      <c r="C1912" s="10"/>
      <c r="D1912" s="9" t="str">
        <f>IF(F1912="","",_xlfn.XLOOKUP(F1912,purchase!D:D,purchase!#REF!,""))</f>
        <v/>
      </c>
      <c r="E1912" s="9" t="str">
        <f>IF(F1912="","",_xlfn.XLOOKUP(F1912,purchase!D:D,purchase!B:B,""))</f>
        <v/>
      </c>
      <c r="F1912" s="2"/>
      <c r="G1912" s="4" t="str">
        <f t="shared" si="204"/>
        <v/>
      </c>
      <c r="H1912" s="4" t="str">
        <f>IF(F1912="","",_xlfn.XLOOKUP(F1912,purchase!D:D,purchase!#REF!,""))</f>
        <v/>
      </c>
      <c r="I1912" s="4" t="str">
        <f t="shared" si="205"/>
        <v/>
      </c>
      <c r="J1912" s="4" t="str">
        <f t="shared" si="206"/>
        <v/>
      </c>
      <c r="K1912" s="13" t="str">
        <f>_xlfn.SINGLE(IF(F1912="","",_xlfn.XLOOKUP(F1912,purchase!D:D,purchase!#REF!,"")))</f>
        <v/>
      </c>
      <c r="L1912" s="2"/>
      <c r="M1912" s="32"/>
      <c r="N1912" s="13" t="str">
        <f>IF(F1912="","",
MAX(0,
_xlfn.XLOOKUP(F1912,purchase!D:D,purchase!#REF!,"")
-
SUMIFS(L:L,F:F,F1912)))</f>
        <v/>
      </c>
      <c r="O1912" s="13" t="str">
        <f t="shared" si="207"/>
        <v/>
      </c>
      <c r="P1912" s="35" t="str">
        <f>_xlfn.SINGLE(IF(F1912="","",_xlfn.XLOOKUP(F1912,purchase!D:D,purchase!K:K,"")))</f>
        <v/>
      </c>
      <c r="Q1912" s="29" t="str">
        <f t="shared" si="208"/>
        <v/>
      </c>
      <c r="R1912" s="37" t="str">
        <f t="shared" si="209"/>
        <v/>
      </c>
    </row>
    <row r="1913" spans="1:18" x14ac:dyDescent="0.35">
      <c r="A1913" s="8">
        <v>1909</v>
      </c>
      <c r="B1913" s="9" t="str">
        <f t="shared" si="203"/>
        <v/>
      </c>
      <c r="C1913" s="10"/>
      <c r="D1913" s="9" t="str">
        <f>IF(F1913="","",_xlfn.XLOOKUP(F1913,purchase!D:D,purchase!#REF!,""))</f>
        <v/>
      </c>
      <c r="E1913" s="9" t="str">
        <f>IF(F1913="","",_xlfn.XLOOKUP(F1913,purchase!D:D,purchase!B:B,""))</f>
        <v/>
      </c>
      <c r="F1913" s="2"/>
      <c r="G1913" s="4" t="str">
        <f t="shared" si="204"/>
        <v/>
      </c>
      <c r="H1913" s="4" t="str">
        <f>IF(F1913="","",_xlfn.XLOOKUP(F1913,purchase!D:D,purchase!#REF!,""))</f>
        <v/>
      </c>
      <c r="I1913" s="4" t="str">
        <f t="shared" si="205"/>
        <v/>
      </c>
      <c r="J1913" s="4" t="str">
        <f t="shared" si="206"/>
        <v/>
      </c>
      <c r="K1913" s="13" t="str">
        <f>_xlfn.SINGLE(IF(F1913="","",_xlfn.XLOOKUP(F1913,purchase!D:D,purchase!#REF!,"")))</f>
        <v/>
      </c>
      <c r="L1913" s="2"/>
      <c r="M1913" s="32"/>
      <c r="N1913" s="13" t="str">
        <f>IF(F1913="","",
MAX(0,
_xlfn.XLOOKUP(F1913,purchase!D:D,purchase!#REF!,"")
-
SUMIFS(L:L,F:F,F1913)))</f>
        <v/>
      </c>
      <c r="O1913" s="13" t="str">
        <f t="shared" si="207"/>
        <v/>
      </c>
      <c r="P1913" s="35" t="str">
        <f>_xlfn.SINGLE(IF(F1913="","",_xlfn.XLOOKUP(F1913,purchase!D:D,purchase!K:K,"")))</f>
        <v/>
      </c>
      <c r="Q1913" s="29" t="str">
        <f t="shared" si="208"/>
        <v/>
      </c>
      <c r="R1913" s="37" t="str">
        <f t="shared" si="209"/>
        <v/>
      </c>
    </row>
    <row r="1914" spans="1:18" x14ac:dyDescent="0.35">
      <c r="A1914" s="8">
        <v>1910</v>
      </c>
      <c r="B1914" s="9" t="str">
        <f t="shared" si="203"/>
        <v/>
      </c>
      <c r="C1914" s="10"/>
      <c r="D1914" s="9" t="str">
        <f>IF(F1914="","",_xlfn.XLOOKUP(F1914,purchase!D:D,purchase!#REF!,""))</f>
        <v/>
      </c>
      <c r="E1914" s="9" t="str">
        <f>IF(F1914="","",_xlfn.XLOOKUP(F1914,purchase!D:D,purchase!B:B,""))</f>
        <v/>
      </c>
      <c r="F1914" s="2"/>
      <c r="G1914" s="4" t="str">
        <f t="shared" si="204"/>
        <v/>
      </c>
      <c r="H1914" s="4" t="str">
        <f>IF(F1914="","",_xlfn.XLOOKUP(F1914,purchase!D:D,purchase!#REF!,""))</f>
        <v/>
      </c>
      <c r="I1914" s="4" t="str">
        <f t="shared" si="205"/>
        <v/>
      </c>
      <c r="J1914" s="4" t="str">
        <f t="shared" si="206"/>
        <v/>
      </c>
      <c r="K1914" s="13" t="str">
        <f>_xlfn.SINGLE(IF(F1914="","",_xlfn.XLOOKUP(F1914,purchase!D:D,purchase!#REF!,"")))</f>
        <v/>
      </c>
      <c r="L1914" s="2"/>
      <c r="M1914" s="32"/>
      <c r="N1914" s="13" t="str">
        <f>IF(F1914="","",
MAX(0,
_xlfn.XLOOKUP(F1914,purchase!D:D,purchase!#REF!,"")
-
SUMIFS(L:L,F:F,F1914)))</f>
        <v/>
      </c>
      <c r="O1914" s="13" t="str">
        <f t="shared" si="207"/>
        <v/>
      </c>
      <c r="P1914" s="35" t="str">
        <f>_xlfn.SINGLE(IF(F1914="","",_xlfn.XLOOKUP(F1914,purchase!D:D,purchase!K:K,"")))</f>
        <v/>
      </c>
      <c r="Q1914" s="29" t="str">
        <f t="shared" si="208"/>
        <v/>
      </c>
      <c r="R1914" s="37" t="str">
        <f t="shared" si="209"/>
        <v/>
      </c>
    </row>
    <row r="1915" spans="1:18" x14ac:dyDescent="0.35">
      <c r="A1915" s="8">
        <v>1911</v>
      </c>
      <c r="B1915" s="9" t="str">
        <f t="shared" si="203"/>
        <v/>
      </c>
      <c r="C1915" s="10"/>
      <c r="D1915" s="9" t="str">
        <f>IF(F1915="","",_xlfn.XLOOKUP(F1915,purchase!D:D,purchase!#REF!,""))</f>
        <v/>
      </c>
      <c r="E1915" s="9" t="str">
        <f>IF(F1915="","",_xlfn.XLOOKUP(F1915,purchase!D:D,purchase!B:B,""))</f>
        <v/>
      </c>
      <c r="F1915" s="2"/>
      <c r="G1915" s="4" t="str">
        <f t="shared" si="204"/>
        <v/>
      </c>
      <c r="H1915" s="4" t="str">
        <f>IF(F1915="","",_xlfn.XLOOKUP(F1915,purchase!D:D,purchase!#REF!,""))</f>
        <v/>
      </c>
      <c r="I1915" s="4" t="str">
        <f t="shared" si="205"/>
        <v/>
      </c>
      <c r="J1915" s="4" t="str">
        <f t="shared" si="206"/>
        <v/>
      </c>
      <c r="K1915" s="13" t="str">
        <f>_xlfn.SINGLE(IF(F1915="","",_xlfn.XLOOKUP(F1915,purchase!D:D,purchase!#REF!,"")))</f>
        <v/>
      </c>
      <c r="L1915" s="2"/>
      <c r="M1915" s="32"/>
      <c r="N1915" s="13" t="str">
        <f>IF(F1915="","",
MAX(0,
_xlfn.XLOOKUP(F1915,purchase!D:D,purchase!#REF!,"")
-
SUMIFS(L:L,F:F,F1915)))</f>
        <v/>
      </c>
      <c r="O1915" s="13" t="str">
        <f t="shared" si="207"/>
        <v/>
      </c>
      <c r="P1915" s="35" t="str">
        <f>_xlfn.SINGLE(IF(F1915="","",_xlfn.XLOOKUP(F1915,purchase!D:D,purchase!K:K,"")))</f>
        <v/>
      </c>
      <c r="Q1915" s="29" t="str">
        <f t="shared" si="208"/>
        <v/>
      </c>
      <c r="R1915" s="37" t="str">
        <f t="shared" si="209"/>
        <v/>
      </c>
    </row>
    <row r="1916" spans="1:18" x14ac:dyDescent="0.35">
      <c r="A1916" s="8">
        <v>1912</v>
      </c>
      <c r="B1916" s="9" t="str">
        <f t="shared" si="203"/>
        <v/>
      </c>
      <c r="C1916" s="10"/>
      <c r="D1916" s="9" t="str">
        <f>IF(F1916="","",_xlfn.XLOOKUP(F1916,purchase!D:D,purchase!#REF!,""))</f>
        <v/>
      </c>
      <c r="E1916" s="9" t="str">
        <f>IF(F1916="","",_xlfn.XLOOKUP(F1916,purchase!D:D,purchase!B:B,""))</f>
        <v/>
      </c>
      <c r="F1916" s="2"/>
      <c r="G1916" s="4" t="str">
        <f t="shared" si="204"/>
        <v/>
      </c>
      <c r="H1916" s="4" t="str">
        <f>IF(F1916="","",_xlfn.XLOOKUP(F1916,purchase!D:D,purchase!#REF!,""))</f>
        <v/>
      </c>
      <c r="I1916" s="4" t="str">
        <f t="shared" si="205"/>
        <v/>
      </c>
      <c r="J1916" s="4" t="str">
        <f t="shared" si="206"/>
        <v/>
      </c>
      <c r="K1916" s="13" t="str">
        <f>_xlfn.SINGLE(IF(F1916="","",_xlfn.XLOOKUP(F1916,purchase!D:D,purchase!#REF!,"")))</f>
        <v/>
      </c>
      <c r="L1916" s="2"/>
      <c r="M1916" s="32"/>
      <c r="N1916" s="13" t="str">
        <f>IF(F1916="","",
MAX(0,
_xlfn.XLOOKUP(F1916,purchase!D:D,purchase!#REF!,"")
-
SUMIFS(L:L,F:F,F1916)))</f>
        <v/>
      </c>
      <c r="O1916" s="13" t="str">
        <f t="shared" si="207"/>
        <v/>
      </c>
      <c r="P1916" s="35" t="str">
        <f>_xlfn.SINGLE(IF(F1916="","",_xlfn.XLOOKUP(F1916,purchase!D:D,purchase!K:K,"")))</f>
        <v/>
      </c>
      <c r="Q1916" s="29" t="str">
        <f t="shared" si="208"/>
        <v/>
      </c>
      <c r="R1916" s="37" t="str">
        <f t="shared" si="209"/>
        <v/>
      </c>
    </row>
    <row r="1917" spans="1:18" x14ac:dyDescent="0.35">
      <c r="A1917" s="8">
        <v>1913</v>
      </c>
      <c r="B1917" s="9" t="str">
        <f t="shared" si="203"/>
        <v/>
      </c>
      <c r="C1917" s="10"/>
      <c r="D1917" s="9" t="str">
        <f>IF(F1917="","",_xlfn.XLOOKUP(F1917,purchase!D:D,purchase!#REF!,""))</f>
        <v/>
      </c>
      <c r="E1917" s="9" t="str">
        <f>IF(F1917="","",_xlfn.XLOOKUP(F1917,purchase!D:D,purchase!B:B,""))</f>
        <v/>
      </c>
      <c r="F1917" s="2"/>
      <c r="G1917" s="4" t="str">
        <f t="shared" si="204"/>
        <v/>
      </c>
      <c r="H1917" s="4" t="str">
        <f>IF(F1917="","",_xlfn.XLOOKUP(F1917,purchase!D:D,purchase!#REF!,""))</f>
        <v/>
      </c>
      <c r="I1917" s="4" t="str">
        <f t="shared" si="205"/>
        <v/>
      </c>
      <c r="J1917" s="4" t="str">
        <f t="shared" si="206"/>
        <v/>
      </c>
      <c r="K1917" s="13" t="str">
        <f>_xlfn.SINGLE(IF(F1917="","",_xlfn.XLOOKUP(F1917,purchase!D:D,purchase!#REF!,"")))</f>
        <v/>
      </c>
      <c r="L1917" s="2"/>
      <c r="M1917" s="32"/>
      <c r="N1917" s="13" t="str">
        <f>IF(F1917="","",
MAX(0,
_xlfn.XLOOKUP(F1917,purchase!D:D,purchase!#REF!,"")
-
SUMIFS(L:L,F:F,F1917)))</f>
        <v/>
      </c>
      <c r="O1917" s="13" t="str">
        <f t="shared" si="207"/>
        <v/>
      </c>
      <c r="P1917" s="35" t="str">
        <f>_xlfn.SINGLE(IF(F1917="","",_xlfn.XLOOKUP(F1917,purchase!D:D,purchase!K:K,"")))</f>
        <v/>
      </c>
      <c r="Q1917" s="29" t="str">
        <f t="shared" si="208"/>
        <v/>
      </c>
      <c r="R1917" s="37" t="str">
        <f t="shared" si="209"/>
        <v/>
      </c>
    </row>
    <row r="1918" spans="1:18" x14ac:dyDescent="0.35">
      <c r="A1918" s="8">
        <v>1914</v>
      </c>
      <c r="B1918" s="9" t="str">
        <f t="shared" si="203"/>
        <v/>
      </c>
      <c r="C1918" s="10"/>
      <c r="D1918" s="9" t="str">
        <f>IF(F1918="","",_xlfn.XLOOKUP(F1918,purchase!D:D,purchase!#REF!,""))</f>
        <v/>
      </c>
      <c r="E1918" s="9" t="str">
        <f>IF(F1918="","",_xlfn.XLOOKUP(F1918,purchase!D:D,purchase!B:B,""))</f>
        <v/>
      </c>
      <c r="F1918" s="2"/>
      <c r="G1918" s="4" t="str">
        <f t="shared" si="204"/>
        <v/>
      </c>
      <c r="H1918" s="4" t="str">
        <f>IF(F1918="","",_xlfn.XLOOKUP(F1918,purchase!D:D,purchase!#REF!,""))</f>
        <v/>
      </c>
      <c r="I1918" s="4" t="str">
        <f t="shared" si="205"/>
        <v/>
      </c>
      <c r="J1918" s="4" t="str">
        <f t="shared" si="206"/>
        <v/>
      </c>
      <c r="K1918" s="13" t="str">
        <f>_xlfn.SINGLE(IF(F1918="","",_xlfn.XLOOKUP(F1918,purchase!D:D,purchase!#REF!,"")))</f>
        <v/>
      </c>
      <c r="L1918" s="2"/>
      <c r="M1918" s="32"/>
      <c r="N1918" s="13" t="str">
        <f>IF(F1918="","",
MAX(0,
_xlfn.XLOOKUP(F1918,purchase!D:D,purchase!#REF!,"")
-
SUMIFS(L:L,F:F,F1918)))</f>
        <v/>
      </c>
      <c r="O1918" s="13" t="str">
        <f t="shared" si="207"/>
        <v/>
      </c>
      <c r="P1918" s="35" t="str">
        <f>_xlfn.SINGLE(IF(F1918="","",_xlfn.XLOOKUP(F1918,purchase!D:D,purchase!K:K,"")))</f>
        <v/>
      </c>
      <c r="Q1918" s="29" t="str">
        <f t="shared" si="208"/>
        <v/>
      </c>
      <c r="R1918" s="37" t="str">
        <f t="shared" si="209"/>
        <v/>
      </c>
    </row>
    <row r="1919" spans="1:18" x14ac:dyDescent="0.35">
      <c r="A1919" s="8">
        <v>1915</v>
      </c>
      <c r="B1919" s="9" t="str">
        <f t="shared" si="203"/>
        <v/>
      </c>
      <c r="C1919" s="10"/>
      <c r="D1919" s="9" t="str">
        <f>IF(F1919="","",_xlfn.XLOOKUP(F1919,purchase!D:D,purchase!#REF!,""))</f>
        <v/>
      </c>
      <c r="E1919" s="9" t="str">
        <f>IF(F1919="","",_xlfn.XLOOKUP(F1919,purchase!D:D,purchase!B:B,""))</f>
        <v/>
      </c>
      <c r="F1919" s="2"/>
      <c r="G1919" s="4" t="str">
        <f t="shared" si="204"/>
        <v/>
      </c>
      <c r="H1919" s="4" t="str">
        <f>IF(F1919="","",_xlfn.XLOOKUP(F1919,purchase!D:D,purchase!#REF!,""))</f>
        <v/>
      </c>
      <c r="I1919" s="4" t="str">
        <f t="shared" si="205"/>
        <v/>
      </c>
      <c r="J1919" s="4" t="str">
        <f t="shared" si="206"/>
        <v/>
      </c>
      <c r="K1919" s="13" t="str">
        <f>_xlfn.SINGLE(IF(F1919="","",_xlfn.XLOOKUP(F1919,purchase!D:D,purchase!#REF!,"")))</f>
        <v/>
      </c>
      <c r="L1919" s="2"/>
      <c r="M1919" s="32"/>
      <c r="N1919" s="13" t="str">
        <f>IF(F1919="","",
MAX(0,
_xlfn.XLOOKUP(F1919,purchase!D:D,purchase!#REF!,"")
-
SUMIFS(L:L,F:F,F1919)))</f>
        <v/>
      </c>
      <c r="O1919" s="13" t="str">
        <f t="shared" si="207"/>
        <v/>
      </c>
      <c r="P1919" s="35" t="str">
        <f>_xlfn.SINGLE(IF(F1919="","",_xlfn.XLOOKUP(F1919,purchase!D:D,purchase!K:K,"")))</f>
        <v/>
      </c>
      <c r="Q1919" s="29" t="str">
        <f t="shared" si="208"/>
        <v/>
      </c>
      <c r="R1919" s="37" t="str">
        <f t="shared" si="209"/>
        <v/>
      </c>
    </row>
    <row r="1920" spans="1:18" x14ac:dyDescent="0.35">
      <c r="A1920" s="8">
        <v>1916</v>
      </c>
      <c r="B1920" s="9" t="str">
        <f t="shared" si="203"/>
        <v/>
      </c>
      <c r="C1920" s="10"/>
      <c r="D1920" s="9" t="str">
        <f>IF(F1920="","",_xlfn.XLOOKUP(F1920,purchase!D:D,purchase!#REF!,""))</f>
        <v/>
      </c>
      <c r="E1920" s="9" t="str">
        <f>IF(F1920="","",_xlfn.XLOOKUP(F1920,purchase!D:D,purchase!B:B,""))</f>
        <v/>
      </c>
      <c r="F1920" s="2"/>
      <c r="G1920" s="4" t="str">
        <f t="shared" si="204"/>
        <v/>
      </c>
      <c r="H1920" s="4" t="str">
        <f>IF(F1920="","",_xlfn.XLOOKUP(F1920,purchase!D:D,purchase!#REF!,""))</f>
        <v/>
      </c>
      <c r="I1920" s="4" t="str">
        <f t="shared" si="205"/>
        <v/>
      </c>
      <c r="J1920" s="4" t="str">
        <f t="shared" si="206"/>
        <v/>
      </c>
      <c r="K1920" s="13" t="str">
        <f>_xlfn.SINGLE(IF(F1920="","",_xlfn.XLOOKUP(F1920,purchase!D:D,purchase!#REF!,"")))</f>
        <v/>
      </c>
      <c r="L1920" s="2"/>
      <c r="M1920" s="32"/>
      <c r="N1920" s="13" t="str">
        <f>IF(F1920="","",
MAX(0,
_xlfn.XLOOKUP(F1920,purchase!D:D,purchase!#REF!,"")
-
SUMIFS(L:L,F:F,F1920)))</f>
        <v/>
      </c>
      <c r="O1920" s="13" t="str">
        <f t="shared" si="207"/>
        <v/>
      </c>
      <c r="P1920" s="35" t="str">
        <f>_xlfn.SINGLE(IF(F1920="","",_xlfn.XLOOKUP(F1920,purchase!D:D,purchase!K:K,"")))</f>
        <v/>
      </c>
      <c r="Q1920" s="29" t="str">
        <f t="shared" si="208"/>
        <v/>
      </c>
      <c r="R1920" s="37" t="str">
        <f t="shared" si="209"/>
        <v/>
      </c>
    </row>
    <row r="1921" spans="1:18" x14ac:dyDescent="0.35">
      <c r="A1921" s="8">
        <v>1917</v>
      </c>
      <c r="B1921" s="9" t="str">
        <f t="shared" si="203"/>
        <v/>
      </c>
      <c r="C1921" s="10"/>
      <c r="D1921" s="9" t="str">
        <f>IF(F1921="","",_xlfn.XLOOKUP(F1921,purchase!D:D,purchase!#REF!,""))</f>
        <v/>
      </c>
      <c r="E1921" s="9" t="str">
        <f>IF(F1921="","",_xlfn.XLOOKUP(F1921,purchase!D:D,purchase!B:B,""))</f>
        <v/>
      </c>
      <c r="F1921" s="2"/>
      <c r="G1921" s="4" t="str">
        <f t="shared" si="204"/>
        <v/>
      </c>
      <c r="H1921" s="4" t="str">
        <f>IF(F1921="","",_xlfn.XLOOKUP(F1921,purchase!D:D,purchase!#REF!,""))</f>
        <v/>
      </c>
      <c r="I1921" s="4" t="str">
        <f t="shared" si="205"/>
        <v/>
      </c>
      <c r="J1921" s="4" t="str">
        <f t="shared" si="206"/>
        <v/>
      </c>
      <c r="K1921" s="13" t="str">
        <f>_xlfn.SINGLE(IF(F1921="","",_xlfn.XLOOKUP(F1921,purchase!D:D,purchase!#REF!,"")))</f>
        <v/>
      </c>
      <c r="L1921" s="2"/>
      <c r="M1921" s="32"/>
      <c r="N1921" s="13" t="str">
        <f>IF(F1921="","",
MAX(0,
_xlfn.XLOOKUP(F1921,purchase!D:D,purchase!#REF!,"")
-
SUMIFS(L:L,F:F,F1921)))</f>
        <v/>
      </c>
      <c r="O1921" s="13" t="str">
        <f t="shared" si="207"/>
        <v/>
      </c>
      <c r="P1921" s="35" t="str">
        <f>_xlfn.SINGLE(IF(F1921="","",_xlfn.XLOOKUP(F1921,purchase!D:D,purchase!K:K,"")))</f>
        <v/>
      </c>
      <c r="Q1921" s="29" t="str">
        <f t="shared" si="208"/>
        <v/>
      </c>
      <c r="R1921" s="37" t="str">
        <f t="shared" si="209"/>
        <v/>
      </c>
    </row>
    <row r="1922" spans="1:18" x14ac:dyDescent="0.35">
      <c r="A1922" s="8">
        <v>1918</v>
      </c>
      <c r="B1922" s="9" t="str">
        <f t="shared" si="203"/>
        <v/>
      </c>
      <c r="C1922" s="10"/>
      <c r="D1922" s="9" t="str">
        <f>IF(F1922="","",_xlfn.XLOOKUP(F1922,purchase!D:D,purchase!#REF!,""))</f>
        <v/>
      </c>
      <c r="E1922" s="9" t="str">
        <f>IF(F1922="","",_xlfn.XLOOKUP(F1922,purchase!D:D,purchase!B:B,""))</f>
        <v/>
      </c>
      <c r="F1922" s="2"/>
      <c r="G1922" s="4" t="str">
        <f t="shared" si="204"/>
        <v/>
      </c>
      <c r="H1922" s="4" t="str">
        <f>IF(F1922="","",_xlfn.XLOOKUP(F1922,purchase!D:D,purchase!#REF!,""))</f>
        <v/>
      </c>
      <c r="I1922" s="4" t="str">
        <f t="shared" si="205"/>
        <v/>
      </c>
      <c r="J1922" s="4" t="str">
        <f t="shared" si="206"/>
        <v/>
      </c>
      <c r="K1922" s="13" t="str">
        <f>_xlfn.SINGLE(IF(F1922="","",_xlfn.XLOOKUP(F1922,purchase!D:D,purchase!#REF!,"")))</f>
        <v/>
      </c>
      <c r="L1922" s="2"/>
      <c r="M1922" s="32"/>
      <c r="N1922" s="13" t="str">
        <f>IF(F1922="","",
MAX(0,
_xlfn.XLOOKUP(F1922,purchase!D:D,purchase!#REF!,"")
-
SUMIFS(L:L,F:F,F1922)))</f>
        <v/>
      </c>
      <c r="O1922" s="13" t="str">
        <f t="shared" si="207"/>
        <v/>
      </c>
      <c r="P1922" s="35" t="str">
        <f>_xlfn.SINGLE(IF(F1922="","",_xlfn.XLOOKUP(F1922,purchase!D:D,purchase!K:K,"")))</f>
        <v/>
      </c>
      <c r="Q1922" s="29" t="str">
        <f t="shared" si="208"/>
        <v/>
      </c>
      <c r="R1922" s="37" t="str">
        <f t="shared" si="209"/>
        <v/>
      </c>
    </row>
    <row r="1923" spans="1:18" x14ac:dyDescent="0.35">
      <c r="A1923" s="8">
        <v>1919</v>
      </c>
      <c r="B1923" s="9" t="str">
        <f t="shared" si="203"/>
        <v/>
      </c>
      <c r="C1923" s="10"/>
      <c r="D1923" s="9" t="str">
        <f>IF(F1923="","",_xlfn.XLOOKUP(F1923,purchase!D:D,purchase!#REF!,""))</f>
        <v/>
      </c>
      <c r="E1923" s="9" t="str">
        <f>IF(F1923="","",_xlfn.XLOOKUP(F1923,purchase!D:D,purchase!B:B,""))</f>
        <v/>
      </c>
      <c r="F1923" s="2"/>
      <c r="G1923" s="4" t="str">
        <f t="shared" si="204"/>
        <v/>
      </c>
      <c r="H1923" s="4" t="str">
        <f>IF(F1923="","",_xlfn.XLOOKUP(F1923,purchase!D:D,purchase!#REF!,""))</f>
        <v/>
      </c>
      <c r="I1923" s="4" t="str">
        <f t="shared" si="205"/>
        <v/>
      </c>
      <c r="J1923" s="4" t="str">
        <f t="shared" si="206"/>
        <v/>
      </c>
      <c r="K1923" s="13" t="str">
        <f>_xlfn.SINGLE(IF(F1923="","",_xlfn.XLOOKUP(F1923,purchase!D:D,purchase!#REF!,"")))</f>
        <v/>
      </c>
      <c r="L1923" s="2"/>
      <c r="M1923" s="32"/>
      <c r="N1923" s="13" t="str">
        <f>IF(F1923="","",
MAX(0,
_xlfn.XLOOKUP(F1923,purchase!D:D,purchase!#REF!,"")
-
SUMIFS(L:L,F:F,F1923)))</f>
        <v/>
      </c>
      <c r="O1923" s="13" t="str">
        <f t="shared" si="207"/>
        <v/>
      </c>
      <c r="P1923" s="35" t="str">
        <f>_xlfn.SINGLE(IF(F1923="","",_xlfn.XLOOKUP(F1923,purchase!D:D,purchase!K:K,"")))</f>
        <v/>
      </c>
      <c r="Q1923" s="29" t="str">
        <f t="shared" si="208"/>
        <v/>
      </c>
      <c r="R1923" s="37" t="str">
        <f t="shared" si="209"/>
        <v/>
      </c>
    </row>
    <row r="1924" spans="1:18" x14ac:dyDescent="0.35">
      <c r="A1924" s="8">
        <v>1920</v>
      </c>
      <c r="B1924" s="9" t="str">
        <f t="shared" si="203"/>
        <v/>
      </c>
      <c r="C1924" s="10"/>
      <c r="D1924" s="9" t="str">
        <f>IF(F1924="","",_xlfn.XLOOKUP(F1924,purchase!D:D,purchase!#REF!,""))</f>
        <v/>
      </c>
      <c r="E1924" s="9" t="str">
        <f>IF(F1924="","",_xlfn.XLOOKUP(F1924,purchase!D:D,purchase!B:B,""))</f>
        <v/>
      </c>
      <c r="F1924" s="2"/>
      <c r="G1924" s="4" t="str">
        <f t="shared" si="204"/>
        <v/>
      </c>
      <c r="H1924" s="4" t="str">
        <f>IF(F1924="","",_xlfn.XLOOKUP(F1924,purchase!D:D,purchase!#REF!,""))</f>
        <v/>
      </c>
      <c r="I1924" s="4" t="str">
        <f t="shared" si="205"/>
        <v/>
      </c>
      <c r="J1924" s="4" t="str">
        <f t="shared" si="206"/>
        <v/>
      </c>
      <c r="K1924" s="13" t="str">
        <f>_xlfn.SINGLE(IF(F1924="","",_xlfn.XLOOKUP(F1924,purchase!D:D,purchase!#REF!,"")))</f>
        <v/>
      </c>
      <c r="L1924" s="2"/>
      <c r="M1924" s="32"/>
      <c r="N1924" s="13" t="str">
        <f>IF(F1924="","",
MAX(0,
_xlfn.XLOOKUP(F1924,purchase!D:D,purchase!#REF!,"")
-
SUMIFS(L:L,F:F,F1924)))</f>
        <v/>
      </c>
      <c r="O1924" s="13" t="str">
        <f t="shared" si="207"/>
        <v/>
      </c>
      <c r="P1924" s="35" t="str">
        <f>_xlfn.SINGLE(IF(F1924="","",_xlfn.XLOOKUP(F1924,purchase!D:D,purchase!K:K,"")))</f>
        <v/>
      </c>
      <c r="Q1924" s="29" t="str">
        <f t="shared" si="208"/>
        <v/>
      </c>
      <c r="R1924" s="37" t="str">
        <f t="shared" si="209"/>
        <v/>
      </c>
    </row>
    <row r="1925" spans="1:18" x14ac:dyDescent="0.35">
      <c r="A1925" s="8">
        <v>1921</v>
      </c>
      <c r="B1925" s="9" t="str">
        <f t="shared" ref="B1925:B1988" si="210">IF(OR(C1925="",F1925=""),"",
"PRD-" &amp;
TEXT(DAY(C1925),"00") &amp;
CHOOSE(MONTH(C1925),"A","B","C","D","E","F","G","H","I","J","K","L") &amp;
TEXT(YEAR(C1925),"00") &amp;
"-" &amp;
RIGHT(F1925,4))</f>
        <v/>
      </c>
      <c r="C1925" s="10"/>
      <c r="D1925" s="9" t="str">
        <f>IF(F1925="","",_xlfn.XLOOKUP(F1925,purchase!D:D,purchase!#REF!,""))</f>
        <v/>
      </c>
      <c r="E1925" s="9" t="str">
        <f>IF(F1925="","",_xlfn.XLOOKUP(F1925,purchase!D:D,purchase!B:B,""))</f>
        <v/>
      </c>
      <c r="F1925" s="2"/>
      <c r="G1925" s="4" t="str">
        <f t="shared" ref="G1925:G1988" si="211">IF(H1925="NRFC","Natural Rubber Field Coagulam","")</f>
        <v/>
      </c>
      <c r="H1925" s="4" t="str">
        <f>IF(F1925="","",_xlfn.XLOOKUP(F1925,purchase!D:D,purchase!#REF!,""))</f>
        <v/>
      </c>
      <c r="I1925" s="4" t="str">
        <f t="shared" ref="I1925:I1988" si="212">IF(J1925="ISNR20","Natural Rubber-TSNR (ISNR-20)","")</f>
        <v/>
      </c>
      <c r="J1925" s="4" t="str">
        <f t="shared" ref="J1925:J1988" si="213">IF(H1925="NRFC","ISNR20","")</f>
        <v/>
      </c>
      <c r="K1925" s="13" t="str">
        <f>_xlfn.SINGLE(IF(F1925="","",_xlfn.XLOOKUP(F1925,purchase!D:D,purchase!#REF!,"")))</f>
        <v/>
      </c>
      <c r="L1925" s="2"/>
      <c r="M1925" s="32"/>
      <c r="N1925" s="13" t="str">
        <f>IF(F1925="","",
MAX(0,
_xlfn.XLOOKUP(F1925,purchase!D:D,purchase!#REF!,"")
-
SUMIFS(L:L,F:F,F1925)))</f>
        <v/>
      </c>
      <c r="O1925" s="13" t="str">
        <f t="shared" ref="O1925:O1988" si="214">IF(OR(L1925="",M1925=""),"",L1925-M1925)</f>
        <v/>
      </c>
      <c r="P1925" s="35" t="str">
        <f>_xlfn.SINGLE(IF(F1925="","",_xlfn.XLOOKUP(F1925,purchase!D:D,purchase!K:K,"")))</f>
        <v/>
      </c>
      <c r="Q1925" s="29" t="str">
        <f t="shared" ref="Q1925:Q1988" si="215">IF(OR(L1925="",M1925=""),"",M1925/L1925)</f>
        <v/>
      </c>
      <c r="R1925" s="37" t="str">
        <f t="shared" ref="R1925:R1988" si="216">IF(OR(P1925="",Q1925=""),"",Q1925-P1925)</f>
        <v/>
      </c>
    </row>
    <row r="1926" spans="1:18" x14ac:dyDescent="0.35">
      <c r="A1926" s="8">
        <v>1922</v>
      </c>
      <c r="B1926" s="9" t="str">
        <f t="shared" si="210"/>
        <v/>
      </c>
      <c r="C1926" s="10"/>
      <c r="D1926" s="9" t="str">
        <f>IF(F1926="","",_xlfn.XLOOKUP(F1926,purchase!D:D,purchase!#REF!,""))</f>
        <v/>
      </c>
      <c r="E1926" s="9" t="str">
        <f>IF(F1926="","",_xlfn.XLOOKUP(F1926,purchase!D:D,purchase!B:B,""))</f>
        <v/>
      </c>
      <c r="F1926" s="2"/>
      <c r="G1926" s="4" t="str">
        <f t="shared" si="211"/>
        <v/>
      </c>
      <c r="H1926" s="4" t="str">
        <f>IF(F1926="","",_xlfn.XLOOKUP(F1926,purchase!D:D,purchase!#REF!,""))</f>
        <v/>
      </c>
      <c r="I1926" s="4" t="str">
        <f t="shared" si="212"/>
        <v/>
      </c>
      <c r="J1926" s="4" t="str">
        <f t="shared" si="213"/>
        <v/>
      </c>
      <c r="K1926" s="13" t="str">
        <f>_xlfn.SINGLE(IF(F1926="","",_xlfn.XLOOKUP(F1926,purchase!D:D,purchase!#REF!,"")))</f>
        <v/>
      </c>
      <c r="L1926" s="2"/>
      <c r="M1926" s="32"/>
      <c r="N1926" s="13" t="str">
        <f>IF(F1926="","",
MAX(0,
_xlfn.XLOOKUP(F1926,purchase!D:D,purchase!#REF!,"")
-
SUMIFS(L:L,F:F,F1926)))</f>
        <v/>
      </c>
      <c r="O1926" s="13" t="str">
        <f t="shared" si="214"/>
        <v/>
      </c>
      <c r="P1926" s="35" t="str">
        <f>_xlfn.SINGLE(IF(F1926="","",_xlfn.XLOOKUP(F1926,purchase!D:D,purchase!K:K,"")))</f>
        <v/>
      </c>
      <c r="Q1926" s="29" t="str">
        <f t="shared" si="215"/>
        <v/>
      </c>
      <c r="R1926" s="37" t="str">
        <f t="shared" si="216"/>
        <v/>
      </c>
    </row>
    <row r="1927" spans="1:18" x14ac:dyDescent="0.35">
      <c r="A1927" s="8">
        <v>1923</v>
      </c>
      <c r="B1927" s="9" t="str">
        <f t="shared" si="210"/>
        <v/>
      </c>
      <c r="C1927" s="10"/>
      <c r="D1927" s="9" t="str">
        <f>IF(F1927="","",_xlfn.XLOOKUP(F1927,purchase!D:D,purchase!#REF!,""))</f>
        <v/>
      </c>
      <c r="E1927" s="9" t="str">
        <f>IF(F1927="","",_xlfn.XLOOKUP(F1927,purchase!D:D,purchase!B:B,""))</f>
        <v/>
      </c>
      <c r="F1927" s="2"/>
      <c r="G1927" s="4" t="str">
        <f t="shared" si="211"/>
        <v/>
      </c>
      <c r="H1927" s="4" t="str">
        <f>IF(F1927="","",_xlfn.XLOOKUP(F1927,purchase!D:D,purchase!#REF!,""))</f>
        <v/>
      </c>
      <c r="I1927" s="4" t="str">
        <f t="shared" si="212"/>
        <v/>
      </c>
      <c r="J1927" s="4" t="str">
        <f t="shared" si="213"/>
        <v/>
      </c>
      <c r="K1927" s="13" t="str">
        <f>_xlfn.SINGLE(IF(F1927="","",_xlfn.XLOOKUP(F1927,purchase!D:D,purchase!#REF!,"")))</f>
        <v/>
      </c>
      <c r="L1927" s="2"/>
      <c r="M1927" s="32"/>
      <c r="N1927" s="13" t="str">
        <f>IF(F1927="","",
MAX(0,
_xlfn.XLOOKUP(F1927,purchase!D:D,purchase!#REF!,"")
-
SUMIFS(L:L,F:F,F1927)))</f>
        <v/>
      </c>
      <c r="O1927" s="13" t="str">
        <f t="shared" si="214"/>
        <v/>
      </c>
      <c r="P1927" s="35" t="str">
        <f>_xlfn.SINGLE(IF(F1927="","",_xlfn.XLOOKUP(F1927,purchase!D:D,purchase!K:K,"")))</f>
        <v/>
      </c>
      <c r="Q1927" s="29" t="str">
        <f t="shared" si="215"/>
        <v/>
      </c>
      <c r="R1927" s="37" t="str">
        <f t="shared" si="216"/>
        <v/>
      </c>
    </row>
    <row r="1928" spans="1:18" x14ac:dyDescent="0.35">
      <c r="A1928" s="8">
        <v>1924</v>
      </c>
      <c r="B1928" s="9" t="str">
        <f t="shared" si="210"/>
        <v/>
      </c>
      <c r="C1928" s="10"/>
      <c r="D1928" s="9" t="str">
        <f>IF(F1928="","",_xlfn.XLOOKUP(F1928,purchase!D:D,purchase!#REF!,""))</f>
        <v/>
      </c>
      <c r="E1928" s="9" t="str">
        <f>IF(F1928="","",_xlfn.XLOOKUP(F1928,purchase!D:D,purchase!B:B,""))</f>
        <v/>
      </c>
      <c r="F1928" s="2"/>
      <c r="G1928" s="4" t="str">
        <f t="shared" si="211"/>
        <v/>
      </c>
      <c r="H1928" s="4" t="str">
        <f>IF(F1928="","",_xlfn.XLOOKUP(F1928,purchase!D:D,purchase!#REF!,""))</f>
        <v/>
      </c>
      <c r="I1928" s="4" t="str">
        <f t="shared" si="212"/>
        <v/>
      </c>
      <c r="J1928" s="4" t="str">
        <f t="shared" si="213"/>
        <v/>
      </c>
      <c r="K1928" s="13" t="str">
        <f>_xlfn.SINGLE(IF(F1928="","",_xlfn.XLOOKUP(F1928,purchase!D:D,purchase!#REF!,"")))</f>
        <v/>
      </c>
      <c r="L1928" s="2"/>
      <c r="M1928" s="32"/>
      <c r="N1928" s="13" t="str">
        <f>IF(F1928="","",
MAX(0,
_xlfn.XLOOKUP(F1928,purchase!D:D,purchase!#REF!,"")
-
SUMIFS(L:L,F:F,F1928)))</f>
        <v/>
      </c>
      <c r="O1928" s="13" t="str">
        <f t="shared" si="214"/>
        <v/>
      </c>
      <c r="P1928" s="35" t="str">
        <f>_xlfn.SINGLE(IF(F1928="","",_xlfn.XLOOKUP(F1928,purchase!D:D,purchase!K:K,"")))</f>
        <v/>
      </c>
      <c r="Q1928" s="29" t="str">
        <f t="shared" si="215"/>
        <v/>
      </c>
      <c r="R1928" s="37" t="str">
        <f t="shared" si="216"/>
        <v/>
      </c>
    </row>
    <row r="1929" spans="1:18" x14ac:dyDescent="0.35">
      <c r="A1929" s="8">
        <v>1925</v>
      </c>
      <c r="B1929" s="9" t="str">
        <f t="shared" si="210"/>
        <v/>
      </c>
      <c r="C1929" s="10"/>
      <c r="D1929" s="9" t="str">
        <f>IF(F1929="","",_xlfn.XLOOKUP(F1929,purchase!D:D,purchase!#REF!,""))</f>
        <v/>
      </c>
      <c r="E1929" s="9" t="str">
        <f>IF(F1929="","",_xlfn.XLOOKUP(F1929,purchase!D:D,purchase!B:B,""))</f>
        <v/>
      </c>
      <c r="F1929" s="2"/>
      <c r="G1929" s="4" t="str">
        <f t="shared" si="211"/>
        <v/>
      </c>
      <c r="H1929" s="4" t="str">
        <f>IF(F1929="","",_xlfn.XLOOKUP(F1929,purchase!D:D,purchase!#REF!,""))</f>
        <v/>
      </c>
      <c r="I1929" s="4" t="str">
        <f t="shared" si="212"/>
        <v/>
      </c>
      <c r="J1929" s="4" t="str">
        <f t="shared" si="213"/>
        <v/>
      </c>
      <c r="K1929" s="13" t="str">
        <f>_xlfn.SINGLE(IF(F1929="","",_xlfn.XLOOKUP(F1929,purchase!D:D,purchase!#REF!,"")))</f>
        <v/>
      </c>
      <c r="L1929" s="2"/>
      <c r="M1929" s="32"/>
      <c r="N1929" s="13" t="str">
        <f>IF(F1929="","",
MAX(0,
_xlfn.XLOOKUP(F1929,purchase!D:D,purchase!#REF!,"")
-
SUMIFS(L:L,F:F,F1929)))</f>
        <v/>
      </c>
      <c r="O1929" s="13" t="str">
        <f t="shared" si="214"/>
        <v/>
      </c>
      <c r="P1929" s="35" t="str">
        <f>_xlfn.SINGLE(IF(F1929="","",_xlfn.XLOOKUP(F1929,purchase!D:D,purchase!K:K,"")))</f>
        <v/>
      </c>
      <c r="Q1929" s="29" t="str">
        <f t="shared" si="215"/>
        <v/>
      </c>
      <c r="R1929" s="37" t="str">
        <f t="shared" si="216"/>
        <v/>
      </c>
    </row>
    <row r="1930" spans="1:18" x14ac:dyDescent="0.35">
      <c r="A1930" s="8">
        <v>1926</v>
      </c>
      <c r="B1930" s="9" t="str">
        <f t="shared" si="210"/>
        <v/>
      </c>
      <c r="C1930" s="10"/>
      <c r="D1930" s="9" t="str">
        <f>IF(F1930="","",_xlfn.XLOOKUP(F1930,purchase!D:D,purchase!#REF!,""))</f>
        <v/>
      </c>
      <c r="E1930" s="9" t="str">
        <f>IF(F1930="","",_xlfn.XLOOKUP(F1930,purchase!D:D,purchase!B:B,""))</f>
        <v/>
      </c>
      <c r="F1930" s="2"/>
      <c r="G1930" s="4" t="str">
        <f t="shared" si="211"/>
        <v/>
      </c>
      <c r="H1930" s="4" t="str">
        <f>IF(F1930="","",_xlfn.XLOOKUP(F1930,purchase!D:D,purchase!#REF!,""))</f>
        <v/>
      </c>
      <c r="I1930" s="4" t="str">
        <f t="shared" si="212"/>
        <v/>
      </c>
      <c r="J1930" s="4" t="str">
        <f t="shared" si="213"/>
        <v/>
      </c>
      <c r="K1930" s="13" t="str">
        <f>_xlfn.SINGLE(IF(F1930="","",_xlfn.XLOOKUP(F1930,purchase!D:D,purchase!#REF!,"")))</f>
        <v/>
      </c>
      <c r="L1930" s="2"/>
      <c r="M1930" s="32"/>
      <c r="N1930" s="13" t="str">
        <f>IF(F1930="","",
MAX(0,
_xlfn.XLOOKUP(F1930,purchase!D:D,purchase!#REF!,"")
-
SUMIFS(L:L,F:F,F1930)))</f>
        <v/>
      </c>
      <c r="O1930" s="13" t="str">
        <f t="shared" si="214"/>
        <v/>
      </c>
      <c r="P1930" s="35" t="str">
        <f>_xlfn.SINGLE(IF(F1930="","",_xlfn.XLOOKUP(F1930,purchase!D:D,purchase!K:K,"")))</f>
        <v/>
      </c>
      <c r="Q1930" s="29" t="str">
        <f t="shared" si="215"/>
        <v/>
      </c>
      <c r="R1930" s="37" t="str">
        <f t="shared" si="216"/>
        <v/>
      </c>
    </row>
    <row r="1931" spans="1:18" x14ac:dyDescent="0.35">
      <c r="A1931" s="8">
        <v>1927</v>
      </c>
      <c r="B1931" s="9" t="str">
        <f t="shared" si="210"/>
        <v/>
      </c>
      <c r="C1931" s="10"/>
      <c r="D1931" s="9" t="str">
        <f>IF(F1931="","",_xlfn.XLOOKUP(F1931,purchase!D:D,purchase!#REF!,""))</f>
        <v/>
      </c>
      <c r="E1931" s="9" t="str">
        <f>IF(F1931="","",_xlfn.XLOOKUP(F1931,purchase!D:D,purchase!B:B,""))</f>
        <v/>
      </c>
      <c r="F1931" s="2"/>
      <c r="G1931" s="4" t="str">
        <f t="shared" si="211"/>
        <v/>
      </c>
      <c r="H1931" s="4" t="str">
        <f>IF(F1931="","",_xlfn.XLOOKUP(F1931,purchase!D:D,purchase!#REF!,""))</f>
        <v/>
      </c>
      <c r="I1931" s="4" t="str">
        <f t="shared" si="212"/>
        <v/>
      </c>
      <c r="J1931" s="4" t="str">
        <f t="shared" si="213"/>
        <v/>
      </c>
      <c r="K1931" s="13" t="str">
        <f>_xlfn.SINGLE(IF(F1931="","",_xlfn.XLOOKUP(F1931,purchase!D:D,purchase!#REF!,"")))</f>
        <v/>
      </c>
      <c r="L1931" s="2"/>
      <c r="M1931" s="32"/>
      <c r="N1931" s="13" t="str">
        <f>IF(F1931="","",
MAX(0,
_xlfn.XLOOKUP(F1931,purchase!D:D,purchase!#REF!,"")
-
SUMIFS(L:L,F:F,F1931)))</f>
        <v/>
      </c>
      <c r="O1931" s="13" t="str">
        <f t="shared" si="214"/>
        <v/>
      </c>
      <c r="P1931" s="35" t="str">
        <f>_xlfn.SINGLE(IF(F1931="","",_xlfn.XLOOKUP(F1931,purchase!D:D,purchase!K:K,"")))</f>
        <v/>
      </c>
      <c r="Q1931" s="29" t="str">
        <f t="shared" si="215"/>
        <v/>
      </c>
      <c r="R1931" s="37" t="str">
        <f t="shared" si="216"/>
        <v/>
      </c>
    </row>
    <row r="1932" spans="1:18" x14ac:dyDescent="0.35">
      <c r="A1932" s="8">
        <v>1928</v>
      </c>
      <c r="B1932" s="9" t="str">
        <f t="shared" si="210"/>
        <v/>
      </c>
      <c r="C1932" s="10"/>
      <c r="D1932" s="9" t="str">
        <f>IF(F1932="","",_xlfn.XLOOKUP(F1932,purchase!D:D,purchase!#REF!,""))</f>
        <v/>
      </c>
      <c r="E1932" s="9" t="str">
        <f>IF(F1932="","",_xlfn.XLOOKUP(F1932,purchase!D:D,purchase!B:B,""))</f>
        <v/>
      </c>
      <c r="F1932" s="2"/>
      <c r="G1932" s="4" t="str">
        <f t="shared" si="211"/>
        <v/>
      </c>
      <c r="H1932" s="4" t="str">
        <f>IF(F1932="","",_xlfn.XLOOKUP(F1932,purchase!D:D,purchase!#REF!,""))</f>
        <v/>
      </c>
      <c r="I1932" s="4" t="str">
        <f t="shared" si="212"/>
        <v/>
      </c>
      <c r="J1932" s="4" t="str">
        <f t="shared" si="213"/>
        <v/>
      </c>
      <c r="K1932" s="13" t="str">
        <f>_xlfn.SINGLE(IF(F1932="","",_xlfn.XLOOKUP(F1932,purchase!D:D,purchase!#REF!,"")))</f>
        <v/>
      </c>
      <c r="L1932" s="2"/>
      <c r="M1932" s="32"/>
      <c r="N1932" s="13" t="str">
        <f>IF(F1932="","",
MAX(0,
_xlfn.XLOOKUP(F1932,purchase!D:D,purchase!#REF!,"")
-
SUMIFS(L:L,F:F,F1932)))</f>
        <v/>
      </c>
      <c r="O1932" s="13" t="str">
        <f t="shared" si="214"/>
        <v/>
      </c>
      <c r="P1932" s="35" t="str">
        <f>_xlfn.SINGLE(IF(F1932="","",_xlfn.XLOOKUP(F1932,purchase!D:D,purchase!K:K,"")))</f>
        <v/>
      </c>
      <c r="Q1932" s="29" t="str">
        <f t="shared" si="215"/>
        <v/>
      </c>
      <c r="R1932" s="37" t="str">
        <f t="shared" si="216"/>
        <v/>
      </c>
    </row>
    <row r="1933" spans="1:18" x14ac:dyDescent="0.35">
      <c r="A1933" s="8">
        <v>1929</v>
      </c>
      <c r="B1933" s="9" t="str">
        <f t="shared" si="210"/>
        <v/>
      </c>
      <c r="C1933" s="10"/>
      <c r="D1933" s="9" t="str">
        <f>IF(F1933="","",_xlfn.XLOOKUP(F1933,purchase!D:D,purchase!#REF!,""))</f>
        <v/>
      </c>
      <c r="E1933" s="9" t="str">
        <f>IF(F1933="","",_xlfn.XLOOKUP(F1933,purchase!D:D,purchase!B:B,""))</f>
        <v/>
      </c>
      <c r="F1933" s="2"/>
      <c r="G1933" s="4" t="str">
        <f t="shared" si="211"/>
        <v/>
      </c>
      <c r="H1933" s="4" t="str">
        <f>IF(F1933="","",_xlfn.XLOOKUP(F1933,purchase!D:D,purchase!#REF!,""))</f>
        <v/>
      </c>
      <c r="I1933" s="4" t="str">
        <f t="shared" si="212"/>
        <v/>
      </c>
      <c r="J1933" s="4" t="str">
        <f t="shared" si="213"/>
        <v/>
      </c>
      <c r="K1933" s="13" t="str">
        <f>_xlfn.SINGLE(IF(F1933="","",_xlfn.XLOOKUP(F1933,purchase!D:D,purchase!#REF!,"")))</f>
        <v/>
      </c>
      <c r="L1933" s="2"/>
      <c r="M1933" s="32"/>
      <c r="N1933" s="13" t="str">
        <f>IF(F1933="","",
MAX(0,
_xlfn.XLOOKUP(F1933,purchase!D:D,purchase!#REF!,"")
-
SUMIFS(L:L,F:F,F1933)))</f>
        <v/>
      </c>
      <c r="O1933" s="13" t="str">
        <f t="shared" si="214"/>
        <v/>
      </c>
      <c r="P1933" s="35" t="str">
        <f>_xlfn.SINGLE(IF(F1933="","",_xlfn.XLOOKUP(F1933,purchase!D:D,purchase!K:K,"")))</f>
        <v/>
      </c>
      <c r="Q1933" s="29" t="str">
        <f t="shared" si="215"/>
        <v/>
      </c>
      <c r="R1933" s="37" t="str">
        <f t="shared" si="216"/>
        <v/>
      </c>
    </row>
    <row r="1934" spans="1:18" x14ac:dyDescent="0.35">
      <c r="A1934" s="8">
        <v>1930</v>
      </c>
      <c r="B1934" s="9" t="str">
        <f t="shared" si="210"/>
        <v/>
      </c>
      <c r="C1934" s="10"/>
      <c r="D1934" s="9" t="str">
        <f>IF(F1934="","",_xlfn.XLOOKUP(F1934,purchase!D:D,purchase!#REF!,""))</f>
        <v/>
      </c>
      <c r="E1934" s="9" t="str">
        <f>IF(F1934="","",_xlfn.XLOOKUP(F1934,purchase!D:D,purchase!B:B,""))</f>
        <v/>
      </c>
      <c r="F1934" s="2"/>
      <c r="G1934" s="4" t="str">
        <f t="shared" si="211"/>
        <v/>
      </c>
      <c r="H1934" s="4" t="str">
        <f>IF(F1934="","",_xlfn.XLOOKUP(F1934,purchase!D:D,purchase!#REF!,""))</f>
        <v/>
      </c>
      <c r="I1934" s="4" t="str">
        <f t="shared" si="212"/>
        <v/>
      </c>
      <c r="J1934" s="4" t="str">
        <f t="shared" si="213"/>
        <v/>
      </c>
      <c r="K1934" s="13" t="str">
        <f>_xlfn.SINGLE(IF(F1934="","",_xlfn.XLOOKUP(F1934,purchase!D:D,purchase!#REF!,"")))</f>
        <v/>
      </c>
      <c r="L1934" s="2"/>
      <c r="M1934" s="32"/>
      <c r="N1934" s="13" t="str">
        <f>IF(F1934="","",
MAX(0,
_xlfn.XLOOKUP(F1934,purchase!D:D,purchase!#REF!,"")
-
SUMIFS(L:L,F:F,F1934)))</f>
        <v/>
      </c>
      <c r="O1934" s="13" t="str">
        <f t="shared" si="214"/>
        <v/>
      </c>
      <c r="P1934" s="35" t="str">
        <f>_xlfn.SINGLE(IF(F1934="","",_xlfn.XLOOKUP(F1934,purchase!D:D,purchase!K:K,"")))</f>
        <v/>
      </c>
      <c r="Q1934" s="29" t="str">
        <f t="shared" si="215"/>
        <v/>
      </c>
      <c r="R1934" s="37" t="str">
        <f t="shared" si="216"/>
        <v/>
      </c>
    </row>
    <row r="1935" spans="1:18" x14ac:dyDescent="0.35">
      <c r="A1935" s="8">
        <v>1931</v>
      </c>
      <c r="B1935" s="9" t="str">
        <f t="shared" si="210"/>
        <v/>
      </c>
      <c r="C1935" s="10"/>
      <c r="D1935" s="9" t="str">
        <f>IF(F1935="","",_xlfn.XLOOKUP(F1935,purchase!D:D,purchase!#REF!,""))</f>
        <v/>
      </c>
      <c r="E1935" s="9" t="str">
        <f>IF(F1935="","",_xlfn.XLOOKUP(F1935,purchase!D:D,purchase!B:B,""))</f>
        <v/>
      </c>
      <c r="F1935" s="2"/>
      <c r="G1935" s="4" t="str">
        <f t="shared" si="211"/>
        <v/>
      </c>
      <c r="H1935" s="4" t="str">
        <f>IF(F1935="","",_xlfn.XLOOKUP(F1935,purchase!D:D,purchase!#REF!,""))</f>
        <v/>
      </c>
      <c r="I1935" s="4" t="str">
        <f t="shared" si="212"/>
        <v/>
      </c>
      <c r="J1935" s="4" t="str">
        <f t="shared" si="213"/>
        <v/>
      </c>
      <c r="K1935" s="13" t="str">
        <f>_xlfn.SINGLE(IF(F1935="","",_xlfn.XLOOKUP(F1935,purchase!D:D,purchase!#REF!,"")))</f>
        <v/>
      </c>
      <c r="L1935" s="2"/>
      <c r="M1935" s="32"/>
      <c r="N1935" s="13" t="str">
        <f>IF(F1935="","",
MAX(0,
_xlfn.XLOOKUP(F1935,purchase!D:D,purchase!#REF!,"")
-
SUMIFS(L:L,F:F,F1935)))</f>
        <v/>
      </c>
      <c r="O1935" s="13" t="str">
        <f t="shared" si="214"/>
        <v/>
      </c>
      <c r="P1935" s="35" t="str">
        <f>_xlfn.SINGLE(IF(F1935="","",_xlfn.XLOOKUP(F1935,purchase!D:D,purchase!K:K,"")))</f>
        <v/>
      </c>
      <c r="Q1935" s="29" t="str">
        <f t="shared" si="215"/>
        <v/>
      </c>
      <c r="R1935" s="37" t="str">
        <f t="shared" si="216"/>
        <v/>
      </c>
    </row>
    <row r="1936" spans="1:18" x14ac:dyDescent="0.35">
      <c r="A1936" s="8">
        <v>1932</v>
      </c>
      <c r="B1936" s="9" t="str">
        <f t="shared" si="210"/>
        <v/>
      </c>
      <c r="C1936" s="10"/>
      <c r="D1936" s="9" t="str">
        <f>IF(F1936="","",_xlfn.XLOOKUP(F1936,purchase!D:D,purchase!#REF!,""))</f>
        <v/>
      </c>
      <c r="E1936" s="9" t="str">
        <f>IF(F1936="","",_xlfn.XLOOKUP(F1936,purchase!D:D,purchase!B:B,""))</f>
        <v/>
      </c>
      <c r="F1936" s="2"/>
      <c r="G1936" s="4" t="str">
        <f t="shared" si="211"/>
        <v/>
      </c>
      <c r="H1936" s="4" t="str">
        <f>IF(F1936="","",_xlfn.XLOOKUP(F1936,purchase!D:D,purchase!#REF!,""))</f>
        <v/>
      </c>
      <c r="I1936" s="4" t="str">
        <f t="shared" si="212"/>
        <v/>
      </c>
      <c r="J1936" s="4" t="str">
        <f t="shared" si="213"/>
        <v/>
      </c>
      <c r="K1936" s="13" t="str">
        <f>_xlfn.SINGLE(IF(F1936="","",_xlfn.XLOOKUP(F1936,purchase!D:D,purchase!#REF!,"")))</f>
        <v/>
      </c>
      <c r="L1936" s="2"/>
      <c r="M1936" s="32"/>
      <c r="N1936" s="13" t="str">
        <f>IF(F1936="","",
MAX(0,
_xlfn.XLOOKUP(F1936,purchase!D:D,purchase!#REF!,"")
-
SUMIFS(L:L,F:F,F1936)))</f>
        <v/>
      </c>
      <c r="O1936" s="13" t="str">
        <f t="shared" si="214"/>
        <v/>
      </c>
      <c r="P1936" s="35" t="str">
        <f>_xlfn.SINGLE(IF(F1936="","",_xlfn.XLOOKUP(F1936,purchase!D:D,purchase!K:K,"")))</f>
        <v/>
      </c>
      <c r="Q1936" s="29" t="str">
        <f t="shared" si="215"/>
        <v/>
      </c>
      <c r="R1936" s="37" t="str">
        <f t="shared" si="216"/>
        <v/>
      </c>
    </row>
    <row r="1937" spans="1:18" x14ac:dyDescent="0.35">
      <c r="A1937" s="8">
        <v>1933</v>
      </c>
      <c r="B1937" s="9" t="str">
        <f t="shared" si="210"/>
        <v/>
      </c>
      <c r="C1937" s="10"/>
      <c r="D1937" s="9" t="str">
        <f>IF(F1937="","",_xlfn.XLOOKUP(F1937,purchase!D:D,purchase!#REF!,""))</f>
        <v/>
      </c>
      <c r="E1937" s="9" t="str">
        <f>IF(F1937="","",_xlfn.XLOOKUP(F1937,purchase!D:D,purchase!B:B,""))</f>
        <v/>
      </c>
      <c r="F1937" s="2"/>
      <c r="G1937" s="4" t="str">
        <f t="shared" si="211"/>
        <v/>
      </c>
      <c r="H1937" s="4" t="str">
        <f>IF(F1937="","",_xlfn.XLOOKUP(F1937,purchase!D:D,purchase!#REF!,""))</f>
        <v/>
      </c>
      <c r="I1937" s="4" t="str">
        <f t="shared" si="212"/>
        <v/>
      </c>
      <c r="J1937" s="4" t="str">
        <f t="shared" si="213"/>
        <v/>
      </c>
      <c r="K1937" s="13" t="str">
        <f>_xlfn.SINGLE(IF(F1937="","",_xlfn.XLOOKUP(F1937,purchase!D:D,purchase!#REF!,"")))</f>
        <v/>
      </c>
      <c r="L1937" s="2"/>
      <c r="M1937" s="32"/>
      <c r="N1937" s="13" t="str">
        <f>IF(F1937="","",
MAX(0,
_xlfn.XLOOKUP(F1937,purchase!D:D,purchase!#REF!,"")
-
SUMIFS(L:L,F:F,F1937)))</f>
        <v/>
      </c>
      <c r="O1937" s="13" t="str">
        <f t="shared" si="214"/>
        <v/>
      </c>
      <c r="P1937" s="35" t="str">
        <f>_xlfn.SINGLE(IF(F1937="","",_xlfn.XLOOKUP(F1937,purchase!D:D,purchase!K:K,"")))</f>
        <v/>
      </c>
      <c r="Q1937" s="29" t="str">
        <f t="shared" si="215"/>
        <v/>
      </c>
      <c r="R1937" s="37" t="str">
        <f t="shared" si="216"/>
        <v/>
      </c>
    </row>
    <row r="1938" spans="1:18" x14ac:dyDescent="0.35">
      <c r="A1938" s="8">
        <v>1934</v>
      </c>
      <c r="B1938" s="9" t="str">
        <f t="shared" si="210"/>
        <v/>
      </c>
      <c r="C1938" s="10"/>
      <c r="D1938" s="9" t="str">
        <f>IF(F1938="","",_xlfn.XLOOKUP(F1938,purchase!D:D,purchase!#REF!,""))</f>
        <v/>
      </c>
      <c r="E1938" s="9" t="str">
        <f>IF(F1938="","",_xlfn.XLOOKUP(F1938,purchase!D:D,purchase!B:B,""))</f>
        <v/>
      </c>
      <c r="F1938" s="2"/>
      <c r="G1938" s="4" t="str">
        <f t="shared" si="211"/>
        <v/>
      </c>
      <c r="H1938" s="4" t="str">
        <f>IF(F1938="","",_xlfn.XLOOKUP(F1938,purchase!D:D,purchase!#REF!,""))</f>
        <v/>
      </c>
      <c r="I1938" s="4" t="str">
        <f t="shared" si="212"/>
        <v/>
      </c>
      <c r="J1938" s="4" t="str">
        <f t="shared" si="213"/>
        <v/>
      </c>
      <c r="K1938" s="13" t="str">
        <f>_xlfn.SINGLE(IF(F1938="","",_xlfn.XLOOKUP(F1938,purchase!D:D,purchase!#REF!,"")))</f>
        <v/>
      </c>
      <c r="L1938" s="2"/>
      <c r="M1938" s="32"/>
      <c r="N1938" s="13" t="str">
        <f>IF(F1938="","",
MAX(0,
_xlfn.XLOOKUP(F1938,purchase!D:D,purchase!#REF!,"")
-
SUMIFS(L:L,F:F,F1938)))</f>
        <v/>
      </c>
      <c r="O1938" s="13" t="str">
        <f t="shared" si="214"/>
        <v/>
      </c>
      <c r="P1938" s="35" t="str">
        <f>_xlfn.SINGLE(IF(F1938="","",_xlfn.XLOOKUP(F1938,purchase!D:D,purchase!K:K,"")))</f>
        <v/>
      </c>
      <c r="Q1938" s="29" t="str">
        <f t="shared" si="215"/>
        <v/>
      </c>
      <c r="R1938" s="37" t="str">
        <f t="shared" si="216"/>
        <v/>
      </c>
    </row>
    <row r="1939" spans="1:18" x14ac:dyDescent="0.35">
      <c r="A1939" s="8">
        <v>1935</v>
      </c>
      <c r="B1939" s="9" t="str">
        <f t="shared" si="210"/>
        <v/>
      </c>
      <c r="C1939" s="10"/>
      <c r="D1939" s="9" t="str">
        <f>IF(F1939="","",_xlfn.XLOOKUP(F1939,purchase!D:D,purchase!#REF!,""))</f>
        <v/>
      </c>
      <c r="E1939" s="9" t="str">
        <f>IF(F1939="","",_xlfn.XLOOKUP(F1939,purchase!D:D,purchase!B:B,""))</f>
        <v/>
      </c>
      <c r="F1939" s="2"/>
      <c r="G1939" s="4" t="str">
        <f t="shared" si="211"/>
        <v/>
      </c>
      <c r="H1939" s="4" t="str">
        <f>IF(F1939="","",_xlfn.XLOOKUP(F1939,purchase!D:D,purchase!#REF!,""))</f>
        <v/>
      </c>
      <c r="I1939" s="4" t="str">
        <f t="shared" si="212"/>
        <v/>
      </c>
      <c r="J1939" s="4" t="str">
        <f t="shared" si="213"/>
        <v/>
      </c>
      <c r="K1939" s="13" t="str">
        <f>_xlfn.SINGLE(IF(F1939="","",_xlfn.XLOOKUP(F1939,purchase!D:D,purchase!#REF!,"")))</f>
        <v/>
      </c>
      <c r="L1939" s="2"/>
      <c r="M1939" s="32"/>
      <c r="N1939" s="13" t="str">
        <f>IF(F1939="","",
MAX(0,
_xlfn.XLOOKUP(F1939,purchase!D:D,purchase!#REF!,"")
-
SUMIFS(L:L,F:F,F1939)))</f>
        <v/>
      </c>
      <c r="O1939" s="13" t="str">
        <f t="shared" si="214"/>
        <v/>
      </c>
      <c r="P1939" s="35" t="str">
        <f>_xlfn.SINGLE(IF(F1939="","",_xlfn.XLOOKUP(F1939,purchase!D:D,purchase!K:K,"")))</f>
        <v/>
      </c>
      <c r="Q1939" s="29" t="str">
        <f t="shared" si="215"/>
        <v/>
      </c>
      <c r="R1939" s="37" t="str">
        <f t="shared" si="216"/>
        <v/>
      </c>
    </row>
    <row r="1940" spans="1:18" x14ac:dyDescent="0.35">
      <c r="A1940" s="8">
        <v>1936</v>
      </c>
      <c r="B1940" s="9" t="str">
        <f t="shared" si="210"/>
        <v/>
      </c>
      <c r="C1940" s="10"/>
      <c r="D1940" s="9" t="str">
        <f>IF(F1940="","",_xlfn.XLOOKUP(F1940,purchase!D:D,purchase!#REF!,""))</f>
        <v/>
      </c>
      <c r="E1940" s="9" t="str">
        <f>IF(F1940="","",_xlfn.XLOOKUP(F1940,purchase!D:D,purchase!B:B,""))</f>
        <v/>
      </c>
      <c r="F1940" s="2"/>
      <c r="G1940" s="4" t="str">
        <f t="shared" si="211"/>
        <v/>
      </c>
      <c r="H1940" s="4" t="str">
        <f>IF(F1940="","",_xlfn.XLOOKUP(F1940,purchase!D:D,purchase!#REF!,""))</f>
        <v/>
      </c>
      <c r="I1940" s="4" t="str">
        <f t="shared" si="212"/>
        <v/>
      </c>
      <c r="J1940" s="4" t="str">
        <f t="shared" si="213"/>
        <v/>
      </c>
      <c r="K1940" s="13" t="str">
        <f>_xlfn.SINGLE(IF(F1940="","",_xlfn.XLOOKUP(F1940,purchase!D:D,purchase!#REF!,"")))</f>
        <v/>
      </c>
      <c r="L1940" s="2"/>
      <c r="M1940" s="32"/>
      <c r="N1940" s="13" t="str">
        <f>IF(F1940="","",
MAX(0,
_xlfn.XLOOKUP(F1940,purchase!D:D,purchase!#REF!,"")
-
SUMIFS(L:L,F:F,F1940)))</f>
        <v/>
      </c>
      <c r="O1940" s="13" t="str">
        <f t="shared" si="214"/>
        <v/>
      </c>
      <c r="P1940" s="35" t="str">
        <f>_xlfn.SINGLE(IF(F1940="","",_xlfn.XLOOKUP(F1940,purchase!D:D,purchase!K:K,"")))</f>
        <v/>
      </c>
      <c r="Q1940" s="29" t="str">
        <f t="shared" si="215"/>
        <v/>
      </c>
      <c r="R1940" s="37" t="str">
        <f t="shared" si="216"/>
        <v/>
      </c>
    </row>
    <row r="1941" spans="1:18" x14ac:dyDescent="0.35">
      <c r="A1941" s="8">
        <v>1937</v>
      </c>
      <c r="B1941" s="9" t="str">
        <f t="shared" si="210"/>
        <v/>
      </c>
      <c r="C1941" s="10"/>
      <c r="D1941" s="9" t="str">
        <f>IF(F1941="","",_xlfn.XLOOKUP(F1941,purchase!D:D,purchase!#REF!,""))</f>
        <v/>
      </c>
      <c r="E1941" s="9" t="str">
        <f>IF(F1941="","",_xlfn.XLOOKUP(F1941,purchase!D:D,purchase!B:B,""))</f>
        <v/>
      </c>
      <c r="F1941" s="2"/>
      <c r="G1941" s="4" t="str">
        <f t="shared" si="211"/>
        <v/>
      </c>
      <c r="H1941" s="4" t="str">
        <f>IF(F1941="","",_xlfn.XLOOKUP(F1941,purchase!D:D,purchase!#REF!,""))</f>
        <v/>
      </c>
      <c r="I1941" s="4" t="str">
        <f t="shared" si="212"/>
        <v/>
      </c>
      <c r="J1941" s="4" t="str">
        <f t="shared" si="213"/>
        <v/>
      </c>
      <c r="K1941" s="13" t="str">
        <f>_xlfn.SINGLE(IF(F1941="","",_xlfn.XLOOKUP(F1941,purchase!D:D,purchase!#REF!,"")))</f>
        <v/>
      </c>
      <c r="L1941" s="2"/>
      <c r="M1941" s="32"/>
      <c r="N1941" s="13" t="str">
        <f>IF(F1941="","",
MAX(0,
_xlfn.XLOOKUP(F1941,purchase!D:D,purchase!#REF!,"")
-
SUMIFS(L:L,F:F,F1941)))</f>
        <v/>
      </c>
      <c r="O1941" s="13" t="str">
        <f t="shared" si="214"/>
        <v/>
      </c>
      <c r="P1941" s="35" t="str">
        <f>_xlfn.SINGLE(IF(F1941="","",_xlfn.XLOOKUP(F1941,purchase!D:D,purchase!K:K,"")))</f>
        <v/>
      </c>
      <c r="Q1941" s="29" t="str">
        <f t="shared" si="215"/>
        <v/>
      </c>
      <c r="R1941" s="37" t="str">
        <f t="shared" si="216"/>
        <v/>
      </c>
    </row>
    <row r="1942" spans="1:18" x14ac:dyDescent="0.35">
      <c r="A1942" s="8">
        <v>1938</v>
      </c>
      <c r="B1942" s="9" t="str">
        <f t="shared" si="210"/>
        <v/>
      </c>
      <c r="C1942" s="10"/>
      <c r="D1942" s="9" t="str">
        <f>IF(F1942="","",_xlfn.XLOOKUP(F1942,purchase!D:D,purchase!#REF!,""))</f>
        <v/>
      </c>
      <c r="E1942" s="9" t="str">
        <f>IF(F1942="","",_xlfn.XLOOKUP(F1942,purchase!D:D,purchase!B:B,""))</f>
        <v/>
      </c>
      <c r="F1942" s="2"/>
      <c r="G1942" s="4" t="str">
        <f t="shared" si="211"/>
        <v/>
      </c>
      <c r="H1942" s="4" t="str">
        <f>IF(F1942="","",_xlfn.XLOOKUP(F1942,purchase!D:D,purchase!#REF!,""))</f>
        <v/>
      </c>
      <c r="I1942" s="4" t="str">
        <f t="shared" si="212"/>
        <v/>
      </c>
      <c r="J1942" s="4" t="str">
        <f t="shared" si="213"/>
        <v/>
      </c>
      <c r="K1942" s="13" t="str">
        <f>_xlfn.SINGLE(IF(F1942="","",_xlfn.XLOOKUP(F1942,purchase!D:D,purchase!#REF!,"")))</f>
        <v/>
      </c>
      <c r="L1942" s="2"/>
      <c r="M1942" s="32"/>
      <c r="N1942" s="13" t="str">
        <f>IF(F1942="","",
MAX(0,
_xlfn.XLOOKUP(F1942,purchase!D:D,purchase!#REF!,"")
-
SUMIFS(L:L,F:F,F1942)))</f>
        <v/>
      </c>
      <c r="O1942" s="13" t="str">
        <f t="shared" si="214"/>
        <v/>
      </c>
      <c r="P1942" s="35" t="str">
        <f>_xlfn.SINGLE(IF(F1942="","",_xlfn.XLOOKUP(F1942,purchase!D:D,purchase!K:K,"")))</f>
        <v/>
      </c>
      <c r="Q1942" s="29" t="str">
        <f t="shared" si="215"/>
        <v/>
      </c>
      <c r="R1942" s="37" t="str">
        <f t="shared" si="216"/>
        <v/>
      </c>
    </row>
    <row r="1943" spans="1:18" x14ac:dyDescent="0.35">
      <c r="A1943" s="8">
        <v>1939</v>
      </c>
      <c r="B1943" s="9" t="str">
        <f t="shared" si="210"/>
        <v/>
      </c>
      <c r="C1943" s="10"/>
      <c r="D1943" s="9" t="str">
        <f>IF(F1943="","",_xlfn.XLOOKUP(F1943,purchase!D:D,purchase!#REF!,""))</f>
        <v/>
      </c>
      <c r="E1943" s="9" t="str">
        <f>IF(F1943="","",_xlfn.XLOOKUP(F1943,purchase!D:D,purchase!B:B,""))</f>
        <v/>
      </c>
      <c r="F1943" s="2"/>
      <c r="G1943" s="4" t="str">
        <f t="shared" si="211"/>
        <v/>
      </c>
      <c r="H1943" s="4" t="str">
        <f>IF(F1943="","",_xlfn.XLOOKUP(F1943,purchase!D:D,purchase!#REF!,""))</f>
        <v/>
      </c>
      <c r="I1943" s="4" t="str">
        <f t="shared" si="212"/>
        <v/>
      </c>
      <c r="J1943" s="4" t="str">
        <f t="shared" si="213"/>
        <v/>
      </c>
      <c r="K1943" s="13" t="str">
        <f>_xlfn.SINGLE(IF(F1943="","",_xlfn.XLOOKUP(F1943,purchase!D:D,purchase!#REF!,"")))</f>
        <v/>
      </c>
      <c r="L1943" s="2"/>
      <c r="M1943" s="32"/>
      <c r="N1943" s="13" t="str">
        <f>IF(F1943="","",
MAX(0,
_xlfn.XLOOKUP(F1943,purchase!D:D,purchase!#REF!,"")
-
SUMIFS(L:L,F:F,F1943)))</f>
        <v/>
      </c>
      <c r="O1943" s="13" t="str">
        <f t="shared" si="214"/>
        <v/>
      </c>
      <c r="P1943" s="35" t="str">
        <f>_xlfn.SINGLE(IF(F1943="","",_xlfn.XLOOKUP(F1943,purchase!D:D,purchase!K:K,"")))</f>
        <v/>
      </c>
      <c r="Q1943" s="29" t="str">
        <f t="shared" si="215"/>
        <v/>
      </c>
      <c r="R1943" s="37" t="str">
        <f t="shared" si="216"/>
        <v/>
      </c>
    </row>
    <row r="1944" spans="1:18" x14ac:dyDescent="0.35">
      <c r="A1944" s="8">
        <v>1940</v>
      </c>
      <c r="B1944" s="9" t="str">
        <f t="shared" si="210"/>
        <v/>
      </c>
      <c r="C1944" s="10"/>
      <c r="D1944" s="9" t="str">
        <f>IF(F1944="","",_xlfn.XLOOKUP(F1944,purchase!D:D,purchase!#REF!,""))</f>
        <v/>
      </c>
      <c r="E1944" s="9" t="str">
        <f>IF(F1944="","",_xlfn.XLOOKUP(F1944,purchase!D:D,purchase!B:B,""))</f>
        <v/>
      </c>
      <c r="F1944" s="2"/>
      <c r="G1944" s="4" t="str">
        <f t="shared" si="211"/>
        <v/>
      </c>
      <c r="H1944" s="4" t="str">
        <f>IF(F1944="","",_xlfn.XLOOKUP(F1944,purchase!D:D,purchase!#REF!,""))</f>
        <v/>
      </c>
      <c r="I1944" s="4" t="str">
        <f t="shared" si="212"/>
        <v/>
      </c>
      <c r="J1944" s="4" t="str">
        <f t="shared" si="213"/>
        <v/>
      </c>
      <c r="K1944" s="13" t="str">
        <f>_xlfn.SINGLE(IF(F1944="","",_xlfn.XLOOKUP(F1944,purchase!D:D,purchase!#REF!,"")))</f>
        <v/>
      </c>
      <c r="L1944" s="2"/>
      <c r="M1944" s="32"/>
      <c r="N1944" s="13" t="str">
        <f>IF(F1944="","",
MAX(0,
_xlfn.XLOOKUP(F1944,purchase!D:D,purchase!#REF!,"")
-
SUMIFS(L:L,F:F,F1944)))</f>
        <v/>
      </c>
      <c r="O1944" s="13" t="str">
        <f t="shared" si="214"/>
        <v/>
      </c>
      <c r="P1944" s="35" t="str">
        <f>_xlfn.SINGLE(IF(F1944="","",_xlfn.XLOOKUP(F1944,purchase!D:D,purchase!K:K,"")))</f>
        <v/>
      </c>
      <c r="Q1944" s="29" t="str">
        <f t="shared" si="215"/>
        <v/>
      </c>
      <c r="R1944" s="37" t="str">
        <f t="shared" si="216"/>
        <v/>
      </c>
    </row>
    <row r="1945" spans="1:18" x14ac:dyDescent="0.35">
      <c r="A1945" s="8">
        <v>1941</v>
      </c>
      <c r="B1945" s="9" t="str">
        <f t="shared" si="210"/>
        <v/>
      </c>
      <c r="C1945" s="10"/>
      <c r="D1945" s="9" t="str">
        <f>IF(F1945="","",_xlfn.XLOOKUP(F1945,purchase!D:D,purchase!#REF!,""))</f>
        <v/>
      </c>
      <c r="E1945" s="9" t="str">
        <f>IF(F1945="","",_xlfn.XLOOKUP(F1945,purchase!D:D,purchase!B:B,""))</f>
        <v/>
      </c>
      <c r="F1945" s="2"/>
      <c r="G1945" s="4" t="str">
        <f t="shared" si="211"/>
        <v/>
      </c>
      <c r="H1945" s="4" t="str">
        <f>IF(F1945="","",_xlfn.XLOOKUP(F1945,purchase!D:D,purchase!#REF!,""))</f>
        <v/>
      </c>
      <c r="I1945" s="4" t="str">
        <f t="shared" si="212"/>
        <v/>
      </c>
      <c r="J1945" s="4" t="str">
        <f t="shared" si="213"/>
        <v/>
      </c>
      <c r="K1945" s="13" t="str">
        <f>_xlfn.SINGLE(IF(F1945="","",_xlfn.XLOOKUP(F1945,purchase!D:D,purchase!#REF!,"")))</f>
        <v/>
      </c>
      <c r="L1945" s="2"/>
      <c r="M1945" s="32"/>
      <c r="N1945" s="13" t="str">
        <f>IF(F1945="","",
MAX(0,
_xlfn.XLOOKUP(F1945,purchase!D:D,purchase!#REF!,"")
-
SUMIFS(L:L,F:F,F1945)))</f>
        <v/>
      </c>
      <c r="O1945" s="13" t="str">
        <f t="shared" si="214"/>
        <v/>
      </c>
      <c r="P1945" s="35" t="str">
        <f>_xlfn.SINGLE(IF(F1945="","",_xlfn.XLOOKUP(F1945,purchase!D:D,purchase!K:K,"")))</f>
        <v/>
      </c>
      <c r="Q1945" s="29" t="str">
        <f t="shared" si="215"/>
        <v/>
      </c>
      <c r="R1945" s="37" t="str">
        <f t="shared" si="216"/>
        <v/>
      </c>
    </row>
    <row r="1946" spans="1:18" x14ac:dyDescent="0.35">
      <c r="A1946" s="8">
        <v>1942</v>
      </c>
      <c r="B1946" s="9" t="str">
        <f t="shared" si="210"/>
        <v/>
      </c>
      <c r="C1946" s="10"/>
      <c r="D1946" s="9" t="str">
        <f>IF(F1946="","",_xlfn.XLOOKUP(F1946,purchase!D:D,purchase!#REF!,""))</f>
        <v/>
      </c>
      <c r="E1946" s="9" t="str">
        <f>IF(F1946="","",_xlfn.XLOOKUP(F1946,purchase!D:D,purchase!B:B,""))</f>
        <v/>
      </c>
      <c r="F1946" s="2"/>
      <c r="G1946" s="4" t="str">
        <f t="shared" si="211"/>
        <v/>
      </c>
      <c r="H1946" s="4" t="str">
        <f>IF(F1946="","",_xlfn.XLOOKUP(F1946,purchase!D:D,purchase!#REF!,""))</f>
        <v/>
      </c>
      <c r="I1946" s="4" t="str">
        <f t="shared" si="212"/>
        <v/>
      </c>
      <c r="J1946" s="4" t="str">
        <f t="shared" si="213"/>
        <v/>
      </c>
      <c r="K1946" s="13" t="str">
        <f>_xlfn.SINGLE(IF(F1946="","",_xlfn.XLOOKUP(F1946,purchase!D:D,purchase!#REF!,"")))</f>
        <v/>
      </c>
      <c r="L1946" s="2"/>
      <c r="M1946" s="32"/>
      <c r="N1946" s="13" t="str">
        <f>IF(F1946="","",
MAX(0,
_xlfn.XLOOKUP(F1946,purchase!D:D,purchase!#REF!,"")
-
SUMIFS(L:L,F:F,F1946)))</f>
        <v/>
      </c>
      <c r="O1946" s="13" t="str">
        <f t="shared" si="214"/>
        <v/>
      </c>
      <c r="P1946" s="35" t="str">
        <f>_xlfn.SINGLE(IF(F1946="","",_xlfn.XLOOKUP(F1946,purchase!D:D,purchase!K:K,"")))</f>
        <v/>
      </c>
      <c r="Q1946" s="29" t="str">
        <f t="shared" si="215"/>
        <v/>
      </c>
      <c r="R1946" s="37" t="str">
        <f t="shared" si="216"/>
        <v/>
      </c>
    </row>
    <row r="1947" spans="1:18" x14ac:dyDescent="0.35">
      <c r="A1947" s="8">
        <v>1943</v>
      </c>
      <c r="B1947" s="9" t="str">
        <f t="shared" si="210"/>
        <v/>
      </c>
      <c r="C1947" s="10"/>
      <c r="D1947" s="9" t="str">
        <f>IF(F1947="","",_xlfn.XLOOKUP(F1947,purchase!D:D,purchase!#REF!,""))</f>
        <v/>
      </c>
      <c r="E1947" s="9" t="str">
        <f>IF(F1947="","",_xlfn.XLOOKUP(F1947,purchase!D:D,purchase!B:B,""))</f>
        <v/>
      </c>
      <c r="F1947" s="2"/>
      <c r="G1947" s="4" t="str">
        <f t="shared" si="211"/>
        <v/>
      </c>
      <c r="H1947" s="4" t="str">
        <f>IF(F1947="","",_xlfn.XLOOKUP(F1947,purchase!D:D,purchase!#REF!,""))</f>
        <v/>
      </c>
      <c r="I1947" s="4" t="str">
        <f t="shared" si="212"/>
        <v/>
      </c>
      <c r="J1947" s="4" t="str">
        <f t="shared" si="213"/>
        <v/>
      </c>
      <c r="K1947" s="13" t="str">
        <f>_xlfn.SINGLE(IF(F1947="","",_xlfn.XLOOKUP(F1947,purchase!D:D,purchase!#REF!,"")))</f>
        <v/>
      </c>
      <c r="L1947" s="2"/>
      <c r="M1947" s="32"/>
      <c r="N1947" s="13" t="str">
        <f>IF(F1947="","",
MAX(0,
_xlfn.XLOOKUP(F1947,purchase!D:D,purchase!#REF!,"")
-
SUMIFS(L:L,F:F,F1947)))</f>
        <v/>
      </c>
      <c r="O1947" s="13" t="str">
        <f t="shared" si="214"/>
        <v/>
      </c>
      <c r="P1947" s="35" t="str">
        <f>_xlfn.SINGLE(IF(F1947="","",_xlfn.XLOOKUP(F1947,purchase!D:D,purchase!K:K,"")))</f>
        <v/>
      </c>
      <c r="Q1947" s="29" t="str">
        <f t="shared" si="215"/>
        <v/>
      </c>
      <c r="R1947" s="37" t="str">
        <f t="shared" si="216"/>
        <v/>
      </c>
    </row>
    <row r="1948" spans="1:18" x14ac:dyDescent="0.35">
      <c r="A1948" s="8">
        <v>1944</v>
      </c>
      <c r="B1948" s="9" t="str">
        <f t="shared" si="210"/>
        <v/>
      </c>
      <c r="C1948" s="10"/>
      <c r="D1948" s="9" t="str">
        <f>IF(F1948="","",_xlfn.XLOOKUP(F1948,purchase!D:D,purchase!#REF!,""))</f>
        <v/>
      </c>
      <c r="E1948" s="9" t="str">
        <f>IF(F1948="","",_xlfn.XLOOKUP(F1948,purchase!D:D,purchase!B:B,""))</f>
        <v/>
      </c>
      <c r="F1948" s="2"/>
      <c r="G1948" s="4" t="str">
        <f t="shared" si="211"/>
        <v/>
      </c>
      <c r="H1948" s="4" t="str">
        <f>IF(F1948="","",_xlfn.XLOOKUP(F1948,purchase!D:D,purchase!#REF!,""))</f>
        <v/>
      </c>
      <c r="I1948" s="4" t="str">
        <f t="shared" si="212"/>
        <v/>
      </c>
      <c r="J1948" s="4" t="str">
        <f t="shared" si="213"/>
        <v/>
      </c>
      <c r="K1948" s="13" t="str">
        <f>_xlfn.SINGLE(IF(F1948="","",_xlfn.XLOOKUP(F1948,purchase!D:D,purchase!#REF!,"")))</f>
        <v/>
      </c>
      <c r="L1948" s="2"/>
      <c r="M1948" s="32"/>
      <c r="N1948" s="13" t="str">
        <f>IF(F1948="","",
MAX(0,
_xlfn.XLOOKUP(F1948,purchase!D:D,purchase!#REF!,"")
-
SUMIFS(L:L,F:F,F1948)))</f>
        <v/>
      </c>
      <c r="O1948" s="13" t="str">
        <f t="shared" si="214"/>
        <v/>
      </c>
      <c r="P1948" s="35" t="str">
        <f>_xlfn.SINGLE(IF(F1948="","",_xlfn.XLOOKUP(F1948,purchase!D:D,purchase!K:K,"")))</f>
        <v/>
      </c>
      <c r="Q1948" s="29" t="str">
        <f t="shared" si="215"/>
        <v/>
      </c>
      <c r="R1948" s="37" t="str">
        <f t="shared" si="216"/>
        <v/>
      </c>
    </row>
    <row r="1949" spans="1:18" x14ac:dyDescent="0.35">
      <c r="A1949" s="8">
        <v>1945</v>
      </c>
      <c r="B1949" s="9" t="str">
        <f t="shared" si="210"/>
        <v/>
      </c>
      <c r="C1949" s="10"/>
      <c r="D1949" s="9" t="str">
        <f>IF(F1949="","",_xlfn.XLOOKUP(F1949,purchase!D:D,purchase!#REF!,""))</f>
        <v/>
      </c>
      <c r="E1949" s="9" t="str">
        <f>IF(F1949="","",_xlfn.XLOOKUP(F1949,purchase!D:D,purchase!B:B,""))</f>
        <v/>
      </c>
      <c r="F1949" s="2"/>
      <c r="G1949" s="4" t="str">
        <f t="shared" si="211"/>
        <v/>
      </c>
      <c r="H1949" s="4" t="str">
        <f>IF(F1949="","",_xlfn.XLOOKUP(F1949,purchase!D:D,purchase!#REF!,""))</f>
        <v/>
      </c>
      <c r="I1949" s="4" t="str">
        <f t="shared" si="212"/>
        <v/>
      </c>
      <c r="J1949" s="4" t="str">
        <f t="shared" si="213"/>
        <v/>
      </c>
      <c r="K1949" s="13" t="str">
        <f>_xlfn.SINGLE(IF(F1949="","",_xlfn.XLOOKUP(F1949,purchase!D:D,purchase!#REF!,"")))</f>
        <v/>
      </c>
      <c r="L1949" s="2"/>
      <c r="M1949" s="32"/>
      <c r="N1949" s="13" t="str">
        <f>IF(F1949="","",
MAX(0,
_xlfn.XLOOKUP(F1949,purchase!D:D,purchase!#REF!,"")
-
SUMIFS(L:L,F:F,F1949)))</f>
        <v/>
      </c>
      <c r="O1949" s="13" t="str">
        <f t="shared" si="214"/>
        <v/>
      </c>
      <c r="P1949" s="35" t="str">
        <f>_xlfn.SINGLE(IF(F1949="","",_xlfn.XLOOKUP(F1949,purchase!D:D,purchase!K:K,"")))</f>
        <v/>
      </c>
      <c r="Q1949" s="29" t="str">
        <f t="shared" si="215"/>
        <v/>
      </c>
      <c r="R1949" s="37" t="str">
        <f t="shared" si="216"/>
        <v/>
      </c>
    </row>
    <row r="1950" spans="1:18" x14ac:dyDescent="0.35">
      <c r="A1950" s="8">
        <v>1946</v>
      </c>
      <c r="B1950" s="9" t="str">
        <f t="shared" si="210"/>
        <v/>
      </c>
      <c r="C1950" s="10"/>
      <c r="D1950" s="9" t="str">
        <f>IF(F1950="","",_xlfn.XLOOKUP(F1950,purchase!D:D,purchase!#REF!,""))</f>
        <v/>
      </c>
      <c r="E1950" s="9" t="str">
        <f>IF(F1950="","",_xlfn.XLOOKUP(F1950,purchase!D:D,purchase!B:B,""))</f>
        <v/>
      </c>
      <c r="F1950" s="2"/>
      <c r="G1950" s="4" t="str">
        <f t="shared" si="211"/>
        <v/>
      </c>
      <c r="H1950" s="4" t="str">
        <f>IF(F1950="","",_xlfn.XLOOKUP(F1950,purchase!D:D,purchase!#REF!,""))</f>
        <v/>
      </c>
      <c r="I1950" s="4" t="str">
        <f t="shared" si="212"/>
        <v/>
      </c>
      <c r="J1950" s="4" t="str">
        <f t="shared" si="213"/>
        <v/>
      </c>
      <c r="K1950" s="13" t="str">
        <f>_xlfn.SINGLE(IF(F1950="","",_xlfn.XLOOKUP(F1950,purchase!D:D,purchase!#REF!,"")))</f>
        <v/>
      </c>
      <c r="L1950" s="2"/>
      <c r="M1950" s="32"/>
      <c r="N1950" s="13" t="str">
        <f>IF(F1950="","",
MAX(0,
_xlfn.XLOOKUP(F1950,purchase!D:D,purchase!#REF!,"")
-
SUMIFS(L:L,F:F,F1950)))</f>
        <v/>
      </c>
      <c r="O1950" s="13" t="str">
        <f t="shared" si="214"/>
        <v/>
      </c>
      <c r="P1950" s="35" t="str">
        <f>_xlfn.SINGLE(IF(F1950="","",_xlfn.XLOOKUP(F1950,purchase!D:D,purchase!K:K,"")))</f>
        <v/>
      </c>
      <c r="Q1950" s="29" t="str">
        <f t="shared" si="215"/>
        <v/>
      </c>
      <c r="R1950" s="37" t="str">
        <f t="shared" si="216"/>
        <v/>
      </c>
    </row>
    <row r="1951" spans="1:18" x14ac:dyDescent="0.35">
      <c r="A1951" s="8">
        <v>1947</v>
      </c>
      <c r="B1951" s="9" t="str">
        <f t="shared" si="210"/>
        <v/>
      </c>
      <c r="C1951" s="10"/>
      <c r="D1951" s="9" t="str">
        <f>IF(F1951="","",_xlfn.XLOOKUP(F1951,purchase!D:D,purchase!#REF!,""))</f>
        <v/>
      </c>
      <c r="E1951" s="9" t="str">
        <f>IF(F1951="","",_xlfn.XLOOKUP(F1951,purchase!D:D,purchase!B:B,""))</f>
        <v/>
      </c>
      <c r="F1951" s="2"/>
      <c r="G1951" s="4" t="str">
        <f t="shared" si="211"/>
        <v/>
      </c>
      <c r="H1951" s="4" t="str">
        <f>IF(F1951="","",_xlfn.XLOOKUP(F1951,purchase!D:D,purchase!#REF!,""))</f>
        <v/>
      </c>
      <c r="I1951" s="4" t="str">
        <f t="shared" si="212"/>
        <v/>
      </c>
      <c r="J1951" s="4" t="str">
        <f t="shared" si="213"/>
        <v/>
      </c>
      <c r="K1951" s="13" t="str">
        <f>_xlfn.SINGLE(IF(F1951="","",_xlfn.XLOOKUP(F1951,purchase!D:D,purchase!#REF!,"")))</f>
        <v/>
      </c>
      <c r="L1951" s="2"/>
      <c r="M1951" s="32"/>
      <c r="N1951" s="13" t="str">
        <f>IF(F1951="","",
MAX(0,
_xlfn.XLOOKUP(F1951,purchase!D:D,purchase!#REF!,"")
-
SUMIFS(L:L,F:F,F1951)))</f>
        <v/>
      </c>
      <c r="O1951" s="13" t="str">
        <f t="shared" si="214"/>
        <v/>
      </c>
      <c r="P1951" s="35" t="str">
        <f>_xlfn.SINGLE(IF(F1951="","",_xlfn.XLOOKUP(F1951,purchase!D:D,purchase!K:K,"")))</f>
        <v/>
      </c>
      <c r="Q1951" s="29" t="str">
        <f t="shared" si="215"/>
        <v/>
      </c>
      <c r="R1951" s="37" t="str">
        <f t="shared" si="216"/>
        <v/>
      </c>
    </row>
    <row r="1952" spans="1:18" x14ac:dyDescent="0.35">
      <c r="A1952" s="8">
        <v>1948</v>
      </c>
      <c r="B1952" s="9" t="str">
        <f t="shared" si="210"/>
        <v/>
      </c>
      <c r="C1952" s="10"/>
      <c r="D1952" s="9" t="str">
        <f>IF(F1952="","",_xlfn.XLOOKUP(F1952,purchase!D:D,purchase!#REF!,""))</f>
        <v/>
      </c>
      <c r="E1952" s="9" t="str">
        <f>IF(F1952="","",_xlfn.XLOOKUP(F1952,purchase!D:D,purchase!B:B,""))</f>
        <v/>
      </c>
      <c r="F1952" s="2"/>
      <c r="G1952" s="4" t="str">
        <f t="shared" si="211"/>
        <v/>
      </c>
      <c r="H1952" s="4" t="str">
        <f>IF(F1952="","",_xlfn.XLOOKUP(F1952,purchase!D:D,purchase!#REF!,""))</f>
        <v/>
      </c>
      <c r="I1952" s="4" t="str">
        <f t="shared" si="212"/>
        <v/>
      </c>
      <c r="J1952" s="4" t="str">
        <f t="shared" si="213"/>
        <v/>
      </c>
      <c r="K1952" s="13" t="str">
        <f>_xlfn.SINGLE(IF(F1952="","",_xlfn.XLOOKUP(F1952,purchase!D:D,purchase!#REF!,"")))</f>
        <v/>
      </c>
      <c r="L1952" s="2"/>
      <c r="M1952" s="32"/>
      <c r="N1952" s="13" t="str">
        <f>IF(F1952="","",
MAX(0,
_xlfn.XLOOKUP(F1952,purchase!D:D,purchase!#REF!,"")
-
SUMIFS(L:L,F:F,F1952)))</f>
        <v/>
      </c>
      <c r="O1952" s="13" t="str">
        <f t="shared" si="214"/>
        <v/>
      </c>
      <c r="P1952" s="35" t="str">
        <f>_xlfn.SINGLE(IF(F1952="","",_xlfn.XLOOKUP(F1952,purchase!D:D,purchase!K:K,"")))</f>
        <v/>
      </c>
      <c r="Q1952" s="29" t="str">
        <f t="shared" si="215"/>
        <v/>
      </c>
      <c r="R1952" s="37" t="str">
        <f t="shared" si="216"/>
        <v/>
      </c>
    </row>
    <row r="1953" spans="1:18" x14ac:dyDescent="0.35">
      <c r="A1953" s="8">
        <v>1949</v>
      </c>
      <c r="B1953" s="9" t="str">
        <f t="shared" si="210"/>
        <v/>
      </c>
      <c r="C1953" s="10"/>
      <c r="D1953" s="9" t="str">
        <f>IF(F1953="","",_xlfn.XLOOKUP(F1953,purchase!D:D,purchase!#REF!,""))</f>
        <v/>
      </c>
      <c r="E1953" s="9" t="str">
        <f>IF(F1953="","",_xlfn.XLOOKUP(F1953,purchase!D:D,purchase!B:B,""))</f>
        <v/>
      </c>
      <c r="F1953" s="2"/>
      <c r="G1953" s="4" t="str">
        <f t="shared" si="211"/>
        <v/>
      </c>
      <c r="H1953" s="4" t="str">
        <f>IF(F1953="","",_xlfn.XLOOKUP(F1953,purchase!D:D,purchase!#REF!,""))</f>
        <v/>
      </c>
      <c r="I1953" s="4" t="str">
        <f t="shared" si="212"/>
        <v/>
      </c>
      <c r="J1953" s="4" t="str">
        <f t="shared" si="213"/>
        <v/>
      </c>
      <c r="K1953" s="13" t="str">
        <f>_xlfn.SINGLE(IF(F1953="","",_xlfn.XLOOKUP(F1953,purchase!D:D,purchase!#REF!,"")))</f>
        <v/>
      </c>
      <c r="L1953" s="2"/>
      <c r="M1953" s="32"/>
      <c r="N1953" s="13" t="str">
        <f>IF(F1953="","",
MAX(0,
_xlfn.XLOOKUP(F1953,purchase!D:D,purchase!#REF!,"")
-
SUMIFS(L:L,F:F,F1953)))</f>
        <v/>
      </c>
      <c r="O1953" s="13" t="str">
        <f t="shared" si="214"/>
        <v/>
      </c>
      <c r="P1953" s="35" t="str">
        <f>_xlfn.SINGLE(IF(F1953="","",_xlfn.XLOOKUP(F1953,purchase!D:D,purchase!K:K,"")))</f>
        <v/>
      </c>
      <c r="Q1953" s="29" t="str">
        <f t="shared" si="215"/>
        <v/>
      </c>
      <c r="R1953" s="37" t="str">
        <f t="shared" si="216"/>
        <v/>
      </c>
    </row>
    <row r="1954" spans="1:18" x14ac:dyDescent="0.35">
      <c r="A1954" s="8">
        <v>1950</v>
      </c>
      <c r="B1954" s="9" t="str">
        <f t="shared" si="210"/>
        <v/>
      </c>
      <c r="C1954" s="10"/>
      <c r="D1954" s="9" t="str">
        <f>IF(F1954="","",_xlfn.XLOOKUP(F1954,purchase!D:D,purchase!#REF!,""))</f>
        <v/>
      </c>
      <c r="E1954" s="9" t="str">
        <f>IF(F1954="","",_xlfn.XLOOKUP(F1954,purchase!D:D,purchase!B:B,""))</f>
        <v/>
      </c>
      <c r="F1954" s="2"/>
      <c r="G1954" s="4" t="str">
        <f t="shared" si="211"/>
        <v/>
      </c>
      <c r="H1954" s="4" t="str">
        <f>IF(F1954="","",_xlfn.XLOOKUP(F1954,purchase!D:D,purchase!#REF!,""))</f>
        <v/>
      </c>
      <c r="I1954" s="4" t="str">
        <f t="shared" si="212"/>
        <v/>
      </c>
      <c r="J1954" s="4" t="str">
        <f t="shared" si="213"/>
        <v/>
      </c>
      <c r="K1954" s="13" t="str">
        <f>_xlfn.SINGLE(IF(F1954="","",_xlfn.XLOOKUP(F1954,purchase!D:D,purchase!#REF!,"")))</f>
        <v/>
      </c>
      <c r="L1954" s="2"/>
      <c r="M1954" s="32"/>
      <c r="N1954" s="13" t="str">
        <f>IF(F1954="","",
MAX(0,
_xlfn.XLOOKUP(F1954,purchase!D:D,purchase!#REF!,"")
-
SUMIFS(L:L,F:F,F1954)))</f>
        <v/>
      </c>
      <c r="O1954" s="13" t="str">
        <f t="shared" si="214"/>
        <v/>
      </c>
      <c r="P1954" s="35" t="str">
        <f>_xlfn.SINGLE(IF(F1954="","",_xlfn.XLOOKUP(F1954,purchase!D:D,purchase!K:K,"")))</f>
        <v/>
      </c>
      <c r="Q1954" s="29" t="str">
        <f t="shared" si="215"/>
        <v/>
      </c>
      <c r="R1954" s="37" t="str">
        <f t="shared" si="216"/>
        <v/>
      </c>
    </row>
    <row r="1955" spans="1:18" x14ac:dyDescent="0.35">
      <c r="A1955" s="8">
        <v>1951</v>
      </c>
      <c r="B1955" s="9" t="str">
        <f t="shared" si="210"/>
        <v/>
      </c>
      <c r="C1955" s="10"/>
      <c r="D1955" s="9" t="str">
        <f>IF(F1955="","",_xlfn.XLOOKUP(F1955,purchase!D:D,purchase!#REF!,""))</f>
        <v/>
      </c>
      <c r="E1955" s="9" t="str">
        <f>IF(F1955="","",_xlfn.XLOOKUP(F1955,purchase!D:D,purchase!B:B,""))</f>
        <v/>
      </c>
      <c r="F1955" s="2"/>
      <c r="G1955" s="4" t="str">
        <f t="shared" si="211"/>
        <v/>
      </c>
      <c r="H1955" s="4" t="str">
        <f>IF(F1955="","",_xlfn.XLOOKUP(F1955,purchase!D:D,purchase!#REF!,""))</f>
        <v/>
      </c>
      <c r="I1955" s="4" t="str">
        <f t="shared" si="212"/>
        <v/>
      </c>
      <c r="J1955" s="4" t="str">
        <f t="shared" si="213"/>
        <v/>
      </c>
      <c r="K1955" s="13" t="str">
        <f>_xlfn.SINGLE(IF(F1955="","",_xlfn.XLOOKUP(F1955,purchase!D:D,purchase!#REF!,"")))</f>
        <v/>
      </c>
      <c r="L1955" s="2"/>
      <c r="M1955" s="32"/>
      <c r="N1955" s="13" t="str">
        <f>IF(F1955="","",
MAX(0,
_xlfn.XLOOKUP(F1955,purchase!D:D,purchase!#REF!,"")
-
SUMIFS(L:L,F:F,F1955)))</f>
        <v/>
      </c>
      <c r="O1955" s="13" t="str">
        <f t="shared" si="214"/>
        <v/>
      </c>
      <c r="P1955" s="35" t="str">
        <f>_xlfn.SINGLE(IF(F1955="","",_xlfn.XLOOKUP(F1955,purchase!D:D,purchase!K:K,"")))</f>
        <v/>
      </c>
      <c r="Q1955" s="29" t="str">
        <f t="shared" si="215"/>
        <v/>
      </c>
      <c r="R1955" s="37" t="str">
        <f t="shared" si="216"/>
        <v/>
      </c>
    </row>
    <row r="1956" spans="1:18" x14ac:dyDescent="0.35">
      <c r="A1956" s="8">
        <v>1952</v>
      </c>
      <c r="B1956" s="9" t="str">
        <f t="shared" si="210"/>
        <v/>
      </c>
      <c r="C1956" s="10"/>
      <c r="D1956" s="9" t="str">
        <f>IF(F1956="","",_xlfn.XLOOKUP(F1956,purchase!D:D,purchase!#REF!,""))</f>
        <v/>
      </c>
      <c r="E1956" s="9" t="str">
        <f>IF(F1956="","",_xlfn.XLOOKUP(F1956,purchase!D:D,purchase!B:B,""))</f>
        <v/>
      </c>
      <c r="F1956" s="2"/>
      <c r="G1956" s="4" t="str">
        <f t="shared" si="211"/>
        <v/>
      </c>
      <c r="H1956" s="4" t="str">
        <f>IF(F1956="","",_xlfn.XLOOKUP(F1956,purchase!D:D,purchase!#REF!,""))</f>
        <v/>
      </c>
      <c r="I1956" s="4" t="str">
        <f t="shared" si="212"/>
        <v/>
      </c>
      <c r="J1956" s="4" t="str">
        <f t="shared" si="213"/>
        <v/>
      </c>
      <c r="K1956" s="13" t="str">
        <f>_xlfn.SINGLE(IF(F1956="","",_xlfn.XLOOKUP(F1956,purchase!D:D,purchase!#REF!,"")))</f>
        <v/>
      </c>
      <c r="L1956" s="2"/>
      <c r="M1956" s="32"/>
      <c r="N1956" s="13" t="str">
        <f>IF(F1956="","",
MAX(0,
_xlfn.XLOOKUP(F1956,purchase!D:D,purchase!#REF!,"")
-
SUMIFS(L:L,F:F,F1956)))</f>
        <v/>
      </c>
      <c r="O1956" s="13" t="str">
        <f t="shared" si="214"/>
        <v/>
      </c>
      <c r="P1956" s="35" t="str">
        <f>_xlfn.SINGLE(IF(F1956="","",_xlfn.XLOOKUP(F1956,purchase!D:D,purchase!K:K,"")))</f>
        <v/>
      </c>
      <c r="Q1956" s="29" t="str">
        <f t="shared" si="215"/>
        <v/>
      </c>
      <c r="R1956" s="37" t="str">
        <f t="shared" si="216"/>
        <v/>
      </c>
    </row>
    <row r="1957" spans="1:18" x14ac:dyDescent="0.35">
      <c r="A1957" s="8">
        <v>1953</v>
      </c>
      <c r="B1957" s="9" t="str">
        <f t="shared" si="210"/>
        <v/>
      </c>
      <c r="C1957" s="10"/>
      <c r="D1957" s="9" t="str">
        <f>IF(F1957="","",_xlfn.XLOOKUP(F1957,purchase!D:D,purchase!#REF!,""))</f>
        <v/>
      </c>
      <c r="E1957" s="9" t="str">
        <f>IF(F1957="","",_xlfn.XLOOKUP(F1957,purchase!D:D,purchase!B:B,""))</f>
        <v/>
      </c>
      <c r="F1957" s="2"/>
      <c r="G1957" s="4" t="str">
        <f t="shared" si="211"/>
        <v/>
      </c>
      <c r="H1957" s="4" t="str">
        <f>IF(F1957="","",_xlfn.XLOOKUP(F1957,purchase!D:D,purchase!#REF!,""))</f>
        <v/>
      </c>
      <c r="I1957" s="4" t="str">
        <f t="shared" si="212"/>
        <v/>
      </c>
      <c r="J1957" s="4" t="str">
        <f t="shared" si="213"/>
        <v/>
      </c>
      <c r="K1957" s="13" t="str">
        <f>_xlfn.SINGLE(IF(F1957="","",_xlfn.XLOOKUP(F1957,purchase!D:D,purchase!#REF!,"")))</f>
        <v/>
      </c>
      <c r="L1957" s="2"/>
      <c r="M1957" s="32"/>
      <c r="N1957" s="13" t="str">
        <f>IF(F1957="","",
MAX(0,
_xlfn.XLOOKUP(F1957,purchase!D:D,purchase!#REF!,"")
-
SUMIFS(L:L,F:F,F1957)))</f>
        <v/>
      </c>
      <c r="O1957" s="13" t="str">
        <f t="shared" si="214"/>
        <v/>
      </c>
      <c r="P1957" s="35" t="str">
        <f>_xlfn.SINGLE(IF(F1957="","",_xlfn.XLOOKUP(F1957,purchase!D:D,purchase!K:K,"")))</f>
        <v/>
      </c>
      <c r="Q1957" s="29" t="str">
        <f t="shared" si="215"/>
        <v/>
      </c>
      <c r="R1957" s="37" t="str">
        <f t="shared" si="216"/>
        <v/>
      </c>
    </row>
    <row r="1958" spans="1:18" x14ac:dyDescent="0.35">
      <c r="A1958" s="8">
        <v>1954</v>
      </c>
      <c r="B1958" s="9" t="str">
        <f t="shared" si="210"/>
        <v/>
      </c>
      <c r="C1958" s="10"/>
      <c r="D1958" s="9" t="str">
        <f>IF(F1958="","",_xlfn.XLOOKUP(F1958,purchase!D:D,purchase!#REF!,""))</f>
        <v/>
      </c>
      <c r="E1958" s="9" t="str">
        <f>IF(F1958="","",_xlfn.XLOOKUP(F1958,purchase!D:D,purchase!B:B,""))</f>
        <v/>
      </c>
      <c r="F1958" s="2"/>
      <c r="G1958" s="4" t="str">
        <f t="shared" si="211"/>
        <v/>
      </c>
      <c r="H1958" s="4" t="str">
        <f>IF(F1958="","",_xlfn.XLOOKUP(F1958,purchase!D:D,purchase!#REF!,""))</f>
        <v/>
      </c>
      <c r="I1958" s="4" t="str">
        <f t="shared" si="212"/>
        <v/>
      </c>
      <c r="J1958" s="4" t="str">
        <f t="shared" si="213"/>
        <v/>
      </c>
      <c r="K1958" s="13" t="str">
        <f>_xlfn.SINGLE(IF(F1958="","",_xlfn.XLOOKUP(F1958,purchase!D:D,purchase!#REF!,"")))</f>
        <v/>
      </c>
      <c r="L1958" s="2"/>
      <c r="M1958" s="32"/>
      <c r="N1958" s="13" t="str">
        <f>IF(F1958="","",
MAX(0,
_xlfn.XLOOKUP(F1958,purchase!D:D,purchase!#REF!,"")
-
SUMIFS(L:L,F:F,F1958)))</f>
        <v/>
      </c>
      <c r="O1958" s="13" t="str">
        <f t="shared" si="214"/>
        <v/>
      </c>
      <c r="P1958" s="35" t="str">
        <f>_xlfn.SINGLE(IF(F1958="","",_xlfn.XLOOKUP(F1958,purchase!D:D,purchase!K:K,"")))</f>
        <v/>
      </c>
      <c r="Q1958" s="29" t="str">
        <f t="shared" si="215"/>
        <v/>
      </c>
      <c r="R1958" s="37" t="str">
        <f t="shared" si="216"/>
        <v/>
      </c>
    </row>
    <row r="1959" spans="1:18" x14ac:dyDescent="0.35">
      <c r="A1959" s="8">
        <v>1955</v>
      </c>
      <c r="B1959" s="9" t="str">
        <f t="shared" si="210"/>
        <v/>
      </c>
      <c r="C1959" s="10"/>
      <c r="D1959" s="9" t="str">
        <f>IF(F1959="","",_xlfn.XLOOKUP(F1959,purchase!D:D,purchase!#REF!,""))</f>
        <v/>
      </c>
      <c r="E1959" s="9" t="str">
        <f>IF(F1959="","",_xlfn.XLOOKUP(F1959,purchase!D:D,purchase!B:B,""))</f>
        <v/>
      </c>
      <c r="F1959" s="2"/>
      <c r="G1959" s="4" t="str">
        <f t="shared" si="211"/>
        <v/>
      </c>
      <c r="H1959" s="4" t="str">
        <f>IF(F1959="","",_xlfn.XLOOKUP(F1959,purchase!D:D,purchase!#REF!,""))</f>
        <v/>
      </c>
      <c r="I1959" s="4" t="str">
        <f t="shared" si="212"/>
        <v/>
      </c>
      <c r="J1959" s="4" t="str">
        <f t="shared" si="213"/>
        <v/>
      </c>
      <c r="K1959" s="13" t="str">
        <f>_xlfn.SINGLE(IF(F1959="","",_xlfn.XLOOKUP(F1959,purchase!D:D,purchase!#REF!,"")))</f>
        <v/>
      </c>
      <c r="L1959" s="2"/>
      <c r="M1959" s="32"/>
      <c r="N1959" s="13" t="str">
        <f>IF(F1959="","",
MAX(0,
_xlfn.XLOOKUP(F1959,purchase!D:D,purchase!#REF!,"")
-
SUMIFS(L:L,F:F,F1959)))</f>
        <v/>
      </c>
      <c r="O1959" s="13" t="str">
        <f t="shared" si="214"/>
        <v/>
      </c>
      <c r="P1959" s="35" t="str">
        <f>_xlfn.SINGLE(IF(F1959="","",_xlfn.XLOOKUP(F1959,purchase!D:D,purchase!K:K,"")))</f>
        <v/>
      </c>
      <c r="Q1959" s="29" t="str">
        <f t="shared" si="215"/>
        <v/>
      </c>
      <c r="R1959" s="37" t="str">
        <f t="shared" si="216"/>
        <v/>
      </c>
    </row>
    <row r="1960" spans="1:18" x14ac:dyDescent="0.35">
      <c r="A1960" s="8">
        <v>1956</v>
      </c>
      <c r="B1960" s="9" t="str">
        <f t="shared" si="210"/>
        <v/>
      </c>
      <c r="C1960" s="10"/>
      <c r="D1960" s="9" t="str">
        <f>IF(F1960="","",_xlfn.XLOOKUP(F1960,purchase!D:D,purchase!#REF!,""))</f>
        <v/>
      </c>
      <c r="E1960" s="9" t="str">
        <f>IF(F1960="","",_xlfn.XLOOKUP(F1960,purchase!D:D,purchase!B:B,""))</f>
        <v/>
      </c>
      <c r="F1960" s="2"/>
      <c r="G1960" s="4" t="str">
        <f t="shared" si="211"/>
        <v/>
      </c>
      <c r="H1960" s="4" t="str">
        <f>IF(F1960="","",_xlfn.XLOOKUP(F1960,purchase!D:D,purchase!#REF!,""))</f>
        <v/>
      </c>
      <c r="I1960" s="4" t="str">
        <f t="shared" si="212"/>
        <v/>
      </c>
      <c r="J1960" s="4" t="str">
        <f t="shared" si="213"/>
        <v/>
      </c>
      <c r="K1960" s="13" t="str">
        <f>_xlfn.SINGLE(IF(F1960="","",_xlfn.XLOOKUP(F1960,purchase!D:D,purchase!#REF!,"")))</f>
        <v/>
      </c>
      <c r="L1960" s="2"/>
      <c r="M1960" s="32"/>
      <c r="N1960" s="13" t="str">
        <f>IF(F1960="","",
MAX(0,
_xlfn.XLOOKUP(F1960,purchase!D:D,purchase!#REF!,"")
-
SUMIFS(L:L,F:F,F1960)))</f>
        <v/>
      </c>
      <c r="O1960" s="13" t="str">
        <f t="shared" si="214"/>
        <v/>
      </c>
      <c r="P1960" s="35" t="str">
        <f>_xlfn.SINGLE(IF(F1960="","",_xlfn.XLOOKUP(F1960,purchase!D:D,purchase!K:K,"")))</f>
        <v/>
      </c>
      <c r="Q1960" s="29" t="str">
        <f t="shared" si="215"/>
        <v/>
      </c>
      <c r="R1960" s="37" t="str">
        <f t="shared" si="216"/>
        <v/>
      </c>
    </row>
    <row r="1961" spans="1:18" x14ac:dyDescent="0.35">
      <c r="A1961" s="8">
        <v>1957</v>
      </c>
      <c r="B1961" s="9" t="str">
        <f t="shared" si="210"/>
        <v/>
      </c>
      <c r="C1961" s="10"/>
      <c r="D1961" s="9" t="str">
        <f>IF(F1961="","",_xlfn.XLOOKUP(F1961,purchase!D:D,purchase!#REF!,""))</f>
        <v/>
      </c>
      <c r="E1961" s="9" t="str">
        <f>IF(F1961="","",_xlfn.XLOOKUP(F1961,purchase!D:D,purchase!B:B,""))</f>
        <v/>
      </c>
      <c r="F1961" s="2"/>
      <c r="G1961" s="4" t="str">
        <f t="shared" si="211"/>
        <v/>
      </c>
      <c r="H1961" s="4" t="str">
        <f>IF(F1961="","",_xlfn.XLOOKUP(F1961,purchase!D:D,purchase!#REF!,""))</f>
        <v/>
      </c>
      <c r="I1961" s="4" t="str">
        <f t="shared" si="212"/>
        <v/>
      </c>
      <c r="J1961" s="4" t="str">
        <f t="shared" si="213"/>
        <v/>
      </c>
      <c r="K1961" s="13" t="str">
        <f>_xlfn.SINGLE(IF(F1961="","",_xlfn.XLOOKUP(F1961,purchase!D:D,purchase!#REF!,"")))</f>
        <v/>
      </c>
      <c r="L1961" s="2"/>
      <c r="M1961" s="32"/>
      <c r="N1961" s="13" t="str">
        <f>IF(F1961="","",
MAX(0,
_xlfn.XLOOKUP(F1961,purchase!D:D,purchase!#REF!,"")
-
SUMIFS(L:L,F:F,F1961)))</f>
        <v/>
      </c>
      <c r="O1961" s="13" t="str">
        <f t="shared" si="214"/>
        <v/>
      </c>
      <c r="P1961" s="35" t="str">
        <f>_xlfn.SINGLE(IF(F1961="","",_xlfn.XLOOKUP(F1961,purchase!D:D,purchase!K:K,"")))</f>
        <v/>
      </c>
      <c r="Q1961" s="29" t="str">
        <f t="shared" si="215"/>
        <v/>
      </c>
      <c r="R1961" s="37" t="str">
        <f t="shared" si="216"/>
        <v/>
      </c>
    </row>
    <row r="1962" spans="1:18" x14ac:dyDescent="0.35">
      <c r="A1962" s="8">
        <v>1958</v>
      </c>
      <c r="B1962" s="9" t="str">
        <f t="shared" si="210"/>
        <v/>
      </c>
      <c r="C1962" s="10"/>
      <c r="D1962" s="9" t="str">
        <f>IF(F1962="","",_xlfn.XLOOKUP(F1962,purchase!D:D,purchase!#REF!,""))</f>
        <v/>
      </c>
      <c r="E1962" s="9" t="str">
        <f>IF(F1962="","",_xlfn.XLOOKUP(F1962,purchase!D:D,purchase!B:B,""))</f>
        <v/>
      </c>
      <c r="F1962" s="2"/>
      <c r="G1962" s="4" t="str">
        <f t="shared" si="211"/>
        <v/>
      </c>
      <c r="H1962" s="4" t="str">
        <f>IF(F1962="","",_xlfn.XLOOKUP(F1962,purchase!D:D,purchase!#REF!,""))</f>
        <v/>
      </c>
      <c r="I1962" s="4" t="str">
        <f t="shared" si="212"/>
        <v/>
      </c>
      <c r="J1962" s="4" t="str">
        <f t="shared" si="213"/>
        <v/>
      </c>
      <c r="K1962" s="13" t="str">
        <f>_xlfn.SINGLE(IF(F1962="","",_xlfn.XLOOKUP(F1962,purchase!D:D,purchase!#REF!,"")))</f>
        <v/>
      </c>
      <c r="L1962" s="2"/>
      <c r="M1962" s="32"/>
      <c r="N1962" s="13" t="str">
        <f>IF(F1962="","",
MAX(0,
_xlfn.XLOOKUP(F1962,purchase!D:D,purchase!#REF!,"")
-
SUMIFS(L:L,F:F,F1962)))</f>
        <v/>
      </c>
      <c r="O1962" s="13" t="str">
        <f t="shared" si="214"/>
        <v/>
      </c>
      <c r="P1962" s="35" t="str">
        <f>_xlfn.SINGLE(IF(F1962="","",_xlfn.XLOOKUP(F1962,purchase!D:D,purchase!K:K,"")))</f>
        <v/>
      </c>
      <c r="Q1962" s="29" t="str">
        <f t="shared" si="215"/>
        <v/>
      </c>
      <c r="R1962" s="37" t="str">
        <f t="shared" si="216"/>
        <v/>
      </c>
    </row>
    <row r="1963" spans="1:18" x14ac:dyDescent="0.35">
      <c r="A1963" s="8">
        <v>1959</v>
      </c>
      <c r="B1963" s="9" t="str">
        <f t="shared" si="210"/>
        <v/>
      </c>
      <c r="C1963" s="10"/>
      <c r="D1963" s="9" t="str">
        <f>IF(F1963="","",_xlfn.XLOOKUP(F1963,purchase!D:D,purchase!#REF!,""))</f>
        <v/>
      </c>
      <c r="E1963" s="9" t="str">
        <f>IF(F1963="","",_xlfn.XLOOKUP(F1963,purchase!D:D,purchase!B:B,""))</f>
        <v/>
      </c>
      <c r="F1963" s="2"/>
      <c r="G1963" s="4" t="str">
        <f t="shared" si="211"/>
        <v/>
      </c>
      <c r="H1963" s="4" t="str">
        <f>IF(F1963="","",_xlfn.XLOOKUP(F1963,purchase!D:D,purchase!#REF!,""))</f>
        <v/>
      </c>
      <c r="I1963" s="4" t="str">
        <f t="shared" si="212"/>
        <v/>
      </c>
      <c r="J1963" s="4" t="str">
        <f t="shared" si="213"/>
        <v/>
      </c>
      <c r="K1963" s="13" t="str">
        <f>_xlfn.SINGLE(IF(F1963="","",_xlfn.XLOOKUP(F1963,purchase!D:D,purchase!#REF!,"")))</f>
        <v/>
      </c>
      <c r="L1963" s="2"/>
      <c r="M1963" s="32"/>
      <c r="N1963" s="13" t="str">
        <f>IF(F1963="","",
MAX(0,
_xlfn.XLOOKUP(F1963,purchase!D:D,purchase!#REF!,"")
-
SUMIFS(L:L,F:F,F1963)))</f>
        <v/>
      </c>
      <c r="O1963" s="13" t="str">
        <f t="shared" si="214"/>
        <v/>
      </c>
      <c r="P1963" s="35" t="str">
        <f>_xlfn.SINGLE(IF(F1963="","",_xlfn.XLOOKUP(F1963,purchase!D:D,purchase!K:K,"")))</f>
        <v/>
      </c>
      <c r="Q1963" s="29" t="str">
        <f t="shared" si="215"/>
        <v/>
      </c>
      <c r="R1963" s="37" t="str">
        <f t="shared" si="216"/>
        <v/>
      </c>
    </row>
    <row r="1964" spans="1:18" x14ac:dyDescent="0.35">
      <c r="A1964" s="8">
        <v>1960</v>
      </c>
      <c r="B1964" s="9" t="str">
        <f t="shared" si="210"/>
        <v/>
      </c>
      <c r="C1964" s="10"/>
      <c r="D1964" s="9" t="str">
        <f>IF(F1964="","",_xlfn.XLOOKUP(F1964,purchase!D:D,purchase!#REF!,""))</f>
        <v/>
      </c>
      <c r="E1964" s="9" t="str">
        <f>IF(F1964="","",_xlfn.XLOOKUP(F1964,purchase!D:D,purchase!B:B,""))</f>
        <v/>
      </c>
      <c r="F1964" s="2"/>
      <c r="G1964" s="4" t="str">
        <f t="shared" si="211"/>
        <v/>
      </c>
      <c r="H1964" s="4" t="str">
        <f>IF(F1964="","",_xlfn.XLOOKUP(F1964,purchase!D:D,purchase!#REF!,""))</f>
        <v/>
      </c>
      <c r="I1964" s="4" t="str">
        <f t="shared" si="212"/>
        <v/>
      </c>
      <c r="J1964" s="4" t="str">
        <f t="shared" si="213"/>
        <v/>
      </c>
      <c r="K1964" s="13" t="str">
        <f>_xlfn.SINGLE(IF(F1964="","",_xlfn.XLOOKUP(F1964,purchase!D:D,purchase!#REF!,"")))</f>
        <v/>
      </c>
      <c r="L1964" s="2"/>
      <c r="M1964" s="32"/>
      <c r="N1964" s="13" t="str">
        <f>IF(F1964="","",
MAX(0,
_xlfn.XLOOKUP(F1964,purchase!D:D,purchase!#REF!,"")
-
SUMIFS(L:L,F:F,F1964)))</f>
        <v/>
      </c>
      <c r="O1964" s="13" t="str">
        <f t="shared" si="214"/>
        <v/>
      </c>
      <c r="P1964" s="35" t="str">
        <f>_xlfn.SINGLE(IF(F1964="","",_xlfn.XLOOKUP(F1964,purchase!D:D,purchase!K:K,"")))</f>
        <v/>
      </c>
      <c r="Q1964" s="29" t="str">
        <f t="shared" si="215"/>
        <v/>
      </c>
      <c r="R1964" s="37" t="str">
        <f t="shared" si="216"/>
        <v/>
      </c>
    </row>
    <row r="1965" spans="1:18" x14ac:dyDescent="0.35">
      <c r="A1965" s="8">
        <v>1961</v>
      </c>
      <c r="B1965" s="9" t="str">
        <f t="shared" si="210"/>
        <v/>
      </c>
      <c r="C1965" s="10"/>
      <c r="D1965" s="9" t="str">
        <f>IF(F1965="","",_xlfn.XLOOKUP(F1965,purchase!D:D,purchase!#REF!,""))</f>
        <v/>
      </c>
      <c r="E1965" s="9" t="str">
        <f>IF(F1965="","",_xlfn.XLOOKUP(F1965,purchase!D:D,purchase!B:B,""))</f>
        <v/>
      </c>
      <c r="F1965" s="2"/>
      <c r="G1965" s="4" t="str">
        <f t="shared" si="211"/>
        <v/>
      </c>
      <c r="H1965" s="4" t="str">
        <f>IF(F1965="","",_xlfn.XLOOKUP(F1965,purchase!D:D,purchase!#REF!,""))</f>
        <v/>
      </c>
      <c r="I1965" s="4" t="str">
        <f t="shared" si="212"/>
        <v/>
      </c>
      <c r="J1965" s="4" t="str">
        <f t="shared" si="213"/>
        <v/>
      </c>
      <c r="K1965" s="13" t="str">
        <f>_xlfn.SINGLE(IF(F1965="","",_xlfn.XLOOKUP(F1965,purchase!D:D,purchase!#REF!,"")))</f>
        <v/>
      </c>
      <c r="L1965" s="2"/>
      <c r="M1965" s="32"/>
      <c r="N1965" s="13" t="str">
        <f>IF(F1965="","",
MAX(0,
_xlfn.XLOOKUP(F1965,purchase!D:D,purchase!#REF!,"")
-
SUMIFS(L:L,F:F,F1965)))</f>
        <v/>
      </c>
      <c r="O1965" s="13" t="str">
        <f t="shared" si="214"/>
        <v/>
      </c>
      <c r="P1965" s="35" t="str">
        <f>_xlfn.SINGLE(IF(F1965="","",_xlfn.XLOOKUP(F1965,purchase!D:D,purchase!K:K,"")))</f>
        <v/>
      </c>
      <c r="Q1965" s="29" t="str">
        <f t="shared" si="215"/>
        <v/>
      </c>
      <c r="R1965" s="37" t="str">
        <f t="shared" si="216"/>
        <v/>
      </c>
    </row>
    <row r="1966" spans="1:18" x14ac:dyDescent="0.35">
      <c r="A1966" s="8">
        <v>1962</v>
      </c>
      <c r="B1966" s="9" t="str">
        <f t="shared" si="210"/>
        <v/>
      </c>
      <c r="C1966" s="10"/>
      <c r="D1966" s="9" t="str">
        <f>IF(F1966="","",_xlfn.XLOOKUP(F1966,purchase!D:D,purchase!#REF!,""))</f>
        <v/>
      </c>
      <c r="E1966" s="9" t="str">
        <f>IF(F1966="","",_xlfn.XLOOKUP(F1966,purchase!D:D,purchase!B:B,""))</f>
        <v/>
      </c>
      <c r="F1966" s="2"/>
      <c r="G1966" s="4" t="str">
        <f t="shared" si="211"/>
        <v/>
      </c>
      <c r="H1966" s="4" t="str">
        <f>IF(F1966="","",_xlfn.XLOOKUP(F1966,purchase!D:D,purchase!#REF!,""))</f>
        <v/>
      </c>
      <c r="I1966" s="4" t="str">
        <f t="shared" si="212"/>
        <v/>
      </c>
      <c r="J1966" s="4" t="str">
        <f t="shared" si="213"/>
        <v/>
      </c>
      <c r="K1966" s="13" t="str">
        <f>_xlfn.SINGLE(IF(F1966="","",_xlfn.XLOOKUP(F1966,purchase!D:D,purchase!#REF!,"")))</f>
        <v/>
      </c>
      <c r="L1966" s="2"/>
      <c r="M1966" s="32"/>
      <c r="N1966" s="13" t="str">
        <f>IF(F1966="","",
MAX(0,
_xlfn.XLOOKUP(F1966,purchase!D:D,purchase!#REF!,"")
-
SUMIFS(L:L,F:F,F1966)))</f>
        <v/>
      </c>
      <c r="O1966" s="13" t="str">
        <f t="shared" si="214"/>
        <v/>
      </c>
      <c r="P1966" s="35" t="str">
        <f>_xlfn.SINGLE(IF(F1966="","",_xlfn.XLOOKUP(F1966,purchase!D:D,purchase!K:K,"")))</f>
        <v/>
      </c>
      <c r="Q1966" s="29" t="str">
        <f t="shared" si="215"/>
        <v/>
      </c>
      <c r="R1966" s="37" t="str">
        <f t="shared" si="216"/>
        <v/>
      </c>
    </row>
    <row r="1967" spans="1:18" x14ac:dyDescent="0.35">
      <c r="A1967" s="8">
        <v>1963</v>
      </c>
      <c r="B1967" s="9" t="str">
        <f t="shared" si="210"/>
        <v/>
      </c>
      <c r="C1967" s="10"/>
      <c r="D1967" s="9" t="str">
        <f>IF(F1967="","",_xlfn.XLOOKUP(F1967,purchase!D:D,purchase!#REF!,""))</f>
        <v/>
      </c>
      <c r="E1967" s="9" t="str">
        <f>IF(F1967="","",_xlfn.XLOOKUP(F1967,purchase!D:D,purchase!B:B,""))</f>
        <v/>
      </c>
      <c r="F1967" s="2"/>
      <c r="G1967" s="4" t="str">
        <f t="shared" si="211"/>
        <v/>
      </c>
      <c r="H1967" s="4" t="str">
        <f>IF(F1967="","",_xlfn.XLOOKUP(F1967,purchase!D:D,purchase!#REF!,""))</f>
        <v/>
      </c>
      <c r="I1967" s="4" t="str">
        <f t="shared" si="212"/>
        <v/>
      </c>
      <c r="J1967" s="4" t="str">
        <f t="shared" si="213"/>
        <v/>
      </c>
      <c r="K1967" s="13" t="str">
        <f>_xlfn.SINGLE(IF(F1967="","",_xlfn.XLOOKUP(F1967,purchase!D:D,purchase!#REF!,"")))</f>
        <v/>
      </c>
      <c r="L1967" s="2"/>
      <c r="M1967" s="32"/>
      <c r="N1967" s="13" t="str">
        <f>IF(F1967="","",
MAX(0,
_xlfn.XLOOKUP(F1967,purchase!D:D,purchase!#REF!,"")
-
SUMIFS(L:L,F:F,F1967)))</f>
        <v/>
      </c>
      <c r="O1967" s="13" t="str">
        <f t="shared" si="214"/>
        <v/>
      </c>
      <c r="P1967" s="35" t="str">
        <f>_xlfn.SINGLE(IF(F1967="","",_xlfn.XLOOKUP(F1967,purchase!D:D,purchase!K:K,"")))</f>
        <v/>
      </c>
      <c r="Q1967" s="29" t="str">
        <f t="shared" si="215"/>
        <v/>
      </c>
      <c r="R1967" s="37" t="str">
        <f t="shared" si="216"/>
        <v/>
      </c>
    </row>
    <row r="1968" spans="1:18" x14ac:dyDescent="0.35">
      <c r="A1968" s="8">
        <v>1964</v>
      </c>
      <c r="B1968" s="9" t="str">
        <f t="shared" si="210"/>
        <v/>
      </c>
      <c r="C1968" s="10"/>
      <c r="D1968" s="9" t="str">
        <f>IF(F1968="","",_xlfn.XLOOKUP(F1968,purchase!D:D,purchase!#REF!,""))</f>
        <v/>
      </c>
      <c r="E1968" s="9" t="str">
        <f>IF(F1968="","",_xlfn.XLOOKUP(F1968,purchase!D:D,purchase!B:B,""))</f>
        <v/>
      </c>
      <c r="F1968" s="2"/>
      <c r="G1968" s="4" t="str">
        <f t="shared" si="211"/>
        <v/>
      </c>
      <c r="H1968" s="4" t="str">
        <f>IF(F1968="","",_xlfn.XLOOKUP(F1968,purchase!D:D,purchase!#REF!,""))</f>
        <v/>
      </c>
      <c r="I1968" s="4" t="str">
        <f t="shared" si="212"/>
        <v/>
      </c>
      <c r="J1968" s="4" t="str">
        <f t="shared" si="213"/>
        <v/>
      </c>
      <c r="K1968" s="13" t="str">
        <f>_xlfn.SINGLE(IF(F1968="","",_xlfn.XLOOKUP(F1968,purchase!D:D,purchase!#REF!,"")))</f>
        <v/>
      </c>
      <c r="L1968" s="2"/>
      <c r="M1968" s="32"/>
      <c r="N1968" s="13" t="str">
        <f>IF(F1968="","",
MAX(0,
_xlfn.XLOOKUP(F1968,purchase!D:D,purchase!#REF!,"")
-
SUMIFS(L:L,F:F,F1968)))</f>
        <v/>
      </c>
      <c r="O1968" s="13" t="str">
        <f t="shared" si="214"/>
        <v/>
      </c>
      <c r="P1968" s="35" t="str">
        <f>_xlfn.SINGLE(IF(F1968="","",_xlfn.XLOOKUP(F1968,purchase!D:D,purchase!K:K,"")))</f>
        <v/>
      </c>
      <c r="Q1968" s="29" t="str">
        <f t="shared" si="215"/>
        <v/>
      </c>
      <c r="R1968" s="37" t="str">
        <f t="shared" si="216"/>
        <v/>
      </c>
    </row>
    <row r="1969" spans="1:18" x14ac:dyDescent="0.35">
      <c r="A1969" s="8">
        <v>1965</v>
      </c>
      <c r="B1969" s="9" t="str">
        <f t="shared" si="210"/>
        <v/>
      </c>
      <c r="C1969" s="10"/>
      <c r="D1969" s="9" t="str">
        <f>IF(F1969="","",_xlfn.XLOOKUP(F1969,purchase!D:D,purchase!#REF!,""))</f>
        <v/>
      </c>
      <c r="E1969" s="9" t="str">
        <f>IF(F1969="","",_xlfn.XLOOKUP(F1969,purchase!D:D,purchase!B:B,""))</f>
        <v/>
      </c>
      <c r="F1969" s="2"/>
      <c r="G1969" s="4" t="str">
        <f t="shared" si="211"/>
        <v/>
      </c>
      <c r="H1969" s="4" t="str">
        <f>IF(F1969="","",_xlfn.XLOOKUP(F1969,purchase!D:D,purchase!#REF!,""))</f>
        <v/>
      </c>
      <c r="I1969" s="4" t="str">
        <f t="shared" si="212"/>
        <v/>
      </c>
      <c r="J1969" s="4" t="str">
        <f t="shared" si="213"/>
        <v/>
      </c>
      <c r="K1969" s="13" t="str">
        <f>_xlfn.SINGLE(IF(F1969="","",_xlfn.XLOOKUP(F1969,purchase!D:D,purchase!#REF!,"")))</f>
        <v/>
      </c>
      <c r="L1969" s="2"/>
      <c r="M1969" s="32"/>
      <c r="N1969" s="13" t="str">
        <f>IF(F1969="","",
MAX(0,
_xlfn.XLOOKUP(F1969,purchase!D:D,purchase!#REF!,"")
-
SUMIFS(L:L,F:F,F1969)))</f>
        <v/>
      </c>
      <c r="O1969" s="13" t="str">
        <f t="shared" si="214"/>
        <v/>
      </c>
      <c r="P1969" s="35" t="str">
        <f>_xlfn.SINGLE(IF(F1969="","",_xlfn.XLOOKUP(F1969,purchase!D:D,purchase!K:K,"")))</f>
        <v/>
      </c>
      <c r="Q1969" s="29" t="str">
        <f t="shared" si="215"/>
        <v/>
      </c>
      <c r="R1969" s="37" t="str">
        <f t="shared" si="216"/>
        <v/>
      </c>
    </row>
    <row r="1970" spans="1:18" x14ac:dyDescent="0.35">
      <c r="A1970" s="8">
        <v>1966</v>
      </c>
      <c r="B1970" s="9" t="str">
        <f t="shared" si="210"/>
        <v/>
      </c>
      <c r="C1970" s="10"/>
      <c r="D1970" s="9" t="str">
        <f>IF(F1970="","",_xlfn.XLOOKUP(F1970,purchase!D:D,purchase!#REF!,""))</f>
        <v/>
      </c>
      <c r="E1970" s="9" t="str">
        <f>IF(F1970="","",_xlfn.XLOOKUP(F1970,purchase!D:D,purchase!B:B,""))</f>
        <v/>
      </c>
      <c r="F1970" s="2"/>
      <c r="G1970" s="4" t="str">
        <f t="shared" si="211"/>
        <v/>
      </c>
      <c r="H1970" s="4" t="str">
        <f>IF(F1970="","",_xlfn.XLOOKUP(F1970,purchase!D:D,purchase!#REF!,""))</f>
        <v/>
      </c>
      <c r="I1970" s="4" t="str">
        <f t="shared" si="212"/>
        <v/>
      </c>
      <c r="J1970" s="4" t="str">
        <f t="shared" si="213"/>
        <v/>
      </c>
      <c r="K1970" s="13" t="str">
        <f>_xlfn.SINGLE(IF(F1970="","",_xlfn.XLOOKUP(F1970,purchase!D:D,purchase!#REF!,"")))</f>
        <v/>
      </c>
      <c r="L1970" s="2"/>
      <c r="M1970" s="32"/>
      <c r="N1970" s="13" t="str">
        <f>IF(F1970="","",
MAX(0,
_xlfn.XLOOKUP(F1970,purchase!D:D,purchase!#REF!,"")
-
SUMIFS(L:L,F:F,F1970)))</f>
        <v/>
      </c>
      <c r="O1970" s="13" t="str">
        <f t="shared" si="214"/>
        <v/>
      </c>
      <c r="P1970" s="35" t="str">
        <f>_xlfn.SINGLE(IF(F1970="","",_xlfn.XLOOKUP(F1970,purchase!D:D,purchase!K:K,"")))</f>
        <v/>
      </c>
      <c r="Q1970" s="29" t="str">
        <f t="shared" si="215"/>
        <v/>
      </c>
      <c r="R1970" s="37" t="str">
        <f t="shared" si="216"/>
        <v/>
      </c>
    </row>
    <row r="1971" spans="1:18" x14ac:dyDescent="0.35">
      <c r="A1971" s="8">
        <v>1967</v>
      </c>
      <c r="B1971" s="9" t="str">
        <f t="shared" si="210"/>
        <v/>
      </c>
      <c r="C1971" s="10"/>
      <c r="D1971" s="9" t="str">
        <f>IF(F1971="","",_xlfn.XLOOKUP(F1971,purchase!D:D,purchase!#REF!,""))</f>
        <v/>
      </c>
      <c r="E1971" s="9" t="str">
        <f>IF(F1971="","",_xlfn.XLOOKUP(F1971,purchase!D:D,purchase!B:B,""))</f>
        <v/>
      </c>
      <c r="F1971" s="2"/>
      <c r="G1971" s="4" t="str">
        <f t="shared" si="211"/>
        <v/>
      </c>
      <c r="H1971" s="4" t="str">
        <f>IF(F1971="","",_xlfn.XLOOKUP(F1971,purchase!D:D,purchase!#REF!,""))</f>
        <v/>
      </c>
      <c r="I1971" s="4" t="str">
        <f t="shared" si="212"/>
        <v/>
      </c>
      <c r="J1971" s="4" t="str">
        <f t="shared" si="213"/>
        <v/>
      </c>
      <c r="K1971" s="13" t="str">
        <f>_xlfn.SINGLE(IF(F1971="","",_xlfn.XLOOKUP(F1971,purchase!D:D,purchase!#REF!,"")))</f>
        <v/>
      </c>
      <c r="L1971" s="2"/>
      <c r="M1971" s="32"/>
      <c r="N1971" s="13" t="str">
        <f>IF(F1971="","",
MAX(0,
_xlfn.XLOOKUP(F1971,purchase!D:D,purchase!#REF!,"")
-
SUMIFS(L:L,F:F,F1971)))</f>
        <v/>
      </c>
      <c r="O1971" s="13" t="str">
        <f t="shared" si="214"/>
        <v/>
      </c>
      <c r="P1971" s="35" t="str">
        <f>_xlfn.SINGLE(IF(F1971="","",_xlfn.XLOOKUP(F1971,purchase!D:D,purchase!K:K,"")))</f>
        <v/>
      </c>
      <c r="Q1971" s="29" t="str">
        <f t="shared" si="215"/>
        <v/>
      </c>
      <c r="R1971" s="37" t="str">
        <f t="shared" si="216"/>
        <v/>
      </c>
    </row>
    <row r="1972" spans="1:18" x14ac:dyDescent="0.35">
      <c r="A1972" s="8">
        <v>1968</v>
      </c>
      <c r="B1972" s="9" t="str">
        <f t="shared" si="210"/>
        <v/>
      </c>
      <c r="C1972" s="10"/>
      <c r="D1972" s="9" t="str">
        <f>IF(F1972="","",_xlfn.XLOOKUP(F1972,purchase!D:D,purchase!#REF!,""))</f>
        <v/>
      </c>
      <c r="E1972" s="9" t="str">
        <f>IF(F1972="","",_xlfn.XLOOKUP(F1972,purchase!D:D,purchase!B:B,""))</f>
        <v/>
      </c>
      <c r="F1972" s="2"/>
      <c r="G1972" s="4" t="str">
        <f t="shared" si="211"/>
        <v/>
      </c>
      <c r="H1972" s="4" t="str">
        <f>IF(F1972="","",_xlfn.XLOOKUP(F1972,purchase!D:D,purchase!#REF!,""))</f>
        <v/>
      </c>
      <c r="I1972" s="4" t="str">
        <f t="shared" si="212"/>
        <v/>
      </c>
      <c r="J1972" s="4" t="str">
        <f t="shared" si="213"/>
        <v/>
      </c>
      <c r="K1972" s="13" t="str">
        <f>_xlfn.SINGLE(IF(F1972="","",_xlfn.XLOOKUP(F1972,purchase!D:D,purchase!#REF!,"")))</f>
        <v/>
      </c>
      <c r="L1972" s="2"/>
      <c r="M1972" s="32"/>
      <c r="N1972" s="13" t="str">
        <f>IF(F1972="","",
MAX(0,
_xlfn.XLOOKUP(F1972,purchase!D:D,purchase!#REF!,"")
-
SUMIFS(L:L,F:F,F1972)))</f>
        <v/>
      </c>
      <c r="O1972" s="13" t="str">
        <f t="shared" si="214"/>
        <v/>
      </c>
      <c r="P1972" s="35" t="str">
        <f>_xlfn.SINGLE(IF(F1972="","",_xlfn.XLOOKUP(F1972,purchase!D:D,purchase!K:K,"")))</f>
        <v/>
      </c>
      <c r="Q1972" s="29" t="str">
        <f t="shared" si="215"/>
        <v/>
      </c>
      <c r="R1972" s="37" t="str">
        <f t="shared" si="216"/>
        <v/>
      </c>
    </row>
    <row r="1973" spans="1:18" x14ac:dyDescent="0.35">
      <c r="A1973" s="8">
        <v>1969</v>
      </c>
      <c r="B1973" s="9" t="str">
        <f t="shared" si="210"/>
        <v/>
      </c>
      <c r="C1973" s="10"/>
      <c r="D1973" s="9" t="str">
        <f>IF(F1973="","",_xlfn.XLOOKUP(F1973,purchase!D:D,purchase!#REF!,""))</f>
        <v/>
      </c>
      <c r="E1973" s="9" t="str">
        <f>IF(F1973="","",_xlfn.XLOOKUP(F1973,purchase!D:D,purchase!B:B,""))</f>
        <v/>
      </c>
      <c r="F1973" s="2"/>
      <c r="G1973" s="4" t="str">
        <f t="shared" si="211"/>
        <v/>
      </c>
      <c r="H1973" s="4" t="str">
        <f>IF(F1973="","",_xlfn.XLOOKUP(F1973,purchase!D:D,purchase!#REF!,""))</f>
        <v/>
      </c>
      <c r="I1973" s="4" t="str">
        <f t="shared" si="212"/>
        <v/>
      </c>
      <c r="J1973" s="4" t="str">
        <f t="shared" si="213"/>
        <v/>
      </c>
      <c r="K1973" s="13" t="str">
        <f>_xlfn.SINGLE(IF(F1973="","",_xlfn.XLOOKUP(F1973,purchase!D:D,purchase!#REF!,"")))</f>
        <v/>
      </c>
      <c r="L1973" s="2"/>
      <c r="M1973" s="32"/>
      <c r="N1973" s="13" t="str">
        <f>IF(F1973="","",
MAX(0,
_xlfn.XLOOKUP(F1973,purchase!D:D,purchase!#REF!,"")
-
SUMIFS(L:L,F:F,F1973)))</f>
        <v/>
      </c>
      <c r="O1973" s="13" t="str">
        <f t="shared" si="214"/>
        <v/>
      </c>
      <c r="P1973" s="35" t="str">
        <f>_xlfn.SINGLE(IF(F1973="","",_xlfn.XLOOKUP(F1973,purchase!D:D,purchase!K:K,"")))</f>
        <v/>
      </c>
      <c r="Q1973" s="29" t="str">
        <f t="shared" si="215"/>
        <v/>
      </c>
      <c r="R1973" s="37" t="str">
        <f t="shared" si="216"/>
        <v/>
      </c>
    </row>
    <row r="1974" spans="1:18" x14ac:dyDescent="0.35">
      <c r="A1974" s="8">
        <v>1970</v>
      </c>
      <c r="B1974" s="9" t="str">
        <f t="shared" si="210"/>
        <v/>
      </c>
      <c r="C1974" s="10"/>
      <c r="D1974" s="9" t="str">
        <f>IF(F1974="","",_xlfn.XLOOKUP(F1974,purchase!D:D,purchase!#REF!,""))</f>
        <v/>
      </c>
      <c r="E1974" s="9" t="str">
        <f>IF(F1974="","",_xlfn.XLOOKUP(F1974,purchase!D:D,purchase!B:B,""))</f>
        <v/>
      </c>
      <c r="F1974" s="2"/>
      <c r="G1974" s="4" t="str">
        <f t="shared" si="211"/>
        <v/>
      </c>
      <c r="H1974" s="4" t="str">
        <f>IF(F1974="","",_xlfn.XLOOKUP(F1974,purchase!D:D,purchase!#REF!,""))</f>
        <v/>
      </c>
      <c r="I1974" s="4" t="str">
        <f t="shared" si="212"/>
        <v/>
      </c>
      <c r="J1974" s="4" t="str">
        <f t="shared" si="213"/>
        <v/>
      </c>
      <c r="K1974" s="13" t="str">
        <f>_xlfn.SINGLE(IF(F1974="","",_xlfn.XLOOKUP(F1974,purchase!D:D,purchase!#REF!,"")))</f>
        <v/>
      </c>
      <c r="L1974" s="2"/>
      <c r="M1974" s="32"/>
      <c r="N1974" s="13" t="str">
        <f>IF(F1974="","",
MAX(0,
_xlfn.XLOOKUP(F1974,purchase!D:D,purchase!#REF!,"")
-
SUMIFS(L:L,F:F,F1974)))</f>
        <v/>
      </c>
      <c r="O1974" s="13" t="str">
        <f t="shared" si="214"/>
        <v/>
      </c>
      <c r="P1974" s="35" t="str">
        <f>_xlfn.SINGLE(IF(F1974="","",_xlfn.XLOOKUP(F1974,purchase!D:D,purchase!K:K,"")))</f>
        <v/>
      </c>
      <c r="Q1974" s="29" t="str">
        <f t="shared" si="215"/>
        <v/>
      </c>
      <c r="R1974" s="37" t="str">
        <f t="shared" si="216"/>
        <v/>
      </c>
    </row>
    <row r="1975" spans="1:18" x14ac:dyDescent="0.35">
      <c r="A1975" s="8">
        <v>1971</v>
      </c>
      <c r="B1975" s="9" t="str">
        <f t="shared" si="210"/>
        <v/>
      </c>
      <c r="C1975" s="10"/>
      <c r="D1975" s="9" t="str">
        <f>IF(F1975="","",_xlfn.XLOOKUP(F1975,purchase!D:D,purchase!#REF!,""))</f>
        <v/>
      </c>
      <c r="E1975" s="9" t="str">
        <f>IF(F1975="","",_xlfn.XLOOKUP(F1975,purchase!D:D,purchase!B:B,""))</f>
        <v/>
      </c>
      <c r="F1975" s="2"/>
      <c r="G1975" s="4" t="str">
        <f t="shared" si="211"/>
        <v/>
      </c>
      <c r="H1975" s="4" t="str">
        <f>IF(F1975="","",_xlfn.XLOOKUP(F1975,purchase!D:D,purchase!#REF!,""))</f>
        <v/>
      </c>
      <c r="I1975" s="4" t="str">
        <f t="shared" si="212"/>
        <v/>
      </c>
      <c r="J1975" s="4" t="str">
        <f t="shared" si="213"/>
        <v/>
      </c>
      <c r="K1975" s="13" t="str">
        <f>_xlfn.SINGLE(IF(F1975="","",_xlfn.XLOOKUP(F1975,purchase!D:D,purchase!#REF!,"")))</f>
        <v/>
      </c>
      <c r="L1975" s="2"/>
      <c r="M1975" s="32"/>
      <c r="N1975" s="13" t="str">
        <f>IF(F1975="","",
MAX(0,
_xlfn.XLOOKUP(F1975,purchase!D:D,purchase!#REF!,"")
-
SUMIFS(L:L,F:F,F1975)))</f>
        <v/>
      </c>
      <c r="O1975" s="13" t="str">
        <f t="shared" si="214"/>
        <v/>
      </c>
      <c r="P1975" s="35" t="str">
        <f>_xlfn.SINGLE(IF(F1975="","",_xlfn.XLOOKUP(F1975,purchase!D:D,purchase!K:K,"")))</f>
        <v/>
      </c>
      <c r="Q1975" s="29" t="str">
        <f t="shared" si="215"/>
        <v/>
      </c>
      <c r="R1975" s="37" t="str">
        <f t="shared" si="216"/>
        <v/>
      </c>
    </row>
    <row r="1976" spans="1:18" x14ac:dyDescent="0.35">
      <c r="A1976" s="8">
        <v>1972</v>
      </c>
      <c r="B1976" s="9" t="str">
        <f t="shared" si="210"/>
        <v/>
      </c>
      <c r="C1976" s="10"/>
      <c r="D1976" s="9" t="str">
        <f>IF(F1976="","",_xlfn.XLOOKUP(F1976,purchase!D:D,purchase!#REF!,""))</f>
        <v/>
      </c>
      <c r="E1976" s="9" t="str">
        <f>IF(F1976="","",_xlfn.XLOOKUP(F1976,purchase!D:D,purchase!B:B,""))</f>
        <v/>
      </c>
      <c r="F1976" s="2"/>
      <c r="G1976" s="4" t="str">
        <f t="shared" si="211"/>
        <v/>
      </c>
      <c r="H1976" s="4" t="str">
        <f>IF(F1976="","",_xlfn.XLOOKUP(F1976,purchase!D:D,purchase!#REF!,""))</f>
        <v/>
      </c>
      <c r="I1976" s="4" t="str">
        <f t="shared" si="212"/>
        <v/>
      </c>
      <c r="J1976" s="4" t="str">
        <f t="shared" si="213"/>
        <v/>
      </c>
      <c r="K1976" s="13" t="str">
        <f>_xlfn.SINGLE(IF(F1976="","",_xlfn.XLOOKUP(F1976,purchase!D:D,purchase!#REF!,"")))</f>
        <v/>
      </c>
      <c r="L1976" s="2"/>
      <c r="M1976" s="32"/>
      <c r="N1976" s="13" t="str">
        <f>IF(F1976="","",
MAX(0,
_xlfn.XLOOKUP(F1976,purchase!D:D,purchase!#REF!,"")
-
SUMIFS(L:L,F:F,F1976)))</f>
        <v/>
      </c>
      <c r="O1976" s="13" t="str">
        <f t="shared" si="214"/>
        <v/>
      </c>
      <c r="P1976" s="35" t="str">
        <f>_xlfn.SINGLE(IF(F1976="","",_xlfn.XLOOKUP(F1976,purchase!D:D,purchase!K:K,"")))</f>
        <v/>
      </c>
      <c r="Q1976" s="29" t="str">
        <f t="shared" si="215"/>
        <v/>
      </c>
      <c r="R1976" s="37" t="str">
        <f t="shared" si="216"/>
        <v/>
      </c>
    </row>
    <row r="1977" spans="1:18" x14ac:dyDescent="0.35">
      <c r="A1977" s="8">
        <v>1973</v>
      </c>
      <c r="B1977" s="9" t="str">
        <f t="shared" si="210"/>
        <v/>
      </c>
      <c r="C1977" s="10"/>
      <c r="D1977" s="9" t="str">
        <f>IF(F1977="","",_xlfn.XLOOKUP(F1977,purchase!D:D,purchase!#REF!,""))</f>
        <v/>
      </c>
      <c r="E1977" s="9" t="str">
        <f>IF(F1977="","",_xlfn.XLOOKUP(F1977,purchase!D:D,purchase!B:B,""))</f>
        <v/>
      </c>
      <c r="F1977" s="2"/>
      <c r="G1977" s="4" t="str">
        <f t="shared" si="211"/>
        <v/>
      </c>
      <c r="H1977" s="4" t="str">
        <f>IF(F1977="","",_xlfn.XLOOKUP(F1977,purchase!D:D,purchase!#REF!,""))</f>
        <v/>
      </c>
      <c r="I1977" s="4" t="str">
        <f t="shared" si="212"/>
        <v/>
      </c>
      <c r="J1977" s="4" t="str">
        <f t="shared" si="213"/>
        <v/>
      </c>
      <c r="K1977" s="13" t="str">
        <f>_xlfn.SINGLE(IF(F1977="","",_xlfn.XLOOKUP(F1977,purchase!D:D,purchase!#REF!,"")))</f>
        <v/>
      </c>
      <c r="L1977" s="2"/>
      <c r="M1977" s="32"/>
      <c r="N1977" s="13" t="str">
        <f>IF(F1977="","",
MAX(0,
_xlfn.XLOOKUP(F1977,purchase!D:D,purchase!#REF!,"")
-
SUMIFS(L:L,F:F,F1977)))</f>
        <v/>
      </c>
      <c r="O1977" s="13" t="str">
        <f t="shared" si="214"/>
        <v/>
      </c>
      <c r="P1977" s="35" t="str">
        <f>_xlfn.SINGLE(IF(F1977="","",_xlfn.XLOOKUP(F1977,purchase!D:D,purchase!K:K,"")))</f>
        <v/>
      </c>
      <c r="Q1977" s="29" t="str">
        <f t="shared" si="215"/>
        <v/>
      </c>
      <c r="R1977" s="37" t="str">
        <f t="shared" si="216"/>
        <v/>
      </c>
    </row>
    <row r="1978" spans="1:18" x14ac:dyDescent="0.35">
      <c r="A1978" s="8">
        <v>1974</v>
      </c>
      <c r="B1978" s="9" t="str">
        <f t="shared" si="210"/>
        <v/>
      </c>
      <c r="C1978" s="10"/>
      <c r="D1978" s="9" t="str">
        <f>IF(F1978="","",_xlfn.XLOOKUP(F1978,purchase!D:D,purchase!#REF!,""))</f>
        <v/>
      </c>
      <c r="E1978" s="9" t="str">
        <f>IF(F1978="","",_xlfn.XLOOKUP(F1978,purchase!D:D,purchase!B:B,""))</f>
        <v/>
      </c>
      <c r="F1978" s="2"/>
      <c r="G1978" s="4" t="str">
        <f t="shared" si="211"/>
        <v/>
      </c>
      <c r="H1978" s="4" t="str">
        <f>IF(F1978="","",_xlfn.XLOOKUP(F1978,purchase!D:D,purchase!#REF!,""))</f>
        <v/>
      </c>
      <c r="I1978" s="4" t="str">
        <f t="shared" si="212"/>
        <v/>
      </c>
      <c r="J1978" s="4" t="str">
        <f t="shared" si="213"/>
        <v/>
      </c>
      <c r="K1978" s="13" t="str">
        <f>_xlfn.SINGLE(IF(F1978="","",_xlfn.XLOOKUP(F1978,purchase!D:D,purchase!#REF!,"")))</f>
        <v/>
      </c>
      <c r="L1978" s="2"/>
      <c r="M1978" s="32"/>
      <c r="N1978" s="13" t="str">
        <f>IF(F1978="","",
MAX(0,
_xlfn.XLOOKUP(F1978,purchase!D:D,purchase!#REF!,"")
-
SUMIFS(L:L,F:F,F1978)))</f>
        <v/>
      </c>
      <c r="O1978" s="13" t="str">
        <f t="shared" si="214"/>
        <v/>
      </c>
      <c r="P1978" s="35" t="str">
        <f>_xlfn.SINGLE(IF(F1978="","",_xlfn.XLOOKUP(F1978,purchase!D:D,purchase!K:K,"")))</f>
        <v/>
      </c>
      <c r="Q1978" s="29" t="str">
        <f t="shared" si="215"/>
        <v/>
      </c>
      <c r="R1978" s="37" t="str">
        <f t="shared" si="216"/>
        <v/>
      </c>
    </row>
    <row r="1979" spans="1:18" x14ac:dyDescent="0.35">
      <c r="A1979" s="8">
        <v>1975</v>
      </c>
      <c r="B1979" s="9" t="str">
        <f t="shared" si="210"/>
        <v/>
      </c>
      <c r="C1979" s="10"/>
      <c r="D1979" s="9" t="str">
        <f>IF(F1979="","",_xlfn.XLOOKUP(F1979,purchase!D:D,purchase!#REF!,""))</f>
        <v/>
      </c>
      <c r="E1979" s="9" t="str">
        <f>IF(F1979="","",_xlfn.XLOOKUP(F1979,purchase!D:D,purchase!B:B,""))</f>
        <v/>
      </c>
      <c r="F1979" s="2"/>
      <c r="G1979" s="4" t="str">
        <f t="shared" si="211"/>
        <v/>
      </c>
      <c r="H1979" s="4" t="str">
        <f>IF(F1979="","",_xlfn.XLOOKUP(F1979,purchase!D:D,purchase!#REF!,""))</f>
        <v/>
      </c>
      <c r="I1979" s="4" t="str">
        <f t="shared" si="212"/>
        <v/>
      </c>
      <c r="J1979" s="4" t="str">
        <f t="shared" si="213"/>
        <v/>
      </c>
      <c r="K1979" s="13" t="str">
        <f>_xlfn.SINGLE(IF(F1979="","",_xlfn.XLOOKUP(F1979,purchase!D:D,purchase!#REF!,"")))</f>
        <v/>
      </c>
      <c r="L1979" s="2"/>
      <c r="M1979" s="32"/>
      <c r="N1979" s="13" t="str">
        <f>IF(F1979="","",
MAX(0,
_xlfn.XLOOKUP(F1979,purchase!D:D,purchase!#REF!,"")
-
SUMIFS(L:L,F:F,F1979)))</f>
        <v/>
      </c>
      <c r="O1979" s="13" t="str">
        <f t="shared" si="214"/>
        <v/>
      </c>
      <c r="P1979" s="35" t="str">
        <f>_xlfn.SINGLE(IF(F1979="","",_xlfn.XLOOKUP(F1979,purchase!D:D,purchase!K:K,"")))</f>
        <v/>
      </c>
      <c r="Q1979" s="29" t="str">
        <f t="shared" si="215"/>
        <v/>
      </c>
      <c r="R1979" s="37" t="str">
        <f t="shared" si="216"/>
        <v/>
      </c>
    </row>
    <row r="1980" spans="1:18" x14ac:dyDescent="0.35">
      <c r="A1980" s="8">
        <v>1976</v>
      </c>
      <c r="B1980" s="9" t="str">
        <f t="shared" si="210"/>
        <v/>
      </c>
      <c r="C1980" s="10"/>
      <c r="D1980" s="9" t="str">
        <f>IF(F1980="","",_xlfn.XLOOKUP(F1980,purchase!D:D,purchase!#REF!,""))</f>
        <v/>
      </c>
      <c r="E1980" s="9" t="str">
        <f>IF(F1980="","",_xlfn.XLOOKUP(F1980,purchase!D:D,purchase!B:B,""))</f>
        <v/>
      </c>
      <c r="F1980" s="2"/>
      <c r="G1980" s="4" t="str">
        <f t="shared" si="211"/>
        <v/>
      </c>
      <c r="H1980" s="4" t="str">
        <f>IF(F1980="","",_xlfn.XLOOKUP(F1980,purchase!D:D,purchase!#REF!,""))</f>
        <v/>
      </c>
      <c r="I1980" s="4" t="str">
        <f t="shared" si="212"/>
        <v/>
      </c>
      <c r="J1980" s="4" t="str">
        <f t="shared" si="213"/>
        <v/>
      </c>
      <c r="K1980" s="13" t="str">
        <f>_xlfn.SINGLE(IF(F1980="","",_xlfn.XLOOKUP(F1980,purchase!D:D,purchase!#REF!,"")))</f>
        <v/>
      </c>
      <c r="L1980" s="2"/>
      <c r="M1980" s="32"/>
      <c r="N1980" s="13" t="str">
        <f>IF(F1980="","",
MAX(0,
_xlfn.XLOOKUP(F1980,purchase!D:D,purchase!#REF!,"")
-
SUMIFS(L:L,F:F,F1980)))</f>
        <v/>
      </c>
      <c r="O1980" s="13" t="str">
        <f t="shared" si="214"/>
        <v/>
      </c>
      <c r="P1980" s="35" t="str">
        <f>_xlfn.SINGLE(IF(F1980="","",_xlfn.XLOOKUP(F1980,purchase!D:D,purchase!K:K,"")))</f>
        <v/>
      </c>
      <c r="Q1980" s="29" t="str">
        <f t="shared" si="215"/>
        <v/>
      </c>
      <c r="R1980" s="37" t="str">
        <f t="shared" si="216"/>
        <v/>
      </c>
    </row>
    <row r="1981" spans="1:18" x14ac:dyDescent="0.35">
      <c r="A1981" s="8">
        <v>1977</v>
      </c>
      <c r="B1981" s="9" t="str">
        <f t="shared" si="210"/>
        <v/>
      </c>
      <c r="C1981" s="10"/>
      <c r="D1981" s="9" t="str">
        <f>IF(F1981="","",_xlfn.XLOOKUP(F1981,purchase!D:D,purchase!#REF!,""))</f>
        <v/>
      </c>
      <c r="E1981" s="9" t="str">
        <f>IF(F1981="","",_xlfn.XLOOKUP(F1981,purchase!D:D,purchase!B:B,""))</f>
        <v/>
      </c>
      <c r="F1981" s="2"/>
      <c r="G1981" s="4" t="str">
        <f t="shared" si="211"/>
        <v/>
      </c>
      <c r="H1981" s="4" t="str">
        <f>IF(F1981="","",_xlfn.XLOOKUP(F1981,purchase!D:D,purchase!#REF!,""))</f>
        <v/>
      </c>
      <c r="I1981" s="4" t="str">
        <f t="shared" si="212"/>
        <v/>
      </c>
      <c r="J1981" s="4" t="str">
        <f t="shared" si="213"/>
        <v/>
      </c>
      <c r="K1981" s="13" t="str">
        <f>_xlfn.SINGLE(IF(F1981="","",_xlfn.XLOOKUP(F1981,purchase!D:D,purchase!#REF!,"")))</f>
        <v/>
      </c>
      <c r="L1981" s="2"/>
      <c r="M1981" s="32"/>
      <c r="N1981" s="13" t="str">
        <f>IF(F1981="","",
MAX(0,
_xlfn.XLOOKUP(F1981,purchase!D:D,purchase!#REF!,"")
-
SUMIFS(L:L,F:F,F1981)))</f>
        <v/>
      </c>
      <c r="O1981" s="13" t="str">
        <f t="shared" si="214"/>
        <v/>
      </c>
      <c r="P1981" s="35" t="str">
        <f>_xlfn.SINGLE(IF(F1981="","",_xlfn.XLOOKUP(F1981,purchase!D:D,purchase!K:K,"")))</f>
        <v/>
      </c>
      <c r="Q1981" s="29" t="str">
        <f t="shared" si="215"/>
        <v/>
      </c>
      <c r="R1981" s="37" t="str">
        <f t="shared" si="216"/>
        <v/>
      </c>
    </row>
    <row r="1982" spans="1:18" x14ac:dyDescent="0.35">
      <c r="A1982" s="8">
        <v>1978</v>
      </c>
      <c r="B1982" s="9" t="str">
        <f t="shared" si="210"/>
        <v/>
      </c>
      <c r="C1982" s="10"/>
      <c r="D1982" s="9" t="str">
        <f>IF(F1982="","",_xlfn.XLOOKUP(F1982,purchase!D:D,purchase!#REF!,""))</f>
        <v/>
      </c>
      <c r="E1982" s="9" t="str">
        <f>IF(F1982="","",_xlfn.XLOOKUP(F1982,purchase!D:D,purchase!B:B,""))</f>
        <v/>
      </c>
      <c r="F1982" s="2"/>
      <c r="G1982" s="4" t="str">
        <f t="shared" si="211"/>
        <v/>
      </c>
      <c r="H1982" s="4" t="str">
        <f>IF(F1982="","",_xlfn.XLOOKUP(F1982,purchase!D:D,purchase!#REF!,""))</f>
        <v/>
      </c>
      <c r="I1982" s="4" t="str">
        <f t="shared" si="212"/>
        <v/>
      </c>
      <c r="J1982" s="4" t="str">
        <f t="shared" si="213"/>
        <v/>
      </c>
      <c r="K1982" s="13" t="str">
        <f>_xlfn.SINGLE(IF(F1982="","",_xlfn.XLOOKUP(F1982,purchase!D:D,purchase!#REF!,"")))</f>
        <v/>
      </c>
      <c r="L1982" s="2"/>
      <c r="M1982" s="32"/>
      <c r="N1982" s="13" t="str">
        <f>IF(F1982="","",
MAX(0,
_xlfn.XLOOKUP(F1982,purchase!D:D,purchase!#REF!,"")
-
SUMIFS(L:L,F:F,F1982)))</f>
        <v/>
      </c>
      <c r="O1982" s="13" t="str">
        <f t="shared" si="214"/>
        <v/>
      </c>
      <c r="P1982" s="35" t="str">
        <f>_xlfn.SINGLE(IF(F1982="","",_xlfn.XLOOKUP(F1982,purchase!D:D,purchase!K:K,"")))</f>
        <v/>
      </c>
      <c r="Q1982" s="29" t="str">
        <f t="shared" si="215"/>
        <v/>
      </c>
      <c r="R1982" s="37" t="str">
        <f t="shared" si="216"/>
        <v/>
      </c>
    </row>
    <row r="1983" spans="1:18" x14ac:dyDescent="0.35">
      <c r="A1983" s="8">
        <v>1979</v>
      </c>
      <c r="B1983" s="9" t="str">
        <f t="shared" si="210"/>
        <v/>
      </c>
      <c r="C1983" s="10"/>
      <c r="D1983" s="9" t="str">
        <f>IF(F1983="","",_xlfn.XLOOKUP(F1983,purchase!D:D,purchase!#REF!,""))</f>
        <v/>
      </c>
      <c r="E1983" s="9" t="str">
        <f>IF(F1983="","",_xlfn.XLOOKUP(F1983,purchase!D:D,purchase!B:B,""))</f>
        <v/>
      </c>
      <c r="F1983" s="2"/>
      <c r="G1983" s="4" t="str">
        <f t="shared" si="211"/>
        <v/>
      </c>
      <c r="H1983" s="4" t="str">
        <f>IF(F1983="","",_xlfn.XLOOKUP(F1983,purchase!D:D,purchase!#REF!,""))</f>
        <v/>
      </c>
      <c r="I1983" s="4" t="str">
        <f t="shared" si="212"/>
        <v/>
      </c>
      <c r="J1983" s="4" t="str">
        <f t="shared" si="213"/>
        <v/>
      </c>
      <c r="K1983" s="13" t="str">
        <f>_xlfn.SINGLE(IF(F1983="","",_xlfn.XLOOKUP(F1983,purchase!D:D,purchase!#REF!,"")))</f>
        <v/>
      </c>
      <c r="L1983" s="2"/>
      <c r="M1983" s="32"/>
      <c r="N1983" s="13" t="str">
        <f>IF(F1983="","",
MAX(0,
_xlfn.XLOOKUP(F1983,purchase!D:D,purchase!#REF!,"")
-
SUMIFS(L:L,F:F,F1983)))</f>
        <v/>
      </c>
      <c r="O1983" s="13" t="str">
        <f t="shared" si="214"/>
        <v/>
      </c>
      <c r="P1983" s="35" t="str">
        <f>_xlfn.SINGLE(IF(F1983="","",_xlfn.XLOOKUP(F1983,purchase!D:D,purchase!K:K,"")))</f>
        <v/>
      </c>
      <c r="Q1983" s="29" t="str">
        <f t="shared" si="215"/>
        <v/>
      </c>
      <c r="R1983" s="37" t="str">
        <f t="shared" si="216"/>
        <v/>
      </c>
    </row>
    <row r="1984" spans="1:18" x14ac:dyDescent="0.35">
      <c r="A1984" s="8">
        <v>1980</v>
      </c>
      <c r="B1984" s="9" t="str">
        <f t="shared" si="210"/>
        <v/>
      </c>
      <c r="C1984" s="10"/>
      <c r="D1984" s="9" t="str">
        <f>IF(F1984="","",_xlfn.XLOOKUP(F1984,purchase!D:D,purchase!#REF!,""))</f>
        <v/>
      </c>
      <c r="E1984" s="9" t="str">
        <f>IF(F1984="","",_xlfn.XLOOKUP(F1984,purchase!D:D,purchase!B:B,""))</f>
        <v/>
      </c>
      <c r="F1984" s="2"/>
      <c r="G1984" s="4" t="str">
        <f t="shared" si="211"/>
        <v/>
      </c>
      <c r="H1984" s="4" t="str">
        <f>IF(F1984="","",_xlfn.XLOOKUP(F1984,purchase!D:D,purchase!#REF!,""))</f>
        <v/>
      </c>
      <c r="I1984" s="4" t="str">
        <f t="shared" si="212"/>
        <v/>
      </c>
      <c r="J1984" s="4" t="str">
        <f t="shared" si="213"/>
        <v/>
      </c>
      <c r="K1984" s="13" t="str">
        <f>_xlfn.SINGLE(IF(F1984="","",_xlfn.XLOOKUP(F1984,purchase!D:D,purchase!#REF!,"")))</f>
        <v/>
      </c>
      <c r="L1984" s="2"/>
      <c r="M1984" s="32"/>
      <c r="N1984" s="13" t="str">
        <f>IF(F1984="","",
MAX(0,
_xlfn.XLOOKUP(F1984,purchase!D:D,purchase!#REF!,"")
-
SUMIFS(L:L,F:F,F1984)))</f>
        <v/>
      </c>
      <c r="O1984" s="13" t="str">
        <f t="shared" si="214"/>
        <v/>
      </c>
      <c r="P1984" s="35" t="str">
        <f>_xlfn.SINGLE(IF(F1984="","",_xlfn.XLOOKUP(F1984,purchase!D:D,purchase!K:K,"")))</f>
        <v/>
      </c>
      <c r="Q1984" s="29" t="str">
        <f t="shared" si="215"/>
        <v/>
      </c>
      <c r="R1984" s="37" t="str">
        <f t="shared" si="216"/>
        <v/>
      </c>
    </row>
    <row r="1985" spans="1:18" x14ac:dyDescent="0.35">
      <c r="A1985" s="8">
        <v>1981</v>
      </c>
      <c r="B1985" s="9" t="str">
        <f t="shared" si="210"/>
        <v/>
      </c>
      <c r="C1985" s="10"/>
      <c r="D1985" s="9" t="str">
        <f>IF(F1985="","",_xlfn.XLOOKUP(F1985,purchase!D:D,purchase!#REF!,""))</f>
        <v/>
      </c>
      <c r="E1985" s="9" t="str">
        <f>IF(F1985="","",_xlfn.XLOOKUP(F1985,purchase!D:D,purchase!B:B,""))</f>
        <v/>
      </c>
      <c r="F1985" s="2"/>
      <c r="G1985" s="4" t="str">
        <f t="shared" si="211"/>
        <v/>
      </c>
      <c r="H1985" s="4" t="str">
        <f>IF(F1985="","",_xlfn.XLOOKUP(F1985,purchase!D:D,purchase!#REF!,""))</f>
        <v/>
      </c>
      <c r="I1985" s="4" t="str">
        <f t="shared" si="212"/>
        <v/>
      </c>
      <c r="J1985" s="4" t="str">
        <f t="shared" si="213"/>
        <v/>
      </c>
      <c r="K1985" s="13" t="str">
        <f>_xlfn.SINGLE(IF(F1985="","",_xlfn.XLOOKUP(F1985,purchase!D:D,purchase!#REF!,"")))</f>
        <v/>
      </c>
      <c r="L1985" s="2"/>
      <c r="M1985" s="32"/>
      <c r="N1985" s="13" t="str">
        <f>IF(F1985="","",
MAX(0,
_xlfn.XLOOKUP(F1985,purchase!D:D,purchase!#REF!,"")
-
SUMIFS(L:L,F:F,F1985)))</f>
        <v/>
      </c>
      <c r="O1985" s="13" t="str">
        <f t="shared" si="214"/>
        <v/>
      </c>
      <c r="P1985" s="35" t="str">
        <f>_xlfn.SINGLE(IF(F1985="","",_xlfn.XLOOKUP(F1985,purchase!D:D,purchase!K:K,"")))</f>
        <v/>
      </c>
      <c r="Q1985" s="29" t="str">
        <f t="shared" si="215"/>
        <v/>
      </c>
      <c r="R1985" s="37" t="str">
        <f t="shared" si="216"/>
        <v/>
      </c>
    </row>
    <row r="1986" spans="1:18" x14ac:dyDescent="0.35">
      <c r="A1986" s="8">
        <v>1982</v>
      </c>
      <c r="B1986" s="9" t="str">
        <f t="shared" si="210"/>
        <v/>
      </c>
      <c r="C1986" s="10"/>
      <c r="D1986" s="9" t="str">
        <f>IF(F1986="","",_xlfn.XLOOKUP(F1986,purchase!D:D,purchase!#REF!,""))</f>
        <v/>
      </c>
      <c r="E1986" s="9" t="str">
        <f>IF(F1986="","",_xlfn.XLOOKUP(F1986,purchase!D:D,purchase!B:B,""))</f>
        <v/>
      </c>
      <c r="F1986" s="2"/>
      <c r="G1986" s="4" t="str">
        <f t="shared" si="211"/>
        <v/>
      </c>
      <c r="H1986" s="4" t="str">
        <f>IF(F1986="","",_xlfn.XLOOKUP(F1986,purchase!D:D,purchase!#REF!,""))</f>
        <v/>
      </c>
      <c r="I1986" s="4" t="str">
        <f t="shared" si="212"/>
        <v/>
      </c>
      <c r="J1986" s="4" t="str">
        <f t="shared" si="213"/>
        <v/>
      </c>
      <c r="K1986" s="13" t="str">
        <f>_xlfn.SINGLE(IF(F1986="","",_xlfn.XLOOKUP(F1986,purchase!D:D,purchase!#REF!,"")))</f>
        <v/>
      </c>
      <c r="L1986" s="2"/>
      <c r="M1986" s="32"/>
      <c r="N1986" s="13" t="str">
        <f>IF(F1986="","",
MAX(0,
_xlfn.XLOOKUP(F1986,purchase!D:D,purchase!#REF!,"")
-
SUMIFS(L:L,F:F,F1986)))</f>
        <v/>
      </c>
      <c r="O1986" s="13" t="str">
        <f t="shared" si="214"/>
        <v/>
      </c>
      <c r="P1986" s="35" t="str">
        <f>_xlfn.SINGLE(IF(F1986="","",_xlfn.XLOOKUP(F1986,purchase!D:D,purchase!K:K,"")))</f>
        <v/>
      </c>
      <c r="Q1986" s="29" t="str">
        <f t="shared" si="215"/>
        <v/>
      </c>
      <c r="R1986" s="37" t="str">
        <f t="shared" si="216"/>
        <v/>
      </c>
    </row>
    <row r="1987" spans="1:18" x14ac:dyDescent="0.35">
      <c r="A1987" s="8">
        <v>1983</v>
      </c>
      <c r="B1987" s="9" t="str">
        <f t="shared" si="210"/>
        <v/>
      </c>
      <c r="C1987" s="10"/>
      <c r="D1987" s="9" t="str">
        <f>IF(F1987="","",_xlfn.XLOOKUP(F1987,purchase!D:D,purchase!#REF!,""))</f>
        <v/>
      </c>
      <c r="E1987" s="9" t="str">
        <f>IF(F1987="","",_xlfn.XLOOKUP(F1987,purchase!D:D,purchase!B:B,""))</f>
        <v/>
      </c>
      <c r="F1987" s="2"/>
      <c r="G1987" s="4" t="str">
        <f t="shared" si="211"/>
        <v/>
      </c>
      <c r="H1987" s="4" t="str">
        <f>IF(F1987="","",_xlfn.XLOOKUP(F1987,purchase!D:D,purchase!#REF!,""))</f>
        <v/>
      </c>
      <c r="I1987" s="4" t="str">
        <f t="shared" si="212"/>
        <v/>
      </c>
      <c r="J1987" s="4" t="str">
        <f t="shared" si="213"/>
        <v/>
      </c>
      <c r="K1987" s="13" t="str">
        <f>_xlfn.SINGLE(IF(F1987="","",_xlfn.XLOOKUP(F1987,purchase!D:D,purchase!#REF!,"")))</f>
        <v/>
      </c>
      <c r="L1987" s="2"/>
      <c r="M1987" s="32"/>
      <c r="N1987" s="13" t="str">
        <f>IF(F1987="","",
MAX(0,
_xlfn.XLOOKUP(F1987,purchase!D:D,purchase!#REF!,"")
-
SUMIFS(L:L,F:F,F1987)))</f>
        <v/>
      </c>
      <c r="O1987" s="13" t="str">
        <f t="shared" si="214"/>
        <v/>
      </c>
      <c r="P1987" s="35" t="str">
        <f>_xlfn.SINGLE(IF(F1987="","",_xlfn.XLOOKUP(F1987,purchase!D:D,purchase!K:K,"")))</f>
        <v/>
      </c>
      <c r="Q1987" s="29" t="str">
        <f t="shared" si="215"/>
        <v/>
      </c>
      <c r="R1987" s="37" t="str">
        <f t="shared" si="216"/>
        <v/>
      </c>
    </row>
    <row r="1988" spans="1:18" x14ac:dyDescent="0.35">
      <c r="A1988" s="8">
        <v>1984</v>
      </c>
      <c r="B1988" s="9" t="str">
        <f t="shared" si="210"/>
        <v/>
      </c>
      <c r="C1988" s="10"/>
      <c r="D1988" s="9" t="str">
        <f>IF(F1988="","",_xlfn.XLOOKUP(F1988,purchase!D:D,purchase!#REF!,""))</f>
        <v/>
      </c>
      <c r="E1988" s="9" t="str">
        <f>IF(F1988="","",_xlfn.XLOOKUP(F1988,purchase!D:D,purchase!B:B,""))</f>
        <v/>
      </c>
      <c r="F1988" s="2"/>
      <c r="G1988" s="4" t="str">
        <f t="shared" si="211"/>
        <v/>
      </c>
      <c r="H1988" s="4" t="str">
        <f>IF(F1988="","",_xlfn.XLOOKUP(F1988,purchase!D:D,purchase!#REF!,""))</f>
        <v/>
      </c>
      <c r="I1988" s="4" t="str">
        <f t="shared" si="212"/>
        <v/>
      </c>
      <c r="J1988" s="4" t="str">
        <f t="shared" si="213"/>
        <v/>
      </c>
      <c r="K1988" s="13" t="str">
        <f>_xlfn.SINGLE(IF(F1988="","",_xlfn.XLOOKUP(F1988,purchase!D:D,purchase!#REF!,"")))</f>
        <v/>
      </c>
      <c r="L1988" s="2"/>
      <c r="M1988" s="32"/>
      <c r="N1988" s="13" t="str">
        <f>IF(F1988="","",
MAX(0,
_xlfn.XLOOKUP(F1988,purchase!D:D,purchase!#REF!,"")
-
SUMIFS(L:L,F:F,F1988)))</f>
        <v/>
      </c>
      <c r="O1988" s="13" t="str">
        <f t="shared" si="214"/>
        <v/>
      </c>
      <c r="P1988" s="35" t="str">
        <f>_xlfn.SINGLE(IF(F1988="","",_xlfn.XLOOKUP(F1988,purchase!D:D,purchase!K:K,"")))</f>
        <v/>
      </c>
      <c r="Q1988" s="29" t="str">
        <f t="shared" si="215"/>
        <v/>
      </c>
      <c r="R1988" s="37" t="str">
        <f t="shared" si="216"/>
        <v/>
      </c>
    </row>
    <row r="1989" spans="1:18" x14ac:dyDescent="0.35">
      <c r="A1989" s="8">
        <v>1985</v>
      </c>
      <c r="B1989" s="9" t="str">
        <f t="shared" ref="B1989:B2052" si="217">IF(OR(C1989="",F1989=""),"",
"PRD-" &amp;
TEXT(DAY(C1989),"00") &amp;
CHOOSE(MONTH(C1989),"A","B","C","D","E","F","G","H","I","J","K","L") &amp;
TEXT(YEAR(C1989),"00") &amp;
"-" &amp;
RIGHT(F1989,4))</f>
        <v/>
      </c>
      <c r="C1989" s="10"/>
      <c r="D1989" s="9" t="str">
        <f>IF(F1989="","",_xlfn.XLOOKUP(F1989,purchase!D:D,purchase!#REF!,""))</f>
        <v/>
      </c>
      <c r="E1989" s="9" t="str">
        <f>IF(F1989="","",_xlfn.XLOOKUP(F1989,purchase!D:D,purchase!B:B,""))</f>
        <v/>
      </c>
      <c r="F1989" s="2"/>
      <c r="G1989" s="4" t="str">
        <f t="shared" ref="G1989:G2052" si="218">IF(H1989="NRFC","Natural Rubber Field Coagulam","")</f>
        <v/>
      </c>
      <c r="H1989" s="4" t="str">
        <f>IF(F1989="","",_xlfn.XLOOKUP(F1989,purchase!D:D,purchase!#REF!,""))</f>
        <v/>
      </c>
      <c r="I1989" s="4" t="str">
        <f t="shared" ref="I1989:I2052" si="219">IF(J1989="ISNR20","Natural Rubber-TSNR (ISNR-20)","")</f>
        <v/>
      </c>
      <c r="J1989" s="4" t="str">
        <f t="shared" ref="J1989:J2052" si="220">IF(H1989="NRFC","ISNR20","")</f>
        <v/>
      </c>
      <c r="K1989" s="13" t="str">
        <f>_xlfn.SINGLE(IF(F1989="","",_xlfn.XLOOKUP(F1989,purchase!D:D,purchase!#REF!,"")))</f>
        <v/>
      </c>
      <c r="L1989" s="2"/>
      <c r="M1989" s="32"/>
      <c r="N1989" s="13" t="str">
        <f>IF(F1989="","",
MAX(0,
_xlfn.XLOOKUP(F1989,purchase!D:D,purchase!#REF!,"")
-
SUMIFS(L:L,F:F,F1989)))</f>
        <v/>
      </c>
      <c r="O1989" s="13" t="str">
        <f t="shared" ref="O1989:O2052" si="221">IF(OR(L1989="",M1989=""),"",L1989-M1989)</f>
        <v/>
      </c>
      <c r="P1989" s="35" t="str">
        <f>_xlfn.SINGLE(IF(F1989="","",_xlfn.XLOOKUP(F1989,purchase!D:D,purchase!K:K,"")))</f>
        <v/>
      </c>
      <c r="Q1989" s="29" t="str">
        <f t="shared" ref="Q1989:Q2052" si="222">IF(OR(L1989="",M1989=""),"",M1989/L1989)</f>
        <v/>
      </c>
      <c r="R1989" s="37" t="str">
        <f t="shared" ref="R1989:R2052" si="223">IF(OR(P1989="",Q1989=""),"",Q1989-P1989)</f>
        <v/>
      </c>
    </row>
    <row r="1990" spans="1:18" x14ac:dyDescent="0.35">
      <c r="A1990" s="8">
        <v>1986</v>
      </c>
      <c r="B1990" s="9" t="str">
        <f t="shared" si="217"/>
        <v/>
      </c>
      <c r="C1990" s="10"/>
      <c r="D1990" s="9" t="str">
        <f>IF(F1990="","",_xlfn.XLOOKUP(F1990,purchase!D:D,purchase!#REF!,""))</f>
        <v/>
      </c>
      <c r="E1990" s="9" t="str">
        <f>IF(F1990="","",_xlfn.XLOOKUP(F1990,purchase!D:D,purchase!B:B,""))</f>
        <v/>
      </c>
      <c r="F1990" s="2"/>
      <c r="G1990" s="4" t="str">
        <f t="shared" si="218"/>
        <v/>
      </c>
      <c r="H1990" s="4" t="str">
        <f>IF(F1990="","",_xlfn.XLOOKUP(F1990,purchase!D:D,purchase!#REF!,""))</f>
        <v/>
      </c>
      <c r="I1990" s="4" t="str">
        <f t="shared" si="219"/>
        <v/>
      </c>
      <c r="J1990" s="4" t="str">
        <f t="shared" si="220"/>
        <v/>
      </c>
      <c r="K1990" s="13" t="str">
        <f>_xlfn.SINGLE(IF(F1990="","",_xlfn.XLOOKUP(F1990,purchase!D:D,purchase!#REF!,"")))</f>
        <v/>
      </c>
      <c r="L1990" s="2"/>
      <c r="M1990" s="32"/>
      <c r="N1990" s="13" t="str">
        <f>IF(F1990="","",
MAX(0,
_xlfn.XLOOKUP(F1990,purchase!D:D,purchase!#REF!,"")
-
SUMIFS(L:L,F:F,F1990)))</f>
        <v/>
      </c>
      <c r="O1990" s="13" t="str">
        <f t="shared" si="221"/>
        <v/>
      </c>
      <c r="P1990" s="35" t="str">
        <f>_xlfn.SINGLE(IF(F1990="","",_xlfn.XLOOKUP(F1990,purchase!D:D,purchase!K:K,"")))</f>
        <v/>
      </c>
      <c r="Q1990" s="29" t="str">
        <f t="shared" si="222"/>
        <v/>
      </c>
      <c r="R1990" s="37" t="str">
        <f t="shared" si="223"/>
        <v/>
      </c>
    </row>
    <row r="1991" spans="1:18" x14ac:dyDescent="0.35">
      <c r="A1991" s="8">
        <v>1987</v>
      </c>
      <c r="B1991" s="9" t="str">
        <f t="shared" si="217"/>
        <v/>
      </c>
      <c r="C1991" s="10"/>
      <c r="D1991" s="9" t="str">
        <f>IF(F1991="","",_xlfn.XLOOKUP(F1991,purchase!D:D,purchase!#REF!,""))</f>
        <v/>
      </c>
      <c r="E1991" s="9" t="str">
        <f>IF(F1991="","",_xlfn.XLOOKUP(F1991,purchase!D:D,purchase!B:B,""))</f>
        <v/>
      </c>
      <c r="F1991" s="2"/>
      <c r="G1991" s="4" t="str">
        <f t="shared" si="218"/>
        <v/>
      </c>
      <c r="H1991" s="4" t="str">
        <f>IF(F1991="","",_xlfn.XLOOKUP(F1991,purchase!D:D,purchase!#REF!,""))</f>
        <v/>
      </c>
      <c r="I1991" s="4" t="str">
        <f t="shared" si="219"/>
        <v/>
      </c>
      <c r="J1991" s="4" t="str">
        <f t="shared" si="220"/>
        <v/>
      </c>
      <c r="K1991" s="13" t="str">
        <f>_xlfn.SINGLE(IF(F1991="","",_xlfn.XLOOKUP(F1991,purchase!D:D,purchase!#REF!,"")))</f>
        <v/>
      </c>
      <c r="L1991" s="2"/>
      <c r="M1991" s="32"/>
      <c r="N1991" s="13" t="str">
        <f>IF(F1991="","",
MAX(0,
_xlfn.XLOOKUP(F1991,purchase!D:D,purchase!#REF!,"")
-
SUMIFS(L:L,F:F,F1991)))</f>
        <v/>
      </c>
      <c r="O1991" s="13" t="str">
        <f t="shared" si="221"/>
        <v/>
      </c>
      <c r="P1991" s="35" t="str">
        <f>_xlfn.SINGLE(IF(F1991="","",_xlfn.XLOOKUP(F1991,purchase!D:D,purchase!K:K,"")))</f>
        <v/>
      </c>
      <c r="Q1991" s="29" t="str">
        <f t="shared" si="222"/>
        <v/>
      </c>
      <c r="R1991" s="37" t="str">
        <f t="shared" si="223"/>
        <v/>
      </c>
    </row>
    <row r="1992" spans="1:18" x14ac:dyDescent="0.35">
      <c r="A1992" s="8">
        <v>1988</v>
      </c>
      <c r="B1992" s="9" t="str">
        <f t="shared" si="217"/>
        <v/>
      </c>
      <c r="C1992" s="10"/>
      <c r="D1992" s="9" t="str">
        <f>IF(F1992="","",_xlfn.XLOOKUP(F1992,purchase!D:D,purchase!#REF!,""))</f>
        <v/>
      </c>
      <c r="E1992" s="9" t="str">
        <f>IF(F1992="","",_xlfn.XLOOKUP(F1992,purchase!D:D,purchase!B:B,""))</f>
        <v/>
      </c>
      <c r="F1992" s="2"/>
      <c r="G1992" s="4" t="str">
        <f t="shared" si="218"/>
        <v/>
      </c>
      <c r="H1992" s="4" t="str">
        <f>IF(F1992="","",_xlfn.XLOOKUP(F1992,purchase!D:D,purchase!#REF!,""))</f>
        <v/>
      </c>
      <c r="I1992" s="4" t="str">
        <f t="shared" si="219"/>
        <v/>
      </c>
      <c r="J1992" s="4" t="str">
        <f t="shared" si="220"/>
        <v/>
      </c>
      <c r="K1992" s="13" t="str">
        <f>_xlfn.SINGLE(IF(F1992="","",_xlfn.XLOOKUP(F1992,purchase!D:D,purchase!#REF!,"")))</f>
        <v/>
      </c>
      <c r="L1992" s="2"/>
      <c r="M1992" s="32"/>
      <c r="N1992" s="13" t="str">
        <f>IF(F1992="","",
MAX(0,
_xlfn.XLOOKUP(F1992,purchase!D:D,purchase!#REF!,"")
-
SUMIFS(L:L,F:F,F1992)))</f>
        <v/>
      </c>
      <c r="O1992" s="13" t="str">
        <f t="shared" si="221"/>
        <v/>
      </c>
      <c r="P1992" s="35" t="str">
        <f>_xlfn.SINGLE(IF(F1992="","",_xlfn.XLOOKUP(F1992,purchase!D:D,purchase!K:K,"")))</f>
        <v/>
      </c>
      <c r="Q1992" s="29" t="str">
        <f t="shared" si="222"/>
        <v/>
      </c>
      <c r="R1992" s="37" t="str">
        <f t="shared" si="223"/>
        <v/>
      </c>
    </row>
    <row r="1993" spans="1:18" x14ac:dyDescent="0.35">
      <c r="A1993" s="8">
        <v>1989</v>
      </c>
      <c r="B1993" s="9" t="str">
        <f t="shared" si="217"/>
        <v/>
      </c>
      <c r="C1993" s="10"/>
      <c r="D1993" s="9" t="str">
        <f>IF(F1993="","",_xlfn.XLOOKUP(F1993,purchase!D:D,purchase!#REF!,""))</f>
        <v/>
      </c>
      <c r="E1993" s="9" t="str">
        <f>IF(F1993="","",_xlfn.XLOOKUP(F1993,purchase!D:D,purchase!B:B,""))</f>
        <v/>
      </c>
      <c r="F1993" s="2"/>
      <c r="G1993" s="4" t="str">
        <f t="shared" si="218"/>
        <v/>
      </c>
      <c r="H1993" s="4" t="str">
        <f>IF(F1993="","",_xlfn.XLOOKUP(F1993,purchase!D:D,purchase!#REF!,""))</f>
        <v/>
      </c>
      <c r="I1993" s="4" t="str">
        <f t="shared" si="219"/>
        <v/>
      </c>
      <c r="J1993" s="4" t="str">
        <f t="shared" si="220"/>
        <v/>
      </c>
      <c r="K1993" s="13" t="str">
        <f>_xlfn.SINGLE(IF(F1993="","",_xlfn.XLOOKUP(F1993,purchase!D:D,purchase!#REF!,"")))</f>
        <v/>
      </c>
      <c r="L1993" s="2"/>
      <c r="M1993" s="32"/>
      <c r="N1993" s="13" t="str">
        <f>IF(F1993="","",
MAX(0,
_xlfn.XLOOKUP(F1993,purchase!D:D,purchase!#REF!,"")
-
SUMIFS(L:L,F:F,F1993)))</f>
        <v/>
      </c>
      <c r="O1993" s="13" t="str">
        <f t="shared" si="221"/>
        <v/>
      </c>
      <c r="P1993" s="35" t="str">
        <f>_xlfn.SINGLE(IF(F1993="","",_xlfn.XLOOKUP(F1993,purchase!D:D,purchase!K:K,"")))</f>
        <v/>
      </c>
      <c r="Q1993" s="29" t="str">
        <f t="shared" si="222"/>
        <v/>
      </c>
      <c r="R1993" s="37" t="str">
        <f t="shared" si="223"/>
        <v/>
      </c>
    </row>
    <row r="1994" spans="1:18" x14ac:dyDescent="0.35">
      <c r="A1994" s="8">
        <v>1990</v>
      </c>
      <c r="B1994" s="9" t="str">
        <f t="shared" si="217"/>
        <v/>
      </c>
      <c r="C1994" s="10"/>
      <c r="D1994" s="9" t="str">
        <f>IF(F1994="","",_xlfn.XLOOKUP(F1994,purchase!D:D,purchase!#REF!,""))</f>
        <v/>
      </c>
      <c r="E1994" s="9" t="str">
        <f>IF(F1994="","",_xlfn.XLOOKUP(F1994,purchase!D:D,purchase!B:B,""))</f>
        <v/>
      </c>
      <c r="F1994" s="2"/>
      <c r="G1994" s="4" t="str">
        <f t="shared" si="218"/>
        <v/>
      </c>
      <c r="H1994" s="4" t="str">
        <f>IF(F1994="","",_xlfn.XLOOKUP(F1994,purchase!D:D,purchase!#REF!,""))</f>
        <v/>
      </c>
      <c r="I1994" s="4" t="str">
        <f t="shared" si="219"/>
        <v/>
      </c>
      <c r="J1994" s="4" t="str">
        <f t="shared" si="220"/>
        <v/>
      </c>
      <c r="K1994" s="13" t="str">
        <f>_xlfn.SINGLE(IF(F1994="","",_xlfn.XLOOKUP(F1994,purchase!D:D,purchase!#REF!,"")))</f>
        <v/>
      </c>
      <c r="L1994" s="2"/>
      <c r="M1994" s="32"/>
      <c r="N1994" s="13" t="str">
        <f>IF(F1994="","",
MAX(0,
_xlfn.XLOOKUP(F1994,purchase!D:D,purchase!#REF!,"")
-
SUMIFS(L:L,F:F,F1994)))</f>
        <v/>
      </c>
      <c r="O1994" s="13" t="str">
        <f t="shared" si="221"/>
        <v/>
      </c>
      <c r="P1994" s="35" t="str">
        <f>_xlfn.SINGLE(IF(F1994="","",_xlfn.XLOOKUP(F1994,purchase!D:D,purchase!K:K,"")))</f>
        <v/>
      </c>
      <c r="Q1994" s="29" t="str">
        <f t="shared" si="222"/>
        <v/>
      </c>
      <c r="R1994" s="37" t="str">
        <f t="shared" si="223"/>
        <v/>
      </c>
    </row>
    <row r="1995" spans="1:18" x14ac:dyDescent="0.35">
      <c r="A1995" s="8">
        <v>1991</v>
      </c>
      <c r="B1995" s="9" t="str">
        <f t="shared" si="217"/>
        <v/>
      </c>
      <c r="C1995" s="10"/>
      <c r="D1995" s="9" t="str">
        <f>IF(F1995="","",_xlfn.XLOOKUP(F1995,purchase!D:D,purchase!#REF!,""))</f>
        <v/>
      </c>
      <c r="E1995" s="9" t="str">
        <f>IF(F1995="","",_xlfn.XLOOKUP(F1995,purchase!D:D,purchase!B:B,""))</f>
        <v/>
      </c>
      <c r="F1995" s="2"/>
      <c r="G1995" s="4" t="str">
        <f t="shared" si="218"/>
        <v/>
      </c>
      <c r="H1995" s="4" t="str">
        <f>IF(F1995="","",_xlfn.XLOOKUP(F1995,purchase!D:D,purchase!#REF!,""))</f>
        <v/>
      </c>
      <c r="I1995" s="4" t="str">
        <f t="shared" si="219"/>
        <v/>
      </c>
      <c r="J1995" s="4" t="str">
        <f t="shared" si="220"/>
        <v/>
      </c>
      <c r="K1995" s="13" t="str">
        <f>_xlfn.SINGLE(IF(F1995="","",_xlfn.XLOOKUP(F1995,purchase!D:D,purchase!#REF!,"")))</f>
        <v/>
      </c>
      <c r="L1995" s="2"/>
      <c r="M1995" s="32"/>
      <c r="N1995" s="13" t="str">
        <f>IF(F1995="","",
MAX(0,
_xlfn.XLOOKUP(F1995,purchase!D:D,purchase!#REF!,"")
-
SUMIFS(L:L,F:F,F1995)))</f>
        <v/>
      </c>
      <c r="O1995" s="13" t="str">
        <f t="shared" si="221"/>
        <v/>
      </c>
      <c r="P1995" s="35" t="str">
        <f>_xlfn.SINGLE(IF(F1995="","",_xlfn.XLOOKUP(F1995,purchase!D:D,purchase!K:K,"")))</f>
        <v/>
      </c>
      <c r="Q1995" s="29" t="str">
        <f t="shared" si="222"/>
        <v/>
      </c>
      <c r="R1995" s="37" t="str">
        <f t="shared" si="223"/>
        <v/>
      </c>
    </row>
    <row r="1996" spans="1:18" x14ac:dyDescent="0.35">
      <c r="A1996" s="8">
        <v>1992</v>
      </c>
      <c r="B1996" s="9" t="str">
        <f t="shared" si="217"/>
        <v/>
      </c>
      <c r="C1996" s="10"/>
      <c r="D1996" s="9" t="str">
        <f>IF(F1996="","",_xlfn.XLOOKUP(F1996,purchase!D:D,purchase!#REF!,""))</f>
        <v/>
      </c>
      <c r="E1996" s="9" t="str">
        <f>IF(F1996="","",_xlfn.XLOOKUP(F1996,purchase!D:D,purchase!B:B,""))</f>
        <v/>
      </c>
      <c r="F1996" s="2"/>
      <c r="G1996" s="4" t="str">
        <f t="shared" si="218"/>
        <v/>
      </c>
      <c r="H1996" s="4" t="str">
        <f>IF(F1996="","",_xlfn.XLOOKUP(F1996,purchase!D:D,purchase!#REF!,""))</f>
        <v/>
      </c>
      <c r="I1996" s="4" t="str">
        <f t="shared" si="219"/>
        <v/>
      </c>
      <c r="J1996" s="4" t="str">
        <f t="shared" si="220"/>
        <v/>
      </c>
      <c r="K1996" s="13" t="str">
        <f>_xlfn.SINGLE(IF(F1996="","",_xlfn.XLOOKUP(F1996,purchase!D:D,purchase!#REF!,"")))</f>
        <v/>
      </c>
      <c r="L1996" s="2"/>
      <c r="M1996" s="32"/>
      <c r="N1996" s="13" t="str">
        <f>IF(F1996="","",
MAX(0,
_xlfn.XLOOKUP(F1996,purchase!D:D,purchase!#REF!,"")
-
SUMIFS(L:L,F:F,F1996)))</f>
        <v/>
      </c>
      <c r="O1996" s="13" t="str">
        <f t="shared" si="221"/>
        <v/>
      </c>
      <c r="P1996" s="35" t="str">
        <f>_xlfn.SINGLE(IF(F1996="","",_xlfn.XLOOKUP(F1996,purchase!D:D,purchase!K:K,"")))</f>
        <v/>
      </c>
      <c r="Q1996" s="29" t="str">
        <f t="shared" si="222"/>
        <v/>
      </c>
      <c r="R1996" s="37" t="str">
        <f t="shared" si="223"/>
        <v/>
      </c>
    </row>
    <row r="1997" spans="1:18" x14ac:dyDescent="0.35">
      <c r="A1997" s="8">
        <v>1993</v>
      </c>
      <c r="B1997" s="9" t="str">
        <f t="shared" si="217"/>
        <v/>
      </c>
      <c r="C1997" s="10"/>
      <c r="D1997" s="9" t="str">
        <f>IF(F1997="","",_xlfn.XLOOKUP(F1997,purchase!D:D,purchase!#REF!,""))</f>
        <v/>
      </c>
      <c r="E1997" s="9" t="str">
        <f>IF(F1997="","",_xlfn.XLOOKUP(F1997,purchase!D:D,purchase!B:B,""))</f>
        <v/>
      </c>
      <c r="F1997" s="2"/>
      <c r="G1997" s="4" t="str">
        <f t="shared" si="218"/>
        <v/>
      </c>
      <c r="H1997" s="4" t="str">
        <f>IF(F1997="","",_xlfn.XLOOKUP(F1997,purchase!D:D,purchase!#REF!,""))</f>
        <v/>
      </c>
      <c r="I1997" s="4" t="str">
        <f t="shared" si="219"/>
        <v/>
      </c>
      <c r="J1997" s="4" t="str">
        <f t="shared" si="220"/>
        <v/>
      </c>
      <c r="K1997" s="13" t="str">
        <f>_xlfn.SINGLE(IF(F1997="","",_xlfn.XLOOKUP(F1997,purchase!D:D,purchase!#REF!,"")))</f>
        <v/>
      </c>
      <c r="L1997" s="2"/>
      <c r="M1997" s="32"/>
      <c r="N1997" s="13" t="str">
        <f>IF(F1997="","",
MAX(0,
_xlfn.XLOOKUP(F1997,purchase!D:D,purchase!#REF!,"")
-
SUMIFS(L:L,F:F,F1997)))</f>
        <v/>
      </c>
      <c r="O1997" s="13" t="str">
        <f t="shared" si="221"/>
        <v/>
      </c>
      <c r="P1997" s="35" t="str">
        <f>_xlfn.SINGLE(IF(F1997="","",_xlfn.XLOOKUP(F1997,purchase!D:D,purchase!K:K,"")))</f>
        <v/>
      </c>
      <c r="Q1997" s="29" t="str">
        <f t="shared" si="222"/>
        <v/>
      </c>
      <c r="R1997" s="37" t="str">
        <f t="shared" si="223"/>
        <v/>
      </c>
    </row>
    <row r="1998" spans="1:18" x14ac:dyDescent="0.35">
      <c r="A1998" s="8">
        <v>1994</v>
      </c>
      <c r="B1998" s="9" t="str">
        <f t="shared" si="217"/>
        <v/>
      </c>
      <c r="C1998" s="10"/>
      <c r="D1998" s="9" t="str">
        <f>IF(F1998="","",_xlfn.XLOOKUP(F1998,purchase!D:D,purchase!#REF!,""))</f>
        <v/>
      </c>
      <c r="E1998" s="9" t="str">
        <f>IF(F1998="","",_xlfn.XLOOKUP(F1998,purchase!D:D,purchase!B:B,""))</f>
        <v/>
      </c>
      <c r="F1998" s="2"/>
      <c r="G1998" s="4" t="str">
        <f t="shared" si="218"/>
        <v/>
      </c>
      <c r="H1998" s="4" t="str">
        <f>IF(F1998="","",_xlfn.XLOOKUP(F1998,purchase!D:D,purchase!#REF!,""))</f>
        <v/>
      </c>
      <c r="I1998" s="4" t="str">
        <f t="shared" si="219"/>
        <v/>
      </c>
      <c r="J1998" s="4" t="str">
        <f t="shared" si="220"/>
        <v/>
      </c>
      <c r="K1998" s="13" t="str">
        <f>_xlfn.SINGLE(IF(F1998="","",_xlfn.XLOOKUP(F1998,purchase!D:D,purchase!#REF!,"")))</f>
        <v/>
      </c>
      <c r="L1998" s="2"/>
      <c r="M1998" s="32"/>
      <c r="N1998" s="13" t="str">
        <f>IF(F1998="","",
MAX(0,
_xlfn.XLOOKUP(F1998,purchase!D:D,purchase!#REF!,"")
-
SUMIFS(L:L,F:F,F1998)))</f>
        <v/>
      </c>
      <c r="O1998" s="13" t="str">
        <f t="shared" si="221"/>
        <v/>
      </c>
      <c r="P1998" s="35" t="str">
        <f>_xlfn.SINGLE(IF(F1998="","",_xlfn.XLOOKUP(F1998,purchase!D:D,purchase!K:K,"")))</f>
        <v/>
      </c>
      <c r="Q1998" s="29" t="str">
        <f t="shared" si="222"/>
        <v/>
      </c>
      <c r="R1998" s="37" t="str">
        <f t="shared" si="223"/>
        <v/>
      </c>
    </row>
    <row r="1999" spans="1:18" x14ac:dyDescent="0.35">
      <c r="A1999" s="8">
        <v>1995</v>
      </c>
      <c r="B1999" s="9" t="str">
        <f t="shared" si="217"/>
        <v/>
      </c>
      <c r="C1999" s="10"/>
      <c r="D1999" s="9" t="str">
        <f>IF(F1999="","",_xlfn.XLOOKUP(F1999,purchase!D:D,purchase!#REF!,""))</f>
        <v/>
      </c>
      <c r="E1999" s="9" t="str">
        <f>IF(F1999="","",_xlfn.XLOOKUP(F1999,purchase!D:D,purchase!B:B,""))</f>
        <v/>
      </c>
      <c r="F1999" s="2"/>
      <c r="G1999" s="4" t="str">
        <f t="shared" si="218"/>
        <v/>
      </c>
      <c r="H1999" s="4" t="str">
        <f>IF(F1999="","",_xlfn.XLOOKUP(F1999,purchase!D:D,purchase!#REF!,""))</f>
        <v/>
      </c>
      <c r="I1999" s="4" t="str">
        <f t="shared" si="219"/>
        <v/>
      </c>
      <c r="J1999" s="4" t="str">
        <f t="shared" si="220"/>
        <v/>
      </c>
      <c r="K1999" s="13" t="str">
        <f>_xlfn.SINGLE(IF(F1999="","",_xlfn.XLOOKUP(F1999,purchase!D:D,purchase!#REF!,"")))</f>
        <v/>
      </c>
      <c r="L1999" s="2"/>
      <c r="M1999" s="32"/>
      <c r="N1999" s="13" t="str">
        <f>IF(F1999="","",
MAX(0,
_xlfn.XLOOKUP(F1999,purchase!D:D,purchase!#REF!,"")
-
SUMIFS(L:L,F:F,F1999)))</f>
        <v/>
      </c>
      <c r="O1999" s="13" t="str">
        <f t="shared" si="221"/>
        <v/>
      </c>
      <c r="P1999" s="35" t="str">
        <f>_xlfn.SINGLE(IF(F1999="","",_xlfn.XLOOKUP(F1999,purchase!D:D,purchase!K:K,"")))</f>
        <v/>
      </c>
      <c r="Q1999" s="29" t="str">
        <f t="shared" si="222"/>
        <v/>
      </c>
      <c r="R1999" s="37" t="str">
        <f t="shared" si="223"/>
        <v/>
      </c>
    </row>
    <row r="2000" spans="1:18" x14ac:dyDescent="0.35">
      <c r="A2000" s="8">
        <v>1996</v>
      </c>
      <c r="B2000" s="9" t="str">
        <f t="shared" si="217"/>
        <v/>
      </c>
      <c r="C2000" s="10"/>
      <c r="D2000" s="9" t="str">
        <f>IF(F2000="","",_xlfn.XLOOKUP(F2000,purchase!D:D,purchase!#REF!,""))</f>
        <v/>
      </c>
      <c r="E2000" s="9" t="str">
        <f>IF(F2000="","",_xlfn.XLOOKUP(F2000,purchase!D:D,purchase!B:B,""))</f>
        <v/>
      </c>
      <c r="F2000" s="2"/>
      <c r="G2000" s="4" t="str">
        <f t="shared" si="218"/>
        <v/>
      </c>
      <c r="H2000" s="4" t="str">
        <f>IF(F2000="","",_xlfn.XLOOKUP(F2000,purchase!D:D,purchase!#REF!,""))</f>
        <v/>
      </c>
      <c r="I2000" s="4" t="str">
        <f t="shared" si="219"/>
        <v/>
      </c>
      <c r="J2000" s="4" t="str">
        <f t="shared" si="220"/>
        <v/>
      </c>
      <c r="K2000" s="13" t="str">
        <f>_xlfn.SINGLE(IF(F2000="","",_xlfn.XLOOKUP(F2000,purchase!D:D,purchase!#REF!,"")))</f>
        <v/>
      </c>
      <c r="L2000" s="2"/>
      <c r="M2000" s="32"/>
      <c r="N2000" s="13" t="str">
        <f>IF(F2000="","",
MAX(0,
_xlfn.XLOOKUP(F2000,purchase!D:D,purchase!#REF!,"")
-
SUMIFS(L:L,F:F,F2000)))</f>
        <v/>
      </c>
      <c r="O2000" s="13" t="str">
        <f t="shared" si="221"/>
        <v/>
      </c>
      <c r="P2000" s="35" t="str">
        <f>_xlfn.SINGLE(IF(F2000="","",_xlfn.XLOOKUP(F2000,purchase!D:D,purchase!K:K,"")))</f>
        <v/>
      </c>
      <c r="Q2000" s="29" t="str">
        <f t="shared" si="222"/>
        <v/>
      </c>
      <c r="R2000" s="37" t="str">
        <f t="shared" si="223"/>
        <v/>
      </c>
    </row>
    <row r="2001" spans="1:18" x14ac:dyDescent="0.35">
      <c r="A2001" s="8">
        <v>1997</v>
      </c>
      <c r="B2001" s="9" t="str">
        <f t="shared" si="217"/>
        <v/>
      </c>
      <c r="C2001" s="10"/>
      <c r="D2001" s="9" t="str">
        <f>IF(F2001="","",_xlfn.XLOOKUP(F2001,purchase!D:D,purchase!#REF!,""))</f>
        <v/>
      </c>
      <c r="E2001" s="9" t="str">
        <f>IF(F2001="","",_xlfn.XLOOKUP(F2001,purchase!D:D,purchase!B:B,""))</f>
        <v/>
      </c>
      <c r="F2001" s="2"/>
      <c r="G2001" s="4" t="str">
        <f t="shared" si="218"/>
        <v/>
      </c>
      <c r="H2001" s="4" t="str">
        <f>IF(F2001="","",_xlfn.XLOOKUP(F2001,purchase!D:D,purchase!#REF!,""))</f>
        <v/>
      </c>
      <c r="I2001" s="4" t="str">
        <f t="shared" si="219"/>
        <v/>
      </c>
      <c r="J2001" s="4" t="str">
        <f t="shared" si="220"/>
        <v/>
      </c>
      <c r="K2001" s="13" t="str">
        <f>_xlfn.SINGLE(IF(F2001="","",_xlfn.XLOOKUP(F2001,purchase!D:D,purchase!#REF!,"")))</f>
        <v/>
      </c>
      <c r="L2001" s="2"/>
      <c r="M2001" s="32"/>
      <c r="N2001" s="13" t="str">
        <f>IF(F2001="","",
MAX(0,
_xlfn.XLOOKUP(F2001,purchase!D:D,purchase!#REF!,"")
-
SUMIFS(L:L,F:F,F2001)))</f>
        <v/>
      </c>
      <c r="O2001" s="13" t="str">
        <f t="shared" si="221"/>
        <v/>
      </c>
      <c r="P2001" s="35" t="str">
        <f>_xlfn.SINGLE(IF(F2001="","",_xlfn.XLOOKUP(F2001,purchase!D:D,purchase!K:K,"")))</f>
        <v/>
      </c>
      <c r="Q2001" s="29" t="str">
        <f t="shared" si="222"/>
        <v/>
      </c>
      <c r="R2001" s="37" t="str">
        <f t="shared" si="223"/>
        <v/>
      </c>
    </row>
    <row r="2002" spans="1:18" x14ac:dyDescent="0.35">
      <c r="A2002" s="8">
        <v>1998</v>
      </c>
      <c r="B2002" s="9" t="str">
        <f t="shared" si="217"/>
        <v/>
      </c>
      <c r="C2002" s="10"/>
      <c r="D2002" s="9" t="str">
        <f>IF(F2002="","",_xlfn.XLOOKUP(F2002,purchase!D:D,purchase!#REF!,""))</f>
        <v/>
      </c>
      <c r="E2002" s="9" t="str">
        <f>IF(F2002="","",_xlfn.XLOOKUP(F2002,purchase!D:D,purchase!B:B,""))</f>
        <v/>
      </c>
      <c r="F2002" s="2"/>
      <c r="G2002" s="4" t="str">
        <f t="shared" si="218"/>
        <v/>
      </c>
      <c r="H2002" s="4" t="str">
        <f>IF(F2002="","",_xlfn.XLOOKUP(F2002,purchase!D:D,purchase!#REF!,""))</f>
        <v/>
      </c>
      <c r="I2002" s="4" t="str">
        <f t="shared" si="219"/>
        <v/>
      </c>
      <c r="J2002" s="4" t="str">
        <f t="shared" si="220"/>
        <v/>
      </c>
      <c r="K2002" s="13" t="str">
        <f>_xlfn.SINGLE(IF(F2002="","",_xlfn.XLOOKUP(F2002,purchase!D:D,purchase!#REF!,"")))</f>
        <v/>
      </c>
      <c r="L2002" s="2"/>
      <c r="M2002" s="32"/>
      <c r="N2002" s="13" t="str">
        <f>IF(F2002="","",
MAX(0,
_xlfn.XLOOKUP(F2002,purchase!D:D,purchase!#REF!,"")
-
SUMIFS(L:L,F:F,F2002)))</f>
        <v/>
      </c>
      <c r="O2002" s="13" t="str">
        <f t="shared" si="221"/>
        <v/>
      </c>
      <c r="P2002" s="35" t="str">
        <f>_xlfn.SINGLE(IF(F2002="","",_xlfn.XLOOKUP(F2002,purchase!D:D,purchase!K:K,"")))</f>
        <v/>
      </c>
      <c r="Q2002" s="29" t="str">
        <f t="shared" si="222"/>
        <v/>
      </c>
      <c r="R2002" s="37" t="str">
        <f t="shared" si="223"/>
        <v/>
      </c>
    </row>
    <row r="2003" spans="1:18" x14ac:dyDescent="0.35">
      <c r="A2003" s="8">
        <v>1999</v>
      </c>
      <c r="B2003" s="9" t="str">
        <f t="shared" si="217"/>
        <v/>
      </c>
      <c r="C2003" s="10"/>
      <c r="D2003" s="9" t="str">
        <f>IF(F2003="","",_xlfn.XLOOKUP(F2003,purchase!D:D,purchase!#REF!,""))</f>
        <v/>
      </c>
      <c r="E2003" s="9" t="str">
        <f>IF(F2003="","",_xlfn.XLOOKUP(F2003,purchase!D:D,purchase!B:B,""))</f>
        <v/>
      </c>
      <c r="F2003" s="2"/>
      <c r="G2003" s="4" t="str">
        <f t="shared" si="218"/>
        <v/>
      </c>
      <c r="H2003" s="4" t="str">
        <f>IF(F2003="","",_xlfn.XLOOKUP(F2003,purchase!D:D,purchase!#REF!,""))</f>
        <v/>
      </c>
      <c r="I2003" s="4" t="str">
        <f t="shared" si="219"/>
        <v/>
      </c>
      <c r="J2003" s="4" t="str">
        <f t="shared" si="220"/>
        <v/>
      </c>
      <c r="K2003" s="13" t="str">
        <f>_xlfn.SINGLE(IF(F2003="","",_xlfn.XLOOKUP(F2003,purchase!D:D,purchase!#REF!,"")))</f>
        <v/>
      </c>
      <c r="L2003" s="2"/>
      <c r="M2003" s="32"/>
      <c r="N2003" s="13" t="str">
        <f>IF(F2003="","",
MAX(0,
_xlfn.XLOOKUP(F2003,purchase!D:D,purchase!#REF!,"")
-
SUMIFS(L:L,F:F,F2003)))</f>
        <v/>
      </c>
      <c r="O2003" s="13" t="str">
        <f t="shared" si="221"/>
        <v/>
      </c>
      <c r="P2003" s="35" t="str">
        <f>_xlfn.SINGLE(IF(F2003="","",_xlfn.XLOOKUP(F2003,purchase!D:D,purchase!K:K,"")))</f>
        <v/>
      </c>
      <c r="Q2003" s="29" t="str">
        <f t="shared" si="222"/>
        <v/>
      </c>
      <c r="R2003" s="37" t="str">
        <f t="shared" si="223"/>
        <v/>
      </c>
    </row>
    <row r="2004" spans="1:18" x14ac:dyDescent="0.35">
      <c r="A2004" s="8">
        <v>2000</v>
      </c>
      <c r="B2004" s="9" t="str">
        <f t="shared" si="217"/>
        <v/>
      </c>
      <c r="C2004" s="10"/>
      <c r="D2004" s="9" t="str">
        <f>IF(F2004="","",_xlfn.XLOOKUP(F2004,purchase!D:D,purchase!#REF!,""))</f>
        <v/>
      </c>
      <c r="E2004" s="9" t="str">
        <f>IF(F2004="","",_xlfn.XLOOKUP(F2004,purchase!D:D,purchase!B:B,""))</f>
        <v/>
      </c>
      <c r="F2004" s="2"/>
      <c r="G2004" s="4" t="str">
        <f t="shared" si="218"/>
        <v/>
      </c>
      <c r="H2004" s="4" t="str">
        <f>IF(F2004="","",_xlfn.XLOOKUP(F2004,purchase!D:D,purchase!#REF!,""))</f>
        <v/>
      </c>
      <c r="I2004" s="4" t="str">
        <f t="shared" si="219"/>
        <v/>
      </c>
      <c r="J2004" s="4" t="str">
        <f t="shared" si="220"/>
        <v/>
      </c>
      <c r="K2004" s="13" t="str">
        <f>_xlfn.SINGLE(IF(F2004="","",_xlfn.XLOOKUP(F2004,purchase!D:D,purchase!#REF!,"")))</f>
        <v/>
      </c>
      <c r="L2004" s="2"/>
      <c r="M2004" s="32"/>
      <c r="N2004" s="13" t="str">
        <f>IF(F2004="","",
MAX(0,
_xlfn.XLOOKUP(F2004,purchase!D:D,purchase!#REF!,"")
-
SUMIFS(L:L,F:F,F2004)))</f>
        <v/>
      </c>
      <c r="O2004" s="13" t="str">
        <f t="shared" si="221"/>
        <v/>
      </c>
      <c r="P2004" s="35" t="str">
        <f>_xlfn.SINGLE(IF(F2004="","",_xlfn.XLOOKUP(F2004,purchase!D:D,purchase!K:K,"")))</f>
        <v/>
      </c>
      <c r="Q2004" s="29" t="str">
        <f t="shared" si="222"/>
        <v/>
      </c>
      <c r="R2004" s="37" t="str">
        <f t="shared" si="223"/>
        <v/>
      </c>
    </row>
    <row r="2005" spans="1:18" x14ac:dyDescent="0.35">
      <c r="A2005" s="8">
        <v>2001</v>
      </c>
      <c r="B2005" s="9" t="str">
        <f t="shared" si="217"/>
        <v/>
      </c>
      <c r="C2005" s="10"/>
      <c r="D2005" s="9" t="str">
        <f>IF(F2005="","",_xlfn.XLOOKUP(F2005,purchase!D:D,purchase!#REF!,""))</f>
        <v/>
      </c>
      <c r="E2005" s="9" t="str">
        <f>IF(F2005="","",_xlfn.XLOOKUP(F2005,purchase!D:D,purchase!B:B,""))</f>
        <v/>
      </c>
      <c r="F2005" s="2"/>
      <c r="G2005" s="4" t="str">
        <f t="shared" si="218"/>
        <v/>
      </c>
      <c r="H2005" s="4" t="str">
        <f>IF(F2005="","",_xlfn.XLOOKUP(F2005,purchase!D:D,purchase!#REF!,""))</f>
        <v/>
      </c>
      <c r="I2005" s="4" t="str">
        <f t="shared" si="219"/>
        <v/>
      </c>
      <c r="J2005" s="4" t="str">
        <f t="shared" si="220"/>
        <v/>
      </c>
      <c r="K2005" s="13" t="str">
        <f>_xlfn.SINGLE(IF(F2005="","",_xlfn.XLOOKUP(F2005,purchase!D:D,purchase!#REF!,"")))</f>
        <v/>
      </c>
      <c r="L2005" s="2"/>
      <c r="M2005" s="32"/>
      <c r="N2005" s="13" t="str">
        <f>IF(F2005="","",
MAX(0,
_xlfn.XLOOKUP(F2005,purchase!D:D,purchase!#REF!,"")
-
SUMIFS(L:L,F:F,F2005)))</f>
        <v/>
      </c>
      <c r="O2005" s="13" t="str">
        <f t="shared" si="221"/>
        <v/>
      </c>
      <c r="P2005" s="35" t="str">
        <f>_xlfn.SINGLE(IF(F2005="","",_xlfn.XLOOKUP(F2005,purchase!D:D,purchase!K:K,"")))</f>
        <v/>
      </c>
      <c r="Q2005" s="29" t="str">
        <f t="shared" si="222"/>
        <v/>
      </c>
      <c r="R2005" s="37" t="str">
        <f t="shared" si="223"/>
        <v/>
      </c>
    </row>
    <row r="2006" spans="1:18" x14ac:dyDescent="0.35">
      <c r="A2006" s="8">
        <v>2002</v>
      </c>
      <c r="B2006" s="9" t="str">
        <f t="shared" si="217"/>
        <v/>
      </c>
      <c r="C2006" s="10"/>
      <c r="D2006" s="9" t="str">
        <f>IF(F2006="","",_xlfn.XLOOKUP(F2006,purchase!D:D,purchase!#REF!,""))</f>
        <v/>
      </c>
      <c r="E2006" s="9" t="str">
        <f>IF(F2006="","",_xlfn.XLOOKUP(F2006,purchase!D:D,purchase!B:B,""))</f>
        <v/>
      </c>
      <c r="F2006" s="2"/>
      <c r="G2006" s="4" t="str">
        <f t="shared" si="218"/>
        <v/>
      </c>
      <c r="H2006" s="4" t="str">
        <f>IF(F2006="","",_xlfn.XLOOKUP(F2006,purchase!D:D,purchase!#REF!,""))</f>
        <v/>
      </c>
      <c r="I2006" s="4" t="str">
        <f t="shared" si="219"/>
        <v/>
      </c>
      <c r="J2006" s="4" t="str">
        <f t="shared" si="220"/>
        <v/>
      </c>
      <c r="K2006" s="13" t="str">
        <f>_xlfn.SINGLE(IF(F2006="","",_xlfn.XLOOKUP(F2006,purchase!D:D,purchase!#REF!,"")))</f>
        <v/>
      </c>
      <c r="L2006" s="2"/>
      <c r="M2006" s="32"/>
      <c r="N2006" s="13" t="str">
        <f>IF(F2006="","",
MAX(0,
_xlfn.XLOOKUP(F2006,purchase!D:D,purchase!#REF!,"")
-
SUMIFS(L:L,F:F,F2006)))</f>
        <v/>
      </c>
      <c r="O2006" s="13" t="str">
        <f t="shared" si="221"/>
        <v/>
      </c>
      <c r="P2006" s="35" t="str">
        <f>_xlfn.SINGLE(IF(F2006="","",_xlfn.XLOOKUP(F2006,purchase!D:D,purchase!K:K,"")))</f>
        <v/>
      </c>
      <c r="Q2006" s="29" t="str">
        <f t="shared" si="222"/>
        <v/>
      </c>
      <c r="R2006" s="37" t="str">
        <f t="shared" si="223"/>
        <v/>
      </c>
    </row>
    <row r="2007" spans="1:18" x14ac:dyDescent="0.35">
      <c r="A2007" s="8">
        <v>2003</v>
      </c>
      <c r="B2007" s="9" t="str">
        <f t="shared" si="217"/>
        <v/>
      </c>
      <c r="C2007" s="10"/>
      <c r="D2007" s="9" t="str">
        <f>IF(F2007="","",_xlfn.XLOOKUP(F2007,purchase!D:D,purchase!#REF!,""))</f>
        <v/>
      </c>
      <c r="E2007" s="9" t="str">
        <f>IF(F2007="","",_xlfn.XLOOKUP(F2007,purchase!D:D,purchase!B:B,""))</f>
        <v/>
      </c>
      <c r="F2007" s="2"/>
      <c r="G2007" s="4" t="str">
        <f t="shared" si="218"/>
        <v/>
      </c>
      <c r="H2007" s="4" t="str">
        <f>IF(F2007="","",_xlfn.XLOOKUP(F2007,purchase!D:D,purchase!#REF!,""))</f>
        <v/>
      </c>
      <c r="I2007" s="4" t="str">
        <f t="shared" si="219"/>
        <v/>
      </c>
      <c r="J2007" s="4" t="str">
        <f t="shared" si="220"/>
        <v/>
      </c>
      <c r="K2007" s="13" t="str">
        <f>_xlfn.SINGLE(IF(F2007="","",_xlfn.XLOOKUP(F2007,purchase!D:D,purchase!#REF!,"")))</f>
        <v/>
      </c>
      <c r="L2007" s="2"/>
      <c r="M2007" s="32"/>
      <c r="N2007" s="13" t="str">
        <f>IF(F2007="","",
MAX(0,
_xlfn.XLOOKUP(F2007,purchase!D:D,purchase!#REF!,"")
-
SUMIFS(L:L,F:F,F2007)))</f>
        <v/>
      </c>
      <c r="O2007" s="13" t="str">
        <f t="shared" si="221"/>
        <v/>
      </c>
      <c r="P2007" s="35" t="str">
        <f>_xlfn.SINGLE(IF(F2007="","",_xlfn.XLOOKUP(F2007,purchase!D:D,purchase!K:K,"")))</f>
        <v/>
      </c>
      <c r="Q2007" s="29" t="str">
        <f t="shared" si="222"/>
        <v/>
      </c>
      <c r="R2007" s="37" t="str">
        <f t="shared" si="223"/>
        <v/>
      </c>
    </row>
    <row r="2008" spans="1:18" x14ac:dyDescent="0.35">
      <c r="A2008" s="8">
        <v>2004</v>
      </c>
      <c r="B2008" s="9" t="str">
        <f t="shared" si="217"/>
        <v/>
      </c>
      <c r="C2008" s="10"/>
      <c r="D2008" s="9" t="str">
        <f>IF(F2008="","",_xlfn.XLOOKUP(F2008,purchase!D:D,purchase!#REF!,""))</f>
        <v/>
      </c>
      <c r="E2008" s="9" t="str">
        <f>IF(F2008="","",_xlfn.XLOOKUP(F2008,purchase!D:D,purchase!B:B,""))</f>
        <v/>
      </c>
      <c r="F2008" s="2"/>
      <c r="G2008" s="4" t="str">
        <f t="shared" si="218"/>
        <v/>
      </c>
      <c r="H2008" s="4" t="str">
        <f>IF(F2008="","",_xlfn.XLOOKUP(F2008,purchase!D:D,purchase!#REF!,""))</f>
        <v/>
      </c>
      <c r="I2008" s="4" t="str">
        <f t="shared" si="219"/>
        <v/>
      </c>
      <c r="J2008" s="4" t="str">
        <f t="shared" si="220"/>
        <v/>
      </c>
      <c r="K2008" s="13" t="str">
        <f>_xlfn.SINGLE(IF(F2008="","",_xlfn.XLOOKUP(F2008,purchase!D:D,purchase!#REF!,"")))</f>
        <v/>
      </c>
      <c r="L2008" s="2"/>
      <c r="M2008" s="32"/>
      <c r="N2008" s="13" t="str">
        <f>IF(F2008="","",
MAX(0,
_xlfn.XLOOKUP(F2008,purchase!D:D,purchase!#REF!,"")
-
SUMIFS(L:L,F:F,F2008)))</f>
        <v/>
      </c>
      <c r="O2008" s="13" t="str">
        <f t="shared" si="221"/>
        <v/>
      </c>
      <c r="P2008" s="35" t="str">
        <f>_xlfn.SINGLE(IF(F2008="","",_xlfn.XLOOKUP(F2008,purchase!D:D,purchase!K:K,"")))</f>
        <v/>
      </c>
      <c r="Q2008" s="29" t="str">
        <f t="shared" si="222"/>
        <v/>
      </c>
      <c r="R2008" s="37" t="str">
        <f t="shared" si="223"/>
        <v/>
      </c>
    </row>
    <row r="2009" spans="1:18" x14ac:dyDescent="0.35">
      <c r="A2009" s="8">
        <v>2005</v>
      </c>
      <c r="B2009" s="9" t="str">
        <f t="shared" si="217"/>
        <v/>
      </c>
      <c r="C2009" s="10"/>
      <c r="D2009" s="9" t="str">
        <f>IF(F2009="","",_xlfn.XLOOKUP(F2009,purchase!D:D,purchase!#REF!,""))</f>
        <v/>
      </c>
      <c r="E2009" s="9" t="str">
        <f>IF(F2009="","",_xlfn.XLOOKUP(F2009,purchase!D:D,purchase!B:B,""))</f>
        <v/>
      </c>
      <c r="F2009" s="2"/>
      <c r="G2009" s="4" t="str">
        <f t="shared" si="218"/>
        <v/>
      </c>
      <c r="H2009" s="4" t="str">
        <f>IF(F2009="","",_xlfn.XLOOKUP(F2009,purchase!D:D,purchase!#REF!,""))</f>
        <v/>
      </c>
      <c r="I2009" s="4" t="str">
        <f t="shared" si="219"/>
        <v/>
      </c>
      <c r="J2009" s="4" t="str">
        <f t="shared" si="220"/>
        <v/>
      </c>
      <c r="K2009" s="13" t="str">
        <f>_xlfn.SINGLE(IF(F2009="","",_xlfn.XLOOKUP(F2009,purchase!D:D,purchase!#REF!,"")))</f>
        <v/>
      </c>
      <c r="L2009" s="2"/>
      <c r="M2009" s="32"/>
      <c r="N2009" s="13" t="str">
        <f>IF(F2009="","",
MAX(0,
_xlfn.XLOOKUP(F2009,purchase!D:D,purchase!#REF!,"")
-
SUMIFS(L:L,F:F,F2009)))</f>
        <v/>
      </c>
      <c r="O2009" s="13" t="str">
        <f t="shared" si="221"/>
        <v/>
      </c>
      <c r="P2009" s="35" t="str">
        <f>_xlfn.SINGLE(IF(F2009="","",_xlfn.XLOOKUP(F2009,purchase!D:D,purchase!K:K,"")))</f>
        <v/>
      </c>
      <c r="Q2009" s="29" t="str">
        <f t="shared" si="222"/>
        <v/>
      </c>
      <c r="R2009" s="37" t="str">
        <f t="shared" si="223"/>
        <v/>
      </c>
    </row>
    <row r="2010" spans="1:18" x14ac:dyDescent="0.35">
      <c r="A2010" s="8">
        <v>2006</v>
      </c>
      <c r="B2010" s="9" t="str">
        <f t="shared" si="217"/>
        <v/>
      </c>
      <c r="C2010" s="10"/>
      <c r="D2010" s="9" t="str">
        <f>IF(F2010="","",_xlfn.XLOOKUP(F2010,purchase!D:D,purchase!#REF!,""))</f>
        <v/>
      </c>
      <c r="E2010" s="9" t="str">
        <f>IF(F2010="","",_xlfn.XLOOKUP(F2010,purchase!D:D,purchase!B:B,""))</f>
        <v/>
      </c>
      <c r="F2010" s="2"/>
      <c r="G2010" s="4" t="str">
        <f t="shared" si="218"/>
        <v/>
      </c>
      <c r="H2010" s="4" t="str">
        <f>IF(F2010="","",_xlfn.XLOOKUP(F2010,purchase!D:D,purchase!#REF!,""))</f>
        <v/>
      </c>
      <c r="I2010" s="4" t="str">
        <f t="shared" si="219"/>
        <v/>
      </c>
      <c r="J2010" s="4" t="str">
        <f t="shared" si="220"/>
        <v/>
      </c>
      <c r="K2010" s="13" t="str">
        <f>_xlfn.SINGLE(IF(F2010="","",_xlfn.XLOOKUP(F2010,purchase!D:D,purchase!#REF!,"")))</f>
        <v/>
      </c>
      <c r="L2010" s="2"/>
      <c r="M2010" s="32"/>
      <c r="N2010" s="13" t="str">
        <f>IF(F2010="","",
MAX(0,
_xlfn.XLOOKUP(F2010,purchase!D:D,purchase!#REF!,"")
-
SUMIFS(L:L,F:F,F2010)))</f>
        <v/>
      </c>
      <c r="O2010" s="13" t="str">
        <f t="shared" si="221"/>
        <v/>
      </c>
      <c r="P2010" s="35" t="str">
        <f>_xlfn.SINGLE(IF(F2010="","",_xlfn.XLOOKUP(F2010,purchase!D:D,purchase!K:K,"")))</f>
        <v/>
      </c>
      <c r="Q2010" s="29" t="str">
        <f t="shared" si="222"/>
        <v/>
      </c>
      <c r="R2010" s="37" t="str">
        <f t="shared" si="223"/>
        <v/>
      </c>
    </row>
    <row r="2011" spans="1:18" x14ac:dyDescent="0.35">
      <c r="A2011" s="8">
        <v>2007</v>
      </c>
      <c r="B2011" s="9" t="str">
        <f t="shared" si="217"/>
        <v/>
      </c>
      <c r="C2011" s="10"/>
      <c r="D2011" s="9" t="str">
        <f>IF(F2011="","",_xlfn.XLOOKUP(F2011,purchase!D:D,purchase!#REF!,""))</f>
        <v/>
      </c>
      <c r="E2011" s="9" t="str">
        <f>IF(F2011="","",_xlfn.XLOOKUP(F2011,purchase!D:D,purchase!B:B,""))</f>
        <v/>
      </c>
      <c r="F2011" s="2"/>
      <c r="G2011" s="4" t="str">
        <f t="shared" si="218"/>
        <v/>
      </c>
      <c r="H2011" s="4" t="str">
        <f>IF(F2011="","",_xlfn.XLOOKUP(F2011,purchase!D:D,purchase!#REF!,""))</f>
        <v/>
      </c>
      <c r="I2011" s="4" t="str">
        <f t="shared" si="219"/>
        <v/>
      </c>
      <c r="J2011" s="4" t="str">
        <f t="shared" si="220"/>
        <v/>
      </c>
      <c r="K2011" s="13" t="str">
        <f>_xlfn.SINGLE(IF(F2011="","",_xlfn.XLOOKUP(F2011,purchase!D:D,purchase!#REF!,"")))</f>
        <v/>
      </c>
      <c r="L2011" s="2"/>
      <c r="M2011" s="32"/>
      <c r="N2011" s="13" t="str">
        <f>IF(F2011="","",
MAX(0,
_xlfn.XLOOKUP(F2011,purchase!D:D,purchase!#REF!,"")
-
SUMIFS(L:L,F:F,F2011)))</f>
        <v/>
      </c>
      <c r="O2011" s="13" t="str">
        <f t="shared" si="221"/>
        <v/>
      </c>
      <c r="P2011" s="35" t="str">
        <f>_xlfn.SINGLE(IF(F2011="","",_xlfn.XLOOKUP(F2011,purchase!D:D,purchase!K:K,"")))</f>
        <v/>
      </c>
      <c r="Q2011" s="29" t="str">
        <f t="shared" si="222"/>
        <v/>
      </c>
      <c r="R2011" s="37" t="str">
        <f t="shared" si="223"/>
        <v/>
      </c>
    </row>
    <row r="2012" spans="1:18" x14ac:dyDescent="0.35">
      <c r="A2012" s="8">
        <v>2008</v>
      </c>
      <c r="B2012" s="9" t="str">
        <f t="shared" si="217"/>
        <v/>
      </c>
      <c r="C2012" s="10"/>
      <c r="D2012" s="9" t="str">
        <f>IF(F2012="","",_xlfn.XLOOKUP(F2012,purchase!D:D,purchase!#REF!,""))</f>
        <v/>
      </c>
      <c r="E2012" s="9" t="str">
        <f>IF(F2012="","",_xlfn.XLOOKUP(F2012,purchase!D:D,purchase!B:B,""))</f>
        <v/>
      </c>
      <c r="F2012" s="2"/>
      <c r="G2012" s="4" t="str">
        <f t="shared" si="218"/>
        <v/>
      </c>
      <c r="H2012" s="4" t="str">
        <f>IF(F2012="","",_xlfn.XLOOKUP(F2012,purchase!D:D,purchase!#REF!,""))</f>
        <v/>
      </c>
      <c r="I2012" s="4" t="str">
        <f t="shared" si="219"/>
        <v/>
      </c>
      <c r="J2012" s="4" t="str">
        <f t="shared" si="220"/>
        <v/>
      </c>
      <c r="K2012" s="13" t="str">
        <f>_xlfn.SINGLE(IF(F2012="","",_xlfn.XLOOKUP(F2012,purchase!D:D,purchase!#REF!,"")))</f>
        <v/>
      </c>
      <c r="L2012" s="2"/>
      <c r="M2012" s="32"/>
      <c r="N2012" s="13" t="str">
        <f>IF(F2012="","",
MAX(0,
_xlfn.XLOOKUP(F2012,purchase!D:D,purchase!#REF!,"")
-
SUMIFS(L:L,F:F,F2012)))</f>
        <v/>
      </c>
      <c r="O2012" s="13" t="str">
        <f t="shared" si="221"/>
        <v/>
      </c>
      <c r="P2012" s="35" t="str">
        <f>_xlfn.SINGLE(IF(F2012="","",_xlfn.XLOOKUP(F2012,purchase!D:D,purchase!K:K,"")))</f>
        <v/>
      </c>
      <c r="Q2012" s="29" t="str">
        <f t="shared" si="222"/>
        <v/>
      </c>
      <c r="R2012" s="37" t="str">
        <f t="shared" si="223"/>
        <v/>
      </c>
    </row>
    <row r="2013" spans="1:18" x14ac:dyDescent="0.35">
      <c r="A2013" s="8">
        <v>2009</v>
      </c>
      <c r="B2013" s="9" t="str">
        <f t="shared" si="217"/>
        <v/>
      </c>
      <c r="C2013" s="10"/>
      <c r="D2013" s="9" t="str">
        <f>IF(F2013="","",_xlfn.XLOOKUP(F2013,purchase!D:D,purchase!#REF!,""))</f>
        <v/>
      </c>
      <c r="E2013" s="9" t="str">
        <f>IF(F2013="","",_xlfn.XLOOKUP(F2013,purchase!D:D,purchase!B:B,""))</f>
        <v/>
      </c>
      <c r="F2013" s="2"/>
      <c r="G2013" s="4" t="str">
        <f t="shared" si="218"/>
        <v/>
      </c>
      <c r="H2013" s="4" t="str">
        <f>IF(F2013="","",_xlfn.XLOOKUP(F2013,purchase!D:D,purchase!#REF!,""))</f>
        <v/>
      </c>
      <c r="I2013" s="4" t="str">
        <f t="shared" si="219"/>
        <v/>
      </c>
      <c r="J2013" s="4" t="str">
        <f t="shared" si="220"/>
        <v/>
      </c>
      <c r="K2013" s="13" t="str">
        <f>_xlfn.SINGLE(IF(F2013="","",_xlfn.XLOOKUP(F2013,purchase!D:D,purchase!#REF!,"")))</f>
        <v/>
      </c>
      <c r="L2013" s="2"/>
      <c r="M2013" s="32"/>
      <c r="N2013" s="13" t="str">
        <f>IF(F2013="","",
MAX(0,
_xlfn.XLOOKUP(F2013,purchase!D:D,purchase!#REF!,"")
-
SUMIFS(L:L,F:F,F2013)))</f>
        <v/>
      </c>
      <c r="O2013" s="13" t="str">
        <f t="shared" si="221"/>
        <v/>
      </c>
      <c r="P2013" s="35" t="str">
        <f>_xlfn.SINGLE(IF(F2013="","",_xlfn.XLOOKUP(F2013,purchase!D:D,purchase!K:K,"")))</f>
        <v/>
      </c>
      <c r="Q2013" s="29" t="str">
        <f t="shared" si="222"/>
        <v/>
      </c>
      <c r="R2013" s="37" t="str">
        <f t="shared" si="223"/>
        <v/>
      </c>
    </row>
    <row r="2014" spans="1:18" x14ac:dyDescent="0.35">
      <c r="A2014" s="8">
        <v>2010</v>
      </c>
      <c r="B2014" s="9" t="str">
        <f t="shared" si="217"/>
        <v/>
      </c>
      <c r="C2014" s="10"/>
      <c r="D2014" s="9" t="str">
        <f>IF(F2014="","",_xlfn.XLOOKUP(F2014,purchase!D:D,purchase!#REF!,""))</f>
        <v/>
      </c>
      <c r="E2014" s="9" t="str">
        <f>IF(F2014="","",_xlfn.XLOOKUP(F2014,purchase!D:D,purchase!B:B,""))</f>
        <v/>
      </c>
      <c r="F2014" s="2"/>
      <c r="G2014" s="4" t="str">
        <f t="shared" si="218"/>
        <v/>
      </c>
      <c r="H2014" s="4" t="str">
        <f>IF(F2014="","",_xlfn.XLOOKUP(F2014,purchase!D:D,purchase!#REF!,""))</f>
        <v/>
      </c>
      <c r="I2014" s="4" t="str">
        <f t="shared" si="219"/>
        <v/>
      </c>
      <c r="J2014" s="4" t="str">
        <f t="shared" si="220"/>
        <v/>
      </c>
      <c r="K2014" s="13" t="str">
        <f>_xlfn.SINGLE(IF(F2014="","",_xlfn.XLOOKUP(F2014,purchase!D:D,purchase!#REF!,"")))</f>
        <v/>
      </c>
      <c r="L2014" s="2"/>
      <c r="M2014" s="32"/>
      <c r="N2014" s="13" t="str">
        <f>IF(F2014="","",
MAX(0,
_xlfn.XLOOKUP(F2014,purchase!D:D,purchase!#REF!,"")
-
SUMIFS(L:L,F:F,F2014)))</f>
        <v/>
      </c>
      <c r="O2014" s="13" t="str">
        <f t="shared" si="221"/>
        <v/>
      </c>
      <c r="P2014" s="35" t="str">
        <f>_xlfn.SINGLE(IF(F2014="","",_xlfn.XLOOKUP(F2014,purchase!D:D,purchase!K:K,"")))</f>
        <v/>
      </c>
      <c r="Q2014" s="29" t="str">
        <f t="shared" si="222"/>
        <v/>
      </c>
      <c r="R2014" s="37" t="str">
        <f t="shared" si="223"/>
        <v/>
      </c>
    </row>
    <row r="2015" spans="1:18" x14ac:dyDescent="0.35">
      <c r="A2015" s="8">
        <v>2011</v>
      </c>
      <c r="B2015" s="9" t="str">
        <f t="shared" si="217"/>
        <v/>
      </c>
      <c r="C2015" s="10"/>
      <c r="D2015" s="9" t="str">
        <f>IF(F2015="","",_xlfn.XLOOKUP(F2015,purchase!D:D,purchase!#REF!,""))</f>
        <v/>
      </c>
      <c r="E2015" s="9" t="str">
        <f>IF(F2015="","",_xlfn.XLOOKUP(F2015,purchase!D:D,purchase!B:B,""))</f>
        <v/>
      </c>
      <c r="F2015" s="2"/>
      <c r="G2015" s="4" t="str">
        <f t="shared" si="218"/>
        <v/>
      </c>
      <c r="H2015" s="4" t="str">
        <f>IF(F2015="","",_xlfn.XLOOKUP(F2015,purchase!D:D,purchase!#REF!,""))</f>
        <v/>
      </c>
      <c r="I2015" s="4" t="str">
        <f t="shared" si="219"/>
        <v/>
      </c>
      <c r="J2015" s="4" t="str">
        <f t="shared" si="220"/>
        <v/>
      </c>
      <c r="K2015" s="13" t="str">
        <f>_xlfn.SINGLE(IF(F2015="","",_xlfn.XLOOKUP(F2015,purchase!D:D,purchase!#REF!,"")))</f>
        <v/>
      </c>
      <c r="L2015" s="2"/>
      <c r="M2015" s="32"/>
      <c r="N2015" s="13" t="str">
        <f>IF(F2015="","",
MAX(0,
_xlfn.XLOOKUP(F2015,purchase!D:D,purchase!#REF!,"")
-
SUMIFS(L:L,F:F,F2015)))</f>
        <v/>
      </c>
      <c r="O2015" s="13" t="str">
        <f t="shared" si="221"/>
        <v/>
      </c>
      <c r="P2015" s="35" t="str">
        <f>_xlfn.SINGLE(IF(F2015="","",_xlfn.XLOOKUP(F2015,purchase!D:D,purchase!K:K,"")))</f>
        <v/>
      </c>
      <c r="Q2015" s="29" t="str">
        <f t="shared" si="222"/>
        <v/>
      </c>
      <c r="R2015" s="37" t="str">
        <f t="shared" si="223"/>
        <v/>
      </c>
    </row>
    <row r="2016" spans="1:18" x14ac:dyDescent="0.35">
      <c r="A2016" s="8">
        <v>2012</v>
      </c>
      <c r="B2016" s="9" t="str">
        <f t="shared" si="217"/>
        <v/>
      </c>
      <c r="C2016" s="10"/>
      <c r="D2016" s="9" t="str">
        <f>IF(F2016="","",_xlfn.XLOOKUP(F2016,purchase!D:D,purchase!#REF!,""))</f>
        <v/>
      </c>
      <c r="E2016" s="9" t="str">
        <f>IF(F2016="","",_xlfn.XLOOKUP(F2016,purchase!D:D,purchase!B:B,""))</f>
        <v/>
      </c>
      <c r="F2016" s="2"/>
      <c r="G2016" s="4" t="str">
        <f t="shared" si="218"/>
        <v/>
      </c>
      <c r="H2016" s="4" t="str">
        <f>IF(F2016="","",_xlfn.XLOOKUP(F2016,purchase!D:D,purchase!#REF!,""))</f>
        <v/>
      </c>
      <c r="I2016" s="4" t="str">
        <f t="shared" si="219"/>
        <v/>
      </c>
      <c r="J2016" s="4" t="str">
        <f t="shared" si="220"/>
        <v/>
      </c>
      <c r="K2016" s="13" t="str">
        <f>_xlfn.SINGLE(IF(F2016="","",_xlfn.XLOOKUP(F2016,purchase!D:D,purchase!#REF!,"")))</f>
        <v/>
      </c>
      <c r="L2016" s="2"/>
      <c r="M2016" s="32"/>
      <c r="N2016" s="13" t="str">
        <f>IF(F2016="","",
MAX(0,
_xlfn.XLOOKUP(F2016,purchase!D:D,purchase!#REF!,"")
-
SUMIFS(L:L,F:F,F2016)))</f>
        <v/>
      </c>
      <c r="O2016" s="13" t="str">
        <f t="shared" si="221"/>
        <v/>
      </c>
      <c r="P2016" s="35" t="str">
        <f>_xlfn.SINGLE(IF(F2016="","",_xlfn.XLOOKUP(F2016,purchase!D:D,purchase!K:K,"")))</f>
        <v/>
      </c>
      <c r="Q2016" s="29" t="str">
        <f t="shared" si="222"/>
        <v/>
      </c>
      <c r="R2016" s="37" t="str">
        <f t="shared" si="223"/>
        <v/>
      </c>
    </row>
    <row r="2017" spans="1:18" x14ac:dyDescent="0.35">
      <c r="A2017" s="8">
        <v>2013</v>
      </c>
      <c r="B2017" s="9" t="str">
        <f t="shared" si="217"/>
        <v/>
      </c>
      <c r="C2017" s="10"/>
      <c r="D2017" s="9" t="str">
        <f>IF(F2017="","",_xlfn.XLOOKUP(F2017,purchase!D:D,purchase!#REF!,""))</f>
        <v/>
      </c>
      <c r="E2017" s="9" t="str">
        <f>IF(F2017="","",_xlfn.XLOOKUP(F2017,purchase!D:D,purchase!B:B,""))</f>
        <v/>
      </c>
      <c r="F2017" s="2"/>
      <c r="G2017" s="4" t="str">
        <f t="shared" si="218"/>
        <v/>
      </c>
      <c r="H2017" s="4" t="str">
        <f>IF(F2017="","",_xlfn.XLOOKUP(F2017,purchase!D:D,purchase!#REF!,""))</f>
        <v/>
      </c>
      <c r="I2017" s="4" t="str">
        <f t="shared" si="219"/>
        <v/>
      </c>
      <c r="J2017" s="4" t="str">
        <f t="shared" si="220"/>
        <v/>
      </c>
      <c r="K2017" s="13" t="str">
        <f>_xlfn.SINGLE(IF(F2017="","",_xlfn.XLOOKUP(F2017,purchase!D:D,purchase!#REF!,"")))</f>
        <v/>
      </c>
      <c r="L2017" s="2"/>
      <c r="M2017" s="32"/>
      <c r="N2017" s="13" t="str">
        <f>IF(F2017="","",
MAX(0,
_xlfn.XLOOKUP(F2017,purchase!D:D,purchase!#REF!,"")
-
SUMIFS(L:L,F:F,F2017)))</f>
        <v/>
      </c>
      <c r="O2017" s="13" t="str">
        <f t="shared" si="221"/>
        <v/>
      </c>
      <c r="P2017" s="35" t="str">
        <f>_xlfn.SINGLE(IF(F2017="","",_xlfn.XLOOKUP(F2017,purchase!D:D,purchase!K:K,"")))</f>
        <v/>
      </c>
      <c r="Q2017" s="29" t="str">
        <f t="shared" si="222"/>
        <v/>
      </c>
      <c r="R2017" s="37" t="str">
        <f t="shared" si="223"/>
        <v/>
      </c>
    </row>
    <row r="2018" spans="1:18" x14ac:dyDescent="0.35">
      <c r="A2018" s="8">
        <v>2014</v>
      </c>
      <c r="B2018" s="9" t="str">
        <f t="shared" si="217"/>
        <v/>
      </c>
      <c r="C2018" s="10"/>
      <c r="D2018" s="9" t="str">
        <f>IF(F2018="","",_xlfn.XLOOKUP(F2018,purchase!D:D,purchase!#REF!,""))</f>
        <v/>
      </c>
      <c r="E2018" s="9" t="str">
        <f>IF(F2018="","",_xlfn.XLOOKUP(F2018,purchase!D:D,purchase!B:B,""))</f>
        <v/>
      </c>
      <c r="F2018" s="2"/>
      <c r="G2018" s="4" t="str">
        <f t="shared" si="218"/>
        <v/>
      </c>
      <c r="H2018" s="4" t="str">
        <f>IF(F2018="","",_xlfn.XLOOKUP(F2018,purchase!D:D,purchase!#REF!,""))</f>
        <v/>
      </c>
      <c r="I2018" s="4" t="str">
        <f t="shared" si="219"/>
        <v/>
      </c>
      <c r="J2018" s="4" t="str">
        <f t="shared" si="220"/>
        <v/>
      </c>
      <c r="K2018" s="13" t="str">
        <f>_xlfn.SINGLE(IF(F2018="","",_xlfn.XLOOKUP(F2018,purchase!D:D,purchase!#REF!,"")))</f>
        <v/>
      </c>
      <c r="L2018" s="2"/>
      <c r="M2018" s="32"/>
      <c r="N2018" s="13" t="str">
        <f>IF(F2018="","",
MAX(0,
_xlfn.XLOOKUP(F2018,purchase!D:D,purchase!#REF!,"")
-
SUMIFS(L:L,F:F,F2018)))</f>
        <v/>
      </c>
      <c r="O2018" s="13" t="str">
        <f t="shared" si="221"/>
        <v/>
      </c>
      <c r="P2018" s="35" t="str">
        <f>_xlfn.SINGLE(IF(F2018="","",_xlfn.XLOOKUP(F2018,purchase!D:D,purchase!K:K,"")))</f>
        <v/>
      </c>
      <c r="Q2018" s="29" t="str">
        <f t="shared" si="222"/>
        <v/>
      </c>
      <c r="R2018" s="37" t="str">
        <f t="shared" si="223"/>
        <v/>
      </c>
    </row>
    <row r="2019" spans="1:18" x14ac:dyDescent="0.35">
      <c r="A2019" s="8">
        <v>2015</v>
      </c>
      <c r="B2019" s="9" t="str">
        <f t="shared" si="217"/>
        <v/>
      </c>
      <c r="C2019" s="10"/>
      <c r="D2019" s="9" t="str">
        <f>IF(F2019="","",_xlfn.XLOOKUP(F2019,purchase!D:D,purchase!#REF!,""))</f>
        <v/>
      </c>
      <c r="E2019" s="9" t="str">
        <f>IF(F2019="","",_xlfn.XLOOKUP(F2019,purchase!D:D,purchase!B:B,""))</f>
        <v/>
      </c>
      <c r="F2019" s="2"/>
      <c r="G2019" s="4" t="str">
        <f t="shared" si="218"/>
        <v/>
      </c>
      <c r="H2019" s="4" t="str">
        <f>IF(F2019="","",_xlfn.XLOOKUP(F2019,purchase!D:D,purchase!#REF!,""))</f>
        <v/>
      </c>
      <c r="I2019" s="4" t="str">
        <f t="shared" si="219"/>
        <v/>
      </c>
      <c r="J2019" s="4" t="str">
        <f t="shared" si="220"/>
        <v/>
      </c>
      <c r="K2019" s="13" t="str">
        <f>_xlfn.SINGLE(IF(F2019="","",_xlfn.XLOOKUP(F2019,purchase!D:D,purchase!#REF!,"")))</f>
        <v/>
      </c>
      <c r="L2019" s="2"/>
      <c r="M2019" s="32"/>
      <c r="N2019" s="13" t="str">
        <f>IF(F2019="","",
MAX(0,
_xlfn.XLOOKUP(F2019,purchase!D:D,purchase!#REF!,"")
-
SUMIFS(L:L,F:F,F2019)))</f>
        <v/>
      </c>
      <c r="O2019" s="13" t="str">
        <f t="shared" si="221"/>
        <v/>
      </c>
      <c r="P2019" s="35" t="str">
        <f>_xlfn.SINGLE(IF(F2019="","",_xlfn.XLOOKUP(F2019,purchase!D:D,purchase!K:K,"")))</f>
        <v/>
      </c>
      <c r="Q2019" s="29" t="str">
        <f t="shared" si="222"/>
        <v/>
      </c>
      <c r="R2019" s="37" t="str">
        <f t="shared" si="223"/>
        <v/>
      </c>
    </row>
    <row r="2020" spans="1:18" x14ac:dyDescent="0.35">
      <c r="A2020" s="8">
        <v>2016</v>
      </c>
      <c r="B2020" s="9" t="str">
        <f t="shared" si="217"/>
        <v/>
      </c>
      <c r="C2020" s="10"/>
      <c r="D2020" s="9" t="str">
        <f>IF(F2020="","",_xlfn.XLOOKUP(F2020,purchase!D:D,purchase!#REF!,""))</f>
        <v/>
      </c>
      <c r="E2020" s="9" t="str">
        <f>IF(F2020="","",_xlfn.XLOOKUP(F2020,purchase!D:D,purchase!B:B,""))</f>
        <v/>
      </c>
      <c r="F2020" s="2"/>
      <c r="G2020" s="4" t="str">
        <f t="shared" si="218"/>
        <v/>
      </c>
      <c r="H2020" s="4" t="str">
        <f>IF(F2020="","",_xlfn.XLOOKUP(F2020,purchase!D:D,purchase!#REF!,""))</f>
        <v/>
      </c>
      <c r="I2020" s="4" t="str">
        <f t="shared" si="219"/>
        <v/>
      </c>
      <c r="J2020" s="4" t="str">
        <f t="shared" si="220"/>
        <v/>
      </c>
      <c r="K2020" s="13" t="str">
        <f>_xlfn.SINGLE(IF(F2020="","",_xlfn.XLOOKUP(F2020,purchase!D:D,purchase!#REF!,"")))</f>
        <v/>
      </c>
      <c r="L2020" s="2"/>
      <c r="M2020" s="32"/>
      <c r="N2020" s="13" t="str">
        <f>IF(F2020="","",
MAX(0,
_xlfn.XLOOKUP(F2020,purchase!D:D,purchase!#REF!,"")
-
SUMIFS(L:L,F:F,F2020)))</f>
        <v/>
      </c>
      <c r="O2020" s="13" t="str">
        <f t="shared" si="221"/>
        <v/>
      </c>
      <c r="P2020" s="35" t="str">
        <f>_xlfn.SINGLE(IF(F2020="","",_xlfn.XLOOKUP(F2020,purchase!D:D,purchase!K:K,"")))</f>
        <v/>
      </c>
      <c r="Q2020" s="29" t="str">
        <f t="shared" si="222"/>
        <v/>
      </c>
      <c r="R2020" s="37" t="str">
        <f t="shared" si="223"/>
        <v/>
      </c>
    </row>
    <row r="2021" spans="1:18" x14ac:dyDescent="0.35">
      <c r="A2021" s="8">
        <v>2017</v>
      </c>
      <c r="B2021" s="9" t="str">
        <f t="shared" si="217"/>
        <v/>
      </c>
      <c r="C2021" s="10"/>
      <c r="D2021" s="9" t="str">
        <f>IF(F2021="","",_xlfn.XLOOKUP(F2021,purchase!D:D,purchase!#REF!,""))</f>
        <v/>
      </c>
      <c r="E2021" s="9" t="str">
        <f>IF(F2021="","",_xlfn.XLOOKUP(F2021,purchase!D:D,purchase!B:B,""))</f>
        <v/>
      </c>
      <c r="F2021" s="2"/>
      <c r="G2021" s="4" t="str">
        <f t="shared" si="218"/>
        <v/>
      </c>
      <c r="H2021" s="4" t="str">
        <f>IF(F2021="","",_xlfn.XLOOKUP(F2021,purchase!D:D,purchase!#REF!,""))</f>
        <v/>
      </c>
      <c r="I2021" s="4" t="str">
        <f t="shared" si="219"/>
        <v/>
      </c>
      <c r="J2021" s="4" t="str">
        <f t="shared" si="220"/>
        <v/>
      </c>
      <c r="K2021" s="13" t="str">
        <f>_xlfn.SINGLE(IF(F2021="","",_xlfn.XLOOKUP(F2021,purchase!D:D,purchase!#REF!,"")))</f>
        <v/>
      </c>
      <c r="L2021" s="2"/>
      <c r="M2021" s="32"/>
      <c r="N2021" s="13" t="str">
        <f>IF(F2021="","",
MAX(0,
_xlfn.XLOOKUP(F2021,purchase!D:D,purchase!#REF!,"")
-
SUMIFS(L:L,F:F,F2021)))</f>
        <v/>
      </c>
      <c r="O2021" s="13" t="str">
        <f t="shared" si="221"/>
        <v/>
      </c>
      <c r="P2021" s="35" t="str">
        <f>_xlfn.SINGLE(IF(F2021="","",_xlfn.XLOOKUP(F2021,purchase!D:D,purchase!K:K,"")))</f>
        <v/>
      </c>
      <c r="Q2021" s="29" t="str">
        <f t="shared" si="222"/>
        <v/>
      </c>
      <c r="R2021" s="37" t="str">
        <f t="shared" si="223"/>
        <v/>
      </c>
    </row>
    <row r="2022" spans="1:18" x14ac:dyDescent="0.35">
      <c r="A2022" s="8">
        <v>2018</v>
      </c>
      <c r="B2022" s="9" t="str">
        <f t="shared" si="217"/>
        <v/>
      </c>
      <c r="C2022" s="10"/>
      <c r="D2022" s="9" t="str">
        <f>IF(F2022="","",_xlfn.XLOOKUP(F2022,purchase!D:D,purchase!#REF!,""))</f>
        <v/>
      </c>
      <c r="E2022" s="9" t="str">
        <f>IF(F2022="","",_xlfn.XLOOKUP(F2022,purchase!D:D,purchase!B:B,""))</f>
        <v/>
      </c>
      <c r="F2022" s="2"/>
      <c r="G2022" s="4" t="str">
        <f t="shared" si="218"/>
        <v/>
      </c>
      <c r="H2022" s="4" t="str">
        <f>IF(F2022="","",_xlfn.XLOOKUP(F2022,purchase!D:D,purchase!#REF!,""))</f>
        <v/>
      </c>
      <c r="I2022" s="4" t="str">
        <f t="shared" si="219"/>
        <v/>
      </c>
      <c r="J2022" s="4" t="str">
        <f t="shared" si="220"/>
        <v/>
      </c>
      <c r="K2022" s="13" t="str">
        <f>_xlfn.SINGLE(IF(F2022="","",_xlfn.XLOOKUP(F2022,purchase!D:D,purchase!#REF!,"")))</f>
        <v/>
      </c>
      <c r="L2022" s="2"/>
      <c r="M2022" s="32"/>
      <c r="N2022" s="13" t="str">
        <f>IF(F2022="","",
MAX(0,
_xlfn.XLOOKUP(F2022,purchase!D:D,purchase!#REF!,"")
-
SUMIFS(L:L,F:F,F2022)))</f>
        <v/>
      </c>
      <c r="O2022" s="13" t="str">
        <f t="shared" si="221"/>
        <v/>
      </c>
      <c r="P2022" s="35" t="str">
        <f>_xlfn.SINGLE(IF(F2022="","",_xlfn.XLOOKUP(F2022,purchase!D:D,purchase!K:K,"")))</f>
        <v/>
      </c>
      <c r="Q2022" s="29" t="str">
        <f t="shared" si="222"/>
        <v/>
      </c>
      <c r="R2022" s="37" t="str">
        <f t="shared" si="223"/>
        <v/>
      </c>
    </row>
    <row r="2023" spans="1:18" x14ac:dyDescent="0.35">
      <c r="A2023" s="8">
        <v>2019</v>
      </c>
      <c r="B2023" s="9" t="str">
        <f t="shared" si="217"/>
        <v/>
      </c>
      <c r="C2023" s="10"/>
      <c r="D2023" s="9" t="str">
        <f>IF(F2023="","",_xlfn.XLOOKUP(F2023,purchase!D:D,purchase!#REF!,""))</f>
        <v/>
      </c>
      <c r="E2023" s="9" t="str">
        <f>IF(F2023="","",_xlfn.XLOOKUP(F2023,purchase!D:D,purchase!B:B,""))</f>
        <v/>
      </c>
      <c r="F2023" s="2"/>
      <c r="G2023" s="4" t="str">
        <f t="shared" si="218"/>
        <v/>
      </c>
      <c r="H2023" s="4" t="str">
        <f>IF(F2023="","",_xlfn.XLOOKUP(F2023,purchase!D:D,purchase!#REF!,""))</f>
        <v/>
      </c>
      <c r="I2023" s="4" t="str">
        <f t="shared" si="219"/>
        <v/>
      </c>
      <c r="J2023" s="4" t="str">
        <f t="shared" si="220"/>
        <v/>
      </c>
      <c r="K2023" s="13" t="str">
        <f>_xlfn.SINGLE(IF(F2023="","",_xlfn.XLOOKUP(F2023,purchase!D:D,purchase!#REF!,"")))</f>
        <v/>
      </c>
      <c r="L2023" s="2"/>
      <c r="M2023" s="32"/>
      <c r="N2023" s="13" t="str">
        <f>IF(F2023="","",
MAX(0,
_xlfn.XLOOKUP(F2023,purchase!D:D,purchase!#REF!,"")
-
SUMIFS(L:L,F:F,F2023)))</f>
        <v/>
      </c>
      <c r="O2023" s="13" t="str">
        <f t="shared" si="221"/>
        <v/>
      </c>
      <c r="P2023" s="35" t="str">
        <f>_xlfn.SINGLE(IF(F2023="","",_xlfn.XLOOKUP(F2023,purchase!D:D,purchase!K:K,"")))</f>
        <v/>
      </c>
      <c r="Q2023" s="29" t="str">
        <f t="shared" si="222"/>
        <v/>
      </c>
      <c r="R2023" s="37" t="str">
        <f t="shared" si="223"/>
        <v/>
      </c>
    </row>
    <row r="2024" spans="1:18" x14ac:dyDescent="0.35">
      <c r="A2024" s="8">
        <v>2020</v>
      </c>
      <c r="B2024" s="9" t="str">
        <f t="shared" si="217"/>
        <v/>
      </c>
      <c r="C2024" s="10"/>
      <c r="D2024" s="9" t="str">
        <f>IF(F2024="","",_xlfn.XLOOKUP(F2024,purchase!D:D,purchase!#REF!,""))</f>
        <v/>
      </c>
      <c r="E2024" s="9" t="str">
        <f>IF(F2024="","",_xlfn.XLOOKUP(F2024,purchase!D:D,purchase!B:B,""))</f>
        <v/>
      </c>
      <c r="F2024" s="2"/>
      <c r="G2024" s="4" t="str">
        <f t="shared" si="218"/>
        <v/>
      </c>
      <c r="H2024" s="4" t="str">
        <f>IF(F2024="","",_xlfn.XLOOKUP(F2024,purchase!D:D,purchase!#REF!,""))</f>
        <v/>
      </c>
      <c r="I2024" s="4" t="str">
        <f t="shared" si="219"/>
        <v/>
      </c>
      <c r="J2024" s="4" t="str">
        <f t="shared" si="220"/>
        <v/>
      </c>
      <c r="K2024" s="13" t="str">
        <f>_xlfn.SINGLE(IF(F2024="","",_xlfn.XLOOKUP(F2024,purchase!D:D,purchase!#REF!,"")))</f>
        <v/>
      </c>
      <c r="L2024" s="2"/>
      <c r="M2024" s="32"/>
      <c r="N2024" s="13" t="str">
        <f>IF(F2024="","",
MAX(0,
_xlfn.XLOOKUP(F2024,purchase!D:D,purchase!#REF!,"")
-
SUMIFS(L:L,F:F,F2024)))</f>
        <v/>
      </c>
      <c r="O2024" s="13" t="str">
        <f t="shared" si="221"/>
        <v/>
      </c>
      <c r="P2024" s="35" t="str">
        <f>_xlfn.SINGLE(IF(F2024="","",_xlfn.XLOOKUP(F2024,purchase!D:D,purchase!K:K,"")))</f>
        <v/>
      </c>
      <c r="Q2024" s="29" t="str">
        <f t="shared" si="222"/>
        <v/>
      </c>
      <c r="R2024" s="37" t="str">
        <f t="shared" si="223"/>
        <v/>
      </c>
    </row>
    <row r="2025" spans="1:18" x14ac:dyDescent="0.35">
      <c r="A2025" s="8">
        <v>2021</v>
      </c>
      <c r="B2025" s="9" t="str">
        <f t="shared" si="217"/>
        <v/>
      </c>
      <c r="C2025" s="10"/>
      <c r="D2025" s="9" t="str">
        <f>IF(F2025="","",_xlfn.XLOOKUP(F2025,purchase!D:D,purchase!#REF!,""))</f>
        <v/>
      </c>
      <c r="E2025" s="9" t="str">
        <f>IF(F2025="","",_xlfn.XLOOKUP(F2025,purchase!D:D,purchase!B:B,""))</f>
        <v/>
      </c>
      <c r="F2025" s="2"/>
      <c r="G2025" s="4" t="str">
        <f t="shared" si="218"/>
        <v/>
      </c>
      <c r="H2025" s="4" t="str">
        <f>IF(F2025="","",_xlfn.XLOOKUP(F2025,purchase!D:D,purchase!#REF!,""))</f>
        <v/>
      </c>
      <c r="I2025" s="4" t="str">
        <f t="shared" si="219"/>
        <v/>
      </c>
      <c r="J2025" s="4" t="str">
        <f t="shared" si="220"/>
        <v/>
      </c>
      <c r="K2025" s="13" t="str">
        <f>_xlfn.SINGLE(IF(F2025="","",_xlfn.XLOOKUP(F2025,purchase!D:D,purchase!#REF!,"")))</f>
        <v/>
      </c>
      <c r="L2025" s="2"/>
      <c r="M2025" s="32"/>
      <c r="N2025" s="13" t="str">
        <f>IF(F2025="","",
MAX(0,
_xlfn.XLOOKUP(F2025,purchase!D:D,purchase!#REF!,"")
-
SUMIFS(L:L,F:F,F2025)))</f>
        <v/>
      </c>
      <c r="O2025" s="13" t="str">
        <f t="shared" si="221"/>
        <v/>
      </c>
      <c r="P2025" s="35" t="str">
        <f>_xlfn.SINGLE(IF(F2025="","",_xlfn.XLOOKUP(F2025,purchase!D:D,purchase!K:K,"")))</f>
        <v/>
      </c>
      <c r="Q2025" s="29" t="str">
        <f t="shared" si="222"/>
        <v/>
      </c>
      <c r="R2025" s="37" t="str">
        <f t="shared" si="223"/>
        <v/>
      </c>
    </row>
    <row r="2026" spans="1:18" x14ac:dyDescent="0.35">
      <c r="A2026" s="8">
        <v>2022</v>
      </c>
      <c r="B2026" s="9" t="str">
        <f t="shared" si="217"/>
        <v/>
      </c>
      <c r="C2026" s="10"/>
      <c r="D2026" s="9" t="str">
        <f>IF(F2026="","",_xlfn.XLOOKUP(F2026,purchase!D:D,purchase!#REF!,""))</f>
        <v/>
      </c>
      <c r="E2026" s="9" t="str">
        <f>IF(F2026="","",_xlfn.XLOOKUP(F2026,purchase!D:D,purchase!B:B,""))</f>
        <v/>
      </c>
      <c r="F2026" s="2"/>
      <c r="G2026" s="4" t="str">
        <f t="shared" si="218"/>
        <v/>
      </c>
      <c r="H2026" s="4" t="str">
        <f>IF(F2026="","",_xlfn.XLOOKUP(F2026,purchase!D:D,purchase!#REF!,""))</f>
        <v/>
      </c>
      <c r="I2026" s="4" t="str">
        <f t="shared" si="219"/>
        <v/>
      </c>
      <c r="J2026" s="4" t="str">
        <f t="shared" si="220"/>
        <v/>
      </c>
      <c r="K2026" s="13" t="str">
        <f>_xlfn.SINGLE(IF(F2026="","",_xlfn.XLOOKUP(F2026,purchase!D:D,purchase!#REF!,"")))</f>
        <v/>
      </c>
      <c r="L2026" s="2"/>
      <c r="M2026" s="32"/>
      <c r="N2026" s="13" t="str">
        <f>IF(F2026="","",
MAX(0,
_xlfn.XLOOKUP(F2026,purchase!D:D,purchase!#REF!,"")
-
SUMIFS(L:L,F:F,F2026)))</f>
        <v/>
      </c>
      <c r="O2026" s="13" t="str">
        <f t="shared" si="221"/>
        <v/>
      </c>
      <c r="P2026" s="35" t="str">
        <f>_xlfn.SINGLE(IF(F2026="","",_xlfn.XLOOKUP(F2026,purchase!D:D,purchase!K:K,"")))</f>
        <v/>
      </c>
      <c r="Q2026" s="29" t="str">
        <f t="shared" si="222"/>
        <v/>
      </c>
      <c r="R2026" s="37" t="str">
        <f t="shared" si="223"/>
        <v/>
      </c>
    </row>
    <row r="2027" spans="1:18" x14ac:dyDescent="0.35">
      <c r="A2027" s="8">
        <v>2023</v>
      </c>
      <c r="B2027" s="9" t="str">
        <f t="shared" si="217"/>
        <v/>
      </c>
      <c r="C2027" s="10"/>
      <c r="D2027" s="9" t="str">
        <f>IF(F2027="","",_xlfn.XLOOKUP(F2027,purchase!D:D,purchase!#REF!,""))</f>
        <v/>
      </c>
      <c r="E2027" s="9" t="str">
        <f>IF(F2027="","",_xlfn.XLOOKUP(F2027,purchase!D:D,purchase!B:B,""))</f>
        <v/>
      </c>
      <c r="F2027" s="2"/>
      <c r="G2027" s="4" t="str">
        <f t="shared" si="218"/>
        <v/>
      </c>
      <c r="H2027" s="4" t="str">
        <f>IF(F2027="","",_xlfn.XLOOKUP(F2027,purchase!D:D,purchase!#REF!,""))</f>
        <v/>
      </c>
      <c r="I2027" s="4" t="str">
        <f t="shared" si="219"/>
        <v/>
      </c>
      <c r="J2027" s="4" t="str">
        <f t="shared" si="220"/>
        <v/>
      </c>
      <c r="K2027" s="13" t="str">
        <f>_xlfn.SINGLE(IF(F2027="","",_xlfn.XLOOKUP(F2027,purchase!D:D,purchase!#REF!,"")))</f>
        <v/>
      </c>
      <c r="L2027" s="2"/>
      <c r="M2027" s="32"/>
      <c r="N2027" s="13" t="str">
        <f>IF(F2027="","",
MAX(0,
_xlfn.XLOOKUP(F2027,purchase!D:D,purchase!#REF!,"")
-
SUMIFS(L:L,F:F,F2027)))</f>
        <v/>
      </c>
      <c r="O2027" s="13" t="str">
        <f t="shared" si="221"/>
        <v/>
      </c>
      <c r="P2027" s="35" t="str">
        <f>_xlfn.SINGLE(IF(F2027="","",_xlfn.XLOOKUP(F2027,purchase!D:D,purchase!K:K,"")))</f>
        <v/>
      </c>
      <c r="Q2027" s="29" t="str">
        <f t="shared" si="222"/>
        <v/>
      </c>
      <c r="R2027" s="37" t="str">
        <f t="shared" si="223"/>
        <v/>
      </c>
    </row>
    <row r="2028" spans="1:18" x14ac:dyDescent="0.35">
      <c r="A2028" s="8">
        <v>2024</v>
      </c>
      <c r="B2028" s="9" t="str">
        <f t="shared" si="217"/>
        <v/>
      </c>
      <c r="C2028" s="10"/>
      <c r="D2028" s="9" t="str">
        <f>IF(F2028="","",_xlfn.XLOOKUP(F2028,purchase!D:D,purchase!#REF!,""))</f>
        <v/>
      </c>
      <c r="E2028" s="9" t="str">
        <f>IF(F2028="","",_xlfn.XLOOKUP(F2028,purchase!D:D,purchase!B:B,""))</f>
        <v/>
      </c>
      <c r="F2028" s="2"/>
      <c r="G2028" s="4" t="str">
        <f t="shared" si="218"/>
        <v/>
      </c>
      <c r="H2028" s="4" t="str">
        <f>IF(F2028="","",_xlfn.XLOOKUP(F2028,purchase!D:D,purchase!#REF!,""))</f>
        <v/>
      </c>
      <c r="I2028" s="4" t="str">
        <f t="shared" si="219"/>
        <v/>
      </c>
      <c r="J2028" s="4" t="str">
        <f t="shared" si="220"/>
        <v/>
      </c>
      <c r="K2028" s="13" t="str">
        <f>_xlfn.SINGLE(IF(F2028="","",_xlfn.XLOOKUP(F2028,purchase!D:D,purchase!#REF!,"")))</f>
        <v/>
      </c>
      <c r="L2028" s="2"/>
      <c r="M2028" s="32"/>
      <c r="N2028" s="13" t="str">
        <f>IF(F2028="","",
MAX(0,
_xlfn.XLOOKUP(F2028,purchase!D:D,purchase!#REF!,"")
-
SUMIFS(L:L,F:F,F2028)))</f>
        <v/>
      </c>
      <c r="O2028" s="13" t="str">
        <f t="shared" si="221"/>
        <v/>
      </c>
      <c r="P2028" s="35" t="str">
        <f>_xlfn.SINGLE(IF(F2028="","",_xlfn.XLOOKUP(F2028,purchase!D:D,purchase!K:K,"")))</f>
        <v/>
      </c>
      <c r="Q2028" s="29" t="str">
        <f t="shared" si="222"/>
        <v/>
      </c>
      <c r="R2028" s="37" t="str">
        <f t="shared" si="223"/>
        <v/>
      </c>
    </row>
    <row r="2029" spans="1:18" x14ac:dyDescent="0.35">
      <c r="A2029" s="8">
        <v>2025</v>
      </c>
      <c r="B2029" s="9" t="str">
        <f t="shared" si="217"/>
        <v/>
      </c>
      <c r="C2029" s="10"/>
      <c r="D2029" s="9" t="str">
        <f>IF(F2029="","",_xlfn.XLOOKUP(F2029,purchase!D:D,purchase!#REF!,""))</f>
        <v/>
      </c>
      <c r="E2029" s="9" t="str">
        <f>IF(F2029="","",_xlfn.XLOOKUP(F2029,purchase!D:D,purchase!B:B,""))</f>
        <v/>
      </c>
      <c r="F2029" s="2"/>
      <c r="G2029" s="4" t="str">
        <f t="shared" si="218"/>
        <v/>
      </c>
      <c r="H2029" s="4" t="str">
        <f>IF(F2029="","",_xlfn.XLOOKUP(F2029,purchase!D:D,purchase!#REF!,""))</f>
        <v/>
      </c>
      <c r="I2029" s="4" t="str">
        <f t="shared" si="219"/>
        <v/>
      </c>
      <c r="J2029" s="4" t="str">
        <f t="shared" si="220"/>
        <v/>
      </c>
      <c r="K2029" s="13" t="str">
        <f>_xlfn.SINGLE(IF(F2029="","",_xlfn.XLOOKUP(F2029,purchase!D:D,purchase!#REF!,"")))</f>
        <v/>
      </c>
      <c r="L2029" s="2"/>
      <c r="M2029" s="32"/>
      <c r="N2029" s="13" t="str">
        <f>IF(F2029="","",
MAX(0,
_xlfn.XLOOKUP(F2029,purchase!D:D,purchase!#REF!,"")
-
SUMIFS(L:L,F:F,F2029)))</f>
        <v/>
      </c>
      <c r="O2029" s="13" t="str">
        <f t="shared" si="221"/>
        <v/>
      </c>
      <c r="P2029" s="35" t="str">
        <f>_xlfn.SINGLE(IF(F2029="","",_xlfn.XLOOKUP(F2029,purchase!D:D,purchase!K:K,"")))</f>
        <v/>
      </c>
      <c r="Q2029" s="29" t="str">
        <f t="shared" si="222"/>
        <v/>
      </c>
      <c r="R2029" s="37" t="str">
        <f t="shared" si="223"/>
        <v/>
      </c>
    </row>
    <row r="2030" spans="1:18" x14ac:dyDescent="0.35">
      <c r="A2030" s="8">
        <v>2026</v>
      </c>
      <c r="B2030" s="9" t="str">
        <f t="shared" si="217"/>
        <v/>
      </c>
      <c r="C2030" s="10"/>
      <c r="D2030" s="9" t="str">
        <f>IF(F2030="","",_xlfn.XLOOKUP(F2030,purchase!D:D,purchase!#REF!,""))</f>
        <v/>
      </c>
      <c r="E2030" s="9" t="str">
        <f>IF(F2030="","",_xlfn.XLOOKUP(F2030,purchase!D:D,purchase!B:B,""))</f>
        <v/>
      </c>
      <c r="F2030" s="2"/>
      <c r="G2030" s="4" t="str">
        <f t="shared" si="218"/>
        <v/>
      </c>
      <c r="H2030" s="4" t="str">
        <f>IF(F2030="","",_xlfn.XLOOKUP(F2030,purchase!D:D,purchase!#REF!,""))</f>
        <v/>
      </c>
      <c r="I2030" s="4" t="str">
        <f t="shared" si="219"/>
        <v/>
      </c>
      <c r="J2030" s="4" t="str">
        <f t="shared" si="220"/>
        <v/>
      </c>
      <c r="K2030" s="13" t="str">
        <f>_xlfn.SINGLE(IF(F2030="","",_xlfn.XLOOKUP(F2030,purchase!D:D,purchase!#REF!,"")))</f>
        <v/>
      </c>
      <c r="L2030" s="2"/>
      <c r="M2030" s="32"/>
      <c r="N2030" s="13" t="str">
        <f>IF(F2030="","",
MAX(0,
_xlfn.XLOOKUP(F2030,purchase!D:D,purchase!#REF!,"")
-
SUMIFS(L:L,F:F,F2030)))</f>
        <v/>
      </c>
      <c r="O2030" s="13" t="str">
        <f t="shared" si="221"/>
        <v/>
      </c>
      <c r="P2030" s="35" t="str">
        <f>_xlfn.SINGLE(IF(F2030="","",_xlfn.XLOOKUP(F2030,purchase!D:D,purchase!K:K,"")))</f>
        <v/>
      </c>
      <c r="Q2030" s="29" t="str">
        <f t="shared" si="222"/>
        <v/>
      </c>
      <c r="R2030" s="37" t="str">
        <f t="shared" si="223"/>
        <v/>
      </c>
    </row>
    <row r="2031" spans="1:18" x14ac:dyDescent="0.35">
      <c r="A2031" s="8">
        <v>2027</v>
      </c>
      <c r="B2031" s="9" t="str">
        <f t="shared" si="217"/>
        <v/>
      </c>
      <c r="C2031" s="10"/>
      <c r="D2031" s="9" t="str">
        <f>IF(F2031="","",_xlfn.XLOOKUP(F2031,purchase!D:D,purchase!#REF!,""))</f>
        <v/>
      </c>
      <c r="E2031" s="9" t="str">
        <f>IF(F2031="","",_xlfn.XLOOKUP(F2031,purchase!D:D,purchase!B:B,""))</f>
        <v/>
      </c>
      <c r="F2031" s="2"/>
      <c r="G2031" s="4" t="str">
        <f t="shared" si="218"/>
        <v/>
      </c>
      <c r="H2031" s="4" t="str">
        <f>IF(F2031="","",_xlfn.XLOOKUP(F2031,purchase!D:D,purchase!#REF!,""))</f>
        <v/>
      </c>
      <c r="I2031" s="4" t="str">
        <f t="shared" si="219"/>
        <v/>
      </c>
      <c r="J2031" s="4" t="str">
        <f t="shared" si="220"/>
        <v/>
      </c>
      <c r="K2031" s="13" t="str">
        <f>_xlfn.SINGLE(IF(F2031="","",_xlfn.XLOOKUP(F2031,purchase!D:D,purchase!#REF!,"")))</f>
        <v/>
      </c>
      <c r="L2031" s="2"/>
      <c r="M2031" s="32"/>
      <c r="N2031" s="13" t="str">
        <f>IF(F2031="","",
MAX(0,
_xlfn.XLOOKUP(F2031,purchase!D:D,purchase!#REF!,"")
-
SUMIFS(L:L,F:F,F2031)))</f>
        <v/>
      </c>
      <c r="O2031" s="13" t="str">
        <f t="shared" si="221"/>
        <v/>
      </c>
      <c r="P2031" s="35" t="str">
        <f>_xlfn.SINGLE(IF(F2031="","",_xlfn.XLOOKUP(F2031,purchase!D:D,purchase!K:K,"")))</f>
        <v/>
      </c>
      <c r="Q2031" s="29" t="str">
        <f t="shared" si="222"/>
        <v/>
      </c>
      <c r="R2031" s="37" t="str">
        <f t="shared" si="223"/>
        <v/>
      </c>
    </row>
    <row r="2032" spans="1:18" x14ac:dyDescent="0.35">
      <c r="A2032" s="8">
        <v>2028</v>
      </c>
      <c r="B2032" s="9" t="str">
        <f t="shared" si="217"/>
        <v/>
      </c>
      <c r="C2032" s="10"/>
      <c r="D2032" s="9" t="str">
        <f>IF(F2032="","",_xlfn.XLOOKUP(F2032,purchase!D:D,purchase!#REF!,""))</f>
        <v/>
      </c>
      <c r="E2032" s="9" t="str">
        <f>IF(F2032="","",_xlfn.XLOOKUP(F2032,purchase!D:D,purchase!B:B,""))</f>
        <v/>
      </c>
      <c r="F2032" s="2"/>
      <c r="G2032" s="4" t="str">
        <f t="shared" si="218"/>
        <v/>
      </c>
      <c r="H2032" s="4" t="str">
        <f>IF(F2032="","",_xlfn.XLOOKUP(F2032,purchase!D:D,purchase!#REF!,""))</f>
        <v/>
      </c>
      <c r="I2032" s="4" t="str">
        <f t="shared" si="219"/>
        <v/>
      </c>
      <c r="J2032" s="4" t="str">
        <f t="shared" si="220"/>
        <v/>
      </c>
      <c r="K2032" s="13" t="str">
        <f>_xlfn.SINGLE(IF(F2032="","",_xlfn.XLOOKUP(F2032,purchase!D:D,purchase!#REF!,"")))</f>
        <v/>
      </c>
      <c r="L2032" s="2"/>
      <c r="M2032" s="32"/>
      <c r="N2032" s="13" t="str">
        <f>IF(F2032="","",
MAX(0,
_xlfn.XLOOKUP(F2032,purchase!D:D,purchase!#REF!,"")
-
SUMIFS(L:L,F:F,F2032)))</f>
        <v/>
      </c>
      <c r="O2032" s="13" t="str">
        <f t="shared" si="221"/>
        <v/>
      </c>
      <c r="P2032" s="35" t="str">
        <f>_xlfn.SINGLE(IF(F2032="","",_xlfn.XLOOKUP(F2032,purchase!D:D,purchase!K:K,"")))</f>
        <v/>
      </c>
      <c r="Q2032" s="29" t="str">
        <f t="shared" si="222"/>
        <v/>
      </c>
      <c r="R2032" s="37" t="str">
        <f t="shared" si="223"/>
        <v/>
      </c>
    </row>
    <row r="2033" spans="1:18" x14ac:dyDescent="0.35">
      <c r="A2033" s="8">
        <v>2029</v>
      </c>
      <c r="B2033" s="9" t="str">
        <f t="shared" si="217"/>
        <v/>
      </c>
      <c r="C2033" s="10"/>
      <c r="D2033" s="9" t="str">
        <f>IF(F2033="","",_xlfn.XLOOKUP(F2033,purchase!D:D,purchase!#REF!,""))</f>
        <v/>
      </c>
      <c r="E2033" s="9" t="str">
        <f>IF(F2033="","",_xlfn.XLOOKUP(F2033,purchase!D:D,purchase!B:B,""))</f>
        <v/>
      </c>
      <c r="F2033" s="2"/>
      <c r="G2033" s="4" t="str">
        <f t="shared" si="218"/>
        <v/>
      </c>
      <c r="H2033" s="4" t="str">
        <f>IF(F2033="","",_xlfn.XLOOKUP(F2033,purchase!D:D,purchase!#REF!,""))</f>
        <v/>
      </c>
      <c r="I2033" s="4" t="str">
        <f t="shared" si="219"/>
        <v/>
      </c>
      <c r="J2033" s="4" t="str">
        <f t="shared" si="220"/>
        <v/>
      </c>
      <c r="K2033" s="13" t="str">
        <f>_xlfn.SINGLE(IF(F2033="","",_xlfn.XLOOKUP(F2033,purchase!D:D,purchase!#REF!,"")))</f>
        <v/>
      </c>
      <c r="L2033" s="2"/>
      <c r="M2033" s="32"/>
      <c r="N2033" s="13" t="str">
        <f>IF(F2033="","",
MAX(0,
_xlfn.XLOOKUP(F2033,purchase!D:D,purchase!#REF!,"")
-
SUMIFS(L:L,F:F,F2033)))</f>
        <v/>
      </c>
      <c r="O2033" s="13" t="str">
        <f t="shared" si="221"/>
        <v/>
      </c>
      <c r="P2033" s="35" t="str">
        <f>_xlfn.SINGLE(IF(F2033="","",_xlfn.XLOOKUP(F2033,purchase!D:D,purchase!K:K,"")))</f>
        <v/>
      </c>
      <c r="Q2033" s="29" t="str">
        <f t="shared" si="222"/>
        <v/>
      </c>
      <c r="R2033" s="37" t="str">
        <f t="shared" si="223"/>
        <v/>
      </c>
    </row>
    <row r="2034" spans="1:18" x14ac:dyDescent="0.35">
      <c r="A2034" s="8">
        <v>2030</v>
      </c>
      <c r="B2034" s="9" t="str">
        <f t="shared" si="217"/>
        <v/>
      </c>
      <c r="C2034" s="10"/>
      <c r="D2034" s="9" t="str">
        <f>IF(F2034="","",_xlfn.XLOOKUP(F2034,purchase!D:D,purchase!#REF!,""))</f>
        <v/>
      </c>
      <c r="E2034" s="9" t="str">
        <f>IF(F2034="","",_xlfn.XLOOKUP(F2034,purchase!D:D,purchase!B:B,""))</f>
        <v/>
      </c>
      <c r="F2034" s="2"/>
      <c r="G2034" s="4" t="str">
        <f t="shared" si="218"/>
        <v/>
      </c>
      <c r="H2034" s="4" t="str">
        <f>IF(F2034="","",_xlfn.XLOOKUP(F2034,purchase!D:D,purchase!#REF!,""))</f>
        <v/>
      </c>
      <c r="I2034" s="4" t="str">
        <f t="shared" si="219"/>
        <v/>
      </c>
      <c r="J2034" s="4" t="str">
        <f t="shared" si="220"/>
        <v/>
      </c>
      <c r="K2034" s="13" t="str">
        <f>_xlfn.SINGLE(IF(F2034="","",_xlfn.XLOOKUP(F2034,purchase!D:D,purchase!#REF!,"")))</f>
        <v/>
      </c>
      <c r="L2034" s="2"/>
      <c r="M2034" s="32"/>
      <c r="N2034" s="13" t="str">
        <f>IF(F2034="","",
MAX(0,
_xlfn.XLOOKUP(F2034,purchase!D:D,purchase!#REF!,"")
-
SUMIFS(L:L,F:F,F2034)))</f>
        <v/>
      </c>
      <c r="O2034" s="13" t="str">
        <f t="shared" si="221"/>
        <v/>
      </c>
      <c r="P2034" s="35" t="str">
        <f>_xlfn.SINGLE(IF(F2034="","",_xlfn.XLOOKUP(F2034,purchase!D:D,purchase!K:K,"")))</f>
        <v/>
      </c>
      <c r="Q2034" s="29" t="str">
        <f t="shared" si="222"/>
        <v/>
      </c>
      <c r="R2034" s="37" t="str">
        <f t="shared" si="223"/>
        <v/>
      </c>
    </row>
    <row r="2035" spans="1:18" x14ac:dyDescent="0.35">
      <c r="A2035" s="8">
        <v>2031</v>
      </c>
      <c r="B2035" s="9" t="str">
        <f t="shared" si="217"/>
        <v/>
      </c>
      <c r="C2035" s="10"/>
      <c r="D2035" s="9" t="str">
        <f>IF(F2035="","",_xlfn.XLOOKUP(F2035,purchase!D:D,purchase!#REF!,""))</f>
        <v/>
      </c>
      <c r="E2035" s="9" t="str">
        <f>IF(F2035="","",_xlfn.XLOOKUP(F2035,purchase!D:D,purchase!B:B,""))</f>
        <v/>
      </c>
      <c r="F2035" s="2"/>
      <c r="G2035" s="4" t="str">
        <f t="shared" si="218"/>
        <v/>
      </c>
      <c r="H2035" s="4" t="str">
        <f>IF(F2035="","",_xlfn.XLOOKUP(F2035,purchase!D:D,purchase!#REF!,""))</f>
        <v/>
      </c>
      <c r="I2035" s="4" t="str">
        <f t="shared" si="219"/>
        <v/>
      </c>
      <c r="J2035" s="4" t="str">
        <f t="shared" si="220"/>
        <v/>
      </c>
      <c r="K2035" s="13" t="str">
        <f>_xlfn.SINGLE(IF(F2035="","",_xlfn.XLOOKUP(F2035,purchase!D:D,purchase!#REF!,"")))</f>
        <v/>
      </c>
      <c r="L2035" s="2"/>
      <c r="M2035" s="32"/>
      <c r="N2035" s="13" t="str">
        <f>IF(F2035="","",
MAX(0,
_xlfn.XLOOKUP(F2035,purchase!D:D,purchase!#REF!,"")
-
SUMIFS(L:L,F:F,F2035)))</f>
        <v/>
      </c>
      <c r="O2035" s="13" t="str">
        <f t="shared" si="221"/>
        <v/>
      </c>
      <c r="P2035" s="35" t="str">
        <f>_xlfn.SINGLE(IF(F2035="","",_xlfn.XLOOKUP(F2035,purchase!D:D,purchase!K:K,"")))</f>
        <v/>
      </c>
      <c r="Q2035" s="29" t="str">
        <f t="shared" si="222"/>
        <v/>
      </c>
      <c r="R2035" s="37" t="str">
        <f t="shared" si="223"/>
        <v/>
      </c>
    </row>
    <row r="2036" spans="1:18" x14ac:dyDescent="0.35">
      <c r="A2036" s="8">
        <v>2032</v>
      </c>
      <c r="B2036" s="9" t="str">
        <f t="shared" si="217"/>
        <v/>
      </c>
      <c r="C2036" s="10"/>
      <c r="D2036" s="9" t="str">
        <f>IF(F2036="","",_xlfn.XLOOKUP(F2036,purchase!D:D,purchase!#REF!,""))</f>
        <v/>
      </c>
      <c r="E2036" s="9" t="str">
        <f>IF(F2036="","",_xlfn.XLOOKUP(F2036,purchase!D:D,purchase!B:B,""))</f>
        <v/>
      </c>
      <c r="F2036" s="2"/>
      <c r="G2036" s="4" t="str">
        <f t="shared" si="218"/>
        <v/>
      </c>
      <c r="H2036" s="4" t="str">
        <f>IF(F2036="","",_xlfn.XLOOKUP(F2036,purchase!D:D,purchase!#REF!,""))</f>
        <v/>
      </c>
      <c r="I2036" s="4" t="str">
        <f t="shared" si="219"/>
        <v/>
      </c>
      <c r="J2036" s="4" t="str">
        <f t="shared" si="220"/>
        <v/>
      </c>
      <c r="K2036" s="13" t="str">
        <f>_xlfn.SINGLE(IF(F2036="","",_xlfn.XLOOKUP(F2036,purchase!D:D,purchase!#REF!,"")))</f>
        <v/>
      </c>
      <c r="L2036" s="2"/>
      <c r="M2036" s="32"/>
      <c r="N2036" s="13" t="str">
        <f>IF(F2036="","",
MAX(0,
_xlfn.XLOOKUP(F2036,purchase!D:D,purchase!#REF!,"")
-
SUMIFS(L:L,F:F,F2036)))</f>
        <v/>
      </c>
      <c r="O2036" s="13" t="str">
        <f t="shared" si="221"/>
        <v/>
      </c>
      <c r="P2036" s="35" t="str">
        <f>_xlfn.SINGLE(IF(F2036="","",_xlfn.XLOOKUP(F2036,purchase!D:D,purchase!K:K,"")))</f>
        <v/>
      </c>
      <c r="Q2036" s="29" t="str">
        <f t="shared" si="222"/>
        <v/>
      </c>
      <c r="R2036" s="37" t="str">
        <f t="shared" si="223"/>
        <v/>
      </c>
    </row>
    <row r="2037" spans="1:18" x14ac:dyDescent="0.35">
      <c r="A2037" s="8">
        <v>2033</v>
      </c>
      <c r="B2037" s="9" t="str">
        <f t="shared" si="217"/>
        <v/>
      </c>
      <c r="C2037" s="10"/>
      <c r="D2037" s="9" t="str">
        <f>IF(F2037="","",_xlfn.XLOOKUP(F2037,purchase!D:D,purchase!#REF!,""))</f>
        <v/>
      </c>
      <c r="E2037" s="9" t="str">
        <f>IF(F2037="","",_xlfn.XLOOKUP(F2037,purchase!D:D,purchase!B:B,""))</f>
        <v/>
      </c>
      <c r="F2037" s="2"/>
      <c r="G2037" s="4" t="str">
        <f t="shared" si="218"/>
        <v/>
      </c>
      <c r="H2037" s="4" t="str">
        <f>IF(F2037="","",_xlfn.XLOOKUP(F2037,purchase!D:D,purchase!#REF!,""))</f>
        <v/>
      </c>
      <c r="I2037" s="4" t="str">
        <f t="shared" si="219"/>
        <v/>
      </c>
      <c r="J2037" s="4" t="str">
        <f t="shared" si="220"/>
        <v/>
      </c>
      <c r="K2037" s="13" t="str">
        <f>_xlfn.SINGLE(IF(F2037="","",_xlfn.XLOOKUP(F2037,purchase!D:D,purchase!#REF!,"")))</f>
        <v/>
      </c>
      <c r="L2037" s="2"/>
      <c r="M2037" s="32"/>
      <c r="N2037" s="13" t="str">
        <f>IF(F2037="","",
MAX(0,
_xlfn.XLOOKUP(F2037,purchase!D:D,purchase!#REF!,"")
-
SUMIFS(L:L,F:F,F2037)))</f>
        <v/>
      </c>
      <c r="O2037" s="13" t="str">
        <f t="shared" si="221"/>
        <v/>
      </c>
      <c r="P2037" s="35" t="str">
        <f>_xlfn.SINGLE(IF(F2037="","",_xlfn.XLOOKUP(F2037,purchase!D:D,purchase!K:K,"")))</f>
        <v/>
      </c>
      <c r="Q2037" s="29" t="str">
        <f t="shared" si="222"/>
        <v/>
      </c>
      <c r="R2037" s="37" t="str">
        <f t="shared" si="223"/>
        <v/>
      </c>
    </row>
    <row r="2038" spans="1:18" x14ac:dyDescent="0.35">
      <c r="A2038" s="8">
        <v>2034</v>
      </c>
      <c r="B2038" s="9" t="str">
        <f t="shared" si="217"/>
        <v/>
      </c>
      <c r="C2038" s="10"/>
      <c r="D2038" s="9" t="str">
        <f>IF(F2038="","",_xlfn.XLOOKUP(F2038,purchase!D:D,purchase!#REF!,""))</f>
        <v/>
      </c>
      <c r="E2038" s="9" t="str">
        <f>IF(F2038="","",_xlfn.XLOOKUP(F2038,purchase!D:D,purchase!B:B,""))</f>
        <v/>
      </c>
      <c r="F2038" s="2"/>
      <c r="G2038" s="4" t="str">
        <f t="shared" si="218"/>
        <v/>
      </c>
      <c r="H2038" s="4" t="str">
        <f>IF(F2038="","",_xlfn.XLOOKUP(F2038,purchase!D:D,purchase!#REF!,""))</f>
        <v/>
      </c>
      <c r="I2038" s="4" t="str">
        <f t="shared" si="219"/>
        <v/>
      </c>
      <c r="J2038" s="4" t="str">
        <f t="shared" si="220"/>
        <v/>
      </c>
      <c r="K2038" s="13" t="str">
        <f>_xlfn.SINGLE(IF(F2038="","",_xlfn.XLOOKUP(F2038,purchase!D:D,purchase!#REF!,"")))</f>
        <v/>
      </c>
      <c r="L2038" s="2"/>
      <c r="M2038" s="32"/>
      <c r="N2038" s="13" t="str">
        <f>IF(F2038="","",
MAX(0,
_xlfn.XLOOKUP(F2038,purchase!D:D,purchase!#REF!,"")
-
SUMIFS(L:L,F:F,F2038)))</f>
        <v/>
      </c>
      <c r="O2038" s="13" t="str">
        <f t="shared" si="221"/>
        <v/>
      </c>
      <c r="P2038" s="35" t="str">
        <f>_xlfn.SINGLE(IF(F2038="","",_xlfn.XLOOKUP(F2038,purchase!D:D,purchase!K:K,"")))</f>
        <v/>
      </c>
      <c r="Q2038" s="29" t="str">
        <f t="shared" si="222"/>
        <v/>
      </c>
      <c r="R2038" s="37" t="str">
        <f t="shared" si="223"/>
        <v/>
      </c>
    </row>
    <row r="2039" spans="1:18" x14ac:dyDescent="0.35">
      <c r="A2039" s="8">
        <v>2035</v>
      </c>
      <c r="B2039" s="9" t="str">
        <f t="shared" si="217"/>
        <v/>
      </c>
      <c r="C2039" s="10"/>
      <c r="D2039" s="9" t="str">
        <f>IF(F2039="","",_xlfn.XLOOKUP(F2039,purchase!D:D,purchase!#REF!,""))</f>
        <v/>
      </c>
      <c r="E2039" s="9" t="str">
        <f>IF(F2039="","",_xlfn.XLOOKUP(F2039,purchase!D:D,purchase!B:B,""))</f>
        <v/>
      </c>
      <c r="F2039" s="2"/>
      <c r="G2039" s="4" t="str">
        <f t="shared" si="218"/>
        <v/>
      </c>
      <c r="H2039" s="4" t="str">
        <f>IF(F2039="","",_xlfn.XLOOKUP(F2039,purchase!D:D,purchase!#REF!,""))</f>
        <v/>
      </c>
      <c r="I2039" s="4" t="str">
        <f t="shared" si="219"/>
        <v/>
      </c>
      <c r="J2039" s="4" t="str">
        <f t="shared" si="220"/>
        <v/>
      </c>
      <c r="K2039" s="13" t="str">
        <f>_xlfn.SINGLE(IF(F2039="","",_xlfn.XLOOKUP(F2039,purchase!D:D,purchase!#REF!,"")))</f>
        <v/>
      </c>
      <c r="L2039" s="2"/>
      <c r="M2039" s="32"/>
      <c r="N2039" s="13" t="str">
        <f>IF(F2039="","",
MAX(0,
_xlfn.XLOOKUP(F2039,purchase!D:D,purchase!#REF!,"")
-
SUMIFS(L:L,F:F,F2039)))</f>
        <v/>
      </c>
      <c r="O2039" s="13" t="str">
        <f t="shared" si="221"/>
        <v/>
      </c>
      <c r="P2039" s="35" t="str">
        <f>_xlfn.SINGLE(IF(F2039="","",_xlfn.XLOOKUP(F2039,purchase!D:D,purchase!K:K,"")))</f>
        <v/>
      </c>
      <c r="Q2039" s="29" t="str">
        <f t="shared" si="222"/>
        <v/>
      </c>
      <c r="R2039" s="37" t="str">
        <f t="shared" si="223"/>
        <v/>
      </c>
    </row>
    <row r="2040" spans="1:18" x14ac:dyDescent="0.35">
      <c r="A2040" s="8">
        <v>2036</v>
      </c>
      <c r="B2040" s="9" t="str">
        <f t="shared" si="217"/>
        <v/>
      </c>
      <c r="C2040" s="10"/>
      <c r="D2040" s="9" t="str">
        <f>IF(F2040="","",_xlfn.XLOOKUP(F2040,purchase!D:D,purchase!#REF!,""))</f>
        <v/>
      </c>
      <c r="E2040" s="9" t="str">
        <f>IF(F2040="","",_xlfn.XLOOKUP(F2040,purchase!D:D,purchase!B:B,""))</f>
        <v/>
      </c>
      <c r="F2040" s="2"/>
      <c r="G2040" s="4" t="str">
        <f t="shared" si="218"/>
        <v/>
      </c>
      <c r="H2040" s="4" t="str">
        <f>IF(F2040="","",_xlfn.XLOOKUP(F2040,purchase!D:D,purchase!#REF!,""))</f>
        <v/>
      </c>
      <c r="I2040" s="4" t="str">
        <f t="shared" si="219"/>
        <v/>
      </c>
      <c r="J2040" s="4" t="str">
        <f t="shared" si="220"/>
        <v/>
      </c>
      <c r="K2040" s="13" t="str">
        <f>_xlfn.SINGLE(IF(F2040="","",_xlfn.XLOOKUP(F2040,purchase!D:D,purchase!#REF!,"")))</f>
        <v/>
      </c>
      <c r="L2040" s="2"/>
      <c r="M2040" s="32"/>
      <c r="N2040" s="13" t="str">
        <f>IF(F2040="","",
MAX(0,
_xlfn.XLOOKUP(F2040,purchase!D:D,purchase!#REF!,"")
-
SUMIFS(L:L,F:F,F2040)))</f>
        <v/>
      </c>
      <c r="O2040" s="13" t="str">
        <f t="shared" si="221"/>
        <v/>
      </c>
      <c r="P2040" s="35" t="str">
        <f>_xlfn.SINGLE(IF(F2040="","",_xlfn.XLOOKUP(F2040,purchase!D:D,purchase!K:K,"")))</f>
        <v/>
      </c>
      <c r="Q2040" s="29" t="str">
        <f t="shared" si="222"/>
        <v/>
      </c>
      <c r="R2040" s="37" t="str">
        <f t="shared" si="223"/>
        <v/>
      </c>
    </row>
    <row r="2041" spans="1:18" x14ac:dyDescent="0.35">
      <c r="A2041" s="8">
        <v>2037</v>
      </c>
      <c r="B2041" s="9" t="str">
        <f t="shared" si="217"/>
        <v/>
      </c>
      <c r="C2041" s="10"/>
      <c r="D2041" s="9" t="str">
        <f>IF(F2041="","",_xlfn.XLOOKUP(F2041,purchase!D:D,purchase!#REF!,""))</f>
        <v/>
      </c>
      <c r="E2041" s="9" t="str">
        <f>IF(F2041="","",_xlfn.XLOOKUP(F2041,purchase!D:D,purchase!B:B,""))</f>
        <v/>
      </c>
      <c r="F2041" s="2"/>
      <c r="G2041" s="4" t="str">
        <f t="shared" si="218"/>
        <v/>
      </c>
      <c r="H2041" s="4" t="str">
        <f>IF(F2041="","",_xlfn.XLOOKUP(F2041,purchase!D:D,purchase!#REF!,""))</f>
        <v/>
      </c>
      <c r="I2041" s="4" t="str">
        <f t="shared" si="219"/>
        <v/>
      </c>
      <c r="J2041" s="4" t="str">
        <f t="shared" si="220"/>
        <v/>
      </c>
      <c r="K2041" s="13" t="str">
        <f>_xlfn.SINGLE(IF(F2041="","",_xlfn.XLOOKUP(F2041,purchase!D:D,purchase!#REF!,"")))</f>
        <v/>
      </c>
      <c r="L2041" s="2"/>
      <c r="M2041" s="32"/>
      <c r="N2041" s="13" t="str">
        <f>IF(F2041="","",
MAX(0,
_xlfn.XLOOKUP(F2041,purchase!D:D,purchase!#REF!,"")
-
SUMIFS(L:L,F:F,F2041)))</f>
        <v/>
      </c>
      <c r="O2041" s="13" t="str">
        <f t="shared" si="221"/>
        <v/>
      </c>
      <c r="P2041" s="35" t="str">
        <f>_xlfn.SINGLE(IF(F2041="","",_xlfn.XLOOKUP(F2041,purchase!D:D,purchase!K:K,"")))</f>
        <v/>
      </c>
      <c r="Q2041" s="29" t="str">
        <f t="shared" si="222"/>
        <v/>
      </c>
      <c r="R2041" s="37" t="str">
        <f t="shared" si="223"/>
        <v/>
      </c>
    </row>
    <row r="2042" spans="1:18" x14ac:dyDescent="0.35">
      <c r="A2042" s="8">
        <v>2038</v>
      </c>
      <c r="B2042" s="9" t="str">
        <f t="shared" si="217"/>
        <v/>
      </c>
      <c r="C2042" s="10"/>
      <c r="D2042" s="9" t="str">
        <f>IF(F2042="","",_xlfn.XLOOKUP(F2042,purchase!D:D,purchase!#REF!,""))</f>
        <v/>
      </c>
      <c r="E2042" s="9" t="str">
        <f>IF(F2042="","",_xlfn.XLOOKUP(F2042,purchase!D:D,purchase!B:B,""))</f>
        <v/>
      </c>
      <c r="F2042" s="2"/>
      <c r="G2042" s="4" t="str">
        <f t="shared" si="218"/>
        <v/>
      </c>
      <c r="H2042" s="4" t="str">
        <f>IF(F2042="","",_xlfn.XLOOKUP(F2042,purchase!D:D,purchase!#REF!,""))</f>
        <v/>
      </c>
      <c r="I2042" s="4" t="str">
        <f t="shared" si="219"/>
        <v/>
      </c>
      <c r="J2042" s="4" t="str">
        <f t="shared" si="220"/>
        <v/>
      </c>
      <c r="K2042" s="13" t="str">
        <f>_xlfn.SINGLE(IF(F2042="","",_xlfn.XLOOKUP(F2042,purchase!D:D,purchase!#REF!,"")))</f>
        <v/>
      </c>
      <c r="L2042" s="2"/>
      <c r="M2042" s="32"/>
      <c r="N2042" s="13" t="str">
        <f>IF(F2042="","",
MAX(0,
_xlfn.XLOOKUP(F2042,purchase!D:D,purchase!#REF!,"")
-
SUMIFS(L:L,F:F,F2042)))</f>
        <v/>
      </c>
      <c r="O2042" s="13" t="str">
        <f t="shared" si="221"/>
        <v/>
      </c>
      <c r="P2042" s="35" t="str">
        <f>_xlfn.SINGLE(IF(F2042="","",_xlfn.XLOOKUP(F2042,purchase!D:D,purchase!K:K,"")))</f>
        <v/>
      </c>
      <c r="Q2042" s="29" t="str">
        <f t="shared" si="222"/>
        <v/>
      </c>
      <c r="R2042" s="37" t="str">
        <f t="shared" si="223"/>
        <v/>
      </c>
    </row>
    <row r="2043" spans="1:18" x14ac:dyDescent="0.35">
      <c r="A2043" s="8">
        <v>2039</v>
      </c>
      <c r="B2043" s="9" t="str">
        <f t="shared" si="217"/>
        <v/>
      </c>
      <c r="C2043" s="10"/>
      <c r="D2043" s="9" t="str">
        <f>IF(F2043="","",_xlfn.XLOOKUP(F2043,purchase!D:D,purchase!#REF!,""))</f>
        <v/>
      </c>
      <c r="E2043" s="9" t="str">
        <f>IF(F2043="","",_xlfn.XLOOKUP(F2043,purchase!D:D,purchase!B:B,""))</f>
        <v/>
      </c>
      <c r="F2043" s="2"/>
      <c r="G2043" s="4" t="str">
        <f t="shared" si="218"/>
        <v/>
      </c>
      <c r="H2043" s="4" t="str">
        <f>IF(F2043="","",_xlfn.XLOOKUP(F2043,purchase!D:D,purchase!#REF!,""))</f>
        <v/>
      </c>
      <c r="I2043" s="4" t="str">
        <f t="shared" si="219"/>
        <v/>
      </c>
      <c r="J2043" s="4" t="str">
        <f t="shared" si="220"/>
        <v/>
      </c>
      <c r="K2043" s="13" t="str">
        <f>_xlfn.SINGLE(IF(F2043="","",_xlfn.XLOOKUP(F2043,purchase!D:D,purchase!#REF!,"")))</f>
        <v/>
      </c>
      <c r="L2043" s="2"/>
      <c r="M2043" s="32"/>
      <c r="N2043" s="13" t="str">
        <f>IF(F2043="","",
MAX(0,
_xlfn.XLOOKUP(F2043,purchase!D:D,purchase!#REF!,"")
-
SUMIFS(L:L,F:F,F2043)))</f>
        <v/>
      </c>
      <c r="O2043" s="13" t="str">
        <f t="shared" si="221"/>
        <v/>
      </c>
      <c r="P2043" s="35" t="str">
        <f>_xlfn.SINGLE(IF(F2043="","",_xlfn.XLOOKUP(F2043,purchase!D:D,purchase!K:K,"")))</f>
        <v/>
      </c>
      <c r="Q2043" s="29" t="str">
        <f t="shared" si="222"/>
        <v/>
      </c>
      <c r="R2043" s="37" t="str">
        <f t="shared" si="223"/>
        <v/>
      </c>
    </row>
    <row r="2044" spans="1:18" x14ac:dyDescent="0.35">
      <c r="A2044" s="8">
        <v>2040</v>
      </c>
      <c r="B2044" s="9" t="str">
        <f t="shared" si="217"/>
        <v/>
      </c>
      <c r="C2044" s="10"/>
      <c r="D2044" s="9" t="str">
        <f>IF(F2044="","",_xlfn.XLOOKUP(F2044,purchase!D:D,purchase!#REF!,""))</f>
        <v/>
      </c>
      <c r="E2044" s="9" t="str">
        <f>IF(F2044="","",_xlfn.XLOOKUP(F2044,purchase!D:D,purchase!B:B,""))</f>
        <v/>
      </c>
      <c r="F2044" s="2"/>
      <c r="G2044" s="4" t="str">
        <f t="shared" si="218"/>
        <v/>
      </c>
      <c r="H2044" s="4" t="str">
        <f>IF(F2044="","",_xlfn.XLOOKUP(F2044,purchase!D:D,purchase!#REF!,""))</f>
        <v/>
      </c>
      <c r="I2044" s="4" t="str">
        <f t="shared" si="219"/>
        <v/>
      </c>
      <c r="J2044" s="4" t="str">
        <f t="shared" si="220"/>
        <v/>
      </c>
      <c r="K2044" s="13" t="str">
        <f>_xlfn.SINGLE(IF(F2044="","",_xlfn.XLOOKUP(F2044,purchase!D:D,purchase!#REF!,"")))</f>
        <v/>
      </c>
      <c r="L2044" s="2"/>
      <c r="M2044" s="32"/>
      <c r="N2044" s="13" t="str">
        <f>IF(F2044="","",
MAX(0,
_xlfn.XLOOKUP(F2044,purchase!D:D,purchase!#REF!,"")
-
SUMIFS(L:L,F:F,F2044)))</f>
        <v/>
      </c>
      <c r="O2044" s="13" t="str">
        <f t="shared" si="221"/>
        <v/>
      </c>
      <c r="P2044" s="35" t="str">
        <f>_xlfn.SINGLE(IF(F2044="","",_xlfn.XLOOKUP(F2044,purchase!D:D,purchase!K:K,"")))</f>
        <v/>
      </c>
      <c r="Q2044" s="29" t="str">
        <f t="shared" si="222"/>
        <v/>
      </c>
      <c r="R2044" s="37" t="str">
        <f t="shared" si="223"/>
        <v/>
      </c>
    </row>
    <row r="2045" spans="1:18" x14ac:dyDescent="0.35">
      <c r="A2045" s="8">
        <v>2041</v>
      </c>
      <c r="B2045" s="9" t="str">
        <f t="shared" si="217"/>
        <v/>
      </c>
      <c r="C2045" s="10"/>
      <c r="D2045" s="9" t="str">
        <f>IF(F2045="","",_xlfn.XLOOKUP(F2045,purchase!D:D,purchase!#REF!,""))</f>
        <v/>
      </c>
      <c r="E2045" s="9" t="str">
        <f>IF(F2045="","",_xlfn.XLOOKUP(F2045,purchase!D:D,purchase!B:B,""))</f>
        <v/>
      </c>
      <c r="F2045" s="2"/>
      <c r="G2045" s="4" t="str">
        <f t="shared" si="218"/>
        <v/>
      </c>
      <c r="H2045" s="4" t="str">
        <f>IF(F2045="","",_xlfn.XLOOKUP(F2045,purchase!D:D,purchase!#REF!,""))</f>
        <v/>
      </c>
      <c r="I2045" s="4" t="str">
        <f t="shared" si="219"/>
        <v/>
      </c>
      <c r="J2045" s="4" t="str">
        <f t="shared" si="220"/>
        <v/>
      </c>
      <c r="K2045" s="13" t="str">
        <f>_xlfn.SINGLE(IF(F2045="","",_xlfn.XLOOKUP(F2045,purchase!D:D,purchase!#REF!,"")))</f>
        <v/>
      </c>
      <c r="L2045" s="2"/>
      <c r="M2045" s="32"/>
      <c r="N2045" s="13" t="str">
        <f>IF(F2045="","",
MAX(0,
_xlfn.XLOOKUP(F2045,purchase!D:D,purchase!#REF!,"")
-
SUMIFS(L:L,F:F,F2045)))</f>
        <v/>
      </c>
      <c r="O2045" s="13" t="str">
        <f t="shared" si="221"/>
        <v/>
      </c>
      <c r="P2045" s="35" t="str">
        <f>_xlfn.SINGLE(IF(F2045="","",_xlfn.XLOOKUP(F2045,purchase!D:D,purchase!K:K,"")))</f>
        <v/>
      </c>
      <c r="Q2045" s="29" t="str">
        <f t="shared" si="222"/>
        <v/>
      </c>
      <c r="R2045" s="37" t="str">
        <f t="shared" si="223"/>
        <v/>
      </c>
    </row>
    <row r="2046" spans="1:18" x14ac:dyDescent="0.35">
      <c r="A2046" s="8">
        <v>2042</v>
      </c>
      <c r="B2046" s="9" t="str">
        <f t="shared" si="217"/>
        <v/>
      </c>
      <c r="C2046" s="10"/>
      <c r="D2046" s="9" t="str">
        <f>IF(F2046="","",_xlfn.XLOOKUP(F2046,purchase!D:D,purchase!#REF!,""))</f>
        <v/>
      </c>
      <c r="E2046" s="9" t="str">
        <f>IF(F2046="","",_xlfn.XLOOKUP(F2046,purchase!D:D,purchase!B:B,""))</f>
        <v/>
      </c>
      <c r="F2046" s="2"/>
      <c r="G2046" s="4" t="str">
        <f t="shared" si="218"/>
        <v/>
      </c>
      <c r="H2046" s="4" t="str">
        <f>IF(F2046="","",_xlfn.XLOOKUP(F2046,purchase!D:D,purchase!#REF!,""))</f>
        <v/>
      </c>
      <c r="I2046" s="4" t="str">
        <f t="shared" si="219"/>
        <v/>
      </c>
      <c r="J2046" s="4" t="str">
        <f t="shared" si="220"/>
        <v/>
      </c>
      <c r="K2046" s="13" t="str">
        <f>_xlfn.SINGLE(IF(F2046="","",_xlfn.XLOOKUP(F2046,purchase!D:D,purchase!#REF!,"")))</f>
        <v/>
      </c>
      <c r="L2046" s="2"/>
      <c r="M2046" s="32"/>
      <c r="N2046" s="13" t="str">
        <f>IF(F2046="","",
MAX(0,
_xlfn.XLOOKUP(F2046,purchase!D:D,purchase!#REF!,"")
-
SUMIFS(L:L,F:F,F2046)))</f>
        <v/>
      </c>
      <c r="O2046" s="13" t="str">
        <f t="shared" si="221"/>
        <v/>
      </c>
      <c r="P2046" s="35" t="str">
        <f>_xlfn.SINGLE(IF(F2046="","",_xlfn.XLOOKUP(F2046,purchase!D:D,purchase!K:K,"")))</f>
        <v/>
      </c>
      <c r="Q2046" s="29" t="str">
        <f t="shared" si="222"/>
        <v/>
      </c>
      <c r="R2046" s="37" t="str">
        <f t="shared" si="223"/>
        <v/>
      </c>
    </row>
    <row r="2047" spans="1:18" x14ac:dyDescent="0.35">
      <c r="A2047" s="8">
        <v>2043</v>
      </c>
      <c r="B2047" s="9" t="str">
        <f t="shared" si="217"/>
        <v/>
      </c>
      <c r="C2047" s="10"/>
      <c r="D2047" s="9" t="str">
        <f>IF(F2047="","",_xlfn.XLOOKUP(F2047,purchase!D:D,purchase!#REF!,""))</f>
        <v/>
      </c>
      <c r="E2047" s="9" t="str">
        <f>IF(F2047="","",_xlfn.XLOOKUP(F2047,purchase!D:D,purchase!B:B,""))</f>
        <v/>
      </c>
      <c r="F2047" s="2"/>
      <c r="G2047" s="4" t="str">
        <f t="shared" si="218"/>
        <v/>
      </c>
      <c r="H2047" s="4" t="str">
        <f>IF(F2047="","",_xlfn.XLOOKUP(F2047,purchase!D:D,purchase!#REF!,""))</f>
        <v/>
      </c>
      <c r="I2047" s="4" t="str">
        <f t="shared" si="219"/>
        <v/>
      </c>
      <c r="J2047" s="4" t="str">
        <f t="shared" si="220"/>
        <v/>
      </c>
      <c r="K2047" s="13" t="str">
        <f>_xlfn.SINGLE(IF(F2047="","",_xlfn.XLOOKUP(F2047,purchase!D:D,purchase!#REF!,"")))</f>
        <v/>
      </c>
      <c r="L2047" s="2"/>
      <c r="M2047" s="32"/>
      <c r="N2047" s="13" t="str">
        <f>IF(F2047="","",
MAX(0,
_xlfn.XLOOKUP(F2047,purchase!D:D,purchase!#REF!,"")
-
SUMIFS(L:L,F:F,F2047)))</f>
        <v/>
      </c>
      <c r="O2047" s="13" t="str">
        <f t="shared" si="221"/>
        <v/>
      </c>
      <c r="P2047" s="35" t="str">
        <f>_xlfn.SINGLE(IF(F2047="","",_xlfn.XLOOKUP(F2047,purchase!D:D,purchase!K:K,"")))</f>
        <v/>
      </c>
      <c r="Q2047" s="29" t="str">
        <f t="shared" si="222"/>
        <v/>
      </c>
      <c r="R2047" s="37" t="str">
        <f t="shared" si="223"/>
        <v/>
      </c>
    </row>
    <row r="2048" spans="1:18" x14ac:dyDescent="0.35">
      <c r="A2048" s="8">
        <v>2044</v>
      </c>
      <c r="B2048" s="9" t="str">
        <f t="shared" si="217"/>
        <v/>
      </c>
      <c r="C2048" s="10"/>
      <c r="D2048" s="9" t="str">
        <f>IF(F2048="","",_xlfn.XLOOKUP(F2048,purchase!D:D,purchase!#REF!,""))</f>
        <v/>
      </c>
      <c r="E2048" s="9" t="str">
        <f>IF(F2048="","",_xlfn.XLOOKUP(F2048,purchase!D:D,purchase!B:B,""))</f>
        <v/>
      </c>
      <c r="F2048" s="2"/>
      <c r="G2048" s="4" t="str">
        <f t="shared" si="218"/>
        <v/>
      </c>
      <c r="H2048" s="4" t="str">
        <f>IF(F2048="","",_xlfn.XLOOKUP(F2048,purchase!D:D,purchase!#REF!,""))</f>
        <v/>
      </c>
      <c r="I2048" s="4" t="str">
        <f t="shared" si="219"/>
        <v/>
      </c>
      <c r="J2048" s="4" t="str">
        <f t="shared" si="220"/>
        <v/>
      </c>
      <c r="K2048" s="13" t="str">
        <f>_xlfn.SINGLE(IF(F2048="","",_xlfn.XLOOKUP(F2048,purchase!D:D,purchase!#REF!,"")))</f>
        <v/>
      </c>
      <c r="L2048" s="2"/>
      <c r="M2048" s="32"/>
      <c r="N2048" s="13" t="str">
        <f>IF(F2048="","",
MAX(0,
_xlfn.XLOOKUP(F2048,purchase!D:D,purchase!#REF!,"")
-
SUMIFS(L:L,F:F,F2048)))</f>
        <v/>
      </c>
      <c r="O2048" s="13" t="str">
        <f t="shared" si="221"/>
        <v/>
      </c>
      <c r="P2048" s="35" t="str">
        <f>_xlfn.SINGLE(IF(F2048="","",_xlfn.XLOOKUP(F2048,purchase!D:D,purchase!K:K,"")))</f>
        <v/>
      </c>
      <c r="Q2048" s="29" t="str">
        <f t="shared" si="222"/>
        <v/>
      </c>
      <c r="R2048" s="37" t="str">
        <f t="shared" si="223"/>
        <v/>
      </c>
    </row>
    <row r="2049" spans="1:18" x14ac:dyDescent="0.35">
      <c r="A2049" s="8">
        <v>2045</v>
      </c>
      <c r="B2049" s="9" t="str">
        <f t="shared" si="217"/>
        <v/>
      </c>
      <c r="C2049" s="10"/>
      <c r="D2049" s="9" t="str">
        <f>IF(F2049="","",_xlfn.XLOOKUP(F2049,purchase!D:D,purchase!#REF!,""))</f>
        <v/>
      </c>
      <c r="E2049" s="9" t="str">
        <f>IF(F2049="","",_xlfn.XLOOKUP(F2049,purchase!D:D,purchase!B:B,""))</f>
        <v/>
      </c>
      <c r="F2049" s="2"/>
      <c r="G2049" s="4" t="str">
        <f t="shared" si="218"/>
        <v/>
      </c>
      <c r="H2049" s="4" t="str">
        <f>IF(F2049="","",_xlfn.XLOOKUP(F2049,purchase!D:D,purchase!#REF!,""))</f>
        <v/>
      </c>
      <c r="I2049" s="4" t="str">
        <f t="shared" si="219"/>
        <v/>
      </c>
      <c r="J2049" s="4" t="str">
        <f t="shared" si="220"/>
        <v/>
      </c>
      <c r="K2049" s="13" t="str">
        <f>_xlfn.SINGLE(IF(F2049="","",_xlfn.XLOOKUP(F2049,purchase!D:D,purchase!#REF!,"")))</f>
        <v/>
      </c>
      <c r="L2049" s="2"/>
      <c r="M2049" s="32"/>
      <c r="N2049" s="13" t="str">
        <f>IF(F2049="","",
MAX(0,
_xlfn.XLOOKUP(F2049,purchase!D:D,purchase!#REF!,"")
-
SUMIFS(L:L,F:F,F2049)))</f>
        <v/>
      </c>
      <c r="O2049" s="13" t="str">
        <f t="shared" si="221"/>
        <v/>
      </c>
      <c r="P2049" s="35" t="str">
        <f>_xlfn.SINGLE(IF(F2049="","",_xlfn.XLOOKUP(F2049,purchase!D:D,purchase!K:K,"")))</f>
        <v/>
      </c>
      <c r="Q2049" s="29" t="str">
        <f t="shared" si="222"/>
        <v/>
      </c>
      <c r="R2049" s="37" t="str">
        <f t="shared" si="223"/>
        <v/>
      </c>
    </row>
    <row r="2050" spans="1:18" x14ac:dyDescent="0.35">
      <c r="A2050" s="8">
        <v>2046</v>
      </c>
      <c r="B2050" s="9" t="str">
        <f t="shared" si="217"/>
        <v/>
      </c>
      <c r="C2050" s="10"/>
      <c r="D2050" s="9" t="str">
        <f>IF(F2050="","",_xlfn.XLOOKUP(F2050,purchase!D:D,purchase!#REF!,""))</f>
        <v/>
      </c>
      <c r="E2050" s="9" t="str">
        <f>IF(F2050="","",_xlfn.XLOOKUP(F2050,purchase!D:D,purchase!B:B,""))</f>
        <v/>
      </c>
      <c r="F2050" s="2"/>
      <c r="G2050" s="4" t="str">
        <f t="shared" si="218"/>
        <v/>
      </c>
      <c r="H2050" s="4" t="str">
        <f>IF(F2050="","",_xlfn.XLOOKUP(F2050,purchase!D:D,purchase!#REF!,""))</f>
        <v/>
      </c>
      <c r="I2050" s="4" t="str">
        <f t="shared" si="219"/>
        <v/>
      </c>
      <c r="J2050" s="4" t="str">
        <f t="shared" si="220"/>
        <v/>
      </c>
      <c r="K2050" s="13" t="str">
        <f>_xlfn.SINGLE(IF(F2050="","",_xlfn.XLOOKUP(F2050,purchase!D:D,purchase!#REF!,"")))</f>
        <v/>
      </c>
      <c r="L2050" s="2"/>
      <c r="M2050" s="32"/>
      <c r="N2050" s="13" t="str">
        <f>IF(F2050="","",
MAX(0,
_xlfn.XLOOKUP(F2050,purchase!D:D,purchase!#REF!,"")
-
SUMIFS(L:L,F:F,F2050)))</f>
        <v/>
      </c>
      <c r="O2050" s="13" t="str">
        <f t="shared" si="221"/>
        <v/>
      </c>
      <c r="P2050" s="35" t="str">
        <f>_xlfn.SINGLE(IF(F2050="","",_xlfn.XLOOKUP(F2050,purchase!D:D,purchase!K:K,"")))</f>
        <v/>
      </c>
      <c r="Q2050" s="29" t="str">
        <f t="shared" si="222"/>
        <v/>
      </c>
      <c r="R2050" s="37" t="str">
        <f t="shared" si="223"/>
        <v/>
      </c>
    </row>
    <row r="2051" spans="1:18" x14ac:dyDescent="0.35">
      <c r="A2051" s="8">
        <v>2047</v>
      </c>
      <c r="B2051" s="9" t="str">
        <f t="shared" si="217"/>
        <v/>
      </c>
      <c r="C2051" s="10"/>
      <c r="D2051" s="9" t="str">
        <f>IF(F2051="","",_xlfn.XLOOKUP(F2051,purchase!D:D,purchase!#REF!,""))</f>
        <v/>
      </c>
      <c r="E2051" s="9" t="str">
        <f>IF(F2051="","",_xlfn.XLOOKUP(F2051,purchase!D:D,purchase!B:B,""))</f>
        <v/>
      </c>
      <c r="F2051" s="2"/>
      <c r="G2051" s="4" t="str">
        <f t="shared" si="218"/>
        <v/>
      </c>
      <c r="H2051" s="4" t="str">
        <f>IF(F2051="","",_xlfn.XLOOKUP(F2051,purchase!D:D,purchase!#REF!,""))</f>
        <v/>
      </c>
      <c r="I2051" s="4" t="str">
        <f t="shared" si="219"/>
        <v/>
      </c>
      <c r="J2051" s="4" t="str">
        <f t="shared" si="220"/>
        <v/>
      </c>
      <c r="K2051" s="13" t="str">
        <f>_xlfn.SINGLE(IF(F2051="","",_xlfn.XLOOKUP(F2051,purchase!D:D,purchase!#REF!,"")))</f>
        <v/>
      </c>
      <c r="L2051" s="2"/>
      <c r="M2051" s="32"/>
      <c r="N2051" s="13" t="str">
        <f>IF(F2051="","",
MAX(0,
_xlfn.XLOOKUP(F2051,purchase!D:D,purchase!#REF!,"")
-
SUMIFS(L:L,F:F,F2051)))</f>
        <v/>
      </c>
      <c r="O2051" s="13" t="str">
        <f t="shared" si="221"/>
        <v/>
      </c>
      <c r="P2051" s="35" t="str">
        <f>_xlfn.SINGLE(IF(F2051="","",_xlfn.XLOOKUP(F2051,purchase!D:D,purchase!K:K,"")))</f>
        <v/>
      </c>
      <c r="Q2051" s="29" t="str">
        <f t="shared" si="222"/>
        <v/>
      </c>
      <c r="R2051" s="37" t="str">
        <f t="shared" si="223"/>
        <v/>
      </c>
    </row>
    <row r="2052" spans="1:18" x14ac:dyDescent="0.35">
      <c r="A2052" s="8">
        <v>2048</v>
      </c>
      <c r="B2052" s="9" t="str">
        <f t="shared" si="217"/>
        <v/>
      </c>
      <c r="C2052" s="10"/>
      <c r="D2052" s="9" t="str">
        <f>IF(F2052="","",_xlfn.XLOOKUP(F2052,purchase!D:D,purchase!#REF!,""))</f>
        <v/>
      </c>
      <c r="E2052" s="9" t="str">
        <f>IF(F2052="","",_xlfn.XLOOKUP(F2052,purchase!D:D,purchase!B:B,""))</f>
        <v/>
      </c>
      <c r="F2052" s="2"/>
      <c r="G2052" s="4" t="str">
        <f t="shared" si="218"/>
        <v/>
      </c>
      <c r="H2052" s="4" t="str">
        <f>IF(F2052="","",_xlfn.XLOOKUP(F2052,purchase!D:D,purchase!#REF!,""))</f>
        <v/>
      </c>
      <c r="I2052" s="4" t="str">
        <f t="shared" si="219"/>
        <v/>
      </c>
      <c r="J2052" s="4" t="str">
        <f t="shared" si="220"/>
        <v/>
      </c>
      <c r="K2052" s="13" t="str">
        <f>_xlfn.SINGLE(IF(F2052="","",_xlfn.XLOOKUP(F2052,purchase!D:D,purchase!#REF!,"")))</f>
        <v/>
      </c>
      <c r="L2052" s="2"/>
      <c r="M2052" s="32"/>
      <c r="N2052" s="13" t="str">
        <f>IF(F2052="","",
MAX(0,
_xlfn.XLOOKUP(F2052,purchase!D:D,purchase!#REF!,"")
-
SUMIFS(L:L,F:F,F2052)))</f>
        <v/>
      </c>
      <c r="O2052" s="13" t="str">
        <f t="shared" si="221"/>
        <v/>
      </c>
      <c r="P2052" s="35" t="str">
        <f>_xlfn.SINGLE(IF(F2052="","",_xlfn.XLOOKUP(F2052,purchase!D:D,purchase!K:K,"")))</f>
        <v/>
      </c>
      <c r="Q2052" s="29" t="str">
        <f t="shared" si="222"/>
        <v/>
      </c>
      <c r="R2052" s="37" t="str">
        <f t="shared" si="223"/>
        <v/>
      </c>
    </row>
    <row r="2053" spans="1:18" x14ac:dyDescent="0.35">
      <c r="A2053" s="8">
        <v>2049</v>
      </c>
      <c r="B2053" s="9" t="str">
        <f t="shared" ref="B2053:B2116" si="224">IF(OR(C2053="",F2053=""),"",
"PRD-" &amp;
TEXT(DAY(C2053),"00") &amp;
CHOOSE(MONTH(C2053),"A","B","C","D","E","F","G","H","I","J","K","L") &amp;
TEXT(YEAR(C2053),"00") &amp;
"-" &amp;
RIGHT(F2053,4))</f>
        <v/>
      </c>
      <c r="C2053" s="10"/>
      <c r="D2053" s="9" t="str">
        <f>IF(F2053="","",_xlfn.XLOOKUP(F2053,purchase!D:D,purchase!#REF!,""))</f>
        <v/>
      </c>
      <c r="E2053" s="9" t="str">
        <f>IF(F2053="","",_xlfn.XLOOKUP(F2053,purchase!D:D,purchase!B:B,""))</f>
        <v/>
      </c>
      <c r="F2053" s="2"/>
      <c r="G2053" s="4" t="str">
        <f t="shared" ref="G2053:G2116" si="225">IF(H2053="NRFC","Natural Rubber Field Coagulam","")</f>
        <v/>
      </c>
      <c r="H2053" s="4" t="str">
        <f>IF(F2053="","",_xlfn.XLOOKUP(F2053,purchase!D:D,purchase!#REF!,""))</f>
        <v/>
      </c>
      <c r="I2053" s="4" t="str">
        <f t="shared" ref="I2053:I2116" si="226">IF(J2053="ISNR20","Natural Rubber-TSNR (ISNR-20)","")</f>
        <v/>
      </c>
      <c r="J2053" s="4" t="str">
        <f t="shared" ref="J2053:J2116" si="227">IF(H2053="NRFC","ISNR20","")</f>
        <v/>
      </c>
      <c r="K2053" s="13" t="str">
        <f>_xlfn.SINGLE(IF(F2053="","",_xlfn.XLOOKUP(F2053,purchase!D:D,purchase!#REF!,"")))</f>
        <v/>
      </c>
      <c r="L2053" s="2"/>
      <c r="M2053" s="32"/>
      <c r="N2053" s="13" t="str">
        <f>IF(F2053="","",
MAX(0,
_xlfn.XLOOKUP(F2053,purchase!D:D,purchase!#REF!,"")
-
SUMIFS(L:L,F:F,F2053)))</f>
        <v/>
      </c>
      <c r="O2053" s="13" t="str">
        <f t="shared" ref="O2053:O2116" si="228">IF(OR(L2053="",M2053=""),"",L2053-M2053)</f>
        <v/>
      </c>
      <c r="P2053" s="35" t="str">
        <f>_xlfn.SINGLE(IF(F2053="","",_xlfn.XLOOKUP(F2053,purchase!D:D,purchase!K:K,"")))</f>
        <v/>
      </c>
      <c r="Q2053" s="29" t="str">
        <f t="shared" ref="Q2053:Q2116" si="229">IF(OR(L2053="",M2053=""),"",M2053/L2053)</f>
        <v/>
      </c>
      <c r="R2053" s="37" t="str">
        <f t="shared" ref="R2053:R2116" si="230">IF(OR(P2053="",Q2053=""),"",Q2053-P2053)</f>
        <v/>
      </c>
    </row>
    <row r="2054" spans="1:18" x14ac:dyDescent="0.35">
      <c r="A2054" s="8">
        <v>2050</v>
      </c>
      <c r="B2054" s="9" t="str">
        <f t="shared" si="224"/>
        <v/>
      </c>
      <c r="C2054" s="10"/>
      <c r="D2054" s="9" t="str">
        <f>IF(F2054="","",_xlfn.XLOOKUP(F2054,purchase!D:D,purchase!#REF!,""))</f>
        <v/>
      </c>
      <c r="E2054" s="9" t="str">
        <f>IF(F2054="","",_xlfn.XLOOKUP(F2054,purchase!D:D,purchase!B:B,""))</f>
        <v/>
      </c>
      <c r="F2054" s="2"/>
      <c r="G2054" s="4" t="str">
        <f t="shared" si="225"/>
        <v/>
      </c>
      <c r="H2054" s="4" t="str">
        <f>IF(F2054="","",_xlfn.XLOOKUP(F2054,purchase!D:D,purchase!#REF!,""))</f>
        <v/>
      </c>
      <c r="I2054" s="4" t="str">
        <f t="shared" si="226"/>
        <v/>
      </c>
      <c r="J2054" s="4" t="str">
        <f t="shared" si="227"/>
        <v/>
      </c>
      <c r="K2054" s="13" t="str">
        <f>_xlfn.SINGLE(IF(F2054="","",_xlfn.XLOOKUP(F2054,purchase!D:D,purchase!#REF!,"")))</f>
        <v/>
      </c>
      <c r="L2054" s="2"/>
      <c r="M2054" s="32"/>
      <c r="N2054" s="13" t="str">
        <f>IF(F2054="","",
MAX(0,
_xlfn.XLOOKUP(F2054,purchase!D:D,purchase!#REF!,"")
-
SUMIFS(L:L,F:F,F2054)))</f>
        <v/>
      </c>
      <c r="O2054" s="13" t="str">
        <f t="shared" si="228"/>
        <v/>
      </c>
      <c r="P2054" s="35" t="str">
        <f>_xlfn.SINGLE(IF(F2054="","",_xlfn.XLOOKUP(F2054,purchase!D:D,purchase!K:K,"")))</f>
        <v/>
      </c>
      <c r="Q2054" s="29" t="str">
        <f t="shared" si="229"/>
        <v/>
      </c>
      <c r="R2054" s="37" t="str">
        <f t="shared" si="230"/>
        <v/>
      </c>
    </row>
    <row r="2055" spans="1:18" x14ac:dyDescent="0.35">
      <c r="A2055" s="8">
        <v>2051</v>
      </c>
      <c r="B2055" s="9" t="str">
        <f t="shared" si="224"/>
        <v/>
      </c>
      <c r="C2055" s="10"/>
      <c r="D2055" s="9" t="str">
        <f>IF(F2055="","",_xlfn.XLOOKUP(F2055,purchase!D:D,purchase!#REF!,""))</f>
        <v/>
      </c>
      <c r="E2055" s="9" t="str">
        <f>IF(F2055="","",_xlfn.XLOOKUP(F2055,purchase!D:D,purchase!B:B,""))</f>
        <v/>
      </c>
      <c r="F2055" s="2"/>
      <c r="G2055" s="4" t="str">
        <f t="shared" si="225"/>
        <v/>
      </c>
      <c r="H2055" s="4" t="str">
        <f>IF(F2055="","",_xlfn.XLOOKUP(F2055,purchase!D:D,purchase!#REF!,""))</f>
        <v/>
      </c>
      <c r="I2055" s="4" t="str">
        <f t="shared" si="226"/>
        <v/>
      </c>
      <c r="J2055" s="4" t="str">
        <f t="shared" si="227"/>
        <v/>
      </c>
      <c r="K2055" s="13" t="str">
        <f>_xlfn.SINGLE(IF(F2055="","",_xlfn.XLOOKUP(F2055,purchase!D:D,purchase!#REF!,"")))</f>
        <v/>
      </c>
      <c r="L2055" s="2"/>
      <c r="M2055" s="32"/>
      <c r="N2055" s="13" t="str">
        <f>IF(F2055="","",
MAX(0,
_xlfn.XLOOKUP(F2055,purchase!D:D,purchase!#REF!,"")
-
SUMIFS(L:L,F:F,F2055)))</f>
        <v/>
      </c>
      <c r="O2055" s="13" t="str">
        <f t="shared" si="228"/>
        <v/>
      </c>
      <c r="P2055" s="35" t="str">
        <f>_xlfn.SINGLE(IF(F2055="","",_xlfn.XLOOKUP(F2055,purchase!D:D,purchase!K:K,"")))</f>
        <v/>
      </c>
      <c r="Q2055" s="29" t="str">
        <f t="shared" si="229"/>
        <v/>
      </c>
      <c r="R2055" s="37" t="str">
        <f t="shared" si="230"/>
        <v/>
      </c>
    </row>
    <row r="2056" spans="1:18" x14ac:dyDescent="0.35">
      <c r="A2056" s="8">
        <v>2052</v>
      </c>
      <c r="B2056" s="9" t="str">
        <f t="shared" si="224"/>
        <v/>
      </c>
      <c r="C2056" s="10"/>
      <c r="D2056" s="9" t="str">
        <f>IF(F2056="","",_xlfn.XLOOKUP(F2056,purchase!D:D,purchase!#REF!,""))</f>
        <v/>
      </c>
      <c r="E2056" s="9" t="str">
        <f>IF(F2056="","",_xlfn.XLOOKUP(F2056,purchase!D:D,purchase!B:B,""))</f>
        <v/>
      </c>
      <c r="F2056" s="2"/>
      <c r="G2056" s="4" t="str">
        <f t="shared" si="225"/>
        <v/>
      </c>
      <c r="H2056" s="4" t="str">
        <f>IF(F2056="","",_xlfn.XLOOKUP(F2056,purchase!D:D,purchase!#REF!,""))</f>
        <v/>
      </c>
      <c r="I2056" s="4" t="str">
        <f t="shared" si="226"/>
        <v/>
      </c>
      <c r="J2056" s="4" t="str">
        <f t="shared" si="227"/>
        <v/>
      </c>
      <c r="K2056" s="13" t="str">
        <f>_xlfn.SINGLE(IF(F2056="","",_xlfn.XLOOKUP(F2056,purchase!D:D,purchase!#REF!,"")))</f>
        <v/>
      </c>
      <c r="L2056" s="2"/>
      <c r="M2056" s="32"/>
      <c r="N2056" s="13" t="str">
        <f>IF(F2056="","",
MAX(0,
_xlfn.XLOOKUP(F2056,purchase!D:D,purchase!#REF!,"")
-
SUMIFS(L:L,F:F,F2056)))</f>
        <v/>
      </c>
      <c r="O2056" s="13" t="str">
        <f t="shared" si="228"/>
        <v/>
      </c>
      <c r="P2056" s="35" t="str">
        <f>_xlfn.SINGLE(IF(F2056="","",_xlfn.XLOOKUP(F2056,purchase!D:D,purchase!K:K,"")))</f>
        <v/>
      </c>
      <c r="Q2056" s="29" t="str">
        <f t="shared" si="229"/>
        <v/>
      </c>
      <c r="R2056" s="37" t="str">
        <f t="shared" si="230"/>
        <v/>
      </c>
    </row>
    <row r="2057" spans="1:18" x14ac:dyDescent="0.35">
      <c r="A2057" s="8">
        <v>2053</v>
      </c>
      <c r="B2057" s="9" t="str">
        <f t="shared" si="224"/>
        <v/>
      </c>
      <c r="C2057" s="10"/>
      <c r="D2057" s="9" t="str">
        <f>IF(F2057="","",_xlfn.XLOOKUP(F2057,purchase!D:D,purchase!#REF!,""))</f>
        <v/>
      </c>
      <c r="E2057" s="9" t="str">
        <f>IF(F2057="","",_xlfn.XLOOKUP(F2057,purchase!D:D,purchase!B:B,""))</f>
        <v/>
      </c>
      <c r="F2057" s="2"/>
      <c r="G2057" s="4" t="str">
        <f t="shared" si="225"/>
        <v/>
      </c>
      <c r="H2057" s="4" t="str">
        <f>IF(F2057="","",_xlfn.XLOOKUP(F2057,purchase!D:D,purchase!#REF!,""))</f>
        <v/>
      </c>
      <c r="I2057" s="4" t="str">
        <f t="shared" si="226"/>
        <v/>
      </c>
      <c r="J2057" s="4" t="str">
        <f t="shared" si="227"/>
        <v/>
      </c>
      <c r="K2057" s="13" t="str">
        <f>_xlfn.SINGLE(IF(F2057="","",_xlfn.XLOOKUP(F2057,purchase!D:D,purchase!#REF!,"")))</f>
        <v/>
      </c>
      <c r="L2057" s="2"/>
      <c r="M2057" s="32"/>
      <c r="N2057" s="13" t="str">
        <f>IF(F2057="","",
MAX(0,
_xlfn.XLOOKUP(F2057,purchase!D:D,purchase!#REF!,"")
-
SUMIFS(L:L,F:F,F2057)))</f>
        <v/>
      </c>
      <c r="O2057" s="13" t="str">
        <f t="shared" si="228"/>
        <v/>
      </c>
      <c r="P2057" s="35" t="str">
        <f>_xlfn.SINGLE(IF(F2057="","",_xlfn.XLOOKUP(F2057,purchase!D:D,purchase!K:K,"")))</f>
        <v/>
      </c>
      <c r="Q2057" s="29" t="str">
        <f t="shared" si="229"/>
        <v/>
      </c>
      <c r="R2057" s="37" t="str">
        <f t="shared" si="230"/>
        <v/>
      </c>
    </row>
    <row r="2058" spans="1:18" x14ac:dyDescent="0.35">
      <c r="A2058" s="8">
        <v>2054</v>
      </c>
      <c r="B2058" s="9" t="str">
        <f t="shared" si="224"/>
        <v/>
      </c>
      <c r="C2058" s="10"/>
      <c r="D2058" s="9" t="str">
        <f>IF(F2058="","",_xlfn.XLOOKUP(F2058,purchase!D:D,purchase!#REF!,""))</f>
        <v/>
      </c>
      <c r="E2058" s="9" t="str">
        <f>IF(F2058="","",_xlfn.XLOOKUP(F2058,purchase!D:D,purchase!B:B,""))</f>
        <v/>
      </c>
      <c r="F2058" s="2"/>
      <c r="G2058" s="4" t="str">
        <f t="shared" si="225"/>
        <v/>
      </c>
      <c r="H2058" s="4" t="str">
        <f>IF(F2058="","",_xlfn.XLOOKUP(F2058,purchase!D:D,purchase!#REF!,""))</f>
        <v/>
      </c>
      <c r="I2058" s="4" t="str">
        <f t="shared" si="226"/>
        <v/>
      </c>
      <c r="J2058" s="4" t="str">
        <f t="shared" si="227"/>
        <v/>
      </c>
      <c r="K2058" s="13" t="str">
        <f>_xlfn.SINGLE(IF(F2058="","",_xlfn.XLOOKUP(F2058,purchase!D:D,purchase!#REF!,"")))</f>
        <v/>
      </c>
      <c r="L2058" s="2"/>
      <c r="M2058" s="32"/>
      <c r="N2058" s="13" t="str">
        <f>IF(F2058="","",
MAX(0,
_xlfn.XLOOKUP(F2058,purchase!D:D,purchase!#REF!,"")
-
SUMIFS(L:L,F:F,F2058)))</f>
        <v/>
      </c>
      <c r="O2058" s="13" t="str">
        <f t="shared" si="228"/>
        <v/>
      </c>
      <c r="P2058" s="35" t="str">
        <f>_xlfn.SINGLE(IF(F2058="","",_xlfn.XLOOKUP(F2058,purchase!D:D,purchase!K:K,"")))</f>
        <v/>
      </c>
      <c r="Q2058" s="29" t="str">
        <f t="shared" si="229"/>
        <v/>
      </c>
      <c r="R2058" s="37" t="str">
        <f t="shared" si="230"/>
        <v/>
      </c>
    </row>
    <row r="2059" spans="1:18" x14ac:dyDescent="0.35">
      <c r="A2059" s="8">
        <v>2055</v>
      </c>
      <c r="B2059" s="9" t="str">
        <f t="shared" si="224"/>
        <v/>
      </c>
      <c r="C2059" s="10"/>
      <c r="D2059" s="9" t="str">
        <f>IF(F2059="","",_xlfn.XLOOKUP(F2059,purchase!D:D,purchase!#REF!,""))</f>
        <v/>
      </c>
      <c r="E2059" s="9" t="str">
        <f>IF(F2059="","",_xlfn.XLOOKUP(F2059,purchase!D:D,purchase!B:B,""))</f>
        <v/>
      </c>
      <c r="F2059" s="2"/>
      <c r="G2059" s="4" t="str">
        <f t="shared" si="225"/>
        <v/>
      </c>
      <c r="H2059" s="4" t="str">
        <f>IF(F2059="","",_xlfn.XLOOKUP(F2059,purchase!D:D,purchase!#REF!,""))</f>
        <v/>
      </c>
      <c r="I2059" s="4" t="str">
        <f t="shared" si="226"/>
        <v/>
      </c>
      <c r="J2059" s="4" t="str">
        <f t="shared" si="227"/>
        <v/>
      </c>
      <c r="K2059" s="13" t="str">
        <f>_xlfn.SINGLE(IF(F2059="","",_xlfn.XLOOKUP(F2059,purchase!D:D,purchase!#REF!,"")))</f>
        <v/>
      </c>
      <c r="L2059" s="2"/>
      <c r="M2059" s="32"/>
      <c r="N2059" s="13" t="str">
        <f>IF(F2059="","",
MAX(0,
_xlfn.XLOOKUP(F2059,purchase!D:D,purchase!#REF!,"")
-
SUMIFS(L:L,F:F,F2059)))</f>
        <v/>
      </c>
      <c r="O2059" s="13" t="str">
        <f t="shared" si="228"/>
        <v/>
      </c>
      <c r="P2059" s="35" t="str">
        <f>_xlfn.SINGLE(IF(F2059="","",_xlfn.XLOOKUP(F2059,purchase!D:D,purchase!K:K,"")))</f>
        <v/>
      </c>
      <c r="Q2059" s="29" t="str">
        <f t="shared" si="229"/>
        <v/>
      </c>
      <c r="R2059" s="37" t="str">
        <f t="shared" si="230"/>
        <v/>
      </c>
    </row>
    <row r="2060" spans="1:18" x14ac:dyDescent="0.35">
      <c r="A2060" s="8">
        <v>2056</v>
      </c>
      <c r="B2060" s="9" t="str">
        <f t="shared" si="224"/>
        <v/>
      </c>
      <c r="C2060" s="10"/>
      <c r="D2060" s="9" t="str">
        <f>IF(F2060="","",_xlfn.XLOOKUP(F2060,purchase!D:D,purchase!#REF!,""))</f>
        <v/>
      </c>
      <c r="E2060" s="9" t="str">
        <f>IF(F2060="","",_xlfn.XLOOKUP(F2060,purchase!D:D,purchase!B:B,""))</f>
        <v/>
      </c>
      <c r="F2060" s="2"/>
      <c r="G2060" s="4" t="str">
        <f t="shared" si="225"/>
        <v/>
      </c>
      <c r="H2060" s="4" t="str">
        <f>IF(F2060="","",_xlfn.XLOOKUP(F2060,purchase!D:D,purchase!#REF!,""))</f>
        <v/>
      </c>
      <c r="I2060" s="4" t="str">
        <f t="shared" si="226"/>
        <v/>
      </c>
      <c r="J2060" s="4" t="str">
        <f t="shared" si="227"/>
        <v/>
      </c>
      <c r="K2060" s="13" t="str">
        <f>_xlfn.SINGLE(IF(F2060="","",_xlfn.XLOOKUP(F2060,purchase!D:D,purchase!#REF!,"")))</f>
        <v/>
      </c>
      <c r="L2060" s="2"/>
      <c r="M2060" s="32"/>
      <c r="N2060" s="13" t="str">
        <f>IF(F2060="","",
MAX(0,
_xlfn.XLOOKUP(F2060,purchase!D:D,purchase!#REF!,"")
-
SUMIFS(L:L,F:F,F2060)))</f>
        <v/>
      </c>
      <c r="O2060" s="13" t="str">
        <f t="shared" si="228"/>
        <v/>
      </c>
      <c r="P2060" s="35" t="str">
        <f>_xlfn.SINGLE(IF(F2060="","",_xlfn.XLOOKUP(F2060,purchase!D:D,purchase!K:K,"")))</f>
        <v/>
      </c>
      <c r="Q2060" s="29" t="str">
        <f t="shared" si="229"/>
        <v/>
      </c>
      <c r="R2060" s="37" t="str">
        <f t="shared" si="230"/>
        <v/>
      </c>
    </row>
    <row r="2061" spans="1:18" x14ac:dyDescent="0.35">
      <c r="A2061" s="8">
        <v>2057</v>
      </c>
      <c r="B2061" s="9" t="str">
        <f t="shared" si="224"/>
        <v/>
      </c>
      <c r="C2061" s="10"/>
      <c r="D2061" s="9" t="str">
        <f>IF(F2061="","",_xlfn.XLOOKUP(F2061,purchase!D:D,purchase!#REF!,""))</f>
        <v/>
      </c>
      <c r="E2061" s="9" t="str">
        <f>IF(F2061="","",_xlfn.XLOOKUP(F2061,purchase!D:D,purchase!B:B,""))</f>
        <v/>
      </c>
      <c r="F2061" s="2"/>
      <c r="G2061" s="4" t="str">
        <f t="shared" si="225"/>
        <v/>
      </c>
      <c r="H2061" s="4" t="str">
        <f>IF(F2061="","",_xlfn.XLOOKUP(F2061,purchase!D:D,purchase!#REF!,""))</f>
        <v/>
      </c>
      <c r="I2061" s="4" t="str">
        <f t="shared" si="226"/>
        <v/>
      </c>
      <c r="J2061" s="4" t="str">
        <f t="shared" si="227"/>
        <v/>
      </c>
      <c r="K2061" s="13" t="str">
        <f>_xlfn.SINGLE(IF(F2061="","",_xlfn.XLOOKUP(F2061,purchase!D:D,purchase!#REF!,"")))</f>
        <v/>
      </c>
      <c r="L2061" s="2"/>
      <c r="M2061" s="32"/>
      <c r="N2061" s="13" t="str">
        <f>IF(F2061="","",
MAX(0,
_xlfn.XLOOKUP(F2061,purchase!D:D,purchase!#REF!,"")
-
SUMIFS(L:L,F:F,F2061)))</f>
        <v/>
      </c>
      <c r="O2061" s="13" t="str">
        <f t="shared" si="228"/>
        <v/>
      </c>
      <c r="P2061" s="35" t="str">
        <f>_xlfn.SINGLE(IF(F2061="","",_xlfn.XLOOKUP(F2061,purchase!D:D,purchase!K:K,"")))</f>
        <v/>
      </c>
      <c r="Q2061" s="29" t="str">
        <f t="shared" si="229"/>
        <v/>
      </c>
      <c r="R2061" s="37" t="str">
        <f t="shared" si="230"/>
        <v/>
      </c>
    </row>
    <row r="2062" spans="1:18" x14ac:dyDescent="0.35">
      <c r="A2062" s="8">
        <v>2058</v>
      </c>
      <c r="B2062" s="9" t="str">
        <f t="shared" si="224"/>
        <v/>
      </c>
      <c r="C2062" s="10"/>
      <c r="D2062" s="9" t="str">
        <f>IF(F2062="","",_xlfn.XLOOKUP(F2062,purchase!D:D,purchase!#REF!,""))</f>
        <v/>
      </c>
      <c r="E2062" s="9" t="str">
        <f>IF(F2062="","",_xlfn.XLOOKUP(F2062,purchase!D:D,purchase!B:B,""))</f>
        <v/>
      </c>
      <c r="F2062" s="2"/>
      <c r="G2062" s="4" t="str">
        <f t="shared" si="225"/>
        <v/>
      </c>
      <c r="H2062" s="4" t="str">
        <f>IF(F2062="","",_xlfn.XLOOKUP(F2062,purchase!D:D,purchase!#REF!,""))</f>
        <v/>
      </c>
      <c r="I2062" s="4" t="str">
        <f t="shared" si="226"/>
        <v/>
      </c>
      <c r="J2062" s="4" t="str">
        <f t="shared" si="227"/>
        <v/>
      </c>
      <c r="K2062" s="13" t="str">
        <f>_xlfn.SINGLE(IF(F2062="","",_xlfn.XLOOKUP(F2062,purchase!D:D,purchase!#REF!,"")))</f>
        <v/>
      </c>
      <c r="L2062" s="2"/>
      <c r="M2062" s="32"/>
      <c r="N2062" s="13" t="str">
        <f>IF(F2062="","",
MAX(0,
_xlfn.XLOOKUP(F2062,purchase!D:D,purchase!#REF!,"")
-
SUMIFS(L:L,F:F,F2062)))</f>
        <v/>
      </c>
      <c r="O2062" s="13" t="str">
        <f t="shared" si="228"/>
        <v/>
      </c>
      <c r="P2062" s="35" t="str">
        <f>_xlfn.SINGLE(IF(F2062="","",_xlfn.XLOOKUP(F2062,purchase!D:D,purchase!K:K,"")))</f>
        <v/>
      </c>
      <c r="Q2062" s="29" t="str">
        <f t="shared" si="229"/>
        <v/>
      </c>
      <c r="R2062" s="37" t="str">
        <f t="shared" si="230"/>
        <v/>
      </c>
    </row>
    <row r="2063" spans="1:18" x14ac:dyDescent="0.35">
      <c r="A2063" s="8">
        <v>2059</v>
      </c>
      <c r="B2063" s="9" t="str">
        <f t="shared" si="224"/>
        <v/>
      </c>
      <c r="C2063" s="10"/>
      <c r="D2063" s="9" t="str">
        <f>IF(F2063="","",_xlfn.XLOOKUP(F2063,purchase!D:D,purchase!#REF!,""))</f>
        <v/>
      </c>
      <c r="E2063" s="9" t="str">
        <f>IF(F2063="","",_xlfn.XLOOKUP(F2063,purchase!D:D,purchase!B:B,""))</f>
        <v/>
      </c>
      <c r="F2063" s="2"/>
      <c r="G2063" s="4" t="str">
        <f t="shared" si="225"/>
        <v/>
      </c>
      <c r="H2063" s="4" t="str">
        <f>IF(F2063="","",_xlfn.XLOOKUP(F2063,purchase!D:D,purchase!#REF!,""))</f>
        <v/>
      </c>
      <c r="I2063" s="4" t="str">
        <f t="shared" si="226"/>
        <v/>
      </c>
      <c r="J2063" s="4" t="str">
        <f t="shared" si="227"/>
        <v/>
      </c>
      <c r="K2063" s="13" t="str">
        <f>_xlfn.SINGLE(IF(F2063="","",_xlfn.XLOOKUP(F2063,purchase!D:D,purchase!#REF!,"")))</f>
        <v/>
      </c>
      <c r="L2063" s="2"/>
      <c r="M2063" s="32"/>
      <c r="N2063" s="13" t="str">
        <f>IF(F2063="","",
MAX(0,
_xlfn.XLOOKUP(F2063,purchase!D:D,purchase!#REF!,"")
-
SUMIFS(L:L,F:F,F2063)))</f>
        <v/>
      </c>
      <c r="O2063" s="13" t="str">
        <f t="shared" si="228"/>
        <v/>
      </c>
      <c r="P2063" s="35" t="str">
        <f>_xlfn.SINGLE(IF(F2063="","",_xlfn.XLOOKUP(F2063,purchase!D:D,purchase!K:K,"")))</f>
        <v/>
      </c>
      <c r="Q2063" s="29" t="str">
        <f t="shared" si="229"/>
        <v/>
      </c>
      <c r="R2063" s="37" t="str">
        <f t="shared" si="230"/>
        <v/>
      </c>
    </row>
    <row r="2064" spans="1:18" x14ac:dyDescent="0.35">
      <c r="A2064" s="8">
        <v>2060</v>
      </c>
      <c r="B2064" s="9" t="str">
        <f t="shared" si="224"/>
        <v/>
      </c>
      <c r="C2064" s="10"/>
      <c r="D2064" s="9" t="str">
        <f>IF(F2064="","",_xlfn.XLOOKUP(F2064,purchase!D:D,purchase!#REF!,""))</f>
        <v/>
      </c>
      <c r="E2064" s="9" t="str">
        <f>IF(F2064="","",_xlfn.XLOOKUP(F2064,purchase!D:D,purchase!B:B,""))</f>
        <v/>
      </c>
      <c r="F2064" s="2"/>
      <c r="G2064" s="4" t="str">
        <f t="shared" si="225"/>
        <v/>
      </c>
      <c r="H2064" s="4" t="str">
        <f>IF(F2064="","",_xlfn.XLOOKUP(F2064,purchase!D:D,purchase!#REF!,""))</f>
        <v/>
      </c>
      <c r="I2064" s="4" t="str">
        <f t="shared" si="226"/>
        <v/>
      </c>
      <c r="J2064" s="4" t="str">
        <f t="shared" si="227"/>
        <v/>
      </c>
      <c r="K2064" s="13" t="str">
        <f>_xlfn.SINGLE(IF(F2064="","",_xlfn.XLOOKUP(F2064,purchase!D:D,purchase!#REF!,"")))</f>
        <v/>
      </c>
      <c r="L2064" s="2"/>
      <c r="M2064" s="32"/>
      <c r="N2064" s="13" t="str">
        <f>IF(F2064="","",
MAX(0,
_xlfn.XLOOKUP(F2064,purchase!D:D,purchase!#REF!,"")
-
SUMIFS(L:L,F:F,F2064)))</f>
        <v/>
      </c>
      <c r="O2064" s="13" t="str">
        <f t="shared" si="228"/>
        <v/>
      </c>
      <c r="P2064" s="35" t="str">
        <f>_xlfn.SINGLE(IF(F2064="","",_xlfn.XLOOKUP(F2064,purchase!D:D,purchase!K:K,"")))</f>
        <v/>
      </c>
      <c r="Q2064" s="29" t="str">
        <f t="shared" si="229"/>
        <v/>
      </c>
      <c r="R2064" s="37" t="str">
        <f t="shared" si="230"/>
        <v/>
      </c>
    </row>
    <row r="2065" spans="1:18" x14ac:dyDescent="0.35">
      <c r="A2065" s="8">
        <v>2061</v>
      </c>
      <c r="B2065" s="9" t="str">
        <f t="shared" si="224"/>
        <v/>
      </c>
      <c r="C2065" s="10"/>
      <c r="D2065" s="9" t="str">
        <f>IF(F2065="","",_xlfn.XLOOKUP(F2065,purchase!D:D,purchase!#REF!,""))</f>
        <v/>
      </c>
      <c r="E2065" s="9" t="str">
        <f>IF(F2065="","",_xlfn.XLOOKUP(F2065,purchase!D:D,purchase!B:B,""))</f>
        <v/>
      </c>
      <c r="F2065" s="2"/>
      <c r="G2065" s="4" t="str">
        <f t="shared" si="225"/>
        <v/>
      </c>
      <c r="H2065" s="4" t="str">
        <f>IF(F2065="","",_xlfn.XLOOKUP(F2065,purchase!D:D,purchase!#REF!,""))</f>
        <v/>
      </c>
      <c r="I2065" s="4" t="str">
        <f t="shared" si="226"/>
        <v/>
      </c>
      <c r="J2065" s="4" t="str">
        <f t="shared" si="227"/>
        <v/>
      </c>
      <c r="K2065" s="13" t="str">
        <f>_xlfn.SINGLE(IF(F2065="","",_xlfn.XLOOKUP(F2065,purchase!D:D,purchase!#REF!,"")))</f>
        <v/>
      </c>
      <c r="L2065" s="2"/>
      <c r="M2065" s="32"/>
      <c r="N2065" s="13" t="str">
        <f>IF(F2065="","",
MAX(0,
_xlfn.XLOOKUP(F2065,purchase!D:D,purchase!#REF!,"")
-
SUMIFS(L:L,F:F,F2065)))</f>
        <v/>
      </c>
      <c r="O2065" s="13" t="str">
        <f t="shared" si="228"/>
        <v/>
      </c>
      <c r="P2065" s="35" t="str">
        <f>_xlfn.SINGLE(IF(F2065="","",_xlfn.XLOOKUP(F2065,purchase!D:D,purchase!K:K,"")))</f>
        <v/>
      </c>
      <c r="Q2065" s="29" t="str">
        <f t="shared" si="229"/>
        <v/>
      </c>
      <c r="R2065" s="37" t="str">
        <f t="shared" si="230"/>
        <v/>
      </c>
    </row>
    <row r="2066" spans="1:18" x14ac:dyDescent="0.35">
      <c r="A2066" s="8">
        <v>2062</v>
      </c>
      <c r="B2066" s="9" t="str">
        <f t="shared" si="224"/>
        <v/>
      </c>
      <c r="C2066" s="10"/>
      <c r="D2066" s="9" t="str">
        <f>IF(F2066="","",_xlfn.XLOOKUP(F2066,purchase!D:D,purchase!#REF!,""))</f>
        <v/>
      </c>
      <c r="E2066" s="9" t="str">
        <f>IF(F2066="","",_xlfn.XLOOKUP(F2066,purchase!D:D,purchase!B:B,""))</f>
        <v/>
      </c>
      <c r="F2066" s="2"/>
      <c r="G2066" s="4" t="str">
        <f t="shared" si="225"/>
        <v/>
      </c>
      <c r="H2066" s="4" t="str">
        <f>IF(F2066="","",_xlfn.XLOOKUP(F2066,purchase!D:D,purchase!#REF!,""))</f>
        <v/>
      </c>
      <c r="I2066" s="4" t="str">
        <f t="shared" si="226"/>
        <v/>
      </c>
      <c r="J2066" s="4" t="str">
        <f t="shared" si="227"/>
        <v/>
      </c>
      <c r="K2066" s="13" t="str">
        <f>_xlfn.SINGLE(IF(F2066="","",_xlfn.XLOOKUP(F2066,purchase!D:D,purchase!#REF!,"")))</f>
        <v/>
      </c>
      <c r="L2066" s="2"/>
      <c r="M2066" s="32"/>
      <c r="N2066" s="13" t="str">
        <f>IF(F2066="","",
MAX(0,
_xlfn.XLOOKUP(F2066,purchase!D:D,purchase!#REF!,"")
-
SUMIFS(L:L,F:F,F2066)))</f>
        <v/>
      </c>
      <c r="O2066" s="13" t="str">
        <f t="shared" si="228"/>
        <v/>
      </c>
      <c r="P2066" s="35" t="str">
        <f>_xlfn.SINGLE(IF(F2066="","",_xlfn.XLOOKUP(F2066,purchase!D:D,purchase!K:K,"")))</f>
        <v/>
      </c>
      <c r="Q2066" s="29" t="str">
        <f t="shared" si="229"/>
        <v/>
      </c>
      <c r="R2066" s="37" t="str">
        <f t="shared" si="230"/>
        <v/>
      </c>
    </row>
    <row r="2067" spans="1:18" x14ac:dyDescent="0.35">
      <c r="A2067" s="8">
        <v>2063</v>
      </c>
      <c r="B2067" s="9" t="str">
        <f t="shared" si="224"/>
        <v/>
      </c>
      <c r="C2067" s="10"/>
      <c r="D2067" s="9" t="str">
        <f>IF(F2067="","",_xlfn.XLOOKUP(F2067,purchase!D:D,purchase!#REF!,""))</f>
        <v/>
      </c>
      <c r="E2067" s="9" t="str">
        <f>IF(F2067="","",_xlfn.XLOOKUP(F2067,purchase!D:D,purchase!B:B,""))</f>
        <v/>
      </c>
      <c r="F2067" s="2"/>
      <c r="G2067" s="4" t="str">
        <f t="shared" si="225"/>
        <v/>
      </c>
      <c r="H2067" s="4" t="str">
        <f>IF(F2067="","",_xlfn.XLOOKUP(F2067,purchase!D:D,purchase!#REF!,""))</f>
        <v/>
      </c>
      <c r="I2067" s="4" t="str">
        <f t="shared" si="226"/>
        <v/>
      </c>
      <c r="J2067" s="4" t="str">
        <f t="shared" si="227"/>
        <v/>
      </c>
      <c r="K2067" s="13" t="str">
        <f>_xlfn.SINGLE(IF(F2067="","",_xlfn.XLOOKUP(F2067,purchase!D:D,purchase!#REF!,"")))</f>
        <v/>
      </c>
      <c r="L2067" s="2"/>
      <c r="M2067" s="32"/>
      <c r="N2067" s="13" t="str">
        <f>IF(F2067="","",
MAX(0,
_xlfn.XLOOKUP(F2067,purchase!D:D,purchase!#REF!,"")
-
SUMIFS(L:L,F:F,F2067)))</f>
        <v/>
      </c>
      <c r="O2067" s="13" t="str">
        <f t="shared" si="228"/>
        <v/>
      </c>
      <c r="P2067" s="35" t="str">
        <f>_xlfn.SINGLE(IF(F2067="","",_xlfn.XLOOKUP(F2067,purchase!D:D,purchase!K:K,"")))</f>
        <v/>
      </c>
      <c r="Q2067" s="29" t="str">
        <f t="shared" si="229"/>
        <v/>
      </c>
      <c r="R2067" s="37" t="str">
        <f t="shared" si="230"/>
        <v/>
      </c>
    </row>
    <row r="2068" spans="1:18" x14ac:dyDescent="0.35">
      <c r="A2068" s="8">
        <v>2064</v>
      </c>
      <c r="B2068" s="9" t="str">
        <f t="shared" si="224"/>
        <v/>
      </c>
      <c r="C2068" s="10"/>
      <c r="D2068" s="9" t="str">
        <f>IF(F2068="","",_xlfn.XLOOKUP(F2068,purchase!D:D,purchase!#REF!,""))</f>
        <v/>
      </c>
      <c r="E2068" s="9" t="str">
        <f>IF(F2068="","",_xlfn.XLOOKUP(F2068,purchase!D:D,purchase!B:B,""))</f>
        <v/>
      </c>
      <c r="F2068" s="2"/>
      <c r="G2068" s="4" t="str">
        <f t="shared" si="225"/>
        <v/>
      </c>
      <c r="H2068" s="4" t="str">
        <f>IF(F2068="","",_xlfn.XLOOKUP(F2068,purchase!D:D,purchase!#REF!,""))</f>
        <v/>
      </c>
      <c r="I2068" s="4" t="str">
        <f t="shared" si="226"/>
        <v/>
      </c>
      <c r="J2068" s="4" t="str">
        <f t="shared" si="227"/>
        <v/>
      </c>
      <c r="K2068" s="13" t="str">
        <f>_xlfn.SINGLE(IF(F2068="","",_xlfn.XLOOKUP(F2068,purchase!D:D,purchase!#REF!,"")))</f>
        <v/>
      </c>
      <c r="L2068" s="2"/>
      <c r="M2068" s="32"/>
      <c r="N2068" s="13" t="str">
        <f>IF(F2068="","",
MAX(0,
_xlfn.XLOOKUP(F2068,purchase!D:D,purchase!#REF!,"")
-
SUMIFS(L:L,F:F,F2068)))</f>
        <v/>
      </c>
      <c r="O2068" s="13" t="str">
        <f t="shared" si="228"/>
        <v/>
      </c>
      <c r="P2068" s="35" t="str">
        <f>_xlfn.SINGLE(IF(F2068="","",_xlfn.XLOOKUP(F2068,purchase!D:D,purchase!K:K,"")))</f>
        <v/>
      </c>
      <c r="Q2068" s="29" t="str">
        <f t="shared" si="229"/>
        <v/>
      </c>
      <c r="R2068" s="37" t="str">
        <f t="shared" si="230"/>
        <v/>
      </c>
    </row>
    <row r="2069" spans="1:18" x14ac:dyDescent="0.35">
      <c r="A2069" s="8">
        <v>2065</v>
      </c>
      <c r="B2069" s="9" t="str">
        <f t="shared" si="224"/>
        <v/>
      </c>
      <c r="C2069" s="10"/>
      <c r="D2069" s="9" t="str">
        <f>IF(F2069="","",_xlfn.XLOOKUP(F2069,purchase!D:D,purchase!#REF!,""))</f>
        <v/>
      </c>
      <c r="E2069" s="9" t="str">
        <f>IF(F2069="","",_xlfn.XLOOKUP(F2069,purchase!D:D,purchase!B:B,""))</f>
        <v/>
      </c>
      <c r="F2069" s="2"/>
      <c r="G2069" s="4" t="str">
        <f t="shared" si="225"/>
        <v/>
      </c>
      <c r="H2069" s="4" t="str">
        <f>IF(F2069="","",_xlfn.XLOOKUP(F2069,purchase!D:D,purchase!#REF!,""))</f>
        <v/>
      </c>
      <c r="I2069" s="4" t="str">
        <f t="shared" si="226"/>
        <v/>
      </c>
      <c r="J2069" s="4" t="str">
        <f t="shared" si="227"/>
        <v/>
      </c>
      <c r="K2069" s="13" t="str">
        <f>_xlfn.SINGLE(IF(F2069="","",_xlfn.XLOOKUP(F2069,purchase!D:D,purchase!#REF!,"")))</f>
        <v/>
      </c>
      <c r="L2069" s="2"/>
      <c r="M2069" s="32"/>
      <c r="N2069" s="13" t="str">
        <f>IF(F2069="","",
MAX(0,
_xlfn.XLOOKUP(F2069,purchase!D:D,purchase!#REF!,"")
-
SUMIFS(L:L,F:F,F2069)))</f>
        <v/>
      </c>
      <c r="O2069" s="13" t="str">
        <f t="shared" si="228"/>
        <v/>
      </c>
      <c r="P2069" s="35" t="str">
        <f>_xlfn.SINGLE(IF(F2069="","",_xlfn.XLOOKUP(F2069,purchase!D:D,purchase!K:K,"")))</f>
        <v/>
      </c>
      <c r="Q2069" s="29" t="str">
        <f t="shared" si="229"/>
        <v/>
      </c>
      <c r="R2069" s="37" t="str">
        <f t="shared" si="230"/>
        <v/>
      </c>
    </row>
    <row r="2070" spans="1:18" x14ac:dyDescent="0.35">
      <c r="A2070" s="8">
        <v>2066</v>
      </c>
      <c r="B2070" s="9" t="str">
        <f t="shared" si="224"/>
        <v/>
      </c>
      <c r="C2070" s="10"/>
      <c r="D2070" s="9" t="str">
        <f>IF(F2070="","",_xlfn.XLOOKUP(F2070,purchase!D:D,purchase!#REF!,""))</f>
        <v/>
      </c>
      <c r="E2070" s="9" t="str">
        <f>IF(F2070="","",_xlfn.XLOOKUP(F2070,purchase!D:D,purchase!B:B,""))</f>
        <v/>
      </c>
      <c r="F2070" s="2"/>
      <c r="G2070" s="4" t="str">
        <f t="shared" si="225"/>
        <v/>
      </c>
      <c r="H2070" s="4" t="str">
        <f>IF(F2070="","",_xlfn.XLOOKUP(F2070,purchase!D:D,purchase!#REF!,""))</f>
        <v/>
      </c>
      <c r="I2070" s="4" t="str">
        <f t="shared" si="226"/>
        <v/>
      </c>
      <c r="J2070" s="4" t="str">
        <f t="shared" si="227"/>
        <v/>
      </c>
      <c r="K2070" s="13" t="str">
        <f>_xlfn.SINGLE(IF(F2070="","",_xlfn.XLOOKUP(F2070,purchase!D:D,purchase!#REF!,"")))</f>
        <v/>
      </c>
      <c r="L2070" s="2"/>
      <c r="M2070" s="32"/>
      <c r="N2070" s="13" t="str">
        <f>IF(F2070="","",
MAX(0,
_xlfn.XLOOKUP(F2070,purchase!D:D,purchase!#REF!,"")
-
SUMIFS(L:L,F:F,F2070)))</f>
        <v/>
      </c>
      <c r="O2070" s="13" t="str">
        <f t="shared" si="228"/>
        <v/>
      </c>
      <c r="P2070" s="35" t="str">
        <f>_xlfn.SINGLE(IF(F2070="","",_xlfn.XLOOKUP(F2070,purchase!D:D,purchase!K:K,"")))</f>
        <v/>
      </c>
      <c r="Q2070" s="29" t="str">
        <f t="shared" si="229"/>
        <v/>
      </c>
      <c r="R2070" s="37" t="str">
        <f t="shared" si="230"/>
        <v/>
      </c>
    </row>
    <row r="2071" spans="1:18" x14ac:dyDescent="0.35">
      <c r="A2071" s="8">
        <v>2067</v>
      </c>
      <c r="B2071" s="9" t="str">
        <f t="shared" si="224"/>
        <v/>
      </c>
      <c r="C2071" s="10"/>
      <c r="D2071" s="9" t="str">
        <f>IF(F2071="","",_xlfn.XLOOKUP(F2071,purchase!D:D,purchase!#REF!,""))</f>
        <v/>
      </c>
      <c r="E2071" s="9" t="str">
        <f>IF(F2071="","",_xlfn.XLOOKUP(F2071,purchase!D:D,purchase!B:B,""))</f>
        <v/>
      </c>
      <c r="F2071" s="2"/>
      <c r="G2071" s="4" t="str">
        <f t="shared" si="225"/>
        <v/>
      </c>
      <c r="H2071" s="4" t="str">
        <f>IF(F2071="","",_xlfn.XLOOKUP(F2071,purchase!D:D,purchase!#REF!,""))</f>
        <v/>
      </c>
      <c r="I2071" s="4" t="str">
        <f t="shared" si="226"/>
        <v/>
      </c>
      <c r="J2071" s="4" t="str">
        <f t="shared" si="227"/>
        <v/>
      </c>
      <c r="K2071" s="13" t="str">
        <f>_xlfn.SINGLE(IF(F2071="","",_xlfn.XLOOKUP(F2071,purchase!D:D,purchase!#REF!,"")))</f>
        <v/>
      </c>
      <c r="L2071" s="2"/>
      <c r="M2071" s="32"/>
      <c r="N2071" s="13" t="str">
        <f>IF(F2071="","",
MAX(0,
_xlfn.XLOOKUP(F2071,purchase!D:D,purchase!#REF!,"")
-
SUMIFS(L:L,F:F,F2071)))</f>
        <v/>
      </c>
      <c r="O2071" s="13" t="str">
        <f t="shared" si="228"/>
        <v/>
      </c>
      <c r="P2071" s="35" t="str">
        <f>_xlfn.SINGLE(IF(F2071="","",_xlfn.XLOOKUP(F2071,purchase!D:D,purchase!K:K,"")))</f>
        <v/>
      </c>
      <c r="Q2071" s="29" t="str">
        <f t="shared" si="229"/>
        <v/>
      </c>
      <c r="R2071" s="37" t="str">
        <f t="shared" si="230"/>
        <v/>
      </c>
    </row>
    <row r="2072" spans="1:18" x14ac:dyDescent="0.35">
      <c r="A2072" s="8">
        <v>2068</v>
      </c>
      <c r="B2072" s="9" t="str">
        <f t="shared" si="224"/>
        <v/>
      </c>
      <c r="C2072" s="10"/>
      <c r="D2072" s="9" t="str">
        <f>IF(F2072="","",_xlfn.XLOOKUP(F2072,purchase!D:D,purchase!#REF!,""))</f>
        <v/>
      </c>
      <c r="E2072" s="9" t="str">
        <f>IF(F2072="","",_xlfn.XLOOKUP(F2072,purchase!D:D,purchase!B:B,""))</f>
        <v/>
      </c>
      <c r="F2072" s="2"/>
      <c r="G2072" s="4" t="str">
        <f t="shared" si="225"/>
        <v/>
      </c>
      <c r="H2072" s="4" t="str">
        <f>IF(F2072="","",_xlfn.XLOOKUP(F2072,purchase!D:D,purchase!#REF!,""))</f>
        <v/>
      </c>
      <c r="I2072" s="4" t="str">
        <f t="shared" si="226"/>
        <v/>
      </c>
      <c r="J2072" s="4" t="str">
        <f t="shared" si="227"/>
        <v/>
      </c>
      <c r="K2072" s="13" t="str">
        <f>_xlfn.SINGLE(IF(F2072="","",_xlfn.XLOOKUP(F2072,purchase!D:D,purchase!#REF!,"")))</f>
        <v/>
      </c>
      <c r="L2072" s="2"/>
      <c r="M2072" s="32"/>
      <c r="N2072" s="13" t="str">
        <f>IF(F2072="","",
MAX(0,
_xlfn.XLOOKUP(F2072,purchase!D:D,purchase!#REF!,"")
-
SUMIFS(L:L,F:F,F2072)))</f>
        <v/>
      </c>
      <c r="O2072" s="13" t="str">
        <f t="shared" si="228"/>
        <v/>
      </c>
      <c r="P2072" s="35" t="str">
        <f>_xlfn.SINGLE(IF(F2072="","",_xlfn.XLOOKUP(F2072,purchase!D:D,purchase!K:K,"")))</f>
        <v/>
      </c>
      <c r="Q2072" s="29" t="str">
        <f t="shared" si="229"/>
        <v/>
      </c>
      <c r="R2072" s="37" t="str">
        <f t="shared" si="230"/>
        <v/>
      </c>
    </row>
    <row r="2073" spans="1:18" x14ac:dyDescent="0.35">
      <c r="A2073" s="8">
        <v>2069</v>
      </c>
      <c r="B2073" s="9" t="str">
        <f t="shared" si="224"/>
        <v/>
      </c>
      <c r="C2073" s="10"/>
      <c r="D2073" s="9" t="str">
        <f>IF(F2073="","",_xlfn.XLOOKUP(F2073,purchase!D:D,purchase!#REF!,""))</f>
        <v/>
      </c>
      <c r="E2073" s="9" t="str">
        <f>IF(F2073="","",_xlfn.XLOOKUP(F2073,purchase!D:D,purchase!B:B,""))</f>
        <v/>
      </c>
      <c r="F2073" s="2"/>
      <c r="G2073" s="4" t="str">
        <f t="shared" si="225"/>
        <v/>
      </c>
      <c r="H2073" s="4" t="str">
        <f>IF(F2073="","",_xlfn.XLOOKUP(F2073,purchase!D:D,purchase!#REF!,""))</f>
        <v/>
      </c>
      <c r="I2073" s="4" t="str">
        <f t="shared" si="226"/>
        <v/>
      </c>
      <c r="J2073" s="4" t="str">
        <f t="shared" si="227"/>
        <v/>
      </c>
      <c r="K2073" s="13" t="str">
        <f>_xlfn.SINGLE(IF(F2073="","",_xlfn.XLOOKUP(F2073,purchase!D:D,purchase!#REF!,"")))</f>
        <v/>
      </c>
      <c r="L2073" s="2"/>
      <c r="M2073" s="32"/>
      <c r="N2073" s="13" t="str">
        <f>IF(F2073="","",
MAX(0,
_xlfn.XLOOKUP(F2073,purchase!D:D,purchase!#REF!,"")
-
SUMIFS(L:L,F:F,F2073)))</f>
        <v/>
      </c>
      <c r="O2073" s="13" t="str">
        <f t="shared" si="228"/>
        <v/>
      </c>
      <c r="P2073" s="35" t="str">
        <f>_xlfn.SINGLE(IF(F2073="","",_xlfn.XLOOKUP(F2073,purchase!D:D,purchase!K:K,"")))</f>
        <v/>
      </c>
      <c r="Q2073" s="29" t="str">
        <f t="shared" si="229"/>
        <v/>
      </c>
      <c r="R2073" s="37" t="str">
        <f t="shared" si="230"/>
        <v/>
      </c>
    </row>
    <row r="2074" spans="1:18" x14ac:dyDescent="0.35">
      <c r="A2074" s="8">
        <v>2070</v>
      </c>
      <c r="B2074" s="9" t="str">
        <f t="shared" si="224"/>
        <v/>
      </c>
      <c r="C2074" s="10"/>
      <c r="D2074" s="9" t="str">
        <f>IF(F2074="","",_xlfn.XLOOKUP(F2074,purchase!D:D,purchase!#REF!,""))</f>
        <v/>
      </c>
      <c r="E2074" s="9" t="str">
        <f>IF(F2074="","",_xlfn.XLOOKUP(F2074,purchase!D:D,purchase!B:B,""))</f>
        <v/>
      </c>
      <c r="F2074" s="2"/>
      <c r="G2074" s="4" t="str">
        <f t="shared" si="225"/>
        <v/>
      </c>
      <c r="H2074" s="4" t="str">
        <f>IF(F2074="","",_xlfn.XLOOKUP(F2074,purchase!D:D,purchase!#REF!,""))</f>
        <v/>
      </c>
      <c r="I2074" s="4" t="str">
        <f t="shared" si="226"/>
        <v/>
      </c>
      <c r="J2074" s="4" t="str">
        <f t="shared" si="227"/>
        <v/>
      </c>
      <c r="K2074" s="13" t="str">
        <f>_xlfn.SINGLE(IF(F2074="","",_xlfn.XLOOKUP(F2074,purchase!D:D,purchase!#REF!,"")))</f>
        <v/>
      </c>
      <c r="L2074" s="2"/>
      <c r="M2074" s="32"/>
      <c r="N2074" s="13" t="str">
        <f>IF(F2074="","",
MAX(0,
_xlfn.XLOOKUP(F2074,purchase!D:D,purchase!#REF!,"")
-
SUMIFS(L:L,F:F,F2074)))</f>
        <v/>
      </c>
      <c r="O2074" s="13" t="str">
        <f t="shared" si="228"/>
        <v/>
      </c>
      <c r="P2074" s="35" t="str">
        <f>_xlfn.SINGLE(IF(F2074="","",_xlfn.XLOOKUP(F2074,purchase!D:D,purchase!K:K,"")))</f>
        <v/>
      </c>
      <c r="Q2074" s="29" t="str">
        <f t="shared" si="229"/>
        <v/>
      </c>
      <c r="R2074" s="37" t="str">
        <f t="shared" si="230"/>
        <v/>
      </c>
    </row>
    <row r="2075" spans="1:18" x14ac:dyDescent="0.35">
      <c r="A2075" s="8">
        <v>2071</v>
      </c>
      <c r="B2075" s="9" t="str">
        <f t="shared" si="224"/>
        <v/>
      </c>
      <c r="C2075" s="10"/>
      <c r="D2075" s="9" t="str">
        <f>IF(F2075="","",_xlfn.XLOOKUP(F2075,purchase!D:D,purchase!#REF!,""))</f>
        <v/>
      </c>
      <c r="E2075" s="9" t="str">
        <f>IF(F2075="","",_xlfn.XLOOKUP(F2075,purchase!D:D,purchase!B:B,""))</f>
        <v/>
      </c>
      <c r="F2075" s="2"/>
      <c r="G2075" s="4" t="str">
        <f t="shared" si="225"/>
        <v/>
      </c>
      <c r="H2075" s="4" t="str">
        <f>IF(F2075="","",_xlfn.XLOOKUP(F2075,purchase!D:D,purchase!#REF!,""))</f>
        <v/>
      </c>
      <c r="I2075" s="4" t="str">
        <f t="shared" si="226"/>
        <v/>
      </c>
      <c r="J2075" s="4" t="str">
        <f t="shared" si="227"/>
        <v/>
      </c>
      <c r="K2075" s="13" t="str">
        <f>_xlfn.SINGLE(IF(F2075="","",_xlfn.XLOOKUP(F2075,purchase!D:D,purchase!#REF!,"")))</f>
        <v/>
      </c>
      <c r="L2075" s="2"/>
      <c r="M2075" s="32"/>
      <c r="N2075" s="13" t="str">
        <f>IF(F2075="","",
MAX(0,
_xlfn.XLOOKUP(F2075,purchase!D:D,purchase!#REF!,"")
-
SUMIFS(L:L,F:F,F2075)))</f>
        <v/>
      </c>
      <c r="O2075" s="13" t="str">
        <f t="shared" si="228"/>
        <v/>
      </c>
      <c r="P2075" s="35" t="str">
        <f>_xlfn.SINGLE(IF(F2075="","",_xlfn.XLOOKUP(F2075,purchase!D:D,purchase!K:K,"")))</f>
        <v/>
      </c>
      <c r="Q2075" s="29" t="str">
        <f t="shared" si="229"/>
        <v/>
      </c>
      <c r="R2075" s="37" t="str">
        <f t="shared" si="230"/>
        <v/>
      </c>
    </row>
    <row r="2076" spans="1:18" x14ac:dyDescent="0.35">
      <c r="A2076" s="8">
        <v>2072</v>
      </c>
      <c r="B2076" s="9" t="str">
        <f t="shared" si="224"/>
        <v/>
      </c>
      <c r="C2076" s="10"/>
      <c r="D2076" s="9" t="str">
        <f>IF(F2076="","",_xlfn.XLOOKUP(F2076,purchase!D:D,purchase!#REF!,""))</f>
        <v/>
      </c>
      <c r="E2076" s="9" t="str">
        <f>IF(F2076="","",_xlfn.XLOOKUP(F2076,purchase!D:D,purchase!B:B,""))</f>
        <v/>
      </c>
      <c r="F2076" s="2"/>
      <c r="G2076" s="4" t="str">
        <f t="shared" si="225"/>
        <v/>
      </c>
      <c r="H2076" s="4" t="str">
        <f>IF(F2076="","",_xlfn.XLOOKUP(F2076,purchase!D:D,purchase!#REF!,""))</f>
        <v/>
      </c>
      <c r="I2076" s="4" t="str">
        <f t="shared" si="226"/>
        <v/>
      </c>
      <c r="J2076" s="4" t="str">
        <f t="shared" si="227"/>
        <v/>
      </c>
      <c r="K2076" s="13" t="str">
        <f>_xlfn.SINGLE(IF(F2076="","",_xlfn.XLOOKUP(F2076,purchase!D:D,purchase!#REF!,"")))</f>
        <v/>
      </c>
      <c r="L2076" s="2"/>
      <c r="M2076" s="32"/>
      <c r="N2076" s="13" t="str">
        <f>IF(F2076="","",
MAX(0,
_xlfn.XLOOKUP(F2076,purchase!D:D,purchase!#REF!,"")
-
SUMIFS(L:L,F:F,F2076)))</f>
        <v/>
      </c>
      <c r="O2076" s="13" t="str">
        <f t="shared" si="228"/>
        <v/>
      </c>
      <c r="P2076" s="35" t="str">
        <f>_xlfn.SINGLE(IF(F2076="","",_xlfn.XLOOKUP(F2076,purchase!D:D,purchase!K:K,"")))</f>
        <v/>
      </c>
      <c r="Q2076" s="29" t="str">
        <f t="shared" si="229"/>
        <v/>
      </c>
      <c r="R2076" s="37" t="str">
        <f t="shared" si="230"/>
        <v/>
      </c>
    </row>
    <row r="2077" spans="1:18" x14ac:dyDescent="0.35">
      <c r="A2077" s="8">
        <v>2073</v>
      </c>
      <c r="B2077" s="9" t="str">
        <f t="shared" si="224"/>
        <v/>
      </c>
      <c r="C2077" s="10"/>
      <c r="D2077" s="9" t="str">
        <f>IF(F2077="","",_xlfn.XLOOKUP(F2077,purchase!D:D,purchase!#REF!,""))</f>
        <v/>
      </c>
      <c r="E2077" s="9" t="str">
        <f>IF(F2077="","",_xlfn.XLOOKUP(F2077,purchase!D:D,purchase!B:B,""))</f>
        <v/>
      </c>
      <c r="F2077" s="2"/>
      <c r="G2077" s="4" t="str">
        <f t="shared" si="225"/>
        <v/>
      </c>
      <c r="H2077" s="4" t="str">
        <f>IF(F2077="","",_xlfn.XLOOKUP(F2077,purchase!D:D,purchase!#REF!,""))</f>
        <v/>
      </c>
      <c r="I2077" s="4" t="str">
        <f t="shared" si="226"/>
        <v/>
      </c>
      <c r="J2077" s="4" t="str">
        <f t="shared" si="227"/>
        <v/>
      </c>
      <c r="K2077" s="13" t="str">
        <f>_xlfn.SINGLE(IF(F2077="","",_xlfn.XLOOKUP(F2077,purchase!D:D,purchase!#REF!,"")))</f>
        <v/>
      </c>
      <c r="L2077" s="2"/>
      <c r="M2077" s="32"/>
      <c r="N2077" s="13" t="str">
        <f>IF(F2077="","",
MAX(0,
_xlfn.XLOOKUP(F2077,purchase!D:D,purchase!#REF!,"")
-
SUMIFS(L:L,F:F,F2077)))</f>
        <v/>
      </c>
      <c r="O2077" s="13" t="str">
        <f t="shared" si="228"/>
        <v/>
      </c>
      <c r="P2077" s="35" t="str">
        <f>_xlfn.SINGLE(IF(F2077="","",_xlfn.XLOOKUP(F2077,purchase!D:D,purchase!K:K,"")))</f>
        <v/>
      </c>
      <c r="Q2077" s="29" t="str">
        <f t="shared" si="229"/>
        <v/>
      </c>
      <c r="R2077" s="37" t="str">
        <f t="shared" si="230"/>
        <v/>
      </c>
    </row>
    <row r="2078" spans="1:18" x14ac:dyDescent="0.35">
      <c r="A2078" s="8">
        <v>2074</v>
      </c>
      <c r="B2078" s="9" t="str">
        <f t="shared" si="224"/>
        <v/>
      </c>
      <c r="C2078" s="10"/>
      <c r="D2078" s="9" t="str">
        <f>IF(F2078="","",_xlfn.XLOOKUP(F2078,purchase!D:D,purchase!#REF!,""))</f>
        <v/>
      </c>
      <c r="E2078" s="9" t="str">
        <f>IF(F2078="","",_xlfn.XLOOKUP(F2078,purchase!D:D,purchase!B:B,""))</f>
        <v/>
      </c>
      <c r="F2078" s="2"/>
      <c r="G2078" s="4" t="str">
        <f t="shared" si="225"/>
        <v/>
      </c>
      <c r="H2078" s="4" t="str">
        <f>IF(F2078="","",_xlfn.XLOOKUP(F2078,purchase!D:D,purchase!#REF!,""))</f>
        <v/>
      </c>
      <c r="I2078" s="4" t="str">
        <f t="shared" si="226"/>
        <v/>
      </c>
      <c r="J2078" s="4" t="str">
        <f t="shared" si="227"/>
        <v/>
      </c>
      <c r="K2078" s="13" t="str">
        <f>_xlfn.SINGLE(IF(F2078="","",_xlfn.XLOOKUP(F2078,purchase!D:D,purchase!#REF!,"")))</f>
        <v/>
      </c>
      <c r="L2078" s="2"/>
      <c r="M2078" s="32"/>
      <c r="N2078" s="13" t="str">
        <f>IF(F2078="","",
MAX(0,
_xlfn.XLOOKUP(F2078,purchase!D:D,purchase!#REF!,"")
-
SUMIFS(L:L,F:F,F2078)))</f>
        <v/>
      </c>
      <c r="O2078" s="13" t="str">
        <f t="shared" si="228"/>
        <v/>
      </c>
      <c r="P2078" s="35" t="str">
        <f>_xlfn.SINGLE(IF(F2078="","",_xlfn.XLOOKUP(F2078,purchase!D:D,purchase!K:K,"")))</f>
        <v/>
      </c>
      <c r="Q2078" s="29" t="str">
        <f t="shared" si="229"/>
        <v/>
      </c>
      <c r="R2078" s="37" t="str">
        <f t="shared" si="230"/>
        <v/>
      </c>
    </row>
    <row r="2079" spans="1:18" x14ac:dyDescent="0.35">
      <c r="A2079" s="8">
        <v>2075</v>
      </c>
      <c r="B2079" s="9" t="str">
        <f t="shared" si="224"/>
        <v/>
      </c>
      <c r="C2079" s="10"/>
      <c r="D2079" s="9" t="str">
        <f>IF(F2079="","",_xlfn.XLOOKUP(F2079,purchase!D:D,purchase!#REF!,""))</f>
        <v/>
      </c>
      <c r="E2079" s="9" t="str">
        <f>IF(F2079="","",_xlfn.XLOOKUP(F2079,purchase!D:D,purchase!B:B,""))</f>
        <v/>
      </c>
      <c r="F2079" s="2"/>
      <c r="G2079" s="4" t="str">
        <f t="shared" si="225"/>
        <v/>
      </c>
      <c r="H2079" s="4" t="str">
        <f>IF(F2079="","",_xlfn.XLOOKUP(F2079,purchase!D:D,purchase!#REF!,""))</f>
        <v/>
      </c>
      <c r="I2079" s="4" t="str">
        <f t="shared" si="226"/>
        <v/>
      </c>
      <c r="J2079" s="4" t="str">
        <f t="shared" si="227"/>
        <v/>
      </c>
      <c r="K2079" s="13" t="str">
        <f>_xlfn.SINGLE(IF(F2079="","",_xlfn.XLOOKUP(F2079,purchase!D:D,purchase!#REF!,"")))</f>
        <v/>
      </c>
      <c r="L2079" s="2"/>
      <c r="M2079" s="32"/>
      <c r="N2079" s="13" t="str">
        <f>IF(F2079="","",
MAX(0,
_xlfn.XLOOKUP(F2079,purchase!D:D,purchase!#REF!,"")
-
SUMIFS(L:L,F:F,F2079)))</f>
        <v/>
      </c>
      <c r="O2079" s="13" t="str">
        <f t="shared" si="228"/>
        <v/>
      </c>
      <c r="P2079" s="35" t="str">
        <f>_xlfn.SINGLE(IF(F2079="","",_xlfn.XLOOKUP(F2079,purchase!D:D,purchase!K:K,"")))</f>
        <v/>
      </c>
      <c r="Q2079" s="29" t="str">
        <f t="shared" si="229"/>
        <v/>
      </c>
      <c r="R2079" s="37" t="str">
        <f t="shared" si="230"/>
        <v/>
      </c>
    </row>
    <row r="2080" spans="1:18" x14ac:dyDescent="0.35">
      <c r="A2080" s="8">
        <v>2076</v>
      </c>
      <c r="B2080" s="9" t="str">
        <f t="shared" si="224"/>
        <v/>
      </c>
      <c r="C2080" s="10"/>
      <c r="D2080" s="9" t="str">
        <f>IF(F2080="","",_xlfn.XLOOKUP(F2080,purchase!D:D,purchase!#REF!,""))</f>
        <v/>
      </c>
      <c r="E2080" s="9" t="str">
        <f>IF(F2080="","",_xlfn.XLOOKUP(F2080,purchase!D:D,purchase!B:B,""))</f>
        <v/>
      </c>
      <c r="F2080" s="2"/>
      <c r="G2080" s="4" t="str">
        <f t="shared" si="225"/>
        <v/>
      </c>
      <c r="H2080" s="4" t="str">
        <f>IF(F2080="","",_xlfn.XLOOKUP(F2080,purchase!D:D,purchase!#REF!,""))</f>
        <v/>
      </c>
      <c r="I2080" s="4" t="str">
        <f t="shared" si="226"/>
        <v/>
      </c>
      <c r="J2080" s="4" t="str">
        <f t="shared" si="227"/>
        <v/>
      </c>
      <c r="K2080" s="13" t="str">
        <f>_xlfn.SINGLE(IF(F2080="","",_xlfn.XLOOKUP(F2080,purchase!D:D,purchase!#REF!,"")))</f>
        <v/>
      </c>
      <c r="L2080" s="2"/>
      <c r="M2080" s="32"/>
      <c r="N2080" s="13" t="str">
        <f>IF(F2080="","",
MAX(0,
_xlfn.XLOOKUP(F2080,purchase!D:D,purchase!#REF!,"")
-
SUMIFS(L:L,F:F,F2080)))</f>
        <v/>
      </c>
      <c r="O2080" s="13" t="str">
        <f t="shared" si="228"/>
        <v/>
      </c>
      <c r="P2080" s="35" t="str">
        <f>_xlfn.SINGLE(IF(F2080="","",_xlfn.XLOOKUP(F2080,purchase!D:D,purchase!K:K,"")))</f>
        <v/>
      </c>
      <c r="Q2080" s="29" t="str">
        <f t="shared" si="229"/>
        <v/>
      </c>
      <c r="R2080" s="37" t="str">
        <f t="shared" si="230"/>
        <v/>
      </c>
    </row>
    <row r="2081" spans="1:18" x14ac:dyDescent="0.35">
      <c r="A2081" s="8">
        <v>2077</v>
      </c>
      <c r="B2081" s="9" t="str">
        <f t="shared" si="224"/>
        <v/>
      </c>
      <c r="C2081" s="10"/>
      <c r="D2081" s="9" t="str">
        <f>IF(F2081="","",_xlfn.XLOOKUP(F2081,purchase!D:D,purchase!#REF!,""))</f>
        <v/>
      </c>
      <c r="E2081" s="9" t="str">
        <f>IF(F2081="","",_xlfn.XLOOKUP(F2081,purchase!D:D,purchase!B:B,""))</f>
        <v/>
      </c>
      <c r="F2081" s="2"/>
      <c r="G2081" s="4" t="str">
        <f t="shared" si="225"/>
        <v/>
      </c>
      <c r="H2081" s="4" t="str">
        <f>IF(F2081="","",_xlfn.XLOOKUP(F2081,purchase!D:D,purchase!#REF!,""))</f>
        <v/>
      </c>
      <c r="I2081" s="4" t="str">
        <f t="shared" si="226"/>
        <v/>
      </c>
      <c r="J2081" s="4" t="str">
        <f t="shared" si="227"/>
        <v/>
      </c>
      <c r="K2081" s="13" t="str">
        <f>_xlfn.SINGLE(IF(F2081="","",_xlfn.XLOOKUP(F2081,purchase!D:D,purchase!#REF!,"")))</f>
        <v/>
      </c>
      <c r="L2081" s="2"/>
      <c r="M2081" s="32"/>
      <c r="N2081" s="13" t="str">
        <f>IF(F2081="","",
MAX(0,
_xlfn.XLOOKUP(F2081,purchase!D:D,purchase!#REF!,"")
-
SUMIFS(L:L,F:F,F2081)))</f>
        <v/>
      </c>
      <c r="O2081" s="13" t="str">
        <f t="shared" si="228"/>
        <v/>
      </c>
      <c r="P2081" s="35" t="str">
        <f>_xlfn.SINGLE(IF(F2081="","",_xlfn.XLOOKUP(F2081,purchase!D:D,purchase!K:K,"")))</f>
        <v/>
      </c>
      <c r="Q2081" s="29" t="str">
        <f t="shared" si="229"/>
        <v/>
      </c>
      <c r="R2081" s="37" t="str">
        <f t="shared" si="230"/>
        <v/>
      </c>
    </row>
    <row r="2082" spans="1:18" x14ac:dyDescent="0.35">
      <c r="A2082" s="8">
        <v>2078</v>
      </c>
      <c r="B2082" s="9" t="str">
        <f t="shared" si="224"/>
        <v/>
      </c>
      <c r="C2082" s="10"/>
      <c r="D2082" s="9" t="str">
        <f>IF(F2082="","",_xlfn.XLOOKUP(F2082,purchase!D:D,purchase!#REF!,""))</f>
        <v/>
      </c>
      <c r="E2082" s="9" t="str">
        <f>IF(F2082="","",_xlfn.XLOOKUP(F2082,purchase!D:D,purchase!B:B,""))</f>
        <v/>
      </c>
      <c r="F2082" s="2"/>
      <c r="G2082" s="4" t="str">
        <f t="shared" si="225"/>
        <v/>
      </c>
      <c r="H2082" s="4" t="str">
        <f>IF(F2082="","",_xlfn.XLOOKUP(F2082,purchase!D:D,purchase!#REF!,""))</f>
        <v/>
      </c>
      <c r="I2082" s="4" t="str">
        <f t="shared" si="226"/>
        <v/>
      </c>
      <c r="J2082" s="4" t="str">
        <f t="shared" si="227"/>
        <v/>
      </c>
      <c r="K2082" s="13" t="str">
        <f>_xlfn.SINGLE(IF(F2082="","",_xlfn.XLOOKUP(F2082,purchase!D:D,purchase!#REF!,"")))</f>
        <v/>
      </c>
      <c r="L2082" s="2"/>
      <c r="M2082" s="32"/>
      <c r="N2082" s="13" t="str">
        <f>IF(F2082="","",
MAX(0,
_xlfn.XLOOKUP(F2082,purchase!D:D,purchase!#REF!,"")
-
SUMIFS(L:L,F:F,F2082)))</f>
        <v/>
      </c>
      <c r="O2082" s="13" t="str">
        <f t="shared" si="228"/>
        <v/>
      </c>
      <c r="P2082" s="35" t="str">
        <f>_xlfn.SINGLE(IF(F2082="","",_xlfn.XLOOKUP(F2082,purchase!D:D,purchase!K:K,"")))</f>
        <v/>
      </c>
      <c r="Q2082" s="29" t="str">
        <f t="shared" si="229"/>
        <v/>
      </c>
      <c r="R2082" s="37" t="str">
        <f t="shared" si="230"/>
        <v/>
      </c>
    </row>
    <row r="2083" spans="1:18" x14ac:dyDescent="0.35">
      <c r="A2083" s="8">
        <v>2079</v>
      </c>
      <c r="B2083" s="9" t="str">
        <f t="shared" si="224"/>
        <v/>
      </c>
      <c r="C2083" s="10"/>
      <c r="D2083" s="9" t="str">
        <f>IF(F2083="","",_xlfn.XLOOKUP(F2083,purchase!D:D,purchase!#REF!,""))</f>
        <v/>
      </c>
      <c r="E2083" s="9" t="str">
        <f>IF(F2083="","",_xlfn.XLOOKUP(F2083,purchase!D:D,purchase!B:B,""))</f>
        <v/>
      </c>
      <c r="F2083" s="2"/>
      <c r="G2083" s="4" t="str">
        <f t="shared" si="225"/>
        <v/>
      </c>
      <c r="H2083" s="4" t="str">
        <f>IF(F2083="","",_xlfn.XLOOKUP(F2083,purchase!D:D,purchase!#REF!,""))</f>
        <v/>
      </c>
      <c r="I2083" s="4" t="str">
        <f t="shared" si="226"/>
        <v/>
      </c>
      <c r="J2083" s="4" t="str">
        <f t="shared" si="227"/>
        <v/>
      </c>
      <c r="K2083" s="13" t="str">
        <f>_xlfn.SINGLE(IF(F2083="","",_xlfn.XLOOKUP(F2083,purchase!D:D,purchase!#REF!,"")))</f>
        <v/>
      </c>
      <c r="L2083" s="2"/>
      <c r="M2083" s="32"/>
      <c r="N2083" s="13" t="str">
        <f>IF(F2083="","",
MAX(0,
_xlfn.XLOOKUP(F2083,purchase!D:D,purchase!#REF!,"")
-
SUMIFS(L:L,F:F,F2083)))</f>
        <v/>
      </c>
      <c r="O2083" s="13" t="str">
        <f t="shared" si="228"/>
        <v/>
      </c>
      <c r="P2083" s="35" t="str">
        <f>_xlfn.SINGLE(IF(F2083="","",_xlfn.XLOOKUP(F2083,purchase!D:D,purchase!K:K,"")))</f>
        <v/>
      </c>
      <c r="Q2083" s="29" t="str">
        <f t="shared" si="229"/>
        <v/>
      </c>
      <c r="R2083" s="37" t="str">
        <f t="shared" si="230"/>
        <v/>
      </c>
    </row>
    <row r="2084" spans="1:18" x14ac:dyDescent="0.35">
      <c r="A2084" s="8">
        <v>2080</v>
      </c>
      <c r="B2084" s="9" t="str">
        <f t="shared" si="224"/>
        <v/>
      </c>
      <c r="C2084" s="10"/>
      <c r="D2084" s="9" t="str">
        <f>IF(F2084="","",_xlfn.XLOOKUP(F2084,purchase!D:D,purchase!#REF!,""))</f>
        <v/>
      </c>
      <c r="E2084" s="9" t="str">
        <f>IF(F2084="","",_xlfn.XLOOKUP(F2084,purchase!D:D,purchase!B:B,""))</f>
        <v/>
      </c>
      <c r="F2084" s="2"/>
      <c r="G2084" s="4" t="str">
        <f t="shared" si="225"/>
        <v/>
      </c>
      <c r="H2084" s="4" t="str">
        <f>IF(F2084="","",_xlfn.XLOOKUP(F2084,purchase!D:D,purchase!#REF!,""))</f>
        <v/>
      </c>
      <c r="I2084" s="4" t="str">
        <f t="shared" si="226"/>
        <v/>
      </c>
      <c r="J2084" s="4" t="str">
        <f t="shared" si="227"/>
        <v/>
      </c>
      <c r="K2084" s="13" t="str">
        <f>_xlfn.SINGLE(IF(F2084="","",_xlfn.XLOOKUP(F2084,purchase!D:D,purchase!#REF!,"")))</f>
        <v/>
      </c>
      <c r="L2084" s="2"/>
      <c r="M2084" s="32"/>
      <c r="N2084" s="13" t="str">
        <f>IF(F2084="","",
MAX(0,
_xlfn.XLOOKUP(F2084,purchase!D:D,purchase!#REF!,"")
-
SUMIFS(L:L,F:F,F2084)))</f>
        <v/>
      </c>
      <c r="O2084" s="13" t="str">
        <f t="shared" si="228"/>
        <v/>
      </c>
      <c r="P2084" s="35" t="str">
        <f>_xlfn.SINGLE(IF(F2084="","",_xlfn.XLOOKUP(F2084,purchase!D:D,purchase!K:K,"")))</f>
        <v/>
      </c>
      <c r="Q2084" s="29" t="str">
        <f t="shared" si="229"/>
        <v/>
      </c>
      <c r="R2084" s="37" t="str">
        <f t="shared" si="230"/>
        <v/>
      </c>
    </row>
    <row r="2085" spans="1:18" x14ac:dyDescent="0.35">
      <c r="A2085" s="8">
        <v>2081</v>
      </c>
      <c r="B2085" s="9" t="str">
        <f t="shared" si="224"/>
        <v/>
      </c>
      <c r="C2085" s="10"/>
      <c r="D2085" s="9" t="str">
        <f>IF(F2085="","",_xlfn.XLOOKUP(F2085,purchase!D:D,purchase!#REF!,""))</f>
        <v/>
      </c>
      <c r="E2085" s="9" t="str">
        <f>IF(F2085="","",_xlfn.XLOOKUP(F2085,purchase!D:D,purchase!B:B,""))</f>
        <v/>
      </c>
      <c r="F2085" s="2"/>
      <c r="G2085" s="4" t="str">
        <f t="shared" si="225"/>
        <v/>
      </c>
      <c r="H2085" s="4" t="str">
        <f>IF(F2085="","",_xlfn.XLOOKUP(F2085,purchase!D:D,purchase!#REF!,""))</f>
        <v/>
      </c>
      <c r="I2085" s="4" t="str">
        <f t="shared" si="226"/>
        <v/>
      </c>
      <c r="J2085" s="4" t="str">
        <f t="shared" si="227"/>
        <v/>
      </c>
      <c r="K2085" s="13" t="str">
        <f>_xlfn.SINGLE(IF(F2085="","",_xlfn.XLOOKUP(F2085,purchase!D:D,purchase!#REF!,"")))</f>
        <v/>
      </c>
      <c r="L2085" s="2"/>
      <c r="M2085" s="32"/>
      <c r="N2085" s="13" t="str">
        <f>IF(F2085="","",
MAX(0,
_xlfn.XLOOKUP(F2085,purchase!D:D,purchase!#REF!,"")
-
SUMIFS(L:L,F:F,F2085)))</f>
        <v/>
      </c>
      <c r="O2085" s="13" t="str">
        <f t="shared" si="228"/>
        <v/>
      </c>
      <c r="P2085" s="35" t="str">
        <f>_xlfn.SINGLE(IF(F2085="","",_xlfn.XLOOKUP(F2085,purchase!D:D,purchase!K:K,"")))</f>
        <v/>
      </c>
      <c r="Q2085" s="29" t="str">
        <f t="shared" si="229"/>
        <v/>
      </c>
      <c r="R2085" s="37" t="str">
        <f t="shared" si="230"/>
        <v/>
      </c>
    </row>
    <row r="2086" spans="1:18" x14ac:dyDescent="0.35">
      <c r="A2086" s="8">
        <v>2082</v>
      </c>
      <c r="B2086" s="9" t="str">
        <f t="shared" si="224"/>
        <v/>
      </c>
      <c r="C2086" s="10"/>
      <c r="D2086" s="9" t="str">
        <f>IF(F2086="","",_xlfn.XLOOKUP(F2086,purchase!D:D,purchase!#REF!,""))</f>
        <v/>
      </c>
      <c r="E2086" s="9" t="str">
        <f>IF(F2086="","",_xlfn.XLOOKUP(F2086,purchase!D:D,purchase!B:B,""))</f>
        <v/>
      </c>
      <c r="F2086" s="2"/>
      <c r="G2086" s="4" t="str">
        <f t="shared" si="225"/>
        <v/>
      </c>
      <c r="H2086" s="4" t="str">
        <f>IF(F2086="","",_xlfn.XLOOKUP(F2086,purchase!D:D,purchase!#REF!,""))</f>
        <v/>
      </c>
      <c r="I2086" s="4" t="str">
        <f t="shared" si="226"/>
        <v/>
      </c>
      <c r="J2086" s="4" t="str">
        <f t="shared" si="227"/>
        <v/>
      </c>
      <c r="K2086" s="13" t="str">
        <f>_xlfn.SINGLE(IF(F2086="","",_xlfn.XLOOKUP(F2086,purchase!D:D,purchase!#REF!,"")))</f>
        <v/>
      </c>
      <c r="L2086" s="2"/>
      <c r="M2086" s="32"/>
      <c r="N2086" s="13" t="str">
        <f>IF(F2086="","",
MAX(0,
_xlfn.XLOOKUP(F2086,purchase!D:D,purchase!#REF!,"")
-
SUMIFS(L:L,F:F,F2086)))</f>
        <v/>
      </c>
      <c r="O2086" s="13" t="str">
        <f t="shared" si="228"/>
        <v/>
      </c>
      <c r="P2086" s="35" t="str">
        <f>_xlfn.SINGLE(IF(F2086="","",_xlfn.XLOOKUP(F2086,purchase!D:D,purchase!K:K,"")))</f>
        <v/>
      </c>
      <c r="Q2086" s="29" t="str">
        <f t="shared" si="229"/>
        <v/>
      </c>
      <c r="R2086" s="37" t="str">
        <f t="shared" si="230"/>
        <v/>
      </c>
    </row>
    <row r="2087" spans="1:18" x14ac:dyDescent="0.35">
      <c r="A2087" s="8">
        <v>2083</v>
      </c>
      <c r="B2087" s="9" t="str">
        <f t="shared" si="224"/>
        <v/>
      </c>
      <c r="C2087" s="10"/>
      <c r="D2087" s="9" t="str">
        <f>IF(F2087="","",_xlfn.XLOOKUP(F2087,purchase!D:D,purchase!#REF!,""))</f>
        <v/>
      </c>
      <c r="E2087" s="9" t="str">
        <f>IF(F2087="","",_xlfn.XLOOKUP(F2087,purchase!D:D,purchase!B:B,""))</f>
        <v/>
      </c>
      <c r="F2087" s="2"/>
      <c r="G2087" s="4" t="str">
        <f t="shared" si="225"/>
        <v/>
      </c>
      <c r="H2087" s="4" t="str">
        <f>IF(F2087="","",_xlfn.XLOOKUP(F2087,purchase!D:D,purchase!#REF!,""))</f>
        <v/>
      </c>
      <c r="I2087" s="4" t="str">
        <f t="shared" si="226"/>
        <v/>
      </c>
      <c r="J2087" s="4" t="str">
        <f t="shared" si="227"/>
        <v/>
      </c>
      <c r="K2087" s="13" t="str">
        <f>_xlfn.SINGLE(IF(F2087="","",_xlfn.XLOOKUP(F2087,purchase!D:D,purchase!#REF!,"")))</f>
        <v/>
      </c>
      <c r="L2087" s="2"/>
      <c r="M2087" s="32"/>
      <c r="N2087" s="13" t="str">
        <f>IF(F2087="","",
MAX(0,
_xlfn.XLOOKUP(F2087,purchase!D:D,purchase!#REF!,"")
-
SUMIFS(L:L,F:F,F2087)))</f>
        <v/>
      </c>
      <c r="O2087" s="13" t="str">
        <f t="shared" si="228"/>
        <v/>
      </c>
      <c r="P2087" s="35" t="str">
        <f>_xlfn.SINGLE(IF(F2087="","",_xlfn.XLOOKUP(F2087,purchase!D:D,purchase!K:K,"")))</f>
        <v/>
      </c>
      <c r="Q2087" s="29" t="str">
        <f t="shared" si="229"/>
        <v/>
      </c>
      <c r="R2087" s="37" t="str">
        <f t="shared" si="230"/>
        <v/>
      </c>
    </row>
    <row r="2088" spans="1:18" x14ac:dyDescent="0.35">
      <c r="A2088" s="8">
        <v>2084</v>
      </c>
      <c r="B2088" s="9" t="str">
        <f t="shared" si="224"/>
        <v/>
      </c>
      <c r="C2088" s="10"/>
      <c r="D2088" s="9" t="str">
        <f>IF(F2088="","",_xlfn.XLOOKUP(F2088,purchase!D:D,purchase!#REF!,""))</f>
        <v/>
      </c>
      <c r="E2088" s="9" t="str">
        <f>IF(F2088="","",_xlfn.XLOOKUP(F2088,purchase!D:D,purchase!B:B,""))</f>
        <v/>
      </c>
      <c r="F2088" s="2"/>
      <c r="G2088" s="4" t="str">
        <f t="shared" si="225"/>
        <v/>
      </c>
      <c r="H2088" s="4" t="str">
        <f>IF(F2088="","",_xlfn.XLOOKUP(F2088,purchase!D:D,purchase!#REF!,""))</f>
        <v/>
      </c>
      <c r="I2088" s="4" t="str">
        <f t="shared" si="226"/>
        <v/>
      </c>
      <c r="J2088" s="4" t="str">
        <f t="shared" si="227"/>
        <v/>
      </c>
      <c r="K2088" s="13" t="str">
        <f>_xlfn.SINGLE(IF(F2088="","",_xlfn.XLOOKUP(F2088,purchase!D:D,purchase!#REF!,"")))</f>
        <v/>
      </c>
      <c r="L2088" s="2"/>
      <c r="M2088" s="32"/>
      <c r="N2088" s="13" t="str">
        <f>IF(F2088="","",
MAX(0,
_xlfn.XLOOKUP(F2088,purchase!D:D,purchase!#REF!,"")
-
SUMIFS(L:L,F:F,F2088)))</f>
        <v/>
      </c>
      <c r="O2088" s="13" t="str">
        <f t="shared" si="228"/>
        <v/>
      </c>
      <c r="P2088" s="35" t="str">
        <f>_xlfn.SINGLE(IF(F2088="","",_xlfn.XLOOKUP(F2088,purchase!D:D,purchase!K:K,"")))</f>
        <v/>
      </c>
      <c r="Q2088" s="29" t="str">
        <f t="shared" si="229"/>
        <v/>
      </c>
      <c r="R2088" s="37" t="str">
        <f t="shared" si="230"/>
        <v/>
      </c>
    </row>
    <row r="2089" spans="1:18" x14ac:dyDescent="0.35">
      <c r="A2089" s="8">
        <v>2085</v>
      </c>
      <c r="B2089" s="9" t="str">
        <f t="shared" si="224"/>
        <v/>
      </c>
      <c r="C2089" s="10"/>
      <c r="D2089" s="9" t="str">
        <f>IF(F2089="","",_xlfn.XLOOKUP(F2089,purchase!D:D,purchase!#REF!,""))</f>
        <v/>
      </c>
      <c r="E2089" s="9" t="str">
        <f>IF(F2089="","",_xlfn.XLOOKUP(F2089,purchase!D:D,purchase!B:B,""))</f>
        <v/>
      </c>
      <c r="F2089" s="2"/>
      <c r="G2089" s="4" t="str">
        <f t="shared" si="225"/>
        <v/>
      </c>
      <c r="H2089" s="4" t="str">
        <f>IF(F2089="","",_xlfn.XLOOKUP(F2089,purchase!D:D,purchase!#REF!,""))</f>
        <v/>
      </c>
      <c r="I2089" s="4" t="str">
        <f t="shared" si="226"/>
        <v/>
      </c>
      <c r="J2089" s="4" t="str">
        <f t="shared" si="227"/>
        <v/>
      </c>
      <c r="K2089" s="13" t="str">
        <f>_xlfn.SINGLE(IF(F2089="","",_xlfn.XLOOKUP(F2089,purchase!D:D,purchase!#REF!,"")))</f>
        <v/>
      </c>
      <c r="L2089" s="2"/>
      <c r="M2089" s="32"/>
      <c r="N2089" s="13" t="str">
        <f>IF(F2089="","",
MAX(0,
_xlfn.XLOOKUP(F2089,purchase!D:D,purchase!#REF!,"")
-
SUMIFS(L:L,F:F,F2089)))</f>
        <v/>
      </c>
      <c r="O2089" s="13" t="str">
        <f t="shared" si="228"/>
        <v/>
      </c>
      <c r="P2089" s="35" t="str">
        <f>_xlfn.SINGLE(IF(F2089="","",_xlfn.XLOOKUP(F2089,purchase!D:D,purchase!K:K,"")))</f>
        <v/>
      </c>
      <c r="Q2089" s="29" t="str">
        <f t="shared" si="229"/>
        <v/>
      </c>
      <c r="R2089" s="37" t="str">
        <f t="shared" si="230"/>
        <v/>
      </c>
    </row>
    <row r="2090" spans="1:18" x14ac:dyDescent="0.35">
      <c r="A2090" s="8">
        <v>2086</v>
      </c>
      <c r="B2090" s="9" t="str">
        <f t="shared" si="224"/>
        <v/>
      </c>
      <c r="C2090" s="10"/>
      <c r="D2090" s="9" t="str">
        <f>IF(F2090="","",_xlfn.XLOOKUP(F2090,purchase!D:D,purchase!#REF!,""))</f>
        <v/>
      </c>
      <c r="E2090" s="9" t="str">
        <f>IF(F2090="","",_xlfn.XLOOKUP(F2090,purchase!D:D,purchase!B:B,""))</f>
        <v/>
      </c>
      <c r="F2090" s="2"/>
      <c r="G2090" s="4" t="str">
        <f t="shared" si="225"/>
        <v/>
      </c>
      <c r="H2090" s="4" t="str">
        <f>IF(F2090="","",_xlfn.XLOOKUP(F2090,purchase!D:D,purchase!#REF!,""))</f>
        <v/>
      </c>
      <c r="I2090" s="4" t="str">
        <f t="shared" si="226"/>
        <v/>
      </c>
      <c r="J2090" s="4" t="str">
        <f t="shared" si="227"/>
        <v/>
      </c>
      <c r="K2090" s="13" t="str">
        <f>_xlfn.SINGLE(IF(F2090="","",_xlfn.XLOOKUP(F2090,purchase!D:D,purchase!#REF!,"")))</f>
        <v/>
      </c>
      <c r="L2090" s="2"/>
      <c r="M2090" s="32"/>
      <c r="N2090" s="13" t="str">
        <f>IF(F2090="","",
MAX(0,
_xlfn.XLOOKUP(F2090,purchase!D:D,purchase!#REF!,"")
-
SUMIFS(L:L,F:F,F2090)))</f>
        <v/>
      </c>
      <c r="O2090" s="13" t="str">
        <f t="shared" si="228"/>
        <v/>
      </c>
      <c r="P2090" s="35" t="str">
        <f>_xlfn.SINGLE(IF(F2090="","",_xlfn.XLOOKUP(F2090,purchase!D:D,purchase!K:K,"")))</f>
        <v/>
      </c>
      <c r="Q2090" s="29" t="str">
        <f t="shared" si="229"/>
        <v/>
      </c>
      <c r="R2090" s="37" t="str">
        <f t="shared" si="230"/>
        <v/>
      </c>
    </row>
    <row r="2091" spans="1:18" x14ac:dyDescent="0.35">
      <c r="A2091" s="8">
        <v>2087</v>
      </c>
      <c r="B2091" s="9" t="str">
        <f t="shared" si="224"/>
        <v/>
      </c>
      <c r="C2091" s="10"/>
      <c r="D2091" s="9" t="str">
        <f>IF(F2091="","",_xlfn.XLOOKUP(F2091,purchase!D:D,purchase!#REF!,""))</f>
        <v/>
      </c>
      <c r="E2091" s="9" t="str">
        <f>IF(F2091="","",_xlfn.XLOOKUP(F2091,purchase!D:D,purchase!B:B,""))</f>
        <v/>
      </c>
      <c r="F2091" s="2"/>
      <c r="G2091" s="4" t="str">
        <f t="shared" si="225"/>
        <v/>
      </c>
      <c r="H2091" s="4" t="str">
        <f>IF(F2091="","",_xlfn.XLOOKUP(F2091,purchase!D:D,purchase!#REF!,""))</f>
        <v/>
      </c>
      <c r="I2091" s="4" t="str">
        <f t="shared" si="226"/>
        <v/>
      </c>
      <c r="J2091" s="4" t="str">
        <f t="shared" si="227"/>
        <v/>
      </c>
      <c r="K2091" s="13" t="str">
        <f>_xlfn.SINGLE(IF(F2091="","",_xlfn.XLOOKUP(F2091,purchase!D:D,purchase!#REF!,"")))</f>
        <v/>
      </c>
      <c r="L2091" s="2"/>
      <c r="M2091" s="32"/>
      <c r="N2091" s="13" t="str">
        <f>IF(F2091="","",
MAX(0,
_xlfn.XLOOKUP(F2091,purchase!D:D,purchase!#REF!,"")
-
SUMIFS(L:L,F:F,F2091)))</f>
        <v/>
      </c>
      <c r="O2091" s="13" t="str">
        <f t="shared" si="228"/>
        <v/>
      </c>
      <c r="P2091" s="35" t="str">
        <f>_xlfn.SINGLE(IF(F2091="","",_xlfn.XLOOKUP(F2091,purchase!D:D,purchase!K:K,"")))</f>
        <v/>
      </c>
      <c r="Q2091" s="29" t="str">
        <f t="shared" si="229"/>
        <v/>
      </c>
      <c r="R2091" s="37" t="str">
        <f t="shared" si="230"/>
        <v/>
      </c>
    </row>
    <row r="2092" spans="1:18" x14ac:dyDescent="0.35">
      <c r="A2092" s="8">
        <v>2088</v>
      </c>
      <c r="B2092" s="9" t="str">
        <f t="shared" si="224"/>
        <v/>
      </c>
      <c r="C2092" s="10"/>
      <c r="D2092" s="9" t="str">
        <f>IF(F2092="","",_xlfn.XLOOKUP(F2092,purchase!D:D,purchase!#REF!,""))</f>
        <v/>
      </c>
      <c r="E2092" s="9" t="str">
        <f>IF(F2092="","",_xlfn.XLOOKUP(F2092,purchase!D:D,purchase!B:B,""))</f>
        <v/>
      </c>
      <c r="F2092" s="2"/>
      <c r="G2092" s="4" t="str">
        <f t="shared" si="225"/>
        <v/>
      </c>
      <c r="H2092" s="4" t="str">
        <f>IF(F2092="","",_xlfn.XLOOKUP(F2092,purchase!D:D,purchase!#REF!,""))</f>
        <v/>
      </c>
      <c r="I2092" s="4" t="str">
        <f t="shared" si="226"/>
        <v/>
      </c>
      <c r="J2092" s="4" t="str">
        <f t="shared" si="227"/>
        <v/>
      </c>
      <c r="K2092" s="13" t="str">
        <f>_xlfn.SINGLE(IF(F2092="","",_xlfn.XLOOKUP(F2092,purchase!D:D,purchase!#REF!,"")))</f>
        <v/>
      </c>
      <c r="L2092" s="2"/>
      <c r="M2092" s="32"/>
      <c r="N2092" s="13" t="str">
        <f>IF(F2092="","",
MAX(0,
_xlfn.XLOOKUP(F2092,purchase!D:D,purchase!#REF!,"")
-
SUMIFS(L:L,F:F,F2092)))</f>
        <v/>
      </c>
      <c r="O2092" s="13" t="str">
        <f t="shared" si="228"/>
        <v/>
      </c>
      <c r="P2092" s="35" t="str">
        <f>_xlfn.SINGLE(IF(F2092="","",_xlfn.XLOOKUP(F2092,purchase!D:D,purchase!K:K,"")))</f>
        <v/>
      </c>
      <c r="Q2092" s="29" t="str">
        <f t="shared" si="229"/>
        <v/>
      </c>
      <c r="R2092" s="37" t="str">
        <f t="shared" si="230"/>
        <v/>
      </c>
    </row>
    <row r="2093" spans="1:18" x14ac:dyDescent="0.35">
      <c r="A2093" s="8">
        <v>2089</v>
      </c>
      <c r="B2093" s="9" t="str">
        <f t="shared" si="224"/>
        <v/>
      </c>
      <c r="C2093" s="10"/>
      <c r="D2093" s="9" t="str">
        <f>IF(F2093="","",_xlfn.XLOOKUP(F2093,purchase!D:D,purchase!#REF!,""))</f>
        <v/>
      </c>
      <c r="E2093" s="9" t="str">
        <f>IF(F2093="","",_xlfn.XLOOKUP(F2093,purchase!D:D,purchase!B:B,""))</f>
        <v/>
      </c>
      <c r="F2093" s="2"/>
      <c r="G2093" s="4" t="str">
        <f t="shared" si="225"/>
        <v/>
      </c>
      <c r="H2093" s="4" t="str">
        <f>IF(F2093="","",_xlfn.XLOOKUP(F2093,purchase!D:D,purchase!#REF!,""))</f>
        <v/>
      </c>
      <c r="I2093" s="4" t="str">
        <f t="shared" si="226"/>
        <v/>
      </c>
      <c r="J2093" s="4" t="str">
        <f t="shared" si="227"/>
        <v/>
      </c>
      <c r="K2093" s="13" t="str">
        <f>_xlfn.SINGLE(IF(F2093="","",_xlfn.XLOOKUP(F2093,purchase!D:D,purchase!#REF!,"")))</f>
        <v/>
      </c>
      <c r="L2093" s="2"/>
      <c r="M2093" s="32"/>
      <c r="N2093" s="13" t="str">
        <f>IF(F2093="","",
MAX(0,
_xlfn.XLOOKUP(F2093,purchase!D:D,purchase!#REF!,"")
-
SUMIFS(L:L,F:F,F2093)))</f>
        <v/>
      </c>
      <c r="O2093" s="13" t="str">
        <f t="shared" si="228"/>
        <v/>
      </c>
      <c r="P2093" s="35" t="str">
        <f>_xlfn.SINGLE(IF(F2093="","",_xlfn.XLOOKUP(F2093,purchase!D:D,purchase!K:K,"")))</f>
        <v/>
      </c>
      <c r="Q2093" s="29" t="str">
        <f t="shared" si="229"/>
        <v/>
      </c>
      <c r="R2093" s="37" t="str">
        <f t="shared" si="230"/>
        <v/>
      </c>
    </row>
    <row r="2094" spans="1:18" x14ac:dyDescent="0.35">
      <c r="A2094" s="8">
        <v>2090</v>
      </c>
      <c r="B2094" s="9" t="str">
        <f t="shared" si="224"/>
        <v/>
      </c>
      <c r="C2094" s="10"/>
      <c r="D2094" s="9" t="str">
        <f>IF(F2094="","",_xlfn.XLOOKUP(F2094,purchase!D:D,purchase!#REF!,""))</f>
        <v/>
      </c>
      <c r="E2094" s="9" t="str">
        <f>IF(F2094="","",_xlfn.XLOOKUP(F2094,purchase!D:D,purchase!B:B,""))</f>
        <v/>
      </c>
      <c r="F2094" s="2"/>
      <c r="G2094" s="4" t="str">
        <f t="shared" si="225"/>
        <v/>
      </c>
      <c r="H2094" s="4" t="str">
        <f>IF(F2094="","",_xlfn.XLOOKUP(F2094,purchase!D:D,purchase!#REF!,""))</f>
        <v/>
      </c>
      <c r="I2094" s="4" t="str">
        <f t="shared" si="226"/>
        <v/>
      </c>
      <c r="J2094" s="4" t="str">
        <f t="shared" si="227"/>
        <v/>
      </c>
      <c r="K2094" s="13" t="str">
        <f>_xlfn.SINGLE(IF(F2094="","",_xlfn.XLOOKUP(F2094,purchase!D:D,purchase!#REF!,"")))</f>
        <v/>
      </c>
      <c r="L2094" s="2"/>
      <c r="M2094" s="32"/>
      <c r="N2094" s="13" t="str">
        <f>IF(F2094="","",
MAX(0,
_xlfn.XLOOKUP(F2094,purchase!D:D,purchase!#REF!,"")
-
SUMIFS(L:L,F:F,F2094)))</f>
        <v/>
      </c>
      <c r="O2094" s="13" t="str">
        <f t="shared" si="228"/>
        <v/>
      </c>
      <c r="P2094" s="35" t="str">
        <f>_xlfn.SINGLE(IF(F2094="","",_xlfn.XLOOKUP(F2094,purchase!D:D,purchase!K:K,"")))</f>
        <v/>
      </c>
      <c r="Q2094" s="29" t="str">
        <f t="shared" si="229"/>
        <v/>
      </c>
      <c r="R2094" s="37" t="str">
        <f t="shared" si="230"/>
        <v/>
      </c>
    </row>
    <row r="2095" spans="1:18" x14ac:dyDescent="0.35">
      <c r="A2095" s="8">
        <v>2091</v>
      </c>
      <c r="B2095" s="9" t="str">
        <f t="shared" si="224"/>
        <v/>
      </c>
      <c r="C2095" s="10"/>
      <c r="D2095" s="9" t="str">
        <f>IF(F2095="","",_xlfn.XLOOKUP(F2095,purchase!D:D,purchase!#REF!,""))</f>
        <v/>
      </c>
      <c r="E2095" s="9" t="str">
        <f>IF(F2095="","",_xlfn.XLOOKUP(F2095,purchase!D:D,purchase!B:B,""))</f>
        <v/>
      </c>
      <c r="F2095" s="2"/>
      <c r="G2095" s="4" t="str">
        <f t="shared" si="225"/>
        <v/>
      </c>
      <c r="H2095" s="4" t="str">
        <f>IF(F2095="","",_xlfn.XLOOKUP(F2095,purchase!D:D,purchase!#REF!,""))</f>
        <v/>
      </c>
      <c r="I2095" s="4" t="str">
        <f t="shared" si="226"/>
        <v/>
      </c>
      <c r="J2095" s="4" t="str">
        <f t="shared" si="227"/>
        <v/>
      </c>
      <c r="K2095" s="13" t="str">
        <f>_xlfn.SINGLE(IF(F2095="","",_xlfn.XLOOKUP(F2095,purchase!D:D,purchase!#REF!,"")))</f>
        <v/>
      </c>
      <c r="L2095" s="2"/>
      <c r="M2095" s="32"/>
      <c r="N2095" s="13" t="str">
        <f>IF(F2095="","",
MAX(0,
_xlfn.XLOOKUP(F2095,purchase!D:D,purchase!#REF!,"")
-
SUMIFS(L:L,F:F,F2095)))</f>
        <v/>
      </c>
      <c r="O2095" s="13" t="str">
        <f t="shared" si="228"/>
        <v/>
      </c>
      <c r="P2095" s="35" t="str">
        <f>_xlfn.SINGLE(IF(F2095="","",_xlfn.XLOOKUP(F2095,purchase!D:D,purchase!K:K,"")))</f>
        <v/>
      </c>
      <c r="Q2095" s="29" t="str">
        <f t="shared" si="229"/>
        <v/>
      </c>
      <c r="R2095" s="37" t="str">
        <f t="shared" si="230"/>
        <v/>
      </c>
    </row>
    <row r="2096" spans="1:18" x14ac:dyDescent="0.35">
      <c r="A2096" s="8">
        <v>2092</v>
      </c>
      <c r="B2096" s="9" t="str">
        <f t="shared" si="224"/>
        <v/>
      </c>
      <c r="C2096" s="10"/>
      <c r="D2096" s="9" t="str">
        <f>IF(F2096="","",_xlfn.XLOOKUP(F2096,purchase!D:D,purchase!#REF!,""))</f>
        <v/>
      </c>
      <c r="E2096" s="9" t="str">
        <f>IF(F2096="","",_xlfn.XLOOKUP(F2096,purchase!D:D,purchase!B:B,""))</f>
        <v/>
      </c>
      <c r="F2096" s="2"/>
      <c r="G2096" s="4" t="str">
        <f t="shared" si="225"/>
        <v/>
      </c>
      <c r="H2096" s="4" t="str">
        <f>IF(F2096="","",_xlfn.XLOOKUP(F2096,purchase!D:D,purchase!#REF!,""))</f>
        <v/>
      </c>
      <c r="I2096" s="4" t="str">
        <f t="shared" si="226"/>
        <v/>
      </c>
      <c r="J2096" s="4" t="str">
        <f t="shared" si="227"/>
        <v/>
      </c>
      <c r="K2096" s="13" t="str">
        <f>_xlfn.SINGLE(IF(F2096="","",_xlfn.XLOOKUP(F2096,purchase!D:D,purchase!#REF!,"")))</f>
        <v/>
      </c>
      <c r="L2096" s="2"/>
      <c r="M2096" s="32"/>
      <c r="N2096" s="13" t="str">
        <f>IF(F2096="","",
MAX(0,
_xlfn.XLOOKUP(F2096,purchase!D:D,purchase!#REF!,"")
-
SUMIFS(L:L,F:F,F2096)))</f>
        <v/>
      </c>
      <c r="O2096" s="13" t="str">
        <f t="shared" si="228"/>
        <v/>
      </c>
      <c r="P2096" s="35" t="str">
        <f>_xlfn.SINGLE(IF(F2096="","",_xlfn.XLOOKUP(F2096,purchase!D:D,purchase!K:K,"")))</f>
        <v/>
      </c>
      <c r="Q2096" s="29" t="str">
        <f t="shared" si="229"/>
        <v/>
      </c>
      <c r="R2096" s="37" t="str">
        <f t="shared" si="230"/>
        <v/>
      </c>
    </row>
    <row r="2097" spans="1:18" x14ac:dyDescent="0.35">
      <c r="A2097" s="8">
        <v>2093</v>
      </c>
      <c r="B2097" s="9" t="str">
        <f t="shared" si="224"/>
        <v/>
      </c>
      <c r="C2097" s="10"/>
      <c r="D2097" s="9" t="str">
        <f>IF(F2097="","",_xlfn.XLOOKUP(F2097,purchase!D:D,purchase!#REF!,""))</f>
        <v/>
      </c>
      <c r="E2097" s="9" t="str">
        <f>IF(F2097="","",_xlfn.XLOOKUP(F2097,purchase!D:D,purchase!B:B,""))</f>
        <v/>
      </c>
      <c r="F2097" s="2"/>
      <c r="G2097" s="4" t="str">
        <f t="shared" si="225"/>
        <v/>
      </c>
      <c r="H2097" s="4" t="str">
        <f>IF(F2097="","",_xlfn.XLOOKUP(F2097,purchase!D:D,purchase!#REF!,""))</f>
        <v/>
      </c>
      <c r="I2097" s="4" t="str">
        <f t="shared" si="226"/>
        <v/>
      </c>
      <c r="J2097" s="4" t="str">
        <f t="shared" si="227"/>
        <v/>
      </c>
      <c r="K2097" s="13" t="str">
        <f>_xlfn.SINGLE(IF(F2097="","",_xlfn.XLOOKUP(F2097,purchase!D:D,purchase!#REF!,"")))</f>
        <v/>
      </c>
      <c r="L2097" s="2"/>
      <c r="M2097" s="32"/>
      <c r="N2097" s="13" t="str">
        <f>IF(F2097="","",
MAX(0,
_xlfn.XLOOKUP(F2097,purchase!D:D,purchase!#REF!,"")
-
SUMIFS(L:L,F:F,F2097)))</f>
        <v/>
      </c>
      <c r="O2097" s="13" t="str">
        <f t="shared" si="228"/>
        <v/>
      </c>
      <c r="P2097" s="35" t="str">
        <f>_xlfn.SINGLE(IF(F2097="","",_xlfn.XLOOKUP(F2097,purchase!D:D,purchase!K:K,"")))</f>
        <v/>
      </c>
      <c r="Q2097" s="29" t="str">
        <f t="shared" si="229"/>
        <v/>
      </c>
      <c r="R2097" s="37" t="str">
        <f t="shared" si="230"/>
        <v/>
      </c>
    </row>
    <row r="2098" spans="1:18" x14ac:dyDescent="0.35">
      <c r="A2098" s="8">
        <v>2094</v>
      </c>
      <c r="B2098" s="9" t="str">
        <f t="shared" si="224"/>
        <v/>
      </c>
      <c r="C2098" s="10"/>
      <c r="D2098" s="9" t="str">
        <f>IF(F2098="","",_xlfn.XLOOKUP(F2098,purchase!D:D,purchase!#REF!,""))</f>
        <v/>
      </c>
      <c r="E2098" s="9" t="str">
        <f>IF(F2098="","",_xlfn.XLOOKUP(F2098,purchase!D:D,purchase!B:B,""))</f>
        <v/>
      </c>
      <c r="F2098" s="2"/>
      <c r="G2098" s="4" t="str">
        <f t="shared" si="225"/>
        <v/>
      </c>
      <c r="H2098" s="4" t="str">
        <f>IF(F2098="","",_xlfn.XLOOKUP(F2098,purchase!D:D,purchase!#REF!,""))</f>
        <v/>
      </c>
      <c r="I2098" s="4" t="str">
        <f t="shared" si="226"/>
        <v/>
      </c>
      <c r="J2098" s="4" t="str">
        <f t="shared" si="227"/>
        <v/>
      </c>
      <c r="K2098" s="13" t="str">
        <f>_xlfn.SINGLE(IF(F2098="","",_xlfn.XLOOKUP(F2098,purchase!D:D,purchase!#REF!,"")))</f>
        <v/>
      </c>
      <c r="L2098" s="2"/>
      <c r="M2098" s="32"/>
      <c r="N2098" s="13" t="str">
        <f>IF(F2098="","",
MAX(0,
_xlfn.XLOOKUP(F2098,purchase!D:D,purchase!#REF!,"")
-
SUMIFS(L:L,F:F,F2098)))</f>
        <v/>
      </c>
      <c r="O2098" s="13" t="str">
        <f t="shared" si="228"/>
        <v/>
      </c>
      <c r="P2098" s="35" t="str">
        <f>_xlfn.SINGLE(IF(F2098="","",_xlfn.XLOOKUP(F2098,purchase!D:D,purchase!K:K,"")))</f>
        <v/>
      </c>
      <c r="Q2098" s="29" t="str">
        <f t="shared" si="229"/>
        <v/>
      </c>
      <c r="R2098" s="37" t="str">
        <f t="shared" si="230"/>
        <v/>
      </c>
    </row>
    <row r="2099" spans="1:18" x14ac:dyDescent="0.35">
      <c r="A2099" s="8">
        <v>2095</v>
      </c>
      <c r="B2099" s="9" t="str">
        <f t="shared" si="224"/>
        <v/>
      </c>
      <c r="C2099" s="10"/>
      <c r="D2099" s="9" t="str">
        <f>IF(F2099="","",_xlfn.XLOOKUP(F2099,purchase!D:D,purchase!#REF!,""))</f>
        <v/>
      </c>
      <c r="E2099" s="9" t="str">
        <f>IF(F2099="","",_xlfn.XLOOKUP(F2099,purchase!D:D,purchase!B:B,""))</f>
        <v/>
      </c>
      <c r="F2099" s="2"/>
      <c r="G2099" s="4" t="str">
        <f t="shared" si="225"/>
        <v/>
      </c>
      <c r="H2099" s="4" t="str">
        <f>IF(F2099="","",_xlfn.XLOOKUP(F2099,purchase!D:D,purchase!#REF!,""))</f>
        <v/>
      </c>
      <c r="I2099" s="4" t="str">
        <f t="shared" si="226"/>
        <v/>
      </c>
      <c r="J2099" s="4" t="str">
        <f t="shared" si="227"/>
        <v/>
      </c>
      <c r="K2099" s="13" t="str">
        <f>_xlfn.SINGLE(IF(F2099="","",_xlfn.XLOOKUP(F2099,purchase!D:D,purchase!#REF!,"")))</f>
        <v/>
      </c>
      <c r="L2099" s="2"/>
      <c r="M2099" s="32"/>
      <c r="N2099" s="13" t="str">
        <f>IF(F2099="","",
MAX(0,
_xlfn.XLOOKUP(F2099,purchase!D:D,purchase!#REF!,"")
-
SUMIFS(L:L,F:F,F2099)))</f>
        <v/>
      </c>
      <c r="O2099" s="13" t="str">
        <f t="shared" si="228"/>
        <v/>
      </c>
      <c r="P2099" s="35" t="str">
        <f>_xlfn.SINGLE(IF(F2099="","",_xlfn.XLOOKUP(F2099,purchase!D:D,purchase!K:K,"")))</f>
        <v/>
      </c>
      <c r="Q2099" s="29" t="str">
        <f t="shared" si="229"/>
        <v/>
      </c>
      <c r="R2099" s="37" t="str">
        <f t="shared" si="230"/>
        <v/>
      </c>
    </row>
    <row r="2100" spans="1:18" x14ac:dyDescent="0.35">
      <c r="A2100" s="8">
        <v>2096</v>
      </c>
      <c r="B2100" s="9" t="str">
        <f t="shared" si="224"/>
        <v/>
      </c>
      <c r="C2100" s="10"/>
      <c r="D2100" s="9" t="str">
        <f>IF(F2100="","",_xlfn.XLOOKUP(F2100,purchase!D:D,purchase!#REF!,""))</f>
        <v/>
      </c>
      <c r="E2100" s="9" t="str">
        <f>IF(F2100="","",_xlfn.XLOOKUP(F2100,purchase!D:D,purchase!B:B,""))</f>
        <v/>
      </c>
      <c r="F2100" s="2"/>
      <c r="G2100" s="4" t="str">
        <f t="shared" si="225"/>
        <v/>
      </c>
      <c r="H2100" s="4" t="str">
        <f>IF(F2100="","",_xlfn.XLOOKUP(F2100,purchase!D:D,purchase!#REF!,""))</f>
        <v/>
      </c>
      <c r="I2100" s="4" t="str">
        <f t="shared" si="226"/>
        <v/>
      </c>
      <c r="J2100" s="4" t="str">
        <f t="shared" si="227"/>
        <v/>
      </c>
      <c r="K2100" s="13" t="str">
        <f>_xlfn.SINGLE(IF(F2100="","",_xlfn.XLOOKUP(F2100,purchase!D:D,purchase!#REF!,"")))</f>
        <v/>
      </c>
      <c r="L2100" s="2"/>
      <c r="M2100" s="32"/>
      <c r="N2100" s="13" t="str">
        <f>IF(F2100="","",
MAX(0,
_xlfn.XLOOKUP(F2100,purchase!D:D,purchase!#REF!,"")
-
SUMIFS(L:L,F:F,F2100)))</f>
        <v/>
      </c>
      <c r="O2100" s="13" t="str">
        <f t="shared" si="228"/>
        <v/>
      </c>
      <c r="P2100" s="35" t="str">
        <f>_xlfn.SINGLE(IF(F2100="","",_xlfn.XLOOKUP(F2100,purchase!D:D,purchase!K:K,"")))</f>
        <v/>
      </c>
      <c r="Q2100" s="29" t="str">
        <f t="shared" si="229"/>
        <v/>
      </c>
      <c r="R2100" s="37" t="str">
        <f t="shared" si="230"/>
        <v/>
      </c>
    </row>
    <row r="2101" spans="1:18" x14ac:dyDescent="0.35">
      <c r="A2101" s="8">
        <v>2097</v>
      </c>
      <c r="B2101" s="9" t="str">
        <f t="shared" si="224"/>
        <v/>
      </c>
      <c r="C2101" s="10"/>
      <c r="D2101" s="9" t="str">
        <f>IF(F2101="","",_xlfn.XLOOKUP(F2101,purchase!D:D,purchase!#REF!,""))</f>
        <v/>
      </c>
      <c r="E2101" s="9" t="str">
        <f>IF(F2101="","",_xlfn.XLOOKUP(F2101,purchase!D:D,purchase!B:B,""))</f>
        <v/>
      </c>
      <c r="F2101" s="2"/>
      <c r="G2101" s="4" t="str">
        <f t="shared" si="225"/>
        <v/>
      </c>
      <c r="H2101" s="4" t="str">
        <f>IF(F2101="","",_xlfn.XLOOKUP(F2101,purchase!D:D,purchase!#REF!,""))</f>
        <v/>
      </c>
      <c r="I2101" s="4" t="str">
        <f t="shared" si="226"/>
        <v/>
      </c>
      <c r="J2101" s="4" t="str">
        <f t="shared" si="227"/>
        <v/>
      </c>
      <c r="K2101" s="13" t="str">
        <f>_xlfn.SINGLE(IF(F2101="","",_xlfn.XLOOKUP(F2101,purchase!D:D,purchase!#REF!,"")))</f>
        <v/>
      </c>
      <c r="L2101" s="2"/>
      <c r="M2101" s="32"/>
      <c r="N2101" s="13" t="str">
        <f>IF(F2101="","",
MAX(0,
_xlfn.XLOOKUP(F2101,purchase!D:D,purchase!#REF!,"")
-
SUMIFS(L:L,F:F,F2101)))</f>
        <v/>
      </c>
      <c r="O2101" s="13" t="str">
        <f t="shared" si="228"/>
        <v/>
      </c>
      <c r="P2101" s="35" t="str">
        <f>_xlfn.SINGLE(IF(F2101="","",_xlfn.XLOOKUP(F2101,purchase!D:D,purchase!K:K,"")))</f>
        <v/>
      </c>
      <c r="Q2101" s="29" t="str">
        <f t="shared" si="229"/>
        <v/>
      </c>
      <c r="R2101" s="37" t="str">
        <f t="shared" si="230"/>
        <v/>
      </c>
    </row>
    <row r="2102" spans="1:18" x14ac:dyDescent="0.35">
      <c r="A2102" s="8">
        <v>2098</v>
      </c>
      <c r="B2102" s="9" t="str">
        <f t="shared" si="224"/>
        <v/>
      </c>
      <c r="C2102" s="10"/>
      <c r="D2102" s="9" t="str">
        <f>IF(F2102="","",_xlfn.XLOOKUP(F2102,purchase!D:D,purchase!#REF!,""))</f>
        <v/>
      </c>
      <c r="E2102" s="9" t="str">
        <f>IF(F2102="","",_xlfn.XLOOKUP(F2102,purchase!D:D,purchase!B:B,""))</f>
        <v/>
      </c>
      <c r="F2102" s="2"/>
      <c r="G2102" s="4" t="str">
        <f t="shared" si="225"/>
        <v/>
      </c>
      <c r="H2102" s="4" t="str">
        <f>IF(F2102="","",_xlfn.XLOOKUP(F2102,purchase!D:D,purchase!#REF!,""))</f>
        <v/>
      </c>
      <c r="I2102" s="4" t="str">
        <f t="shared" si="226"/>
        <v/>
      </c>
      <c r="J2102" s="4" t="str">
        <f t="shared" si="227"/>
        <v/>
      </c>
      <c r="K2102" s="13" t="str">
        <f>_xlfn.SINGLE(IF(F2102="","",_xlfn.XLOOKUP(F2102,purchase!D:D,purchase!#REF!,"")))</f>
        <v/>
      </c>
      <c r="L2102" s="2"/>
      <c r="M2102" s="32"/>
      <c r="N2102" s="13" t="str">
        <f>IF(F2102="","",
MAX(0,
_xlfn.XLOOKUP(F2102,purchase!D:D,purchase!#REF!,"")
-
SUMIFS(L:L,F:F,F2102)))</f>
        <v/>
      </c>
      <c r="O2102" s="13" t="str">
        <f t="shared" si="228"/>
        <v/>
      </c>
      <c r="P2102" s="35" t="str">
        <f>_xlfn.SINGLE(IF(F2102="","",_xlfn.XLOOKUP(F2102,purchase!D:D,purchase!K:K,"")))</f>
        <v/>
      </c>
      <c r="Q2102" s="29" t="str">
        <f t="shared" si="229"/>
        <v/>
      </c>
      <c r="R2102" s="37" t="str">
        <f t="shared" si="230"/>
        <v/>
      </c>
    </row>
    <row r="2103" spans="1:18" x14ac:dyDescent="0.35">
      <c r="A2103" s="8">
        <v>2099</v>
      </c>
      <c r="B2103" s="9" t="str">
        <f t="shared" si="224"/>
        <v/>
      </c>
      <c r="C2103" s="10"/>
      <c r="D2103" s="9" t="str">
        <f>IF(F2103="","",_xlfn.XLOOKUP(F2103,purchase!D:D,purchase!#REF!,""))</f>
        <v/>
      </c>
      <c r="E2103" s="9" t="str">
        <f>IF(F2103="","",_xlfn.XLOOKUP(F2103,purchase!D:D,purchase!B:B,""))</f>
        <v/>
      </c>
      <c r="F2103" s="2"/>
      <c r="G2103" s="4" t="str">
        <f t="shared" si="225"/>
        <v/>
      </c>
      <c r="H2103" s="4" t="str">
        <f>IF(F2103="","",_xlfn.XLOOKUP(F2103,purchase!D:D,purchase!#REF!,""))</f>
        <v/>
      </c>
      <c r="I2103" s="4" t="str">
        <f t="shared" si="226"/>
        <v/>
      </c>
      <c r="J2103" s="4" t="str">
        <f t="shared" si="227"/>
        <v/>
      </c>
      <c r="K2103" s="13" t="str">
        <f>_xlfn.SINGLE(IF(F2103="","",_xlfn.XLOOKUP(F2103,purchase!D:D,purchase!#REF!,"")))</f>
        <v/>
      </c>
      <c r="L2103" s="2"/>
      <c r="M2103" s="32"/>
      <c r="N2103" s="13" t="str">
        <f>IF(F2103="","",
MAX(0,
_xlfn.XLOOKUP(F2103,purchase!D:D,purchase!#REF!,"")
-
SUMIFS(L:L,F:F,F2103)))</f>
        <v/>
      </c>
      <c r="O2103" s="13" t="str">
        <f t="shared" si="228"/>
        <v/>
      </c>
      <c r="P2103" s="35" t="str">
        <f>_xlfn.SINGLE(IF(F2103="","",_xlfn.XLOOKUP(F2103,purchase!D:D,purchase!K:K,"")))</f>
        <v/>
      </c>
      <c r="Q2103" s="29" t="str">
        <f t="shared" si="229"/>
        <v/>
      </c>
      <c r="R2103" s="37" t="str">
        <f t="shared" si="230"/>
        <v/>
      </c>
    </row>
    <row r="2104" spans="1:18" x14ac:dyDescent="0.35">
      <c r="A2104" s="8">
        <v>2100</v>
      </c>
      <c r="B2104" s="9" t="str">
        <f t="shared" si="224"/>
        <v/>
      </c>
      <c r="C2104" s="10"/>
      <c r="D2104" s="9" t="str">
        <f>IF(F2104="","",_xlfn.XLOOKUP(F2104,purchase!D:D,purchase!#REF!,""))</f>
        <v/>
      </c>
      <c r="E2104" s="9" t="str">
        <f>IF(F2104="","",_xlfn.XLOOKUP(F2104,purchase!D:D,purchase!B:B,""))</f>
        <v/>
      </c>
      <c r="F2104" s="2"/>
      <c r="G2104" s="4" t="str">
        <f t="shared" si="225"/>
        <v/>
      </c>
      <c r="H2104" s="4" t="str">
        <f>IF(F2104="","",_xlfn.XLOOKUP(F2104,purchase!D:D,purchase!#REF!,""))</f>
        <v/>
      </c>
      <c r="I2104" s="4" t="str">
        <f t="shared" si="226"/>
        <v/>
      </c>
      <c r="J2104" s="4" t="str">
        <f t="shared" si="227"/>
        <v/>
      </c>
      <c r="K2104" s="13" t="str">
        <f>_xlfn.SINGLE(IF(F2104="","",_xlfn.XLOOKUP(F2104,purchase!D:D,purchase!#REF!,"")))</f>
        <v/>
      </c>
      <c r="L2104" s="2"/>
      <c r="M2104" s="32"/>
      <c r="N2104" s="13" t="str">
        <f>IF(F2104="","",
MAX(0,
_xlfn.XLOOKUP(F2104,purchase!D:D,purchase!#REF!,"")
-
SUMIFS(L:L,F:F,F2104)))</f>
        <v/>
      </c>
      <c r="O2104" s="13" t="str">
        <f t="shared" si="228"/>
        <v/>
      </c>
      <c r="P2104" s="35" t="str">
        <f>_xlfn.SINGLE(IF(F2104="","",_xlfn.XLOOKUP(F2104,purchase!D:D,purchase!K:K,"")))</f>
        <v/>
      </c>
      <c r="Q2104" s="29" t="str">
        <f t="shared" si="229"/>
        <v/>
      </c>
      <c r="R2104" s="37" t="str">
        <f t="shared" si="230"/>
        <v/>
      </c>
    </row>
    <row r="2105" spans="1:18" x14ac:dyDescent="0.35">
      <c r="A2105" s="8">
        <v>2101</v>
      </c>
      <c r="B2105" s="9" t="str">
        <f t="shared" si="224"/>
        <v/>
      </c>
      <c r="C2105" s="10"/>
      <c r="D2105" s="9" t="str">
        <f>IF(F2105="","",_xlfn.XLOOKUP(F2105,purchase!D:D,purchase!#REF!,""))</f>
        <v/>
      </c>
      <c r="E2105" s="9" t="str">
        <f>IF(F2105="","",_xlfn.XLOOKUP(F2105,purchase!D:D,purchase!B:B,""))</f>
        <v/>
      </c>
      <c r="F2105" s="2"/>
      <c r="G2105" s="4" t="str">
        <f t="shared" si="225"/>
        <v/>
      </c>
      <c r="H2105" s="4" t="str">
        <f>IF(F2105="","",_xlfn.XLOOKUP(F2105,purchase!D:D,purchase!#REF!,""))</f>
        <v/>
      </c>
      <c r="I2105" s="4" t="str">
        <f t="shared" si="226"/>
        <v/>
      </c>
      <c r="J2105" s="4" t="str">
        <f t="shared" si="227"/>
        <v/>
      </c>
      <c r="K2105" s="13" t="str">
        <f>_xlfn.SINGLE(IF(F2105="","",_xlfn.XLOOKUP(F2105,purchase!D:D,purchase!#REF!,"")))</f>
        <v/>
      </c>
      <c r="L2105" s="2"/>
      <c r="M2105" s="32"/>
      <c r="N2105" s="13" t="str">
        <f>IF(F2105="","",
MAX(0,
_xlfn.XLOOKUP(F2105,purchase!D:D,purchase!#REF!,"")
-
SUMIFS(L:L,F:F,F2105)))</f>
        <v/>
      </c>
      <c r="O2105" s="13" t="str">
        <f t="shared" si="228"/>
        <v/>
      </c>
      <c r="P2105" s="35" t="str">
        <f>_xlfn.SINGLE(IF(F2105="","",_xlfn.XLOOKUP(F2105,purchase!D:D,purchase!K:K,"")))</f>
        <v/>
      </c>
      <c r="Q2105" s="29" t="str">
        <f t="shared" si="229"/>
        <v/>
      </c>
      <c r="R2105" s="37" t="str">
        <f t="shared" si="230"/>
        <v/>
      </c>
    </row>
    <row r="2106" spans="1:18" x14ac:dyDescent="0.35">
      <c r="A2106" s="8">
        <v>2102</v>
      </c>
      <c r="B2106" s="9" t="str">
        <f t="shared" si="224"/>
        <v/>
      </c>
      <c r="C2106" s="10"/>
      <c r="D2106" s="9" t="str">
        <f>IF(F2106="","",_xlfn.XLOOKUP(F2106,purchase!D:D,purchase!#REF!,""))</f>
        <v/>
      </c>
      <c r="E2106" s="9" t="str">
        <f>IF(F2106="","",_xlfn.XLOOKUP(F2106,purchase!D:D,purchase!B:B,""))</f>
        <v/>
      </c>
      <c r="F2106" s="2"/>
      <c r="G2106" s="4" t="str">
        <f t="shared" si="225"/>
        <v/>
      </c>
      <c r="H2106" s="4" t="str">
        <f>IF(F2106="","",_xlfn.XLOOKUP(F2106,purchase!D:D,purchase!#REF!,""))</f>
        <v/>
      </c>
      <c r="I2106" s="4" t="str">
        <f t="shared" si="226"/>
        <v/>
      </c>
      <c r="J2106" s="4" t="str">
        <f t="shared" si="227"/>
        <v/>
      </c>
      <c r="K2106" s="13" t="str">
        <f>_xlfn.SINGLE(IF(F2106="","",_xlfn.XLOOKUP(F2106,purchase!D:D,purchase!#REF!,"")))</f>
        <v/>
      </c>
      <c r="L2106" s="2"/>
      <c r="M2106" s="32"/>
      <c r="N2106" s="13" t="str">
        <f>IF(F2106="","",
MAX(0,
_xlfn.XLOOKUP(F2106,purchase!D:D,purchase!#REF!,"")
-
SUMIFS(L:L,F:F,F2106)))</f>
        <v/>
      </c>
      <c r="O2106" s="13" t="str">
        <f t="shared" si="228"/>
        <v/>
      </c>
      <c r="P2106" s="35" t="str">
        <f>_xlfn.SINGLE(IF(F2106="","",_xlfn.XLOOKUP(F2106,purchase!D:D,purchase!K:K,"")))</f>
        <v/>
      </c>
      <c r="Q2106" s="29" t="str">
        <f t="shared" si="229"/>
        <v/>
      </c>
      <c r="R2106" s="37" t="str">
        <f t="shared" si="230"/>
        <v/>
      </c>
    </row>
    <row r="2107" spans="1:18" x14ac:dyDescent="0.35">
      <c r="A2107" s="8">
        <v>2103</v>
      </c>
      <c r="B2107" s="9" t="str">
        <f t="shared" si="224"/>
        <v/>
      </c>
      <c r="C2107" s="10"/>
      <c r="D2107" s="9" t="str">
        <f>IF(F2107="","",_xlfn.XLOOKUP(F2107,purchase!D:D,purchase!#REF!,""))</f>
        <v/>
      </c>
      <c r="E2107" s="9" t="str">
        <f>IF(F2107="","",_xlfn.XLOOKUP(F2107,purchase!D:D,purchase!B:B,""))</f>
        <v/>
      </c>
      <c r="F2107" s="2"/>
      <c r="G2107" s="4" t="str">
        <f t="shared" si="225"/>
        <v/>
      </c>
      <c r="H2107" s="4" t="str">
        <f>IF(F2107="","",_xlfn.XLOOKUP(F2107,purchase!D:D,purchase!#REF!,""))</f>
        <v/>
      </c>
      <c r="I2107" s="4" t="str">
        <f t="shared" si="226"/>
        <v/>
      </c>
      <c r="J2107" s="4" t="str">
        <f t="shared" si="227"/>
        <v/>
      </c>
      <c r="K2107" s="13" t="str">
        <f>_xlfn.SINGLE(IF(F2107="","",_xlfn.XLOOKUP(F2107,purchase!D:D,purchase!#REF!,"")))</f>
        <v/>
      </c>
      <c r="L2107" s="2"/>
      <c r="M2107" s="32"/>
      <c r="N2107" s="13" t="str">
        <f>IF(F2107="","",
MAX(0,
_xlfn.XLOOKUP(F2107,purchase!D:D,purchase!#REF!,"")
-
SUMIFS(L:L,F:F,F2107)))</f>
        <v/>
      </c>
      <c r="O2107" s="13" t="str">
        <f t="shared" si="228"/>
        <v/>
      </c>
      <c r="P2107" s="35" t="str">
        <f>_xlfn.SINGLE(IF(F2107="","",_xlfn.XLOOKUP(F2107,purchase!D:D,purchase!K:K,"")))</f>
        <v/>
      </c>
      <c r="Q2107" s="29" t="str">
        <f t="shared" si="229"/>
        <v/>
      </c>
      <c r="R2107" s="37" t="str">
        <f t="shared" si="230"/>
        <v/>
      </c>
    </row>
    <row r="2108" spans="1:18" x14ac:dyDescent="0.35">
      <c r="A2108" s="8">
        <v>2104</v>
      </c>
      <c r="B2108" s="9" t="str">
        <f t="shared" si="224"/>
        <v/>
      </c>
      <c r="C2108" s="10"/>
      <c r="D2108" s="9" t="str">
        <f>IF(F2108="","",_xlfn.XLOOKUP(F2108,purchase!D:D,purchase!#REF!,""))</f>
        <v/>
      </c>
      <c r="E2108" s="9" t="str">
        <f>IF(F2108="","",_xlfn.XLOOKUP(F2108,purchase!D:D,purchase!B:B,""))</f>
        <v/>
      </c>
      <c r="F2108" s="2"/>
      <c r="G2108" s="4" t="str">
        <f t="shared" si="225"/>
        <v/>
      </c>
      <c r="H2108" s="4" t="str">
        <f>IF(F2108="","",_xlfn.XLOOKUP(F2108,purchase!D:D,purchase!#REF!,""))</f>
        <v/>
      </c>
      <c r="I2108" s="4" t="str">
        <f t="shared" si="226"/>
        <v/>
      </c>
      <c r="J2108" s="4" t="str">
        <f t="shared" si="227"/>
        <v/>
      </c>
      <c r="K2108" s="13" t="str">
        <f>_xlfn.SINGLE(IF(F2108="","",_xlfn.XLOOKUP(F2108,purchase!D:D,purchase!#REF!,"")))</f>
        <v/>
      </c>
      <c r="L2108" s="2"/>
      <c r="M2108" s="32"/>
      <c r="N2108" s="13" t="str">
        <f>IF(F2108="","",
MAX(0,
_xlfn.XLOOKUP(F2108,purchase!D:D,purchase!#REF!,"")
-
SUMIFS(L:L,F:F,F2108)))</f>
        <v/>
      </c>
      <c r="O2108" s="13" t="str">
        <f t="shared" si="228"/>
        <v/>
      </c>
      <c r="P2108" s="35" t="str">
        <f>_xlfn.SINGLE(IF(F2108="","",_xlfn.XLOOKUP(F2108,purchase!D:D,purchase!K:K,"")))</f>
        <v/>
      </c>
      <c r="Q2108" s="29" t="str">
        <f t="shared" si="229"/>
        <v/>
      </c>
      <c r="R2108" s="37" t="str">
        <f t="shared" si="230"/>
        <v/>
      </c>
    </row>
    <row r="2109" spans="1:18" x14ac:dyDescent="0.35">
      <c r="A2109" s="8">
        <v>2105</v>
      </c>
      <c r="B2109" s="9" t="str">
        <f t="shared" si="224"/>
        <v/>
      </c>
      <c r="C2109" s="10"/>
      <c r="D2109" s="9" t="str">
        <f>IF(F2109="","",_xlfn.XLOOKUP(F2109,purchase!D:D,purchase!#REF!,""))</f>
        <v/>
      </c>
      <c r="E2109" s="9" t="str">
        <f>IF(F2109="","",_xlfn.XLOOKUP(F2109,purchase!D:D,purchase!B:B,""))</f>
        <v/>
      </c>
      <c r="F2109" s="2"/>
      <c r="G2109" s="4" t="str">
        <f t="shared" si="225"/>
        <v/>
      </c>
      <c r="H2109" s="4" t="str">
        <f>IF(F2109="","",_xlfn.XLOOKUP(F2109,purchase!D:D,purchase!#REF!,""))</f>
        <v/>
      </c>
      <c r="I2109" s="4" t="str">
        <f t="shared" si="226"/>
        <v/>
      </c>
      <c r="J2109" s="4" t="str">
        <f t="shared" si="227"/>
        <v/>
      </c>
      <c r="K2109" s="13" t="str">
        <f>_xlfn.SINGLE(IF(F2109="","",_xlfn.XLOOKUP(F2109,purchase!D:D,purchase!#REF!,"")))</f>
        <v/>
      </c>
      <c r="L2109" s="2"/>
      <c r="M2109" s="32"/>
      <c r="N2109" s="13" t="str">
        <f>IF(F2109="","",
MAX(0,
_xlfn.XLOOKUP(F2109,purchase!D:D,purchase!#REF!,"")
-
SUMIFS(L:L,F:F,F2109)))</f>
        <v/>
      </c>
      <c r="O2109" s="13" t="str">
        <f t="shared" si="228"/>
        <v/>
      </c>
      <c r="P2109" s="35" t="str">
        <f>_xlfn.SINGLE(IF(F2109="","",_xlfn.XLOOKUP(F2109,purchase!D:D,purchase!K:K,"")))</f>
        <v/>
      </c>
      <c r="Q2109" s="29" t="str">
        <f t="shared" si="229"/>
        <v/>
      </c>
      <c r="R2109" s="37" t="str">
        <f t="shared" si="230"/>
        <v/>
      </c>
    </row>
    <row r="2110" spans="1:18" x14ac:dyDescent="0.35">
      <c r="A2110" s="8">
        <v>2106</v>
      </c>
      <c r="B2110" s="9" t="str">
        <f t="shared" si="224"/>
        <v/>
      </c>
      <c r="C2110" s="10"/>
      <c r="D2110" s="9" t="str">
        <f>IF(F2110="","",_xlfn.XLOOKUP(F2110,purchase!D:D,purchase!#REF!,""))</f>
        <v/>
      </c>
      <c r="E2110" s="9" t="str">
        <f>IF(F2110="","",_xlfn.XLOOKUP(F2110,purchase!D:D,purchase!B:B,""))</f>
        <v/>
      </c>
      <c r="F2110" s="2"/>
      <c r="G2110" s="4" t="str">
        <f t="shared" si="225"/>
        <v/>
      </c>
      <c r="H2110" s="4" t="str">
        <f>IF(F2110="","",_xlfn.XLOOKUP(F2110,purchase!D:D,purchase!#REF!,""))</f>
        <v/>
      </c>
      <c r="I2110" s="4" t="str">
        <f t="shared" si="226"/>
        <v/>
      </c>
      <c r="J2110" s="4" t="str">
        <f t="shared" si="227"/>
        <v/>
      </c>
      <c r="K2110" s="13" t="str">
        <f>_xlfn.SINGLE(IF(F2110="","",_xlfn.XLOOKUP(F2110,purchase!D:D,purchase!#REF!,"")))</f>
        <v/>
      </c>
      <c r="L2110" s="2"/>
      <c r="M2110" s="32"/>
      <c r="N2110" s="13" t="str">
        <f>IF(F2110="","",
MAX(0,
_xlfn.XLOOKUP(F2110,purchase!D:D,purchase!#REF!,"")
-
SUMIFS(L:L,F:F,F2110)))</f>
        <v/>
      </c>
      <c r="O2110" s="13" t="str">
        <f t="shared" si="228"/>
        <v/>
      </c>
      <c r="P2110" s="35" t="str">
        <f>_xlfn.SINGLE(IF(F2110="","",_xlfn.XLOOKUP(F2110,purchase!D:D,purchase!K:K,"")))</f>
        <v/>
      </c>
      <c r="Q2110" s="29" t="str">
        <f t="shared" si="229"/>
        <v/>
      </c>
      <c r="R2110" s="37" t="str">
        <f t="shared" si="230"/>
        <v/>
      </c>
    </row>
    <row r="2111" spans="1:18" x14ac:dyDescent="0.35">
      <c r="A2111" s="8">
        <v>2107</v>
      </c>
      <c r="B2111" s="9" t="str">
        <f t="shared" si="224"/>
        <v/>
      </c>
      <c r="C2111" s="10"/>
      <c r="D2111" s="9" t="str">
        <f>IF(F2111="","",_xlfn.XLOOKUP(F2111,purchase!D:D,purchase!#REF!,""))</f>
        <v/>
      </c>
      <c r="E2111" s="9" t="str">
        <f>IF(F2111="","",_xlfn.XLOOKUP(F2111,purchase!D:D,purchase!B:B,""))</f>
        <v/>
      </c>
      <c r="F2111" s="2"/>
      <c r="G2111" s="4" t="str">
        <f t="shared" si="225"/>
        <v/>
      </c>
      <c r="H2111" s="4" t="str">
        <f>IF(F2111="","",_xlfn.XLOOKUP(F2111,purchase!D:D,purchase!#REF!,""))</f>
        <v/>
      </c>
      <c r="I2111" s="4" t="str">
        <f t="shared" si="226"/>
        <v/>
      </c>
      <c r="J2111" s="4" t="str">
        <f t="shared" si="227"/>
        <v/>
      </c>
      <c r="K2111" s="13" t="str">
        <f>_xlfn.SINGLE(IF(F2111="","",_xlfn.XLOOKUP(F2111,purchase!D:D,purchase!#REF!,"")))</f>
        <v/>
      </c>
      <c r="L2111" s="2"/>
      <c r="M2111" s="32"/>
      <c r="N2111" s="13" t="str">
        <f>IF(F2111="","",
MAX(0,
_xlfn.XLOOKUP(F2111,purchase!D:D,purchase!#REF!,"")
-
SUMIFS(L:L,F:F,F2111)))</f>
        <v/>
      </c>
      <c r="O2111" s="13" t="str">
        <f t="shared" si="228"/>
        <v/>
      </c>
      <c r="P2111" s="35" t="str">
        <f>_xlfn.SINGLE(IF(F2111="","",_xlfn.XLOOKUP(F2111,purchase!D:D,purchase!K:K,"")))</f>
        <v/>
      </c>
      <c r="Q2111" s="29" t="str">
        <f t="shared" si="229"/>
        <v/>
      </c>
      <c r="R2111" s="37" t="str">
        <f t="shared" si="230"/>
        <v/>
      </c>
    </row>
    <row r="2112" spans="1:18" x14ac:dyDescent="0.35">
      <c r="A2112" s="8">
        <v>2108</v>
      </c>
      <c r="B2112" s="9" t="str">
        <f t="shared" si="224"/>
        <v/>
      </c>
      <c r="C2112" s="10"/>
      <c r="D2112" s="9" t="str">
        <f>IF(F2112="","",_xlfn.XLOOKUP(F2112,purchase!D:D,purchase!#REF!,""))</f>
        <v/>
      </c>
      <c r="E2112" s="9" t="str">
        <f>IF(F2112="","",_xlfn.XLOOKUP(F2112,purchase!D:D,purchase!B:B,""))</f>
        <v/>
      </c>
      <c r="F2112" s="2"/>
      <c r="G2112" s="4" t="str">
        <f t="shared" si="225"/>
        <v/>
      </c>
      <c r="H2112" s="4" t="str">
        <f>IF(F2112="","",_xlfn.XLOOKUP(F2112,purchase!D:D,purchase!#REF!,""))</f>
        <v/>
      </c>
      <c r="I2112" s="4" t="str">
        <f t="shared" si="226"/>
        <v/>
      </c>
      <c r="J2112" s="4" t="str">
        <f t="shared" si="227"/>
        <v/>
      </c>
      <c r="K2112" s="13" t="str">
        <f>_xlfn.SINGLE(IF(F2112="","",_xlfn.XLOOKUP(F2112,purchase!D:D,purchase!#REF!,"")))</f>
        <v/>
      </c>
      <c r="L2112" s="2"/>
      <c r="M2112" s="32"/>
      <c r="N2112" s="13" t="str">
        <f>IF(F2112="","",
MAX(0,
_xlfn.XLOOKUP(F2112,purchase!D:D,purchase!#REF!,"")
-
SUMIFS(L:L,F:F,F2112)))</f>
        <v/>
      </c>
      <c r="O2112" s="13" t="str">
        <f t="shared" si="228"/>
        <v/>
      </c>
      <c r="P2112" s="35" t="str">
        <f>_xlfn.SINGLE(IF(F2112="","",_xlfn.XLOOKUP(F2112,purchase!D:D,purchase!K:K,"")))</f>
        <v/>
      </c>
      <c r="Q2112" s="29" t="str">
        <f t="shared" si="229"/>
        <v/>
      </c>
      <c r="R2112" s="37" t="str">
        <f t="shared" si="230"/>
        <v/>
      </c>
    </row>
    <row r="2113" spans="1:18" x14ac:dyDescent="0.35">
      <c r="A2113" s="8">
        <v>2109</v>
      </c>
      <c r="B2113" s="9" t="str">
        <f t="shared" si="224"/>
        <v/>
      </c>
      <c r="C2113" s="10"/>
      <c r="D2113" s="9" t="str">
        <f>IF(F2113="","",_xlfn.XLOOKUP(F2113,purchase!D:D,purchase!#REF!,""))</f>
        <v/>
      </c>
      <c r="E2113" s="9" t="str">
        <f>IF(F2113="","",_xlfn.XLOOKUP(F2113,purchase!D:D,purchase!B:B,""))</f>
        <v/>
      </c>
      <c r="F2113" s="2"/>
      <c r="G2113" s="4" t="str">
        <f t="shared" si="225"/>
        <v/>
      </c>
      <c r="H2113" s="4" t="str">
        <f>IF(F2113="","",_xlfn.XLOOKUP(F2113,purchase!D:D,purchase!#REF!,""))</f>
        <v/>
      </c>
      <c r="I2113" s="4" t="str">
        <f t="shared" si="226"/>
        <v/>
      </c>
      <c r="J2113" s="4" t="str">
        <f t="shared" si="227"/>
        <v/>
      </c>
      <c r="K2113" s="13" t="str">
        <f>_xlfn.SINGLE(IF(F2113="","",_xlfn.XLOOKUP(F2113,purchase!D:D,purchase!#REF!,"")))</f>
        <v/>
      </c>
      <c r="L2113" s="2"/>
      <c r="M2113" s="32"/>
      <c r="N2113" s="13" t="str">
        <f>IF(F2113="","",
MAX(0,
_xlfn.XLOOKUP(F2113,purchase!D:D,purchase!#REF!,"")
-
SUMIFS(L:L,F:F,F2113)))</f>
        <v/>
      </c>
      <c r="O2113" s="13" t="str">
        <f t="shared" si="228"/>
        <v/>
      </c>
      <c r="P2113" s="35" t="str">
        <f>_xlfn.SINGLE(IF(F2113="","",_xlfn.XLOOKUP(F2113,purchase!D:D,purchase!K:K,"")))</f>
        <v/>
      </c>
      <c r="Q2113" s="29" t="str">
        <f t="shared" si="229"/>
        <v/>
      </c>
      <c r="R2113" s="37" t="str">
        <f t="shared" si="230"/>
        <v/>
      </c>
    </row>
    <row r="2114" spans="1:18" x14ac:dyDescent="0.35">
      <c r="A2114" s="8">
        <v>2110</v>
      </c>
      <c r="B2114" s="9" t="str">
        <f t="shared" si="224"/>
        <v/>
      </c>
      <c r="C2114" s="10"/>
      <c r="D2114" s="9" t="str">
        <f>IF(F2114="","",_xlfn.XLOOKUP(F2114,purchase!D:D,purchase!#REF!,""))</f>
        <v/>
      </c>
      <c r="E2114" s="9" t="str">
        <f>IF(F2114="","",_xlfn.XLOOKUP(F2114,purchase!D:D,purchase!B:B,""))</f>
        <v/>
      </c>
      <c r="F2114" s="2"/>
      <c r="G2114" s="4" t="str">
        <f t="shared" si="225"/>
        <v/>
      </c>
      <c r="H2114" s="4" t="str">
        <f>IF(F2114="","",_xlfn.XLOOKUP(F2114,purchase!D:D,purchase!#REF!,""))</f>
        <v/>
      </c>
      <c r="I2114" s="4" t="str">
        <f t="shared" si="226"/>
        <v/>
      </c>
      <c r="J2114" s="4" t="str">
        <f t="shared" si="227"/>
        <v/>
      </c>
      <c r="K2114" s="13" t="str">
        <f>_xlfn.SINGLE(IF(F2114="","",_xlfn.XLOOKUP(F2114,purchase!D:D,purchase!#REF!,"")))</f>
        <v/>
      </c>
      <c r="L2114" s="2"/>
      <c r="M2114" s="32"/>
      <c r="N2114" s="13" t="str">
        <f>IF(F2114="","",
MAX(0,
_xlfn.XLOOKUP(F2114,purchase!D:D,purchase!#REF!,"")
-
SUMIFS(L:L,F:F,F2114)))</f>
        <v/>
      </c>
      <c r="O2114" s="13" t="str">
        <f t="shared" si="228"/>
        <v/>
      </c>
      <c r="P2114" s="35" t="str">
        <f>_xlfn.SINGLE(IF(F2114="","",_xlfn.XLOOKUP(F2114,purchase!D:D,purchase!K:K,"")))</f>
        <v/>
      </c>
      <c r="Q2114" s="29" t="str">
        <f t="shared" si="229"/>
        <v/>
      </c>
      <c r="R2114" s="37" t="str">
        <f t="shared" si="230"/>
        <v/>
      </c>
    </row>
    <row r="2115" spans="1:18" x14ac:dyDescent="0.35">
      <c r="A2115" s="8">
        <v>2111</v>
      </c>
      <c r="B2115" s="9" t="str">
        <f t="shared" si="224"/>
        <v/>
      </c>
      <c r="C2115" s="10"/>
      <c r="D2115" s="9" t="str">
        <f>IF(F2115="","",_xlfn.XLOOKUP(F2115,purchase!D:D,purchase!#REF!,""))</f>
        <v/>
      </c>
      <c r="E2115" s="9" t="str">
        <f>IF(F2115="","",_xlfn.XLOOKUP(F2115,purchase!D:D,purchase!B:B,""))</f>
        <v/>
      </c>
      <c r="F2115" s="2"/>
      <c r="G2115" s="4" t="str">
        <f t="shared" si="225"/>
        <v/>
      </c>
      <c r="H2115" s="4" t="str">
        <f>IF(F2115="","",_xlfn.XLOOKUP(F2115,purchase!D:D,purchase!#REF!,""))</f>
        <v/>
      </c>
      <c r="I2115" s="4" t="str">
        <f t="shared" si="226"/>
        <v/>
      </c>
      <c r="J2115" s="4" t="str">
        <f t="shared" si="227"/>
        <v/>
      </c>
      <c r="K2115" s="13" t="str">
        <f>_xlfn.SINGLE(IF(F2115="","",_xlfn.XLOOKUP(F2115,purchase!D:D,purchase!#REF!,"")))</f>
        <v/>
      </c>
      <c r="L2115" s="2"/>
      <c r="M2115" s="32"/>
      <c r="N2115" s="13" t="str">
        <f>IF(F2115="","",
MAX(0,
_xlfn.XLOOKUP(F2115,purchase!D:D,purchase!#REF!,"")
-
SUMIFS(L:L,F:F,F2115)))</f>
        <v/>
      </c>
      <c r="O2115" s="13" t="str">
        <f t="shared" si="228"/>
        <v/>
      </c>
      <c r="P2115" s="35" t="str">
        <f>_xlfn.SINGLE(IF(F2115="","",_xlfn.XLOOKUP(F2115,purchase!D:D,purchase!K:K,"")))</f>
        <v/>
      </c>
      <c r="Q2115" s="29" t="str">
        <f t="shared" si="229"/>
        <v/>
      </c>
      <c r="R2115" s="37" t="str">
        <f t="shared" si="230"/>
        <v/>
      </c>
    </row>
    <row r="2116" spans="1:18" x14ac:dyDescent="0.35">
      <c r="A2116" s="8">
        <v>2112</v>
      </c>
      <c r="B2116" s="9" t="str">
        <f t="shared" si="224"/>
        <v/>
      </c>
      <c r="C2116" s="10"/>
      <c r="D2116" s="9" t="str">
        <f>IF(F2116="","",_xlfn.XLOOKUP(F2116,purchase!D:D,purchase!#REF!,""))</f>
        <v/>
      </c>
      <c r="E2116" s="9" t="str">
        <f>IF(F2116="","",_xlfn.XLOOKUP(F2116,purchase!D:D,purchase!B:B,""))</f>
        <v/>
      </c>
      <c r="F2116" s="2"/>
      <c r="G2116" s="4" t="str">
        <f t="shared" si="225"/>
        <v/>
      </c>
      <c r="H2116" s="4" t="str">
        <f>IF(F2116="","",_xlfn.XLOOKUP(F2116,purchase!D:D,purchase!#REF!,""))</f>
        <v/>
      </c>
      <c r="I2116" s="4" t="str">
        <f t="shared" si="226"/>
        <v/>
      </c>
      <c r="J2116" s="4" t="str">
        <f t="shared" si="227"/>
        <v/>
      </c>
      <c r="K2116" s="13" t="str">
        <f>_xlfn.SINGLE(IF(F2116="","",_xlfn.XLOOKUP(F2116,purchase!D:D,purchase!#REF!,"")))</f>
        <v/>
      </c>
      <c r="L2116" s="2"/>
      <c r="M2116" s="32"/>
      <c r="N2116" s="13" t="str">
        <f>IF(F2116="","",
MAX(0,
_xlfn.XLOOKUP(F2116,purchase!D:D,purchase!#REF!,"")
-
SUMIFS(L:L,F:F,F2116)))</f>
        <v/>
      </c>
      <c r="O2116" s="13" t="str">
        <f t="shared" si="228"/>
        <v/>
      </c>
      <c r="P2116" s="35" t="str">
        <f>_xlfn.SINGLE(IF(F2116="","",_xlfn.XLOOKUP(F2116,purchase!D:D,purchase!K:K,"")))</f>
        <v/>
      </c>
      <c r="Q2116" s="29" t="str">
        <f t="shared" si="229"/>
        <v/>
      </c>
      <c r="R2116" s="37" t="str">
        <f t="shared" si="230"/>
        <v/>
      </c>
    </row>
    <row r="2117" spans="1:18" x14ac:dyDescent="0.35">
      <c r="A2117" s="8">
        <v>2113</v>
      </c>
      <c r="B2117" s="9" t="str">
        <f t="shared" ref="B2117:B2180" si="231">IF(OR(C2117="",F2117=""),"",
"PRD-" &amp;
TEXT(DAY(C2117),"00") &amp;
CHOOSE(MONTH(C2117),"A","B","C","D","E","F","G","H","I","J","K","L") &amp;
TEXT(YEAR(C2117),"00") &amp;
"-" &amp;
RIGHT(F2117,4))</f>
        <v/>
      </c>
      <c r="C2117" s="10"/>
      <c r="D2117" s="9" t="str">
        <f>IF(F2117="","",_xlfn.XLOOKUP(F2117,purchase!D:D,purchase!#REF!,""))</f>
        <v/>
      </c>
      <c r="E2117" s="9" t="str">
        <f>IF(F2117="","",_xlfn.XLOOKUP(F2117,purchase!D:D,purchase!B:B,""))</f>
        <v/>
      </c>
      <c r="F2117" s="2"/>
      <c r="G2117" s="4" t="str">
        <f t="shared" ref="G2117:G2180" si="232">IF(H2117="NRFC","Natural Rubber Field Coagulam","")</f>
        <v/>
      </c>
      <c r="H2117" s="4" t="str">
        <f>IF(F2117="","",_xlfn.XLOOKUP(F2117,purchase!D:D,purchase!#REF!,""))</f>
        <v/>
      </c>
      <c r="I2117" s="4" t="str">
        <f t="shared" ref="I2117:I2180" si="233">IF(J2117="ISNR20","Natural Rubber-TSNR (ISNR-20)","")</f>
        <v/>
      </c>
      <c r="J2117" s="4" t="str">
        <f t="shared" ref="J2117:J2180" si="234">IF(H2117="NRFC","ISNR20","")</f>
        <v/>
      </c>
      <c r="K2117" s="13" t="str">
        <f>_xlfn.SINGLE(IF(F2117="","",_xlfn.XLOOKUP(F2117,purchase!D:D,purchase!#REF!,"")))</f>
        <v/>
      </c>
      <c r="L2117" s="2"/>
      <c r="M2117" s="32"/>
      <c r="N2117" s="13" t="str">
        <f>IF(F2117="","",
MAX(0,
_xlfn.XLOOKUP(F2117,purchase!D:D,purchase!#REF!,"")
-
SUMIFS(L:L,F:F,F2117)))</f>
        <v/>
      </c>
      <c r="O2117" s="13" t="str">
        <f t="shared" ref="O2117:O2180" si="235">IF(OR(L2117="",M2117=""),"",L2117-M2117)</f>
        <v/>
      </c>
      <c r="P2117" s="35" t="str">
        <f>_xlfn.SINGLE(IF(F2117="","",_xlfn.XLOOKUP(F2117,purchase!D:D,purchase!K:K,"")))</f>
        <v/>
      </c>
      <c r="Q2117" s="29" t="str">
        <f t="shared" ref="Q2117:Q2180" si="236">IF(OR(L2117="",M2117=""),"",M2117/L2117)</f>
        <v/>
      </c>
      <c r="R2117" s="37" t="str">
        <f t="shared" ref="R2117:R2180" si="237">IF(OR(P2117="",Q2117=""),"",Q2117-P2117)</f>
        <v/>
      </c>
    </row>
    <row r="2118" spans="1:18" x14ac:dyDescent="0.35">
      <c r="A2118" s="8">
        <v>2114</v>
      </c>
      <c r="B2118" s="9" t="str">
        <f t="shared" si="231"/>
        <v/>
      </c>
      <c r="C2118" s="10"/>
      <c r="D2118" s="9" t="str">
        <f>IF(F2118="","",_xlfn.XLOOKUP(F2118,purchase!D:D,purchase!#REF!,""))</f>
        <v/>
      </c>
      <c r="E2118" s="9" t="str">
        <f>IF(F2118="","",_xlfn.XLOOKUP(F2118,purchase!D:D,purchase!B:B,""))</f>
        <v/>
      </c>
      <c r="F2118" s="2"/>
      <c r="G2118" s="4" t="str">
        <f t="shared" si="232"/>
        <v/>
      </c>
      <c r="H2118" s="4" t="str">
        <f>IF(F2118="","",_xlfn.XLOOKUP(F2118,purchase!D:D,purchase!#REF!,""))</f>
        <v/>
      </c>
      <c r="I2118" s="4" t="str">
        <f t="shared" si="233"/>
        <v/>
      </c>
      <c r="J2118" s="4" t="str">
        <f t="shared" si="234"/>
        <v/>
      </c>
      <c r="K2118" s="13" t="str">
        <f>_xlfn.SINGLE(IF(F2118="","",_xlfn.XLOOKUP(F2118,purchase!D:D,purchase!#REF!,"")))</f>
        <v/>
      </c>
      <c r="L2118" s="2"/>
      <c r="M2118" s="32"/>
      <c r="N2118" s="13" t="str">
        <f>IF(F2118="","",
MAX(0,
_xlfn.XLOOKUP(F2118,purchase!D:D,purchase!#REF!,"")
-
SUMIFS(L:L,F:F,F2118)))</f>
        <v/>
      </c>
      <c r="O2118" s="13" t="str">
        <f t="shared" si="235"/>
        <v/>
      </c>
      <c r="P2118" s="35" t="str">
        <f>_xlfn.SINGLE(IF(F2118="","",_xlfn.XLOOKUP(F2118,purchase!D:D,purchase!K:K,"")))</f>
        <v/>
      </c>
      <c r="Q2118" s="29" t="str">
        <f t="shared" si="236"/>
        <v/>
      </c>
      <c r="R2118" s="37" t="str">
        <f t="shared" si="237"/>
        <v/>
      </c>
    </row>
    <row r="2119" spans="1:18" x14ac:dyDescent="0.35">
      <c r="A2119" s="8">
        <v>2115</v>
      </c>
      <c r="B2119" s="9" t="str">
        <f t="shared" si="231"/>
        <v/>
      </c>
      <c r="C2119" s="10"/>
      <c r="D2119" s="9" t="str">
        <f>IF(F2119="","",_xlfn.XLOOKUP(F2119,purchase!D:D,purchase!#REF!,""))</f>
        <v/>
      </c>
      <c r="E2119" s="9" t="str">
        <f>IF(F2119="","",_xlfn.XLOOKUP(F2119,purchase!D:D,purchase!B:B,""))</f>
        <v/>
      </c>
      <c r="F2119" s="2"/>
      <c r="G2119" s="4" t="str">
        <f t="shared" si="232"/>
        <v/>
      </c>
      <c r="H2119" s="4" t="str">
        <f>IF(F2119="","",_xlfn.XLOOKUP(F2119,purchase!D:D,purchase!#REF!,""))</f>
        <v/>
      </c>
      <c r="I2119" s="4" t="str">
        <f t="shared" si="233"/>
        <v/>
      </c>
      <c r="J2119" s="4" t="str">
        <f t="shared" si="234"/>
        <v/>
      </c>
      <c r="K2119" s="13" t="str">
        <f>_xlfn.SINGLE(IF(F2119="","",_xlfn.XLOOKUP(F2119,purchase!D:D,purchase!#REF!,"")))</f>
        <v/>
      </c>
      <c r="L2119" s="2"/>
      <c r="M2119" s="32"/>
      <c r="N2119" s="13" t="str">
        <f>IF(F2119="","",
MAX(0,
_xlfn.XLOOKUP(F2119,purchase!D:D,purchase!#REF!,"")
-
SUMIFS(L:L,F:F,F2119)))</f>
        <v/>
      </c>
      <c r="O2119" s="13" t="str">
        <f t="shared" si="235"/>
        <v/>
      </c>
      <c r="P2119" s="35" t="str">
        <f>_xlfn.SINGLE(IF(F2119="","",_xlfn.XLOOKUP(F2119,purchase!D:D,purchase!K:K,"")))</f>
        <v/>
      </c>
      <c r="Q2119" s="29" t="str">
        <f t="shared" si="236"/>
        <v/>
      </c>
      <c r="R2119" s="37" t="str">
        <f t="shared" si="237"/>
        <v/>
      </c>
    </row>
    <row r="2120" spans="1:18" x14ac:dyDescent="0.35">
      <c r="A2120" s="8">
        <v>2116</v>
      </c>
      <c r="B2120" s="9" t="str">
        <f t="shared" si="231"/>
        <v/>
      </c>
      <c r="C2120" s="10"/>
      <c r="D2120" s="9" t="str">
        <f>IF(F2120="","",_xlfn.XLOOKUP(F2120,purchase!D:D,purchase!#REF!,""))</f>
        <v/>
      </c>
      <c r="E2120" s="9" t="str">
        <f>IF(F2120="","",_xlfn.XLOOKUP(F2120,purchase!D:D,purchase!B:B,""))</f>
        <v/>
      </c>
      <c r="F2120" s="2"/>
      <c r="G2120" s="4" t="str">
        <f t="shared" si="232"/>
        <v/>
      </c>
      <c r="H2120" s="4" t="str">
        <f>IF(F2120="","",_xlfn.XLOOKUP(F2120,purchase!D:D,purchase!#REF!,""))</f>
        <v/>
      </c>
      <c r="I2120" s="4" t="str">
        <f t="shared" si="233"/>
        <v/>
      </c>
      <c r="J2120" s="4" t="str">
        <f t="shared" si="234"/>
        <v/>
      </c>
      <c r="K2120" s="13" t="str">
        <f>_xlfn.SINGLE(IF(F2120="","",_xlfn.XLOOKUP(F2120,purchase!D:D,purchase!#REF!,"")))</f>
        <v/>
      </c>
      <c r="L2120" s="2"/>
      <c r="M2120" s="32"/>
      <c r="N2120" s="13" t="str">
        <f>IF(F2120="","",
MAX(0,
_xlfn.XLOOKUP(F2120,purchase!D:D,purchase!#REF!,"")
-
SUMIFS(L:L,F:F,F2120)))</f>
        <v/>
      </c>
      <c r="O2120" s="13" t="str">
        <f t="shared" si="235"/>
        <v/>
      </c>
      <c r="P2120" s="35" t="str">
        <f>_xlfn.SINGLE(IF(F2120="","",_xlfn.XLOOKUP(F2120,purchase!D:D,purchase!K:K,"")))</f>
        <v/>
      </c>
      <c r="Q2120" s="29" t="str">
        <f t="shared" si="236"/>
        <v/>
      </c>
      <c r="R2120" s="37" t="str">
        <f t="shared" si="237"/>
        <v/>
      </c>
    </row>
    <row r="2121" spans="1:18" x14ac:dyDescent="0.35">
      <c r="A2121" s="8">
        <v>2117</v>
      </c>
      <c r="B2121" s="9" t="str">
        <f t="shared" si="231"/>
        <v/>
      </c>
      <c r="C2121" s="10"/>
      <c r="D2121" s="9" t="str">
        <f>IF(F2121="","",_xlfn.XLOOKUP(F2121,purchase!D:D,purchase!#REF!,""))</f>
        <v/>
      </c>
      <c r="E2121" s="9" t="str">
        <f>IF(F2121="","",_xlfn.XLOOKUP(F2121,purchase!D:D,purchase!B:B,""))</f>
        <v/>
      </c>
      <c r="F2121" s="2"/>
      <c r="G2121" s="4" t="str">
        <f t="shared" si="232"/>
        <v/>
      </c>
      <c r="H2121" s="4" t="str">
        <f>IF(F2121="","",_xlfn.XLOOKUP(F2121,purchase!D:D,purchase!#REF!,""))</f>
        <v/>
      </c>
      <c r="I2121" s="4" t="str">
        <f t="shared" si="233"/>
        <v/>
      </c>
      <c r="J2121" s="4" t="str">
        <f t="shared" si="234"/>
        <v/>
      </c>
      <c r="K2121" s="13" t="str">
        <f>_xlfn.SINGLE(IF(F2121="","",_xlfn.XLOOKUP(F2121,purchase!D:D,purchase!#REF!,"")))</f>
        <v/>
      </c>
      <c r="L2121" s="2"/>
      <c r="M2121" s="32"/>
      <c r="N2121" s="13" t="str">
        <f>IF(F2121="","",
MAX(0,
_xlfn.XLOOKUP(F2121,purchase!D:D,purchase!#REF!,"")
-
SUMIFS(L:L,F:F,F2121)))</f>
        <v/>
      </c>
      <c r="O2121" s="13" t="str">
        <f t="shared" si="235"/>
        <v/>
      </c>
      <c r="P2121" s="35" t="str">
        <f>_xlfn.SINGLE(IF(F2121="","",_xlfn.XLOOKUP(F2121,purchase!D:D,purchase!K:K,"")))</f>
        <v/>
      </c>
      <c r="Q2121" s="29" t="str">
        <f t="shared" si="236"/>
        <v/>
      </c>
      <c r="R2121" s="37" t="str">
        <f t="shared" si="237"/>
        <v/>
      </c>
    </row>
    <row r="2122" spans="1:18" x14ac:dyDescent="0.35">
      <c r="A2122" s="8">
        <v>2118</v>
      </c>
      <c r="B2122" s="9" t="str">
        <f t="shared" si="231"/>
        <v/>
      </c>
      <c r="C2122" s="10"/>
      <c r="D2122" s="9" t="str">
        <f>IF(F2122="","",_xlfn.XLOOKUP(F2122,purchase!D:D,purchase!#REF!,""))</f>
        <v/>
      </c>
      <c r="E2122" s="9" t="str">
        <f>IF(F2122="","",_xlfn.XLOOKUP(F2122,purchase!D:D,purchase!B:B,""))</f>
        <v/>
      </c>
      <c r="F2122" s="2"/>
      <c r="G2122" s="4" t="str">
        <f t="shared" si="232"/>
        <v/>
      </c>
      <c r="H2122" s="4" t="str">
        <f>IF(F2122="","",_xlfn.XLOOKUP(F2122,purchase!D:D,purchase!#REF!,""))</f>
        <v/>
      </c>
      <c r="I2122" s="4" t="str">
        <f t="shared" si="233"/>
        <v/>
      </c>
      <c r="J2122" s="4" t="str">
        <f t="shared" si="234"/>
        <v/>
      </c>
      <c r="K2122" s="13" t="str">
        <f>_xlfn.SINGLE(IF(F2122="","",_xlfn.XLOOKUP(F2122,purchase!D:D,purchase!#REF!,"")))</f>
        <v/>
      </c>
      <c r="L2122" s="2"/>
      <c r="M2122" s="32"/>
      <c r="N2122" s="13" t="str">
        <f>IF(F2122="","",
MAX(0,
_xlfn.XLOOKUP(F2122,purchase!D:D,purchase!#REF!,"")
-
SUMIFS(L:L,F:F,F2122)))</f>
        <v/>
      </c>
      <c r="O2122" s="13" t="str">
        <f t="shared" si="235"/>
        <v/>
      </c>
      <c r="P2122" s="35" t="str">
        <f>_xlfn.SINGLE(IF(F2122="","",_xlfn.XLOOKUP(F2122,purchase!D:D,purchase!K:K,"")))</f>
        <v/>
      </c>
      <c r="Q2122" s="29" t="str">
        <f t="shared" si="236"/>
        <v/>
      </c>
      <c r="R2122" s="37" t="str">
        <f t="shared" si="237"/>
        <v/>
      </c>
    </row>
    <row r="2123" spans="1:18" x14ac:dyDescent="0.35">
      <c r="A2123" s="8">
        <v>2119</v>
      </c>
      <c r="B2123" s="9" t="str">
        <f t="shared" si="231"/>
        <v/>
      </c>
      <c r="C2123" s="10"/>
      <c r="D2123" s="9" t="str">
        <f>IF(F2123="","",_xlfn.XLOOKUP(F2123,purchase!D:D,purchase!#REF!,""))</f>
        <v/>
      </c>
      <c r="E2123" s="9" t="str">
        <f>IF(F2123="","",_xlfn.XLOOKUP(F2123,purchase!D:D,purchase!B:B,""))</f>
        <v/>
      </c>
      <c r="F2123" s="2"/>
      <c r="G2123" s="4" t="str">
        <f t="shared" si="232"/>
        <v/>
      </c>
      <c r="H2123" s="4" t="str">
        <f>IF(F2123="","",_xlfn.XLOOKUP(F2123,purchase!D:D,purchase!#REF!,""))</f>
        <v/>
      </c>
      <c r="I2123" s="4" t="str">
        <f t="shared" si="233"/>
        <v/>
      </c>
      <c r="J2123" s="4" t="str">
        <f t="shared" si="234"/>
        <v/>
      </c>
      <c r="K2123" s="13" t="str">
        <f>_xlfn.SINGLE(IF(F2123="","",_xlfn.XLOOKUP(F2123,purchase!D:D,purchase!#REF!,"")))</f>
        <v/>
      </c>
      <c r="L2123" s="2"/>
      <c r="M2123" s="32"/>
      <c r="N2123" s="13" t="str">
        <f>IF(F2123="","",
MAX(0,
_xlfn.XLOOKUP(F2123,purchase!D:D,purchase!#REF!,"")
-
SUMIFS(L:L,F:F,F2123)))</f>
        <v/>
      </c>
      <c r="O2123" s="13" t="str">
        <f t="shared" si="235"/>
        <v/>
      </c>
      <c r="P2123" s="35" t="str">
        <f>_xlfn.SINGLE(IF(F2123="","",_xlfn.XLOOKUP(F2123,purchase!D:D,purchase!K:K,"")))</f>
        <v/>
      </c>
      <c r="Q2123" s="29" t="str">
        <f t="shared" si="236"/>
        <v/>
      </c>
      <c r="R2123" s="37" t="str">
        <f t="shared" si="237"/>
        <v/>
      </c>
    </row>
    <row r="2124" spans="1:18" x14ac:dyDescent="0.35">
      <c r="A2124" s="8">
        <v>2120</v>
      </c>
      <c r="B2124" s="9" t="str">
        <f t="shared" si="231"/>
        <v/>
      </c>
      <c r="C2124" s="10"/>
      <c r="D2124" s="9" t="str">
        <f>IF(F2124="","",_xlfn.XLOOKUP(F2124,purchase!D:D,purchase!#REF!,""))</f>
        <v/>
      </c>
      <c r="E2124" s="9" t="str">
        <f>IF(F2124="","",_xlfn.XLOOKUP(F2124,purchase!D:D,purchase!B:B,""))</f>
        <v/>
      </c>
      <c r="F2124" s="2"/>
      <c r="G2124" s="4" t="str">
        <f t="shared" si="232"/>
        <v/>
      </c>
      <c r="H2124" s="4" t="str">
        <f>IF(F2124="","",_xlfn.XLOOKUP(F2124,purchase!D:D,purchase!#REF!,""))</f>
        <v/>
      </c>
      <c r="I2124" s="4" t="str">
        <f t="shared" si="233"/>
        <v/>
      </c>
      <c r="J2124" s="4" t="str">
        <f t="shared" si="234"/>
        <v/>
      </c>
      <c r="K2124" s="13" t="str">
        <f>_xlfn.SINGLE(IF(F2124="","",_xlfn.XLOOKUP(F2124,purchase!D:D,purchase!#REF!,"")))</f>
        <v/>
      </c>
      <c r="L2124" s="2"/>
      <c r="M2124" s="32"/>
      <c r="N2124" s="13" t="str">
        <f>IF(F2124="","",
MAX(0,
_xlfn.XLOOKUP(F2124,purchase!D:D,purchase!#REF!,"")
-
SUMIFS(L:L,F:F,F2124)))</f>
        <v/>
      </c>
      <c r="O2124" s="13" t="str">
        <f t="shared" si="235"/>
        <v/>
      </c>
      <c r="P2124" s="35" t="str">
        <f>_xlfn.SINGLE(IF(F2124="","",_xlfn.XLOOKUP(F2124,purchase!D:D,purchase!K:K,"")))</f>
        <v/>
      </c>
      <c r="Q2124" s="29" t="str">
        <f t="shared" si="236"/>
        <v/>
      </c>
      <c r="R2124" s="37" t="str">
        <f t="shared" si="237"/>
        <v/>
      </c>
    </row>
    <row r="2125" spans="1:18" x14ac:dyDescent="0.35">
      <c r="A2125" s="8">
        <v>2121</v>
      </c>
      <c r="B2125" s="9" t="str">
        <f t="shared" si="231"/>
        <v/>
      </c>
      <c r="C2125" s="10"/>
      <c r="D2125" s="9" t="str">
        <f>IF(F2125="","",_xlfn.XLOOKUP(F2125,purchase!D:D,purchase!#REF!,""))</f>
        <v/>
      </c>
      <c r="E2125" s="9" t="str">
        <f>IF(F2125="","",_xlfn.XLOOKUP(F2125,purchase!D:D,purchase!B:B,""))</f>
        <v/>
      </c>
      <c r="F2125" s="2"/>
      <c r="G2125" s="4" t="str">
        <f t="shared" si="232"/>
        <v/>
      </c>
      <c r="H2125" s="4" t="str">
        <f>IF(F2125="","",_xlfn.XLOOKUP(F2125,purchase!D:D,purchase!#REF!,""))</f>
        <v/>
      </c>
      <c r="I2125" s="4" t="str">
        <f t="shared" si="233"/>
        <v/>
      </c>
      <c r="J2125" s="4" t="str">
        <f t="shared" si="234"/>
        <v/>
      </c>
      <c r="K2125" s="13" t="str">
        <f>_xlfn.SINGLE(IF(F2125="","",_xlfn.XLOOKUP(F2125,purchase!D:D,purchase!#REF!,"")))</f>
        <v/>
      </c>
      <c r="L2125" s="2"/>
      <c r="M2125" s="32"/>
      <c r="N2125" s="13" t="str">
        <f>IF(F2125="","",
MAX(0,
_xlfn.XLOOKUP(F2125,purchase!D:D,purchase!#REF!,"")
-
SUMIFS(L:L,F:F,F2125)))</f>
        <v/>
      </c>
      <c r="O2125" s="13" t="str">
        <f t="shared" si="235"/>
        <v/>
      </c>
      <c r="P2125" s="35" t="str">
        <f>_xlfn.SINGLE(IF(F2125="","",_xlfn.XLOOKUP(F2125,purchase!D:D,purchase!K:K,"")))</f>
        <v/>
      </c>
      <c r="Q2125" s="29" t="str">
        <f t="shared" si="236"/>
        <v/>
      </c>
      <c r="R2125" s="37" t="str">
        <f t="shared" si="237"/>
        <v/>
      </c>
    </row>
    <row r="2126" spans="1:18" x14ac:dyDescent="0.35">
      <c r="A2126" s="8">
        <v>2122</v>
      </c>
      <c r="B2126" s="9" t="str">
        <f t="shared" si="231"/>
        <v/>
      </c>
      <c r="C2126" s="10"/>
      <c r="D2126" s="9" t="str">
        <f>IF(F2126="","",_xlfn.XLOOKUP(F2126,purchase!D:D,purchase!#REF!,""))</f>
        <v/>
      </c>
      <c r="E2126" s="9" t="str">
        <f>IF(F2126="","",_xlfn.XLOOKUP(F2126,purchase!D:D,purchase!B:B,""))</f>
        <v/>
      </c>
      <c r="F2126" s="2"/>
      <c r="G2126" s="4" t="str">
        <f t="shared" si="232"/>
        <v/>
      </c>
      <c r="H2126" s="4" t="str">
        <f>IF(F2126="","",_xlfn.XLOOKUP(F2126,purchase!D:D,purchase!#REF!,""))</f>
        <v/>
      </c>
      <c r="I2126" s="4" t="str">
        <f t="shared" si="233"/>
        <v/>
      </c>
      <c r="J2126" s="4" t="str">
        <f t="shared" si="234"/>
        <v/>
      </c>
      <c r="K2126" s="13" t="str">
        <f>_xlfn.SINGLE(IF(F2126="","",_xlfn.XLOOKUP(F2126,purchase!D:D,purchase!#REF!,"")))</f>
        <v/>
      </c>
      <c r="L2126" s="2"/>
      <c r="M2126" s="32"/>
      <c r="N2126" s="13" t="str">
        <f>IF(F2126="","",
MAX(0,
_xlfn.XLOOKUP(F2126,purchase!D:D,purchase!#REF!,"")
-
SUMIFS(L:L,F:F,F2126)))</f>
        <v/>
      </c>
      <c r="O2126" s="13" t="str">
        <f t="shared" si="235"/>
        <v/>
      </c>
      <c r="P2126" s="35" t="str">
        <f>_xlfn.SINGLE(IF(F2126="","",_xlfn.XLOOKUP(F2126,purchase!D:D,purchase!K:K,"")))</f>
        <v/>
      </c>
      <c r="Q2126" s="29" t="str">
        <f t="shared" si="236"/>
        <v/>
      </c>
      <c r="R2126" s="37" t="str">
        <f t="shared" si="237"/>
        <v/>
      </c>
    </row>
    <row r="2127" spans="1:18" x14ac:dyDescent="0.35">
      <c r="A2127" s="8">
        <v>2123</v>
      </c>
      <c r="B2127" s="9" t="str">
        <f t="shared" si="231"/>
        <v/>
      </c>
      <c r="C2127" s="10"/>
      <c r="D2127" s="9" t="str">
        <f>IF(F2127="","",_xlfn.XLOOKUP(F2127,purchase!D:D,purchase!#REF!,""))</f>
        <v/>
      </c>
      <c r="E2127" s="9" t="str">
        <f>IF(F2127="","",_xlfn.XLOOKUP(F2127,purchase!D:D,purchase!B:B,""))</f>
        <v/>
      </c>
      <c r="F2127" s="2"/>
      <c r="G2127" s="4" t="str">
        <f t="shared" si="232"/>
        <v/>
      </c>
      <c r="H2127" s="4" t="str">
        <f>IF(F2127="","",_xlfn.XLOOKUP(F2127,purchase!D:D,purchase!#REF!,""))</f>
        <v/>
      </c>
      <c r="I2127" s="4" t="str">
        <f t="shared" si="233"/>
        <v/>
      </c>
      <c r="J2127" s="4" t="str">
        <f t="shared" si="234"/>
        <v/>
      </c>
      <c r="K2127" s="13" t="str">
        <f>_xlfn.SINGLE(IF(F2127="","",_xlfn.XLOOKUP(F2127,purchase!D:D,purchase!#REF!,"")))</f>
        <v/>
      </c>
      <c r="L2127" s="2"/>
      <c r="M2127" s="32"/>
      <c r="N2127" s="13" t="str">
        <f>IF(F2127="","",
MAX(0,
_xlfn.XLOOKUP(F2127,purchase!D:D,purchase!#REF!,"")
-
SUMIFS(L:L,F:F,F2127)))</f>
        <v/>
      </c>
      <c r="O2127" s="13" t="str">
        <f t="shared" si="235"/>
        <v/>
      </c>
      <c r="P2127" s="35" t="str">
        <f>_xlfn.SINGLE(IF(F2127="","",_xlfn.XLOOKUP(F2127,purchase!D:D,purchase!K:K,"")))</f>
        <v/>
      </c>
      <c r="Q2127" s="29" t="str">
        <f t="shared" si="236"/>
        <v/>
      </c>
      <c r="R2127" s="37" t="str">
        <f t="shared" si="237"/>
        <v/>
      </c>
    </row>
    <row r="2128" spans="1:18" x14ac:dyDescent="0.35">
      <c r="A2128" s="8">
        <v>2124</v>
      </c>
      <c r="B2128" s="9" t="str">
        <f t="shared" si="231"/>
        <v/>
      </c>
      <c r="C2128" s="10"/>
      <c r="D2128" s="9" t="str">
        <f>IF(F2128="","",_xlfn.XLOOKUP(F2128,purchase!D:D,purchase!#REF!,""))</f>
        <v/>
      </c>
      <c r="E2128" s="9" t="str">
        <f>IF(F2128="","",_xlfn.XLOOKUP(F2128,purchase!D:D,purchase!B:B,""))</f>
        <v/>
      </c>
      <c r="F2128" s="2"/>
      <c r="G2128" s="4" t="str">
        <f t="shared" si="232"/>
        <v/>
      </c>
      <c r="H2128" s="4" t="str">
        <f>IF(F2128="","",_xlfn.XLOOKUP(F2128,purchase!D:D,purchase!#REF!,""))</f>
        <v/>
      </c>
      <c r="I2128" s="4" t="str">
        <f t="shared" si="233"/>
        <v/>
      </c>
      <c r="J2128" s="4" t="str">
        <f t="shared" si="234"/>
        <v/>
      </c>
      <c r="K2128" s="13" t="str">
        <f>_xlfn.SINGLE(IF(F2128="","",_xlfn.XLOOKUP(F2128,purchase!D:D,purchase!#REF!,"")))</f>
        <v/>
      </c>
      <c r="L2128" s="2"/>
      <c r="M2128" s="32"/>
      <c r="N2128" s="13" t="str">
        <f>IF(F2128="","",
MAX(0,
_xlfn.XLOOKUP(F2128,purchase!D:D,purchase!#REF!,"")
-
SUMIFS(L:L,F:F,F2128)))</f>
        <v/>
      </c>
      <c r="O2128" s="13" t="str">
        <f t="shared" si="235"/>
        <v/>
      </c>
      <c r="P2128" s="35" t="str">
        <f>_xlfn.SINGLE(IF(F2128="","",_xlfn.XLOOKUP(F2128,purchase!D:D,purchase!K:K,"")))</f>
        <v/>
      </c>
      <c r="Q2128" s="29" t="str">
        <f t="shared" si="236"/>
        <v/>
      </c>
      <c r="R2128" s="37" t="str">
        <f t="shared" si="237"/>
        <v/>
      </c>
    </row>
    <row r="2129" spans="1:18" x14ac:dyDescent="0.35">
      <c r="A2129" s="8">
        <v>2125</v>
      </c>
      <c r="B2129" s="9" t="str">
        <f t="shared" si="231"/>
        <v/>
      </c>
      <c r="C2129" s="10"/>
      <c r="D2129" s="9" t="str">
        <f>IF(F2129="","",_xlfn.XLOOKUP(F2129,purchase!D:D,purchase!#REF!,""))</f>
        <v/>
      </c>
      <c r="E2129" s="9" t="str">
        <f>IF(F2129="","",_xlfn.XLOOKUP(F2129,purchase!D:D,purchase!B:B,""))</f>
        <v/>
      </c>
      <c r="F2129" s="2"/>
      <c r="G2129" s="4" t="str">
        <f t="shared" si="232"/>
        <v/>
      </c>
      <c r="H2129" s="4" t="str">
        <f>IF(F2129="","",_xlfn.XLOOKUP(F2129,purchase!D:D,purchase!#REF!,""))</f>
        <v/>
      </c>
      <c r="I2129" s="4" t="str">
        <f t="shared" si="233"/>
        <v/>
      </c>
      <c r="J2129" s="4" t="str">
        <f t="shared" si="234"/>
        <v/>
      </c>
      <c r="K2129" s="13" t="str">
        <f>_xlfn.SINGLE(IF(F2129="","",_xlfn.XLOOKUP(F2129,purchase!D:D,purchase!#REF!,"")))</f>
        <v/>
      </c>
      <c r="L2129" s="2"/>
      <c r="M2129" s="32"/>
      <c r="N2129" s="13" t="str">
        <f>IF(F2129="","",
MAX(0,
_xlfn.XLOOKUP(F2129,purchase!D:D,purchase!#REF!,"")
-
SUMIFS(L:L,F:F,F2129)))</f>
        <v/>
      </c>
      <c r="O2129" s="13" t="str">
        <f t="shared" si="235"/>
        <v/>
      </c>
      <c r="P2129" s="35" t="str">
        <f>_xlfn.SINGLE(IF(F2129="","",_xlfn.XLOOKUP(F2129,purchase!D:D,purchase!K:K,"")))</f>
        <v/>
      </c>
      <c r="Q2129" s="29" t="str">
        <f t="shared" si="236"/>
        <v/>
      </c>
      <c r="R2129" s="37" t="str">
        <f t="shared" si="237"/>
        <v/>
      </c>
    </row>
    <row r="2130" spans="1:18" x14ac:dyDescent="0.35">
      <c r="A2130" s="8">
        <v>2126</v>
      </c>
      <c r="B2130" s="9" t="str">
        <f t="shared" si="231"/>
        <v/>
      </c>
      <c r="C2130" s="10"/>
      <c r="D2130" s="9" t="str">
        <f>IF(F2130="","",_xlfn.XLOOKUP(F2130,purchase!D:D,purchase!#REF!,""))</f>
        <v/>
      </c>
      <c r="E2130" s="9" t="str">
        <f>IF(F2130="","",_xlfn.XLOOKUP(F2130,purchase!D:D,purchase!B:B,""))</f>
        <v/>
      </c>
      <c r="F2130" s="2"/>
      <c r="G2130" s="4" t="str">
        <f t="shared" si="232"/>
        <v/>
      </c>
      <c r="H2130" s="4" t="str">
        <f>IF(F2130="","",_xlfn.XLOOKUP(F2130,purchase!D:D,purchase!#REF!,""))</f>
        <v/>
      </c>
      <c r="I2130" s="4" t="str">
        <f t="shared" si="233"/>
        <v/>
      </c>
      <c r="J2130" s="4" t="str">
        <f t="shared" si="234"/>
        <v/>
      </c>
      <c r="K2130" s="13" t="str">
        <f>_xlfn.SINGLE(IF(F2130="","",_xlfn.XLOOKUP(F2130,purchase!D:D,purchase!#REF!,"")))</f>
        <v/>
      </c>
      <c r="L2130" s="2"/>
      <c r="M2130" s="32"/>
      <c r="N2130" s="13" t="str">
        <f>IF(F2130="","",
MAX(0,
_xlfn.XLOOKUP(F2130,purchase!D:D,purchase!#REF!,"")
-
SUMIFS(L:L,F:F,F2130)))</f>
        <v/>
      </c>
      <c r="O2130" s="13" t="str">
        <f t="shared" si="235"/>
        <v/>
      </c>
      <c r="P2130" s="35" t="str">
        <f>_xlfn.SINGLE(IF(F2130="","",_xlfn.XLOOKUP(F2130,purchase!D:D,purchase!K:K,"")))</f>
        <v/>
      </c>
      <c r="Q2130" s="29" t="str">
        <f t="shared" si="236"/>
        <v/>
      </c>
      <c r="R2130" s="37" t="str">
        <f t="shared" si="237"/>
        <v/>
      </c>
    </row>
    <row r="2131" spans="1:18" x14ac:dyDescent="0.35">
      <c r="A2131" s="8">
        <v>2127</v>
      </c>
      <c r="B2131" s="9" t="str">
        <f t="shared" si="231"/>
        <v/>
      </c>
      <c r="C2131" s="10"/>
      <c r="D2131" s="9" t="str">
        <f>IF(F2131="","",_xlfn.XLOOKUP(F2131,purchase!D:D,purchase!#REF!,""))</f>
        <v/>
      </c>
      <c r="E2131" s="9" t="str">
        <f>IF(F2131="","",_xlfn.XLOOKUP(F2131,purchase!D:D,purchase!B:B,""))</f>
        <v/>
      </c>
      <c r="F2131" s="2"/>
      <c r="G2131" s="4" t="str">
        <f t="shared" si="232"/>
        <v/>
      </c>
      <c r="H2131" s="4" t="str">
        <f>IF(F2131="","",_xlfn.XLOOKUP(F2131,purchase!D:D,purchase!#REF!,""))</f>
        <v/>
      </c>
      <c r="I2131" s="4" t="str">
        <f t="shared" si="233"/>
        <v/>
      </c>
      <c r="J2131" s="4" t="str">
        <f t="shared" si="234"/>
        <v/>
      </c>
      <c r="K2131" s="13" t="str">
        <f>_xlfn.SINGLE(IF(F2131="","",_xlfn.XLOOKUP(F2131,purchase!D:D,purchase!#REF!,"")))</f>
        <v/>
      </c>
      <c r="L2131" s="2"/>
      <c r="M2131" s="32"/>
      <c r="N2131" s="13" t="str">
        <f>IF(F2131="","",
MAX(0,
_xlfn.XLOOKUP(F2131,purchase!D:D,purchase!#REF!,"")
-
SUMIFS(L:L,F:F,F2131)))</f>
        <v/>
      </c>
      <c r="O2131" s="13" t="str">
        <f t="shared" si="235"/>
        <v/>
      </c>
      <c r="P2131" s="35" t="str">
        <f>_xlfn.SINGLE(IF(F2131="","",_xlfn.XLOOKUP(F2131,purchase!D:D,purchase!K:K,"")))</f>
        <v/>
      </c>
      <c r="Q2131" s="29" t="str">
        <f t="shared" si="236"/>
        <v/>
      </c>
      <c r="R2131" s="37" t="str">
        <f t="shared" si="237"/>
        <v/>
      </c>
    </row>
    <row r="2132" spans="1:18" x14ac:dyDescent="0.35">
      <c r="A2132" s="8">
        <v>2128</v>
      </c>
      <c r="B2132" s="9" t="str">
        <f t="shared" si="231"/>
        <v/>
      </c>
      <c r="C2132" s="10"/>
      <c r="D2132" s="9" t="str">
        <f>IF(F2132="","",_xlfn.XLOOKUP(F2132,purchase!D:D,purchase!#REF!,""))</f>
        <v/>
      </c>
      <c r="E2132" s="9" t="str">
        <f>IF(F2132="","",_xlfn.XLOOKUP(F2132,purchase!D:D,purchase!B:B,""))</f>
        <v/>
      </c>
      <c r="F2132" s="2"/>
      <c r="G2132" s="4" t="str">
        <f t="shared" si="232"/>
        <v/>
      </c>
      <c r="H2132" s="4" t="str">
        <f>IF(F2132="","",_xlfn.XLOOKUP(F2132,purchase!D:D,purchase!#REF!,""))</f>
        <v/>
      </c>
      <c r="I2132" s="4" t="str">
        <f t="shared" si="233"/>
        <v/>
      </c>
      <c r="J2132" s="4" t="str">
        <f t="shared" si="234"/>
        <v/>
      </c>
      <c r="K2132" s="13" t="str">
        <f>_xlfn.SINGLE(IF(F2132="","",_xlfn.XLOOKUP(F2132,purchase!D:D,purchase!#REF!,"")))</f>
        <v/>
      </c>
      <c r="L2132" s="2"/>
      <c r="M2132" s="32"/>
      <c r="N2132" s="13" t="str">
        <f>IF(F2132="","",
MAX(0,
_xlfn.XLOOKUP(F2132,purchase!D:D,purchase!#REF!,"")
-
SUMIFS(L:L,F:F,F2132)))</f>
        <v/>
      </c>
      <c r="O2132" s="13" t="str">
        <f t="shared" si="235"/>
        <v/>
      </c>
      <c r="P2132" s="35" t="str">
        <f>_xlfn.SINGLE(IF(F2132="","",_xlfn.XLOOKUP(F2132,purchase!D:D,purchase!K:K,"")))</f>
        <v/>
      </c>
      <c r="Q2132" s="29" t="str">
        <f t="shared" si="236"/>
        <v/>
      </c>
      <c r="R2132" s="37" t="str">
        <f t="shared" si="237"/>
        <v/>
      </c>
    </row>
    <row r="2133" spans="1:18" x14ac:dyDescent="0.35">
      <c r="A2133" s="8">
        <v>2129</v>
      </c>
      <c r="B2133" s="9" t="str">
        <f t="shared" si="231"/>
        <v/>
      </c>
      <c r="C2133" s="10"/>
      <c r="D2133" s="9" t="str">
        <f>IF(F2133="","",_xlfn.XLOOKUP(F2133,purchase!D:D,purchase!#REF!,""))</f>
        <v/>
      </c>
      <c r="E2133" s="9" t="str">
        <f>IF(F2133="","",_xlfn.XLOOKUP(F2133,purchase!D:D,purchase!B:B,""))</f>
        <v/>
      </c>
      <c r="F2133" s="2"/>
      <c r="G2133" s="4" t="str">
        <f t="shared" si="232"/>
        <v/>
      </c>
      <c r="H2133" s="4" t="str">
        <f>IF(F2133="","",_xlfn.XLOOKUP(F2133,purchase!D:D,purchase!#REF!,""))</f>
        <v/>
      </c>
      <c r="I2133" s="4" t="str">
        <f t="shared" si="233"/>
        <v/>
      </c>
      <c r="J2133" s="4" t="str">
        <f t="shared" si="234"/>
        <v/>
      </c>
      <c r="K2133" s="13" t="str">
        <f>_xlfn.SINGLE(IF(F2133="","",_xlfn.XLOOKUP(F2133,purchase!D:D,purchase!#REF!,"")))</f>
        <v/>
      </c>
      <c r="L2133" s="2"/>
      <c r="M2133" s="32"/>
      <c r="N2133" s="13" t="str">
        <f>IF(F2133="","",
MAX(0,
_xlfn.XLOOKUP(F2133,purchase!D:D,purchase!#REF!,"")
-
SUMIFS(L:L,F:F,F2133)))</f>
        <v/>
      </c>
      <c r="O2133" s="13" t="str">
        <f t="shared" si="235"/>
        <v/>
      </c>
      <c r="P2133" s="35" t="str">
        <f>_xlfn.SINGLE(IF(F2133="","",_xlfn.XLOOKUP(F2133,purchase!D:D,purchase!K:K,"")))</f>
        <v/>
      </c>
      <c r="Q2133" s="29" t="str">
        <f t="shared" si="236"/>
        <v/>
      </c>
      <c r="R2133" s="37" t="str">
        <f t="shared" si="237"/>
        <v/>
      </c>
    </row>
    <row r="2134" spans="1:18" x14ac:dyDescent="0.35">
      <c r="A2134" s="8">
        <v>2130</v>
      </c>
      <c r="B2134" s="9" t="str">
        <f t="shared" si="231"/>
        <v/>
      </c>
      <c r="C2134" s="10"/>
      <c r="D2134" s="9" t="str">
        <f>IF(F2134="","",_xlfn.XLOOKUP(F2134,purchase!D:D,purchase!#REF!,""))</f>
        <v/>
      </c>
      <c r="E2134" s="9" t="str">
        <f>IF(F2134="","",_xlfn.XLOOKUP(F2134,purchase!D:D,purchase!B:B,""))</f>
        <v/>
      </c>
      <c r="F2134" s="2"/>
      <c r="G2134" s="4" t="str">
        <f t="shared" si="232"/>
        <v/>
      </c>
      <c r="H2134" s="4" t="str">
        <f>IF(F2134="","",_xlfn.XLOOKUP(F2134,purchase!D:D,purchase!#REF!,""))</f>
        <v/>
      </c>
      <c r="I2134" s="4" t="str">
        <f t="shared" si="233"/>
        <v/>
      </c>
      <c r="J2134" s="4" t="str">
        <f t="shared" si="234"/>
        <v/>
      </c>
      <c r="K2134" s="13" t="str">
        <f>_xlfn.SINGLE(IF(F2134="","",_xlfn.XLOOKUP(F2134,purchase!D:D,purchase!#REF!,"")))</f>
        <v/>
      </c>
      <c r="L2134" s="2"/>
      <c r="M2134" s="32"/>
      <c r="N2134" s="13" t="str">
        <f>IF(F2134="","",
MAX(0,
_xlfn.XLOOKUP(F2134,purchase!D:D,purchase!#REF!,"")
-
SUMIFS(L:L,F:F,F2134)))</f>
        <v/>
      </c>
      <c r="O2134" s="13" t="str">
        <f t="shared" si="235"/>
        <v/>
      </c>
      <c r="P2134" s="35" t="str">
        <f>_xlfn.SINGLE(IF(F2134="","",_xlfn.XLOOKUP(F2134,purchase!D:D,purchase!K:K,"")))</f>
        <v/>
      </c>
      <c r="Q2134" s="29" t="str">
        <f t="shared" si="236"/>
        <v/>
      </c>
      <c r="R2134" s="37" t="str">
        <f t="shared" si="237"/>
        <v/>
      </c>
    </row>
    <row r="2135" spans="1:18" x14ac:dyDescent="0.35">
      <c r="A2135" s="8">
        <v>2131</v>
      </c>
      <c r="B2135" s="9" t="str">
        <f t="shared" si="231"/>
        <v/>
      </c>
      <c r="C2135" s="10"/>
      <c r="D2135" s="9" t="str">
        <f>IF(F2135="","",_xlfn.XLOOKUP(F2135,purchase!D:D,purchase!#REF!,""))</f>
        <v/>
      </c>
      <c r="E2135" s="9" t="str">
        <f>IF(F2135="","",_xlfn.XLOOKUP(F2135,purchase!D:D,purchase!B:B,""))</f>
        <v/>
      </c>
      <c r="F2135" s="2"/>
      <c r="G2135" s="4" t="str">
        <f t="shared" si="232"/>
        <v/>
      </c>
      <c r="H2135" s="4" t="str">
        <f>IF(F2135="","",_xlfn.XLOOKUP(F2135,purchase!D:D,purchase!#REF!,""))</f>
        <v/>
      </c>
      <c r="I2135" s="4" t="str">
        <f t="shared" si="233"/>
        <v/>
      </c>
      <c r="J2135" s="4" t="str">
        <f t="shared" si="234"/>
        <v/>
      </c>
      <c r="K2135" s="13" t="str">
        <f>_xlfn.SINGLE(IF(F2135="","",_xlfn.XLOOKUP(F2135,purchase!D:D,purchase!#REF!,"")))</f>
        <v/>
      </c>
      <c r="L2135" s="2"/>
      <c r="M2135" s="32"/>
      <c r="N2135" s="13" t="str">
        <f>IF(F2135="","",
MAX(0,
_xlfn.XLOOKUP(F2135,purchase!D:D,purchase!#REF!,"")
-
SUMIFS(L:L,F:F,F2135)))</f>
        <v/>
      </c>
      <c r="O2135" s="13" t="str">
        <f t="shared" si="235"/>
        <v/>
      </c>
      <c r="P2135" s="35" t="str">
        <f>_xlfn.SINGLE(IF(F2135="","",_xlfn.XLOOKUP(F2135,purchase!D:D,purchase!K:K,"")))</f>
        <v/>
      </c>
      <c r="Q2135" s="29" t="str">
        <f t="shared" si="236"/>
        <v/>
      </c>
      <c r="R2135" s="37" t="str">
        <f t="shared" si="237"/>
        <v/>
      </c>
    </row>
    <row r="2136" spans="1:18" x14ac:dyDescent="0.35">
      <c r="A2136" s="8">
        <v>2132</v>
      </c>
      <c r="B2136" s="9" t="str">
        <f t="shared" si="231"/>
        <v/>
      </c>
      <c r="C2136" s="10"/>
      <c r="D2136" s="9" t="str">
        <f>IF(F2136="","",_xlfn.XLOOKUP(F2136,purchase!D:D,purchase!#REF!,""))</f>
        <v/>
      </c>
      <c r="E2136" s="9" t="str">
        <f>IF(F2136="","",_xlfn.XLOOKUP(F2136,purchase!D:D,purchase!B:B,""))</f>
        <v/>
      </c>
      <c r="F2136" s="2"/>
      <c r="G2136" s="4" t="str">
        <f t="shared" si="232"/>
        <v/>
      </c>
      <c r="H2136" s="4" t="str">
        <f>IF(F2136="","",_xlfn.XLOOKUP(F2136,purchase!D:D,purchase!#REF!,""))</f>
        <v/>
      </c>
      <c r="I2136" s="4" t="str">
        <f t="shared" si="233"/>
        <v/>
      </c>
      <c r="J2136" s="4" t="str">
        <f t="shared" si="234"/>
        <v/>
      </c>
      <c r="K2136" s="13" t="str">
        <f>_xlfn.SINGLE(IF(F2136="","",_xlfn.XLOOKUP(F2136,purchase!D:D,purchase!#REF!,"")))</f>
        <v/>
      </c>
      <c r="L2136" s="2"/>
      <c r="M2136" s="32"/>
      <c r="N2136" s="13" t="str">
        <f>IF(F2136="","",
MAX(0,
_xlfn.XLOOKUP(F2136,purchase!D:D,purchase!#REF!,"")
-
SUMIFS(L:L,F:F,F2136)))</f>
        <v/>
      </c>
      <c r="O2136" s="13" t="str">
        <f t="shared" si="235"/>
        <v/>
      </c>
      <c r="P2136" s="35" t="str">
        <f>_xlfn.SINGLE(IF(F2136="","",_xlfn.XLOOKUP(F2136,purchase!D:D,purchase!K:K,"")))</f>
        <v/>
      </c>
      <c r="Q2136" s="29" t="str">
        <f t="shared" si="236"/>
        <v/>
      </c>
      <c r="R2136" s="37" t="str">
        <f t="shared" si="237"/>
        <v/>
      </c>
    </row>
    <row r="2137" spans="1:18" x14ac:dyDescent="0.35">
      <c r="A2137" s="8">
        <v>2133</v>
      </c>
      <c r="B2137" s="9" t="str">
        <f t="shared" si="231"/>
        <v/>
      </c>
      <c r="C2137" s="10"/>
      <c r="D2137" s="9" t="str">
        <f>IF(F2137="","",_xlfn.XLOOKUP(F2137,purchase!D:D,purchase!#REF!,""))</f>
        <v/>
      </c>
      <c r="E2137" s="9" t="str">
        <f>IF(F2137="","",_xlfn.XLOOKUP(F2137,purchase!D:D,purchase!B:B,""))</f>
        <v/>
      </c>
      <c r="F2137" s="2"/>
      <c r="G2137" s="4" t="str">
        <f t="shared" si="232"/>
        <v/>
      </c>
      <c r="H2137" s="4" t="str">
        <f>IF(F2137="","",_xlfn.XLOOKUP(F2137,purchase!D:D,purchase!#REF!,""))</f>
        <v/>
      </c>
      <c r="I2137" s="4" t="str">
        <f t="shared" si="233"/>
        <v/>
      </c>
      <c r="J2137" s="4" t="str">
        <f t="shared" si="234"/>
        <v/>
      </c>
      <c r="K2137" s="13" t="str">
        <f>_xlfn.SINGLE(IF(F2137="","",_xlfn.XLOOKUP(F2137,purchase!D:D,purchase!#REF!,"")))</f>
        <v/>
      </c>
      <c r="L2137" s="2"/>
      <c r="M2137" s="32"/>
      <c r="N2137" s="13" t="str">
        <f>IF(F2137="","",
MAX(0,
_xlfn.XLOOKUP(F2137,purchase!D:D,purchase!#REF!,"")
-
SUMIFS(L:L,F:F,F2137)))</f>
        <v/>
      </c>
      <c r="O2137" s="13" t="str">
        <f t="shared" si="235"/>
        <v/>
      </c>
      <c r="P2137" s="35" t="str">
        <f>_xlfn.SINGLE(IF(F2137="","",_xlfn.XLOOKUP(F2137,purchase!D:D,purchase!K:K,"")))</f>
        <v/>
      </c>
      <c r="Q2137" s="29" t="str">
        <f t="shared" si="236"/>
        <v/>
      </c>
      <c r="R2137" s="37" t="str">
        <f t="shared" si="237"/>
        <v/>
      </c>
    </row>
    <row r="2138" spans="1:18" x14ac:dyDescent="0.35">
      <c r="A2138" s="8">
        <v>2134</v>
      </c>
      <c r="B2138" s="9" t="str">
        <f t="shared" si="231"/>
        <v/>
      </c>
      <c r="C2138" s="10"/>
      <c r="D2138" s="9" t="str">
        <f>IF(F2138="","",_xlfn.XLOOKUP(F2138,purchase!D:D,purchase!#REF!,""))</f>
        <v/>
      </c>
      <c r="E2138" s="9" t="str">
        <f>IF(F2138="","",_xlfn.XLOOKUP(F2138,purchase!D:D,purchase!B:B,""))</f>
        <v/>
      </c>
      <c r="F2138" s="2"/>
      <c r="G2138" s="4" t="str">
        <f t="shared" si="232"/>
        <v/>
      </c>
      <c r="H2138" s="4" t="str">
        <f>IF(F2138="","",_xlfn.XLOOKUP(F2138,purchase!D:D,purchase!#REF!,""))</f>
        <v/>
      </c>
      <c r="I2138" s="4" t="str">
        <f t="shared" si="233"/>
        <v/>
      </c>
      <c r="J2138" s="4" t="str">
        <f t="shared" si="234"/>
        <v/>
      </c>
      <c r="K2138" s="13" t="str">
        <f>_xlfn.SINGLE(IF(F2138="","",_xlfn.XLOOKUP(F2138,purchase!D:D,purchase!#REF!,"")))</f>
        <v/>
      </c>
      <c r="L2138" s="2"/>
      <c r="M2138" s="32"/>
      <c r="N2138" s="13" t="str">
        <f>IF(F2138="","",
MAX(0,
_xlfn.XLOOKUP(F2138,purchase!D:D,purchase!#REF!,"")
-
SUMIFS(L:L,F:F,F2138)))</f>
        <v/>
      </c>
      <c r="O2138" s="13" t="str">
        <f t="shared" si="235"/>
        <v/>
      </c>
      <c r="P2138" s="35" t="str">
        <f>_xlfn.SINGLE(IF(F2138="","",_xlfn.XLOOKUP(F2138,purchase!D:D,purchase!K:K,"")))</f>
        <v/>
      </c>
      <c r="Q2138" s="29" t="str">
        <f t="shared" si="236"/>
        <v/>
      </c>
      <c r="R2138" s="37" t="str">
        <f t="shared" si="237"/>
        <v/>
      </c>
    </row>
    <row r="2139" spans="1:18" x14ac:dyDescent="0.35">
      <c r="A2139" s="8">
        <v>2135</v>
      </c>
      <c r="B2139" s="9" t="str">
        <f t="shared" si="231"/>
        <v/>
      </c>
      <c r="C2139" s="10"/>
      <c r="D2139" s="9" t="str">
        <f>IF(F2139="","",_xlfn.XLOOKUP(F2139,purchase!D:D,purchase!#REF!,""))</f>
        <v/>
      </c>
      <c r="E2139" s="9" t="str">
        <f>IF(F2139="","",_xlfn.XLOOKUP(F2139,purchase!D:D,purchase!B:B,""))</f>
        <v/>
      </c>
      <c r="F2139" s="2"/>
      <c r="G2139" s="4" t="str">
        <f t="shared" si="232"/>
        <v/>
      </c>
      <c r="H2139" s="4" t="str">
        <f>IF(F2139="","",_xlfn.XLOOKUP(F2139,purchase!D:D,purchase!#REF!,""))</f>
        <v/>
      </c>
      <c r="I2139" s="4" t="str">
        <f t="shared" si="233"/>
        <v/>
      </c>
      <c r="J2139" s="4" t="str">
        <f t="shared" si="234"/>
        <v/>
      </c>
      <c r="K2139" s="13" t="str">
        <f>_xlfn.SINGLE(IF(F2139="","",_xlfn.XLOOKUP(F2139,purchase!D:D,purchase!#REF!,"")))</f>
        <v/>
      </c>
      <c r="L2139" s="2"/>
      <c r="M2139" s="32"/>
      <c r="N2139" s="13" t="str">
        <f>IF(F2139="","",
MAX(0,
_xlfn.XLOOKUP(F2139,purchase!D:D,purchase!#REF!,"")
-
SUMIFS(L:L,F:F,F2139)))</f>
        <v/>
      </c>
      <c r="O2139" s="13" t="str">
        <f t="shared" si="235"/>
        <v/>
      </c>
      <c r="P2139" s="35" t="str">
        <f>_xlfn.SINGLE(IF(F2139="","",_xlfn.XLOOKUP(F2139,purchase!D:D,purchase!K:K,"")))</f>
        <v/>
      </c>
      <c r="Q2139" s="29" t="str">
        <f t="shared" si="236"/>
        <v/>
      </c>
      <c r="R2139" s="37" t="str">
        <f t="shared" si="237"/>
        <v/>
      </c>
    </row>
    <row r="2140" spans="1:18" x14ac:dyDescent="0.35">
      <c r="A2140" s="8">
        <v>2136</v>
      </c>
      <c r="B2140" s="9" t="str">
        <f t="shared" si="231"/>
        <v/>
      </c>
      <c r="C2140" s="10"/>
      <c r="D2140" s="9" t="str">
        <f>IF(F2140="","",_xlfn.XLOOKUP(F2140,purchase!D:D,purchase!#REF!,""))</f>
        <v/>
      </c>
      <c r="E2140" s="9" t="str">
        <f>IF(F2140="","",_xlfn.XLOOKUP(F2140,purchase!D:D,purchase!B:B,""))</f>
        <v/>
      </c>
      <c r="F2140" s="2"/>
      <c r="G2140" s="4" t="str">
        <f t="shared" si="232"/>
        <v/>
      </c>
      <c r="H2140" s="4" t="str">
        <f>IF(F2140="","",_xlfn.XLOOKUP(F2140,purchase!D:D,purchase!#REF!,""))</f>
        <v/>
      </c>
      <c r="I2140" s="4" t="str">
        <f t="shared" si="233"/>
        <v/>
      </c>
      <c r="J2140" s="4" t="str">
        <f t="shared" si="234"/>
        <v/>
      </c>
      <c r="K2140" s="13" t="str">
        <f>_xlfn.SINGLE(IF(F2140="","",_xlfn.XLOOKUP(F2140,purchase!D:D,purchase!#REF!,"")))</f>
        <v/>
      </c>
      <c r="L2140" s="2"/>
      <c r="M2140" s="32"/>
      <c r="N2140" s="13" t="str">
        <f>IF(F2140="","",
MAX(0,
_xlfn.XLOOKUP(F2140,purchase!D:D,purchase!#REF!,"")
-
SUMIFS(L:L,F:F,F2140)))</f>
        <v/>
      </c>
      <c r="O2140" s="13" t="str">
        <f t="shared" si="235"/>
        <v/>
      </c>
      <c r="P2140" s="35" t="str">
        <f>_xlfn.SINGLE(IF(F2140="","",_xlfn.XLOOKUP(F2140,purchase!D:D,purchase!K:K,"")))</f>
        <v/>
      </c>
      <c r="Q2140" s="29" t="str">
        <f t="shared" si="236"/>
        <v/>
      </c>
      <c r="R2140" s="37" t="str">
        <f t="shared" si="237"/>
        <v/>
      </c>
    </row>
    <row r="2141" spans="1:18" x14ac:dyDescent="0.35">
      <c r="A2141" s="8">
        <v>2137</v>
      </c>
      <c r="B2141" s="9" t="str">
        <f t="shared" si="231"/>
        <v/>
      </c>
      <c r="C2141" s="10"/>
      <c r="D2141" s="9" t="str">
        <f>IF(F2141="","",_xlfn.XLOOKUP(F2141,purchase!D:D,purchase!#REF!,""))</f>
        <v/>
      </c>
      <c r="E2141" s="9" t="str">
        <f>IF(F2141="","",_xlfn.XLOOKUP(F2141,purchase!D:D,purchase!B:B,""))</f>
        <v/>
      </c>
      <c r="F2141" s="2"/>
      <c r="G2141" s="4" t="str">
        <f t="shared" si="232"/>
        <v/>
      </c>
      <c r="H2141" s="4" t="str">
        <f>IF(F2141="","",_xlfn.XLOOKUP(F2141,purchase!D:D,purchase!#REF!,""))</f>
        <v/>
      </c>
      <c r="I2141" s="4" t="str">
        <f t="shared" si="233"/>
        <v/>
      </c>
      <c r="J2141" s="4" t="str">
        <f t="shared" si="234"/>
        <v/>
      </c>
      <c r="K2141" s="13" t="str">
        <f>_xlfn.SINGLE(IF(F2141="","",_xlfn.XLOOKUP(F2141,purchase!D:D,purchase!#REF!,"")))</f>
        <v/>
      </c>
      <c r="L2141" s="2"/>
      <c r="M2141" s="32"/>
      <c r="N2141" s="13" t="str">
        <f>IF(F2141="","",
MAX(0,
_xlfn.XLOOKUP(F2141,purchase!D:D,purchase!#REF!,"")
-
SUMIFS(L:L,F:F,F2141)))</f>
        <v/>
      </c>
      <c r="O2141" s="13" t="str">
        <f t="shared" si="235"/>
        <v/>
      </c>
      <c r="P2141" s="35" t="str">
        <f>_xlfn.SINGLE(IF(F2141="","",_xlfn.XLOOKUP(F2141,purchase!D:D,purchase!K:K,"")))</f>
        <v/>
      </c>
      <c r="Q2141" s="29" t="str">
        <f t="shared" si="236"/>
        <v/>
      </c>
      <c r="R2141" s="37" t="str">
        <f t="shared" si="237"/>
        <v/>
      </c>
    </row>
    <row r="2142" spans="1:18" x14ac:dyDescent="0.35">
      <c r="A2142" s="8">
        <v>2138</v>
      </c>
      <c r="B2142" s="9" t="str">
        <f t="shared" si="231"/>
        <v/>
      </c>
      <c r="C2142" s="10"/>
      <c r="D2142" s="9" t="str">
        <f>IF(F2142="","",_xlfn.XLOOKUP(F2142,purchase!D:D,purchase!#REF!,""))</f>
        <v/>
      </c>
      <c r="E2142" s="9" t="str">
        <f>IF(F2142="","",_xlfn.XLOOKUP(F2142,purchase!D:D,purchase!B:B,""))</f>
        <v/>
      </c>
      <c r="F2142" s="2"/>
      <c r="G2142" s="4" t="str">
        <f t="shared" si="232"/>
        <v/>
      </c>
      <c r="H2142" s="4" t="str">
        <f>IF(F2142="","",_xlfn.XLOOKUP(F2142,purchase!D:D,purchase!#REF!,""))</f>
        <v/>
      </c>
      <c r="I2142" s="4" t="str">
        <f t="shared" si="233"/>
        <v/>
      </c>
      <c r="J2142" s="4" t="str">
        <f t="shared" si="234"/>
        <v/>
      </c>
      <c r="K2142" s="13" t="str">
        <f>_xlfn.SINGLE(IF(F2142="","",_xlfn.XLOOKUP(F2142,purchase!D:D,purchase!#REF!,"")))</f>
        <v/>
      </c>
      <c r="L2142" s="2"/>
      <c r="M2142" s="32"/>
      <c r="N2142" s="13" t="str">
        <f>IF(F2142="","",
MAX(0,
_xlfn.XLOOKUP(F2142,purchase!D:D,purchase!#REF!,"")
-
SUMIFS(L:L,F:F,F2142)))</f>
        <v/>
      </c>
      <c r="O2142" s="13" t="str">
        <f t="shared" si="235"/>
        <v/>
      </c>
      <c r="P2142" s="35" t="str">
        <f>_xlfn.SINGLE(IF(F2142="","",_xlfn.XLOOKUP(F2142,purchase!D:D,purchase!K:K,"")))</f>
        <v/>
      </c>
      <c r="Q2142" s="29" t="str">
        <f t="shared" si="236"/>
        <v/>
      </c>
      <c r="R2142" s="37" t="str">
        <f t="shared" si="237"/>
        <v/>
      </c>
    </row>
    <row r="2143" spans="1:18" x14ac:dyDescent="0.35">
      <c r="A2143" s="8">
        <v>2139</v>
      </c>
      <c r="B2143" s="9" t="str">
        <f t="shared" si="231"/>
        <v/>
      </c>
      <c r="C2143" s="10"/>
      <c r="D2143" s="9" t="str">
        <f>IF(F2143="","",_xlfn.XLOOKUP(F2143,purchase!D:D,purchase!#REF!,""))</f>
        <v/>
      </c>
      <c r="E2143" s="9" t="str">
        <f>IF(F2143="","",_xlfn.XLOOKUP(F2143,purchase!D:D,purchase!B:B,""))</f>
        <v/>
      </c>
      <c r="F2143" s="2"/>
      <c r="G2143" s="4" t="str">
        <f t="shared" si="232"/>
        <v/>
      </c>
      <c r="H2143" s="4" t="str">
        <f>IF(F2143="","",_xlfn.XLOOKUP(F2143,purchase!D:D,purchase!#REF!,""))</f>
        <v/>
      </c>
      <c r="I2143" s="4" t="str">
        <f t="shared" si="233"/>
        <v/>
      </c>
      <c r="J2143" s="4" t="str">
        <f t="shared" si="234"/>
        <v/>
      </c>
      <c r="K2143" s="13" t="str">
        <f>_xlfn.SINGLE(IF(F2143="","",_xlfn.XLOOKUP(F2143,purchase!D:D,purchase!#REF!,"")))</f>
        <v/>
      </c>
      <c r="L2143" s="2"/>
      <c r="M2143" s="32"/>
      <c r="N2143" s="13" t="str">
        <f>IF(F2143="","",
MAX(0,
_xlfn.XLOOKUP(F2143,purchase!D:D,purchase!#REF!,"")
-
SUMIFS(L:L,F:F,F2143)))</f>
        <v/>
      </c>
      <c r="O2143" s="13" t="str">
        <f t="shared" si="235"/>
        <v/>
      </c>
      <c r="P2143" s="35" t="str">
        <f>_xlfn.SINGLE(IF(F2143="","",_xlfn.XLOOKUP(F2143,purchase!D:D,purchase!K:K,"")))</f>
        <v/>
      </c>
      <c r="Q2143" s="29" t="str">
        <f t="shared" si="236"/>
        <v/>
      </c>
      <c r="R2143" s="37" t="str">
        <f t="shared" si="237"/>
        <v/>
      </c>
    </row>
    <row r="2144" spans="1:18" x14ac:dyDescent="0.35">
      <c r="A2144" s="8">
        <v>2140</v>
      </c>
      <c r="B2144" s="9" t="str">
        <f t="shared" si="231"/>
        <v/>
      </c>
      <c r="C2144" s="10"/>
      <c r="D2144" s="9" t="str">
        <f>IF(F2144="","",_xlfn.XLOOKUP(F2144,purchase!D:D,purchase!#REF!,""))</f>
        <v/>
      </c>
      <c r="E2144" s="9" t="str">
        <f>IF(F2144="","",_xlfn.XLOOKUP(F2144,purchase!D:D,purchase!B:B,""))</f>
        <v/>
      </c>
      <c r="F2144" s="2"/>
      <c r="G2144" s="4" t="str">
        <f t="shared" si="232"/>
        <v/>
      </c>
      <c r="H2144" s="4" t="str">
        <f>IF(F2144="","",_xlfn.XLOOKUP(F2144,purchase!D:D,purchase!#REF!,""))</f>
        <v/>
      </c>
      <c r="I2144" s="4" t="str">
        <f t="shared" si="233"/>
        <v/>
      </c>
      <c r="J2144" s="4" t="str">
        <f t="shared" si="234"/>
        <v/>
      </c>
      <c r="K2144" s="13" t="str">
        <f>_xlfn.SINGLE(IF(F2144="","",_xlfn.XLOOKUP(F2144,purchase!D:D,purchase!#REF!,"")))</f>
        <v/>
      </c>
      <c r="L2144" s="2"/>
      <c r="M2144" s="32"/>
      <c r="N2144" s="13" t="str">
        <f>IF(F2144="","",
MAX(0,
_xlfn.XLOOKUP(F2144,purchase!D:D,purchase!#REF!,"")
-
SUMIFS(L:L,F:F,F2144)))</f>
        <v/>
      </c>
      <c r="O2144" s="13" t="str">
        <f t="shared" si="235"/>
        <v/>
      </c>
      <c r="P2144" s="35" t="str">
        <f>_xlfn.SINGLE(IF(F2144="","",_xlfn.XLOOKUP(F2144,purchase!D:D,purchase!K:K,"")))</f>
        <v/>
      </c>
      <c r="Q2144" s="29" t="str">
        <f t="shared" si="236"/>
        <v/>
      </c>
      <c r="R2144" s="37" t="str">
        <f t="shared" si="237"/>
        <v/>
      </c>
    </row>
    <row r="2145" spans="1:18" x14ac:dyDescent="0.35">
      <c r="A2145" s="8">
        <v>2141</v>
      </c>
      <c r="B2145" s="9" t="str">
        <f t="shared" si="231"/>
        <v/>
      </c>
      <c r="C2145" s="10"/>
      <c r="D2145" s="9" t="str">
        <f>IF(F2145="","",_xlfn.XLOOKUP(F2145,purchase!D:D,purchase!#REF!,""))</f>
        <v/>
      </c>
      <c r="E2145" s="9" t="str">
        <f>IF(F2145="","",_xlfn.XLOOKUP(F2145,purchase!D:D,purchase!B:B,""))</f>
        <v/>
      </c>
      <c r="F2145" s="2"/>
      <c r="G2145" s="4" t="str">
        <f t="shared" si="232"/>
        <v/>
      </c>
      <c r="H2145" s="4" t="str">
        <f>IF(F2145="","",_xlfn.XLOOKUP(F2145,purchase!D:D,purchase!#REF!,""))</f>
        <v/>
      </c>
      <c r="I2145" s="4" t="str">
        <f t="shared" si="233"/>
        <v/>
      </c>
      <c r="J2145" s="4" t="str">
        <f t="shared" si="234"/>
        <v/>
      </c>
      <c r="K2145" s="13" t="str">
        <f>_xlfn.SINGLE(IF(F2145="","",_xlfn.XLOOKUP(F2145,purchase!D:D,purchase!#REF!,"")))</f>
        <v/>
      </c>
      <c r="L2145" s="2"/>
      <c r="M2145" s="32"/>
      <c r="N2145" s="13" t="str">
        <f>IF(F2145="","",
MAX(0,
_xlfn.XLOOKUP(F2145,purchase!D:D,purchase!#REF!,"")
-
SUMIFS(L:L,F:F,F2145)))</f>
        <v/>
      </c>
      <c r="O2145" s="13" t="str">
        <f t="shared" si="235"/>
        <v/>
      </c>
      <c r="P2145" s="35" t="str">
        <f>_xlfn.SINGLE(IF(F2145="","",_xlfn.XLOOKUP(F2145,purchase!D:D,purchase!K:K,"")))</f>
        <v/>
      </c>
      <c r="Q2145" s="29" t="str">
        <f t="shared" si="236"/>
        <v/>
      </c>
      <c r="R2145" s="37" t="str">
        <f t="shared" si="237"/>
        <v/>
      </c>
    </row>
    <row r="2146" spans="1:18" x14ac:dyDescent="0.35">
      <c r="A2146" s="8">
        <v>2142</v>
      </c>
      <c r="B2146" s="9" t="str">
        <f t="shared" si="231"/>
        <v/>
      </c>
      <c r="C2146" s="10"/>
      <c r="D2146" s="9" t="str">
        <f>IF(F2146="","",_xlfn.XLOOKUP(F2146,purchase!D:D,purchase!#REF!,""))</f>
        <v/>
      </c>
      <c r="E2146" s="9" t="str">
        <f>IF(F2146="","",_xlfn.XLOOKUP(F2146,purchase!D:D,purchase!B:B,""))</f>
        <v/>
      </c>
      <c r="F2146" s="2"/>
      <c r="G2146" s="4" t="str">
        <f t="shared" si="232"/>
        <v/>
      </c>
      <c r="H2146" s="4" t="str">
        <f>IF(F2146="","",_xlfn.XLOOKUP(F2146,purchase!D:D,purchase!#REF!,""))</f>
        <v/>
      </c>
      <c r="I2146" s="4" t="str">
        <f t="shared" si="233"/>
        <v/>
      </c>
      <c r="J2146" s="4" t="str">
        <f t="shared" si="234"/>
        <v/>
      </c>
      <c r="K2146" s="13" t="str">
        <f>_xlfn.SINGLE(IF(F2146="","",_xlfn.XLOOKUP(F2146,purchase!D:D,purchase!#REF!,"")))</f>
        <v/>
      </c>
      <c r="L2146" s="2"/>
      <c r="M2146" s="32"/>
      <c r="N2146" s="13" t="str">
        <f>IF(F2146="","",
MAX(0,
_xlfn.XLOOKUP(F2146,purchase!D:D,purchase!#REF!,"")
-
SUMIFS(L:L,F:F,F2146)))</f>
        <v/>
      </c>
      <c r="O2146" s="13" t="str">
        <f t="shared" si="235"/>
        <v/>
      </c>
      <c r="P2146" s="35" t="str">
        <f>_xlfn.SINGLE(IF(F2146="","",_xlfn.XLOOKUP(F2146,purchase!D:D,purchase!K:K,"")))</f>
        <v/>
      </c>
      <c r="Q2146" s="29" t="str">
        <f t="shared" si="236"/>
        <v/>
      </c>
      <c r="R2146" s="37" t="str">
        <f t="shared" si="237"/>
        <v/>
      </c>
    </row>
    <row r="2147" spans="1:18" x14ac:dyDescent="0.35">
      <c r="A2147" s="8">
        <v>2143</v>
      </c>
      <c r="B2147" s="9" t="str">
        <f t="shared" si="231"/>
        <v/>
      </c>
      <c r="C2147" s="10"/>
      <c r="D2147" s="9" t="str">
        <f>IF(F2147="","",_xlfn.XLOOKUP(F2147,purchase!D:D,purchase!#REF!,""))</f>
        <v/>
      </c>
      <c r="E2147" s="9" t="str">
        <f>IF(F2147="","",_xlfn.XLOOKUP(F2147,purchase!D:D,purchase!B:B,""))</f>
        <v/>
      </c>
      <c r="F2147" s="2"/>
      <c r="G2147" s="4" t="str">
        <f t="shared" si="232"/>
        <v/>
      </c>
      <c r="H2147" s="4" t="str">
        <f>IF(F2147="","",_xlfn.XLOOKUP(F2147,purchase!D:D,purchase!#REF!,""))</f>
        <v/>
      </c>
      <c r="I2147" s="4" t="str">
        <f t="shared" si="233"/>
        <v/>
      </c>
      <c r="J2147" s="4" t="str">
        <f t="shared" si="234"/>
        <v/>
      </c>
      <c r="K2147" s="13" t="str">
        <f>_xlfn.SINGLE(IF(F2147="","",_xlfn.XLOOKUP(F2147,purchase!D:D,purchase!#REF!,"")))</f>
        <v/>
      </c>
      <c r="L2147" s="2"/>
      <c r="M2147" s="32"/>
      <c r="N2147" s="13" t="str">
        <f>IF(F2147="","",
MAX(0,
_xlfn.XLOOKUP(F2147,purchase!D:D,purchase!#REF!,"")
-
SUMIFS(L:L,F:F,F2147)))</f>
        <v/>
      </c>
      <c r="O2147" s="13" t="str">
        <f t="shared" si="235"/>
        <v/>
      </c>
      <c r="P2147" s="35" t="str">
        <f>_xlfn.SINGLE(IF(F2147="","",_xlfn.XLOOKUP(F2147,purchase!D:D,purchase!K:K,"")))</f>
        <v/>
      </c>
      <c r="Q2147" s="29" t="str">
        <f t="shared" si="236"/>
        <v/>
      </c>
      <c r="R2147" s="37" t="str">
        <f t="shared" si="237"/>
        <v/>
      </c>
    </row>
    <row r="2148" spans="1:18" x14ac:dyDescent="0.35">
      <c r="A2148" s="8">
        <v>2144</v>
      </c>
      <c r="B2148" s="9" t="str">
        <f t="shared" si="231"/>
        <v/>
      </c>
      <c r="C2148" s="10"/>
      <c r="D2148" s="9" t="str">
        <f>IF(F2148="","",_xlfn.XLOOKUP(F2148,purchase!D:D,purchase!#REF!,""))</f>
        <v/>
      </c>
      <c r="E2148" s="9" t="str">
        <f>IF(F2148="","",_xlfn.XLOOKUP(F2148,purchase!D:D,purchase!B:B,""))</f>
        <v/>
      </c>
      <c r="F2148" s="2"/>
      <c r="G2148" s="4" t="str">
        <f t="shared" si="232"/>
        <v/>
      </c>
      <c r="H2148" s="4" t="str">
        <f>IF(F2148="","",_xlfn.XLOOKUP(F2148,purchase!D:D,purchase!#REF!,""))</f>
        <v/>
      </c>
      <c r="I2148" s="4" t="str">
        <f t="shared" si="233"/>
        <v/>
      </c>
      <c r="J2148" s="4" t="str">
        <f t="shared" si="234"/>
        <v/>
      </c>
      <c r="K2148" s="13" t="str">
        <f>_xlfn.SINGLE(IF(F2148="","",_xlfn.XLOOKUP(F2148,purchase!D:D,purchase!#REF!,"")))</f>
        <v/>
      </c>
      <c r="L2148" s="2"/>
      <c r="M2148" s="32"/>
      <c r="N2148" s="13" t="str">
        <f>IF(F2148="","",
MAX(0,
_xlfn.XLOOKUP(F2148,purchase!D:D,purchase!#REF!,"")
-
SUMIFS(L:L,F:F,F2148)))</f>
        <v/>
      </c>
      <c r="O2148" s="13" t="str">
        <f t="shared" si="235"/>
        <v/>
      </c>
      <c r="P2148" s="35" t="str">
        <f>_xlfn.SINGLE(IF(F2148="","",_xlfn.XLOOKUP(F2148,purchase!D:D,purchase!K:K,"")))</f>
        <v/>
      </c>
      <c r="Q2148" s="29" t="str">
        <f t="shared" si="236"/>
        <v/>
      </c>
      <c r="R2148" s="37" t="str">
        <f t="shared" si="237"/>
        <v/>
      </c>
    </row>
    <row r="2149" spans="1:18" x14ac:dyDescent="0.35">
      <c r="A2149" s="8">
        <v>2145</v>
      </c>
      <c r="B2149" s="9" t="str">
        <f t="shared" si="231"/>
        <v/>
      </c>
      <c r="C2149" s="10"/>
      <c r="D2149" s="9" t="str">
        <f>IF(F2149="","",_xlfn.XLOOKUP(F2149,purchase!D:D,purchase!#REF!,""))</f>
        <v/>
      </c>
      <c r="E2149" s="9" t="str">
        <f>IF(F2149="","",_xlfn.XLOOKUP(F2149,purchase!D:D,purchase!B:B,""))</f>
        <v/>
      </c>
      <c r="F2149" s="2"/>
      <c r="G2149" s="4" t="str">
        <f t="shared" si="232"/>
        <v/>
      </c>
      <c r="H2149" s="4" t="str">
        <f>IF(F2149="","",_xlfn.XLOOKUP(F2149,purchase!D:D,purchase!#REF!,""))</f>
        <v/>
      </c>
      <c r="I2149" s="4" t="str">
        <f t="shared" si="233"/>
        <v/>
      </c>
      <c r="J2149" s="4" t="str">
        <f t="shared" si="234"/>
        <v/>
      </c>
      <c r="K2149" s="13" t="str">
        <f>_xlfn.SINGLE(IF(F2149="","",_xlfn.XLOOKUP(F2149,purchase!D:D,purchase!#REF!,"")))</f>
        <v/>
      </c>
      <c r="L2149" s="2"/>
      <c r="M2149" s="32"/>
      <c r="N2149" s="13" t="str">
        <f>IF(F2149="","",
MAX(0,
_xlfn.XLOOKUP(F2149,purchase!D:D,purchase!#REF!,"")
-
SUMIFS(L:L,F:F,F2149)))</f>
        <v/>
      </c>
      <c r="O2149" s="13" t="str">
        <f t="shared" si="235"/>
        <v/>
      </c>
      <c r="P2149" s="35" t="str">
        <f>_xlfn.SINGLE(IF(F2149="","",_xlfn.XLOOKUP(F2149,purchase!D:D,purchase!K:K,"")))</f>
        <v/>
      </c>
      <c r="Q2149" s="29" t="str">
        <f t="shared" si="236"/>
        <v/>
      </c>
      <c r="R2149" s="37" t="str">
        <f t="shared" si="237"/>
        <v/>
      </c>
    </row>
    <row r="2150" spans="1:18" x14ac:dyDescent="0.35">
      <c r="A2150" s="8">
        <v>2146</v>
      </c>
      <c r="B2150" s="9" t="str">
        <f t="shared" si="231"/>
        <v/>
      </c>
      <c r="C2150" s="10"/>
      <c r="D2150" s="9" t="str">
        <f>IF(F2150="","",_xlfn.XLOOKUP(F2150,purchase!D:D,purchase!#REF!,""))</f>
        <v/>
      </c>
      <c r="E2150" s="9" t="str">
        <f>IF(F2150="","",_xlfn.XLOOKUP(F2150,purchase!D:D,purchase!B:B,""))</f>
        <v/>
      </c>
      <c r="F2150" s="2"/>
      <c r="G2150" s="4" t="str">
        <f t="shared" si="232"/>
        <v/>
      </c>
      <c r="H2150" s="4" t="str">
        <f>IF(F2150="","",_xlfn.XLOOKUP(F2150,purchase!D:D,purchase!#REF!,""))</f>
        <v/>
      </c>
      <c r="I2150" s="4" t="str">
        <f t="shared" si="233"/>
        <v/>
      </c>
      <c r="J2150" s="4" t="str">
        <f t="shared" si="234"/>
        <v/>
      </c>
      <c r="K2150" s="13" t="str">
        <f>_xlfn.SINGLE(IF(F2150="","",_xlfn.XLOOKUP(F2150,purchase!D:D,purchase!#REF!,"")))</f>
        <v/>
      </c>
      <c r="L2150" s="2"/>
      <c r="M2150" s="32"/>
      <c r="N2150" s="13" t="str">
        <f>IF(F2150="","",
MAX(0,
_xlfn.XLOOKUP(F2150,purchase!D:D,purchase!#REF!,"")
-
SUMIFS(L:L,F:F,F2150)))</f>
        <v/>
      </c>
      <c r="O2150" s="13" t="str">
        <f t="shared" si="235"/>
        <v/>
      </c>
      <c r="P2150" s="35" t="str">
        <f>_xlfn.SINGLE(IF(F2150="","",_xlfn.XLOOKUP(F2150,purchase!D:D,purchase!K:K,"")))</f>
        <v/>
      </c>
      <c r="Q2150" s="29" t="str">
        <f t="shared" si="236"/>
        <v/>
      </c>
      <c r="R2150" s="37" t="str">
        <f t="shared" si="237"/>
        <v/>
      </c>
    </row>
    <row r="2151" spans="1:18" x14ac:dyDescent="0.35">
      <c r="A2151" s="8">
        <v>2147</v>
      </c>
      <c r="B2151" s="9" t="str">
        <f t="shared" si="231"/>
        <v/>
      </c>
      <c r="C2151" s="10"/>
      <c r="D2151" s="9" t="str">
        <f>IF(F2151="","",_xlfn.XLOOKUP(F2151,purchase!D:D,purchase!#REF!,""))</f>
        <v/>
      </c>
      <c r="E2151" s="9" t="str">
        <f>IF(F2151="","",_xlfn.XLOOKUP(F2151,purchase!D:D,purchase!B:B,""))</f>
        <v/>
      </c>
      <c r="F2151" s="2"/>
      <c r="G2151" s="4" t="str">
        <f t="shared" si="232"/>
        <v/>
      </c>
      <c r="H2151" s="4" t="str">
        <f>IF(F2151="","",_xlfn.XLOOKUP(F2151,purchase!D:D,purchase!#REF!,""))</f>
        <v/>
      </c>
      <c r="I2151" s="4" t="str">
        <f t="shared" si="233"/>
        <v/>
      </c>
      <c r="J2151" s="4" t="str">
        <f t="shared" si="234"/>
        <v/>
      </c>
      <c r="K2151" s="13" t="str">
        <f>_xlfn.SINGLE(IF(F2151="","",_xlfn.XLOOKUP(F2151,purchase!D:D,purchase!#REF!,"")))</f>
        <v/>
      </c>
      <c r="L2151" s="2"/>
      <c r="M2151" s="32"/>
      <c r="N2151" s="13" t="str">
        <f>IF(F2151="","",
MAX(0,
_xlfn.XLOOKUP(F2151,purchase!D:D,purchase!#REF!,"")
-
SUMIFS(L:L,F:F,F2151)))</f>
        <v/>
      </c>
      <c r="O2151" s="13" t="str">
        <f t="shared" si="235"/>
        <v/>
      </c>
      <c r="P2151" s="35" t="str">
        <f>_xlfn.SINGLE(IF(F2151="","",_xlfn.XLOOKUP(F2151,purchase!D:D,purchase!K:K,"")))</f>
        <v/>
      </c>
      <c r="Q2151" s="29" t="str">
        <f t="shared" si="236"/>
        <v/>
      </c>
      <c r="R2151" s="37" t="str">
        <f t="shared" si="237"/>
        <v/>
      </c>
    </row>
    <row r="2152" spans="1:18" x14ac:dyDescent="0.35">
      <c r="A2152" s="8">
        <v>2148</v>
      </c>
      <c r="B2152" s="9" t="str">
        <f t="shared" si="231"/>
        <v/>
      </c>
      <c r="C2152" s="10"/>
      <c r="D2152" s="9" t="str">
        <f>IF(F2152="","",_xlfn.XLOOKUP(F2152,purchase!D:D,purchase!#REF!,""))</f>
        <v/>
      </c>
      <c r="E2152" s="9" t="str">
        <f>IF(F2152="","",_xlfn.XLOOKUP(F2152,purchase!D:D,purchase!B:B,""))</f>
        <v/>
      </c>
      <c r="F2152" s="2"/>
      <c r="G2152" s="4" t="str">
        <f t="shared" si="232"/>
        <v/>
      </c>
      <c r="H2152" s="4" t="str">
        <f>IF(F2152="","",_xlfn.XLOOKUP(F2152,purchase!D:D,purchase!#REF!,""))</f>
        <v/>
      </c>
      <c r="I2152" s="4" t="str">
        <f t="shared" si="233"/>
        <v/>
      </c>
      <c r="J2152" s="4" t="str">
        <f t="shared" si="234"/>
        <v/>
      </c>
      <c r="K2152" s="13" t="str">
        <f>_xlfn.SINGLE(IF(F2152="","",_xlfn.XLOOKUP(F2152,purchase!D:D,purchase!#REF!,"")))</f>
        <v/>
      </c>
      <c r="L2152" s="2"/>
      <c r="M2152" s="32"/>
      <c r="N2152" s="13" t="str">
        <f>IF(F2152="","",
MAX(0,
_xlfn.XLOOKUP(F2152,purchase!D:D,purchase!#REF!,"")
-
SUMIFS(L:L,F:F,F2152)))</f>
        <v/>
      </c>
      <c r="O2152" s="13" t="str">
        <f t="shared" si="235"/>
        <v/>
      </c>
      <c r="P2152" s="35" t="str">
        <f>_xlfn.SINGLE(IF(F2152="","",_xlfn.XLOOKUP(F2152,purchase!D:D,purchase!K:K,"")))</f>
        <v/>
      </c>
      <c r="Q2152" s="29" t="str">
        <f t="shared" si="236"/>
        <v/>
      </c>
      <c r="R2152" s="37" t="str">
        <f t="shared" si="237"/>
        <v/>
      </c>
    </row>
    <row r="2153" spans="1:18" x14ac:dyDescent="0.35">
      <c r="A2153" s="8">
        <v>2149</v>
      </c>
      <c r="B2153" s="9" t="str">
        <f t="shared" si="231"/>
        <v/>
      </c>
      <c r="C2153" s="10"/>
      <c r="D2153" s="9" t="str">
        <f>IF(F2153="","",_xlfn.XLOOKUP(F2153,purchase!D:D,purchase!#REF!,""))</f>
        <v/>
      </c>
      <c r="E2153" s="9" t="str">
        <f>IF(F2153="","",_xlfn.XLOOKUP(F2153,purchase!D:D,purchase!B:B,""))</f>
        <v/>
      </c>
      <c r="F2153" s="2"/>
      <c r="G2153" s="4" t="str">
        <f t="shared" si="232"/>
        <v/>
      </c>
      <c r="H2153" s="4" t="str">
        <f>IF(F2153="","",_xlfn.XLOOKUP(F2153,purchase!D:D,purchase!#REF!,""))</f>
        <v/>
      </c>
      <c r="I2153" s="4" t="str">
        <f t="shared" si="233"/>
        <v/>
      </c>
      <c r="J2153" s="4" t="str">
        <f t="shared" si="234"/>
        <v/>
      </c>
      <c r="K2153" s="13" t="str">
        <f>_xlfn.SINGLE(IF(F2153="","",_xlfn.XLOOKUP(F2153,purchase!D:D,purchase!#REF!,"")))</f>
        <v/>
      </c>
      <c r="L2153" s="2"/>
      <c r="M2153" s="32"/>
      <c r="N2153" s="13" t="str">
        <f>IF(F2153="","",
MAX(0,
_xlfn.XLOOKUP(F2153,purchase!D:D,purchase!#REF!,"")
-
SUMIFS(L:L,F:F,F2153)))</f>
        <v/>
      </c>
      <c r="O2153" s="13" t="str">
        <f t="shared" si="235"/>
        <v/>
      </c>
      <c r="P2153" s="35" t="str">
        <f>_xlfn.SINGLE(IF(F2153="","",_xlfn.XLOOKUP(F2153,purchase!D:D,purchase!K:K,"")))</f>
        <v/>
      </c>
      <c r="Q2153" s="29" t="str">
        <f t="shared" si="236"/>
        <v/>
      </c>
      <c r="R2153" s="37" t="str">
        <f t="shared" si="237"/>
        <v/>
      </c>
    </row>
    <row r="2154" spans="1:18" x14ac:dyDescent="0.35">
      <c r="A2154" s="8">
        <v>2150</v>
      </c>
      <c r="B2154" s="9" t="str">
        <f t="shared" si="231"/>
        <v/>
      </c>
      <c r="C2154" s="10"/>
      <c r="D2154" s="9" t="str">
        <f>IF(F2154="","",_xlfn.XLOOKUP(F2154,purchase!D:D,purchase!#REF!,""))</f>
        <v/>
      </c>
      <c r="E2154" s="9" t="str">
        <f>IF(F2154="","",_xlfn.XLOOKUP(F2154,purchase!D:D,purchase!B:B,""))</f>
        <v/>
      </c>
      <c r="F2154" s="2"/>
      <c r="G2154" s="4" t="str">
        <f t="shared" si="232"/>
        <v/>
      </c>
      <c r="H2154" s="4" t="str">
        <f>IF(F2154="","",_xlfn.XLOOKUP(F2154,purchase!D:D,purchase!#REF!,""))</f>
        <v/>
      </c>
      <c r="I2154" s="4" t="str">
        <f t="shared" si="233"/>
        <v/>
      </c>
      <c r="J2154" s="4" t="str">
        <f t="shared" si="234"/>
        <v/>
      </c>
      <c r="K2154" s="13" t="str">
        <f>_xlfn.SINGLE(IF(F2154="","",_xlfn.XLOOKUP(F2154,purchase!D:D,purchase!#REF!,"")))</f>
        <v/>
      </c>
      <c r="L2154" s="2"/>
      <c r="M2154" s="32"/>
      <c r="N2154" s="13" t="str">
        <f>IF(F2154="","",
MAX(0,
_xlfn.XLOOKUP(F2154,purchase!D:D,purchase!#REF!,"")
-
SUMIFS(L:L,F:F,F2154)))</f>
        <v/>
      </c>
      <c r="O2154" s="13" t="str">
        <f t="shared" si="235"/>
        <v/>
      </c>
      <c r="P2154" s="35" t="str">
        <f>_xlfn.SINGLE(IF(F2154="","",_xlfn.XLOOKUP(F2154,purchase!D:D,purchase!K:K,"")))</f>
        <v/>
      </c>
      <c r="Q2154" s="29" t="str">
        <f t="shared" si="236"/>
        <v/>
      </c>
      <c r="R2154" s="37" t="str">
        <f t="shared" si="237"/>
        <v/>
      </c>
    </row>
    <row r="2155" spans="1:18" x14ac:dyDescent="0.35">
      <c r="A2155" s="8">
        <v>2151</v>
      </c>
      <c r="B2155" s="9" t="str">
        <f t="shared" si="231"/>
        <v/>
      </c>
      <c r="C2155" s="10"/>
      <c r="D2155" s="9" t="str">
        <f>IF(F2155="","",_xlfn.XLOOKUP(F2155,purchase!D:D,purchase!#REF!,""))</f>
        <v/>
      </c>
      <c r="E2155" s="9" t="str">
        <f>IF(F2155="","",_xlfn.XLOOKUP(F2155,purchase!D:D,purchase!B:B,""))</f>
        <v/>
      </c>
      <c r="F2155" s="2"/>
      <c r="G2155" s="4" t="str">
        <f t="shared" si="232"/>
        <v/>
      </c>
      <c r="H2155" s="4" t="str">
        <f>IF(F2155="","",_xlfn.XLOOKUP(F2155,purchase!D:D,purchase!#REF!,""))</f>
        <v/>
      </c>
      <c r="I2155" s="4" t="str">
        <f t="shared" si="233"/>
        <v/>
      </c>
      <c r="J2155" s="4" t="str">
        <f t="shared" si="234"/>
        <v/>
      </c>
      <c r="K2155" s="13" t="str">
        <f>_xlfn.SINGLE(IF(F2155="","",_xlfn.XLOOKUP(F2155,purchase!D:D,purchase!#REF!,"")))</f>
        <v/>
      </c>
      <c r="L2155" s="2"/>
      <c r="M2155" s="32"/>
      <c r="N2155" s="13" t="str">
        <f>IF(F2155="","",
MAX(0,
_xlfn.XLOOKUP(F2155,purchase!D:D,purchase!#REF!,"")
-
SUMIFS(L:L,F:F,F2155)))</f>
        <v/>
      </c>
      <c r="O2155" s="13" t="str">
        <f t="shared" si="235"/>
        <v/>
      </c>
      <c r="P2155" s="35" t="str">
        <f>_xlfn.SINGLE(IF(F2155="","",_xlfn.XLOOKUP(F2155,purchase!D:D,purchase!K:K,"")))</f>
        <v/>
      </c>
      <c r="Q2155" s="29" t="str">
        <f t="shared" si="236"/>
        <v/>
      </c>
      <c r="R2155" s="37" t="str">
        <f t="shared" si="237"/>
        <v/>
      </c>
    </row>
    <row r="2156" spans="1:18" x14ac:dyDescent="0.35">
      <c r="A2156" s="8">
        <v>2152</v>
      </c>
      <c r="B2156" s="9" t="str">
        <f t="shared" si="231"/>
        <v/>
      </c>
      <c r="C2156" s="10"/>
      <c r="D2156" s="9" t="str">
        <f>IF(F2156="","",_xlfn.XLOOKUP(F2156,purchase!D:D,purchase!#REF!,""))</f>
        <v/>
      </c>
      <c r="E2156" s="9" t="str">
        <f>IF(F2156="","",_xlfn.XLOOKUP(F2156,purchase!D:D,purchase!B:B,""))</f>
        <v/>
      </c>
      <c r="F2156" s="2"/>
      <c r="G2156" s="4" t="str">
        <f t="shared" si="232"/>
        <v/>
      </c>
      <c r="H2156" s="4" t="str">
        <f>IF(F2156="","",_xlfn.XLOOKUP(F2156,purchase!D:D,purchase!#REF!,""))</f>
        <v/>
      </c>
      <c r="I2156" s="4" t="str">
        <f t="shared" si="233"/>
        <v/>
      </c>
      <c r="J2156" s="4" t="str">
        <f t="shared" si="234"/>
        <v/>
      </c>
      <c r="K2156" s="13" t="str">
        <f>_xlfn.SINGLE(IF(F2156="","",_xlfn.XLOOKUP(F2156,purchase!D:D,purchase!#REF!,"")))</f>
        <v/>
      </c>
      <c r="L2156" s="2"/>
      <c r="M2156" s="32"/>
      <c r="N2156" s="13" t="str">
        <f>IF(F2156="","",
MAX(0,
_xlfn.XLOOKUP(F2156,purchase!D:D,purchase!#REF!,"")
-
SUMIFS(L:L,F:F,F2156)))</f>
        <v/>
      </c>
      <c r="O2156" s="13" t="str">
        <f t="shared" si="235"/>
        <v/>
      </c>
      <c r="P2156" s="35" t="str">
        <f>_xlfn.SINGLE(IF(F2156="","",_xlfn.XLOOKUP(F2156,purchase!D:D,purchase!K:K,"")))</f>
        <v/>
      </c>
      <c r="Q2156" s="29" t="str">
        <f t="shared" si="236"/>
        <v/>
      </c>
      <c r="R2156" s="37" t="str">
        <f t="shared" si="237"/>
        <v/>
      </c>
    </row>
    <row r="2157" spans="1:18" x14ac:dyDescent="0.35">
      <c r="A2157" s="8">
        <v>2153</v>
      </c>
      <c r="B2157" s="9" t="str">
        <f t="shared" si="231"/>
        <v/>
      </c>
      <c r="C2157" s="10"/>
      <c r="D2157" s="9" t="str">
        <f>IF(F2157="","",_xlfn.XLOOKUP(F2157,purchase!D:D,purchase!#REF!,""))</f>
        <v/>
      </c>
      <c r="E2157" s="9" t="str">
        <f>IF(F2157="","",_xlfn.XLOOKUP(F2157,purchase!D:D,purchase!B:B,""))</f>
        <v/>
      </c>
      <c r="F2157" s="2"/>
      <c r="G2157" s="4" t="str">
        <f t="shared" si="232"/>
        <v/>
      </c>
      <c r="H2157" s="4" t="str">
        <f>IF(F2157="","",_xlfn.XLOOKUP(F2157,purchase!D:D,purchase!#REF!,""))</f>
        <v/>
      </c>
      <c r="I2157" s="4" t="str">
        <f t="shared" si="233"/>
        <v/>
      </c>
      <c r="J2157" s="4" t="str">
        <f t="shared" si="234"/>
        <v/>
      </c>
      <c r="K2157" s="13" t="str">
        <f>_xlfn.SINGLE(IF(F2157="","",_xlfn.XLOOKUP(F2157,purchase!D:D,purchase!#REF!,"")))</f>
        <v/>
      </c>
      <c r="L2157" s="2"/>
      <c r="M2157" s="32"/>
      <c r="N2157" s="13" t="str">
        <f>IF(F2157="","",
MAX(0,
_xlfn.XLOOKUP(F2157,purchase!D:D,purchase!#REF!,"")
-
SUMIFS(L:L,F:F,F2157)))</f>
        <v/>
      </c>
      <c r="O2157" s="13" t="str">
        <f t="shared" si="235"/>
        <v/>
      </c>
      <c r="P2157" s="35" t="str">
        <f>_xlfn.SINGLE(IF(F2157="","",_xlfn.XLOOKUP(F2157,purchase!D:D,purchase!K:K,"")))</f>
        <v/>
      </c>
      <c r="Q2157" s="29" t="str">
        <f t="shared" si="236"/>
        <v/>
      </c>
      <c r="R2157" s="37" t="str">
        <f t="shared" si="237"/>
        <v/>
      </c>
    </row>
    <row r="2158" spans="1:18" x14ac:dyDescent="0.35">
      <c r="A2158" s="8">
        <v>2154</v>
      </c>
      <c r="B2158" s="9" t="str">
        <f t="shared" si="231"/>
        <v/>
      </c>
      <c r="C2158" s="10"/>
      <c r="D2158" s="9" t="str">
        <f>IF(F2158="","",_xlfn.XLOOKUP(F2158,purchase!D:D,purchase!#REF!,""))</f>
        <v/>
      </c>
      <c r="E2158" s="9" t="str">
        <f>IF(F2158="","",_xlfn.XLOOKUP(F2158,purchase!D:D,purchase!B:B,""))</f>
        <v/>
      </c>
      <c r="F2158" s="2"/>
      <c r="G2158" s="4" t="str">
        <f t="shared" si="232"/>
        <v/>
      </c>
      <c r="H2158" s="4" t="str">
        <f>IF(F2158="","",_xlfn.XLOOKUP(F2158,purchase!D:D,purchase!#REF!,""))</f>
        <v/>
      </c>
      <c r="I2158" s="4" t="str">
        <f t="shared" si="233"/>
        <v/>
      </c>
      <c r="J2158" s="4" t="str">
        <f t="shared" si="234"/>
        <v/>
      </c>
      <c r="K2158" s="13" t="str">
        <f>_xlfn.SINGLE(IF(F2158="","",_xlfn.XLOOKUP(F2158,purchase!D:D,purchase!#REF!,"")))</f>
        <v/>
      </c>
      <c r="L2158" s="2"/>
      <c r="M2158" s="32"/>
      <c r="N2158" s="13" t="str">
        <f>IF(F2158="","",
MAX(0,
_xlfn.XLOOKUP(F2158,purchase!D:D,purchase!#REF!,"")
-
SUMIFS(L:L,F:F,F2158)))</f>
        <v/>
      </c>
      <c r="O2158" s="13" t="str">
        <f t="shared" si="235"/>
        <v/>
      </c>
      <c r="P2158" s="35" t="str">
        <f>_xlfn.SINGLE(IF(F2158="","",_xlfn.XLOOKUP(F2158,purchase!D:D,purchase!K:K,"")))</f>
        <v/>
      </c>
      <c r="Q2158" s="29" t="str">
        <f t="shared" si="236"/>
        <v/>
      </c>
      <c r="R2158" s="37" t="str">
        <f t="shared" si="237"/>
        <v/>
      </c>
    </row>
    <row r="2159" spans="1:18" x14ac:dyDescent="0.35">
      <c r="A2159" s="8">
        <v>2155</v>
      </c>
      <c r="B2159" s="9" t="str">
        <f t="shared" si="231"/>
        <v/>
      </c>
      <c r="C2159" s="10"/>
      <c r="D2159" s="9" t="str">
        <f>IF(F2159="","",_xlfn.XLOOKUP(F2159,purchase!D:D,purchase!#REF!,""))</f>
        <v/>
      </c>
      <c r="E2159" s="9" t="str">
        <f>IF(F2159="","",_xlfn.XLOOKUP(F2159,purchase!D:D,purchase!B:B,""))</f>
        <v/>
      </c>
      <c r="F2159" s="2"/>
      <c r="G2159" s="4" t="str">
        <f t="shared" si="232"/>
        <v/>
      </c>
      <c r="H2159" s="4" t="str">
        <f>IF(F2159="","",_xlfn.XLOOKUP(F2159,purchase!D:D,purchase!#REF!,""))</f>
        <v/>
      </c>
      <c r="I2159" s="4" t="str">
        <f t="shared" si="233"/>
        <v/>
      </c>
      <c r="J2159" s="4" t="str">
        <f t="shared" si="234"/>
        <v/>
      </c>
      <c r="K2159" s="13" t="str">
        <f>_xlfn.SINGLE(IF(F2159="","",_xlfn.XLOOKUP(F2159,purchase!D:D,purchase!#REF!,"")))</f>
        <v/>
      </c>
      <c r="L2159" s="2"/>
      <c r="M2159" s="32"/>
      <c r="N2159" s="13" t="str">
        <f>IF(F2159="","",
MAX(0,
_xlfn.XLOOKUP(F2159,purchase!D:D,purchase!#REF!,"")
-
SUMIFS(L:L,F:F,F2159)))</f>
        <v/>
      </c>
      <c r="O2159" s="13" t="str">
        <f t="shared" si="235"/>
        <v/>
      </c>
      <c r="P2159" s="35" t="str">
        <f>_xlfn.SINGLE(IF(F2159="","",_xlfn.XLOOKUP(F2159,purchase!D:D,purchase!K:K,"")))</f>
        <v/>
      </c>
      <c r="Q2159" s="29" t="str">
        <f t="shared" si="236"/>
        <v/>
      </c>
      <c r="R2159" s="37" t="str">
        <f t="shared" si="237"/>
        <v/>
      </c>
    </row>
    <row r="2160" spans="1:18" x14ac:dyDescent="0.35">
      <c r="A2160" s="8">
        <v>2156</v>
      </c>
      <c r="B2160" s="9" t="str">
        <f t="shared" si="231"/>
        <v/>
      </c>
      <c r="C2160" s="10"/>
      <c r="D2160" s="9" t="str">
        <f>IF(F2160="","",_xlfn.XLOOKUP(F2160,purchase!D:D,purchase!#REF!,""))</f>
        <v/>
      </c>
      <c r="E2160" s="9" t="str">
        <f>IF(F2160="","",_xlfn.XLOOKUP(F2160,purchase!D:D,purchase!B:B,""))</f>
        <v/>
      </c>
      <c r="F2160" s="2"/>
      <c r="G2160" s="4" t="str">
        <f t="shared" si="232"/>
        <v/>
      </c>
      <c r="H2160" s="4" t="str">
        <f>IF(F2160="","",_xlfn.XLOOKUP(F2160,purchase!D:D,purchase!#REF!,""))</f>
        <v/>
      </c>
      <c r="I2160" s="4" t="str">
        <f t="shared" si="233"/>
        <v/>
      </c>
      <c r="J2160" s="4" t="str">
        <f t="shared" si="234"/>
        <v/>
      </c>
      <c r="K2160" s="13" t="str">
        <f>_xlfn.SINGLE(IF(F2160="","",_xlfn.XLOOKUP(F2160,purchase!D:D,purchase!#REF!,"")))</f>
        <v/>
      </c>
      <c r="L2160" s="2"/>
      <c r="M2160" s="32"/>
      <c r="N2160" s="13" t="str">
        <f>IF(F2160="","",
MAX(0,
_xlfn.XLOOKUP(F2160,purchase!D:D,purchase!#REF!,"")
-
SUMIFS(L:L,F:F,F2160)))</f>
        <v/>
      </c>
      <c r="O2160" s="13" t="str">
        <f t="shared" si="235"/>
        <v/>
      </c>
      <c r="P2160" s="35" t="str">
        <f>_xlfn.SINGLE(IF(F2160="","",_xlfn.XLOOKUP(F2160,purchase!D:D,purchase!K:K,"")))</f>
        <v/>
      </c>
      <c r="Q2160" s="29" t="str">
        <f t="shared" si="236"/>
        <v/>
      </c>
      <c r="R2160" s="37" t="str">
        <f t="shared" si="237"/>
        <v/>
      </c>
    </row>
    <row r="2161" spans="1:18" x14ac:dyDescent="0.35">
      <c r="A2161" s="8">
        <v>2157</v>
      </c>
      <c r="B2161" s="9" t="str">
        <f t="shared" si="231"/>
        <v/>
      </c>
      <c r="C2161" s="10"/>
      <c r="D2161" s="9" t="str">
        <f>IF(F2161="","",_xlfn.XLOOKUP(F2161,purchase!D:D,purchase!#REF!,""))</f>
        <v/>
      </c>
      <c r="E2161" s="9" t="str">
        <f>IF(F2161="","",_xlfn.XLOOKUP(F2161,purchase!D:D,purchase!B:B,""))</f>
        <v/>
      </c>
      <c r="F2161" s="2"/>
      <c r="G2161" s="4" t="str">
        <f t="shared" si="232"/>
        <v/>
      </c>
      <c r="H2161" s="4" t="str">
        <f>IF(F2161="","",_xlfn.XLOOKUP(F2161,purchase!D:D,purchase!#REF!,""))</f>
        <v/>
      </c>
      <c r="I2161" s="4" t="str">
        <f t="shared" si="233"/>
        <v/>
      </c>
      <c r="J2161" s="4" t="str">
        <f t="shared" si="234"/>
        <v/>
      </c>
      <c r="K2161" s="13" t="str">
        <f>_xlfn.SINGLE(IF(F2161="","",_xlfn.XLOOKUP(F2161,purchase!D:D,purchase!#REF!,"")))</f>
        <v/>
      </c>
      <c r="L2161" s="2"/>
      <c r="M2161" s="32"/>
      <c r="N2161" s="13" t="str">
        <f>IF(F2161="","",
MAX(0,
_xlfn.XLOOKUP(F2161,purchase!D:D,purchase!#REF!,"")
-
SUMIFS(L:L,F:F,F2161)))</f>
        <v/>
      </c>
      <c r="O2161" s="13" t="str">
        <f t="shared" si="235"/>
        <v/>
      </c>
      <c r="P2161" s="35" t="str">
        <f>_xlfn.SINGLE(IF(F2161="","",_xlfn.XLOOKUP(F2161,purchase!D:D,purchase!K:K,"")))</f>
        <v/>
      </c>
      <c r="Q2161" s="29" t="str">
        <f t="shared" si="236"/>
        <v/>
      </c>
      <c r="R2161" s="37" t="str">
        <f t="shared" si="237"/>
        <v/>
      </c>
    </row>
    <row r="2162" spans="1:18" x14ac:dyDescent="0.35">
      <c r="A2162" s="8">
        <v>2158</v>
      </c>
      <c r="B2162" s="9" t="str">
        <f t="shared" si="231"/>
        <v/>
      </c>
      <c r="C2162" s="10"/>
      <c r="D2162" s="9" t="str">
        <f>IF(F2162="","",_xlfn.XLOOKUP(F2162,purchase!D:D,purchase!#REF!,""))</f>
        <v/>
      </c>
      <c r="E2162" s="9" t="str">
        <f>IF(F2162="","",_xlfn.XLOOKUP(F2162,purchase!D:D,purchase!B:B,""))</f>
        <v/>
      </c>
      <c r="F2162" s="2"/>
      <c r="G2162" s="4" t="str">
        <f t="shared" si="232"/>
        <v/>
      </c>
      <c r="H2162" s="4" t="str">
        <f>IF(F2162="","",_xlfn.XLOOKUP(F2162,purchase!D:D,purchase!#REF!,""))</f>
        <v/>
      </c>
      <c r="I2162" s="4" t="str">
        <f t="shared" si="233"/>
        <v/>
      </c>
      <c r="J2162" s="4" t="str">
        <f t="shared" si="234"/>
        <v/>
      </c>
      <c r="K2162" s="13" t="str">
        <f>_xlfn.SINGLE(IF(F2162="","",_xlfn.XLOOKUP(F2162,purchase!D:D,purchase!#REF!,"")))</f>
        <v/>
      </c>
      <c r="L2162" s="2"/>
      <c r="M2162" s="32"/>
      <c r="N2162" s="13" t="str">
        <f>IF(F2162="","",
MAX(0,
_xlfn.XLOOKUP(F2162,purchase!D:D,purchase!#REF!,"")
-
SUMIFS(L:L,F:F,F2162)))</f>
        <v/>
      </c>
      <c r="O2162" s="13" t="str">
        <f t="shared" si="235"/>
        <v/>
      </c>
      <c r="P2162" s="35" t="str">
        <f>_xlfn.SINGLE(IF(F2162="","",_xlfn.XLOOKUP(F2162,purchase!D:D,purchase!K:K,"")))</f>
        <v/>
      </c>
      <c r="Q2162" s="29" t="str">
        <f t="shared" si="236"/>
        <v/>
      </c>
      <c r="R2162" s="37" t="str">
        <f t="shared" si="237"/>
        <v/>
      </c>
    </row>
    <row r="2163" spans="1:18" x14ac:dyDescent="0.35">
      <c r="A2163" s="8">
        <v>2159</v>
      </c>
      <c r="B2163" s="9" t="str">
        <f t="shared" si="231"/>
        <v/>
      </c>
      <c r="C2163" s="10"/>
      <c r="D2163" s="9" t="str">
        <f>IF(F2163="","",_xlfn.XLOOKUP(F2163,purchase!D:D,purchase!#REF!,""))</f>
        <v/>
      </c>
      <c r="E2163" s="9" t="str">
        <f>IF(F2163="","",_xlfn.XLOOKUP(F2163,purchase!D:D,purchase!B:B,""))</f>
        <v/>
      </c>
      <c r="F2163" s="2"/>
      <c r="G2163" s="4" t="str">
        <f t="shared" si="232"/>
        <v/>
      </c>
      <c r="H2163" s="4" t="str">
        <f>IF(F2163="","",_xlfn.XLOOKUP(F2163,purchase!D:D,purchase!#REF!,""))</f>
        <v/>
      </c>
      <c r="I2163" s="4" t="str">
        <f t="shared" si="233"/>
        <v/>
      </c>
      <c r="J2163" s="4" t="str">
        <f t="shared" si="234"/>
        <v/>
      </c>
      <c r="K2163" s="13" t="str">
        <f>_xlfn.SINGLE(IF(F2163="","",_xlfn.XLOOKUP(F2163,purchase!D:D,purchase!#REF!,"")))</f>
        <v/>
      </c>
      <c r="L2163" s="2"/>
      <c r="M2163" s="32"/>
      <c r="N2163" s="13" t="str">
        <f>IF(F2163="","",
MAX(0,
_xlfn.XLOOKUP(F2163,purchase!D:D,purchase!#REF!,"")
-
SUMIFS(L:L,F:F,F2163)))</f>
        <v/>
      </c>
      <c r="O2163" s="13" t="str">
        <f t="shared" si="235"/>
        <v/>
      </c>
      <c r="P2163" s="35" t="str">
        <f>_xlfn.SINGLE(IF(F2163="","",_xlfn.XLOOKUP(F2163,purchase!D:D,purchase!K:K,"")))</f>
        <v/>
      </c>
      <c r="Q2163" s="29" t="str">
        <f t="shared" si="236"/>
        <v/>
      </c>
      <c r="R2163" s="37" t="str">
        <f t="shared" si="237"/>
        <v/>
      </c>
    </row>
    <row r="2164" spans="1:18" x14ac:dyDescent="0.35">
      <c r="A2164" s="8">
        <v>2160</v>
      </c>
      <c r="B2164" s="9" t="str">
        <f t="shared" si="231"/>
        <v/>
      </c>
      <c r="C2164" s="10"/>
      <c r="D2164" s="9" t="str">
        <f>IF(F2164="","",_xlfn.XLOOKUP(F2164,purchase!D:D,purchase!#REF!,""))</f>
        <v/>
      </c>
      <c r="E2164" s="9" t="str">
        <f>IF(F2164="","",_xlfn.XLOOKUP(F2164,purchase!D:D,purchase!B:B,""))</f>
        <v/>
      </c>
      <c r="F2164" s="2"/>
      <c r="G2164" s="4" t="str">
        <f t="shared" si="232"/>
        <v/>
      </c>
      <c r="H2164" s="4" t="str">
        <f>IF(F2164="","",_xlfn.XLOOKUP(F2164,purchase!D:D,purchase!#REF!,""))</f>
        <v/>
      </c>
      <c r="I2164" s="4" t="str">
        <f t="shared" si="233"/>
        <v/>
      </c>
      <c r="J2164" s="4" t="str">
        <f t="shared" si="234"/>
        <v/>
      </c>
      <c r="K2164" s="13" t="str">
        <f>_xlfn.SINGLE(IF(F2164="","",_xlfn.XLOOKUP(F2164,purchase!D:D,purchase!#REF!,"")))</f>
        <v/>
      </c>
      <c r="L2164" s="2"/>
      <c r="M2164" s="32"/>
      <c r="N2164" s="13" t="str">
        <f>IF(F2164="","",
MAX(0,
_xlfn.XLOOKUP(F2164,purchase!D:D,purchase!#REF!,"")
-
SUMIFS(L:L,F:F,F2164)))</f>
        <v/>
      </c>
      <c r="O2164" s="13" t="str">
        <f t="shared" si="235"/>
        <v/>
      </c>
      <c r="P2164" s="35" t="str">
        <f>_xlfn.SINGLE(IF(F2164="","",_xlfn.XLOOKUP(F2164,purchase!D:D,purchase!K:K,"")))</f>
        <v/>
      </c>
      <c r="Q2164" s="29" t="str">
        <f t="shared" si="236"/>
        <v/>
      </c>
      <c r="R2164" s="37" t="str">
        <f t="shared" si="237"/>
        <v/>
      </c>
    </row>
    <row r="2165" spans="1:18" x14ac:dyDescent="0.35">
      <c r="A2165" s="8">
        <v>2161</v>
      </c>
      <c r="B2165" s="9" t="str">
        <f t="shared" si="231"/>
        <v/>
      </c>
      <c r="C2165" s="10"/>
      <c r="D2165" s="9" t="str">
        <f>IF(F2165="","",_xlfn.XLOOKUP(F2165,purchase!D:D,purchase!#REF!,""))</f>
        <v/>
      </c>
      <c r="E2165" s="9" t="str">
        <f>IF(F2165="","",_xlfn.XLOOKUP(F2165,purchase!D:D,purchase!B:B,""))</f>
        <v/>
      </c>
      <c r="F2165" s="2"/>
      <c r="G2165" s="4" t="str">
        <f t="shared" si="232"/>
        <v/>
      </c>
      <c r="H2165" s="4" t="str">
        <f>IF(F2165="","",_xlfn.XLOOKUP(F2165,purchase!D:D,purchase!#REF!,""))</f>
        <v/>
      </c>
      <c r="I2165" s="4" t="str">
        <f t="shared" si="233"/>
        <v/>
      </c>
      <c r="J2165" s="4" t="str">
        <f t="shared" si="234"/>
        <v/>
      </c>
      <c r="K2165" s="13" t="str">
        <f>_xlfn.SINGLE(IF(F2165="","",_xlfn.XLOOKUP(F2165,purchase!D:D,purchase!#REF!,"")))</f>
        <v/>
      </c>
      <c r="L2165" s="2"/>
      <c r="M2165" s="32"/>
      <c r="N2165" s="13" t="str">
        <f>IF(F2165="","",
MAX(0,
_xlfn.XLOOKUP(F2165,purchase!D:D,purchase!#REF!,"")
-
SUMIFS(L:L,F:F,F2165)))</f>
        <v/>
      </c>
      <c r="O2165" s="13" t="str">
        <f t="shared" si="235"/>
        <v/>
      </c>
      <c r="P2165" s="35" t="str">
        <f>_xlfn.SINGLE(IF(F2165="","",_xlfn.XLOOKUP(F2165,purchase!D:D,purchase!K:K,"")))</f>
        <v/>
      </c>
      <c r="Q2165" s="29" t="str">
        <f t="shared" si="236"/>
        <v/>
      </c>
      <c r="R2165" s="37" t="str">
        <f t="shared" si="237"/>
        <v/>
      </c>
    </row>
    <row r="2166" spans="1:18" x14ac:dyDescent="0.35">
      <c r="A2166" s="8">
        <v>2162</v>
      </c>
      <c r="B2166" s="9" t="str">
        <f t="shared" si="231"/>
        <v/>
      </c>
      <c r="C2166" s="10"/>
      <c r="D2166" s="9" t="str">
        <f>IF(F2166="","",_xlfn.XLOOKUP(F2166,purchase!D:D,purchase!#REF!,""))</f>
        <v/>
      </c>
      <c r="E2166" s="9" t="str">
        <f>IF(F2166="","",_xlfn.XLOOKUP(F2166,purchase!D:D,purchase!B:B,""))</f>
        <v/>
      </c>
      <c r="F2166" s="2"/>
      <c r="G2166" s="4" t="str">
        <f t="shared" si="232"/>
        <v/>
      </c>
      <c r="H2166" s="4" t="str">
        <f>IF(F2166="","",_xlfn.XLOOKUP(F2166,purchase!D:D,purchase!#REF!,""))</f>
        <v/>
      </c>
      <c r="I2166" s="4" t="str">
        <f t="shared" si="233"/>
        <v/>
      </c>
      <c r="J2166" s="4" t="str">
        <f t="shared" si="234"/>
        <v/>
      </c>
      <c r="K2166" s="13" t="str">
        <f>_xlfn.SINGLE(IF(F2166="","",_xlfn.XLOOKUP(F2166,purchase!D:D,purchase!#REF!,"")))</f>
        <v/>
      </c>
      <c r="L2166" s="2"/>
      <c r="M2166" s="32"/>
      <c r="N2166" s="13" t="str">
        <f>IF(F2166="","",
MAX(0,
_xlfn.XLOOKUP(F2166,purchase!D:D,purchase!#REF!,"")
-
SUMIFS(L:L,F:F,F2166)))</f>
        <v/>
      </c>
      <c r="O2166" s="13" t="str">
        <f t="shared" si="235"/>
        <v/>
      </c>
      <c r="P2166" s="35" t="str">
        <f>_xlfn.SINGLE(IF(F2166="","",_xlfn.XLOOKUP(F2166,purchase!D:D,purchase!K:K,"")))</f>
        <v/>
      </c>
      <c r="Q2166" s="29" t="str">
        <f t="shared" si="236"/>
        <v/>
      </c>
      <c r="R2166" s="37" t="str">
        <f t="shared" si="237"/>
        <v/>
      </c>
    </row>
    <row r="2167" spans="1:18" x14ac:dyDescent="0.35">
      <c r="A2167" s="8">
        <v>2163</v>
      </c>
      <c r="B2167" s="9" t="str">
        <f t="shared" si="231"/>
        <v/>
      </c>
      <c r="C2167" s="10"/>
      <c r="D2167" s="9" t="str">
        <f>IF(F2167="","",_xlfn.XLOOKUP(F2167,purchase!D:D,purchase!#REF!,""))</f>
        <v/>
      </c>
      <c r="E2167" s="9" t="str">
        <f>IF(F2167="","",_xlfn.XLOOKUP(F2167,purchase!D:D,purchase!B:B,""))</f>
        <v/>
      </c>
      <c r="F2167" s="2"/>
      <c r="G2167" s="4" t="str">
        <f t="shared" si="232"/>
        <v/>
      </c>
      <c r="H2167" s="4" t="str">
        <f>IF(F2167="","",_xlfn.XLOOKUP(F2167,purchase!D:D,purchase!#REF!,""))</f>
        <v/>
      </c>
      <c r="I2167" s="4" t="str">
        <f t="shared" si="233"/>
        <v/>
      </c>
      <c r="J2167" s="4" t="str">
        <f t="shared" si="234"/>
        <v/>
      </c>
      <c r="K2167" s="13" t="str">
        <f>_xlfn.SINGLE(IF(F2167="","",_xlfn.XLOOKUP(F2167,purchase!D:D,purchase!#REF!,"")))</f>
        <v/>
      </c>
      <c r="L2167" s="2"/>
      <c r="M2167" s="32"/>
      <c r="N2167" s="13" t="str">
        <f>IF(F2167="","",
MAX(0,
_xlfn.XLOOKUP(F2167,purchase!D:D,purchase!#REF!,"")
-
SUMIFS(L:L,F:F,F2167)))</f>
        <v/>
      </c>
      <c r="O2167" s="13" t="str">
        <f t="shared" si="235"/>
        <v/>
      </c>
      <c r="P2167" s="35" t="str">
        <f>_xlfn.SINGLE(IF(F2167="","",_xlfn.XLOOKUP(F2167,purchase!D:D,purchase!K:K,"")))</f>
        <v/>
      </c>
      <c r="Q2167" s="29" t="str">
        <f t="shared" si="236"/>
        <v/>
      </c>
      <c r="R2167" s="37" t="str">
        <f t="shared" si="237"/>
        <v/>
      </c>
    </row>
    <row r="2168" spans="1:18" x14ac:dyDescent="0.35">
      <c r="A2168" s="8">
        <v>2164</v>
      </c>
      <c r="B2168" s="9" t="str">
        <f t="shared" si="231"/>
        <v/>
      </c>
      <c r="C2168" s="10"/>
      <c r="D2168" s="9" t="str">
        <f>IF(F2168="","",_xlfn.XLOOKUP(F2168,purchase!D:D,purchase!#REF!,""))</f>
        <v/>
      </c>
      <c r="E2168" s="9" t="str">
        <f>IF(F2168="","",_xlfn.XLOOKUP(F2168,purchase!D:D,purchase!B:B,""))</f>
        <v/>
      </c>
      <c r="F2168" s="2"/>
      <c r="G2168" s="4" t="str">
        <f t="shared" si="232"/>
        <v/>
      </c>
      <c r="H2168" s="4" t="str">
        <f>IF(F2168="","",_xlfn.XLOOKUP(F2168,purchase!D:D,purchase!#REF!,""))</f>
        <v/>
      </c>
      <c r="I2168" s="4" t="str">
        <f t="shared" si="233"/>
        <v/>
      </c>
      <c r="J2168" s="4" t="str">
        <f t="shared" si="234"/>
        <v/>
      </c>
      <c r="K2168" s="13" t="str">
        <f>_xlfn.SINGLE(IF(F2168="","",_xlfn.XLOOKUP(F2168,purchase!D:D,purchase!#REF!,"")))</f>
        <v/>
      </c>
      <c r="L2168" s="2"/>
      <c r="M2168" s="32"/>
      <c r="N2168" s="13" t="str">
        <f>IF(F2168="","",
MAX(0,
_xlfn.XLOOKUP(F2168,purchase!D:D,purchase!#REF!,"")
-
SUMIFS(L:L,F:F,F2168)))</f>
        <v/>
      </c>
      <c r="O2168" s="13" t="str">
        <f t="shared" si="235"/>
        <v/>
      </c>
      <c r="P2168" s="35" t="str">
        <f>_xlfn.SINGLE(IF(F2168="","",_xlfn.XLOOKUP(F2168,purchase!D:D,purchase!K:K,"")))</f>
        <v/>
      </c>
      <c r="Q2168" s="29" t="str">
        <f t="shared" si="236"/>
        <v/>
      </c>
      <c r="R2168" s="37" t="str">
        <f t="shared" si="237"/>
        <v/>
      </c>
    </row>
    <row r="2169" spans="1:18" x14ac:dyDescent="0.35">
      <c r="A2169" s="8">
        <v>2165</v>
      </c>
      <c r="B2169" s="9" t="str">
        <f t="shared" si="231"/>
        <v/>
      </c>
      <c r="C2169" s="10"/>
      <c r="D2169" s="9" t="str">
        <f>IF(F2169="","",_xlfn.XLOOKUP(F2169,purchase!D:D,purchase!#REF!,""))</f>
        <v/>
      </c>
      <c r="E2169" s="9" t="str">
        <f>IF(F2169="","",_xlfn.XLOOKUP(F2169,purchase!D:D,purchase!B:B,""))</f>
        <v/>
      </c>
      <c r="F2169" s="2"/>
      <c r="G2169" s="4" t="str">
        <f t="shared" si="232"/>
        <v/>
      </c>
      <c r="H2169" s="4" t="str">
        <f>IF(F2169="","",_xlfn.XLOOKUP(F2169,purchase!D:D,purchase!#REF!,""))</f>
        <v/>
      </c>
      <c r="I2169" s="4" t="str">
        <f t="shared" si="233"/>
        <v/>
      </c>
      <c r="J2169" s="4" t="str">
        <f t="shared" si="234"/>
        <v/>
      </c>
      <c r="K2169" s="13" t="str">
        <f>_xlfn.SINGLE(IF(F2169="","",_xlfn.XLOOKUP(F2169,purchase!D:D,purchase!#REF!,"")))</f>
        <v/>
      </c>
      <c r="L2169" s="2"/>
      <c r="M2169" s="32"/>
      <c r="N2169" s="13" t="str">
        <f>IF(F2169="","",
MAX(0,
_xlfn.XLOOKUP(F2169,purchase!D:D,purchase!#REF!,"")
-
SUMIFS(L:L,F:F,F2169)))</f>
        <v/>
      </c>
      <c r="O2169" s="13" t="str">
        <f t="shared" si="235"/>
        <v/>
      </c>
      <c r="P2169" s="35" t="str">
        <f>_xlfn.SINGLE(IF(F2169="","",_xlfn.XLOOKUP(F2169,purchase!D:D,purchase!K:K,"")))</f>
        <v/>
      </c>
      <c r="Q2169" s="29" t="str">
        <f t="shared" si="236"/>
        <v/>
      </c>
      <c r="R2169" s="37" t="str">
        <f t="shared" si="237"/>
        <v/>
      </c>
    </row>
    <row r="2170" spans="1:18" x14ac:dyDescent="0.35">
      <c r="A2170" s="8">
        <v>2166</v>
      </c>
      <c r="B2170" s="9" t="str">
        <f t="shared" si="231"/>
        <v/>
      </c>
      <c r="C2170" s="10"/>
      <c r="D2170" s="9" t="str">
        <f>IF(F2170="","",_xlfn.XLOOKUP(F2170,purchase!D:D,purchase!#REF!,""))</f>
        <v/>
      </c>
      <c r="E2170" s="9" t="str">
        <f>IF(F2170="","",_xlfn.XLOOKUP(F2170,purchase!D:D,purchase!B:B,""))</f>
        <v/>
      </c>
      <c r="F2170" s="2"/>
      <c r="G2170" s="4" t="str">
        <f t="shared" si="232"/>
        <v/>
      </c>
      <c r="H2170" s="4" t="str">
        <f>IF(F2170="","",_xlfn.XLOOKUP(F2170,purchase!D:D,purchase!#REF!,""))</f>
        <v/>
      </c>
      <c r="I2170" s="4" t="str">
        <f t="shared" si="233"/>
        <v/>
      </c>
      <c r="J2170" s="4" t="str">
        <f t="shared" si="234"/>
        <v/>
      </c>
      <c r="K2170" s="13" t="str">
        <f>_xlfn.SINGLE(IF(F2170="","",_xlfn.XLOOKUP(F2170,purchase!D:D,purchase!#REF!,"")))</f>
        <v/>
      </c>
      <c r="L2170" s="2"/>
      <c r="M2170" s="32"/>
      <c r="N2170" s="13" t="str">
        <f>IF(F2170="","",
MAX(0,
_xlfn.XLOOKUP(F2170,purchase!D:D,purchase!#REF!,"")
-
SUMIFS(L:L,F:F,F2170)))</f>
        <v/>
      </c>
      <c r="O2170" s="13" t="str">
        <f t="shared" si="235"/>
        <v/>
      </c>
      <c r="P2170" s="35" t="str">
        <f>_xlfn.SINGLE(IF(F2170="","",_xlfn.XLOOKUP(F2170,purchase!D:D,purchase!K:K,"")))</f>
        <v/>
      </c>
      <c r="Q2170" s="29" t="str">
        <f t="shared" si="236"/>
        <v/>
      </c>
      <c r="R2170" s="37" t="str">
        <f t="shared" si="237"/>
        <v/>
      </c>
    </row>
    <row r="2171" spans="1:18" x14ac:dyDescent="0.35">
      <c r="A2171" s="8">
        <v>2167</v>
      </c>
      <c r="B2171" s="9" t="str">
        <f t="shared" si="231"/>
        <v/>
      </c>
      <c r="C2171" s="10"/>
      <c r="D2171" s="9" t="str">
        <f>IF(F2171="","",_xlfn.XLOOKUP(F2171,purchase!D:D,purchase!#REF!,""))</f>
        <v/>
      </c>
      <c r="E2171" s="9" t="str">
        <f>IF(F2171="","",_xlfn.XLOOKUP(F2171,purchase!D:D,purchase!B:B,""))</f>
        <v/>
      </c>
      <c r="F2171" s="2"/>
      <c r="G2171" s="4" t="str">
        <f t="shared" si="232"/>
        <v/>
      </c>
      <c r="H2171" s="4" t="str">
        <f>IF(F2171="","",_xlfn.XLOOKUP(F2171,purchase!D:D,purchase!#REF!,""))</f>
        <v/>
      </c>
      <c r="I2171" s="4" t="str">
        <f t="shared" si="233"/>
        <v/>
      </c>
      <c r="J2171" s="4" t="str">
        <f t="shared" si="234"/>
        <v/>
      </c>
      <c r="K2171" s="13" t="str">
        <f>_xlfn.SINGLE(IF(F2171="","",_xlfn.XLOOKUP(F2171,purchase!D:D,purchase!#REF!,"")))</f>
        <v/>
      </c>
      <c r="L2171" s="2"/>
      <c r="M2171" s="32"/>
      <c r="N2171" s="13" t="str">
        <f>IF(F2171="","",
MAX(0,
_xlfn.XLOOKUP(F2171,purchase!D:D,purchase!#REF!,"")
-
SUMIFS(L:L,F:F,F2171)))</f>
        <v/>
      </c>
      <c r="O2171" s="13" t="str">
        <f t="shared" si="235"/>
        <v/>
      </c>
      <c r="P2171" s="35" t="str">
        <f>_xlfn.SINGLE(IF(F2171="","",_xlfn.XLOOKUP(F2171,purchase!D:D,purchase!K:K,"")))</f>
        <v/>
      </c>
      <c r="Q2171" s="29" t="str">
        <f t="shared" si="236"/>
        <v/>
      </c>
      <c r="R2171" s="37" t="str">
        <f t="shared" si="237"/>
        <v/>
      </c>
    </row>
    <row r="2172" spans="1:18" x14ac:dyDescent="0.35">
      <c r="A2172" s="8">
        <v>2168</v>
      </c>
      <c r="B2172" s="9" t="str">
        <f t="shared" si="231"/>
        <v/>
      </c>
      <c r="C2172" s="10"/>
      <c r="D2172" s="9" t="str">
        <f>IF(F2172="","",_xlfn.XLOOKUP(F2172,purchase!D:D,purchase!#REF!,""))</f>
        <v/>
      </c>
      <c r="E2172" s="9" t="str">
        <f>IF(F2172="","",_xlfn.XLOOKUP(F2172,purchase!D:D,purchase!B:B,""))</f>
        <v/>
      </c>
      <c r="F2172" s="2"/>
      <c r="G2172" s="4" t="str">
        <f t="shared" si="232"/>
        <v/>
      </c>
      <c r="H2172" s="4" t="str">
        <f>IF(F2172="","",_xlfn.XLOOKUP(F2172,purchase!D:D,purchase!#REF!,""))</f>
        <v/>
      </c>
      <c r="I2172" s="4" t="str">
        <f t="shared" si="233"/>
        <v/>
      </c>
      <c r="J2172" s="4" t="str">
        <f t="shared" si="234"/>
        <v/>
      </c>
      <c r="K2172" s="13" t="str">
        <f>_xlfn.SINGLE(IF(F2172="","",_xlfn.XLOOKUP(F2172,purchase!D:D,purchase!#REF!,"")))</f>
        <v/>
      </c>
      <c r="L2172" s="2"/>
      <c r="M2172" s="32"/>
      <c r="N2172" s="13" t="str">
        <f>IF(F2172="","",
MAX(0,
_xlfn.XLOOKUP(F2172,purchase!D:D,purchase!#REF!,"")
-
SUMIFS(L:L,F:F,F2172)))</f>
        <v/>
      </c>
      <c r="O2172" s="13" t="str">
        <f t="shared" si="235"/>
        <v/>
      </c>
      <c r="P2172" s="35" t="str">
        <f>_xlfn.SINGLE(IF(F2172="","",_xlfn.XLOOKUP(F2172,purchase!D:D,purchase!K:K,"")))</f>
        <v/>
      </c>
      <c r="Q2172" s="29" t="str">
        <f t="shared" si="236"/>
        <v/>
      </c>
      <c r="R2172" s="37" t="str">
        <f t="shared" si="237"/>
        <v/>
      </c>
    </row>
    <row r="2173" spans="1:18" x14ac:dyDescent="0.35">
      <c r="A2173" s="8">
        <v>2169</v>
      </c>
      <c r="B2173" s="9" t="str">
        <f t="shared" si="231"/>
        <v/>
      </c>
      <c r="C2173" s="10"/>
      <c r="D2173" s="9" t="str">
        <f>IF(F2173="","",_xlfn.XLOOKUP(F2173,purchase!D:D,purchase!#REF!,""))</f>
        <v/>
      </c>
      <c r="E2173" s="9" t="str">
        <f>IF(F2173="","",_xlfn.XLOOKUP(F2173,purchase!D:D,purchase!B:B,""))</f>
        <v/>
      </c>
      <c r="F2173" s="2"/>
      <c r="G2173" s="4" t="str">
        <f t="shared" si="232"/>
        <v/>
      </c>
      <c r="H2173" s="4" t="str">
        <f>IF(F2173="","",_xlfn.XLOOKUP(F2173,purchase!D:D,purchase!#REF!,""))</f>
        <v/>
      </c>
      <c r="I2173" s="4" t="str">
        <f t="shared" si="233"/>
        <v/>
      </c>
      <c r="J2173" s="4" t="str">
        <f t="shared" si="234"/>
        <v/>
      </c>
      <c r="K2173" s="13" t="str">
        <f>_xlfn.SINGLE(IF(F2173="","",_xlfn.XLOOKUP(F2173,purchase!D:D,purchase!#REF!,"")))</f>
        <v/>
      </c>
      <c r="L2173" s="2"/>
      <c r="M2173" s="32"/>
      <c r="N2173" s="13" t="str">
        <f>IF(F2173="","",
MAX(0,
_xlfn.XLOOKUP(F2173,purchase!D:D,purchase!#REF!,"")
-
SUMIFS(L:L,F:F,F2173)))</f>
        <v/>
      </c>
      <c r="O2173" s="13" t="str">
        <f t="shared" si="235"/>
        <v/>
      </c>
      <c r="P2173" s="35" t="str">
        <f>_xlfn.SINGLE(IF(F2173="","",_xlfn.XLOOKUP(F2173,purchase!D:D,purchase!K:K,"")))</f>
        <v/>
      </c>
      <c r="Q2173" s="29" t="str">
        <f t="shared" si="236"/>
        <v/>
      </c>
      <c r="R2173" s="37" t="str">
        <f t="shared" si="237"/>
        <v/>
      </c>
    </row>
    <row r="2174" spans="1:18" x14ac:dyDescent="0.35">
      <c r="A2174" s="8">
        <v>2170</v>
      </c>
      <c r="B2174" s="9" t="str">
        <f t="shared" si="231"/>
        <v/>
      </c>
      <c r="C2174" s="10"/>
      <c r="D2174" s="9" t="str">
        <f>IF(F2174="","",_xlfn.XLOOKUP(F2174,purchase!D:D,purchase!#REF!,""))</f>
        <v/>
      </c>
      <c r="E2174" s="9" t="str">
        <f>IF(F2174="","",_xlfn.XLOOKUP(F2174,purchase!D:D,purchase!B:B,""))</f>
        <v/>
      </c>
      <c r="F2174" s="2"/>
      <c r="G2174" s="4" t="str">
        <f t="shared" si="232"/>
        <v/>
      </c>
      <c r="H2174" s="4" t="str">
        <f>IF(F2174="","",_xlfn.XLOOKUP(F2174,purchase!D:D,purchase!#REF!,""))</f>
        <v/>
      </c>
      <c r="I2174" s="4" t="str">
        <f t="shared" si="233"/>
        <v/>
      </c>
      <c r="J2174" s="4" t="str">
        <f t="shared" si="234"/>
        <v/>
      </c>
      <c r="K2174" s="13" t="str">
        <f>_xlfn.SINGLE(IF(F2174="","",_xlfn.XLOOKUP(F2174,purchase!D:D,purchase!#REF!,"")))</f>
        <v/>
      </c>
      <c r="L2174" s="2"/>
      <c r="M2174" s="32"/>
      <c r="N2174" s="13" t="str">
        <f>IF(F2174="","",
MAX(0,
_xlfn.XLOOKUP(F2174,purchase!D:D,purchase!#REF!,"")
-
SUMIFS(L:L,F:F,F2174)))</f>
        <v/>
      </c>
      <c r="O2174" s="13" t="str">
        <f t="shared" si="235"/>
        <v/>
      </c>
      <c r="P2174" s="35" t="str">
        <f>_xlfn.SINGLE(IF(F2174="","",_xlfn.XLOOKUP(F2174,purchase!D:D,purchase!K:K,"")))</f>
        <v/>
      </c>
      <c r="Q2174" s="29" t="str">
        <f t="shared" si="236"/>
        <v/>
      </c>
      <c r="R2174" s="37" t="str">
        <f t="shared" si="237"/>
        <v/>
      </c>
    </row>
    <row r="2175" spans="1:18" x14ac:dyDescent="0.35">
      <c r="A2175" s="8">
        <v>2171</v>
      </c>
      <c r="B2175" s="9" t="str">
        <f t="shared" si="231"/>
        <v/>
      </c>
      <c r="C2175" s="10"/>
      <c r="D2175" s="9" t="str">
        <f>IF(F2175="","",_xlfn.XLOOKUP(F2175,purchase!D:D,purchase!#REF!,""))</f>
        <v/>
      </c>
      <c r="E2175" s="9" t="str">
        <f>IF(F2175="","",_xlfn.XLOOKUP(F2175,purchase!D:D,purchase!B:B,""))</f>
        <v/>
      </c>
      <c r="F2175" s="2"/>
      <c r="G2175" s="4" t="str">
        <f t="shared" si="232"/>
        <v/>
      </c>
      <c r="H2175" s="4" t="str">
        <f>IF(F2175="","",_xlfn.XLOOKUP(F2175,purchase!D:D,purchase!#REF!,""))</f>
        <v/>
      </c>
      <c r="I2175" s="4" t="str">
        <f t="shared" si="233"/>
        <v/>
      </c>
      <c r="J2175" s="4" t="str">
        <f t="shared" si="234"/>
        <v/>
      </c>
      <c r="K2175" s="13" t="str">
        <f>_xlfn.SINGLE(IF(F2175="","",_xlfn.XLOOKUP(F2175,purchase!D:D,purchase!#REF!,"")))</f>
        <v/>
      </c>
      <c r="L2175" s="2"/>
      <c r="M2175" s="32"/>
      <c r="N2175" s="13" t="str">
        <f>IF(F2175="","",
MAX(0,
_xlfn.XLOOKUP(F2175,purchase!D:D,purchase!#REF!,"")
-
SUMIFS(L:L,F:F,F2175)))</f>
        <v/>
      </c>
      <c r="O2175" s="13" t="str">
        <f t="shared" si="235"/>
        <v/>
      </c>
      <c r="P2175" s="35" t="str">
        <f>_xlfn.SINGLE(IF(F2175="","",_xlfn.XLOOKUP(F2175,purchase!D:D,purchase!K:K,"")))</f>
        <v/>
      </c>
      <c r="Q2175" s="29" t="str">
        <f t="shared" si="236"/>
        <v/>
      </c>
      <c r="R2175" s="37" t="str">
        <f t="shared" si="237"/>
        <v/>
      </c>
    </row>
    <row r="2176" spans="1:18" x14ac:dyDescent="0.35">
      <c r="A2176" s="8">
        <v>2172</v>
      </c>
      <c r="B2176" s="9" t="str">
        <f t="shared" si="231"/>
        <v/>
      </c>
      <c r="C2176" s="10"/>
      <c r="D2176" s="9" t="str">
        <f>IF(F2176="","",_xlfn.XLOOKUP(F2176,purchase!D:D,purchase!#REF!,""))</f>
        <v/>
      </c>
      <c r="E2176" s="9" t="str">
        <f>IF(F2176="","",_xlfn.XLOOKUP(F2176,purchase!D:D,purchase!B:B,""))</f>
        <v/>
      </c>
      <c r="F2176" s="2"/>
      <c r="G2176" s="4" t="str">
        <f t="shared" si="232"/>
        <v/>
      </c>
      <c r="H2176" s="4" t="str">
        <f>IF(F2176="","",_xlfn.XLOOKUP(F2176,purchase!D:D,purchase!#REF!,""))</f>
        <v/>
      </c>
      <c r="I2176" s="4" t="str">
        <f t="shared" si="233"/>
        <v/>
      </c>
      <c r="J2176" s="4" t="str">
        <f t="shared" si="234"/>
        <v/>
      </c>
      <c r="K2176" s="13" t="str">
        <f>_xlfn.SINGLE(IF(F2176="","",_xlfn.XLOOKUP(F2176,purchase!D:D,purchase!#REF!,"")))</f>
        <v/>
      </c>
      <c r="L2176" s="2"/>
      <c r="M2176" s="32"/>
      <c r="N2176" s="13" t="str">
        <f>IF(F2176="","",
MAX(0,
_xlfn.XLOOKUP(F2176,purchase!D:D,purchase!#REF!,"")
-
SUMIFS(L:L,F:F,F2176)))</f>
        <v/>
      </c>
      <c r="O2176" s="13" t="str">
        <f t="shared" si="235"/>
        <v/>
      </c>
      <c r="P2176" s="35" t="str">
        <f>_xlfn.SINGLE(IF(F2176="","",_xlfn.XLOOKUP(F2176,purchase!D:D,purchase!K:K,"")))</f>
        <v/>
      </c>
      <c r="Q2176" s="29" t="str">
        <f t="shared" si="236"/>
        <v/>
      </c>
      <c r="R2176" s="37" t="str">
        <f t="shared" si="237"/>
        <v/>
      </c>
    </row>
    <row r="2177" spans="1:18" x14ac:dyDescent="0.35">
      <c r="A2177" s="8">
        <v>2173</v>
      </c>
      <c r="B2177" s="9" t="str">
        <f t="shared" si="231"/>
        <v/>
      </c>
      <c r="C2177" s="10"/>
      <c r="D2177" s="9" t="str">
        <f>IF(F2177="","",_xlfn.XLOOKUP(F2177,purchase!D:D,purchase!#REF!,""))</f>
        <v/>
      </c>
      <c r="E2177" s="9" t="str">
        <f>IF(F2177="","",_xlfn.XLOOKUP(F2177,purchase!D:D,purchase!B:B,""))</f>
        <v/>
      </c>
      <c r="F2177" s="2"/>
      <c r="G2177" s="4" t="str">
        <f t="shared" si="232"/>
        <v/>
      </c>
      <c r="H2177" s="4" t="str">
        <f>IF(F2177="","",_xlfn.XLOOKUP(F2177,purchase!D:D,purchase!#REF!,""))</f>
        <v/>
      </c>
      <c r="I2177" s="4" t="str">
        <f t="shared" si="233"/>
        <v/>
      </c>
      <c r="J2177" s="4" t="str">
        <f t="shared" si="234"/>
        <v/>
      </c>
      <c r="K2177" s="13" t="str">
        <f>_xlfn.SINGLE(IF(F2177="","",_xlfn.XLOOKUP(F2177,purchase!D:D,purchase!#REF!,"")))</f>
        <v/>
      </c>
      <c r="L2177" s="2"/>
      <c r="M2177" s="32"/>
      <c r="N2177" s="13" t="str">
        <f>IF(F2177="","",
MAX(0,
_xlfn.XLOOKUP(F2177,purchase!D:D,purchase!#REF!,"")
-
SUMIFS(L:L,F:F,F2177)))</f>
        <v/>
      </c>
      <c r="O2177" s="13" t="str">
        <f t="shared" si="235"/>
        <v/>
      </c>
      <c r="P2177" s="35" t="str">
        <f>_xlfn.SINGLE(IF(F2177="","",_xlfn.XLOOKUP(F2177,purchase!D:D,purchase!K:K,"")))</f>
        <v/>
      </c>
      <c r="Q2177" s="29" t="str">
        <f t="shared" si="236"/>
        <v/>
      </c>
      <c r="R2177" s="37" t="str">
        <f t="shared" si="237"/>
        <v/>
      </c>
    </row>
    <row r="2178" spans="1:18" x14ac:dyDescent="0.35">
      <c r="A2178" s="8">
        <v>2174</v>
      </c>
      <c r="B2178" s="9" t="str">
        <f t="shared" si="231"/>
        <v/>
      </c>
      <c r="C2178" s="10"/>
      <c r="D2178" s="9" t="str">
        <f>IF(F2178="","",_xlfn.XLOOKUP(F2178,purchase!D:D,purchase!#REF!,""))</f>
        <v/>
      </c>
      <c r="E2178" s="9" t="str">
        <f>IF(F2178="","",_xlfn.XLOOKUP(F2178,purchase!D:D,purchase!B:B,""))</f>
        <v/>
      </c>
      <c r="F2178" s="2"/>
      <c r="G2178" s="4" t="str">
        <f t="shared" si="232"/>
        <v/>
      </c>
      <c r="H2178" s="4" t="str">
        <f>IF(F2178="","",_xlfn.XLOOKUP(F2178,purchase!D:D,purchase!#REF!,""))</f>
        <v/>
      </c>
      <c r="I2178" s="4" t="str">
        <f t="shared" si="233"/>
        <v/>
      </c>
      <c r="J2178" s="4" t="str">
        <f t="shared" si="234"/>
        <v/>
      </c>
      <c r="K2178" s="13" t="str">
        <f>_xlfn.SINGLE(IF(F2178="","",_xlfn.XLOOKUP(F2178,purchase!D:D,purchase!#REF!,"")))</f>
        <v/>
      </c>
      <c r="L2178" s="2"/>
      <c r="M2178" s="32"/>
      <c r="N2178" s="13" t="str">
        <f>IF(F2178="","",
MAX(0,
_xlfn.XLOOKUP(F2178,purchase!D:D,purchase!#REF!,"")
-
SUMIFS(L:L,F:F,F2178)))</f>
        <v/>
      </c>
      <c r="O2178" s="13" t="str">
        <f t="shared" si="235"/>
        <v/>
      </c>
      <c r="P2178" s="35" t="str">
        <f>_xlfn.SINGLE(IF(F2178="","",_xlfn.XLOOKUP(F2178,purchase!D:D,purchase!K:K,"")))</f>
        <v/>
      </c>
      <c r="Q2178" s="29" t="str">
        <f t="shared" si="236"/>
        <v/>
      </c>
      <c r="R2178" s="37" t="str">
        <f t="shared" si="237"/>
        <v/>
      </c>
    </row>
    <row r="2179" spans="1:18" x14ac:dyDescent="0.35">
      <c r="A2179" s="8">
        <v>2175</v>
      </c>
      <c r="B2179" s="9" t="str">
        <f t="shared" si="231"/>
        <v/>
      </c>
      <c r="C2179" s="10"/>
      <c r="D2179" s="9" t="str">
        <f>IF(F2179="","",_xlfn.XLOOKUP(F2179,purchase!D:D,purchase!#REF!,""))</f>
        <v/>
      </c>
      <c r="E2179" s="9" t="str">
        <f>IF(F2179="","",_xlfn.XLOOKUP(F2179,purchase!D:D,purchase!B:B,""))</f>
        <v/>
      </c>
      <c r="F2179" s="2"/>
      <c r="G2179" s="4" t="str">
        <f t="shared" si="232"/>
        <v/>
      </c>
      <c r="H2179" s="4" t="str">
        <f>IF(F2179="","",_xlfn.XLOOKUP(F2179,purchase!D:D,purchase!#REF!,""))</f>
        <v/>
      </c>
      <c r="I2179" s="4" t="str">
        <f t="shared" si="233"/>
        <v/>
      </c>
      <c r="J2179" s="4" t="str">
        <f t="shared" si="234"/>
        <v/>
      </c>
      <c r="K2179" s="13" t="str">
        <f>_xlfn.SINGLE(IF(F2179="","",_xlfn.XLOOKUP(F2179,purchase!D:D,purchase!#REF!,"")))</f>
        <v/>
      </c>
      <c r="L2179" s="2"/>
      <c r="M2179" s="32"/>
      <c r="N2179" s="13" t="str">
        <f>IF(F2179="","",
MAX(0,
_xlfn.XLOOKUP(F2179,purchase!D:D,purchase!#REF!,"")
-
SUMIFS(L:L,F:F,F2179)))</f>
        <v/>
      </c>
      <c r="O2179" s="13" t="str">
        <f t="shared" si="235"/>
        <v/>
      </c>
      <c r="P2179" s="35" t="str">
        <f>_xlfn.SINGLE(IF(F2179="","",_xlfn.XLOOKUP(F2179,purchase!D:D,purchase!K:K,"")))</f>
        <v/>
      </c>
      <c r="Q2179" s="29" t="str">
        <f t="shared" si="236"/>
        <v/>
      </c>
      <c r="R2179" s="37" t="str">
        <f t="shared" si="237"/>
        <v/>
      </c>
    </row>
    <row r="2180" spans="1:18" x14ac:dyDescent="0.35">
      <c r="A2180" s="8">
        <v>2176</v>
      </c>
      <c r="B2180" s="9" t="str">
        <f t="shared" si="231"/>
        <v/>
      </c>
      <c r="C2180" s="10"/>
      <c r="D2180" s="9" t="str">
        <f>IF(F2180="","",_xlfn.XLOOKUP(F2180,purchase!D:D,purchase!#REF!,""))</f>
        <v/>
      </c>
      <c r="E2180" s="9" t="str">
        <f>IF(F2180="","",_xlfn.XLOOKUP(F2180,purchase!D:D,purchase!B:B,""))</f>
        <v/>
      </c>
      <c r="F2180" s="2"/>
      <c r="G2180" s="4" t="str">
        <f t="shared" si="232"/>
        <v/>
      </c>
      <c r="H2180" s="4" t="str">
        <f>IF(F2180="","",_xlfn.XLOOKUP(F2180,purchase!D:D,purchase!#REF!,""))</f>
        <v/>
      </c>
      <c r="I2180" s="4" t="str">
        <f t="shared" si="233"/>
        <v/>
      </c>
      <c r="J2180" s="4" t="str">
        <f t="shared" si="234"/>
        <v/>
      </c>
      <c r="K2180" s="13" t="str">
        <f>_xlfn.SINGLE(IF(F2180="","",_xlfn.XLOOKUP(F2180,purchase!D:D,purchase!#REF!,"")))</f>
        <v/>
      </c>
      <c r="L2180" s="2"/>
      <c r="M2180" s="32"/>
      <c r="N2180" s="13" t="str">
        <f>IF(F2180="","",
MAX(0,
_xlfn.XLOOKUP(F2180,purchase!D:D,purchase!#REF!,"")
-
SUMIFS(L:L,F:F,F2180)))</f>
        <v/>
      </c>
      <c r="O2180" s="13" t="str">
        <f t="shared" si="235"/>
        <v/>
      </c>
      <c r="P2180" s="35" t="str">
        <f>_xlfn.SINGLE(IF(F2180="","",_xlfn.XLOOKUP(F2180,purchase!D:D,purchase!K:K,"")))</f>
        <v/>
      </c>
      <c r="Q2180" s="29" t="str">
        <f t="shared" si="236"/>
        <v/>
      </c>
      <c r="R2180" s="37" t="str">
        <f t="shared" si="237"/>
        <v/>
      </c>
    </row>
    <row r="2181" spans="1:18" x14ac:dyDescent="0.35">
      <c r="A2181" s="8">
        <v>2177</v>
      </c>
      <c r="B2181" s="9" t="str">
        <f t="shared" ref="B2181:B2244" si="238">IF(OR(C2181="",F2181=""),"",
"PRD-" &amp;
TEXT(DAY(C2181),"00") &amp;
CHOOSE(MONTH(C2181),"A","B","C","D","E","F","G","H","I","J","K","L") &amp;
TEXT(YEAR(C2181),"00") &amp;
"-" &amp;
RIGHT(F2181,4))</f>
        <v/>
      </c>
      <c r="C2181" s="10"/>
      <c r="D2181" s="9" t="str">
        <f>IF(F2181="","",_xlfn.XLOOKUP(F2181,purchase!D:D,purchase!#REF!,""))</f>
        <v/>
      </c>
      <c r="E2181" s="9" t="str">
        <f>IF(F2181="","",_xlfn.XLOOKUP(F2181,purchase!D:D,purchase!B:B,""))</f>
        <v/>
      </c>
      <c r="F2181" s="2"/>
      <c r="G2181" s="4" t="str">
        <f t="shared" ref="G2181:G2244" si="239">IF(H2181="NRFC","Natural Rubber Field Coagulam","")</f>
        <v/>
      </c>
      <c r="H2181" s="4" t="str">
        <f>IF(F2181="","",_xlfn.XLOOKUP(F2181,purchase!D:D,purchase!#REF!,""))</f>
        <v/>
      </c>
      <c r="I2181" s="4" t="str">
        <f t="shared" ref="I2181:I2244" si="240">IF(J2181="ISNR20","Natural Rubber-TSNR (ISNR-20)","")</f>
        <v/>
      </c>
      <c r="J2181" s="4" t="str">
        <f t="shared" ref="J2181:J2244" si="241">IF(H2181="NRFC","ISNR20","")</f>
        <v/>
      </c>
      <c r="K2181" s="13" t="str">
        <f>_xlfn.SINGLE(IF(F2181="","",_xlfn.XLOOKUP(F2181,purchase!D:D,purchase!#REF!,"")))</f>
        <v/>
      </c>
      <c r="L2181" s="2"/>
      <c r="M2181" s="32"/>
      <c r="N2181" s="13" t="str">
        <f>IF(F2181="","",
MAX(0,
_xlfn.XLOOKUP(F2181,purchase!D:D,purchase!#REF!,"")
-
SUMIFS(L:L,F:F,F2181)))</f>
        <v/>
      </c>
      <c r="O2181" s="13" t="str">
        <f t="shared" ref="O2181:O2244" si="242">IF(OR(L2181="",M2181=""),"",L2181-M2181)</f>
        <v/>
      </c>
      <c r="P2181" s="35" t="str">
        <f>_xlfn.SINGLE(IF(F2181="","",_xlfn.XLOOKUP(F2181,purchase!D:D,purchase!K:K,"")))</f>
        <v/>
      </c>
      <c r="Q2181" s="29" t="str">
        <f t="shared" ref="Q2181:Q2244" si="243">IF(OR(L2181="",M2181=""),"",M2181/L2181)</f>
        <v/>
      </c>
      <c r="R2181" s="37" t="str">
        <f t="shared" ref="R2181:R2244" si="244">IF(OR(P2181="",Q2181=""),"",Q2181-P2181)</f>
        <v/>
      </c>
    </row>
    <row r="2182" spans="1:18" x14ac:dyDescent="0.35">
      <c r="A2182" s="8">
        <v>2178</v>
      </c>
      <c r="B2182" s="9" t="str">
        <f t="shared" si="238"/>
        <v/>
      </c>
      <c r="C2182" s="10"/>
      <c r="D2182" s="9" t="str">
        <f>IF(F2182="","",_xlfn.XLOOKUP(F2182,purchase!D:D,purchase!#REF!,""))</f>
        <v/>
      </c>
      <c r="E2182" s="9" t="str">
        <f>IF(F2182="","",_xlfn.XLOOKUP(F2182,purchase!D:D,purchase!B:B,""))</f>
        <v/>
      </c>
      <c r="F2182" s="2"/>
      <c r="G2182" s="4" t="str">
        <f t="shared" si="239"/>
        <v/>
      </c>
      <c r="H2182" s="4" t="str">
        <f>IF(F2182="","",_xlfn.XLOOKUP(F2182,purchase!D:D,purchase!#REF!,""))</f>
        <v/>
      </c>
      <c r="I2182" s="4" t="str">
        <f t="shared" si="240"/>
        <v/>
      </c>
      <c r="J2182" s="4" t="str">
        <f t="shared" si="241"/>
        <v/>
      </c>
      <c r="K2182" s="13" t="str">
        <f>_xlfn.SINGLE(IF(F2182="","",_xlfn.XLOOKUP(F2182,purchase!D:D,purchase!#REF!,"")))</f>
        <v/>
      </c>
      <c r="L2182" s="2"/>
      <c r="M2182" s="32"/>
      <c r="N2182" s="13" t="str">
        <f>IF(F2182="","",
MAX(0,
_xlfn.XLOOKUP(F2182,purchase!D:D,purchase!#REF!,"")
-
SUMIFS(L:L,F:F,F2182)))</f>
        <v/>
      </c>
      <c r="O2182" s="13" t="str">
        <f t="shared" si="242"/>
        <v/>
      </c>
      <c r="P2182" s="35" t="str">
        <f>_xlfn.SINGLE(IF(F2182="","",_xlfn.XLOOKUP(F2182,purchase!D:D,purchase!K:K,"")))</f>
        <v/>
      </c>
      <c r="Q2182" s="29" t="str">
        <f t="shared" si="243"/>
        <v/>
      </c>
      <c r="R2182" s="37" t="str">
        <f t="shared" si="244"/>
        <v/>
      </c>
    </row>
    <row r="2183" spans="1:18" x14ac:dyDescent="0.35">
      <c r="A2183" s="8">
        <v>2179</v>
      </c>
      <c r="B2183" s="9" t="str">
        <f t="shared" si="238"/>
        <v/>
      </c>
      <c r="C2183" s="10"/>
      <c r="D2183" s="9" t="str">
        <f>IF(F2183="","",_xlfn.XLOOKUP(F2183,purchase!D:D,purchase!#REF!,""))</f>
        <v/>
      </c>
      <c r="E2183" s="9" t="str">
        <f>IF(F2183="","",_xlfn.XLOOKUP(F2183,purchase!D:D,purchase!B:B,""))</f>
        <v/>
      </c>
      <c r="F2183" s="2"/>
      <c r="G2183" s="4" t="str">
        <f t="shared" si="239"/>
        <v/>
      </c>
      <c r="H2183" s="4" t="str">
        <f>IF(F2183="","",_xlfn.XLOOKUP(F2183,purchase!D:D,purchase!#REF!,""))</f>
        <v/>
      </c>
      <c r="I2183" s="4" t="str">
        <f t="shared" si="240"/>
        <v/>
      </c>
      <c r="J2183" s="4" t="str">
        <f t="shared" si="241"/>
        <v/>
      </c>
      <c r="K2183" s="13" t="str">
        <f>_xlfn.SINGLE(IF(F2183="","",_xlfn.XLOOKUP(F2183,purchase!D:D,purchase!#REF!,"")))</f>
        <v/>
      </c>
      <c r="L2183" s="2"/>
      <c r="M2183" s="32"/>
      <c r="N2183" s="13" t="str">
        <f>IF(F2183="","",
MAX(0,
_xlfn.XLOOKUP(F2183,purchase!D:D,purchase!#REF!,"")
-
SUMIFS(L:L,F:F,F2183)))</f>
        <v/>
      </c>
      <c r="O2183" s="13" t="str">
        <f t="shared" si="242"/>
        <v/>
      </c>
      <c r="P2183" s="35" t="str">
        <f>_xlfn.SINGLE(IF(F2183="","",_xlfn.XLOOKUP(F2183,purchase!D:D,purchase!K:K,"")))</f>
        <v/>
      </c>
      <c r="Q2183" s="29" t="str">
        <f t="shared" si="243"/>
        <v/>
      </c>
      <c r="R2183" s="37" t="str">
        <f t="shared" si="244"/>
        <v/>
      </c>
    </row>
    <row r="2184" spans="1:18" x14ac:dyDescent="0.35">
      <c r="A2184" s="8">
        <v>2180</v>
      </c>
      <c r="B2184" s="9" t="str">
        <f t="shared" si="238"/>
        <v/>
      </c>
      <c r="C2184" s="10"/>
      <c r="D2184" s="9" t="str">
        <f>IF(F2184="","",_xlfn.XLOOKUP(F2184,purchase!D:D,purchase!#REF!,""))</f>
        <v/>
      </c>
      <c r="E2184" s="9" t="str">
        <f>IF(F2184="","",_xlfn.XLOOKUP(F2184,purchase!D:D,purchase!B:B,""))</f>
        <v/>
      </c>
      <c r="F2184" s="2"/>
      <c r="G2184" s="4" t="str">
        <f t="shared" si="239"/>
        <v/>
      </c>
      <c r="H2184" s="4" t="str">
        <f>IF(F2184="","",_xlfn.XLOOKUP(F2184,purchase!D:D,purchase!#REF!,""))</f>
        <v/>
      </c>
      <c r="I2184" s="4" t="str">
        <f t="shared" si="240"/>
        <v/>
      </c>
      <c r="J2184" s="4" t="str">
        <f t="shared" si="241"/>
        <v/>
      </c>
      <c r="K2184" s="13" t="str">
        <f>_xlfn.SINGLE(IF(F2184="","",_xlfn.XLOOKUP(F2184,purchase!D:D,purchase!#REF!,"")))</f>
        <v/>
      </c>
      <c r="L2184" s="2"/>
      <c r="M2184" s="32"/>
      <c r="N2184" s="13" t="str">
        <f>IF(F2184="","",
MAX(0,
_xlfn.XLOOKUP(F2184,purchase!D:D,purchase!#REF!,"")
-
SUMIFS(L:L,F:F,F2184)))</f>
        <v/>
      </c>
      <c r="O2184" s="13" t="str">
        <f t="shared" si="242"/>
        <v/>
      </c>
      <c r="P2184" s="35" t="str">
        <f>_xlfn.SINGLE(IF(F2184="","",_xlfn.XLOOKUP(F2184,purchase!D:D,purchase!K:K,"")))</f>
        <v/>
      </c>
      <c r="Q2184" s="29" t="str">
        <f t="shared" si="243"/>
        <v/>
      </c>
      <c r="R2184" s="37" t="str">
        <f t="shared" si="244"/>
        <v/>
      </c>
    </row>
    <row r="2185" spans="1:18" x14ac:dyDescent="0.35">
      <c r="A2185" s="8">
        <v>2181</v>
      </c>
      <c r="B2185" s="9" t="str">
        <f t="shared" si="238"/>
        <v/>
      </c>
      <c r="C2185" s="10"/>
      <c r="D2185" s="9" t="str">
        <f>IF(F2185="","",_xlfn.XLOOKUP(F2185,purchase!D:D,purchase!#REF!,""))</f>
        <v/>
      </c>
      <c r="E2185" s="9" t="str">
        <f>IF(F2185="","",_xlfn.XLOOKUP(F2185,purchase!D:D,purchase!B:B,""))</f>
        <v/>
      </c>
      <c r="F2185" s="2"/>
      <c r="G2185" s="4" t="str">
        <f t="shared" si="239"/>
        <v/>
      </c>
      <c r="H2185" s="4" t="str">
        <f>IF(F2185="","",_xlfn.XLOOKUP(F2185,purchase!D:D,purchase!#REF!,""))</f>
        <v/>
      </c>
      <c r="I2185" s="4" t="str">
        <f t="shared" si="240"/>
        <v/>
      </c>
      <c r="J2185" s="4" t="str">
        <f t="shared" si="241"/>
        <v/>
      </c>
      <c r="K2185" s="13" t="str">
        <f>_xlfn.SINGLE(IF(F2185="","",_xlfn.XLOOKUP(F2185,purchase!D:D,purchase!#REF!,"")))</f>
        <v/>
      </c>
      <c r="L2185" s="2"/>
      <c r="M2185" s="32"/>
      <c r="N2185" s="13" t="str">
        <f>IF(F2185="","",
MAX(0,
_xlfn.XLOOKUP(F2185,purchase!D:D,purchase!#REF!,"")
-
SUMIFS(L:L,F:F,F2185)))</f>
        <v/>
      </c>
      <c r="O2185" s="13" t="str">
        <f t="shared" si="242"/>
        <v/>
      </c>
      <c r="P2185" s="35" t="str">
        <f>_xlfn.SINGLE(IF(F2185="","",_xlfn.XLOOKUP(F2185,purchase!D:D,purchase!K:K,"")))</f>
        <v/>
      </c>
      <c r="Q2185" s="29" t="str">
        <f t="shared" si="243"/>
        <v/>
      </c>
      <c r="R2185" s="37" t="str">
        <f t="shared" si="244"/>
        <v/>
      </c>
    </row>
    <row r="2186" spans="1:18" x14ac:dyDescent="0.35">
      <c r="A2186" s="8">
        <v>2182</v>
      </c>
      <c r="B2186" s="9" t="str">
        <f t="shared" si="238"/>
        <v/>
      </c>
      <c r="C2186" s="10"/>
      <c r="D2186" s="9" t="str">
        <f>IF(F2186="","",_xlfn.XLOOKUP(F2186,purchase!D:D,purchase!#REF!,""))</f>
        <v/>
      </c>
      <c r="E2186" s="9" t="str">
        <f>IF(F2186="","",_xlfn.XLOOKUP(F2186,purchase!D:D,purchase!B:B,""))</f>
        <v/>
      </c>
      <c r="F2186" s="2"/>
      <c r="G2186" s="4" t="str">
        <f t="shared" si="239"/>
        <v/>
      </c>
      <c r="H2186" s="4" t="str">
        <f>IF(F2186="","",_xlfn.XLOOKUP(F2186,purchase!D:D,purchase!#REF!,""))</f>
        <v/>
      </c>
      <c r="I2186" s="4" t="str">
        <f t="shared" si="240"/>
        <v/>
      </c>
      <c r="J2186" s="4" t="str">
        <f t="shared" si="241"/>
        <v/>
      </c>
      <c r="K2186" s="13" t="str">
        <f>_xlfn.SINGLE(IF(F2186="","",_xlfn.XLOOKUP(F2186,purchase!D:D,purchase!#REF!,"")))</f>
        <v/>
      </c>
      <c r="L2186" s="2"/>
      <c r="M2186" s="32"/>
      <c r="N2186" s="13" t="str">
        <f>IF(F2186="","",
MAX(0,
_xlfn.XLOOKUP(F2186,purchase!D:D,purchase!#REF!,"")
-
SUMIFS(L:L,F:F,F2186)))</f>
        <v/>
      </c>
      <c r="O2186" s="13" t="str">
        <f t="shared" si="242"/>
        <v/>
      </c>
      <c r="P2186" s="35" t="str">
        <f>_xlfn.SINGLE(IF(F2186="","",_xlfn.XLOOKUP(F2186,purchase!D:D,purchase!K:K,"")))</f>
        <v/>
      </c>
      <c r="Q2186" s="29" t="str">
        <f t="shared" si="243"/>
        <v/>
      </c>
      <c r="R2186" s="37" t="str">
        <f t="shared" si="244"/>
        <v/>
      </c>
    </row>
    <row r="2187" spans="1:18" x14ac:dyDescent="0.35">
      <c r="A2187" s="8">
        <v>2183</v>
      </c>
      <c r="B2187" s="9" t="str">
        <f t="shared" si="238"/>
        <v/>
      </c>
      <c r="C2187" s="10"/>
      <c r="D2187" s="9" t="str">
        <f>IF(F2187="","",_xlfn.XLOOKUP(F2187,purchase!D:D,purchase!#REF!,""))</f>
        <v/>
      </c>
      <c r="E2187" s="9" t="str">
        <f>IF(F2187="","",_xlfn.XLOOKUP(F2187,purchase!D:D,purchase!B:B,""))</f>
        <v/>
      </c>
      <c r="F2187" s="2"/>
      <c r="G2187" s="4" t="str">
        <f t="shared" si="239"/>
        <v/>
      </c>
      <c r="H2187" s="4" t="str">
        <f>IF(F2187="","",_xlfn.XLOOKUP(F2187,purchase!D:D,purchase!#REF!,""))</f>
        <v/>
      </c>
      <c r="I2187" s="4" t="str">
        <f t="shared" si="240"/>
        <v/>
      </c>
      <c r="J2187" s="4" t="str">
        <f t="shared" si="241"/>
        <v/>
      </c>
      <c r="K2187" s="13" t="str">
        <f>_xlfn.SINGLE(IF(F2187="","",_xlfn.XLOOKUP(F2187,purchase!D:D,purchase!#REF!,"")))</f>
        <v/>
      </c>
      <c r="L2187" s="2"/>
      <c r="M2187" s="32"/>
      <c r="N2187" s="13" t="str">
        <f>IF(F2187="","",
MAX(0,
_xlfn.XLOOKUP(F2187,purchase!D:D,purchase!#REF!,"")
-
SUMIFS(L:L,F:F,F2187)))</f>
        <v/>
      </c>
      <c r="O2187" s="13" t="str">
        <f t="shared" si="242"/>
        <v/>
      </c>
      <c r="P2187" s="35" t="str">
        <f>_xlfn.SINGLE(IF(F2187="","",_xlfn.XLOOKUP(F2187,purchase!D:D,purchase!K:K,"")))</f>
        <v/>
      </c>
      <c r="Q2187" s="29" t="str">
        <f t="shared" si="243"/>
        <v/>
      </c>
      <c r="R2187" s="37" t="str">
        <f t="shared" si="244"/>
        <v/>
      </c>
    </row>
    <row r="2188" spans="1:18" x14ac:dyDescent="0.35">
      <c r="A2188" s="8">
        <v>2184</v>
      </c>
      <c r="B2188" s="9" t="str">
        <f t="shared" si="238"/>
        <v/>
      </c>
      <c r="C2188" s="10"/>
      <c r="D2188" s="9" t="str">
        <f>IF(F2188="","",_xlfn.XLOOKUP(F2188,purchase!D:D,purchase!#REF!,""))</f>
        <v/>
      </c>
      <c r="E2188" s="9" t="str">
        <f>IF(F2188="","",_xlfn.XLOOKUP(F2188,purchase!D:D,purchase!B:B,""))</f>
        <v/>
      </c>
      <c r="F2188" s="2"/>
      <c r="G2188" s="4" t="str">
        <f t="shared" si="239"/>
        <v/>
      </c>
      <c r="H2188" s="4" t="str">
        <f>IF(F2188="","",_xlfn.XLOOKUP(F2188,purchase!D:D,purchase!#REF!,""))</f>
        <v/>
      </c>
      <c r="I2188" s="4" t="str">
        <f t="shared" si="240"/>
        <v/>
      </c>
      <c r="J2188" s="4" t="str">
        <f t="shared" si="241"/>
        <v/>
      </c>
      <c r="K2188" s="13" t="str">
        <f>_xlfn.SINGLE(IF(F2188="","",_xlfn.XLOOKUP(F2188,purchase!D:D,purchase!#REF!,"")))</f>
        <v/>
      </c>
      <c r="L2188" s="2"/>
      <c r="M2188" s="32"/>
      <c r="N2188" s="13" t="str">
        <f>IF(F2188="","",
MAX(0,
_xlfn.XLOOKUP(F2188,purchase!D:D,purchase!#REF!,"")
-
SUMIFS(L:L,F:F,F2188)))</f>
        <v/>
      </c>
      <c r="O2188" s="13" t="str">
        <f t="shared" si="242"/>
        <v/>
      </c>
      <c r="P2188" s="35" t="str">
        <f>_xlfn.SINGLE(IF(F2188="","",_xlfn.XLOOKUP(F2188,purchase!D:D,purchase!K:K,"")))</f>
        <v/>
      </c>
      <c r="Q2188" s="29" t="str">
        <f t="shared" si="243"/>
        <v/>
      </c>
      <c r="R2188" s="37" t="str">
        <f t="shared" si="244"/>
        <v/>
      </c>
    </row>
    <row r="2189" spans="1:18" x14ac:dyDescent="0.35">
      <c r="A2189" s="8">
        <v>2185</v>
      </c>
      <c r="B2189" s="9" t="str">
        <f t="shared" si="238"/>
        <v/>
      </c>
      <c r="C2189" s="10"/>
      <c r="D2189" s="9" t="str">
        <f>IF(F2189="","",_xlfn.XLOOKUP(F2189,purchase!D:D,purchase!#REF!,""))</f>
        <v/>
      </c>
      <c r="E2189" s="9" t="str">
        <f>IF(F2189="","",_xlfn.XLOOKUP(F2189,purchase!D:D,purchase!B:B,""))</f>
        <v/>
      </c>
      <c r="F2189" s="2"/>
      <c r="G2189" s="4" t="str">
        <f t="shared" si="239"/>
        <v/>
      </c>
      <c r="H2189" s="4" t="str">
        <f>IF(F2189="","",_xlfn.XLOOKUP(F2189,purchase!D:D,purchase!#REF!,""))</f>
        <v/>
      </c>
      <c r="I2189" s="4" t="str">
        <f t="shared" si="240"/>
        <v/>
      </c>
      <c r="J2189" s="4" t="str">
        <f t="shared" si="241"/>
        <v/>
      </c>
      <c r="K2189" s="13" t="str">
        <f>_xlfn.SINGLE(IF(F2189="","",_xlfn.XLOOKUP(F2189,purchase!D:D,purchase!#REF!,"")))</f>
        <v/>
      </c>
      <c r="L2189" s="2"/>
      <c r="M2189" s="32"/>
      <c r="N2189" s="13" t="str">
        <f>IF(F2189="","",
MAX(0,
_xlfn.XLOOKUP(F2189,purchase!D:D,purchase!#REF!,"")
-
SUMIFS(L:L,F:F,F2189)))</f>
        <v/>
      </c>
      <c r="O2189" s="13" t="str">
        <f t="shared" si="242"/>
        <v/>
      </c>
      <c r="P2189" s="35" t="str">
        <f>_xlfn.SINGLE(IF(F2189="","",_xlfn.XLOOKUP(F2189,purchase!D:D,purchase!K:K,"")))</f>
        <v/>
      </c>
      <c r="Q2189" s="29" t="str">
        <f t="shared" si="243"/>
        <v/>
      </c>
      <c r="R2189" s="37" t="str">
        <f t="shared" si="244"/>
        <v/>
      </c>
    </row>
    <row r="2190" spans="1:18" x14ac:dyDescent="0.35">
      <c r="A2190" s="8">
        <v>2186</v>
      </c>
      <c r="B2190" s="9" t="str">
        <f t="shared" si="238"/>
        <v/>
      </c>
      <c r="C2190" s="10"/>
      <c r="D2190" s="9" t="str">
        <f>IF(F2190="","",_xlfn.XLOOKUP(F2190,purchase!D:D,purchase!#REF!,""))</f>
        <v/>
      </c>
      <c r="E2190" s="9" t="str">
        <f>IF(F2190="","",_xlfn.XLOOKUP(F2190,purchase!D:D,purchase!B:B,""))</f>
        <v/>
      </c>
      <c r="F2190" s="2"/>
      <c r="G2190" s="4" t="str">
        <f t="shared" si="239"/>
        <v/>
      </c>
      <c r="H2190" s="4" t="str">
        <f>IF(F2190="","",_xlfn.XLOOKUP(F2190,purchase!D:D,purchase!#REF!,""))</f>
        <v/>
      </c>
      <c r="I2190" s="4" t="str">
        <f t="shared" si="240"/>
        <v/>
      </c>
      <c r="J2190" s="4" t="str">
        <f t="shared" si="241"/>
        <v/>
      </c>
      <c r="K2190" s="13" t="str">
        <f>_xlfn.SINGLE(IF(F2190="","",_xlfn.XLOOKUP(F2190,purchase!D:D,purchase!#REF!,"")))</f>
        <v/>
      </c>
      <c r="L2190" s="2"/>
      <c r="M2190" s="32"/>
      <c r="N2190" s="13" t="str">
        <f>IF(F2190="","",
MAX(0,
_xlfn.XLOOKUP(F2190,purchase!D:D,purchase!#REF!,"")
-
SUMIFS(L:L,F:F,F2190)))</f>
        <v/>
      </c>
      <c r="O2190" s="13" t="str">
        <f t="shared" si="242"/>
        <v/>
      </c>
      <c r="P2190" s="35" t="str">
        <f>_xlfn.SINGLE(IF(F2190="","",_xlfn.XLOOKUP(F2190,purchase!D:D,purchase!K:K,"")))</f>
        <v/>
      </c>
      <c r="Q2190" s="29" t="str">
        <f t="shared" si="243"/>
        <v/>
      </c>
      <c r="R2190" s="37" t="str">
        <f t="shared" si="244"/>
        <v/>
      </c>
    </row>
    <row r="2191" spans="1:18" x14ac:dyDescent="0.35">
      <c r="A2191" s="8">
        <v>2187</v>
      </c>
      <c r="B2191" s="9" t="str">
        <f t="shared" si="238"/>
        <v/>
      </c>
      <c r="C2191" s="10"/>
      <c r="D2191" s="9" t="str">
        <f>IF(F2191="","",_xlfn.XLOOKUP(F2191,purchase!D:D,purchase!#REF!,""))</f>
        <v/>
      </c>
      <c r="E2191" s="9" t="str">
        <f>IF(F2191="","",_xlfn.XLOOKUP(F2191,purchase!D:D,purchase!B:B,""))</f>
        <v/>
      </c>
      <c r="F2191" s="2"/>
      <c r="G2191" s="4" t="str">
        <f t="shared" si="239"/>
        <v/>
      </c>
      <c r="H2191" s="4" t="str">
        <f>IF(F2191="","",_xlfn.XLOOKUP(F2191,purchase!D:D,purchase!#REF!,""))</f>
        <v/>
      </c>
      <c r="I2191" s="4" t="str">
        <f t="shared" si="240"/>
        <v/>
      </c>
      <c r="J2191" s="4" t="str">
        <f t="shared" si="241"/>
        <v/>
      </c>
      <c r="K2191" s="13" t="str">
        <f>_xlfn.SINGLE(IF(F2191="","",_xlfn.XLOOKUP(F2191,purchase!D:D,purchase!#REF!,"")))</f>
        <v/>
      </c>
      <c r="L2191" s="2"/>
      <c r="M2191" s="32"/>
      <c r="N2191" s="13" t="str">
        <f>IF(F2191="","",
MAX(0,
_xlfn.XLOOKUP(F2191,purchase!D:D,purchase!#REF!,"")
-
SUMIFS(L:L,F:F,F2191)))</f>
        <v/>
      </c>
      <c r="O2191" s="13" t="str">
        <f t="shared" si="242"/>
        <v/>
      </c>
      <c r="P2191" s="35" t="str">
        <f>_xlfn.SINGLE(IF(F2191="","",_xlfn.XLOOKUP(F2191,purchase!D:D,purchase!K:K,"")))</f>
        <v/>
      </c>
      <c r="Q2191" s="29" t="str">
        <f t="shared" si="243"/>
        <v/>
      </c>
      <c r="R2191" s="37" t="str">
        <f t="shared" si="244"/>
        <v/>
      </c>
    </row>
    <row r="2192" spans="1:18" x14ac:dyDescent="0.35">
      <c r="A2192" s="8">
        <v>2188</v>
      </c>
      <c r="B2192" s="9" t="str">
        <f t="shared" si="238"/>
        <v/>
      </c>
      <c r="C2192" s="10"/>
      <c r="D2192" s="9" t="str">
        <f>IF(F2192="","",_xlfn.XLOOKUP(F2192,purchase!D:D,purchase!#REF!,""))</f>
        <v/>
      </c>
      <c r="E2192" s="9" t="str">
        <f>IF(F2192="","",_xlfn.XLOOKUP(F2192,purchase!D:D,purchase!B:B,""))</f>
        <v/>
      </c>
      <c r="F2192" s="2"/>
      <c r="G2192" s="4" t="str">
        <f t="shared" si="239"/>
        <v/>
      </c>
      <c r="H2192" s="4" t="str">
        <f>IF(F2192="","",_xlfn.XLOOKUP(F2192,purchase!D:D,purchase!#REF!,""))</f>
        <v/>
      </c>
      <c r="I2192" s="4" t="str">
        <f t="shared" si="240"/>
        <v/>
      </c>
      <c r="J2192" s="4" t="str">
        <f t="shared" si="241"/>
        <v/>
      </c>
      <c r="K2192" s="13" t="str">
        <f>_xlfn.SINGLE(IF(F2192="","",_xlfn.XLOOKUP(F2192,purchase!D:D,purchase!#REF!,"")))</f>
        <v/>
      </c>
      <c r="L2192" s="2"/>
      <c r="M2192" s="32"/>
      <c r="N2192" s="13" t="str">
        <f>IF(F2192="","",
MAX(0,
_xlfn.XLOOKUP(F2192,purchase!D:D,purchase!#REF!,"")
-
SUMIFS(L:L,F:F,F2192)))</f>
        <v/>
      </c>
      <c r="O2192" s="13" t="str">
        <f t="shared" si="242"/>
        <v/>
      </c>
      <c r="P2192" s="35" t="str">
        <f>_xlfn.SINGLE(IF(F2192="","",_xlfn.XLOOKUP(F2192,purchase!D:D,purchase!K:K,"")))</f>
        <v/>
      </c>
      <c r="Q2192" s="29" t="str">
        <f t="shared" si="243"/>
        <v/>
      </c>
      <c r="R2192" s="37" t="str">
        <f t="shared" si="244"/>
        <v/>
      </c>
    </row>
    <row r="2193" spans="1:18" x14ac:dyDescent="0.35">
      <c r="A2193" s="8">
        <v>2189</v>
      </c>
      <c r="B2193" s="9" t="str">
        <f t="shared" si="238"/>
        <v/>
      </c>
      <c r="C2193" s="10"/>
      <c r="D2193" s="9" t="str">
        <f>IF(F2193="","",_xlfn.XLOOKUP(F2193,purchase!D:D,purchase!#REF!,""))</f>
        <v/>
      </c>
      <c r="E2193" s="9" t="str">
        <f>IF(F2193="","",_xlfn.XLOOKUP(F2193,purchase!D:D,purchase!B:B,""))</f>
        <v/>
      </c>
      <c r="F2193" s="2"/>
      <c r="G2193" s="4" t="str">
        <f t="shared" si="239"/>
        <v/>
      </c>
      <c r="H2193" s="4" t="str">
        <f>IF(F2193="","",_xlfn.XLOOKUP(F2193,purchase!D:D,purchase!#REF!,""))</f>
        <v/>
      </c>
      <c r="I2193" s="4" t="str">
        <f t="shared" si="240"/>
        <v/>
      </c>
      <c r="J2193" s="4" t="str">
        <f t="shared" si="241"/>
        <v/>
      </c>
      <c r="K2193" s="13" t="str">
        <f>_xlfn.SINGLE(IF(F2193="","",_xlfn.XLOOKUP(F2193,purchase!D:D,purchase!#REF!,"")))</f>
        <v/>
      </c>
      <c r="L2193" s="2"/>
      <c r="M2193" s="32"/>
      <c r="N2193" s="13" t="str">
        <f>IF(F2193="","",
MAX(0,
_xlfn.XLOOKUP(F2193,purchase!D:D,purchase!#REF!,"")
-
SUMIFS(L:L,F:F,F2193)))</f>
        <v/>
      </c>
      <c r="O2193" s="13" t="str">
        <f t="shared" si="242"/>
        <v/>
      </c>
      <c r="P2193" s="35" t="str">
        <f>_xlfn.SINGLE(IF(F2193="","",_xlfn.XLOOKUP(F2193,purchase!D:D,purchase!K:K,"")))</f>
        <v/>
      </c>
      <c r="Q2193" s="29" t="str">
        <f t="shared" si="243"/>
        <v/>
      </c>
      <c r="R2193" s="37" t="str">
        <f t="shared" si="244"/>
        <v/>
      </c>
    </row>
    <row r="2194" spans="1:18" x14ac:dyDescent="0.35">
      <c r="A2194" s="8">
        <v>2190</v>
      </c>
      <c r="B2194" s="9" t="str">
        <f t="shared" si="238"/>
        <v/>
      </c>
      <c r="C2194" s="10"/>
      <c r="D2194" s="9" t="str">
        <f>IF(F2194="","",_xlfn.XLOOKUP(F2194,purchase!D:D,purchase!#REF!,""))</f>
        <v/>
      </c>
      <c r="E2194" s="9" t="str">
        <f>IF(F2194="","",_xlfn.XLOOKUP(F2194,purchase!D:D,purchase!B:B,""))</f>
        <v/>
      </c>
      <c r="F2194" s="2"/>
      <c r="G2194" s="4" t="str">
        <f t="shared" si="239"/>
        <v/>
      </c>
      <c r="H2194" s="4" t="str">
        <f>IF(F2194="","",_xlfn.XLOOKUP(F2194,purchase!D:D,purchase!#REF!,""))</f>
        <v/>
      </c>
      <c r="I2194" s="4" t="str">
        <f t="shared" si="240"/>
        <v/>
      </c>
      <c r="J2194" s="4" t="str">
        <f t="shared" si="241"/>
        <v/>
      </c>
      <c r="K2194" s="13" t="str">
        <f>_xlfn.SINGLE(IF(F2194="","",_xlfn.XLOOKUP(F2194,purchase!D:D,purchase!#REF!,"")))</f>
        <v/>
      </c>
      <c r="L2194" s="2"/>
      <c r="M2194" s="32"/>
      <c r="N2194" s="13" t="str">
        <f>IF(F2194="","",
MAX(0,
_xlfn.XLOOKUP(F2194,purchase!D:D,purchase!#REF!,"")
-
SUMIFS(L:L,F:F,F2194)))</f>
        <v/>
      </c>
      <c r="O2194" s="13" t="str">
        <f t="shared" si="242"/>
        <v/>
      </c>
      <c r="P2194" s="35" t="str">
        <f>_xlfn.SINGLE(IF(F2194="","",_xlfn.XLOOKUP(F2194,purchase!D:D,purchase!K:K,"")))</f>
        <v/>
      </c>
      <c r="Q2194" s="29" t="str">
        <f t="shared" si="243"/>
        <v/>
      </c>
      <c r="R2194" s="37" t="str">
        <f t="shared" si="244"/>
        <v/>
      </c>
    </row>
    <row r="2195" spans="1:18" x14ac:dyDescent="0.35">
      <c r="A2195" s="8">
        <v>2191</v>
      </c>
      <c r="B2195" s="9" t="str">
        <f t="shared" si="238"/>
        <v/>
      </c>
      <c r="C2195" s="10"/>
      <c r="D2195" s="9" t="str">
        <f>IF(F2195="","",_xlfn.XLOOKUP(F2195,purchase!D:D,purchase!#REF!,""))</f>
        <v/>
      </c>
      <c r="E2195" s="9" t="str">
        <f>IF(F2195="","",_xlfn.XLOOKUP(F2195,purchase!D:D,purchase!B:B,""))</f>
        <v/>
      </c>
      <c r="F2195" s="2"/>
      <c r="G2195" s="4" t="str">
        <f t="shared" si="239"/>
        <v/>
      </c>
      <c r="H2195" s="4" t="str">
        <f>IF(F2195="","",_xlfn.XLOOKUP(F2195,purchase!D:D,purchase!#REF!,""))</f>
        <v/>
      </c>
      <c r="I2195" s="4" t="str">
        <f t="shared" si="240"/>
        <v/>
      </c>
      <c r="J2195" s="4" t="str">
        <f t="shared" si="241"/>
        <v/>
      </c>
      <c r="K2195" s="13" t="str">
        <f>_xlfn.SINGLE(IF(F2195="","",_xlfn.XLOOKUP(F2195,purchase!D:D,purchase!#REF!,"")))</f>
        <v/>
      </c>
      <c r="L2195" s="2"/>
      <c r="M2195" s="32"/>
      <c r="N2195" s="13" t="str">
        <f>IF(F2195="","",
MAX(0,
_xlfn.XLOOKUP(F2195,purchase!D:D,purchase!#REF!,"")
-
SUMIFS(L:L,F:F,F2195)))</f>
        <v/>
      </c>
      <c r="O2195" s="13" t="str">
        <f t="shared" si="242"/>
        <v/>
      </c>
      <c r="P2195" s="35" t="str">
        <f>_xlfn.SINGLE(IF(F2195="","",_xlfn.XLOOKUP(F2195,purchase!D:D,purchase!K:K,"")))</f>
        <v/>
      </c>
      <c r="Q2195" s="29" t="str">
        <f t="shared" si="243"/>
        <v/>
      </c>
      <c r="R2195" s="37" t="str">
        <f t="shared" si="244"/>
        <v/>
      </c>
    </row>
    <row r="2196" spans="1:18" x14ac:dyDescent="0.35">
      <c r="A2196" s="8">
        <v>2192</v>
      </c>
      <c r="B2196" s="9" t="str">
        <f t="shared" si="238"/>
        <v/>
      </c>
      <c r="C2196" s="10"/>
      <c r="D2196" s="9" t="str">
        <f>IF(F2196="","",_xlfn.XLOOKUP(F2196,purchase!D:D,purchase!#REF!,""))</f>
        <v/>
      </c>
      <c r="E2196" s="9" t="str">
        <f>IF(F2196="","",_xlfn.XLOOKUP(F2196,purchase!D:D,purchase!B:B,""))</f>
        <v/>
      </c>
      <c r="F2196" s="2"/>
      <c r="G2196" s="4" t="str">
        <f t="shared" si="239"/>
        <v/>
      </c>
      <c r="H2196" s="4" t="str">
        <f>IF(F2196="","",_xlfn.XLOOKUP(F2196,purchase!D:D,purchase!#REF!,""))</f>
        <v/>
      </c>
      <c r="I2196" s="4" t="str">
        <f t="shared" si="240"/>
        <v/>
      </c>
      <c r="J2196" s="4" t="str">
        <f t="shared" si="241"/>
        <v/>
      </c>
      <c r="K2196" s="13" t="str">
        <f>_xlfn.SINGLE(IF(F2196="","",_xlfn.XLOOKUP(F2196,purchase!D:D,purchase!#REF!,"")))</f>
        <v/>
      </c>
      <c r="L2196" s="2"/>
      <c r="M2196" s="32"/>
      <c r="N2196" s="13" t="str">
        <f>IF(F2196="","",
MAX(0,
_xlfn.XLOOKUP(F2196,purchase!D:D,purchase!#REF!,"")
-
SUMIFS(L:L,F:F,F2196)))</f>
        <v/>
      </c>
      <c r="O2196" s="13" t="str">
        <f t="shared" si="242"/>
        <v/>
      </c>
      <c r="P2196" s="35" t="str">
        <f>_xlfn.SINGLE(IF(F2196="","",_xlfn.XLOOKUP(F2196,purchase!D:D,purchase!K:K,"")))</f>
        <v/>
      </c>
      <c r="Q2196" s="29" t="str">
        <f t="shared" si="243"/>
        <v/>
      </c>
      <c r="R2196" s="37" t="str">
        <f t="shared" si="244"/>
        <v/>
      </c>
    </row>
    <row r="2197" spans="1:18" x14ac:dyDescent="0.35">
      <c r="A2197" s="8">
        <v>2193</v>
      </c>
      <c r="B2197" s="9" t="str">
        <f t="shared" si="238"/>
        <v/>
      </c>
      <c r="C2197" s="10"/>
      <c r="D2197" s="9" t="str">
        <f>IF(F2197="","",_xlfn.XLOOKUP(F2197,purchase!D:D,purchase!#REF!,""))</f>
        <v/>
      </c>
      <c r="E2197" s="9" t="str">
        <f>IF(F2197="","",_xlfn.XLOOKUP(F2197,purchase!D:D,purchase!B:B,""))</f>
        <v/>
      </c>
      <c r="F2197" s="2"/>
      <c r="G2197" s="4" t="str">
        <f t="shared" si="239"/>
        <v/>
      </c>
      <c r="H2197" s="4" t="str">
        <f>IF(F2197="","",_xlfn.XLOOKUP(F2197,purchase!D:D,purchase!#REF!,""))</f>
        <v/>
      </c>
      <c r="I2197" s="4" t="str">
        <f t="shared" si="240"/>
        <v/>
      </c>
      <c r="J2197" s="4" t="str">
        <f t="shared" si="241"/>
        <v/>
      </c>
      <c r="K2197" s="13" t="str">
        <f>_xlfn.SINGLE(IF(F2197="","",_xlfn.XLOOKUP(F2197,purchase!D:D,purchase!#REF!,"")))</f>
        <v/>
      </c>
      <c r="L2197" s="2"/>
      <c r="M2197" s="32"/>
      <c r="N2197" s="13" t="str">
        <f>IF(F2197="","",
MAX(0,
_xlfn.XLOOKUP(F2197,purchase!D:D,purchase!#REF!,"")
-
SUMIFS(L:L,F:F,F2197)))</f>
        <v/>
      </c>
      <c r="O2197" s="13" t="str">
        <f t="shared" si="242"/>
        <v/>
      </c>
      <c r="P2197" s="35" t="str">
        <f>_xlfn.SINGLE(IF(F2197="","",_xlfn.XLOOKUP(F2197,purchase!D:D,purchase!K:K,"")))</f>
        <v/>
      </c>
      <c r="Q2197" s="29" t="str">
        <f t="shared" si="243"/>
        <v/>
      </c>
      <c r="R2197" s="37" t="str">
        <f t="shared" si="244"/>
        <v/>
      </c>
    </row>
    <row r="2198" spans="1:18" x14ac:dyDescent="0.35">
      <c r="A2198" s="8">
        <v>2194</v>
      </c>
      <c r="B2198" s="9" t="str">
        <f t="shared" si="238"/>
        <v/>
      </c>
      <c r="C2198" s="10"/>
      <c r="D2198" s="9" t="str">
        <f>IF(F2198="","",_xlfn.XLOOKUP(F2198,purchase!D:D,purchase!#REF!,""))</f>
        <v/>
      </c>
      <c r="E2198" s="9" t="str">
        <f>IF(F2198="","",_xlfn.XLOOKUP(F2198,purchase!D:D,purchase!B:B,""))</f>
        <v/>
      </c>
      <c r="F2198" s="2"/>
      <c r="G2198" s="4" t="str">
        <f t="shared" si="239"/>
        <v/>
      </c>
      <c r="H2198" s="4" t="str">
        <f>IF(F2198="","",_xlfn.XLOOKUP(F2198,purchase!D:D,purchase!#REF!,""))</f>
        <v/>
      </c>
      <c r="I2198" s="4" t="str">
        <f t="shared" si="240"/>
        <v/>
      </c>
      <c r="J2198" s="4" t="str">
        <f t="shared" si="241"/>
        <v/>
      </c>
      <c r="K2198" s="13" t="str">
        <f>_xlfn.SINGLE(IF(F2198="","",_xlfn.XLOOKUP(F2198,purchase!D:D,purchase!#REF!,"")))</f>
        <v/>
      </c>
      <c r="L2198" s="2"/>
      <c r="M2198" s="32"/>
      <c r="N2198" s="13" t="str">
        <f>IF(F2198="","",
MAX(0,
_xlfn.XLOOKUP(F2198,purchase!D:D,purchase!#REF!,"")
-
SUMIFS(L:L,F:F,F2198)))</f>
        <v/>
      </c>
      <c r="O2198" s="13" t="str">
        <f t="shared" si="242"/>
        <v/>
      </c>
      <c r="P2198" s="35" t="str">
        <f>_xlfn.SINGLE(IF(F2198="","",_xlfn.XLOOKUP(F2198,purchase!D:D,purchase!K:K,"")))</f>
        <v/>
      </c>
      <c r="Q2198" s="29" t="str">
        <f t="shared" si="243"/>
        <v/>
      </c>
      <c r="R2198" s="37" t="str">
        <f t="shared" si="244"/>
        <v/>
      </c>
    </row>
    <row r="2199" spans="1:18" x14ac:dyDescent="0.35">
      <c r="A2199" s="8">
        <v>2195</v>
      </c>
      <c r="B2199" s="9" t="str">
        <f t="shared" si="238"/>
        <v/>
      </c>
      <c r="C2199" s="10"/>
      <c r="D2199" s="9" t="str">
        <f>IF(F2199="","",_xlfn.XLOOKUP(F2199,purchase!D:D,purchase!#REF!,""))</f>
        <v/>
      </c>
      <c r="E2199" s="9" t="str">
        <f>IF(F2199="","",_xlfn.XLOOKUP(F2199,purchase!D:D,purchase!B:B,""))</f>
        <v/>
      </c>
      <c r="F2199" s="2"/>
      <c r="G2199" s="4" t="str">
        <f t="shared" si="239"/>
        <v/>
      </c>
      <c r="H2199" s="4" t="str">
        <f>IF(F2199="","",_xlfn.XLOOKUP(F2199,purchase!D:D,purchase!#REF!,""))</f>
        <v/>
      </c>
      <c r="I2199" s="4" t="str">
        <f t="shared" si="240"/>
        <v/>
      </c>
      <c r="J2199" s="4" t="str">
        <f t="shared" si="241"/>
        <v/>
      </c>
      <c r="K2199" s="13" t="str">
        <f>_xlfn.SINGLE(IF(F2199="","",_xlfn.XLOOKUP(F2199,purchase!D:D,purchase!#REF!,"")))</f>
        <v/>
      </c>
      <c r="L2199" s="2"/>
      <c r="M2199" s="32"/>
      <c r="N2199" s="13" t="str">
        <f>IF(F2199="","",
MAX(0,
_xlfn.XLOOKUP(F2199,purchase!D:D,purchase!#REF!,"")
-
SUMIFS(L:L,F:F,F2199)))</f>
        <v/>
      </c>
      <c r="O2199" s="13" t="str">
        <f t="shared" si="242"/>
        <v/>
      </c>
      <c r="P2199" s="35" t="str">
        <f>_xlfn.SINGLE(IF(F2199="","",_xlfn.XLOOKUP(F2199,purchase!D:D,purchase!K:K,"")))</f>
        <v/>
      </c>
      <c r="Q2199" s="29" t="str">
        <f t="shared" si="243"/>
        <v/>
      </c>
      <c r="R2199" s="37" t="str">
        <f t="shared" si="244"/>
        <v/>
      </c>
    </row>
    <row r="2200" spans="1:18" x14ac:dyDescent="0.35">
      <c r="A2200" s="8">
        <v>2196</v>
      </c>
      <c r="B2200" s="9" t="str">
        <f t="shared" si="238"/>
        <v/>
      </c>
      <c r="C2200" s="10"/>
      <c r="D2200" s="9" t="str">
        <f>IF(F2200="","",_xlfn.XLOOKUP(F2200,purchase!D:D,purchase!#REF!,""))</f>
        <v/>
      </c>
      <c r="E2200" s="9" t="str">
        <f>IF(F2200="","",_xlfn.XLOOKUP(F2200,purchase!D:D,purchase!B:B,""))</f>
        <v/>
      </c>
      <c r="F2200" s="2"/>
      <c r="G2200" s="4" t="str">
        <f t="shared" si="239"/>
        <v/>
      </c>
      <c r="H2200" s="4" t="str">
        <f>IF(F2200="","",_xlfn.XLOOKUP(F2200,purchase!D:D,purchase!#REF!,""))</f>
        <v/>
      </c>
      <c r="I2200" s="4" t="str">
        <f t="shared" si="240"/>
        <v/>
      </c>
      <c r="J2200" s="4" t="str">
        <f t="shared" si="241"/>
        <v/>
      </c>
      <c r="K2200" s="13" t="str">
        <f>_xlfn.SINGLE(IF(F2200="","",_xlfn.XLOOKUP(F2200,purchase!D:D,purchase!#REF!,"")))</f>
        <v/>
      </c>
      <c r="L2200" s="2"/>
      <c r="M2200" s="32"/>
      <c r="N2200" s="13" t="str">
        <f>IF(F2200="","",
MAX(0,
_xlfn.XLOOKUP(F2200,purchase!D:D,purchase!#REF!,"")
-
SUMIFS(L:L,F:F,F2200)))</f>
        <v/>
      </c>
      <c r="O2200" s="13" t="str">
        <f t="shared" si="242"/>
        <v/>
      </c>
      <c r="P2200" s="35" t="str">
        <f>_xlfn.SINGLE(IF(F2200="","",_xlfn.XLOOKUP(F2200,purchase!D:D,purchase!K:K,"")))</f>
        <v/>
      </c>
      <c r="Q2200" s="29" t="str">
        <f t="shared" si="243"/>
        <v/>
      </c>
      <c r="R2200" s="37" t="str">
        <f t="shared" si="244"/>
        <v/>
      </c>
    </row>
    <row r="2201" spans="1:18" x14ac:dyDescent="0.35">
      <c r="A2201" s="8">
        <v>2197</v>
      </c>
      <c r="B2201" s="9" t="str">
        <f t="shared" si="238"/>
        <v/>
      </c>
      <c r="C2201" s="10"/>
      <c r="D2201" s="9" t="str">
        <f>IF(F2201="","",_xlfn.XLOOKUP(F2201,purchase!D:D,purchase!#REF!,""))</f>
        <v/>
      </c>
      <c r="E2201" s="9" t="str">
        <f>IF(F2201="","",_xlfn.XLOOKUP(F2201,purchase!D:D,purchase!B:B,""))</f>
        <v/>
      </c>
      <c r="F2201" s="2"/>
      <c r="G2201" s="4" t="str">
        <f t="shared" si="239"/>
        <v/>
      </c>
      <c r="H2201" s="4" t="str">
        <f>IF(F2201="","",_xlfn.XLOOKUP(F2201,purchase!D:D,purchase!#REF!,""))</f>
        <v/>
      </c>
      <c r="I2201" s="4" t="str">
        <f t="shared" si="240"/>
        <v/>
      </c>
      <c r="J2201" s="4" t="str">
        <f t="shared" si="241"/>
        <v/>
      </c>
      <c r="K2201" s="13" t="str">
        <f>_xlfn.SINGLE(IF(F2201="","",_xlfn.XLOOKUP(F2201,purchase!D:D,purchase!#REF!,"")))</f>
        <v/>
      </c>
      <c r="L2201" s="2"/>
      <c r="M2201" s="32"/>
      <c r="N2201" s="13" t="str">
        <f>IF(F2201="","",
MAX(0,
_xlfn.XLOOKUP(F2201,purchase!D:D,purchase!#REF!,"")
-
SUMIFS(L:L,F:F,F2201)))</f>
        <v/>
      </c>
      <c r="O2201" s="13" t="str">
        <f t="shared" si="242"/>
        <v/>
      </c>
      <c r="P2201" s="35" t="str">
        <f>_xlfn.SINGLE(IF(F2201="","",_xlfn.XLOOKUP(F2201,purchase!D:D,purchase!K:K,"")))</f>
        <v/>
      </c>
      <c r="Q2201" s="29" t="str">
        <f t="shared" si="243"/>
        <v/>
      </c>
      <c r="R2201" s="37" t="str">
        <f t="shared" si="244"/>
        <v/>
      </c>
    </row>
    <row r="2202" spans="1:18" x14ac:dyDescent="0.35">
      <c r="A2202" s="8">
        <v>2198</v>
      </c>
      <c r="B2202" s="9" t="str">
        <f t="shared" si="238"/>
        <v/>
      </c>
      <c r="C2202" s="10"/>
      <c r="D2202" s="9" t="str">
        <f>IF(F2202="","",_xlfn.XLOOKUP(F2202,purchase!D:D,purchase!#REF!,""))</f>
        <v/>
      </c>
      <c r="E2202" s="9" t="str">
        <f>IF(F2202="","",_xlfn.XLOOKUP(F2202,purchase!D:D,purchase!B:B,""))</f>
        <v/>
      </c>
      <c r="F2202" s="2"/>
      <c r="G2202" s="4" t="str">
        <f t="shared" si="239"/>
        <v/>
      </c>
      <c r="H2202" s="4" t="str">
        <f>IF(F2202="","",_xlfn.XLOOKUP(F2202,purchase!D:D,purchase!#REF!,""))</f>
        <v/>
      </c>
      <c r="I2202" s="4" t="str">
        <f t="shared" si="240"/>
        <v/>
      </c>
      <c r="J2202" s="4" t="str">
        <f t="shared" si="241"/>
        <v/>
      </c>
      <c r="K2202" s="13" t="str">
        <f>_xlfn.SINGLE(IF(F2202="","",_xlfn.XLOOKUP(F2202,purchase!D:D,purchase!#REF!,"")))</f>
        <v/>
      </c>
      <c r="L2202" s="2"/>
      <c r="M2202" s="32"/>
      <c r="N2202" s="13" t="str">
        <f>IF(F2202="","",
MAX(0,
_xlfn.XLOOKUP(F2202,purchase!D:D,purchase!#REF!,"")
-
SUMIFS(L:L,F:F,F2202)))</f>
        <v/>
      </c>
      <c r="O2202" s="13" t="str">
        <f t="shared" si="242"/>
        <v/>
      </c>
      <c r="P2202" s="35" t="str">
        <f>_xlfn.SINGLE(IF(F2202="","",_xlfn.XLOOKUP(F2202,purchase!D:D,purchase!K:K,"")))</f>
        <v/>
      </c>
      <c r="Q2202" s="29" t="str">
        <f t="shared" si="243"/>
        <v/>
      </c>
      <c r="R2202" s="37" t="str">
        <f t="shared" si="244"/>
        <v/>
      </c>
    </row>
    <row r="2203" spans="1:18" x14ac:dyDescent="0.35">
      <c r="A2203" s="8">
        <v>2199</v>
      </c>
      <c r="B2203" s="9" t="str">
        <f t="shared" si="238"/>
        <v/>
      </c>
      <c r="C2203" s="10"/>
      <c r="D2203" s="9" t="str">
        <f>IF(F2203="","",_xlfn.XLOOKUP(F2203,purchase!D:D,purchase!#REF!,""))</f>
        <v/>
      </c>
      <c r="E2203" s="9" t="str">
        <f>IF(F2203="","",_xlfn.XLOOKUP(F2203,purchase!D:D,purchase!B:B,""))</f>
        <v/>
      </c>
      <c r="F2203" s="2"/>
      <c r="G2203" s="4" t="str">
        <f t="shared" si="239"/>
        <v/>
      </c>
      <c r="H2203" s="4" t="str">
        <f>IF(F2203="","",_xlfn.XLOOKUP(F2203,purchase!D:D,purchase!#REF!,""))</f>
        <v/>
      </c>
      <c r="I2203" s="4" t="str">
        <f t="shared" si="240"/>
        <v/>
      </c>
      <c r="J2203" s="4" t="str">
        <f t="shared" si="241"/>
        <v/>
      </c>
      <c r="K2203" s="13" t="str">
        <f>_xlfn.SINGLE(IF(F2203="","",_xlfn.XLOOKUP(F2203,purchase!D:D,purchase!#REF!,"")))</f>
        <v/>
      </c>
      <c r="L2203" s="2"/>
      <c r="M2203" s="32"/>
      <c r="N2203" s="13" t="str">
        <f>IF(F2203="","",
MAX(0,
_xlfn.XLOOKUP(F2203,purchase!D:D,purchase!#REF!,"")
-
SUMIFS(L:L,F:F,F2203)))</f>
        <v/>
      </c>
      <c r="O2203" s="13" t="str">
        <f t="shared" si="242"/>
        <v/>
      </c>
      <c r="P2203" s="35" t="str">
        <f>_xlfn.SINGLE(IF(F2203="","",_xlfn.XLOOKUP(F2203,purchase!D:D,purchase!K:K,"")))</f>
        <v/>
      </c>
      <c r="Q2203" s="29" t="str">
        <f t="shared" si="243"/>
        <v/>
      </c>
      <c r="R2203" s="37" t="str">
        <f t="shared" si="244"/>
        <v/>
      </c>
    </row>
    <row r="2204" spans="1:18" x14ac:dyDescent="0.35">
      <c r="A2204" s="8">
        <v>2200</v>
      </c>
      <c r="B2204" s="9" t="str">
        <f t="shared" si="238"/>
        <v/>
      </c>
      <c r="C2204" s="10"/>
      <c r="D2204" s="9" t="str">
        <f>IF(F2204="","",_xlfn.XLOOKUP(F2204,purchase!D:D,purchase!#REF!,""))</f>
        <v/>
      </c>
      <c r="E2204" s="9" t="str">
        <f>IF(F2204="","",_xlfn.XLOOKUP(F2204,purchase!D:D,purchase!B:B,""))</f>
        <v/>
      </c>
      <c r="F2204" s="2"/>
      <c r="G2204" s="4" t="str">
        <f t="shared" si="239"/>
        <v/>
      </c>
      <c r="H2204" s="4" t="str">
        <f>IF(F2204="","",_xlfn.XLOOKUP(F2204,purchase!D:D,purchase!#REF!,""))</f>
        <v/>
      </c>
      <c r="I2204" s="4" t="str">
        <f t="shared" si="240"/>
        <v/>
      </c>
      <c r="J2204" s="4" t="str">
        <f t="shared" si="241"/>
        <v/>
      </c>
      <c r="K2204" s="13" t="str">
        <f>_xlfn.SINGLE(IF(F2204="","",_xlfn.XLOOKUP(F2204,purchase!D:D,purchase!#REF!,"")))</f>
        <v/>
      </c>
      <c r="L2204" s="2"/>
      <c r="M2204" s="32"/>
      <c r="N2204" s="13" t="str">
        <f>IF(F2204="","",
MAX(0,
_xlfn.XLOOKUP(F2204,purchase!D:D,purchase!#REF!,"")
-
SUMIFS(L:L,F:F,F2204)))</f>
        <v/>
      </c>
      <c r="O2204" s="13" t="str">
        <f t="shared" si="242"/>
        <v/>
      </c>
      <c r="P2204" s="35" t="str">
        <f>_xlfn.SINGLE(IF(F2204="","",_xlfn.XLOOKUP(F2204,purchase!D:D,purchase!K:K,"")))</f>
        <v/>
      </c>
      <c r="Q2204" s="29" t="str">
        <f t="shared" si="243"/>
        <v/>
      </c>
      <c r="R2204" s="37" t="str">
        <f t="shared" si="244"/>
        <v/>
      </c>
    </row>
    <row r="2205" spans="1:18" x14ac:dyDescent="0.35">
      <c r="A2205" s="8">
        <v>2201</v>
      </c>
      <c r="B2205" s="9" t="str">
        <f t="shared" si="238"/>
        <v/>
      </c>
      <c r="C2205" s="10"/>
      <c r="D2205" s="9" t="str">
        <f>IF(F2205="","",_xlfn.XLOOKUP(F2205,purchase!D:D,purchase!#REF!,""))</f>
        <v/>
      </c>
      <c r="E2205" s="9" t="str">
        <f>IF(F2205="","",_xlfn.XLOOKUP(F2205,purchase!D:D,purchase!B:B,""))</f>
        <v/>
      </c>
      <c r="F2205" s="2"/>
      <c r="G2205" s="4" t="str">
        <f t="shared" si="239"/>
        <v/>
      </c>
      <c r="H2205" s="4" t="str">
        <f>IF(F2205="","",_xlfn.XLOOKUP(F2205,purchase!D:D,purchase!#REF!,""))</f>
        <v/>
      </c>
      <c r="I2205" s="4" t="str">
        <f t="shared" si="240"/>
        <v/>
      </c>
      <c r="J2205" s="4" t="str">
        <f t="shared" si="241"/>
        <v/>
      </c>
      <c r="K2205" s="13" t="str">
        <f>_xlfn.SINGLE(IF(F2205="","",_xlfn.XLOOKUP(F2205,purchase!D:D,purchase!#REF!,"")))</f>
        <v/>
      </c>
      <c r="L2205" s="2"/>
      <c r="M2205" s="32"/>
      <c r="N2205" s="13" t="str">
        <f>IF(F2205="","",
MAX(0,
_xlfn.XLOOKUP(F2205,purchase!D:D,purchase!#REF!,"")
-
SUMIFS(L:L,F:F,F2205)))</f>
        <v/>
      </c>
      <c r="O2205" s="13" t="str">
        <f t="shared" si="242"/>
        <v/>
      </c>
      <c r="P2205" s="35" t="str">
        <f>_xlfn.SINGLE(IF(F2205="","",_xlfn.XLOOKUP(F2205,purchase!D:D,purchase!K:K,"")))</f>
        <v/>
      </c>
      <c r="Q2205" s="29" t="str">
        <f t="shared" si="243"/>
        <v/>
      </c>
      <c r="R2205" s="37" t="str">
        <f t="shared" si="244"/>
        <v/>
      </c>
    </row>
    <row r="2206" spans="1:18" x14ac:dyDescent="0.35">
      <c r="A2206" s="8">
        <v>2202</v>
      </c>
      <c r="B2206" s="9" t="str">
        <f t="shared" si="238"/>
        <v/>
      </c>
      <c r="C2206" s="10"/>
      <c r="D2206" s="9" t="str">
        <f>IF(F2206="","",_xlfn.XLOOKUP(F2206,purchase!D:D,purchase!#REF!,""))</f>
        <v/>
      </c>
      <c r="E2206" s="9" t="str">
        <f>IF(F2206="","",_xlfn.XLOOKUP(F2206,purchase!D:D,purchase!B:B,""))</f>
        <v/>
      </c>
      <c r="F2206" s="2"/>
      <c r="G2206" s="4" t="str">
        <f t="shared" si="239"/>
        <v/>
      </c>
      <c r="H2206" s="4" t="str">
        <f>IF(F2206="","",_xlfn.XLOOKUP(F2206,purchase!D:D,purchase!#REF!,""))</f>
        <v/>
      </c>
      <c r="I2206" s="4" t="str">
        <f t="shared" si="240"/>
        <v/>
      </c>
      <c r="J2206" s="4" t="str">
        <f t="shared" si="241"/>
        <v/>
      </c>
      <c r="K2206" s="13" t="str">
        <f>_xlfn.SINGLE(IF(F2206="","",_xlfn.XLOOKUP(F2206,purchase!D:D,purchase!#REF!,"")))</f>
        <v/>
      </c>
      <c r="L2206" s="2"/>
      <c r="M2206" s="32"/>
      <c r="N2206" s="13" t="str">
        <f>IF(F2206="","",
MAX(0,
_xlfn.XLOOKUP(F2206,purchase!D:D,purchase!#REF!,"")
-
SUMIFS(L:L,F:F,F2206)))</f>
        <v/>
      </c>
      <c r="O2206" s="13" t="str">
        <f t="shared" si="242"/>
        <v/>
      </c>
      <c r="P2206" s="35" t="str">
        <f>_xlfn.SINGLE(IF(F2206="","",_xlfn.XLOOKUP(F2206,purchase!D:D,purchase!K:K,"")))</f>
        <v/>
      </c>
      <c r="Q2206" s="29" t="str">
        <f t="shared" si="243"/>
        <v/>
      </c>
      <c r="R2206" s="37" t="str">
        <f t="shared" si="244"/>
        <v/>
      </c>
    </row>
    <row r="2207" spans="1:18" x14ac:dyDescent="0.35">
      <c r="A2207" s="8">
        <v>2203</v>
      </c>
      <c r="B2207" s="9" t="str">
        <f t="shared" si="238"/>
        <v/>
      </c>
      <c r="C2207" s="10"/>
      <c r="D2207" s="9" t="str">
        <f>IF(F2207="","",_xlfn.XLOOKUP(F2207,purchase!D:D,purchase!#REF!,""))</f>
        <v/>
      </c>
      <c r="E2207" s="9" t="str">
        <f>IF(F2207="","",_xlfn.XLOOKUP(F2207,purchase!D:D,purchase!B:B,""))</f>
        <v/>
      </c>
      <c r="F2207" s="2"/>
      <c r="G2207" s="4" t="str">
        <f t="shared" si="239"/>
        <v/>
      </c>
      <c r="H2207" s="4" t="str">
        <f>IF(F2207="","",_xlfn.XLOOKUP(F2207,purchase!D:D,purchase!#REF!,""))</f>
        <v/>
      </c>
      <c r="I2207" s="4" t="str">
        <f t="shared" si="240"/>
        <v/>
      </c>
      <c r="J2207" s="4" t="str">
        <f t="shared" si="241"/>
        <v/>
      </c>
      <c r="K2207" s="13" t="str">
        <f>_xlfn.SINGLE(IF(F2207="","",_xlfn.XLOOKUP(F2207,purchase!D:D,purchase!#REF!,"")))</f>
        <v/>
      </c>
      <c r="L2207" s="2"/>
      <c r="M2207" s="32"/>
      <c r="N2207" s="13" t="str">
        <f>IF(F2207="","",
MAX(0,
_xlfn.XLOOKUP(F2207,purchase!D:D,purchase!#REF!,"")
-
SUMIFS(L:L,F:F,F2207)))</f>
        <v/>
      </c>
      <c r="O2207" s="13" t="str">
        <f t="shared" si="242"/>
        <v/>
      </c>
      <c r="P2207" s="35" t="str">
        <f>_xlfn.SINGLE(IF(F2207="","",_xlfn.XLOOKUP(F2207,purchase!D:D,purchase!K:K,"")))</f>
        <v/>
      </c>
      <c r="Q2207" s="29" t="str">
        <f t="shared" si="243"/>
        <v/>
      </c>
      <c r="R2207" s="37" t="str">
        <f t="shared" si="244"/>
        <v/>
      </c>
    </row>
    <row r="2208" spans="1:18" x14ac:dyDescent="0.35">
      <c r="A2208" s="8">
        <v>2204</v>
      </c>
      <c r="B2208" s="9" t="str">
        <f t="shared" si="238"/>
        <v/>
      </c>
      <c r="C2208" s="10"/>
      <c r="D2208" s="9" t="str">
        <f>IF(F2208="","",_xlfn.XLOOKUP(F2208,purchase!D:D,purchase!#REF!,""))</f>
        <v/>
      </c>
      <c r="E2208" s="9" t="str">
        <f>IF(F2208="","",_xlfn.XLOOKUP(F2208,purchase!D:D,purchase!B:B,""))</f>
        <v/>
      </c>
      <c r="F2208" s="2"/>
      <c r="G2208" s="4" t="str">
        <f t="shared" si="239"/>
        <v/>
      </c>
      <c r="H2208" s="4" t="str">
        <f>IF(F2208="","",_xlfn.XLOOKUP(F2208,purchase!D:D,purchase!#REF!,""))</f>
        <v/>
      </c>
      <c r="I2208" s="4" t="str">
        <f t="shared" si="240"/>
        <v/>
      </c>
      <c r="J2208" s="4" t="str">
        <f t="shared" si="241"/>
        <v/>
      </c>
      <c r="K2208" s="13" t="str">
        <f>_xlfn.SINGLE(IF(F2208="","",_xlfn.XLOOKUP(F2208,purchase!D:D,purchase!#REF!,"")))</f>
        <v/>
      </c>
      <c r="L2208" s="2"/>
      <c r="M2208" s="32"/>
      <c r="N2208" s="13" t="str">
        <f>IF(F2208="","",
MAX(0,
_xlfn.XLOOKUP(F2208,purchase!D:D,purchase!#REF!,"")
-
SUMIFS(L:L,F:F,F2208)))</f>
        <v/>
      </c>
      <c r="O2208" s="13" t="str">
        <f t="shared" si="242"/>
        <v/>
      </c>
      <c r="P2208" s="35" t="str">
        <f>_xlfn.SINGLE(IF(F2208="","",_xlfn.XLOOKUP(F2208,purchase!D:D,purchase!K:K,"")))</f>
        <v/>
      </c>
      <c r="Q2208" s="29" t="str">
        <f t="shared" si="243"/>
        <v/>
      </c>
      <c r="R2208" s="37" t="str">
        <f t="shared" si="244"/>
        <v/>
      </c>
    </row>
    <row r="2209" spans="1:18" x14ac:dyDescent="0.35">
      <c r="A2209" s="8">
        <v>2205</v>
      </c>
      <c r="B2209" s="9" t="str">
        <f t="shared" si="238"/>
        <v/>
      </c>
      <c r="C2209" s="10"/>
      <c r="D2209" s="9" t="str">
        <f>IF(F2209="","",_xlfn.XLOOKUP(F2209,purchase!D:D,purchase!#REF!,""))</f>
        <v/>
      </c>
      <c r="E2209" s="9" t="str">
        <f>IF(F2209="","",_xlfn.XLOOKUP(F2209,purchase!D:D,purchase!B:B,""))</f>
        <v/>
      </c>
      <c r="F2209" s="2"/>
      <c r="G2209" s="4" t="str">
        <f t="shared" si="239"/>
        <v/>
      </c>
      <c r="H2209" s="4" t="str">
        <f>IF(F2209="","",_xlfn.XLOOKUP(F2209,purchase!D:D,purchase!#REF!,""))</f>
        <v/>
      </c>
      <c r="I2209" s="4" t="str">
        <f t="shared" si="240"/>
        <v/>
      </c>
      <c r="J2209" s="4" t="str">
        <f t="shared" si="241"/>
        <v/>
      </c>
      <c r="K2209" s="13" t="str">
        <f>_xlfn.SINGLE(IF(F2209="","",_xlfn.XLOOKUP(F2209,purchase!D:D,purchase!#REF!,"")))</f>
        <v/>
      </c>
      <c r="L2209" s="2"/>
      <c r="M2209" s="32"/>
      <c r="N2209" s="13" t="str">
        <f>IF(F2209="","",
MAX(0,
_xlfn.XLOOKUP(F2209,purchase!D:D,purchase!#REF!,"")
-
SUMIFS(L:L,F:F,F2209)))</f>
        <v/>
      </c>
      <c r="O2209" s="13" t="str">
        <f t="shared" si="242"/>
        <v/>
      </c>
      <c r="P2209" s="35" t="str">
        <f>_xlfn.SINGLE(IF(F2209="","",_xlfn.XLOOKUP(F2209,purchase!D:D,purchase!K:K,"")))</f>
        <v/>
      </c>
      <c r="Q2209" s="29" t="str">
        <f t="shared" si="243"/>
        <v/>
      </c>
      <c r="R2209" s="37" t="str">
        <f t="shared" si="244"/>
        <v/>
      </c>
    </row>
    <row r="2210" spans="1:18" x14ac:dyDescent="0.35">
      <c r="A2210" s="8">
        <v>2206</v>
      </c>
      <c r="B2210" s="9" t="str">
        <f t="shared" si="238"/>
        <v/>
      </c>
      <c r="C2210" s="10"/>
      <c r="D2210" s="9" t="str">
        <f>IF(F2210="","",_xlfn.XLOOKUP(F2210,purchase!D:D,purchase!#REF!,""))</f>
        <v/>
      </c>
      <c r="E2210" s="9" t="str">
        <f>IF(F2210="","",_xlfn.XLOOKUP(F2210,purchase!D:D,purchase!B:B,""))</f>
        <v/>
      </c>
      <c r="F2210" s="2"/>
      <c r="G2210" s="4" t="str">
        <f t="shared" si="239"/>
        <v/>
      </c>
      <c r="H2210" s="4" t="str">
        <f>IF(F2210="","",_xlfn.XLOOKUP(F2210,purchase!D:D,purchase!#REF!,""))</f>
        <v/>
      </c>
      <c r="I2210" s="4" t="str">
        <f t="shared" si="240"/>
        <v/>
      </c>
      <c r="J2210" s="4" t="str">
        <f t="shared" si="241"/>
        <v/>
      </c>
      <c r="K2210" s="13" t="str">
        <f>_xlfn.SINGLE(IF(F2210="","",_xlfn.XLOOKUP(F2210,purchase!D:D,purchase!#REF!,"")))</f>
        <v/>
      </c>
      <c r="L2210" s="2"/>
      <c r="M2210" s="32"/>
      <c r="N2210" s="13" t="str">
        <f>IF(F2210="","",
MAX(0,
_xlfn.XLOOKUP(F2210,purchase!D:D,purchase!#REF!,"")
-
SUMIFS(L:L,F:F,F2210)))</f>
        <v/>
      </c>
      <c r="O2210" s="13" t="str">
        <f t="shared" si="242"/>
        <v/>
      </c>
      <c r="P2210" s="35" t="str">
        <f>_xlfn.SINGLE(IF(F2210="","",_xlfn.XLOOKUP(F2210,purchase!D:D,purchase!K:K,"")))</f>
        <v/>
      </c>
      <c r="Q2210" s="29" t="str">
        <f t="shared" si="243"/>
        <v/>
      </c>
      <c r="R2210" s="37" t="str">
        <f t="shared" si="244"/>
        <v/>
      </c>
    </row>
    <row r="2211" spans="1:18" x14ac:dyDescent="0.35">
      <c r="A2211" s="8">
        <v>2207</v>
      </c>
      <c r="B2211" s="9" t="str">
        <f t="shared" si="238"/>
        <v/>
      </c>
      <c r="C2211" s="10"/>
      <c r="D2211" s="9" t="str">
        <f>IF(F2211="","",_xlfn.XLOOKUP(F2211,purchase!D:D,purchase!#REF!,""))</f>
        <v/>
      </c>
      <c r="E2211" s="9" t="str">
        <f>IF(F2211="","",_xlfn.XLOOKUP(F2211,purchase!D:D,purchase!B:B,""))</f>
        <v/>
      </c>
      <c r="F2211" s="2"/>
      <c r="G2211" s="4" t="str">
        <f t="shared" si="239"/>
        <v/>
      </c>
      <c r="H2211" s="4" t="str">
        <f>IF(F2211="","",_xlfn.XLOOKUP(F2211,purchase!D:D,purchase!#REF!,""))</f>
        <v/>
      </c>
      <c r="I2211" s="4" t="str">
        <f t="shared" si="240"/>
        <v/>
      </c>
      <c r="J2211" s="4" t="str">
        <f t="shared" si="241"/>
        <v/>
      </c>
      <c r="K2211" s="13" t="str">
        <f>_xlfn.SINGLE(IF(F2211="","",_xlfn.XLOOKUP(F2211,purchase!D:D,purchase!#REF!,"")))</f>
        <v/>
      </c>
      <c r="L2211" s="2"/>
      <c r="M2211" s="32"/>
      <c r="N2211" s="13" t="str">
        <f>IF(F2211="","",
MAX(0,
_xlfn.XLOOKUP(F2211,purchase!D:D,purchase!#REF!,"")
-
SUMIFS(L:L,F:F,F2211)))</f>
        <v/>
      </c>
      <c r="O2211" s="13" t="str">
        <f t="shared" si="242"/>
        <v/>
      </c>
      <c r="P2211" s="35" t="str">
        <f>_xlfn.SINGLE(IF(F2211="","",_xlfn.XLOOKUP(F2211,purchase!D:D,purchase!K:K,"")))</f>
        <v/>
      </c>
      <c r="Q2211" s="29" t="str">
        <f t="shared" si="243"/>
        <v/>
      </c>
      <c r="R2211" s="37" t="str">
        <f t="shared" si="244"/>
        <v/>
      </c>
    </row>
    <row r="2212" spans="1:18" x14ac:dyDescent="0.35">
      <c r="A2212" s="8">
        <v>2208</v>
      </c>
      <c r="B2212" s="9" t="str">
        <f t="shared" si="238"/>
        <v/>
      </c>
      <c r="C2212" s="10"/>
      <c r="D2212" s="9" t="str">
        <f>IF(F2212="","",_xlfn.XLOOKUP(F2212,purchase!D:D,purchase!#REF!,""))</f>
        <v/>
      </c>
      <c r="E2212" s="9" t="str">
        <f>IF(F2212="","",_xlfn.XLOOKUP(F2212,purchase!D:D,purchase!B:B,""))</f>
        <v/>
      </c>
      <c r="F2212" s="2"/>
      <c r="G2212" s="4" t="str">
        <f t="shared" si="239"/>
        <v/>
      </c>
      <c r="H2212" s="4" t="str">
        <f>IF(F2212="","",_xlfn.XLOOKUP(F2212,purchase!D:D,purchase!#REF!,""))</f>
        <v/>
      </c>
      <c r="I2212" s="4" t="str">
        <f t="shared" si="240"/>
        <v/>
      </c>
      <c r="J2212" s="4" t="str">
        <f t="shared" si="241"/>
        <v/>
      </c>
      <c r="K2212" s="13" t="str">
        <f>_xlfn.SINGLE(IF(F2212="","",_xlfn.XLOOKUP(F2212,purchase!D:D,purchase!#REF!,"")))</f>
        <v/>
      </c>
      <c r="L2212" s="2"/>
      <c r="M2212" s="32"/>
      <c r="N2212" s="13" t="str">
        <f>IF(F2212="","",
MAX(0,
_xlfn.XLOOKUP(F2212,purchase!D:D,purchase!#REF!,"")
-
SUMIFS(L:L,F:F,F2212)))</f>
        <v/>
      </c>
      <c r="O2212" s="13" t="str">
        <f t="shared" si="242"/>
        <v/>
      </c>
      <c r="P2212" s="35" t="str">
        <f>_xlfn.SINGLE(IF(F2212="","",_xlfn.XLOOKUP(F2212,purchase!D:D,purchase!K:K,"")))</f>
        <v/>
      </c>
      <c r="Q2212" s="29" t="str">
        <f t="shared" si="243"/>
        <v/>
      </c>
      <c r="R2212" s="37" t="str">
        <f t="shared" si="244"/>
        <v/>
      </c>
    </row>
    <row r="2213" spans="1:18" x14ac:dyDescent="0.35">
      <c r="A2213" s="8">
        <v>2209</v>
      </c>
      <c r="B2213" s="9" t="str">
        <f t="shared" si="238"/>
        <v/>
      </c>
      <c r="C2213" s="10"/>
      <c r="D2213" s="9" t="str">
        <f>IF(F2213="","",_xlfn.XLOOKUP(F2213,purchase!D:D,purchase!#REF!,""))</f>
        <v/>
      </c>
      <c r="E2213" s="9" t="str">
        <f>IF(F2213="","",_xlfn.XLOOKUP(F2213,purchase!D:D,purchase!B:B,""))</f>
        <v/>
      </c>
      <c r="F2213" s="2"/>
      <c r="G2213" s="4" t="str">
        <f t="shared" si="239"/>
        <v/>
      </c>
      <c r="H2213" s="4" t="str">
        <f>IF(F2213="","",_xlfn.XLOOKUP(F2213,purchase!D:D,purchase!#REF!,""))</f>
        <v/>
      </c>
      <c r="I2213" s="4" t="str">
        <f t="shared" si="240"/>
        <v/>
      </c>
      <c r="J2213" s="4" t="str">
        <f t="shared" si="241"/>
        <v/>
      </c>
      <c r="K2213" s="13" t="str">
        <f>_xlfn.SINGLE(IF(F2213="","",_xlfn.XLOOKUP(F2213,purchase!D:D,purchase!#REF!,"")))</f>
        <v/>
      </c>
      <c r="L2213" s="2"/>
      <c r="M2213" s="32"/>
      <c r="N2213" s="13" t="str">
        <f>IF(F2213="","",
MAX(0,
_xlfn.XLOOKUP(F2213,purchase!D:D,purchase!#REF!,"")
-
SUMIFS(L:L,F:F,F2213)))</f>
        <v/>
      </c>
      <c r="O2213" s="13" t="str">
        <f t="shared" si="242"/>
        <v/>
      </c>
      <c r="P2213" s="35" t="str">
        <f>_xlfn.SINGLE(IF(F2213="","",_xlfn.XLOOKUP(F2213,purchase!D:D,purchase!K:K,"")))</f>
        <v/>
      </c>
      <c r="Q2213" s="29" t="str">
        <f t="shared" si="243"/>
        <v/>
      </c>
      <c r="R2213" s="37" t="str">
        <f t="shared" si="244"/>
        <v/>
      </c>
    </row>
    <row r="2214" spans="1:18" x14ac:dyDescent="0.35">
      <c r="A2214" s="8">
        <v>2210</v>
      </c>
      <c r="B2214" s="9" t="str">
        <f t="shared" si="238"/>
        <v/>
      </c>
      <c r="C2214" s="10"/>
      <c r="D2214" s="9" t="str">
        <f>IF(F2214="","",_xlfn.XLOOKUP(F2214,purchase!D:D,purchase!#REF!,""))</f>
        <v/>
      </c>
      <c r="E2214" s="9" t="str">
        <f>IF(F2214="","",_xlfn.XLOOKUP(F2214,purchase!D:D,purchase!B:B,""))</f>
        <v/>
      </c>
      <c r="F2214" s="2"/>
      <c r="G2214" s="4" t="str">
        <f t="shared" si="239"/>
        <v/>
      </c>
      <c r="H2214" s="4" t="str">
        <f>IF(F2214="","",_xlfn.XLOOKUP(F2214,purchase!D:D,purchase!#REF!,""))</f>
        <v/>
      </c>
      <c r="I2214" s="4" t="str">
        <f t="shared" si="240"/>
        <v/>
      </c>
      <c r="J2214" s="4" t="str">
        <f t="shared" si="241"/>
        <v/>
      </c>
      <c r="K2214" s="13" t="str">
        <f>_xlfn.SINGLE(IF(F2214="","",_xlfn.XLOOKUP(F2214,purchase!D:D,purchase!#REF!,"")))</f>
        <v/>
      </c>
      <c r="L2214" s="2"/>
      <c r="M2214" s="32"/>
      <c r="N2214" s="13" t="str">
        <f>IF(F2214="","",
MAX(0,
_xlfn.XLOOKUP(F2214,purchase!D:D,purchase!#REF!,"")
-
SUMIFS(L:L,F:F,F2214)))</f>
        <v/>
      </c>
      <c r="O2214" s="13" t="str">
        <f t="shared" si="242"/>
        <v/>
      </c>
      <c r="P2214" s="35" t="str">
        <f>_xlfn.SINGLE(IF(F2214="","",_xlfn.XLOOKUP(F2214,purchase!D:D,purchase!K:K,"")))</f>
        <v/>
      </c>
      <c r="Q2214" s="29" t="str">
        <f t="shared" si="243"/>
        <v/>
      </c>
      <c r="R2214" s="37" t="str">
        <f t="shared" si="244"/>
        <v/>
      </c>
    </row>
    <row r="2215" spans="1:18" x14ac:dyDescent="0.35">
      <c r="A2215" s="8">
        <v>2211</v>
      </c>
      <c r="B2215" s="9" t="str">
        <f t="shared" si="238"/>
        <v/>
      </c>
      <c r="C2215" s="10"/>
      <c r="D2215" s="9" t="str">
        <f>IF(F2215="","",_xlfn.XLOOKUP(F2215,purchase!D:D,purchase!#REF!,""))</f>
        <v/>
      </c>
      <c r="E2215" s="9" t="str">
        <f>IF(F2215="","",_xlfn.XLOOKUP(F2215,purchase!D:D,purchase!B:B,""))</f>
        <v/>
      </c>
      <c r="F2215" s="2"/>
      <c r="G2215" s="4" t="str">
        <f t="shared" si="239"/>
        <v/>
      </c>
      <c r="H2215" s="4" t="str">
        <f>IF(F2215="","",_xlfn.XLOOKUP(F2215,purchase!D:D,purchase!#REF!,""))</f>
        <v/>
      </c>
      <c r="I2215" s="4" t="str">
        <f t="shared" si="240"/>
        <v/>
      </c>
      <c r="J2215" s="4" t="str">
        <f t="shared" si="241"/>
        <v/>
      </c>
      <c r="K2215" s="13" t="str">
        <f>_xlfn.SINGLE(IF(F2215="","",_xlfn.XLOOKUP(F2215,purchase!D:D,purchase!#REF!,"")))</f>
        <v/>
      </c>
      <c r="L2215" s="2"/>
      <c r="M2215" s="32"/>
      <c r="N2215" s="13" t="str">
        <f>IF(F2215="","",
MAX(0,
_xlfn.XLOOKUP(F2215,purchase!D:D,purchase!#REF!,"")
-
SUMIFS(L:L,F:F,F2215)))</f>
        <v/>
      </c>
      <c r="O2215" s="13" t="str">
        <f t="shared" si="242"/>
        <v/>
      </c>
      <c r="P2215" s="35" t="str">
        <f>_xlfn.SINGLE(IF(F2215="","",_xlfn.XLOOKUP(F2215,purchase!D:D,purchase!K:K,"")))</f>
        <v/>
      </c>
      <c r="Q2215" s="29" t="str">
        <f t="shared" si="243"/>
        <v/>
      </c>
      <c r="R2215" s="37" t="str">
        <f t="shared" si="244"/>
        <v/>
      </c>
    </row>
    <row r="2216" spans="1:18" x14ac:dyDescent="0.35">
      <c r="A2216" s="8">
        <v>2212</v>
      </c>
      <c r="B2216" s="9" t="str">
        <f t="shared" si="238"/>
        <v/>
      </c>
      <c r="C2216" s="10"/>
      <c r="D2216" s="9" t="str">
        <f>IF(F2216="","",_xlfn.XLOOKUP(F2216,purchase!D:D,purchase!#REF!,""))</f>
        <v/>
      </c>
      <c r="E2216" s="9" t="str">
        <f>IF(F2216="","",_xlfn.XLOOKUP(F2216,purchase!D:D,purchase!B:B,""))</f>
        <v/>
      </c>
      <c r="F2216" s="2"/>
      <c r="G2216" s="4" t="str">
        <f t="shared" si="239"/>
        <v/>
      </c>
      <c r="H2216" s="4" t="str">
        <f>IF(F2216="","",_xlfn.XLOOKUP(F2216,purchase!D:D,purchase!#REF!,""))</f>
        <v/>
      </c>
      <c r="I2216" s="4" t="str">
        <f t="shared" si="240"/>
        <v/>
      </c>
      <c r="J2216" s="4" t="str">
        <f t="shared" si="241"/>
        <v/>
      </c>
      <c r="K2216" s="13" t="str">
        <f>_xlfn.SINGLE(IF(F2216="","",_xlfn.XLOOKUP(F2216,purchase!D:D,purchase!#REF!,"")))</f>
        <v/>
      </c>
      <c r="L2216" s="2"/>
      <c r="M2216" s="32"/>
      <c r="N2216" s="13" t="str">
        <f>IF(F2216="","",
MAX(0,
_xlfn.XLOOKUP(F2216,purchase!D:D,purchase!#REF!,"")
-
SUMIFS(L:L,F:F,F2216)))</f>
        <v/>
      </c>
      <c r="O2216" s="13" t="str">
        <f t="shared" si="242"/>
        <v/>
      </c>
      <c r="P2216" s="35" t="str">
        <f>_xlfn.SINGLE(IF(F2216="","",_xlfn.XLOOKUP(F2216,purchase!D:D,purchase!K:K,"")))</f>
        <v/>
      </c>
      <c r="Q2216" s="29" t="str">
        <f t="shared" si="243"/>
        <v/>
      </c>
      <c r="R2216" s="37" t="str">
        <f t="shared" si="244"/>
        <v/>
      </c>
    </row>
    <row r="2217" spans="1:18" x14ac:dyDescent="0.35">
      <c r="A2217" s="8">
        <v>2213</v>
      </c>
      <c r="B2217" s="9" t="str">
        <f t="shared" si="238"/>
        <v/>
      </c>
      <c r="C2217" s="10"/>
      <c r="D2217" s="9" t="str">
        <f>IF(F2217="","",_xlfn.XLOOKUP(F2217,purchase!D:D,purchase!#REF!,""))</f>
        <v/>
      </c>
      <c r="E2217" s="9" t="str">
        <f>IF(F2217="","",_xlfn.XLOOKUP(F2217,purchase!D:D,purchase!B:B,""))</f>
        <v/>
      </c>
      <c r="F2217" s="2"/>
      <c r="G2217" s="4" t="str">
        <f t="shared" si="239"/>
        <v/>
      </c>
      <c r="H2217" s="4" t="str">
        <f>IF(F2217="","",_xlfn.XLOOKUP(F2217,purchase!D:D,purchase!#REF!,""))</f>
        <v/>
      </c>
      <c r="I2217" s="4" t="str">
        <f t="shared" si="240"/>
        <v/>
      </c>
      <c r="J2217" s="4" t="str">
        <f t="shared" si="241"/>
        <v/>
      </c>
      <c r="K2217" s="13" t="str">
        <f>_xlfn.SINGLE(IF(F2217="","",_xlfn.XLOOKUP(F2217,purchase!D:D,purchase!#REF!,"")))</f>
        <v/>
      </c>
      <c r="L2217" s="2"/>
      <c r="M2217" s="32"/>
      <c r="N2217" s="13" t="str">
        <f>IF(F2217="","",
MAX(0,
_xlfn.XLOOKUP(F2217,purchase!D:D,purchase!#REF!,"")
-
SUMIFS(L:L,F:F,F2217)))</f>
        <v/>
      </c>
      <c r="O2217" s="13" t="str">
        <f t="shared" si="242"/>
        <v/>
      </c>
      <c r="P2217" s="35" t="str">
        <f>_xlfn.SINGLE(IF(F2217="","",_xlfn.XLOOKUP(F2217,purchase!D:D,purchase!K:K,"")))</f>
        <v/>
      </c>
      <c r="Q2217" s="29" t="str">
        <f t="shared" si="243"/>
        <v/>
      </c>
      <c r="R2217" s="37" t="str">
        <f t="shared" si="244"/>
        <v/>
      </c>
    </row>
    <row r="2218" spans="1:18" x14ac:dyDescent="0.35">
      <c r="A2218" s="8">
        <v>2214</v>
      </c>
      <c r="B2218" s="9" t="str">
        <f t="shared" si="238"/>
        <v/>
      </c>
      <c r="C2218" s="10"/>
      <c r="D2218" s="9" t="str">
        <f>IF(F2218="","",_xlfn.XLOOKUP(F2218,purchase!D:D,purchase!#REF!,""))</f>
        <v/>
      </c>
      <c r="E2218" s="9" t="str">
        <f>IF(F2218="","",_xlfn.XLOOKUP(F2218,purchase!D:D,purchase!B:B,""))</f>
        <v/>
      </c>
      <c r="F2218" s="2"/>
      <c r="G2218" s="4" t="str">
        <f t="shared" si="239"/>
        <v/>
      </c>
      <c r="H2218" s="4" t="str">
        <f>IF(F2218="","",_xlfn.XLOOKUP(F2218,purchase!D:D,purchase!#REF!,""))</f>
        <v/>
      </c>
      <c r="I2218" s="4" t="str">
        <f t="shared" si="240"/>
        <v/>
      </c>
      <c r="J2218" s="4" t="str">
        <f t="shared" si="241"/>
        <v/>
      </c>
      <c r="K2218" s="13" t="str">
        <f>_xlfn.SINGLE(IF(F2218="","",_xlfn.XLOOKUP(F2218,purchase!D:D,purchase!#REF!,"")))</f>
        <v/>
      </c>
      <c r="L2218" s="2"/>
      <c r="M2218" s="32"/>
      <c r="N2218" s="13" t="str">
        <f>IF(F2218="","",
MAX(0,
_xlfn.XLOOKUP(F2218,purchase!D:D,purchase!#REF!,"")
-
SUMIFS(L:L,F:F,F2218)))</f>
        <v/>
      </c>
      <c r="O2218" s="13" t="str">
        <f t="shared" si="242"/>
        <v/>
      </c>
      <c r="P2218" s="35" t="str">
        <f>_xlfn.SINGLE(IF(F2218="","",_xlfn.XLOOKUP(F2218,purchase!D:D,purchase!K:K,"")))</f>
        <v/>
      </c>
      <c r="Q2218" s="29" t="str">
        <f t="shared" si="243"/>
        <v/>
      </c>
      <c r="R2218" s="37" t="str">
        <f t="shared" si="244"/>
        <v/>
      </c>
    </row>
    <row r="2219" spans="1:18" x14ac:dyDescent="0.35">
      <c r="A2219" s="8">
        <v>2215</v>
      </c>
      <c r="B2219" s="9" t="str">
        <f t="shared" si="238"/>
        <v/>
      </c>
      <c r="C2219" s="10"/>
      <c r="D2219" s="9" t="str">
        <f>IF(F2219="","",_xlfn.XLOOKUP(F2219,purchase!D:D,purchase!#REF!,""))</f>
        <v/>
      </c>
      <c r="E2219" s="9" t="str">
        <f>IF(F2219="","",_xlfn.XLOOKUP(F2219,purchase!D:D,purchase!B:B,""))</f>
        <v/>
      </c>
      <c r="F2219" s="2"/>
      <c r="G2219" s="4" t="str">
        <f t="shared" si="239"/>
        <v/>
      </c>
      <c r="H2219" s="4" t="str">
        <f>IF(F2219="","",_xlfn.XLOOKUP(F2219,purchase!D:D,purchase!#REF!,""))</f>
        <v/>
      </c>
      <c r="I2219" s="4" t="str">
        <f t="shared" si="240"/>
        <v/>
      </c>
      <c r="J2219" s="4" t="str">
        <f t="shared" si="241"/>
        <v/>
      </c>
      <c r="K2219" s="13" t="str">
        <f>_xlfn.SINGLE(IF(F2219="","",_xlfn.XLOOKUP(F2219,purchase!D:D,purchase!#REF!,"")))</f>
        <v/>
      </c>
      <c r="L2219" s="2"/>
      <c r="M2219" s="32"/>
      <c r="N2219" s="13" t="str">
        <f>IF(F2219="","",
MAX(0,
_xlfn.XLOOKUP(F2219,purchase!D:D,purchase!#REF!,"")
-
SUMIFS(L:L,F:F,F2219)))</f>
        <v/>
      </c>
      <c r="O2219" s="13" t="str">
        <f t="shared" si="242"/>
        <v/>
      </c>
      <c r="P2219" s="35" t="str">
        <f>_xlfn.SINGLE(IF(F2219="","",_xlfn.XLOOKUP(F2219,purchase!D:D,purchase!K:K,"")))</f>
        <v/>
      </c>
      <c r="Q2219" s="29" t="str">
        <f t="shared" si="243"/>
        <v/>
      </c>
      <c r="R2219" s="37" t="str">
        <f t="shared" si="244"/>
        <v/>
      </c>
    </row>
    <row r="2220" spans="1:18" x14ac:dyDescent="0.35">
      <c r="A2220" s="8">
        <v>2216</v>
      </c>
      <c r="B2220" s="9" t="str">
        <f t="shared" si="238"/>
        <v/>
      </c>
      <c r="C2220" s="10"/>
      <c r="D2220" s="9" t="str">
        <f>IF(F2220="","",_xlfn.XLOOKUP(F2220,purchase!D:D,purchase!#REF!,""))</f>
        <v/>
      </c>
      <c r="E2220" s="9" t="str">
        <f>IF(F2220="","",_xlfn.XLOOKUP(F2220,purchase!D:D,purchase!B:B,""))</f>
        <v/>
      </c>
      <c r="F2220" s="2"/>
      <c r="G2220" s="4" t="str">
        <f t="shared" si="239"/>
        <v/>
      </c>
      <c r="H2220" s="4" t="str">
        <f>IF(F2220="","",_xlfn.XLOOKUP(F2220,purchase!D:D,purchase!#REF!,""))</f>
        <v/>
      </c>
      <c r="I2220" s="4" t="str">
        <f t="shared" si="240"/>
        <v/>
      </c>
      <c r="J2220" s="4" t="str">
        <f t="shared" si="241"/>
        <v/>
      </c>
      <c r="K2220" s="13" t="str">
        <f>_xlfn.SINGLE(IF(F2220="","",_xlfn.XLOOKUP(F2220,purchase!D:D,purchase!#REF!,"")))</f>
        <v/>
      </c>
      <c r="L2220" s="2"/>
      <c r="M2220" s="32"/>
      <c r="N2220" s="13" t="str">
        <f>IF(F2220="","",
MAX(0,
_xlfn.XLOOKUP(F2220,purchase!D:D,purchase!#REF!,"")
-
SUMIFS(L:L,F:F,F2220)))</f>
        <v/>
      </c>
      <c r="O2220" s="13" t="str">
        <f t="shared" si="242"/>
        <v/>
      </c>
      <c r="P2220" s="35" t="str">
        <f>_xlfn.SINGLE(IF(F2220="","",_xlfn.XLOOKUP(F2220,purchase!D:D,purchase!K:K,"")))</f>
        <v/>
      </c>
      <c r="Q2220" s="29" t="str">
        <f t="shared" si="243"/>
        <v/>
      </c>
      <c r="R2220" s="37" t="str">
        <f t="shared" si="244"/>
        <v/>
      </c>
    </row>
    <row r="2221" spans="1:18" x14ac:dyDescent="0.35">
      <c r="A2221" s="8">
        <v>2217</v>
      </c>
      <c r="B2221" s="9" t="str">
        <f t="shared" si="238"/>
        <v/>
      </c>
      <c r="C2221" s="10"/>
      <c r="D2221" s="9" t="str">
        <f>IF(F2221="","",_xlfn.XLOOKUP(F2221,purchase!D:D,purchase!#REF!,""))</f>
        <v/>
      </c>
      <c r="E2221" s="9" t="str">
        <f>IF(F2221="","",_xlfn.XLOOKUP(F2221,purchase!D:D,purchase!B:B,""))</f>
        <v/>
      </c>
      <c r="F2221" s="2"/>
      <c r="G2221" s="4" t="str">
        <f t="shared" si="239"/>
        <v/>
      </c>
      <c r="H2221" s="4" t="str">
        <f>IF(F2221="","",_xlfn.XLOOKUP(F2221,purchase!D:D,purchase!#REF!,""))</f>
        <v/>
      </c>
      <c r="I2221" s="4" t="str">
        <f t="shared" si="240"/>
        <v/>
      </c>
      <c r="J2221" s="4" t="str">
        <f t="shared" si="241"/>
        <v/>
      </c>
      <c r="K2221" s="13" t="str">
        <f>_xlfn.SINGLE(IF(F2221="","",_xlfn.XLOOKUP(F2221,purchase!D:D,purchase!#REF!,"")))</f>
        <v/>
      </c>
      <c r="L2221" s="2"/>
      <c r="M2221" s="32"/>
      <c r="N2221" s="13" t="str">
        <f>IF(F2221="","",
MAX(0,
_xlfn.XLOOKUP(F2221,purchase!D:D,purchase!#REF!,"")
-
SUMIFS(L:L,F:F,F2221)))</f>
        <v/>
      </c>
      <c r="O2221" s="13" t="str">
        <f t="shared" si="242"/>
        <v/>
      </c>
      <c r="P2221" s="35" t="str">
        <f>_xlfn.SINGLE(IF(F2221="","",_xlfn.XLOOKUP(F2221,purchase!D:D,purchase!K:K,"")))</f>
        <v/>
      </c>
      <c r="Q2221" s="29" t="str">
        <f t="shared" si="243"/>
        <v/>
      </c>
      <c r="R2221" s="37" t="str">
        <f t="shared" si="244"/>
        <v/>
      </c>
    </row>
    <row r="2222" spans="1:18" x14ac:dyDescent="0.35">
      <c r="A2222" s="8">
        <v>2218</v>
      </c>
      <c r="B2222" s="9" t="str">
        <f t="shared" si="238"/>
        <v/>
      </c>
      <c r="C2222" s="10"/>
      <c r="D2222" s="9" t="str">
        <f>IF(F2222="","",_xlfn.XLOOKUP(F2222,purchase!D:D,purchase!#REF!,""))</f>
        <v/>
      </c>
      <c r="E2222" s="9" t="str">
        <f>IF(F2222="","",_xlfn.XLOOKUP(F2222,purchase!D:D,purchase!B:B,""))</f>
        <v/>
      </c>
      <c r="F2222" s="2"/>
      <c r="G2222" s="4" t="str">
        <f t="shared" si="239"/>
        <v/>
      </c>
      <c r="H2222" s="4" t="str">
        <f>IF(F2222="","",_xlfn.XLOOKUP(F2222,purchase!D:D,purchase!#REF!,""))</f>
        <v/>
      </c>
      <c r="I2222" s="4" t="str">
        <f t="shared" si="240"/>
        <v/>
      </c>
      <c r="J2222" s="4" t="str">
        <f t="shared" si="241"/>
        <v/>
      </c>
      <c r="K2222" s="13" t="str">
        <f>_xlfn.SINGLE(IF(F2222="","",_xlfn.XLOOKUP(F2222,purchase!D:D,purchase!#REF!,"")))</f>
        <v/>
      </c>
      <c r="L2222" s="2"/>
      <c r="M2222" s="32"/>
      <c r="N2222" s="13" t="str">
        <f>IF(F2222="","",
MAX(0,
_xlfn.XLOOKUP(F2222,purchase!D:D,purchase!#REF!,"")
-
SUMIFS(L:L,F:F,F2222)))</f>
        <v/>
      </c>
      <c r="O2222" s="13" t="str">
        <f t="shared" si="242"/>
        <v/>
      </c>
      <c r="P2222" s="35" t="str">
        <f>_xlfn.SINGLE(IF(F2222="","",_xlfn.XLOOKUP(F2222,purchase!D:D,purchase!K:K,"")))</f>
        <v/>
      </c>
      <c r="Q2222" s="29" t="str">
        <f t="shared" si="243"/>
        <v/>
      </c>
      <c r="R2222" s="37" t="str">
        <f t="shared" si="244"/>
        <v/>
      </c>
    </row>
    <row r="2223" spans="1:18" x14ac:dyDescent="0.35">
      <c r="A2223" s="8">
        <v>2219</v>
      </c>
      <c r="B2223" s="9" t="str">
        <f t="shared" si="238"/>
        <v/>
      </c>
      <c r="C2223" s="10"/>
      <c r="D2223" s="9" t="str">
        <f>IF(F2223="","",_xlfn.XLOOKUP(F2223,purchase!D:D,purchase!#REF!,""))</f>
        <v/>
      </c>
      <c r="E2223" s="9" t="str">
        <f>IF(F2223="","",_xlfn.XLOOKUP(F2223,purchase!D:D,purchase!B:B,""))</f>
        <v/>
      </c>
      <c r="F2223" s="2"/>
      <c r="G2223" s="4" t="str">
        <f t="shared" si="239"/>
        <v/>
      </c>
      <c r="H2223" s="4" t="str">
        <f>IF(F2223="","",_xlfn.XLOOKUP(F2223,purchase!D:D,purchase!#REF!,""))</f>
        <v/>
      </c>
      <c r="I2223" s="4" t="str">
        <f t="shared" si="240"/>
        <v/>
      </c>
      <c r="J2223" s="4" t="str">
        <f t="shared" si="241"/>
        <v/>
      </c>
      <c r="K2223" s="13" t="str">
        <f>_xlfn.SINGLE(IF(F2223="","",_xlfn.XLOOKUP(F2223,purchase!D:D,purchase!#REF!,"")))</f>
        <v/>
      </c>
      <c r="L2223" s="2"/>
      <c r="M2223" s="32"/>
      <c r="N2223" s="13" t="str">
        <f>IF(F2223="","",
MAX(0,
_xlfn.XLOOKUP(F2223,purchase!D:D,purchase!#REF!,"")
-
SUMIFS(L:L,F:F,F2223)))</f>
        <v/>
      </c>
      <c r="O2223" s="13" t="str">
        <f t="shared" si="242"/>
        <v/>
      </c>
      <c r="P2223" s="35" t="str">
        <f>_xlfn.SINGLE(IF(F2223="","",_xlfn.XLOOKUP(F2223,purchase!D:D,purchase!K:K,"")))</f>
        <v/>
      </c>
      <c r="Q2223" s="29" t="str">
        <f t="shared" si="243"/>
        <v/>
      </c>
      <c r="R2223" s="37" t="str">
        <f t="shared" si="244"/>
        <v/>
      </c>
    </row>
    <row r="2224" spans="1:18" x14ac:dyDescent="0.35">
      <c r="A2224" s="8">
        <v>2220</v>
      </c>
      <c r="B2224" s="9" t="str">
        <f t="shared" si="238"/>
        <v/>
      </c>
      <c r="C2224" s="10"/>
      <c r="D2224" s="9" t="str">
        <f>IF(F2224="","",_xlfn.XLOOKUP(F2224,purchase!D:D,purchase!#REF!,""))</f>
        <v/>
      </c>
      <c r="E2224" s="9" t="str">
        <f>IF(F2224="","",_xlfn.XLOOKUP(F2224,purchase!D:D,purchase!B:B,""))</f>
        <v/>
      </c>
      <c r="F2224" s="2"/>
      <c r="G2224" s="4" t="str">
        <f t="shared" si="239"/>
        <v/>
      </c>
      <c r="H2224" s="4" t="str">
        <f>IF(F2224="","",_xlfn.XLOOKUP(F2224,purchase!D:D,purchase!#REF!,""))</f>
        <v/>
      </c>
      <c r="I2224" s="4" t="str">
        <f t="shared" si="240"/>
        <v/>
      </c>
      <c r="J2224" s="4" t="str">
        <f t="shared" si="241"/>
        <v/>
      </c>
      <c r="K2224" s="13" t="str">
        <f>_xlfn.SINGLE(IF(F2224="","",_xlfn.XLOOKUP(F2224,purchase!D:D,purchase!#REF!,"")))</f>
        <v/>
      </c>
      <c r="L2224" s="2"/>
      <c r="M2224" s="32"/>
      <c r="N2224" s="13" t="str">
        <f>IF(F2224="","",
MAX(0,
_xlfn.XLOOKUP(F2224,purchase!D:D,purchase!#REF!,"")
-
SUMIFS(L:L,F:F,F2224)))</f>
        <v/>
      </c>
      <c r="O2224" s="13" t="str">
        <f t="shared" si="242"/>
        <v/>
      </c>
      <c r="P2224" s="35" t="str">
        <f>_xlfn.SINGLE(IF(F2224="","",_xlfn.XLOOKUP(F2224,purchase!D:D,purchase!K:K,"")))</f>
        <v/>
      </c>
      <c r="Q2224" s="29" t="str">
        <f t="shared" si="243"/>
        <v/>
      </c>
      <c r="R2224" s="37" t="str">
        <f t="shared" si="244"/>
        <v/>
      </c>
    </row>
    <row r="2225" spans="1:18" x14ac:dyDescent="0.35">
      <c r="A2225" s="8">
        <v>2221</v>
      </c>
      <c r="B2225" s="9" t="str">
        <f t="shared" si="238"/>
        <v/>
      </c>
      <c r="C2225" s="10"/>
      <c r="D2225" s="9" t="str">
        <f>IF(F2225="","",_xlfn.XLOOKUP(F2225,purchase!D:D,purchase!#REF!,""))</f>
        <v/>
      </c>
      <c r="E2225" s="9" t="str">
        <f>IF(F2225="","",_xlfn.XLOOKUP(F2225,purchase!D:D,purchase!B:B,""))</f>
        <v/>
      </c>
      <c r="F2225" s="2"/>
      <c r="G2225" s="4" t="str">
        <f t="shared" si="239"/>
        <v/>
      </c>
      <c r="H2225" s="4" t="str">
        <f>IF(F2225="","",_xlfn.XLOOKUP(F2225,purchase!D:D,purchase!#REF!,""))</f>
        <v/>
      </c>
      <c r="I2225" s="4" t="str">
        <f t="shared" si="240"/>
        <v/>
      </c>
      <c r="J2225" s="4" t="str">
        <f t="shared" si="241"/>
        <v/>
      </c>
      <c r="K2225" s="13" t="str">
        <f>_xlfn.SINGLE(IF(F2225="","",_xlfn.XLOOKUP(F2225,purchase!D:D,purchase!#REF!,"")))</f>
        <v/>
      </c>
      <c r="L2225" s="2"/>
      <c r="M2225" s="32"/>
      <c r="N2225" s="13" t="str">
        <f>IF(F2225="","",
MAX(0,
_xlfn.XLOOKUP(F2225,purchase!D:D,purchase!#REF!,"")
-
SUMIFS(L:L,F:F,F2225)))</f>
        <v/>
      </c>
      <c r="O2225" s="13" t="str">
        <f t="shared" si="242"/>
        <v/>
      </c>
      <c r="P2225" s="35" t="str">
        <f>_xlfn.SINGLE(IF(F2225="","",_xlfn.XLOOKUP(F2225,purchase!D:D,purchase!K:K,"")))</f>
        <v/>
      </c>
      <c r="Q2225" s="29" t="str">
        <f t="shared" si="243"/>
        <v/>
      </c>
      <c r="R2225" s="37" t="str">
        <f t="shared" si="244"/>
        <v/>
      </c>
    </row>
    <row r="2226" spans="1:18" x14ac:dyDescent="0.35">
      <c r="A2226" s="8">
        <v>2222</v>
      </c>
      <c r="B2226" s="9" t="str">
        <f t="shared" si="238"/>
        <v/>
      </c>
      <c r="C2226" s="10"/>
      <c r="D2226" s="9" t="str">
        <f>IF(F2226="","",_xlfn.XLOOKUP(F2226,purchase!D:D,purchase!#REF!,""))</f>
        <v/>
      </c>
      <c r="E2226" s="9" t="str">
        <f>IF(F2226="","",_xlfn.XLOOKUP(F2226,purchase!D:D,purchase!B:B,""))</f>
        <v/>
      </c>
      <c r="F2226" s="2"/>
      <c r="G2226" s="4" t="str">
        <f t="shared" si="239"/>
        <v/>
      </c>
      <c r="H2226" s="4" t="str">
        <f>IF(F2226="","",_xlfn.XLOOKUP(F2226,purchase!D:D,purchase!#REF!,""))</f>
        <v/>
      </c>
      <c r="I2226" s="4" t="str">
        <f t="shared" si="240"/>
        <v/>
      </c>
      <c r="J2226" s="4" t="str">
        <f t="shared" si="241"/>
        <v/>
      </c>
      <c r="K2226" s="13" t="str">
        <f>_xlfn.SINGLE(IF(F2226="","",_xlfn.XLOOKUP(F2226,purchase!D:D,purchase!#REF!,"")))</f>
        <v/>
      </c>
      <c r="L2226" s="2"/>
      <c r="M2226" s="32"/>
      <c r="N2226" s="13" t="str">
        <f>IF(F2226="","",
MAX(0,
_xlfn.XLOOKUP(F2226,purchase!D:D,purchase!#REF!,"")
-
SUMIFS(L:L,F:F,F2226)))</f>
        <v/>
      </c>
      <c r="O2226" s="13" t="str">
        <f t="shared" si="242"/>
        <v/>
      </c>
      <c r="P2226" s="35" t="str">
        <f>_xlfn.SINGLE(IF(F2226="","",_xlfn.XLOOKUP(F2226,purchase!D:D,purchase!K:K,"")))</f>
        <v/>
      </c>
      <c r="Q2226" s="29" t="str">
        <f t="shared" si="243"/>
        <v/>
      </c>
      <c r="R2226" s="37" t="str">
        <f t="shared" si="244"/>
        <v/>
      </c>
    </row>
    <row r="2227" spans="1:18" x14ac:dyDescent="0.35">
      <c r="A2227" s="8">
        <v>2223</v>
      </c>
      <c r="B2227" s="9" t="str">
        <f t="shared" si="238"/>
        <v/>
      </c>
      <c r="C2227" s="10"/>
      <c r="D2227" s="9" t="str">
        <f>IF(F2227="","",_xlfn.XLOOKUP(F2227,purchase!D:D,purchase!#REF!,""))</f>
        <v/>
      </c>
      <c r="E2227" s="9" t="str">
        <f>IF(F2227="","",_xlfn.XLOOKUP(F2227,purchase!D:D,purchase!B:B,""))</f>
        <v/>
      </c>
      <c r="F2227" s="2"/>
      <c r="G2227" s="4" t="str">
        <f t="shared" si="239"/>
        <v/>
      </c>
      <c r="H2227" s="4" t="str">
        <f>IF(F2227="","",_xlfn.XLOOKUP(F2227,purchase!D:D,purchase!#REF!,""))</f>
        <v/>
      </c>
      <c r="I2227" s="4" t="str">
        <f t="shared" si="240"/>
        <v/>
      </c>
      <c r="J2227" s="4" t="str">
        <f t="shared" si="241"/>
        <v/>
      </c>
      <c r="K2227" s="13" t="str">
        <f>_xlfn.SINGLE(IF(F2227="","",_xlfn.XLOOKUP(F2227,purchase!D:D,purchase!#REF!,"")))</f>
        <v/>
      </c>
      <c r="L2227" s="2"/>
      <c r="M2227" s="32"/>
      <c r="N2227" s="13" t="str">
        <f>IF(F2227="","",
MAX(0,
_xlfn.XLOOKUP(F2227,purchase!D:D,purchase!#REF!,"")
-
SUMIFS(L:L,F:F,F2227)))</f>
        <v/>
      </c>
      <c r="O2227" s="13" t="str">
        <f t="shared" si="242"/>
        <v/>
      </c>
      <c r="P2227" s="35" t="str">
        <f>_xlfn.SINGLE(IF(F2227="","",_xlfn.XLOOKUP(F2227,purchase!D:D,purchase!K:K,"")))</f>
        <v/>
      </c>
      <c r="Q2227" s="29" t="str">
        <f t="shared" si="243"/>
        <v/>
      </c>
      <c r="R2227" s="37" t="str">
        <f t="shared" si="244"/>
        <v/>
      </c>
    </row>
    <row r="2228" spans="1:18" x14ac:dyDescent="0.35">
      <c r="A2228" s="8">
        <v>2224</v>
      </c>
      <c r="B2228" s="9" t="str">
        <f t="shared" si="238"/>
        <v/>
      </c>
      <c r="C2228" s="10"/>
      <c r="D2228" s="9" t="str">
        <f>IF(F2228="","",_xlfn.XLOOKUP(F2228,purchase!D:D,purchase!#REF!,""))</f>
        <v/>
      </c>
      <c r="E2228" s="9" t="str">
        <f>IF(F2228="","",_xlfn.XLOOKUP(F2228,purchase!D:D,purchase!B:B,""))</f>
        <v/>
      </c>
      <c r="F2228" s="2"/>
      <c r="G2228" s="4" t="str">
        <f t="shared" si="239"/>
        <v/>
      </c>
      <c r="H2228" s="4" t="str">
        <f>IF(F2228="","",_xlfn.XLOOKUP(F2228,purchase!D:D,purchase!#REF!,""))</f>
        <v/>
      </c>
      <c r="I2228" s="4" t="str">
        <f t="shared" si="240"/>
        <v/>
      </c>
      <c r="J2228" s="4" t="str">
        <f t="shared" si="241"/>
        <v/>
      </c>
      <c r="K2228" s="13" t="str">
        <f>_xlfn.SINGLE(IF(F2228="","",_xlfn.XLOOKUP(F2228,purchase!D:D,purchase!#REF!,"")))</f>
        <v/>
      </c>
      <c r="L2228" s="2"/>
      <c r="M2228" s="32"/>
      <c r="N2228" s="13" t="str">
        <f>IF(F2228="","",
MAX(0,
_xlfn.XLOOKUP(F2228,purchase!D:D,purchase!#REF!,"")
-
SUMIFS(L:L,F:F,F2228)))</f>
        <v/>
      </c>
      <c r="O2228" s="13" t="str">
        <f t="shared" si="242"/>
        <v/>
      </c>
      <c r="P2228" s="35" t="str">
        <f>_xlfn.SINGLE(IF(F2228="","",_xlfn.XLOOKUP(F2228,purchase!D:D,purchase!K:K,"")))</f>
        <v/>
      </c>
      <c r="Q2228" s="29" t="str">
        <f t="shared" si="243"/>
        <v/>
      </c>
      <c r="R2228" s="37" t="str">
        <f t="shared" si="244"/>
        <v/>
      </c>
    </row>
    <row r="2229" spans="1:18" x14ac:dyDescent="0.35">
      <c r="A2229" s="8">
        <v>2225</v>
      </c>
      <c r="B2229" s="9" t="str">
        <f t="shared" si="238"/>
        <v/>
      </c>
      <c r="C2229" s="10"/>
      <c r="D2229" s="9" t="str">
        <f>IF(F2229="","",_xlfn.XLOOKUP(F2229,purchase!D:D,purchase!#REF!,""))</f>
        <v/>
      </c>
      <c r="E2229" s="9" t="str">
        <f>IF(F2229="","",_xlfn.XLOOKUP(F2229,purchase!D:D,purchase!B:B,""))</f>
        <v/>
      </c>
      <c r="F2229" s="2"/>
      <c r="G2229" s="4" t="str">
        <f t="shared" si="239"/>
        <v/>
      </c>
      <c r="H2229" s="4" t="str">
        <f>IF(F2229="","",_xlfn.XLOOKUP(F2229,purchase!D:D,purchase!#REF!,""))</f>
        <v/>
      </c>
      <c r="I2229" s="4" t="str">
        <f t="shared" si="240"/>
        <v/>
      </c>
      <c r="J2229" s="4" t="str">
        <f t="shared" si="241"/>
        <v/>
      </c>
      <c r="K2229" s="13" t="str">
        <f>_xlfn.SINGLE(IF(F2229="","",_xlfn.XLOOKUP(F2229,purchase!D:D,purchase!#REF!,"")))</f>
        <v/>
      </c>
      <c r="L2229" s="2"/>
      <c r="M2229" s="32"/>
      <c r="N2229" s="13" t="str">
        <f>IF(F2229="","",
MAX(0,
_xlfn.XLOOKUP(F2229,purchase!D:D,purchase!#REF!,"")
-
SUMIFS(L:L,F:F,F2229)))</f>
        <v/>
      </c>
      <c r="O2229" s="13" t="str">
        <f t="shared" si="242"/>
        <v/>
      </c>
      <c r="P2229" s="35" t="str">
        <f>_xlfn.SINGLE(IF(F2229="","",_xlfn.XLOOKUP(F2229,purchase!D:D,purchase!K:K,"")))</f>
        <v/>
      </c>
      <c r="Q2229" s="29" t="str">
        <f t="shared" si="243"/>
        <v/>
      </c>
      <c r="R2229" s="37" t="str">
        <f t="shared" si="244"/>
        <v/>
      </c>
    </row>
    <row r="2230" spans="1:18" x14ac:dyDescent="0.35">
      <c r="A2230" s="8">
        <v>2226</v>
      </c>
      <c r="B2230" s="9" t="str">
        <f t="shared" si="238"/>
        <v/>
      </c>
      <c r="C2230" s="10"/>
      <c r="D2230" s="9" t="str">
        <f>IF(F2230="","",_xlfn.XLOOKUP(F2230,purchase!D:D,purchase!#REF!,""))</f>
        <v/>
      </c>
      <c r="E2230" s="9" t="str">
        <f>IF(F2230="","",_xlfn.XLOOKUP(F2230,purchase!D:D,purchase!B:B,""))</f>
        <v/>
      </c>
      <c r="F2230" s="2"/>
      <c r="G2230" s="4" t="str">
        <f t="shared" si="239"/>
        <v/>
      </c>
      <c r="H2230" s="4" t="str">
        <f>IF(F2230="","",_xlfn.XLOOKUP(F2230,purchase!D:D,purchase!#REF!,""))</f>
        <v/>
      </c>
      <c r="I2230" s="4" t="str">
        <f t="shared" si="240"/>
        <v/>
      </c>
      <c r="J2230" s="4" t="str">
        <f t="shared" si="241"/>
        <v/>
      </c>
      <c r="K2230" s="13" t="str">
        <f>_xlfn.SINGLE(IF(F2230="","",_xlfn.XLOOKUP(F2230,purchase!D:D,purchase!#REF!,"")))</f>
        <v/>
      </c>
      <c r="L2230" s="2"/>
      <c r="M2230" s="32"/>
      <c r="N2230" s="13" t="str">
        <f>IF(F2230="","",
MAX(0,
_xlfn.XLOOKUP(F2230,purchase!D:D,purchase!#REF!,"")
-
SUMIFS(L:L,F:F,F2230)))</f>
        <v/>
      </c>
      <c r="O2230" s="13" t="str">
        <f t="shared" si="242"/>
        <v/>
      </c>
      <c r="P2230" s="35" t="str">
        <f>_xlfn.SINGLE(IF(F2230="","",_xlfn.XLOOKUP(F2230,purchase!D:D,purchase!K:K,"")))</f>
        <v/>
      </c>
      <c r="Q2230" s="29" t="str">
        <f t="shared" si="243"/>
        <v/>
      </c>
      <c r="R2230" s="37" t="str">
        <f t="shared" si="244"/>
        <v/>
      </c>
    </row>
    <row r="2231" spans="1:18" x14ac:dyDescent="0.35">
      <c r="A2231" s="8">
        <v>2227</v>
      </c>
      <c r="B2231" s="9" t="str">
        <f t="shared" si="238"/>
        <v/>
      </c>
      <c r="C2231" s="10"/>
      <c r="D2231" s="9" t="str">
        <f>IF(F2231="","",_xlfn.XLOOKUP(F2231,purchase!D:D,purchase!#REF!,""))</f>
        <v/>
      </c>
      <c r="E2231" s="9" t="str">
        <f>IF(F2231="","",_xlfn.XLOOKUP(F2231,purchase!D:D,purchase!B:B,""))</f>
        <v/>
      </c>
      <c r="F2231" s="2"/>
      <c r="G2231" s="4" t="str">
        <f t="shared" si="239"/>
        <v/>
      </c>
      <c r="H2231" s="4" t="str">
        <f>IF(F2231="","",_xlfn.XLOOKUP(F2231,purchase!D:D,purchase!#REF!,""))</f>
        <v/>
      </c>
      <c r="I2231" s="4" t="str">
        <f t="shared" si="240"/>
        <v/>
      </c>
      <c r="J2231" s="4" t="str">
        <f t="shared" si="241"/>
        <v/>
      </c>
      <c r="K2231" s="13" t="str">
        <f>_xlfn.SINGLE(IF(F2231="","",_xlfn.XLOOKUP(F2231,purchase!D:D,purchase!#REF!,"")))</f>
        <v/>
      </c>
      <c r="L2231" s="2"/>
      <c r="M2231" s="32"/>
      <c r="N2231" s="13" t="str">
        <f>IF(F2231="","",
MAX(0,
_xlfn.XLOOKUP(F2231,purchase!D:D,purchase!#REF!,"")
-
SUMIFS(L:L,F:F,F2231)))</f>
        <v/>
      </c>
      <c r="O2231" s="13" t="str">
        <f t="shared" si="242"/>
        <v/>
      </c>
      <c r="P2231" s="35" t="str">
        <f>_xlfn.SINGLE(IF(F2231="","",_xlfn.XLOOKUP(F2231,purchase!D:D,purchase!K:K,"")))</f>
        <v/>
      </c>
      <c r="Q2231" s="29" t="str">
        <f t="shared" si="243"/>
        <v/>
      </c>
      <c r="R2231" s="37" t="str">
        <f t="shared" si="244"/>
        <v/>
      </c>
    </row>
    <row r="2232" spans="1:18" x14ac:dyDescent="0.35">
      <c r="A2232" s="8">
        <v>2228</v>
      </c>
      <c r="B2232" s="9" t="str">
        <f t="shared" si="238"/>
        <v/>
      </c>
      <c r="C2232" s="10"/>
      <c r="D2232" s="9" t="str">
        <f>IF(F2232="","",_xlfn.XLOOKUP(F2232,purchase!D:D,purchase!#REF!,""))</f>
        <v/>
      </c>
      <c r="E2232" s="9" t="str">
        <f>IF(F2232="","",_xlfn.XLOOKUP(F2232,purchase!D:D,purchase!B:B,""))</f>
        <v/>
      </c>
      <c r="F2232" s="2"/>
      <c r="G2232" s="4" t="str">
        <f t="shared" si="239"/>
        <v/>
      </c>
      <c r="H2232" s="4" t="str">
        <f>IF(F2232="","",_xlfn.XLOOKUP(F2232,purchase!D:D,purchase!#REF!,""))</f>
        <v/>
      </c>
      <c r="I2232" s="4" t="str">
        <f t="shared" si="240"/>
        <v/>
      </c>
      <c r="J2232" s="4" t="str">
        <f t="shared" si="241"/>
        <v/>
      </c>
      <c r="K2232" s="13" t="str">
        <f>_xlfn.SINGLE(IF(F2232="","",_xlfn.XLOOKUP(F2232,purchase!D:D,purchase!#REF!,"")))</f>
        <v/>
      </c>
      <c r="L2232" s="2"/>
      <c r="M2232" s="32"/>
      <c r="N2232" s="13" t="str">
        <f>IF(F2232="","",
MAX(0,
_xlfn.XLOOKUP(F2232,purchase!D:D,purchase!#REF!,"")
-
SUMIFS(L:L,F:F,F2232)))</f>
        <v/>
      </c>
      <c r="O2232" s="13" t="str">
        <f t="shared" si="242"/>
        <v/>
      </c>
      <c r="P2232" s="35" t="str">
        <f>_xlfn.SINGLE(IF(F2232="","",_xlfn.XLOOKUP(F2232,purchase!D:D,purchase!K:K,"")))</f>
        <v/>
      </c>
      <c r="Q2232" s="29" t="str">
        <f t="shared" si="243"/>
        <v/>
      </c>
      <c r="R2232" s="37" t="str">
        <f t="shared" si="244"/>
        <v/>
      </c>
    </row>
    <row r="2233" spans="1:18" x14ac:dyDescent="0.35">
      <c r="A2233" s="8">
        <v>2229</v>
      </c>
      <c r="B2233" s="9" t="str">
        <f t="shared" si="238"/>
        <v/>
      </c>
      <c r="C2233" s="10"/>
      <c r="D2233" s="9" t="str">
        <f>IF(F2233="","",_xlfn.XLOOKUP(F2233,purchase!D:D,purchase!#REF!,""))</f>
        <v/>
      </c>
      <c r="E2233" s="9" t="str">
        <f>IF(F2233="","",_xlfn.XLOOKUP(F2233,purchase!D:D,purchase!B:B,""))</f>
        <v/>
      </c>
      <c r="F2233" s="2"/>
      <c r="G2233" s="4" t="str">
        <f t="shared" si="239"/>
        <v/>
      </c>
      <c r="H2233" s="4" t="str">
        <f>IF(F2233="","",_xlfn.XLOOKUP(F2233,purchase!D:D,purchase!#REF!,""))</f>
        <v/>
      </c>
      <c r="I2233" s="4" t="str">
        <f t="shared" si="240"/>
        <v/>
      </c>
      <c r="J2233" s="4" t="str">
        <f t="shared" si="241"/>
        <v/>
      </c>
      <c r="K2233" s="13" t="str">
        <f>_xlfn.SINGLE(IF(F2233="","",_xlfn.XLOOKUP(F2233,purchase!D:D,purchase!#REF!,"")))</f>
        <v/>
      </c>
      <c r="L2233" s="2"/>
      <c r="M2233" s="32"/>
      <c r="N2233" s="13" t="str">
        <f>IF(F2233="","",
MAX(0,
_xlfn.XLOOKUP(F2233,purchase!D:D,purchase!#REF!,"")
-
SUMIFS(L:L,F:F,F2233)))</f>
        <v/>
      </c>
      <c r="O2233" s="13" t="str">
        <f t="shared" si="242"/>
        <v/>
      </c>
      <c r="P2233" s="35" t="str">
        <f>_xlfn.SINGLE(IF(F2233="","",_xlfn.XLOOKUP(F2233,purchase!D:D,purchase!K:K,"")))</f>
        <v/>
      </c>
      <c r="Q2233" s="29" t="str">
        <f t="shared" si="243"/>
        <v/>
      </c>
      <c r="R2233" s="37" t="str">
        <f t="shared" si="244"/>
        <v/>
      </c>
    </row>
    <row r="2234" spans="1:18" x14ac:dyDescent="0.35">
      <c r="A2234" s="8">
        <v>2230</v>
      </c>
      <c r="B2234" s="9" t="str">
        <f t="shared" si="238"/>
        <v/>
      </c>
      <c r="C2234" s="10"/>
      <c r="D2234" s="9" t="str">
        <f>IF(F2234="","",_xlfn.XLOOKUP(F2234,purchase!D:D,purchase!#REF!,""))</f>
        <v/>
      </c>
      <c r="E2234" s="9" t="str">
        <f>IF(F2234="","",_xlfn.XLOOKUP(F2234,purchase!D:D,purchase!B:B,""))</f>
        <v/>
      </c>
      <c r="F2234" s="2"/>
      <c r="G2234" s="4" t="str">
        <f t="shared" si="239"/>
        <v/>
      </c>
      <c r="H2234" s="4" t="str">
        <f>IF(F2234="","",_xlfn.XLOOKUP(F2234,purchase!D:D,purchase!#REF!,""))</f>
        <v/>
      </c>
      <c r="I2234" s="4" t="str">
        <f t="shared" si="240"/>
        <v/>
      </c>
      <c r="J2234" s="4" t="str">
        <f t="shared" si="241"/>
        <v/>
      </c>
      <c r="K2234" s="13" t="str">
        <f>_xlfn.SINGLE(IF(F2234="","",_xlfn.XLOOKUP(F2234,purchase!D:D,purchase!#REF!,"")))</f>
        <v/>
      </c>
      <c r="L2234" s="2"/>
      <c r="M2234" s="32"/>
      <c r="N2234" s="13" t="str">
        <f>IF(F2234="","",
MAX(0,
_xlfn.XLOOKUP(F2234,purchase!D:D,purchase!#REF!,"")
-
SUMIFS(L:L,F:F,F2234)))</f>
        <v/>
      </c>
      <c r="O2234" s="13" t="str">
        <f t="shared" si="242"/>
        <v/>
      </c>
      <c r="P2234" s="35" t="str">
        <f>_xlfn.SINGLE(IF(F2234="","",_xlfn.XLOOKUP(F2234,purchase!D:D,purchase!K:K,"")))</f>
        <v/>
      </c>
      <c r="Q2234" s="29" t="str">
        <f t="shared" si="243"/>
        <v/>
      </c>
      <c r="R2234" s="37" t="str">
        <f t="shared" si="244"/>
        <v/>
      </c>
    </row>
    <row r="2235" spans="1:18" x14ac:dyDescent="0.35">
      <c r="A2235" s="8">
        <v>2231</v>
      </c>
      <c r="B2235" s="9" t="str">
        <f t="shared" si="238"/>
        <v/>
      </c>
      <c r="C2235" s="10"/>
      <c r="D2235" s="9" t="str">
        <f>IF(F2235="","",_xlfn.XLOOKUP(F2235,purchase!D:D,purchase!#REF!,""))</f>
        <v/>
      </c>
      <c r="E2235" s="9" t="str">
        <f>IF(F2235="","",_xlfn.XLOOKUP(F2235,purchase!D:D,purchase!B:B,""))</f>
        <v/>
      </c>
      <c r="F2235" s="2"/>
      <c r="G2235" s="4" t="str">
        <f t="shared" si="239"/>
        <v/>
      </c>
      <c r="H2235" s="4" t="str">
        <f>IF(F2235="","",_xlfn.XLOOKUP(F2235,purchase!D:D,purchase!#REF!,""))</f>
        <v/>
      </c>
      <c r="I2235" s="4" t="str">
        <f t="shared" si="240"/>
        <v/>
      </c>
      <c r="J2235" s="4" t="str">
        <f t="shared" si="241"/>
        <v/>
      </c>
      <c r="K2235" s="13" t="str">
        <f>_xlfn.SINGLE(IF(F2235="","",_xlfn.XLOOKUP(F2235,purchase!D:D,purchase!#REF!,"")))</f>
        <v/>
      </c>
      <c r="L2235" s="2"/>
      <c r="M2235" s="32"/>
      <c r="N2235" s="13" t="str">
        <f>IF(F2235="","",
MAX(0,
_xlfn.XLOOKUP(F2235,purchase!D:D,purchase!#REF!,"")
-
SUMIFS(L:L,F:F,F2235)))</f>
        <v/>
      </c>
      <c r="O2235" s="13" t="str">
        <f t="shared" si="242"/>
        <v/>
      </c>
      <c r="P2235" s="35" t="str">
        <f>_xlfn.SINGLE(IF(F2235="","",_xlfn.XLOOKUP(F2235,purchase!D:D,purchase!K:K,"")))</f>
        <v/>
      </c>
      <c r="Q2235" s="29" t="str">
        <f t="shared" si="243"/>
        <v/>
      </c>
      <c r="R2235" s="37" t="str">
        <f t="shared" si="244"/>
        <v/>
      </c>
    </row>
    <row r="2236" spans="1:18" x14ac:dyDescent="0.35">
      <c r="A2236" s="8">
        <v>2232</v>
      </c>
      <c r="B2236" s="9" t="str">
        <f t="shared" si="238"/>
        <v/>
      </c>
      <c r="C2236" s="10"/>
      <c r="D2236" s="9" t="str">
        <f>IF(F2236="","",_xlfn.XLOOKUP(F2236,purchase!D:D,purchase!#REF!,""))</f>
        <v/>
      </c>
      <c r="E2236" s="9" t="str">
        <f>IF(F2236="","",_xlfn.XLOOKUP(F2236,purchase!D:D,purchase!B:B,""))</f>
        <v/>
      </c>
      <c r="F2236" s="2"/>
      <c r="G2236" s="4" t="str">
        <f t="shared" si="239"/>
        <v/>
      </c>
      <c r="H2236" s="4" t="str">
        <f>IF(F2236="","",_xlfn.XLOOKUP(F2236,purchase!D:D,purchase!#REF!,""))</f>
        <v/>
      </c>
      <c r="I2236" s="4" t="str">
        <f t="shared" si="240"/>
        <v/>
      </c>
      <c r="J2236" s="4" t="str">
        <f t="shared" si="241"/>
        <v/>
      </c>
      <c r="K2236" s="13" t="str">
        <f>_xlfn.SINGLE(IF(F2236="","",_xlfn.XLOOKUP(F2236,purchase!D:D,purchase!#REF!,"")))</f>
        <v/>
      </c>
      <c r="L2236" s="2"/>
      <c r="M2236" s="32"/>
      <c r="N2236" s="13" t="str">
        <f>IF(F2236="","",
MAX(0,
_xlfn.XLOOKUP(F2236,purchase!D:D,purchase!#REF!,"")
-
SUMIFS(L:L,F:F,F2236)))</f>
        <v/>
      </c>
      <c r="O2236" s="13" t="str">
        <f t="shared" si="242"/>
        <v/>
      </c>
      <c r="P2236" s="35" t="str">
        <f>_xlfn.SINGLE(IF(F2236="","",_xlfn.XLOOKUP(F2236,purchase!D:D,purchase!K:K,"")))</f>
        <v/>
      </c>
      <c r="Q2236" s="29" t="str">
        <f t="shared" si="243"/>
        <v/>
      </c>
      <c r="R2236" s="37" t="str">
        <f t="shared" si="244"/>
        <v/>
      </c>
    </row>
    <row r="2237" spans="1:18" x14ac:dyDescent="0.35">
      <c r="A2237" s="8">
        <v>2233</v>
      </c>
      <c r="B2237" s="9" t="str">
        <f t="shared" si="238"/>
        <v/>
      </c>
      <c r="C2237" s="10"/>
      <c r="D2237" s="9" t="str">
        <f>IF(F2237="","",_xlfn.XLOOKUP(F2237,purchase!D:D,purchase!#REF!,""))</f>
        <v/>
      </c>
      <c r="E2237" s="9" t="str">
        <f>IF(F2237="","",_xlfn.XLOOKUP(F2237,purchase!D:D,purchase!B:B,""))</f>
        <v/>
      </c>
      <c r="F2237" s="2"/>
      <c r="G2237" s="4" t="str">
        <f t="shared" si="239"/>
        <v/>
      </c>
      <c r="H2237" s="4" t="str">
        <f>IF(F2237="","",_xlfn.XLOOKUP(F2237,purchase!D:D,purchase!#REF!,""))</f>
        <v/>
      </c>
      <c r="I2237" s="4" t="str">
        <f t="shared" si="240"/>
        <v/>
      </c>
      <c r="J2237" s="4" t="str">
        <f t="shared" si="241"/>
        <v/>
      </c>
      <c r="K2237" s="13" t="str">
        <f>_xlfn.SINGLE(IF(F2237="","",_xlfn.XLOOKUP(F2237,purchase!D:D,purchase!#REF!,"")))</f>
        <v/>
      </c>
      <c r="L2237" s="2"/>
      <c r="M2237" s="32"/>
      <c r="N2237" s="13" t="str">
        <f>IF(F2237="","",
MAX(0,
_xlfn.XLOOKUP(F2237,purchase!D:D,purchase!#REF!,"")
-
SUMIFS(L:L,F:F,F2237)))</f>
        <v/>
      </c>
      <c r="O2237" s="13" t="str">
        <f t="shared" si="242"/>
        <v/>
      </c>
      <c r="P2237" s="35" t="str">
        <f>_xlfn.SINGLE(IF(F2237="","",_xlfn.XLOOKUP(F2237,purchase!D:D,purchase!K:K,"")))</f>
        <v/>
      </c>
      <c r="Q2237" s="29" t="str">
        <f t="shared" si="243"/>
        <v/>
      </c>
      <c r="R2237" s="37" t="str">
        <f t="shared" si="244"/>
        <v/>
      </c>
    </row>
    <row r="2238" spans="1:18" x14ac:dyDescent="0.35">
      <c r="A2238" s="8">
        <v>2234</v>
      </c>
      <c r="B2238" s="9" t="str">
        <f t="shared" si="238"/>
        <v/>
      </c>
      <c r="C2238" s="10"/>
      <c r="D2238" s="9" t="str">
        <f>IF(F2238="","",_xlfn.XLOOKUP(F2238,purchase!D:D,purchase!#REF!,""))</f>
        <v/>
      </c>
      <c r="E2238" s="9" t="str">
        <f>IF(F2238="","",_xlfn.XLOOKUP(F2238,purchase!D:D,purchase!B:B,""))</f>
        <v/>
      </c>
      <c r="F2238" s="2"/>
      <c r="G2238" s="4" t="str">
        <f t="shared" si="239"/>
        <v/>
      </c>
      <c r="H2238" s="4" t="str">
        <f>IF(F2238="","",_xlfn.XLOOKUP(F2238,purchase!D:D,purchase!#REF!,""))</f>
        <v/>
      </c>
      <c r="I2238" s="4" t="str">
        <f t="shared" si="240"/>
        <v/>
      </c>
      <c r="J2238" s="4" t="str">
        <f t="shared" si="241"/>
        <v/>
      </c>
      <c r="K2238" s="13" t="str">
        <f>_xlfn.SINGLE(IF(F2238="","",_xlfn.XLOOKUP(F2238,purchase!D:D,purchase!#REF!,"")))</f>
        <v/>
      </c>
      <c r="L2238" s="2"/>
      <c r="M2238" s="32"/>
      <c r="N2238" s="13" t="str">
        <f>IF(F2238="","",
MAX(0,
_xlfn.XLOOKUP(F2238,purchase!D:D,purchase!#REF!,"")
-
SUMIFS(L:L,F:F,F2238)))</f>
        <v/>
      </c>
      <c r="O2238" s="13" t="str">
        <f t="shared" si="242"/>
        <v/>
      </c>
      <c r="P2238" s="35" t="str">
        <f>_xlfn.SINGLE(IF(F2238="","",_xlfn.XLOOKUP(F2238,purchase!D:D,purchase!K:K,"")))</f>
        <v/>
      </c>
      <c r="Q2238" s="29" t="str">
        <f t="shared" si="243"/>
        <v/>
      </c>
      <c r="R2238" s="37" t="str">
        <f t="shared" si="244"/>
        <v/>
      </c>
    </row>
    <row r="2239" spans="1:18" x14ac:dyDescent="0.35">
      <c r="A2239" s="8">
        <v>2235</v>
      </c>
      <c r="B2239" s="9" t="str">
        <f t="shared" si="238"/>
        <v/>
      </c>
      <c r="C2239" s="10"/>
      <c r="D2239" s="9" t="str">
        <f>IF(F2239="","",_xlfn.XLOOKUP(F2239,purchase!D:D,purchase!#REF!,""))</f>
        <v/>
      </c>
      <c r="E2239" s="9" t="str">
        <f>IF(F2239="","",_xlfn.XLOOKUP(F2239,purchase!D:D,purchase!B:B,""))</f>
        <v/>
      </c>
      <c r="F2239" s="2"/>
      <c r="G2239" s="4" t="str">
        <f t="shared" si="239"/>
        <v/>
      </c>
      <c r="H2239" s="4" t="str">
        <f>IF(F2239="","",_xlfn.XLOOKUP(F2239,purchase!D:D,purchase!#REF!,""))</f>
        <v/>
      </c>
      <c r="I2239" s="4" t="str">
        <f t="shared" si="240"/>
        <v/>
      </c>
      <c r="J2239" s="4" t="str">
        <f t="shared" si="241"/>
        <v/>
      </c>
      <c r="K2239" s="13" t="str">
        <f>_xlfn.SINGLE(IF(F2239="","",_xlfn.XLOOKUP(F2239,purchase!D:D,purchase!#REF!,"")))</f>
        <v/>
      </c>
      <c r="L2239" s="2"/>
      <c r="M2239" s="32"/>
      <c r="N2239" s="13" t="str">
        <f>IF(F2239="","",
MAX(0,
_xlfn.XLOOKUP(F2239,purchase!D:D,purchase!#REF!,"")
-
SUMIFS(L:L,F:F,F2239)))</f>
        <v/>
      </c>
      <c r="O2239" s="13" t="str">
        <f t="shared" si="242"/>
        <v/>
      </c>
      <c r="P2239" s="35" t="str">
        <f>_xlfn.SINGLE(IF(F2239="","",_xlfn.XLOOKUP(F2239,purchase!D:D,purchase!K:K,"")))</f>
        <v/>
      </c>
      <c r="Q2239" s="29" t="str">
        <f t="shared" si="243"/>
        <v/>
      </c>
      <c r="R2239" s="37" t="str">
        <f t="shared" si="244"/>
        <v/>
      </c>
    </row>
    <row r="2240" spans="1:18" x14ac:dyDescent="0.35">
      <c r="A2240" s="8">
        <v>2236</v>
      </c>
      <c r="B2240" s="9" t="str">
        <f t="shared" si="238"/>
        <v/>
      </c>
      <c r="C2240" s="10"/>
      <c r="D2240" s="9" t="str">
        <f>IF(F2240="","",_xlfn.XLOOKUP(F2240,purchase!D:D,purchase!#REF!,""))</f>
        <v/>
      </c>
      <c r="E2240" s="9" t="str">
        <f>IF(F2240="","",_xlfn.XLOOKUP(F2240,purchase!D:D,purchase!B:B,""))</f>
        <v/>
      </c>
      <c r="F2240" s="2"/>
      <c r="G2240" s="4" t="str">
        <f t="shared" si="239"/>
        <v/>
      </c>
      <c r="H2240" s="4" t="str">
        <f>IF(F2240="","",_xlfn.XLOOKUP(F2240,purchase!D:D,purchase!#REF!,""))</f>
        <v/>
      </c>
      <c r="I2240" s="4" t="str">
        <f t="shared" si="240"/>
        <v/>
      </c>
      <c r="J2240" s="4" t="str">
        <f t="shared" si="241"/>
        <v/>
      </c>
      <c r="K2240" s="13" t="str">
        <f>_xlfn.SINGLE(IF(F2240="","",_xlfn.XLOOKUP(F2240,purchase!D:D,purchase!#REF!,"")))</f>
        <v/>
      </c>
      <c r="L2240" s="2"/>
      <c r="M2240" s="32"/>
      <c r="N2240" s="13" t="str">
        <f>IF(F2240="","",
MAX(0,
_xlfn.XLOOKUP(F2240,purchase!D:D,purchase!#REF!,"")
-
SUMIFS(L:L,F:F,F2240)))</f>
        <v/>
      </c>
      <c r="O2240" s="13" t="str">
        <f t="shared" si="242"/>
        <v/>
      </c>
      <c r="P2240" s="35" t="str">
        <f>_xlfn.SINGLE(IF(F2240="","",_xlfn.XLOOKUP(F2240,purchase!D:D,purchase!K:K,"")))</f>
        <v/>
      </c>
      <c r="Q2240" s="29" t="str">
        <f t="shared" si="243"/>
        <v/>
      </c>
      <c r="R2240" s="37" t="str">
        <f t="shared" si="244"/>
        <v/>
      </c>
    </row>
    <row r="2241" spans="1:18" x14ac:dyDescent="0.35">
      <c r="A2241" s="8">
        <v>2237</v>
      </c>
      <c r="B2241" s="9" t="str">
        <f t="shared" si="238"/>
        <v/>
      </c>
      <c r="C2241" s="10"/>
      <c r="D2241" s="9" t="str">
        <f>IF(F2241="","",_xlfn.XLOOKUP(F2241,purchase!D:D,purchase!#REF!,""))</f>
        <v/>
      </c>
      <c r="E2241" s="9" t="str">
        <f>IF(F2241="","",_xlfn.XLOOKUP(F2241,purchase!D:D,purchase!B:B,""))</f>
        <v/>
      </c>
      <c r="F2241" s="2"/>
      <c r="G2241" s="4" t="str">
        <f t="shared" si="239"/>
        <v/>
      </c>
      <c r="H2241" s="4" t="str">
        <f>IF(F2241="","",_xlfn.XLOOKUP(F2241,purchase!D:D,purchase!#REF!,""))</f>
        <v/>
      </c>
      <c r="I2241" s="4" t="str">
        <f t="shared" si="240"/>
        <v/>
      </c>
      <c r="J2241" s="4" t="str">
        <f t="shared" si="241"/>
        <v/>
      </c>
      <c r="K2241" s="13" t="str">
        <f>_xlfn.SINGLE(IF(F2241="","",_xlfn.XLOOKUP(F2241,purchase!D:D,purchase!#REF!,"")))</f>
        <v/>
      </c>
      <c r="L2241" s="2"/>
      <c r="M2241" s="32"/>
      <c r="N2241" s="13" t="str">
        <f>IF(F2241="","",
MAX(0,
_xlfn.XLOOKUP(F2241,purchase!D:D,purchase!#REF!,"")
-
SUMIFS(L:L,F:F,F2241)))</f>
        <v/>
      </c>
      <c r="O2241" s="13" t="str">
        <f t="shared" si="242"/>
        <v/>
      </c>
      <c r="P2241" s="35" t="str">
        <f>_xlfn.SINGLE(IF(F2241="","",_xlfn.XLOOKUP(F2241,purchase!D:D,purchase!K:K,"")))</f>
        <v/>
      </c>
      <c r="Q2241" s="29" t="str">
        <f t="shared" si="243"/>
        <v/>
      </c>
      <c r="R2241" s="37" t="str">
        <f t="shared" si="244"/>
        <v/>
      </c>
    </row>
    <row r="2242" spans="1:18" x14ac:dyDescent="0.35">
      <c r="A2242" s="8">
        <v>2238</v>
      </c>
      <c r="B2242" s="9" t="str">
        <f t="shared" si="238"/>
        <v/>
      </c>
      <c r="C2242" s="10"/>
      <c r="D2242" s="9" t="str">
        <f>IF(F2242="","",_xlfn.XLOOKUP(F2242,purchase!D:D,purchase!#REF!,""))</f>
        <v/>
      </c>
      <c r="E2242" s="9" t="str">
        <f>IF(F2242="","",_xlfn.XLOOKUP(F2242,purchase!D:D,purchase!B:B,""))</f>
        <v/>
      </c>
      <c r="F2242" s="2"/>
      <c r="G2242" s="4" t="str">
        <f t="shared" si="239"/>
        <v/>
      </c>
      <c r="H2242" s="4" t="str">
        <f>IF(F2242="","",_xlfn.XLOOKUP(F2242,purchase!D:D,purchase!#REF!,""))</f>
        <v/>
      </c>
      <c r="I2242" s="4" t="str">
        <f t="shared" si="240"/>
        <v/>
      </c>
      <c r="J2242" s="4" t="str">
        <f t="shared" si="241"/>
        <v/>
      </c>
      <c r="K2242" s="13" t="str">
        <f>_xlfn.SINGLE(IF(F2242="","",_xlfn.XLOOKUP(F2242,purchase!D:D,purchase!#REF!,"")))</f>
        <v/>
      </c>
      <c r="L2242" s="2"/>
      <c r="M2242" s="32"/>
      <c r="N2242" s="13" t="str">
        <f>IF(F2242="","",
MAX(0,
_xlfn.XLOOKUP(F2242,purchase!D:D,purchase!#REF!,"")
-
SUMIFS(L:L,F:F,F2242)))</f>
        <v/>
      </c>
      <c r="O2242" s="13" t="str">
        <f t="shared" si="242"/>
        <v/>
      </c>
      <c r="P2242" s="35" t="str">
        <f>_xlfn.SINGLE(IF(F2242="","",_xlfn.XLOOKUP(F2242,purchase!D:D,purchase!K:K,"")))</f>
        <v/>
      </c>
      <c r="Q2242" s="29" t="str">
        <f t="shared" si="243"/>
        <v/>
      </c>
      <c r="R2242" s="37" t="str">
        <f t="shared" si="244"/>
        <v/>
      </c>
    </row>
    <row r="2243" spans="1:18" x14ac:dyDescent="0.35">
      <c r="A2243" s="8">
        <v>2239</v>
      </c>
      <c r="B2243" s="9" t="str">
        <f t="shared" si="238"/>
        <v/>
      </c>
      <c r="C2243" s="10"/>
      <c r="D2243" s="9" t="str">
        <f>IF(F2243="","",_xlfn.XLOOKUP(F2243,purchase!D:D,purchase!#REF!,""))</f>
        <v/>
      </c>
      <c r="E2243" s="9" t="str">
        <f>IF(F2243="","",_xlfn.XLOOKUP(F2243,purchase!D:D,purchase!B:B,""))</f>
        <v/>
      </c>
      <c r="F2243" s="2"/>
      <c r="G2243" s="4" t="str">
        <f t="shared" si="239"/>
        <v/>
      </c>
      <c r="H2243" s="4" t="str">
        <f>IF(F2243="","",_xlfn.XLOOKUP(F2243,purchase!D:D,purchase!#REF!,""))</f>
        <v/>
      </c>
      <c r="I2243" s="4" t="str">
        <f t="shared" si="240"/>
        <v/>
      </c>
      <c r="J2243" s="4" t="str">
        <f t="shared" si="241"/>
        <v/>
      </c>
      <c r="K2243" s="13" t="str">
        <f>_xlfn.SINGLE(IF(F2243="","",_xlfn.XLOOKUP(F2243,purchase!D:D,purchase!#REF!,"")))</f>
        <v/>
      </c>
      <c r="L2243" s="2"/>
      <c r="M2243" s="32"/>
      <c r="N2243" s="13" t="str">
        <f>IF(F2243="","",
MAX(0,
_xlfn.XLOOKUP(F2243,purchase!D:D,purchase!#REF!,"")
-
SUMIFS(L:L,F:F,F2243)))</f>
        <v/>
      </c>
      <c r="O2243" s="13" t="str">
        <f t="shared" si="242"/>
        <v/>
      </c>
      <c r="P2243" s="35" t="str">
        <f>_xlfn.SINGLE(IF(F2243="","",_xlfn.XLOOKUP(F2243,purchase!D:D,purchase!K:K,"")))</f>
        <v/>
      </c>
      <c r="Q2243" s="29" t="str">
        <f t="shared" si="243"/>
        <v/>
      </c>
      <c r="R2243" s="37" t="str">
        <f t="shared" si="244"/>
        <v/>
      </c>
    </row>
    <row r="2244" spans="1:18" x14ac:dyDescent="0.35">
      <c r="A2244" s="8">
        <v>2240</v>
      </c>
      <c r="B2244" s="9" t="str">
        <f t="shared" si="238"/>
        <v/>
      </c>
      <c r="C2244" s="10"/>
      <c r="D2244" s="9" t="str">
        <f>IF(F2244="","",_xlfn.XLOOKUP(F2244,purchase!D:D,purchase!#REF!,""))</f>
        <v/>
      </c>
      <c r="E2244" s="9" t="str">
        <f>IF(F2244="","",_xlfn.XLOOKUP(F2244,purchase!D:D,purchase!B:B,""))</f>
        <v/>
      </c>
      <c r="F2244" s="2"/>
      <c r="G2244" s="4" t="str">
        <f t="shared" si="239"/>
        <v/>
      </c>
      <c r="H2244" s="4" t="str">
        <f>IF(F2244="","",_xlfn.XLOOKUP(F2244,purchase!D:D,purchase!#REF!,""))</f>
        <v/>
      </c>
      <c r="I2244" s="4" t="str">
        <f t="shared" si="240"/>
        <v/>
      </c>
      <c r="J2244" s="4" t="str">
        <f t="shared" si="241"/>
        <v/>
      </c>
      <c r="K2244" s="13" t="str">
        <f>_xlfn.SINGLE(IF(F2244="","",_xlfn.XLOOKUP(F2244,purchase!D:D,purchase!#REF!,"")))</f>
        <v/>
      </c>
      <c r="L2244" s="2"/>
      <c r="M2244" s="32"/>
      <c r="N2244" s="13" t="str">
        <f>IF(F2244="","",
MAX(0,
_xlfn.XLOOKUP(F2244,purchase!D:D,purchase!#REF!,"")
-
SUMIFS(L:L,F:F,F2244)))</f>
        <v/>
      </c>
      <c r="O2244" s="13" t="str">
        <f t="shared" si="242"/>
        <v/>
      </c>
      <c r="P2244" s="35" t="str">
        <f>_xlfn.SINGLE(IF(F2244="","",_xlfn.XLOOKUP(F2244,purchase!D:D,purchase!K:K,"")))</f>
        <v/>
      </c>
      <c r="Q2244" s="29" t="str">
        <f t="shared" si="243"/>
        <v/>
      </c>
      <c r="R2244" s="37" t="str">
        <f t="shared" si="244"/>
        <v/>
      </c>
    </row>
    <row r="2245" spans="1:18" x14ac:dyDescent="0.35">
      <c r="A2245" s="8">
        <v>2241</v>
      </c>
      <c r="B2245" s="9" t="str">
        <f t="shared" ref="B2245:B2308" si="245">IF(OR(C2245="",F2245=""),"",
"PRD-" &amp;
TEXT(DAY(C2245),"00") &amp;
CHOOSE(MONTH(C2245),"A","B","C","D","E","F","G","H","I","J","K","L") &amp;
TEXT(YEAR(C2245),"00") &amp;
"-" &amp;
RIGHT(F2245,4))</f>
        <v/>
      </c>
      <c r="C2245" s="10"/>
      <c r="D2245" s="9" t="str">
        <f>IF(F2245="","",_xlfn.XLOOKUP(F2245,purchase!D:D,purchase!#REF!,""))</f>
        <v/>
      </c>
      <c r="E2245" s="9" t="str">
        <f>IF(F2245="","",_xlfn.XLOOKUP(F2245,purchase!D:D,purchase!B:B,""))</f>
        <v/>
      </c>
      <c r="F2245" s="2"/>
      <c r="G2245" s="4" t="str">
        <f t="shared" ref="G2245:G2308" si="246">IF(H2245="NRFC","Natural Rubber Field Coagulam","")</f>
        <v/>
      </c>
      <c r="H2245" s="4" t="str">
        <f>IF(F2245="","",_xlfn.XLOOKUP(F2245,purchase!D:D,purchase!#REF!,""))</f>
        <v/>
      </c>
      <c r="I2245" s="4" t="str">
        <f t="shared" ref="I2245:I2308" si="247">IF(J2245="ISNR20","Natural Rubber-TSNR (ISNR-20)","")</f>
        <v/>
      </c>
      <c r="J2245" s="4" t="str">
        <f t="shared" ref="J2245:J2308" si="248">IF(H2245="NRFC","ISNR20","")</f>
        <v/>
      </c>
      <c r="K2245" s="13" t="str">
        <f>_xlfn.SINGLE(IF(F2245="","",_xlfn.XLOOKUP(F2245,purchase!D:D,purchase!#REF!,"")))</f>
        <v/>
      </c>
      <c r="L2245" s="2"/>
      <c r="M2245" s="32"/>
      <c r="N2245" s="13" t="str">
        <f>IF(F2245="","",
MAX(0,
_xlfn.XLOOKUP(F2245,purchase!D:D,purchase!#REF!,"")
-
SUMIFS(L:L,F:F,F2245)))</f>
        <v/>
      </c>
      <c r="O2245" s="13" t="str">
        <f t="shared" ref="O2245:O2308" si="249">IF(OR(L2245="",M2245=""),"",L2245-M2245)</f>
        <v/>
      </c>
      <c r="P2245" s="35" t="str">
        <f>_xlfn.SINGLE(IF(F2245="","",_xlfn.XLOOKUP(F2245,purchase!D:D,purchase!K:K,"")))</f>
        <v/>
      </c>
      <c r="Q2245" s="29" t="str">
        <f t="shared" ref="Q2245:Q2308" si="250">IF(OR(L2245="",M2245=""),"",M2245/L2245)</f>
        <v/>
      </c>
      <c r="R2245" s="37" t="str">
        <f t="shared" ref="R2245:R2308" si="251">IF(OR(P2245="",Q2245=""),"",Q2245-P2245)</f>
        <v/>
      </c>
    </row>
    <row r="2246" spans="1:18" x14ac:dyDescent="0.35">
      <c r="A2246" s="8">
        <v>2242</v>
      </c>
      <c r="B2246" s="9" t="str">
        <f t="shared" si="245"/>
        <v/>
      </c>
      <c r="C2246" s="10"/>
      <c r="D2246" s="9" t="str">
        <f>IF(F2246="","",_xlfn.XLOOKUP(F2246,purchase!D:D,purchase!#REF!,""))</f>
        <v/>
      </c>
      <c r="E2246" s="9" t="str">
        <f>IF(F2246="","",_xlfn.XLOOKUP(F2246,purchase!D:D,purchase!B:B,""))</f>
        <v/>
      </c>
      <c r="F2246" s="2"/>
      <c r="G2246" s="4" t="str">
        <f t="shared" si="246"/>
        <v/>
      </c>
      <c r="H2246" s="4" t="str">
        <f>IF(F2246="","",_xlfn.XLOOKUP(F2246,purchase!D:D,purchase!#REF!,""))</f>
        <v/>
      </c>
      <c r="I2246" s="4" t="str">
        <f t="shared" si="247"/>
        <v/>
      </c>
      <c r="J2246" s="4" t="str">
        <f t="shared" si="248"/>
        <v/>
      </c>
      <c r="K2246" s="13" t="str">
        <f>_xlfn.SINGLE(IF(F2246="","",_xlfn.XLOOKUP(F2246,purchase!D:D,purchase!#REF!,"")))</f>
        <v/>
      </c>
      <c r="L2246" s="2"/>
      <c r="M2246" s="32"/>
      <c r="N2246" s="13" t="str">
        <f>IF(F2246="","",
MAX(0,
_xlfn.XLOOKUP(F2246,purchase!D:D,purchase!#REF!,"")
-
SUMIFS(L:L,F:F,F2246)))</f>
        <v/>
      </c>
      <c r="O2246" s="13" t="str">
        <f t="shared" si="249"/>
        <v/>
      </c>
      <c r="P2246" s="35" t="str">
        <f>_xlfn.SINGLE(IF(F2246="","",_xlfn.XLOOKUP(F2246,purchase!D:D,purchase!K:K,"")))</f>
        <v/>
      </c>
      <c r="Q2246" s="29" t="str">
        <f t="shared" si="250"/>
        <v/>
      </c>
      <c r="R2246" s="37" t="str">
        <f t="shared" si="251"/>
        <v/>
      </c>
    </row>
    <row r="2247" spans="1:18" x14ac:dyDescent="0.35">
      <c r="A2247" s="8">
        <v>2243</v>
      </c>
      <c r="B2247" s="9" t="str">
        <f t="shared" si="245"/>
        <v/>
      </c>
      <c r="C2247" s="10"/>
      <c r="D2247" s="9" t="str">
        <f>IF(F2247="","",_xlfn.XLOOKUP(F2247,purchase!D:D,purchase!#REF!,""))</f>
        <v/>
      </c>
      <c r="E2247" s="9" t="str">
        <f>IF(F2247="","",_xlfn.XLOOKUP(F2247,purchase!D:D,purchase!B:B,""))</f>
        <v/>
      </c>
      <c r="F2247" s="2"/>
      <c r="G2247" s="4" t="str">
        <f t="shared" si="246"/>
        <v/>
      </c>
      <c r="H2247" s="4" t="str">
        <f>IF(F2247="","",_xlfn.XLOOKUP(F2247,purchase!D:D,purchase!#REF!,""))</f>
        <v/>
      </c>
      <c r="I2247" s="4" t="str">
        <f t="shared" si="247"/>
        <v/>
      </c>
      <c r="J2247" s="4" t="str">
        <f t="shared" si="248"/>
        <v/>
      </c>
      <c r="K2247" s="13" t="str">
        <f>_xlfn.SINGLE(IF(F2247="","",_xlfn.XLOOKUP(F2247,purchase!D:D,purchase!#REF!,"")))</f>
        <v/>
      </c>
      <c r="L2247" s="2"/>
      <c r="M2247" s="32"/>
      <c r="N2247" s="13" t="str">
        <f>IF(F2247="","",
MAX(0,
_xlfn.XLOOKUP(F2247,purchase!D:D,purchase!#REF!,"")
-
SUMIFS(L:L,F:F,F2247)))</f>
        <v/>
      </c>
      <c r="O2247" s="13" t="str">
        <f t="shared" si="249"/>
        <v/>
      </c>
      <c r="P2247" s="35" t="str">
        <f>_xlfn.SINGLE(IF(F2247="","",_xlfn.XLOOKUP(F2247,purchase!D:D,purchase!K:K,"")))</f>
        <v/>
      </c>
      <c r="Q2247" s="29" t="str">
        <f t="shared" si="250"/>
        <v/>
      </c>
      <c r="R2247" s="37" t="str">
        <f t="shared" si="251"/>
        <v/>
      </c>
    </row>
    <row r="2248" spans="1:18" x14ac:dyDescent="0.35">
      <c r="A2248" s="8">
        <v>2244</v>
      </c>
      <c r="B2248" s="9" t="str">
        <f t="shared" si="245"/>
        <v/>
      </c>
      <c r="C2248" s="10"/>
      <c r="D2248" s="9" t="str">
        <f>IF(F2248="","",_xlfn.XLOOKUP(F2248,purchase!D:D,purchase!#REF!,""))</f>
        <v/>
      </c>
      <c r="E2248" s="9" t="str">
        <f>IF(F2248="","",_xlfn.XLOOKUP(F2248,purchase!D:D,purchase!B:B,""))</f>
        <v/>
      </c>
      <c r="F2248" s="2"/>
      <c r="G2248" s="4" t="str">
        <f t="shared" si="246"/>
        <v/>
      </c>
      <c r="H2248" s="4" t="str">
        <f>IF(F2248="","",_xlfn.XLOOKUP(F2248,purchase!D:D,purchase!#REF!,""))</f>
        <v/>
      </c>
      <c r="I2248" s="4" t="str">
        <f t="shared" si="247"/>
        <v/>
      </c>
      <c r="J2248" s="4" t="str">
        <f t="shared" si="248"/>
        <v/>
      </c>
      <c r="K2248" s="13" t="str">
        <f>_xlfn.SINGLE(IF(F2248="","",_xlfn.XLOOKUP(F2248,purchase!D:D,purchase!#REF!,"")))</f>
        <v/>
      </c>
      <c r="L2248" s="2"/>
      <c r="M2248" s="32"/>
      <c r="N2248" s="13" t="str">
        <f>IF(F2248="","",
MAX(0,
_xlfn.XLOOKUP(F2248,purchase!D:D,purchase!#REF!,"")
-
SUMIFS(L:L,F:F,F2248)))</f>
        <v/>
      </c>
      <c r="O2248" s="13" t="str">
        <f t="shared" si="249"/>
        <v/>
      </c>
      <c r="P2248" s="35" t="str">
        <f>_xlfn.SINGLE(IF(F2248="","",_xlfn.XLOOKUP(F2248,purchase!D:D,purchase!K:K,"")))</f>
        <v/>
      </c>
      <c r="Q2248" s="29" t="str">
        <f t="shared" si="250"/>
        <v/>
      </c>
      <c r="R2248" s="37" t="str">
        <f t="shared" si="251"/>
        <v/>
      </c>
    </row>
    <row r="2249" spans="1:18" x14ac:dyDescent="0.35">
      <c r="A2249" s="8">
        <v>2245</v>
      </c>
      <c r="B2249" s="9" t="str">
        <f t="shared" si="245"/>
        <v/>
      </c>
      <c r="C2249" s="10"/>
      <c r="D2249" s="9" t="str">
        <f>IF(F2249="","",_xlfn.XLOOKUP(F2249,purchase!D:D,purchase!#REF!,""))</f>
        <v/>
      </c>
      <c r="E2249" s="9" t="str">
        <f>IF(F2249="","",_xlfn.XLOOKUP(F2249,purchase!D:D,purchase!B:B,""))</f>
        <v/>
      </c>
      <c r="F2249" s="2"/>
      <c r="G2249" s="4" t="str">
        <f t="shared" si="246"/>
        <v/>
      </c>
      <c r="H2249" s="4" t="str">
        <f>IF(F2249="","",_xlfn.XLOOKUP(F2249,purchase!D:D,purchase!#REF!,""))</f>
        <v/>
      </c>
      <c r="I2249" s="4" t="str">
        <f t="shared" si="247"/>
        <v/>
      </c>
      <c r="J2249" s="4" t="str">
        <f t="shared" si="248"/>
        <v/>
      </c>
      <c r="K2249" s="13" t="str">
        <f>_xlfn.SINGLE(IF(F2249="","",_xlfn.XLOOKUP(F2249,purchase!D:D,purchase!#REF!,"")))</f>
        <v/>
      </c>
      <c r="L2249" s="2"/>
      <c r="M2249" s="32"/>
      <c r="N2249" s="13" t="str">
        <f>IF(F2249="","",
MAX(0,
_xlfn.XLOOKUP(F2249,purchase!D:D,purchase!#REF!,"")
-
SUMIFS(L:L,F:F,F2249)))</f>
        <v/>
      </c>
      <c r="O2249" s="13" t="str">
        <f t="shared" si="249"/>
        <v/>
      </c>
      <c r="P2249" s="35" t="str">
        <f>_xlfn.SINGLE(IF(F2249="","",_xlfn.XLOOKUP(F2249,purchase!D:D,purchase!K:K,"")))</f>
        <v/>
      </c>
      <c r="Q2249" s="29" t="str">
        <f t="shared" si="250"/>
        <v/>
      </c>
      <c r="R2249" s="37" t="str">
        <f t="shared" si="251"/>
        <v/>
      </c>
    </row>
    <row r="2250" spans="1:18" x14ac:dyDescent="0.35">
      <c r="A2250" s="8">
        <v>2246</v>
      </c>
      <c r="B2250" s="9" t="str">
        <f t="shared" si="245"/>
        <v/>
      </c>
      <c r="C2250" s="10"/>
      <c r="D2250" s="9" t="str">
        <f>IF(F2250="","",_xlfn.XLOOKUP(F2250,purchase!D:D,purchase!#REF!,""))</f>
        <v/>
      </c>
      <c r="E2250" s="9" t="str">
        <f>IF(F2250="","",_xlfn.XLOOKUP(F2250,purchase!D:D,purchase!B:B,""))</f>
        <v/>
      </c>
      <c r="F2250" s="2"/>
      <c r="G2250" s="4" t="str">
        <f t="shared" si="246"/>
        <v/>
      </c>
      <c r="H2250" s="4" t="str">
        <f>IF(F2250="","",_xlfn.XLOOKUP(F2250,purchase!D:D,purchase!#REF!,""))</f>
        <v/>
      </c>
      <c r="I2250" s="4" t="str">
        <f t="shared" si="247"/>
        <v/>
      </c>
      <c r="J2250" s="4" t="str">
        <f t="shared" si="248"/>
        <v/>
      </c>
      <c r="K2250" s="13" t="str">
        <f>_xlfn.SINGLE(IF(F2250="","",_xlfn.XLOOKUP(F2250,purchase!D:D,purchase!#REF!,"")))</f>
        <v/>
      </c>
      <c r="L2250" s="2"/>
      <c r="M2250" s="32"/>
      <c r="N2250" s="13" t="str">
        <f>IF(F2250="","",
MAX(0,
_xlfn.XLOOKUP(F2250,purchase!D:D,purchase!#REF!,"")
-
SUMIFS(L:L,F:F,F2250)))</f>
        <v/>
      </c>
      <c r="O2250" s="13" t="str">
        <f t="shared" si="249"/>
        <v/>
      </c>
      <c r="P2250" s="35" t="str">
        <f>_xlfn.SINGLE(IF(F2250="","",_xlfn.XLOOKUP(F2250,purchase!D:D,purchase!K:K,"")))</f>
        <v/>
      </c>
      <c r="Q2250" s="29" t="str">
        <f t="shared" si="250"/>
        <v/>
      </c>
      <c r="R2250" s="37" t="str">
        <f t="shared" si="251"/>
        <v/>
      </c>
    </row>
    <row r="2251" spans="1:18" x14ac:dyDescent="0.35">
      <c r="A2251" s="8">
        <v>2247</v>
      </c>
      <c r="B2251" s="9" t="str">
        <f t="shared" si="245"/>
        <v/>
      </c>
      <c r="C2251" s="10"/>
      <c r="D2251" s="9" t="str">
        <f>IF(F2251="","",_xlfn.XLOOKUP(F2251,purchase!D:D,purchase!#REF!,""))</f>
        <v/>
      </c>
      <c r="E2251" s="9" t="str">
        <f>IF(F2251="","",_xlfn.XLOOKUP(F2251,purchase!D:D,purchase!B:B,""))</f>
        <v/>
      </c>
      <c r="F2251" s="2"/>
      <c r="G2251" s="4" t="str">
        <f t="shared" si="246"/>
        <v/>
      </c>
      <c r="H2251" s="4" t="str">
        <f>IF(F2251="","",_xlfn.XLOOKUP(F2251,purchase!D:D,purchase!#REF!,""))</f>
        <v/>
      </c>
      <c r="I2251" s="4" t="str">
        <f t="shared" si="247"/>
        <v/>
      </c>
      <c r="J2251" s="4" t="str">
        <f t="shared" si="248"/>
        <v/>
      </c>
      <c r="K2251" s="13" t="str">
        <f>_xlfn.SINGLE(IF(F2251="","",_xlfn.XLOOKUP(F2251,purchase!D:D,purchase!#REF!,"")))</f>
        <v/>
      </c>
      <c r="L2251" s="2"/>
      <c r="M2251" s="32"/>
      <c r="N2251" s="13" t="str">
        <f>IF(F2251="","",
MAX(0,
_xlfn.XLOOKUP(F2251,purchase!D:D,purchase!#REF!,"")
-
SUMIFS(L:L,F:F,F2251)))</f>
        <v/>
      </c>
      <c r="O2251" s="13" t="str">
        <f t="shared" si="249"/>
        <v/>
      </c>
      <c r="P2251" s="35" t="str">
        <f>_xlfn.SINGLE(IF(F2251="","",_xlfn.XLOOKUP(F2251,purchase!D:D,purchase!K:K,"")))</f>
        <v/>
      </c>
      <c r="Q2251" s="29" t="str">
        <f t="shared" si="250"/>
        <v/>
      </c>
      <c r="R2251" s="37" t="str">
        <f t="shared" si="251"/>
        <v/>
      </c>
    </row>
    <row r="2252" spans="1:18" x14ac:dyDescent="0.35">
      <c r="A2252" s="8">
        <v>2248</v>
      </c>
      <c r="B2252" s="9" t="str">
        <f t="shared" si="245"/>
        <v/>
      </c>
      <c r="C2252" s="10"/>
      <c r="D2252" s="9" t="str">
        <f>IF(F2252="","",_xlfn.XLOOKUP(F2252,purchase!D:D,purchase!#REF!,""))</f>
        <v/>
      </c>
      <c r="E2252" s="9" t="str">
        <f>IF(F2252="","",_xlfn.XLOOKUP(F2252,purchase!D:D,purchase!B:B,""))</f>
        <v/>
      </c>
      <c r="F2252" s="2"/>
      <c r="G2252" s="4" t="str">
        <f t="shared" si="246"/>
        <v/>
      </c>
      <c r="H2252" s="4" t="str">
        <f>IF(F2252="","",_xlfn.XLOOKUP(F2252,purchase!D:D,purchase!#REF!,""))</f>
        <v/>
      </c>
      <c r="I2252" s="4" t="str">
        <f t="shared" si="247"/>
        <v/>
      </c>
      <c r="J2252" s="4" t="str">
        <f t="shared" si="248"/>
        <v/>
      </c>
      <c r="K2252" s="13" t="str">
        <f>_xlfn.SINGLE(IF(F2252="","",_xlfn.XLOOKUP(F2252,purchase!D:D,purchase!#REF!,"")))</f>
        <v/>
      </c>
      <c r="L2252" s="2"/>
      <c r="M2252" s="32"/>
      <c r="N2252" s="13" t="str">
        <f>IF(F2252="","",
MAX(0,
_xlfn.XLOOKUP(F2252,purchase!D:D,purchase!#REF!,"")
-
SUMIFS(L:L,F:F,F2252)))</f>
        <v/>
      </c>
      <c r="O2252" s="13" t="str">
        <f t="shared" si="249"/>
        <v/>
      </c>
      <c r="P2252" s="35" t="str">
        <f>_xlfn.SINGLE(IF(F2252="","",_xlfn.XLOOKUP(F2252,purchase!D:D,purchase!K:K,"")))</f>
        <v/>
      </c>
      <c r="Q2252" s="29" t="str">
        <f t="shared" si="250"/>
        <v/>
      </c>
      <c r="R2252" s="37" t="str">
        <f t="shared" si="251"/>
        <v/>
      </c>
    </row>
    <row r="2253" spans="1:18" x14ac:dyDescent="0.35">
      <c r="A2253" s="8">
        <v>2249</v>
      </c>
      <c r="B2253" s="9" t="str">
        <f t="shared" si="245"/>
        <v/>
      </c>
      <c r="C2253" s="10"/>
      <c r="D2253" s="9" t="str">
        <f>IF(F2253="","",_xlfn.XLOOKUP(F2253,purchase!D:D,purchase!#REF!,""))</f>
        <v/>
      </c>
      <c r="E2253" s="9" t="str">
        <f>IF(F2253="","",_xlfn.XLOOKUP(F2253,purchase!D:D,purchase!B:B,""))</f>
        <v/>
      </c>
      <c r="F2253" s="2"/>
      <c r="G2253" s="4" t="str">
        <f t="shared" si="246"/>
        <v/>
      </c>
      <c r="H2253" s="4" t="str">
        <f>IF(F2253="","",_xlfn.XLOOKUP(F2253,purchase!D:D,purchase!#REF!,""))</f>
        <v/>
      </c>
      <c r="I2253" s="4" t="str">
        <f t="shared" si="247"/>
        <v/>
      </c>
      <c r="J2253" s="4" t="str">
        <f t="shared" si="248"/>
        <v/>
      </c>
      <c r="K2253" s="13" t="str">
        <f>_xlfn.SINGLE(IF(F2253="","",_xlfn.XLOOKUP(F2253,purchase!D:D,purchase!#REF!,"")))</f>
        <v/>
      </c>
      <c r="L2253" s="2"/>
      <c r="M2253" s="32"/>
      <c r="N2253" s="13" t="str">
        <f>IF(F2253="","",
MAX(0,
_xlfn.XLOOKUP(F2253,purchase!D:D,purchase!#REF!,"")
-
SUMIFS(L:L,F:F,F2253)))</f>
        <v/>
      </c>
      <c r="O2253" s="13" t="str">
        <f t="shared" si="249"/>
        <v/>
      </c>
      <c r="P2253" s="35" t="str">
        <f>_xlfn.SINGLE(IF(F2253="","",_xlfn.XLOOKUP(F2253,purchase!D:D,purchase!K:K,"")))</f>
        <v/>
      </c>
      <c r="Q2253" s="29" t="str">
        <f t="shared" si="250"/>
        <v/>
      </c>
      <c r="R2253" s="37" t="str">
        <f t="shared" si="251"/>
        <v/>
      </c>
    </row>
    <row r="2254" spans="1:18" x14ac:dyDescent="0.35">
      <c r="A2254" s="8">
        <v>2250</v>
      </c>
      <c r="B2254" s="9" t="str">
        <f t="shared" si="245"/>
        <v/>
      </c>
      <c r="C2254" s="10"/>
      <c r="D2254" s="9" t="str">
        <f>IF(F2254="","",_xlfn.XLOOKUP(F2254,purchase!D:D,purchase!#REF!,""))</f>
        <v/>
      </c>
      <c r="E2254" s="9" t="str">
        <f>IF(F2254="","",_xlfn.XLOOKUP(F2254,purchase!D:D,purchase!B:B,""))</f>
        <v/>
      </c>
      <c r="F2254" s="2"/>
      <c r="G2254" s="4" t="str">
        <f t="shared" si="246"/>
        <v/>
      </c>
      <c r="H2254" s="4" t="str">
        <f>IF(F2254="","",_xlfn.XLOOKUP(F2254,purchase!D:D,purchase!#REF!,""))</f>
        <v/>
      </c>
      <c r="I2254" s="4" t="str">
        <f t="shared" si="247"/>
        <v/>
      </c>
      <c r="J2254" s="4" t="str">
        <f t="shared" si="248"/>
        <v/>
      </c>
      <c r="K2254" s="13" t="str">
        <f>_xlfn.SINGLE(IF(F2254="","",_xlfn.XLOOKUP(F2254,purchase!D:D,purchase!#REF!,"")))</f>
        <v/>
      </c>
      <c r="L2254" s="2"/>
      <c r="M2254" s="32"/>
      <c r="N2254" s="13" t="str">
        <f>IF(F2254="","",
MAX(0,
_xlfn.XLOOKUP(F2254,purchase!D:D,purchase!#REF!,"")
-
SUMIFS(L:L,F:F,F2254)))</f>
        <v/>
      </c>
      <c r="O2254" s="13" t="str">
        <f t="shared" si="249"/>
        <v/>
      </c>
      <c r="P2254" s="35" t="str">
        <f>_xlfn.SINGLE(IF(F2254="","",_xlfn.XLOOKUP(F2254,purchase!D:D,purchase!K:K,"")))</f>
        <v/>
      </c>
      <c r="Q2254" s="29" t="str">
        <f t="shared" si="250"/>
        <v/>
      </c>
      <c r="R2254" s="37" t="str">
        <f t="shared" si="251"/>
        <v/>
      </c>
    </row>
    <row r="2255" spans="1:18" x14ac:dyDescent="0.35">
      <c r="A2255" s="8">
        <v>2251</v>
      </c>
      <c r="B2255" s="9" t="str">
        <f t="shared" si="245"/>
        <v/>
      </c>
      <c r="C2255" s="10"/>
      <c r="D2255" s="9" t="str">
        <f>IF(F2255="","",_xlfn.XLOOKUP(F2255,purchase!D:D,purchase!#REF!,""))</f>
        <v/>
      </c>
      <c r="E2255" s="9" t="str">
        <f>IF(F2255="","",_xlfn.XLOOKUP(F2255,purchase!D:D,purchase!B:B,""))</f>
        <v/>
      </c>
      <c r="F2255" s="2"/>
      <c r="G2255" s="4" t="str">
        <f t="shared" si="246"/>
        <v/>
      </c>
      <c r="H2255" s="4" t="str">
        <f>IF(F2255="","",_xlfn.XLOOKUP(F2255,purchase!D:D,purchase!#REF!,""))</f>
        <v/>
      </c>
      <c r="I2255" s="4" t="str">
        <f t="shared" si="247"/>
        <v/>
      </c>
      <c r="J2255" s="4" t="str">
        <f t="shared" si="248"/>
        <v/>
      </c>
      <c r="K2255" s="13" t="str">
        <f>_xlfn.SINGLE(IF(F2255="","",_xlfn.XLOOKUP(F2255,purchase!D:D,purchase!#REF!,"")))</f>
        <v/>
      </c>
      <c r="L2255" s="2"/>
      <c r="M2255" s="32"/>
      <c r="N2255" s="13" t="str">
        <f>IF(F2255="","",
MAX(0,
_xlfn.XLOOKUP(F2255,purchase!D:D,purchase!#REF!,"")
-
SUMIFS(L:L,F:F,F2255)))</f>
        <v/>
      </c>
      <c r="O2255" s="13" t="str">
        <f t="shared" si="249"/>
        <v/>
      </c>
      <c r="P2255" s="35" t="str">
        <f>_xlfn.SINGLE(IF(F2255="","",_xlfn.XLOOKUP(F2255,purchase!D:D,purchase!K:K,"")))</f>
        <v/>
      </c>
      <c r="Q2255" s="29" t="str">
        <f t="shared" si="250"/>
        <v/>
      </c>
      <c r="R2255" s="37" t="str">
        <f t="shared" si="251"/>
        <v/>
      </c>
    </row>
    <row r="2256" spans="1:18" x14ac:dyDescent="0.35">
      <c r="A2256" s="8">
        <v>2252</v>
      </c>
      <c r="B2256" s="9" t="str">
        <f t="shared" si="245"/>
        <v/>
      </c>
      <c r="C2256" s="10"/>
      <c r="D2256" s="9" t="str">
        <f>IF(F2256="","",_xlfn.XLOOKUP(F2256,purchase!D:D,purchase!#REF!,""))</f>
        <v/>
      </c>
      <c r="E2256" s="9" t="str">
        <f>IF(F2256="","",_xlfn.XLOOKUP(F2256,purchase!D:D,purchase!B:B,""))</f>
        <v/>
      </c>
      <c r="F2256" s="2"/>
      <c r="G2256" s="4" t="str">
        <f t="shared" si="246"/>
        <v/>
      </c>
      <c r="H2256" s="4" t="str">
        <f>IF(F2256="","",_xlfn.XLOOKUP(F2256,purchase!D:D,purchase!#REF!,""))</f>
        <v/>
      </c>
      <c r="I2256" s="4" t="str">
        <f t="shared" si="247"/>
        <v/>
      </c>
      <c r="J2256" s="4" t="str">
        <f t="shared" si="248"/>
        <v/>
      </c>
      <c r="K2256" s="13" t="str">
        <f>_xlfn.SINGLE(IF(F2256="","",_xlfn.XLOOKUP(F2256,purchase!D:D,purchase!#REF!,"")))</f>
        <v/>
      </c>
      <c r="L2256" s="2"/>
      <c r="M2256" s="32"/>
      <c r="N2256" s="13" t="str">
        <f>IF(F2256="","",
MAX(0,
_xlfn.XLOOKUP(F2256,purchase!D:D,purchase!#REF!,"")
-
SUMIFS(L:L,F:F,F2256)))</f>
        <v/>
      </c>
      <c r="O2256" s="13" t="str">
        <f t="shared" si="249"/>
        <v/>
      </c>
      <c r="P2256" s="35" t="str">
        <f>_xlfn.SINGLE(IF(F2256="","",_xlfn.XLOOKUP(F2256,purchase!D:D,purchase!K:K,"")))</f>
        <v/>
      </c>
      <c r="Q2256" s="29" t="str">
        <f t="shared" si="250"/>
        <v/>
      </c>
      <c r="R2256" s="37" t="str">
        <f t="shared" si="251"/>
        <v/>
      </c>
    </row>
    <row r="2257" spans="1:18" x14ac:dyDescent="0.35">
      <c r="A2257" s="8">
        <v>2253</v>
      </c>
      <c r="B2257" s="9" t="str">
        <f t="shared" si="245"/>
        <v/>
      </c>
      <c r="C2257" s="10"/>
      <c r="D2257" s="9" t="str">
        <f>IF(F2257="","",_xlfn.XLOOKUP(F2257,purchase!D:D,purchase!#REF!,""))</f>
        <v/>
      </c>
      <c r="E2257" s="9" t="str">
        <f>IF(F2257="","",_xlfn.XLOOKUP(F2257,purchase!D:D,purchase!B:B,""))</f>
        <v/>
      </c>
      <c r="F2257" s="2"/>
      <c r="G2257" s="4" t="str">
        <f t="shared" si="246"/>
        <v/>
      </c>
      <c r="H2257" s="4" t="str">
        <f>IF(F2257="","",_xlfn.XLOOKUP(F2257,purchase!D:D,purchase!#REF!,""))</f>
        <v/>
      </c>
      <c r="I2257" s="4" t="str">
        <f t="shared" si="247"/>
        <v/>
      </c>
      <c r="J2257" s="4" t="str">
        <f t="shared" si="248"/>
        <v/>
      </c>
      <c r="K2257" s="13" t="str">
        <f>_xlfn.SINGLE(IF(F2257="","",_xlfn.XLOOKUP(F2257,purchase!D:D,purchase!#REF!,"")))</f>
        <v/>
      </c>
      <c r="L2257" s="2"/>
      <c r="M2257" s="32"/>
      <c r="N2257" s="13" t="str">
        <f>IF(F2257="","",
MAX(0,
_xlfn.XLOOKUP(F2257,purchase!D:D,purchase!#REF!,"")
-
SUMIFS(L:L,F:F,F2257)))</f>
        <v/>
      </c>
      <c r="O2257" s="13" t="str">
        <f t="shared" si="249"/>
        <v/>
      </c>
      <c r="P2257" s="35" t="str">
        <f>_xlfn.SINGLE(IF(F2257="","",_xlfn.XLOOKUP(F2257,purchase!D:D,purchase!K:K,"")))</f>
        <v/>
      </c>
      <c r="Q2257" s="29" t="str">
        <f t="shared" si="250"/>
        <v/>
      </c>
      <c r="R2257" s="37" t="str">
        <f t="shared" si="251"/>
        <v/>
      </c>
    </row>
    <row r="2258" spans="1:18" x14ac:dyDescent="0.35">
      <c r="A2258" s="8">
        <v>2254</v>
      </c>
      <c r="B2258" s="9" t="str">
        <f t="shared" si="245"/>
        <v/>
      </c>
      <c r="C2258" s="10"/>
      <c r="D2258" s="9" t="str">
        <f>IF(F2258="","",_xlfn.XLOOKUP(F2258,purchase!D:D,purchase!#REF!,""))</f>
        <v/>
      </c>
      <c r="E2258" s="9" t="str">
        <f>IF(F2258="","",_xlfn.XLOOKUP(F2258,purchase!D:D,purchase!B:B,""))</f>
        <v/>
      </c>
      <c r="F2258" s="2"/>
      <c r="G2258" s="4" t="str">
        <f t="shared" si="246"/>
        <v/>
      </c>
      <c r="H2258" s="4" t="str">
        <f>IF(F2258="","",_xlfn.XLOOKUP(F2258,purchase!D:D,purchase!#REF!,""))</f>
        <v/>
      </c>
      <c r="I2258" s="4" t="str">
        <f t="shared" si="247"/>
        <v/>
      </c>
      <c r="J2258" s="4" t="str">
        <f t="shared" si="248"/>
        <v/>
      </c>
      <c r="K2258" s="13" t="str">
        <f>_xlfn.SINGLE(IF(F2258="","",_xlfn.XLOOKUP(F2258,purchase!D:D,purchase!#REF!,"")))</f>
        <v/>
      </c>
      <c r="L2258" s="2"/>
      <c r="M2258" s="32"/>
      <c r="N2258" s="13" t="str">
        <f>IF(F2258="","",
MAX(0,
_xlfn.XLOOKUP(F2258,purchase!D:D,purchase!#REF!,"")
-
SUMIFS(L:L,F:F,F2258)))</f>
        <v/>
      </c>
      <c r="O2258" s="13" t="str">
        <f t="shared" si="249"/>
        <v/>
      </c>
      <c r="P2258" s="35" t="str">
        <f>_xlfn.SINGLE(IF(F2258="","",_xlfn.XLOOKUP(F2258,purchase!D:D,purchase!K:K,"")))</f>
        <v/>
      </c>
      <c r="Q2258" s="29" t="str">
        <f t="shared" si="250"/>
        <v/>
      </c>
      <c r="R2258" s="37" t="str">
        <f t="shared" si="251"/>
        <v/>
      </c>
    </row>
    <row r="2259" spans="1:18" x14ac:dyDescent="0.35">
      <c r="A2259" s="8">
        <v>2255</v>
      </c>
      <c r="B2259" s="9" t="str">
        <f t="shared" si="245"/>
        <v/>
      </c>
      <c r="C2259" s="10"/>
      <c r="D2259" s="9" t="str">
        <f>IF(F2259="","",_xlfn.XLOOKUP(F2259,purchase!D:D,purchase!#REF!,""))</f>
        <v/>
      </c>
      <c r="E2259" s="9" t="str">
        <f>IF(F2259="","",_xlfn.XLOOKUP(F2259,purchase!D:D,purchase!B:B,""))</f>
        <v/>
      </c>
      <c r="F2259" s="2"/>
      <c r="G2259" s="4" t="str">
        <f t="shared" si="246"/>
        <v/>
      </c>
      <c r="H2259" s="4" t="str">
        <f>IF(F2259="","",_xlfn.XLOOKUP(F2259,purchase!D:D,purchase!#REF!,""))</f>
        <v/>
      </c>
      <c r="I2259" s="4" t="str">
        <f t="shared" si="247"/>
        <v/>
      </c>
      <c r="J2259" s="4" t="str">
        <f t="shared" si="248"/>
        <v/>
      </c>
      <c r="K2259" s="13" t="str">
        <f>_xlfn.SINGLE(IF(F2259="","",_xlfn.XLOOKUP(F2259,purchase!D:D,purchase!#REF!,"")))</f>
        <v/>
      </c>
      <c r="L2259" s="2"/>
      <c r="M2259" s="32"/>
      <c r="N2259" s="13" t="str">
        <f>IF(F2259="","",
MAX(0,
_xlfn.XLOOKUP(F2259,purchase!D:D,purchase!#REF!,"")
-
SUMIFS(L:L,F:F,F2259)))</f>
        <v/>
      </c>
      <c r="O2259" s="13" t="str">
        <f t="shared" si="249"/>
        <v/>
      </c>
      <c r="P2259" s="35" t="str">
        <f>_xlfn.SINGLE(IF(F2259="","",_xlfn.XLOOKUP(F2259,purchase!D:D,purchase!K:K,"")))</f>
        <v/>
      </c>
      <c r="Q2259" s="29" t="str">
        <f t="shared" si="250"/>
        <v/>
      </c>
      <c r="R2259" s="37" t="str">
        <f t="shared" si="251"/>
        <v/>
      </c>
    </row>
    <row r="2260" spans="1:18" x14ac:dyDescent="0.35">
      <c r="A2260" s="8">
        <v>2256</v>
      </c>
      <c r="B2260" s="9" t="str">
        <f t="shared" si="245"/>
        <v/>
      </c>
      <c r="C2260" s="10"/>
      <c r="D2260" s="9" t="str">
        <f>IF(F2260="","",_xlfn.XLOOKUP(F2260,purchase!D:D,purchase!#REF!,""))</f>
        <v/>
      </c>
      <c r="E2260" s="9" t="str">
        <f>IF(F2260="","",_xlfn.XLOOKUP(F2260,purchase!D:D,purchase!B:B,""))</f>
        <v/>
      </c>
      <c r="F2260" s="2"/>
      <c r="G2260" s="4" t="str">
        <f t="shared" si="246"/>
        <v/>
      </c>
      <c r="H2260" s="4" t="str">
        <f>IF(F2260="","",_xlfn.XLOOKUP(F2260,purchase!D:D,purchase!#REF!,""))</f>
        <v/>
      </c>
      <c r="I2260" s="4" t="str">
        <f t="shared" si="247"/>
        <v/>
      </c>
      <c r="J2260" s="4" t="str">
        <f t="shared" si="248"/>
        <v/>
      </c>
      <c r="K2260" s="13" t="str">
        <f>_xlfn.SINGLE(IF(F2260="","",_xlfn.XLOOKUP(F2260,purchase!D:D,purchase!#REF!,"")))</f>
        <v/>
      </c>
      <c r="L2260" s="2"/>
      <c r="M2260" s="32"/>
      <c r="N2260" s="13" t="str">
        <f>IF(F2260="","",
MAX(0,
_xlfn.XLOOKUP(F2260,purchase!D:D,purchase!#REF!,"")
-
SUMIFS(L:L,F:F,F2260)))</f>
        <v/>
      </c>
      <c r="O2260" s="13" t="str">
        <f t="shared" si="249"/>
        <v/>
      </c>
      <c r="P2260" s="35" t="str">
        <f>_xlfn.SINGLE(IF(F2260="","",_xlfn.XLOOKUP(F2260,purchase!D:D,purchase!K:K,"")))</f>
        <v/>
      </c>
      <c r="Q2260" s="29" t="str">
        <f t="shared" si="250"/>
        <v/>
      </c>
      <c r="R2260" s="37" t="str">
        <f t="shared" si="251"/>
        <v/>
      </c>
    </row>
    <row r="2261" spans="1:18" x14ac:dyDescent="0.35">
      <c r="A2261" s="8">
        <v>2257</v>
      </c>
      <c r="B2261" s="9" t="str">
        <f t="shared" si="245"/>
        <v/>
      </c>
      <c r="C2261" s="10"/>
      <c r="D2261" s="9" t="str">
        <f>IF(F2261="","",_xlfn.XLOOKUP(F2261,purchase!D:D,purchase!#REF!,""))</f>
        <v/>
      </c>
      <c r="E2261" s="9" t="str">
        <f>IF(F2261="","",_xlfn.XLOOKUP(F2261,purchase!D:D,purchase!B:B,""))</f>
        <v/>
      </c>
      <c r="F2261" s="2"/>
      <c r="G2261" s="4" t="str">
        <f t="shared" si="246"/>
        <v/>
      </c>
      <c r="H2261" s="4" t="str">
        <f>IF(F2261="","",_xlfn.XLOOKUP(F2261,purchase!D:D,purchase!#REF!,""))</f>
        <v/>
      </c>
      <c r="I2261" s="4" t="str">
        <f t="shared" si="247"/>
        <v/>
      </c>
      <c r="J2261" s="4" t="str">
        <f t="shared" si="248"/>
        <v/>
      </c>
      <c r="K2261" s="13" t="str">
        <f>_xlfn.SINGLE(IF(F2261="","",_xlfn.XLOOKUP(F2261,purchase!D:D,purchase!#REF!,"")))</f>
        <v/>
      </c>
      <c r="L2261" s="2"/>
      <c r="M2261" s="32"/>
      <c r="N2261" s="13" t="str">
        <f>IF(F2261="","",
MAX(0,
_xlfn.XLOOKUP(F2261,purchase!D:D,purchase!#REF!,"")
-
SUMIFS(L:L,F:F,F2261)))</f>
        <v/>
      </c>
      <c r="O2261" s="13" t="str">
        <f t="shared" si="249"/>
        <v/>
      </c>
      <c r="P2261" s="35" t="str">
        <f>_xlfn.SINGLE(IF(F2261="","",_xlfn.XLOOKUP(F2261,purchase!D:D,purchase!K:K,"")))</f>
        <v/>
      </c>
      <c r="Q2261" s="29" t="str">
        <f t="shared" si="250"/>
        <v/>
      </c>
      <c r="R2261" s="37" t="str">
        <f t="shared" si="251"/>
        <v/>
      </c>
    </row>
    <row r="2262" spans="1:18" x14ac:dyDescent="0.35">
      <c r="A2262" s="8">
        <v>2258</v>
      </c>
      <c r="B2262" s="9" t="str">
        <f t="shared" si="245"/>
        <v/>
      </c>
      <c r="C2262" s="10"/>
      <c r="D2262" s="9" t="str">
        <f>IF(F2262="","",_xlfn.XLOOKUP(F2262,purchase!D:D,purchase!#REF!,""))</f>
        <v/>
      </c>
      <c r="E2262" s="9" t="str">
        <f>IF(F2262="","",_xlfn.XLOOKUP(F2262,purchase!D:D,purchase!B:B,""))</f>
        <v/>
      </c>
      <c r="F2262" s="2"/>
      <c r="G2262" s="4" t="str">
        <f t="shared" si="246"/>
        <v/>
      </c>
      <c r="H2262" s="4" t="str">
        <f>IF(F2262="","",_xlfn.XLOOKUP(F2262,purchase!D:D,purchase!#REF!,""))</f>
        <v/>
      </c>
      <c r="I2262" s="4" t="str">
        <f t="shared" si="247"/>
        <v/>
      </c>
      <c r="J2262" s="4" t="str">
        <f t="shared" si="248"/>
        <v/>
      </c>
      <c r="K2262" s="13" t="str">
        <f>_xlfn.SINGLE(IF(F2262="","",_xlfn.XLOOKUP(F2262,purchase!D:D,purchase!#REF!,"")))</f>
        <v/>
      </c>
      <c r="L2262" s="2"/>
      <c r="M2262" s="32"/>
      <c r="N2262" s="13" t="str">
        <f>IF(F2262="","",
MAX(0,
_xlfn.XLOOKUP(F2262,purchase!D:D,purchase!#REF!,"")
-
SUMIFS(L:L,F:F,F2262)))</f>
        <v/>
      </c>
      <c r="O2262" s="13" t="str">
        <f t="shared" si="249"/>
        <v/>
      </c>
      <c r="P2262" s="35" t="str">
        <f>_xlfn.SINGLE(IF(F2262="","",_xlfn.XLOOKUP(F2262,purchase!D:D,purchase!K:K,"")))</f>
        <v/>
      </c>
      <c r="Q2262" s="29" t="str">
        <f t="shared" si="250"/>
        <v/>
      </c>
      <c r="R2262" s="37" t="str">
        <f t="shared" si="251"/>
        <v/>
      </c>
    </row>
    <row r="2263" spans="1:18" x14ac:dyDescent="0.35">
      <c r="A2263" s="8">
        <v>2259</v>
      </c>
      <c r="B2263" s="9" t="str">
        <f t="shared" si="245"/>
        <v/>
      </c>
      <c r="C2263" s="10"/>
      <c r="D2263" s="9" t="str">
        <f>IF(F2263="","",_xlfn.XLOOKUP(F2263,purchase!D:D,purchase!#REF!,""))</f>
        <v/>
      </c>
      <c r="E2263" s="9" t="str">
        <f>IF(F2263="","",_xlfn.XLOOKUP(F2263,purchase!D:D,purchase!B:B,""))</f>
        <v/>
      </c>
      <c r="F2263" s="2"/>
      <c r="G2263" s="4" t="str">
        <f t="shared" si="246"/>
        <v/>
      </c>
      <c r="H2263" s="4" t="str">
        <f>IF(F2263="","",_xlfn.XLOOKUP(F2263,purchase!D:D,purchase!#REF!,""))</f>
        <v/>
      </c>
      <c r="I2263" s="4" t="str">
        <f t="shared" si="247"/>
        <v/>
      </c>
      <c r="J2263" s="4" t="str">
        <f t="shared" si="248"/>
        <v/>
      </c>
      <c r="K2263" s="13" t="str">
        <f>_xlfn.SINGLE(IF(F2263="","",_xlfn.XLOOKUP(F2263,purchase!D:D,purchase!#REF!,"")))</f>
        <v/>
      </c>
      <c r="L2263" s="2"/>
      <c r="M2263" s="32"/>
      <c r="N2263" s="13" t="str">
        <f>IF(F2263="","",
MAX(0,
_xlfn.XLOOKUP(F2263,purchase!D:D,purchase!#REF!,"")
-
SUMIFS(L:L,F:F,F2263)))</f>
        <v/>
      </c>
      <c r="O2263" s="13" t="str">
        <f t="shared" si="249"/>
        <v/>
      </c>
      <c r="P2263" s="35" t="str">
        <f>_xlfn.SINGLE(IF(F2263="","",_xlfn.XLOOKUP(F2263,purchase!D:D,purchase!K:K,"")))</f>
        <v/>
      </c>
      <c r="Q2263" s="29" t="str">
        <f t="shared" si="250"/>
        <v/>
      </c>
      <c r="R2263" s="37" t="str">
        <f t="shared" si="251"/>
        <v/>
      </c>
    </row>
    <row r="2264" spans="1:18" x14ac:dyDescent="0.35">
      <c r="A2264" s="8">
        <v>2260</v>
      </c>
      <c r="B2264" s="9" t="str">
        <f t="shared" si="245"/>
        <v/>
      </c>
      <c r="C2264" s="10"/>
      <c r="D2264" s="9" t="str">
        <f>IF(F2264="","",_xlfn.XLOOKUP(F2264,purchase!D:D,purchase!#REF!,""))</f>
        <v/>
      </c>
      <c r="E2264" s="9" t="str">
        <f>IF(F2264="","",_xlfn.XLOOKUP(F2264,purchase!D:D,purchase!B:B,""))</f>
        <v/>
      </c>
      <c r="F2264" s="2"/>
      <c r="G2264" s="4" t="str">
        <f t="shared" si="246"/>
        <v/>
      </c>
      <c r="H2264" s="4" t="str">
        <f>IF(F2264="","",_xlfn.XLOOKUP(F2264,purchase!D:D,purchase!#REF!,""))</f>
        <v/>
      </c>
      <c r="I2264" s="4" t="str">
        <f t="shared" si="247"/>
        <v/>
      </c>
      <c r="J2264" s="4" t="str">
        <f t="shared" si="248"/>
        <v/>
      </c>
      <c r="K2264" s="13" t="str">
        <f>_xlfn.SINGLE(IF(F2264="","",_xlfn.XLOOKUP(F2264,purchase!D:D,purchase!#REF!,"")))</f>
        <v/>
      </c>
      <c r="L2264" s="2"/>
      <c r="M2264" s="32"/>
      <c r="N2264" s="13" t="str">
        <f>IF(F2264="","",
MAX(0,
_xlfn.XLOOKUP(F2264,purchase!D:D,purchase!#REF!,"")
-
SUMIFS(L:L,F:F,F2264)))</f>
        <v/>
      </c>
      <c r="O2264" s="13" t="str">
        <f t="shared" si="249"/>
        <v/>
      </c>
      <c r="P2264" s="35" t="str">
        <f>_xlfn.SINGLE(IF(F2264="","",_xlfn.XLOOKUP(F2264,purchase!D:D,purchase!K:K,"")))</f>
        <v/>
      </c>
      <c r="Q2264" s="29" t="str">
        <f t="shared" si="250"/>
        <v/>
      </c>
      <c r="R2264" s="37" t="str">
        <f t="shared" si="251"/>
        <v/>
      </c>
    </row>
    <row r="2265" spans="1:18" x14ac:dyDescent="0.35">
      <c r="A2265" s="8">
        <v>2261</v>
      </c>
      <c r="B2265" s="9" t="str">
        <f t="shared" si="245"/>
        <v/>
      </c>
      <c r="C2265" s="10"/>
      <c r="D2265" s="9" t="str">
        <f>IF(F2265="","",_xlfn.XLOOKUP(F2265,purchase!D:D,purchase!#REF!,""))</f>
        <v/>
      </c>
      <c r="E2265" s="9" t="str">
        <f>IF(F2265="","",_xlfn.XLOOKUP(F2265,purchase!D:D,purchase!B:B,""))</f>
        <v/>
      </c>
      <c r="F2265" s="2"/>
      <c r="G2265" s="4" t="str">
        <f t="shared" si="246"/>
        <v/>
      </c>
      <c r="H2265" s="4" t="str">
        <f>IF(F2265="","",_xlfn.XLOOKUP(F2265,purchase!D:D,purchase!#REF!,""))</f>
        <v/>
      </c>
      <c r="I2265" s="4" t="str">
        <f t="shared" si="247"/>
        <v/>
      </c>
      <c r="J2265" s="4" t="str">
        <f t="shared" si="248"/>
        <v/>
      </c>
      <c r="K2265" s="13" t="str">
        <f>_xlfn.SINGLE(IF(F2265="","",_xlfn.XLOOKUP(F2265,purchase!D:D,purchase!#REF!,"")))</f>
        <v/>
      </c>
      <c r="L2265" s="2"/>
      <c r="M2265" s="32"/>
      <c r="N2265" s="13" t="str">
        <f>IF(F2265="","",
MAX(0,
_xlfn.XLOOKUP(F2265,purchase!D:D,purchase!#REF!,"")
-
SUMIFS(L:L,F:F,F2265)))</f>
        <v/>
      </c>
      <c r="O2265" s="13" t="str">
        <f t="shared" si="249"/>
        <v/>
      </c>
      <c r="P2265" s="35" t="str">
        <f>_xlfn.SINGLE(IF(F2265="","",_xlfn.XLOOKUP(F2265,purchase!D:D,purchase!K:K,"")))</f>
        <v/>
      </c>
      <c r="Q2265" s="29" t="str">
        <f t="shared" si="250"/>
        <v/>
      </c>
      <c r="R2265" s="37" t="str">
        <f t="shared" si="251"/>
        <v/>
      </c>
    </row>
    <row r="2266" spans="1:18" x14ac:dyDescent="0.35">
      <c r="A2266" s="8">
        <v>2262</v>
      </c>
      <c r="B2266" s="9" t="str">
        <f t="shared" si="245"/>
        <v/>
      </c>
      <c r="C2266" s="10"/>
      <c r="D2266" s="9" t="str">
        <f>IF(F2266="","",_xlfn.XLOOKUP(F2266,purchase!D:D,purchase!#REF!,""))</f>
        <v/>
      </c>
      <c r="E2266" s="9" t="str">
        <f>IF(F2266="","",_xlfn.XLOOKUP(F2266,purchase!D:D,purchase!B:B,""))</f>
        <v/>
      </c>
      <c r="F2266" s="2"/>
      <c r="G2266" s="4" t="str">
        <f t="shared" si="246"/>
        <v/>
      </c>
      <c r="H2266" s="4" t="str">
        <f>IF(F2266="","",_xlfn.XLOOKUP(F2266,purchase!D:D,purchase!#REF!,""))</f>
        <v/>
      </c>
      <c r="I2266" s="4" t="str">
        <f t="shared" si="247"/>
        <v/>
      </c>
      <c r="J2266" s="4" t="str">
        <f t="shared" si="248"/>
        <v/>
      </c>
      <c r="K2266" s="13" t="str">
        <f>_xlfn.SINGLE(IF(F2266="","",_xlfn.XLOOKUP(F2266,purchase!D:D,purchase!#REF!,"")))</f>
        <v/>
      </c>
      <c r="L2266" s="2"/>
      <c r="M2266" s="32"/>
      <c r="N2266" s="13" t="str">
        <f>IF(F2266="","",
MAX(0,
_xlfn.XLOOKUP(F2266,purchase!D:D,purchase!#REF!,"")
-
SUMIFS(L:L,F:F,F2266)))</f>
        <v/>
      </c>
      <c r="O2266" s="13" t="str">
        <f t="shared" si="249"/>
        <v/>
      </c>
      <c r="P2266" s="35" t="str">
        <f>_xlfn.SINGLE(IF(F2266="","",_xlfn.XLOOKUP(F2266,purchase!D:D,purchase!K:K,"")))</f>
        <v/>
      </c>
      <c r="Q2266" s="29" t="str">
        <f t="shared" si="250"/>
        <v/>
      </c>
      <c r="R2266" s="37" t="str">
        <f t="shared" si="251"/>
        <v/>
      </c>
    </row>
    <row r="2267" spans="1:18" x14ac:dyDescent="0.35">
      <c r="A2267" s="8">
        <v>2263</v>
      </c>
      <c r="B2267" s="9" t="str">
        <f t="shared" si="245"/>
        <v/>
      </c>
      <c r="C2267" s="10"/>
      <c r="D2267" s="9" t="str">
        <f>IF(F2267="","",_xlfn.XLOOKUP(F2267,purchase!D:D,purchase!#REF!,""))</f>
        <v/>
      </c>
      <c r="E2267" s="9" t="str">
        <f>IF(F2267="","",_xlfn.XLOOKUP(F2267,purchase!D:D,purchase!B:B,""))</f>
        <v/>
      </c>
      <c r="F2267" s="2"/>
      <c r="G2267" s="4" t="str">
        <f t="shared" si="246"/>
        <v/>
      </c>
      <c r="H2267" s="4" t="str">
        <f>IF(F2267="","",_xlfn.XLOOKUP(F2267,purchase!D:D,purchase!#REF!,""))</f>
        <v/>
      </c>
      <c r="I2267" s="4" t="str">
        <f t="shared" si="247"/>
        <v/>
      </c>
      <c r="J2267" s="4" t="str">
        <f t="shared" si="248"/>
        <v/>
      </c>
      <c r="K2267" s="13" t="str">
        <f>_xlfn.SINGLE(IF(F2267="","",_xlfn.XLOOKUP(F2267,purchase!D:D,purchase!#REF!,"")))</f>
        <v/>
      </c>
      <c r="L2267" s="2"/>
      <c r="M2267" s="32"/>
      <c r="N2267" s="13" t="str">
        <f>IF(F2267="","",
MAX(0,
_xlfn.XLOOKUP(F2267,purchase!D:D,purchase!#REF!,"")
-
SUMIFS(L:L,F:F,F2267)))</f>
        <v/>
      </c>
      <c r="O2267" s="13" t="str">
        <f t="shared" si="249"/>
        <v/>
      </c>
      <c r="P2267" s="35" t="str">
        <f>_xlfn.SINGLE(IF(F2267="","",_xlfn.XLOOKUP(F2267,purchase!D:D,purchase!K:K,"")))</f>
        <v/>
      </c>
      <c r="Q2267" s="29" t="str">
        <f t="shared" si="250"/>
        <v/>
      </c>
      <c r="R2267" s="37" t="str">
        <f t="shared" si="251"/>
        <v/>
      </c>
    </row>
    <row r="2268" spans="1:18" x14ac:dyDescent="0.35">
      <c r="A2268" s="8">
        <v>2264</v>
      </c>
      <c r="B2268" s="9" t="str">
        <f t="shared" si="245"/>
        <v/>
      </c>
      <c r="C2268" s="10"/>
      <c r="D2268" s="9" t="str">
        <f>IF(F2268="","",_xlfn.XLOOKUP(F2268,purchase!D:D,purchase!#REF!,""))</f>
        <v/>
      </c>
      <c r="E2268" s="9" t="str">
        <f>IF(F2268="","",_xlfn.XLOOKUP(F2268,purchase!D:D,purchase!B:B,""))</f>
        <v/>
      </c>
      <c r="F2268" s="2"/>
      <c r="G2268" s="4" t="str">
        <f t="shared" si="246"/>
        <v/>
      </c>
      <c r="H2268" s="4" t="str">
        <f>IF(F2268="","",_xlfn.XLOOKUP(F2268,purchase!D:D,purchase!#REF!,""))</f>
        <v/>
      </c>
      <c r="I2268" s="4" t="str">
        <f t="shared" si="247"/>
        <v/>
      </c>
      <c r="J2268" s="4" t="str">
        <f t="shared" si="248"/>
        <v/>
      </c>
      <c r="K2268" s="13" t="str">
        <f>_xlfn.SINGLE(IF(F2268="","",_xlfn.XLOOKUP(F2268,purchase!D:D,purchase!#REF!,"")))</f>
        <v/>
      </c>
      <c r="L2268" s="2"/>
      <c r="M2268" s="32"/>
      <c r="N2268" s="13" t="str">
        <f>IF(F2268="","",
MAX(0,
_xlfn.XLOOKUP(F2268,purchase!D:D,purchase!#REF!,"")
-
SUMIFS(L:L,F:F,F2268)))</f>
        <v/>
      </c>
      <c r="O2268" s="13" t="str">
        <f t="shared" si="249"/>
        <v/>
      </c>
      <c r="P2268" s="35" t="str">
        <f>_xlfn.SINGLE(IF(F2268="","",_xlfn.XLOOKUP(F2268,purchase!D:D,purchase!K:K,"")))</f>
        <v/>
      </c>
      <c r="Q2268" s="29" t="str">
        <f t="shared" si="250"/>
        <v/>
      </c>
      <c r="R2268" s="37" t="str">
        <f t="shared" si="251"/>
        <v/>
      </c>
    </row>
    <row r="2269" spans="1:18" x14ac:dyDescent="0.35">
      <c r="A2269" s="8">
        <v>2265</v>
      </c>
      <c r="B2269" s="9" t="str">
        <f t="shared" si="245"/>
        <v/>
      </c>
      <c r="C2269" s="10"/>
      <c r="D2269" s="9" t="str">
        <f>IF(F2269="","",_xlfn.XLOOKUP(F2269,purchase!D:D,purchase!#REF!,""))</f>
        <v/>
      </c>
      <c r="E2269" s="9" t="str">
        <f>IF(F2269="","",_xlfn.XLOOKUP(F2269,purchase!D:D,purchase!B:B,""))</f>
        <v/>
      </c>
      <c r="F2269" s="2"/>
      <c r="G2269" s="4" t="str">
        <f t="shared" si="246"/>
        <v/>
      </c>
      <c r="H2269" s="4" t="str">
        <f>IF(F2269="","",_xlfn.XLOOKUP(F2269,purchase!D:D,purchase!#REF!,""))</f>
        <v/>
      </c>
      <c r="I2269" s="4" t="str">
        <f t="shared" si="247"/>
        <v/>
      </c>
      <c r="J2269" s="4" t="str">
        <f t="shared" si="248"/>
        <v/>
      </c>
      <c r="K2269" s="13" t="str">
        <f>_xlfn.SINGLE(IF(F2269="","",_xlfn.XLOOKUP(F2269,purchase!D:D,purchase!#REF!,"")))</f>
        <v/>
      </c>
      <c r="L2269" s="2"/>
      <c r="M2269" s="32"/>
      <c r="N2269" s="13" t="str">
        <f>IF(F2269="","",
MAX(0,
_xlfn.XLOOKUP(F2269,purchase!D:D,purchase!#REF!,"")
-
SUMIFS(L:L,F:F,F2269)))</f>
        <v/>
      </c>
      <c r="O2269" s="13" t="str">
        <f t="shared" si="249"/>
        <v/>
      </c>
      <c r="P2269" s="35" t="str">
        <f>_xlfn.SINGLE(IF(F2269="","",_xlfn.XLOOKUP(F2269,purchase!D:D,purchase!K:K,"")))</f>
        <v/>
      </c>
      <c r="Q2269" s="29" t="str">
        <f t="shared" si="250"/>
        <v/>
      </c>
      <c r="R2269" s="37" t="str">
        <f t="shared" si="251"/>
        <v/>
      </c>
    </row>
    <row r="2270" spans="1:18" x14ac:dyDescent="0.35">
      <c r="A2270" s="8">
        <v>2266</v>
      </c>
      <c r="B2270" s="9" t="str">
        <f t="shared" si="245"/>
        <v/>
      </c>
      <c r="C2270" s="10"/>
      <c r="D2270" s="9" t="str">
        <f>IF(F2270="","",_xlfn.XLOOKUP(F2270,purchase!D:D,purchase!#REF!,""))</f>
        <v/>
      </c>
      <c r="E2270" s="9" t="str">
        <f>IF(F2270="","",_xlfn.XLOOKUP(F2270,purchase!D:D,purchase!B:B,""))</f>
        <v/>
      </c>
      <c r="F2270" s="2"/>
      <c r="G2270" s="4" t="str">
        <f t="shared" si="246"/>
        <v/>
      </c>
      <c r="H2270" s="4" t="str">
        <f>IF(F2270="","",_xlfn.XLOOKUP(F2270,purchase!D:D,purchase!#REF!,""))</f>
        <v/>
      </c>
      <c r="I2270" s="4" t="str">
        <f t="shared" si="247"/>
        <v/>
      </c>
      <c r="J2270" s="4" t="str">
        <f t="shared" si="248"/>
        <v/>
      </c>
      <c r="K2270" s="13" t="str">
        <f>_xlfn.SINGLE(IF(F2270="","",_xlfn.XLOOKUP(F2270,purchase!D:D,purchase!#REF!,"")))</f>
        <v/>
      </c>
      <c r="L2270" s="2"/>
      <c r="M2270" s="32"/>
      <c r="N2270" s="13" t="str">
        <f>IF(F2270="","",
MAX(0,
_xlfn.XLOOKUP(F2270,purchase!D:D,purchase!#REF!,"")
-
SUMIFS(L:L,F:F,F2270)))</f>
        <v/>
      </c>
      <c r="O2270" s="13" t="str">
        <f t="shared" si="249"/>
        <v/>
      </c>
      <c r="P2270" s="35" t="str">
        <f>_xlfn.SINGLE(IF(F2270="","",_xlfn.XLOOKUP(F2270,purchase!D:D,purchase!K:K,"")))</f>
        <v/>
      </c>
      <c r="Q2270" s="29" t="str">
        <f t="shared" si="250"/>
        <v/>
      </c>
      <c r="R2270" s="37" t="str">
        <f t="shared" si="251"/>
        <v/>
      </c>
    </row>
    <row r="2271" spans="1:18" x14ac:dyDescent="0.35">
      <c r="A2271" s="8">
        <v>2267</v>
      </c>
      <c r="B2271" s="9" t="str">
        <f t="shared" si="245"/>
        <v/>
      </c>
      <c r="C2271" s="10"/>
      <c r="D2271" s="9" t="str">
        <f>IF(F2271="","",_xlfn.XLOOKUP(F2271,purchase!D:D,purchase!#REF!,""))</f>
        <v/>
      </c>
      <c r="E2271" s="9" t="str">
        <f>IF(F2271="","",_xlfn.XLOOKUP(F2271,purchase!D:D,purchase!B:B,""))</f>
        <v/>
      </c>
      <c r="F2271" s="2"/>
      <c r="G2271" s="4" t="str">
        <f t="shared" si="246"/>
        <v/>
      </c>
      <c r="H2271" s="4" t="str">
        <f>IF(F2271="","",_xlfn.XLOOKUP(F2271,purchase!D:D,purchase!#REF!,""))</f>
        <v/>
      </c>
      <c r="I2271" s="4" t="str">
        <f t="shared" si="247"/>
        <v/>
      </c>
      <c r="J2271" s="4" t="str">
        <f t="shared" si="248"/>
        <v/>
      </c>
      <c r="K2271" s="13" t="str">
        <f>_xlfn.SINGLE(IF(F2271="","",_xlfn.XLOOKUP(F2271,purchase!D:D,purchase!#REF!,"")))</f>
        <v/>
      </c>
      <c r="L2271" s="2"/>
      <c r="M2271" s="32"/>
      <c r="N2271" s="13" t="str">
        <f>IF(F2271="","",
MAX(0,
_xlfn.XLOOKUP(F2271,purchase!D:D,purchase!#REF!,"")
-
SUMIFS(L:L,F:F,F2271)))</f>
        <v/>
      </c>
      <c r="O2271" s="13" t="str">
        <f t="shared" si="249"/>
        <v/>
      </c>
      <c r="P2271" s="35" t="str">
        <f>_xlfn.SINGLE(IF(F2271="","",_xlfn.XLOOKUP(F2271,purchase!D:D,purchase!K:K,"")))</f>
        <v/>
      </c>
      <c r="Q2271" s="29" t="str">
        <f t="shared" si="250"/>
        <v/>
      </c>
      <c r="R2271" s="37" t="str">
        <f t="shared" si="251"/>
        <v/>
      </c>
    </row>
    <row r="2272" spans="1:18" x14ac:dyDescent="0.35">
      <c r="A2272" s="8">
        <v>2268</v>
      </c>
      <c r="B2272" s="9" t="str">
        <f t="shared" si="245"/>
        <v/>
      </c>
      <c r="C2272" s="10"/>
      <c r="D2272" s="9" t="str">
        <f>IF(F2272="","",_xlfn.XLOOKUP(F2272,purchase!D:D,purchase!#REF!,""))</f>
        <v/>
      </c>
      <c r="E2272" s="9" t="str">
        <f>IF(F2272="","",_xlfn.XLOOKUP(F2272,purchase!D:D,purchase!B:B,""))</f>
        <v/>
      </c>
      <c r="F2272" s="2"/>
      <c r="G2272" s="4" t="str">
        <f t="shared" si="246"/>
        <v/>
      </c>
      <c r="H2272" s="4" t="str">
        <f>IF(F2272="","",_xlfn.XLOOKUP(F2272,purchase!D:D,purchase!#REF!,""))</f>
        <v/>
      </c>
      <c r="I2272" s="4" t="str">
        <f t="shared" si="247"/>
        <v/>
      </c>
      <c r="J2272" s="4" t="str">
        <f t="shared" si="248"/>
        <v/>
      </c>
      <c r="K2272" s="13" t="str">
        <f>_xlfn.SINGLE(IF(F2272="","",_xlfn.XLOOKUP(F2272,purchase!D:D,purchase!#REF!,"")))</f>
        <v/>
      </c>
      <c r="L2272" s="2"/>
      <c r="M2272" s="32"/>
      <c r="N2272" s="13" t="str">
        <f>IF(F2272="","",
MAX(0,
_xlfn.XLOOKUP(F2272,purchase!D:D,purchase!#REF!,"")
-
SUMIFS(L:L,F:F,F2272)))</f>
        <v/>
      </c>
      <c r="O2272" s="13" t="str">
        <f t="shared" si="249"/>
        <v/>
      </c>
      <c r="P2272" s="35" t="str">
        <f>_xlfn.SINGLE(IF(F2272="","",_xlfn.XLOOKUP(F2272,purchase!D:D,purchase!K:K,"")))</f>
        <v/>
      </c>
      <c r="Q2272" s="29" t="str">
        <f t="shared" si="250"/>
        <v/>
      </c>
      <c r="R2272" s="37" t="str">
        <f t="shared" si="251"/>
        <v/>
      </c>
    </row>
    <row r="2273" spans="1:18" x14ac:dyDescent="0.35">
      <c r="A2273" s="8">
        <v>2269</v>
      </c>
      <c r="B2273" s="9" t="str">
        <f t="shared" si="245"/>
        <v/>
      </c>
      <c r="C2273" s="10"/>
      <c r="D2273" s="9" t="str">
        <f>IF(F2273="","",_xlfn.XLOOKUP(F2273,purchase!D:D,purchase!#REF!,""))</f>
        <v/>
      </c>
      <c r="E2273" s="9" t="str">
        <f>IF(F2273="","",_xlfn.XLOOKUP(F2273,purchase!D:D,purchase!B:B,""))</f>
        <v/>
      </c>
      <c r="F2273" s="2"/>
      <c r="G2273" s="4" t="str">
        <f t="shared" si="246"/>
        <v/>
      </c>
      <c r="H2273" s="4" t="str">
        <f>IF(F2273="","",_xlfn.XLOOKUP(F2273,purchase!D:D,purchase!#REF!,""))</f>
        <v/>
      </c>
      <c r="I2273" s="4" t="str">
        <f t="shared" si="247"/>
        <v/>
      </c>
      <c r="J2273" s="4" t="str">
        <f t="shared" si="248"/>
        <v/>
      </c>
      <c r="K2273" s="13" t="str">
        <f>_xlfn.SINGLE(IF(F2273="","",_xlfn.XLOOKUP(F2273,purchase!D:D,purchase!#REF!,"")))</f>
        <v/>
      </c>
      <c r="L2273" s="2"/>
      <c r="M2273" s="32"/>
      <c r="N2273" s="13" t="str">
        <f>IF(F2273="","",
MAX(0,
_xlfn.XLOOKUP(F2273,purchase!D:D,purchase!#REF!,"")
-
SUMIFS(L:L,F:F,F2273)))</f>
        <v/>
      </c>
      <c r="O2273" s="13" t="str">
        <f t="shared" si="249"/>
        <v/>
      </c>
      <c r="P2273" s="35" t="str">
        <f>_xlfn.SINGLE(IF(F2273="","",_xlfn.XLOOKUP(F2273,purchase!D:D,purchase!K:K,"")))</f>
        <v/>
      </c>
      <c r="Q2273" s="29" t="str">
        <f t="shared" si="250"/>
        <v/>
      </c>
      <c r="R2273" s="37" t="str">
        <f t="shared" si="251"/>
        <v/>
      </c>
    </row>
    <row r="2274" spans="1:18" x14ac:dyDescent="0.35">
      <c r="A2274" s="8">
        <v>2270</v>
      </c>
      <c r="B2274" s="9" t="str">
        <f t="shared" si="245"/>
        <v/>
      </c>
      <c r="C2274" s="10"/>
      <c r="D2274" s="9" t="str">
        <f>IF(F2274="","",_xlfn.XLOOKUP(F2274,purchase!D:D,purchase!#REF!,""))</f>
        <v/>
      </c>
      <c r="E2274" s="9" t="str">
        <f>IF(F2274="","",_xlfn.XLOOKUP(F2274,purchase!D:D,purchase!B:B,""))</f>
        <v/>
      </c>
      <c r="F2274" s="2"/>
      <c r="G2274" s="4" t="str">
        <f t="shared" si="246"/>
        <v/>
      </c>
      <c r="H2274" s="4" t="str">
        <f>IF(F2274="","",_xlfn.XLOOKUP(F2274,purchase!D:D,purchase!#REF!,""))</f>
        <v/>
      </c>
      <c r="I2274" s="4" t="str">
        <f t="shared" si="247"/>
        <v/>
      </c>
      <c r="J2274" s="4" t="str">
        <f t="shared" si="248"/>
        <v/>
      </c>
      <c r="K2274" s="13" t="str">
        <f>_xlfn.SINGLE(IF(F2274="","",_xlfn.XLOOKUP(F2274,purchase!D:D,purchase!#REF!,"")))</f>
        <v/>
      </c>
      <c r="L2274" s="2"/>
      <c r="M2274" s="32"/>
      <c r="N2274" s="13" t="str">
        <f>IF(F2274="","",
MAX(0,
_xlfn.XLOOKUP(F2274,purchase!D:D,purchase!#REF!,"")
-
SUMIFS(L:L,F:F,F2274)))</f>
        <v/>
      </c>
      <c r="O2274" s="13" t="str">
        <f t="shared" si="249"/>
        <v/>
      </c>
      <c r="P2274" s="35" t="str">
        <f>_xlfn.SINGLE(IF(F2274="","",_xlfn.XLOOKUP(F2274,purchase!D:D,purchase!K:K,"")))</f>
        <v/>
      </c>
      <c r="Q2274" s="29" t="str">
        <f t="shared" si="250"/>
        <v/>
      </c>
      <c r="R2274" s="37" t="str">
        <f t="shared" si="251"/>
        <v/>
      </c>
    </row>
    <row r="2275" spans="1:18" x14ac:dyDescent="0.35">
      <c r="A2275" s="8">
        <v>2271</v>
      </c>
      <c r="B2275" s="9" t="str">
        <f t="shared" si="245"/>
        <v/>
      </c>
      <c r="C2275" s="10"/>
      <c r="D2275" s="9" t="str">
        <f>IF(F2275="","",_xlfn.XLOOKUP(F2275,purchase!D:D,purchase!#REF!,""))</f>
        <v/>
      </c>
      <c r="E2275" s="9" t="str">
        <f>IF(F2275="","",_xlfn.XLOOKUP(F2275,purchase!D:D,purchase!B:B,""))</f>
        <v/>
      </c>
      <c r="F2275" s="2"/>
      <c r="G2275" s="4" t="str">
        <f t="shared" si="246"/>
        <v/>
      </c>
      <c r="H2275" s="4" t="str">
        <f>IF(F2275="","",_xlfn.XLOOKUP(F2275,purchase!D:D,purchase!#REF!,""))</f>
        <v/>
      </c>
      <c r="I2275" s="4" t="str">
        <f t="shared" si="247"/>
        <v/>
      </c>
      <c r="J2275" s="4" t="str">
        <f t="shared" si="248"/>
        <v/>
      </c>
      <c r="K2275" s="13" t="str">
        <f>_xlfn.SINGLE(IF(F2275="","",_xlfn.XLOOKUP(F2275,purchase!D:D,purchase!#REF!,"")))</f>
        <v/>
      </c>
      <c r="L2275" s="2"/>
      <c r="M2275" s="32"/>
      <c r="N2275" s="13" t="str">
        <f>IF(F2275="","",
MAX(0,
_xlfn.XLOOKUP(F2275,purchase!D:D,purchase!#REF!,"")
-
SUMIFS(L:L,F:F,F2275)))</f>
        <v/>
      </c>
      <c r="O2275" s="13" t="str">
        <f t="shared" si="249"/>
        <v/>
      </c>
      <c r="P2275" s="35" t="str">
        <f>_xlfn.SINGLE(IF(F2275="","",_xlfn.XLOOKUP(F2275,purchase!D:D,purchase!K:K,"")))</f>
        <v/>
      </c>
      <c r="Q2275" s="29" t="str">
        <f t="shared" si="250"/>
        <v/>
      </c>
      <c r="R2275" s="37" t="str">
        <f t="shared" si="251"/>
        <v/>
      </c>
    </row>
    <row r="2276" spans="1:18" x14ac:dyDescent="0.35">
      <c r="A2276" s="8">
        <v>2272</v>
      </c>
      <c r="B2276" s="9" t="str">
        <f t="shared" si="245"/>
        <v/>
      </c>
      <c r="C2276" s="10"/>
      <c r="D2276" s="9" t="str">
        <f>IF(F2276="","",_xlfn.XLOOKUP(F2276,purchase!D:D,purchase!#REF!,""))</f>
        <v/>
      </c>
      <c r="E2276" s="9" t="str">
        <f>IF(F2276="","",_xlfn.XLOOKUP(F2276,purchase!D:D,purchase!B:B,""))</f>
        <v/>
      </c>
      <c r="F2276" s="2"/>
      <c r="G2276" s="4" t="str">
        <f t="shared" si="246"/>
        <v/>
      </c>
      <c r="H2276" s="4" t="str">
        <f>IF(F2276="","",_xlfn.XLOOKUP(F2276,purchase!D:D,purchase!#REF!,""))</f>
        <v/>
      </c>
      <c r="I2276" s="4" t="str">
        <f t="shared" si="247"/>
        <v/>
      </c>
      <c r="J2276" s="4" t="str">
        <f t="shared" si="248"/>
        <v/>
      </c>
      <c r="K2276" s="13" t="str">
        <f>_xlfn.SINGLE(IF(F2276="","",_xlfn.XLOOKUP(F2276,purchase!D:D,purchase!#REF!,"")))</f>
        <v/>
      </c>
      <c r="L2276" s="2"/>
      <c r="M2276" s="32"/>
      <c r="N2276" s="13" t="str">
        <f>IF(F2276="","",
MAX(0,
_xlfn.XLOOKUP(F2276,purchase!D:D,purchase!#REF!,"")
-
SUMIFS(L:L,F:F,F2276)))</f>
        <v/>
      </c>
      <c r="O2276" s="13" t="str">
        <f t="shared" si="249"/>
        <v/>
      </c>
      <c r="P2276" s="35" t="str">
        <f>_xlfn.SINGLE(IF(F2276="","",_xlfn.XLOOKUP(F2276,purchase!D:D,purchase!K:K,"")))</f>
        <v/>
      </c>
      <c r="Q2276" s="29" t="str">
        <f t="shared" si="250"/>
        <v/>
      </c>
      <c r="R2276" s="37" t="str">
        <f t="shared" si="251"/>
        <v/>
      </c>
    </row>
    <row r="2277" spans="1:18" x14ac:dyDescent="0.35">
      <c r="A2277" s="8">
        <v>2273</v>
      </c>
      <c r="B2277" s="9" t="str">
        <f t="shared" si="245"/>
        <v/>
      </c>
      <c r="C2277" s="10"/>
      <c r="D2277" s="9" t="str">
        <f>IF(F2277="","",_xlfn.XLOOKUP(F2277,purchase!D:D,purchase!#REF!,""))</f>
        <v/>
      </c>
      <c r="E2277" s="9" t="str">
        <f>IF(F2277="","",_xlfn.XLOOKUP(F2277,purchase!D:D,purchase!B:B,""))</f>
        <v/>
      </c>
      <c r="F2277" s="2"/>
      <c r="G2277" s="4" t="str">
        <f t="shared" si="246"/>
        <v/>
      </c>
      <c r="H2277" s="4" t="str">
        <f>IF(F2277="","",_xlfn.XLOOKUP(F2277,purchase!D:D,purchase!#REF!,""))</f>
        <v/>
      </c>
      <c r="I2277" s="4" t="str">
        <f t="shared" si="247"/>
        <v/>
      </c>
      <c r="J2277" s="4" t="str">
        <f t="shared" si="248"/>
        <v/>
      </c>
      <c r="K2277" s="13" t="str">
        <f>_xlfn.SINGLE(IF(F2277="","",_xlfn.XLOOKUP(F2277,purchase!D:D,purchase!#REF!,"")))</f>
        <v/>
      </c>
      <c r="L2277" s="2"/>
      <c r="M2277" s="32"/>
      <c r="N2277" s="13" t="str">
        <f>IF(F2277="","",
MAX(0,
_xlfn.XLOOKUP(F2277,purchase!D:D,purchase!#REF!,"")
-
SUMIFS(L:L,F:F,F2277)))</f>
        <v/>
      </c>
      <c r="O2277" s="13" t="str">
        <f t="shared" si="249"/>
        <v/>
      </c>
      <c r="P2277" s="35" t="str">
        <f>_xlfn.SINGLE(IF(F2277="","",_xlfn.XLOOKUP(F2277,purchase!D:D,purchase!K:K,"")))</f>
        <v/>
      </c>
      <c r="Q2277" s="29" t="str">
        <f t="shared" si="250"/>
        <v/>
      </c>
      <c r="R2277" s="37" t="str">
        <f t="shared" si="251"/>
        <v/>
      </c>
    </row>
    <row r="2278" spans="1:18" x14ac:dyDescent="0.35">
      <c r="A2278" s="8">
        <v>2274</v>
      </c>
      <c r="B2278" s="9" t="str">
        <f t="shared" si="245"/>
        <v/>
      </c>
      <c r="C2278" s="10"/>
      <c r="D2278" s="9" t="str">
        <f>IF(F2278="","",_xlfn.XLOOKUP(F2278,purchase!D:D,purchase!#REF!,""))</f>
        <v/>
      </c>
      <c r="E2278" s="9" t="str">
        <f>IF(F2278="","",_xlfn.XLOOKUP(F2278,purchase!D:D,purchase!B:B,""))</f>
        <v/>
      </c>
      <c r="F2278" s="2"/>
      <c r="G2278" s="4" t="str">
        <f t="shared" si="246"/>
        <v/>
      </c>
      <c r="H2278" s="4" t="str">
        <f>IF(F2278="","",_xlfn.XLOOKUP(F2278,purchase!D:D,purchase!#REF!,""))</f>
        <v/>
      </c>
      <c r="I2278" s="4" t="str">
        <f t="shared" si="247"/>
        <v/>
      </c>
      <c r="J2278" s="4" t="str">
        <f t="shared" si="248"/>
        <v/>
      </c>
      <c r="K2278" s="13" t="str">
        <f>_xlfn.SINGLE(IF(F2278="","",_xlfn.XLOOKUP(F2278,purchase!D:D,purchase!#REF!,"")))</f>
        <v/>
      </c>
      <c r="L2278" s="2"/>
      <c r="M2278" s="32"/>
      <c r="N2278" s="13" t="str">
        <f>IF(F2278="","",
MAX(0,
_xlfn.XLOOKUP(F2278,purchase!D:D,purchase!#REF!,"")
-
SUMIFS(L:L,F:F,F2278)))</f>
        <v/>
      </c>
      <c r="O2278" s="13" t="str">
        <f t="shared" si="249"/>
        <v/>
      </c>
      <c r="P2278" s="35" t="str">
        <f>_xlfn.SINGLE(IF(F2278="","",_xlfn.XLOOKUP(F2278,purchase!D:D,purchase!K:K,"")))</f>
        <v/>
      </c>
      <c r="Q2278" s="29" t="str">
        <f t="shared" si="250"/>
        <v/>
      </c>
      <c r="R2278" s="37" t="str">
        <f t="shared" si="251"/>
        <v/>
      </c>
    </row>
    <row r="2279" spans="1:18" x14ac:dyDescent="0.35">
      <c r="A2279" s="8">
        <v>2275</v>
      </c>
      <c r="B2279" s="9" t="str">
        <f t="shared" si="245"/>
        <v/>
      </c>
      <c r="C2279" s="10"/>
      <c r="D2279" s="9" t="str">
        <f>IF(F2279="","",_xlfn.XLOOKUP(F2279,purchase!D:D,purchase!#REF!,""))</f>
        <v/>
      </c>
      <c r="E2279" s="9" t="str">
        <f>IF(F2279="","",_xlfn.XLOOKUP(F2279,purchase!D:D,purchase!B:B,""))</f>
        <v/>
      </c>
      <c r="F2279" s="2"/>
      <c r="G2279" s="4" t="str">
        <f t="shared" si="246"/>
        <v/>
      </c>
      <c r="H2279" s="4" t="str">
        <f>IF(F2279="","",_xlfn.XLOOKUP(F2279,purchase!D:D,purchase!#REF!,""))</f>
        <v/>
      </c>
      <c r="I2279" s="4" t="str">
        <f t="shared" si="247"/>
        <v/>
      </c>
      <c r="J2279" s="4" t="str">
        <f t="shared" si="248"/>
        <v/>
      </c>
      <c r="K2279" s="13" t="str">
        <f>_xlfn.SINGLE(IF(F2279="","",_xlfn.XLOOKUP(F2279,purchase!D:D,purchase!#REF!,"")))</f>
        <v/>
      </c>
      <c r="L2279" s="2"/>
      <c r="M2279" s="32"/>
      <c r="N2279" s="13" t="str">
        <f>IF(F2279="","",
MAX(0,
_xlfn.XLOOKUP(F2279,purchase!D:D,purchase!#REF!,"")
-
SUMIFS(L:L,F:F,F2279)))</f>
        <v/>
      </c>
      <c r="O2279" s="13" t="str">
        <f t="shared" si="249"/>
        <v/>
      </c>
      <c r="P2279" s="35" t="str">
        <f>_xlfn.SINGLE(IF(F2279="","",_xlfn.XLOOKUP(F2279,purchase!D:D,purchase!K:K,"")))</f>
        <v/>
      </c>
      <c r="Q2279" s="29" t="str">
        <f t="shared" si="250"/>
        <v/>
      </c>
      <c r="R2279" s="37" t="str">
        <f t="shared" si="251"/>
        <v/>
      </c>
    </row>
    <row r="2280" spans="1:18" x14ac:dyDescent="0.35">
      <c r="A2280" s="8">
        <v>2276</v>
      </c>
      <c r="B2280" s="9" t="str">
        <f t="shared" si="245"/>
        <v/>
      </c>
      <c r="C2280" s="10"/>
      <c r="D2280" s="9" t="str">
        <f>IF(F2280="","",_xlfn.XLOOKUP(F2280,purchase!D:D,purchase!#REF!,""))</f>
        <v/>
      </c>
      <c r="E2280" s="9" t="str">
        <f>IF(F2280="","",_xlfn.XLOOKUP(F2280,purchase!D:D,purchase!B:B,""))</f>
        <v/>
      </c>
      <c r="F2280" s="2"/>
      <c r="G2280" s="4" t="str">
        <f t="shared" si="246"/>
        <v/>
      </c>
      <c r="H2280" s="4" t="str">
        <f>IF(F2280="","",_xlfn.XLOOKUP(F2280,purchase!D:D,purchase!#REF!,""))</f>
        <v/>
      </c>
      <c r="I2280" s="4" t="str">
        <f t="shared" si="247"/>
        <v/>
      </c>
      <c r="J2280" s="4" t="str">
        <f t="shared" si="248"/>
        <v/>
      </c>
      <c r="K2280" s="13" t="str">
        <f>_xlfn.SINGLE(IF(F2280="","",_xlfn.XLOOKUP(F2280,purchase!D:D,purchase!#REF!,"")))</f>
        <v/>
      </c>
      <c r="L2280" s="2"/>
      <c r="M2280" s="32"/>
      <c r="N2280" s="13" t="str">
        <f>IF(F2280="","",
MAX(0,
_xlfn.XLOOKUP(F2280,purchase!D:D,purchase!#REF!,"")
-
SUMIFS(L:L,F:F,F2280)))</f>
        <v/>
      </c>
      <c r="O2280" s="13" t="str">
        <f t="shared" si="249"/>
        <v/>
      </c>
      <c r="P2280" s="35" t="str">
        <f>_xlfn.SINGLE(IF(F2280="","",_xlfn.XLOOKUP(F2280,purchase!D:D,purchase!K:K,"")))</f>
        <v/>
      </c>
      <c r="Q2280" s="29" t="str">
        <f t="shared" si="250"/>
        <v/>
      </c>
      <c r="R2280" s="37" t="str">
        <f t="shared" si="251"/>
        <v/>
      </c>
    </row>
    <row r="2281" spans="1:18" x14ac:dyDescent="0.35">
      <c r="A2281" s="8">
        <v>2277</v>
      </c>
      <c r="B2281" s="9" t="str">
        <f t="shared" si="245"/>
        <v/>
      </c>
      <c r="C2281" s="10"/>
      <c r="D2281" s="9" t="str">
        <f>IF(F2281="","",_xlfn.XLOOKUP(F2281,purchase!D:D,purchase!#REF!,""))</f>
        <v/>
      </c>
      <c r="E2281" s="9" t="str">
        <f>IF(F2281="","",_xlfn.XLOOKUP(F2281,purchase!D:D,purchase!B:B,""))</f>
        <v/>
      </c>
      <c r="F2281" s="2"/>
      <c r="G2281" s="4" t="str">
        <f t="shared" si="246"/>
        <v/>
      </c>
      <c r="H2281" s="4" t="str">
        <f>IF(F2281="","",_xlfn.XLOOKUP(F2281,purchase!D:D,purchase!#REF!,""))</f>
        <v/>
      </c>
      <c r="I2281" s="4" t="str">
        <f t="shared" si="247"/>
        <v/>
      </c>
      <c r="J2281" s="4" t="str">
        <f t="shared" si="248"/>
        <v/>
      </c>
      <c r="K2281" s="13" t="str">
        <f>_xlfn.SINGLE(IF(F2281="","",_xlfn.XLOOKUP(F2281,purchase!D:D,purchase!#REF!,"")))</f>
        <v/>
      </c>
      <c r="L2281" s="2"/>
      <c r="M2281" s="32"/>
      <c r="N2281" s="13" t="str">
        <f>IF(F2281="","",
MAX(0,
_xlfn.XLOOKUP(F2281,purchase!D:D,purchase!#REF!,"")
-
SUMIFS(L:L,F:F,F2281)))</f>
        <v/>
      </c>
      <c r="O2281" s="13" t="str">
        <f t="shared" si="249"/>
        <v/>
      </c>
      <c r="P2281" s="35" t="str">
        <f>_xlfn.SINGLE(IF(F2281="","",_xlfn.XLOOKUP(F2281,purchase!D:D,purchase!K:K,"")))</f>
        <v/>
      </c>
      <c r="Q2281" s="29" t="str">
        <f t="shared" si="250"/>
        <v/>
      </c>
      <c r="R2281" s="37" t="str">
        <f t="shared" si="251"/>
        <v/>
      </c>
    </row>
    <row r="2282" spans="1:18" x14ac:dyDescent="0.35">
      <c r="A2282" s="8">
        <v>2278</v>
      </c>
      <c r="B2282" s="9" t="str">
        <f t="shared" si="245"/>
        <v/>
      </c>
      <c r="C2282" s="10"/>
      <c r="D2282" s="9" t="str">
        <f>IF(F2282="","",_xlfn.XLOOKUP(F2282,purchase!D:D,purchase!#REF!,""))</f>
        <v/>
      </c>
      <c r="E2282" s="9" t="str">
        <f>IF(F2282="","",_xlfn.XLOOKUP(F2282,purchase!D:D,purchase!B:B,""))</f>
        <v/>
      </c>
      <c r="F2282" s="2"/>
      <c r="G2282" s="4" t="str">
        <f t="shared" si="246"/>
        <v/>
      </c>
      <c r="H2282" s="4" t="str">
        <f>IF(F2282="","",_xlfn.XLOOKUP(F2282,purchase!D:D,purchase!#REF!,""))</f>
        <v/>
      </c>
      <c r="I2282" s="4" t="str">
        <f t="shared" si="247"/>
        <v/>
      </c>
      <c r="J2282" s="4" t="str">
        <f t="shared" si="248"/>
        <v/>
      </c>
      <c r="K2282" s="13" t="str">
        <f>_xlfn.SINGLE(IF(F2282="","",_xlfn.XLOOKUP(F2282,purchase!D:D,purchase!#REF!,"")))</f>
        <v/>
      </c>
      <c r="L2282" s="2"/>
      <c r="M2282" s="32"/>
      <c r="N2282" s="13" t="str">
        <f>IF(F2282="","",
MAX(0,
_xlfn.XLOOKUP(F2282,purchase!D:D,purchase!#REF!,"")
-
SUMIFS(L:L,F:F,F2282)))</f>
        <v/>
      </c>
      <c r="O2282" s="13" t="str">
        <f t="shared" si="249"/>
        <v/>
      </c>
      <c r="P2282" s="35" t="str">
        <f>_xlfn.SINGLE(IF(F2282="","",_xlfn.XLOOKUP(F2282,purchase!D:D,purchase!K:K,"")))</f>
        <v/>
      </c>
      <c r="Q2282" s="29" t="str">
        <f t="shared" si="250"/>
        <v/>
      </c>
      <c r="R2282" s="37" t="str">
        <f t="shared" si="251"/>
        <v/>
      </c>
    </row>
    <row r="2283" spans="1:18" x14ac:dyDescent="0.35">
      <c r="A2283" s="8">
        <v>2279</v>
      </c>
      <c r="B2283" s="9" t="str">
        <f t="shared" si="245"/>
        <v/>
      </c>
      <c r="C2283" s="10"/>
      <c r="D2283" s="9" t="str">
        <f>IF(F2283="","",_xlfn.XLOOKUP(F2283,purchase!D:D,purchase!#REF!,""))</f>
        <v/>
      </c>
      <c r="E2283" s="9" t="str">
        <f>IF(F2283="","",_xlfn.XLOOKUP(F2283,purchase!D:D,purchase!B:B,""))</f>
        <v/>
      </c>
      <c r="F2283" s="2"/>
      <c r="G2283" s="4" t="str">
        <f t="shared" si="246"/>
        <v/>
      </c>
      <c r="H2283" s="4" t="str">
        <f>IF(F2283="","",_xlfn.XLOOKUP(F2283,purchase!D:D,purchase!#REF!,""))</f>
        <v/>
      </c>
      <c r="I2283" s="4" t="str">
        <f t="shared" si="247"/>
        <v/>
      </c>
      <c r="J2283" s="4" t="str">
        <f t="shared" si="248"/>
        <v/>
      </c>
      <c r="K2283" s="13" t="str">
        <f>_xlfn.SINGLE(IF(F2283="","",_xlfn.XLOOKUP(F2283,purchase!D:D,purchase!#REF!,"")))</f>
        <v/>
      </c>
      <c r="L2283" s="2"/>
      <c r="M2283" s="32"/>
      <c r="N2283" s="13" t="str">
        <f>IF(F2283="","",
MAX(0,
_xlfn.XLOOKUP(F2283,purchase!D:D,purchase!#REF!,"")
-
SUMIFS(L:L,F:F,F2283)))</f>
        <v/>
      </c>
      <c r="O2283" s="13" t="str">
        <f t="shared" si="249"/>
        <v/>
      </c>
      <c r="P2283" s="35" t="str">
        <f>_xlfn.SINGLE(IF(F2283="","",_xlfn.XLOOKUP(F2283,purchase!D:D,purchase!K:K,"")))</f>
        <v/>
      </c>
      <c r="Q2283" s="29" t="str">
        <f t="shared" si="250"/>
        <v/>
      </c>
      <c r="R2283" s="37" t="str">
        <f t="shared" si="251"/>
        <v/>
      </c>
    </row>
    <row r="2284" spans="1:18" x14ac:dyDescent="0.35">
      <c r="A2284" s="8">
        <v>2280</v>
      </c>
      <c r="B2284" s="9" t="str">
        <f t="shared" si="245"/>
        <v/>
      </c>
      <c r="C2284" s="10"/>
      <c r="D2284" s="9" t="str">
        <f>IF(F2284="","",_xlfn.XLOOKUP(F2284,purchase!D:D,purchase!#REF!,""))</f>
        <v/>
      </c>
      <c r="E2284" s="9" t="str">
        <f>IF(F2284="","",_xlfn.XLOOKUP(F2284,purchase!D:D,purchase!B:B,""))</f>
        <v/>
      </c>
      <c r="F2284" s="2"/>
      <c r="G2284" s="4" t="str">
        <f t="shared" si="246"/>
        <v/>
      </c>
      <c r="H2284" s="4" t="str">
        <f>IF(F2284="","",_xlfn.XLOOKUP(F2284,purchase!D:D,purchase!#REF!,""))</f>
        <v/>
      </c>
      <c r="I2284" s="4" t="str">
        <f t="shared" si="247"/>
        <v/>
      </c>
      <c r="J2284" s="4" t="str">
        <f t="shared" si="248"/>
        <v/>
      </c>
      <c r="K2284" s="13" t="str">
        <f>_xlfn.SINGLE(IF(F2284="","",_xlfn.XLOOKUP(F2284,purchase!D:D,purchase!#REF!,"")))</f>
        <v/>
      </c>
      <c r="L2284" s="2"/>
      <c r="M2284" s="32"/>
      <c r="N2284" s="13" t="str">
        <f>IF(F2284="","",
MAX(0,
_xlfn.XLOOKUP(F2284,purchase!D:D,purchase!#REF!,"")
-
SUMIFS(L:L,F:F,F2284)))</f>
        <v/>
      </c>
      <c r="O2284" s="13" t="str">
        <f t="shared" si="249"/>
        <v/>
      </c>
      <c r="P2284" s="35" t="str">
        <f>_xlfn.SINGLE(IF(F2284="","",_xlfn.XLOOKUP(F2284,purchase!D:D,purchase!K:K,"")))</f>
        <v/>
      </c>
      <c r="Q2284" s="29" t="str">
        <f t="shared" si="250"/>
        <v/>
      </c>
      <c r="R2284" s="37" t="str">
        <f t="shared" si="251"/>
        <v/>
      </c>
    </row>
    <row r="2285" spans="1:18" x14ac:dyDescent="0.35">
      <c r="A2285" s="8">
        <v>2281</v>
      </c>
      <c r="B2285" s="9" t="str">
        <f t="shared" si="245"/>
        <v/>
      </c>
      <c r="C2285" s="10"/>
      <c r="D2285" s="9" t="str">
        <f>IF(F2285="","",_xlfn.XLOOKUP(F2285,purchase!D:D,purchase!#REF!,""))</f>
        <v/>
      </c>
      <c r="E2285" s="9" t="str">
        <f>IF(F2285="","",_xlfn.XLOOKUP(F2285,purchase!D:D,purchase!B:B,""))</f>
        <v/>
      </c>
      <c r="F2285" s="2"/>
      <c r="G2285" s="4" t="str">
        <f t="shared" si="246"/>
        <v/>
      </c>
      <c r="H2285" s="4" t="str">
        <f>IF(F2285="","",_xlfn.XLOOKUP(F2285,purchase!D:D,purchase!#REF!,""))</f>
        <v/>
      </c>
      <c r="I2285" s="4" t="str">
        <f t="shared" si="247"/>
        <v/>
      </c>
      <c r="J2285" s="4" t="str">
        <f t="shared" si="248"/>
        <v/>
      </c>
      <c r="K2285" s="13" t="str">
        <f>_xlfn.SINGLE(IF(F2285="","",_xlfn.XLOOKUP(F2285,purchase!D:D,purchase!#REF!,"")))</f>
        <v/>
      </c>
      <c r="L2285" s="2"/>
      <c r="M2285" s="32"/>
      <c r="N2285" s="13" t="str">
        <f>IF(F2285="","",
MAX(0,
_xlfn.XLOOKUP(F2285,purchase!D:D,purchase!#REF!,"")
-
SUMIFS(L:L,F:F,F2285)))</f>
        <v/>
      </c>
      <c r="O2285" s="13" t="str">
        <f t="shared" si="249"/>
        <v/>
      </c>
      <c r="P2285" s="35" t="str">
        <f>_xlfn.SINGLE(IF(F2285="","",_xlfn.XLOOKUP(F2285,purchase!D:D,purchase!K:K,"")))</f>
        <v/>
      </c>
      <c r="Q2285" s="29" t="str">
        <f t="shared" si="250"/>
        <v/>
      </c>
      <c r="R2285" s="37" t="str">
        <f t="shared" si="251"/>
        <v/>
      </c>
    </row>
    <row r="2286" spans="1:18" x14ac:dyDescent="0.35">
      <c r="A2286" s="8">
        <v>2282</v>
      </c>
      <c r="B2286" s="9" t="str">
        <f t="shared" si="245"/>
        <v/>
      </c>
      <c r="C2286" s="10"/>
      <c r="D2286" s="9" t="str">
        <f>IF(F2286="","",_xlfn.XLOOKUP(F2286,purchase!D:D,purchase!#REF!,""))</f>
        <v/>
      </c>
      <c r="E2286" s="9" t="str">
        <f>IF(F2286="","",_xlfn.XLOOKUP(F2286,purchase!D:D,purchase!B:B,""))</f>
        <v/>
      </c>
      <c r="F2286" s="2"/>
      <c r="G2286" s="4" t="str">
        <f t="shared" si="246"/>
        <v/>
      </c>
      <c r="H2286" s="4" t="str">
        <f>IF(F2286="","",_xlfn.XLOOKUP(F2286,purchase!D:D,purchase!#REF!,""))</f>
        <v/>
      </c>
      <c r="I2286" s="4" t="str">
        <f t="shared" si="247"/>
        <v/>
      </c>
      <c r="J2286" s="4" t="str">
        <f t="shared" si="248"/>
        <v/>
      </c>
      <c r="K2286" s="13" t="str">
        <f>_xlfn.SINGLE(IF(F2286="","",_xlfn.XLOOKUP(F2286,purchase!D:D,purchase!#REF!,"")))</f>
        <v/>
      </c>
      <c r="L2286" s="2"/>
      <c r="M2286" s="32"/>
      <c r="N2286" s="13" t="str">
        <f>IF(F2286="","",
MAX(0,
_xlfn.XLOOKUP(F2286,purchase!D:D,purchase!#REF!,"")
-
SUMIFS(L:L,F:F,F2286)))</f>
        <v/>
      </c>
      <c r="O2286" s="13" t="str">
        <f t="shared" si="249"/>
        <v/>
      </c>
      <c r="P2286" s="35" t="str">
        <f>_xlfn.SINGLE(IF(F2286="","",_xlfn.XLOOKUP(F2286,purchase!D:D,purchase!K:K,"")))</f>
        <v/>
      </c>
      <c r="Q2286" s="29" t="str">
        <f t="shared" si="250"/>
        <v/>
      </c>
      <c r="R2286" s="37" t="str">
        <f t="shared" si="251"/>
        <v/>
      </c>
    </row>
    <row r="2287" spans="1:18" x14ac:dyDescent="0.35">
      <c r="A2287" s="8">
        <v>2283</v>
      </c>
      <c r="B2287" s="9" t="str">
        <f t="shared" si="245"/>
        <v/>
      </c>
      <c r="C2287" s="10"/>
      <c r="D2287" s="9" t="str">
        <f>IF(F2287="","",_xlfn.XLOOKUP(F2287,purchase!D:D,purchase!#REF!,""))</f>
        <v/>
      </c>
      <c r="E2287" s="9" t="str">
        <f>IF(F2287="","",_xlfn.XLOOKUP(F2287,purchase!D:D,purchase!B:B,""))</f>
        <v/>
      </c>
      <c r="F2287" s="2"/>
      <c r="G2287" s="4" t="str">
        <f t="shared" si="246"/>
        <v/>
      </c>
      <c r="H2287" s="4" t="str">
        <f>IF(F2287="","",_xlfn.XLOOKUP(F2287,purchase!D:D,purchase!#REF!,""))</f>
        <v/>
      </c>
      <c r="I2287" s="4" t="str">
        <f t="shared" si="247"/>
        <v/>
      </c>
      <c r="J2287" s="4" t="str">
        <f t="shared" si="248"/>
        <v/>
      </c>
      <c r="K2287" s="13" t="str">
        <f>_xlfn.SINGLE(IF(F2287="","",_xlfn.XLOOKUP(F2287,purchase!D:D,purchase!#REF!,"")))</f>
        <v/>
      </c>
      <c r="L2287" s="2"/>
      <c r="M2287" s="32"/>
      <c r="N2287" s="13" t="str">
        <f>IF(F2287="","",
MAX(0,
_xlfn.XLOOKUP(F2287,purchase!D:D,purchase!#REF!,"")
-
SUMIFS(L:L,F:F,F2287)))</f>
        <v/>
      </c>
      <c r="O2287" s="13" t="str">
        <f t="shared" si="249"/>
        <v/>
      </c>
      <c r="P2287" s="35" t="str">
        <f>_xlfn.SINGLE(IF(F2287="","",_xlfn.XLOOKUP(F2287,purchase!D:D,purchase!K:K,"")))</f>
        <v/>
      </c>
      <c r="Q2287" s="29" t="str">
        <f t="shared" si="250"/>
        <v/>
      </c>
      <c r="R2287" s="37" t="str">
        <f t="shared" si="251"/>
        <v/>
      </c>
    </row>
    <row r="2288" spans="1:18" x14ac:dyDescent="0.35">
      <c r="A2288" s="8">
        <v>2284</v>
      </c>
      <c r="B2288" s="9" t="str">
        <f t="shared" si="245"/>
        <v/>
      </c>
      <c r="C2288" s="10"/>
      <c r="D2288" s="9" t="str">
        <f>IF(F2288="","",_xlfn.XLOOKUP(F2288,purchase!D:D,purchase!#REF!,""))</f>
        <v/>
      </c>
      <c r="E2288" s="9" t="str">
        <f>IF(F2288="","",_xlfn.XLOOKUP(F2288,purchase!D:D,purchase!B:B,""))</f>
        <v/>
      </c>
      <c r="F2288" s="2"/>
      <c r="G2288" s="4" t="str">
        <f t="shared" si="246"/>
        <v/>
      </c>
      <c r="H2288" s="4" t="str">
        <f>IF(F2288="","",_xlfn.XLOOKUP(F2288,purchase!D:D,purchase!#REF!,""))</f>
        <v/>
      </c>
      <c r="I2288" s="4" t="str">
        <f t="shared" si="247"/>
        <v/>
      </c>
      <c r="J2288" s="4" t="str">
        <f t="shared" si="248"/>
        <v/>
      </c>
      <c r="K2288" s="13" t="str">
        <f>_xlfn.SINGLE(IF(F2288="","",_xlfn.XLOOKUP(F2288,purchase!D:D,purchase!#REF!,"")))</f>
        <v/>
      </c>
      <c r="L2288" s="2"/>
      <c r="M2288" s="32"/>
      <c r="N2288" s="13" t="str">
        <f>IF(F2288="","",
MAX(0,
_xlfn.XLOOKUP(F2288,purchase!D:D,purchase!#REF!,"")
-
SUMIFS(L:L,F:F,F2288)))</f>
        <v/>
      </c>
      <c r="O2288" s="13" t="str">
        <f t="shared" si="249"/>
        <v/>
      </c>
      <c r="P2288" s="35" t="str">
        <f>_xlfn.SINGLE(IF(F2288="","",_xlfn.XLOOKUP(F2288,purchase!D:D,purchase!K:K,"")))</f>
        <v/>
      </c>
      <c r="Q2288" s="29" t="str">
        <f t="shared" si="250"/>
        <v/>
      </c>
      <c r="R2288" s="37" t="str">
        <f t="shared" si="251"/>
        <v/>
      </c>
    </row>
    <row r="2289" spans="1:18" x14ac:dyDescent="0.35">
      <c r="A2289" s="8">
        <v>2285</v>
      </c>
      <c r="B2289" s="9" t="str">
        <f t="shared" si="245"/>
        <v/>
      </c>
      <c r="C2289" s="10"/>
      <c r="D2289" s="9" t="str">
        <f>IF(F2289="","",_xlfn.XLOOKUP(F2289,purchase!D:D,purchase!#REF!,""))</f>
        <v/>
      </c>
      <c r="E2289" s="9" t="str">
        <f>IF(F2289="","",_xlfn.XLOOKUP(F2289,purchase!D:D,purchase!B:B,""))</f>
        <v/>
      </c>
      <c r="F2289" s="2"/>
      <c r="G2289" s="4" t="str">
        <f t="shared" si="246"/>
        <v/>
      </c>
      <c r="H2289" s="4" t="str">
        <f>IF(F2289="","",_xlfn.XLOOKUP(F2289,purchase!D:D,purchase!#REF!,""))</f>
        <v/>
      </c>
      <c r="I2289" s="4" t="str">
        <f t="shared" si="247"/>
        <v/>
      </c>
      <c r="J2289" s="4" t="str">
        <f t="shared" si="248"/>
        <v/>
      </c>
      <c r="K2289" s="13" t="str">
        <f>_xlfn.SINGLE(IF(F2289="","",_xlfn.XLOOKUP(F2289,purchase!D:D,purchase!#REF!,"")))</f>
        <v/>
      </c>
      <c r="L2289" s="2"/>
      <c r="M2289" s="32"/>
      <c r="N2289" s="13" t="str">
        <f>IF(F2289="","",
MAX(0,
_xlfn.XLOOKUP(F2289,purchase!D:D,purchase!#REF!,"")
-
SUMIFS(L:L,F:F,F2289)))</f>
        <v/>
      </c>
      <c r="O2289" s="13" t="str">
        <f t="shared" si="249"/>
        <v/>
      </c>
      <c r="P2289" s="35" t="str">
        <f>_xlfn.SINGLE(IF(F2289="","",_xlfn.XLOOKUP(F2289,purchase!D:D,purchase!K:K,"")))</f>
        <v/>
      </c>
      <c r="Q2289" s="29" t="str">
        <f t="shared" si="250"/>
        <v/>
      </c>
      <c r="R2289" s="37" t="str">
        <f t="shared" si="251"/>
        <v/>
      </c>
    </row>
    <row r="2290" spans="1:18" x14ac:dyDescent="0.35">
      <c r="A2290" s="8">
        <v>2286</v>
      </c>
      <c r="B2290" s="9" t="str">
        <f t="shared" si="245"/>
        <v/>
      </c>
      <c r="C2290" s="10"/>
      <c r="D2290" s="9" t="str">
        <f>IF(F2290="","",_xlfn.XLOOKUP(F2290,purchase!D:D,purchase!#REF!,""))</f>
        <v/>
      </c>
      <c r="E2290" s="9" t="str">
        <f>IF(F2290="","",_xlfn.XLOOKUP(F2290,purchase!D:D,purchase!B:B,""))</f>
        <v/>
      </c>
      <c r="F2290" s="2"/>
      <c r="G2290" s="4" t="str">
        <f t="shared" si="246"/>
        <v/>
      </c>
      <c r="H2290" s="4" t="str">
        <f>IF(F2290="","",_xlfn.XLOOKUP(F2290,purchase!D:D,purchase!#REF!,""))</f>
        <v/>
      </c>
      <c r="I2290" s="4" t="str">
        <f t="shared" si="247"/>
        <v/>
      </c>
      <c r="J2290" s="4" t="str">
        <f t="shared" si="248"/>
        <v/>
      </c>
      <c r="K2290" s="13" t="str">
        <f>_xlfn.SINGLE(IF(F2290="","",_xlfn.XLOOKUP(F2290,purchase!D:D,purchase!#REF!,"")))</f>
        <v/>
      </c>
      <c r="L2290" s="2"/>
      <c r="M2290" s="32"/>
      <c r="N2290" s="13" t="str">
        <f>IF(F2290="","",
MAX(0,
_xlfn.XLOOKUP(F2290,purchase!D:D,purchase!#REF!,"")
-
SUMIFS(L:L,F:F,F2290)))</f>
        <v/>
      </c>
      <c r="O2290" s="13" t="str">
        <f t="shared" si="249"/>
        <v/>
      </c>
      <c r="P2290" s="35" t="str">
        <f>_xlfn.SINGLE(IF(F2290="","",_xlfn.XLOOKUP(F2290,purchase!D:D,purchase!K:K,"")))</f>
        <v/>
      </c>
      <c r="Q2290" s="29" t="str">
        <f t="shared" si="250"/>
        <v/>
      </c>
      <c r="R2290" s="37" t="str">
        <f t="shared" si="251"/>
        <v/>
      </c>
    </row>
    <row r="2291" spans="1:18" x14ac:dyDescent="0.35">
      <c r="A2291" s="8">
        <v>2287</v>
      </c>
      <c r="B2291" s="9" t="str">
        <f t="shared" si="245"/>
        <v/>
      </c>
      <c r="C2291" s="10"/>
      <c r="D2291" s="9" t="str">
        <f>IF(F2291="","",_xlfn.XLOOKUP(F2291,purchase!D:D,purchase!#REF!,""))</f>
        <v/>
      </c>
      <c r="E2291" s="9" t="str">
        <f>IF(F2291="","",_xlfn.XLOOKUP(F2291,purchase!D:D,purchase!B:B,""))</f>
        <v/>
      </c>
      <c r="F2291" s="2"/>
      <c r="G2291" s="4" t="str">
        <f t="shared" si="246"/>
        <v/>
      </c>
      <c r="H2291" s="4" t="str">
        <f>IF(F2291="","",_xlfn.XLOOKUP(F2291,purchase!D:D,purchase!#REF!,""))</f>
        <v/>
      </c>
      <c r="I2291" s="4" t="str">
        <f t="shared" si="247"/>
        <v/>
      </c>
      <c r="J2291" s="4" t="str">
        <f t="shared" si="248"/>
        <v/>
      </c>
      <c r="K2291" s="13" t="str">
        <f>_xlfn.SINGLE(IF(F2291="","",_xlfn.XLOOKUP(F2291,purchase!D:D,purchase!#REF!,"")))</f>
        <v/>
      </c>
      <c r="L2291" s="2"/>
      <c r="M2291" s="32"/>
      <c r="N2291" s="13" t="str">
        <f>IF(F2291="","",
MAX(0,
_xlfn.XLOOKUP(F2291,purchase!D:D,purchase!#REF!,"")
-
SUMIFS(L:L,F:F,F2291)))</f>
        <v/>
      </c>
      <c r="O2291" s="13" t="str">
        <f t="shared" si="249"/>
        <v/>
      </c>
      <c r="P2291" s="35" t="str">
        <f>_xlfn.SINGLE(IF(F2291="","",_xlfn.XLOOKUP(F2291,purchase!D:D,purchase!K:K,"")))</f>
        <v/>
      </c>
      <c r="Q2291" s="29" t="str">
        <f t="shared" si="250"/>
        <v/>
      </c>
      <c r="R2291" s="37" t="str">
        <f t="shared" si="251"/>
        <v/>
      </c>
    </row>
    <row r="2292" spans="1:18" x14ac:dyDescent="0.35">
      <c r="A2292" s="8">
        <v>2288</v>
      </c>
      <c r="B2292" s="9" t="str">
        <f t="shared" si="245"/>
        <v/>
      </c>
      <c r="C2292" s="10"/>
      <c r="D2292" s="9" t="str">
        <f>IF(F2292="","",_xlfn.XLOOKUP(F2292,purchase!D:D,purchase!#REF!,""))</f>
        <v/>
      </c>
      <c r="E2292" s="9" t="str">
        <f>IF(F2292="","",_xlfn.XLOOKUP(F2292,purchase!D:D,purchase!B:B,""))</f>
        <v/>
      </c>
      <c r="F2292" s="2"/>
      <c r="G2292" s="4" t="str">
        <f t="shared" si="246"/>
        <v/>
      </c>
      <c r="H2292" s="4" t="str">
        <f>IF(F2292="","",_xlfn.XLOOKUP(F2292,purchase!D:D,purchase!#REF!,""))</f>
        <v/>
      </c>
      <c r="I2292" s="4" t="str">
        <f t="shared" si="247"/>
        <v/>
      </c>
      <c r="J2292" s="4" t="str">
        <f t="shared" si="248"/>
        <v/>
      </c>
      <c r="K2292" s="13" t="str">
        <f>_xlfn.SINGLE(IF(F2292="","",_xlfn.XLOOKUP(F2292,purchase!D:D,purchase!#REF!,"")))</f>
        <v/>
      </c>
      <c r="L2292" s="2"/>
      <c r="M2292" s="32"/>
      <c r="N2292" s="13" t="str">
        <f>IF(F2292="","",
MAX(0,
_xlfn.XLOOKUP(F2292,purchase!D:D,purchase!#REF!,"")
-
SUMIFS(L:L,F:F,F2292)))</f>
        <v/>
      </c>
      <c r="O2292" s="13" t="str">
        <f t="shared" si="249"/>
        <v/>
      </c>
      <c r="P2292" s="35" t="str">
        <f>_xlfn.SINGLE(IF(F2292="","",_xlfn.XLOOKUP(F2292,purchase!D:D,purchase!K:K,"")))</f>
        <v/>
      </c>
      <c r="Q2292" s="29" t="str">
        <f t="shared" si="250"/>
        <v/>
      </c>
      <c r="R2292" s="37" t="str">
        <f t="shared" si="251"/>
        <v/>
      </c>
    </row>
    <row r="2293" spans="1:18" x14ac:dyDescent="0.35">
      <c r="A2293" s="8">
        <v>2289</v>
      </c>
      <c r="B2293" s="9" t="str">
        <f t="shared" si="245"/>
        <v/>
      </c>
      <c r="C2293" s="10"/>
      <c r="D2293" s="9" t="str">
        <f>IF(F2293="","",_xlfn.XLOOKUP(F2293,purchase!D:D,purchase!#REF!,""))</f>
        <v/>
      </c>
      <c r="E2293" s="9" t="str">
        <f>IF(F2293="","",_xlfn.XLOOKUP(F2293,purchase!D:D,purchase!B:B,""))</f>
        <v/>
      </c>
      <c r="F2293" s="2"/>
      <c r="G2293" s="4" t="str">
        <f t="shared" si="246"/>
        <v/>
      </c>
      <c r="H2293" s="4" t="str">
        <f>IF(F2293="","",_xlfn.XLOOKUP(F2293,purchase!D:D,purchase!#REF!,""))</f>
        <v/>
      </c>
      <c r="I2293" s="4" t="str">
        <f t="shared" si="247"/>
        <v/>
      </c>
      <c r="J2293" s="4" t="str">
        <f t="shared" si="248"/>
        <v/>
      </c>
      <c r="K2293" s="13" t="str">
        <f>_xlfn.SINGLE(IF(F2293="","",_xlfn.XLOOKUP(F2293,purchase!D:D,purchase!#REF!,"")))</f>
        <v/>
      </c>
      <c r="L2293" s="2"/>
      <c r="M2293" s="32"/>
      <c r="N2293" s="13" t="str">
        <f>IF(F2293="","",
MAX(0,
_xlfn.XLOOKUP(F2293,purchase!D:D,purchase!#REF!,"")
-
SUMIFS(L:L,F:F,F2293)))</f>
        <v/>
      </c>
      <c r="O2293" s="13" t="str">
        <f t="shared" si="249"/>
        <v/>
      </c>
      <c r="P2293" s="35" t="str">
        <f>_xlfn.SINGLE(IF(F2293="","",_xlfn.XLOOKUP(F2293,purchase!D:D,purchase!K:K,"")))</f>
        <v/>
      </c>
      <c r="Q2293" s="29" t="str">
        <f t="shared" si="250"/>
        <v/>
      </c>
      <c r="R2293" s="37" t="str">
        <f t="shared" si="251"/>
        <v/>
      </c>
    </row>
    <row r="2294" spans="1:18" x14ac:dyDescent="0.35">
      <c r="A2294" s="8">
        <v>2290</v>
      </c>
      <c r="B2294" s="9" t="str">
        <f t="shared" si="245"/>
        <v/>
      </c>
      <c r="C2294" s="10"/>
      <c r="D2294" s="9" t="str">
        <f>IF(F2294="","",_xlfn.XLOOKUP(F2294,purchase!D:D,purchase!#REF!,""))</f>
        <v/>
      </c>
      <c r="E2294" s="9" t="str">
        <f>IF(F2294="","",_xlfn.XLOOKUP(F2294,purchase!D:D,purchase!B:B,""))</f>
        <v/>
      </c>
      <c r="F2294" s="2"/>
      <c r="G2294" s="4" t="str">
        <f t="shared" si="246"/>
        <v/>
      </c>
      <c r="H2294" s="4" t="str">
        <f>IF(F2294="","",_xlfn.XLOOKUP(F2294,purchase!D:D,purchase!#REF!,""))</f>
        <v/>
      </c>
      <c r="I2294" s="4" t="str">
        <f t="shared" si="247"/>
        <v/>
      </c>
      <c r="J2294" s="4" t="str">
        <f t="shared" si="248"/>
        <v/>
      </c>
      <c r="K2294" s="13" t="str">
        <f>_xlfn.SINGLE(IF(F2294="","",_xlfn.XLOOKUP(F2294,purchase!D:D,purchase!#REF!,"")))</f>
        <v/>
      </c>
      <c r="L2294" s="2"/>
      <c r="M2294" s="32"/>
      <c r="N2294" s="13" t="str">
        <f>IF(F2294="","",
MAX(0,
_xlfn.XLOOKUP(F2294,purchase!D:D,purchase!#REF!,"")
-
SUMIFS(L:L,F:F,F2294)))</f>
        <v/>
      </c>
      <c r="O2294" s="13" t="str">
        <f t="shared" si="249"/>
        <v/>
      </c>
      <c r="P2294" s="35" t="str">
        <f>_xlfn.SINGLE(IF(F2294="","",_xlfn.XLOOKUP(F2294,purchase!D:D,purchase!K:K,"")))</f>
        <v/>
      </c>
      <c r="Q2294" s="29" t="str">
        <f t="shared" si="250"/>
        <v/>
      </c>
      <c r="R2294" s="37" t="str">
        <f t="shared" si="251"/>
        <v/>
      </c>
    </row>
    <row r="2295" spans="1:18" x14ac:dyDescent="0.35">
      <c r="A2295" s="8">
        <v>2291</v>
      </c>
      <c r="B2295" s="9" t="str">
        <f t="shared" si="245"/>
        <v/>
      </c>
      <c r="C2295" s="10"/>
      <c r="D2295" s="9" t="str">
        <f>IF(F2295="","",_xlfn.XLOOKUP(F2295,purchase!D:D,purchase!#REF!,""))</f>
        <v/>
      </c>
      <c r="E2295" s="9" t="str">
        <f>IF(F2295="","",_xlfn.XLOOKUP(F2295,purchase!D:D,purchase!B:B,""))</f>
        <v/>
      </c>
      <c r="F2295" s="2"/>
      <c r="G2295" s="4" t="str">
        <f t="shared" si="246"/>
        <v/>
      </c>
      <c r="H2295" s="4" t="str">
        <f>IF(F2295="","",_xlfn.XLOOKUP(F2295,purchase!D:D,purchase!#REF!,""))</f>
        <v/>
      </c>
      <c r="I2295" s="4" t="str">
        <f t="shared" si="247"/>
        <v/>
      </c>
      <c r="J2295" s="4" t="str">
        <f t="shared" si="248"/>
        <v/>
      </c>
      <c r="K2295" s="13" t="str">
        <f>_xlfn.SINGLE(IF(F2295="","",_xlfn.XLOOKUP(F2295,purchase!D:D,purchase!#REF!,"")))</f>
        <v/>
      </c>
      <c r="L2295" s="2"/>
      <c r="M2295" s="32"/>
      <c r="N2295" s="13" t="str">
        <f>IF(F2295="","",
MAX(0,
_xlfn.XLOOKUP(F2295,purchase!D:D,purchase!#REF!,"")
-
SUMIFS(L:L,F:F,F2295)))</f>
        <v/>
      </c>
      <c r="O2295" s="13" t="str">
        <f t="shared" si="249"/>
        <v/>
      </c>
      <c r="P2295" s="35" t="str">
        <f>_xlfn.SINGLE(IF(F2295="","",_xlfn.XLOOKUP(F2295,purchase!D:D,purchase!K:K,"")))</f>
        <v/>
      </c>
      <c r="Q2295" s="29" t="str">
        <f t="shared" si="250"/>
        <v/>
      </c>
      <c r="R2295" s="37" t="str">
        <f t="shared" si="251"/>
        <v/>
      </c>
    </row>
    <row r="2296" spans="1:18" x14ac:dyDescent="0.35">
      <c r="A2296" s="8">
        <v>2292</v>
      </c>
      <c r="B2296" s="9" t="str">
        <f t="shared" si="245"/>
        <v/>
      </c>
      <c r="C2296" s="10"/>
      <c r="D2296" s="9" t="str">
        <f>IF(F2296="","",_xlfn.XLOOKUP(F2296,purchase!D:D,purchase!#REF!,""))</f>
        <v/>
      </c>
      <c r="E2296" s="9" t="str">
        <f>IF(F2296="","",_xlfn.XLOOKUP(F2296,purchase!D:D,purchase!B:B,""))</f>
        <v/>
      </c>
      <c r="F2296" s="2"/>
      <c r="G2296" s="4" t="str">
        <f t="shared" si="246"/>
        <v/>
      </c>
      <c r="H2296" s="4" t="str">
        <f>IF(F2296="","",_xlfn.XLOOKUP(F2296,purchase!D:D,purchase!#REF!,""))</f>
        <v/>
      </c>
      <c r="I2296" s="4" t="str">
        <f t="shared" si="247"/>
        <v/>
      </c>
      <c r="J2296" s="4" t="str">
        <f t="shared" si="248"/>
        <v/>
      </c>
      <c r="K2296" s="13" t="str">
        <f>_xlfn.SINGLE(IF(F2296="","",_xlfn.XLOOKUP(F2296,purchase!D:D,purchase!#REF!,"")))</f>
        <v/>
      </c>
      <c r="L2296" s="2"/>
      <c r="M2296" s="32"/>
      <c r="N2296" s="13" t="str">
        <f>IF(F2296="","",
MAX(0,
_xlfn.XLOOKUP(F2296,purchase!D:D,purchase!#REF!,"")
-
SUMIFS(L:L,F:F,F2296)))</f>
        <v/>
      </c>
      <c r="O2296" s="13" t="str">
        <f t="shared" si="249"/>
        <v/>
      </c>
      <c r="P2296" s="35" t="str">
        <f>_xlfn.SINGLE(IF(F2296="","",_xlfn.XLOOKUP(F2296,purchase!D:D,purchase!K:K,"")))</f>
        <v/>
      </c>
      <c r="Q2296" s="29" t="str">
        <f t="shared" si="250"/>
        <v/>
      </c>
      <c r="R2296" s="37" t="str">
        <f t="shared" si="251"/>
        <v/>
      </c>
    </row>
    <row r="2297" spans="1:18" x14ac:dyDescent="0.35">
      <c r="A2297" s="8">
        <v>2293</v>
      </c>
      <c r="B2297" s="9" t="str">
        <f t="shared" si="245"/>
        <v/>
      </c>
      <c r="C2297" s="10"/>
      <c r="D2297" s="9" t="str">
        <f>IF(F2297="","",_xlfn.XLOOKUP(F2297,purchase!D:D,purchase!#REF!,""))</f>
        <v/>
      </c>
      <c r="E2297" s="9" t="str">
        <f>IF(F2297="","",_xlfn.XLOOKUP(F2297,purchase!D:D,purchase!B:B,""))</f>
        <v/>
      </c>
      <c r="F2297" s="2"/>
      <c r="G2297" s="4" t="str">
        <f t="shared" si="246"/>
        <v/>
      </c>
      <c r="H2297" s="4" t="str">
        <f>IF(F2297="","",_xlfn.XLOOKUP(F2297,purchase!D:D,purchase!#REF!,""))</f>
        <v/>
      </c>
      <c r="I2297" s="4" t="str">
        <f t="shared" si="247"/>
        <v/>
      </c>
      <c r="J2297" s="4" t="str">
        <f t="shared" si="248"/>
        <v/>
      </c>
      <c r="K2297" s="13" t="str">
        <f>_xlfn.SINGLE(IF(F2297="","",_xlfn.XLOOKUP(F2297,purchase!D:D,purchase!#REF!,"")))</f>
        <v/>
      </c>
      <c r="L2297" s="2"/>
      <c r="M2297" s="32"/>
      <c r="N2297" s="13" t="str">
        <f>IF(F2297="","",
MAX(0,
_xlfn.XLOOKUP(F2297,purchase!D:D,purchase!#REF!,"")
-
SUMIFS(L:L,F:F,F2297)))</f>
        <v/>
      </c>
      <c r="O2297" s="13" t="str">
        <f t="shared" si="249"/>
        <v/>
      </c>
      <c r="P2297" s="35" t="str">
        <f>_xlfn.SINGLE(IF(F2297="","",_xlfn.XLOOKUP(F2297,purchase!D:D,purchase!K:K,"")))</f>
        <v/>
      </c>
      <c r="Q2297" s="29" t="str">
        <f t="shared" si="250"/>
        <v/>
      </c>
      <c r="R2297" s="37" t="str">
        <f t="shared" si="251"/>
        <v/>
      </c>
    </row>
    <row r="2298" spans="1:18" x14ac:dyDescent="0.35">
      <c r="A2298" s="8">
        <v>2294</v>
      </c>
      <c r="B2298" s="9" t="str">
        <f t="shared" si="245"/>
        <v/>
      </c>
      <c r="C2298" s="10"/>
      <c r="D2298" s="9" t="str">
        <f>IF(F2298="","",_xlfn.XLOOKUP(F2298,purchase!D:D,purchase!#REF!,""))</f>
        <v/>
      </c>
      <c r="E2298" s="9" t="str">
        <f>IF(F2298="","",_xlfn.XLOOKUP(F2298,purchase!D:D,purchase!B:B,""))</f>
        <v/>
      </c>
      <c r="F2298" s="2"/>
      <c r="G2298" s="4" t="str">
        <f t="shared" si="246"/>
        <v/>
      </c>
      <c r="H2298" s="4" t="str">
        <f>IF(F2298="","",_xlfn.XLOOKUP(F2298,purchase!D:D,purchase!#REF!,""))</f>
        <v/>
      </c>
      <c r="I2298" s="4" t="str">
        <f t="shared" si="247"/>
        <v/>
      </c>
      <c r="J2298" s="4" t="str">
        <f t="shared" si="248"/>
        <v/>
      </c>
      <c r="K2298" s="13" t="str">
        <f>_xlfn.SINGLE(IF(F2298="","",_xlfn.XLOOKUP(F2298,purchase!D:D,purchase!#REF!,"")))</f>
        <v/>
      </c>
      <c r="L2298" s="2"/>
      <c r="M2298" s="32"/>
      <c r="N2298" s="13" t="str">
        <f>IF(F2298="","",
MAX(0,
_xlfn.XLOOKUP(F2298,purchase!D:D,purchase!#REF!,"")
-
SUMIFS(L:L,F:F,F2298)))</f>
        <v/>
      </c>
      <c r="O2298" s="13" t="str">
        <f t="shared" si="249"/>
        <v/>
      </c>
      <c r="P2298" s="35" t="str">
        <f>_xlfn.SINGLE(IF(F2298="","",_xlfn.XLOOKUP(F2298,purchase!D:D,purchase!K:K,"")))</f>
        <v/>
      </c>
      <c r="Q2298" s="29" t="str">
        <f t="shared" si="250"/>
        <v/>
      </c>
      <c r="R2298" s="37" t="str">
        <f t="shared" si="251"/>
        <v/>
      </c>
    </row>
    <row r="2299" spans="1:18" x14ac:dyDescent="0.35">
      <c r="A2299" s="8">
        <v>2295</v>
      </c>
      <c r="B2299" s="9" t="str">
        <f t="shared" si="245"/>
        <v/>
      </c>
      <c r="C2299" s="10"/>
      <c r="D2299" s="9" t="str">
        <f>IF(F2299="","",_xlfn.XLOOKUP(F2299,purchase!D:D,purchase!#REF!,""))</f>
        <v/>
      </c>
      <c r="E2299" s="9" t="str">
        <f>IF(F2299="","",_xlfn.XLOOKUP(F2299,purchase!D:D,purchase!B:B,""))</f>
        <v/>
      </c>
      <c r="F2299" s="2"/>
      <c r="G2299" s="4" t="str">
        <f t="shared" si="246"/>
        <v/>
      </c>
      <c r="H2299" s="4" t="str">
        <f>IF(F2299="","",_xlfn.XLOOKUP(F2299,purchase!D:D,purchase!#REF!,""))</f>
        <v/>
      </c>
      <c r="I2299" s="4" t="str">
        <f t="shared" si="247"/>
        <v/>
      </c>
      <c r="J2299" s="4" t="str">
        <f t="shared" si="248"/>
        <v/>
      </c>
      <c r="K2299" s="13" t="str">
        <f>_xlfn.SINGLE(IF(F2299="","",_xlfn.XLOOKUP(F2299,purchase!D:D,purchase!#REF!,"")))</f>
        <v/>
      </c>
      <c r="L2299" s="2"/>
      <c r="M2299" s="32"/>
      <c r="N2299" s="13" t="str">
        <f>IF(F2299="","",
MAX(0,
_xlfn.XLOOKUP(F2299,purchase!D:D,purchase!#REF!,"")
-
SUMIFS(L:L,F:F,F2299)))</f>
        <v/>
      </c>
      <c r="O2299" s="13" t="str">
        <f t="shared" si="249"/>
        <v/>
      </c>
      <c r="P2299" s="35" t="str">
        <f>_xlfn.SINGLE(IF(F2299="","",_xlfn.XLOOKUP(F2299,purchase!D:D,purchase!K:K,"")))</f>
        <v/>
      </c>
      <c r="Q2299" s="29" t="str">
        <f t="shared" si="250"/>
        <v/>
      </c>
      <c r="R2299" s="37" t="str">
        <f t="shared" si="251"/>
        <v/>
      </c>
    </row>
    <row r="2300" spans="1:18" x14ac:dyDescent="0.35">
      <c r="A2300" s="8">
        <v>2296</v>
      </c>
      <c r="B2300" s="9" t="str">
        <f t="shared" si="245"/>
        <v/>
      </c>
      <c r="C2300" s="10"/>
      <c r="D2300" s="9" t="str">
        <f>IF(F2300="","",_xlfn.XLOOKUP(F2300,purchase!D:D,purchase!#REF!,""))</f>
        <v/>
      </c>
      <c r="E2300" s="9" t="str">
        <f>IF(F2300="","",_xlfn.XLOOKUP(F2300,purchase!D:D,purchase!B:B,""))</f>
        <v/>
      </c>
      <c r="F2300" s="2"/>
      <c r="G2300" s="4" t="str">
        <f t="shared" si="246"/>
        <v/>
      </c>
      <c r="H2300" s="4" t="str">
        <f>IF(F2300="","",_xlfn.XLOOKUP(F2300,purchase!D:D,purchase!#REF!,""))</f>
        <v/>
      </c>
      <c r="I2300" s="4" t="str">
        <f t="shared" si="247"/>
        <v/>
      </c>
      <c r="J2300" s="4" t="str">
        <f t="shared" si="248"/>
        <v/>
      </c>
      <c r="K2300" s="13" t="str">
        <f>_xlfn.SINGLE(IF(F2300="","",_xlfn.XLOOKUP(F2300,purchase!D:D,purchase!#REF!,"")))</f>
        <v/>
      </c>
      <c r="L2300" s="2"/>
      <c r="M2300" s="32"/>
      <c r="N2300" s="13" t="str">
        <f>IF(F2300="","",
MAX(0,
_xlfn.XLOOKUP(F2300,purchase!D:D,purchase!#REF!,"")
-
SUMIFS(L:L,F:F,F2300)))</f>
        <v/>
      </c>
      <c r="O2300" s="13" t="str">
        <f t="shared" si="249"/>
        <v/>
      </c>
      <c r="P2300" s="35" t="str">
        <f>_xlfn.SINGLE(IF(F2300="","",_xlfn.XLOOKUP(F2300,purchase!D:D,purchase!K:K,"")))</f>
        <v/>
      </c>
      <c r="Q2300" s="29" t="str">
        <f t="shared" si="250"/>
        <v/>
      </c>
      <c r="R2300" s="37" t="str">
        <f t="shared" si="251"/>
        <v/>
      </c>
    </row>
    <row r="2301" spans="1:18" x14ac:dyDescent="0.35">
      <c r="A2301" s="8">
        <v>2297</v>
      </c>
      <c r="B2301" s="9" t="str">
        <f t="shared" si="245"/>
        <v/>
      </c>
      <c r="C2301" s="10"/>
      <c r="D2301" s="9" t="str">
        <f>IF(F2301="","",_xlfn.XLOOKUP(F2301,purchase!D:D,purchase!#REF!,""))</f>
        <v/>
      </c>
      <c r="E2301" s="9" t="str">
        <f>IF(F2301="","",_xlfn.XLOOKUP(F2301,purchase!D:D,purchase!B:B,""))</f>
        <v/>
      </c>
      <c r="F2301" s="2"/>
      <c r="G2301" s="4" t="str">
        <f t="shared" si="246"/>
        <v/>
      </c>
      <c r="H2301" s="4" t="str">
        <f>IF(F2301="","",_xlfn.XLOOKUP(F2301,purchase!D:D,purchase!#REF!,""))</f>
        <v/>
      </c>
      <c r="I2301" s="4" t="str">
        <f t="shared" si="247"/>
        <v/>
      </c>
      <c r="J2301" s="4" t="str">
        <f t="shared" si="248"/>
        <v/>
      </c>
      <c r="K2301" s="13" t="str">
        <f>_xlfn.SINGLE(IF(F2301="","",_xlfn.XLOOKUP(F2301,purchase!D:D,purchase!#REF!,"")))</f>
        <v/>
      </c>
      <c r="L2301" s="2"/>
      <c r="M2301" s="32"/>
      <c r="N2301" s="13" t="str">
        <f>IF(F2301="","",
MAX(0,
_xlfn.XLOOKUP(F2301,purchase!D:D,purchase!#REF!,"")
-
SUMIFS(L:L,F:F,F2301)))</f>
        <v/>
      </c>
      <c r="O2301" s="13" t="str">
        <f t="shared" si="249"/>
        <v/>
      </c>
      <c r="P2301" s="35" t="str">
        <f>_xlfn.SINGLE(IF(F2301="","",_xlfn.XLOOKUP(F2301,purchase!D:D,purchase!K:K,"")))</f>
        <v/>
      </c>
      <c r="Q2301" s="29" t="str">
        <f t="shared" si="250"/>
        <v/>
      </c>
      <c r="R2301" s="37" t="str">
        <f t="shared" si="251"/>
        <v/>
      </c>
    </row>
    <row r="2302" spans="1:18" x14ac:dyDescent="0.35">
      <c r="A2302" s="8">
        <v>2298</v>
      </c>
      <c r="B2302" s="9" t="str">
        <f t="shared" si="245"/>
        <v/>
      </c>
      <c r="C2302" s="10"/>
      <c r="D2302" s="9" t="str">
        <f>IF(F2302="","",_xlfn.XLOOKUP(F2302,purchase!D:D,purchase!#REF!,""))</f>
        <v/>
      </c>
      <c r="E2302" s="9" t="str">
        <f>IF(F2302="","",_xlfn.XLOOKUP(F2302,purchase!D:D,purchase!B:B,""))</f>
        <v/>
      </c>
      <c r="F2302" s="2"/>
      <c r="G2302" s="4" t="str">
        <f t="shared" si="246"/>
        <v/>
      </c>
      <c r="H2302" s="4" t="str">
        <f>IF(F2302="","",_xlfn.XLOOKUP(F2302,purchase!D:D,purchase!#REF!,""))</f>
        <v/>
      </c>
      <c r="I2302" s="4" t="str">
        <f t="shared" si="247"/>
        <v/>
      </c>
      <c r="J2302" s="4" t="str">
        <f t="shared" si="248"/>
        <v/>
      </c>
      <c r="K2302" s="13" t="str">
        <f>_xlfn.SINGLE(IF(F2302="","",_xlfn.XLOOKUP(F2302,purchase!D:D,purchase!#REF!,"")))</f>
        <v/>
      </c>
      <c r="L2302" s="2"/>
      <c r="M2302" s="32"/>
      <c r="N2302" s="13" t="str">
        <f>IF(F2302="","",
MAX(0,
_xlfn.XLOOKUP(F2302,purchase!D:D,purchase!#REF!,"")
-
SUMIFS(L:L,F:F,F2302)))</f>
        <v/>
      </c>
      <c r="O2302" s="13" t="str">
        <f t="shared" si="249"/>
        <v/>
      </c>
      <c r="P2302" s="35" t="str">
        <f>_xlfn.SINGLE(IF(F2302="","",_xlfn.XLOOKUP(F2302,purchase!D:D,purchase!K:K,"")))</f>
        <v/>
      </c>
      <c r="Q2302" s="29" t="str">
        <f t="shared" si="250"/>
        <v/>
      </c>
      <c r="R2302" s="37" t="str">
        <f t="shared" si="251"/>
        <v/>
      </c>
    </row>
    <row r="2303" spans="1:18" x14ac:dyDescent="0.35">
      <c r="A2303" s="8">
        <v>2299</v>
      </c>
      <c r="B2303" s="9" t="str">
        <f t="shared" si="245"/>
        <v/>
      </c>
      <c r="C2303" s="10"/>
      <c r="D2303" s="9" t="str">
        <f>IF(F2303="","",_xlfn.XLOOKUP(F2303,purchase!D:D,purchase!#REF!,""))</f>
        <v/>
      </c>
      <c r="E2303" s="9" t="str">
        <f>IF(F2303="","",_xlfn.XLOOKUP(F2303,purchase!D:D,purchase!B:B,""))</f>
        <v/>
      </c>
      <c r="F2303" s="2"/>
      <c r="G2303" s="4" t="str">
        <f t="shared" si="246"/>
        <v/>
      </c>
      <c r="H2303" s="4" t="str">
        <f>IF(F2303="","",_xlfn.XLOOKUP(F2303,purchase!D:D,purchase!#REF!,""))</f>
        <v/>
      </c>
      <c r="I2303" s="4" t="str">
        <f t="shared" si="247"/>
        <v/>
      </c>
      <c r="J2303" s="4" t="str">
        <f t="shared" si="248"/>
        <v/>
      </c>
      <c r="K2303" s="13" t="str">
        <f>_xlfn.SINGLE(IF(F2303="","",_xlfn.XLOOKUP(F2303,purchase!D:D,purchase!#REF!,"")))</f>
        <v/>
      </c>
      <c r="L2303" s="2"/>
      <c r="M2303" s="32"/>
      <c r="N2303" s="13" t="str">
        <f>IF(F2303="","",
MAX(0,
_xlfn.XLOOKUP(F2303,purchase!D:D,purchase!#REF!,"")
-
SUMIFS(L:L,F:F,F2303)))</f>
        <v/>
      </c>
      <c r="O2303" s="13" t="str">
        <f t="shared" si="249"/>
        <v/>
      </c>
      <c r="P2303" s="35" t="str">
        <f>_xlfn.SINGLE(IF(F2303="","",_xlfn.XLOOKUP(F2303,purchase!D:D,purchase!K:K,"")))</f>
        <v/>
      </c>
      <c r="Q2303" s="29" t="str">
        <f t="shared" si="250"/>
        <v/>
      </c>
      <c r="R2303" s="37" t="str">
        <f t="shared" si="251"/>
        <v/>
      </c>
    </row>
    <row r="2304" spans="1:18" x14ac:dyDescent="0.35">
      <c r="A2304" s="8">
        <v>2300</v>
      </c>
      <c r="B2304" s="9" t="str">
        <f t="shared" si="245"/>
        <v/>
      </c>
      <c r="C2304" s="10"/>
      <c r="D2304" s="9" t="str">
        <f>IF(F2304="","",_xlfn.XLOOKUP(F2304,purchase!D:D,purchase!#REF!,""))</f>
        <v/>
      </c>
      <c r="E2304" s="9" t="str">
        <f>IF(F2304="","",_xlfn.XLOOKUP(F2304,purchase!D:D,purchase!B:B,""))</f>
        <v/>
      </c>
      <c r="F2304" s="2"/>
      <c r="G2304" s="4" t="str">
        <f t="shared" si="246"/>
        <v/>
      </c>
      <c r="H2304" s="4" t="str">
        <f>IF(F2304="","",_xlfn.XLOOKUP(F2304,purchase!D:D,purchase!#REF!,""))</f>
        <v/>
      </c>
      <c r="I2304" s="4" t="str">
        <f t="shared" si="247"/>
        <v/>
      </c>
      <c r="J2304" s="4" t="str">
        <f t="shared" si="248"/>
        <v/>
      </c>
      <c r="K2304" s="13" t="str">
        <f>_xlfn.SINGLE(IF(F2304="","",_xlfn.XLOOKUP(F2304,purchase!D:D,purchase!#REF!,"")))</f>
        <v/>
      </c>
      <c r="L2304" s="2"/>
      <c r="M2304" s="32"/>
      <c r="N2304" s="13" t="str">
        <f>IF(F2304="","",
MAX(0,
_xlfn.XLOOKUP(F2304,purchase!D:D,purchase!#REF!,"")
-
SUMIFS(L:L,F:F,F2304)))</f>
        <v/>
      </c>
      <c r="O2304" s="13" t="str">
        <f t="shared" si="249"/>
        <v/>
      </c>
      <c r="P2304" s="35" t="str">
        <f>_xlfn.SINGLE(IF(F2304="","",_xlfn.XLOOKUP(F2304,purchase!D:D,purchase!K:K,"")))</f>
        <v/>
      </c>
      <c r="Q2304" s="29" t="str">
        <f t="shared" si="250"/>
        <v/>
      </c>
      <c r="R2304" s="37" t="str">
        <f t="shared" si="251"/>
        <v/>
      </c>
    </row>
    <row r="2305" spans="1:18" x14ac:dyDescent="0.35">
      <c r="A2305" s="8">
        <v>2301</v>
      </c>
      <c r="B2305" s="9" t="str">
        <f t="shared" si="245"/>
        <v/>
      </c>
      <c r="C2305" s="10"/>
      <c r="D2305" s="9" t="str">
        <f>IF(F2305="","",_xlfn.XLOOKUP(F2305,purchase!D:D,purchase!#REF!,""))</f>
        <v/>
      </c>
      <c r="E2305" s="9" t="str">
        <f>IF(F2305="","",_xlfn.XLOOKUP(F2305,purchase!D:D,purchase!B:B,""))</f>
        <v/>
      </c>
      <c r="F2305" s="2"/>
      <c r="G2305" s="4" t="str">
        <f t="shared" si="246"/>
        <v/>
      </c>
      <c r="H2305" s="4" t="str">
        <f>IF(F2305="","",_xlfn.XLOOKUP(F2305,purchase!D:D,purchase!#REF!,""))</f>
        <v/>
      </c>
      <c r="I2305" s="4" t="str">
        <f t="shared" si="247"/>
        <v/>
      </c>
      <c r="J2305" s="4" t="str">
        <f t="shared" si="248"/>
        <v/>
      </c>
      <c r="K2305" s="13" t="str">
        <f>_xlfn.SINGLE(IF(F2305="","",_xlfn.XLOOKUP(F2305,purchase!D:D,purchase!#REF!,"")))</f>
        <v/>
      </c>
      <c r="L2305" s="2"/>
      <c r="M2305" s="32"/>
      <c r="N2305" s="13" t="str">
        <f>IF(F2305="","",
MAX(0,
_xlfn.XLOOKUP(F2305,purchase!D:D,purchase!#REF!,"")
-
SUMIFS(L:L,F:F,F2305)))</f>
        <v/>
      </c>
      <c r="O2305" s="13" t="str">
        <f t="shared" si="249"/>
        <v/>
      </c>
      <c r="P2305" s="35" t="str">
        <f>_xlfn.SINGLE(IF(F2305="","",_xlfn.XLOOKUP(F2305,purchase!D:D,purchase!K:K,"")))</f>
        <v/>
      </c>
      <c r="Q2305" s="29" t="str">
        <f t="shared" si="250"/>
        <v/>
      </c>
      <c r="R2305" s="37" t="str">
        <f t="shared" si="251"/>
        <v/>
      </c>
    </row>
    <row r="2306" spans="1:18" x14ac:dyDescent="0.35">
      <c r="A2306" s="8">
        <v>2302</v>
      </c>
      <c r="B2306" s="9" t="str">
        <f t="shared" si="245"/>
        <v/>
      </c>
      <c r="C2306" s="10"/>
      <c r="D2306" s="9" t="str">
        <f>IF(F2306="","",_xlfn.XLOOKUP(F2306,purchase!D:D,purchase!#REF!,""))</f>
        <v/>
      </c>
      <c r="E2306" s="9" t="str">
        <f>IF(F2306="","",_xlfn.XLOOKUP(F2306,purchase!D:D,purchase!B:B,""))</f>
        <v/>
      </c>
      <c r="F2306" s="2"/>
      <c r="G2306" s="4" t="str">
        <f t="shared" si="246"/>
        <v/>
      </c>
      <c r="H2306" s="4" t="str">
        <f>IF(F2306="","",_xlfn.XLOOKUP(F2306,purchase!D:D,purchase!#REF!,""))</f>
        <v/>
      </c>
      <c r="I2306" s="4" t="str">
        <f t="shared" si="247"/>
        <v/>
      </c>
      <c r="J2306" s="4" t="str">
        <f t="shared" si="248"/>
        <v/>
      </c>
      <c r="K2306" s="13" t="str">
        <f>_xlfn.SINGLE(IF(F2306="","",_xlfn.XLOOKUP(F2306,purchase!D:D,purchase!#REF!,"")))</f>
        <v/>
      </c>
      <c r="L2306" s="2"/>
      <c r="M2306" s="32"/>
      <c r="N2306" s="13" t="str">
        <f>IF(F2306="","",
MAX(0,
_xlfn.XLOOKUP(F2306,purchase!D:D,purchase!#REF!,"")
-
SUMIFS(L:L,F:F,F2306)))</f>
        <v/>
      </c>
      <c r="O2306" s="13" t="str">
        <f t="shared" si="249"/>
        <v/>
      </c>
      <c r="P2306" s="35" t="str">
        <f>_xlfn.SINGLE(IF(F2306="","",_xlfn.XLOOKUP(F2306,purchase!D:D,purchase!K:K,"")))</f>
        <v/>
      </c>
      <c r="Q2306" s="29" t="str">
        <f t="shared" si="250"/>
        <v/>
      </c>
      <c r="R2306" s="37" t="str">
        <f t="shared" si="251"/>
        <v/>
      </c>
    </row>
    <row r="2307" spans="1:18" x14ac:dyDescent="0.35">
      <c r="A2307" s="8">
        <v>2303</v>
      </c>
      <c r="B2307" s="9" t="str">
        <f t="shared" si="245"/>
        <v/>
      </c>
      <c r="C2307" s="10"/>
      <c r="D2307" s="9" t="str">
        <f>IF(F2307="","",_xlfn.XLOOKUP(F2307,purchase!D:D,purchase!#REF!,""))</f>
        <v/>
      </c>
      <c r="E2307" s="9" t="str">
        <f>IF(F2307="","",_xlfn.XLOOKUP(F2307,purchase!D:D,purchase!B:B,""))</f>
        <v/>
      </c>
      <c r="F2307" s="2"/>
      <c r="G2307" s="4" t="str">
        <f t="shared" si="246"/>
        <v/>
      </c>
      <c r="H2307" s="4" t="str">
        <f>IF(F2307="","",_xlfn.XLOOKUP(F2307,purchase!D:D,purchase!#REF!,""))</f>
        <v/>
      </c>
      <c r="I2307" s="4" t="str">
        <f t="shared" si="247"/>
        <v/>
      </c>
      <c r="J2307" s="4" t="str">
        <f t="shared" si="248"/>
        <v/>
      </c>
      <c r="K2307" s="13" t="str">
        <f>_xlfn.SINGLE(IF(F2307="","",_xlfn.XLOOKUP(F2307,purchase!D:D,purchase!#REF!,"")))</f>
        <v/>
      </c>
      <c r="L2307" s="2"/>
      <c r="M2307" s="32"/>
      <c r="N2307" s="13" t="str">
        <f>IF(F2307="","",
MAX(0,
_xlfn.XLOOKUP(F2307,purchase!D:D,purchase!#REF!,"")
-
SUMIFS(L:L,F:F,F2307)))</f>
        <v/>
      </c>
      <c r="O2307" s="13" t="str">
        <f t="shared" si="249"/>
        <v/>
      </c>
      <c r="P2307" s="35" t="str">
        <f>_xlfn.SINGLE(IF(F2307="","",_xlfn.XLOOKUP(F2307,purchase!D:D,purchase!K:K,"")))</f>
        <v/>
      </c>
      <c r="Q2307" s="29" t="str">
        <f t="shared" si="250"/>
        <v/>
      </c>
      <c r="R2307" s="37" t="str">
        <f t="shared" si="251"/>
        <v/>
      </c>
    </row>
    <row r="2308" spans="1:18" x14ac:dyDescent="0.35">
      <c r="A2308" s="8">
        <v>2304</v>
      </c>
      <c r="B2308" s="9" t="str">
        <f t="shared" si="245"/>
        <v/>
      </c>
      <c r="C2308" s="10"/>
      <c r="D2308" s="9" t="str">
        <f>IF(F2308="","",_xlfn.XLOOKUP(F2308,purchase!D:D,purchase!#REF!,""))</f>
        <v/>
      </c>
      <c r="E2308" s="9" t="str">
        <f>IF(F2308="","",_xlfn.XLOOKUP(F2308,purchase!D:D,purchase!B:B,""))</f>
        <v/>
      </c>
      <c r="F2308" s="2"/>
      <c r="G2308" s="4" t="str">
        <f t="shared" si="246"/>
        <v/>
      </c>
      <c r="H2308" s="4" t="str">
        <f>IF(F2308="","",_xlfn.XLOOKUP(F2308,purchase!D:D,purchase!#REF!,""))</f>
        <v/>
      </c>
      <c r="I2308" s="4" t="str">
        <f t="shared" si="247"/>
        <v/>
      </c>
      <c r="J2308" s="4" t="str">
        <f t="shared" si="248"/>
        <v/>
      </c>
      <c r="K2308" s="13" t="str">
        <f>_xlfn.SINGLE(IF(F2308="","",_xlfn.XLOOKUP(F2308,purchase!D:D,purchase!#REF!,"")))</f>
        <v/>
      </c>
      <c r="L2308" s="2"/>
      <c r="M2308" s="32"/>
      <c r="N2308" s="13" t="str">
        <f>IF(F2308="","",
MAX(0,
_xlfn.XLOOKUP(F2308,purchase!D:D,purchase!#REF!,"")
-
SUMIFS(L:L,F:F,F2308)))</f>
        <v/>
      </c>
      <c r="O2308" s="13" t="str">
        <f t="shared" si="249"/>
        <v/>
      </c>
      <c r="P2308" s="35" t="str">
        <f>_xlfn.SINGLE(IF(F2308="","",_xlfn.XLOOKUP(F2308,purchase!D:D,purchase!K:K,"")))</f>
        <v/>
      </c>
      <c r="Q2308" s="29" t="str">
        <f t="shared" si="250"/>
        <v/>
      </c>
      <c r="R2308" s="37" t="str">
        <f t="shared" si="251"/>
        <v/>
      </c>
    </row>
    <row r="2309" spans="1:18" x14ac:dyDescent="0.35">
      <c r="A2309" s="8">
        <v>2305</v>
      </c>
      <c r="B2309" s="9" t="str">
        <f t="shared" ref="B2309:B2372" si="252">IF(OR(C2309="",F2309=""),"",
"PRD-" &amp;
TEXT(DAY(C2309),"00") &amp;
CHOOSE(MONTH(C2309),"A","B","C","D","E","F","G","H","I","J","K","L") &amp;
TEXT(YEAR(C2309),"00") &amp;
"-" &amp;
RIGHT(F2309,4))</f>
        <v/>
      </c>
      <c r="C2309" s="10"/>
      <c r="D2309" s="9" t="str">
        <f>IF(F2309="","",_xlfn.XLOOKUP(F2309,purchase!D:D,purchase!#REF!,""))</f>
        <v/>
      </c>
      <c r="E2309" s="9" t="str">
        <f>IF(F2309="","",_xlfn.XLOOKUP(F2309,purchase!D:D,purchase!B:B,""))</f>
        <v/>
      </c>
      <c r="F2309" s="2"/>
      <c r="G2309" s="4" t="str">
        <f t="shared" ref="G2309:G2372" si="253">IF(H2309="NRFC","Natural Rubber Field Coagulam","")</f>
        <v/>
      </c>
      <c r="H2309" s="4" t="str">
        <f>IF(F2309="","",_xlfn.XLOOKUP(F2309,purchase!D:D,purchase!#REF!,""))</f>
        <v/>
      </c>
      <c r="I2309" s="4" t="str">
        <f t="shared" ref="I2309:I2372" si="254">IF(J2309="ISNR20","Natural Rubber-TSNR (ISNR-20)","")</f>
        <v/>
      </c>
      <c r="J2309" s="4" t="str">
        <f t="shared" ref="J2309:J2372" si="255">IF(H2309="NRFC","ISNR20","")</f>
        <v/>
      </c>
      <c r="K2309" s="13" t="str">
        <f>_xlfn.SINGLE(IF(F2309="","",_xlfn.XLOOKUP(F2309,purchase!D:D,purchase!#REF!,"")))</f>
        <v/>
      </c>
      <c r="L2309" s="2"/>
      <c r="M2309" s="32"/>
      <c r="N2309" s="13" t="str">
        <f>IF(F2309="","",
MAX(0,
_xlfn.XLOOKUP(F2309,purchase!D:D,purchase!#REF!,"")
-
SUMIFS(L:L,F:F,F2309)))</f>
        <v/>
      </c>
      <c r="O2309" s="13" t="str">
        <f t="shared" ref="O2309:O2372" si="256">IF(OR(L2309="",M2309=""),"",L2309-M2309)</f>
        <v/>
      </c>
      <c r="P2309" s="35" t="str">
        <f>_xlfn.SINGLE(IF(F2309="","",_xlfn.XLOOKUP(F2309,purchase!D:D,purchase!K:K,"")))</f>
        <v/>
      </c>
      <c r="Q2309" s="29" t="str">
        <f t="shared" ref="Q2309:Q2372" si="257">IF(OR(L2309="",M2309=""),"",M2309/L2309)</f>
        <v/>
      </c>
      <c r="R2309" s="37" t="str">
        <f t="shared" ref="R2309:R2372" si="258">IF(OR(P2309="",Q2309=""),"",Q2309-P2309)</f>
        <v/>
      </c>
    </row>
    <row r="2310" spans="1:18" x14ac:dyDescent="0.35">
      <c r="A2310" s="8">
        <v>2306</v>
      </c>
      <c r="B2310" s="9" t="str">
        <f t="shared" si="252"/>
        <v/>
      </c>
      <c r="C2310" s="10"/>
      <c r="D2310" s="9" t="str">
        <f>IF(F2310="","",_xlfn.XLOOKUP(F2310,purchase!D:D,purchase!#REF!,""))</f>
        <v/>
      </c>
      <c r="E2310" s="9" t="str">
        <f>IF(F2310="","",_xlfn.XLOOKUP(F2310,purchase!D:D,purchase!B:B,""))</f>
        <v/>
      </c>
      <c r="F2310" s="2"/>
      <c r="G2310" s="4" t="str">
        <f t="shared" si="253"/>
        <v/>
      </c>
      <c r="H2310" s="4" t="str">
        <f>IF(F2310="","",_xlfn.XLOOKUP(F2310,purchase!D:D,purchase!#REF!,""))</f>
        <v/>
      </c>
      <c r="I2310" s="4" t="str">
        <f t="shared" si="254"/>
        <v/>
      </c>
      <c r="J2310" s="4" t="str">
        <f t="shared" si="255"/>
        <v/>
      </c>
      <c r="K2310" s="13" t="str">
        <f>_xlfn.SINGLE(IF(F2310="","",_xlfn.XLOOKUP(F2310,purchase!D:D,purchase!#REF!,"")))</f>
        <v/>
      </c>
      <c r="L2310" s="2"/>
      <c r="M2310" s="32"/>
      <c r="N2310" s="13" t="str">
        <f>IF(F2310="","",
MAX(0,
_xlfn.XLOOKUP(F2310,purchase!D:D,purchase!#REF!,"")
-
SUMIFS(L:L,F:F,F2310)))</f>
        <v/>
      </c>
      <c r="O2310" s="13" t="str">
        <f t="shared" si="256"/>
        <v/>
      </c>
      <c r="P2310" s="35" t="str">
        <f>_xlfn.SINGLE(IF(F2310="","",_xlfn.XLOOKUP(F2310,purchase!D:D,purchase!K:K,"")))</f>
        <v/>
      </c>
      <c r="Q2310" s="29" t="str">
        <f t="shared" si="257"/>
        <v/>
      </c>
      <c r="R2310" s="37" t="str">
        <f t="shared" si="258"/>
        <v/>
      </c>
    </row>
    <row r="2311" spans="1:18" x14ac:dyDescent="0.35">
      <c r="A2311" s="8">
        <v>2307</v>
      </c>
      <c r="B2311" s="9" t="str">
        <f t="shared" si="252"/>
        <v/>
      </c>
      <c r="C2311" s="10"/>
      <c r="D2311" s="9" t="str">
        <f>IF(F2311="","",_xlfn.XLOOKUP(F2311,purchase!D:D,purchase!#REF!,""))</f>
        <v/>
      </c>
      <c r="E2311" s="9" t="str">
        <f>IF(F2311="","",_xlfn.XLOOKUP(F2311,purchase!D:D,purchase!B:B,""))</f>
        <v/>
      </c>
      <c r="F2311" s="2"/>
      <c r="G2311" s="4" t="str">
        <f t="shared" si="253"/>
        <v/>
      </c>
      <c r="H2311" s="4" t="str">
        <f>IF(F2311="","",_xlfn.XLOOKUP(F2311,purchase!D:D,purchase!#REF!,""))</f>
        <v/>
      </c>
      <c r="I2311" s="4" t="str">
        <f t="shared" si="254"/>
        <v/>
      </c>
      <c r="J2311" s="4" t="str">
        <f t="shared" si="255"/>
        <v/>
      </c>
      <c r="K2311" s="13" t="str">
        <f>_xlfn.SINGLE(IF(F2311="","",_xlfn.XLOOKUP(F2311,purchase!D:D,purchase!#REF!,"")))</f>
        <v/>
      </c>
      <c r="L2311" s="2"/>
      <c r="M2311" s="32"/>
      <c r="N2311" s="13" t="str">
        <f>IF(F2311="","",
MAX(0,
_xlfn.XLOOKUP(F2311,purchase!D:D,purchase!#REF!,"")
-
SUMIFS(L:L,F:F,F2311)))</f>
        <v/>
      </c>
      <c r="O2311" s="13" t="str">
        <f t="shared" si="256"/>
        <v/>
      </c>
      <c r="P2311" s="35" t="str">
        <f>_xlfn.SINGLE(IF(F2311="","",_xlfn.XLOOKUP(F2311,purchase!D:D,purchase!K:K,"")))</f>
        <v/>
      </c>
      <c r="Q2311" s="29" t="str">
        <f t="shared" si="257"/>
        <v/>
      </c>
      <c r="R2311" s="37" t="str">
        <f t="shared" si="258"/>
        <v/>
      </c>
    </row>
    <row r="2312" spans="1:18" x14ac:dyDescent="0.35">
      <c r="A2312" s="8">
        <v>2308</v>
      </c>
      <c r="B2312" s="9" t="str">
        <f t="shared" si="252"/>
        <v/>
      </c>
      <c r="C2312" s="10"/>
      <c r="D2312" s="9" t="str">
        <f>IF(F2312="","",_xlfn.XLOOKUP(F2312,purchase!D:D,purchase!#REF!,""))</f>
        <v/>
      </c>
      <c r="E2312" s="9" t="str">
        <f>IF(F2312="","",_xlfn.XLOOKUP(F2312,purchase!D:D,purchase!B:B,""))</f>
        <v/>
      </c>
      <c r="F2312" s="2"/>
      <c r="G2312" s="4" t="str">
        <f t="shared" si="253"/>
        <v/>
      </c>
      <c r="H2312" s="4" t="str">
        <f>IF(F2312="","",_xlfn.XLOOKUP(F2312,purchase!D:D,purchase!#REF!,""))</f>
        <v/>
      </c>
      <c r="I2312" s="4" t="str">
        <f t="shared" si="254"/>
        <v/>
      </c>
      <c r="J2312" s="4" t="str">
        <f t="shared" si="255"/>
        <v/>
      </c>
      <c r="K2312" s="13" t="str">
        <f>_xlfn.SINGLE(IF(F2312="","",_xlfn.XLOOKUP(F2312,purchase!D:D,purchase!#REF!,"")))</f>
        <v/>
      </c>
      <c r="L2312" s="2"/>
      <c r="M2312" s="32"/>
      <c r="N2312" s="13" t="str">
        <f>IF(F2312="","",
MAX(0,
_xlfn.XLOOKUP(F2312,purchase!D:D,purchase!#REF!,"")
-
SUMIFS(L:L,F:F,F2312)))</f>
        <v/>
      </c>
      <c r="O2312" s="13" t="str">
        <f t="shared" si="256"/>
        <v/>
      </c>
      <c r="P2312" s="35" t="str">
        <f>_xlfn.SINGLE(IF(F2312="","",_xlfn.XLOOKUP(F2312,purchase!D:D,purchase!K:K,"")))</f>
        <v/>
      </c>
      <c r="Q2312" s="29" t="str">
        <f t="shared" si="257"/>
        <v/>
      </c>
      <c r="R2312" s="37" t="str">
        <f t="shared" si="258"/>
        <v/>
      </c>
    </row>
    <row r="2313" spans="1:18" x14ac:dyDescent="0.35">
      <c r="A2313" s="8">
        <v>2309</v>
      </c>
      <c r="B2313" s="9" t="str">
        <f t="shared" si="252"/>
        <v/>
      </c>
      <c r="C2313" s="10"/>
      <c r="D2313" s="9" t="str">
        <f>IF(F2313="","",_xlfn.XLOOKUP(F2313,purchase!D:D,purchase!#REF!,""))</f>
        <v/>
      </c>
      <c r="E2313" s="9" t="str">
        <f>IF(F2313="","",_xlfn.XLOOKUP(F2313,purchase!D:D,purchase!B:B,""))</f>
        <v/>
      </c>
      <c r="F2313" s="2"/>
      <c r="G2313" s="4" t="str">
        <f t="shared" si="253"/>
        <v/>
      </c>
      <c r="H2313" s="4" t="str">
        <f>IF(F2313="","",_xlfn.XLOOKUP(F2313,purchase!D:D,purchase!#REF!,""))</f>
        <v/>
      </c>
      <c r="I2313" s="4" t="str">
        <f t="shared" si="254"/>
        <v/>
      </c>
      <c r="J2313" s="4" t="str">
        <f t="shared" si="255"/>
        <v/>
      </c>
      <c r="K2313" s="13" t="str">
        <f>_xlfn.SINGLE(IF(F2313="","",_xlfn.XLOOKUP(F2313,purchase!D:D,purchase!#REF!,"")))</f>
        <v/>
      </c>
      <c r="L2313" s="2"/>
      <c r="M2313" s="32"/>
      <c r="N2313" s="13" t="str">
        <f>IF(F2313="","",
MAX(0,
_xlfn.XLOOKUP(F2313,purchase!D:D,purchase!#REF!,"")
-
SUMIFS(L:L,F:F,F2313)))</f>
        <v/>
      </c>
      <c r="O2313" s="13" t="str">
        <f t="shared" si="256"/>
        <v/>
      </c>
      <c r="P2313" s="35" t="str">
        <f>_xlfn.SINGLE(IF(F2313="","",_xlfn.XLOOKUP(F2313,purchase!D:D,purchase!K:K,"")))</f>
        <v/>
      </c>
      <c r="Q2313" s="29" t="str">
        <f t="shared" si="257"/>
        <v/>
      </c>
      <c r="R2313" s="37" t="str">
        <f t="shared" si="258"/>
        <v/>
      </c>
    </row>
    <row r="2314" spans="1:18" x14ac:dyDescent="0.35">
      <c r="A2314" s="8">
        <v>2310</v>
      </c>
      <c r="B2314" s="9" t="str">
        <f t="shared" si="252"/>
        <v/>
      </c>
      <c r="C2314" s="10"/>
      <c r="D2314" s="9" t="str">
        <f>IF(F2314="","",_xlfn.XLOOKUP(F2314,purchase!D:D,purchase!#REF!,""))</f>
        <v/>
      </c>
      <c r="E2314" s="9" t="str">
        <f>IF(F2314="","",_xlfn.XLOOKUP(F2314,purchase!D:D,purchase!B:B,""))</f>
        <v/>
      </c>
      <c r="F2314" s="2"/>
      <c r="G2314" s="4" t="str">
        <f t="shared" si="253"/>
        <v/>
      </c>
      <c r="H2314" s="4" t="str">
        <f>IF(F2314="","",_xlfn.XLOOKUP(F2314,purchase!D:D,purchase!#REF!,""))</f>
        <v/>
      </c>
      <c r="I2314" s="4" t="str">
        <f t="shared" si="254"/>
        <v/>
      </c>
      <c r="J2314" s="4" t="str">
        <f t="shared" si="255"/>
        <v/>
      </c>
      <c r="K2314" s="13" t="str">
        <f>_xlfn.SINGLE(IF(F2314="","",_xlfn.XLOOKUP(F2314,purchase!D:D,purchase!#REF!,"")))</f>
        <v/>
      </c>
      <c r="L2314" s="2"/>
      <c r="M2314" s="32"/>
      <c r="N2314" s="13" t="str">
        <f>IF(F2314="","",
MAX(0,
_xlfn.XLOOKUP(F2314,purchase!D:D,purchase!#REF!,"")
-
SUMIFS(L:L,F:F,F2314)))</f>
        <v/>
      </c>
      <c r="O2314" s="13" t="str">
        <f t="shared" si="256"/>
        <v/>
      </c>
      <c r="P2314" s="35" t="str">
        <f>_xlfn.SINGLE(IF(F2314="","",_xlfn.XLOOKUP(F2314,purchase!D:D,purchase!K:K,"")))</f>
        <v/>
      </c>
      <c r="Q2314" s="29" t="str">
        <f t="shared" si="257"/>
        <v/>
      </c>
      <c r="R2314" s="37" t="str">
        <f t="shared" si="258"/>
        <v/>
      </c>
    </row>
    <row r="2315" spans="1:18" x14ac:dyDescent="0.35">
      <c r="A2315" s="8">
        <v>2311</v>
      </c>
      <c r="B2315" s="9" t="str">
        <f t="shared" si="252"/>
        <v/>
      </c>
      <c r="C2315" s="10"/>
      <c r="D2315" s="9" t="str">
        <f>IF(F2315="","",_xlfn.XLOOKUP(F2315,purchase!D:D,purchase!#REF!,""))</f>
        <v/>
      </c>
      <c r="E2315" s="9" t="str">
        <f>IF(F2315="","",_xlfn.XLOOKUP(F2315,purchase!D:D,purchase!B:B,""))</f>
        <v/>
      </c>
      <c r="F2315" s="2"/>
      <c r="G2315" s="4" t="str">
        <f t="shared" si="253"/>
        <v/>
      </c>
      <c r="H2315" s="4" t="str">
        <f>IF(F2315="","",_xlfn.XLOOKUP(F2315,purchase!D:D,purchase!#REF!,""))</f>
        <v/>
      </c>
      <c r="I2315" s="4" t="str">
        <f t="shared" si="254"/>
        <v/>
      </c>
      <c r="J2315" s="4" t="str">
        <f t="shared" si="255"/>
        <v/>
      </c>
      <c r="K2315" s="13" t="str">
        <f>_xlfn.SINGLE(IF(F2315="","",_xlfn.XLOOKUP(F2315,purchase!D:D,purchase!#REF!,"")))</f>
        <v/>
      </c>
      <c r="L2315" s="2"/>
      <c r="M2315" s="32"/>
      <c r="N2315" s="13" t="str">
        <f>IF(F2315="","",
MAX(0,
_xlfn.XLOOKUP(F2315,purchase!D:D,purchase!#REF!,"")
-
SUMIFS(L:L,F:F,F2315)))</f>
        <v/>
      </c>
      <c r="O2315" s="13" t="str">
        <f t="shared" si="256"/>
        <v/>
      </c>
      <c r="P2315" s="35" t="str">
        <f>_xlfn.SINGLE(IF(F2315="","",_xlfn.XLOOKUP(F2315,purchase!D:D,purchase!K:K,"")))</f>
        <v/>
      </c>
      <c r="Q2315" s="29" t="str">
        <f t="shared" si="257"/>
        <v/>
      </c>
      <c r="R2315" s="37" t="str">
        <f t="shared" si="258"/>
        <v/>
      </c>
    </row>
    <row r="2316" spans="1:18" x14ac:dyDescent="0.35">
      <c r="A2316" s="8">
        <v>2312</v>
      </c>
      <c r="B2316" s="9" t="str">
        <f t="shared" si="252"/>
        <v/>
      </c>
      <c r="C2316" s="10"/>
      <c r="D2316" s="9" t="str">
        <f>IF(F2316="","",_xlfn.XLOOKUP(F2316,purchase!D:D,purchase!#REF!,""))</f>
        <v/>
      </c>
      <c r="E2316" s="9" t="str">
        <f>IF(F2316="","",_xlfn.XLOOKUP(F2316,purchase!D:D,purchase!B:B,""))</f>
        <v/>
      </c>
      <c r="F2316" s="2"/>
      <c r="G2316" s="4" t="str">
        <f t="shared" si="253"/>
        <v/>
      </c>
      <c r="H2316" s="4" t="str">
        <f>IF(F2316="","",_xlfn.XLOOKUP(F2316,purchase!D:D,purchase!#REF!,""))</f>
        <v/>
      </c>
      <c r="I2316" s="4" t="str">
        <f t="shared" si="254"/>
        <v/>
      </c>
      <c r="J2316" s="4" t="str">
        <f t="shared" si="255"/>
        <v/>
      </c>
      <c r="K2316" s="13" t="str">
        <f>_xlfn.SINGLE(IF(F2316="","",_xlfn.XLOOKUP(F2316,purchase!D:D,purchase!#REF!,"")))</f>
        <v/>
      </c>
      <c r="L2316" s="2"/>
      <c r="M2316" s="32"/>
      <c r="N2316" s="13" t="str">
        <f>IF(F2316="","",
MAX(0,
_xlfn.XLOOKUP(F2316,purchase!D:D,purchase!#REF!,"")
-
SUMIFS(L:L,F:F,F2316)))</f>
        <v/>
      </c>
      <c r="O2316" s="13" t="str">
        <f t="shared" si="256"/>
        <v/>
      </c>
      <c r="P2316" s="35" t="str">
        <f>_xlfn.SINGLE(IF(F2316="","",_xlfn.XLOOKUP(F2316,purchase!D:D,purchase!K:K,"")))</f>
        <v/>
      </c>
      <c r="Q2316" s="29" t="str">
        <f t="shared" si="257"/>
        <v/>
      </c>
      <c r="R2316" s="37" t="str">
        <f t="shared" si="258"/>
        <v/>
      </c>
    </row>
    <row r="2317" spans="1:18" x14ac:dyDescent="0.35">
      <c r="A2317" s="8">
        <v>2313</v>
      </c>
      <c r="B2317" s="9" t="str">
        <f t="shared" si="252"/>
        <v/>
      </c>
      <c r="C2317" s="10"/>
      <c r="D2317" s="9" t="str">
        <f>IF(F2317="","",_xlfn.XLOOKUP(F2317,purchase!D:D,purchase!#REF!,""))</f>
        <v/>
      </c>
      <c r="E2317" s="9" t="str">
        <f>IF(F2317="","",_xlfn.XLOOKUP(F2317,purchase!D:D,purchase!B:B,""))</f>
        <v/>
      </c>
      <c r="F2317" s="2"/>
      <c r="G2317" s="4" t="str">
        <f t="shared" si="253"/>
        <v/>
      </c>
      <c r="H2317" s="4" t="str">
        <f>IF(F2317="","",_xlfn.XLOOKUP(F2317,purchase!D:D,purchase!#REF!,""))</f>
        <v/>
      </c>
      <c r="I2317" s="4" t="str">
        <f t="shared" si="254"/>
        <v/>
      </c>
      <c r="J2317" s="4" t="str">
        <f t="shared" si="255"/>
        <v/>
      </c>
      <c r="K2317" s="13" t="str">
        <f>_xlfn.SINGLE(IF(F2317="","",_xlfn.XLOOKUP(F2317,purchase!D:D,purchase!#REF!,"")))</f>
        <v/>
      </c>
      <c r="L2317" s="2"/>
      <c r="M2317" s="32"/>
      <c r="N2317" s="13" t="str">
        <f>IF(F2317="","",
MAX(0,
_xlfn.XLOOKUP(F2317,purchase!D:D,purchase!#REF!,"")
-
SUMIFS(L:L,F:F,F2317)))</f>
        <v/>
      </c>
      <c r="O2317" s="13" t="str">
        <f t="shared" si="256"/>
        <v/>
      </c>
      <c r="P2317" s="35" t="str">
        <f>_xlfn.SINGLE(IF(F2317="","",_xlfn.XLOOKUP(F2317,purchase!D:D,purchase!K:K,"")))</f>
        <v/>
      </c>
      <c r="Q2317" s="29" t="str">
        <f t="shared" si="257"/>
        <v/>
      </c>
      <c r="R2317" s="37" t="str">
        <f t="shared" si="258"/>
        <v/>
      </c>
    </row>
    <row r="2318" spans="1:18" x14ac:dyDescent="0.35">
      <c r="A2318" s="8">
        <v>2314</v>
      </c>
      <c r="B2318" s="9" t="str">
        <f t="shared" si="252"/>
        <v/>
      </c>
      <c r="C2318" s="10"/>
      <c r="D2318" s="9" t="str">
        <f>IF(F2318="","",_xlfn.XLOOKUP(F2318,purchase!D:D,purchase!#REF!,""))</f>
        <v/>
      </c>
      <c r="E2318" s="9" t="str">
        <f>IF(F2318="","",_xlfn.XLOOKUP(F2318,purchase!D:D,purchase!B:B,""))</f>
        <v/>
      </c>
      <c r="F2318" s="2"/>
      <c r="G2318" s="4" t="str">
        <f t="shared" si="253"/>
        <v/>
      </c>
      <c r="H2318" s="4" t="str">
        <f>IF(F2318="","",_xlfn.XLOOKUP(F2318,purchase!D:D,purchase!#REF!,""))</f>
        <v/>
      </c>
      <c r="I2318" s="4" t="str">
        <f t="shared" si="254"/>
        <v/>
      </c>
      <c r="J2318" s="4" t="str">
        <f t="shared" si="255"/>
        <v/>
      </c>
      <c r="K2318" s="13" t="str">
        <f>_xlfn.SINGLE(IF(F2318="","",_xlfn.XLOOKUP(F2318,purchase!D:D,purchase!#REF!,"")))</f>
        <v/>
      </c>
      <c r="L2318" s="2"/>
      <c r="M2318" s="32"/>
      <c r="N2318" s="13" t="str">
        <f>IF(F2318="","",
MAX(0,
_xlfn.XLOOKUP(F2318,purchase!D:D,purchase!#REF!,"")
-
SUMIFS(L:L,F:F,F2318)))</f>
        <v/>
      </c>
      <c r="O2318" s="13" t="str">
        <f t="shared" si="256"/>
        <v/>
      </c>
      <c r="P2318" s="35" t="str">
        <f>_xlfn.SINGLE(IF(F2318="","",_xlfn.XLOOKUP(F2318,purchase!D:D,purchase!K:K,"")))</f>
        <v/>
      </c>
      <c r="Q2318" s="29" t="str">
        <f t="shared" si="257"/>
        <v/>
      </c>
      <c r="R2318" s="37" t="str">
        <f t="shared" si="258"/>
        <v/>
      </c>
    </row>
    <row r="2319" spans="1:18" x14ac:dyDescent="0.35">
      <c r="A2319" s="8">
        <v>2315</v>
      </c>
      <c r="B2319" s="9" t="str">
        <f t="shared" si="252"/>
        <v/>
      </c>
      <c r="C2319" s="10"/>
      <c r="D2319" s="9" t="str">
        <f>IF(F2319="","",_xlfn.XLOOKUP(F2319,purchase!D:D,purchase!#REF!,""))</f>
        <v/>
      </c>
      <c r="E2319" s="9" t="str">
        <f>IF(F2319="","",_xlfn.XLOOKUP(F2319,purchase!D:D,purchase!B:B,""))</f>
        <v/>
      </c>
      <c r="F2319" s="2"/>
      <c r="G2319" s="4" t="str">
        <f t="shared" si="253"/>
        <v/>
      </c>
      <c r="H2319" s="4" t="str">
        <f>IF(F2319="","",_xlfn.XLOOKUP(F2319,purchase!D:D,purchase!#REF!,""))</f>
        <v/>
      </c>
      <c r="I2319" s="4" t="str">
        <f t="shared" si="254"/>
        <v/>
      </c>
      <c r="J2319" s="4" t="str">
        <f t="shared" si="255"/>
        <v/>
      </c>
      <c r="K2319" s="13" t="str">
        <f>_xlfn.SINGLE(IF(F2319="","",_xlfn.XLOOKUP(F2319,purchase!D:D,purchase!#REF!,"")))</f>
        <v/>
      </c>
      <c r="L2319" s="2"/>
      <c r="M2319" s="32"/>
      <c r="N2319" s="13" t="str">
        <f>IF(F2319="","",
MAX(0,
_xlfn.XLOOKUP(F2319,purchase!D:D,purchase!#REF!,"")
-
SUMIFS(L:L,F:F,F2319)))</f>
        <v/>
      </c>
      <c r="O2319" s="13" t="str">
        <f t="shared" si="256"/>
        <v/>
      </c>
      <c r="P2319" s="35" t="str">
        <f>_xlfn.SINGLE(IF(F2319="","",_xlfn.XLOOKUP(F2319,purchase!D:D,purchase!K:K,"")))</f>
        <v/>
      </c>
      <c r="Q2319" s="29" t="str">
        <f t="shared" si="257"/>
        <v/>
      </c>
      <c r="R2319" s="37" t="str">
        <f t="shared" si="258"/>
        <v/>
      </c>
    </row>
    <row r="2320" spans="1:18" x14ac:dyDescent="0.35">
      <c r="A2320" s="8">
        <v>2316</v>
      </c>
      <c r="B2320" s="9" t="str">
        <f t="shared" si="252"/>
        <v/>
      </c>
      <c r="C2320" s="10"/>
      <c r="D2320" s="9" t="str">
        <f>IF(F2320="","",_xlfn.XLOOKUP(F2320,purchase!D:D,purchase!#REF!,""))</f>
        <v/>
      </c>
      <c r="E2320" s="9" t="str">
        <f>IF(F2320="","",_xlfn.XLOOKUP(F2320,purchase!D:D,purchase!B:B,""))</f>
        <v/>
      </c>
      <c r="F2320" s="2"/>
      <c r="G2320" s="4" t="str">
        <f t="shared" si="253"/>
        <v/>
      </c>
      <c r="H2320" s="4" t="str">
        <f>IF(F2320="","",_xlfn.XLOOKUP(F2320,purchase!D:D,purchase!#REF!,""))</f>
        <v/>
      </c>
      <c r="I2320" s="4" t="str">
        <f t="shared" si="254"/>
        <v/>
      </c>
      <c r="J2320" s="4" t="str">
        <f t="shared" si="255"/>
        <v/>
      </c>
      <c r="K2320" s="13" t="str">
        <f>_xlfn.SINGLE(IF(F2320="","",_xlfn.XLOOKUP(F2320,purchase!D:D,purchase!#REF!,"")))</f>
        <v/>
      </c>
      <c r="L2320" s="2"/>
      <c r="M2320" s="32"/>
      <c r="N2320" s="13" t="str">
        <f>IF(F2320="","",
MAX(0,
_xlfn.XLOOKUP(F2320,purchase!D:D,purchase!#REF!,"")
-
SUMIFS(L:L,F:F,F2320)))</f>
        <v/>
      </c>
      <c r="O2320" s="13" t="str">
        <f t="shared" si="256"/>
        <v/>
      </c>
      <c r="P2320" s="35" t="str">
        <f>_xlfn.SINGLE(IF(F2320="","",_xlfn.XLOOKUP(F2320,purchase!D:D,purchase!K:K,"")))</f>
        <v/>
      </c>
      <c r="Q2320" s="29" t="str">
        <f t="shared" si="257"/>
        <v/>
      </c>
      <c r="R2320" s="37" t="str">
        <f t="shared" si="258"/>
        <v/>
      </c>
    </row>
    <row r="2321" spans="1:18" x14ac:dyDescent="0.35">
      <c r="A2321" s="8">
        <v>2317</v>
      </c>
      <c r="B2321" s="9" t="str">
        <f t="shared" si="252"/>
        <v/>
      </c>
      <c r="C2321" s="10"/>
      <c r="D2321" s="9" t="str">
        <f>IF(F2321="","",_xlfn.XLOOKUP(F2321,purchase!D:D,purchase!#REF!,""))</f>
        <v/>
      </c>
      <c r="E2321" s="9" t="str">
        <f>IF(F2321="","",_xlfn.XLOOKUP(F2321,purchase!D:D,purchase!B:B,""))</f>
        <v/>
      </c>
      <c r="F2321" s="2"/>
      <c r="G2321" s="4" t="str">
        <f t="shared" si="253"/>
        <v/>
      </c>
      <c r="H2321" s="4" t="str">
        <f>IF(F2321="","",_xlfn.XLOOKUP(F2321,purchase!D:D,purchase!#REF!,""))</f>
        <v/>
      </c>
      <c r="I2321" s="4" t="str">
        <f t="shared" si="254"/>
        <v/>
      </c>
      <c r="J2321" s="4" t="str">
        <f t="shared" si="255"/>
        <v/>
      </c>
      <c r="K2321" s="13" t="str">
        <f>_xlfn.SINGLE(IF(F2321="","",_xlfn.XLOOKUP(F2321,purchase!D:D,purchase!#REF!,"")))</f>
        <v/>
      </c>
      <c r="L2321" s="2"/>
      <c r="M2321" s="32"/>
      <c r="N2321" s="13" t="str">
        <f>IF(F2321="","",
MAX(0,
_xlfn.XLOOKUP(F2321,purchase!D:D,purchase!#REF!,"")
-
SUMIFS(L:L,F:F,F2321)))</f>
        <v/>
      </c>
      <c r="O2321" s="13" t="str">
        <f t="shared" si="256"/>
        <v/>
      </c>
      <c r="P2321" s="35" t="str">
        <f>_xlfn.SINGLE(IF(F2321="","",_xlfn.XLOOKUP(F2321,purchase!D:D,purchase!K:K,"")))</f>
        <v/>
      </c>
      <c r="Q2321" s="29" t="str">
        <f t="shared" si="257"/>
        <v/>
      </c>
      <c r="R2321" s="37" t="str">
        <f t="shared" si="258"/>
        <v/>
      </c>
    </row>
    <row r="2322" spans="1:18" x14ac:dyDescent="0.35">
      <c r="A2322" s="8">
        <v>2318</v>
      </c>
      <c r="B2322" s="9" t="str">
        <f t="shared" si="252"/>
        <v/>
      </c>
      <c r="C2322" s="10"/>
      <c r="D2322" s="9" t="str">
        <f>IF(F2322="","",_xlfn.XLOOKUP(F2322,purchase!D:D,purchase!#REF!,""))</f>
        <v/>
      </c>
      <c r="E2322" s="9" t="str">
        <f>IF(F2322="","",_xlfn.XLOOKUP(F2322,purchase!D:D,purchase!B:B,""))</f>
        <v/>
      </c>
      <c r="F2322" s="2"/>
      <c r="G2322" s="4" t="str">
        <f t="shared" si="253"/>
        <v/>
      </c>
      <c r="H2322" s="4" t="str">
        <f>IF(F2322="","",_xlfn.XLOOKUP(F2322,purchase!D:D,purchase!#REF!,""))</f>
        <v/>
      </c>
      <c r="I2322" s="4" t="str">
        <f t="shared" si="254"/>
        <v/>
      </c>
      <c r="J2322" s="4" t="str">
        <f t="shared" si="255"/>
        <v/>
      </c>
      <c r="K2322" s="13" t="str">
        <f>_xlfn.SINGLE(IF(F2322="","",_xlfn.XLOOKUP(F2322,purchase!D:D,purchase!#REF!,"")))</f>
        <v/>
      </c>
      <c r="L2322" s="2"/>
      <c r="M2322" s="32"/>
      <c r="N2322" s="13" t="str">
        <f>IF(F2322="","",
MAX(0,
_xlfn.XLOOKUP(F2322,purchase!D:D,purchase!#REF!,"")
-
SUMIFS(L:L,F:F,F2322)))</f>
        <v/>
      </c>
      <c r="O2322" s="13" t="str">
        <f t="shared" si="256"/>
        <v/>
      </c>
      <c r="P2322" s="35" t="str">
        <f>_xlfn.SINGLE(IF(F2322="","",_xlfn.XLOOKUP(F2322,purchase!D:D,purchase!K:K,"")))</f>
        <v/>
      </c>
      <c r="Q2322" s="29" t="str">
        <f t="shared" si="257"/>
        <v/>
      </c>
      <c r="R2322" s="37" t="str">
        <f t="shared" si="258"/>
        <v/>
      </c>
    </row>
    <row r="2323" spans="1:18" x14ac:dyDescent="0.35">
      <c r="A2323" s="8">
        <v>2319</v>
      </c>
      <c r="B2323" s="9" t="str">
        <f t="shared" si="252"/>
        <v/>
      </c>
      <c r="C2323" s="10"/>
      <c r="D2323" s="9" t="str">
        <f>IF(F2323="","",_xlfn.XLOOKUP(F2323,purchase!D:D,purchase!#REF!,""))</f>
        <v/>
      </c>
      <c r="E2323" s="9" t="str">
        <f>IF(F2323="","",_xlfn.XLOOKUP(F2323,purchase!D:D,purchase!B:B,""))</f>
        <v/>
      </c>
      <c r="F2323" s="2"/>
      <c r="G2323" s="4" t="str">
        <f t="shared" si="253"/>
        <v/>
      </c>
      <c r="H2323" s="4" t="str">
        <f>IF(F2323="","",_xlfn.XLOOKUP(F2323,purchase!D:D,purchase!#REF!,""))</f>
        <v/>
      </c>
      <c r="I2323" s="4" t="str">
        <f t="shared" si="254"/>
        <v/>
      </c>
      <c r="J2323" s="4" t="str">
        <f t="shared" si="255"/>
        <v/>
      </c>
      <c r="K2323" s="13" t="str">
        <f>_xlfn.SINGLE(IF(F2323="","",_xlfn.XLOOKUP(F2323,purchase!D:D,purchase!#REF!,"")))</f>
        <v/>
      </c>
      <c r="L2323" s="2"/>
      <c r="M2323" s="32"/>
      <c r="N2323" s="13" t="str">
        <f>IF(F2323="","",
MAX(0,
_xlfn.XLOOKUP(F2323,purchase!D:D,purchase!#REF!,"")
-
SUMIFS(L:L,F:F,F2323)))</f>
        <v/>
      </c>
      <c r="O2323" s="13" t="str">
        <f t="shared" si="256"/>
        <v/>
      </c>
      <c r="P2323" s="35" t="str">
        <f>_xlfn.SINGLE(IF(F2323="","",_xlfn.XLOOKUP(F2323,purchase!D:D,purchase!K:K,"")))</f>
        <v/>
      </c>
      <c r="Q2323" s="29" t="str">
        <f t="shared" si="257"/>
        <v/>
      </c>
      <c r="R2323" s="37" t="str">
        <f t="shared" si="258"/>
        <v/>
      </c>
    </row>
    <row r="2324" spans="1:18" x14ac:dyDescent="0.35">
      <c r="A2324" s="8">
        <v>2320</v>
      </c>
      <c r="B2324" s="9" t="str">
        <f t="shared" si="252"/>
        <v/>
      </c>
      <c r="C2324" s="10"/>
      <c r="D2324" s="9" t="str">
        <f>IF(F2324="","",_xlfn.XLOOKUP(F2324,purchase!D:D,purchase!#REF!,""))</f>
        <v/>
      </c>
      <c r="E2324" s="9" t="str">
        <f>IF(F2324="","",_xlfn.XLOOKUP(F2324,purchase!D:D,purchase!B:B,""))</f>
        <v/>
      </c>
      <c r="F2324" s="2"/>
      <c r="G2324" s="4" t="str">
        <f t="shared" si="253"/>
        <v/>
      </c>
      <c r="H2324" s="4" t="str">
        <f>IF(F2324="","",_xlfn.XLOOKUP(F2324,purchase!D:D,purchase!#REF!,""))</f>
        <v/>
      </c>
      <c r="I2324" s="4" t="str">
        <f t="shared" si="254"/>
        <v/>
      </c>
      <c r="J2324" s="4" t="str">
        <f t="shared" si="255"/>
        <v/>
      </c>
      <c r="K2324" s="13" t="str">
        <f>_xlfn.SINGLE(IF(F2324="","",_xlfn.XLOOKUP(F2324,purchase!D:D,purchase!#REF!,"")))</f>
        <v/>
      </c>
      <c r="L2324" s="2"/>
      <c r="M2324" s="32"/>
      <c r="N2324" s="13" t="str">
        <f>IF(F2324="","",
MAX(0,
_xlfn.XLOOKUP(F2324,purchase!D:D,purchase!#REF!,"")
-
SUMIFS(L:L,F:F,F2324)))</f>
        <v/>
      </c>
      <c r="O2324" s="13" t="str">
        <f t="shared" si="256"/>
        <v/>
      </c>
      <c r="P2324" s="35" t="str">
        <f>_xlfn.SINGLE(IF(F2324="","",_xlfn.XLOOKUP(F2324,purchase!D:D,purchase!K:K,"")))</f>
        <v/>
      </c>
      <c r="Q2324" s="29" t="str">
        <f t="shared" si="257"/>
        <v/>
      </c>
      <c r="R2324" s="37" t="str">
        <f t="shared" si="258"/>
        <v/>
      </c>
    </row>
    <row r="2325" spans="1:18" x14ac:dyDescent="0.35">
      <c r="A2325" s="8">
        <v>2321</v>
      </c>
      <c r="B2325" s="9" t="str">
        <f t="shared" si="252"/>
        <v/>
      </c>
      <c r="C2325" s="10"/>
      <c r="D2325" s="9" t="str">
        <f>IF(F2325="","",_xlfn.XLOOKUP(F2325,purchase!D:D,purchase!#REF!,""))</f>
        <v/>
      </c>
      <c r="E2325" s="9" t="str">
        <f>IF(F2325="","",_xlfn.XLOOKUP(F2325,purchase!D:D,purchase!B:B,""))</f>
        <v/>
      </c>
      <c r="F2325" s="2"/>
      <c r="G2325" s="4" t="str">
        <f t="shared" si="253"/>
        <v/>
      </c>
      <c r="H2325" s="4" t="str">
        <f>IF(F2325="","",_xlfn.XLOOKUP(F2325,purchase!D:D,purchase!#REF!,""))</f>
        <v/>
      </c>
      <c r="I2325" s="4" t="str">
        <f t="shared" si="254"/>
        <v/>
      </c>
      <c r="J2325" s="4" t="str">
        <f t="shared" si="255"/>
        <v/>
      </c>
      <c r="K2325" s="13" t="str">
        <f>_xlfn.SINGLE(IF(F2325="","",_xlfn.XLOOKUP(F2325,purchase!D:D,purchase!#REF!,"")))</f>
        <v/>
      </c>
      <c r="L2325" s="2"/>
      <c r="M2325" s="32"/>
      <c r="N2325" s="13" t="str">
        <f>IF(F2325="","",
MAX(0,
_xlfn.XLOOKUP(F2325,purchase!D:D,purchase!#REF!,"")
-
SUMIFS(L:L,F:F,F2325)))</f>
        <v/>
      </c>
      <c r="O2325" s="13" t="str">
        <f t="shared" si="256"/>
        <v/>
      </c>
      <c r="P2325" s="35" t="str">
        <f>_xlfn.SINGLE(IF(F2325="","",_xlfn.XLOOKUP(F2325,purchase!D:D,purchase!K:K,"")))</f>
        <v/>
      </c>
      <c r="Q2325" s="29" t="str">
        <f t="shared" si="257"/>
        <v/>
      </c>
      <c r="R2325" s="37" t="str">
        <f t="shared" si="258"/>
        <v/>
      </c>
    </row>
    <row r="2326" spans="1:18" x14ac:dyDescent="0.35">
      <c r="A2326" s="8">
        <v>2322</v>
      </c>
      <c r="B2326" s="9" t="str">
        <f t="shared" si="252"/>
        <v/>
      </c>
      <c r="C2326" s="10"/>
      <c r="D2326" s="9" t="str">
        <f>IF(F2326="","",_xlfn.XLOOKUP(F2326,purchase!D:D,purchase!#REF!,""))</f>
        <v/>
      </c>
      <c r="E2326" s="9" t="str">
        <f>IF(F2326="","",_xlfn.XLOOKUP(F2326,purchase!D:D,purchase!B:B,""))</f>
        <v/>
      </c>
      <c r="F2326" s="2"/>
      <c r="G2326" s="4" t="str">
        <f t="shared" si="253"/>
        <v/>
      </c>
      <c r="H2326" s="4" t="str">
        <f>IF(F2326="","",_xlfn.XLOOKUP(F2326,purchase!D:D,purchase!#REF!,""))</f>
        <v/>
      </c>
      <c r="I2326" s="4" t="str">
        <f t="shared" si="254"/>
        <v/>
      </c>
      <c r="J2326" s="4" t="str">
        <f t="shared" si="255"/>
        <v/>
      </c>
      <c r="K2326" s="13" t="str">
        <f>_xlfn.SINGLE(IF(F2326="","",_xlfn.XLOOKUP(F2326,purchase!D:D,purchase!#REF!,"")))</f>
        <v/>
      </c>
      <c r="L2326" s="2"/>
      <c r="M2326" s="32"/>
      <c r="N2326" s="13" t="str">
        <f>IF(F2326="","",
MAX(0,
_xlfn.XLOOKUP(F2326,purchase!D:D,purchase!#REF!,"")
-
SUMIFS(L:L,F:F,F2326)))</f>
        <v/>
      </c>
      <c r="O2326" s="13" t="str">
        <f t="shared" si="256"/>
        <v/>
      </c>
      <c r="P2326" s="35" t="str">
        <f>_xlfn.SINGLE(IF(F2326="","",_xlfn.XLOOKUP(F2326,purchase!D:D,purchase!K:K,"")))</f>
        <v/>
      </c>
      <c r="Q2326" s="29" t="str">
        <f t="shared" si="257"/>
        <v/>
      </c>
      <c r="R2326" s="37" t="str">
        <f t="shared" si="258"/>
        <v/>
      </c>
    </row>
    <row r="2327" spans="1:18" x14ac:dyDescent="0.35">
      <c r="A2327" s="8">
        <v>2323</v>
      </c>
      <c r="B2327" s="9" t="str">
        <f t="shared" si="252"/>
        <v/>
      </c>
      <c r="C2327" s="10"/>
      <c r="D2327" s="9" t="str">
        <f>IF(F2327="","",_xlfn.XLOOKUP(F2327,purchase!D:D,purchase!#REF!,""))</f>
        <v/>
      </c>
      <c r="E2327" s="9" t="str">
        <f>IF(F2327="","",_xlfn.XLOOKUP(F2327,purchase!D:D,purchase!B:B,""))</f>
        <v/>
      </c>
      <c r="F2327" s="2"/>
      <c r="G2327" s="4" t="str">
        <f t="shared" si="253"/>
        <v/>
      </c>
      <c r="H2327" s="4" t="str">
        <f>IF(F2327="","",_xlfn.XLOOKUP(F2327,purchase!D:D,purchase!#REF!,""))</f>
        <v/>
      </c>
      <c r="I2327" s="4" t="str">
        <f t="shared" si="254"/>
        <v/>
      </c>
      <c r="J2327" s="4" t="str">
        <f t="shared" si="255"/>
        <v/>
      </c>
      <c r="K2327" s="13" t="str">
        <f>_xlfn.SINGLE(IF(F2327="","",_xlfn.XLOOKUP(F2327,purchase!D:D,purchase!#REF!,"")))</f>
        <v/>
      </c>
      <c r="L2327" s="2"/>
      <c r="M2327" s="32"/>
      <c r="N2327" s="13" t="str">
        <f>IF(F2327="","",
MAX(0,
_xlfn.XLOOKUP(F2327,purchase!D:D,purchase!#REF!,"")
-
SUMIFS(L:L,F:F,F2327)))</f>
        <v/>
      </c>
      <c r="O2327" s="13" t="str">
        <f t="shared" si="256"/>
        <v/>
      </c>
      <c r="P2327" s="35" t="str">
        <f>_xlfn.SINGLE(IF(F2327="","",_xlfn.XLOOKUP(F2327,purchase!D:D,purchase!K:K,"")))</f>
        <v/>
      </c>
      <c r="Q2327" s="29" t="str">
        <f t="shared" si="257"/>
        <v/>
      </c>
      <c r="R2327" s="37" t="str">
        <f t="shared" si="258"/>
        <v/>
      </c>
    </row>
    <row r="2328" spans="1:18" x14ac:dyDescent="0.35">
      <c r="A2328" s="8">
        <v>2324</v>
      </c>
      <c r="B2328" s="9" t="str">
        <f t="shared" si="252"/>
        <v/>
      </c>
      <c r="C2328" s="10"/>
      <c r="D2328" s="9" t="str">
        <f>IF(F2328="","",_xlfn.XLOOKUP(F2328,purchase!D:D,purchase!#REF!,""))</f>
        <v/>
      </c>
      <c r="E2328" s="9" t="str">
        <f>IF(F2328="","",_xlfn.XLOOKUP(F2328,purchase!D:D,purchase!B:B,""))</f>
        <v/>
      </c>
      <c r="F2328" s="2"/>
      <c r="G2328" s="4" t="str">
        <f t="shared" si="253"/>
        <v/>
      </c>
      <c r="H2328" s="4" t="str">
        <f>IF(F2328="","",_xlfn.XLOOKUP(F2328,purchase!D:D,purchase!#REF!,""))</f>
        <v/>
      </c>
      <c r="I2328" s="4" t="str">
        <f t="shared" si="254"/>
        <v/>
      </c>
      <c r="J2328" s="4" t="str">
        <f t="shared" si="255"/>
        <v/>
      </c>
      <c r="K2328" s="13" t="str">
        <f>_xlfn.SINGLE(IF(F2328="","",_xlfn.XLOOKUP(F2328,purchase!D:D,purchase!#REF!,"")))</f>
        <v/>
      </c>
      <c r="L2328" s="2"/>
      <c r="M2328" s="32"/>
      <c r="N2328" s="13" t="str">
        <f>IF(F2328="","",
MAX(0,
_xlfn.XLOOKUP(F2328,purchase!D:D,purchase!#REF!,"")
-
SUMIFS(L:L,F:F,F2328)))</f>
        <v/>
      </c>
      <c r="O2328" s="13" t="str">
        <f t="shared" si="256"/>
        <v/>
      </c>
      <c r="P2328" s="35" t="str">
        <f>_xlfn.SINGLE(IF(F2328="","",_xlfn.XLOOKUP(F2328,purchase!D:D,purchase!K:K,"")))</f>
        <v/>
      </c>
      <c r="Q2328" s="29" t="str">
        <f t="shared" si="257"/>
        <v/>
      </c>
      <c r="R2328" s="37" t="str">
        <f t="shared" si="258"/>
        <v/>
      </c>
    </row>
    <row r="2329" spans="1:18" x14ac:dyDescent="0.35">
      <c r="A2329" s="8">
        <v>2325</v>
      </c>
      <c r="B2329" s="9" t="str">
        <f t="shared" si="252"/>
        <v/>
      </c>
      <c r="C2329" s="10"/>
      <c r="D2329" s="9" t="str">
        <f>IF(F2329="","",_xlfn.XLOOKUP(F2329,purchase!D:D,purchase!#REF!,""))</f>
        <v/>
      </c>
      <c r="E2329" s="9" t="str">
        <f>IF(F2329="","",_xlfn.XLOOKUP(F2329,purchase!D:D,purchase!B:B,""))</f>
        <v/>
      </c>
      <c r="F2329" s="2"/>
      <c r="G2329" s="4" t="str">
        <f t="shared" si="253"/>
        <v/>
      </c>
      <c r="H2329" s="4" t="str">
        <f>IF(F2329="","",_xlfn.XLOOKUP(F2329,purchase!D:D,purchase!#REF!,""))</f>
        <v/>
      </c>
      <c r="I2329" s="4" t="str">
        <f t="shared" si="254"/>
        <v/>
      </c>
      <c r="J2329" s="4" t="str">
        <f t="shared" si="255"/>
        <v/>
      </c>
      <c r="K2329" s="13" t="str">
        <f>_xlfn.SINGLE(IF(F2329="","",_xlfn.XLOOKUP(F2329,purchase!D:D,purchase!#REF!,"")))</f>
        <v/>
      </c>
      <c r="L2329" s="2"/>
      <c r="M2329" s="32"/>
      <c r="N2329" s="13" t="str">
        <f>IF(F2329="","",
MAX(0,
_xlfn.XLOOKUP(F2329,purchase!D:D,purchase!#REF!,"")
-
SUMIFS(L:L,F:F,F2329)))</f>
        <v/>
      </c>
      <c r="O2329" s="13" t="str">
        <f t="shared" si="256"/>
        <v/>
      </c>
      <c r="P2329" s="35" t="str">
        <f>_xlfn.SINGLE(IF(F2329="","",_xlfn.XLOOKUP(F2329,purchase!D:D,purchase!K:K,"")))</f>
        <v/>
      </c>
      <c r="Q2329" s="29" t="str">
        <f t="shared" si="257"/>
        <v/>
      </c>
      <c r="R2329" s="37" t="str">
        <f t="shared" si="258"/>
        <v/>
      </c>
    </row>
    <row r="2330" spans="1:18" x14ac:dyDescent="0.35">
      <c r="A2330" s="8">
        <v>2326</v>
      </c>
      <c r="B2330" s="9" t="str">
        <f t="shared" si="252"/>
        <v/>
      </c>
      <c r="C2330" s="10"/>
      <c r="D2330" s="9" t="str">
        <f>IF(F2330="","",_xlfn.XLOOKUP(F2330,purchase!D:D,purchase!#REF!,""))</f>
        <v/>
      </c>
      <c r="E2330" s="9" t="str">
        <f>IF(F2330="","",_xlfn.XLOOKUP(F2330,purchase!D:D,purchase!B:B,""))</f>
        <v/>
      </c>
      <c r="F2330" s="2"/>
      <c r="G2330" s="4" t="str">
        <f t="shared" si="253"/>
        <v/>
      </c>
      <c r="H2330" s="4" t="str">
        <f>IF(F2330="","",_xlfn.XLOOKUP(F2330,purchase!D:D,purchase!#REF!,""))</f>
        <v/>
      </c>
      <c r="I2330" s="4" t="str">
        <f t="shared" si="254"/>
        <v/>
      </c>
      <c r="J2330" s="4" t="str">
        <f t="shared" si="255"/>
        <v/>
      </c>
      <c r="K2330" s="13" t="str">
        <f>_xlfn.SINGLE(IF(F2330="","",_xlfn.XLOOKUP(F2330,purchase!D:D,purchase!#REF!,"")))</f>
        <v/>
      </c>
      <c r="L2330" s="2"/>
      <c r="M2330" s="32"/>
      <c r="N2330" s="13" t="str">
        <f>IF(F2330="","",
MAX(0,
_xlfn.XLOOKUP(F2330,purchase!D:D,purchase!#REF!,"")
-
SUMIFS(L:L,F:F,F2330)))</f>
        <v/>
      </c>
      <c r="O2330" s="13" t="str">
        <f t="shared" si="256"/>
        <v/>
      </c>
      <c r="P2330" s="35" t="str">
        <f>_xlfn.SINGLE(IF(F2330="","",_xlfn.XLOOKUP(F2330,purchase!D:D,purchase!K:K,"")))</f>
        <v/>
      </c>
      <c r="Q2330" s="29" t="str">
        <f t="shared" si="257"/>
        <v/>
      </c>
      <c r="R2330" s="37" t="str">
        <f t="shared" si="258"/>
        <v/>
      </c>
    </row>
    <row r="2331" spans="1:18" x14ac:dyDescent="0.35">
      <c r="A2331" s="8">
        <v>2327</v>
      </c>
      <c r="B2331" s="9" t="str">
        <f t="shared" si="252"/>
        <v/>
      </c>
      <c r="C2331" s="10"/>
      <c r="D2331" s="9" t="str">
        <f>IF(F2331="","",_xlfn.XLOOKUP(F2331,purchase!D:D,purchase!#REF!,""))</f>
        <v/>
      </c>
      <c r="E2331" s="9" t="str">
        <f>IF(F2331="","",_xlfn.XLOOKUP(F2331,purchase!D:D,purchase!B:B,""))</f>
        <v/>
      </c>
      <c r="F2331" s="2"/>
      <c r="G2331" s="4" t="str">
        <f t="shared" si="253"/>
        <v/>
      </c>
      <c r="H2331" s="4" t="str">
        <f>IF(F2331="","",_xlfn.XLOOKUP(F2331,purchase!D:D,purchase!#REF!,""))</f>
        <v/>
      </c>
      <c r="I2331" s="4" t="str">
        <f t="shared" si="254"/>
        <v/>
      </c>
      <c r="J2331" s="4" t="str">
        <f t="shared" si="255"/>
        <v/>
      </c>
      <c r="K2331" s="13" t="str">
        <f>_xlfn.SINGLE(IF(F2331="","",_xlfn.XLOOKUP(F2331,purchase!D:D,purchase!#REF!,"")))</f>
        <v/>
      </c>
      <c r="L2331" s="2"/>
      <c r="M2331" s="32"/>
      <c r="N2331" s="13" t="str">
        <f>IF(F2331="","",
MAX(0,
_xlfn.XLOOKUP(F2331,purchase!D:D,purchase!#REF!,"")
-
SUMIFS(L:L,F:F,F2331)))</f>
        <v/>
      </c>
      <c r="O2331" s="13" t="str">
        <f t="shared" si="256"/>
        <v/>
      </c>
      <c r="P2331" s="35" t="str">
        <f>_xlfn.SINGLE(IF(F2331="","",_xlfn.XLOOKUP(F2331,purchase!D:D,purchase!K:K,"")))</f>
        <v/>
      </c>
      <c r="Q2331" s="29" t="str">
        <f t="shared" si="257"/>
        <v/>
      </c>
      <c r="R2331" s="37" t="str">
        <f t="shared" si="258"/>
        <v/>
      </c>
    </row>
    <row r="2332" spans="1:18" x14ac:dyDescent="0.35">
      <c r="A2332" s="8">
        <v>2328</v>
      </c>
      <c r="B2332" s="9" t="str">
        <f t="shared" si="252"/>
        <v/>
      </c>
      <c r="C2332" s="10"/>
      <c r="D2332" s="9" t="str">
        <f>IF(F2332="","",_xlfn.XLOOKUP(F2332,purchase!D:D,purchase!#REF!,""))</f>
        <v/>
      </c>
      <c r="E2332" s="9" t="str">
        <f>IF(F2332="","",_xlfn.XLOOKUP(F2332,purchase!D:D,purchase!B:B,""))</f>
        <v/>
      </c>
      <c r="F2332" s="2"/>
      <c r="G2332" s="4" t="str">
        <f t="shared" si="253"/>
        <v/>
      </c>
      <c r="H2332" s="4" t="str">
        <f>IF(F2332="","",_xlfn.XLOOKUP(F2332,purchase!D:D,purchase!#REF!,""))</f>
        <v/>
      </c>
      <c r="I2332" s="4" t="str">
        <f t="shared" si="254"/>
        <v/>
      </c>
      <c r="J2332" s="4" t="str">
        <f t="shared" si="255"/>
        <v/>
      </c>
      <c r="K2332" s="13" t="str">
        <f>_xlfn.SINGLE(IF(F2332="","",_xlfn.XLOOKUP(F2332,purchase!D:D,purchase!#REF!,"")))</f>
        <v/>
      </c>
      <c r="L2332" s="2"/>
      <c r="M2332" s="32"/>
      <c r="N2332" s="13" t="str">
        <f>IF(F2332="","",
MAX(0,
_xlfn.XLOOKUP(F2332,purchase!D:D,purchase!#REF!,"")
-
SUMIFS(L:L,F:F,F2332)))</f>
        <v/>
      </c>
      <c r="O2332" s="13" t="str">
        <f t="shared" si="256"/>
        <v/>
      </c>
      <c r="P2332" s="35" t="str">
        <f>_xlfn.SINGLE(IF(F2332="","",_xlfn.XLOOKUP(F2332,purchase!D:D,purchase!K:K,"")))</f>
        <v/>
      </c>
      <c r="Q2332" s="29" t="str">
        <f t="shared" si="257"/>
        <v/>
      </c>
      <c r="R2332" s="37" t="str">
        <f t="shared" si="258"/>
        <v/>
      </c>
    </row>
    <row r="2333" spans="1:18" x14ac:dyDescent="0.35">
      <c r="A2333" s="8">
        <v>2329</v>
      </c>
      <c r="B2333" s="9" t="str">
        <f t="shared" si="252"/>
        <v/>
      </c>
      <c r="C2333" s="10"/>
      <c r="D2333" s="9" t="str">
        <f>IF(F2333="","",_xlfn.XLOOKUP(F2333,purchase!D:D,purchase!#REF!,""))</f>
        <v/>
      </c>
      <c r="E2333" s="9" t="str">
        <f>IF(F2333="","",_xlfn.XLOOKUP(F2333,purchase!D:D,purchase!B:B,""))</f>
        <v/>
      </c>
      <c r="F2333" s="2"/>
      <c r="G2333" s="4" t="str">
        <f t="shared" si="253"/>
        <v/>
      </c>
      <c r="H2333" s="4" t="str">
        <f>IF(F2333="","",_xlfn.XLOOKUP(F2333,purchase!D:D,purchase!#REF!,""))</f>
        <v/>
      </c>
      <c r="I2333" s="4" t="str">
        <f t="shared" si="254"/>
        <v/>
      </c>
      <c r="J2333" s="4" t="str">
        <f t="shared" si="255"/>
        <v/>
      </c>
      <c r="K2333" s="13" t="str">
        <f>_xlfn.SINGLE(IF(F2333="","",_xlfn.XLOOKUP(F2333,purchase!D:D,purchase!#REF!,"")))</f>
        <v/>
      </c>
      <c r="L2333" s="2"/>
      <c r="M2333" s="32"/>
      <c r="N2333" s="13" t="str">
        <f>IF(F2333="","",
MAX(0,
_xlfn.XLOOKUP(F2333,purchase!D:D,purchase!#REF!,"")
-
SUMIFS(L:L,F:F,F2333)))</f>
        <v/>
      </c>
      <c r="O2333" s="13" t="str">
        <f t="shared" si="256"/>
        <v/>
      </c>
      <c r="P2333" s="35" t="str">
        <f>_xlfn.SINGLE(IF(F2333="","",_xlfn.XLOOKUP(F2333,purchase!D:D,purchase!K:K,"")))</f>
        <v/>
      </c>
      <c r="Q2333" s="29" t="str">
        <f t="shared" si="257"/>
        <v/>
      </c>
      <c r="R2333" s="37" t="str">
        <f t="shared" si="258"/>
        <v/>
      </c>
    </row>
    <row r="2334" spans="1:18" x14ac:dyDescent="0.35">
      <c r="A2334" s="8">
        <v>2330</v>
      </c>
      <c r="B2334" s="9" t="str">
        <f t="shared" si="252"/>
        <v/>
      </c>
      <c r="C2334" s="10"/>
      <c r="D2334" s="9" t="str">
        <f>IF(F2334="","",_xlfn.XLOOKUP(F2334,purchase!D:D,purchase!#REF!,""))</f>
        <v/>
      </c>
      <c r="E2334" s="9" t="str">
        <f>IF(F2334="","",_xlfn.XLOOKUP(F2334,purchase!D:D,purchase!B:B,""))</f>
        <v/>
      </c>
      <c r="F2334" s="2"/>
      <c r="G2334" s="4" t="str">
        <f t="shared" si="253"/>
        <v/>
      </c>
      <c r="H2334" s="4" t="str">
        <f>IF(F2334="","",_xlfn.XLOOKUP(F2334,purchase!D:D,purchase!#REF!,""))</f>
        <v/>
      </c>
      <c r="I2334" s="4" t="str">
        <f t="shared" si="254"/>
        <v/>
      </c>
      <c r="J2334" s="4" t="str">
        <f t="shared" si="255"/>
        <v/>
      </c>
      <c r="K2334" s="13" t="str">
        <f>_xlfn.SINGLE(IF(F2334="","",_xlfn.XLOOKUP(F2334,purchase!D:D,purchase!#REF!,"")))</f>
        <v/>
      </c>
      <c r="L2334" s="2"/>
      <c r="M2334" s="32"/>
      <c r="N2334" s="13" t="str">
        <f>IF(F2334="","",
MAX(0,
_xlfn.XLOOKUP(F2334,purchase!D:D,purchase!#REF!,"")
-
SUMIFS(L:L,F:F,F2334)))</f>
        <v/>
      </c>
      <c r="O2334" s="13" t="str">
        <f t="shared" si="256"/>
        <v/>
      </c>
      <c r="P2334" s="35" t="str">
        <f>_xlfn.SINGLE(IF(F2334="","",_xlfn.XLOOKUP(F2334,purchase!D:D,purchase!K:K,"")))</f>
        <v/>
      </c>
      <c r="Q2334" s="29" t="str">
        <f t="shared" si="257"/>
        <v/>
      </c>
      <c r="R2334" s="37" t="str">
        <f t="shared" si="258"/>
        <v/>
      </c>
    </row>
    <row r="2335" spans="1:18" x14ac:dyDescent="0.35">
      <c r="A2335" s="8">
        <v>2331</v>
      </c>
      <c r="B2335" s="9" t="str">
        <f t="shared" si="252"/>
        <v/>
      </c>
      <c r="C2335" s="10"/>
      <c r="D2335" s="9" t="str">
        <f>IF(F2335="","",_xlfn.XLOOKUP(F2335,purchase!D:D,purchase!#REF!,""))</f>
        <v/>
      </c>
      <c r="E2335" s="9" t="str">
        <f>IF(F2335="","",_xlfn.XLOOKUP(F2335,purchase!D:D,purchase!B:B,""))</f>
        <v/>
      </c>
      <c r="F2335" s="2"/>
      <c r="G2335" s="4" t="str">
        <f t="shared" si="253"/>
        <v/>
      </c>
      <c r="H2335" s="4" t="str">
        <f>IF(F2335="","",_xlfn.XLOOKUP(F2335,purchase!D:D,purchase!#REF!,""))</f>
        <v/>
      </c>
      <c r="I2335" s="4" t="str">
        <f t="shared" si="254"/>
        <v/>
      </c>
      <c r="J2335" s="4" t="str">
        <f t="shared" si="255"/>
        <v/>
      </c>
      <c r="K2335" s="13" t="str">
        <f>_xlfn.SINGLE(IF(F2335="","",_xlfn.XLOOKUP(F2335,purchase!D:D,purchase!#REF!,"")))</f>
        <v/>
      </c>
      <c r="L2335" s="2"/>
      <c r="M2335" s="32"/>
      <c r="N2335" s="13" t="str">
        <f>IF(F2335="","",
MAX(0,
_xlfn.XLOOKUP(F2335,purchase!D:D,purchase!#REF!,"")
-
SUMIFS(L:L,F:F,F2335)))</f>
        <v/>
      </c>
      <c r="O2335" s="13" t="str">
        <f t="shared" si="256"/>
        <v/>
      </c>
      <c r="P2335" s="35" t="str">
        <f>_xlfn.SINGLE(IF(F2335="","",_xlfn.XLOOKUP(F2335,purchase!D:D,purchase!K:K,"")))</f>
        <v/>
      </c>
      <c r="Q2335" s="29" t="str">
        <f t="shared" si="257"/>
        <v/>
      </c>
      <c r="R2335" s="37" t="str">
        <f t="shared" si="258"/>
        <v/>
      </c>
    </row>
    <row r="2336" spans="1:18" x14ac:dyDescent="0.35">
      <c r="A2336" s="8">
        <v>2332</v>
      </c>
      <c r="B2336" s="9" t="str">
        <f t="shared" si="252"/>
        <v/>
      </c>
      <c r="C2336" s="10"/>
      <c r="D2336" s="9" t="str">
        <f>IF(F2336="","",_xlfn.XLOOKUP(F2336,purchase!D:D,purchase!#REF!,""))</f>
        <v/>
      </c>
      <c r="E2336" s="9" t="str">
        <f>IF(F2336="","",_xlfn.XLOOKUP(F2336,purchase!D:D,purchase!B:B,""))</f>
        <v/>
      </c>
      <c r="F2336" s="2"/>
      <c r="G2336" s="4" t="str">
        <f t="shared" si="253"/>
        <v/>
      </c>
      <c r="H2336" s="4" t="str">
        <f>IF(F2336="","",_xlfn.XLOOKUP(F2336,purchase!D:D,purchase!#REF!,""))</f>
        <v/>
      </c>
      <c r="I2336" s="4" t="str">
        <f t="shared" si="254"/>
        <v/>
      </c>
      <c r="J2336" s="4" t="str">
        <f t="shared" si="255"/>
        <v/>
      </c>
      <c r="K2336" s="13" t="str">
        <f>_xlfn.SINGLE(IF(F2336="","",_xlfn.XLOOKUP(F2336,purchase!D:D,purchase!#REF!,"")))</f>
        <v/>
      </c>
      <c r="L2336" s="2"/>
      <c r="M2336" s="32"/>
      <c r="N2336" s="13" t="str">
        <f>IF(F2336="","",
MAX(0,
_xlfn.XLOOKUP(F2336,purchase!D:D,purchase!#REF!,"")
-
SUMIFS(L:L,F:F,F2336)))</f>
        <v/>
      </c>
      <c r="O2336" s="13" t="str">
        <f t="shared" si="256"/>
        <v/>
      </c>
      <c r="P2336" s="35" t="str">
        <f>_xlfn.SINGLE(IF(F2336="","",_xlfn.XLOOKUP(F2336,purchase!D:D,purchase!K:K,"")))</f>
        <v/>
      </c>
      <c r="Q2336" s="29" t="str">
        <f t="shared" si="257"/>
        <v/>
      </c>
      <c r="R2336" s="37" t="str">
        <f t="shared" si="258"/>
        <v/>
      </c>
    </row>
    <row r="2337" spans="1:18" x14ac:dyDescent="0.35">
      <c r="A2337" s="8">
        <v>2333</v>
      </c>
      <c r="B2337" s="9" t="str">
        <f t="shared" si="252"/>
        <v/>
      </c>
      <c r="C2337" s="10"/>
      <c r="D2337" s="9" t="str">
        <f>IF(F2337="","",_xlfn.XLOOKUP(F2337,purchase!D:D,purchase!#REF!,""))</f>
        <v/>
      </c>
      <c r="E2337" s="9" t="str">
        <f>IF(F2337="","",_xlfn.XLOOKUP(F2337,purchase!D:D,purchase!B:B,""))</f>
        <v/>
      </c>
      <c r="F2337" s="2"/>
      <c r="G2337" s="4" t="str">
        <f t="shared" si="253"/>
        <v/>
      </c>
      <c r="H2337" s="4" t="str">
        <f>IF(F2337="","",_xlfn.XLOOKUP(F2337,purchase!D:D,purchase!#REF!,""))</f>
        <v/>
      </c>
      <c r="I2337" s="4" t="str">
        <f t="shared" si="254"/>
        <v/>
      </c>
      <c r="J2337" s="4" t="str">
        <f t="shared" si="255"/>
        <v/>
      </c>
      <c r="K2337" s="13" t="str">
        <f>_xlfn.SINGLE(IF(F2337="","",_xlfn.XLOOKUP(F2337,purchase!D:D,purchase!#REF!,"")))</f>
        <v/>
      </c>
      <c r="L2337" s="2"/>
      <c r="M2337" s="32"/>
      <c r="N2337" s="13" t="str">
        <f>IF(F2337="","",
MAX(0,
_xlfn.XLOOKUP(F2337,purchase!D:D,purchase!#REF!,"")
-
SUMIFS(L:L,F:F,F2337)))</f>
        <v/>
      </c>
      <c r="O2337" s="13" t="str">
        <f t="shared" si="256"/>
        <v/>
      </c>
      <c r="P2337" s="35" t="str">
        <f>_xlfn.SINGLE(IF(F2337="","",_xlfn.XLOOKUP(F2337,purchase!D:D,purchase!K:K,"")))</f>
        <v/>
      </c>
      <c r="Q2337" s="29" t="str">
        <f t="shared" si="257"/>
        <v/>
      </c>
      <c r="R2337" s="37" t="str">
        <f t="shared" si="258"/>
        <v/>
      </c>
    </row>
    <row r="2338" spans="1:18" x14ac:dyDescent="0.35">
      <c r="A2338" s="8">
        <v>2334</v>
      </c>
      <c r="B2338" s="9" t="str">
        <f t="shared" si="252"/>
        <v/>
      </c>
      <c r="C2338" s="10"/>
      <c r="D2338" s="9" t="str">
        <f>IF(F2338="","",_xlfn.XLOOKUP(F2338,purchase!D:D,purchase!#REF!,""))</f>
        <v/>
      </c>
      <c r="E2338" s="9" t="str">
        <f>IF(F2338="","",_xlfn.XLOOKUP(F2338,purchase!D:D,purchase!B:B,""))</f>
        <v/>
      </c>
      <c r="F2338" s="2"/>
      <c r="G2338" s="4" t="str">
        <f t="shared" si="253"/>
        <v/>
      </c>
      <c r="H2338" s="4" t="str">
        <f>IF(F2338="","",_xlfn.XLOOKUP(F2338,purchase!D:D,purchase!#REF!,""))</f>
        <v/>
      </c>
      <c r="I2338" s="4" t="str">
        <f t="shared" si="254"/>
        <v/>
      </c>
      <c r="J2338" s="4" t="str">
        <f t="shared" si="255"/>
        <v/>
      </c>
      <c r="K2338" s="13" t="str">
        <f>_xlfn.SINGLE(IF(F2338="","",_xlfn.XLOOKUP(F2338,purchase!D:D,purchase!#REF!,"")))</f>
        <v/>
      </c>
      <c r="L2338" s="2"/>
      <c r="M2338" s="32"/>
      <c r="N2338" s="13" t="str">
        <f>IF(F2338="","",
MAX(0,
_xlfn.XLOOKUP(F2338,purchase!D:D,purchase!#REF!,"")
-
SUMIFS(L:L,F:F,F2338)))</f>
        <v/>
      </c>
      <c r="O2338" s="13" t="str">
        <f t="shared" si="256"/>
        <v/>
      </c>
      <c r="P2338" s="35" t="str">
        <f>_xlfn.SINGLE(IF(F2338="","",_xlfn.XLOOKUP(F2338,purchase!D:D,purchase!K:K,"")))</f>
        <v/>
      </c>
      <c r="Q2338" s="29" t="str">
        <f t="shared" si="257"/>
        <v/>
      </c>
      <c r="R2338" s="37" t="str">
        <f t="shared" si="258"/>
        <v/>
      </c>
    </row>
    <row r="2339" spans="1:18" x14ac:dyDescent="0.35">
      <c r="A2339" s="8">
        <v>2335</v>
      </c>
      <c r="B2339" s="9" t="str">
        <f t="shared" si="252"/>
        <v/>
      </c>
      <c r="C2339" s="10"/>
      <c r="D2339" s="9" t="str">
        <f>IF(F2339="","",_xlfn.XLOOKUP(F2339,purchase!D:D,purchase!#REF!,""))</f>
        <v/>
      </c>
      <c r="E2339" s="9" t="str">
        <f>IF(F2339="","",_xlfn.XLOOKUP(F2339,purchase!D:D,purchase!B:B,""))</f>
        <v/>
      </c>
      <c r="F2339" s="2"/>
      <c r="G2339" s="4" t="str">
        <f t="shared" si="253"/>
        <v/>
      </c>
      <c r="H2339" s="4" t="str">
        <f>IF(F2339="","",_xlfn.XLOOKUP(F2339,purchase!D:D,purchase!#REF!,""))</f>
        <v/>
      </c>
      <c r="I2339" s="4" t="str">
        <f t="shared" si="254"/>
        <v/>
      </c>
      <c r="J2339" s="4" t="str">
        <f t="shared" si="255"/>
        <v/>
      </c>
      <c r="K2339" s="13" t="str">
        <f>_xlfn.SINGLE(IF(F2339="","",_xlfn.XLOOKUP(F2339,purchase!D:D,purchase!#REF!,"")))</f>
        <v/>
      </c>
      <c r="L2339" s="2"/>
      <c r="M2339" s="32"/>
      <c r="N2339" s="13" t="str">
        <f>IF(F2339="","",
MAX(0,
_xlfn.XLOOKUP(F2339,purchase!D:D,purchase!#REF!,"")
-
SUMIFS(L:L,F:F,F2339)))</f>
        <v/>
      </c>
      <c r="O2339" s="13" t="str">
        <f t="shared" si="256"/>
        <v/>
      </c>
      <c r="P2339" s="35" t="str">
        <f>_xlfn.SINGLE(IF(F2339="","",_xlfn.XLOOKUP(F2339,purchase!D:D,purchase!K:K,"")))</f>
        <v/>
      </c>
      <c r="Q2339" s="29" t="str">
        <f t="shared" si="257"/>
        <v/>
      </c>
      <c r="R2339" s="37" t="str">
        <f t="shared" si="258"/>
        <v/>
      </c>
    </row>
    <row r="2340" spans="1:18" x14ac:dyDescent="0.35">
      <c r="A2340" s="8">
        <v>2336</v>
      </c>
      <c r="B2340" s="9" t="str">
        <f t="shared" si="252"/>
        <v/>
      </c>
      <c r="C2340" s="10"/>
      <c r="D2340" s="9" t="str">
        <f>IF(F2340="","",_xlfn.XLOOKUP(F2340,purchase!D:D,purchase!#REF!,""))</f>
        <v/>
      </c>
      <c r="E2340" s="9" t="str">
        <f>IF(F2340="","",_xlfn.XLOOKUP(F2340,purchase!D:D,purchase!B:B,""))</f>
        <v/>
      </c>
      <c r="F2340" s="2"/>
      <c r="G2340" s="4" t="str">
        <f t="shared" si="253"/>
        <v/>
      </c>
      <c r="H2340" s="4" t="str">
        <f>IF(F2340="","",_xlfn.XLOOKUP(F2340,purchase!D:D,purchase!#REF!,""))</f>
        <v/>
      </c>
      <c r="I2340" s="4" t="str">
        <f t="shared" si="254"/>
        <v/>
      </c>
      <c r="J2340" s="4" t="str">
        <f t="shared" si="255"/>
        <v/>
      </c>
      <c r="K2340" s="13" t="str">
        <f>_xlfn.SINGLE(IF(F2340="","",_xlfn.XLOOKUP(F2340,purchase!D:D,purchase!#REF!,"")))</f>
        <v/>
      </c>
      <c r="L2340" s="2"/>
      <c r="M2340" s="32"/>
      <c r="N2340" s="13" t="str">
        <f>IF(F2340="","",
MAX(0,
_xlfn.XLOOKUP(F2340,purchase!D:D,purchase!#REF!,"")
-
SUMIFS(L:L,F:F,F2340)))</f>
        <v/>
      </c>
      <c r="O2340" s="13" t="str">
        <f t="shared" si="256"/>
        <v/>
      </c>
      <c r="P2340" s="35" t="str">
        <f>_xlfn.SINGLE(IF(F2340="","",_xlfn.XLOOKUP(F2340,purchase!D:D,purchase!K:K,"")))</f>
        <v/>
      </c>
      <c r="Q2340" s="29" t="str">
        <f t="shared" si="257"/>
        <v/>
      </c>
      <c r="R2340" s="37" t="str">
        <f t="shared" si="258"/>
        <v/>
      </c>
    </row>
    <row r="2341" spans="1:18" x14ac:dyDescent="0.35">
      <c r="A2341" s="8">
        <v>2337</v>
      </c>
      <c r="B2341" s="9" t="str">
        <f t="shared" si="252"/>
        <v/>
      </c>
      <c r="C2341" s="10"/>
      <c r="D2341" s="9" t="str">
        <f>IF(F2341="","",_xlfn.XLOOKUP(F2341,purchase!D:D,purchase!#REF!,""))</f>
        <v/>
      </c>
      <c r="E2341" s="9" t="str">
        <f>IF(F2341="","",_xlfn.XLOOKUP(F2341,purchase!D:D,purchase!B:B,""))</f>
        <v/>
      </c>
      <c r="F2341" s="2"/>
      <c r="G2341" s="4" t="str">
        <f t="shared" si="253"/>
        <v/>
      </c>
      <c r="H2341" s="4" t="str">
        <f>IF(F2341="","",_xlfn.XLOOKUP(F2341,purchase!D:D,purchase!#REF!,""))</f>
        <v/>
      </c>
      <c r="I2341" s="4" t="str">
        <f t="shared" si="254"/>
        <v/>
      </c>
      <c r="J2341" s="4" t="str">
        <f t="shared" si="255"/>
        <v/>
      </c>
      <c r="K2341" s="13" t="str">
        <f>_xlfn.SINGLE(IF(F2341="","",_xlfn.XLOOKUP(F2341,purchase!D:D,purchase!#REF!,"")))</f>
        <v/>
      </c>
      <c r="L2341" s="2"/>
      <c r="M2341" s="32"/>
      <c r="N2341" s="13" t="str">
        <f>IF(F2341="","",
MAX(0,
_xlfn.XLOOKUP(F2341,purchase!D:D,purchase!#REF!,"")
-
SUMIFS(L:L,F:F,F2341)))</f>
        <v/>
      </c>
      <c r="O2341" s="13" t="str">
        <f t="shared" si="256"/>
        <v/>
      </c>
      <c r="P2341" s="35" t="str">
        <f>_xlfn.SINGLE(IF(F2341="","",_xlfn.XLOOKUP(F2341,purchase!D:D,purchase!K:K,"")))</f>
        <v/>
      </c>
      <c r="Q2341" s="29" t="str">
        <f t="shared" si="257"/>
        <v/>
      </c>
      <c r="R2341" s="37" t="str">
        <f t="shared" si="258"/>
        <v/>
      </c>
    </row>
    <row r="2342" spans="1:18" x14ac:dyDescent="0.35">
      <c r="A2342" s="8">
        <v>2338</v>
      </c>
      <c r="B2342" s="9" t="str">
        <f t="shared" si="252"/>
        <v/>
      </c>
      <c r="C2342" s="10"/>
      <c r="D2342" s="9" t="str">
        <f>IF(F2342="","",_xlfn.XLOOKUP(F2342,purchase!D:D,purchase!#REF!,""))</f>
        <v/>
      </c>
      <c r="E2342" s="9" t="str">
        <f>IF(F2342="","",_xlfn.XLOOKUP(F2342,purchase!D:D,purchase!B:B,""))</f>
        <v/>
      </c>
      <c r="F2342" s="2"/>
      <c r="G2342" s="4" t="str">
        <f t="shared" si="253"/>
        <v/>
      </c>
      <c r="H2342" s="4" t="str">
        <f>IF(F2342="","",_xlfn.XLOOKUP(F2342,purchase!D:D,purchase!#REF!,""))</f>
        <v/>
      </c>
      <c r="I2342" s="4" t="str">
        <f t="shared" si="254"/>
        <v/>
      </c>
      <c r="J2342" s="4" t="str">
        <f t="shared" si="255"/>
        <v/>
      </c>
      <c r="K2342" s="13" t="str">
        <f>_xlfn.SINGLE(IF(F2342="","",_xlfn.XLOOKUP(F2342,purchase!D:D,purchase!#REF!,"")))</f>
        <v/>
      </c>
      <c r="L2342" s="2"/>
      <c r="M2342" s="32"/>
      <c r="N2342" s="13" t="str">
        <f>IF(F2342="","",
MAX(0,
_xlfn.XLOOKUP(F2342,purchase!D:D,purchase!#REF!,"")
-
SUMIFS(L:L,F:F,F2342)))</f>
        <v/>
      </c>
      <c r="O2342" s="13" t="str">
        <f t="shared" si="256"/>
        <v/>
      </c>
      <c r="P2342" s="35" t="str">
        <f>_xlfn.SINGLE(IF(F2342="","",_xlfn.XLOOKUP(F2342,purchase!D:D,purchase!K:K,"")))</f>
        <v/>
      </c>
      <c r="Q2342" s="29" t="str">
        <f t="shared" si="257"/>
        <v/>
      </c>
      <c r="R2342" s="37" t="str">
        <f t="shared" si="258"/>
        <v/>
      </c>
    </row>
    <row r="2343" spans="1:18" x14ac:dyDescent="0.35">
      <c r="A2343" s="8">
        <v>2339</v>
      </c>
      <c r="B2343" s="9" t="str">
        <f t="shared" si="252"/>
        <v/>
      </c>
      <c r="C2343" s="10"/>
      <c r="D2343" s="9" t="str">
        <f>IF(F2343="","",_xlfn.XLOOKUP(F2343,purchase!D:D,purchase!#REF!,""))</f>
        <v/>
      </c>
      <c r="E2343" s="9" t="str">
        <f>IF(F2343="","",_xlfn.XLOOKUP(F2343,purchase!D:D,purchase!B:B,""))</f>
        <v/>
      </c>
      <c r="F2343" s="2"/>
      <c r="G2343" s="4" t="str">
        <f t="shared" si="253"/>
        <v/>
      </c>
      <c r="H2343" s="4" t="str">
        <f>IF(F2343="","",_xlfn.XLOOKUP(F2343,purchase!D:D,purchase!#REF!,""))</f>
        <v/>
      </c>
      <c r="I2343" s="4" t="str">
        <f t="shared" si="254"/>
        <v/>
      </c>
      <c r="J2343" s="4" t="str">
        <f t="shared" si="255"/>
        <v/>
      </c>
      <c r="K2343" s="13" t="str">
        <f>_xlfn.SINGLE(IF(F2343="","",_xlfn.XLOOKUP(F2343,purchase!D:D,purchase!#REF!,"")))</f>
        <v/>
      </c>
      <c r="L2343" s="2"/>
      <c r="M2343" s="32"/>
      <c r="N2343" s="13" t="str">
        <f>IF(F2343="","",
MAX(0,
_xlfn.XLOOKUP(F2343,purchase!D:D,purchase!#REF!,"")
-
SUMIFS(L:L,F:F,F2343)))</f>
        <v/>
      </c>
      <c r="O2343" s="13" t="str">
        <f t="shared" si="256"/>
        <v/>
      </c>
      <c r="P2343" s="35" t="str">
        <f>_xlfn.SINGLE(IF(F2343="","",_xlfn.XLOOKUP(F2343,purchase!D:D,purchase!K:K,"")))</f>
        <v/>
      </c>
      <c r="Q2343" s="29" t="str">
        <f t="shared" si="257"/>
        <v/>
      </c>
      <c r="R2343" s="37" t="str">
        <f t="shared" si="258"/>
        <v/>
      </c>
    </row>
    <row r="2344" spans="1:18" x14ac:dyDescent="0.35">
      <c r="A2344" s="8">
        <v>2340</v>
      </c>
      <c r="B2344" s="9" t="str">
        <f t="shared" si="252"/>
        <v/>
      </c>
      <c r="C2344" s="10"/>
      <c r="D2344" s="9" t="str">
        <f>IF(F2344="","",_xlfn.XLOOKUP(F2344,purchase!D:D,purchase!#REF!,""))</f>
        <v/>
      </c>
      <c r="E2344" s="9" t="str">
        <f>IF(F2344="","",_xlfn.XLOOKUP(F2344,purchase!D:D,purchase!B:B,""))</f>
        <v/>
      </c>
      <c r="F2344" s="2"/>
      <c r="G2344" s="4" t="str">
        <f t="shared" si="253"/>
        <v/>
      </c>
      <c r="H2344" s="4" t="str">
        <f>IF(F2344="","",_xlfn.XLOOKUP(F2344,purchase!D:D,purchase!#REF!,""))</f>
        <v/>
      </c>
      <c r="I2344" s="4" t="str">
        <f t="shared" si="254"/>
        <v/>
      </c>
      <c r="J2344" s="4" t="str">
        <f t="shared" si="255"/>
        <v/>
      </c>
      <c r="K2344" s="13" t="str">
        <f>_xlfn.SINGLE(IF(F2344="","",_xlfn.XLOOKUP(F2344,purchase!D:D,purchase!#REF!,"")))</f>
        <v/>
      </c>
      <c r="L2344" s="2"/>
      <c r="M2344" s="32"/>
      <c r="N2344" s="13" t="str">
        <f>IF(F2344="","",
MAX(0,
_xlfn.XLOOKUP(F2344,purchase!D:D,purchase!#REF!,"")
-
SUMIFS(L:L,F:F,F2344)))</f>
        <v/>
      </c>
      <c r="O2344" s="13" t="str">
        <f t="shared" si="256"/>
        <v/>
      </c>
      <c r="P2344" s="35" t="str">
        <f>_xlfn.SINGLE(IF(F2344="","",_xlfn.XLOOKUP(F2344,purchase!D:D,purchase!K:K,"")))</f>
        <v/>
      </c>
      <c r="Q2344" s="29" t="str">
        <f t="shared" si="257"/>
        <v/>
      </c>
      <c r="R2344" s="37" t="str">
        <f t="shared" si="258"/>
        <v/>
      </c>
    </row>
    <row r="2345" spans="1:18" x14ac:dyDescent="0.35">
      <c r="A2345" s="8">
        <v>2341</v>
      </c>
      <c r="B2345" s="9" t="str">
        <f t="shared" si="252"/>
        <v/>
      </c>
      <c r="C2345" s="10"/>
      <c r="D2345" s="9" t="str">
        <f>IF(F2345="","",_xlfn.XLOOKUP(F2345,purchase!D:D,purchase!#REF!,""))</f>
        <v/>
      </c>
      <c r="E2345" s="9" t="str">
        <f>IF(F2345="","",_xlfn.XLOOKUP(F2345,purchase!D:D,purchase!B:B,""))</f>
        <v/>
      </c>
      <c r="F2345" s="2"/>
      <c r="G2345" s="4" t="str">
        <f t="shared" si="253"/>
        <v/>
      </c>
      <c r="H2345" s="4" t="str">
        <f>IF(F2345="","",_xlfn.XLOOKUP(F2345,purchase!D:D,purchase!#REF!,""))</f>
        <v/>
      </c>
      <c r="I2345" s="4" t="str">
        <f t="shared" si="254"/>
        <v/>
      </c>
      <c r="J2345" s="4" t="str">
        <f t="shared" si="255"/>
        <v/>
      </c>
      <c r="K2345" s="13" t="str">
        <f>_xlfn.SINGLE(IF(F2345="","",_xlfn.XLOOKUP(F2345,purchase!D:D,purchase!#REF!,"")))</f>
        <v/>
      </c>
      <c r="L2345" s="2"/>
      <c r="M2345" s="32"/>
      <c r="N2345" s="13" t="str">
        <f>IF(F2345="","",
MAX(0,
_xlfn.XLOOKUP(F2345,purchase!D:D,purchase!#REF!,"")
-
SUMIFS(L:L,F:F,F2345)))</f>
        <v/>
      </c>
      <c r="O2345" s="13" t="str">
        <f t="shared" si="256"/>
        <v/>
      </c>
      <c r="P2345" s="35" t="str">
        <f>_xlfn.SINGLE(IF(F2345="","",_xlfn.XLOOKUP(F2345,purchase!D:D,purchase!K:K,"")))</f>
        <v/>
      </c>
      <c r="Q2345" s="29" t="str">
        <f t="shared" si="257"/>
        <v/>
      </c>
      <c r="R2345" s="37" t="str">
        <f t="shared" si="258"/>
        <v/>
      </c>
    </row>
    <row r="2346" spans="1:18" x14ac:dyDescent="0.35">
      <c r="A2346" s="8">
        <v>2342</v>
      </c>
      <c r="B2346" s="9" t="str">
        <f t="shared" si="252"/>
        <v/>
      </c>
      <c r="C2346" s="10"/>
      <c r="D2346" s="9" t="str">
        <f>IF(F2346="","",_xlfn.XLOOKUP(F2346,purchase!D:D,purchase!#REF!,""))</f>
        <v/>
      </c>
      <c r="E2346" s="9" t="str">
        <f>IF(F2346="","",_xlfn.XLOOKUP(F2346,purchase!D:D,purchase!B:B,""))</f>
        <v/>
      </c>
      <c r="F2346" s="2"/>
      <c r="G2346" s="4" t="str">
        <f t="shared" si="253"/>
        <v/>
      </c>
      <c r="H2346" s="4" t="str">
        <f>IF(F2346="","",_xlfn.XLOOKUP(F2346,purchase!D:D,purchase!#REF!,""))</f>
        <v/>
      </c>
      <c r="I2346" s="4" t="str">
        <f t="shared" si="254"/>
        <v/>
      </c>
      <c r="J2346" s="4" t="str">
        <f t="shared" si="255"/>
        <v/>
      </c>
      <c r="K2346" s="13" t="str">
        <f>_xlfn.SINGLE(IF(F2346="","",_xlfn.XLOOKUP(F2346,purchase!D:D,purchase!#REF!,"")))</f>
        <v/>
      </c>
      <c r="L2346" s="2"/>
      <c r="M2346" s="32"/>
      <c r="N2346" s="13" t="str">
        <f>IF(F2346="","",
MAX(0,
_xlfn.XLOOKUP(F2346,purchase!D:D,purchase!#REF!,"")
-
SUMIFS(L:L,F:F,F2346)))</f>
        <v/>
      </c>
      <c r="O2346" s="13" t="str">
        <f t="shared" si="256"/>
        <v/>
      </c>
      <c r="P2346" s="35" t="str">
        <f>_xlfn.SINGLE(IF(F2346="","",_xlfn.XLOOKUP(F2346,purchase!D:D,purchase!K:K,"")))</f>
        <v/>
      </c>
      <c r="Q2346" s="29" t="str">
        <f t="shared" si="257"/>
        <v/>
      </c>
      <c r="R2346" s="37" t="str">
        <f t="shared" si="258"/>
        <v/>
      </c>
    </row>
    <row r="2347" spans="1:18" x14ac:dyDescent="0.35">
      <c r="A2347" s="8">
        <v>2343</v>
      </c>
      <c r="B2347" s="9" t="str">
        <f t="shared" si="252"/>
        <v/>
      </c>
      <c r="C2347" s="10"/>
      <c r="D2347" s="9" t="str">
        <f>IF(F2347="","",_xlfn.XLOOKUP(F2347,purchase!D:D,purchase!#REF!,""))</f>
        <v/>
      </c>
      <c r="E2347" s="9" t="str">
        <f>IF(F2347="","",_xlfn.XLOOKUP(F2347,purchase!D:D,purchase!B:B,""))</f>
        <v/>
      </c>
      <c r="F2347" s="2"/>
      <c r="G2347" s="4" t="str">
        <f t="shared" si="253"/>
        <v/>
      </c>
      <c r="H2347" s="4" t="str">
        <f>IF(F2347="","",_xlfn.XLOOKUP(F2347,purchase!D:D,purchase!#REF!,""))</f>
        <v/>
      </c>
      <c r="I2347" s="4" t="str">
        <f t="shared" si="254"/>
        <v/>
      </c>
      <c r="J2347" s="4" t="str">
        <f t="shared" si="255"/>
        <v/>
      </c>
      <c r="K2347" s="13" t="str">
        <f>_xlfn.SINGLE(IF(F2347="","",_xlfn.XLOOKUP(F2347,purchase!D:D,purchase!#REF!,"")))</f>
        <v/>
      </c>
      <c r="L2347" s="2"/>
      <c r="M2347" s="32"/>
      <c r="N2347" s="13" t="str">
        <f>IF(F2347="","",
MAX(0,
_xlfn.XLOOKUP(F2347,purchase!D:D,purchase!#REF!,"")
-
SUMIFS(L:L,F:F,F2347)))</f>
        <v/>
      </c>
      <c r="O2347" s="13" t="str">
        <f t="shared" si="256"/>
        <v/>
      </c>
      <c r="P2347" s="35" t="str">
        <f>_xlfn.SINGLE(IF(F2347="","",_xlfn.XLOOKUP(F2347,purchase!D:D,purchase!K:K,"")))</f>
        <v/>
      </c>
      <c r="Q2347" s="29" t="str">
        <f t="shared" si="257"/>
        <v/>
      </c>
      <c r="R2347" s="37" t="str">
        <f t="shared" si="258"/>
        <v/>
      </c>
    </row>
    <row r="2348" spans="1:18" x14ac:dyDescent="0.35">
      <c r="A2348" s="8">
        <v>2344</v>
      </c>
      <c r="B2348" s="9" t="str">
        <f t="shared" si="252"/>
        <v/>
      </c>
      <c r="C2348" s="10"/>
      <c r="D2348" s="9" t="str">
        <f>IF(F2348="","",_xlfn.XLOOKUP(F2348,purchase!D:D,purchase!#REF!,""))</f>
        <v/>
      </c>
      <c r="E2348" s="9" t="str">
        <f>IF(F2348="","",_xlfn.XLOOKUP(F2348,purchase!D:D,purchase!B:B,""))</f>
        <v/>
      </c>
      <c r="F2348" s="2"/>
      <c r="G2348" s="4" t="str">
        <f t="shared" si="253"/>
        <v/>
      </c>
      <c r="H2348" s="4" t="str">
        <f>IF(F2348="","",_xlfn.XLOOKUP(F2348,purchase!D:D,purchase!#REF!,""))</f>
        <v/>
      </c>
      <c r="I2348" s="4" t="str">
        <f t="shared" si="254"/>
        <v/>
      </c>
      <c r="J2348" s="4" t="str">
        <f t="shared" si="255"/>
        <v/>
      </c>
      <c r="K2348" s="13" t="str">
        <f>_xlfn.SINGLE(IF(F2348="","",_xlfn.XLOOKUP(F2348,purchase!D:D,purchase!#REF!,"")))</f>
        <v/>
      </c>
      <c r="L2348" s="2"/>
      <c r="M2348" s="32"/>
      <c r="N2348" s="13" t="str">
        <f>IF(F2348="","",
MAX(0,
_xlfn.XLOOKUP(F2348,purchase!D:D,purchase!#REF!,"")
-
SUMIFS(L:L,F:F,F2348)))</f>
        <v/>
      </c>
      <c r="O2348" s="13" t="str">
        <f t="shared" si="256"/>
        <v/>
      </c>
      <c r="P2348" s="35" t="str">
        <f>_xlfn.SINGLE(IF(F2348="","",_xlfn.XLOOKUP(F2348,purchase!D:D,purchase!K:K,"")))</f>
        <v/>
      </c>
      <c r="Q2348" s="29" t="str">
        <f t="shared" si="257"/>
        <v/>
      </c>
      <c r="R2348" s="37" t="str">
        <f t="shared" si="258"/>
        <v/>
      </c>
    </row>
    <row r="2349" spans="1:18" x14ac:dyDescent="0.35">
      <c r="A2349" s="8">
        <v>2345</v>
      </c>
      <c r="B2349" s="9" t="str">
        <f t="shared" si="252"/>
        <v/>
      </c>
      <c r="C2349" s="10"/>
      <c r="D2349" s="9" t="str">
        <f>IF(F2349="","",_xlfn.XLOOKUP(F2349,purchase!D:D,purchase!#REF!,""))</f>
        <v/>
      </c>
      <c r="E2349" s="9" t="str">
        <f>IF(F2349="","",_xlfn.XLOOKUP(F2349,purchase!D:D,purchase!B:B,""))</f>
        <v/>
      </c>
      <c r="F2349" s="2"/>
      <c r="G2349" s="4" t="str">
        <f t="shared" si="253"/>
        <v/>
      </c>
      <c r="H2349" s="4" t="str">
        <f>IF(F2349="","",_xlfn.XLOOKUP(F2349,purchase!D:D,purchase!#REF!,""))</f>
        <v/>
      </c>
      <c r="I2349" s="4" t="str">
        <f t="shared" si="254"/>
        <v/>
      </c>
      <c r="J2349" s="4" t="str">
        <f t="shared" si="255"/>
        <v/>
      </c>
      <c r="K2349" s="13" t="str">
        <f>_xlfn.SINGLE(IF(F2349="","",_xlfn.XLOOKUP(F2349,purchase!D:D,purchase!#REF!,"")))</f>
        <v/>
      </c>
      <c r="L2349" s="2"/>
      <c r="M2349" s="32"/>
      <c r="N2349" s="13" t="str">
        <f>IF(F2349="","",
MAX(0,
_xlfn.XLOOKUP(F2349,purchase!D:D,purchase!#REF!,"")
-
SUMIFS(L:L,F:F,F2349)))</f>
        <v/>
      </c>
      <c r="O2349" s="13" t="str">
        <f t="shared" si="256"/>
        <v/>
      </c>
      <c r="P2349" s="35" t="str">
        <f>_xlfn.SINGLE(IF(F2349="","",_xlfn.XLOOKUP(F2349,purchase!D:D,purchase!K:K,"")))</f>
        <v/>
      </c>
      <c r="Q2349" s="29" t="str">
        <f t="shared" si="257"/>
        <v/>
      </c>
      <c r="R2349" s="37" t="str">
        <f t="shared" si="258"/>
        <v/>
      </c>
    </row>
    <row r="2350" spans="1:18" x14ac:dyDescent="0.35">
      <c r="A2350" s="8">
        <v>2346</v>
      </c>
      <c r="B2350" s="9" t="str">
        <f t="shared" si="252"/>
        <v/>
      </c>
      <c r="C2350" s="10"/>
      <c r="D2350" s="9" t="str">
        <f>IF(F2350="","",_xlfn.XLOOKUP(F2350,purchase!D:D,purchase!#REF!,""))</f>
        <v/>
      </c>
      <c r="E2350" s="9" t="str">
        <f>IF(F2350="","",_xlfn.XLOOKUP(F2350,purchase!D:D,purchase!B:B,""))</f>
        <v/>
      </c>
      <c r="F2350" s="2"/>
      <c r="G2350" s="4" t="str">
        <f t="shared" si="253"/>
        <v/>
      </c>
      <c r="H2350" s="4" t="str">
        <f>IF(F2350="","",_xlfn.XLOOKUP(F2350,purchase!D:D,purchase!#REF!,""))</f>
        <v/>
      </c>
      <c r="I2350" s="4" t="str">
        <f t="shared" si="254"/>
        <v/>
      </c>
      <c r="J2350" s="4" t="str">
        <f t="shared" si="255"/>
        <v/>
      </c>
      <c r="K2350" s="13" t="str">
        <f>_xlfn.SINGLE(IF(F2350="","",_xlfn.XLOOKUP(F2350,purchase!D:D,purchase!#REF!,"")))</f>
        <v/>
      </c>
      <c r="L2350" s="2"/>
      <c r="M2350" s="32"/>
      <c r="N2350" s="13" t="str">
        <f>IF(F2350="","",
MAX(0,
_xlfn.XLOOKUP(F2350,purchase!D:D,purchase!#REF!,"")
-
SUMIFS(L:L,F:F,F2350)))</f>
        <v/>
      </c>
      <c r="O2350" s="13" t="str">
        <f t="shared" si="256"/>
        <v/>
      </c>
      <c r="P2350" s="35" t="str">
        <f>_xlfn.SINGLE(IF(F2350="","",_xlfn.XLOOKUP(F2350,purchase!D:D,purchase!K:K,"")))</f>
        <v/>
      </c>
      <c r="Q2350" s="29" t="str">
        <f t="shared" si="257"/>
        <v/>
      </c>
      <c r="R2350" s="37" t="str">
        <f t="shared" si="258"/>
        <v/>
      </c>
    </row>
    <row r="2351" spans="1:18" x14ac:dyDescent="0.35">
      <c r="A2351" s="8">
        <v>2347</v>
      </c>
      <c r="B2351" s="9" t="str">
        <f t="shared" si="252"/>
        <v/>
      </c>
      <c r="C2351" s="10"/>
      <c r="D2351" s="9" t="str">
        <f>IF(F2351="","",_xlfn.XLOOKUP(F2351,purchase!D:D,purchase!#REF!,""))</f>
        <v/>
      </c>
      <c r="E2351" s="9" t="str">
        <f>IF(F2351="","",_xlfn.XLOOKUP(F2351,purchase!D:D,purchase!B:B,""))</f>
        <v/>
      </c>
      <c r="F2351" s="2"/>
      <c r="G2351" s="4" t="str">
        <f t="shared" si="253"/>
        <v/>
      </c>
      <c r="H2351" s="4" t="str">
        <f>IF(F2351="","",_xlfn.XLOOKUP(F2351,purchase!D:D,purchase!#REF!,""))</f>
        <v/>
      </c>
      <c r="I2351" s="4" t="str">
        <f t="shared" si="254"/>
        <v/>
      </c>
      <c r="J2351" s="4" t="str">
        <f t="shared" si="255"/>
        <v/>
      </c>
      <c r="K2351" s="13" t="str">
        <f>_xlfn.SINGLE(IF(F2351="","",_xlfn.XLOOKUP(F2351,purchase!D:D,purchase!#REF!,"")))</f>
        <v/>
      </c>
      <c r="L2351" s="2"/>
      <c r="M2351" s="32"/>
      <c r="N2351" s="13" t="str">
        <f>IF(F2351="","",
MAX(0,
_xlfn.XLOOKUP(F2351,purchase!D:D,purchase!#REF!,"")
-
SUMIFS(L:L,F:F,F2351)))</f>
        <v/>
      </c>
      <c r="O2351" s="13" t="str">
        <f t="shared" si="256"/>
        <v/>
      </c>
      <c r="P2351" s="35" t="str">
        <f>_xlfn.SINGLE(IF(F2351="","",_xlfn.XLOOKUP(F2351,purchase!D:D,purchase!K:K,"")))</f>
        <v/>
      </c>
      <c r="Q2351" s="29" t="str">
        <f t="shared" si="257"/>
        <v/>
      </c>
      <c r="R2351" s="37" t="str">
        <f t="shared" si="258"/>
        <v/>
      </c>
    </row>
    <row r="2352" spans="1:18" x14ac:dyDescent="0.35">
      <c r="A2352" s="8">
        <v>2348</v>
      </c>
      <c r="B2352" s="9" t="str">
        <f t="shared" si="252"/>
        <v/>
      </c>
      <c r="C2352" s="10"/>
      <c r="D2352" s="9" t="str">
        <f>IF(F2352="","",_xlfn.XLOOKUP(F2352,purchase!D:D,purchase!#REF!,""))</f>
        <v/>
      </c>
      <c r="E2352" s="9" t="str">
        <f>IF(F2352="","",_xlfn.XLOOKUP(F2352,purchase!D:D,purchase!B:B,""))</f>
        <v/>
      </c>
      <c r="F2352" s="2"/>
      <c r="G2352" s="4" t="str">
        <f t="shared" si="253"/>
        <v/>
      </c>
      <c r="H2352" s="4" t="str">
        <f>IF(F2352="","",_xlfn.XLOOKUP(F2352,purchase!D:D,purchase!#REF!,""))</f>
        <v/>
      </c>
      <c r="I2352" s="4" t="str">
        <f t="shared" si="254"/>
        <v/>
      </c>
      <c r="J2352" s="4" t="str">
        <f t="shared" si="255"/>
        <v/>
      </c>
      <c r="K2352" s="13" t="str">
        <f>_xlfn.SINGLE(IF(F2352="","",_xlfn.XLOOKUP(F2352,purchase!D:D,purchase!#REF!,"")))</f>
        <v/>
      </c>
      <c r="L2352" s="2"/>
      <c r="M2352" s="32"/>
      <c r="N2352" s="13" t="str">
        <f>IF(F2352="","",
MAX(0,
_xlfn.XLOOKUP(F2352,purchase!D:D,purchase!#REF!,"")
-
SUMIFS(L:L,F:F,F2352)))</f>
        <v/>
      </c>
      <c r="O2352" s="13" t="str">
        <f t="shared" si="256"/>
        <v/>
      </c>
      <c r="P2352" s="35" t="str">
        <f>_xlfn.SINGLE(IF(F2352="","",_xlfn.XLOOKUP(F2352,purchase!D:D,purchase!K:K,"")))</f>
        <v/>
      </c>
      <c r="Q2352" s="29" t="str">
        <f t="shared" si="257"/>
        <v/>
      </c>
      <c r="R2352" s="37" t="str">
        <f t="shared" si="258"/>
        <v/>
      </c>
    </row>
    <row r="2353" spans="1:18" x14ac:dyDescent="0.35">
      <c r="A2353" s="8">
        <v>2349</v>
      </c>
      <c r="B2353" s="9" t="str">
        <f t="shared" si="252"/>
        <v/>
      </c>
      <c r="C2353" s="10"/>
      <c r="D2353" s="9" t="str">
        <f>IF(F2353="","",_xlfn.XLOOKUP(F2353,purchase!D:D,purchase!#REF!,""))</f>
        <v/>
      </c>
      <c r="E2353" s="9" t="str">
        <f>IF(F2353="","",_xlfn.XLOOKUP(F2353,purchase!D:D,purchase!B:B,""))</f>
        <v/>
      </c>
      <c r="F2353" s="2"/>
      <c r="G2353" s="4" t="str">
        <f t="shared" si="253"/>
        <v/>
      </c>
      <c r="H2353" s="4" t="str">
        <f>IF(F2353="","",_xlfn.XLOOKUP(F2353,purchase!D:D,purchase!#REF!,""))</f>
        <v/>
      </c>
      <c r="I2353" s="4" t="str">
        <f t="shared" si="254"/>
        <v/>
      </c>
      <c r="J2353" s="4" t="str">
        <f t="shared" si="255"/>
        <v/>
      </c>
      <c r="K2353" s="13" t="str">
        <f>_xlfn.SINGLE(IF(F2353="","",_xlfn.XLOOKUP(F2353,purchase!D:D,purchase!#REF!,"")))</f>
        <v/>
      </c>
      <c r="L2353" s="2"/>
      <c r="M2353" s="32"/>
      <c r="N2353" s="13" t="str">
        <f>IF(F2353="","",
MAX(0,
_xlfn.XLOOKUP(F2353,purchase!D:D,purchase!#REF!,"")
-
SUMIFS(L:L,F:F,F2353)))</f>
        <v/>
      </c>
      <c r="O2353" s="13" t="str">
        <f t="shared" si="256"/>
        <v/>
      </c>
      <c r="P2353" s="35" t="str">
        <f>_xlfn.SINGLE(IF(F2353="","",_xlfn.XLOOKUP(F2353,purchase!D:D,purchase!K:K,"")))</f>
        <v/>
      </c>
      <c r="Q2353" s="29" t="str">
        <f t="shared" si="257"/>
        <v/>
      </c>
      <c r="R2353" s="37" t="str">
        <f t="shared" si="258"/>
        <v/>
      </c>
    </row>
    <row r="2354" spans="1:18" x14ac:dyDescent="0.35">
      <c r="A2354" s="8">
        <v>2350</v>
      </c>
      <c r="B2354" s="9" t="str">
        <f t="shared" si="252"/>
        <v/>
      </c>
      <c r="C2354" s="10"/>
      <c r="D2354" s="9" t="str">
        <f>IF(F2354="","",_xlfn.XLOOKUP(F2354,purchase!D:D,purchase!#REF!,""))</f>
        <v/>
      </c>
      <c r="E2354" s="9" t="str">
        <f>IF(F2354="","",_xlfn.XLOOKUP(F2354,purchase!D:D,purchase!B:B,""))</f>
        <v/>
      </c>
      <c r="F2354" s="2"/>
      <c r="G2354" s="4" t="str">
        <f t="shared" si="253"/>
        <v/>
      </c>
      <c r="H2354" s="4" t="str">
        <f>IF(F2354="","",_xlfn.XLOOKUP(F2354,purchase!D:D,purchase!#REF!,""))</f>
        <v/>
      </c>
      <c r="I2354" s="4" t="str">
        <f t="shared" si="254"/>
        <v/>
      </c>
      <c r="J2354" s="4" t="str">
        <f t="shared" si="255"/>
        <v/>
      </c>
      <c r="K2354" s="13" t="str">
        <f>_xlfn.SINGLE(IF(F2354="","",_xlfn.XLOOKUP(F2354,purchase!D:D,purchase!#REF!,"")))</f>
        <v/>
      </c>
      <c r="L2354" s="2"/>
      <c r="M2354" s="32"/>
      <c r="N2354" s="13" t="str">
        <f>IF(F2354="","",
MAX(0,
_xlfn.XLOOKUP(F2354,purchase!D:D,purchase!#REF!,"")
-
SUMIFS(L:L,F:F,F2354)))</f>
        <v/>
      </c>
      <c r="O2354" s="13" t="str">
        <f t="shared" si="256"/>
        <v/>
      </c>
      <c r="P2354" s="35" t="str">
        <f>_xlfn.SINGLE(IF(F2354="","",_xlfn.XLOOKUP(F2354,purchase!D:D,purchase!K:K,"")))</f>
        <v/>
      </c>
      <c r="Q2354" s="29" t="str">
        <f t="shared" si="257"/>
        <v/>
      </c>
      <c r="R2354" s="37" t="str">
        <f t="shared" si="258"/>
        <v/>
      </c>
    </row>
    <row r="2355" spans="1:18" x14ac:dyDescent="0.35">
      <c r="A2355" s="8">
        <v>2351</v>
      </c>
      <c r="B2355" s="9" t="str">
        <f t="shared" si="252"/>
        <v/>
      </c>
      <c r="C2355" s="10"/>
      <c r="D2355" s="9" t="str">
        <f>IF(F2355="","",_xlfn.XLOOKUP(F2355,purchase!D:D,purchase!#REF!,""))</f>
        <v/>
      </c>
      <c r="E2355" s="9" t="str">
        <f>IF(F2355="","",_xlfn.XLOOKUP(F2355,purchase!D:D,purchase!B:B,""))</f>
        <v/>
      </c>
      <c r="F2355" s="2"/>
      <c r="G2355" s="4" t="str">
        <f t="shared" si="253"/>
        <v/>
      </c>
      <c r="H2355" s="4" t="str">
        <f>IF(F2355="","",_xlfn.XLOOKUP(F2355,purchase!D:D,purchase!#REF!,""))</f>
        <v/>
      </c>
      <c r="I2355" s="4" t="str">
        <f t="shared" si="254"/>
        <v/>
      </c>
      <c r="J2355" s="4" t="str">
        <f t="shared" si="255"/>
        <v/>
      </c>
      <c r="K2355" s="13" t="str">
        <f>_xlfn.SINGLE(IF(F2355="","",_xlfn.XLOOKUP(F2355,purchase!D:D,purchase!#REF!,"")))</f>
        <v/>
      </c>
      <c r="L2355" s="2"/>
      <c r="M2355" s="32"/>
      <c r="N2355" s="13" t="str">
        <f>IF(F2355="","",
MAX(0,
_xlfn.XLOOKUP(F2355,purchase!D:D,purchase!#REF!,"")
-
SUMIFS(L:L,F:F,F2355)))</f>
        <v/>
      </c>
      <c r="O2355" s="13" t="str">
        <f t="shared" si="256"/>
        <v/>
      </c>
      <c r="P2355" s="35" t="str">
        <f>_xlfn.SINGLE(IF(F2355="","",_xlfn.XLOOKUP(F2355,purchase!D:D,purchase!K:K,"")))</f>
        <v/>
      </c>
      <c r="Q2355" s="29" t="str">
        <f t="shared" si="257"/>
        <v/>
      </c>
      <c r="R2355" s="37" t="str">
        <f t="shared" si="258"/>
        <v/>
      </c>
    </row>
    <row r="2356" spans="1:18" x14ac:dyDescent="0.35">
      <c r="A2356" s="8">
        <v>2352</v>
      </c>
      <c r="B2356" s="9" t="str">
        <f t="shared" si="252"/>
        <v/>
      </c>
      <c r="C2356" s="10"/>
      <c r="D2356" s="9" t="str">
        <f>IF(F2356="","",_xlfn.XLOOKUP(F2356,purchase!D:D,purchase!#REF!,""))</f>
        <v/>
      </c>
      <c r="E2356" s="9" t="str">
        <f>IF(F2356="","",_xlfn.XLOOKUP(F2356,purchase!D:D,purchase!B:B,""))</f>
        <v/>
      </c>
      <c r="F2356" s="2"/>
      <c r="G2356" s="4" t="str">
        <f t="shared" si="253"/>
        <v/>
      </c>
      <c r="H2356" s="4" t="str">
        <f>IF(F2356="","",_xlfn.XLOOKUP(F2356,purchase!D:D,purchase!#REF!,""))</f>
        <v/>
      </c>
      <c r="I2356" s="4" t="str">
        <f t="shared" si="254"/>
        <v/>
      </c>
      <c r="J2356" s="4" t="str">
        <f t="shared" si="255"/>
        <v/>
      </c>
      <c r="K2356" s="13" t="str">
        <f>_xlfn.SINGLE(IF(F2356="","",_xlfn.XLOOKUP(F2356,purchase!D:D,purchase!#REF!,"")))</f>
        <v/>
      </c>
      <c r="L2356" s="2"/>
      <c r="M2356" s="32"/>
      <c r="N2356" s="13" t="str">
        <f>IF(F2356="","",
MAX(0,
_xlfn.XLOOKUP(F2356,purchase!D:D,purchase!#REF!,"")
-
SUMIFS(L:L,F:F,F2356)))</f>
        <v/>
      </c>
      <c r="O2356" s="13" t="str">
        <f t="shared" si="256"/>
        <v/>
      </c>
      <c r="P2356" s="35" t="str">
        <f>_xlfn.SINGLE(IF(F2356="","",_xlfn.XLOOKUP(F2356,purchase!D:D,purchase!K:K,"")))</f>
        <v/>
      </c>
      <c r="Q2356" s="29" t="str">
        <f t="shared" si="257"/>
        <v/>
      </c>
      <c r="R2356" s="37" t="str">
        <f t="shared" si="258"/>
        <v/>
      </c>
    </row>
    <row r="2357" spans="1:18" x14ac:dyDescent="0.35">
      <c r="A2357" s="8">
        <v>2353</v>
      </c>
      <c r="B2357" s="9" t="str">
        <f t="shared" si="252"/>
        <v/>
      </c>
      <c r="C2357" s="10"/>
      <c r="D2357" s="9" t="str">
        <f>IF(F2357="","",_xlfn.XLOOKUP(F2357,purchase!D:D,purchase!#REF!,""))</f>
        <v/>
      </c>
      <c r="E2357" s="9" t="str">
        <f>IF(F2357="","",_xlfn.XLOOKUP(F2357,purchase!D:D,purchase!B:B,""))</f>
        <v/>
      </c>
      <c r="F2357" s="2"/>
      <c r="G2357" s="4" t="str">
        <f t="shared" si="253"/>
        <v/>
      </c>
      <c r="H2357" s="4" t="str">
        <f>IF(F2357="","",_xlfn.XLOOKUP(F2357,purchase!D:D,purchase!#REF!,""))</f>
        <v/>
      </c>
      <c r="I2357" s="4" t="str">
        <f t="shared" si="254"/>
        <v/>
      </c>
      <c r="J2357" s="4" t="str">
        <f t="shared" si="255"/>
        <v/>
      </c>
      <c r="K2357" s="13" t="str">
        <f>_xlfn.SINGLE(IF(F2357="","",_xlfn.XLOOKUP(F2357,purchase!D:D,purchase!#REF!,"")))</f>
        <v/>
      </c>
      <c r="L2357" s="2"/>
      <c r="M2357" s="32"/>
      <c r="N2357" s="13" t="str">
        <f>IF(F2357="","",
MAX(0,
_xlfn.XLOOKUP(F2357,purchase!D:D,purchase!#REF!,"")
-
SUMIFS(L:L,F:F,F2357)))</f>
        <v/>
      </c>
      <c r="O2357" s="13" t="str">
        <f t="shared" si="256"/>
        <v/>
      </c>
      <c r="P2357" s="35" t="str">
        <f>_xlfn.SINGLE(IF(F2357="","",_xlfn.XLOOKUP(F2357,purchase!D:D,purchase!K:K,"")))</f>
        <v/>
      </c>
      <c r="Q2357" s="29" t="str">
        <f t="shared" si="257"/>
        <v/>
      </c>
      <c r="R2357" s="37" t="str">
        <f t="shared" si="258"/>
        <v/>
      </c>
    </row>
    <row r="2358" spans="1:18" x14ac:dyDescent="0.35">
      <c r="A2358" s="8">
        <v>2354</v>
      </c>
      <c r="B2358" s="9" t="str">
        <f t="shared" si="252"/>
        <v/>
      </c>
      <c r="C2358" s="10"/>
      <c r="D2358" s="9" t="str">
        <f>IF(F2358="","",_xlfn.XLOOKUP(F2358,purchase!D:D,purchase!#REF!,""))</f>
        <v/>
      </c>
      <c r="E2358" s="9" t="str">
        <f>IF(F2358="","",_xlfn.XLOOKUP(F2358,purchase!D:D,purchase!B:B,""))</f>
        <v/>
      </c>
      <c r="F2358" s="2"/>
      <c r="G2358" s="4" t="str">
        <f t="shared" si="253"/>
        <v/>
      </c>
      <c r="H2358" s="4" t="str">
        <f>IF(F2358="","",_xlfn.XLOOKUP(F2358,purchase!D:D,purchase!#REF!,""))</f>
        <v/>
      </c>
      <c r="I2358" s="4" t="str">
        <f t="shared" si="254"/>
        <v/>
      </c>
      <c r="J2358" s="4" t="str">
        <f t="shared" si="255"/>
        <v/>
      </c>
      <c r="K2358" s="13" t="str">
        <f>_xlfn.SINGLE(IF(F2358="","",_xlfn.XLOOKUP(F2358,purchase!D:D,purchase!#REF!,"")))</f>
        <v/>
      </c>
      <c r="L2358" s="2"/>
      <c r="M2358" s="32"/>
      <c r="N2358" s="13" t="str">
        <f>IF(F2358="","",
MAX(0,
_xlfn.XLOOKUP(F2358,purchase!D:D,purchase!#REF!,"")
-
SUMIFS(L:L,F:F,F2358)))</f>
        <v/>
      </c>
      <c r="O2358" s="13" t="str">
        <f t="shared" si="256"/>
        <v/>
      </c>
      <c r="P2358" s="35" t="str">
        <f>_xlfn.SINGLE(IF(F2358="","",_xlfn.XLOOKUP(F2358,purchase!D:D,purchase!K:K,"")))</f>
        <v/>
      </c>
      <c r="Q2358" s="29" t="str">
        <f t="shared" si="257"/>
        <v/>
      </c>
      <c r="R2358" s="37" t="str">
        <f t="shared" si="258"/>
        <v/>
      </c>
    </row>
    <row r="2359" spans="1:18" x14ac:dyDescent="0.35">
      <c r="A2359" s="8">
        <v>2355</v>
      </c>
      <c r="B2359" s="9" t="str">
        <f t="shared" si="252"/>
        <v/>
      </c>
      <c r="C2359" s="10"/>
      <c r="D2359" s="9" t="str">
        <f>IF(F2359="","",_xlfn.XLOOKUP(F2359,purchase!D:D,purchase!#REF!,""))</f>
        <v/>
      </c>
      <c r="E2359" s="9" t="str">
        <f>IF(F2359="","",_xlfn.XLOOKUP(F2359,purchase!D:D,purchase!B:B,""))</f>
        <v/>
      </c>
      <c r="F2359" s="2"/>
      <c r="G2359" s="4" t="str">
        <f t="shared" si="253"/>
        <v/>
      </c>
      <c r="H2359" s="4" t="str">
        <f>IF(F2359="","",_xlfn.XLOOKUP(F2359,purchase!D:D,purchase!#REF!,""))</f>
        <v/>
      </c>
      <c r="I2359" s="4" t="str">
        <f t="shared" si="254"/>
        <v/>
      </c>
      <c r="J2359" s="4" t="str">
        <f t="shared" si="255"/>
        <v/>
      </c>
      <c r="K2359" s="13" t="str">
        <f>_xlfn.SINGLE(IF(F2359="","",_xlfn.XLOOKUP(F2359,purchase!D:D,purchase!#REF!,"")))</f>
        <v/>
      </c>
      <c r="L2359" s="2"/>
      <c r="M2359" s="32"/>
      <c r="N2359" s="13" t="str">
        <f>IF(F2359="","",
MAX(0,
_xlfn.XLOOKUP(F2359,purchase!D:D,purchase!#REF!,"")
-
SUMIFS(L:L,F:F,F2359)))</f>
        <v/>
      </c>
      <c r="O2359" s="13" t="str">
        <f t="shared" si="256"/>
        <v/>
      </c>
      <c r="P2359" s="35" t="str">
        <f>_xlfn.SINGLE(IF(F2359="","",_xlfn.XLOOKUP(F2359,purchase!D:D,purchase!K:K,"")))</f>
        <v/>
      </c>
      <c r="Q2359" s="29" t="str">
        <f t="shared" si="257"/>
        <v/>
      </c>
      <c r="R2359" s="37" t="str">
        <f t="shared" si="258"/>
        <v/>
      </c>
    </row>
    <row r="2360" spans="1:18" x14ac:dyDescent="0.35">
      <c r="A2360" s="8">
        <v>2356</v>
      </c>
      <c r="B2360" s="9" t="str">
        <f t="shared" si="252"/>
        <v/>
      </c>
      <c r="C2360" s="10"/>
      <c r="D2360" s="9" t="str">
        <f>IF(F2360="","",_xlfn.XLOOKUP(F2360,purchase!D:D,purchase!#REF!,""))</f>
        <v/>
      </c>
      <c r="E2360" s="9" t="str">
        <f>IF(F2360="","",_xlfn.XLOOKUP(F2360,purchase!D:D,purchase!B:B,""))</f>
        <v/>
      </c>
      <c r="F2360" s="2"/>
      <c r="G2360" s="4" t="str">
        <f t="shared" si="253"/>
        <v/>
      </c>
      <c r="H2360" s="4" t="str">
        <f>IF(F2360="","",_xlfn.XLOOKUP(F2360,purchase!D:D,purchase!#REF!,""))</f>
        <v/>
      </c>
      <c r="I2360" s="4" t="str">
        <f t="shared" si="254"/>
        <v/>
      </c>
      <c r="J2360" s="4" t="str">
        <f t="shared" si="255"/>
        <v/>
      </c>
      <c r="K2360" s="13" t="str">
        <f>_xlfn.SINGLE(IF(F2360="","",_xlfn.XLOOKUP(F2360,purchase!D:D,purchase!#REF!,"")))</f>
        <v/>
      </c>
      <c r="L2360" s="2"/>
      <c r="M2360" s="32"/>
      <c r="N2360" s="13" t="str">
        <f>IF(F2360="","",
MAX(0,
_xlfn.XLOOKUP(F2360,purchase!D:D,purchase!#REF!,"")
-
SUMIFS(L:L,F:F,F2360)))</f>
        <v/>
      </c>
      <c r="O2360" s="13" t="str">
        <f t="shared" si="256"/>
        <v/>
      </c>
      <c r="P2360" s="35" t="str">
        <f>_xlfn.SINGLE(IF(F2360="","",_xlfn.XLOOKUP(F2360,purchase!D:D,purchase!K:K,"")))</f>
        <v/>
      </c>
      <c r="Q2360" s="29" t="str">
        <f t="shared" si="257"/>
        <v/>
      </c>
      <c r="R2360" s="37" t="str">
        <f t="shared" si="258"/>
        <v/>
      </c>
    </row>
    <row r="2361" spans="1:18" x14ac:dyDescent="0.35">
      <c r="A2361" s="8">
        <v>2357</v>
      </c>
      <c r="B2361" s="9" t="str">
        <f t="shared" si="252"/>
        <v/>
      </c>
      <c r="C2361" s="10"/>
      <c r="D2361" s="9" t="str">
        <f>IF(F2361="","",_xlfn.XLOOKUP(F2361,purchase!D:D,purchase!#REF!,""))</f>
        <v/>
      </c>
      <c r="E2361" s="9" t="str">
        <f>IF(F2361="","",_xlfn.XLOOKUP(F2361,purchase!D:D,purchase!B:B,""))</f>
        <v/>
      </c>
      <c r="F2361" s="2"/>
      <c r="G2361" s="4" t="str">
        <f t="shared" si="253"/>
        <v/>
      </c>
      <c r="H2361" s="4" t="str">
        <f>IF(F2361="","",_xlfn.XLOOKUP(F2361,purchase!D:D,purchase!#REF!,""))</f>
        <v/>
      </c>
      <c r="I2361" s="4" t="str">
        <f t="shared" si="254"/>
        <v/>
      </c>
      <c r="J2361" s="4" t="str">
        <f t="shared" si="255"/>
        <v/>
      </c>
      <c r="K2361" s="13" t="str">
        <f>_xlfn.SINGLE(IF(F2361="","",_xlfn.XLOOKUP(F2361,purchase!D:D,purchase!#REF!,"")))</f>
        <v/>
      </c>
      <c r="L2361" s="2"/>
      <c r="M2361" s="32"/>
      <c r="N2361" s="13" t="str">
        <f>IF(F2361="","",
MAX(0,
_xlfn.XLOOKUP(F2361,purchase!D:D,purchase!#REF!,"")
-
SUMIFS(L:L,F:F,F2361)))</f>
        <v/>
      </c>
      <c r="O2361" s="13" t="str">
        <f t="shared" si="256"/>
        <v/>
      </c>
      <c r="P2361" s="35" t="str">
        <f>_xlfn.SINGLE(IF(F2361="","",_xlfn.XLOOKUP(F2361,purchase!D:D,purchase!K:K,"")))</f>
        <v/>
      </c>
      <c r="Q2361" s="29" t="str">
        <f t="shared" si="257"/>
        <v/>
      </c>
      <c r="R2361" s="37" t="str">
        <f t="shared" si="258"/>
        <v/>
      </c>
    </row>
    <row r="2362" spans="1:18" x14ac:dyDescent="0.35">
      <c r="A2362" s="8">
        <v>2358</v>
      </c>
      <c r="B2362" s="9" t="str">
        <f t="shared" si="252"/>
        <v/>
      </c>
      <c r="C2362" s="10"/>
      <c r="D2362" s="9" t="str">
        <f>IF(F2362="","",_xlfn.XLOOKUP(F2362,purchase!D:D,purchase!#REF!,""))</f>
        <v/>
      </c>
      <c r="E2362" s="9" t="str">
        <f>IF(F2362="","",_xlfn.XLOOKUP(F2362,purchase!D:D,purchase!B:B,""))</f>
        <v/>
      </c>
      <c r="F2362" s="2"/>
      <c r="G2362" s="4" t="str">
        <f t="shared" si="253"/>
        <v/>
      </c>
      <c r="H2362" s="4" t="str">
        <f>IF(F2362="","",_xlfn.XLOOKUP(F2362,purchase!D:D,purchase!#REF!,""))</f>
        <v/>
      </c>
      <c r="I2362" s="4" t="str">
        <f t="shared" si="254"/>
        <v/>
      </c>
      <c r="J2362" s="4" t="str">
        <f t="shared" si="255"/>
        <v/>
      </c>
      <c r="K2362" s="13" t="str">
        <f>_xlfn.SINGLE(IF(F2362="","",_xlfn.XLOOKUP(F2362,purchase!D:D,purchase!#REF!,"")))</f>
        <v/>
      </c>
      <c r="L2362" s="2"/>
      <c r="M2362" s="32"/>
      <c r="N2362" s="13" t="str">
        <f>IF(F2362="","",
MAX(0,
_xlfn.XLOOKUP(F2362,purchase!D:D,purchase!#REF!,"")
-
SUMIFS(L:L,F:F,F2362)))</f>
        <v/>
      </c>
      <c r="O2362" s="13" t="str">
        <f t="shared" si="256"/>
        <v/>
      </c>
      <c r="P2362" s="35" t="str">
        <f>_xlfn.SINGLE(IF(F2362="","",_xlfn.XLOOKUP(F2362,purchase!D:D,purchase!K:K,"")))</f>
        <v/>
      </c>
      <c r="Q2362" s="29" t="str">
        <f t="shared" si="257"/>
        <v/>
      </c>
      <c r="R2362" s="37" t="str">
        <f t="shared" si="258"/>
        <v/>
      </c>
    </row>
    <row r="2363" spans="1:18" x14ac:dyDescent="0.35">
      <c r="A2363" s="8">
        <v>2359</v>
      </c>
      <c r="B2363" s="9" t="str">
        <f t="shared" si="252"/>
        <v/>
      </c>
      <c r="C2363" s="10"/>
      <c r="D2363" s="9" t="str">
        <f>IF(F2363="","",_xlfn.XLOOKUP(F2363,purchase!D:D,purchase!#REF!,""))</f>
        <v/>
      </c>
      <c r="E2363" s="9" t="str">
        <f>IF(F2363="","",_xlfn.XLOOKUP(F2363,purchase!D:D,purchase!B:B,""))</f>
        <v/>
      </c>
      <c r="F2363" s="2"/>
      <c r="G2363" s="4" t="str">
        <f t="shared" si="253"/>
        <v/>
      </c>
      <c r="H2363" s="4" t="str">
        <f>IF(F2363="","",_xlfn.XLOOKUP(F2363,purchase!D:D,purchase!#REF!,""))</f>
        <v/>
      </c>
      <c r="I2363" s="4" t="str">
        <f t="shared" si="254"/>
        <v/>
      </c>
      <c r="J2363" s="4" t="str">
        <f t="shared" si="255"/>
        <v/>
      </c>
      <c r="K2363" s="13" t="str">
        <f>_xlfn.SINGLE(IF(F2363="","",_xlfn.XLOOKUP(F2363,purchase!D:D,purchase!#REF!,"")))</f>
        <v/>
      </c>
      <c r="L2363" s="2"/>
      <c r="M2363" s="32"/>
      <c r="N2363" s="13" t="str">
        <f>IF(F2363="","",
MAX(0,
_xlfn.XLOOKUP(F2363,purchase!D:D,purchase!#REF!,"")
-
SUMIFS(L:L,F:F,F2363)))</f>
        <v/>
      </c>
      <c r="O2363" s="13" t="str">
        <f t="shared" si="256"/>
        <v/>
      </c>
      <c r="P2363" s="35" t="str">
        <f>_xlfn.SINGLE(IF(F2363="","",_xlfn.XLOOKUP(F2363,purchase!D:D,purchase!K:K,"")))</f>
        <v/>
      </c>
      <c r="Q2363" s="29" t="str">
        <f t="shared" si="257"/>
        <v/>
      </c>
      <c r="R2363" s="37" t="str">
        <f t="shared" si="258"/>
        <v/>
      </c>
    </row>
    <row r="2364" spans="1:18" x14ac:dyDescent="0.35">
      <c r="A2364" s="8">
        <v>2360</v>
      </c>
      <c r="B2364" s="9" t="str">
        <f t="shared" si="252"/>
        <v/>
      </c>
      <c r="C2364" s="10"/>
      <c r="D2364" s="9" t="str">
        <f>IF(F2364="","",_xlfn.XLOOKUP(F2364,purchase!D:D,purchase!#REF!,""))</f>
        <v/>
      </c>
      <c r="E2364" s="9" t="str">
        <f>IF(F2364="","",_xlfn.XLOOKUP(F2364,purchase!D:D,purchase!B:B,""))</f>
        <v/>
      </c>
      <c r="F2364" s="2"/>
      <c r="G2364" s="4" t="str">
        <f t="shared" si="253"/>
        <v/>
      </c>
      <c r="H2364" s="4" t="str">
        <f>IF(F2364="","",_xlfn.XLOOKUP(F2364,purchase!D:D,purchase!#REF!,""))</f>
        <v/>
      </c>
      <c r="I2364" s="4" t="str">
        <f t="shared" si="254"/>
        <v/>
      </c>
      <c r="J2364" s="4" t="str">
        <f t="shared" si="255"/>
        <v/>
      </c>
      <c r="K2364" s="13" t="str">
        <f>_xlfn.SINGLE(IF(F2364="","",_xlfn.XLOOKUP(F2364,purchase!D:D,purchase!#REF!,"")))</f>
        <v/>
      </c>
      <c r="L2364" s="2"/>
      <c r="M2364" s="32"/>
      <c r="N2364" s="13" t="str">
        <f>IF(F2364="","",
MAX(0,
_xlfn.XLOOKUP(F2364,purchase!D:D,purchase!#REF!,"")
-
SUMIFS(L:L,F:F,F2364)))</f>
        <v/>
      </c>
      <c r="O2364" s="13" t="str">
        <f t="shared" si="256"/>
        <v/>
      </c>
      <c r="P2364" s="35" t="str">
        <f>_xlfn.SINGLE(IF(F2364="","",_xlfn.XLOOKUP(F2364,purchase!D:D,purchase!K:K,"")))</f>
        <v/>
      </c>
      <c r="Q2364" s="29" t="str">
        <f t="shared" si="257"/>
        <v/>
      </c>
      <c r="R2364" s="37" t="str">
        <f t="shared" si="258"/>
        <v/>
      </c>
    </row>
    <row r="2365" spans="1:18" x14ac:dyDescent="0.35">
      <c r="A2365" s="8">
        <v>2361</v>
      </c>
      <c r="B2365" s="9" t="str">
        <f t="shared" si="252"/>
        <v/>
      </c>
      <c r="C2365" s="10"/>
      <c r="D2365" s="9" t="str">
        <f>IF(F2365="","",_xlfn.XLOOKUP(F2365,purchase!D:D,purchase!#REF!,""))</f>
        <v/>
      </c>
      <c r="E2365" s="9" t="str">
        <f>IF(F2365="","",_xlfn.XLOOKUP(F2365,purchase!D:D,purchase!B:B,""))</f>
        <v/>
      </c>
      <c r="F2365" s="2"/>
      <c r="G2365" s="4" t="str">
        <f t="shared" si="253"/>
        <v/>
      </c>
      <c r="H2365" s="4" t="str">
        <f>IF(F2365="","",_xlfn.XLOOKUP(F2365,purchase!D:D,purchase!#REF!,""))</f>
        <v/>
      </c>
      <c r="I2365" s="4" t="str">
        <f t="shared" si="254"/>
        <v/>
      </c>
      <c r="J2365" s="4" t="str">
        <f t="shared" si="255"/>
        <v/>
      </c>
      <c r="K2365" s="13" t="str">
        <f>_xlfn.SINGLE(IF(F2365="","",_xlfn.XLOOKUP(F2365,purchase!D:D,purchase!#REF!,"")))</f>
        <v/>
      </c>
      <c r="L2365" s="2"/>
      <c r="M2365" s="32"/>
      <c r="N2365" s="13" t="str">
        <f>IF(F2365="","",
MAX(0,
_xlfn.XLOOKUP(F2365,purchase!D:D,purchase!#REF!,"")
-
SUMIFS(L:L,F:F,F2365)))</f>
        <v/>
      </c>
      <c r="O2365" s="13" t="str">
        <f t="shared" si="256"/>
        <v/>
      </c>
      <c r="P2365" s="35" t="str">
        <f>_xlfn.SINGLE(IF(F2365="","",_xlfn.XLOOKUP(F2365,purchase!D:D,purchase!K:K,"")))</f>
        <v/>
      </c>
      <c r="Q2365" s="29" t="str">
        <f t="shared" si="257"/>
        <v/>
      </c>
      <c r="R2365" s="37" t="str">
        <f t="shared" si="258"/>
        <v/>
      </c>
    </row>
    <row r="2366" spans="1:18" x14ac:dyDescent="0.35">
      <c r="A2366" s="8">
        <v>2362</v>
      </c>
      <c r="B2366" s="9" t="str">
        <f t="shared" si="252"/>
        <v/>
      </c>
      <c r="C2366" s="10"/>
      <c r="D2366" s="9" t="str">
        <f>IF(F2366="","",_xlfn.XLOOKUP(F2366,purchase!D:D,purchase!#REF!,""))</f>
        <v/>
      </c>
      <c r="E2366" s="9" t="str">
        <f>IF(F2366="","",_xlfn.XLOOKUP(F2366,purchase!D:D,purchase!B:B,""))</f>
        <v/>
      </c>
      <c r="F2366" s="2"/>
      <c r="G2366" s="4" t="str">
        <f t="shared" si="253"/>
        <v/>
      </c>
      <c r="H2366" s="4" t="str">
        <f>IF(F2366="","",_xlfn.XLOOKUP(F2366,purchase!D:D,purchase!#REF!,""))</f>
        <v/>
      </c>
      <c r="I2366" s="4" t="str">
        <f t="shared" si="254"/>
        <v/>
      </c>
      <c r="J2366" s="4" t="str">
        <f t="shared" si="255"/>
        <v/>
      </c>
      <c r="K2366" s="13" t="str">
        <f>_xlfn.SINGLE(IF(F2366="","",_xlfn.XLOOKUP(F2366,purchase!D:D,purchase!#REF!,"")))</f>
        <v/>
      </c>
      <c r="L2366" s="2"/>
      <c r="M2366" s="32"/>
      <c r="N2366" s="13" t="str">
        <f>IF(F2366="","",
MAX(0,
_xlfn.XLOOKUP(F2366,purchase!D:D,purchase!#REF!,"")
-
SUMIFS(L:L,F:F,F2366)))</f>
        <v/>
      </c>
      <c r="O2366" s="13" t="str">
        <f t="shared" si="256"/>
        <v/>
      </c>
      <c r="P2366" s="35" t="str">
        <f>_xlfn.SINGLE(IF(F2366="","",_xlfn.XLOOKUP(F2366,purchase!D:D,purchase!K:K,"")))</f>
        <v/>
      </c>
      <c r="Q2366" s="29" t="str">
        <f t="shared" si="257"/>
        <v/>
      </c>
      <c r="R2366" s="37" t="str">
        <f t="shared" si="258"/>
        <v/>
      </c>
    </row>
    <row r="2367" spans="1:18" x14ac:dyDescent="0.35">
      <c r="A2367" s="8">
        <v>2363</v>
      </c>
      <c r="B2367" s="9" t="str">
        <f t="shared" si="252"/>
        <v/>
      </c>
      <c r="C2367" s="10"/>
      <c r="D2367" s="9" t="str">
        <f>IF(F2367="","",_xlfn.XLOOKUP(F2367,purchase!D:D,purchase!#REF!,""))</f>
        <v/>
      </c>
      <c r="E2367" s="9" t="str">
        <f>IF(F2367="","",_xlfn.XLOOKUP(F2367,purchase!D:D,purchase!B:B,""))</f>
        <v/>
      </c>
      <c r="F2367" s="2"/>
      <c r="G2367" s="4" t="str">
        <f t="shared" si="253"/>
        <v/>
      </c>
      <c r="H2367" s="4" t="str">
        <f>IF(F2367="","",_xlfn.XLOOKUP(F2367,purchase!D:D,purchase!#REF!,""))</f>
        <v/>
      </c>
      <c r="I2367" s="4" t="str">
        <f t="shared" si="254"/>
        <v/>
      </c>
      <c r="J2367" s="4" t="str">
        <f t="shared" si="255"/>
        <v/>
      </c>
      <c r="K2367" s="13" t="str">
        <f>_xlfn.SINGLE(IF(F2367="","",_xlfn.XLOOKUP(F2367,purchase!D:D,purchase!#REF!,"")))</f>
        <v/>
      </c>
      <c r="L2367" s="2"/>
      <c r="M2367" s="32"/>
      <c r="N2367" s="13" t="str">
        <f>IF(F2367="","",
MAX(0,
_xlfn.XLOOKUP(F2367,purchase!D:D,purchase!#REF!,"")
-
SUMIFS(L:L,F:F,F2367)))</f>
        <v/>
      </c>
      <c r="O2367" s="13" t="str">
        <f t="shared" si="256"/>
        <v/>
      </c>
      <c r="P2367" s="35" t="str">
        <f>_xlfn.SINGLE(IF(F2367="","",_xlfn.XLOOKUP(F2367,purchase!D:D,purchase!K:K,"")))</f>
        <v/>
      </c>
      <c r="Q2367" s="29" t="str">
        <f t="shared" si="257"/>
        <v/>
      </c>
      <c r="R2367" s="37" t="str">
        <f t="shared" si="258"/>
        <v/>
      </c>
    </row>
    <row r="2368" spans="1:18" x14ac:dyDescent="0.35">
      <c r="A2368" s="8">
        <v>2364</v>
      </c>
      <c r="B2368" s="9" t="str">
        <f t="shared" si="252"/>
        <v/>
      </c>
      <c r="C2368" s="10"/>
      <c r="D2368" s="9" t="str">
        <f>IF(F2368="","",_xlfn.XLOOKUP(F2368,purchase!D:D,purchase!#REF!,""))</f>
        <v/>
      </c>
      <c r="E2368" s="9" t="str">
        <f>IF(F2368="","",_xlfn.XLOOKUP(F2368,purchase!D:D,purchase!B:B,""))</f>
        <v/>
      </c>
      <c r="F2368" s="2"/>
      <c r="G2368" s="4" t="str">
        <f t="shared" si="253"/>
        <v/>
      </c>
      <c r="H2368" s="4" t="str">
        <f>IF(F2368="","",_xlfn.XLOOKUP(F2368,purchase!D:D,purchase!#REF!,""))</f>
        <v/>
      </c>
      <c r="I2368" s="4" t="str">
        <f t="shared" si="254"/>
        <v/>
      </c>
      <c r="J2368" s="4" t="str">
        <f t="shared" si="255"/>
        <v/>
      </c>
      <c r="K2368" s="13" t="str">
        <f>_xlfn.SINGLE(IF(F2368="","",_xlfn.XLOOKUP(F2368,purchase!D:D,purchase!#REF!,"")))</f>
        <v/>
      </c>
      <c r="L2368" s="2"/>
      <c r="M2368" s="32"/>
      <c r="N2368" s="13" t="str">
        <f>IF(F2368="","",
MAX(0,
_xlfn.XLOOKUP(F2368,purchase!D:D,purchase!#REF!,"")
-
SUMIFS(L:L,F:F,F2368)))</f>
        <v/>
      </c>
      <c r="O2368" s="13" t="str">
        <f t="shared" si="256"/>
        <v/>
      </c>
      <c r="P2368" s="35" t="str">
        <f>_xlfn.SINGLE(IF(F2368="","",_xlfn.XLOOKUP(F2368,purchase!D:D,purchase!K:K,"")))</f>
        <v/>
      </c>
      <c r="Q2368" s="29" t="str">
        <f t="shared" si="257"/>
        <v/>
      </c>
      <c r="R2368" s="37" t="str">
        <f t="shared" si="258"/>
        <v/>
      </c>
    </row>
    <row r="2369" spans="1:18" x14ac:dyDescent="0.35">
      <c r="A2369" s="8">
        <v>2365</v>
      </c>
      <c r="B2369" s="9" t="str">
        <f t="shared" si="252"/>
        <v/>
      </c>
      <c r="C2369" s="10"/>
      <c r="D2369" s="9" t="str">
        <f>IF(F2369="","",_xlfn.XLOOKUP(F2369,purchase!D:D,purchase!#REF!,""))</f>
        <v/>
      </c>
      <c r="E2369" s="9" t="str">
        <f>IF(F2369="","",_xlfn.XLOOKUP(F2369,purchase!D:D,purchase!B:B,""))</f>
        <v/>
      </c>
      <c r="F2369" s="2"/>
      <c r="G2369" s="4" t="str">
        <f t="shared" si="253"/>
        <v/>
      </c>
      <c r="H2369" s="4" t="str">
        <f>IF(F2369="","",_xlfn.XLOOKUP(F2369,purchase!D:D,purchase!#REF!,""))</f>
        <v/>
      </c>
      <c r="I2369" s="4" t="str">
        <f t="shared" si="254"/>
        <v/>
      </c>
      <c r="J2369" s="4" t="str">
        <f t="shared" si="255"/>
        <v/>
      </c>
      <c r="K2369" s="13" t="str">
        <f>_xlfn.SINGLE(IF(F2369="","",_xlfn.XLOOKUP(F2369,purchase!D:D,purchase!#REF!,"")))</f>
        <v/>
      </c>
      <c r="L2369" s="2"/>
      <c r="M2369" s="32"/>
      <c r="N2369" s="13" t="str">
        <f>IF(F2369="","",
MAX(0,
_xlfn.XLOOKUP(F2369,purchase!D:D,purchase!#REF!,"")
-
SUMIFS(L:L,F:F,F2369)))</f>
        <v/>
      </c>
      <c r="O2369" s="13" t="str">
        <f t="shared" si="256"/>
        <v/>
      </c>
      <c r="P2369" s="35" t="str">
        <f>_xlfn.SINGLE(IF(F2369="","",_xlfn.XLOOKUP(F2369,purchase!D:D,purchase!K:K,"")))</f>
        <v/>
      </c>
      <c r="Q2369" s="29" t="str">
        <f t="shared" si="257"/>
        <v/>
      </c>
      <c r="R2369" s="37" t="str">
        <f t="shared" si="258"/>
        <v/>
      </c>
    </row>
    <row r="2370" spans="1:18" x14ac:dyDescent="0.35">
      <c r="A2370" s="8">
        <v>2366</v>
      </c>
      <c r="B2370" s="9" t="str">
        <f t="shared" si="252"/>
        <v/>
      </c>
      <c r="C2370" s="10"/>
      <c r="D2370" s="9" t="str">
        <f>IF(F2370="","",_xlfn.XLOOKUP(F2370,purchase!D:D,purchase!#REF!,""))</f>
        <v/>
      </c>
      <c r="E2370" s="9" t="str">
        <f>IF(F2370="","",_xlfn.XLOOKUP(F2370,purchase!D:D,purchase!B:B,""))</f>
        <v/>
      </c>
      <c r="F2370" s="2"/>
      <c r="G2370" s="4" t="str">
        <f t="shared" si="253"/>
        <v/>
      </c>
      <c r="H2370" s="4" t="str">
        <f>IF(F2370="","",_xlfn.XLOOKUP(F2370,purchase!D:D,purchase!#REF!,""))</f>
        <v/>
      </c>
      <c r="I2370" s="4" t="str">
        <f t="shared" si="254"/>
        <v/>
      </c>
      <c r="J2370" s="4" t="str">
        <f t="shared" si="255"/>
        <v/>
      </c>
      <c r="K2370" s="13" t="str">
        <f>_xlfn.SINGLE(IF(F2370="","",_xlfn.XLOOKUP(F2370,purchase!D:D,purchase!#REF!,"")))</f>
        <v/>
      </c>
      <c r="L2370" s="2"/>
      <c r="M2370" s="32"/>
      <c r="N2370" s="13" t="str">
        <f>IF(F2370="","",
MAX(0,
_xlfn.XLOOKUP(F2370,purchase!D:D,purchase!#REF!,"")
-
SUMIFS(L:L,F:F,F2370)))</f>
        <v/>
      </c>
      <c r="O2370" s="13" t="str">
        <f t="shared" si="256"/>
        <v/>
      </c>
      <c r="P2370" s="35" t="str">
        <f>_xlfn.SINGLE(IF(F2370="","",_xlfn.XLOOKUP(F2370,purchase!D:D,purchase!K:K,"")))</f>
        <v/>
      </c>
      <c r="Q2370" s="29" t="str">
        <f t="shared" si="257"/>
        <v/>
      </c>
      <c r="R2370" s="37" t="str">
        <f t="shared" si="258"/>
        <v/>
      </c>
    </row>
    <row r="2371" spans="1:18" x14ac:dyDescent="0.35">
      <c r="A2371" s="8">
        <v>2367</v>
      </c>
      <c r="B2371" s="9" t="str">
        <f t="shared" si="252"/>
        <v/>
      </c>
      <c r="C2371" s="10"/>
      <c r="D2371" s="9" t="str">
        <f>IF(F2371="","",_xlfn.XLOOKUP(F2371,purchase!D:D,purchase!#REF!,""))</f>
        <v/>
      </c>
      <c r="E2371" s="9" t="str">
        <f>IF(F2371="","",_xlfn.XLOOKUP(F2371,purchase!D:D,purchase!B:B,""))</f>
        <v/>
      </c>
      <c r="F2371" s="2"/>
      <c r="G2371" s="4" t="str">
        <f t="shared" si="253"/>
        <v/>
      </c>
      <c r="H2371" s="4" t="str">
        <f>IF(F2371="","",_xlfn.XLOOKUP(F2371,purchase!D:D,purchase!#REF!,""))</f>
        <v/>
      </c>
      <c r="I2371" s="4" t="str">
        <f t="shared" si="254"/>
        <v/>
      </c>
      <c r="J2371" s="4" t="str">
        <f t="shared" si="255"/>
        <v/>
      </c>
      <c r="K2371" s="13" t="str">
        <f>_xlfn.SINGLE(IF(F2371="","",_xlfn.XLOOKUP(F2371,purchase!D:D,purchase!#REF!,"")))</f>
        <v/>
      </c>
      <c r="L2371" s="2"/>
      <c r="M2371" s="32"/>
      <c r="N2371" s="13" t="str">
        <f>IF(F2371="","",
MAX(0,
_xlfn.XLOOKUP(F2371,purchase!D:D,purchase!#REF!,"")
-
SUMIFS(L:L,F:F,F2371)))</f>
        <v/>
      </c>
      <c r="O2371" s="13" t="str">
        <f t="shared" si="256"/>
        <v/>
      </c>
      <c r="P2371" s="35" t="str">
        <f>_xlfn.SINGLE(IF(F2371="","",_xlfn.XLOOKUP(F2371,purchase!D:D,purchase!K:K,"")))</f>
        <v/>
      </c>
      <c r="Q2371" s="29" t="str">
        <f t="shared" si="257"/>
        <v/>
      </c>
      <c r="R2371" s="37" t="str">
        <f t="shared" si="258"/>
        <v/>
      </c>
    </row>
    <row r="2372" spans="1:18" x14ac:dyDescent="0.35">
      <c r="A2372" s="8">
        <v>2368</v>
      </c>
      <c r="B2372" s="9" t="str">
        <f t="shared" si="252"/>
        <v/>
      </c>
      <c r="C2372" s="10"/>
      <c r="D2372" s="9" t="str">
        <f>IF(F2372="","",_xlfn.XLOOKUP(F2372,purchase!D:D,purchase!#REF!,""))</f>
        <v/>
      </c>
      <c r="E2372" s="9" t="str">
        <f>IF(F2372="","",_xlfn.XLOOKUP(F2372,purchase!D:D,purchase!B:B,""))</f>
        <v/>
      </c>
      <c r="F2372" s="2"/>
      <c r="G2372" s="4" t="str">
        <f t="shared" si="253"/>
        <v/>
      </c>
      <c r="H2372" s="4" t="str">
        <f>IF(F2372="","",_xlfn.XLOOKUP(F2372,purchase!D:D,purchase!#REF!,""))</f>
        <v/>
      </c>
      <c r="I2372" s="4" t="str">
        <f t="shared" si="254"/>
        <v/>
      </c>
      <c r="J2372" s="4" t="str">
        <f t="shared" si="255"/>
        <v/>
      </c>
      <c r="K2372" s="13" t="str">
        <f>_xlfn.SINGLE(IF(F2372="","",_xlfn.XLOOKUP(F2372,purchase!D:D,purchase!#REF!,"")))</f>
        <v/>
      </c>
      <c r="L2372" s="2"/>
      <c r="M2372" s="32"/>
      <c r="N2372" s="13" t="str">
        <f>IF(F2372="","",
MAX(0,
_xlfn.XLOOKUP(F2372,purchase!D:D,purchase!#REF!,"")
-
SUMIFS(L:L,F:F,F2372)))</f>
        <v/>
      </c>
      <c r="O2372" s="13" t="str">
        <f t="shared" si="256"/>
        <v/>
      </c>
      <c r="P2372" s="35" t="str">
        <f>_xlfn.SINGLE(IF(F2372="","",_xlfn.XLOOKUP(F2372,purchase!D:D,purchase!K:K,"")))</f>
        <v/>
      </c>
      <c r="Q2372" s="29" t="str">
        <f t="shared" si="257"/>
        <v/>
      </c>
      <c r="R2372" s="37" t="str">
        <f t="shared" si="258"/>
        <v/>
      </c>
    </row>
    <row r="2373" spans="1:18" x14ac:dyDescent="0.35">
      <c r="A2373" s="8">
        <v>2369</v>
      </c>
      <c r="B2373" s="9" t="str">
        <f t="shared" ref="B2373:B2436" si="259">IF(OR(C2373="",F2373=""),"",
"PRD-" &amp;
TEXT(DAY(C2373),"00") &amp;
CHOOSE(MONTH(C2373),"A","B","C","D","E","F","G","H","I","J","K","L") &amp;
TEXT(YEAR(C2373),"00") &amp;
"-" &amp;
RIGHT(F2373,4))</f>
        <v/>
      </c>
      <c r="C2373" s="10"/>
      <c r="D2373" s="9" t="str">
        <f>IF(F2373="","",_xlfn.XLOOKUP(F2373,purchase!D:D,purchase!#REF!,""))</f>
        <v/>
      </c>
      <c r="E2373" s="9" t="str">
        <f>IF(F2373="","",_xlfn.XLOOKUP(F2373,purchase!D:D,purchase!B:B,""))</f>
        <v/>
      </c>
      <c r="F2373" s="2"/>
      <c r="G2373" s="4" t="str">
        <f t="shared" ref="G2373:G2436" si="260">IF(H2373="NRFC","Natural Rubber Field Coagulam","")</f>
        <v/>
      </c>
      <c r="H2373" s="4" t="str">
        <f>IF(F2373="","",_xlfn.XLOOKUP(F2373,purchase!D:D,purchase!#REF!,""))</f>
        <v/>
      </c>
      <c r="I2373" s="4" t="str">
        <f t="shared" ref="I2373:I2436" si="261">IF(J2373="ISNR20","Natural Rubber-TSNR (ISNR-20)","")</f>
        <v/>
      </c>
      <c r="J2373" s="4" t="str">
        <f t="shared" ref="J2373:J2436" si="262">IF(H2373="NRFC","ISNR20","")</f>
        <v/>
      </c>
      <c r="K2373" s="13" t="str">
        <f>_xlfn.SINGLE(IF(F2373="","",_xlfn.XLOOKUP(F2373,purchase!D:D,purchase!#REF!,"")))</f>
        <v/>
      </c>
      <c r="L2373" s="2"/>
      <c r="M2373" s="32"/>
      <c r="N2373" s="13" t="str">
        <f>IF(F2373="","",
MAX(0,
_xlfn.XLOOKUP(F2373,purchase!D:D,purchase!#REF!,"")
-
SUMIFS(L:L,F:F,F2373)))</f>
        <v/>
      </c>
      <c r="O2373" s="13" t="str">
        <f t="shared" ref="O2373:O2436" si="263">IF(OR(L2373="",M2373=""),"",L2373-M2373)</f>
        <v/>
      </c>
      <c r="P2373" s="35" t="str">
        <f>_xlfn.SINGLE(IF(F2373="","",_xlfn.XLOOKUP(F2373,purchase!D:D,purchase!K:K,"")))</f>
        <v/>
      </c>
      <c r="Q2373" s="29" t="str">
        <f t="shared" ref="Q2373:Q2436" si="264">IF(OR(L2373="",M2373=""),"",M2373/L2373)</f>
        <v/>
      </c>
      <c r="R2373" s="37" t="str">
        <f t="shared" ref="R2373:R2436" si="265">IF(OR(P2373="",Q2373=""),"",Q2373-P2373)</f>
        <v/>
      </c>
    </row>
    <row r="2374" spans="1:18" x14ac:dyDescent="0.35">
      <c r="A2374" s="8">
        <v>2370</v>
      </c>
      <c r="B2374" s="9" t="str">
        <f t="shared" si="259"/>
        <v/>
      </c>
      <c r="C2374" s="10"/>
      <c r="D2374" s="9" t="str">
        <f>IF(F2374="","",_xlfn.XLOOKUP(F2374,purchase!D:D,purchase!#REF!,""))</f>
        <v/>
      </c>
      <c r="E2374" s="9" t="str">
        <f>IF(F2374="","",_xlfn.XLOOKUP(F2374,purchase!D:D,purchase!B:B,""))</f>
        <v/>
      </c>
      <c r="F2374" s="2"/>
      <c r="G2374" s="4" t="str">
        <f t="shared" si="260"/>
        <v/>
      </c>
      <c r="H2374" s="4" t="str">
        <f>IF(F2374="","",_xlfn.XLOOKUP(F2374,purchase!D:D,purchase!#REF!,""))</f>
        <v/>
      </c>
      <c r="I2374" s="4" t="str">
        <f t="shared" si="261"/>
        <v/>
      </c>
      <c r="J2374" s="4" t="str">
        <f t="shared" si="262"/>
        <v/>
      </c>
      <c r="K2374" s="13" t="str">
        <f>_xlfn.SINGLE(IF(F2374="","",_xlfn.XLOOKUP(F2374,purchase!D:D,purchase!#REF!,"")))</f>
        <v/>
      </c>
      <c r="L2374" s="2"/>
      <c r="M2374" s="32"/>
      <c r="N2374" s="13" t="str">
        <f>IF(F2374="","",
MAX(0,
_xlfn.XLOOKUP(F2374,purchase!D:D,purchase!#REF!,"")
-
SUMIFS(L:L,F:F,F2374)))</f>
        <v/>
      </c>
      <c r="O2374" s="13" t="str">
        <f t="shared" si="263"/>
        <v/>
      </c>
      <c r="P2374" s="35" t="str">
        <f>_xlfn.SINGLE(IF(F2374="","",_xlfn.XLOOKUP(F2374,purchase!D:D,purchase!K:K,"")))</f>
        <v/>
      </c>
      <c r="Q2374" s="29" t="str">
        <f t="shared" si="264"/>
        <v/>
      </c>
      <c r="R2374" s="37" t="str">
        <f t="shared" si="265"/>
        <v/>
      </c>
    </row>
    <row r="2375" spans="1:18" x14ac:dyDescent="0.35">
      <c r="A2375" s="8">
        <v>2371</v>
      </c>
      <c r="B2375" s="9" t="str">
        <f t="shared" si="259"/>
        <v/>
      </c>
      <c r="C2375" s="10"/>
      <c r="D2375" s="9" t="str">
        <f>IF(F2375="","",_xlfn.XLOOKUP(F2375,purchase!D:D,purchase!#REF!,""))</f>
        <v/>
      </c>
      <c r="E2375" s="9" t="str">
        <f>IF(F2375="","",_xlfn.XLOOKUP(F2375,purchase!D:D,purchase!B:B,""))</f>
        <v/>
      </c>
      <c r="F2375" s="2"/>
      <c r="G2375" s="4" t="str">
        <f t="shared" si="260"/>
        <v/>
      </c>
      <c r="H2375" s="4" t="str">
        <f>IF(F2375="","",_xlfn.XLOOKUP(F2375,purchase!D:D,purchase!#REF!,""))</f>
        <v/>
      </c>
      <c r="I2375" s="4" t="str">
        <f t="shared" si="261"/>
        <v/>
      </c>
      <c r="J2375" s="4" t="str">
        <f t="shared" si="262"/>
        <v/>
      </c>
      <c r="K2375" s="13" t="str">
        <f>_xlfn.SINGLE(IF(F2375="","",_xlfn.XLOOKUP(F2375,purchase!D:D,purchase!#REF!,"")))</f>
        <v/>
      </c>
      <c r="L2375" s="2"/>
      <c r="M2375" s="32"/>
      <c r="N2375" s="13" t="str">
        <f>IF(F2375="","",
MAX(0,
_xlfn.XLOOKUP(F2375,purchase!D:D,purchase!#REF!,"")
-
SUMIFS(L:L,F:F,F2375)))</f>
        <v/>
      </c>
      <c r="O2375" s="13" t="str">
        <f t="shared" si="263"/>
        <v/>
      </c>
      <c r="P2375" s="35" t="str">
        <f>_xlfn.SINGLE(IF(F2375="","",_xlfn.XLOOKUP(F2375,purchase!D:D,purchase!K:K,"")))</f>
        <v/>
      </c>
      <c r="Q2375" s="29" t="str">
        <f t="shared" si="264"/>
        <v/>
      </c>
      <c r="R2375" s="37" t="str">
        <f t="shared" si="265"/>
        <v/>
      </c>
    </row>
    <row r="2376" spans="1:18" x14ac:dyDescent="0.35">
      <c r="A2376" s="8">
        <v>2372</v>
      </c>
      <c r="B2376" s="9" t="str">
        <f t="shared" si="259"/>
        <v/>
      </c>
      <c r="C2376" s="10"/>
      <c r="D2376" s="9" t="str">
        <f>IF(F2376="","",_xlfn.XLOOKUP(F2376,purchase!D:D,purchase!#REF!,""))</f>
        <v/>
      </c>
      <c r="E2376" s="9" t="str">
        <f>IF(F2376="","",_xlfn.XLOOKUP(F2376,purchase!D:D,purchase!B:B,""))</f>
        <v/>
      </c>
      <c r="F2376" s="2"/>
      <c r="G2376" s="4" t="str">
        <f t="shared" si="260"/>
        <v/>
      </c>
      <c r="H2376" s="4" t="str">
        <f>IF(F2376="","",_xlfn.XLOOKUP(F2376,purchase!D:D,purchase!#REF!,""))</f>
        <v/>
      </c>
      <c r="I2376" s="4" t="str">
        <f t="shared" si="261"/>
        <v/>
      </c>
      <c r="J2376" s="4" t="str">
        <f t="shared" si="262"/>
        <v/>
      </c>
      <c r="K2376" s="13" t="str">
        <f>_xlfn.SINGLE(IF(F2376="","",_xlfn.XLOOKUP(F2376,purchase!D:D,purchase!#REF!,"")))</f>
        <v/>
      </c>
      <c r="L2376" s="2"/>
      <c r="M2376" s="32"/>
      <c r="N2376" s="13" t="str">
        <f>IF(F2376="","",
MAX(0,
_xlfn.XLOOKUP(F2376,purchase!D:D,purchase!#REF!,"")
-
SUMIFS(L:L,F:F,F2376)))</f>
        <v/>
      </c>
      <c r="O2376" s="13" t="str">
        <f t="shared" si="263"/>
        <v/>
      </c>
      <c r="P2376" s="35" t="str">
        <f>_xlfn.SINGLE(IF(F2376="","",_xlfn.XLOOKUP(F2376,purchase!D:D,purchase!K:K,"")))</f>
        <v/>
      </c>
      <c r="Q2376" s="29" t="str">
        <f t="shared" si="264"/>
        <v/>
      </c>
      <c r="R2376" s="37" t="str">
        <f t="shared" si="265"/>
        <v/>
      </c>
    </row>
    <row r="2377" spans="1:18" x14ac:dyDescent="0.35">
      <c r="A2377" s="8">
        <v>2373</v>
      </c>
      <c r="B2377" s="9" t="str">
        <f t="shared" si="259"/>
        <v/>
      </c>
      <c r="C2377" s="10"/>
      <c r="D2377" s="9" t="str">
        <f>IF(F2377="","",_xlfn.XLOOKUP(F2377,purchase!D:D,purchase!#REF!,""))</f>
        <v/>
      </c>
      <c r="E2377" s="9" t="str">
        <f>IF(F2377="","",_xlfn.XLOOKUP(F2377,purchase!D:D,purchase!B:B,""))</f>
        <v/>
      </c>
      <c r="F2377" s="2"/>
      <c r="G2377" s="4" t="str">
        <f t="shared" si="260"/>
        <v/>
      </c>
      <c r="H2377" s="4" t="str">
        <f>IF(F2377="","",_xlfn.XLOOKUP(F2377,purchase!D:D,purchase!#REF!,""))</f>
        <v/>
      </c>
      <c r="I2377" s="4" t="str">
        <f t="shared" si="261"/>
        <v/>
      </c>
      <c r="J2377" s="4" t="str">
        <f t="shared" si="262"/>
        <v/>
      </c>
      <c r="K2377" s="13" t="str">
        <f>_xlfn.SINGLE(IF(F2377="","",_xlfn.XLOOKUP(F2377,purchase!D:D,purchase!#REF!,"")))</f>
        <v/>
      </c>
      <c r="L2377" s="2"/>
      <c r="M2377" s="32"/>
      <c r="N2377" s="13" t="str">
        <f>IF(F2377="","",
MAX(0,
_xlfn.XLOOKUP(F2377,purchase!D:D,purchase!#REF!,"")
-
SUMIFS(L:L,F:F,F2377)))</f>
        <v/>
      </c>
      <c r="O2377" s="13" t="str">
        <f t="shared" si="263"/>
        <v/>
      </c>
      <c r="P2377" s="35" t="str">
        <f>_xlfn.SINGLE(IF(F2377="","",_xlfn.XLOOKUP(F2377,purchase!D:D,purchase!K:K,"")))</f>
        <v/>
      </c>
      <c r="Q2377" s="29" t="str">
        <f t="shared" si="264"/>
        <v/>
      </c>
      <c r="R2377" s="37" t="str">
        <f t="shared" si="265"/>
        <v/>
      </c>
    </row>
    <row r="2378" spans="1:18" x14ac:dyDescent="0.35">
      <c r="A2378" s="8">
        <v>2374</v>
      </c>
      <c r="B2378" s="9" t="str">
        <f t="shared" si="259"/>
        <v/>
      </c>
      <c r="C2378" s="10"/>
      <c r="D2378" s="9" t="str">
        <f>IF(F2378="","",_xlfn.XLOOKUP(F2378,purchase!D:D,purchase!#REF!,""))</f>
        <v/>
      </c>
      <c r="E2378" s="9" t="str">
        <f>IF(F2378="","",_xlfn.XLOOKUP(F2378,purchase!D:D,purchase!B:B,""))</f>
        <v/>
      </c>
      <c r="F2378" s="2"/>
      <c r="G2378" s="4" t="str">
        <f t="shared" si="260"/>
        <v/>
      </c>
      <c r="H2378" s="4" t="str">
        <f>IF(F2378="","",_xlfn.XLOOKUP(F2378,purchase!D:D,purchase!#REF!,""))</f>
        <v/>
      </c>
      <c r="I2378" s="4" t="str">
        <f t="shared" si="261"/>
        <v/>
      </c>
      <c r="J2378" s="4" t="str">
        <f t="shared" si="262"/>
        <v/>
      </c>
      <c r="K2378" s="13" t="str">
        <f>_xlfn.SINGLE(IF(F2378="","",_xlfn.XLOOKUP(F2378,purchase!D:D,purchase!#REF!,"")))</f>
        <v/>
      </c>
      <c r="L2378" s="2"/>
      <c r="M2378" s="32"/>
      <c r="N2378" s="13" t="str">
        <f>IF(F2378="","",
MAX(0,
_xlfn.XLOOKUP(F2378,purchase!D:D,purchase!#REF!,"")
-
SUMIFS(L:L,F:F,F2378)))</f>
        <v/>
      </c>
      <c r="O2378" s="13" t="str">
        <f t="shared" si="263"/>
        <v/>
      </c>
      <c r="P2378" s="35" t="str">
        <f>_xlfn.SINGLE(IF(F2378="","",_xlfn.XLOOKUP(F2378,purchase!D:D,purchase!K:K,"")))</f>
        <v/>
      </c>
      <c r="Q2378" s="29" t="str">
        <f t="shared" si="264"/>
        <v/>
      </c>
      <c r="R2378" s="37" t="str">
        <f t="shared" si="265"/>
        <v/>
      </c>
    </row>
    <row r="2379" spans="1:18" x14ac:dyDescent="0.35">
      <c r="A2379" s="8">
        <v>2375</v>
      </c>
      <c r="B2379" s="9" t="str">
        <f t="shared" si="259"/>
        <v/>
      </c>
      <c r="C2379" s="10"/>
      <c r="D2379" s="9" t="str">
        <f>IF(F2379="","",_xlfn.XLOOKUP(F2379,purchase!D:D,purchase!#REF!,""))</f>
        <v/>
      </c>
      <c r="E2379" s="9" t="str">
        <f>IF(F2379="","",_xlfn.XLOOKUP(F2379,purchase!D:D,purchase!B:B,""))</f>
        <v/>
      </c>
      <c r="F2379" s="2"/>
      <c r="G2379" s="4" t="str">
        <f t="shared" si="260"/>
        <v/>
      </c>
      <c r="H2379" s="4" t="str">
        <f>IF(F2379="","",_xlfn.XLOOKUP(F2379,purchase!D:D,purchase!#REF!,""))</f>
        <v/>
      </c>
      <c r="I2379" s="4" t="str">
        <f t="shared" si="261"/>
        <v/>
      </c>
      <c r="J2379" s="4" t="str">
        <f t="shared" si="262"/>
        <v/>
      </c>
      <c r="K2379" s="13" t="str">
        <f>_xlfn.SINGLE(IF(F2379="","",_xlfn.XLOOKUP(F2379,purchase!D:D,purchase!#REF!,"")))</f>
        <v/>
      </c>
      <c r="L2379" s="2"/>
      <c r="M2379" s="32"/>
      <c r="N2379" s="13" t="str">
        <f>IF(F2379="","",
MAX(0,
_xlfn.XLOOKUP(F2379,purchase!D:D,purchase!#REF!,"")
-
SUMIFS(L:L,F:F,F2379)))</f>
        <v/>
      </c>
      <c r="O2379" s="13" t="str">
        <f t="shared" si="263"/>
        <v/>
      </c>
      <c r="P2379" s="35" t="str">
        <f>_xlfn.SINGLE(IF(F2379="","",_xlfn.XLOOKUP(F2379,purchase!D:D,purchase!K:K,"")))</f>
        <v/>
      </c>
      <c r="Q2379" s="29" t="str">
        <f t="shared" si="264"/>
        <v/>
      </c>
      <c r="R2379" s="37" t="str">
        <f t="shared" si="265"/>
        <v/>
      </c>
    </row>
    <row r="2380" spans="1:18" x14ac:dyDescent="0.35">
      <c r="A2380" s="8">
        <v>2376</v>
      </c>
      <c r="B2380" s="9" t="str">
        <f t="shared" si="259"/>
        <v/>
      </c>
      <c r="C2380" s="10"/>
      <c r="D2380" s="9" t="str">
        <f>IF(F2380="","",_xlfn.XLOOKUP(F2380,purchase!D:D,purchase!#REF!,""))</f>
        <v/>
      </c>
      <c r="E2380" s="9" t="str">
        <f>IF(F2380="","",_xlfn.XLOOKUP(F2380,purchase!D:D,purchase!B:B,""))</f>
        <v/>
      </c>
      <c r="F2380" s="2"/>
      <c r="G2380" s="4" t="str">
        <f t="shared" si="260"/>
        <v/>
      </c>
      <c r="H2380" s="4" t="str">
        <f>IF(F2380="","",_xlfn.XLOOKUP(F2380,purchase!D:D,purchase!#REF!,""))</f>
        <v/>
      </c>
      <c r="I2380" s="4" t="str">
        <f t="shared" si="261"/>
        <v/>
      </c>
      <c r="J2380" s="4" t="str">
        <f t="shared" si="262"/>
        <v/>
      </c>
      <c r="K2380" s="13" t="str">
        <f>_xlfn.SINGLE(IF(F2380="","",_xlfn.XLOOKUP(F2380,purchase!D:D,purchase!#REF!,"")))</f>
        <v/>
      </c>
      <c r="L2380" s="2"/>
      <c r="M2380" s="32"/>
      <c r="N2380" s="13" t="str">
        <f>IF(F2380="","",
MAX(0,
_xlfn.XLOOKUP(F2380,purchase!D:D,purchase!#REF!,"")
-
SUMIFS(L:L,F:F,F2380)))</f>
        <v/>
      </c>
      <c r="O2380" s="13" t="str">
        <f t="shared" si="263"/>
        <v/>
      </c>
      <c r="P2380" s="35" t="str">
        <f>_xlfn.SINGLE(IF(F2380="","",_xlfn.XLOOKUP(F2380,purchase!D:D,purchase!K:K,"")))</f>
        <v/>
      </c>
      <c r="Q2380" s="29" t="str">
        <f t="shared" si="264"/>
        <v/>
      </c>
      <c r="R2380" s="37" t="str">
        <f t="shared" si="265"/>
        <v/>
      </c>
    </row>
    <row r="2381" spans="1:18" x14ac:dyDescent="0.35">
      <c r="A2381" s="8">
        <v>2377</v>
      </c>
      <c r="B2381" s="9" t="str">
        <f t="shared" si="259"/>
        <v/>
      </c>
      <c r="C2381" s="10"/>
      <c r="D2381" s="9" t="str">
        <f>IF(F2381="","",_xlfn.XLOOKUP(F2381,purchase!D:D,purchase!#REF!,""))</f>
        <v/>
      </c>
      <c r="E2381" s="9" t="str">
        <f>IF(F2381="","",_xlfn.XLOOKUP(F2381,purchase!D:D,purchase!B:B,""))</f>
        <v/>
      </c>
      <c r="F2381" s="2"/>
      <c r="G2381" s="4" t="str">
        <f t="shared" si="260"/>
        <v/>
      </c>
      <c r="H2381" s="4" t="str">
        <f>IF(F2381="","",_xlfn.XLOOKUP(F2381,purchase!D:D,purchase!#REF!,""))</f>
        <v/>
      </c>
      <c r="I2381" s="4" t="str">
        <f t="shared" si="261"/>
        <v/>
      </c>
      <c r="J2381" s="4" t="str">
        <f t="shared" si="262"/>
        <v/>
      </c>
      <c r="K2381" s="13" t="str">
        <f>_xlfn.SINGLE(IF(F2381="","",_xlfn.XLOOKUP(F2381,purchase!D:D,purchase!#REF!,"")))</f>
        <v/>
      </c>
      <c r="L2381" s="2"/>
      <c r="M2381" s="32"/>
      <c r="N2381" s="13" t="str">
        <f>IF(F2381="","",
MAX(0,
_xlfn.XLOOKUP(F2381,purchase!D:D,purchase!#REF!,"")
-
SUMIFS(L:L,F:F,F2381)))</f>
        <v/>
      </c>
      <c r="O2381" s="13" t="str">
        <f t="shared" si="263"/>
        <v/>
      </c>
      <c r="P2381" s="35" t="str">
        <f>_xlfn.SINGLE(IF(F2381="","",_xlfn.XLOOKUP(F2381,purchase!D:D,purchase!K:K,"")))</f>
        <v/>
      </c>
      <c r="Q2381" s="29" t="str">
        <f t="shared" si="264"/>
        <v/>
      </c>
      <c r="R2381" s="37" t="str">
        <f t="shared" si="265"/>
        <v/>
      </c>
    </row>
    <row r="2382" spans="1:18" x14ac:dyDescent="0.35">
      <c r="A2382" s="8">
        <v>2378</v>
      </c>
      <c r="B2382" s="9" t="str">
        <f t="shared" si="259"/>
        <v/>
      </c>
      <c r="C2382" s="10"/>
      <c r="D2382" s="9" t="str">
        <f>IF(F2382="","",_xlfn.XLOOKUP(F2382,purchase!D:D,purchase!#REF!,""))</f>
        <v/>
      </c>
      <c r="E2382" s="9" t="str">
        <f>IF(F2382="","",_xlfn.XLOOKUP(F2382,purchase!D:D,purchase!B:B,""))</f>
        <v/>
      </c>
      <c r="F2382" s="2"/>
      <c r="G2382" s="4" t="str">
        <f t="shared" si="260"/>
        <v/>
      </c>
      <c r="H2382" s="4" t="str">
        <f>IF(F2382="","",_xlfn.XLOOKUP(F2382,purchase!D:D,purchase!#REF!,""))</f>
        <v/>
      </c>
      <c r="I2382" s="4" t="str">
        <f t="shared" si="261"/>
        <v/>
      </c>
      <c r="J2382" s="4" t="str">
        <f t="shared" si="262"/>
        <v/>
      </c>
      <c r="K2382" s="13" t="str">
        <f>_xlfn.SINGLE(IF(F2382="","",_xlfn.XLOOKUP(F2382,purchase!D:D,purchase!#REF!,"")))</f>
        <v/>
      </c>
      <c r="L2382" s="2"/>
      <c r="M2382" s="32"/>
      <c r="N2382" s="13" t="str">
        <f>IF(F2382="","",
MAX(0,
_xlfn.XLOOKUP(F2382,purchase!D:D,purchase!#REF!,"")
-
SUMIFS(L:L,F:F,F2382)))</f>
        <v/>
      </c>
      <c r="O2382" s="13" t="str">
        <f t="shared" si="263"/>
        <v/>
      </c>
      <c r="P2382" s="35" t="str">
        <f>_xlfn.SINGLE(IF(F2382="","",_xlfn.XLOOKUP(F2382,purchase!D:D,purchase!K:K,"")))</f>
        <v/>
      </c>
      <c r="Q2382" s="29" t="str">
        <f t="shared" si="264"/>
        <v/>
      </c>
      <c r="R2382" s="37" t="str">
        <f t="shared" si="265"/>
        <v/>
      </c>
    </row>
    <row r="2383" spans="1:18" x14ac:dyDescent="0.35">
      <c r="A2383" s="8">
        <v>2379</v>
      </c>
      <c r="B2383" s="9" t="str">
        <f t="shared" si="259"/>
        <v/>
      </c>
      <c r="C2383" s="10"/>
      <c r="D2383" s="9" t="str">
        <f>IF(F2383="","",_xlfn.XLOOKUP(F2383,purchase!D:D,purchase!#REF!,""))</f>
        <v/>
      </c>
      <c r="E2383" s="9" t="str">
        <f>IF(F2383="","",_xlfn.XLOOKUP(F2383,purchase!D:D,purchase!B:B,""))</f>
        <v/>
      </c>
      <c r="F2383" s="2"/>
      <c r="G2383" s="4" t="str">
        <f t="shared" si="260"/>
        <v/>
      </c>
      <c r="H2383" s="4" t="str">
        <f>IF(F2383="","",_xlfn.XLOOKUP(F2383,purchase!D:D,purchase!#REF!,""))</f>
        <v/>
      </c>
      <c r="I2383" s="4" t="str">
        <f t="shared" si="261"/>
        <v/>
      </c>
      <c r="J2383" s="4" t="str">
        <f t="shared" si="262"/>
        <v/>
      </c>
      <c r="K2383" s="13" t="str">
        <f>_xlfn.SINGLE(IF(F2383="","",_xlfn.XLOOKUP(F2383,purchase!D:D,purchase!#REF!,"")))</f>
        <v/>
      </c>
      <c r="L2383" s="2"/>
      <c r="M2383" s="32"/>
      <c r="N2383" s="13" t="str">
        <f>IF(F2383="","",
MAX(0,
_xlfn.XLOOKUP(F2383,purchase!D:D,purchase!#REF!,"")
-
SUMIFS(L:L,F:F,F2383)))</f>
        <v/>
      </c>
      <c r="O2383" s="13" t="str">
        <f t="shared" si="263"/>
        <v/>
      </c>
      <c r="P2383" s="35" t="str">
        <f>_xlfn.SINGLE(IF(F2383="","",_xlfn.XLOOKUP(F2383,purchase!D:D,purchase!K:K,"")))</f>
        <v/>
      </c>
      <c r="Q2383" s="29" t="str">
        <f t="shared" si="264"/>
        <v/>
      </c>
      <c r="R2383" s="37" t="str">
        <f t="shared" si="265"/>
        <v/>
      </c>
    </row>
    <row r="2384" spans="1:18" x14ac:dyDescent="0.35">
      <c r="A2384" s="8">
        <v>2380</v>
      </c>
      <c r="B2384" s="9" t="str">
        <f t="shared" si="259"/>
        <v/>
      </c>
      <c r="C2384" s="10"/>
      <c r="D2384" s="9" t="str">
        <f>IF(F2384="","",_xlfn.XLOOKUP(F2384,purchase!D:D,purchase!#REF!,""))</f>
        <v/>
      </c>
      <c r="E2384" s="9" t="str">
        <f>IF(F2384="","",_xlfn.XLOOKUP(F2384,purchase!D:D,purchase!B:B,""))</f>
        <v/>
      </c>
      <c r="F2384" s="2"/>
      <c r="G2384" s="4" t="str">
        <f t="shared" si="260"/>
        <v/>
      </c>
      <c r="H2384" s="4" t="str">
        <f>IF(F2384="","",_xlfn.XLOOKUP(F2384,purchase!D:D,purchase!#REF!,""))</f>
        <v/>
      </c>
      <c r="I2384" s="4" t="str">
        <f t="shared" si="261"/>
        <v/>
      </c>
      <c r="J2384" s="4" t="str">
        <f t="shared" si="262"/>
        <v/>
      </c>
      <c r="K2384" s="13" t="str">
        <f>_xlfn.SINGLE(IF(F2384="","",_xlfn.XLOOKUP(F2384,purchase!D:D,purchase!#REF!,"")))</f>
        <v/>
      </c>
      <c r="L2384" s="2"/>
      <c r="M2384" s="32"/>
      <c r="N2384" s="13" t="str">
        <f>IF(F2384="","",
MAX(0,
_xlfn.XLOOKUP(F2384,purchase!D:D,purchase!#REF!,"")
-
SUMIFS(L:L,F:F,F2384)))</f>
        <v/>
      </c>
      <c r="O2384" s="13" t="str">
        <f t="shared" si="263"/>
        <v/>
      </c>
      <c r="P2384" s="35" t="str">
        <f>_xlfn.SINGLE(IF(F2384="","",_xlfn.XLOOKUP(F2384,purchase!D:D,purchase!K:K,"")))</f>
        <v/>
      </c>
      <c r="Q2384" s="29" t="str">
        <f t="shared" si="264"/>
        <v/>
      </c>
      <c r="R2384" s="37" t="str">
        <f t="shared" si="265"/>
        <v/>
      </c>
    </row>
    <row r="2385" spans="1:18" x14ac:dyDescent="0.35">
      <c r="A2385" s="8">
        <v>2381</v>
      </c>
      <c r="B2385" s="9" t="str">
        <f t="shared" si="259"/>
        <v/>
      </c>
      <c r="C2385" s="10"/>
      <c r="D2385" s="9" t="str">
        <f>IF(F2385="","",_xlfn.XLOOKUP(F2385,purchase!D:D,purchase!#REF!,""))</f>
        <v/>
      </c>
      <c r="E2385" s="9" t="str">
        <f>IF(F2385="","",_xlfn.XLOOKUP(F2385,purchase!D:D,purchase!B:B,""))</f>
        <v/>
      </c>
      <c r="F2385" s="2"/>
      <c r="G2385" s="4" t="str">
        <f t="shared" si="260"/>
        <v/>
      </c>
      <c r="H2385" s="4" t="str">
        <f>IF(F2385="","",_xlfn.XLOOKUP(F2385,purchase!D:D,purchase!#REF!,""))</f>
        <v/>
      </c>
      <c r="I2385" s="4" t="str">
        <f t="shared" si="261"/>
        <v/>
      </c>
      <c r="J2385" s="4" t="str">
        <f t="shared" si="262"/>
        <v/>
      </c>
      <c r="K2385" s="13" t="str">
        <f>_xlfn.SINGLE(IF(F2385="","",_xlfn.XLOOKUP(F2385,purchase!D:D,purchase!#REF!,"")))</f>
        <v/>
      </c>
      <c r="L2385" s="2"/>
      <c r="M2385" s="32"/>
      <c r="N2385" s="13" t="str">
        <f>IF(F2385="","",
MAX(0,
_xlfn.XLOOKUP(F2385,purchase!D:D,purchase!#REF!,"")
-
SUMIFS(L:L,F:F,F2385)))</f>
        <v/>
      </c>
      <c r="O2385" s="13" t="str">
        <f t="shared" si="263"/>
        <v/>
      </c>
      <c r="P2385" s="35" t="str">
        <f>_xlfn.SINGLE(IF(F2385="","",_xlfn.XLOOKUP(F2385,purchase!D:D,purchase!K:K,"")))</f>
        <v/>
      </c>
      <c r="Q2385" s="29" t="str">
        <f t="shared" si="264"/>
        <v/>
      </c>
      <c r="R2385" s="37" t="str">
        <f t="shared" si="265"/>
        <v/>
      </c>
    </row>
    <row r="2386" spans="1:18" x14ac:dyDescent="0.35">
      <c r="A2386" s="8">
        <v>2382</v>
      </c>
      <c r="B2386" s="9" t="str">
        <f t="shared" si="259"/>
        <v/>
      </c>
      <c r="C2386" s="10"/>
      <c r="D2386" s="9" t="str">
        <f>IF(F2386="","",_xlfn.XLOOKUP(F2386,purchase!D:D,purchase!#REF!,""))</f>
        <v/>
      </c>
      <c r="E2386" s="9" t="str">
        <f>IF(F2386="","",_xlfn.XLOOKUP(F2386,purchase!D:D,purchase!B:B,""))</f>
        <v/>
      </c>
      <c r="F2386" s="2"/>
      <c r="G2386" s="4" t="str">
        <f t="shared" si="260"/>
        <v/>
      </c>
      <c r="H2386" s="4" t="str">
        <f>IF(F2386="","",_xlfn.XLOOKUP(F2386,purchase!D:D,purchase!#REF!,""))</f>
        <v/>
      </c>
      <c r="I2386" s="4" t="str">
        <f t="shared" si="261"/>
        <v/>
      </c>
      <c r="J2386" s="4" t="str">
        <f t="shared" si="262"/>
        <v/>
      </c>
      <c r="K2386" s="13" t="str">
        <f>_xlfn.SINGLE(IF(F2386="","",_xlfn.XLOOKUP(F2386,purchase!D:D,purchase!#REF!,"")))</f>
        <v/>
      </c>
      <c r="L2386" s="2"/>
      <c r="M2386" s="32"/>
      <c r="N2386" s="13" t="str">
        <f>IF(F2386="","",
MAX(0,
_xlfn.XLOOKUP(F2386,purchase!D:D,purchase!#REF!,"")
-
SUMIFS(L:L,F:F,F2386)))</f>
        <v/>
      </c>
      <c r="O2386" s="13" t="str">
        <f t="shared" si="263"/>
        <v/>
      </c>
      <c r="P2386" s="35" t="str">
        <f>_xlfn.SINGLE(IF(F2386="","",_xlfn.XLOOKUP(F2386,purchase!D:D,purchase!K:K,"")))</f>
        <v/>
      </c>
      <c r="Q2386" s="29" t="str">
        <f t="shared" si="264"/>
        <v/>
      </c>
      <c r="R2386" s="37" t="str">
        <f t="shared" si="265"/>
        <v/>
      </c>
    </row>
    <row r="2387" spans="1:18" x14ac:dyDescent="0.35">
      <c r="A2387" s="8">
        <v>2383</v>
      </c>
      <c r="B2387" s="9" t="str">
        <f t="shared" si="259"/>
        <v/>
      </c>
      <c r="C2387" s="10"/>
      <c r="D2387" s="9" t="str">
        <f>IF(F2387="","",_xlfn.XLOOKUP(F2387,purchase!D:D,purchase!#REF!,""))</f>
        <v/>
      </c>
      <c r="E2387" s="9" t="str">
        <f>IF(F2387="","",_xlfn.XLOOKUP(F2387,purchase!D:D,purchase!B:B,""))</f>
        <v/>
      </c>
      <c r="F2387" s="2"/>
      <c r="G2387" s="4" t="str">
        <f t="shared" si="260"/>
        <v/>
      </c>
      <c r="H2387" s="4" t="str">
        <f>IF(F2387="","",_xlfn.XLOOKUP(F2387,purchase!D:D,purchase!#REF!,""))</f>
        <v/>
      </c>
      <c r="I2387" s="4" t="str">
        <f t="shared" si="261"/>
        <v/>
      </c>
      <c r="J2387" s="4" t="str">
        <f t="shared" si="262"/>
        <v/>
      </c>
      <c r="K2387" s="13" t="str">
        <f>_xlfn.SINGLE(IF(F2387="","",_xlfn.XLOOKUP(F2387,purchase!D:D,purchase!#REF!,"")))</f>
        <v/>
      </c>
      <c r="L2387" s="2"/>
      <c r="M2387" s="32"/>
      <c r="N2387" s="13" t="str">
        <f>IF(F2387="","",
MAX(0,
_xlfn.XLOOKUP(F2387,purchase!D:D,purchase!#REF!,"")
-
SUMIFS(L:L,F:F,F2387)))</f>
        <v/>
      </c>
      <c r="O2387" s="13" t="str">
        <f t="shared" si="263"/>
        <v/>
      </c>
      <c r="P2387" s="35" t="str">
        <f>_xlfn.SINGLE(IF(F2387="","",_xlfn.XLOOKUP(F2387,purchase!D:D,purchase!K:K,"")))</f>
        <v/>
      </c>
      <c r="Q2387" s="29" t="str">
        <f t="shared" si="264"/>
        <v/>
      </c>
      <c r="R2387" s="37" t="str">
        <f t="shared" si="265"/>
        <v/>
      </c>
    </row>
    <row r="2388" spans="1:18" x14ac:dyDescent="0.35">
      <c r="A2388" s="8">
        <v>2384</v>
      </c>
      <c r="B2388" s="9" t="str">
        <f t="shared" si="259"/>
        <v/>
      </c>
      <c r="C2388" s="10"/>
      <c r="D2388" s="9" t="str">
        <f>IF(F2388="","",_xlfn.XLOOKUP(F2388,purchase!D:D,purchase!#REF!,""))</f>
        <v/>
      </c>
      <c r="E2388" s="9" t="str">
        <f>IF(F2388="","",_xlfn.XLOOKUP(F2388,purchase!D:D,purchase!B:B,""))</f>
        <v/>
      </c>
      <c r="F2388" s="2"/>
      <c r="G2388" s="4" t="str">
        <f t="shared" si="260"/>
        <v/>
      </c>
      <c r="H2388" s="4" t="str">
        <f>IF(F2388="","",_xlfn.XLOOKUP(F2388,purchase!D:D,purchase!#REF!,""))</f>
        <v/>
      </c>
      <c r="I2388" s="4" t="str">
        <f t="shared" si="261"/>
        <v/>
      </c>
      <c r="J2388" s="4" t="str">
        <f t="shared" si="262"/>
        <v/>
      </c>
      <c r="K2388" s="13" t="str">
        <f>_xlfn.SINGLE(IF(F2388="","",_xlfn.XLOOKUP(F2388,purchase!D:D,purchase!#REF!,"")))</f>
        <v/>
      </c>
      <c r="L2388" s="2"/>
      <c r="M2388" s="32"/>
      <c r="N2388" s="13" t="str">
        <f>IF(F2388="","",
MAX(0,
_xlfn.XLOOKUP(F2388,purchase!D:D,purchase!#REF!,"")
-
SUMIFS(L:L,F:F,F2388)))</f>
        <v/>
      </c>
      <c r="O2388" s="13" t="str">
        <f t="shared" si="263"/>
        <v/>
      </c>
      <c r="P2388" s="35" t="str">
        <f>_xlfn.SINGLE(IF(F2388="","",_xlfn.XLOOKUP(F2388,purchase!D:D,purchase!K:K,"")))</f>
        <v/>
      </c>
      <c r="Q2388" s="29" t="str">
        <f t="shared" si="264"/>
        <v/>
      </c>
      <c r="R2388" s="37" t="str">
        <f t="shared" si="265"/>
        <v/>
      </c>
    </row>
    <row r="2389" spans="1:18" x14ac:dyDescent="0.35">
      <c r="A2389" s="8">
        <v>2385</v>
      </c>
      <c r="B2389" s="9" t="str">
        <f t="shared" si="259"/>
        <v/>
      </c>
      <c r="C2389" s="10"/>
      <c r="D2389" s="9" t="str">
        <f>IF(F2389="","",_xlfn.XLOOKUP(F2389,purchase!D:D,purchase!#REF!,""))</f>
        <v/>
      </c>
      <c r="E2389" s="9" t="str">
        <f>IF(F2389="","",_xlfn.XLOOKUP(F2389,purchase!D:D,purchase!B:B,""))</f>
        <v/>
      </c>
      <c r="F2389" s="2"/>
      <c r="G2389" s="4" t="str">
        <f t="shared" si="260"/>
        <v/>
      </c>
      <c r="H2389" s="4" t="str">
        <f>IF(F2389="","",_xlfn.XLOOKUP(F2389,purchase!D:D,purchase!#REF!,""))</f>
        <v/>
      </c>
      <c r="I2389" s="4" t="str">
        <f t="shared" si="261"/>
        <v/>
      </c>
      <c r="J2389" s="4" t="str">
        <f t="shared" si="262"/>
        <v/>
      </c>
      <c r="K2389" s="13" t="str">
        <f>_xlfn.SINGLE(IF(F2389="","",_xlfn.XLOOKUP(F2389,purchase!D:D,purchase!#REF!,"")))</f>
        <v/>
      </c>
      <c r="L2389" s="2"/>
      <c r="M2389" s="32"/>
      <c r="N2389" s="13" t="str">
        <f>IF(F2389="","",
MAX(0,
_xlfn.XLOOKUP(F2389,purchase!D:D,purchase!#REF!,"")
-
SUMIFS(L:L,F:F,F2389)))</f>
        <v/>
      </c>
      <c r="O2389" s="13" t="str">
        <f t="shared" si="263"/>
        <v/>
      </c>
      <c r="P2389" s="35" t="str">
        <f>_xlfn.SINGLE(IF(F2389="","",_xlfn.XLOOKUP(F2389,purchase!D:D,purchase!K:K,"")))</f>
        <v/>
      </c>
      <c r="Q2389" s="29" t="str">
        <f t="shared" si="264"/>
        <v/>
      </c>
      <c r="R2389" s="37" t="str">
        <f t="shared" si="265"/>
        <v/>
      </c>
    </row>
    <row r="2390" spans="1:18" x14ac:dyDescent="0.35">
      <c r="A2390" s="8">
        <v>2386</v>
      </c>
      <c r="B2390" s="9" t="str">
        <f t="shared" si="259"/>
        <v/>
      </c>
      <c r="C2390" s="10"/>
      <c r="D2390" s="9" t="str">
        <f>IF(F2390="","",_xlfn.XLOOKUP(F2390,purchase!D:D,purchase!#REF!,""))</f>
        <v/>
      </c>
      <c r="E2390" s="9" t="str">
        <f>IF(F2390="","",_xlfn.XLOOKUP(F2390,purchase!D:D,purchase!B:B,""))</f>
        <v/>
      </c>
      <c r="F2390" s="2"/>
      <c r="G2390" s="4" t="str">
        <f t="shared" si="260"/>
        <v/>
      </c>
      <c r="H2390" s="4" t="str">
        <f>IF(F2390="","",_xlfn.XLOOKUP(F2390,purchase!D:D,purchase!#REF!,""))</f>
        <v/>
      </c>
      <c r="I2390" s="4" t="str">
        <f t="shared" si="261"/>
        <v/>
      </c>
      <c r="J2390" s="4" t="str">
        <f t="shared" si="262"/>
        <v/>
      </c>
      <c r="K2390" s="13" t="str">
        <f>_xlfn.SINGLE(IF(F2390="","",_xlfn.XLOOKUP(F2390,purchase!D:D,purchase!#REF!,"")))</f>
        <v/>
      </c>
      <c r="L2390" s="2"/>
      <c r="M2390" s="32"/>
      <c r="N2390" s="13" t="str">
        <f>IF(F2390="","",
MAX(0,
_xlfn.XLOOKUP(F2390,purchase!D:D,purchase!#REF!,"")
-
SUMIFS(L:L,F:F,F2390)))</f>
        <v/>
      </c>
      <c r="O2390" s="13" t="str">
        <f t="shared" si="263"/>
        <v/>
      </c>
      <c r="P2390" s="35" t="str">
        <f>_xlfn.SINGLE(IF(F2390="","",_xlfn.XLOOKUP(F2390,purchase!D:D,purchase!K:K,"")))</f>
        <v/>
      </c>
      <c r="Q2390" s="29" t="str">
        <f t="shared" si="264"/>
        <v/>
      </c>
      <c r="R2390" s="37" t="str">
        <f t="shared" si="265"/>
        <v/>
      </c>
    </row>
    <row r="2391" spans="1:18" x14ac:dyDescent="0.35">
      <c r="A2391" s="8">
        <v>2387</v>
      </c>
      <c r="B2391" s="9" t="str">
        <f t="shared" si="259"/>
        <v/>
      </c>
      <c r="C2391" s="10"/>
      <c r="D2391" s="9" t="str">
        <f>IF(F2391="","",_xlfn.XLOOKUP(F2391,purchase!D:D,purchase!#REF!,""))</f>
        <v/>
      </c>
      <c r="E2391" s="9" t="str">
        <f>IF(F2391="","",_xlfn.XLOOKUP(F2391,purchase!D:D,purchase!B:B,""))</f>
        <v/>
      </c>
      <c r="F2391" s="2"/>
      <c r="G2391" s="4" t="str">
        <f t="shared" si="260"/>
        <v/>
      </c>
      <c r="H2391" s="4" t="str">
        <f>IF(F2391="","",_xlfn.XLOOKUP(F2391,purchase!D:D,purchase!#REF!,""))</f>
        <v/>
      </c>
      <c r="I2391" s="4" t="str">
        <f t="shared" si="261"/>
        <v/>
      </c>
      <c r="J2391" s="4" t="str">
        <f t="shared" si="262"/>
        <v/>
      </c>
      <c r="K2391" s="13" t="str">
        <f>_xlfn.SINGLE(IF(F2391="","",_xlfn.XLOOKUP(F2391,purchase!D:D,purchase!#REF!,"")))</f>
        <v/>
      </c>
      <c r="L2391" s="2"/>
      <c r="M2391" s="32"/>
      <c r="N2391" s="13" t="str">
        <f>IF(F2391="","",
MAX(0,
_xlfn.XLOOKUP(F2391,purchase!D:D,purchase!#REF!,"")
-
SUMIFS(L:L,F:F,F2391)))</f>
        <v/>
      </c>
      <c r="O2391" s="13" t="str">
        <f t="shared" si="263"/>
        <v/>
      </c>
      <c r="P2391" s="35" t="str">
        <f>_xlfn.SINGLE(IF(F2391="","",_xlfn.XLOOKUP(F2391,purchase!D:D,purchase!K:K,"")))</f>
        <v/>
      </c>
      <c r="Q2391" s="29" t="str">
        <f t="shared" si="264"/>
        <v/>
      </c>
      <c r="R2391" s="37" t="str">
        <f t="shared" si="265"/>
        <v/>
      </c>
    </row>
    <row r="2392" spans="1:18" x14ac:dyDescent="0.35">
      <c r="A2392" s="8">
        <v>2388</v>
      </c>
      <c r="B2392" s="9" t="str">
        <f t="shared" si="259"/>
        <v/>
      </c>
      <c r="C2392" s="10"/>
      <c r="D2392" s="9" t="str">
        <f>IF(F2392="","",_xlfn.XLOOKUP(F2392,purchase!D:D,purchase!#REF!,""))</f>
        <v/>
      </c>
      <c r="E2392" s="9" t="str">
        <f>IF(F2392="","",_xlfn.XLOOKUP(F2392,purchase!D:D,purchase!B:B,""))</f>
        <v/>
      </c>
      <c r="F2392" s="2"/>
      <c r="G2392" s="4" t="str">
        <f t="shared" si="260"/>
        <v/>
      </c>
      <c r="H2392" s="4" t="str">
        <f>IF(F2392="","",_xlfn.XLOOKUP(F2392,purchase!D:D,purchase!#REF!,""))</f>
        <v/>
      </c>
      <c r="I2392" s="4" t="str">
        <f t="shared" si="261"/>
        <v/>
      </c>
      <c r="J2392" s="4" t="str">
        <f t="shared" si="262"/>
        <v/>
      </c>
      <c r="K2392" s="13" t="str">
        <f>_xlfn.SINGLE(IF(F2392="","",_xlfn.XLOOKUP(F2392,purchase!D:D,purchase!#REF!,"")))</f>
        <v/>
      </c>
      <c r="L2392" s="2"/>
      <c r="M2392" s="32"/>
      <c r="N2392" s="13" t="str">
        <f>IF(F2392="","",
MAX(0,
_xlfn.XLOOKUP(F2392,purchase!D:D,purchase!#REF!,"")
-
SUMIFS(L:L,F:F,F2392)))</f>
        <v/>
      </c>
      <c r="O2392" s="13" t="str">
        <f t="shared" si="263"/>
        <v/>
      </c>
      <c r="P2392" s="35" t="str">
        <f>_xlfn.SINGLE(IF(F2392="","",_xlfn.XLOOKUP(F2392,purchase!D:D,purchase!K:K,"")))</f>
        <v/>
      </c>
      <c r="Q2392" s="29" t="str">
        <f t="shared" si="264"/>
        <v/>
      </c>
      <c r="R2392" s="37" t="str">
        <f t="shared" si="265"/>
        <v/>
      </c>
    </row>
    <row r="2393" spans="1:18" x14ac:dyDescent="0.35">
      <c r="A2393" s="8">
        <v>2389</v>
      </c>
      <c r="B2393" s="9" t="str">
        <f t="shared" si="259"/>
        <v/>
      </c>
      <c r="C2393" s="10"/>
      <c r="D2393" s="9" t="str">
        <f>IF(F2393="","",_xlfn.XLOOKUP(F2393,purchase!D:D,purchase!#REF!,""))</f>
        <v/>
      </c>
      <c r="E2393" s="9" t="str">
        <f>IF(F2393="","",_xlfn.XLOOKUP(F2393,purchase!D:D,purchase!B:B,""))</f>
        <v/>
      </c>
      <c r="F2393" s="2"/>
      <c r="G2393" s="4" t="str">
        <f t="shared" si="260"/>
        <v/>
      </c>
      <c r="H2393" s="4" t="str">
        <f>IF(F2393="","",_xlfn.XLOOKUP(F2393,purchase!D:D,purchase!#REF!,""))</f>
        <v/>
      </c>
      <c r="I2393" s="4" t="str">
        <f t="shared" si="261"/>
        <v/>
      </c>
      <c r="J2393" s="4" t="str">
        <f t="shared" si="262"/>
        <v/>
      </c>
      <c r="K2393" s="13" t="str">
        <f>_xlfn.SINGLE(IF(F2393="","",_xlfn.XLOOKUP(F2393,purchase!D:D,purchase!#REF!,"")))</f>
        <v/>
      </c>
      <c r="L2393" s="2"/>
      <c r="M2393" s="32"/>
      <c r="N2393" s="13" t="str">
        <f>IF(F2393="","",
MAX(0,
_xlfn.XLOOKUP(F2393,purchase!D:D,purchase!#REF!,"")
-
SUMIFS(L:L,F:F,F2393)))</f>
        <v/>
      </c>
      <c r="O2393" s="13" t="str">
        <f t="shared" si="263"/>
        <v/>
      </c>
      <c r="P2393" s="35" t="str">
        <f>_xlfn.SINGLE(IF(F2393="","",_xlfn.XLOOKUP(F2393,purchase!D:D,purchase!K:K,"")))</f>
        <v/>
      </c>
      <c r="Q2393" s="29" t="str">
        <f t="shared" si="264"/>
        <v/>
      </c>
      <c r="R2393" s="37" t="str">
        <f t="shared" si="265"/>
        <v/>
      </c>
    </row>
    <row r="2394" spans="1:18" x14ac:dyDescent="0.35">
      <c r="A2394" s="8">
        <v>2390</v>
      </c>
      <c r="B2394" s="9" t="str">
        <f t="shared" si="259"/>
        <v/>
      </c>
      <c r="C2394" s="10"/>
      <c r="D2394" s="9" t="str">
        <f>IF(F2394="","",_xlfn.XLOOKUP(F2394,purchase!D:D,purchase!#REF!,""))</f>
        <v/>
      </c>
      <c r="E2394" s="9" t="str">
        <f>IF(F2394="","",_xlfn.XLOOKUP(F2394,purchase!D:D,purchase!B:B,""))</f>
        <v/>
      </c>
      <c r="F2394" s="2"/>
      <c r="G2394" s="4" t="str">
        <f t="shared" si="260"/>
        <v/>
      </c>
      <c r="H2394" s="4" t="str">
        <f>IF(F2394="","",_xlfn.XLOOKUP(F2394,purchase!D:D,purchase!#REF!,""))</f>
        <v/>
      </c>
      <c r="I2394" s="4" t="str">
        <f t="shared" si="261"/>
        <v/>
      </c>
      <c r="J2394" s="4" t="str">
        <f t="shared" si="262"/>
        <v/>
      </c>
      <c r="K2394" s="13" t="str">
        <f>_xlfn.SINGLE(IF(F2394="","",_xlfn.XLOOKUP(F2394,purchase!D:D,purchase!#REF!,"")))</f>
        <v/>
      </c>
      <c r="L2394" s="2"/>
      <c r="M2394" s="32"/>
      <c r="N2394" s="13" t="str">
        <f>IF(F2394="","",
MAX(0,
_xlfn.XLOOKUP(F2394,purchase!D:D,purchase!#REF!,"")
-
SUMIFS(L:L,F:F,F2394)))</f>
        <v/>
      </c>
      <c r="O2394" s="13" t="str">
        <f t="shared" si="263"/>
        <v/>
      </c>
      <c r="P2394" s="35" t="str">
        <f>_xlfn.SINGLE(IF(F2394="","",_xlfn.XLOOKUP(F2394,purchase!D:D,purchase!K:K,"")))</f>
        <v/>
      </c>
      <c r="Q2394" s="29" t="str">
        <f t="shared" si="264"/>
        <v/>
      </c>
      <c r="R2394" s="37" t="str">
        <f t="shared" si="265"/>
        <v/>
      </c>
    </row>
    <row r="2395" spans="1:18" x14ac:dyDescent="0.35">
      <c r="A2395" s="8">
        <v>2391</v>
      </c>
      <c r="B2395" s="9" t="str">
        <f t="shared" si="259"/>
        <v/>
      </c>
      <c r="C2395" s="10"/>
      <c r="D2395" s="9" t="str">
        <f>IF(F2395="","",_xlfn.XLOOKUP(F2395,purchase!D:D,purchase!#REF!,""))</f>
        <v/>
      </c>
      <c r="E2395" s="9" t="str">
        <f>IF(F2395="","",_xlfn.XLOOKUP(F2395,purchase!D:D,purchase!B:B,""))</f>
        <v/>
      </c>
      <c r="F2395" s="2"/>
      <c r="G2395" s="4" t="str">
        <f t="shared" si="260"/>
        <v/>
      </c>
      <c r="H2395" s="4" t="str">
        <f>IF(F2395="","",_xlfn.XLOOKUP(F2395,purchase!D:D,purchase!#REF!,""))</f>
        <v/>
      </c>
      <c r="I2395" s="4" t="str">
        <f t="shared" si="261"/>
        <v/>
      </c>
      <c r="J2395" s="4" t="str">
        <f t="shared" si="262"/>
        <v/>
      </c>
      <c r="K2395" s="13" t="str">
        <f>_xlfn.SINGLE(IF(F2395="","",_xlfn.XLOOKUP(F2395,purchase!D:D,purchase!#REF!,"")))</f>
        <v/>
      </c>
      <c r="L2395" s="2"/>
      <c r="M2395" s="32"/>
      <c r="N2395" s="13" t="str">
        <f>IF(F2395="","",
MAX(0,
_xlfn.XLOOKUP(F2395,purchase!D:D,purchase!#REF!,"")
-
SUMIFS(L:L,F:F,F2395)))</f>
        <v/>
      </c>
      <c r="O2395" s="13" t="str">
        <f t="shared" si="263"/>
        <v/>
      </c>
      <c r="P2395" s="35" t="str">
        <f>_xlfn.SINGLE(IF(F2395="","",_xlfn.XLOOKUP(F2395,purchase!D:D,purchase!K:K,"")))</f>
        <v/>
      </c>
      <c r="Q2395" s="29" t="str">
        <f t="shared" si="264"/>
        <v/>
      </c>
      <c r="R2395" s="37" t="str">
        <f t="shared" si="265"/>
        <v/>
      </c>
    </row>
    <row r="2396" spans="1:18" x14ac:dyDescent="0.35">
      <c r="A2396" s="8">
        <v>2392</v>
      </c>
      <c r="B2396" s="9" t="str">
        <f t="shared" si="259"/>
        <v/>
      </c>
      <c r="C2396" s="10"/>
      <c r="D2396" s="9" t="str">
        <f>IF(F2396="","",_xlfn.XLOOKUP(F2396,purchase!D:D,purchase!#REF!,""))</f>
        <v/>
      </c>
      <c r="E2396" s="9" t="str">
        <f>IF(F2396="","",_xlfn.XLOOKUP(F2396,purchase!D:D,purchase!B:B,""))</f>
        <v/>
      </c>
      <c r="F2396" s="2"/>
      <c r="G2396" s="4" t="str">
        <f t="shared" si="260"/>
        <v/>
      </c>
      <c r="H2396" s="4" t="str">
        <f>IF(F2396="","",_xlfn.XLOOKUP(F2396,purchase!D:D,purchase!#REF!,""))</f>
        <v/>
      </c>
      <c r="I2396" s="4" t="str">
        <f t="shared" si="261"/>
        <v/>
      </c>
      <c r="J2396" s="4" t="str">
        <f t="shared" si="262"/>
        <v/>
      </c>
      <c r="K2396" s="13" t="str">
        <f>_xlfn.SINGLE(IF(F2396="","",_xlfn.XLOOKUP(F2396,purchase!D:D,purchase!#REF!,"")))</f>
        <v/>
      </c>
      <c r="L2396" s="2"/>
      <c r="M2396" s="32"/>
      <c r="N2396" s="13" t="str">
        <f>IF(F2396="","",
MAX(0,
_xlfn.XLOOKUP(F2396,purchase!D:D,purchase!#REF!,"")
-
SUMIFS(L:L,F:F,F2396)))</f>
        <v/>
      </c>
      <c r="O2396" s="13" t="str">
        <f t="shared" si="263"/>
        <v/>
      </c>
      <c r="P2396" s="35" t="str">
        <f>_xlfn.SINGLE(IF(F2396="","",_xlfn.XLOOKUP(F2396,purchase!D:D,purchase!K:K,"")))</f>
        <v/>
      </c>
      <c r="Q2396" s="29" t="str">
        <f t="shared" si="264"/>
        <v/>
      </c>
      <c r="R2396" s="37" t="str">
        <f t="shared" si="265"/>
        <v/>
      </c>
    </row>
    <row r="2397" spans="1:18" x14ac:dyDescent="0.35">
      <c r="A2397" s="8">
        <v>2393</v>
      </c>
      <c r="B2397" s="9" t="str">
        <f t="shared" si="259"/>
        <v/>
      </c>
      <c r="C2397" s="10"/>
      <c r="D2397" s="9" t="str">
        <f>IF(F2397="","",_xlfn.XLOOKUP(F2397,purchase!D:D,purchase!#REF!,""))</f>
        <v/>
      </c>
      <c r="E2397" s="9" t="str">
        <f>IF(F2397="","",_xlfn.XLOOKUP(F2397,purchase!D:D,purchase!B:B,""))</f>
        <v/>
      </c>
      <c r="F2397" s="2"/>
      <c r="G2397" s="4" t="str">
        <f t="shared" si="260"/>
        <v/>
      </c>
      <c r="H2397" s="4" t="str">
        <f>IF(F2397="","",_xlfn.XLOOKUP(F2397,purchase!D:D,purchase!#REF!,""))</f>
        <v/>
      </c>
      <c r="I2397" s="4" t="str">
        <f t="shared" si="261"/>
        <v/>
      </c>
      <c r="J2397" s="4" t="str">
        <f t="shared" si="262"/>
        <v/>
      </c>
      <c r="K2397" s="13" t="str">
        <f>_xlfn.SINGLE(IF(F2397="","",_xlfn.XLOOKUP(F2397,purchase!D:D,purchase!#REF!,"")))</f>
        <v/>
      </c>
      <c r="L2397" s="2"/>
      <c r="M2397" s="32"/>
      <c r="N2397" s="13" t="str">
        <f>IF(F2397="","",
MAX(0,
_xlfn.XLOOKUP(F2397,purchase!D:D,purchase!#REF!,"")
-
SUMIFS(L:L,F:F,F2397)))</f>
        <v/>
      </c>
      <c r="O2397" s="13" t="str">
        <f t="shared" si="263"/>
        <v/>
      </c>
      <c r="P2397" s="35" t="str">
        <f>_xlfn.SINGLE(IF(F2397="","",_xlfn.XLOOKUP(F2397,purchase!D:D,purchase!K:K,"")))</f>
        <v/>
      </c>
      <c r="Q2397" s="29" t="str">
        <f t="shared" si="264"/>
        <v/>
      </c>
      <c r="R2397" s="37" t="str">
        <f t="shared" si="265"/>
        <v/>
      </c>
    </row>
    <row r="2398" spans="1:18" x14ac:dyDescent="0.35">
      <c r="A2398" s="8">
        <v>2394</v>
      </c>
      <c r="B2398" s="9" t="str">
        <f t="shared" si="259"/>
        <v/>
      </c>
      <c r="C2398" s="10"/>
      <c r="D2398" s="9" t="str">
        <f>IF(F2398="","",_xlfn.XLOOKUP(F2398,purchase!D:D,purchase!#REF!,""))</f>
        <v/>
      </c>
      <c r="E2398" s="9" t="str">
        <f>IF(F2398="","",_xlfn.XLOOKUP(F2398,purchase!D:D,purchase!B:B,""))</f>
        <v/>
      </c>
      <c r="F2398" s="2"/>
      <c r="G2398" s="4" t="str">
        <f t="shared" si="260"/>
        <v/>
      </c>
      <c r="H2398" s="4" t="str">
        <f>IF(F2398="","",_xlfn.XLOOKUP(F2398,purchase!D:D,purchase!#REF!,""))</f>
        <v/>
      </c>
      <c r="I2398" s="4" t="str">
        <f t="shared" si="261"/>
        <v/>
      </c>
      <c r="J2398" s="4" t="str">
        <f t="shared" si="262"/>
        <v/>
      </c>
      <c r="K2398" s="13" t="str">
        <f>_xlfn.SINGLE(IF(F2398="","",_xlfn.XLOOKUP(F2398,purchase!D:D,purchase!#REF!,"")))</f>
        <v/>
      </c>
      <c r="L2398" s="2"/>
      <c r="M2398" s="32"/>
      <c r="N2398" s="13" t="str">
        <f>IF(F2398="","",
MAX(0,
_xlfn.XLOOKUP(F2398,purchase!D:D,purchase!#REF!,"")
-
SUMIFS(L:L,F:F,F2398)))</f>
        <v/>
      </c>
      <c r="O2398" s="13" t="str">
        <f t="shared" si="263"/>
        <v/>
      </c>
      <c r="P2398" s="35" t="str">
        <f>_xlfn.SINGLE(IF(F2398="","",_xlfn.XLOOKUP(F2398,purchase!D:D,purchase!K:K,"")))</f>
        <v/>
      </c>
      <c r="Q2398" s="29" t="str">
        <f t="shared" si="264"/>
        <v/>
      </c>
      <c r="R2398" s="37" t="str">
        <f t="shared" si="265"/>
        <v/>
      </c>
    </row>
    <row r="2399" spans="1:18" x14ac:dyDescent="0.35">
      <c r="A2399" s="8">
        <v>2395</v>
      </c>
      <c r="B2399" s="9" t="str">
        <f t="shared" si="259"/>
        <v/>
      </c>
      <c r="C2399" s="10"/>
      <c r="D2399" s="9" t="str">
        <f>IF(F2399="","",_xlfn.XLOOKUP(F2399,purchase!D:D,purchase!#REF!,""))</f>
        <v/>
      </c>
      <c r="E2399" s="9" t="str">
        <f>IF(F2399="","",_xlfn.XLOOKUP(F2399,purchase!D:D,purchase!B:B,""))</f>
        <v/>
      </c>
      <c r="F2399" s="2"/>
      <c r="G2399" s="4" t="str">
        <f t="shared" si="260"/>
        <v/>
      </c>
      <c r="H2399" s="4" t="str">
        <f>IF(F2399="","",_xlfn.XLOOKUP(F2399,purchase!D:D,purchase!#REF!,""))</f>
        <v/>
      </c>
      <c r="I2399" s="4" t="str">
        <f t="shared" si="261"/>
        <v/>
      </c>
      <c r="J2399" s="4" t="str">
        <f t="shared" si="262"/>
        <v/>
      </c>
      <c r="K2399" s="13" t="str">
        <f>_xlfn.SINGLE(IF(F2399="","",_xlfn.XLOOKUP(F2399,purchase!D:D,purchase!#REF!,"")))</f>
        <v/>
      </c>
      <c r="L2399" s="2"/>
      <c r="M2399" s="32"/>
      <c r="N2399" s="13" t="str">
        <f>IF(F2399="","",
MAX(0,
_xlfn.XLOOKUP(F2399,purchase!D:D,purchase!#REF!,"")
-
SUMIFS(L:L,F:F,F2399)))</f>
        <v/>
      </c>
      <c r="O2399" s="13" t="str">
        <f t="shared" si="263"/>
        <v/>
      </c>
      <c r="P2399" s="35" t="str">
        <f>_xlfn.SINGLE(IF(F2399="","",_xlfn.XLOOKUP(F2399,purchase!D:D,purchase!K:K,"")))</f>
        <v/>
      </c>
      <c r="Q2399" s="29" t="str">
        <f t="shared" si="264"/>
        <v/>
      </c>
      <c r="R2399" s="37" t="str">
        <f t="shared" si="265"/>
        <v/>
      </c>
    </row>
    <row r="2400" spans="1:18" x14ac:dyDescent="0.35">
      <c r="A2400" s="8">
        <v>2396</v>
      </c>
      <c r="B2400" s="9" t="str">
        <f t="shared" si="259"/>
        <v/>
      </c>
      <c r="C2400" s="10"/>
      <c r="D2400" s="9" t="str">
        <f>IF(F2400="","",_xlfn.XLOOKUP(F2400,purchase!D:D,purchase!#REF!,""))</f>
        <v/>
      </c>
      <c r="E2400" s="9" t="str">
        <f>IF(F2400="","",_xlfn.XLOOKUP(F2400,purchase!D:D,purchase!B:B,""))</f>
        <v/>
      </c>
      <c r="F2400" s="2"/>
      <c r="G2400" s="4" t="str">
        <f t="shared" si="260"/>
        <v/>
      </c>
      <c r="H2400" s="4" t="str">
        <f>IF(F2400="","",_xlfn.XLOOKUP(F2400,purchase!D:D,purchase!#REF!,""))</f>
        <v/>
      </c>
      <c r="I2400" s="4" t="str">
        <f t="shared" si="261"/>
        <v/>
      </c>
      <c r="J2400" s="4" t="str">
        <f t="shared" si="262"/>
        <v/>
      </c>
      <c r="K2400" s="13" t="str">
        <f>_xlfn.SINGLE(IF(F2400="","",_xlfn.XLOOKUP(F2400,purchase!D:D,purchase!#REF!,"")))</f>
        <v/>
      </c>
      <c r="L2400" s="2"/>
      <c r="M2400" s="32"/>
      <c r="N2400" s="13" t="str">
        <f>IF(F2400="","",
MAX(0,
_xlfn.XLOOKUP(F2400,purchase!D:D,purchase!#REF!,"")
-
SUMIFS(L:L,F:F,F2400)))</f>
        <v/>
      </c>
      <c r="O2400" s="13" t="str">
        <f t="shared" si="263"/>
        <v/>
      </c>
      <c r="P2400" s="35" t="str">
        <f>_xlfn.SINGLE(IF(F2400="","",_xlfn.XLOOKUP(F2400,purchase!D:D,purchase!K:K,"")))</f>
        <v/>
      </c>
      <c r="Q2400" s="29" t="str">
        <f t="shared" si="264"/>
        <v/>
      </c>
      <c r="R2400" s="37" t="str">
        <f t="shared" si="265"/>
        <v/>
      </c>
    </row>
    <row r="2401" spans="1:18" x14ac:dyDescent="0.35">
      <c r="A2401" s="8">
        <v>2397</v>
      </c>
      <c r="B2401" s="9" t="str">
        <f t="shared" si="259"/>
        <v/>
      </c>
      <c r="C2401" s="10"/>
      <c r="D2401" s="9" t="str">
        <f>IF(F2401="","",_xlfn.XLOOKUP(F2401,purchase!D:D,purchase!#REF!,""))</f>
        <v/>
      </c>
      <c r="E2401" s="9" t="str">
        <f>IF(F2401="","",_xlfn.XLOOKUP(F2401,purchase!D:D,purchase!B:B,""))</f>
        <v/>
      </c>
      <c r="F2401" s="2"/>
      <c r="G2401" s="4" t="str">
        <f t="shared" si="260"/>
        <v/>
      </c>
      <c r="H2401" s="4" t="str">
        <f>IF(F2401="","",_xlfn.XLOOKUP(F2401,purchase!D:D,purchase!#REF!,""))</f>
        <v/>
      </c>
      <c r="I2401" s="4" t="str">
        <f t="shared" si="261"/>
        <v/>
      </c>
      <c r="J2401" s="4" t="str">
        <f t="shared" si="262"/>
        <v/>
      </c>
      <c r="K2401" s="13" t="str">
        <f>_xlfn.SINGLE(IF(F2401="","",_xlfn.XLOOKUP(F2401,purchase!D:D,purchase!#REF!,"")))</f>
        <v/>
      </c>
      <c r="L2401" s="2"/>
      <c r="M2401" s="32"/>
      <c r="N2401" s="13" t="str">
        <f>IF(F2401="","",
MAX(0,
_xlfn.XLOOKUP(F2401,purchase!D:D,purchase!#REF!,"")
-
SUMIFS(L:L,F:F,F2401)))</f>
        <v/>
      </c>
      <c r="O2401" s="13" t="str">
        <f t="shared" si="263"/>
        <v/>
      </c>
      <c r="P2401" s="35" t="str">
        <f>_xlfn.SINGLE(IF(F2401="","",_xlfn.XLOOKUP(F2401,purchase!D:D,purchase!K:K,"")))</f>
        <v/>
      </c>
      <c r="Q2401" s="29" t="str">
        <f t="shared" si="264"/>
        <v/>
      </c>
      <c r="R2401" s="37" t="str">
        <f t="shared" si="265"/>
        <v/>
      </c>
    </row>
    <row r="2402" spans="1:18" x14ac:dyDescent="0.35">
      <c r="A2402" s="8">
        <v>2398</v>
      </c>
      <c r="B2402" s="9" t="str">
        <f t="shared" si="259"/>
        <v/>
      </c>
      <c r="C2402" s="10"/>
      <c r="D2402" s="9" t="str">
        <f>IF(F2402="","",_xlfn.XLOOKUP(F2402,purchase!D:D,purchase!#REF!,""))</f>
        <v/>
      </c>
      <c r="E2402" s="9" t="str">
        <f>IF(F2402="","",_xlfn.XLOOKUP(F2402,purchase!D:D,purchase!B:B,""))</f>
        <v/>
      </c>
      <c r="F2402" s="2"/>
      <c r="G2402" s="4" t="str">
        <f t="shared" si="260"/>
        <v/>
      </c>
      <c r="H2402" s="4" t="str">
        <f>IF(F2402="","",_xlfn.XLOOKUP(F2402,purchase!D:D,purchase!#REF!,""))</f>
        <v/>
      </c>
      <c r="I2402" s="4" t="str">
        <f t="shared" si="261"/>
        <v/>
      </c>
      <c r="J2402" s="4" t="str">
        <f t="shared" si="262"/>
        <v/>
      </c>
      <c r="K2402" s="13" t="str">
        <f>_xlfn.SINGLE(IF(F2402="","",_xlfn.XLOOKUP(F2402,purchase!D:D,purchase!#REF!,"")))</f>
        <v/>
      </c>
      <c r="L2402" s="2"/>
      <c r="M2402" s="32"/>
      <c r="N2402" s="13" t="str">
        <f>IF(F2402="","",
MAX(0,
_xlfn.XLOOKUP(F2402,purchase!D:D,purchase!#REF!,"")
-
SUMIFS(L:L,F:F,F2402)))</f>
        <v/>
      </c>
      <c r="O2402" s="13" t="str">
        <f t="shared" si="263"/>
        <v/>
      </c>
      <c r="P2402" s="35" t="str">
        <f>_xlfn.SINGLE(IF(F2402="","",_xlfn.XLOOKUP(F2402,purchase!D:D,purchase!K:K,"")))</f>
        <v/>
      </c>
      <c r="Q2402" s="29" t="str">
        <f t="shared" si="264"/>
        <v/>
      </c>
      <c r="R2402" s="37" t="str">
        <f t="shared" si="265"/>
        <v/>
      </c>
    </row>
    <row r="2403" spans="1:18" x14ac:dyDescent="0.35">
      <c r="A2403" s="8">
        <v>2399</v>
      </c>
      <c r="B2403" s="9" t="str">
        <f t="shared" si="259"/>
        <v/>
      </c>
      <c r="C2403" s="10"/>
      <c r="D2403" s="9" t="str">
        <f>IF(F2403="","",_xlfn.XLOOKUP(F2403,purchase!D:D,purchase!#REF!,""))</f>
        <v/>
      </c>
      <c r="E2403" s="9" t="str">
        <f>IF(F2403="","",_xlfn.XLOOKUP(F2403,purchase!D:D,purchase!B:B,""))</f>
        <v/>
      </c>
      <c r="F2403" s="2"/>
      <c r="G2403" s="4" t="str">
        <f t="shared" si="260"/>
        <v/>
      </c>
      <c r="H2403" s="4" t="str">
        <f>IF(F2403="","",_xlfn.XLOOKUP(F2403,purchase!D:D,purchase!#REF!,""))</f>
        <v/>
      </c>
      <c r="I2403" s="4" t="str">
        <f t="shared" si="261"/>
        <v/>
      </c>
      <c r="J2403" s="4" t="str">
        <f t="shared" si="262"/>
        <v/>
      </c>
      <c r="K2403" s="13" t="str">
        <f>_xlfn.SINGLE(IF(F2403="","",_xlfn.XLOOKUP(F2403,purchase!D:D,purchase!#REF!,"")))</f>
        <v/>
      </c>
      <c r="L2403" s="2"/>
      <c r="M2403" s="32"/>
      <c r="N2403" s="13" t="str">
        <f>IF(F2403="","",
MAX(0,
_xlfn.XLOOKUP(F2403,purchase!D:D,purchase!#REF!,"")
-
SUMIFS(L:L,F:F,F2403)))</f>
        <v/>
      </c>
      <c r="O2403" s="13" t="str">
        <f t="shared" si="263"/>
        <v/>
      </c>
      <c r="P2403" s="35" t="str">
        <f>_xlfn.SINGLE(IF(F2403="","",_xlfn.XLOOKUP(F2403,purchase!D:D,purchase!K:K,"")))</f>
        <v/>
      </c>
      <c r="Q2403" s="29" t="str">
        <f t="shared" si="264"/>
        <v/>
      </c>
      <c r="R2403" s="37" t="str">
        <f t="shared" si="265"/>
        <v/>
      </c>
    </row>
    <row r="2404" spans="1:18" x14ac:dyDescent="0.35">
      <c r="A2404" s="8">
        <v>2400</v>
      </c>
      <c r="B2404" s="9" t="str">
        <f t="shared" si="259"/>
        <v/>
      </c>
      <c r="C2404" s="10"/>
      <c r="D2404" s="9" t="str">
        <f>IF(F2404="","",_xlfn.XLOOKUP(F2404,purchase!D:D,purchase!#REF!,""))</f>
        <v/>
      </c>
      <c r="E2404" s="9" t="str">
        <f>IF(F2404="","",_xlfn.XLOOKUP(F2404,purchase!D:D,purchase!B:B,""))</f>
        <v/>
      </c>
      <c r="F2404" s="2"/>
      <c r="G2404" s="4" t="str">
        <f t="shared" si="260"/>
        <v/>
      </c>
      <c r="H2404" s="4" t="str">
        <f>IF(F2404="","",_xlfn.XLOOKUP(F2404,purchase!D:D,purchase!#REF!,""))</f>
        <v/>
      </c>
      <c r="I2404" s="4" t="str">
        <f t="shared" si="261"/>
        <v/>
      </c>
      <c r="J2404" s="4" t="str">
        <f t="shared" si="262"/>
        <v/>
      </c>
      <c r="K2404" s="13" t="str">
        <f>_xlfn.SINGLE(IF(F2404="","",_xlfn.XLOOKUP(F2404,purchase!D:D,purchase!#REF!,"")))</f>
        <v/>
      </c>
      <c r="L2404" s="2"/>
      <c r="M2404" s="32"/>
      <c r="N2404" s="13" t="str">
        <f>IF(F2404="","",
MAX(0,
_xlfn.XLOOKUP(F2404,purchase!D:D,purchase!#REF!,"")
-
SUMIFS(L:L,F:F,F2404)))</f>
        <v/>
      </c>
      <c r="O2404" s="13" t="str">
        <f t="shared" si="263"/>
        <v/>
      </c>
      <c r="P2404" s="35" t="str">
        <f>_xlfn.SINGLE(IF(F2404="","",_xlfn.XLOOKUP(F2404,purchase!D:D,purchase!K:K,"")))</f>
        <v/>
      </c>
      <c r="Q2404" s="29" t="str">
        <f t="shared" si="264"/>
        <v/>
      </c>
      <c r="R2404" s="37" t="str">
        <f t="shared" si="265"/>
        <v/>
      </c>
    </row>
    <row r="2405" spans="1:18" x14ac:dyDescent="0.35">
      <c r="A2405" s="8">
        <v>2401</v>
      </c>
      <c r="B2405" s="9" t="str">
        <f t="shared" si="259"/>
        <v/>
      </c>
      <c r="C2405" s="10"/>
      <c r="D2405" s="9" t="str">
        <f>IF(F2405="","",_xlfn.XLOOKUP(F2405,purchase!D:D,purchase!#REF!,""))</f>
        <v/>
      </c>
      <c r="E2405" s="9" t="str">
        <f>IF(F2405="","",_xlfn.XLOOKUP(F2405,purchase!D:D,purchase!B:B,""))</f>
        <v/>
      </c>
      <c r="F2405" s="2"/>
      <c r="G2405" s="4" t="str">
        <f t="shared" si="260"/>
        <v/>
      </c>
      <c r="H2405" s="4" t="str">
        <f>IF(F2405="","",_xlfn.XLOOKUP(F2405,purchase!D:D,purchase!#REF!,""))</f>
        <v/>
      </c>
      <c r="I2405" s="4" t="str">
        <f t="shared" si="261"/>
        <v/>
      </c>
      <c r="J2405" s="4" t="str">
        <f t="shared" si="262"/>
        <v/>
      </c>
      <c r="K2405" s="13" t="str">
        <f>_xlfn.SINGLE(IF(F2405="","",_xlfn.XLOOKUP(F2405,purchase!D:D,purchase!#REF!,"")))</f>
        <v/>
      </c>
      <c r="L2405" s="2"/>
      <c r="M2405" s="32"/>
      <c r="N2405" s="13" t="str">
        <f>IF(F2405="","",
MAX(0,
_xlfn.XLOOKUP(F2405,purchase!D:D,purchase!#REF!,"")
-
SUMIFS(L:L,F:F,F2405)))</f>
        <v/>
      </c>
      <c r="O2405" s="13" t="str">
        <f t="shared" si="263"/>
        <v/>
      </c>
      <c r="P2405" s="35" t="str">
        <f>_xlfn.SINGLE(IF(F2405="","",_xlfn.XLOOKUP(F2405,purchase!D:D,purchase!K:K,"")))</f>
        <v/>
      </c>
      <c r="Q2405" s="29" t="str">
        <f t="shared" si="264"/>
        <v/>
      </c>
      <c r="R2405" s="37" t="str">
        <f t="shared" si="265"/>
        <v/>
      </c>
    </row>
    <row r="2406" spans="1:18" x14ac:dyDescent="0.35">
      <c r="A2406" s="8">
        <v>2402</v>
      </c>
      <c r="B2406" s="9" t="str">
        <f t="shared" si="259"/>
        <v/>
      </c>
      <c r="C2406" s="10"/>
      <c r="D2406" s="9" t="str">
        <f>IF(F2406="","",_xlfn.XLOOKUP(F2406,purchase!D:D,purchase!#REF!,""))</f>
        <v/>
      </c>
      <c r="E2406" s="9" t="str">
        <f>IF(F2406="","",_xlfn.XLOOKUP(F2406,purchase!D:D,purchase!B:B,""))</f>
        <v/>
      </c>
      <c r="F2406" s="2"/>
      <c r="G2406" s="4" t="str">
        <f t="shared" si="260"/>
        <v/>
      </c>
      <c r="H2406" s="4" t="str">
        <f>IF(F2406="","",_xlfn.XLOOKUP(F2406,purchase!D:D,purchase!#REF!,""))</f>
        <v/>
      </c>
      <c r="I2406" s="4" t="str">
        <f t="shared" si="261"/>
        <v/>
      </c>
      <c r="J2406" s="4" t="str">
        <f t="shared" si="262"/>
        <v/>
      </c>
      <c r="K2406" s="13" t="str">
        <f>_xlfn.SINGLE(IF(F2406="","",_xlfn.XLOOKUP(F2406,purchase!D:D,purchase!#REF!,"")))</f>
        <v/>
      </c>
      <c r="L2406" s="2"/>
      <c r="M2406" s="32"/>
      <c r="N2406" s="13" t="str">
        <f>IF(F2406="","",
MAX(0,
_xlfn.XLOOKUP(F2406,purchase!D:D,purchase!#REF!,"")
-
SUMIFS(L:L,F:F,F2406)))</f>
        <v/>
      </c>
      <c r="O2406" s="13" t="str">
        <f t="shared" si="263"/>
        <v/>
      </c>
      <c r="P2406" s="35" t="str">
        <f>_xlfn.SINGLE(IF(F2406="","",_xlfn.XLOOKUP(F2406,purchase!D:D,purchase!K:K,"")))</f>
        <v/>
      </c>
      <c r="Q2406" s="29" t="str">
        <f t="shared" si="264"/>
        <v/>
      </c>
      <c r="R2406" s="37" t="str">
        <f t="shared" si="265"/>
        <v/>
      </c>
    </row>
    <row r="2407" spans="1:18" x14ac:dyDescent="0.35">
      <c r="A2407" s="8">
        <v>2403</v>
      </c>
      <c r="B2407" s="9" t="str">
        <f t="shared" si="259"/>
        <v/>
      </c>
      <c r="C2407" s="10"/>
      <c r="D2407" s="9" t="str">
        <f>IF(F2407="","",_xlfn.XLOOKUP(F2407,purchase!D:D,purchase!#REF!,""))</f>
        <v/>
      </c>
      <c r="E2407" s="9" t="str">
        <f>IF(F2407="","",_xlfn.XLOOKUP(F2407,purchase!D:D,purchase!B:B,""))</f>
        <v/>
      </c>
      <c r="F2407" s="2"/>
      <c r="G2407" s="4" t="str">
        <f t="shared" si="260"/>
        <v/>
      </c>
      <c r="H2407" s="4" t="str">
        <f>IF(F2407="","",_xlfn.XLOOKUP(F2407,purchase!D:D,purchase!#REF!,""))</f>
        <v/>
      </c>
      <c r="I2407" s="4" t="str">
        <f t="shared" si="261"/>
        <v/>
      </c>
      <c r="J2407" s="4" t="str">
        <f t="shared" si="262"/>
        <v/>
      </c>
      <c r="K2407" s="13" t="str">
        <f>_xlfn.SINGLE(IF(F2407="","",_xlfn.XLOOKUP(F2407,purchase!D:D,purchase!#REF!,"")))</f>
        <v/>
      </c>
      <c r="L2407" s="2"/>
      <c r="M2407" s="32"/>
      <c r="N2407" s="13" t="str">
        <f>IF(F2407="","",
MAX(0,
_xlfn.XLOOKUP(F2407,purchase!D:D,purchase!#REF!,"")
-
SUMIFS(L:L,F:F,F2407)))</f>
        <v/>
      </c>
      <c r="O2407" s="13" t="str">
        <f t="shared" si="263"/>
        <v/>
      </c>
      <c r="P2407" s="35" t="str">
        <f>_xlfn.SINGLE(IF(F2407="","",_xlfn.XLOOKUP(F2407,purchase!D:D,purchase!K:K,"")))</f>
        <v/>
      </c>
      <c r="Q2407" s="29" t="str">
        <f t="shared" si="264"/>
        <v/>
      </c>
      <c r="R2407" s="37" t="str">
        <f t="shared" si="265"/>
        <v/>
      </c>
    </row>
    <row r="2408" spans="1:18" x14ac:dyDescent="0.35">
      <c r="A2408" s="8">
        <v>2404</v>
      </c>
      <c r="B2408" s="9" t="str">
        <f t="shared" si="259"/>
        <v/>
      </c>
      <c r="C2408" s="10"/>
      <c r="D2408" s="9" t="str">
        <f>IF(F2408="","",_xlfn.XLOOKUP(F2408,purchase!D:D,purchase!#REF!,""))</f>
        <v/>
      </c>
      <c r="E2408" s="9" t="str">
        <f>IF(F2408="","",_xlfn.XLOOKUP(F2408,purchase!D:D,purchase!B:B,""))</f>
        <v/>
      </c>
      <c r="F2408" s="2"/>
      <c r="G2408" s="4" t="str">
        <f t="shared" si="260"/>
        <v/>
      </c>
      <c r="H2408" s="4" t="str">
        <f>IF(F2408="","",_xlfn.XLOOKUP(F2408,purchase!D:D,purchase!#REF!,""))</f>
        <v/>
      </c>
      <c r="I2408" s="4" t="str">
        <f t="shared" si="261"/>
        <v/>
      </c>
      <c r="J2408" s="4" t="str">
        <f t="shared" si="262"/>
        <v/>
      </c>
      <c r="K2408" s="13" t="str">
        <f>_xlfn.SINGLE(IF(F2408="","",_xlfn.XLOOKUP(F2408,purchase!D:D,purchase!#REF!,"")))</f>
        <v/>
      </c>
      <c r="L2408" s="2"/>
      <c r="M2408" s="32"/>
      <c r="N2408" s="13" t="str">
        <f>IF(F2408="","",
MAX(0,
_xlfn.XLOOKUP(F2408,purchase!D:D,purchase!#REF!,"")
-
SUMIFS(L:L,F:F,F2408)))</f>
        <v/>
      </c>
      <c r="O2408" s="13" t="str">
        <f t="shared" si="263"/>
        <v/>
      </c>
      <c r="P2408" s="35" t="str">
        <f>_xlfn.SINGLE(IF(F2408="","",_xlfn.XLOOKUP(F2408,purchase!D:D,purchase!K:K,"")))</f>
        <v/>
      </c>
      <c r="Q2408" s="29" t="str">
        <f t="shared" si="264"/>
        <v/>
      </c>
      <c r="R2408" s="37" t="str">
        <f t="shared" si="265"/>
        <v/>
      </c>
    </row>
    <row r="2409" spans="1:18" x14ac:dyDescent="0.35">
      <c r="A2409" s="8">
        <v>2405</v>
      </c>
      <c r="B2409" s="9" t="str">
        <f t="shared" si="259"/>
        <v/>
      </c>
      <c r="C2409" s="10"/>
      <c r="D2409" s="9" t="str">
        <f>IF(F2409="","",_xlfn.XLOOKUP(F2409,purchase!D:D,purchase!#REF!,""))</f>
        <v/>
      </c>
      <c r="E2409" s="9" t="str">
        <f>IF(F2409="","",_xlfn.XLOOKUP(F2409,purchase!D:D,purchase!B:B,""))</f>
        <v/>
      </c>
      <c r="F2409" s="2"/>
      <c r="G2409" s="4" t="str">
        <f t="shared" si="260"/>
        <v/>
      </c>
      <c r="H2409" s="4" t="str">
        <f>IF(F2409="","",_xlfn.XLOOKUP(F2409,purchase!D:D,purchase!#REF!,""))</f>
        <v/>
      </c>
      <c r="I2409" s="4" t="str">
        <f t="shared" si="261"/>
        <v/>
      </c>
      <c r="J2409" s="4" t="str">
        <f t="shared" si="262"/>
        <v/>
      </c>
      <c r="K2409" s="13" t="str">
        <f>_xlfn.SINGLE(IF(F2409="","",_xlfn.XLOOKUP(F2409,purchase!D:D,purchase!#REF!,"")))</f>
        <v/>
      </c>
      <c r="L2409" s="2"/>
      <c r="M2409" s="32"/>
      <c r="N2409" s="13" t="str">
        <f>IF(F2409="","",
MAX(0,
_xlfn.XLOOKUP(F2409,purchase!D:D,purchase!#REF!,"")
-
SUMIFS(L:L,F:F,F2409)))</f>
        <v/>
      </c>
      <c r="O2409" s="13" t="str">
        <f t="shared" si="263"/>
        <v/>
      </c>
      <c r="P2409" s="35" t="str">
        <f>_xlfn.SINGLE(IF(F2409="","",_xlfn.XLOOKUP(F2409,purchase!D:D,purchase!K:K,"")))</f>
        <v/>
      </c>
      <c r="Q2409" s="29" t="str">
        <f t="shared" si="264"/>
        <v/>
      </c>
      <c r="R2409" s="37" t="str">
        <f t="shared" si="265"/>
        <v/>
      </c>
    </row>
    <row r="2410" spans="1:18" x14ac:dyDescent="0.35">
      <c r="A2410" s="8">
        <v>2406</v>
      </c>
      <c r="B2410" s="9" t="str">
        <f t="shared" si="259"/>
        <v/>
      </c>
      <c r="C2410" s="10"/>
      <c r="D2410" s="9" t="str">
        <f>IF(F2410="","",_xlfn.XLOOKUP(F2410,purchase!D:D,purchase!#REF!,""))</f>
        <v/>
      </c>
      <c r="E2410" s="9" t="str">
        <f>IF(F2410="","",_xlfn.XLOOKUP(F2410,purchase!D:D,purchase!B:B,""))</f>
        <v/>
      </c>
      <c r="F2410" s="2"/>
      <c r="G2410" s="4" t="str">
        <f t="shared" si="260"/>
        <v/>
      </c>
      <c r="H2410" s="4" t="str">
        <f>IF(F2410="","",_xlfn.XLOOKUP(F2410,purchase!D:D,purchase!#REF!,""))</f>
        <v/>
      </c>
      <c r="I2410" s="4" t="str">
        <f t="shared" si="261"/>
        <v/>
      </c>
      <c r="J2410" s="4" t="str">
        <f t="shared" si="262"/>
        <v/>
      </c>
      <c r="K2410" s="13" t="str">
        <f>_xlfn.SINGLE(IF(F2410="","",_xlfn.XLOOKUP(F2410,purchase!D:D,purchase!#REF!,"")))</f>
        <v/>
      </c>
      <c r="L2410" s="2"/>
      <c r="M2410" s="32"/>
      <c r="N2410" s="13" t="str">
        <f>IF(F2410="","",
MAX(0,
_xlfn.XLOOKUP(F2410,purchase!D:D,purchase!#REF!,"")
-
SUMIFS(L:L,F:F,F2410)))</f>
        <v/>
      </c>
      <c r="O2410" s="13" t="str">
        <f t="shared" si="263"/>
        <v/>
      </c>
      <c r="P2410" s="35" t="str">
        <f>_xlfn.SINGLE(IF(F2410="","",_xlfn.XLOOKUP(F2410,purchase!D:D,purchase!K:K,"")))</f>
        <v/>
      </c>
      <c r="Q2410" s="29" t="str">
        <f t="shared" si="264"/>
        <v/>
      </c>
      <c r="R2410" s="37" t="str">
        <f t="shared" si="265"/>
        <v/>
      </c>
    </row>
    <row r="2411" spans="1:18" x14ac:dyDescent="0.35">
      <c r="A2411" s="8">
        <v>2407</v>
      </c>
      <c r="B2411" s="9" t="str">
        <f t="shared" si="259"/>
        <v/>
      </c>
      <c r="C2411" s="10"/>
      <c r="D2411" s="9" t="str">
        <f>IF(F2411="","",_xlfn.XLOOKUP(F2411,purchase!D:D,purchase!#REF!,""))</f>
        <v/>
      </c>
      <c r="E2411" s="9" t="str">
        <f>IF(F2411="","",_xlfn.XLOOKUP(F2411,purchase!D:D,purchase!B:B,""))</f>
        <v/>
      </c>
      <c r="F2411" s="2"/>
      <c r="G2411" s="4" t="str">
        <f t="shared" si="260"/>
        <v/>
      </c>
      <c r="H2411" s="4" t="str">
        <f>IF(F2411="","",_xlfn.XLOOKUP(F2411,purchase!D:D,purchase!#REF!,""))</f>
        <v/>
      </c>
      <c r="I2411" s="4" t="str">
        <f t="shared" si="261"/>
        <v/>
      </c>
      <c r="J2411" s="4" t="str">
        <f t="shared" si="262"/>
        <v/>
      </c>
      <c r="K2411" s="13" t="str">
        <f>_xlfn.SINGLE(IF(F2411="","",_xlfn.XLOOKUP(F2411,purchase!D:D,purchase!#REF!,"")))</f>
        <v/>
      </c>
      <c r="L2411" s="2"/>
      <c r="M2411" s="32"/>
      <c r="N2411" s="13" t="str">
        <f>IF(F2411="","",
MAX(0,
_xlfn.XLOOKUP(F2411,purchase!D:D,purchase!#REF!,"")
-
SUMIFS(L:L,F:F,F2411)))</f>
        <v/>
      </c>
      <c r="O2411" s="13" t="str">
        <f t="shared" si="263"/>
        <v/>
      </c>
      <c r="P2411" s="35" t="str">
        <f>_xlfn.SINGLE(IF(F2411="","",_xlfn.XLOOKUP(F2411,purchase!D:D,purchase!K:K,"")))</f>
        <v/>
      </c>
      <c r="Q2411" s="29" t="str">
        <f t="shared" si="264"/>
        <v/>
      </c>
      <c r="R2411" s="37" t="str">
        <f t="shared" si="265"/>
        <v/>
      </c>
    </row>
    <row r="2412" spans="1:18" x14ac:dyDescent="0.35">
      <c r="A2412" s="8">
        <v>2408</v>
      </c>
      <c r="B2412" s="9" t="str">
        <f t="shared" si="259"/>
        <v/>
      </c>
      <c r="C2412" s="10"/>
      <c r="D2412" s="9" t="str">
        <f>IF(F2412="","",_xlfn.XLOOKUP(F2412,purchase!D:D,purchase!#REF!,""))</f>
        <v/>
      </c>
      <c r="E2412" s="9" t="str">
        <f>IF(F2412="","",_xlfn.XLOOKUP(F2412,purchase!D:D,purchase!B:B,""))</f>
        <v/>
      </c>
      <c r="F2412" s="2"/>
      <c r="G2412" s="4" t="str">
        <f t="shared" si="260"/>
        <v/>
      </c>
      <c r="H2412" s="4" t="str">
        <f>IF(F2412="","",_xlfn.XLOOKUP(F2412,purchase!D:D,purchase!#REF!,""))</f>
        <v/>
      </c>
      <c r="I2412" s="4" t="str">
        <f t="shared" si="261"/>
        <v/>
      </c>
      <c r="J2412" s="4" t="str">
        <f t="shared" si="262"/>
        <v/>
      </c>
      <c r="K2412" s="13" t="str">
        <f>_xlfn.SINGLE(IF(F2412="","",_xlfn.XLOOKUP(F2412,purchase!D:D,purchase!#REF!,"")))</f>
        <v/>
      </c>
      <c r="L2412" s="2"/>
      <c r="M2412" s="32"/>
      <c r="N2412" s="13" t="str">
        <f>IF(F2412="","",
MAX(0,
_xlfn.XLOOKUP(F2412,purchase!D:D,purchase!#REF!,"")
-
SUMIFS(L:L,F:F,F2412)))</f>
        <v/>
      </c>
      <c r="O2412" s="13" t="str">
        <f t="shared" si="263"/>
        <v/>
      </c>
      <c r="P2412" s="35" t="str">
        <f>_xlfn.SINGLE(IF(F2412="","",_xlfn.XLOOKUP(F2412,purchase!D:D,purchase!K:K,"")))</f>
        <v/>
      </c>
      <c r="Q2412" s="29" t="str">
        <f t="shared" si="264"/>
        <v/>
      </c>
      <c r="R2412" s="37" t="str">
        <f t="shared" si="265"/>
        <v/>
      </c>
    </row>
    <row r="2413" spans="1:18" x14ac:dyDescent="0.35">
      <c r="A2413" s="8">
        <v>2409</v>
      </c>
      <c r="B2413" s="9" t="str">
        <f t="shared" si="259"/>
        <v/>
      </c>
      <c r="C2413" s="10"/>
      <c r="D2413" s="9" t="str">
        <f>IF(F2413="","",_xlfn.XLOOKUP(F2413,purchase!D:D,purchase!#REF!,""))</f>
        <v/>
      </c>
      <c r="E2413" s="9" t="str">
        <f>IF(F2413="","",_xlfn.XLOOKUP(F2413,purchase!D:D,purchase!B:B,""))</f>
        <v/>
      </c>
      <c r="F2413" s="2"/>
      <c r="G2413" s="4" t="str">
        <f t="shared" si="260"/>
        <v/>
      </c>
      <c r="H2413" s="4" t="str">
        <f>IF(F2413="","",_xlfn.XLOOKUP(F2413,purchase!D:D,purchase!#REF!,""))</f>
        <v/>
      </c>
      <c r="I2413" s="4" t="str">
        <f t="shared" si="261"/>
        <v/>
      </c>
      <c r="J2413" s="4" t="str">
        <f t="shared" si="262"/>
        <v/>
      </c>
      <c r="K2413" s="13" t="str">
        <f>_xlfn.SINGLE(IF(F2413="","",_xlfn.XLOOKUP(F2413,purchase!D:D,purchase!#REF!,"")))</f>
        <v/>
      </c>
      <c r="L2413" s="2"/>
      <c r="M2413" s="32"/>
      <c r="N2413" s="13" t="str">
        <f>IF(F2413="","",
MAX(0,
_xlfn.XLOOKUP(F2413,purchase!D:D,purchase!#REF!,"")
-
SUMIFS(L:L,F:F,F2413)))</f>
        <v/>
      </c>
      <c r="O2413" s="13" t="str">
        <f t="shared" si="263"/>
        <v/>
      </c>
      <c r="P2413" s="35" t="str">
        <f>_xlfn.SINGLE(IF(F2413="","",_xlfn.XLOOKUP(F2413,purchase!D:D,purchase!K:K,"")))</f>
        <v/>
      </c>
      <c r="Q2413" s="29" t="str">
        <f t="shared" si="264"/>
        <v/>
      </c>
      <c r="R2413" s="37" t="str">
        <f t="shared" si="265"/>
        <v/>
      </c>
    </row>
    <row r="2414" spans="1:18" x14ac:dyDescent="0.35">
      <c r="A2414" s="8">
        <v>2410</v>
      </c>
      <c r="B2414" s="9" t="str">
        <f t="shared" si="259"/>
        <v/>
      </c>
      <c r="C2414" s="10"/>
      <c r="D2414" s="9" t="str">
        <f>IF(F2414="","",_xlfn.XLOOKUP(F2414,purchase!D:D,purchase!#REF!,""))</f>
        <v/>
      </c>
      <c r="E2414" s="9" t="str">
        <f>IF(F2414="","",_xlfn.XLOOKUP(F2414,purchase!D:D,purchase!B:B,""))</f>
        <v/>
      </c>
      <c r="F2414" s="2"/>
      <c r="G2414" s="4" t="str">
        <f t="shared" si="260"/>
        <v/>
      </c>
      <c r="H2414" s="4" t="str">
        <f>IF(F2414="","",_xlfn.XLOOKUP(F2414,purchase!D:D,purchase!#REF!,""))</f>
        <v/>
      </c>
      <c r="I2414" s="4" t="str">
        <f t="shared" si="261"/>
        <v/>
      </c>
      <c r="J2414" s="4" t="str">
        <f t="shared" si="262"/>
        <v/>
      </c>
      <c r="K2414" s="13" t="str">
        <f>_xlfn.SINGLE(IF(F2414="","",_xlfn.XLOOKUP(F2414,purchase!D:D,purchase!#REF!,"")))</f>
        <v/>
      </c>
      <c r="L2414" s="2"/>
      <c r="M2414" s="32"/>
      <c r="N2414" s="13" t="str">
        <f>IF(F2414="","",
MAX(0,
_xlfn.XLOOKUP(F2414,purchase!D:D,purchase!#REF!,"")
-
SUMIFS(L:L,F:F,F2414)))</f>
        <v/>
      </c>
      <c r="O2414" s="13" t="str">
        <f t="shared" si="263"/>
        <v/>
      </c>
      <c r="P2414" s="35" t="str">
        <f>_xlfn.SINGLE(IF(F2414="","",_xlfn.XLOOKUP(F2414,purchase!D:D,purchase!K:K,"")))</f>
        <v/>
      </c>
      <c r="Q2414" s="29" t="str">
        <f t="shared" si="264"/>
        <v/>
      </c>
      <c r="R2414" s="37" t="str">
        <f t="shared" si="265"/>
        <v/>
      </c>
    </row>
    <row r="2415" spans="1:18" x14ac:dyDescent="0.35">
      <c r="A2415" s="8">
        <v>2411</v>
      </c>
      <c r="B2415" s="9" t="str">
        <f t="shared" si="259"/>
        <v/>
      </c>
      <c r="C2415" s="10"/>
      <c r="D2415" s="9" t="str">
        <f>IF(F2415="","",_xlfn.XLOOKUP(F2415,purchase!D:D,purchase!#REF!,""))</f>
        <v/>
      </c>
      <c r="E2415" s="9" t="str">
        <f>IF(F2415="","",_xlfn.XLOOKUP(F2415,purchase!D:D,purchase!B:B,""))</f>
        <v/>
      </c>
      <c r="F2415" s="2"/>
      <c r="G2415" s="4" t="str">
        <f t="shared" si="260"/>
        <v/>
      </c>
      <c r="H2415" s="4" t="str">
        <f>IF(F2415="","",_xlfn.XLOOKUP(F2415,purchase!D:D,purchase!#REF!,""))</f>
        <v/>
      </c>
      <c r="I2415" s="4" t="str">
        <f t="shared" si="261"/>
        <v/>
      </c>
      <c r="J2415" s="4" t="str">
        <f t="shared" si="262"/>
        <v/>
      </c>
      <c r="K2415" s="13" t="str">
        <f>_xlfn.SINGLE(IF(F2415="","",_xlfn.XLOOKUP(F2415,purchase!D:D,purchase!#REF!,"")))</f>
        <v/>
      </c>
      <c r="L2415" s="2"/>
      <c r="M2415" s="32"/>
      <c r="N2415" s="13" t="str">
        <f>IF(F2415="","",
MAX(0,
_xlfn.XLOOKUP(F2415,purchase!D:D,purchase!#REF!,"")
-
SUMIFS(L:L,F:F,F2415)))</f>
        <v/>
      </c>
      <c r="O2415" s="13" t="str">
        <f t="shared" si="263"/>
        <v/>
      </c>
      <c r="P2415" s="35" t="str">
        <f>_xlfn.SINGLE(IF(F2415="","",_xlfn.XLOOKUP(F2415,purchase!D:D,purchase!K:K,"")))</f>
        <v/>
      </c>
      <c r="Q2415" s="29" t="str">
        <f t="shared" si="264"/>
        <v/>
      </c>
      <c r="R2415" s="37" t="str">
        <f t="shared" si="265"/>
        <v/>
      </c>
    </row>
    <row r="2416" spans="1:18" x14ac:dyDescent="0.35">
      <c r="A2416" s="8">
        <v>2412</v>
      </c>
      <c r="B2416" s="9" t="str">
        <f t="shared" si="259"/>
        <v/>
      </c>
      <c r="C2416" s="10"/>
      <c r="D2416" s="9" t="str">
        <f>IF(F2416="","",_xlfn.XLOOKUP(F2416,purchase!D:D,purchase!#REF!,""))</f>
        <v/>
      </c>
      <c r="E2416" s="9" t="str">
        <f>IF(F2416="","",_xlfn.XLOOKUP(F2416,purchase!D:D,purchase!B:B,""))</f>
        <v/>
      </c>
      <c r="F2416" s="2"/>
      <c r="G2416" s="4" t="str">
        <f t="shared" si="260"/>
        <v/>
      </c>
      <c r="H2416" s="4" t="str">
        <f>IF(F2416="","",_xlfn.XLOOKUP(F2416,purchase!D:D,purchase!#REF!,""))</f>
        <v/>
      </c>
      <c r="I2416" s="4" t="str">
        <f t="shared" si="261"/>
        <v/>
      </c>
      <c r="J2416" s="4" t="str">
        <f t="shared" si="262"/>
        <v/>
      </c>
      <c r="K2416" s="13" t="str">
        <f>_xlfn.SINGLE(IF(F2416="","",_xlfn.XLOOKUP(F2416,purchase!D:D,purchase!#REF!,"")))</f>
        <v/>
      </c>
      <c r="L2416" s="2"/>
      <c r="M2416" s="32"/>
      <c r="N2416" s="13" t="str">
        <f>IF(F2416="","",
MAX(0,
_xlfn.XLOOKUP(F2416,purchase!D:D,purchase!#REF!,"")
-
SUMIFS(L:L,F:F,F2416)))</f>
        <v/>
      </c>
      <c r="O2416" s="13" t="str">
        <f t="shared" si="263"/>
        <v/>
      </c>
      <c r="P2416" s="35" t="str">
        <f>_xlfn.SINGLE(IF(F2416="","",_xlfn.XLOOKUP(F2416,purchase!D:D,purchase!K:K,"")))</f>
        <v/>
      </c>
      <c r="Q2416" s="29" t="str">
        <f t="shared" si="264"/>
        <v/>
      </c>
      <c r="R2416" s="37" t="str">
        <f t="shared" si="265"/>
        <v/>
      </c>
    </row>
    <row r="2417" spans="1:18" x14ac:dyDescent="0.35">
      <c r="A2417" s="8">
        <v>2413</v>
      </c>
      <c r="B2417" s="9" t="str">
        <f t="shared" si="259"/>
        <v/>
      </c>
      <c r="C2417" s="10"/>
      <c r="D2417" s="9" t="str">
        <f>IF(F2417="","",_xlfn.XLOOKUP(F2417,purchase!D:D,purchase!#REF!,""))</f>
        <v/>
      </c>
      <c r="E2417" s="9" t="str">
        <f>IF(F2417="","",_xlfn.XLOOKUP(F2417,purchase!D:D,purchase!B:B,""))</f>
        <v/>
      </c>
      <c r="F2417" s="2"/>
      <c r="G2417" s="4" t="str">
        <f t="shared" si="260"/>
        <v/>
      </c>
      <c r="H2417" s="4" t="str">
        <f>IF(F2417="","",_xlfn.XLOOKUP(F2417,purchase!D:D,purchase!#REF!,""))</f>
        <v/>
      </c>
      <c r="I2417" s="4" t="str">
        <f t="shared" si="261"/>
        <v/>
      </c>
      <c r="J2417" s="4" t="str">
        <f t="shared" si="262"/>
        <v/>
      </c>
      <c r="K2417" s="13" t="str">
        <f>_xlfn.SINGLE(IF(F2417="","",_xlfn.XLOOKUP(F2417,purchase!D:D,purchase!#REF!,"")))</f>
        <v/>
      </c>
      <c r="L2417" s="2"/>
      <c r="M2417" s="32"/>
      <c r="N2417" s="13" t="str">
        <f>IF(F2417="","",
MAX(0,
_xlfn.XLOOKUP(F2417,purchase!D:D,purchase!#REF!,"")
-
SUMIFS(L:L,F:F,F2417)))</f>
        <v/>
      </c>
      <c r="O2417" s="13" t="str">
        <f t="shared" si="263"/>
        <v/>
      </c>
      <c r="P2417" s="35" t="str">
        <f>_xlfn.SINGLE(IF(F2417="","",_xlfn.XLOOKUP(F2417,purchase!D:D,purchase!K:K,"")))</f>
        <v/>
      </c>
      <c r="Q2417" s="29" t="str">
        <f t="shared" si="264"/>
        <v/>
      </c>
      <c r="R2417" s="37" t="str">
        <f t="shared" si="265"/>
        <v/>
      </c>
    </row>
    <row r="2418" spans="1:18" x14ac:dyDescent="0.35">
      <c r="A2418" s="8">
        <v>2414</v>
      </c>
      <c r="B2418" s="9" t="str">
        <f t="shared" si="259"/>
        <v/>
      </c>
      <c r="C2418" s="10"/>
      <c r="D2418" s="9" t="str">
        <f>IF(F2418="","",_xlfn.XLOOKUP(F2418,purchase!D:D,purchase!#REF!,""))</f>
        <v/>
      </c>
      <c r="E2418" s="9" t="str">
        <f>IF(F2418="","",_xlfn.XLOOKUP(F2418,purchase!D:D,purchase!B:B,""))</f>
        <v/>
      </c>
      <c r="F2418" s="2"/>
      <c r="G2418" s="4" t="str">
        <f t="shared" si="260"/>
        <v/>
      </c>
      <c r="H2418" s="4" t="str">
        <f>IF(F2418="","",_xlfn.XLOOKUP(F2418,purchase!D:D,purchase!#REF!,""))</f>
        <v/>
      </c>
      <c r="I2418" s="4" t="str">
        <f t="shared" si="261"/>
        <v/>
      </c>
      <c r="J2418" s="4" t="str">
        <f t="shared" si="262"/>
        <v/>
      </c>
      <c r="K2418" s="13" t="str">
        <f>_xlfn.SINGLE(IF(F2418="","",_xlfn.XLOOKUP(F2418,purchase!D:D,purchase!#REF!,"")))</f>
        <v/>
      </c>
      <c r="L2418" s="2"/>
      <c r="M2418" s="32"/>
      <c r="N2418" s="13" t="str">
        <f>IF(F2418="","",
MAX(0,
_xlfn.XLOOKUP(F2418,purchase!D:D,purchase!#REF!,"")
-
SUMIFS(L:L,F:F,F2418)))</f>
        <v/>
      </c>
      <c r="O2418" s="13" t="str">
        <f t="shared" si="263"/>
        <v/>
      </c>
      <c r="P2418" s="35" t="str">
        <f>_xlfn.SINGLE(IF(F2418="","",_xlfn.XLOOKUP(F2418,purchase!D:D,purchase!K:K,"")))</f>
        <v/>
      </c>
      <c r="Q2418" s="29" t="str">
        <f t="shared" si="264"/>
        <v/>
      </c>
      <c r="R2418" s="37" t="str">
        <f t="shared" si="265"/>
        <v/>
      </c>
    </row>
    <row r="2419" spans="1:18" x14ac:dyDescent="0.35">
      <c r="A2419" s="8">
        <v>2415</v>
      </c>
      <c r="B2419" s="9" t="str">
        <f t="shared" si="259"/>
        <v/>
      </c>
      <c r="C2419" s="10"/>
      <c r="D2419" s="9" t="str">
        <f>IF(F2419="","",_xlfn.XLOOKUP(F2419,purchase!D:D,purchase!#REF!,""))</f>
        <v/>
      </c>
      <c r="E2419" s="9" t="str">
        <f>IF(F2419="","",_xlfn.XLOOKUP(F2419,purchase!D:D,purchase!B:B,""))</f>
        <v/>
      </c>
      <c r="F2419" s="2"/>
      <c r="G2419" s="4" t="str">
        <f t="shared" si="260"/>
        <v/>
      </c>
      <c r="H2419" s="4" t="str">
        <f>IF(F2419="","",_xlfn.XLOOKUP(F2419,purchase!D:D,purchase!#REF!,""))</f>
        <v/>
      </c>
      <c r="I2419" s="4" t="str">
        <f t="shared" si="261"/>
        <v/>
      </c>
      <c r="J2419" s="4" t="str">
        <f t="shared" si="262"/>
        <v/>
      </c>
      <c r="K2419" s="13" t="str">
        <f>_xlfn.SINGLE(IF(F2419="","",_xlfn.XLOOKUP(F2419,purchase!D:D,purchase!#REF!,"")))</f>
        <v/>
      </c>
      <c r="L2419" s="2"/>
      <c r="M2419" s="32"/>
      <c r="N2419" s="13" t="str">
        <f>IF(F2419="","",
MAX(0,
_xlfn.XLOOKUP(F2419,purchase!D:D,purchase!#REF!,"")
-
SUMIFS(L:L,F:F,F2419)))</f>
        <v/>
      </c>
      <c r="O2419" s="13" t="str">
        <f t="shared" si="263"/>
        <v/>
      </c>
      <c r="P2419" s="35" t="str">
        <f>_xlfn.SINGLE(IF(F2419="","",_xlfn.XLOOKUP(F2419,purchase!D:D,purchase!K:K,"")))</f>
        <v/>
      </c>
      <c r="Q2419" s="29" t="str">
        <f t="shared" si="264"/>
        <v/>
      </c>
      <c r="R2419" s="37" t="str">
        <f t="shared" si="265"/>
        <v/>
      </c>
    </row>
    <row r="2420" spans="1:18" x14ac:dyDescent="0.35">
      <c r="A2420" s="8">
        <v>2416</v>
      </c>
      <c r="B2420" s="9" t="str">
        <f t="shared" si="259"/>
        <v/>
      </c>
      <c r="C2420" s="10"/>
      <c r="D2420" s="9" t="str">
        <f>IF(F2420="","",_xlfn.XLOOKUP(F2420,purchase!D:D,purchase!#REF!,""))</f>
        <v/>
      </c>
      <c r="E2420" s="9" t="str">
        <f>IF(F2420="","",_xlfn.XLOOKUP(F2420,purchase!D:D,purchase!B:B,""))</f>
        <v/>
      </c>
      <c r="F2420" s="2"/>
      <c r="G2420" s="4" t="str">
        <f t="shared" si="260"/>
        <v/>
      </c>
      <c r="H2420" s="4" t="str">
        <f>IF(F2420="","",_xlfn.XLOOKUP(F2420,purchase!D:D,purchase!#REF!,""))</f>
        <v/>
      </c>
      <c r="I2420" s="4" t="str">
        <f t="shared" si="261"/>
        <v/>
      </c>
      <c r="J2420" s="4" t="str">
        <f t="shared" si="262"/>
        <v/>
      </c>
      <c r="K2420" s="13" t="str">
        <f>_xlfn.SINGLE(IF(F2420="","",_xlfn.XLOOKUP(F2420,purchase!D:D,purchase!#REF!,"")))</f>
        <v/>
      </c>
      <c r="L2420" s="2"/>
      <c r="M2420" s="32"/>
      <c r="N2420" s="13" t="str">
        <f>IF(F2420="","",
MAX(0,
_xlfn.XLOOKUP(F2420,purchase!D:D,purchase!#REF!,"")
-
SUMIFS(L:L,F:F,F2420)))</f>
        <v/>
      </c>
      <c r="O2420" s="13" t="str">
        <f t="shared" si="263"/>
        <v/>
      </c>
      <c r="P2420" s="35" t="str">
        <f>_xlfn.SINGLE(IF(F2420="","",_xlfn.XLOOKUP(F2420,purchase!D:D,purchase!K:K,"")))</f>
        <v/>
      </c>
      <c r="Q2420" s="29" t="str">
        <f t="shared" si="264"/>
        <v/>
      </c>
      <c r="R2420" s="37" t="str">
        <f t="shared" si="265"/>
        <v/>
      </c>
    </row>
    <row r="2421" spans="1:18" x14ac:dyDescent="0.35">
      <c r="A2421" s="8">
        <v>2417</v>
      </c>
      <c r="B2421" s="9" t="str">
        <f t="shared" si="259"/>
        <v/>
      </c>
      <c r="C2421" s="10"/>
      <c r="D2421" s="9" t="str">
        <f>IF(F2421="","",_xlfn.XLOOKUP(F2421,purchase!D:D,purchase!#REF!,""))</f>
        <v/>
      </c>
      <c r="E2421" s="9" t="str">
        <f>IF(F2421="","",_xlfn.XLOOKUP(F2421,purchase!D:D,purchase!B:B,""))</f>
        <v/>
      </c>
      <c r="F2421" s="2"/>
      <c r="G2421" s="4" t="str">
        <f t="shared" si="260"/>
        <v/>
      </c>
      <c r="H2421" s="4" t="str">
        <f>IF(F2421="","",_xlfn.XLOOKUP(F2421,purchase!D:D,purchase!#REF!,""))</f>
        <v/>
      </c>
      <c r="I2421" s="4" t="str">
        <f t="shared" si="261"/>
        <v/>
      </c>
      <c r="J2421" s="4" t="str">
        <f t="shared" si="262"/>
        <v/>
      </c>
      <c r="K2421" s="13" t="str">
        <f>_xlfn.SINGLE(IF(F2421="","",_xlfn.XLOOKUP(F2421,purchase!D:D,purchase!#REF!,"")))</f>
        <v/>
      </c>
      <c r="L2421" s="2"/>
      <c r="M2421" s="32"/>
      <c r="N2421" s="13" t="str">
        <f>IF(F2421="","",
MAX(0,
_xlfn.XLOOKUP(F2421,purchase!D:D,purchase!#REF!,"")
-
SUMIFS(L:L,F:F,F2421)))</f>
        <v/>
      </c>
      <c r="O2421" s="13" t="str">
        <f t="shared" si="263"/>
        <v/>
      </c>
      <c r="P2421" s="35" t="str">
        <f>_xlfn.SINGLE(IF(F2421="","",_xlfn.XLOOKUP(F2421,purchase!D:D,purchase!K:K,"")))</f>
        <v/>
      </c>
      <c r="Q2421" s="29" t="str">
        <f t="shared" si="264"/>
        <v/>
      </c>
      <c r="R2421" s="37" t="str">
        <f t="shared" si="265"/>
        <v/>
      </c>
    </row>
    <row r="2422" spans="1:18" x14ac:dyDescent="0.35">
      <c r="A2422" s="8">
        <v>2418</v>
      </c>
      <c r="B2422" s="9" t="str">
        <f t="shared" si="259"/>
        <v/>
      </c>
      <c r="C2422" s="10"/>
      <c r="D2422" s="9" t="str">
        <f>IF(F2422="","",_xlfn.XLOOKUP(F2422,purchase!D:D,purchase!#REF!,""))</f>
        <v/>
      </c>
      <c r="E2422" s="9" t="str">
        <f>IF(F2422="","",_xlfn.XLOOKUP(F2422,purchase!D:D,purchase!B:B,""))</f>
        <v/>
      </c>
      <c r="F2422" s="2"/>
      <c r="G2422" s="4" t="str">
        <f t="shared" si="260"/>
        <v/>
      </c>
      <c r="H2422" s="4" t="str">
        <f>IF(F2422="","",_xlfn.XLOOKUP(F2422,purchase!D:D,purchase!#REF!,""))</f>
        <v/>
      </c>
      <c r="I2422" s="4" t="str">
        <f t="shared" si="261"/>
        <v/>
      </c>
      <c r="J2422" s="4" t="str">
        <f t="shared" si="262"/>
        <v/>
      </c>
      <c r="K2422" s="13" t="str">
        <f>_xlfn.SINGLE(IF(F2422="","",_xlfn.XLOOKUP(F2422,purchase!D:D,purchase!#REF!,"")))</f>
        <v/>
      </c>
      <c r="L2422" s="2"/>
      <c r="M2422" s="32"/>
      <c r="N2422" s="13" t="str">
        <f>IF(F2422="","",
MAX(0,
_xlfn.XLOOKUP(F2422,purchase!D:D,purchase!#REF!,"")
-
SUMIFS(L:L,F:F,F2422)))</f>
        <v/>
      </c>
      <c r="O2422" s="13" t="str">
        <f t="shared" si="263"/>
        <v/>
      </c>
      <c r="P2422" s="35" t="str">
        <f>_xlfn.SINGLE(IF(F2422="","",_xlfn.XLOOKUP(F2422,purchase!D:D,purchase!K:K,"")))</f>
        <v/>
      </c>
      <c r="Q2422" s="29" t="str">
        <f t="shared" si="264"/>
        <v/>
      </c>
      <c r="R2422" s="37" t="str">
        <f t="shared" si="265"/>
        <v/>
      </c>
    </row>
    <row r="2423" spans="1:18" x14ac:dyDescent="0.35">
      <c r="A2423" s="8">
        <v>2419</v>
      </c>
      <c r="B2423" s="9" t="str">
        <f t="shared" si="259"/>
        <v/>
      </c>
      <c r="C2423" s="10"/>
      <c r="D2423" s="9" t="str">
        <f>IF(F2423="","",_xlfn.XLOOKUP(F2423,purchase!D:D,purchase!#REF!,""))</f>
        <v/>
      </c>
      <c r="E2423" s="9" t="str">
        <f>IF(F2423="","",_xlfn.XLOOKUP(F2423,purchase!D:D,purchase!B:B,""))</f>
        <v/>
      </c>
      <c r="F2423" s="2"/>
      <c r="G2423" s="4" t="str">
        <f t="shared" si="260"/>
        <v/>
      </c>
      <c r="H2423" s="4" t="str">
        <f>IF(F2423="","",_xlfn.XLOOKUP(F2423,purchase!D:D,purchase!#REF!,""))</f>
        <v/>
      </c>
      <c r="I2423" s="4" t="str">
        <f t="shared" si="261"/>
        <v/>
      </c>
      <c r="J2423" s="4" t="str">
        <f t="shared" si="262"/>
        <v/>
      </c>
      <c r="K2423" s="13" t="str">
        <f>_xlfn.SINGLE(IF(F2423="","",_xlfn.XLOOKUP(F2423,purchase!D:D,purchase!#REF!,"")))</f>
        <v/>
      </c>
      <c r="L2423" s="2"/>
      <c r="M2423" s="32"/>
      <c r="N2423" s="13" t="str">
        <f>IF(F2423="","",
MAX(0,
_xlfn.XLOOKUP(F2423,purchase!D:D,purchase!#REF!,"")
-
SUMIFS(L:L,F:F,F2423)))</f>
        <v/>
      </c>
      <c r="O2423" s="13" t="str">
        <f t="shared" si="263"/>
        <v/>
      </c>
      <c r="P2423" s="35" t="str">
        <f>_xlfn.SINGLE(IF(F2423="","",_xlfn.XLOOKUP(F2423,purchase!D:D,purchase!K:K,"")))</f>
        <v/>
      </c>
      <c r="Q2423" s="29" t="str">
        <f t="shared" si="264"/>
        <v/>
      </c>
      <c r="R2423" s="37" t="str">
        <f t="shared" si="265"/>
        <v/>
      </c>
    </row>
    <row r="2424" spans="1:18" x14ac:dyDescent="0.35">
      <c r="A2424" s="8">
        <v>2420</v>
      </c>
      <c r="B2424" s="9" t="str">
        <f t="shared" si="259"/>
        <v/>
      </c>
      <c r="C2424" s="10"/>
      <c r="D2424" s="9" t="str">
        <f>IF(F2424="","",_xlfn.XLOOKUP(F2424,purchase!D:D,purchase!#REF!,""))</f>
        <v/>
      </c>
      <c r="E2424" s="9" t="str">
        <f>IF(F2424="","",_xlfn.XLOOKUP(F2424,purchase!D:D,purchase!B:B,""))</f>
        <v/>
      </c>
      <c r="F2424" s="2"/>
      <c r="G2424" s="4" t="str">
        <f t="shared" si="260"/>
        <v/>
      </c>
      <c r="H2424" s="4" t="str">
        <f>IF(F2424="","",_xlfn.XLOOKUP(F2424,purchase!D:D,purchase!#REF!,""))</f>
        <v/>
      </c>
      <c r="I2424" s="4" t="str">
        <f t="shared" si="261"/>
        <v/>
      </c>
      <c r="J2424" s="4" t="str">
        <f t="shared" si="262"/>
        <v/>
      </c>
      <c r="K2424" s="13" t="str">
        <f>_xlfn.SINGLE(IF(F2424="","",_xlfn.XLOOKUP(F2424,purchase!D:D,purchase!#REF!,"")))</f>
        <v/>
      </c>
      <c r="L2424" s="2"/>
      <c r="M2424" s="32"/>
      <c r="N2424" s="13" t="str">
        <f>IF(F2424="","",
MAX(0,
_xlfn.XLOOKUP(F2424,purchase!D:D,purchase!#REF!,"")
-
SUMIFS(L:L,F:F,F2424)))</f>
        <v/>
      </c>
      <c r="O2424" s="13" t="str">
        <f t="shared" si="263"/>
        <v/>
      </c>
      <c r="P2424" s="35" t="str">
        <f>_xlfn.SINGLE(IF(F2424="","",_xlfn.XLOOKUP(F2424,purchase!D:D,purchase!K:K,"")))</f>
        <v/>
      </c>
      <c r="Q2424" s="29" t="str">
        <f t="shared" si="264"/>
        <v/>
      </c>
      <c r="R2424" s="37" t="str">
        <f t="shared" si="265"/>
        <v/>
      </c>
    </row>
    <row r="2425" spans="1:18" x14ac:dyDescent="0.35">
      <c r="A2425" s="8">
        <v>2421</v>
      </c>
      <c r="B2425" s="9" t="str">
        <f t="shared" si="259"/>
        <v/>
      </c>
      <c r="C2425" s="10"/>
      <c r="D2425" s="9" t="str">
        <f>IF(F2425="","",_xlfn.XLOOKUP(F2425,purchase!D:D,purchase!#REF!,""))</f>
        <v/>
      </c>
      <c r="E2425" s="9" t="str">
        <f>IF(F2425="","",_xlfn.XLOOKUP(F2425,purchase!D:D,purchase!B:B,""))</f>
        <v/>
      </c>
      <c r="F2425" s="2"/>
      <c r="G2425" s="4" t="str">
        <f t="shared" si="260"/>
        <v/>
      </c>
      <c r="H2425" s="4" t="str">
        <f>IF(F2425="","",_xlfn.XLOOKUP(F2425,purchase!D:D,purchase!#REF!,""))</f>
        <v/>
      </c>
      <c r="I2425" s="4" t="str">
        <f t="shared" si="261"/>
        <v/>
      </c>
      <c r="J2425" s="4" t="str">
        <f t="shared" si="262"/>
        <v/>
      </c>
      <c r="K2425" s="13" t="str">
        <f>_xlfn.SINGLE(IF(F2425="","",_xlfn.XLOOKUP(F2425,purchase!D:D,purchase!#REF!,"")))</f>
        <v/>
      </c>
      <c r="L2425" s="2"/>
      <c r="M2425" s="32"/>
      <c r="N2425" s="13" t="str">
        <f>IF(F2425="","",
MAX(0,
_xlfn.XLOOKUP(F2425,purchase!D:D,purchase!#REF!,"")
-
SUMIFS(L:L,F:F,F2425)))</f>
        <v/>
      </c>
      <c r="O2425" s="13" t="str">
        <f t="shared" si="263"/>
        <v/>
      </c>
      <c r="P2425" s="35" t="str">
        <f>_xlfn.SINGLE(IF(F2425="","",_xlfn.XLOOKUP(F2425,purchase!D:D,purchase!K:K,"")))</f>
        <v/>
      </c>
      <c r="Q2425" s="29" t="str">
        <f t="shared" si="264"/>
        <v/>
      </c>
      <c r="R2425" s="37" t="str">
        <f t="shared" si="265"/>
        <v/>
      </c>
    </row>
    <row r="2426" spans="1:18" x14ac:dyDescent="0.35">
      <c r="A2426" s="8">
        <v>2422</v>
      </c>
      <c r="B2426" s="9" t="str">
        <f t="shared" si="259"/>
        <v/>
      </c>
      <c r="C2426" s="10"/>
      <c r="D2426" s="9" t="str">
        <f>IF(F2426="","",_xlfn.XLOOKUP(F2426,purchase!D:D,purchase!#REF!,""))</f>
        <v/>
      </c>
      <c r="E2426" s="9" t="str">
        <f>IF(F2426="","",_xlfn.XLOOKUP(F2426,purchase!D:D,purchase!B:B,""))</f>
        <v/>
      </c>
      <c r="F2426" s="2"/>
      <c r="G2426" s="4" t="str">
        <f t="shared" si="260"/>
        <v/>
      </c>
      <c r="H2426" s="4" t="str">
        <f>IF(F2426="","",_xlfn.XLOOKUP(F2426,purchase!D:D,purchase!#REF!,""))</f>
        <v/>
      </c>
      <c r="I2426" s="4" t="str">
        <f t="shared" si="261"/>
        <v/>
      </c>
      <c r="J2426" s="4" t="str">
        <f t="shared" si="262"/>
        <v/>
      </c>
      <c r="K2426" s="13" t="str">
        <f>_xlfn.SINGLE(IF(F2426="","",_xlfn.XLOOKUP(F2426,purchase!D:D,purchase!#REF!,"")))</f>
        <v/>
      </c>
      <c r="L2426" s="2"/>
      <c r="M2426" s="32"/>
      <c r="N2426" s="13" t="str">
        <f>IF(F2426="","",
MAX(0,
_xlfn.XLOOKUP(F2426,purchase!D:D,purchase!#REF!,"")
-
SUMIFS(L:L,F:F,F2426)))</f>
        <v/>
      </c>
      <c r="O2426" s="13" t="str">
        <f t="shared" si="263"/>
        <v/>
      </c>
      <c r="P2426" s="35" t="str">
        <f>_xlfn.SINGLE(IF(F2426="","",_xlfn.XLOOKUP(F2426,purchase!D:D,purchase!K:K,"")))</f>
        <v/>
      </c>
      <c r="Q2426" s="29" t="str">
        <f t="shared" si="264"/>
        <v/>
      </c>
      <c r="R2426" s="37" t="str">
        <f t="shared" si="265"/>
        <v/>
      </c>
    </row>
    <row r="2427" spans="1:18" x14ac:dyDescent="0.35">
      <c r="A2427" s="8">
        <v>2423</v>
      </c>
      <c r="B2427" s="9" t="str">
        <f t="shared" si="259"/>
        <v/>
      </c>
      <c r="C2427" s="10"/>
      <c r="D2427" s="9" t="str">
        <f>IF(F2427="","",_xlfn.XLOOKUP(F2427,purchase!D:D,purchase!#REF!,""))</f>
        <v/>
      </c>
      <c r="E2427" s="9" t="str">
        <f>IF(F2427="","",_xlfn.XLOOKUP(F2427,purchase!D:D,purchase!B:B,""))</f>
        <v/>
      </c>
      <c r="F2427" s="2"/>
      <c r="G2427" s="4" t="str">
        <f t="shared" si="260"/>
        <v/>
      </c>
      <c r="H2427" s="4" t="str">
        <f>IF(F2427="","",_xlfn.XLOOKUP(F2427,purchase!D:D,purchase!#REF!,""))</f>
        <v/>
      </c>
      <c r="I2427" s="4" t="str">
        <f t="shared" si="261"/>
        <v/>
      </c>
      <c r="J2427" s="4" t="str">
        <f t="shared" si="262"/>
        <v/>
      </c>
      <c r="K2427" s="13" t="str">
        <f>_xlfn.SINGLE(IF(F2427="","",_xlfn.XLOOKUP(F2427,purchase!D:D,purchase!#REF!,"")))</f>
        <v/>
      </c>
      <c r="L2427" s="2"/>
      <c r="M2427" s="32"/>
      <c r="N2427" s="13" t="str">
        <f>IF(F2427="","",
MAX(0,
_xlfn.XLOOKUP(F2427,purchase!D:D,purchase!#REF!,"")
-
SUMIFS(L:L,F:F,F2427)))</f>
        <v/>
      </c>
      <c r="O2427" s="13" t="str">
        <f t="shared" si="263"/>
        <v/>
      </c>
      <c r="P2427" s="35" t="str">
        <f>_xlfn.SINGLE(IF(F2427="","",_xlfn.XLOOKUP(F2427,purchase!D:D,purchase!K:K,"")))</f>
        <v/>
      </c>
      <c r="Q2427" s="29" t="str">
        <f t="shared" si="264"/>
        <v/>
      </c>
      <c r="R2427" s="37" t="str">
        <f t="shared" si="265"/>
        <v/>
      </c>
    </row>
    <row r="2428" spans="1:18" x14ac:dyDescent="0.35">
      <c r="A2428" s="8">
        <v>2424</v>
      </c>
      <c r="B2428" s="9" t="str">
        <f t="shared" si="259"/>
        <v/>
      </c>
      <c r="C2428" s="10"/>
      <c r="D2428" s="9" t="str">
        <f>IF(F2428="","",_xlfn.XLOOKUP(F2428,purchase!D:D,purchase!#REF!,""))</f>
        <v/>
      </c>
      <c r="E2428" s="9" t="str">
        <f>IF(F2428="","",_xlfn.XLOOKUP(F2428,purchase!D:D,purchase!B:B,""))</f>
        <v/>
      </c>
      <c r="F2428" s="2"/>
      <c r="G2428" s="4" t="str">
        <f t="shared" si="260"/>
        <v/>
      </c>
      <c r="H2428" s="4" t="str">
        <f>IF(F2428="","",_xlfn.XLOOKUP(F2428,purchase!D:D,purchase!#REF!,""))</f>
        <v/>
      </c>
      <c r="I2428" s="4" t="str">
        <f t="shared" si="261"/>
        <v/>
      </c>
      <c r="J2428" s="4" t="str">
        <f t="shared" si="262"/>
        <v/>
      </c>
      <c r="K2428" s="13" t="str">
        <f>_xlfn.SINGLE(IF(F2428="","",_xlfn.XLOOKUP(F2428,purchase!D:D,purchase!#REF!,"")))</f>
        <v/>
      </c>
      <c r="L2428" s="2"/>
      <c r="M2428" s="32"/>
      <c r="N2428" s="13" t="str">
        <f>IF(F2428="","",
MAX(0,
_xlfn.XLOOKUP(F2428,purchase!D:D,purchase!#REF!,"")
-
SUMIFS(L:L,F:F,F2428)))</f>
        <v/>
      </c>
      <c r="O2428" s="13" t="str">
        <f t="shared" si="263"/>
        <v/>
      </c>
      <c r="P2428" s="35" t="str">
        <f>_xlfn.SINGLE(IF(F2428="","",_xlfn.XLOOKUP(F2428,purchase!D:D,purchase!K:K,"")))</f>
        <v/>
      </c>
      <c r="Q2428" s="29" t="str">
        <f t="shared" si="264"/>
        <v/>
      </c>
      <c r="R2428" s="37" t="str">
        <f t="shared" si="265"/>
        <v/>
      </c>
    </row>
    <row r="2429" spans="1:18" x14ac:dyDescent="0.35">
      <c r="A2429" s="8">
        <v>2425</v>
      </c>
      <c r="B2429" s="9" t="str">
        <f t="shared" si="259"/>
        <v/>
      </c>
      <c r="C2429" s="10"/>
      <c r="D2429" s="9" t="str">
        <f>IF(F2429="","",_xlfn.XLOOKUP(F2429,purchase!D:D,purchase!#REF!,""))</f>
        <v/>
      </c>
      <c r="E2429" s="9" t="str">
        <f>IF(F2429="","",_xlfn.XLOOKUP(F2429,purchase!D:D,purchase!B:B,""))</f>
        <v/>
      </c>
      <c r="F2429" s="2"/>
      <c r="G2429" s="4" t="str">
        <f t="shared" si="260"/>
        <v/>
      </c>
      <c r="H2429" s="4" t="str">
        <f>IF(F2429="","",_xlfn.XLOOKUP(F2429,purchase!D:D,purchase!#REF!,""))</f>
        <v/>
      </c>
      <c r="I2429" s="4" t="str">
        <f t="shared" si="261"/>
        <v/>
      </c>
      <c r="J2429" s="4" t="str">
        <f t="shared" si="262"/>
        <v/>
      </c>
      <c r="K2429" s="13" t="str">
        <f>_xlfn.SINGLE(IF(F2429="","",_xlfn.XLOOKUP(F2429,purchase!D:D,purchase!#REF!,"")))</f>
        <v/>
      </c>
      <c r="L2429" s="2"/>
      <c r="M2429" s="32"/>
      <c r="N2429" s="13" t="str">
        <f>IF(F2429="","",
MAX(0,
_xlfn.XLOOKUP(F2429,purchase!D:D,purchase!#REF!,"")
-
SUMIFS(L:L,F:F,F2429)))</f>
        <v/>
      </c>
      <c r="O2429" s="13" t="str">
        <f t="shared" si="263"/>
        <v/>
      </c>
      <c r="P2429" s="35" t="str">
        <f>_xlfn.SINGLE(IF(F2429="","",_xlfn.XLOOKUP(F2429,purchase!D:D,purchase!K:K,"")))</f>
        <v/>
      </c>
      <c r="Q2429" s="29" t="str">
        <f t="shared" si="264"/>
        <v/>
      </c>
      <c r="R2429" s="37" t="str">
        <f t="shared" si="265"/>
        <v/>
      </c>
    </row>
    <row r="2430" spans="1:18" x14ac:dyDescent="0.35">
      <c r="A2430" s="8">
        <v>2426</v>
      </c>
      <c r="B2430" s="9" t="str">
        <f t="shared" si="259"/>
        <v/>
      </c>
      <c r="C2430" s="10"/>
      <c r="D2430" s="9" t="str">
        <f>IF(F2430="","",_xlfn.XLOOKUP(F2430,purchase!D:D,purchase!#REF!,""))</f>
        <v/>
      </c>
      <c r="E2430" s="9" t="str">
        <f>IF(F2430="","",_xlfn.XLOOKUP(F2430,purchase!D:D,purchase!B:B,""))</f>
        <v/>
      </c>
      <c r="F2430" s="2"/>
      <c r="G2430" s="4" t="str">
        <f t="shared" si="260"/>
        <v/>
      </c>
      <c r="H2430" s="4" t="str">
        <f>IF(F2430="","",_xlfn.XLOOKUP(F2430,purchase!D:D,purchase!#REF!,""))</f>
        <v/>
      </c>
      <c r="I2430" s="4" t="str">
        <f t="shared" si="261"/>
        <v/>
      </c>
      <c r="J2430" s="4" t="str">
        <f t="shared" si="262"/>
        <v/>
      </c>
      <c r="K2430" s="13" t="str">
        <f>_xlfn.SINGLE(IF(F2430="","",_xlfn.XLOOKUP(F2430,purchase!D:D,purchase!#REF!,"")))</f>
        <v/>
      </c>
      <c r="L2430" s="2"/>
      <c r="M2430" s="32"/>
      <c r="N2430" s="13" t="str">
        <f>IF(F2430="","",
MAX(0,
_xlfn.XLOOKUP(F2430,purchase!D:D,purchase!#REF!,"")
-
SUMIFS(L:L,F:F,F2430)))</f>
        <v/>
      </c>
      <c r="O2430" s="13" t="str">
        <f t="shared" si="263"/>
        <v/>
      </c>
      <c r="P2430" s="35" t="str">
        <f>_xlfn.SINGLE(IF(F2430="","",_xlfn.XLOOKUP(F2430,purchase!D:D,purchase!K:K,"")))</f>
        <v/>
      </c>
      <c r="Q2430" s="29" t="str">
        <f t="shared" si="264"/>
        <v/>
      </c>
      <c r="R2430" s="37" t="str">
        <f t="shared" si="265"/>
        <v/>
      </c>
    </row>
    <row r="2431" spans="1:18" x14ac:dyDescent="0.35">
      <c r="A2431" s="8">
        <v>2427</v>
      </c>
      <c r="B2431" s="9" t="str">
        <f t="shared" si="259"/>
        <v/>
      </c>
      <c r="C2431" s="10"/>
      <c r="D2431" s="9" t="str">
        <f>IF(F2431="","",_xlfn.XLOOKUP(F2431,purchase!D:D,purchase!#REF!,""))</f>
        <v/>
      </c>
      <c r="E2431" s="9" t="str">
        <f>IF(F2431="","",_xlfn.XLOOKUP(F2431,purchase!D:D,purchase!B:B,""))</f>
        <v/>
      </c>
      <c r="F2431" s="2"/>
      <c r="G2431" s="4" t="str">
        <f t="shared" si="260"/>
        <v/>
      </c>
      <c r="H2431" s="4" t="str">
        <f>IF(F2431="","",_xlfn.XLOOKUP(F2431,purchase!D:D,purchase!#REF!,""))</f>
        <v/>
      </c>
      <c r="I2431" s="4" t="str">
        <f t="shared" si="261"/>
        <v/>
      </c>
      <c r="J2431" s="4" t="str">
        <f t="shared" si="262"/>
        <v/>
      </c>
      <c r="K2431" s="13" t="str">
        <f>_xlfn.SINGLE(IF(F2431="","",_xlfn.XLOOKUP(F2431,purchase!D:D,purchase!#REF!,"")))</f>
        <v/>
      </c>
      <c r="L2431" s="2"/>
      <c r="M2431" s="32"/>
      <c r="N2431" s="13" t="str">
        <f>IF(F2431="","",
MAX(0,
_xlfn.XLOOKUP(F2431,purchase!D:D,purchase!#REF!,"")
-
SUMIFS(L:L,F:F,F2431)))</f>
        <v/>
      </c>
      <c r="O2431" s="13" t="str">
        <f t="shared" si="263"/>
        <v/>
      </c>
      <c r="P2431" s="35" t="str">
        <f>_xlfn.SINGLE(IF(F2431="","",_xlfn.XLOOKUP(F2431,purchase!D:D,purchase!K:K,"")))</f>
        <v/>
      </c>
      <c r="Q2431" s="29" t="str">
        <f t="shared" si="264"/>
        <v/>
      </c>
      <c r="R2431" s="37" t="str">
        <f t="shared" si="265"/>
        <v/>
      </c>
    </row>
    <row r="2432" spans="1:18" x14ac:dyDescent="0.35">
      <c r="A2432" s="8">
        <v>2428</v>
      </c>
      <c r="B2432" s="9" t="str">
        <f t="shared" si="259"/>
        <v/>
      </c>
      <c r="C2432" s="10"/>
      <c r="D2432" s="9" t="str">
        <f>IF(F2432="","",_xlfn.XLOOKUP(F2432,purchase!D:D,purchase!#REF!,""))</f>
        <v/>
      </c>
      <c r="E2432" s="9" t="str">
        <f>IF(F2432="","",_xlfn.XLOOKUP(F2432,purchase!D:D,purchase!B:B,""))</f>
        <v/>
      </c>
      <c r="F2432" s="2"/>
      <c r="G2432" s="4" t="str">
        <f t="shared" si="260"/>
        <v/>
      </c>
      <c r="H2432" s="4" t="str">
        <f>IF(F2432="","",_xlfn.XLOOKUP(F2432,purchase!D:D,purchase!#REF!,""))</f>
        <v/>
      </c>
      <c r="I2432" s="4" t="str">
        <f t="shared" si="261"/>
        <v/>
      </c>
      <c r="J2432" s="4" t="str">
        <f t="shared" si="262"/>
        <v/>
      </c>
      <c r="K2432" s="13" t="str">
        <f>_xlfn.SINGLE(IF(F2432="","",_xlfn.XLOOKUP(F2432,purchase!D:D,purchase!#REF!,"")))</f>
        <v/>
      </c>
      <c r="L2432" s="2"/>
      <c r="M2432" s="32"/>
      <c r="N2432" s="13" t="str">
        <f>IF(F2432="","",
MAX(0,
_xlfn.XLOOKUP(F2432,purchase!D:D,purchase!#REF!,"")
-
SUMIFS(L:L,F:F,F2432)))</f>
        <v/>
      </c>
      <c r="O2432" s="13" t="str">
        <f t="shared" si="263"/>
        <v/>
      </c>
      <c r="P2432" s="35" t="str">
        <f>_xlfn.SINGLE(IF(F2432="","",_xlfn.XLOOKUP(F2432,purchase!D:D,purchase!K:K,"")))</f>
        <v/>
      </c>
      <c r="Q2432" s="29" t="str">
        <f t="shared" si="264"/>
        <v/>
      </c>
      <c r="R2432" s="37" t="str">
        <f t="shared" si="265"/>
        <v/>
      </c>
    </row>
    <row r="2433" spans="1:18" x14ac:dyDescent="0.35">
      <c r="A2433" s="8">
        <v>2429</v>
      </c>
      <c r="B2433" s="9" t="str">
        <f t="shared" si="259"/>
        <v/>
      </c>
      <c r="C2433" s="10"/>
      <c r="D2433" s="9" t="str">
        <f>IF(F2433="","",_xlfn.XLOOKUP(F2433,purchase!D:D,purchase!#REF!,""))</f>
        <v/>
      </c>
      <c r="E2433" s="9" t="str">
        <f>IF(F2433="","",_xlfn.XLOOKUP(F2433,purchase!D:D,purchase!B:B,""))</f>
        <v/>
      </c>
      <c r="F2433" s="2"/>
      <c r="G2433" s="4" t="str">
        <f t="shared" si="260"/>
        <v/>
      </c>
      <c r="H2433" s="4" t="str">
        <f>IF(F2433="","",_xlfn.XLOOKUP(F2433,purchase!D:D,purchase!#REF!,""))</f>
        <v/>
      </c>
      <c r="I2433" s="4" t="str">
        <f t="shared" si="261"/>
        <v/>
      </c>
      <c r="J2433" s="4" t="str">
        <f t="shared" si="262"/>
        <v/>
      </c>
      <c r="K2433" s="13" t="str">
        <f>_xlfn.SINGLE(IF(F2433="","",_xlfn.XLOOKUP(F2433,purchase!D:D,purchase!#REF!,"")))</f>
        <v/>
      </c>
      <c r="L2433" s="2"/>
      <c r="M2433" s="32"/>
      <c r="N2433" s="13" t="str">
        <f>IF(F2433="","",
MAX(0,
_xlfn.XLOOKUP(F2433,purchase!D:D,purchase!#REF!,"")
-
SUMIFS(L:L,F:F,F2433)))</f>
        <v/>
      </c>
      <c r="O2433" s="13" t="str">
        <f t="shared" si="263"/>
        <v/>
      </c>
      <c r="P2433" s="35" t="str">
        <f>_xlfn.SINGLE(IF(F2433="","",_xlfn.XLOOKUP(F2433,purchase!D:D,purchase!K:K,"")))</f>
        <v/>
      </c>
      <c r="Q2433" s="29" t="str">
        <f t="shared" si="264"/>
        <v/>
      </c>
      <c r="R2433" s="37" t="str">
        <f t="shared" si="265"/>
        <v/>
      </c>
    </row>
    <row r="2434" spans="1:18" x14ac:dyDescent="0.35">
      <c r="A2434" s="8">
        <v>2430</v>
      </c>
      <c r="B2434" s="9" t="str">
        <f t="shared" si="259"/>
        <v/>
      </c>
      <c r="C2434" s="10"/>
      <c r="D2434" s="9" t="str">
        <f>IF(F2434="","",_xlfn.XLOOKUP(F2434,purchase!D:D,purchase!#REF!,""))</f>
        <v/>
      </c>
      <c r="E2434" s="9" t="str">
        <f>IF(F2434="","",_xlfn.XLOOKUP(F2434,purchase!D:D,purchase!B:B,""))</f>
        <v/>
      </c>
      <c r="F2434" s="2"/>
      <c r="G2434" s="4" t="str">
        <f t="shared" si="260"/>
        <v/>
      </c>
      <c r="H2434" s="4" t="str">
        <f>IF(F2434="","",_xlfn.XLOOKUP(F2434,purchase!D:D,purchase!#REF!,""))</f>
        <v/>
      </c>
      <c r="I2434" s="4" t="str">
        <f t="shared" si="261"/>
        <v/>
      </c>
      <c r="J2434" s="4" t="str">
        <f t="shared" si="262"/>
        <v/>
      </c>
      <c r="K2434" s="13" t="str">
        <f>_xlfn.SINGLE(IF(F2434="","",_xlfn.XLOOKUP(F2434,purchase!D:D,purchase!#REF!,"")))</f>
        <v/>
      </c>
      <c r="L2434" s="2"/>
      <c r="M2434" s="32"/>
      <c r="N2434" s="13" t="str">
        <f>IF(F2434="","",
MAX(0,
_xlfn.XLOOKUP(F2434,purchase!D:D,purchase!#REF!,"")
-
SUMIFS(L:L,F:F,F2434)))</f>
        <v/>
      </c>
      <c r="O2434" s="13" t="str">
        <f t="shared" si="263"/>
        <v/>
      </c>
      <c r="P2434" s="35" t="str">
        <f>_xlfn.SINGLE(IF(F2434="","",_xlfn.XLOOKUP(F2434,purchase!D:D,purchase!K:K,"")))</f>
        <v/>
      </c>
      <c r="Q2434" s="29" t="str">
        <f t="shared" si="264"/>
        <v/>
      </c>
      <c r="R2434" s="37" t="str">
        <f t="shared" si="265"/>
        <v/>
      </c>
    </row>
    <row r="2435" spans="1:18" x14ac:dyDescent="0.35">
      <c r="A2435" s="8">
        <v>2431</v>
      </c>
      <c r="B2435" s="9" t="str">
        <f t="shared" si="259"/>
        <v/>
      </c>
      <c r="C2435" s="10"/>
      <c r="D2435" s="9" t="str">
        <f>IF(F2435="","",_xlfn.XLOOKUP(F2435,purchase!D:D,purchase!#REF!,""))</f>
        <v/>
      </c>
      <c r="E2435" s="9" t="str">
        <f>IF(F2435="","",_xlfn.XLOOKUP(F2435,purchase!D:D,purchase!B:B,""))</f>
        <v/>
      </c>
      <c r="F2435" s="2"/>
      <c r="G2435" s="4" t="str">
        <f t="shared" si="260"/>
        <v/>
      </c>
      <c r="H2435" s="4" t="str">
        <f>IF(F2435="","",_xlfn.XLOOKUP(F2435,purchase!D:D,purchase!#REF!,""))</f>
        <v/>
      </c>
      <c r="I2435" s="4" t="str">
        <f t="shared" si="261"/>
        <v/>
      </c>
      <c r="J2435" s="4" t="str">
        <f t="shared" si="262"/>
        <v/>
      </c>
      <c r="K2435" s="13" t="str">
        <f>_xlfn.SINGLE(IF(F2435="","",_xlfn.XLOOKUP(F2435,purchase!D:D,purchase!#REF!,"")))</f>
        <v/>
      </c>
      <c r="L2435" s="2"/>
      <c r="M2435" s="32"/>
      <c r="N2435" s="13" t="str">
        <f>IF(F2435="","",
MAX(0,
_xlfn.XLOOKUP(F2435,purchase!D:D,purchase!#REF!,"")
-
SUMIFS(L:L,F:F,F2435)))</f>
        <v/>
      </c>
      <c r="O2435" s="13" t="str">
        <f t="shared" si="263"/>
        <v/>
      </c>
      <c r="P2435" s="35" t="str">
        <f>_xlfn.SINGLE(IF(F2435="","",_xlfn.XLOOKUP(F2435,purchase!D:D,purchase!K:K,"")))</f>
        <v/>
      </c>
      <c r="Q2435" s="29" t="str">
        <f t="shared" si="264"/>
        <v/>
      </c>
      <c r="R2435" s="37" t="str">
        <f t="shared" si="265"/>
        <v/>
      </c>
    </row>
    <row r="2436" spans="1:18" x14ac:dyDescent="0.35">
      <c r="A2436" s="8">
        <v>2432</v>
      </c>
      <c r="B2436" s="9" t="str">
        <f t="shared" si="259"/>
        <v/>
      </c>
      <c r="C2436" s="10"/>
      <c r="D2436" s="9" t="str">
        <f>IF(F2436="","",_xlfn.XLOOKUP(F2436,purchase!D:D,purchase!#REF!,""))</f>
        <v/>
      </c>
      <c r="E2436" s="9" t="str">
        <f>IF(F2436="","",_xlfn.XLOOKUP(F2436,purchase!D:D,purchase!B:B,""))</f>
        <v/>
      </c>
      <c r="F2436" s="2"/>
      <c r="G2436" s="4" t="str">
        <f t="shared" si="260"/>
        <v/>
      </c>
      <c r="H2436" s="4" t="str">
        <f>IF(F2436="","",_xlfn.XLOOKUP(F2436,purchase!D:D,purchase!#REF!,""))</f>
        <v/>
      </c>
      <c r="I2436" s="4" t="str">
        <f t="shared" si="261"/>
        <v/>
      </c>
      <c r="J2436" s="4" t="str">
        <f t="shared" si="262"/>
        <v/>
      </c>
      <c r="K2436" s="13" t="str">
        <f>_xlfn.SINGLE(IF(F2436="","",_xlfn.XLOOKUP(F2436,purchase!D:D,purchase!#REF!,"")))</f>
        <v/>
      </c>
      <c r="L2436" s="2"/>
      <c r="M2436" s="32"/>
      <c r="N2436" s="13" t="str">
        <f>IF(F2436="","",
MAX(0,
_xlfn.XLOOKUP(F2436,purchase!D:D,purchase!#REF!,"")
-
SUMIFS(L:L,F:F,F2436)))</f>
        <v/>
      </c>
      <c r="O2436" s="13" t="str">
        <f t="shared" si="263"/>
        <v/>
      </c>
      <c r="P2436" s="35" t="str">
        <f>_xlfn.SINGLE(IF(F2436="","",_xlfn.XLOOKUP(F2436,purchase!D:D,purchase!K:K,"")))</f>
        <v/>
      </c>
      <c r="Q2436" s="29" t="str">
        <f t="shared" si="264"/>
        <v/>
      </c>
      <c r="R2436" s="37" t="str">
        <f t="shared" si="265"/>
        <v/>
      </c>
    </row>
    <row r="2437" spans="1:18" x14ac:dyDescent="0.35">
      <c r="A2437" s="8">
        <v>2433</v>
      </c>
      <c r="B2437" s="9" t="str">
        <f t="shared" ref="B2437:B2500" si="266">IF(OR(C2437="",F2437=""),"",
"PRD-" &amp;
TEXT(DAY(C2437),"00") &amp;
CHOOSE(MONTH(C2437),"A","B","C","D","E","F","G","H","I","J","K","L") &amp;
TEXT(YEAR(C2437),"00") &amp;
"-" &amp;
RIGHT(F2437,4))</f>
        <v/>
      </c>
      <c r="C2437" s="10"/>
      <c r="D2437" s="9" t="str">
        <f>IF(F2437="","",_xlfn.XLOOKUP(F2437,purchase!D:D,purchase!#REF!,""))</f>
        <v/>
      </c>
      <c r="E2437" s="9" t="str">
        <f>IF(F2437="","",_xlfn.XLOOKUP(F2437,purchase!D:D,purchase!B:B,""))</f>
        <v/>
      </c>
      <c r="F2437" s="2"/>
      <c r="G2437" s="4" t="str">
        <f t="shared" ref="G2437:G2500" si="267">IF(H2437="NRFC","Natural Rubber Field Coagulam","")</f>
        <v/>
      </c>
      <c r="H2437" s="4" t="str">
        <f>IF(F2437="","",_xlfn.XLOOKUP(F2437,purchase!D:D,purchase!#REF!,""))</f>
        <v/>
      </c>
      <c r="I2437" s="4" t="str">
        <f t="shared" ref="I2437:I2500" si="268">IF(J2437="ISNR20","Natural Rubber-TSNR (ISNR-20)","")</f>
        <v/>
      </c>
      <c r="J2437" s="4" t="str">
        <f t="shared" ref="J2437:J2504" si="269">IF(H2437="NRFC","ISNR20","")</f>
        <v/>
      </c>
      <c r="K2437" s="13" t="str">
        <f>_xlfn.SINGLE(IF(F2437="","",_xlfn.XLOOKUP(F2437,purchase!D:D,purchase!#REF!,"")))</f>
        <v/>
      </c>
      <c r="L2437" s="2"/>
      <c r="M2437" s="32"/>
      <c r="N2437" s="13" t="str">
        <f>IF(F2437="","",
MAX(0,
_xlfn.XLOOKUP(F2437,purchase!D:D,purchase!#REF!,"")
-
SUMIFS(L:L,F:F,F2437)))</f>
        <v/>
      </c>
      <c r="O2437" s="13" t="str">
        <f t="shared" ref="O2437:O2504" si="270">IF(OR(L2437="",M2437=""),"",L2437-M2437)</f>
        <v/>
      </c>
      <c r="P2437" s="35" t="str">
        <f>_xlfn.SINGLE(IF(F2437="","",_xlfn.XLOOKUP(F2437,purchase!D:D,purchase!K:K,"")))</f>
        <v/>
      </c>
      <c r="Q2437" s="29" t="str">
        <f t="shared" ref="Q2437:Q2504" si="271">IF(OR(L2437="",M2437=""),"",M2437/L2437)</f>
        <v/>
      </c>
      <c r="R2437" s="37" t="str">
        <f t="shared" ref="R2437:R2500" si="272">IF(OR(P2437="",Q2437=""),"",Q2437-P2437)</f>
        <v/>
      </c>
    </row>
    <row r="2438" spans="1:18" x14ac:dyDescent="0.35">
      <c r="A2438" s="8">
        <v>2434</v>
      </c>
      <c r="B2438" s="9" t="str">
        <f t="shared" si="266"/>
        <v/>
      </c>
      <c r="C2438" s="10"/>
      <c r="D2438" s="9" t="str">
        <f>IF(F2438="","",_xlfn.XLOOKUP(F2438,purchase!D:D,purchase!#REF!,""))</f>
        <v/>
      </c>
      <c r="E2438" s="9" t="str">
        <f>IF(F2438="","",_xlfn.XLOOKUP(F2438,purchase!D:D,purchase!B:B,""))</f>
        <v/>
      </c>
      <c r="F2438" s="2"/>
      <c r="G2438" s="4" t="str">
        <f t="shared" si="267"/>
        <v/>
      </c>
      <c r="H2438" s="4" t="str">
        <f>IF(F2438="","",_xlfn.XLOOKUP(F2438,purchase!D:D,purchase!#REF!,""))</f>
        <v/>
      </c>
      <c r="I2438" s="4" t="str">
        <f t="shared" si="268"/>
        <v/>
      </c>
      <c r="J2438" s="4" t="str">
        <f t="shared" si="269"/>
        <v/>
      </c>
      <c r="K2438" s="13" t="str">
        <f>_xlfn.SINGLE(IF(F2438="","",_xlfn.XLOOKUP(F2438,purchase!D:D,purchase!#REF!,"")))</f>
        <v/>
      </c>
      <c r="L2438" s="2"/>
      <c r="M2438" s="32"/>
      <c r="N2438" s="13" t="str">
        <f>IF(F2438="","",
MAX(0,
_xlfn.XLOOKUP(F2438,purchase!D:D,purchase!#REF!,"")
-
SUMIFS(L:L,F:F,F2438)))</f>
        <v/>
      </c>
      <c r="O2438" s="13" t="str">
        <f t="shared" si="270"/>
        <v/>
      </c>
      <c r="P2438" s="35" t="str">
        <f>_xlfn.SINGLE(IF(F2438="","",_xlfn.XLOOKUP(F2438,purchase!D:D,purchase!K:K,"")))</f>
        <v/>
      </c>
      <c r="Q2438" s="29" t="str">
        <f t="shared" si="271"/>
        <v/>
      </c>
      <c r="R2438" s="37" t="str">
        <f t="shared" si="272"/>
        <v/>
      </c>
    </row>
    <row r="2439" spans="1:18" x14ac:dyDescent="0.35">
      <c r="A2439" s="8">
        <v>2435</v>
      </c>
      <c r="B2439" s="9" t="str">
        <f t="shared" si="266"/>
        <v/>
      </c>
      <c r="C2439" s="10"/>
      <c r="D2439" s="9" t="str">
        <f>IF(F2439="","",_xlfn.XLOOKUP(F2439,purchase!D:D,purchase!#REF!,""))</f>
        <v/>
      </c>
      <c r="E2439" s="9" t="str">
        <f>IF(F2439="","",_xlfn.XLOOKUP(F2439,purchase!D:D,purchase!B:B,""))</f>
        <v/>
      </c>
      <c r="F2439" s="2"/>
      <c r="G2439" s="4" t="str">
        <f t="shared" si="267"/>
        <v/>
      </c>
      <c r="H2439" s="4" t="str">
        <f>IF(F2439="","",_xlfn.XLOOKUP(F2439,purchase!D:D,purchase!#REF!,""))</f>
        <v/>
      </c>
      <c r="I2439" s="4" t="str">
        <f t="shared" si="268"/>
        <v/>
      </c>
      <c r="J2439" s="4" t="str">
        <f t="shared" si="269"/>
        <v/>
      </c>
      <c r="K2439" s="13" t="str">
        <f>_xlfn.SINGLE(IF(F2439="","",_xlfn.XLOOKUP(F2439,purchase!D:D,purchase!#REF!,"")))</f>
        <v/>
      </c>
      <c r="L2439" s="2"/>
      <c r="M2439" s="32"/>
      <c r="N2439" s="13" t="str">
        <f>IF(F2439="","",
MAX(0,
_xlfn.XLOOKUP(F2439,purchase!D:D,purchase!#REF!,"")
-
SUMIFS(L:L,F:F,F2439)))</f>
        <v/>
      </c>
      <c r="O2439" s="13" t="str">
        <f t="shared" si="270"/>
        <v/>
      </c>
      <c r="P2439" s="35" t="str">
        <f>_xlfn.SINGLE(IF(F2439="","",_xlfn.XLOOKUP(F2439,purchase!D:D,purchase!K:K,"")))</f>
        <v/>
      </c>
      <c r="Q2439" s="29" t="str">
        <f t="shared" si="271"/>
        <v/>
      </c>
      <c r="R2439" s="37" t="str">
        <f t="shared" si="272"/>
        <v/>
      </c>
    </row>
    <row r="2440" spans="1:18" x14ac:dyDescent="0.35">
      <c r="A2440" s="8">
        <v>2436</v>
      </c>
      <c r="B2440" s="9" t="str">
        <f t="shared" si="266"/>
        <v/>
      </c>
      <c r="C2440" s="10"/>
      <c r="D2440" s="9" t="str">
        <f>IF(F2440="","",_xlfn.XLOOKUP(F2440,purchase!D:D,purchase!#REF!,""))</f>
        <v/>
      </c>
      <c r="E2440" s="9" t="str">
        <f>IF(F2440="","",_xlfn.XLOOKUP(F2440,purchase!D:D,purchase!B:B,""))</f>
        <v/>
      </c>
      <c r="F2440" s="2"/>
      <c r="G2440" s="4" t="str">
        <f t="shared" si="267"/>
        <v/>
      </c>
      <c r="H2440" s="4" t="str">
        <f>IF(F2440="","",_xlfn.XLOOKUP(F2440,purchase!D:D,purchase!#REF!,""))</f>
        <v/>
      </c>
      <c r="I2440" s="4" t="str">
        <f t="shared" si="268"/>
        <v/>
      </c>
      <c r="J2440" s="4" t="str">
        <f t="shared" si="269"/>
        <v/>
      </c>
      <c r="K2440" s="13" t="str">
        <f>_xlfn.SINGLE(IF(F2440="","",_xlfn.XLOOKUP(F2440,purchase!D:D,purchase!#REF!,"")))</f>
        <v/>
      </c>
      <c r="L2440" s="2"/>
      <c r="M2440" s="32"/>
      <c r="N2440" s="13" t="str">
        <f>IF(F2440="","",
MAX(0,
_xlfn.XLOOKUP(F2440,purchase!D:D,purchase!#REF!,"")
-
SUMIFS(L:L,F:F,F2440)))</f>
        <v/>
      </c>
      <c r="O2440" s="13" t="str">
        <f t="shared" si="270"/>
        <v/>
      </c>
      <c r="P2440" s="35" t="str">
        <f>_xlfn.SINGLE(IF(F2440="","",_xlfn.XLOOKUP(F2440,purchase!D:D,purchase!K:K,"")))</f>
        <v/>
      </c>
      <c r="Q2440" s="29" t="str">
        <f t="shared" si="271"/>
        <v/>
      </c>
      <c r="R2440" s="37" t="str">
        <f t="shared" si="272"/>
        <v/>
      </c>
    </row>
    <row r="2441" spans="1:18" x14ac:dyDescent="0.35">
      <c r="A2441" s="8">
        <v>2437</v>
      </c>
      <c r="B2441" s="9" t="str">
        <f t="shared" si="266"/>
        <v/>
      </c>
      <c r="C2441" s="10"/>
      <c r="D2441" s="9" t="str">
        <f>IF(F2441="","",_xlfn.XLOOKUP(F2441,purchase!D:D,purchase!#REF!,""))</f>
        <v/>
      </c>
      <c r="E2441" s="9" t="str">
        <f>IF(F2441="","",_xlfn.XLOOKUP(F2441,purchase!D:D,purchase!B:B,""))</f>
        <v/>
      </c>
      <c r="F2441" s="2"/>
      <c r="G2441" s="4" t="str">
        <f t="shared" si="267"/>
        <v/>
      </c>
      <c r="H2441" s="4" t="str">
        <f>IF(F2441="","",_xlfn.XLOOKUP(F2441,purchase!D:D,purchase!#REF!,""))</f>
        <v/>
      </c>
      <c r="I2441" s="4" t="str">
        <f t="shared" si="268"/>
        <v/>
      </c>
      <c r="J2441" s="4" t="str">
        <f t="shared" si="269"/>
        <v/>
      </c>
      <c r="K2441" s="13" t="str">
        <f>_xlfn.SINGLE(IF(F2441="","",_xlfn.XLOOKUP(F2441,purchase!D:D,purchase!#REF!,"")))</f>
        <v/>
      </c>
      <c r="L2441" s="2"/>
      <c r="M2441" s="32"/>
      <c r="N2441" s="13" t="str">
        <f>IF(F2441="","",
MAX(0,
_xlfn.XLOOKUP(F2441,purchase!D:D,purchase!#REF!,"")
-
SUMIFS(L:L,F:F,F2441)))</f>
        <v/>
      </c>
      <c r="O2441" s="13" t="str">
        <f t="shared" si="270"/>
        <v/>
      </c>
      <c r="P2441" s="35" t="str">
        <f>_xlfn.SINGLE(IF(F2441="","",_xlfn.XLOOKUP(F2441,purchase!D:D,purchase!K:K,"")))</f>
        <v/>
      </c>
      <c r="Q2441" s="29" t="str">
        <f t="shared" si="271"/>
        <v/>
      </c>
      <c r="R2441" s="37" t="str">
        <f t="shared" si="272"/>
        <v/>
      </c>
    </row>
    <row r="2442" spans="1:18" x14ac:dyDescent="0.35">
      <c r="A2442" s="8">
        <v>2438</v>
      </c>
      <c r="B2442" s="9" t="str">
        <f t="shared" si="266"/>
        <v/>
      </c>
      <c r="C2442" s="10"/>
      <c r="D2442" s="9" t="str">
        <f>IF(F2442="","",_xlfn.XLOOKUP(F2442,purchase!D:D,purchase!#REF!,""))</f>
        <v/>
      </c>
      <c r="E2442" s="9" t="str">
        <f>IF(F2442="","",_xlfn.XLOOKUP(F2442,purchase!D:D,purchase!B:B,""))</f>
        <v/>
      </c>
      <c r="F2442" s="2"/>
      <c r="G2442" s="4" t="str">
        <f t="shared" si="267"/>
        <v/>
      </c>
      <c r="H2442" s="4" t="str">
        <f>IF(F2442="","",_xlfn.XLOOKUP(F2442,purchase!D:D,purchase!#REF!,""))</f>
        <v/>
      </c>
      <c r="I2442" s="4" t="str">
        <f t="shared" si="268"/>
        <v/>
      </c>
      <c r="J2442" s="4" t="str">
        <f t="shared" si="269"/>
        <v/>
      </c>
      <c r="K2442" s="13" t="str">
        <f>_xlfn.SINGLE(IF(F2442="","",_xlfn.XLOOKUP(F2442,purchase!D:D,purchase!#REF!,"")))</f>
        <v/>
      </c>
      <c r="L2442" s="2"/>
      <c r="M2442" s="32"/>
      <c r="N2442" s="13" t="str">
        <f>IF(F2442="","",
MAX(0,
_xlfn.XLOOKUP(F2442,purchase!D:D,purchase!#REF!,"")
-
SUMIFS(L:L,F:F,F2442)))</f>
        <v/>
      </c>
      <c r="O2442" s="13" t="str">
        <f t="shared" si="270"/>
        <v/>
      </c>
      <c r="P2442" s="35" t="str">
        <f>_xlfn.SINGLE(IF(F2442="","",_xlfn.XLOOKUP(F2442,purchase!D:D,purchase!K:K,"")))</f>
        <v/>
      </c>
      <c r="Q2442" s="29" t="str">
        <f t="shared" si="271"/>
        <v/>
      </c>
      <c r="R2442" s="37" t="str">
        <f t="shared" si="272"/>
        <v/>
      </c>
    </row>
    <row r="2443" spans="1:18" x14ac:dyDescent="0.35">
      <c r="A2443" s="8">
        <v>2439</v>
      </c>
      <c r="B2443" s="9" t="str">
        <f t="shared" si="266"/>
        <v/>
      </c>
      <c r="C2443" s="10"/>
      <c r="D2443" s="9" t="str">
        <f>IF(F2443="","",_xlfn.XLOOKUP(F2443,purchase!D:D,purchase!#REF!,""))</f>
        <v/>
      </c>
      <c r="E2443" s="9" t="str">
        <f>IF(F2443="","",_xlfn.XLOOKUP(F2443,purchase!D:D,purchase!B:B,""))</f>
        <v/>
      </c>
      <c r="F2443" s="2"/>
      <c r="G2443" s="4" t="str">
        <f t="shared" si="267"/>
        <v/>
      </c>
      <c r="H2443" s="4" t="str">
        <f>IF(F2443="","",_xlfn.XLOOKUP(F2443,purchase!D:D,purchase!#REF!,""))</f>
        <v/>
      </c>
      <c r="I2443" s="4" t="str">
        <f t="shared" si="268"/>
        <v/>
      </c>
      <c r="J2443" s="4" t="str">
        <f t="shared" si="269"/>
        <v/>
      </c>
      <c r="K2443" s="13" t="str">
        <f>_xlfn.SINGLE(IF(F2443="","",_xlfn.XLOOKUP(F2443,purchase!D:D,purchase!#REF!,"")))</f>
        <v/>
      </c>
      <c r="L2443" s="2"/>
      <c r="M2443" s="32"/>
      <c r="N2443" s="13" t="str">
        <f>IF(F2443="","",
MAX(0,
_xlfn.XLOOKUP(F2443,purchase!D:D,purchase!#REF!,"")
-
SUMIFS(L:L,F:F,F2443)))</f>
        <v/>
      </c>
      <c r="O2443" s="13" t="str">
        <f t="shared" si="270"/>
        <v/>
      </c>
      <c r="P2443" s="35" t="str">
        <f>_xlfn.SINGLE(IF(F2443="","",_xlfn.XLOOKUP(F2443,purchase!D:D,purchase!K:K,"")))</f>
        <v/>
      </c>
      <c r="Q2443" s="29" t="str">
        <f t="shared" si="271"/>
        <v/>
      </c>
      <c r="R2443" s="37" t="str">
        <f t="shared" si="272"/>
        <v/>
      </c>
    </row>
    <row r="2444" spans="1:18" x14ac:dyDescent="0.35">
      <c r="A2444" s="8">
        <v>2440</v>
      </c>
      <c r="B2444" s="9" t="str">
        <f t="shared" si="266"/>
        <v/>
      </c>
      <c r="C2444" s="10"/>
      <c r="D2444" s="9" t="str">
        <f>IF(F2444="","",_xlfn.XLOOKUP(F2444,purchase!D:D,purchase!#REF!,""))</f>
        <v/>
      </c>
      <c r="E2444" s="9" t="str">
        <f>IF(F2444="","",_xlfn.XLOOKUP(F2444,purchase!D:D,purchase!B:B,""))</f>
        <v/>
      </c>
      <c r="F2444" s="2"/>
      <c r="G2444" s="4" t="str">
        <f t="shared" si="267"/>
        <v/>
      </c>
      <c r="H2444" s="4" t="str">
        <f>IF(F2444="","",_xlfn.XLOOKUP(F2444,purchase!D:D,purchase!#REF!,""))</f>
        <v/>
      </c>
      <c r="I2444" s="4" t="str">
        <f t="shared" si="268"/>
        <v/>
      </c>
      <c r="J2444" s="4" t="str">
        <f t="shared" si="269"/>
        <v/>
      </c>
      <c r="K2444" s="13" t="str">
        <f>_xlfn.SINGLE(IF(F2444="","",_xlfn.XLOOKUP(F2444,purchase!D:D,purchase!#REF!,"")))</f>
        <v/>
      </c>
      <c r="L2444" s="2"/>
      <c r="M2444" s="32"/>
      <c r="N2444" s="13" t="str">
        <f>IF(F2444="","",
MAX(0,
_xlfn.XLOOKUP(F2444,purchase!D:D,purchase!#REF!,"")
-
SUMIFS(L:L,F:F,F2444)))</f>
        <v/>
      </c>
      <c r="O2444" s="13" t="str">
        <f t="shared" si="270"/>
        <v/>
      </c>
      <c r="P2444" s="35" t="str">
        <f>_xlfn.SINGLE(IF(F2444="","",_xlfn.XLOOKUP(F2444,purchase!D:D,purchase!K:K,"")))</f>
        <v/>
      </c>
      <c r="Q2444" s="29" t="str">
        <f t="shared" si="271"/>
        <v/>
      </c>
      <c r="R2444" s="37" t="str">
        <f t="shared" si="272"/>
        <v/>
      </c>
    </row>
    <row r="2445" spans="1:18" x14ac:dyDescent="0.35">
      <c r="A2445" s="8">
        <v>2441</v>
      </c>
      <c r="B2445" s="9" t="str">
        <f t="shared" si="266"/>
        <v/>
      </c>
      <c r="C2445" s="10"/>
      <c r="D2445" s="9" t="str">
        <f>IF(F2445="","",_xlfn.XLOOKUP(F2445,purchase!D:D,purchase!#REF!,""))</f>
        <v/>
      </c>
      <c r="E2445" s="9" t="str">
        <f>IF(F2445="","",_xlfn.XLOOKUP(F2445,purchase!D:D,purchase!B:B,""))</f>
        <v/>
      </c>
      <c r="F2445" s="2"/>
      <c r="G2445" s="4" t="str">
        <f t="shared" si="267"/>
        <v/>
      </c>
      <c r="H2445" s="4" t="str">
        <f>IF(F2445="","",_xlfn.XLOOKUP(F2445,purchase!D:D,purchase!#REF!,""))</f>
        <v/>
      </c>
      <c r="I2445" s="4" t="str">
        <f t="shared" si="268"/>
        <v/>
      </c>
      <c r="J2445" s="4" t="str">
        <f t="shared" si="269"/>
        <v/>
      </c>
      <c r="K2445" s="13" t="str">
        <f>_xlfn.SINGLE(IF(F2445="","",_xlfn.XLOOKUP(F2445,purchase!D:D,purchase!#REF!,"")))</f>
        <v/>
      </c>
      <c r="L2445" s="2"/>
      <c r="M2445" s="32"/>
      <c r="N2445" s="13" t="str">
        <f>IF(F2445="","",
MAX(0,
_xlfn.XLOOKUP(F2445,purchase!D:D,purchase!#REF!,"")
-
SUMIFS(L:L,F:F,F2445)))</f>
        <v/>
      </c>
      <c r="O2445" s="13" t="str">
        <f t="shared" si="270"/>
        <v/>
      </c>
      <c r="P2445" s="35" t="str">
        <f>_xlfn.SINGLE(IF(F2445="","",_xlfn.XLOOKUP(F2445,purchase!D:D,purchase!K:K,"")))</f>
        <v/>
      </c>
      <c r="Q2445" s="29" t="str">
        <f t="shared" si="271"/>
        <v/>
      </c>
      <c r="R2445" s="37" t="str">
        <f t="shared" si="272"/>
        <v/>
      </c>
    </row>
    <row r="2446" spans="1:18" x14ac:dyDescent="0.35">
      <c r="A2446" s="8">
        <v>2442</v>
      </c>
      <c r="B2446" s="9" t="str">
        <f t="shared" si="266"/>
        <v/>
      </c>
      <c r="C2446" s="10"/>
      <c r="D2446" s="9" t="str">
        <f>IF(F2446="","",_xlfn.XLOOKUP(F2446,purchase!D:D,purchase!#REF!,""))</f>
        <v/>
      </c>
      <c r="E2446" s="9" t="str">
        <f>IF(F2446="","",_xlfn.XLOOKUP(F2446,purchase!D:D,purchase!B:B,""))</f>
        <v/>
      </c>
      <c r="F2446" s="2"/>
      <c r="G2446" s="4" t="str">
        <f t="shared" si="267"/>
        <v/>
      </c>
      <c r="H2446" s="4" t="str">
        <f>IF(F2446="","",_xlfn.XLOOKUP(F2446,purchase!D:D,purchase!#REF!,""))</f>
        <v/>
      </c>
      <c r="I2446" s="4" t="str">
        <f t="shared" si="268"/>
        <v/>
      </c>
      <c r="J2446" s="4" t="str">
        <f t="shared" si="269"/>
        <v/>
      </c>
      <c r="K2446" s="13" t="str">
        <f>_xlfn.SINGLE(IF(F2446="","",_xlfn.XLOOKUP(F2446,purchase!D:D,purchase!#REF!,"")))</f>
        <v/>
      </c>
      <c r="L2446" s="2"/>
      <c r="M2446" s="32"/>
      <c r="N2446" s="13" t="str">
        <f>IF(F2446="","",
MAX(0,
_xlfn.XLOOKUP(F2446,purchase!D:D,purchase!#REF!,"")
-
SUMIFS(L:L,F:F,F2446)))</f>
        <v/>
      </c>
      <c r="O2446" s="13" t="str">
        <f t="shared" si="270"/>
        <v/>
      </c>
      <c r="P2446" s="35" t="str">
        <f>_xlfn.SINGLE(IF(F2446="","",_xlfn.XLOOKUP(F2446,purchase!D:D,purchase!K:K,"")))</f>
        <v/>
      </c>
      <c r="Q2446" s="29" t="str">
        <f t="shared" si="271"/>
        <v/>
      </c>
      <c r="R2446" s="37" t="str">
        <f t="shared" si="272"/>
        <v/>
      </c>
    </row>
    <row r="2447" spans="1:18" x14ac:dyDescent="0.35">
      <c r="A2447" s="8">
        <v>2443</v>
      </c>
      <c r="B2447" s="9" t="str">
        <f t="shared" si="266"/>
        <v/>
      </c>
      <c r="C2447" s="10"/>
      <c r="D2447" s="9" t="str">
        <f>IF(F2447="","",_xlfn.XLOOKUP(F2447,purchase!D:D,purchase!#REF!,""))</f>
        <v/>
      </c>
      <c r="E2447" s="9" t="str">
        <f>IF(F2447="","",_xlfn.XLOOKUP(F2447,purchase!D:D,purchase!B:B,""))</f>
        <v/>
      </c>
      <c r="F2447" s="2"/>
      <c r="G2447" s="4" t="str">
        <f t="shared" si="267"/>
        <v/>
      </c>
      <c r="H2447" s="4" t="str">
        <f>IF(F2447="","",_xlfn.XLOOKUP(F2447,purchase!D:D,purchase!#REF!,""))</f>
        <v/>
      </c>
      <c r="I2447" s="4" t="str">
        <f t="shared" si="268"/>
        <v/>
      </c>
      <c r="J2447" s="4" t="str">
        <f t="shared" si="269"/>
        <v/>
      </c>
      <c r="K2447" s="13" t="str">
        <f>_xlfn.SINGLE(IF(F2447="","",_xlfn.XLOOKUP(F2447,purchase!D:D,purchase!#REF!,"")))</f>
        <v/>
      </c>
      <c r="L2447" s="2"/>
      <c r="M2447" s="32"/>
      <c r="N2447" s="13" t="str">
        <f>IF(F2447="","",
MAX(0,
_xlfn.XLOOKUP(F2447,purchase!D:D,purchase!#REF!,"")
-
SUMIFS(L:L,F:F,F2447)))</f>
        <v/>
      </c>
      <c r="O2447" s="13" t="str">
        <f t="shared" si="270"/>
        <v/>
      </c>
      <c r="P2447" s="35" t="str">
        <f>_xlfn.SINGLE(IF(F2447="","",_xlfn.XLOOKUP(F2447,purchase!D:D,purchase!K:K,"")))</f>
        <v/>
      </c>
      <c r="Q2447" s="29" t="str">
        <f t="shared" si="271"/>
        <v/>
      </c>
      <c r="R2447" s="37" t="str">
        <f t="shared" si="272"/>
        <v/>
      </c>
    </row>
    <row r="2448" spans="1:18" x14ac:dyDescent="0.35">
      <c r="A2448" s="8">
        <v>2444</v>
      </c>
      <c r="B2448" s="9" t="str">
        <f t="shared" si="266"/>
        <v/>
      </c>
      <c r="C2448" s="10"/>
      <c r="D2448" s="9" t="str">
        <f>IF(F2448="","",_xlfn.XLOOKUP(F2448,purchase!D:D,purchase!#REF!,""))</f>
        <v/>
      </c>
      <c r="E2448" s="9" t="str">
        <f>IF(F2448="","",_xlfn.XLOOKUP(F2448,purchase!D:D,purchase!B:B,""))</f>
        <v/>
      </c>
      <c r="F2448" s="2"/>
      <c r="G2448" s="4" t="str">
        <f t="shared" si="267"/>
        <v/>
      </c>
      <c r="H2448" s="4" t="str">
        <f>IF(F2448="","",_xlfn.XLOOKUP(F2448,purchase!D:D,purchase!#REF!,""))</f>
        <v/>
      </c>
      <c r="I2448" s="4" t="str">
        <f t="shared" si="268"/>
        <v/>
      </c>
      <c r="J2448" s="4" t="str">
        <f t="shared" si="269"/>
        <v/>
      </c>
      <c r="K2448" s="13" t="str">
        <f>_xlfn.SINGLE(IF(F2448="","",_xlfn.XLOOKUP(F2448,purchase!D:D,purchase!#REF!,"")))</f>
        <v/>
      </c>
      <c r="L2448" s="2"/>
      <c r="M2448" s="32"/>
      <c r="N2448" s="13" t="str">
        <f>IF(F2448="","",
MAX(0,
_xlfn.XLOOKUP(F2448,purchase!D:D,purchase!#REF!,"")
-
SUMIFS(L:L,F:F,F2448)))</f>
        <v/>
      </c>
      <c r="O2448" s="13" t="str">
        <f t="shared" si="270"/>
        <v/>
      </c>
      <c r="P2448" s="35" t="str">
        <f>_xlfn.SINGLE(IF(F2448="","",_xlfn.XLOOKUP(F2448,purchase!D:D,purchase!K:K,"")))</f>
        <v/>
      </c>
      <c r="Q2448" s="29" t="str">
        <f t="shared" si="271"/>
        <v/>
      </c>
      <c r="R2448" s="37" t="str">
        <f t="shared" si="272"/>
        <v/>
      </c>
    </row>
    <row r="2449" spans="1:18" x14ac:dyDescent="0.35">
      <c r="A2449" s="8">
        <v>2445</v>
      </c>
      <c r="B2449" s="9" t="str">
        <f t="shared" si="266"/>
        <v/>
      </c>
      <c r="C2449" s="10"/>
      <c r="D2449" s="9" t="str">
        <f>IF(F2449="","",_xlfn.XLOOKUP(F2449,purchase!D:D,purchase!#REF!,""))</f>
        <v/>
      </c>
      <c r="E2449" s="9" t="str">
        <f>IF(F2449="","",_xlfn.XLOOKUP(F2449,purchase!D:D,purchase!B:B,""))</f>
        <v/>
      </c>
      <c r="F2449" s="2"/>
      <c r="G2449" s="4" t="str">
        <f t="shared" si="267"/>
        <v/>
      </c>
      <c r="H2449" s="4" t="str">
        <f>IF(F2449="","",_xlfn.XLOOKUP(F2449,purchase!D:D,purchase!#REF!,""))</f>
        <v/>
      </c>
      <c r="I2449" s="4" t="str">
        <f t="shared" si="268"/>
        <v/>
      </c>
      <c r="J2449" s="4" t="str">
        <f t="shared" si="269"/>
        <v/>
      </c>
      <c r="K2449" s="13" t="str">
        <f>_xlfn.SINGLE(IF(F2449="","",_xlfn.XLOOKUP(F2449,purchase!D:D,purchase!#REF!,"")))</f>
        <v/>
      </c>
      <c r="L2449" s="2"/>
      <c r="M2449" s="32"/>
      <c r="N2449" s="13" t="str">
        <f>IF(F2449="","",
MAX(0,
_xlfn.XLOOKUP(F2449,purchase!D:D,purchase!#REF!,"")
-
SUMIFS(L:L,F:F,F2449)))</f>
        <v/>
      </c>
      <c r="O2449" s="13" t="str">
        <f t="shared" si="270"/>
        <v/>
      </c>
      <c r="P2449" s="35" t="str">
        <f>_xlfn.SINGLE(IF(F2449="","",_xlfn.XLOOKUP(F2449,purchase!D:D,purchase!K:K,"")))</f>
        <v/>
      </c>
      <c r="Q2449" s="29" t="str">
        <f t="shared" si="271"/>
        <v/>
      </c>
      <c r="R2449" s="37" t="str">
        <f t="shared" si="272"/>
        <v/>
      </c>
    </row>
    <row r="2450" spans="1:18" x14ac:dyDescent="0.35">
      <c r="A2450" s="8">
        <v>2446</v>
      </c>
      <c r="B2450" s="9" t="str">
        <f t="shared" si="266"/>
        <v/>
      </c>
      <c r="C2450" s="10"/>
      <c r="D2450" s="9" t="str">
        <f>IF(F2450="","",_xlfn.XLOOKUP(F2450,purchase!D:D,purchase!#REF!,""))</f>
        <v/>
      </c>
      <c r="E2450" s="9" t="str">
        <f>IF(F2450="","",_xlfn.XLOOKUP(F2450,purchase!D:D,purchase!B:B,""))</f>
        <v/>
      </c>
      <c r="F2450" s="2"/>
      <c r="G2450" s="4" t="str">
        <f t="shared" si="267"/>
        <v/>
      </c>
      <c r="H2450" s="4" t="str">
        <f>IF(F2450="","",_xlfn.XLOOKUP(F2450,purchase!D:D,purchase!#REF!,""))</f>
        <v/>
      </c>
      <c r="I2450" s="4" t="str">
        <f t="shared" si="268"/>
        <v/>
      </c>
      <c r="J2450" s="4" t="str">
        <f t="shared" si="269"/>
        <v/>
      </c>
      <c r="K2450" s="13" t="str">
        <f>_xlfn.SINGLE(IF(F2450="","",_xlfn.XLOOKUP(F2450,purchase!D:D,purchase!#REF!,"")))</f>
        <v/>
      </c>
      <c r="L2450" s="2"/>
      <c r="M2450" s="32"/>
      <c r="N2450" s="13" t="str">
        <f>IF(F2450="","",
MAX(0,
_xlfn.XLOOKUP(F2450,purchase!D:D,purchase!#REF!,"")
-
SUMIFS(L:L,F:F,F2450)))</f>
        <v/>
      </c>
      <c r="O2450" s="13" t="str">
        <f t="shared" si="270"/>
        <v/>
      </c>
      <c r="P2450" s="35" t="str">
        <f>_xlfn.SINGLE(IF(F2450="","",_xlfn.XLOOKUP(F2450,purchase!D:D,purchase!K:K,"")))</f>
        <v/>
      </c>
      <c r="Q2450" s="29" t="str">
        <f t="shared" si="271"/>
        <v/>
      </c>
      <c r="R2450" s="37" t="str">
        <f t="shared" si="272"/>
        <v/>
      </c>
    </row>
    <row r="2451" spans="1:18" x14ac:dyDescent="0.35">
      <c r="A2451" s="8">
        <v>2447</v>
      </c>
      <c r="B2451" s="9" t="str">
        <f t="shared" si="266"/>
        <v/>
      </c>
      <c r="C2451" s="10"/>
      <c r="D2451" s="9" t="str">
        <f>IF(F2451="","",_xlfn.XLOOKUP(F2451,purchase!D:D,purchase!#REF!,""))</f>
        <v/>
      </c>
      <c r="E2451" s="9" t="str">
        <f>IF(F2451="","",_xlfn.XLOOKUP(F2451,purchase!D:D,purchase!B:B,""))</f>
        <v/>
      </c>
      <c r="F2451" s="2"/>
      <c r="G2451" s="4" t="str">
        <f t="shared" si="267"/>
        <v/>
      </c>
      <c r="H2451" s="4" t="str">
        <f>IF(F2451="","",_xlfn.XLOOKUP(F2451,purchase!D:D,purchase!#REF!,""))</f>
        <v/>
      </c>
      <c r="I2451" s="4" t="str">
        <f t="shared" si="268"/>
        <v/>
      </c>
      <c r="J2451" s="4" t="str">
        <f t="shared" si="269"/>
        <v/>
      </c>
      <c r="K2451" s="13" t="str">
        <f>_xlfn.SINGLE(IF(F2451="","",_xlfn.XLOOKUP(F2451,purchase!D:D,purchase!#REF!,"")))</f>
        <v/>
      </c>
      <c r="L2451" s="2"/>
      <c r="M2451" s="32"/>
      <c r="N2451" s="13" t="str">
        <f>IF(F2451="","",
MAX(0,
_xlfn.XLOOKUP(F2451,purchase!D:D,purchase!#REF!,"")
-
SUMIFS(L:L,F:F,F2451)))</f>
        <v/>
      </c>
      <c r="O2451" s="13" t="str">
        <f t="shared" si="270"/>
        <v/>
      </c>
      <c r="P2451" s="35" t="str">
        <f>_xlfn.SINGLE(IF(F2451="","",_xlfn.XLOOKUP(F2451,purchase!D:D,purchase!K:K,"")))</f>
        <v/>
      </c>
      <c r="Q2451" s="29" t="str">
        <f t="shared" si="271"/>
        <v/>
      </c>
      <c r="R2451" s="37" t="str">
        <f t="shared" si="272"/>
        <v/>
      </c>
    </row>
    <row r="2452" spans="1:18" x14ac:dyDescent="0.35">
      <c r="A2452" s="8">
        <v>2448</v>
      </c>
      <c r="B2452" s="9" t="str">
        <f t="shared" si="266"/>
        <v/>
      </c>
      <c r="C2452" s="10"/>
      <c r="D2452" s="9" t="str">
        <f>IF(F2452="","",_xlfn.XLOOKUP(F2452,purchase!D:D,purchase!#REF!,""))</f>
        <v/>
      </c>
      <c r="E2452" s="9" t="str">
        <f>IF(F2452="","",_xlfn.XLOOKUP(F2452,purchase!D:D,purchase!B:B,""))</f>
        <v/>
      </c>
      <c r="F2452" s="2"/>
      <c r="G2452" s="4" t="str">
        <f t="shared" si="267"/>
        <v/>
      </c>
      <c r="H2452" s="4" t="str">
        <f>IF(F2452="","",_xlfn.XLOOKUP(F2452,purchase!D:D,purchase!#REF!,""))</f>
        <v/>
      </c>
      <c r="I2452" s="4" t="str">
        <f t="shared" si="268"/>
        <v/>
      </c>
      <c r="J2452" s="4" t="str">
        <f t="shared" si="269"/>
        <v/>
      </c>
      <c r="K2452" s="13" t="str">
        <f>_xlfn.SINGLE(IF(F2452="","",_xlfn.XLOOKUP(F2452,purchase!D:D,purchase!#REF!,"")))</f>
        <v/>
      </c>
      <c r="L2452" s="2"/>
      <c r="M2452" s="32"/>
      <c r="N2452" s="13" t="str">
        <f>IF(F2452="","",
MAX(0,
_xlfn.XLOOKUP(F2452,purchase!D:D,purchase!#REF!,"")
-
SUMIFS(L:L,F:F,F2452)))</f>
        <v/>
      </c>
      <c r="O2452" s="13" t="str">
        <f t="shared" si="270"/>
        <v/>
      </c>
      <c r="P2452" s="35" t="str">
        <f>_xlfn.SINGLE(IF(F2452="","",_xlfn.XLOOKUP(F2452,purchase!D:D,purchase!K:K,"")))</f>
        <v/>
      </c>
      <c r="Q2452" s="29" t="str">
        <f t="shared" si="271"/>
        <v/>
      </c>
      <c r="R2452" s="37" t="str">
        <f t="shared" si="272"/>
        <v/>
      </c>
    </row>
    <row r="2453" spans="1:18" x14ac:dyDescent="0.35">
      <c r="A2453" s="8">
        <v>2449</v>
      </c>
      <c r="B2453" s="9" t="str">
        <f t="shared" si="266"/>
        <v/>
      </c>
      <c r="C2453" s="10"/>
      <c r="D2453" s="9" t="str">
        <f>IF(F2453="","",_xlfn.XLOOKUP(F2453,purchase!D:D,purchase!#REF!,""))</f>
        <v/>
      </c>
      <c r="E2453" s="9" t="str">
        <f>IF(F2453="","",_xlfn.XLOOKUP(F2453,purchase!D:D,purchase!B:B,""))</f>
        <v/>
      </c>
      <c r="F2453" s="2"/>
      <c r="G2453" s="4" t="str">
        <f t="shared" si="267"/>
        <v/>
      </c>
      <c r="H2453" s="4" t="str">
        <f>IF(F2453="","",_xlfn.XLOOKUP(F2453,purchase!D:D,purchase!#REF!,""))</f>
        <v/>
      </c>
      <c r="I2453" s="4" t="str">
        <f t="shared" si="268"/>
        <v/>
      </c>
      <c r="J2453" s="4" t="str">
        <f t="shared" si="269"/>
        <v/>
      </c>
      <c r="K2453" s="13" t="str">
        <f>_xlfn.SINGLE(IF(F2453="","",_xlfn.XLOOKUP(F2453,purchase!D:D,purchase!#REF!,"")))</f>
        <v/>
      </c>
      <c r="L2453" s="2"/>
      <c r="M2453" s="32"/>
      <c r="N2453" s="13" t="str">
        <f>IF(F2453="","",
MAX(0,
_xlfn.XLOOKUP(F2453,purchase!D:D,purchase!#REF!,"")
-
SUMIFS(L:L,F:F,F2453)))</f>
        <v/>
      </c>
      <c r="O2453" s="13" t="str">
        <f t="shared" si="270"/>
        <v/>
      </c>
      <c r="P2453" s="35" t="str">
        <f>_xlfn.SINGLE(IF(F2453="","",_xlfn.XLOOKUP(F2453,purchase!D:D,purchase!K:K,"")))</f>
        <v/>
      </c>
      <c r="Q2453" s="29" t="str">
        <f t="shared" si="271"/>
        <v/>
      </c>
      <c r="R2453" s="37" t="str">
        <f t="shared" si="272"/>
        <v/>
      </c>
    </row>
    <row r="2454" spans="1:18" x14ac:dyDescent="0.35">
      <c r="A2454" s="8">
        <v>2450</v>
      </c>
      <c r="B2454" s="9" t="str">
        <f t="shared" si="266"/>
        <v/>
      </c>
      <c r="C2454" s="10"/>
      <c r="D2454" s="9" t="str">
        <f>IF(F2454="","",_xlfn.XLOOKUP(F2454,purchase!D:D,purchase!#REF!,""))</f>
        <v/>
      </c>
      <c r="E2454" s="9" t="str">
        <f>IF(F2454="","",_xlfn.XLOOKUP(F2454,purchase!D:D,purchase!B:B,""))</f>
        <v/>
      </c>
      <c r="F2454" s="2"/>
      <c r="G2454" s="4" t="str">
        <f t="shared" si="267"/>
        <v/>
      </c>
      <c r="H2454" s="4" t="str">
        <f>IF(F2454="","",_xlfn.XLOOKUP(F2454,purchase!D:D,purchase!#REF!,""))</f>
        <v/>
      </c>
      <c r="I2454" s="4" t="str">
        <f t="shared" si="268"/>
        <v/>
      </c>
      <c r="J2454" s="4" t="str">
        <f t="shared" si="269"/>
        <v/>
      </c>
      <c r="K2454" s="13" t="str">
        <f>_xlfn.SINGLE(IF(F2454="","",_xlfn.XLOOKUP(F2454,purchase!D:D,purchase!#REF!,"")))</f>
        <v/>
      </c>
      <c r="L2454" s="2"/>
      <c r="M2454" s="32"/>
      <c r="N2454" s="13" t="str">
        <f>IF(F2454="","",
MAX(0,
_xlfn.XLOOKUP(F2454,purchase!D:D,purchase!#REF!,"")
-
SUMIFS(L:L,F:F,F2454)))</f>
        <v/>
      </c>
      <c r="O2454" s="13" t="str">
        <f t="shared" si="270"/>
        <v/>
      </c>
      <c r="P2454" s="35" t="str">
        <f>_xlfn.SINGLE(IF(F2454="","",_xlfn.XLOOKUP(F2454,purchase!D:D,purchase!K:K,"")))</f>
        <v/>
      </c>
      <c r="Q2454" s="29" t="str">
        <f t="shared" si="271"/>
        <v/>
      </c>
      <c r="R2454" s="37" t="str">
        <f t="shared" si="272"/>
        <v/>
      </c>
    </row>
    <row r="2455" spans="1:18" x14ac:dyDescent="0.35">
      <c r="A2455" s="8">
        <v>2451</v>
      </c>
      <c r="B2455" s="9" t="str">
        <f t="shared" si="266"/>
        <v/>
      </c>
      <c r="C2455" s="10"/>
      <c r="D2455" s="9" t="str">
        <f>IF(F2455="","",_xlfn.XLOOKUP(F2455,purchase!D:D,purchase!#REF!,""))</f>
        <v/>
      </c>
      <c r="E2455" s="9" t="str">
        <f>IF(F2455="","",_xlfn.XLOOKUP(F2455,purchase!D:D,purchase!B:B,""))</f>
        <v/>
      </c>
      <c r="F2455" s="2"/>
      <c r="G2455" s="4" t="str">
        <f t="shared" si="267"/>
        <v/>
      </c>
      <c r="H2455" s="4" t="str">
        <f>IF(F2455="","",_xlfn.XLOOKUP(F2455,purchase!D:D,purchase!#REF!,""))</f>
        <v/>
      </c>
      <c r="I2455" s="4" t="str">
        <f t="shared" si="268"/>
        <v/>
      </c>
      <c r="J2455" s="4" t="str">
        <f t="shared" si="269"/>
        <v/>
      </c>
      <c r="K2455" s="13" t="str">
        <f>_xlfn.SINGLE(IF(F2455="","",_xlfn.XLOOKUP(F2455,purchase!D:D,purchase!#REF!,"")))</f>
        <v/>
      </c>
      <c r="L2455" s="2"/>
      <c r="M2455" s="32"/>
      <c r="N2455" s="13" t="str">
        <f>IF(F2455="","",
MAX(0,
_xlfn.XLOOKUP(F2455,purchase!D:D,purchase!#REF!,"")
-
SUMIFS(L:L,F:F,F2455)))</f>
        <v/>
      </c>
      <c r="O2455" s="13" t="str">
        <f t="shared" si="270"/>
        <v/>
      </c>
      <c r="P2455" s="35" t="str">
        <f>_xlfn.SINGLE(IF(F2455="","",_xlfn.XLOOKUP(F2455,purchase!D:D,purchase!K:K,"")))</f>
        <v/>
      </c>
      <c r="Q2455" s="29" t="str">
        <f t="shared" si="271"/>
        <v/>
      </c>
      <c r="R2455" s="37" t="str">
        <f t="shared" si="272"/>
        <v/>
      </c>
    </row>
    <row r="2456" spans="1:18" x14ac:dyDescent="0.35">
      <c r="A2456" s="8">
        <v>2452</v>
      </c>
      <c r="B2456" s="9" t="str">
        <f t="shared" si="266"/>
        <v/>
      </c>
      <c r="C2456" s="10"/>
      <c r="D2456" s="9" t="str">
        <f>IF(F2456="","",_xlfn.XLOOKUP(F2456,purchase!D:D,purchase!#REF!,""))</f>
        <v/>
      </c>
      <c r="E2456" s="9" t="str">
        <f>IF(F2456="","",_xlfn.XLOOKUP(F2456,purchase!D:D,purchase!B:B,""))</f>
        <v/>
      </c>
      <c r="F2456" s="2"/>
      <c r="G2456" s="4" t="str">
        <f t="shared" si="267"/>
        <v/>
      </c>
      <c r="H2456" s="4" t="str">
        <f>IF(F2456="","",_xlfn.XLOOKUP(F2456,purchase!D:D,purchase!#REF!,""))</f>
        <v/>
      </c>
      <c r="I2456" s="4" t="str">
        <f t="shared" si="268"/>
        <v/>
      </c>
      <c r="J2456" s="4" t="str">
        <f t="shared" si="269"/>
        <v/>
      </c>
      <c r="K2456" s="13" t="str">
        <f>_xlfn.SINGLE(IF(F2456="","",_xlfn.XLOOKUP(F2456,purchase!D:D,purchase!#REF!,"")))</f>
        <v/>
      </c>
      <c r="L2456" s="2"/>
      <c r="M2456" s="32"/>
      <c r="N2456" s="13" t="str">
        <f>IF(F2456="","",
MAX(0,
_xlfn.XLOOKUP(F2456,purchase!D:D,purchase!#REF!,"")
-
SUMIFS(L:L,F:F,F2456)))</f>
        <v/>
      </c>
      <c r="O2456" s="13" t="str">
        <f t="shared" si="270"/>
        <v/>
      </c>
      <c r="P2456" s="35" t="str">
        <f>_xlfn.SINGLE(IF(F2456="","",_xlfn.XLOOKUP(F2456,purchase!D:D,purchase!K:K,"")))</f>
        <v/>
      </c>
      <c r="Q2456" s="29" t="str">
        <f t="shared" si="271"/>
        <v/>
      </c>
      <c r="R2456" s="37" t="str">
        <f t="shared" si="272"/>
        <v/>
      </c>
    </row>
    <row r="2457" spans="1:18" x14ac:dyDescent="0.35">
      <c r="A2457" s="8">
        <v>2453</v>
      </c>
      <c r="B2457" s="9" t="str">
        <f t="shared" si="266"/>
        <v/>
      </c>
      <c r="C2457" s="10"/>
      <c r="D2457" s="9" t="str">
        <f>IF(F2457="","",_xlfn.XLOOKUP(F2457,purchase!D:D,purchase!#REF!,""))</f>
        <v/>
      </c>
      <c r="E2457" s="9" t="str">
        <f>IF(F2457="","",_xlfn.XLOOKUP(F2457,purchase!D:D,purchase!B:B,""))</f>
        <v/>
      </c>
      <c r="F2457" s="2"/>
      <c r="G2457" s="4" t="str">
        <f t="shared" si="267"/>
        <v/>
      </c>
      <c r="H2457" s="4" t="str">
        <f>IF(F2457="","",_xlfn.XLOOKUP(F2457,purchase!D:D,purchase!#REF!,""))</f>
        <v/>
      </c>
      <c r="I2457" s="4" t="str">
        <f t="shared" si="268"/>
        <v/>
      </c>
      <c r="J2457" s="4" t="str">
        <f t="shared" si="269"/>
        <v/>
      </c>
      <c r="K2457" s="13" t="str">
        <f>_xlfn.SINGLE(IF(F2457="","",_xlfn.XLOOKUP(F2457,purchase!D:D,purchase!#REF!,"")))</f>
        <v/>
      </c>
      <c r="L2457" s="2"/>
      <c r="M2457" s="32"/>
      <c r="N2457" s="13" t="str">
        <f>IF(F2457="","",
MAX(0,
_xlfn.XLOOKUP(F2457,purchase!D:D,purchase!#REF!,"")
-
SUMIFS(L:L,F:F,F2457)))</f>
        <v/>
      </c>
      <c r="O2457" s="13" t="str">
        <f t="shared" si="270"/>
        <v/>
      </c>
      <c r="P2457" s="35" t="str">
        <f>_xlfn.SINGLE(IF(F2457="","",_xlfn.XLOOKUP(F2457,purchase!D:D,purchase!K:K,"")))</f>
        <v/>
      </c>
      <c r="Q2457" s="29" t="str">
        <f t="shared" si="271"/>
        <v/>
      </c>
      <c r="R2457" s="37" t="str">
        <f t="shared" si="272"/>
        <v/>
      </c>
    </row>
    <row r="2458" spans="1:18" x14ac:dyDescent="0.35">
      <c r="A2458" s="8">
        <v>2454</v>
      </c>
      <c r="B2458" s="9" t="str">
        <f t="shared" si="266"/>
        <v/>
      </c>
      <c r="C2458" s="10"/>
      <c r="D2458" s="9" t="str">
        <f>IF(F2458="","",_xlfn.XLOOKUP(F2458,purchase!D:D,purchase!#REF!,""))</f>
        <v/>
      </c>
      <c r="E2458" s="9" t="str">
        <f>IF(F2458="","",_xlfn.XLOOKUP(F2458,purchase!D:D,purchase!B:B,""))</f>
        <v/>
      </c>
      <c r="F2458" s="2"/>
      <c r="G2458" s="4" t="str">
        <f t="shared" si="267"/>
        <v/>
      </c>
      <c r="H2458" s="4" t="str">
        <f>IF(F2458="","",_xlfn.XLOOKUP(F2458,purchase!D:D,purchase!#REF!,""))</f>
        <v/>
      </c>
      <c r="I2458" s="4" t="str">
        <f t="shared" si="268"/>
        <v/>
      </c>
      <c r="J2458" s="4" t="str">
        <f t="shared" si="269"/>
        <v/>
      </c>
      <c r="K2458" s="13" t="str">
        <f>_xlfn.SINGLE(IF(F2458="","",_xlfn.XLOOKUP(F2458,purchase!D:D,purchase!#REF!,"")))</f>
        <v/>
      </c>
      <c r="L2458" s="2"/>
      <c r="M2458" s="32"/>
      <c r="N2458" s="13" t="str">
        <f>IF(F2458="","",
MAX(0,
_xlfn.XLOOKUP(F2458,purchase!D:D,purchase!#REF!,"")
-
SUMIFS(L:L,F:F,F2458)))</f>
        <v/>
      </c>
      <c r="O2458" s="13" t="str">
        <f t="shared" si="270"/>
        <v/>
      </c>
      <c r="P2458" s="35" t="str">
        <f>_xlfn.SINGLE(IF(F2458="","",_xlfn.XLOOKUP(F2458,purchase!D:D,purchase!K:K,"")))</f>
        <v/>
      </c>
      <c r="Q2458" s="29" t="str">
        <f t="shared" si="271"/>
        <v/>
      </c>
      <c r="R2458" s="37" t="str">
        <f t="shared" si="272"/>
        <v/>
      </c>
    </row>
    <row r="2459" spans="1:18" x14ac:dyDescent="0.35">
      <c r="A2459" s="8">
        <v>2455</v>
      </c>
      <c r="B2459" s="9" t="str">
        <f t="shared" si="266"/>
        <v/>
      </c>
      <c r="C2459" s="10"/>
      <c r="D2459" s="9" t="str">
        <f>IF(F2459="","",_xlfn.XLOOKUP(F2459,purchase!D:D,purchase!#REF!,""))</f>
        <v/>
      </c>
      <c r="E2459" s="9" t="str">
        <f>IF(F2459="","",_xlfn.XLOOKUP(F2459,purchase!D:D,purchase!B:B,""))</f>
        <v/>
      </c>
      <c r="F2459" s="2"/>
      <c r="G2459" s="4" t="str">
        <f t="shared" si="267"/>
        <v/>
      </c>
      <c r="H2459" s="4" t="str">
        <f>IF(F2459="","",_xlfn.XLOOKUP(F2459,purchase!D:D,purchase!#REF!,""))</f>
        <v/>
      </c>
      <c r="I2459" s="4" t="str">
        <f t="shared" si="268"/>
        <v/>
      </c>
      <c r="J2459" s="4" t="str">
        <f t="shared" si="269"/>
        <v/>
      </c>
      <c r="K2459" s="13" t="str">
        <f>_xlfn.SINGLE(IF(F2459="","",_xlfn.XLOOKUP(F2459,purchase!D:D,purchase!#REF!,"")))</f>
        <v/>
      </c>
      <c r="L2459" s="2"/>
      <c r="M2459" s="32"/>
      <c r="N2459" s="13" t="str">
        <f>IF(F2459="","",
MAX(0,
_xlfn.XLOOKUP(F2459,purchase!D:D,purchase!#REF!,"")
-
SUMIFS(L:L,F:F,F2459)))</f>
        <v/>
      </c>
      <c r="O2459" s="13" t="str">
        <f t="shared" si="270"/>
        <v/>
      </c>
      <c r="P2459" s="35" t="str">
        <f>_xlfn.SINGLE(IF(F2459="","",_xlfn.XLOOKUP(F2459,purchase!D:D,purchase!K:K,"")))</f>
        <v/>
      </c>
      <c r="Q2459" s="29" t="str">
        <f t="shared" si="271"/>
        <v/>
      </c>
      <c r="R2459" s="37" t="str">
        <f t="shared" si="272"/>
        <v/>
      </c>
    </row>
    <row r="2460" spans="1:18" x14ac:dyDescent="0.35">
      <c r="A2460" s="8">
        <v>2456</v>
      </c>
      <c r="B2460" s="9" t="str">
        <f t="shared" si="266"/>
        <v/>
      </c>
      <c r="C2460" s="10"/>
      <c r="D2460" s="9" t="str">
        <f>IF(F2460="","",_xlfn.XLOOKUP(F2460,purchase!D:D,purchase!#REF!,""))</f>
        <v/>
      </c>
      <c r="E2460" s="9" t="str">
        <f>IF(F2460="","",_xlfn.XLOOKUP(F2460,purchase!D:D,purchase!B:B,""))</f>
        <v/>
      </c>
      <c r="F2460" s="2"/>
      <c r="G2460" s="4" t="str">
        <f t="shared" si="267"/>
        <v/>
      </c>
      <c r="H2460" s="4" t="str">
        <f>IF(F2460="","",_xlfn.XLOOKUP(F2460,purchase!D:D,purchase!#REF!,""))</f>
        <v/>
      </c>
      <c r="I2460" s="4" t="str">
        <f t="shared" si="268"/>
        <v/>
      </c>
      <c r="J2460" s="4" t="str">
        <f t="shared" si="269"/>
        <v/>
      </c>
      <c r="K2460" s="13" t="str">
        <f>_xlfn.SINGLE(IF(F2460="","",_xlfn.XLOOKUP(F2460,purchase!D:D,purchase!#REF!,"")))</f>
        <v/>
      </c>
      <c r="L2460" s="2"/>
      <c r="M2460" s="32"/>
      <c r="N2460" s="13" t="str">
        <f>IF(F2460="","",
MAX(0,
_xlfn.XLOOKUP(F2460,purchase!D:D,purchase!#REF!,"")
-
SUMIFS(L:L,F:F,F2460)))</f>
        <v/>
      </c>
      <c r="O2460" s="13" t="str">
        <f t="shared" si="270"/>
        <v/>
      </c>
      <c r="P2460" s="35" t="str">
        <f>_xlfn.SINGLE(IF(F2460="","",_xlfn.XLOOKUP(F2460,purchase!D:D,purchase!K:K,"")))</f>
        <v/>
      </c>
      <c r="Q2460" s="29" t="str">
        <f t="shared" si="271"/>
        <v/>
      </c>
      <c r="R2460" s="37" t="str">
        <f t="shared" si="272"/>
        <v/>
      </c>
    </row>
    <row r="2461" spans="1:18" x14ac:dyDescent="0.35">
      <c r="A2461" s="8">
        <v>2457</v>
      </c>
      <c r="B2461" s="9" t="str">
        <f t="shared" si="266"/>
        <v/>
      </c>
      <c r="C2461" s="10"/>
      <c r="D2461" s="9" t="str">
        <f>IF(F2461="","",_xlfn.XLOOKUP(F2461,purchase!D:D,purchase!#REF!,""))</f>
        <v/>
      </c>
      <c r="E2461" s="9" t="str">
        <f>IF(F2461="","",_xlfn.XLOOKUP(F2461,purchase!D:D,purchase!B:B,""))</f>
        <v/>
      </c>
      <c r="F2461" s="2"/>
      <c r="G2461" s="4" t="str">
        <f t="shared" si="267"/>
        <v/>
      </c>
      <c r="H2461" s="4" t="str">
        <f>IF(F2461="","",_xlfn.XLOOKUP(F2461,purchase!D:D,purchase!#REF!,""))</f>
        <v/>
      </c>
      <c r="I2461" s="4" t="str">
        <f t="shared" si="268"/>
        <v/>
      </c>
      <c r="J2461" s="4" t="str">
        <f t="shared" si="269"/>
        <v/>
      </c>
      <c r="K2461" s="13" t="str">
        <f>_xlfn.SINGLE(IF(F2461="","",_xlfn.XLOOKUP(F2461,purchase!D:D,purchase!#REF!,"")))</f>
        <v/>
      </c>
      <c r="L2461" s="2"/>
      <c r="M2461" s="32"/>
      <c r="N2461" s="13" t="str">
        <f>IF(F2461="","",
MAX(0,
_xlfn.XLOOKUP(F2461,purchase!D:D,purchase!#REF!,"")
-
SUMIFS(L:L,F:F,F2461)))</f>
        <v/>
      </c>
      <c r="O2461" s="13" t="str">
        <f t="shared" si="270"/>
        <v/>
      </c>
      <c r="P2461" s="35" t="str">
        <f>_xlfn.SINGLE(IF(F2461="","",_xlfn.XLOOKUP(F2461,purchase!D:D,purchase!K:K,"")))</f>
        <v/>
      </c>
      <c r="Q2461" s="29" t="str">
        <f t="shared" si="271"/>
        <v/>
      </c>
      <c r="R2461" s="37" t="str">
        <f t="shared" si="272"/>
        <v/>
      </c>
    </row>
    <row r="2462" spans="1:18" x14ac:dyDescent="0.35">
      <c r="A2462" s="8">
        <v>2458</v>
      </c>
      <c r="B2462" s="9" t="str">
        <f t="shared" si="266"/>
        <v/>
      </c>
      <c r="C2462" s="10"/>
      <c r="D2462" s="9" t="str">
        <f>IF(F2462="","",_xlfn.XLOOKUP(F2462,purchase!D:D,purchase!#REF!,""))</f>
        <v/>
      </c>
      <c r="E2462" s="9" t="str">
        <f>IF(F2462="","",_xlfn.XLOOKUP(F2462,purchase!D:D,purchase!B:B,""))</f>
        <v/>
      </c>
      <c r="F2462" s="2"/>
      <c r="G2462" s="4" t="str">
        <f t="shared" si="267"/>
        <v/>
      </c>
      <c r="H2462" s="4" t="str">
        <f>IF(F2462="","",_xlfn.XLOOKUP(F2462,purchase!D:D,purchase!#REF!,""))</f>
        <v/>
      </c>
      <c r="I2462" s="4" t="str">
        <f t="shared" si="268"/>
        <v/>
      </c>
      <c r="J2462" s="4" t="str">
        <f t="shared" si="269"/>
        <v/>
      </c>
      <c r="K2462" s="13" t="str">
        <f>_xlfn.SINGLE(IF(F2462="","",_xlfn.XLOOKUP(F2462,purchase!D:D,purchase!#REF!,"")))</f>
        <v/>
      </c>
      <c r="L2462" s="2"/>
      <c r="M2462" s="32"/>
      <c r="N2462" s="13" t="str">
        <f>IF(F2462="","",
MAX(0,
_xlfn.XLOOKUP(F2462,purchase!D:D,purchase!#REF!,"")
-
SUMIFS(L:L,F:F,F2462)))</f>
        <v/>
      </c>
      <c r="O2462" s="13" t="str">
        <f t="shared" si="270"/>
        <v/>
      </c>
      <c r="P2462" s="35" t="str">
        <f>_xlfn.SINGLE(IF(F2462="","",_xlfn.XLOOKUP(F2462,purchase!D:D,purchase!K:K,"")))</f>
        <v/>
      </c>
      <c r="Q2462" s="29" t="str">
        <f t="shared" si="271"/>
        <v/>
      </c>
      <c r="R2462" s="37" t="str">
        <f t="shared" si="272"/>
        <v/>
      </c>
    </row>
    <row r="2463" spans="1:18" x14ac:dyDescent="0.35">
      <c r="A2463" s="8">
        <v>2459</v>
      </c>
      <c r="B2463" s="9" t="str">
        <f t="shared" si="266"/>
        <v/>
      </c>
      <c r="C2463" s="10"/>
      <c r="D2463" s="9" t="str">
        <f>IF(F2463="","",_xlfn.XLOOKUP(F2463,purchase!D:D,purchase!#REF!,""))</f>
        <v/>
      </c>
      <c r="E2463" s="9" t="str">
        <f>IF(F2463="","",_xlfn.XLOOKUP(F2463,purchase!D:D,purchase!B:B,""))</f>
        <v/>
      </c>
      <c r="F2463" s="2"/>
      <c r="G2463" s="4" t="str">
        <f t="shared" si="267"/>
        <v/>
      </c>
      <c r="H2463" s="4" t="str">
        <f>IF(F2463="","",_xlfn.XLOOKUP(F2463,purchase!D:D,purchase!#REF!,""))</f>
        <v/>
      </c>
      <c r="I2463" s="4" t="str">
        <f t="shared" si="268"/>
        <v/>
      </c>
      <c r="J2463" s="4" t="str">
        <f t="shared" si="269"/>
        <v/>
      </c>
      <c r="K2463" s="13" t="str">
        <f>_xlfn.SINGLE(IF(F2463="","",_xlfn.XLOOKUP(F2463,purchase!D:D,purchase!#REF!,"")))</f>
        <v/>
      </c>
      <c r="L2463" s="2"/>
      <c r="M2463" s="32"/>
      <c r="N2463" s="13" t="str">
        <f>IF(F2463="","",
MAX(0,
_xlfn.XLOOKUP(F2463,purchase!D:D,purchase!#REF!,"")
-
SUMIFS(L:L,F:F,F2463)))</f>
        <v/>
      </c>
      <c r="O2463" s="13" t="str">
        <f t="shared" si="270"/>
        <v/>
      </c>
      <c r="P2463" s="35" t="str">
        <f>_xlfn.SINGLE(IF(F2463="","",_xlfn.XLOOKUP(F2463,purchase!D:D,purchase!K:K,"")))</f>
        <v/>
      </c>
      <c r="Q2463" s="29" t="str">
        <f t="shared" si="271"/>
        <v/>
      </c>
      <c r="R2463" s="37" t="str">
        <f t="shared" si="272"/>
        <v/>
      </c>
    </row>
    <row r="2464" spans="1:18" x14ac:dyDescent="0.35">
      <c r="A2464" s="8">
        <v>2460</v>
      </c>
      <c r="B2464" s="9" t="str">
        <f t="shared" si="266"/>
        <v/>
      </c>
      <c r="C2464" s="10"/>
      <c r="D2464" s="9" t="str">
        <f>IF(F2464="","",_xlfn.XLOOKUP(F2464,purchase!D:D,purchase!#REF!,""))</f>
        <v/>
      </c>
      <c r="E2464" s="9" t="str">
        <f>IF(F2464="","",_xlfn.XLOOKUP(F2464,purchase!D:D,purchase!B:B,""))</f>
        <v/>
      </c>
      <c r="F2464" s="2"/>
      <c r="G2464" s="4" t="str">
        <f t="shared" si="267"/>
        <v/>
      </c>
      <c r="H2464" s="4" t="str">
        <f>IF(F2464="","",_xlfn.XLOOKUP(F2464,purchase!D:D,purchase!#REF!,""))</f>
        <v/>
      </c>
      <c r="I2464" s="4" t="str">
        <f t="shared" si="268"/>
        <v/>
      </c>
      <c r="J2464" s="4" t="str">
        <f t="shared" si="269"/>
        <v/>
      </c>
      <c r="K2464" s="13" t="str">
        <f>_xlfn.SINGLE(IF(F2464="","",_xlfn.XLOOKUP(F2464,purchase!D:D,purchase!#REF!,"")))</f>
        <v/>
      </c>
      <c r="L2464" s="2"/>
      <c r="M2464" s="32"/>
      <c r="N2464" s="13" t="str">
        <f>IF(F2464="","",
MAX(0,
_xlfn.XLOOKUP(F2464,purchase!D:D,purchase!#REF!,"")
-
SUMIFS(L:L,F:F,F2464)))</f>
        <v/>
      </c>
      <c r="O2464" s="13" t="str">
        <f t="shared" si="270"/>
        <v/>
      </c>
      <c r="P2464" s="35" t="str">
        <f>_xlfn.SINGLE(IF(F2464="","",_xlfn.XLOOKUP(F2464,purchase!D:D,purchase!K:K,"")))</f>
        <v/>
      </c>
      <c r="Q2464" s="29" t="str">
        <f t="shared" si="271"/>
        <v/>
      </c>
      <c r="R2464" s="37" t="str">
        <f t="shared" si="272"/>
        <v/>
      </c>
    </row>
    <row r="2465" spans="1:18" x14ac:dyDescent="0.35">
      <c r="A2465" s="8">
        <v>2461</v>
      </c>
      <c r="B2465" s="9" t="str">
        <f t="shared" si="266"/>
        <v/>
      </c>
      <c r="C2465" s="10"/>
      <c r="D2465" s="9" t="str">
        <f>IF(F2465="","",_xlfn.XLOOKUP(F2465,purchase!D:D,purchase!#REF!,""))</f>
        <v/>
      </c>
      <c r="E2465" s="9" t="str">
        <f>IF(F2465="","",_xlfn.XLOOKUP(F2465,purchase!D:D,purchase!B:B,""))</f>
        <v/>
      </c>
      <c r="F2465" s="2"/>
      <c r="G2465" s="4" t="str">
        <f t="shared" si="267"/>
        <v/>
      </c>
      <c r="H2465" s="4" t="str">
        <f>IF(F2465="","",_xlfn.XLOOKUP(F2465,purchase!D:D,purchase!#REF!,""))</f>
        <v/>
      </c>
      <c r="I2465" s="4" t="str">
        <f t="shared" si="268"/>
        <v/>
      </c>
      <c r="J2465" s="4" t="str">
        <f t="shared" si="269"/>
        <v/>
      </c>
      <c r="K2465" s="13" t="str">
        <f>_xlfn.SINGLE(IF(F2465="","",_xlfn.XLOOKUP(F2465,purchase!D:D,purchase!#REF!,"")))</f>
        <v/>
      </c>
      <c r="L2465" s="2"/>
      <c r="M2465" s="32"/>
      <c r="N2465" s="13" t="str">
        <f>IF(F2465="","",
MAX(0,
_xlfn.XLOOKUP(F2465,purchase!D:D,purchase!#REF!,"")
-
SUMIFS(L:L,F:F,F2465)))</f>
        <v/>
      </c>
      <c r="O2465" s="13" t="str">
        <f t="shared" si="270"/>
        <v/>
      </c>
      <c r="P2465" s="35" t="str">
        <f>_xlfn.SINGLE(IF(F2465="","",_xlfn.XLOOKUP(F2465,purchase!D:D,purchase!K:K,"")))</f>
        <v/>
      </c>
      <c r="Q2465" s="29" t="str">
        <f t="shared" si="271"/>
        <v/>
      </c>
      <c r="R2465" s="37" t="str">
        <f t="shared" si="272"/>
        <v/>
      </c>
    </row>
    <row r="2466" spans="1:18" x14ac:dyDescent="0.35">
      <c r="A2466" s="8">
        <v>2462</v>
      </c>
      <c r="B2466" s="9" t="str">
        <f t="shared" si="266"/>
        <v/>
      </c>
      <c r="C2466" s="10"/>
      <c r="D2466" s="9" t="str">
        <f>IF(F2466="","",_xlfn.XLOOKUP(F2466,purchase!D:D,purchase!#REF!,""))</f>
        <v/>
      </c>
      <c r="E2466" s="9" t="str">
        <f>IF(F2466="","",_xlfn.XLOOKUP(F2466,purchase!D:D,purchase!B:B,""))</f>
        <v/>
      </c>
      <c r="F2466" s="2"/>
      <c r="G2466" s="4" t="str">
        <f t="shared" si="267"/>
        <v/>
      </c>
      <c r="H2466" s="4" t="str">
        <f>IF(F2466="","",_xlfn.XLOOKUP(F2466,purchase!D:D,purchase!#REF!,""))</f>
        <v/>
      </c>
      <c r="I2466" s="4" t="str">
        <f t="shared" si="268"/>
        <v/>
      </c>
      <c r="J2466" s="4" t="str">
        <f t="shared" si="269"/>
        <v/>
      </c>
      <c r="K2466" s="13" t="str">
        <f>_xlfn.SINGLE(IF(F2466="","",_xlfn.XLOOKUP(F2466,purchase!D:D,purchase!#REF!,"")))</f>
        <v/>
      </c>
      <c r="L2466" s="2"/>
      <c r="M2466" s="32"/>
      <c r="N2466" s="13" t="str">
        <f>IF(F2466="","",
MAX(0,
_xlfn.XLOOKUP(F2466,purchase!D:D,purchase!#REF!,"")
-
SUMIFS(L:L,F:F,F2466)))</f>
        <v/>
      </c>
      <c r="O2466" s="13" t="str">
        <f t="shared" si="270"/>
        <v/>
      </c>
      <c r="P2466" s="35" t="str">
        <f>_xlfn.SINGLE(IF(F2466="","",_xlfn.XLOOKUP(F2466,purchase!D:D,purchase!K:K,"")))</f>
        <v/>
      </c>
      <c r="Q2466" s="29" t="str">
        <f t="shared" si="271"/>
        <v/>
      </c>
      <c r="R2466" s="37" t="str">
        <f t="shared" si="272"/>
        <v/>
      </c>
    </row>
    <row r="2467" spans="1:18" x14ac:dyDescent="0.35">
      <c r="A2467" s="8">
        <v>2463</v>
      </c>
      <c r="B2467" s="9" t="str">
        <f t="shared" si="266"/>
        <v/>
      </c>
      <c r="C2467" s="10"/>
      <c r="D2467" s="9" t="str">
        <f>IF(F2467="","",_xlfn.XLOOKUP(F2467,purchase!D:D,purchase!#REF!,""))</f>
        <v/>
      </c>
      <c r="E2467" s="9" t="str">
        <f>IF(F2467="","",_xlfn.XLOOKUP(F2467,purchase!D:D,purchase!B:B,""))</f>
        <v/>
      </c>
      <c r="F2467" s="2"/>
      <c r="G2467" s="4" t="str">
        <f t="shared" si="267"/>
        <v/>
      </c>
      <c r="H2467" s="4" t="str">
        <f>IF(F2467="","",_xlfn.XLOOKUP(F2467,purchase!D:D,purchase!#REF!,""))</f>
        <v/>
      </c>
      <c r="I2467" s="4" t="str">
        <f t="shared" si="268"/>
        <v/>
      </c>
      <c r="J2467" s="4" t="str">
        <f t="shared" si="269"/>
        <v/>
      </c>
      <c r="K2467" s="13" t="str">
        <f>_xlfn.SINGLE(IF(F2467="","",_xlfn.XLOOKUP(F2467,purchase!D:D,purchase!#REF!,"")))</f>
        <v/>
      </c>
      <c r="L2467" s="2"/>
      <c r="M2467" s="32"/>
      <c r="N2467" s="13" t="str">
        <f>IF(F2467="","",
MAX(0,
_xlfn.XLOOKUP(F2467,purchase!D:D,purchase!#REF!,"")
-
SUMIFS(L:L,F:F,F2467)))</f>
        <v/>
      </c>
      <c r="O2467" s="13" t="str">
        <f t="shared" si="270"/>
        <v/>
      </c>
      <c r="P2467" s="35" t="str">
        <f>_xlfn.SINGLE(IF(F2467="","",_xlfn.XLOOKUP(F2467,purchase!D:D,purchase!K:K,"")))</f>
        <v/>
      </c>
      <c r="Q2467" s="29" t="str">
        <f t="shared" si="271"/>
        <v/>
      </c>
      <c r="R2467" s="37" t="str">
        <f t="shared" si="272"/>
        <v/>
      </c>
    </row>
    <row r="2468" spans="1:18" x14ac:dyDescent="0.35">
      <c r="A2468" s="8">
        <v>2464</v>
      </c>
      <c r="B2468" s="9" t="str">
        <f t="shared" si="266"/>
        <v/>
      </c>
      <c r="C2468" s="10"/>
      <c r="D2468" s="9" t="str">
        <f>IF(F2468="","",_xlfn.XLOOKUP(F2468,purchase!D:D,purchase!#REF!,""))</f>
        <v/>
      </c>
      <c r="E2468" s="9" t="str">
        <f>IF(F2468="","",_xlfn.XLOOKUP(F2468,purchase!D:D,purchase!B:B,""))</f>
        <v/>
      </c>
      <c r="F2468" s="2"/>
      <c r="G2468" s="4" t="str">
        <f t="shared" si="267"/>
        <v/>
      </c>
      <c r="H2468" s="4" t="str">
        <f>IF(F2468="","",_xlfn.XLOOKUP(F2468,purchase!D:D,purchase!#REF!,""))</f>
        <v/>
      </c>
      <c r="I2468" s="4" t="str">
        <f t="shared" si="268"/>
        <v/>
      </c>
      <c r="J2468" s="4" t="str">
        <f t="shared" si="269"/>
        <v/>
      </c>
      <c r="K2468" s="13" t="str">
        <f>_xlfn.SINGLE(IF(F2468="","",_xlfn.XLOOKUP(F2468,purchase!D:D,purchase!#REF!,"")))</f>
        <v/>
      </c>
      <c r="L2468" s="2"/>
      <c r="M2468" s="32"/>
      <c r="N2468" s="13" t="str">
        <f>IF(F2468="","",
MAX(0,
_xlfn.XLOOKUP(F2468,purchase!D:D,purchase!#REF!,"")
-
SUMIFS(L:L,F:F,F2468)))</f>
        <v/>
      </c>
      <c r="O2468" s="13" t="str">
        <f t="shared" si="270"/>
        <v/>
      </c>
      <c r="P2468" s="35" t="str">
        <f>_xlfn.SINGLE(IF(F2468="","",_xlfn.XLOOKUP(F2468,purchase!D:D,purchase!K:K,"")))</f>
        <v/>
      </c>
      <c r="Q2468" s="29" t="str">
        <f t="shared" si="271"/>
        <v/>
      </c>
      <c r="R2468" s="37" t="str">
        <f t="shared" si="272"/>
        <v/>
      </c>
    </row>
    <row r="2469" spans="1:18" x14ac:dyDescent="0.35">
      <c r="A2469" s="8">
        <v>2465</v>
      </c>
      <c r="B2469" s="9" t="str">
        <f t="shared" si="266"/>
        <v/>
      </c>
      <c r="C2469" s="10"/>
      <c r="D2469" s="9" t="str">
        <f>IF(F2469="","",_xlfn.XLOOKUP(F2469,purchase!D:D,purchase!#REF!,""))</f>
        <v/>
      </c>
      <c r="E2469" s="9" t="str">
        <f>IF(F2469="","",_xlfn.XLOOKUP(F2469,purchase!D:D,purchase!B:B,""))</f>
        <v/>
      </c>
      <c r="F2469" s="2"/>
      <c r="G2469" s="4" t="str">
        <f t="shared" si="267"/>
        <v/>
      </c>
      <c r="H2469" s="4" t="str">
        <f>IF(F2469="","",_xlfn.XLOOKUP(F2469,purchase!D:D,purchase!#REF!,""))</f>
        <v/>
      </c>
      <c r="I2469" s="4" t="str">
        <f t="shared" si="268"/>
        <v/>
      </c>
      <c r="J2469" s="4" t="str">
        <f t="shared" si="269"/>
        <v/>
      </c>
      <c r="K2469" s="13" t="str">
        <f>_xlfn.SINGLE(IF(F2469="","",_xlfn.XLOOKUP(F2469,purchase!D:D,purchase!#REF!,"")))</f>
        <v/>
      </c>
      <c r="L2469" s="2"/>
      <c r="M2469" s="32"/>
      <c r="N2469" s="13" t="str">
        <f>IF(F2469="","",
MAX(0,
_xlfn.XLOOKUP(F2469,purchase!D:D,purchase!#REF!,"")
-
SUMIFS(L:L,F:F,F2469)))</f>
        <v/>
      </c>
      <c r="O2469" s="13" t="str">
        <f t="shared" si="270"/>
        <v/>
      </c>
      <c r="P2469" s="35" t="str">
        <f>_xlfn.SINGLE(IF(F2469="","",_xlfn.XLOOKUP(F2469,purchase!D:D,purchase!K:K,"")))</f>
        <v/>
      </c>
      <c r="Q2469" s="29" t="str">
        <f t="shared" si="271"/>
        <v/>
      </c>
      <c r="R2469" s="37" t="str">
        <f t="shared" si="272"/>
        <v/>
      </c>
    </row>
    <row r="2470" spans="1:18" x14ac:dyDescent="0.35">
      <c r="A2470" s="8">
        <v>2466</v>
      </c>
      <c r="B2470" s="9" t="str">
        <f t="shared" si="266"/>
        <v/>
      </c>
      <c r="C2470" s="10"/>
      <c r="D2470" s="9" t="str">
        <f>IF(F2470="","",_xlfn.XLOOKUP(F2470,purchase!D:D,purchase!#REF!,""))</f>
        <v/>
      </c>
      <c r="E2470" s="9" t="str">
        <f>IF(F2470="","",_xlfn.XLOOKUP(F2470,purchase!D:D,purchase!B:B,""))</f>
        <v/>
      </c>
      <c r="F2470" s="2"/>
      <c r="G2470" s="4" t="str">
        <f t="shared" si="267"/>
        <v/>
      </c>
      <c r="H2470" s="4" t="str">
        <f>IF(F2470="","",_xlfn.XLOOKUP(F2470,purchase!D:D,purchase!#REF!,""))</f>
        <v/>
      </c>
      <c r="I2470" s="4" t="str">
        <f t="shared" si="268"/>
        <v/>
      </c>
      <c r="J2470" s="4" t="str">
        <f t="shared" si="269"/>
        <v/>
      </c>
      <c r="K2470" s="13" t="str">
        <f>_xlfn.SINGLE(IF(F2470="","",_xlfn.XLOOKUP(F2470,purchase!D:D,purchase!#REF!,"")))</f>
        <v/>
      </c>
      <c r="L2470" s="2"/>
      <c r="M2470" s="32"/>
      <c r="N2470" s="13" t="str">
        <f>IF(F2470="","",
MAX(0,
_xlfn.XLOOKUP(F2470,purchase!D:D,purchase!#REF!,"")
-
SUMIFS(L:L,F:F,F2470)))</f>
        <v/>
      </c>
      <c r="O2470" s="13" t="str">
        <f t="shared" si="270"/>
        <v/>
      </c>
      <c r="P2470" s="35" t="str">
        <f>_xlfn.SINGLE(IF(F2470="","",_xlfn.XLOOKUP(F2470,purchase!D:D,purchase!K:K,"")))</f>
        <v/>
      </c>
      <c r="Q2470" s="29" t="str">
        <f t="shared" si="271"/>
        <v/>
      </c>
      <c r="R2470" s="37" t="str">
        <f t="shared" si="272"/>
        <v/>
      </c>
    </row>
    <row r="2471" spans="1:18" x14ac:dyDescent="0.35">
      <c r="A2471" s="8">
        <v>2467</v>
      </c>
      <c r="B2471" s="9" t="str">
        <f t="shared" si="266"/>
        <v/>
      </c>
      <c r="C2471" s="10"/>
      <c r="D2471" s="9" t="str">
        <f>IF(F2471="","",_xlfn.XLOOKUP(F2471,purchase!D:D,purchase!#REF!,""))</f>
        <v/>
      </c>
      <c r="E2471" s="9" t="str">
        <f>IF(F2471="","",_xlfn.XLOOKUP(F2471,purchase!D:D,purchase!B:B,""))</f>
        <v/>
      </c>
      <c r="F2471" s="2"/>
      <c r="G2471" s="4" t="str">
        <f t="shared" si="267"/>
        <v/>
      </c>
      <c r="H2471" s="4" t="str">
        <f>IF(F2471="","",_xlfn.XLOOKUP(F2471,purchase!D:D,purchase!#REF!,""))</f>
        <v/>
      </c>
      <c r="I2471" s="4" t="str">
        <f t="shared" si="268"/>
        <v/>
      </c>
      <c r="J2471" s="4" t="str">
        <f t="shared" si="269"/>
        <v/>
      </c>
      <c r="K2471" s="13" t="str">
        <f>_xlfn.SINGLE(IF(F2471="","",_xlfn.XLOOKUP(F2471,purchase!D:D,purchase!#REF!,"")))</f>
        <v/>
      </c>
      <c r="L2471" s="2"/>
      <c r="M2471" s="32"/>
      <c r="N2471" s="13" t="str">
        <f>IF(F2471="","",
MAX(0,
_xlfn.XLOOKUP(F2471,purchase!D:D,purchase!#REF!,"")
-
SUMIFS(L:L,F:F,F2471)))</f>
        <v/>
      </c>
      <c r="O2471" s="13" t="str">
        <f t="shared" si="270"/>
        <v/>
      </c>
      <c r="P2471" s="35" t="str">
        <f>_xlfn.SINGLE(IF(F2471="","",_xlfn.XLOOKUP(F2471,purchase!D:D,purchase!K:K,"")))</f>
        <v/>
      </c>
      <c r="Q2471" s="29" t="str">
        <f t="shared" si="271"/>
        <v/>
      </c>
      <c r="R2471" s="37" t="str">
        <f t="shared" si="272"/>
        <v/>
      </c>
    </row>
    <row r="2472" spans="1:18" x14ac:dyDescent="0.35">
      <c r="A2472" s="8">
        <v>2468</v>
      </c>
      <c r="B2472" s="9" t="str">
        <f t="shared" si="266"/>
        <v/>
      </c>
      <c r="C2472" s="10"/>
      <c r="D2472" s="9" t="str">
        <f>IF(F2472="","",_xlfn.XLOOKUP(F2472,purchase!D:D,purchase!#REF!,""))</f>
        <v/>
      </c>
      <c r="E2472" s="9" t="str">
        <f>IF(F2472="","",_xlfn.XLOOKUP(F2472,purchase!D:D,purchase!B:B,""))</f>
        <v/>
      </c>
      <c r="F2472" s="2"/>
      <c r="G2472" s="4" t="str">
        <f t="shared" si="267"/>
        <v/>
      </c>
      <c r="H2472" s="4" t="str">
        <f>IF(F2472="","",_xlfn.XLOOKUP(F2472,purchase!D:D,purchase!#REF!,""))</f>
        <v/>
      </c>
      <c r="I2472" s="4" t="str">
        <f t="shared" si="268"/>
        <v/>
      </c>
      <c r="J2472" s="4" t="str">
        <f t="shared" si="269"/>
        <v/>
      </c>
      <c r="K2472" s="13" t="str">
        <f>_xlfn.SINGLE(IF(F2472="","",_xlfn.XLOOKUP(F2472,purchase!D:D,purchase!#REF!,"")))</f>
        <v/>
      </c>
      <c r="L2472" s="2"/>
      <c r="M2472" s="32"/>
      <c r="N2472" s="13" t="str">
        <f>IF(F2472="","",
MAX(0,
_xlfn.XLOOKUP(F2472,purchase!D:D,purchase!#REF!,"")
-
SUMIFS(L:L,F:F,F2472)))</f>
        <v/>
      </c>
      <c r="O2472" s="13" t="str">
        <f t="shared" si="270"/>
        <v/>
      </c>
      <c r="P2472" s="35" t="str">
        <f>_xlfn.SINGLE(IF(F2472="","",_xlfn.XLOOKUP(F2472,purchase!D:D,purchase!K:K,"")))</f>
        <v/>
      </c>
      <c r="Q2472" s="29" t="str">
        <f t="shared" si="271"/>
        <v/>
      </c>
      <c r="R2472" s="37" t="str">
        <f t="shared" si="272"/>
        <v/>
      </c>
    </row>
    <row r="2473" spans="1:18" x14ac:dyDescent="0.35">
      <c r="A2473" s="8">
        <v>2469</v>
      </c>
      <c r="B2473" s="9" t="str">
        <f t="shared" si="266"/>
        <v/>
      </c>
      <c r="C2473" s="10"/>
      <c r="D2473" s="9" t="str">
        <f>IF(F2473="","",_xlfn.XLOOKUP(F2473,purchase!D:D,purchase!#REF!,""))</f>
        <v/>
      </c>
      <c r="E2473" s="9" t="str">
        <f>IF(F2473="","",_xlfn.XLOOKUP(F2473,purchase!D:D,purchase!B:B,""))</f>
        <v/>
      </c>
      <c r="F2473" s="2"/>
      <c r="G2473" s="4" t="str">
        <f t="shared" si="267"/>
        <v/>
      </c>
      <c r="H2473" s="4" t="str">
        <f>IF(F2473="","",_xlfn.XLOOKUP(F2473,purchase!D:D,purchase!#REF!,""))</f>
        <v/>
      </c>
      <c r="I2473" s="4" t="str">
        <f t="shared" si="268"/>
        <v/>
      </c>
      <c r="J2473" s="4" t="str">
        <f t="shared" si="269"/>
        <v/>
      </c>
      <c r="K2473" s="13" t="str">
        <f>_xlfn.SINGLE(IF(F2473="","",_xlfn.XLOOKUP(F2473,purchase!D:D,purchase!#REF!,"")))</f>
        <v/>
      </c>
      <c r="L2473" s="2"/>
      <c r="M2473" s="32"/>
      <c r="N2473" s="13" t="str">
        <f>IF(F2473="","",
MAX(0,
_xlfn.XLOOKUP(F2473,purchase!D:D,purchase!#REF!,"")
-
SUMIFS(L:L,F:F,F2473)))</f>
        <v/>
      </c>
      <c r="O2473" s="13" t="str">
        <f t="shared" si="270"/>
        <v/>
      </c>
      <c r="P2473" s="35" t="str">
        <f>_xlfn.SINGLE(IF(F2473="","",_xlfn.XLOOKUP(F2473,purchase!D:D,purchase!K:K,"")))</f>
        <v/>
      </c>
      <c r="Q2473" s="29" t="str">
        <f t="shared" si="271"/>
        <v/>
      </c>
      <c r="R2473" s="37" t="str">
        <f t="shared" si="272"/>
        <v/>
      </c>
    </row>
    <row r="2474" spans="1:18" x14ac:dyDescent="0.35">
      <c r="A2474" s="8">
        <v>2470</v>
      </c>
      <c r="B2474" s="9" t="str">
        <f t="shared" si="266"/>
        <v/>
      </c>
      <c r="C2474" s="10"/>
      <c r="D2474" s="9" t="str">
        <f>IF(F2474="","",_xlfn.XLOOKUP(F2474,purchase!D:D,purchase!#REF!,""))</f>
        <v/>
      </c>
      <c r="E2474" s="9" t="str">
        <f>IF(F2474="","",_xlfn.XLOOKUP(F2474,purchase!D:D,purchase!B:B,""))</f>
        <v/>
      </c>
      <c r="F2474" s="2"/>
      <c r="G2474" s="4" t="str">
        <f t="shared" si="267"/>
        <v/>
      </c>
      <c r="H2474" s="4" t="str">
        <f>IF(F2474="","",_xlfn.XLOOKUP(F2474,purchase!D:D,purchase!#REF!,""))</f>
        <v/>
      </c>
      <c r="I2474" s="4" t="str">
        <f t="shared" si="268"/>
        <v/>
      </c>
      <c r="J2474" s="4" t="str">
        <f t="shared" si="269"/>
        <v/>
      </c>
      <c r="K2474" s="13" t="str">
        <f>_xlfn.SINGLE(IF(F2474="","",_xlfn.XLOOKUP(F2474,purchase!D:D,purchase!#REF!,"")))</f>
        <v/>
      </c>
      <c r="L2474" s="2"/>
      <c r="M2474" s="32"/>
      <c r="N2474" s="13" t="str">
        <f>IF(F2474="","",
MAX(0,
_xlfn.XLOOKUP(F2474,purchase!D:D,purchase!#REF!,"")
-
SUMIFS(L:L,F:F,F2474)))</f>
        <v/>
      </c>
      <c r="O2474" s="13" t="str">
        <f t="shared" si="270"/>
        <v/>
      </c>
      <c r="P2474" s="35" t="str">
        <f>_xlfn.SINGLE(IF(F2474="","",_xlfn.XLOOKUP(F2474,purchase!D:D,purchase!K:K,"")))</f>
        <v/>
      </c>
      <c r="Q2474" s="29" t="str">
        <f t="shared" si="271"/>
        <v/>
      </c>
      <c r="R2474" s="37" t="str">
        <f t="shared" si="272"/>
        <v/>
      </c>
    </row>
    <row r="2475" spans="1:18" x14ac:dyDescent="0.35">
      <c r="A2475" s="8">
        <v>2471</v>
      </c>
      <c r="B2475" s="9" t="str">
        <f t="shared" si="266"/>
        <v/>
      </c>
      <c r="C2475" s="10"/>
      <c r="D2475" s="9" t="str">
        <f>IF(F2475="","",_xlfn.XLOOKUP(F2475,purchase!D:D,purchase!#REF!,""))</f>
        <v/>
      </c>
      <c r="E2475" s="9" t="str">
        <f>IF(F2475="","",_xlfn.XLOOKUP(F2475,purchase!D:D,purchase!B:B,""))</f>
        <v/>
      </c>
      <c r="F2475" s="2"/>
      <c r="G2475" s="4" t="str">
        <f t="shared" si="267"/>
        <v/>
      </c>
      <c r="H2475" s="4" t="str">
        <f>IF(F2475="","",_xlfn.XLOOKUP(F2475,purchase!D:D,purchase!#REF!,""))</f>
        <v/>
      </c>
      <c r="I2475" s="4" t="str">
        <f t="shared" si="268"/>
        <v/>
      </c>
      <c r="J2475" s="4" t="str">
        <f t="shared" si="269"/>
        <v/>
      </c>
      <c r="K2475" s="13" t="str">
        <f>_xlfn.SINGLE(IF(F2475="","",_xlfn.XLOOKUP(F2475,purchase!D:D,purchase!#REF!,"")))</f>
        <v/>
      </c>
      <c r="L2475" s="2"/>
      <c r="M2475" s="32"/>
      <c r="N2475" s="13" t="str">
        <f>IF(F2475="","",
MAX(0,
_xlfn.XLOOKUP(F2475,purchase!D:D,purchase!#REF!,"")
-
SUMIFS(L:L,F:F,F2475)))</f>
        <v/>
      </c>
      <c r="O2475" s="13" t="str">
        <f t="shared" si="270"/>
        <v/>
      </c>
      <c r="P2475" s="35" t="str">
        <f>_xlfn.SINGLE(IF(F2475="","",_xlfn.XLOOKUP(F2475,purchase!D:D,purchase!K:K,"")))</f>
        <v/>
      </c>
      <c r="Q2475" s="29" t="str">
        <f t="shared" si="271"/>
        <v/>
      </c>
      <c r="R2475" s="37" t="str">
        <f t="shared" si="272"/>
        <v/>
      </c>
    </row>
    <row r="2476" spans="1:18" x14ac:dyDescent="0.35">
      <c r="A2476" s="8">
        <v>2472</v>
      </c>
      <c r="B2476" s="9" t="str">
        <f t="shared" si="266"/>
        <v/>
      </c>
      <c r="C2476" s="10"/>
      <c r="D2476" s="9" t="str">
        <f>IF(F2476="","",_xlfn.XLOOKUP(F2476,purchase!D:D,purchase!#REF!,""))</f>
        <v/>
      </c>
      <c r="E2476" s="9" t="str">
        <f>IF(F2476="","",_xlfn.XLOOKUP(F2476,purchase!D:D,purchase!B:B,""))</f>
        <v/>
      </c>
      <c r="F2476" s="2"/>
      <c r="G2476" s="4" t="str">
        <f t="shared" si="267"/>
        <v/>
      </c>
      <c r="H2476" s="4" t="str">
        <f>IF(F2476="","",_xlfn.XLOOKUP(F2476,purchase!D:D,purchase!#REF!,""))</f>
        <v/>
      </c>
      <c r="I2476" s="4" t="str">
        <f t="shared" si="268"/>
        <v/>
      </c>
      <c r="J2476" s="4" t="str">
        <f t="shared" si="269"/>
        <v/>
      </c>
      <c r="K2476" s="13" t="str">
        <f>_xlfn.SINGLE(IF(F2476="","",_xlfn.XLOOKUP(F2476,purchase!D:D,purchase!#REF!,"")))</f>
        <v/>
      </c>
      <c r="L2476" s="2"/>
      <c r="M2476" s="32"/>
      <c r="N2476" s="13" t="str">
        <f>IF(F2476="","",
MAX(0,
_xlfn.XLOOKUP(F2476,purchase!D:D,purchase!#REF!,"")
-
SUMIFS(L:L,F:F,F2476)))</f>
        <v/>
      </c>
      <c r="O2476" s="13" t="str">
        <f t="shared" si="270"/>
        <v/>
      </c>
      <c r="P2476" s="35" t="str">
        <f>_xlfn.SINGLE(IF(F2476="","",_xlfn.XLOOKUP(F2476,purchase!D:D,purchase!K:K,"")))</f>
        <v/>
      </c>
      <c r="Q2476" s="29" t="str">
        <f t="shared" si="271"/>
        <v/>
      </c>
      <c r="R2476" s="37" t="str">
        <f t="shared" si="272"/>
        <v/>
      </c>
    </row>
    <row r="2477" spans="1:18" x14ac:dyDescent="0.35">
      <c r="A2477" s="8">
        <v>2473</v>
      </c>
      <c r="B2477" s="9" t="str">
        <f t="shared" si="266"/>
        <v/>
      </c>
      <c r="C2477" s="10"/>
      <c r="D2477" s="9" t="str">
        <f>IF(F2477="","",_xlfn.XLOOKUP(F2477,purchase!D:D,purchase!#REF!,""))</f>
        <v/>
      </c>
      <c r="E2477" s="9" t="str">
        <f>IF(F2477="","",_xlfn.XLOOKUP(F2477,purchase!D:D,purchase!B:B,""))</f>
        <v/>
      </c>
      <c r="F2477" s="2"/>
      <c r="G2477" s="4" t="str">
        <f t="shared" si="267"/>
        <v/>
      </c>
      <c r="H2477" s="4" t="str">
        <f>IF(F2477="","",_xlfn.XLOOKUP(F2477,purchase!D:D,purchase!#REF!,""))</f>
        <v/>
      </c>
      <c r="I2477" s="4" t="str">
        <f t="shared" si="268"/>
        <v/>
      </c>
      <c r="J2477" s="4" t="str">
        <f t="shared" si="269"/>
        <v/>
      </c>
      <c r="K2477" s="13" t="str">
        <f>_xlfn.SINGLE(IF(F2477="","",_xlfn.XLOOKUP(F2477,purchase!D:D,purchase!#REF!,"")))</f>
        <v/>
      </c>
      <c r="L2477" s="2"/>
      <c r="M2477" s="32"/>
      <c r="N2477" s="13" t="str">
        <f>IF(F2477="","",
MAX(0,
_xlfn.XLOOKUP(F2477,purchase!D:D,purchase!#REF!,"")
-
SUMIFS(L:L,F:F,F2477)))</f>
        <v/>
      </c>
      <c r="O2477" s="13" t="str">
        <f t="shared" si="270"/>
        <v/>
      </c>
      <c r="P2477" s="35" t="str">
        <f>_xlfn.SINGLE(IF(F2477="","",_xlfn.XLOOKUP(F2477,purchase!D:D,purchase!K:K,"")))</f>
        <v/>
      </c>
      <c r="Q2477" s="29" t="str">
        <f t="shared" si="271"/>
        <v/>
      </c>
      <c r="R2477" s="37" t="str">
        <f t="shared" si="272"/>
        <v/>
      </c>
    </row>
    <row r="2478" spans="1:18" x14ac:dyDescent="0.35">
      <c r="A2478" s="8">
        <v>2474</v>
      </c>
      <c r="B2478" s="9" t="str">
        <f t="shared" si="266"/>
        <v/>
      </c>
      <c r="C2478" s="10"/>
      <c r="D2478" s="9" t="str">
        <f>IF(F2478="","",_xlfn.XLOOKUP(F2478,purchase!D:D,purchase!#REF!,""))</f>
        <v/>
      </c>
      <c r="E2478" s="9" t="str">
        <f>IF(F2478="","",_xlfn.XLOOKUP(F2478,purchase!D:D,purchase!B:B,""))</f>
        <v/>
      </c>
      <c r="F2478" s="2"/>
      <c r="G2478" s="4" t="str">
        <f t="shared" si="267"/>
        <v/>
      </c>
      <c r="H2478" s="4" t="str">
        <f>IF(F2478="","",_xlfn.XLOOKUP(F2478,purchase!D:D,purchase!#REF!,""))</f>
        <v/>
      </c>
      <c r="I2478" s="4" t="str">
        <f t="shared" si="268"/>
        <v/>
      </c>
      <c r="J2478" s="4" t="str">
        <f t="shared" si="269"/>
        <v/>
      </c>
      <c r="K2478" s="13" t="str">
        <f>_xlfn.SINGLE(IF(F2478="","",_xlfn.XLOOKUP(F2478,purchase!D:D,purchase!#REF!,"")))</f>
        <v/>
      </c>
      <c r="L2478" s="2"/>
      <c r="M2478" s="32"/>
      <c r="N2478" s="13" t="str">
        <f>IF(F2478="","",
MAX(0,
_xlfn.XLOOKUP(F2478,purchase!D:D,purchase!#REF!,"")
-
SUMIFS(L:L,F:F,F2478)))</f>
        <v/>
      </c>
      <c r="O2478" s="13" t="str">
        <f t="shared" si="270"/>
        <v/>
      </c>
      <c r="P2478" s="35" t="str">
        <f>_xlfn.SINGLE(IF(F2478="","",_xlfn.XLOOKUP(F2478,purchase!D:D,purchase!K:K,"")))</f>
        <v/>
      </c>
      <c r="Q2478" s="29" t="str">
        <f t="shared" si="271"/>
        <v/>
      </c>
      <c r="R2478" s="37" t="str">
        <f t="shared" si="272"/>
        <v/>
      </c>
    </row>
    <row r="2479" spans="1:18" x14ac:dyDescent="0.35">
      <c r="A2479" s="8">
        <v>2475</v>
      </c>
      <c r="B2479" s="9" t="str">
        <f t="shared" si="266"/>
        <v/>
      </c>
      <c r="C2479" s="10"/>
      <c r="D2479" s="9" t="str">
        <f>IF(F2479="","",_xlfn.XLOOKUP(F2479,purchase!D:D,purchase!#REF!,""))</f>
        <v/>
      </c>
      <c r="E2479" s="9" t="str">
        <f>IF(F2479="","",_xlfn.XLOOKUP(F2479,purchase!D:D,purchase!B:B,""))</f>
        <v/>
      </c>
      <c r="F2479" s="2"/>
      <c r="G2479" s="4" t="str">
        <f t="shared" si="267"/>
        <v/>
      </c>
      <c r="H2479" s="4" t="str">
        <f>IF(F2479="","",_xlfn.XLOOKUP(F2479,purchase!D:D,purchase!#REF!,""))</f>
        <v/>
      </c>
      <c r="I2479" s="4" t="str">
        <f t="shared" si="268"/>
        <v/>
      </c>
      <c r="J2479" s="4" t="str">
        <f t="shared" si="269"/>
        <v/>
      </c>
      <c r="K2479" s="13" t="str">
        <f>_xlfn.SINGLE(IF(F2479="","",_xlfn.XLOOKUP(F2479,purchase!D:D,purchase!#REF!,"")))</f>
        <v/>
      </c>
      <c r="L2479" s="2"/>
      <c r="M2479" s="32"/>
      <c r="N2479" s="13" t="str">
        <f>IF(F2479="","",
MAX(0,
_xlfn.XLOOKUP(F2479,purchase!D:D,purchase!#REF!,"")
-
SUMIFS(L:L,F:F,F2479)))</f>
        <v/>
      </c>
      <c r="O2479" s="13" t="str">
        <f t="shared" si="270"/>
        <v/>
      </c>
      <c r="P2479" s="35" t="str">
        <f>_xlfn.SINGLE(IF(F2479="","",_xlfn.XLOOKUP(F2479,purchase!D:D,purchase!K:K,"")))</f>
        <v/>
      </c>
      <c r="Q2479" s="29" t="str">
        <f t="shared" si="271"/>
        <v/>
      </c>
      <c r="R2479" s="37" t="str">
        <f t="shared" si="272"/>
        <v/>
      </c>
    </row>
    <row r="2480" spans="1:18" x14ac:dyDescent="0.35">
      <c r="A2480" s="8">
        <v>2476</v>
      </c>
      <c r="B2480" s="9" t="str">
        <f t="shared" si="266"/>
        <v/>
      </c>
      <c r="C2480" s="10"/>
      <c r="D2480" s="9" t="str">
        <f>IF(F2480="","",_xlfn.XLOOKUP(F2480,purchase!D:D,purchase!#REF!,""))</f>
        <v/>
      </c>
      <c r="E2480" s="9" t="str">
        <f>IF(F2480="","",_xlfn.XLOOKUP(F2480,purchase!D:D,purchase!B:B,""))</f>
        <v/>
      </c>
      <c r="F2480" s="2"/>
      <c r="G2480" s="4" t="str">
        <f t="shared" si="267"/>
        <v/>
      </c>
      <c r="H2480" s="4" t="str">
        <f>IF(F2480="","",_xlfn.XLOOKUP(F2480,purchase!D:D,purchase!#REF!,""))</f>
        <v/>
      </c>
      <c r="I2480" s="4" t="str">
        <f t="shared" si="268"/>
        <v/>
      </c>
      <c r="J2480" s="4" t="str">
        <f t="shared" si="269"/>
        <v/>
      </c>
      <c r="K2480" s="13" t="str">
        <f>_xlfn.SINGLE(IF(F2480="","",_xlfn.XLOOKUP(F2480,purchase!D:D,purchase!#REF!,"")))</f>
        <v/>
      </c>
      <c r="L2480" s="2"/>
      <c r="M2480" s="32"/>
      <c r="N2480" s="13" t="str">
        <f>IF(F2480="","",
MAX(0,
_xlfn.XLOOKUP(F2480,purchase!D:D,purchase!#REF!,"")
-
SUMIFS(L:L,F:F,F2480)))</f>
        <v/>
      </c>
      <c r="O2480" s="13" t="str">
        <f t="shared" si="270"/>
        <v/>
      </c>
      <c r="P2480" s="35" t="str">
        <f>_xlfn.SINGLE(IF(F2480="","",_xlfn.XLOOKUP(F2480,purchase!D:D,purchase!K:K,"")))</f>
        <v/>
      </c>
      <c r="Q2480" s="29" t="str">
        <f t="shared" si="271"/>
        <v/>
      </c>
      <c r="R2480" s="37" t="str">
        <f t="shared" si="272"/>
        <v/>
      </c>
    </row>
    <row r="2481" spans="1:18" x14ac:dyDescent="0.35">
      <c r="A2481" s="8">
        <v>2477</v>
      </c>
      <c r="B2481" s="9" t="str">
        <f t="shared" si="266"/>
        <v/>
      </c>
      <c r="C2481" s="10"/>
      <c r="D2481" s="9" t="str">
        <f>IF(F2481="","",_xlfn.XLOOKUP(F2481,purchase!D:D,purchase!#REF!,""))</f>
        <v/>
      </c>
      <c r="E2481" s="9" t="str">
        <f>IF(F2481="","",_xlfn.XLOOKUP(F2481,purchase!D:D,purchase!B:B,""))</f>
        <v/>
      </c>
      <c r="F2481" s="2"/>
      <c r="G2481" s="4" t="str">
        <f t="shared" si="267"/>
        <v/>
      </c>
      <c r="H2481" s="4" t="str">
        <f>IF(F2481="","",_xlfn.XLOOKUP(F2481,purchase!D:D,purchase!#REF!,""))</f>
        <v/>
      </c>
      <c r="I2481" s="4" t="str">
        <f t="shared" si="268"/>
        <v/>
      </c>
      <c r="J2481" s="4" t="str">
        <f t="shared" si="269"/>
        <v/>
      </c>
      <c r="K2481" s="13" t="str">
        <f>_xlfn.SINGLE(IF(F2481="","",_xlfn.XLOOKUP(F2481,purchase!D:D,purchase!#REF!,"")))</f>
        <v/>
      </c>
      <c r="L2481" s="2"/>
      <c r="M2481" s="32"/>
      <c r="N2481" s="13" t="str">
        <f>IF(F2481="","",
MAX(0,
_xlfn.XLOOKUP(F2481,purchase!D:D,purchase!#REF!,"")
-
SUMIFS(L:L,F:F,F2481)))</f>
        <v/>
      </c>
      <c r="O2481" s="13" t="str">
        <f t="shared" si="270"/>
        <v/>
      </c>
      <c r="P2481" s="35" t="str">
        <f>_xlfn.SINGLE(IF(F2481="","",_xlfn.XLOOKUP(F2481,purchase!D:D,purchase!K:K,"")))</f>
        <v/>
      </c>
      <c r="Q2481" s="29" t="str">
        <f t="shared" si="271"/>
        <v/>
      </c>
      <c r="R2481" s="37" t="str">
        <f t="shared" si="272"/>
        <v/>
      </c>
    </row>
    <row r="2482" spans="1:18" x14ac:dyDescent="0.35">
      <c r="A2482" s="8">
        <v>2478</v>
      </c>
      <c r="B2482" s="9" t="str">
        <f t="shared" si="266"/>
        <v/>
      </c>
      <c r="C2482" s="10"/>
      <c r="D2482" s="9" t="str">
        <f>IF(F2482="","",_xlfn.XLOOKUP(F2482,purchase!D:D,purchase!#REF!,""))</f>
        <v/>
      </c>
      <c r="E2482" s="9" t="str">
        <f>IF(F2482="","",_xlfn.XLOOKUP(F2482,purchase!D:D,purchase!B:B,""))</f>
        <v/>
      </c>
      <c r="F2482" s="2"/>
      <c r="G2482" s="4" t="str">
        <f t="shared" si="267"/>
        <v/>
      </c>
      <c r="H2482" s="4" t="str">
        <f>IF(F2482="","",_xlfn.XLOOKUP(F2482,purchase!D:D,purchase!#REF!,""))</f>
        <v/>
      </c>
      <c r="I2482" s="4" t="str">
        <f t="shared" si="268"/>
        <v/>
      </c>
      <c r="J2482" s="4" t="str">
        <f t="shared" si="269"/>
        <v/>
      </c>
      <c r="K2482" s="13" t="str">
        <f>_xlfn.SINGLE(IF(F2482="","",_xlfn.XLOOKUP(F2482,purchase!D:D,purchase!#REF!,"")))</f>
        <v/>
      </c>
      <c r="L2482" s="2"/>
      <c r="M2482" s="32"/>
      <c r="N2482" s="13" t="str">
        <f>IF(F2482="","",
MAX(0,
_xlfn.XLOOKUP(F2482,purchase!D:D,purchase!#REF!,"")
-
SUMIFS(L:L,F:F,F2482)))</f>
        <v/>
      </c>
      <c r="O2482" s="13" t="str">
        <f t="shared" si="270"/>
        <v/>
      </c>
      <c r="P2482" s="35" t="str">
        <f>_xlfn.SINGLE(IF(F2482="","",_xlfn.XLOOKUP(F2482,purchase!D:D,purchase!K:K,"")))</f>
        <v/>
      </c>
      <c r="Q2482" s="29" t="str">
        <f t="shared" si="271"/>
        <v/>
      </c>
      <c r="R2482" s="37" t="str">
        <f t="shared" si="272"/>
        <v/>
      </c>
    </row>
    <row r="2483" spans="1:18" x14ac:dyDescent="0.35">
      <c r="A2483" s="8">
        <v>2479</v>
      </c>
      <c r="B2483" s="9" t="str">
        <f t="shared" si="266"/>
        <v/>
      </c>
      <c r="C2483" s="10"/>
      <c r="D2483" s="9" t="str">
        <f>IF(F2483="","",_xlfn.XLOOKUP(F2483,purchase!D:D,purchase!#REF!,""))</f>
        <v/>
      </c>
      <c r="E2483" s="9" t="str">
        <f>IF(F2483="","",_xlfn.XLOOKUP(F2483,purchase!D:D,purchase!B:B,""))</f>
        <v/>
      </c>
      <c r="F2483" s="2"/>
      <c r="G2483" s="4" t="str">
        <f t="shared" si="267"/>
        <v/>
      </c>
      <c r="H2483" s="4" t="str">
        <f>IF(F2483="","",_xlfn.XLOOKUP(F2483,purchase!D:D,purchase!#REF!,""))</f>
        <v/>
      </c>
      <c r="I2483" s="4" t="str">
        <f t="shared" si="268"/>
        <v/>
      </c>
      <c r="J2483" s="4" t="str">
        <f t="shared" si="269"/>
        <v/>
      </c>
      <c r="K2483" s="13" t="str">
        <f>_xlfn.SINGLE(IF(F2483="","",_xlfn.XLOOKUP(F2483,purchase!D:D,purchase!#REF!,"")))</f>
        <v/>
      </c>
      <c r="L2483" s="2"/>
      <c r="M2483" s="32"/>
      <c r="N2483" s="13" t="str">
        <f>IF(F2483="","",
MAX(0,
_xlfn.XLOOKUP(F2483,purchase!D:D,purchase!#REF!,"")
-
SUMIFS(L:L,F:F,F2483)))</f>
        <v/>
      </c>
      <c r="O2483" s="13" t="str">
        <f t="shared" si="270"/>
        <v/>
      </c>
      <c r="P2483" s="35" t="str">
        <f>_xlfn.SINGLE(IF(F2483="","",_xlfn.XLOOKUP(F2483,purchase!D:D,purchase!K:K,"")))</f>
        <v/>
      </c>
      <c r="Q2483" s="29" t="str">
        <f t="shared" si="271"/>
        <v/>
      </c>
      <c r="R2483" s="37" t="str">
        <f t="shared" si="272"/>
        <v/>
      </c>
    </row>
    <row r="2484" spans="1:18" x14ac:dyDescent="0.35">
      <c r="A2484" s="8">
        <v>2480</v>
      </c>
      <c r="B2484" s="9" t="str">
        <f t="shared" si="266"/>
        <v/>
      </c>
      <c r="C2484" s="10"/>
      <c r="D2484" s="9" t="str">
        <f>IF(F2484="","",_xlfn.XLOOKUP(F2484,purchase!D:D,purchase!#REF!,""))</f>
        <v/>
      </c>
      <c r="E2484" s="9" t="str">
        <f>IF(F2484="","",_xlfn.XLOOKUP(F2484,purchase!D:D,purchase!B:B,""))</f>
        <v/>
      </c>
      <c r="F2484" s="2"/>
      <c r="G2484" s="4" t="str">
        <f t="shared" si="267"/>
        <v/>
      </c>
      <c r="H2484" s="4" t="str">
        <f>IF(F2484="","",_xlfn.XLOOKUP(F2484,purchase!D:D,purchase!#REF!,""))</f>
        <v/>
      </c>
      <c r="I2484" s="4" t="str">
        <f t="shared" si="268"/>
        <v/>
      </c>
      <c r="J2484" s="4" t="str">
        <f t="shared" si="269"/>
        <v/>
      </c>
      <c r="K2484" s="13" t="str">
        <f>_xlfn.SINGLE(IF(F2484="","",_xlfn.XLOOKUP(F2484,purchase!D:D,purchase!#REF!,"")))</f>
        <v/>
      </c>
      <c r="L2484" s="2"/>
      <c r="M2484" s="32"/>
      <c r="N2484" s="13" t="str">
        <f>IF(F2484="","",
MAX(0,
_xlfn.XLOOKUP(F2484,purchase!D:D,purchase!#REF!,"")
-
SUMIFS(L:L,F:F,F2484)))</f>
        <v/>
      </c>
      <c r="O2484" s="13" t="str">
        <f t="shared" si="270"/>
        <v/>
      </c>
      <c r="P2484" s="35" t="str">
        <f>_xlfn.SINGLE(IF(F2484="","",_xlfn.XLOOKUP(F2484,purchase!D:D,purchase!K:K,"")))</f>
        <v/>
      </c>
      <c r="Q2484" s="29" t="str">
        <f t="shared" si="271"/>
        <v/>
      </c>
      <c r="R2484" s="37" t="str">
        <f t="shared" si="272"/>
        <v/>
      </c>
    </row>
    <row r="2485" spans="1:18" x14ac:dyDescent="0.35">
      <c r="A2485" s="8">
        <v>2481</v>
      </c>
      <c r="B2485" s="9" t="str">
        <f t="shared" si="266"/>
        <v/>
      </c>
      <c r="C2485" s="10"/>
      <c r="D2485" s="9" t="str">
        <f>IF(F2485="","",_xlfn.XLOOKUP(F2485,purchase!D:D,purchase!#REF!,""))</f>
        <v/>
      </c>
      <c r="E2485" s="9" t="str">
        <f>IF(F2485="","",_xlfn.XLOOKUP(F2485,purchase!D:D,purchase!B:B,""))</f>
        <v/>
      </c>
      <c r="F2485" s="2"/>
      <c r="G2485" s="4" t="str">
        <f t="shared" si="267"/>
        <v/>
      </c>
      <c r="H2485" s="4" t="str">
        <f>IF(F2485="","",_xlfn.XLOOKUP(F2485,purchase!D:D,purchase!#REF!,""))</f>
        <v/>
      </c>
      <c r="I2485" s="4" t="str">
        <f t="shared" si="268"/>
        <v/>
      </c>
      <c r="J2485" s="4" t="str">
        <f t="shared" si="269"/>
        <v/>
      </c>
      <c r="K2485" s="13" t="str">
        <f>_xlfn.SINGLE(IF(F2485="","",_xlfn.XLOOKUP(F2485,purchase!D:D,purchase!#REF!,"")))</f>
        <v/>
      </c>
      <c r="L2485" s="2"/>
      <c r="M2485" s="32"/>
      <c r="N2485" s="13" t="str">
        <f>IF(F2485="","",
MAX(0,
_xlfn.XLOOKUP(F2485,purchase!D:D,purchase!#REF!,"")
-
SUMIFS(L:L,F:F,F2485)))</f>
        <v/>
      </c>
      <c r="O2485" s="13" t="str">
        <f t="shared" si="270"/>
        <v/>
      </c>
      <c r="P2485" s="35" t="str">
        <f>_xlfn.SINGLE(IF(F2485="","",_xlfn.XLOOKUP(F2485,purchase!D:D,purchase!K:K,"")))</f>
        <v/>
      </c>
      <c r="Q2485" s="29" t="str">
        <f t="shared" si="271"/>
        <v/>
      </c>
      <c r="R2485" s="37" t="str">
        <f t="shared" si="272"/>
        <v/>
      </c>
    </row>
    <row r="2486" spans="1:18" x14ac:dyDescent="0.35">
      <c r="A2486" s="8">
        <v>2482</v>
      </c>
      <c r="B2486" s="9" t="str">
        <f t="shared" si="266"/>
        <v/>
      </c>
      <c r="C2486" s="10"/>
      <c r="D2486" s="9" t="str">
        <f>IF(F2486="","",_xlfn.XLOOKUP(F2486,purchase!D:D,purchase!#REF!,""))</f>
        <v/>
      </c>
      <c r="E2486" s="9" t="str">
        <f>IF(F2486="","",_xlfn.XLOOKUP(F2486,purchase!D:D,purchase!B:B,""))</f>
        <v/>
      </c>
      <c r="F2486" s="2"/>
      <c r="G2486" s="4" t="str">
        <f t="shared" si="267"/>
        <v/>
      </c>
      <c r="H2486" s="4" t="str">
        <f>IF(F2486="","",_xlfn.XLOOKUP(F2486,purchase!D:D,purchase!#REF!,""))</f>
        <v/>
      </c>
      <c r="I2486" s="4" t="str">
        <f t="shared" si="268"/>
        <v/>
      </c>
      <c r="J2486" s="4" t="str">
        <f t="shared" si="269"/>
        <v/>
      </c>
      <c r="K2486" s="13" t="str">
        <f>_xlfn.SINGLE(IF(F2486="","",_xlfn.XLOOKUP(F2486,purchase!D:D,purchase!#REF!,"")))</f>
        <v/>
      </c>
      <c r="L2486" s="2"/>
      <c r="M2486" s="32"/>
      <c r="N2486" s="13" t="str">
        <f>IF(F2486="","",
MAX(0,
_xlfn.XLOOKUP(F2486,purchase!D:D,purchase!#REF!,"")
-
SUMIFS(L:L,F:F,F2486)))</f>
        <v/>
      </c>
      <c r="O2486" s="13" t="str">
        <f t="shared" si="270"/>
        <v/>
      </c>
      <c r="P2486" s="35" t="str">
        <f>_xlfn.SINGLE(IF(F2486="","",_xlfn.XLOOKUP(F2486,purchase!D:D,purchase!K:K,"")))</f>
        <v/>
      </c>
      <c r="Q2486" s="29" t="str">
        <f t="shared" si="271"/>
        <v/>
      </c>
      <c r="R2486" s="37" t="str">
        <f t="shared" si="272"/>
        <v/>
      </c>
    </row>
    <row r="2487" spans="1:18" x14ac:dyDescent="0.35">
      <c r="A2487" s="8">
        <v>2483</v>
      </c>
      <c r="B2487" s="9" t="str">
        <f t="shared" si="266"/>
        <v/>
      </c>
      <c r="C2487" s="10"/>
      <c r="D2487" s="9" t="str">
        <f>IF(F2487="","",_xlfn.XLOOKUP(F2487,purchase!D:D,purchase!#REF!,""))</f>
        <v/>
      </c>
      <c r="E2487" s="9" t="str">
        <f>IF(F2487="","",_xlfn.XLOOKUP(F2487,purchase!D:D,purchase!B:B,""))</f>
        <v/>
      </c>
      <c r="F2487" s="2"/>
      <c r="G2487" s="4" t="str">
        <f t="shared" si="267"/>
        <v/>
      </c>
      <c r="H2487" s="4" t="str">
        <f>IF(F2487="","",_xlfn.XLOOKUP(F2487,purchase!D:D,purchase!#REF!,""))</f>
        <v/>
      </c>
      <c r="I2487" s="4" t="str">
        <f t="shared" si="268"/>
        <v/>
      </c>
      <c r="J2487" s="4" t="str">
        <f t="shared" si="269"/>
        <v/>
      </c>
      <c r="K2487" s="13" t="str">
        <f>_xlfn.SINGLE(IF(F2487="","",_xlfn.XLOOKUP(F2487,purchase!D:D,purchase!#REF!,"")))</f>
        <v/>
      </c>
      <c r="L2487" s="2"/>
      <c r="M2487" s="32"/>
      <c r="N2487" s="13" t="str">
        <f>IF(F2487="","",
MAX(0,
_xlfn.XLOOKUP(F2487,purchase!D:D,purchase!#REF!,"")
-
SUMIFS(L:L,F:F,F2487)))</f>
        <v/>
      </c>
      <c r="O2487" s="13" t="str">
        <f t="shared" si="270"/>
        <v/>
      </c>
      <c r="P2487" s="35" t="str">
        <f>_xlfn.SINGLE(IF(F2487="","",_xlfn.XLOOKUP(F2487,purchase!D:D,purchase!K:K,"")))</f>
        <v/>
      </c>
      <c r="Q2487" s="29" t="str">
        <f t="shared" si="271"/>
        <v/>
      </c>
      <c r="R2487" s="37" t="str">
        <f t="shared" si="272"/>
        <v/>
      </c>
    </row>
    <row r="2488" spans="1:18" x14ac:dyDescent="0.35">
      <c r="A2488" s="8">
        <v>2484</v>
      </c>
      <c r="B2488" s="9" t="str">
        <f t="shared" si="266"/>
        <v/>
      </c>
      <c r="C2488" s="10"/>
      <c r="D2488" s="9" t="str">
        <f>IF(F2488="","",_xlfn.XLOOKUP(F2488,purchase!D:D,purchase!#REF!,""))</f>
        <v/>
      </c>
      <c r="E2488" s="9" t="str">
        <f>IF(F2488="","",_xlfn.XLOOKUP(F2488,purchase!D:D,purchase!B:B,""))</f>
        <v/>
      </c>
      <c r="F2488" s="2"/>
      <c r="G2488" s="4" t="str">
        <f t="shared" si="267"/>
        <v/>
      </c>
      <c r="H2488" s="4" t="str">
        <f>IF(F2488="","",_xlfn.XLOOKUP(F2488,purchase!D:D,purchase!#REF!,""))</f>
        <v/>
      </c>
      <c r="I2488" s="4" t="str">
        <f t="shared" si="268"/>
        <v/>
      </c>
      <c r="J2488" s="4" t="str">
        <f t="shared" si="269"/>
        <v/>
      </c>
      <c r="K2488" s="13" t="str">
        <f>_xlfn.SINGLE(IF(F2488="","",_xlfn.XLOOKUP(F2488,purchase!D:D,purchase!#REF!,"")))</f>
        <v/>
      </c>
      <c r="L2488" s="2"/>
      <c r="M2488" s="32"/>
      <c r="N2488" s="13" t="str">
        <f>IF(F2488="","",
MAX(0,
_xlfn.XLOOKUP(F2488,purchase!D:D,purchase!#REF!,"")
-
SUMIFS(L:L,F:F,F2488)))</f>
        <v/>
      </c>
      <c r="O2488" s="13" t="str">
        <f t="shared" si="270"/>
        <v/>
      </c>
      <c r="P2488" s="35" t="str">
        <f>_xlfn.SINGLE(IF(F2488="","",_xlfn.XLOOKUP(F2488,purchase!D:D,purchase!K:K,"")))</f>
        <v/>
      </c>
      <c r="Q2488" s="29" t="str">
        <f t="shared" si="271"/>
        <v/>
      </c>
      <c r="R2488" s="37" t="str">
        <f t="shared" si="272"/>
        <v/>
      </c>
    </row>
    <row r="2489" spans="1:18" x14ac:dyDescent="0.35">
      <c r="A2489" s="8">
        <v>2485</v>
      </c>
      <c r="B2489" s="9" t="str">
        <f t="shared" si="266"/>
        <v/>
      </c>
      <c r="C2489" s="10"/>
      <c r="D2489" s="9" t="str">
        <f>IF(F2489="","",_xlfn.XLOOKUP(F2489,purchase!D:D,purchase!#REF!,""))</f>
        <v/>
      </c>
      <c r="E2489" s="9" t="str">
        <f>IF(F2489="","",_xlfn.XLOOKUP(F2489,purchase!D:D,purchase!B:B,""))</f>
        <v/>
      </c>
      <c r="F2489" s="2"/>
      <c r="G2489" s="4" t="str">
        <f t="shared" si="267"/>
        <v/>
      </c>
      <c r="H2489" s="4" t="str">
        <f>IF(F2489="","",_xlfn.XLOOKUP(F2489,purchase!D:D,purchase!#REF!,""))</f>
        <v/>
      </c>
      <c r="I2489" s="4" t="str">
        <f t="shared" si="268"/>
        <v/>
      </c>
      <c r="J2489" s="4" t="str">
        <f t="shared" si="269"/>
        <v/>
      </c>
      <c r="K2489" s="13" t="str">
        <f>_xlfn.SINGLE(IF(F2489="","",_xlfn.XLOOKUP(F2489,purchase!D:D,purchase!#REF!,"")))</f>
        <v/>
      </c>
      <c r="L2489" s="2"/>
      <c r="M2489" s="32"/>
      <c r="N2489" s="13" t="str">
        <f>IF(F2489="","",
MAX(0,
_xlfn.XLOOKUP(F2489,purchase!D:D,purchase!#REF!,"")
-
SUMIFS(L:L,F:F,F2489)))</f>
        <v/>
      </c>
      <c r="O2489" s="13" t="str">
        <f t="shared" si="270"/>
        <v/>
      </c>
      <c r="P2489" s="35" t="str">
        <f>_xlfn.SINGLE(IF(F2489="","",_xlfn.XLOOKUP(F2489,purchase!D:D,purchase!K:K,"")))</f>
        <v/>
      </c>
      <c r="Q2489" s="29" t="str">
        <f t="shared" si="271"/>
        <v/>
      </c>
      <c r="R2489" s="37" t="str">
        <f t="shared" si="272"/>
        <v/>
      </c>
    </row>
    <row r="2490" spans="1:18" x14ac:dyDescent="0.35">
      <c r="A2490" s="8">
        <v>2486</v>
      </c>
      <c r="B2490" s="9" t="str">
        <f t="shared" si="266"/>
        <v/>
      </c>
      <c r="C2490" s="10"/>
      <c r="D2490" s="9" t="str">
        <f>IF(F2490="","",_xlfn.XLOOKUP(F2490,purchase!D:D,purchase!#REF!,""))</f>
        <v/>
      </c>
      <c r="E2490" s="9" t="str">
        <f>IF(F2490="","",_xlfn.XLOOKUP(F2490,purchase!D:D,purchase!B:B,""))</f>
        <v/>
      </c>
      <c r="F2490" s="2"/>
      <c r="G2490" s="4" t="str">
        <f t="shared" si="267"/>
        <v/>
      </c>
      <c r="H2490" s="4" t="str">
        <f>IF(F2490="","",_xlfn.XLOOKUP(F2490,purchase!D:D,purchase!#REF!,""))</f>
        <v/>
      </c>
      <c r="I2490" s="4" t="str">
        <f t="shared" si="268"/>
        <v/>
      </c>
      <c r="J2490" s="4" t="str">
        <f t="shared" si="269"/>
        <v/>
      </c>
      <c r="K2490" s="13" t="str">
        <f>_xlfn.SINGLE(IF(F2490="","",_xlfn.XLOOKUP(F2490,purchase!D:D,purchase!#REF!,"")))</f>
        <v/>
      </c>
      <c r="L2490" s="2"/>
      <c r="M2490" s="32"/>
      <c r="N2490" s="13" t="str">
        <f>IF(F2490="","",
MAX(0,
_xlfn.XLOOKUP(F2490,purchase!D:D,purchase!#REF!,"")
-
SUMIFS(L:L,F:F,F2490)))</f>
        <v/>
      </c>
      <c r="O2490" s="13" t="str">
        <f t="shared" si="270"/>
        <v/>
      </c>
      <c r="P2490" s="35" t="str">
        <f>_xlfn.SINGLE(IF(F2490="","",_xlfn.XLOOKUP(F2490,purchase!D:D,purchase!K:K,"")))</f>
        <v/>
      </c>
      <c r="Q2490" s="29" t="str">
        <f t="shared" si="271"/>
        <v/>
      </c>
      <c r="R2490" s="37" t="str">
        <f t="shared" si="272"/>
        <v/>
      </c>
    </row>
    <row r="2491" spans="1:18" x14ac:dyDescent="0.35">
      <c r="A2491" s="8">
        <v>2487</v>
      </c>
      <c r="B2491" s="9" t="str">
        <f t="shared" si="266"/>
        <v/>
      </c>
      <c r="C2491" s="10"/>
      <c r="D2491" s="9" t="str">
        <f>IF(F2491="","",_xlfn.XLOOKUP(F2491,purchase!D:D,purchase!#REF!,""))</f>
        <v/>
      </c>
      <c r="E2491" s="9" t="str">
        <f>IF(F2491="","",_xlfn.XLOOKUP(F2491,purchase!D:D,purchase!B:B,""))</f>
        <v/>
      </c>
      <c r="F2491" s="2"/>
      <c r="G2491" s="4" t="str">
        <f t="shared" si="267"/>
        <v/>
      </c>
      <c r="H2491" s="4" t="str">
        <f>IF(F2491="","",_xlfn.XLOOKUP(F2491,purchase!D:D,purchase!#REF!,""))</f>
        <v/>
      </c>
      <c r="I2491" s="4" t="str">
        <f t="shared" si="268"/>
        <v/>
      </c>
      <c r="J2491" s="4" t="str">
        <f t="shared" si="269"/>
        <v/>
      </c>
      <c r="K2491" s="13" t="str">
        <f>_xlfn.SINGLE(IF(F2491="","",_xlfn.XLOOKUP(F2491,purchase!D:D,purchase!#REF!,"")))</f>
        <v/>
      </c>
      <c r="L2491" s="2"/>
      <c r="M2491" s="32"/>
      <c r="N2491" s="13" t="str">
        <f>IF(F2491="","",
MAX(0,
_xlfn.XLOOKUP(F2491,purchase!D:D,purchase!#REF!,"")
-
SUMIFS(L:L,F:F,F2491)))</f>
        <v/>
      </c>
      <c r="O2491" s="13" t="str">
        <f t="shared" si="270"/>
        <v/>
      </c>
      <c r="P2491" s="35" t="str">
        <f>_xlfn.SINGLE(IF(F2491="","",_xlfn.XLOOKUP(F2491,purchase!D:D,purchase!K:K,"")))</f>
        <v/>
      </c>
      <c r="Q2491" s="29" t="str">
        <f t="shared" si="271"/>
        <v/>
      </c>
      <c r="R2491" s="37" t="str">
        <f t="shared" si="272"/>
        <v/>
      </c>
    </row>
    <row r="2492" spans="1:18" x14ac:dyDescent="0.35">
      <c r="A2492" s="8">
        <v>2488</v>
      </c>
      <c r="B2492" s="9" t="str">
        <f t="shared" si="266"/>
        <v/>
      </c>
      <c r="C2492" s="10"/>
      <c r="D2492" s="9" t="str">
        <f>IF(F2492="","",_xlfn.XLOOKUP(F2492,purchase!D:D,purchase!#REF!,""))</f>
        <v/>
      </c>
      <c r="E2492" s="9" t="str">
        <f>IF(F2492="","",_xlfn.XLOOKUP(F2492,purchase!D:D,purchase!B:B,""))</f>
        <v/>
      </c>
      <c r="F2492" s="2"/>
      <c r="G2492" s="4" t="str">
        <f t="shared" si="267"/>
        <v/>
      </c>
      <c r="H2492" s="4" t="str">
        <f>IF(F2492="","",_xlfn.XLOOKUP(F2492,purchase!D:D,purchase!#REF!,""))</f>
        <v/>
      </c>
      <c r="I2492" s="4" t="str">
        <f t="shared" si="268"/>
        <v/>
      </c>
      <c r="J2492" s="4" t="str">
        <f t="shared" si="269"/>
        <v/>
      </c>
      <c r="K2492" s="13" t="str">
        <f>_xlfn.SINGLE(IF(F2492="","",_xlfn.XLOOKUP(F2492,purchase!D:D,purchase!#REF!,"")))</f>
        <v/>
      </c>
      <c r="L2492" s="2"/>
      <c r="M2492" s="32"/>
      <c r="N2492" s="13" t="str">
        <f>IF(F2492="","",
MAX(0,
_xlfn.XLOOKUP(F2492,purchase!D:D,purchase!#REF!,"")
-
SUMIFS(L:L,F:F,F2492)))</f>
        <v/>
      </c>
      <c r="O2492" s="13" t="str">
        <f t="shared" si="270"/>
        <v/>
      </c>
      <c r="P2492" s="35" t="str">
        <f>_xlfn.SINGLE(IF(F2492="","",_xlfn.XLOOKUP(F2492,purchase!D:D,purchase!K:K,"")))</f>
        <v/>
      </c>
      <c r="Q2492" s="29" t="str">
        <f t="shared" si="271"/>
        <v/>
      </c>
      <c r="R2492" s="37" t="str">
        <f t="shared" si="272"/>
        <v/>
      </c>
    </row>
    <row r="2493" spans="1:18" x14ac:dyDescent="0.35">
      <c r="A2493" s="8">
        <v>2489</v>
      </c>
      <c r="B2493" s="9" t="str">
        <f t="shared" si="266"/>
        <v/>
      </c>
      <c r="C2493" s="10"/>
      <c r="D2493" s="9" t="str">
        <f>IF(F2493="","",_xlfn.XLOOKUP(F2493,purchase!D:D,purchase!#REF!,""))</f>
        <v/>
      </c>
      <c r="E2493" s="9" t="str">
        <f>IF(F2493="","",_xlfn.XLOOKUP(F2493,purchase!D:D,purchase!B:B,""))</f>
        <v/>
      </c>
      <c r="F2493" s="2"/>
      <c r="G2493" s="4" t="str">
        <f t="shared" si="267"/>
        <v/>
      </c>
      <c r="H2493" s="4" t="str">
        <f>IF(F2493="","",_xlfn.XLOOKUP(F2493,purchase!D:D,purchase!#REF!,""))</f>
        <v/>
      </c>
      <c r="I2493" s="4" t="str">
        <f t="shared" si="268"/>
        <v/>
      </c>
      <c r="J2493" s="4" t="str">
        <f t="shared" si="269"/>
        <v/>
      </c>
      <c r="K2493" s="13" t="str">
        <f>_xlfn.SINGLE(IF(F2493="","",_xlfn.XLOOKUP(F2493,purchase!D:D,purchase!#REF!,"")))</f>
        <v/>
      </c>
      <c r="L2493" s="2"/>
      <c r="M2493" s="32"/>
      <c r="N2493" s="13" t="str">
        <f>IF(F2493="","",
MAX(0,
_xlfn.XLOOKUP(F2493,purchase!D:D,purchase!#REF!,"")
-
SUMIFS(L:L,F:F,F2493)))</f>
        <v/>
      </c>
      <c r="O2493" s="13" t="str">
        <f t="shared" si="270"/>
        <v/>
      </c>
      <c r="P2493" s="35" t="str">
        <f>_xlfn.SINGLE(IF(F2493="","",_xlfn.XLOOKUP(F2493,purchase!D:D,purchase!K:K,"")))</f>
        <v/>
      </c>
      <c r="Q2493" s="29" t="str">
        <f t="shared" si="271"/>
        <v/>
      </c>
      <c r="R2493" s="37" t="str">
        <f t="shared" si="272"/>
        <v/>
      </c>
    </row>
    <row r="2494" spans="1:18" x14ac:dyDescent="0.35">
      <c r="A2494" s="8">
        <v>2490</v>
      </c>
      <c r="B2494" s="9" t="str">
        <f t="shared" si="266"/>
        <v/>
      </c>
      <c r="C2494" s="10"/>
      <c r="D2494" s="9" t="str">
        <f>IF(F2494="","",_xlfn.XLOOKUP(F2494,purchase!D:D,purchase!#REF!,""))</f>
        <v/>
      </c>
      <c r="E2494" s="9" t="str">
        <f>IF(F2494="","",_xlfn.XLOOKUP(F2494,purchase!D:D,purchase!B:B,""))</f>
        <v/>
      </c>
      <c r="F2494" s="2"/>
      <c r="G2494" s="4" t="str">
        <f t="shared" si="267"/>
        <v/>
      </c>
      <c r="H2494" s="4" t="str">
        <f>IF(F2494="","",_xlfn.XLOOKUP(F2494,purchase!D:D,purchase!#REF!,""))</f>
        <v/>
      </c>
      <c r="I2494" s="4" t="str">
        <f t="shared" si="268"/>
        <v/>
      </c>
      <c r="J2494" s="4" t="str">
        <f t="shared" si="269"/>
        <v/>
      </c>
      <c r="K2494" s="13" t="str">
        <f>_xlfn.SINGLE(IF(F2494="","",_xlfn.XLOOKUP(F2494,purchase!D:D,purchase!#REF!,"")))</f>
        <v/>
      </c>
      <c r="L2494" s="2"/>
      <c r="M2494" s="32"/>
      <c r="N2494" s="13" t="str">
        <f>IF(F2494="","",
MAX(0,
_xlfn.XLOOKUP(F2494,purchase!D:D,purchase!#REF!,"")
-
SUMIFS(L:L,F:F,F2494)))</f>
        <v/>
      </c>
      <c r="O2494" s="13" t="str">
        <f t="shared" si="270"/>
        <v/>
      </c>
      <c r="P2494" s="35" t="str">
        <f>_xlfn.SINGLE(IF(F2494="","",_xlfn.XLOOKUP(F2494,purchase!D:D,purchase!K:K,"")))</f>
        <v/>
      </c>
      <c r="Q2494" s="29" t="str">
        <f t="shared" si="271"/>
        <v/>
      </c>
      <c r="R2494" s="37" t="str">
        <f t="shared" si="272"/>
        <v/>
      </c>
    </row>
    <row r="2495" spans="1:18" x14ac:dyDescent="0.35">
      <c r="A2495" s="8">
        <v>2491</v>
      </c>
      <c r="B2495" s="9" t="str">
        <f t="shared" si="266"/>
        <v/>
      </c>
      <c r="C2495" s="10"/>
      <c r="D2495" s="9" t="str">
        <f>IF(F2495="","",_xlfn.XLOOKUP(F2495,purchase!D:D,purchase!#REF!,""))</f>
        <v/>
      </c>
      <c r="E2495" s="9" t="str">
        <f>IF(F2495="","",_xlfn.XLOOKUP(F2495,purchase!D:D,purchase!B:B,""))</f>
        <v/>
      </c>
      <c r="F2495" s="2"/>
      <c r="G2495" s="4" t="str">
        <f t="shared" si="267"/>
        <v/>
      </c>
      <c r="H2495" s="4" t="str">
        <f>IF(F2495="","",_xlfn.XLOOKUP(F2495,purchase!D:D,purchase!#REF!,""))</f>
        <v/>
      </c>
      <c r="I2495" s="4" t="str">
        <f t="shared" si="268"/>
        <v/>
      </c>
      <c r="J2495" s="4" t="str">
        <f t="shared" si="269"/>
        <v/>
      </c>
      <c r="K2495" s="13" t="str">
        <f>_xlfn.SINGLE(IF(F2495="","",_xlfn.XLOOKUP(F2495,purchase!D:D,purchase!#REF!,"")))</f>
        <v/>
      </c>
      <c r="L2495" s="2"/>
      <c r="M2495" s="32"/>
      <c r="N2495" s="13" t="str">
        <f>IF(F2495="","",
MAX(0,
_xlfn.XLOOKUP(F2495,purchase!D:D,purchase!#REF!,"")
-
SUMIFS(L:L,F:F,F2495)))</f>
        <v/>
      </c>
      <c r="O2495" s="13" t="str">
        <f t="shared" si="270"/>
        <v/>
      </c>
      <c r="P2495" s="35" t="str">
        <f>_xlfn.SINGLE(IF(F2495="","",_xlfn.XLOOKUP(F2495,purchase!D:D,purchase!K:K,"")))</f>
        <v/>
      </c>
      <c r="Q2495" s="29" t="str">
        <f t="shared" si="271"/>
        <v/>
      </c>
      <c r="R2495" s="37" t="str">
        <f t="shared" si="272"/>
        <v/>
      </c>
    </row>
    <row r="2496" spans="1:18" x14ac:dyDescent="0.35">
      <c r="A2496" s="8">
        <v>2492</v>
      </c>
      <c r="B2496" s="9" t="str">
        <f t="shared" si="266"/>
        <v/>
      </c>
      <c r="C2496" s="10"/>
      <c r="D2496" s="9" t="str">
        <f>IF(F2496="","",_xlfn.XLOOKUP(F2496,purchase!D:D,purchase!#REF!,""))</f>
        <v/>
      </c>
      <c r="E2496" s="9" t="str">
        <f>IF(F2496="","",_xlfn.XLOOKUP(F2496,purchase!D:D,purchase!B:B,""))</f>
        <v/>
      </c>
      <c r="F2496" s="2"/>
      <c r="G2496" s="4" t="str">
        <f t="shared" si="267"/>
        <v/>
      </c>
      <c r="H2496" s="4" t="str">
        <f>IF(F2496="","",_xlfn.XLOOKUP(F2496,purchase!D:D,purchase!#REF!,""))</f>
        <v/>
      </c>
      <c r="I2496" s="4" t="str">
        <f t="shared" si="268"/>
        <v/>
      </c>
      <c r="J2496" s="4" t="str">
        <f t="shared" si="269"/>
        <v/>
      </c>
      <c r="K2496" s="13" t="str">
        <f>_xlfn.SINGLE(IF(F2496="","",_xlfn.XLOOKUP(F2496,purchase!D:D,purchase!#REF!,"")))</f>
        <v/>
      </c>
      <c r="L2496" s="2"/>
      <c r="M2496" s="32"/>
      <c r="N2496" s="13" t="str">
        <f>IF(F2496="","",
MAX(0,
_xlfn.XLOOKUP(F2496,purchase!D:D,purchase!#REF!,"")
-
SUMIFS(L:L,F:F,F2496)))</f>
        <v/>
      </c>
      <c r="O2496" s="13" t="str">
        <f t="shared" si="270"/>
        <v/>
      </c>
      <c r="P2496" s="35" t="str">
        <f>_xlfn.SINGLE(IF(F2496="","",_xlfn.XLOOKUP(F2496,purchase!D:D,purchase!K:K,"")))</f>
        <v/>
      </c>
      <c r="Q2496" s="29" t="str">
        <f t="shared" si="271"/>
        <v/>
      </c>
      <c r="R2496" s="37" t="str">
        <f t="shared" si="272"/>
        <v/>
      </c>
    </row>
    <row r="2497" spans="1:18" x14ac:dyDescent="0.35">
      <c r="A2497" s="8">
        <v>2493</v>
      </c>
      <c r="B2497" s="9" t="str">
        <f t="shared" si="266"/>
        <v/>
      </c>
      <c r="C2497" s="10"/>
      <c r="D2497" s="9" t="str">
        <f>IF(F2497="","",_xlfn.XLOOKUP(F2497,purchase!D:D,purchase!#REF!,""))</f>
        <v/>
      </c>
      <c r="E2497" s="9" t="str">
        <f>IF(F2497="","",_xlfn.XLOOKUP(F2497,purchase!D:D,purchase!B:B,""))</f>
        <v/>
      </c>
      <c r="F2497" s="2"/>
      <c r="G2497" s="4" t="str">
        <f t="shared" si="267"/>
        <v/>
      </c>
      <c r="H2497" s="4" t="str">
        <f>IF(F2497="","",_xlfn.XLOOKUP(F2497,purchase!D:D,purchase!#REF!,""))</f>
        <v/>
      </c>
      <c r="I2497" s="4" t="str">
        <f t="shared" si="268"/>
        <v/>
      </c>
      <c r="J2497" s="4" t="str">
        <f t="shared" si="269"/>
        <v/>
      </c>
      <c r="K2497" s="13" t="str">
        <f>_xlfn.SINGLE(IF(F2497="","",_xlfn.XLOOKUP(F2497,purchase!D:D,purchase!#REF!,"")))</f>
        <v/>
      </c>
      <c r="L2497" s="2"/>
      <c r="M2497" s="32"/>
      <c r="N2497" s="13" t="str">
        <f>IF(F2497="","",
MAX(0,
_xlfn.XLOOKUP(F2497,purchase!D:D,purchase!#REF!,"")
-
SUMIFS(L:L,F:F,F2497)))</f>
        <v/>
      </c>
      <c r="O2497" s="13" t="str">
        <f t="shared" si="270"/>
        <v/>
      </c>
      <c r="P2497" s="35" t="str">
        <f>_xlfn.SINGLE(IF(F2497="","",_xlfn.XLOOKUP(F2497,purchase!D:D,purchase!K:K,"")))</f>
        <v/>
      </c>
      <c r="Q2497" s="29" t="str">
        <f t="shared" si="271"/>
        <v/>
      </c>
      <c r="R2497" s="37" t="str">
        <f t="shared" si="272"/>
        <v/>
      </c>
    </row>
    <row r="2498" spans="1:18" x14ac:dyDescent="0.35">
      <c r="A2498" s="8">
        <v>2494</v>
      </c>
      <c r="B2498" s="9" t="str">
        <f t="shared" si="266"/>
        <v/>
      </c>
      <c r="C2498" s="10"/>
      <c r="D2498" s="9" t="str">
        <f>IF(F2498="","",_xlfn.XLOOKUP(F2498,purchase!D:D,purchase!#REF!,""))</f>
        <v/>
      </c>
      <c r="E2498" s="9" t="str">
        <f>IF(F2498="","",_xlfn.XLOOKUP(F2498,purchase!D:D,purchase!B:B,""))</f>
        <v/>
      </c>
      <c r="F2498" s="2"/>
      <c r="G2498" s="4" t="str">
        <f t="shared" si="267"/>
        <v/>
      </c>
      <c r="H2498" s="4" t="str">
        <f>IF(F2498="","",_xlfn.XLOOKUP(F2498,purchase!D:D,purchase!#REF!,""))</f>
        <v/>
      </c>
      <c r="I2498" s="4" t="str">
        <f t="shared" si="268"/>
        <v/>
      </c>
      <c r="J2498" s="4" t="str">
        <f t="shared" si="269"/>
        <v/>
      </c>
      <c r="K2498" s="13" t="str">
        <f>_xlfn.SINGLE(IF(F2498="","",_xlfn.XLOOKUP(F2498,purchase!D:D,purchase!#REF!,"")))</f>
        <v/>
      </c>
      <c r="L2498" s="2"/>
      <c r="M2498" s="32"/>
      <c r="N2498" s="13" t="str">
        <f>IF(F2498="","",
MAX(0,
_xlfn.XLOOKUP(F2498,purchase!D:D,purchase!#REF!,"")
-
SUMIFS(L:L,F:F,F2498)))</f>
        <v/>
      </c>
      <c r="O2498" s="13" t="str">
        <f t="shared" si="270"/>
        <v/>
      </c>
      <c r="P2498" s="35" t="str">
        <f>_xlfn.SINGLE(IF(F2498="","",_xlfn.XLOOKUP(F2498,purchase!D:D,purchase!K:K,"")))</f>
        <v/>
      </c>
      <c r="Q2498" s="29" t="str">
        <f t="shared" si="271"/>
        <v/>
      </c>
      <c r="R2498" s="37" t="str">
        <f t="shared" si="272"/>
        <v/>
      </c>
    </row>
    <row r="2499" spans="1:18" x14ac:dyDescent="0.35">
      <c r="A2499" s="8">
        <v>2495</v>
      </c>
      <c r="B2499" s="9" t="str">
        <f t="shared" si="266"/>
        <v/>
      </c>
      <c r="C2499" s="10"/>
      <c r="D2499" s="9" t="str">
        <f>IF(F2499="","",_xlfn.XLOOKUP(F2499,purchase!D:D,purchase!#REF!,""))</f>
        <v/>
      </c>
      <c r="E2499" s="9" t="str">
        <f>IF(F2499="","",_xlfn.XLOOKUP(F2499,purchase!D:D,purchase!B:B,""))</f>
        <v/>
      </c>
      <c r="F2499" s="2"/>
      <c r="G2499" s="4" t="str">
        <f t="shared" si="267"/>
        <v/>
      </c>
      <c r="H2499" s="4" t="str">
        <f>IF(F2499="","",_xlfn.XLOOKUP(F2499,purchase!D:D,purchase!#REF!,""))</f>
        <v/>
      </c>
      <c r="I2499" s="4" t="str">
        <f t="shared" si="268"/>
        <v/>
      </c>
      <c r="J2499" s="4" t="str">
        <f t="shared" si="269"/>
        <v/>
      </c>
      <c r="K2499" s="13" t="str">
        <f>_xlfn.SINGLE(IF(F2499="","",_xlfn.XLOOKUP(F2499,purchase!D:D,purchase!#REF!,"")))</f>
        <v/>
      </c>
      <c r="L2499" s="2"/>
      <c r="M2499" s="32"/>
      <c r="N2499" s="13" t="str">
        <f>IF(F2499="","",
MAX(0,
_xlfn.XLOOKUP(F2499,purchase!D:D,purchase!#REF!,"")
-
SUMIFS(L:L,F:F,F2499)))</f>
        <v/>
      </c>
      <c r="O2499" s="13" t="str">
        <f t="shared" si="270"/>
        <v/>
      </c>
      <c r="P2499" s="35" t="str">
        <f>_xlfn.SINGLE(IF(F2499="","",_xlfn.XLOOKUP(F2499,purchase!D:D,purchase!K:K,"")))</f>
        <v/>
      </c>
      <c r="Q2499" s="29" t="str">
        <f t="shared" si="271"/>
        <v/>
      </c>
      <c r="R2499" s="37" t="str">
        <f t="shared" si="272"/>
        <v/>
      </c>
    </row>
    <row r="2500" spans="1:18" x14ac:dyDescent="0.35">
      <c r="A2500" s="8">
        <v>2496</v>
      </c>
      <c r="B2500" s="9" t="str">
        <f t="shared" si="266"/>
        <v/>
      </c>
      <c r="C2500" s="10"/>
      <c r="D2500" s="9" t="str">
        <f>IF(F2500="","",_xlfn.XLOOKUP(F2500,purchase!D:D,purchase!#REF!,""))</f>
        <v/>
      </c>
      <c r="E2500" s="9" t="str">
        <f>IF(F2500="","",_xlfn.XLOOKUP(F2500,purchase!D:D,purchase!B:B,""))</f>
        <v/>
      </c>
      <c r="F2500" s="2"/>
      <c r="G2500" s="4" t="str">
        <f t="shared" si="267"/>
        <v/>
      </c>
      <c r="H2500" s="4" t="str">
        <f>IF(F2500="","",_xlfn.XLOOKUP(F2500,purchase!D:D,purchase!#REF!,""))</f>
        <v/>
      </c>
      <c r="I2500" s="4" t="str">
        <f t="shared" si="268"/>
        <v/>
      </c>
      <c r="J2500" s="4" t="str">
        <f t="shared" si="269"/>
        <v/>
      </c>
      <c r="K2500" s="13" t="str">
        <f>_xlfn.SINGLE(IF(F2500="","",_xlfn.XLOOKUP(F2500,purchase!D:D,purchase!#REF!,"")))</f>
        <v/>
      </c>
      <c r="L2500" s="2"/>
      <c r="M2500" s="32"/>
      <c r="N2500" s="13" t="str">
        <f>IF(F2500="","",
MAX(0,
_xlfn.XLOOKUP(F2500,purchase!D:D,purchase!#REF!,"")
-
SUMIFS(L:L,F:F,F2500)))</f>
        <v/>
      </c>
      <c r="O2500" s="13" t="str">
        <f t="shared" si="270"/>
        <v/>
      </c>
      <c r="P2500" s="35" t="str">
        <f>_xlfn.SINGLE(IF(F2500="","",_xlfn.XLOOKUP(F2500,purchase!D:D,purchase!K:K,"")))</f>
        <v/>
      </c>
      <c r="Q2500" s="29" t="str">
        <f t="shared" si="271"/>
        <v/>
      </c>
      <c r="R2500" s="37" t="str">
        <f t="shared" si="272"/>
        <v/>
      </c>
    </row>
    <row r="2501" spans="1:18" x14ac:dyDescent="0.35">
      <c r="A2501" s="8">
        <v>2497</v>
      </c>
      <c r="B2501" s="9" t="str">
        <f t="shared" ref="B2501:B2504" si="273">IF(OR(C2501="",F2501=""),"",
"PRD-" &amp;
TEXT(DAY(C2501),"00") &amp;
CHOOSE(MONTH(C2501),"A","B","C","D","E","F","G","H","I","J","K","L") &amp;
TEXT(YEAR(C2501),"00") &amp;
"-" &amp;
RIGHT(F2501,4))</f>
        <v/>
      </c>
      <c r="C2501" s="10"/>
      <c r="D2501" s="9" t="str">
        <f>IF(F2501="","",_xlfn.XLOOKUP(F2501,purchase!D:D,purchase!#REF!,""))</f>
        <v/>
      </c>
      <c r="E2501" s="9" t="str">
        <f>IF(F2501="","",_xlfn.XLOOKUP(F2501,purchase!D:D,purchase!B:B,""))</f>
        <v/>
      </c>
      <c r="F2501" s="2"/>
      <c r="G2501" s="4" t="str">
        <f t="shared" ref="G2501:G2504" si="274">IF(H2501="NRFC","Natural Rubber Field Coagulam","")</f>
        <v/>
      </c>
      <c r="H2501" s="4" t="str">
        <f>IF(F2501="","",_xlfn.XLOOKUP(F2501,purchase!D:D,purchase!#REF!,""))</f>
        <v/>
      </c>
      <c r="I2501" s="4" t="str">
        <f t="shared" ref="I2501:I2504" si="275">IF(J2501="ISNR20","Natural Rubber-TSNR (ISNR-20)","")</f>
        <v/>
      </c>
      <c r="J2501" s="4" t="str">
        <f t="shared" si="269"/>
        <v/>
      </c>
      <c r="K2501" s="13" t="str">
        <f>_xlfn.SINGLE(IF(F2501="","",_xlfn.XLOOKUP(F2501,purchase!D:D,purchase!#REF!,"")))</f>
        <v/>
      </c>
      <c r="L2501" s="2"/>
      <c r="M2501" s="32"/>
      <c r="N2501" s="13" t="str">
        <f>IF(F2501="","",
MAX(0,
_xlfn.XLOOKUP(F2501,purchase!D:D,purchase!#REF!,"")
-
SUMIFS(L:L,F:F,F2501)))</f>
        <v/>
      </c>
      <c r="O2501" s="13" t="str">
        <f t="shared" si="270"/>
        <v/>
      </c>
      <c r="P2501" s="35" t="str">
        <f>_xlfn.SINGLE(IF(F2501="","",_xlfn.XLOOKUP(F2501,purchase!D:D,purchase!K:K,"")))</f>
        <v/>
      </c>
      <c r="Q2501" s="29" t="str">
        <f t="shared" si="271"/>
        <v/>
      </c>
      <c r="R2501" s="37" t="str">
        <f t="shared" ref="R2501:R2504" si="276">IF(OR(P2501="",Q2501=""),"",Q2501-P2501)</f>
        <v/>
      </c>
    </row>
    <row r="2502" spans="1:18" x14ac:dyDescent="0.35">
      <c r="A2502" s="8">
        <v>2498</v>
      </c>
      <c r="B2502" s="9" t="str">
        <f t="shared" si="273"/>
        <v/>
      </c>
      <c r="C2502" s="10"/>
      <c r="D2502" s="9" t="str">
        <f>IF(F2502="","",_xlfn.XLOOKUP(F2502,purchase!D:D,purchase!#REF!,""))</f>
        <v/>
      </c>
      <c r="E2502" s="9" t="str">
        <f>IF(F2502="","",_xlfn.XLOOKUP(F2502,purchase!D:D,purchase!B:B,""))</f>
        <v/>
      </c>
      <c r="F2502" s="2"/>
      <c r="G2502" s="4" t="str">
        <f t="shared" si="274"/>
        <v/>
      </c>
      <c r="H2502" s="4" t="str">
        <f>IF(F2502="","",_xlfn.XLOOKUP(F2502,purchase!D:D,purchase!#REF!,""))</f>
        <v/>
      </c>
      <c r="I2502" s="4" t="str">
        <f t="shared" si="275"/>
        <v/>
      </c>
      <c r="J2502" s="4" t="str">
        <f t="shared" si="269"/>
        <v/>
      </c>
      <c r="K2502" s="13" t="str">
        <f>_xlfn.SINGLE(IF(F2502="","",_xlfn.XLOOKUP(F2502,purchase!D:D,purchase!#REF!,"")))</f>
        <v/>
      </c>
      <c r="L2502" s="2"/>
      <c r="M2502" s="32"/>
      <c r="N2502" s="13" t="str">
        <f>IF(F2502="","",
MAX(0,
_xlfn.XLOOKUP(F2502,purchase!D:D,purchase!#REF!,"")
-
SUMIFS(L:L,F:F,F2502)))</f>
        <v/>
      </c>
      <c r="O2502" s="13" t="str">
        <f t="shared" si="270"/>
        <v/>
      </c>
      <c r="P2502" s="35" t="str">
        <f>_xlfn.SINGLE(IF(F2502="","",_xlfn.XLOOKUP(F2502,purchase!D:D,purchase!K:K,"")))</f>
        <v/>
      </c>
      <c r="Q2502" s="29" t="str">
        <f t="shared" si="271"/>
        <v/>
      </c>
      <c r="R2502" s="37" t="str">
        <f t="shared" si="276"/>
        <v/>
      </c>
    </row>
    <row r="2503" spans="1:18" x14ac:dyDescent="0.35">
      <c r="A2503" s="8">
        <v>2499</v>
      </c>
      <c r="B2503" s="9" t="str">
        <f t="shared" si="273"/>
        <v/>
      </c>
      <c r="C2503" s="10"/>
      <c r="D2503" s="9" t="str">
        <f>IF(F2503="","",_xlfn.XLOOKUP(F2503,purchase!D:D,purchase!#REF!,""))</f>
        <v/>
      </c>
      <c r="E2503" s="9" t="str">
        <f>IF(F2503="","",_xlfn.XLOOKUP(F2503,purchase!D:D,purchase!B:B,""))</f>
        <v/>
      </c>
      <c r="F2503" s="2"/>
      <c r="G2503" s="4" t="str">
        <f t="shared" si="274"/>
        <v/>
      </c>
      <c r="H2503" s="4" t="str">
        <f>IF(F2503="","",_xlfn.XLOOKUP(F2503,purchase!D:D,purchase!#REF!,""))</f>
        <v/>
      </c>
      <c r="I2503" s="4" t="str">
        <f t="shared" si="275"/>
        <v/>
      </c>
      <c r="J2503" s="4" t="str">
        <f t="shared" si="269"/>
        <v/>
      </c>
      <c r="K2503" s="13" t="str">
        <f>_xlfn.SINGLE(IF(F2503="","",_xlfn.XLOOKUP(F2503,purchase!D:D,purchase!#REF!,"")))</f>
        <v/>
      </c>
      <c r="L2503" s="2"/>
      <c r="M2503" s="32"/>
      <c r="N2503" s="13" t="str">
        <f>IF(F2503="","",
MAX(0,
_xlfn.XLOOKUP(F2503,purchase!D:D,purchase!#REF!,"")
-
SUMIFS(L:L,F:F,F2503)))</f>
        <v/>
      </c>
      <c r="O2503" s="13" t="str">
        <f t="shared" si="270"/>
        <v/>
      </c>
      <c r="P2503" s="35" t="str">
        <f>_xlfn.SINGLE(IF(F2503="","",_xlfn.XLOOKUP(F2503,purchase!D:D,purchase!K:K,"")))</f>
        <v/>
      </c>
      <c r="Q2503" s="29" t="str">
        <f t="shared" si="271"/>
        <v/>
      </c>
      <c r="R2503" s="37" t="str">
        <f t="shared" si="276"/>
        <v/>
      </c>
    </row>
    <row r="2504" spans="1:18" ht="15" customHeight="1" thickBot="1" x14ac:dyDescent="0.4">
      <c r="A2504" s="23">
        <v>2500</v>
      </c>
      <c r="B2504" s="24" t="str">
        <f t="shared" si="273"/>
        <v/>
      </c>
      <c r="C2504" s="25"/>
      <c r="D2504" s="9" t="str">
        <f>IF(F2504="","",_xlfn.XLOOKUP(F2504,purchase!D:D,purchase!#REF!,""))</f>
        <v/>
      </c>
      <c r="E2504" s="9" t="str">
        <f>IF(F2504="","",_xlfn.XLOOKUP(F2504,purchase!D:D,purchase!B:B,""))</f>
        <v/>
      </c>
      <c r="F2504" s="20"/>
      <c r="G2504" s="22" t="str">
        <f t="shared" si="274"/>
        <v/>
      </c>
      <c r="H2504" s="4" t="str">
        <f>IF(F2504="","",_xlfn.XLOOKUP(F2504,purchase!D:D,purchase!#REF!,""))</f>
        <v/>
      </c>
      <c r="I2504" s="22" t="str">
        <f t="shared" si="275"/>
        <v/>
      </c>
      <c r="J2504" s="22" t="str">
        <f t="shared" si="269"/>
        <v/>
      </c>
      <c r="K2504" s="13" t="str">
        <f>_xlfn.SINGLE(IF(F2504="","",_xlfn.XLOOKUP(F2504,purchase!D:D,purchase!#REF!,"")))</f>
        <v/>
      </c>
      <c r="L2504" s="20"/>
      <c r="M2504" s="33"/>
      <c r="N2504" s="13" t="str">
        <f>IF(F2504="","",
MAX(0,
_xlfn.XLOOKUP(F2504,purchase!D:D,purchase!#REF!,"")
-
SUMIFS(L:L,F:F,F2504)))</f>
        <v/>
      </c>
      <c r="O2504" s="28" t="str">
        <f t="shared" si="270"/>
        <v/>
      </c>
      <c r="P2504" s="35" t="str">
        <f>_xlfn.SINGLE(IF(F2504="","",_xlfn.XLOOKUP(F2504,purchase!D:D,purchase!K:K,"")))</f>
        <v/>
      </c>
      <c r="Q2504" s="30" t="str">
        <f t="shared" si="271"/>
        <v/>
      </c>
      <c r="R2504" s="38" t="str">
        <f t="shared" si="276"/>
        <v/>
      </c>
    </row>
  </sheetData>
  <mergeCells count="11">
    <mergeCell ref="A1:R1"/>
    <mergeCell ref="P3:R3"/>
    <mergeCell ref="K3:O3"/>
    <mergeCell ref="G3:J3"/>
    <mergeCell ref="A2:R2"/>
    <mergeCell ref="C3:C4"/>
    <mergeCell ref="B3:B4"/>
    <mergeCell ref="A3:A4"/>
    <mergeCell ref="E3:E4"/>
    <mergeCell ref="F3:F4"/>
    <mergeCell ref="D3:D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pcon</vt:lpstr>
      <vt:lpstr>scon</vt:lpstr>
      <vt:lpstr>purchase</vt:lpstr>
      <vt:lpstr>sales</vt:lpstr>
      <vt:lpstr>production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Vasudevan S Nair</dc:creator>
  <cp:lastModifiedBy>Vasudevan S</cp:lastModifiedBy>
  <dcterms:created xsi:type="dcterms:W3CDTF">2015-06-05T18:17:20Z</dcterms:created>
  <dcterms:modified xsi:type="dcterms:W3CDTF">2026-06-01T17:58:37Z</dcterms:modified>
</cp:coreProperties>
</file>